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Override PartName="/xl/threadedComments/threadedComment3.xml" ContentType="application/vnd.ms-excel.threadedcomments+xml"/>
  <Override PartName="/xl/threadedComments/threadedComment4.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S:\2026\POA 2026\MEMORIA DE CALCULO\"/>
    </mc:Choice>
  </mc:AlternateContent>
  <xr:revisionPtr revIDLastSave="0" documentId="13_ncr:1_{D5A9E4EB-AE5E-4A2C-976E-8097C5CB4806}" xr6:coauthVersionLast="47" xr6:coauthVersionMax="47" xr10:uidLastSave="{00000000-0000-0000-0000-000000000000}"/>
  <bookViews>
    <workbookView xWindow="-120" yWindow="-120" windowWidth="29040" windowHeight="15840" activeTab="5" xr2:uid="{619E7BCF-A02B-4576-B4A7-EBC8732B934E}"/>
  </bookViews>
  <sheets>
    <sheet name="2018-2026" sheetId="1" r:id="rId1"/>
    <sheet name="observaciones alertas y boletin" sheetId="9" state="hidden" r:id="rId2"/>
    <sheet name="Hoja4" sheetId="8" state="hidden" r:id="rId3"/>
    <sheet name="Hoja3" sheetId="7" state="hidden" r:id="rId4"/>
    <sheet name="Dic18-2026 -Nvo For_ CERT-PREV" sheetId="11" r:id="rId5"/>
    <sheet name="Oct. 2024 - 2026 CERT-MX" sheetId="18" r:id="rId6"/>
    <sheet name="DESGLOCE DENUNCIAS PI" sheetId="10" state="hidden" r:id="rId7"/>
    <sheet name="Atención Ciudadana" sheetId="16" state="hidden" r:id="rId8"/>
    <sheet name="DFDF" sheetId="13" state="hidden" r:id="rId9"/>
    <sheet name="1er corte FAP" sheetId="14" state="hidden" r:id="rId10"/>
    <sheet name="2 corte FAP" sheetId="15" state="hidden" r:id="rId11"/>
    <sheet name="Hoja1" sheetId="5" state="hidden" r:id="rId12"/>
    <sheet name="desactivaciones  19-22" sheetId="3" state="hidden" r:id="rId13"/>
    <sheet name="ciberinvestigaciones 2012-2022" sheetId="2" state="hidden" r:id="rId14"/>
    <sheet name="FACES" sheetId="4" state="hidden" r:id="rId15"/>
  </sheets>
  <definedNames>
    <definedName name="_xlnm._FilterDatabase" localSheetId="0" hidden="1">'2018-2026'!$A$12:$ER$96</definedName>
    <definedName name="_xlnm._FilterDatabase" localSheetId="4" hidden="1">'Dic18-2026 -Nvo For_ CERT-PREV'!$A$12:$EV$114</definedName>
    <definedName name="_xlnm._FilterDatabase" localSheetId="14" hidden="1">FACES!$A$12:$AA$12</definedName>
    <definedName name="_xlnm._FilterDatabase" localSheetId="5" hidden="1">'Oct. 2024 - 2026 CERT-MX'!$A$12:$ER$64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K21" i="18" l="1"/>
  <c r="EK64" i="18"/>
  <c r="EK63" i="18"/>
  <c r="EK62" i="18"/>
  <c r="EK61" i="18"/>
  <c r="EK60" i="18"/>
  <c r="EK59" i="18"/>
  <c r="EK58" i="18"/>
  <c r="EK57" i="18"/>
  <c r="EK56" i="18"/>
  <c r="EK55" i="18"/>
  <c r="EK54" i="18"/>
  <c r="EK53" i="18"/>
  <c r="EK52" i="18"/>
  <c r="EK51" i="18"/>
  <c r="EK50" i="18"/>
  <c r="EK49" i="18"/>
  <c r="EK48" i="18"/>
  <c r="EK47" i="18"/>
  <c r="EK46" i="18"/>
  <c r="EK45" i="18"/>
  <c r="EK44" i="18"/>
  <c r="EK43" i="18"/>
  <c r="EK42" i="18"/>
  <c r="EK41" i="18"/>
  <c r="EK40" i="18"/>
  <c r="EK39" i="18"/>
  <c r="EK38" i="18"/>
  <c r="EK37" i="18"/>
  <c r="EK36" i="18"/>
  <c r="EK35" i="18"/>
  <c r="EK34" i="18"/>
  <c r="EK33" i="18"/>
  <c r="EK32" i="18"/>
  <c r="EK31" i="18"/>
  <c r="EK30" i="18"/>
  <c r="EK29" i="18"/>
  <c r="EK28" i="18"/>
  <c r="EK27" i="18"/>
  <c r="EK26" i="18"/>
  <c r="EK25" i="18"/>
  <c r="EK24" i="18"/>
  <c r="EK23" i="18"/>
  <c r="EK22" i="18"/>
  <c r="EK20" i="18"/>
  <c r="EK19" i="18"/>
  <c r="EK18" i="18"/>
  <c r="EK17" i="18"/>
  <c r="EK16" i="18"/>
  <c r="EK15" i="18"/>
  <c r="EK14" i="18"/>
  <c r="EK23" i="1"/>
  <c r="EK85" i="1"/>
  <c r="EH81" i="18"/>
  <c r="EH80" i="18"/>
  <c r="EH79" i="18"/>
  <c r="EH78" i="18"/>
  <c r="EH77" i="18"/>
  <c r="EH76" i="18"/>
  <c r="EH75" i="18"/>
  <c r="EH74" i="18"/>
  <c r="EH73" i="18"/>
  <c r="EH72" i="18"/>
  <c r="EH71" i="18"/>
  <c r="EH70" i="18"/>
  <c r="EH69" i="18"/>
  <c r="EH68" i="18"/>
  <c r="EH67" i="18"/>
  <c r="EH66" i="18"/>
  <c r="EH65" i="18"/>
  <c r="EH64" i="18"/>
  <c r="EH63" i="18"/>
  <c r="EH62" i="18"/>
  <c r="EH61" i="18"/>
  <c r="EH60" i="18"/>
  <c r="EH59" i="18"/>
  <c r="EH58" i="18"/>
  <c r="EH57" i="18"/>
  <c r="EH56" i="18"/>
  <c r="EH55" i="18"/>
  <c r="EH54" i="18"/>
  <c r="EH53" i="18"/>
  <c r="EH52" i="18"/>
  <c r="EH51" i="18"/>
  <c r="EH50" i="18"/>
  <c r="EH49" i="18"/>
  <c r="EH48" i="18"/>
  <c r="EH47" i="18"/>
  <c r="EH46" i="18"/>
  <c r="EH45" i="18"/>
  <c r="EH44" i="18"/>
  <c r="EH43" i="18"/>
  <c r="EH42" i="18"/>
  <c r="EH41" i="18"/>
  <c r="EH40" i="18"/>
  <c r="EH39" i="18"/>
  <c r="EH38" i="18"/>
  <c r="EH37" i="18"/>
  <c r="EH36" i="18"/>
  <c r="EH35" i="18"/>
  <c r="EH34" i="18"/>
  <c r="EH33" i="18"/>
  <c r="EH32" i="18"/>
  <c r="EH31" i="18"/>
  <c r="EH30" i="18"/>
  <c r="EH29" i="18"/>
  <c r="EH28" i="18"/>
  <c r="EH27" i="18"/>
  <c r="EH26" i="18"/>
  <c r="EH25" i="18"/>
  <c r="EH24" i="18"/>
  <c r="EH23" i="18"/>
  <c r="EH22" i="18"/>
  <c r="EH20" i="18"/>
  <c r="EH19" i="18"/>
  <c r="EH18" i="18"/>
  <c r="EH17" i="18"/>
  <c r="EH16" i="18"/>
  <c r="EH15" i="18"/>
  <c r="EH14" i="18"/>
  <c r="EH21" i="18"/>
  <c r="EH114" i="11"/>
  <c r="EH113" i="11"/>
  <c r="EH112" i="11"/>
  <c r="EH111" i="11"/>
  <c r="EH110" i="11"/>
  <c r="EH109" i="11"/>
  <c r="EH108" i="11"/>
  <c r="EH107" i="11"/>
  <c r="EH106" i="11"/>
  <c r="EH105" i="11"/>
  <c r="EH104" i="11"/>
  <c r="EH103" i="11"/>
  <c r="EH102" i="11"/>
  <c r="EH101" i="11"/>
  <c r="EH100" i="11"/>
  <c r="EH99" i="11"/>
  <c r="EH98" i="11"/>
  <c r="EH97" i="11"/>
  <c r="EH96" i="11"/>
  <c r="EH95" i="11"/>
  <c r="EH94" i="11"/>
  <c r="EH93" i="11"/>
  <c r="EH92" i="11"/>
  <c r="EH91" i="11"/>
  <c r="EH90" i="11"/>
  <c r="EH89" i="11"/>
  <c r="EH88" i="11"/>
  <c r="EH87" i="11"/>
  <c r="EH86" i="11"/>
  <c r="EH85" i="11"/>
  <c r="EH84" i="11"/>
  <c r="EH83" i="11"/>
  <c r="EH82" i="11"/>
  <c r="EH81" i="11"/>
  <c r="EH80" i="11"/>
  <c r="EH79" i="11"/>
  <c r="EH78" i="11"/>
  <c r="EH77" i="11"/>
  <c r="EH76" i="11"/>
  <c r="EH75" i="11"/>
  <c r="EH74" i="11"/>
  <c r="EH73" i="11"/>
  <c r="EH72" i="11"/>
  <c r="EH71" i="11"/>
  <c r="EH70" i="11"/>
  <c r="EH69" i="11"/>
  <c r="EH68" i="11"/>
  <c r="EH67" i="11"/>
  <c r="EH66" i="11"/>
  <c r="EH65" i="11"/>
  <c r="EH64" i="11"/>
  <c r="EH63" i="11"/>
  <c r="EH62" i="11"/>
  <c r="EH61" i="11"/>
  <c r="EH60" i="11"/>
  <c r="EH59" i="11"/>
  <c r="EH58" i="11"/>
  <c r="EH57" i="11"/>
  <c r="EH56" i="11"/>
  <c r="EH55" i="11"/>
  <c r="EH54" i="11"/>
  <c r="EH53" i="11"/>
  <c r="EH52" i="11"/>
  <c r="EH51" i="11"/>
  <c r="EH50" i="11"/>
  <c r="EH49" i="11"/>
  <c r="EH48" i="11"/>
  <c r="EH47" i="11"/>
  <c r="EH46" i="11"/>
  <c r="EH45" i="11"/>
  <c r="EH44" i="11"/>
  <c r="EH43" i="11"/>
  <c r="EH42" i="11"/>
  <c r="EH41" i="11"/>
  <c r="EH40" i="11"/>
  <c r="EH39" i="11"/>
  <c r="EH38" i="11"/>
  <c r="EH37" i="11"/>
  <c r="EH36" i="11"/>
  <c r="EH35" i="11"/>
  <c r="EH34" i="11"/>
  <c r="EH33" i="11"/>
  <c r="EH32" i="11"/>
  <c r="EH31" i="11"/>
  <c r="EH30" i="11"/>
  <c r="EH29" i="11"/>
  <c r="EH28" i="11"/>
  <c r="EH27" i="11"/>
  <c r="EH26" i="11"/>
  <c r="EH25" i="11"/>
  <c r="EH24" i="11"/>
  <c r="EH23" i="11"/>
  <c r="EH22" i="11"/>
  <c r="EH21" i="11"/>
  <c r="EH20" i="11"/>
  <c r="EH19" i="11"/>
  <c r="EH18" i="11"/>
  <c r="EH17" i="11"/>
  <c r="EH16" i="11"/>
  <c r="EH15" i="11"/>
  <c r="EH14" i="11"/>
  <c r="EH13" i="11"/>
  <c r="EH96" i="1"/>
  <c r="EH95" i="1"/>
  <c r="EH94" i="1"/>
  <c r="EH93" i="1"/>
  <c r="EH92" i="1"/>
  <c r="EH91" i="1"/>
  <c r="EH90" i="1"/>
  <c r="EH89" i="1"/>
  <c r="EH88" i="1"/>
  <c r="EH87" i="1"/>
  <c r="EH86" i="1"/>
  <c r="EH85" i="1"/>
  <c r="EH84" i="1"/>
  <c r="EH83" i="1"/>
  <c r="EH82" i="1"/>
  <c r="EH81" i="1"/>
  <c r="EH80" i="1"/>
  <c r="EH79" i="1"/>
  <c r="EH78" i="1"/>
  <c r="EH77" i="1"/>
  <c r="EH76" i="1"/>
  <c r="EH75" i="1"/>
  <c r="EH74" i="1"/>
  <c r="EH73" i="1"/>
  <c r="EH72" i="1"/>
  <c r="EH71" i="1"/>
  <c r="EH70" i="1"/>
  <c r="EH69" i="1"/>
  <c r="EH68" i="1"/>
  <c r="EH67" i="1"/>
  <c r="EH66" i="1"/>
  <c r="EH65" i="1"/>
  <c r="EH64" i="1"/>
  <c r="EH63" i="1"/>
  <c r="EH62" i="1"/>
  <c r="EH61" i="1"/>
  <c r="EH60" i="1"/>
  <c r="EH59" i="1"/>
  <c r="EH58" i="1"/>
  <c r="EH57" i="1"/>
  <c r="EH56" i="1"/>
  <c r="EH55" i="1"/>
  <c r="EH54" i="1"/>
  <c r="EH53" i="1"/>
  <c r="EH52" i="1"/>
  <c r="EH51" i="1"/>
  <c r="EH50" i="1"/>
  <c r="EH49" i="1"/>
  <c r="EH48" i="1"/>
  <c r="EH47" i="1"/>
  <c r="EH46" i="1"/>
  <c r="EH45" i="1"/>
  <c r="EH44" i="1"/>
  <c r="EH43" i="1"/>
  <c r="EH42" i="1"/>
  <c r="EH41" i="1"/>
  <c r="EH40" i="1"/>
  <c r="EH39" i="1"/>
  <c r="EH38" i="1"/>
  <c r="EH37" i="1"/>
  <c r="EH36" i="1"/>
  <c r="EH35" i="1"/>
  <c r="EH34" i="1"/>
  <c r="EH33" i="1"/>
  <c r="EH32" i="1"/>
  <c r="EH31" i="1"/>
  <c r="EH30" i="1"/>
  <c r="EH29" i="1"/>
  <c r="EH28" i="1"/>
  <c r="EH27" i="1"/>
  <c r="EH26" i="1"/>
  <c r="EH25" i="1"/>
  <c r="EH24" i="1"/>
  <c r="EH23" i="1"/>
  <c r="EH22" i="1"/>
  <c r="EH21" i="1"/>
  <c r="EH20" i="1"/>
  <c r="EH19" i="1"/>
  <c r="EH18" i="1"/>
  <c r="EH17" i="1"/>
  <c r="EH16" i="1"/>
  <c r="EH15" i="1"/>
  <c r="EH14" i="1"/>
  <c r="EH13" i="1"/>
  <c r="EK96" i="1"/>
  <c r="EK95" i="1"/>
  <c r="EK94" i="1"/>
  <c r="EK93" i="1"/>
  <c r="EK92" i="1"/>
  <c r="EK91" i="1"/>
  <c r="EK90" i="1"/>
  <c r="EK89" i="1"/>
  <c r="EK88" i="1"/>
  <c r="EK87" i="1"/>
  <c r="EK86" i="1"/>
  <c r="EK84" i="1"/>
  <c r="EK83" i="1"/>
  <c r="EK82" i="1"/>
  <c r="EK81" i="1"/>
  <c r="EK80" i="1"/>
  <c r="EK79" i="1"/>
  <c r="EK78" i="1"/>
  <c r="EK77" i="1"/>
  <c r="EK76" i="1"/>
  <c r="EK75" i="1"/>
  <c r="EK74" i="1"/>
  <c r="EK73" i="1"/>
  <c r="EK72" i="1"/>
  <c r="EK71" i="1"/>
  <c r="EK70" i="1"/>
  <c r="EK69" i="1"/>
  <c r="EK68" i="1"/>
  <c r="EK67" i="1"/>
  <c r="EK66" i="1"/>
  <c r="EK65" i="1"/>
  <c r="EK64" i="1"/>
  <c r="EK63" i="1"/>
  <c r="EK62" i="1"/>
  <c r="EK61" i="1"/>
  <c r="EK60" i="1"/>
  <c r="EK59" i="1"/>
  <c r="EK58" i="1"/>
  <c r="EK57" i="1"/>
  <c r="EK56" i="1"/>
  <c r="EK55" i="1"/>
  <c r="EK54" i="1"/>
  <c r="EK53" i="1"/>
  <c r="EK52" i="1"/>
  <c r="EK51" i="1"/>
  <c r="EK50" i="1"/>
  <c r="EK49" i="1"/>
  <c r="EK48" i="1"/>
  <c r="EK47" i="1"/>
  <c r="EK46" i="1"/>
  <c r="EK45" i="1"/>
  <c r="EK44" i="1"/>
  <c r="EK43" i="1"/>
  <c r="EK42" i="1"/>
  <c r="EK41" i="1"/>
  <c r="EK40" i="1"/>
  <c r="EK39" i="1"/>
  <c r="EK38" i="1"/>
  <c r="EK37" i="1"/>
  <c r="EK36" i="1"/>
  <c r="EK35" i="1"/>
  <c r="EK34" i="1"/>
  <c r="EK33" i="1"/>
  <c r="EK32" i="1"/>
  <c r="EK31" i="1"/>
  <c r="EK30" i="1"/>
  <c r="EK29" i="1"/>
  <c r="EK28" i="1"/>
  <c r="EK27" i="1"/>
  <c r="EK26" i="1"/>
  <c r="EK25" i="1"/>
  <c r="EK24" i="1"/>
  <c r="EK22" i="1"/>
  <c r="EK21" i="1"/>
  <c r="EK20" i="1"/>
  <c r="EK19" i="1"/>
  <c r="EK18" i="1"/>
  <c r="EK17" i="1"/>
  <c r="EK16" i="1"/>
  <c r="EK15" i="1"/>
  <c r="EK14" i="1"/>
  <c r="EK13" i="1"/>
  <c r="ET96" i="1" l="1"/>
  <c r="ET95" i="1"/>
  <c r="ET94" i="1"/>
  <c r="ET93" i="1"/>
  <c r="ET92" i="1"/>
  <c r="ET91" i="1"/>
  <c r="ET90" i="1"/>
  <c r="ET89" i="1"/>
  <c r="ET88" i="1"/>
  <c r="ET87" i="1"/>
  <c r="ET86" i="1"/>
  <c r="ET85" i="1"/>
  <c r="ET84" i="1"/>
  <c r="ET83" i="1"/>
  <c r="ET82" i="1"/>
  <c r="ET81" i="1"/>
  <c r="ET80" i="1"/>
  <c r="ET79" i="1"/>
  <c r="ET78" i="1"/>
  <c r="ET77" i="1"/>
  <c r="ET76" i="1"/>
  <c r="ET75" i="1"/>
  <c r="ET74" i="1"/>
  <c r="ET73" i="1"/>
  <c r="ET72" i="1"/>
  <c r="ET71" i="1"/>
  <c r="ET70" i="1"/>
  <c r="ET69" i="1"/>
  <c r="ET68" i="1"/>
  <c r="ET67" i="1"/>
  <c r="ET66" i="1"/>
  <c r="ET65" i="1"/>
  <c r="ET64" i="1"/>
  <c r="ET63" i="1"/>
  <c r="ET62" i="1"/>
  <c r="ET61" i="1"/>
  <c r="ET60" i="1"/>
  <c r="ET59" i="1"/>
  <c r="ET58" i="1"/>
  <c r="ET57" i="1"/>
  <c r="ET56" i="1"/>
  <c r="ET55" i="1"/>
  <c r="ET54" i="1"/>
  <c r="ET53" i="1"/>
  <c r="ET52" i="1"/>
  <c r="ET51" i="1"/>
  <c r="ET50" i="1"/>
  <c r="ET49" i="1"/>
  <c r="ET48" i="1"/>
  <c r="ET47" i="1"/>
  <c r="ET46" i="1"/>
  <c r="ET45" i="1"/>
  <c r="ET44" i="1"/>
  <c r="ET43" i="1"/>
  <c r="ET42" i="1"/>
  <c r="ET41" i="1"/>
  <c r="ET40" i="1"/>
  <c r="ET39" i="1"/>
  <c r="ET38" i="1"/>
  <c r="ET37" i="1"/>
  <c r="ET36" i="1"/>
  <c r="ET35" i="1"/>
  <c r="ET34" i="1"/>
  <c r="ET33" i="1"/>
  <c r="ET32" i="1"/>
  <c r="ET31" i="1"/>
  <c r="ET30" i="1"/>
  <c r="ET29" i="1"/>
  <c r="ET28" i="1"/>
  <c r="ET27" i="1"/>
  <c r="ET26" i="1"/>
  <c r="ET25" i="1"/>
  <c r="ET24" i="1"/>
  <c r="ET23" i="1"/>
  <c r="ET22" i="1"/>
  <c r="ET21" i="1"/>
  <c r="ET20" i="1"/>
  <c r="ET19" i="1"/>
  <c r="ET18" i="1"/>
  <c r="ET17" i="1"/>
  <c r="ET16" i="1"/>
  <c r="ET15" i="1"/>
  <c r="ET14" i="1"/>
  <c r="ET13" i="1"/>
  <c r="EJ14" i="11" l="1"/>
  <c r="EJ15" i="11"/>
  <c r="EJ16" i="11"/>
  <c r="EJ17" i="11"/>
  <c r="EJ18" i="11"/>
  <c r="EJ19" i="11"/>
  <c r="EJ20" i="11"/>
  <c r="EJ21" i="11"/>
  <c r="EJ22" i="11"/>
  <c r="EJ23" i="11"/>
  <c r="EJ24" i="11"/>
  <c r="EJ25" i="11"/>
  <c r="EJ26" i="11"/>
  <c r="EJ27" i="11"/>
  <c r="EJ28" i="11"/>
  <c r="EJ29" i="11"/>
  <c r="EJ30" i="11"/>
  <c r="EJ31" i="11"/>
  <c r="EJ32" i="11"/>
  <c r="EJ33" i="11"/>
  <c r="EJ34" i="11"/>
  <c r="EJ35" i="11"/>
  <c r="EJ36" i="11"/>
  <c r="EJ37" i="11"/>
  <c r="EJ38" i="11"/>
  <c r="EJ39" i="11"/>
  <c r="EJ40" i="11"/>
  <c r="EJ41" i="11"/>
  <c r="EJ42" i="11"/>
  <c r="EJ43" i="11"/>
  <c r="EJ44" i="11"/>
  <c r="EJ46" i="11"/>
  <c r="EJ47" i="11"/>
  <c r="EJ48" i="11"/>
  <c r="EJ49" i="11"/>
  <c r="EJ50" i="11"/>
  <c r="EJ51" i="11"/>
  <c r="EJ52" i="11"/>
  <c r="EJ53" i="11"/>
  <c r="EJ54" i="11"/>
  <c r="EJ55" i="11"/>
  <c r="EJ56" i="11"/>
  <c r="EJ57" i="11"/>
  <c r="EJ58" i="11"/>
  <c r="EJ59" i="11"/>
  <c r="EJ60" i="11"/>
  <c r="EJ61" i="11"/>
  <c r="EJ65" i="11"/>
  <c r="EJ66" i="11"/>
  <c r="EJ67" i="11"/>
  <c r="EJ68" i="11"/>
  <c r="EJ69" i="11"/>
  <c r="EJ70" i="11"/>
  <c r="EJ71" i="11"/>
  <c r="EJ72" i="11"/>
  <c r="EJ73" i="11"/>
  <c r="EJ74" i="11"/>
  <c r="EJ75" i="11"/>
  <c r="EJ76" i="11"/>
  <c r="EJ77" i="11"/>
  <c r="EJ78" i="11"/>
  <c r="EJ79" i="11"/>
  <c r="EJ80" i="11"/>
  <c r="EJ81" i="11"/>
  <c r="EJ82" i="11"/>
  <c r="EJ83" i="11"/>
  <c r="EJ84" i="11"/>
  <c r="EJ85" i="11"/>
  <c r="EJ86" i="11"/>
  <c r="EJ87" i="11"/>
  <c r="EJ88" i="11"/>
  <c r="EJ89" i="11"/>
  <c r="EJ90" i="11"/>
  <c r="EJ91" i="11"/>
  <c r="EJ92" i="11"/>
  <c r="EJ93" i="11"/>
  <c r="EJ94" i="11"/>
  <c r="EJ95" i="11"/>
  <c r="EJ99" i="11"/>
  <c r="EJ100" i="11"/>
  <c r="EJ101" i="11"/>
  <c r="EJ103" i="11"/>
  <c r="EJ104" i="11"/>
  <c r="EJ105" i="11"/>
  <c r="EJ106" i="11"/>
  <c r="EJ107" i="11"/>
  <c r="EJ108" i="11"/>
  <c r="EJ109" i="11"/>
  <c r="EJ110" i="11"/>
  <c r="EJ111" i="11"/>
  <c r="EJ112" i="11"/>
  <c r="EJ113" i="11"/>
  <c r="EJ114" i="11"/>
  <c r="EJ13" i="11"/>
  <c r="EZ37" i="11"/>
  <c r="EZ36" i="11"/>
  <c r="EZ35" i="11"/>
  <c r="EZ34" i="11"/>
  <c r="EZ33" i="11"/>
  <c r="EW14" i="11" l="1"/>
  <c r="EW15" i="11"/>
  <c r="EW16" i="11"/>
  <c r="EW17" i="11"/>
  <c r="EW18" i="11"/>
  <c r="EW19" i="11"/>
  <c r="EW20" i="11"/>
  <c r="EW21" i="11"/>
  <c r="EW22" i="11"/>
  <c r="EW23" i="11"/>
  <c r="EW24" i="11"/>
  <c r="EW25" i="11"/>
  <c r="EW26" i="11"/>
  <c r="EW27" i="11"/>
  <c r="EW28" i="11"/>
  <c r="EW29" i="11"/>
  <c r="EW30" i="11"/>
  <c r="EW31" i="11"/>
  <c r="EW32" i="11"/>
  <c r="EW33" i="11"/>
  <c r="EW34" i="11"/>
  <c r="EW35" i="11"/>
  <c r="EW36" i="11"/>
  <c r="EW37" i="11"/>
  <c r="EW38" i="11"/>
  <c r="EW39" i="11"/>
  <c r="EW40" i="11"/>
  <c r="EW41" i="11"/>
  <c r="EW42" i="11"/>
  <c r="EW43" i="11"/>
  <c r="EW44" i="11"/>
  <c r="EW45" i="11"/>
  <c r="EW46" i="11"/>
  <c r="EW47" i="11"/>
  <c r="EW48" i="11"/>
  <c r="EW49" i="11"/>
  <c r="EW50" i="11"/>
  <c r="EW51" i="11"/>
  <c r="EW52" i="11"/>
  <c r="EW53" i="11"/>
  <c r="EW54" i="11"/>
  <c r="EW55" i="11"/>
  <c r="EW56" i="11"/>
  <c r="EW57" i="11"/>
  <c r="EW58" i="11"/>
  <c r="EW59" i="11"/>
  <c r="EW60" i="11"/>
  <c r="EW61" i="11"/>
  <c r="EW62" i="11"/>
  <c r="EW63" i="11"/>
  <c r="EW64" i="11"/>
  <c r="EW65" i="11"/>
  <c r="EW66" i="11"/>
  <c r="EW67" i="11"/>
  <c r="EW68" i="11"/>
  <c r="EW69" i="11"/>
  <c r="EW70" i="11"/>
  <c r="EW71" i="11"/>
  <c r="EW72" i="11"/>
  <c r="EW73" i="11"/>
  <c r="EW74" i="11"/>
  <c r="EW75" i="11"/>
  <c r="EW76" i="11"/>
  <c r="EW77" i="11"/>
  <c r="EW78" i="11"/>
  <c r="EW79" i="11"/>
  <c r="EW80" i="11"/>
  <c r="EW81" i="11"/>
  <c r="EW82" i="11"/>
  <c r="EW83" i="11"/>
  <c r="EW84" i="11"/>
  <c r="EW85" i="11"/>
  <c r="EW86" i="11"/>
  <c r="EW87" i="11"/>
  <c r="EW88" i="11"/>
  <c r="EW89" i="11"/>
  <c r="EW90" i="11"/>
  <c r="EW91" i="11"/>
  <c r="EW92" i="11"/>
  <c r="EW93" i="11"/>
  <c r="EW94" i="11"/>
  <c r="EW95" i="11"/>
  <c r="EW96" i="11"/>
  <c r="EW97" i="11"/>
  <c r="EW98" i="11"/>
  <c r="EW99" i="11"/>
  <c r="EW100" i="11"/>
  <c r="EW101" i="11"/>
  <c r="EW102" i="11"/>
  <c r="EW103" i="11"/>
  <c r="EW104" i="11"/>
  <c r="EW105" i="11"/>
  <c r="EW106" i="11"/>
  <c r="EW107" i="11"/>
  <c r="EW108" i="11"/>
  <c r="EW109" i="11"/>
  <c r="EW110" i="11"/>
  <c r="EW111" i="11"/>
  <c r="EW112" i="11"/>
  <c r="EW113" i="11"/>
  <c r="EW114" i="11"/>
  <c r="EW13" i="11"/>
  <c r="ET64" i="18" l="1"/>
  <c r="ET63" i="18"/>
  <c r="ET62" i="18"/>
  <c r="ET61" i="18"/>
  <c r="ET60" i="18"/>
  <c r="ET59" i="18"/>
  <c r="ET58" i="18"/>
  <c r="ET57" i="18"/>
  <c r="ET56" i="18"/>
  <c r="ET55" i="18"/>
  <c r="ET54" i="18"/>
  <c r="ET53" i="18"/>
  <c r="ET52" i="18"/>
  <c r="ET51" i="18"/>
  <c r="ET50" i="18"/>
  <c r="ET49" i="18"/>
  <c r="ET48" i="18"/>
  <c r="ET47" i="18"/>
  <c r="ET46" i="18"/>
  <c r="ET45" i="18"/>
  <c r="ET44" i="18"/>
  <c r="ET43" i="18"/>
  <c r="ET42" i="18"/>
  <c r="ET41" i="18"/>
  <c r="ET40" i="18"/>
  <c r="ET39" i="18"/>
  <c r="ET38" i="18"/>
  <c r="ET37" i="18"/>
  <c r="ET36" i="18"/>
  <c r="ET35" i="18"/>
  <c r="ET34" i="18"/>
  <c r="ET33" i="18"/>
  <c r="ET32" i="18"/>
  <c r="ET31" i="18"/>
  <c r="ET30" i="18"/>
  <c r="ET29" i="18"/>
  <c r="ET28" i="18"/>
  <c r="ET27" i="18"/>
  <c r="ET26" i="18"/>
  <c r="ET25" i="18"/>
  <c r="ET24" i="18"/>
  <c r="ET23" i="18"/>
  <c r="ET22" i="18"/>
  <c r="ET20" i="18"/>
  <c r="ET19" i="18"/>
  <c r="ET18" i="18"/>
  <c r="ET17" i="18"/>
  <c r="ET16" i="18"/>
  <c r="ET15" i="18"/>
  <c r="ET14" i="18"/>
  <c r="ET21" i="18"/>
  <c r="EW73" i="1" l="1"/>
  <c r="EW72" i="1"/>
  <c r="EJ21" i="18" l="1"/>
  <c r="EJ60" i="18"/>
  <c r="EN67" i="18"/>
  <c r="EM67" i="18"/>
  <c r="EL67" i="18"/>
  <c r="ET66" i="18"/>
  <c r="EO66" i="18"/>
  <c r="EN66" i="18"/>
  <c r="EM66" i="18"/>
  <c r="EL66" i="18"/>
  <c r="ET65" i="18"/>
  <c r="EO65" i="18"/>
  <c r="EN65" i="18"/>
  <c r="EM65" i="18"/>
  <c r="EL65" i="18"/>
  <c r="EX31" i="18"/>
  <c r="EX30" i="18"/>
  <c r="EX29" i="18"/>
  <c r="EX28" i="18"/>
  <c r="EX27" i="18"/>
  <c r="EX26" i="18"/>
  <c r="EX25" i="18"/>
  <c r="FA36" i="11" l="1"/>
  <c r="FA37" i="11" l="1"/>
  <c r="FA35" i="11"/>
  <c r="FA34" i="11"/>
  <c r="EV25" i="18" l="1"/>
  <c r="EV26" i="18"/>
  <c r="EV27" i="18"/>
  <c r="EV28" i="18"/>
  <c r="EV29" i="18"/>
  <c r="EV30" i="18"/>
  <c r="EV31" i="18"/>
  <c r="EV32" i="18"/>
  <c r="EV33" i="18"/>
  <c r="EV34" i="18"/>
  <c r="EV35" i="18"/>
  <c r="EV36" i="18"/>
  <c r="EV37" i="18"/>
  <c r="EV38" i="18"/>
  <c r="EV39" i="18"/>
  <c r="EV40" i="18"/>
  <c r="EV41" i="18"/>
  <c r="EV42" i="18"/>
  <c r="EV44" i="18"/>
  <c r="EV45" i="18"/>
  <c r="EV48" i="18"/>
  <c r="EV49" i="18"/>
  <c r="EV50" i="18"/>
  <c r="EV51" i="18"/>
  <c r="EV52" i="18"/>
  <c r="EV53" i="18"/>
  <c r="EV54" i="18"/>
  <c r="EV55" i="18"/>
  <c r="EV56" i="18"/>
  <c r="EV57" i="18"/>
  <c r="EV58" i="18"/>
  <c r="EV59" i="18"/>
  <c r="EV60" i="18"/>
  <c r="EV61" i="18"/>
  <c r="EV62" i="18"/>
  <c r="EU25" i="18"/>
  <c r="EU26" i="18"/>
  <c r="EU27" i="18"/>
  <c r="EU28" i="18"/>
  <c r="EU29" i="18"/>
  <c r="EU30" i="18"/>
  <c r="EU31" i="18"/>
  <c r="ER25" i="18"/>
  <c r="ER26" i="18"/>
  <c r="ER27" i="18"/>
  <c r="ER28" i="18"/>
  <c r="ER29" i="18"/>
  <c r="ER30" i="18"/>
  <c r="ER31" i="18"/>
  <c r="ER32" i="18"/>
  <c r="ER33" i="18"/>
  <c r="ER34" i="18"/>
  <c r="ER35" i="18"/>
  <c r="ER36" i="18"/>
  <c r="ER37" i="18"/>
  <c r="ER38" i="18"/>
  <c r="ER39" i="18"/>
  <c r="ER40" i="18"/>
  <c r="ER41" i="18"/>
  <c r="ER42" i="18"/>
  <c r="ER44" i="18"/>
  <c r="ER45" i="18"/>
  <c r="ER48" i="18"/>
  <c r="ER49" i="18"/>
  <c r="ER50" i="18"/>
  <c r="ER51" i="18"/>
  <c r="ER52" i="18"/>
  <c r="ER53" i="18"/>
  <c r="ER54" i="18"/>
  <c r="ER55" i="18"/>
  <c r="ER56" i="18"/>
  <c r="ER57" i="18"/>
  <c r="ER58" i="18"/>
  <c r="ER59" i="18"/>
  <c r="ER60" i="18"/>
  <c r="ER61" i="18"/>
  <c r="ER62" i="18"/>
  <c r="EQ25" i="18"/>
  <c r="EQ26" i="18"/>
  <c r="EQ27" i="18"/>
  <c r="EQ28" i="18"/>
  <c r="EQ29" i="18"/>
  <c r="EQ30" i="18"/>
  <c r="EQ31" i="18"/>
  <c r="EP25" i="18"/>
  <c r="EP26" i="18"/>
  <c r="EP27" i="18"/>
  <c r="EP28" i="18"/>
  <c r="EP29" i="18"/>
  <c r="EP30" i="18"/>
  <c r="EP31" i="18"/>
  <c r="EO25" i="18"/>
  <c r="EO26" i="18"/>
  <c r="EO27" i="18"/>
  <c r="EO28" i="18"/>
  <c r="EO29" i="18"/>
  <c r="EO30" i="18"/>
  <c r="EO31" i="18"/>
  <c r="EN25" i="18"/>
  <c r="EN26" i="18"/>
  <c r="EN27" i="18"/>
  <c r="EN28" i="18"/>
  <c r="EN29" i="18"/>
  <c r="EN30" i="18"/>
  <c r="EN31" i="18"/>
  <c r="EM25" i="18"/>
  <c r="EM26" i="18"/>
  <c r="EM27" i="18"/>
  <c r="EM28" i="18"/>
  <c r="EM29" i="18"/>
  <c r="EM30" i="18"/>
  <c r="EM31" i="18"/>
  <c r="EL25" i="18"/>
  <c r="EL26" i="18"/>
  <c r="EL27" i="18"/>
  <c r="EL28" i="18"/>
  <c r="EL29" i="18"/>
  <c r="EL30" i="18"/>
  <c r="EL31" i="18"/>
  <c r="EJ25" i="18"/>
  <c r="EJ26" i="18"/>
  <c r="EJ27" i="18"/>
  <c r="EJ28" i="18"/>
  <c r="EJ29" i="18"/>
  <c r="EJ30" i="18"/>
  <c r="EJ31" i="18"/>
  <c r="EI25" i="18"/>
  <c r="EI26" i="18"/>
  <c r="EI27" i="18"/>
  <c r="EI28" i="18"/>
  <c r="EI29" i="18"/>
  <c r="EI30" i="18"/>
  <c r="EI31" i="18"/>
  <c r="EI23" i="18"/>
  <c r="EI24" i="18"/>
  <c r="EY31" i="18"/>
  <c r="EY30" i="18"/>
  <c r="EY29" i="18"/>
  <c r="EY28" i="18"/>
  <c r="EY27" i="18"/>
  <c r="EY26" i="18"/>
  <c r="EY25" i="18"/>
  <c r="ES31" i="18" l="1"/>
  <c r="ES30" i="18"/>
  <c r="ES29" i="18"/>
  <c r="ES28" i="18"/>
  <c r="ES27" i="18"/>
  <c r="ES26" i="18"/>
  <c r="ES25" i="18"/>
  <c r="DS115" i="18" l="1"/>
  <c r="DS113" i="18"/>
  <c r="EM69" i="18"/>
  <c r="EL69" i="18"/>
  <c r="EI69" i="18"/>
  <c r="EY64" i="18"/>
  <c r="EX64" i="18"/>
  <c r="EV64" i="18"/>
  <c r="EU64" i="18"/>
  <c r="ES64" i="18"/>
  <c r="ER64" i="18"/>
  <c r="EQ64" i="18"/>
  <c r="EP64" i="18"/>
  <c r="EO64" i="18"/>
  <c r="EN64" i="18"/>
  <c r="EM64" i="18"/>
  <c r="EL64" i="18"/>
  <c r="EJ64" i="18"/>
  <c r="EI64" i="18"/>
  <c r="EY63" i="18"/>
  <c r="ES63" i="18"/>
  <c r="EJ63" i="18"/>
  <c r="EI63" i="18"/>
  <c r="EY62" i="18"/>
  <c r="EX62" i="18"/>
  <c r="EU62" i="18"/>
  <c r="ES62" i="18"/>
  <c r="EQ62" i="18"/>
  <c r="EP62" i="18"/>
  <c r="EO62" i="18"/>
  <c r="EN62" i="18"/>
  <c r="EM62" i="18"/>
  <c r="EL62" i="18"/>
  <c r="EJ62" i="18"/>
  <c r="EI62" i="18"/>
  <c r="EY61" i="18"/>
  <c r="EX61" i="18"/>
  <c r="EU61" i="18"/>
  <c r="ES61" i="18"/>
  <c r="EQ61" i="18"/>
  <c r="EP61" i="18"/>
  <c r="EO61" i="18"/>
  <c r="EN61" i="18"/>
  <c r="EM61" i="18"/>
  <c r="EL61" i="18"/>
  <c r="EJ61" i="18"/>
  <c r="EI61" i="18"/>
  <c r="EY60" i="18"/>
  <c r="EX60" i="18"/>
  <c r="EU60" i="18"/>
  <c r="EQ60" i="18"/>
  <c r="EP60" i="18"/>
  <c r="EO60" i="18"/>
  <c r="EN60" i="18"/>
  <c r="EM60" i="18"/>
  <c r="EL60" i="18"/>
  <c r="EI60" i="18"/>
  <c r="DR60" i="18"/>
  <c r="EY59" i="18"/>
  <c r="EX59" i="18"/>
  <c r="EU59" i="18"/>
  <c r="ES59" i="18"/>
  <c r="EQ59" i="18"/>
  <c r="EP59" i="18"/>
  <c r="EO59" i="18"/>
  <c r="EN59" i="18"/>
  <c r="EM59" i="18"/>
  <c r="EL59" i="18"/>
  <c r="EJ59" i="18"/>
  <c r="EI59" i="18"/>
  <c r="EY58" i="18"/>
  <c r="EX58" i="18"/>
  <c r="EU58" i="18"/>
  <c r="ES58" i="18"/>
  <c r="EQ58" i="18"/>
  <c r="EP58" i="18"/>
  <c r="EO58" i="18"/>
  <c r="EN58" i="18"/>
  <c r="EM58" i="18"/>
  <c r="EL58" i="18"/>
  <c r="EJ58" i="18"/>
  <c r="EI58" i="18"/>
  <c r="EY57" i="18"/>
  <c r="EX57" i="18"/>
  <c r="EU57" i="18"/>
  <c r="ES57" i="18"/>
  <c r="EQ57" i="18"/>
  <c r="EP57" i="18"/>
  <c r="EO57" i="18"/>
  <c r="EN57" i="18"/>
  <c r="EM57" i="18"/>
  <c r="EL57" i="18"/>
  <c r="EJ57" i="18"/>
  <c r="EI57" i="18"/>
  <c r="EY56" i="18"/>
  <c r="EX56" i="18"/>
  <c r="EU56" i="18"/>
  <c r="ES56" i="18"/>
  <c r="EQ56" i="18"/>
  <c r="EP56" i="18"/>
  <c r="EO56" i="18"/>
  <c r="EN56" i="18"/>
  <c r="EM56" i="18"/>
  <c r="EL56" i="18"/>
  <c r="EJ56" i="18"/>
  <c r="EI56" i="18"/>
  <c r="EY55" i="18"/>
  <c r="EX55" i="18"/>
  <c r="EU55" i="18"/>
  <c r="ES55" i="18"/>
  <c r="EQ55" i="18"/>
  <c r="EP55" i="18"/>
  <c r="EO55" i="18"/>
  <c r="EN55" i="18"/>
  <c r="EM55" i="18"/>
  <c r="EL55" i="18"/>
  <c r="EJ55" i="18"/>
  <c r="EI55" i="18"/>
  <c r="EY54" i="18"/>
  <c r="EX54" i="18"/>
  <c r="EU54" i="18"/>
  <c r="ES54" i="18"/>
  <c r="EQ54" i="18"/>
  <c r="EP54" i="18"/>
  <c r="EO54" i="18"/>
  <c r="EN54" i="18"/>
  <c r="EM54" i="18"/>
  <c r="EL54" i="18"/>
  <c r="EJ54" i="18"/>
  <c r="EI54" i="18"/>
  <c r="EU53" i="18"/>
  <c r="EP53" i="18"/>
  <c r="EO53" i="18"/>
  <c r="EN53" i="18"/>
  <c r="EM53" i="18"/>
  <c r="EL53" i="18"/>
  <c r="CW53" i="18"/>
  <c r="BD53" i="18"/>
  <c r="EX53" i="18" s="1"/>
  <c r="EY52" i="18"/>
  <c r="EX52" i="18"/>
  <c r="EU52" i="18"/>
  <c r="ES52" i="18"/>
  <c r="EQ52" i="18"/>
  <c r="EP52" i="18"/>
  <c r="EO52" i="18"/>
  <c r="EN52" i="18"/>
  <c r="EM52" i="18"/>
  <c r="EL52" i="18"/>
  <c r="EJ52" i="18"/>
  <c r="EI52" i="18"/>
  <c r="EY51" i="18"/>
  <c r="EX51" i="18"/>
  <c r="EU51" i="18"/>
  <c r="ES51" i="18"/>
  <c r="EQ51" i="18"/>
  <c r="EP51" i="18"/>
  <c r="EO51" i="18"/>
  <c r="EN51" i="18"/>
  <c r="EM51" i="18"/>
  <c r="EL51" i="18"/>
  <c r="EJ51" i="18"/>
  <c r="EI51" i="18"/>
  <c r="EY50" i="18"/>
  <c r="EX50" i="18"/>
  <c r="EU50" i="18"/>
  <c r="ES50" i="18"/>
  <c r="EQ50" i="18"/>
  <c r="EP50" i="18"/>
  <c r="EO50" i="18"/>
  <c r="EN50" i="18"/>
  <c r="EM50" i="18"/>
  <c r="EL50" i="18"/>
  <c r="EJ50" i="18"/>
  <c r="EI50" i="18"/>
  <c r="EY49" i="18"/>
  <c r="EX49" i="18"/>
  <c r="EU49" i="18"/>
  <c r="ES49" i="18"/>
  <c r="EQ49" i="18"/>
  <c r="EP49" i="18"/>
  <c r="EO49" i="18"/>
  <c r="EN49" i="18"/>
  <c r="EM49" i="18"/>
  <c r="EL49" i="18"/>
  <c r="EJ49" i="18"/>
  <c r="EI49" i="18"/>
  <c r="EY48" i="18"/>
  <c r="EX48" i="18"/>
  <c r="EU48" i="18"/>
  <c r="ES48" i="18"/>
  <c r="EQ48" i="18"/>
  <c r="EP48" i="18"/>
  <c r="EO48" i="18"/>
  <c r="EN48" i="18"/>
  <c r="EM48" i="18"/>
  <c r="EL48" i="18"/>
  <c r="EJ48" i="18"/>
  <c r="EI48" i="18"/>
  <c r="EU47" i="18"/>
  <c r="ES47" i="18"/>
  <c r="EQ47" i="18"/>
  <c r="EP47" i="18"/>
  <c r="EO47" i="18"/>
  <c r="EN47" i="18"/>
  <c r="EM47" i="18"/>
  <c r="EL47" i="18"/>
  <c r="CO47" i="18"/>
  <c r="EU46" i="18"/>
  <c r="ES46" i="18"/>
  <c r="EQ46" i="18"/>
  <c r="EP46" i="18"/>
  <c r="EO46" i="18"/>
  <c r="EN46" i="18"/>
  <c r="EM46" i="18"/>
  <c r="EL46" i="18"/>
  <c r="CO46" i="18"/>
  <c r="EY45" i="18"/>
  <c r="EX45" i="18"/>
  <c r="EU45" i="18"/>
  <c r="ES45" i="18"/>
  <c r="EQ45" i="18"/>
  <c r="EP45" i="18"/>
  <c r="EO45" i="18"/>
  <c r="EN45" i="18"/>
  <c r="EM45" i="18"/>
  <c r="EL45" i="18"/>
  <c r="EJ45" i="18"/>
  <c r="EI45" i="18"/>
  <c r="EY44" i="18"/>
  <c r="EX44" i="18"/>
  <c r="EU44" i="18"/>
  <c r="ES44" i="18"/>
  <c r="EQ44" i="18"/>
  <c r="EP44" i="18"/>
  <c r="EO44" i="18"/>
  <c r="EN44" i="18"/>
  <c r="EM44" i="18"/>
  <c r="EL44" i="18"/>
  <c r="EJ44" i="18"/>
  <c r="EI44" i="18"/>
  <c r="EU43" i="18"/>
  <c r="ES43" i="18"/>
  <c r="EQ43" i="18"/>
  <c r="EP43" i="18"/>
  <c r="EO43" i="18"/>
  <c r="EN43" i="18"/>
  <c r="EM43" i="18"/>
  <c r="EL43" i="18"/>
  <c r="CO43" i="18"/>
  <c r="EY42" i="18"/>
  <c r="EX42" i="18"/>
  <c r="EU42" i="18"/>
  <c r="ES42" i="18"/>
  <c r="EQ42" i="18"/>
  <c r="EP42" i="18"/>
  <c r="EO42" i="18"/>
  <c r="EN42" i="18"/>
  <c r="EM42" i="18"/>
  <c r="EL42" i="18"/>
  <c r="EJ42" i="18"/>
  <c r="EI42" i="18"/>
  <c r="EY41" i="18"/>
  <c r="EX41" i="18"/>
  <c r="EU41" i="18"/>
  <c r="ES41" i="18"/>
  <c r="EQ41" i="18"/>
  <c r="EP41" i="18"/>
  <c r="EO41" i="18"/>
  <c r="EN41" i="18"/>
  <c r="EM41" i="18"/>
  <c r="EL41" i="18"/>
  <c r="EJ41" i="18"/>
  <c r="EI41" i="18"/>
  <c r="EY40" i="18"/>
  <c r="EX40" i="18"/>
  <c r="EU40" i="18"/>
  <c r="ES40" i="18"/>
  <c r="EQ40" i="18"/>
  <c r="EP40" i="18"/>
  <c r="EO40" i="18"/>
  <c r="EN40" i="18"/>
  <c r="EM40" i="18"/>
  <c r="EL40" i="18"/>
  <c r="EJ40" i="18"/>
  <c r="EI40" i="18"/>
  <c r="EY39" i="18"/>
  <c r="EX39" i="18"/>
  <c r="EU39" i="18"/>
  <c r="ES39" i="18"/>
  <c r="EQ39" i="18"/>
  <c r="EP39" i="18"/>
  <c r="EO39" i="18"/>
  <c r="EN39" i="18"/>
  <c r="EM39" i="18"/>
  <c r="EL39" i="18"/>
  <c r="EJ39" i="18"/>
  <c r="EI39" i="18"/>
  <c r="EY38" i="18"/>
  <c r="EX38" i="18"/>
  <c r="EU38" i="18"/>
  <c r="ES38" i="18"/>
  <c r="EQ38" i="18"/>
  <c r="EP38" i="18"/>
  <c r="EO38" i="18"/>
  <c r="EN38" i="18"/>
  <c r="EM38" i="18"/>
  <c r="EL38" i="18"/>
  <c r="EJ38" i="18"/>
  <c r="EI38" i="18"/>
  <c r="EY37" i="18"/>
  <c r="EX37" i="18"/>
  <c r="EU37" i="18"/>
  <c r="ES37" i="18"/>
  <c r="EQ37" i="18"/>
  <c r="EP37" i="18"/>
  <c r="EO37" i="18"/>
  <c r="EN37" i="18"/>
  <c r="EM37" i="18"/>
  <c r="EL37" i="18"/>
  <c r="EJ37" i="18"/>
  <c r="EI37" i="18"/>
  <c r="EY36" i="18"/>
  <c r="EX36" i="18"/>
  <c r="EU36" i="18"/>
  <c r="ES36" i="18"/>
  <c r="EQ36" i="18"/>
  <c r="EP36" i="18"/>
  <c r="EO36" i="18"/>
  <c r="EN36" i="18"/>
  <c r="EM36" i="18"/>
  <c r="EL36" i="18"/>
  <c r="EJ36" i="18"/>
  <c r="EI36" i="18"/>
  <c r="EY35" i="18"/>
  <c r="EX35" i="18"/>
  <c r="EU35" i="18"/>
  <c r="ES35" i="18"/>
  <c r="EQ35" i="18"/>
  <c r="EP35" i="18"/>
  <c r="EO35" i="18"/>
  <c r="EN35" i="18"/>
  <c r="EM35" i="18"/>
  <c r="EL35" i="18"/>
  <c r="EJ35" i="18"/>
  <c r="EI35" i="18"/>
  <c r="EY34" i="18"/>
  <c r="EX34" i="18"/>
  <c r="EU34" i="18"/>
  <c r="ES34" i="18"/>
  <c r="EQ34" i="18"/>
  <c r="EP34" i="18"/>
  <c r="EO34" i="18"/>
  <c r="EN34" i="18"/>
  <c r="EM34" i="18"/>
  <c r="EL34" i="18"/>
  <c r="EJ34" i="18"/>
  <c r="EI34" i="18"/>
  <c r="EY33" i="18"/>
  <c r="EX33" i="18"/>
  <c r="EU33" i="18"/>
  <c r="ES33" i="18"/>
  <c r="EQ33" i="18"/>
  <c r="EP33" i="18"/>
  <c r="EO33" i="18"/>
  <c r="EN33" i="18"/>
  <c r="EM33" i="18"/>
  <c r="EL33" i="18"/>
  <c r="EJ33" i="18"/>
  <c r="EI33" i="18"/>
  <c r="EY32" i="18"/>
  <c r="EX32" i="18"/>
  <c r="EU32" i="18"/>
  <c r="ES32" i="18"/>
  <c r="EQ32" i="18"/>
  <c r="EP32" i="18"/>
  <c r="EO32" i="18"/>
  <c r="EN32" i="18"/>
  <c r="EM32" i="18"/>
  <c r="EL32" i="18"/>
  <c r="EJ32" i="18"/>
  <c r="EI32" i="18"/>
  <c r="EY24" i="18"/>
  <c r="EX24" i="18"/>
  <c r="EV24" i="18"/>
  <c r="EU24" i="18"/>
  <c r="ES24" i="18"/>
  <c r="ER24" i="18"/>
  <c r="EQ24" i="18"/>
  <c r="EP24" i="18"/>
  <c r="EO24" i="18"/>
  <c r="EN24" i="18"/>
  <c r="EM24" i="18"/>
  <c r="EL24" i="18"/>
  <c r="EJ24" i="18"/>
  <c r="EY23" i="18"/>
  <c r="EX23" i="18"/>
  <c r="EV23" i="18"/>
  <c r="EU23" i="18"/>
  <c r="ES23" i="18"/>
  <c r="ER23" i="18"/>
  <c r="EQ23" i="18"/>
  <c r="EP23" i="18"/>
  <c r="EO23" i="18"/>
  <c r="EN23" i="18"/>
  <c r="EM23" i="18"/>
  <c r="EL23" i="18"/>
  <c r="EJ23" i="18"/>
  <c r="EY22" i="18"/>
  <c r="EX22" i="18"/>
  <c r="EV22" i="18"/>
  <c r="EU22" i="18"/>
  <c r="ES22" i="18"/>
  <c r="ER22" i="18"/>
  <c r="EQ22" i="18"/>
  <c r="EP22" i="18"/>
  <c r="EO22" i="18"/>
  <c r="EN22" i="18"/>
  <c r="EM22" i="18"/>
  <c r="EL22" i="18"/>
  <c r="EJ22" i="18"/>
  <c r="EI22" i="18"/>
  <c r="EY21" i="18"/>
  <c r="EX21" i="18"/>
  <c r="EV21" i="18"/>
  <c r="EU21" i="18"/>
  <c r="ER21" i="18"/>
  <c r="EQ21" i="18"/>
  <c r="EP21" i="18"/>
  <c r="EO21" i="18"/>
  <c r="EN21" i="18"/>
  <c r="EM21" i="18"/>
  <c r="EL21" i="18"/>
  <c r="EX46" i="18" l="1"/>
  <c r="ER46" i="18"/>
  <c r="EV46" i="18"/>
  <c r="EV47" i="18"/>
  <c r="ER47" i="18"/>
  <c r="EY43" i="18"/>
  <c r="EV43" i="18"/>
  <c r="ER43" i="18"/>
  <c r="EY46" i="18"/>
  <c r="EI53" i="18"/>
  <c r="EJ46" i="18"/>
  <c r="ES60" i="18"/>
  <c r="EZ41" i="18"/>
  <c r="EJ47" i="18"/>
  <c r="EZ40" i="18"/>
  <c r="EZ42" i="18"/>
  <c r="EY53" i="18"/>
  <c r="EX47" i="18"/>
  <c r="EJ53" i="18"/>
  <c r="EQ53" i="18"/>
  <c r="EZ39" i="18"/>
  <c r="EI43" i="18"/>
  <c r="EI47" i="18"/>
  <c r="ES21" i="18"/>
  <c r="EX43" i="18"/>
  <c r="EJ43" i="18"/>
  <c r="ES53" i="18"/>
  <c r="EI21" i="18"/>
  <c r="EY47" i="18"/>
  <c r="EI46" i="18"/>
  <c r="DS148" i="1" l="1"/>
  <c r="DS146" i="1"/>
  <c r="DS23" i="1" l="1"/>
  <c r="ES75" i="1"/>
  <c r="DR23" i="1" l="1"/>
  <c r="ES96" i="1" l="1"/>
  <c r="ES95" i="1"/>
  <c r="ES94" i="1"/>
  <c r="ES93" i="1"/>
  <c r="ES91" i="1"/>
  <c r="ES90" i="1"/>
  <c r="ES89" i="1"/>
  <c r="ES88" i="1"/>
  <c r="ES87" i="1"/>
  <c r="ES86" i="1"/>
  <c r="ES84" i="1"/>
  <c r="ES83" i="1"/>
  <c r="ES82" i="1"/>
  <c r="ES81" i="1"/>
  <c r="ES80" i="1"/>
  <c r="ES79" i="1"/>
  <c r="ES78" i="1"/>
  <c r="ES77" i="1"/>
  <c r="ES76" i="1"/>
  <c r="ES74" i="1"/>
  <c r="ES73" i="1"/>
  <c r="ES72" i="1"/>
  <c r="ES71" i="1"/>
  <c r="ES70" i="1"/>
  <c r="ES69" i="1"/>
  <c r="ES68" i="1"/>
  <c r="ES67" i="1"/>
  <c r="ES66" i="1"/>
  <c r="ES65" i="1"/>
  <c r="ES64" i="1"/>
  <c r="ES63" i="1"/>
  <c r="ES62" i="1"/>
  <c r="ES61" i="1"/>
  <c r="ES60" i="1"/>
  <c r="ES59" i="1"/>
  <c r="ES58" i="1"/>
  <c r="ES57" i="1"/>
  <c r="ES56" i="1"/>
  <c r="ES55" i="1"/>
  <c r="ES54" i="1"/>
  <c r="ES53" i="1"/>
  <c r="ES52" i="1"/>
  <c r="ES51" i="1"/>
  <c r="ES50" i="1"/>
  <c r="ES49" i="1"/>
  <c r="ES48" i="1"/>
  <c r="ES47" i="1"/>
  <c r="ES46" i="1"/>
  <c r="ES45" i="1"/>
  <c r="ES44" i="1"/>
  <c r="ES43" i="1"/>
  <c r="ES42" i="1"/>
  <c r="ES41" i="1"/>
  <c r="ES40" i="1"/>
  <c r="ES39" i="1"/>
  <c r="ES38" i="1"/>
  <c r="ES37" i="1"/>
  <c r="ES36" i="1"/>
  <c r="ES35" i="1"/>
  <c r="ES34" i="1"/>
  <c r="ES33" i="1"/>
  <c r="ES32" i="1"/>
  <c r="ES31" i="1"/>
  <c r="ES30" i="1"/>
  <c r="ES29" i="1"/>
  <c r="ES28" i="1"/>
  <c r="ES27" i="1"/>
  <c r="ES26" i="1"/>
  <c r="ES25" i="1"/>
  <c r="ES24" i="1"/>
  <c r="ES14" i="1"/>
  <c r="ES13" i="1"/>
  <c r="DR92" i="1" l="1"/>
  <c r="ES92" i="1" l="1"/>
  <c r="EL80" i="11"/>
  <c r="EL38" i="11"/>
  <c r="EL39" i="11"/>
  <c r="EL40" i="11"/>
  <c r="EL41" i="11"/>
  <c r="EL42" i="11"/>
  <c r="EL43" i="11"/>
  <c r="EL44" i="11"/>
  <c r="EL45" i="11"/>
  <c r="EL46" i="11"/>
  <c r="EL47" i="11"/>
  <c r="EL48" i="11"/>
  <c r="EL49" i="11"/>
  <c r="EL50" i="11"/>
  <c r="EL51" i="11"/>
  <c r="EL52" i="11"/>
  <c r="EL53" i="11"/>
  <c r="EL54" i="11"/>
  <c r="EL55" i="11"/>
  <c r="EL56" i="11"/>
  <c r="EL57" i="11"/>
  <c r="EL58" i="11"/>
  <c r="EL59" i="11"/>
  <c r="EL60" i="11"/>
  <c r="EL61" i="11"/>
  <c r="EL62" i="11"/>
  <c r="EL63" i="11"/>
  <c r="EL64" i="11"/>
  <c r="EL65" i="11"/>
  <c r="EL66" i="11"/>
  <c r="EL67" i="11"/>
  <c r="EL68" i="11"/>
  <c r="EL69" i="11"/>
  <c r="EL70" i="11"/>
  <c r="EL71" i="11"/>
  <c r="EL72" i="11"/>
  <c r="EL73" i="11"/>
  <c r="EL74" i="11"/>
  <c r="EL75" i="11"/>
  <c r="EL76" i="11"/>
  <c r="EL77" i="11"/>
  <c r="EL78" i="11"/>
  <c r="EL79" i="11"/>
  <c r="EL34" i="11"/>
  <c r="EL35" i="11"/>
  <c r="EL36" i="11"/>
  <c r="EL37" i="11"/>
  <c r="EL81" i="11"/>
  <c r="EL82" i="11"/>
  <c r="EL83" i="11"/>
  <c r="EL84" i="11"/>
  <c r="EL85" i="11"/>
  <c r="EL86" i="11"/>
  <c r="EL87" i="11"/>
  <c r="EL88" i="11"/>
  <c r="EL89" i="11"/>
  <c r="EL90" i="11"/>
  <c r="EL91" i="11"/>
  <c r="EL92" i="11"/>
  <c r="EL93" i="11"/>
  <c r="EL94" i="11"/>
  <c r="EL95" i="11"/>
  <c r="EL97" i="11"/>
  <c r="EL98" i="11"/>
  <c r="EL99" i="11"/>
  <c r="EL100" i="11"/>
  <c r="EL101" i="11"/>
  <c r="EL102" i="11"/>
  <c r="EL103" i="11"/>
  <c r="EL104" i="11"/>
  <c r="EL105" i="11"/>
  <c r="EL106" i="11"/>
  <c r="EL107" i="11"/>
  <c r="EL108" i="11"/>
  <c r="EL109" i="11"/>
  <c r="EL110" i="11"/>
  <c r="EL111" i="11"/>
  <c r="EL112" i="11"/>
  <c r="EL113" i="11"/>
  <c r="EL114" i="11"/>
  <c r="EL33" i="11"/>
  <c r="EM37" i="11" l="1"/>
  <c r="EM36" i="11"/>
  <c r="EM35" i="11"/>
  <c r="EM34" i="11"/>
  <c r="DO23" i="1" l="1"/>
  <c r="DN23" i="1" l="1"/>
  <c r="EN14" i="11" l="1"/>
  <c r="EN15" i="11"/>
  <c r="EN16" i="11"/>
  <c r="EN17" i="11"/>
  <c r="EN18" i="11"/>
  <c r="EN19" i="11"/>
  <c r="EN20" i="11"/>
  <c r="EN21" i="11"/>
  <c r="EN22" i="11"/>
  <c r="EN23" i="11"/>
  <c r="EN24" i="11"/>
  <c r="EN25" i="11"/>
  <c r="EN26" i="11"/>
  <c r="EN27" i="11"/>
  <c r="EN28" i="11"/>
  <c r="EN29" i="11"/>
  <c r="EN30" i="11"/>
  <c r="EN31" i="11"/>
  <c r="EN32" i="11"/>
  <c r="EN33" i="11"/>
  <c r="EN34" i="11"/>
  <c r="EN35" i="11"/>
  <c r="EN36" i="11"/>
  <c r="EN37" i="11"/>
  <c r="EN38" i="11"/>
  <c r="EN39" i="11"/>
  <c r="EN40" i="11"/>
  <c r="EN41" i="11"/>
  <c r="EN42" i="11"/>
  <c r="EN43" i="11"/>
  <c r="EN44" i="11"/>
  <c r="EN46" i="11"/>
  <c r="EN47" i="11"/>
  <c r="EN48" i="11"/>
  <c r="EN49" i="11"/>
  <c r="EN50" i="11"/>
  <c r="EN51" i="11"/>
  <c r="EN52" i="11"/>
  <c r="EN53" i="11"/>
  <c r="EN54" i="11"/>
  <c r="EN55" i="11"/>
  <c r="EN56" i="11"/>
  <c r="EN57" i="11"/>
  <c r="EN58" i="11"/>
  <c r="EN59" i="11"/>
  <c r="EN60" i="11"/>
  <c r="EN61" i="11"/>
  <c r="EN65" i="11"/>
  <c r="EN66" i="11"/>
  <c r="EN67" i="11"/>
  <c r="EN68" i="11"/>
  <c r="EN69" i="11"/>
  <c r="EN70" i="11"/>
  <c r="EN71" i="11"/>
  <c r="EN72" i="11"/>
  <c r="EN73" i="11"/>
  <c r="EN74" i="11"/>
  <c r="EN75" i="11"/>
  <c r="EN76" i="11"/>
  <c r="EN77" i="11"/>
  <c r="EN78" i="11"/>
  <c r="EN79" i="11"/>
  <c r="EN80" i="11"/>
  <c r="EN81" i="11"/>
  <c r="EN82" i="11"/>
  <c r="EN83" i="11"/>
  <c r="EN84" i="11"/>
  <c r="EN85" i="11"/>
  <c r="EN86" i="11"/>
  <c r="EN87" i="11"/>
  <c r="EN88" i="11"/>
  <c r="EN89" i="11"/>
  <c r="EN90" i="11"/>
  <c r="EN91" i="11"/>
  <c r="EN92" i="11"/>
  <c r="EN93" i="11"/>
  <c r="EN94" i="11"/>
  <c r="EN95" i="11"/>
  <c r="EN99" i="11"/>
  <c r="EN100" i="11"/>
  <c r="EN101" i="11"/>
  <c r="EN103" i="11"/>
  <c r="EN104" i="11"/>
  <c r="EN105" i="11"/>
  <c r="EN106" i="11"/>
  <c r="EN107" i="11"/>
  <c r="EN108" i="11"/>
  <c r="EN109" i="11"/>
  <c r="EN110" i="11"/>
  <c r="EN111" i="11"/>
  <c r="EN112" i="11"/>
  <c r="EN113" i="11"/>
  <c r="EN114" i="11"/>
  <c r="EN13" i="11"/>
  <c r="ER23" i="1"/>
  <c r="ER24" i="1"/>
  <c r="ER25" i="1"/>
  <c r="ER26" i="1"/>
  <c r="ER27" i="1"/>
  <c r="ER28" i="1"/>
  <c r="ER29" i="1"/>
  <c r="ER30" i="1"/>
  <c r="ER31" i="1"/>
  <c r="ER32" i="1"/>
  <c r="ER33" i="1"/>
  <c r="ER34" i="1"/>
  <c r="ER35" i="1"/>
  <c r="ER36" i="1"/>
  <c r="ER37" i="1"/>
  <c r="ER38" i="1"/>
  <c r="ER39" i="1"/>
  <c r="ER40" i="1"/>
  <c r="ER41" i="1"/>
  <c r="ER42" i="1"/>
  <c r="ER43" i="1"/>
  <c r="ER44" i="1"/>
  <c r="ER45" i="1"/>
  <c r="ER46" i="1"/>
  <c r="ER47" i="1"/>
  <c r="ER48" i="1"/>
  <c r="ER49" i="1"/>
  <c r="ER50" i="1"/>
  <c r="ER51" i="1"/>
  <c r="ER52" i="1"/>
  <c r="EQ14" i="1"/>
  <c r="EQ23" i="1"/>
  <c r="EQ24" i="1"/>
  <c r="EQ25" i="1"/>
  <c r="EQ26" i="1"/>
  <c r="EQ27" i="1"/>
  <c r="EQ28" i="1"/>
  <c r="EQ29" i="1"/>
  <c r="EQ30" i="1"/>
  <c r="EQ31" i="1"/>
  <c r="EQ32" i="1"/>
  <c r="EQ33" i="1"/>
  <c r="EQ34" i="1"/>
  <c r="EQ35" i="1"/>
  <c r="EQ36" i="1"/>
  <c r="EQ37" i="1"/>
  <c r="EQ38" i="1"/>
  <c r="EQ39" i="1"/>
  <c r="EQ40" i="1"/>
  <c r="EQ41" i="1"/>
  <c r="EQ42" i="1"/>
  <c r="EQ43" i="1"/>
  <c r="EQ44" i="1"/>
  <c r="EQ45" i="1"/>
  <c r="EQ46" i="1"/>
  <c r="EQ47" i="1"/>
  <c r="EP14" i="1"/>
  <c r="EP23" i="1"/>
  <c r="EP24" i="1"/>
  <c r="EP25" i="1"/>
  <c r="EP26" i="1"/>
  <c r="EP27" i="1"/>
  <c r="EP28" i="1"/>
  <c r="EP29" i="1"/>
  <c r="EP30" i="1"/>
  <c r="EP31" i="1"/>
  <c r="EP32" i="1"/>
  <c r="EP33" i="1"/>
  <c r="EP34" i="1"/>
  <c r="EP35" i="1"/>
  <c r="EP36" i="1"/>
  <c r="EP37" i="1"/>
  <c r="EP38" i="1"/>
  <c r="EP39" i="1"/>
  <c r="EP41" i="1"/>
  <c r="EP42" i="1"/>
  <c r="EP43" i="1"/>
  <c r="EP44" i="1"/>
  <c r="EP45" i="1"/>
  <c r="EP46" i="1"/>
  <c r="EP47" i="1"/>
  <c r="EO14" i="1"/>
  <c r="EO23" i="1"/>
  <c r="EO24" i="1"/>
  <c r="EO25" i="1"/>
  <c r="EO26" i="1"/>
  <c r="EO27" i="1"/>
  <c r="EO28" i="1"/>
  <c r="EO29" i="1"/>
  <c r="EO30" i="1"/>
  <c r="EO31" i="1"/>
  <c r="EO32" i="1"/>
  <c r="EO33" i="1"/>
  <c r="EO34" i="1"/>
  <c r="EO35" i="1"/>
  <c r="EO36" i="1"/>
  <c r="EO37" i="1"/>
  <c r="EO38" i="1"/>
  <c r="EO39" i="1"/>
  <c r="EO41" i="1"/>
  <c r="EO42" i="1"/>
  <c r="EO43" i="1"/>
  <c r="EO44" i="1"/>
  <c r="EO45" i="1"/>
  <c r="EO46" i="1"/>
  <c r="EO47" i="1"/>
  <c r="EN14" i="1"/>
  <c r="EN23" i="1"/>
  <c r="EN24" i="1"/>
  <c r="EN25" i="1"/>
  <c r="EN26" i="1"/>
  <c r="EN27" i="1"/>
  <c r="EN28" i="1"/>
  <c r="EN29" i="1"/>
  <c r="EN30" i="1"/>
  <c r="EN31" i="1"/>
  <c r="EN32" i="1"/>
  <c r="EN33" i="1"/>
  <c r="EN34" i="1"/>
  <c r="EN35" i="1"/>
  <c r="EN36" i="1"/>
  <c r="EN37" i="1"/>
  <c r="EN38" i="1"/>
  <c r="EN39" i="1"/>
  <c r="EN41" i="1"/>
  <c r="EN42" i="1"/>
  <c r="EN43" i="1"/>
  <c r="EN44" i="1"/>
  <c r="EN45" i="1"/>
  <c r="EN46" i="1"/>
  <c r="EN47" i="1"/>
  <c r="EN13" i="1"/>
  <c r="EM14" i="1"/>
  <c r="EM23" i="1"/>
  <c r="EM24" i="1"/>
  <c r="EM25" i="1"/>
  <c r="EM26" i="1"/>
  <c r="EM27" i="1"/>
  <c r="EM28" i="1"/>
  <c r="EM29" i="1"/>
  <c r="EM30" i="1"/>
  <c r="EM31" i="1"/>
  <c r="EM32" i="1"/>
  <c r="EM33" i="1"/>
  <c r="EM34" i="1"/>
  <c r="EM35" i="1"/>
  <c r="EM36" i="1"/>
  <c r="EM37" i="1"/>
  <c r="EM38" i="1"/>
  <c r="EM39" i="1"/>
  <c r="EM41" i="1"/>
  <c r="EM42" i="1"/>
  <c r="EM43" i="1"/>
  <c r="EM44" i="1"/>
  <c r="EM45" i="1"/>
  <c r="EM46" i="1"/>
  <c r="EM47" i="1"/>
  <c r="EM13" i="1"/>
  <c r="EJ24" i="1"/>
  <c r="EJ25" i="1"/>
  <c r="EJ26" i="1"/>
  <c r="EJ27" i="1"/>
  <c r="EJ28" i="1"/>
  <c r="EJ29" i="1"/>
  <c r="EJ30" i="1"/>
  <c r="EJ31" i="1"/>
  <c r="EJ32" i="1"/>
  <c r="EJ33" i="1"/>
  <c r="EJ34" i="1"/>
  <c r="EJ35" i="1"/>
  <c r="EJ36" i="1"/>
  <c r="EJ37" i="1"/>
  <c r="EJ38" i="1"/>
  <c r="EJ39" i="1"/>
  <c r="EJ41" i="1"/>
  <c r="EJ42" i="1"/>
  <c r="EJ43" i="1"/>
  <c r="EJ44" i="1"/>
  <c r="EJ45" i="1"/>
  <c r="EJ46" i="1"/>
  <c r="EJ47" i="1"/>
  <c r="EJ48" i="1"/>
  <c r="EJ49" i="1"/>
  <c r="EJ50" i="1"/>
  <c r="EJ51" i="1"/>
  <c r="EJ52" i="1"/>
  <c r="EJ53" i="1"/>
  <c r="EJ54" i="1"/>
  <c r="EJ55" i="1"/>
  <c r="EJ56" i="1"/>
  <c r="EJ57" i="1"/>
  <c r="EJ58" i="1"/>
  <c r="EJ59" i="1"/>
  <c r="EJ60" i="1"/>
  <c r="EJ61" i="1"/>
  <c r="EJ62" i="1"/>
  <c r="EJ63" i="1"/>
  <c r="EJ67" i="1"/>
  <c r="EJ68" i="1"/>
  <c r="EJ69" i="1"/>
  <c r="EJ70" i="1"/>
  <c r="EJ71" i="1"/>
  <c r="EJ72" i="1"/>
  <c r="EJ73" i="1"/>
  <c r="EJ74" i="1"/>
  <c r="EJ76" i="1"/>
  <c r="EJ77" i="1"/>
  <c r="EJ80" i="1"/>
  <c r="EJ81" i="1"/>
  <c r="EJ82" i="1"/>
  <c r="EJ83" i="1"/>
  <c r="EJ84" i="1"/>
  <c r="EJ86" i="1"/>
  <c r="EJ87" i="1"/>
  <c r="EJ88" i="1"/>
  <c r="EJ89" i="1"/>
  <c r="EJ90" i="1"/>
  <c r="EJ91" i="1"/>
  <c r="EJ92" i="1"/>
  <c r="EJ93" i="1"/>
  <c r="EJ94" i="1"/>
  <c r="EJ95" i="1"/>
  <c r="EJ96" i="1"/>
  <c r="EI96" i="1"/>
  <c r="EI95" i="1"/>
  <c r="EI94" i="1"/>
  <c r="EI93" i="1"/>
  <c r="EI92" i="1"/>
  <c r="EI91" i="1"/>
  <c r="EI90" i="1"/>
  <c r="EI89" i="1"/>
  <c r="EI88" i="1"/>
  <c r="EI87" i="1"/>
  <c r="EI86" i="1"/>
  <c r="EI84" i="1"/>
  <c r="EI83" i="1"/>
  <c r="EI82" i="1"/>
  <c r="EI81" i="1"/>
  <c r="EI80" i="1"/>
  <c r="EI77" i="1"/>
  <c r="EI76" i="1"/>
  <c r="EI74" i="1"/>
  <c r="EI73" i="1"/>
  <c r="EI72" i="1"/>
  <c r="EI71" i="1"/>
  <c r="EI70" i="1"/>
  <c r="EI69" i="1"/>
  <c r="EI68" i="1"/>
  <c r="EI67" i="1"/>
  <c r="EI63" i="1"/>
  <c r="EI62" i="1"/>
  <c r="EI61" i="1"/>
  <c r="EI60" i="1"/>
  <c r="EI59" i="1"/>
  <c r="EI58" i="1"/>
  <c r="EI57" i="1"/>
  <c r="EI56" i="1"/>
  <c r="EI55" i="1"/>
  <c r="EI54" i="1"/>
  <c r="EI53" i="1"/>
  <c r="EI52" i="1"/>
  <c r="EI51" i="1"/>
  <c r="EI50" i="1"/>
  <c r="EI49" i="1"/>
  <c r="EI48" i="1"/>
  <c r="EI47" i="1"/>
  <c r="EI46" i="1"/>
  <c r="EI45" i="1"/>
  <c r="EI44" i="1"/>
  <c r="EI43" i="1"/>
  <c r="EI42" i="1"/>
  <c r="EI41" i="1"/>
  <c r="EI39" i="1"/>
  <c r="EI38" i="1"/>
  <c r="EI37" i="1"/>
  <c r="EI36" i="1"/>
  <c r="EI35" i="1"/>
  <c r="EI34" i="1"/>
  <c r="EI33" i="1"/>
  <c r="EI32" i="1"/>
  <c r="EI31" i="1"/>
  <c r="EI30" i="1"/>
  <c r="EI29" i="1"/>
  <c r="EI28" i="1"/>
  <c r="EI27" i="1"/>
  <c r="EI26" i="1"/>
  <c r="EI25" i="1"/>
  <c r="EI24" i="1"/>
  <c r="EU13" i="1"/>
  <c r="DM23" i="1"/>
  <c r="DL23" i="1"/>
  <c r="ES23" i="1" l="1"/>
  <c r="EI23" i="1"/>
  <c r="EJ23" i="1"/>
  <c r="EI14" i="11"/>
  <c r="EI24" i="11"/>
  <c r="EI20" i="11"/>
  <c r="EI21" i="11"/>
  <c r="EI15" i="11"/>
  <c r="EI17" i="11"/>
  <c r="EI19" i="11"/>
  <c r="EI16" i="11"/>
  <c r="EI22" i="11"/>
  <c r="EI18" i="11"/>
  <c r="EI23" i="11"/>
  <c r="EI25" i="11"/>
  <c r="EY96" i="1" l="1"/>
  <c r="EY95" i="1"/>
  <c r="EY94" i="1"/>
  <c r="EY93" i="1"/>
  <c r="EY92" i="1"/>
  <c r="EY91" i="1"/>
  <c r="EY90" i="1"/>
  <c r="EY89" i="1"/>
  <c r="EY88" i="1"/>
  <c r="EY87" i="1"/>
  <c r="EY86" i="1"/>
  <c r="EY84" i="1"/>
  <c r="EY83" i="1"/>
  <c r="EY82" i="1"/>
  <c r="EY81" i="1"/>
  <c r="EY80" i="1"/>
  <c r="EY77" i="1"/>
  <c r="EY76" i="1"/>
  <c r="EY74" i="1"/>
  <c r="EY73" i="1"/>
  <c r="EY72" i="1"/>
  <c r="EY71" i="1"/>
  <c r="EY70" i="1"/>
  <c r="EY69" i="1"/>
  <c r="EY68" i="1"/>
  <c r="EY67" i="1"/>
  <c r="EY63" i="1"/>
  <c r="EY62" i="1"/>
  <c r="EY61" i="1"/>
  <c r="EY60" i="1"/>
  <c r="EY59" i="1"/>
  <c r="EY58" i="1"/>
  <c r="EY57" i="1"/>
  <c r="EY56" i="1"/>
  <c r="EY55" i="1"/>
  <c r="EY54" i="1"/>
  <c r="EY53" i="1"/>
  <c r="EY52" i="1"/>
  <c r="EY51" i="1"/>
  <c r="EY50" i="1"/>
  <c r="EY49" i="1"/>
  <c r="EY48" i="1"/>
  <c r="EY47" i="1"/>
  <c r="EY46" i="1"/>
  <c r="EY45" i="1"/>
  <c r="EY44" i="1"/>
  <c r="EY43" i="1"/>
  <c r="EY42" i="1"/>
  <c r="EY41" i="1"/>
  <c r="EY39" i="1"/>
  <c r="EY38" i="1"/>
  <c r="EY37" i="1"/>
  <c r="EY36" i="1"/>
  <c r="EY35" i="1"/>
  <c r="EY34" i="1"/>
  <c r="EY33" i="1"/>
  <c r="EY32" i="1"/>
  <c r="EY31" i="1"/>
  <c r="EY30" i="1"/>
  <c r="EY29" i="1"/>
  <c r="EY28" i="1"/>
  <c r="EY27" i="1"/>
  <c r="EY26" i="1"/>
  <c r="EY25" i="1"/>
  <c r="EY24" i="1"/>
  <c r="EY23" i="1"/>
  <c r="AH40" i="16"/>
  <c r="AH41" i="16"/>
  <c r="AH42" i="16"/>
  <c r="AH43" i="16"/>
  <c r="AH44" i="16"/>
  <c r="AH45" i="16"/>
  <c r="AH46" i="16"/>
  <c r="AH47" i="16"/>
  <c r="AH48" i="16"/>
  <c r="AH39" i="16"/>
  <c r="AH50" i="16" l="1"/>
  <c r="EV33" i="11" l="1"/>
  <c r="EK21" i="11"/>
  <c r="EK14" i="11" l="1"/>
  <c r="EK15" i="11"/>
  <c r="EK16" i="11"/>
  <c r="EK17" i="11"/>
  <c r="EK18" i="11"/>
  <c r="EK19" i="11"/>
  <c r="EK20" i="11"/>
  <c r="EK34" i="11"/>
  <c r="EK35" i="11"/>
  <c r="EK36" i="11"/>
  <c r="EK37" i="11"/>
  <c r="EK92" i="11" l="1"/>
  <c r="EK81" i="11"/>
  <c r="EK95" i="11"/>
  <c r="EK93" i="11"/>
  <c r="EK89" i="11"/>
  <c r="EK86" i="11"/>
  <c r="EK87" i="11"/>
  <c r="EK91" i="11"/>
  <c r="EK85" i="11"/>
  <c r="EK90" i="11"/>
  <c r="EK84" i="11"/>
  <c r="EK83" i="11"/>
  <c r="EK94" i="11"/>
  <c r="EK88" i="11"/>
  <c r="EK82" i="11"/>
  <c r="EI91" i="11" l="1"/>
  <c r="EI93" i="11" l="1"/>
  <c r="EI85" i="11"/>
  <c r="EI84" i="11"/>
  <c r="EI81" i="11"/>
  <c r="EI86" i="11"/>
  <c r="EI95" i="11"/>
  <c r="EI83" i="11"/>
  <c r="EI94" i="11"/>
  <c r="EI82" i="11"/>
  <c r="EI92" i="11"/>
  <c r="EI90" i="11"/>
  <c r="EI89" i="11"/>
  <c r="EI88" i="11"/>
  <c r="EI87" i="11"/>
  <c r="DF96" i="11"/>
  <c r="EV20" i="11" l="1"/>
  <c r="EV15" i="11"/>
  <c r="EV16" i="11"/>
  <c r="EV17" i="11"/>
  <c r="EV18" i="11"/>
  <c r="EV19" i="11"/>
  <c r="EV21" i="11"/>
  <c r="EV14" i="11"/>
  <c r="EV13" i="11"/>
  <c r="EU14" i="11" l="1"/>
  <c r="EU15" i="11"/>
  <c r="EU16" i="11"/>
  <c r="EU17" i="11"/>
  <c r="EU18" i="11"/>
  <c r="EU19" i="11"/>
  <c r="EU20" i="11"/>
  <c r="EU21" i="11"/>
  <c r="EU22" i="11"/>
  <c r="EU23" i="11"/>
  <c r="EU26" i="11"/>
  <c r="EU27" i="11"/>
  <c r="EU28" i="11"/>
  <c r="EU29" i="11"/>
  <c r="EU30" i="11"/>
  <c r="EU31" i="11"/>
  <c r="EU32" i="11"/>
  <c r="EU33" i="11"/>
  <c r="EU34" i="11"/>
  <c r="EU35" i="11"/>
  <c r="EU36" i="11"/>
  <c r="EU37" i="11"/>
  <c r="EU38" i="11"/>
  <c r="EU39" i="11"/>
  <c r="EU40" i="11"/>
  <c r="EU41" i="11"/>
  <c r="EU42" i="11"/>
  <c r="EU43" i="11"/>
  <c r="EU44" i="11"/>
  <c r="EU46" i="11"/>
  <c r="EU47" i="11"/>
  <c r="EU48" i="11"/>
  <c r="EU49" i="11"/>
  <c r="EU50" i="11"/>
  <c r="EU51" i="11"/>
  <c r="EU52" i="11"/>
  <c r="EU53" i="11"/>
  <c r="EU54" i="11"/>
  <c r="EU55" i="11"/>
  <c r="EU56" i="11"/>
  <c r="EU57" i="11"/>
  <c r="EU58" i="11"/>
  <c r="EU59" i="11"/>
  <c r="EU60" i="11"/>
  <c r="EU61" i="11"/>
  <c r="EU65" i="11"/>
  <c r="EU66" i="11"/>
  <c r="EU67" i="11"/>
  <c r="EU68" i="11"/>
  <c r="EU69" i="11"/>
  <c r="EU70" i="11"/>
  <c r="EU71" i="11"/>
  <c r="EU72" i="11"/>
  <c r="EU73" i="11"/>
  <c r="EU74" i="11"/>
  <c r="EU75" i="11"/>
  <c r="EU76" i="11"/>
  <c r="EU77" i="11"/>
  <c r="EU78" i="11"/>
  <c r="EU79" i="11"/>
  <c r="EU80" i="11"/>
  <c r="EU81" i="11"/>
  <c r="EU82" i="11"/>
  <c r="EU83" i="11"/>
  <c r="EU84" i="11"/>
  <c r="EU85" i="11"/>
  <c r="EU86" i="11"/>
  <c r="EU87" i="11"/>
  <c r="EU88" i="11"/>
  <c r="EU89" i="11"/>
  <c r="EU90" i="11"/>
  <c r="EU91" i="11"/>
  <c r="EU92" i="11"/>
  <c r="EU93" i="11"/>
  <c r="EU94" i="11"/>
  <c r="EU95" i="11"/>
  <c r="EU99" i="11"/>
  <c r="EU100" i="11"/>
  <c r="EU101" i="11"/>
  <c r="EU102" i="11"/>
  <c r="EU103" i="11"/>
  <c r="EU104" i="11"/>
  <c r="EU105" i="11"/>
  <c r="EU106" i="11"/>
  <c r="EU107" i="11"/>
  <c r="EU108" i="11"/>
  <c r="EU109" i="11"/>
  <c r="EU110" i="11"/>
  <c r="EU111" i="11"/>
  <c r="EU112" i="11"/>
  <c r="EU113" i="11"/>
  <c r="EU114" i="11"/>
  <c r="ET14" i="11"/>
  <c r="ET15" i="11"/>
  <c r="ET16" i="11"/>
  <c r="ET17" i="11"/>
  <c r="ET18" i="11"/>
  <c r="ET19" i="11"/>
  <c r="ET20" i="11"/>
  <c r="ET21" i="11"/>
  <c r="ET22" i="11"/>
  <c r="ET23" i="11"/>
  <c r="ET24" i="11"/>
  <c r="ET25" i="11"/>
  <c r="ET26" i="11"/>
  <c r="ET27" i="11"/>
  <c r="ET28" i="11"/>
  <c r="ET29" i="11"/>
  <c r="ET30" i="11"/>
  <c r="ET31" i="11"/>
  <c r="ET32" i="11"/>
  <c r="ET33" i="11"/>
  <c r="ET34" i="11"/>
  <c r="ET35" i="11"/>
  <c r="ET36" i="11"/>
  <c r="ET37" i="11"/>
  <c r="ET38" i="11"/>
  <c r="ET39" i="11"/>
  <c r="ET40" i="11"/>
  <c r="ET41" i="11"/>
  <c r="ET42" i="11"/>
  <c r="ET43" i="11"/>
  <c r="ET44" i="11"/>
  <c r="ET45" i="11"/>
  <c r="ET46" i="11"/>
  <c r="ET47" i="11"/>
  <c r="ET48" i="11"/>
  <c r="ET49" i="11"/>
  <c r="ET50" i="11"/>
  <c r="ET51" i="11"/>
  <c r="ET52" i="11"/>
  <c r="ET53" i="11"/>
  <c r="ET54" i="11"/>
  <c r="ET55" i="11"/>
  <c r="ET56" i="11"/>
  <c r="ET57" i="11"/>
  <c r="ET58" i="11"/>
  <c r="ET59" i="11"/>
  <c r="ET60" i="11"/>
  <c r="ET61" i="11"/>
  <c r="ET65" i="11"/>
  <c r="ET66" i="11"/>
  <c r="ET67" i="11"/>
  <c r="ET68" i="11"/>
  <c r="ET69" i="11"/>
  <c r="ET70" i="11"/>
  <c r="ET71" i="11"/>
  <c r="ET72" i="11"/>
  <c r="ET73" i="11"/>
  <c r="ET74" i="11"/>
  <c r="ET75" i="11"/>
  <c r="ET76" i="11"/>
  <c r="ET77" i="11"/>
  <c r="ET78" i="11"/>
  <c r="ET79" i="11"/>
  <c r="ET80" i="11"/>
  <c r="ET81" i="11"/>
  <c r="ET82" i="11"/>
  <c r="ET83" i="11"/>
  <c r="ET84" i="11"/>
  <c r="ET85" i="11"/>
  <c r="ET86" i="11"/>
  <c r="ET87" i="11"/>
  <c r="ET88" i="11"/>
  <c r="ET89" i="11"/>
  <c r="ET90" i="11"/>
  <c r="ET91" i="11"/>
  <c r="ET92" i="11"/>
  <c r="ET93" i="11"/>
  <c r="ET94" i="11"/>
  <c r="ET95" i="11"/>
  <c r="ET97" i="11"/>
  <c r="ET98" i="11"/>
  <c r="ET99" i="11"/>
  <c r="ET100" i="11"/>
  <c r="ET101" i="11"/>
  <c r="ET103" i="11"/>
  <c r="ET104" i="11"/>
  <c r="ET105" i="11"/>
  <c r="ET106" i="11"/>
  <c r="ET107" i="11"/>
  <c r="ET108" i="11"/>
  <c r="ET109" i="11"/>
  <c r="ET110" i="11"/>
  <c r="ET111" i="11"/>
  <c r="ET112" i="11"/>
  <c r="ET113" i="11"/>
  <c r="ET114" i="11"/>
  <c r="EO14" i="11" l="1"/>
  <c r="EP14" i="11"/>
  <c r="EQ14" i="11"/>
  <c r="ER14" i="11"/>
  <c r="ES14" i="11"/>
  <c r="EO15" i="11"/>
  <c r="EP15" i="11"/>
  <c r="EQ15" i="11"/>
  <c r="ER15" i="11"/>
  <c r="ES15" i="11"/>
  <c r="EO16" i="11"/>
  <c r="EP16" i="11"/>
  <c r="EQ16" i="11"/>
  <c r="ER16" i="11"/>
  <c r="ES16" i="11"/>
  <c r="EO17" i="11"/>
  <c r="EP17" i="11"/>
  <c r="EQ17" i="11"/>
  <c r="ER17" i="11"/>
  <c r="ES17" i="11"/>
  <c r="EO18" i="11"/>
  <c r="EP18" i="11"/>
  <c r="EQ18" i="11"/>
  <c r="ER18" i="11"/>
  <c r="ES18" i="11"/>
  <c r="EO19" i="11"/>
  <c r="EP19" i="11"/>
  <c r="EQ19" i="11"/>
  <c r="ER19" i="11"/>
  <c r="ES19" i="11"/>
  <c r="EO20" i="11"/>
  <c r="EP20" i="11"/>
  <c r="EQ20" i="11"/>
  <c r="ER20" i="11"/>
  <c r="ES20" i="11"/>
  <c r="EO21" i="11"/>
  <c r="EP21" i="11"/>
  <c r="EQ21" i="11"/>
  <c r="ER21" i="11"/>
  <c r="ES21" i="11"/>
  <c r="EV42" i="11" l="1"/>
  <c r="EV43" i="11"/>
  <c r="EV44" i="11"/>
  <c r="ES43" i="11" l="1"/>
  <c r="ER43" i="11"/>
  <c r="EO40" i="11" l="1"/>
  <c r="EP40" i="11"/>
  <c r="EQ40" i="11"/>
  <c r="ER40" i="11"/>
  <c r="ES40" i="11"/>
  <c r="EV40" i="11"/>
  <c r="EO41" i="11"/>
  <c r="EP41" i="11"/>
  <c r="EQ41" i="11"/>
  <c r="ER41" i="11"/>
  <c r="ES41" i="11"/>
  <c r="EV41" i="11"/>
  <c r="BY45" i="11"/>
  <c r="BZ45" i="11"/>
  <c r="CA45" i="11"/>
  <c r="CB45" i="11"/>
  <c r="CC45" i="11"/>
  <c r="CD45" i="11"/>
  <c r="CE45" i="11"/>
  <c r="CF45" i="11"/>
  <c r="CG45" i="11"/>
  <c r="CH45" i="11"/>
  <c r="CI45" i="11"/>
  <c r="CJ45" i="11"/>
  <c r="CK45" i="11"/>
  <c r="CL45" i="11"/>
  <c r="CM45" i="11"/>
  <c r="CN45" i="11"/>
  <c r="CO45" i="11"/>
  <c r="CP45" i="11"/>
  <c r="CQ45" i="11"/>
  <c r="CR45" i="11"/>
  <c r="CS45" i="11"/>
  <c r="CT45" i="11"/>
  <c r="CU45" i="11"/>
  <c r="CV45" i="11"/>
  <c r="CW45" i="11"/>
  <c r="CX45" i="11"/>
  <c r="CY45" i="11"/>
  <c r="CZ45" i="11"/>
  <c r="DA45" i="11"/>
  <c r="DB45" i="11"/>
  <c r="DC45" i="11"/>
  <c r="DD45" i="11"/>
  <c r="DE45" i="11"/>
  <c r="BX45" i="11"/>
  <c r="EJ45" i="11" s="1"/>
  <c r="EN45" i="11" l="1"/>
  <c r="EU45" i="11"/>
  <c r="G129" i="15" l="1"/>
  <c r="E140" i="15"/>
  <c r="E131" i="15"/>
  <c r="G128" i="15"/>
  <c r="C48" i="15"/>
  <c r="C47" i="15"/>
  <c r="C46" i="15"/>
  <c r="J29" i="15"/>
  <c r="J28" i="15"/>
  <c r="N22" i="15"/>
  <c r="N10" i="15"/>
  <c r="F10" i="15"/>
  <c r="C48" i="14"/>
  <c r="C47" i="14"/>
  <c r="C46" i="14"/>
  <c r="J29" i="14"/>
  <c r="J28" i="14"/>
  <c r="N22" i="14"/>
  <c r="N10" i="14"/>
  <c r="F10" i="14"/>
  <c r="C48" i="13" l="1"/>
  <c r="C47" i="13"/>
  <c r="C46" i="13"/>
  <c r="J29" i="13"/>
  <c r="J28" i="13"/>
  <c r="N22" i="13"/>
  <c r="N10" i="13"/>
  <c r="F10" i="13"/>
  <c r="D96" i="11" l="1"/>
  <c r="E96" i="11"/>
  <c r="F96" i="11"/>
  <c r="G96" i="11"/>
  <c r="H96" i="11"/>
  <c r="I96" i="11"/>
  <c r="J96" i="11"/>
  <c r="K96" i="11"/>
  <c r="L96" i="11"/>
  <c r="M96" i="11"/>
  <c r="N96" i="11"/>
  <c r="O96" i="11"/>
  <c r="C96" i="11"/>
  <c r="EO95" i="11"/>
  <c r="EP95" i="11"/>
  <c r="EO94" i="11"/>
  <c r="EP94" i="11"/>
  <c r="Q96" i="11"/>
  <c r="R96" i="11"/>
  <c r="S96" i="11"/>
  <c r="T96" i="11"/>
  <c r="U96" i="11"/>
  <c r="V96" i="11"/>
  <c r="W96" i="11"/>
  <c r="X96" i="11"/>
  <c r="Y96" i="11"/>
  <c r="Z96" i="11"/>
  <c r="AA96" i="11"/>
  <c r="P96" i="11"/>
  <c r="EQ94" i="11"/>
  <c r="EQ95" i="11"/>
  <c r="EQ93" i="11"/>
  <c r="AC96" i="11" l="1"/>
  <c r="AD96" i="11"/>
  <c r="AE96" i="11"/>
  <c r="AF96" i="11"/>
  <c r="AG96" i="11"/>
  <c r="AH96" i="11"/>
  <c r="AI96" i="11"/>
  <c r="AJ96" i="11"/>
  <c r="AK96" i="11"/>
  <c r="AL96" i="11"/>
  <c r="AM96" i="11"/>
  <c r="AB96" i="11"/>
  <c r="EJ96" i="11" s="1"/>
  <c r="ER94" i="11"/>
  <c r="ER95" i="11"/>
  <c r="AO96" i="11"/>
  <c r="AP96" i="11"/>
  <c r="AQ96" i="11"/>
  <c r="AR96" i="11"/>
  <c r="AS96" i="11"/>
  <c r="AT96" i="11"/>
  <c r="AU96" i="11"/>
  <c r="AV96" i="11"/>
  <c r="AW96" i="11"/>
  <c r="AX96" i="11"/>
  <c r="AY96" i="11"/>
  <c r="AN96" i="11"/>
  <c r="ES94" i="11"/>
  <c r="ES95" i="11"/>
  <c r="ES93" i="11"/>
  <c r="BA96" i="11"/>
  <c r="BB96" i="11"/>
  <c r="BC96" i="11"/>
  <c r="BD96" i="11"/>
  <c r="BE96" i="11"/>
  <c r="BF96" i="11"/>
  <c r="BG96" i="11"/>
  <c r="BH96" i="11"/>
  <c r="BI96" i="11"/>
  <c r="BJ96" i="11"/>
  <c r="BK96" i="11"/>
  <c r="BL96" i="11"/>
  <c r="BM96" i="11"/>
  <c r="BN96" i="11"/>
  <c r="BO96" i="11"/>
  <c r="BP96" i="11"/>
  <c r="BQ96" i="11"/>
  <c r="BR96" i="11"/>
  <c r="BS96" i="11"/>
  <c r="BT96" i="11"/>
  <c r="BU96" i="11"/>
  <c r="BV96" i="11"/>
  <c r="BW96" i="11"/>
  <c r="BX96" i="11"/>
  <c r="BY96" i="11"/>
  <c r="BZ96" i="11"/>
  <c r="CA96" i="11"/>
  <c r="CB96" i="11"/>
  <c r="CC96" i="11"/>
  <c r="CD96" i="11"/>
  <c r="CE96" i="11"/>
  <c r="CF96" i="11"/>
  <c r="CG96" i="11"/>
  <c r="CH96" i="11"/>
  <c r="CI96" i="11"/>
  <c r="CJ96" i="11"/>
  <c r="CK96" i="11"/>
  <c r="CL96" i="11"/>
  <c r="CM96" i="11"/>
  <c r="CN96" i="11"/>
  <c r="CO96" i="11"/>
  <c r="CP96" i="11"/>
  <c r="CQ96" i="11"/>
  <c r="CR96" i="11"/>
  <c r="CS96" i="11"/>
  <c r="CT96" i="11"/>
  <c r="CU96" i="11"/>
  <c r="CV96" i="11"/>
  <c r="CW96" i="11"/>
  <c r="CX96" i="11"/>
  <c r="CY96" i="11"/>
  <c r="CZ96" i="11"/>
  <c r="DA96" i="11"/>
  <c r="DB96" i="11"/>
  <c r="DC96" i="11"/>
  <c r="DD96" i="11"/>
  <c r="DI96" i="11"/>
  <c r="DN96" i="11"/>
  <c r="DO96" i="11"/>
  <c r="DP96" i="11"/>
  <c r="DQ96" i="11"/>
  <c r="DS96" i="11"/>
  <c r="AZ96" i="11"/>
  <c r="EK96" i="11" l="1"/>
  <c r="EL96" i="11"/>
  <c r="EN96" i="11"/>
  <c r="EU96" i="11"/>
  <c r="ET96" i="11"/>
  <c r="EI96" i="11" l="1"/>
  <c r="EV80" i="11" l="1"/>
  <c r="EV95" i="11"/>
  <c r="EV94" i="11" l="1"/>
  <c r="EV93" i="11"/>
  <c r="ER93" i="11" l="1"/>
  <c r="EP93" i="11" l="1"/>
  <c r="EO93" i="11" l="1"/>
  <c r="EZ73" i="1" l="1"/>
  <c r="EZ71" i="1"/>
  <c r="EZ74" i="1"/>
  <c r="EZ72" i="1"/>
  <c r="EV22" i="11"/>
  <c r="EV23" i="11"/>
  <c r="EV24" i="11"/>
  <c r="EV25" i="11"/>
  <c r="EV26" i="11"/>
  <c r="EV27" i="11"/>
  <c r="EV28" i="11"/>
  <c r="EV29" i="11"/>
  <c r="EV30" i="11"/>
  <c r="EV31" i="11"/>
  <c r="EV32" i="11"/>
  <c r="EV34" i="11"/>
  <c r="EV35" i="11"/>
  <c r="EV36" i="11"/>
  <c r="EV37" i="11"/>
  <c r="EV38" i="11"/>
  <c r="EV39" i="11"/>
  <c r="EV45" i="11"/>
  <c r="EV46" i="11"/>
  <c r="EV47" i="11"/>
  <c r="EV48" i="11"/>
  <c r="EV49" i="11"/>
  <c r="EV50" i="11"/>
  <c r="EV51" i="11"/>
  <c r="EV52" i="11"/>
  <c r="EV53" i="11"/>
  <c r="EV54" i="11"/>
  <c r="EV55" i="11"/>
  <c r="EV56" i="11"/>
  <c r="EV57" i="11"/>
  <c r="EV58" i="11"/>
  <c r="EV59" i="11"/>
  <c r="EV60" i="11"/>
  <c r="EV61" i="11"/>
  <c r="EV62" i="11"/>
  <c r="EV63" i="11"/>
  <c r="EV64" i="11"/>
  <c r="EV65" i="11"/>
  <c r="EV66" i="11"/>
  <c r="EV67" i="11"/>
  <c r="EV68" i="11"/>
  <c r="EV69" i="11"/>
  <c r="EV70" i="11"/>
  <c r="EV71" i="11"/>
  <c r="EV72" i="11"/>
  <c r="EV73" i="11"/>
  <c r="EV74" i="11"/>
  <c r="EV75" i="11"/>
  <c r="EV76" i="11"/>
  <c r="EV77" i="11"/>
  <c r="EV78" i="11"/>
  <c r="EV79" i="11"/>
  <c r="EV81" i="11"/>
  <c r="EV82" i="11"/>
  <c r="EV83" i="11"/>
  <c r="EV84" i="11"/>
  <c r="EV85" i="11"/>
  <c r="EV86" i="11"/>
  <c r="EV87" i="11"/>
  <c r="EV88" i="11"/>
  <c r="EV89" i="11"/>
  <c r="EV90" i="11"/>
  <c r="EV91" i="11"/>
  <c r="EV92" i="11"/>
  <c r="EV96" i="11"/>
  <c r="EV97" i="11"/>
  <c r="EV98" i="11"/>
  <c r="EV99" i="11"/>
  <c r="EV100" i="11"/>
  <c r="EV101" i="11"/>
  <c r="EV103" i="11"/>
  <c r="EV104" i="11"/>
  <c r="EV105" i="11"/>
  <c r="EV106" i="11"/>
  <c r="EV107" i="11"/>
  <c r="EV108" i="11"/>
  <c r="EV109" i="11"/>
  <c r="EV110" i="11"/>
  <c r="EV111" i="11"/>
  <c r="EV112" i="11"/>
  <c r="EV113" i="11"/>
  <c r="EV114" i="11"/>
  <c r="ES22" i="11"/>
  <c r="ES23" i="11"/>
  <c r="ES24" i="11"/>
  <c r="ES25" i="11"/>
  <c r="ES26" i="11"/>
  <c r="ES27" i="11"/>
  <c r="ES28" i="11"/>
  <c r="ES29" i="11"/>
  <c r="ES30" i="11"/>
  <c r="ES31" i="11"/>
  <c r="ES32" i="11"/>
  <c r="ES33" i="11"/>
  <c r="ES34" i="11"/>
  <c r="ES35" i="11"/>
  <c r="ES36" i="11"/>
  <c r="ES37" i="11"/>
  <c r="ES38" i="11"/>
  <c r="ES39" i="11"/>
  <c r="ES42" i="11"/>
  <c r="ES44" i="11"/>
  <c r="ES45" i="11"/>
  <c r="ES46" i="11"/>
  <c r="ES47" i="11"/>
  <c r="ES48" i="11"/>
  <c r="ES49" i="11"/>
  <c r="ES50" i="11"/>
  <c r="ES51" i="11"/>
  <c r="ES52" i="11"/>
  <c r="ER22" i="11"/>
  <c r="ER23" i="11"/>
  <c r="ER24" i="11"/>
  <c r="ER25" i="11"/>
  <c r="ER26" i="11"/>
  <c r="ER27" i="11"/>
  <c r="ER28" i="11"/>
  <c r="ER29" i="11"/>
  <c r="ER30" i="11"/>
  <c r="ER31" i="11"/>
  <c r="ER32" i="11"/>
  <c r="ER33" i="11"/>
  <c r="ER34" i="11"/>
  <c r="ER35" i="11"/>
  <c r="ER36" i="11"/>
  <c r="ER37" i="11"/>
  <c r="ER38" i="11"/>
  <c r="ER39" i="11"/>
  <c r="ER42" i="11"/>
  <c r="ER44" i="11"/>
  <c r="ER45" i="11"/>
  <c r="ER46" i="11"/>
  <c r="ER47" i="11"/>
  <c r="ER48" i="11"/>
  <c r="ER49" i="11"/>
  <c r="ER50" i="11"/>
  <c r="ER51" i="11"/>
  <c r="ER52" i="11"/>
  <c r="EQ22" i="11"/>
  <c r="EQ23" i="11"/>
  <c r="EQ24" i="11"/>
  <c r="EQ25" i="11"/>
  <c r="EQ26" i="11"/>
  <c r="EQ27" i="11"/>
  <c r="EQ28" i="11"/>
  <c r="EQ29" i="11"/>
  <c r="EQ30" i="11"/>
  <c r="EQ31" i="11"/>
  <c r="EQ32" i="11"/>
  <c r="EQ33" i="11"/>
  <c r="EQ34" i="11"/>
  <c r="EQ35" i="11"/>
  <c r="EQ36" i="11"/>
  <c r="EQ37" i="11"/>
  <c r="EQ38" i="11"/>
  <c r="EQ39" i="11"/>
  <c r="EQ42" i="11"/>
  <c r="EQ44" i="11"/>
  <c r="EQ45" i="11"/>
  <c r="EQ46" i="11"/>
  <c r="EQ47" i="11"/>
  <c r="EQ48" i="11"/>
  <c r="EQ49" i="11"/>
  <c r="EQ50" i="11"/>
  <c r="EQ51" i="11"/>
  <c r="EQ52" i="11"/>
  <c r="EP22" i="11"/>
  <c r="EP23" i="11"/>
  <c r="EP24" i="11"/>
  <c r="EP25" i="11"/>
  <c r="EP26" i="11"/>
  <c r="EP27" i="11"/>
  <c r="EP28" i="11"/>
  <c r="EP29" i="11"/>
  <c r="EP30" i="11"/>
  <c r="EP31" i="11"/>
  <c r="EP32" i="11"/>
  <c r="EP33" i="11"/>
  <c r="EP34" i="11"/>
  <c r="EP35" i="11"/>
  <c r="EP36" i="11"/>
  <c r="EP37" i="11"/>
  <c r="EP38" i="11"/>
  <c r="EP39" i="11"/>
  <c r="EP42" i="11"/>
  <c r="EP44" i="11"/>
  <c r="EP45" i="11"/>
  <c r="EP46" i="11"/>
  <c r="EP47" i="11"/>
  <c r="EP48" i="11"/>
  <c r="EP49" i="11"/>
  <c r="EP50" i="11"/>
  <c r="EP51" i="11"/>
  <c r="EP52" i="11"/>
  <c r="EQ13" i="11"/>
  <c r="ES113" i="11"/>
  <c r="ER113" i="11"/>
  <c r="EQ113" i="11"/>
  <c r="EP113" i="11"/>
  <c r="EO113" i="11"/>
  <c r="ES109" i="11"/>
  <c r="ER109" i="11"/>
  <c r="EQ109" i="11"/>
  <c r="EP109" i="11"/>
  <c r="EO109" i="11"/>
  <c r="ES99" i="11"/>
  <c r="ES100" i="11"/>
  <c r="ER99" i="11"/>
  <c r="ER100" i="11"/>
  <c r="EQ99" i="11"/>
  <c r="EQ100" i="11"/>
  <c r="EP99" i="11"/>
  <c r="EP100" i="11"/>
  <c r="EO99" i="11"/>
  <c r="EO100" i="11"/>
  <c r="ES79" i="11"/>
  <c r="ER79" i="11"/>
  <c r="EQ79" i="11"/>
  <c r="EP79" i="11"/>
  <c r="EO79" i="11"/>
  <c r="ES73" i="11"/>
  <c r="ES74" i="11"/>
  <c r="ES75" i="11"/>
  <c r="ES76" i="11"/>
  <c r="ER73" i="11"/>
  <c r="ER74" i="11"/>
  <c r="ER75" i="11"/>
  <c r="ER76" i="11"/>
  <c r="EQ73" i="11"/>
  <c r="EQ74" i="11"/>
  <c r="EQ75" i="11"/>
  <c r="EQ76" i="11"/>
  <c r="EP73" i="11"/>
  <c r="EP74" i="11"/>
  <c r="EP75" i="11"/>
  <c r="EP76" i="11"/>
  <c r="EO73" i="11"/>
  <c r="EO74" i="11"/>
  <c r="EO75" i="11"/>
  <c r="EO76" i="11"/>
  <c r="ES69" i="11"/>
  <c r="ES70" i="11"/>
  <c r="ER69" i="11"/>
  <c r="ER70" i="11"/>
  <c r="EQ69" i="11"/>
  <c r="EQ70" i="11"/>
  <c r="EP69" i="11"/>
  <c r="EP70" i="11"/>
  <c r="EO69" i="11"/>
  <c r="EO70" i="11"/>
  <c r="ES57" i="11"/>
  <c r="ES58" i="11"/>
  <c r="ES59" i="11"/>
  <c r="ER57" i="11"/>
  <c r="ER58" i="11"/>
  <c r="ER59" i="11"/>
  <c r="EQ57" i="11"/>
  <c r="EQ58" i="11"/>
  <c r="EQ59" i="11"/>
  <c r="EP57" i="11"/>
  <c r="EP58" i="11"/>
  <c r="EP59" i="11"/>
  <c r="EO57" i="11"/>
  <c r="EO58" i="11"/>
  <c r="EO59" i="11"/>
  <c r="EO38" i="11"/>
  <c r="EO39" i="11"/>
  <c r="EO42" i="11"/>
  <c r="EO44" i="11"/>
  <c r="EO45" i="11"/>
  <c r="EP120" i="11"/>
  <c r="EO120" i="11"/>
  <c r="EJ120" i="11"/>
  <c r="ES114" i="11"/>
  <c r="ER114" i="11"/>
  <c r="EQ114" i="11"/>
  <c r="EP114" i="11"/>
  <c r="EO114" i="11"/>
  <c r="ES112" i="11"/>
  <c r="ER112" i="11"/>
  <c r="EQ112" i="11"/>
  <c r="EP112" i="11"/>
  <c r="EO112" i="11"/>
  <c r="ES111" i="11"/>
  <c r="ER111" i="11"/>
  <c r="EQ111" i="11"/>
  <c r="EP111" i="11"/>
  <c r="EO111" i="11"/>
  <c r="ES110" i="11"/>
  <c r="ER110" i="11"/>
  <c r="EQ110" i="11"/>
  <c r="EP110" i="11"/>
  <c r="EO110" i="11"/>
  <c r="ES108" i="11"/>
  <c r="ER108" i="11"/>
  <c r="EQ108" i="11"/>
  <c r="EP108" i="11"/>
  <c r="EO108" i="11"/>
  <c r="ES107" i="11"/>
  <c r="ER107" i="11"/>
  <c r="EQ107" i="11"/>
  <c r="EP107" i="11"/>
  <c r="EO107" i="11"/>
  <c r="ES106" i="11"/>
  <c r="ER106" i="11"/>
  <c r="EQ106" i="11"/>
  <c r="EP106" i="11"/>
  <c r="EO106" i="11"/>
  <c r="ES105" i="11"/>
  <c r="ER105" i="11"/>
  <c r="EQ105" i="11"/>
  <c r="EP105" i="11"/>
  <c r="EO105" i="11"/>
  <c r="ES104" i="11"/>
  <c r="ER104" i="11"/>
  <c r="EQ104" i="11"/>
  <c r="EP104" i="11"/>
  <c r="EO104" i="11"/>
  <c r="ES103" i="11"/>
  <c r="ER103" i="11"/>
  <c r="EQ103" i="11"/>
  <c r="EP103" i="11"/>
  <c r="EO103" i="11"/>
  <c r="ES102" i="11"/>
  <c r="ER102" i="11"/>
  <c r="EQ102" i="11"/>
  <c r="EP102" i="11"/>
  <c r="EO102" i="11"/>
  <c r="BD102" i="11"/>
  <c r="EJ102" i="11" s="1"/>
  <c r="ES101" i="11"/>
  <c r="ER101" i="11"/>
  <c r="EQ101" i="11"/>
  <c r="EP101" i="11"/>
  <c r="EO101" i="11"/>
  <c r="EO32" i="11"/>
  <c r="EO31" i="11"/>
  <c r="EO27" i="11"/>
  <c r="EO26" i="11"/>
  <c r="EO25" i="11"/>
  <c r="EO24" i="11"/>
  <c r="EO23" i="11"/>
  <c r="EO22" i="11"/>
  <c r="ET13" i="11"/>
  <c r="ES13" i="11"/>
  <c r="ER13" i="11"/>
  <c r="EP13" i="11"/>
  <c r="EO13" i="11"/>
  <c r="EO37" i="11"/>
  <c r="EO36" i="11"/>
  <c r="EO35" i="11"/>
  <c r="EO34" i="11"/>
  <c r="EO33" i="11"/>
  <c r="EO30" i="11"/>
  <c r="EO29" i="11"/>
  <c r="EO28" i="11"/>
  <c r="ES64" i="11"/>
  <c r="ER64" i="11"/>
  <c r="EQ64" i="11"/>
  <c r="EP64" i="11"/>
  <c r="EO64" i="11"/>
  <c r="CA64" i="11"/>
  <c r="EU64" i="11" s="1"/>
  <c r="BW64" i="11"/>
  <c r="EJ64" i="11" s="1"/>
  <c r="ES63" i="11"/>
  <c r="ER63" i="11"/>
  <c r="EQ63" i="11"/>
  <c r="EP63" i="11"/>
  <c r="EO63" i="11"/>
  <c r="CA63" i="11"/>
  <c r="EU63" i="11" s="1"/>
  <c r="BW63" i="11"/>
  <c r="EJ63" i="11" s="1"/>
  <c r="ES62" i="11"/>
  <c r="ER62" i="11"/>
  <c r="EQ62" i="11"/>
  <c r="EP62" i="11"/>
  <c r="EO62" i="11"/>
  <c r="CA62" i="11"/>
  <c r="EU62" i="11" s="1"/>
  <c r="BW62" i="11"/>
  <c r="ES61" i="11"/>
  <c r="ER61" i="11"/>
  <c r="EQ61" i="11"/>
  <c r="EP61" i="11"/>
  <c r="EO61" i="11"/>
  <c r="ES60" i="11"/>
  <c r="ER60" i="11"/>
  <c r="EQ60" i="11"/>
  <c r="EP60" i="11"/>
  <c r="EO60" i="11"/>
  <c r="ES78" i="11"/>
  <c r="ER78" i="11"/>
  <c r="EQ78" i="11"/>
  <c r="EP78" i="11"/>
  <c r="EO78" i="11"/>
  <c r="ES77" i="11"/>
  <c r="ER77" i="11"/>
  <c r="EQ77" i="11"/>
  <c r="EP77" i="11"/>
  <c r="EO77" i="11"/>
  <c r="ES72" i="11"/>
  <c r="ER72" i="11"/>
  <c r="EQ72" i="11"/>
  <c r="EP72" i="11"/>
  <c r="EO72" i="11"/>
  <c r="ES71" i="11"/>
  <c r="ER71" i="11"/>
  <c r="EQ71" i="11"/>
  <c r="EP71" i="11"/>
  <c r="EO71" i="11"/>
  <c r="ES68" i="11"/>
  <c r="ER68" i="11"/>
  <c r="EQ68" i="11"/>
  <c r="EP68" i="11"/>
  <c r="EO68" i="11"/>
  <c r="ES66" i="11"/>
  <c r="ER66" i="11"/>
  <c r="EQ66" i="11"/>
  <c r="EP66" i="11"/>
  <c r="EO66" i="11"/>
  <c r="ES67" i="11"/>
  <c r="ER67" i="11"/>
  <c r="EQ67" i="11"/>
  <c r="EP67" i="11"/>
  <c r="EO67" i="11"/>
  <c r="ES65" i="11"/>
  <c r="ER65" i="11"/>
  <c r="EQ65" i="11"/>
  <c r="EP65" i="11"/>
  <c r="EO65" i="11"/>
  <c r="ES56" i="11"/>
  <c r="ER56" i="11"/>
  <c r="EQ56" i="11"/>
  <c r="EP56" i="11"/>
  <c r="EO56" i="11"/>
  <c r="ES55" i="11"/>
  <c r="ER55" i="11"/>
  <c r="EQ55" i="11"/>
  <c r="EP55" i="11"/>
  <c r="EO55" i="11"/>
  <c r="EO52" i="11"/>
  <c r="EO51" i="11"/>
  <c r="EO50" i="11"/>
  <c r="EO49" i="11"/>
  <c r="EO48" i="11"/>
  <c r="EO47" i="11"/>
  <c r="EO46" i="11"/>
  <c r="ES92" i="11"/>
  <c r="ER92" i="11"/>
  <c r="EQ92" i="11"/>
  <c r="EP92" i="11"/>
  <c r="EO92" i="11"/>
  <c r="ES91" i="11"/>
  <c r="ER91" i="11"/>
  <c r="EQ91" i="11"/>
  <c r="EP91" i="11"/>
  <c r="EO91" i="11"/>
  <c r="ES90" i="11"/>
  <c r="ER90" i="11"/>
  <c r="EQ90" i="11"/>
  <c r="EP90" i="11"/>
  <c r="EO90" i="11"/>
  <c r="ES89" i="11"/>
  <c r="ER89" i="11"/>
  <c r="EQ89" i="11"/>
  <c r="EP89" i="11"/>
  <c r="EO89" i="11"/>
  <c r="ES88" i="11"/>
  <c r="ER88" i="11"/>
  <c r="EQ88" i="11"/>
  <c r="EP88" i="11"/>
  <c r="EO88" i="11"/>
  <c r="ES87" i="11"/>
  <c r="ER87" i="11"/>
  <c r="EQ87" i="11"/>
  <c r="EP87" i="11"/>
  <c r="EO87" i="11"/>
  <c r="ES86" i="11"/>
  <c r="ER86" i="11"/>
  <c r="EQ86" i="11"/>
  <c r="EP86" i="11"/>
  <c r="EO86" i="11"/>
  <c r="ES85" i="11"/>
  <c r="ER85" i="11"/>
  <c r="EQ85" i="11"/>
  <c r="EP85" i="11"/>
  <c r="EO85" i="11"/>
  <c r="ES84" i="11"/>
  <c r="ER84" i="11"/>
  <c r="EQ84" i="11"/>
  <c r="EP84" i="11"/>
  <c r="EO84" i="11"/>
  <c r="ES83" i="11"/>
  <c r="ER83" i="11"/>
  <c r="EQ83" i="11"/>
  <c r="EP83" i="11"/>
  <c r="EO83" i="11"/>
  <c r="ES82" i="11"/>
  <c r="ER82" i="11"/>
  <c r="EQ82" i="11"/>
  <c r="EP82" i="11"/>
  <c r="EO82" i="11"/>
  <c r="ES81" i="11"/>
  <c r="ER81" i="11"/>
  <c r="EQ81" i="11"/>
  <c r="EP81" i="11"/>
  <c r="EO81" i="11"/>
  <c r="ES80" i="11"/>
  <c r="ER80" i="11"/>
  <c r="EQ80" i="11"/>
  <c r="EP80" i="11"/>
  <c r="EO80" i="11"/>
  <c r="ES98" i="11"/>
  <c r="ER98" i="11"/>
  <c r="EQ98" i="11"/>
  <c r="EO98" i="11"/>
  <c r="CN98" i="11"/>
  <c r="EJ98" i="11" s="1"/>
  <c r="ES97" i="11"/>
  <c r="ER97" i="11"/>
  <c r="EQ97" i="11"/>
  <c r="EO97" i="11"/>
  <c r="CN97" i="11"/>
  <c r="EJ97" i="11" s="1"/>
  <c r="EQ13" i="1"/>
  <c r="EP13" i="1"/>
  <c r="EO13" i="1"/>
  <c r="EL13" i="1"/>
  <c r="EJ62" i="11" l="1"/>
  <c r="EN102" i="11"/>
  <c r="EN97" i="11"/>
  <c r="EN98" i="11"/>
  <c r="EN63" i="11"/>
  <c r="EN62" i="11"/>
  <c r="EN64" i="11"/>
  <c r="ET62" i="11"/>
  <c r="EU98" i="11"/>
  <c r="ET63" i="11"/>
  <c r="EU97" i="11"/>
  <c r="ET102" i="11"/>
  <c r="EU24" i="11"/>
  <c r="EU25" i="11"/>
  <c r="ET64" i="11"/>
  <c r="ES96" i="11"/>
  <c r="EO96" i="11"/>
  <c r="EP96" i="11"/>
  <c r="EQ96" i="11"/>
  <c r="ER96" i="11"/>
  <c r="EV102" i="11"/>
  <c r="EU13" i="11"/>
  <c r="EP97" i="11"/>
  <c r="EP98" i="11"/>
  <c r="CW85" i="1"/>
  <c r="ES85" i="1" l="1"/>
  <c r="EX96" i="1"/>
  <c r="EX94" i="1"/>
  <c r="EX93" i="1"/>
  <c r="EX92" i="1"/>
  <c r="EX91" i="1"/>
  <c r="EX90" i="1"/>
  <c r="EX89" i="1"/>
  <c r="EX88" i="1"/>
  <c r="EX87" i="1"/>
  <c r="EX86" i="1"/>
  <c r="EX84" i="1"/>
  <c r="EX83" i="1"/>
  <c r="EX82" i="1"/>
  <c r="EX81" i="1"/>
  <c r="EX80" i="1"/>
  <c r="EX77" i="1"/>
  <c r="EX76" i="1"/>
  <c r="EX74" i="1"/>
  <c r="EX73" i="1"/>
  <c r="EX72" i="1"/>
  <c r="EX71" i="1"/>
  <c r="EX70" i="1"/>
  <c r="EX69" i="1"/>
  <c r="EX68" i="1"/>
  <c r="EX67" i="1"/>
  <c r="EX63" i="1"/>
  <c r="EX62" i="1"/>
  <c r="EX61" i="1"/>
  <c r="EX60" i="1"/>
  <c r="EX59" i="1"/>
  <c r="EX58" i="1"/>
  <c r="EX57" i="1"/>
  <c r="EX56" i="1"/>
  <c r="EX55" i="1"/>
  <c r="EX52" i="1"/>
  <c r="EX51" i="1"/>
  <c r="EX50" i="1"/>
  <c r="EX49" i="1"/>
  <c r="EX48" i="1"/>
  <c r="EX47" i="1"/>
  <c r="EX46" i="1"/>
  <c r="EX45" i="1"/>
  <c r="EX44" i="1"/>
  <c r="EX43" i="1"/>
  <c r="EX42" i="1"/>
  <c r="EX41" i="1"/>
  <c r="EX39" i="1"/>
  <c r="EX38" i="1"/>
  <c r="EX37" i="1"/>
  <c r="EX36" i="1"/>
  <c r="EX35" i="1"/>
  <c r="EX34" i="1"/>
  <c r="EX33" i="1"/>
  <c r="EX32" i="1"/>
  <c r="EX31" i="1"/>
  <c r="EX30" i="1"/>
  <c r="EX29" i="1"/>
  <c r="EX28" i="1"/>
  <c r="EX27" i="1"/>
  <c r="EX26" i="1"/>
  <c r="EX25" i="1"/>
  <c r="EX24" i="1"/>
  <c r="EX23" i="1"/>
  <c r="ER88" i="1"/>
  <c r="EV52" i="1" l="1"/>
  <c r="EV96" i="1"/>
  <c r="EV94" i="1"/>
  <c r="EV93" i="1"/>
  <c r="EV92" i="1"/>
  <c r="EV91" i="1"/>
  <c r="EV90" i="1"/>
  <c r="EV89" i="1"/>
  <c r="EV88" i="1"/>
  <c r="EV87" i="1"/>
  <c r="EV86" i="1"/>
  <c r="EV85" i="1"/>
  <c r="EV84" i="1"/>
  <c r="EV83" i="1"/>
  <c r="EV82" i="1"/>
  <c r="EV81" i="1"/>
  <c r="EV80" i="1"/>
  <c r="EV77" i="1"/>
  <c r="EV76" i="1"/>
  <c r="EV74" i="1"/>
  <c r="EV73" i="1"/>
  <c r="EV72" i="1"/>
  <c r="EV71" i="1"/>
  <c r="EV70" i="1"/>
  <c r="EV69" i="1"/>
  <c r="EV68" i="1"/>
  <c r="EV67" i="1"/>
  <c r="EV66" i="1"/>
  <c r="EV65" i="1"/>
  <c r="EV64" i="1"/>
  <c r="EV63" i="1"/>
  <c r="EV62" i="1"/>
  <c r="EV61" i="1"/>
  <c r="EV60" i="1"/>
  <c r="EV59" i="1"/>
  <c r="EV58" i="1"/>
  <c r="EV57" i="1"/>
  <c r="EV56" i="1"/>
  <c r="EV55" i="1"/>
  <c r="EV51" i="1"/>
  <c r="EV50" i="1"/>
  <c r="EV49" i="1"/>
  <c r="EV48" i="1"/>
  <c r="EV47" i="1"/>
  <c r="EV46" i="1"/>
  <c r="EV45" i="1"/>
  <c r="EV44" i="1"/>
  <c r="EV43" i="1"/>
  <c r="EV42" i="1"/>
  <c r="EV41" i="1"/>
  <c r="EV40" i="1"/>
  <c r="EV39" i="1"/>
  <c r="EV38" i="1"/>
  <c r="EV37" i="1"/>
  <c r="EV36" i="1"/>
  <c r="EV35" i="1"/>
  <c r="EV34" i="1"/>
  <c r="EV33" i="1"/>
  <c r="EV32" i="1"/>
  <c r="EV31" i="1"/>
  <c r="EV30" i="1"/>
  <c r="EV29" i="1"/>
  <c r="EV28" i="1"/>
  <c r="EV27" i="1"/>
  <c r="EV26" i="1"/>
  <c r="EV25" i="1"/>
  <c r="EV24" i="1"/>
  <c r="EV23" i="1"/>
  <c r="D14" i="2" l="1"/>
  <c r="O14" i="2" s="1"/>
  <c r="N13" i="2"/>
  <c r="M13" i="2"/>
  <c r="L13" i="2"/>
  <c r="K13" i="2"/>
  <c r="O12" i="2"/>
  <c r="O11" i="2"/>
  <c r="O10" i="2"/>
  <c r="O9" i="2"/>
  <c r="O8" i="2"/>
  <c r="O7" i="2"/>
  <c r="O6" i="2"/>
  <c r="O5" i="2"/>
  <c r="O4" i="2"/>
  <c r="O3" i="2"/>
  <c r="Q7" i="3"/>
  <c r="P6" i="3"/>
  <c r="O6" i="3"/>
  <c r="N6" i="3"/>
  <c r="M6" i="3"/>
  <c r="Q5" i="3"/>
  <c r="Q4" i="3"/>
  <c r="Q3" i="3"/>
  <c r="J15" i="5"/>
  <c r="J14" i="5"/>
  <c r="J13" i="5"/>
  <c r="J12" i="5"/>
  <c r="J11" i="5"/>
  <c r="J10" i="5"/>
  <c r="J9" i="5"/>
  <c r="J8" i="5"/>
  <c r="J7" i="5"/>
  <c r="J6" i="5"/>
  <c r="J5" i="5"/>
  <c r="G21" i="7"/>
  <c r="K13" i="7"/>
  <c r="K12" i="7"/>
  <c r="K11" i="7"/>
  <c r="K10" i="7"/>
  <c r="K9" i="7"/>
  <c r="K8" i="7"/>
  <c r="K7" i="7"/>
  <c r="K6" i="7"/>
  <c r="K5" i="7"/>
  <c r="AS4" i="8"/>
  <c r="AS3" i="8"/>
  <c r="AG5" i="9"/>
  <c r="AF5" i="9"/>
  <c r="AE5" i="9"/>
  <c r="AD5" i="9"/>
  <c r="AC5" i="9"/>
  <c r="AB5" i="9"/>
  <c r="AA5" i="9"/>
  <c r="Z5" i="9"/>
  <c r="AG4" i="9"/>
  <c r="AF4" i="9"/>
  <c r="AE4" i="9"/>
  <c r="AD4" i="9"/>
  <c r="AC4" i="9"/>
  <c r="AB4" i="9"/>
  <c r="AA4" i="9"/>
  <c r="Z4" i="9"/>
  <c r="AG3" i="9"/>
  <c r="AF3" i="9"/>
  <c r="AE3" i="9"/>
  <c r="AD3" i="9"/>
  <c r="AC3" i="9"/>
  <c r="AB3" i="9"/>
  <c r="AA3" i="9"/>
  <c r="Z3" i="9"/>
  <c r="Z8" i="10"/>
  <c r="Z7" i="10"/>
  <c r="Z6" i="10"/>
  <c r="Z5" i="10"/>
  <c r="Z4" i="10"/>
  <c r="Z3" i="10"/>
  <c r="Z2" i="10"/>
  <c r="EM102" i="1"/>
  <c r="EL102" i="1"/>
  <c r="EI102" i="1"/>
  <c r="EU96" i="1"/>
  <c r="ER96" i="1"/>
  <c r="EQ96" i="1"/>
  <c r="EP96" i="1"/>
  <c r="EO96" i="1"/>
  <c r="EN96" i="1"/>
  <c r="EM96" i="1"/>
  <c r="EL96" i="1"/>
  <c r="EU94" i="1"/>
  <c r="ER94" i="1"/>
  <c r="EQ94" i="1"/>
  <c r="EP94" i="1"/>
  <c r="EO94" i="1"/>
  <c r="EN94" i="1"/>
  <c r="EM94" i="1"/>
  <c r="EL94" i="1"/>
  <c r="EU93" i="1"/>
  <c r="ER93" i="1"/>
  <c r="EQ93" i="1"/>
  <c r="EP93" i="1"/>
  <c r="EO93" i="1"/>
  <c r="EN93" i="1"/>
  <c r="EM93" i="1"/>
  <c r="EL93" i="1"/>
  <c r="EU92" i="1"/>
  <c r="ER92" i="1"/>
  <c r="EQ92" i="1"/>
  <c r="EP92" i="1"/>
  <c r="EO92" i="1"/>
  <c r="EN92" i="1"/>
  <c r="EM92" i="1"/>
  <c r="EL92" i="1"/>
  <c r="EU91" i="1"/>
  <c r="ER91" i="1"/>
  <c r="EQ91" i="1"/>
  <c r="EP91" i="1"/>
  <c r="EO91" i="1"/>
  <c r="EN91" i="1"/>
  <c r="EM91" i="1"/>
  <c r="EL91" i="1"/>
  <c r="EU90" i="1"/>
  <c r="ER90" i="1"/>
  <c r="EQ90" i="1"/>
  <c r="EP90" i="1"/>
  <c r="EO90" i="1"/>
  <c r="EN90" i="1"/>
  <c r="EM90" i="1"/>
  <c r="EL90" i="1"/>
  <c r="EU89" i="1"/>
  <c r="ER89" i="1"/>
  <c r="EQ89" i="1"/>
  <c r="EP89" i="1"/>
  <c r="EO89" i="1"/>
  <c r="EN89" i="1"/>
  <c r="EM89" i="1"/>
  <c r="EL89" i="1"/>
  <c r="EU88" i="1"/>
  <c r="EQ88" i="1"/>
  <c r="EP88" i="1"/>
  <c r="EO88" i="1"/>
  <c r="EN88" i="1"/>
  <c r="EM88" i="1"/>
  <c r="EL88" i="1"/>
  <c r="EU87" i="1"/>
  <c r="ER87" i="1"/>
  <c r="EQ87" i="1"/>
  <c r="EP87" i="1"/>
  <c r="EO87" i="1"/>
  <c r="EN87" i="1"/>
  <c r="EM87" i="1"/>
  <c r="EL87" i="1"/>
  <c r="EU86" i="1"/>
  <c r="ER86" i="1"/>
  <c r="EQ86" i="1"/>
  <c r="EP86" i="1"/>
  <c r="EO86" i="1"/>
  <c r="EN86" i="1"/>
  <c r="EM86" i="1"/>
  <c r="EL86" i="1"/>
  <c r="EU85" i="1"/>
  <c r="ER85" i="1"/>
  <c r="EP85" i="1"/>
  <c r="EO85" i="1"/>
  <c r="EN85" i="1"/>
  <c r="EM85" i="1"/>
  <c r="EL85" i="1"/>
  <c r="BD85" i="1"/>
  <c r="EU84" i="1"/>
  <c r="ER84" i="1"/>
  <c r="EQ84" i="1"/>
  <c r="EP84" i="1"/>
  <c r="EO84" i="1"/>
  <c r="EN84" i="1"/>
  <c r="EM84" i="1"/>
  <c r="EL84" i="1"/>
  <c r="EU83" i="1"/>
  <c r="ER83" i="1"/>
  <c r="EQ83" i="1"/>
  <c r="EP83" i="1"/>
  <c r="EO83" i="1"/>
  <c r="EN83" i="1"/>
  <c r="EM83" i="1"/>
  <c r="EL83" i="1"/>
  <c r="EU82" i="1"/>
  <c r="ER82" i="1"/>
  <c r="EQ82" i="1"/>
  <c r="EP82" i="1"/>
  <c r="EO82" i="1"/>
  <c r="EN82" i="1"/>
  <c r="EM82" i="1"/>
  <c r="EL82" i="1"/>
  <c r="EU81" i="1"/>
  <c r="ER81" i="1"/>
  <c r="EQ81" i="1"/>
  <c r="EP81" i="1"/>
  <c r="EO81" i="1"/>
  <c r="EN81" i="1"/>
  <c r="EM81" i="1"/>
  <c r="EL81" i="1"/>
  <c r="EU80" i="1"/>
  <c r="ER80" i="1"/>
  <c r="EQ80" i="1"/>
  <c r="EP80" i="1"/>
  <c r="EO80" i="1"/>
  <c r="EN80" i="1"/>
  <c r="EM80" i="1"/>
  <c r="EL80" i="1"/>
  <c r="EU79" i="1"/>
  <c r="EQ79" i="1"/>
  <c r="EP79" i="1"/>
  <c r="EO79" i="1"/>
  <c r="EN79" i="1"/>
  <c r="EM79" i="1"/>
  <c r="EL79" i="1"/>
  <c r="CO79" i="1"/>
  <c r="EU78" i="1"/>
  <c r="EQ78" i="1"/>
  <c r="EP78" i="1"/>
  <c r="EO78" i="1"/>
  <c r="EN78" i="1"/>
  <c r="EM78" i="1"/>
  <c r="EL78" i="1"/>
  <c r="CO78" i="1"/>
  <c r="EU77" i="1"/>
  <c r="ER77" i="1"/>
  <c r="EQ77" i="1"/>
  <c r="EP77" i="1"/>
  <c r="EO77" i="1"/>
  <c r="EN77" i="1"/>
  <c r="EM77" i="1"/>
  <c r="EL77" i="1"/>
  <c r="EU76" i="1"/>
  <c r="ER76" i="1"/>
  <c r="EQ76" i="1"/>
  <c r="EP76" i="1"/>
  <c r="EO76" i="1"/>
  <c r="EN76" i="1"/>
  <c r="EM76" i="1"/>
  <c r="EL76" i="1"/>
  <c r="EU75" i="1"/>
  <c r="EQ75" i="1"/>
  <c r="EP75" i="1"/>
  <c r="EO75" i="1"/>
  <c r="EN75" i="1"/>
  <c r="EM75" i="1"/>
  <c r="EL75" i="1"/>
  <c r="CO75" i="1"/>
  <c r="EU74" i="1"/>
  <c r="ER74" i="1"/>
  <c r="EQ74" i="1"/>
  <c r="EP74" i="1"/>
  <c r="EO74" i="1"/>
  <c r="EN74" i="1"/>
  <c r="EM74" i="1"/>
  <c r="EL74" i="1"/>
  <c r="EU73" i="1"/>
  <c r="ER73" i="1"/>
  <c r="EQ73" i="1"/>
  <c r="EP73" i="1"/>
  <c r="EO73" i="1"/>
  <c r="EN73" i="1"/>
  <c r="EM73" i="1"/>
  <c r="EL73" i="1"/>
  <c r="EU72" i="1"/>
  <c r="ER72" i="1"/>
  <c r="EQ72" i="1"/>
  <c r="EP72" i="1"/>
  <c r="EO72" i="1"/>
  <c r="EN72" i="1"/>
  <c r="EM72" i="1"/>
  <c r="EL72" i="1"/>
  <c r="EU71" i="1"/>
  <c r="ER71" i="1"/>
  <c r="EQ71" i="1"/>
  <c r="EP71" i="1"/>
  <c r="EO71" i="1"/>
  <c r="EN71" i="1"/>
  <c r="EM71" i="1"/>
  <c r="EL71" i="1"/>
  <c r="EU70" i="1"/>
  <c r="ER70" i="1"/>
  <c r="EQ70" i="1"/>
  <c r="EP70" i="1"/>
  <c r="EO70" i="1"/>
  <c r="EN70" i="1"/>
  <c r="EM70" i="1"/>
  <c r="EL70" i="1"/>
  <c r="EU69" i="1"/>
  <c r="ER69" i="1"/>
  <c r="EQ69" i="1"/>
  <c r="EP69" i="1"/>
  <c r="EO69" i="1"/>
  <c r="EN69" i="1"/>
  <c r="EM69" i="1"/>
  <c r="EL69" i="1"/>
  <c r="EU68" i="1"/>
  <c r="ER68" i="1"/>
  <c r="EQ68" i="1"/>
  <c r="EP68" i="1"/>
  <c r="EO68" i="1"/>
  <c r="EN68" i="1"/>
  <c r="EM68" i="1"/>
  <c r="EL68" i="1"/>
  <c r="EU67" i="1"/>
  <c r="ER67" i="1"/>
  <c r="EQ67" i="1"/>
  <c r="EP67" i="1"/>
  <c r="EO67" i="1"/>
  <c r="EN67" i="1"/>
  <c r="EM67" i="1"/>
  <c r="EL67" i="1"/>
  <c r="EP66" i="1"/>
  <c r="EO66" i="1"/>
  <c r="EN66" i="1"/>
  <c r="EM66" i="1"/>
  <c r="EL66" i="1"/>
  <c r="CA66" i="1"/>
  <c r="BW66" i="1"/>
  <c r="EP65" i="1"/>
  <c r="EO65" i="1"/>
  <c r="EN65" i="1"/>
  <c r="EM65" i="1"/>
  <c r="EL65" i="1"/>
  <c r="CA65" i="1"/>
  <c r="ER65" i="1" s="1"/>
  <c r="BW65" i="1"/>
  <c r="EP64" i="1"/>
  <c r="EO64" i="1"/>
  <c r="EN64" i="1"/>
  <c r="EM64" i="1"/>
  <c r="EL64" i="1"/>
  <c r="CA64" i="1"/>
  <c r="ER64" i="1" s="1"/>
  <c r="BW64" i="1"/>
  <c r="EU63" i="1"/>
  <c r="ER63" i="1"/>
  <c r="EQ63" i="1"/>
  <c r="EP63" i="1"/>
  <c r="EO63" i="1"/>
  <c r="EN63" i="1"/>
  <c r="EM63" i="1"/>
  <c r="EL63" i="1"/>
  <c r="EU62" i="1"/>
  <c r="ER62" i="1"/>
  <c r="EQ62" i="1"/>
  <c r="EP62" i="1"/>
  <c r="EO62" i="1"/>
  <c r="EN62" i="1"/>
  <c r="EM62" i="1"/>
  <c r="EL62" i="1"/>
  <c r="EU61" i="1"/>
  <c r="ER61" i="1"/>
  <c r="EQ61" i="1"/>
  <c r="EP61" i="1"/>
  <c r="EO61" i="1"/>
  <c r="EN61" i="1"/>
  <c r="EM61" i="1"/>
  <c r="EL61" i="1"/>
  <c r="EU60" i="1"/>
  <c r="ER60" i="1"/>
  <c r="EQ60" i="1"/>
  <c r="EP60" i="1"/>
  <c r="EO60" i="1"/>
  <c r="EN60" i="1"/>
  <c r="EM60" i="1"/>
  <c r="EL60" i="1"/>
  <c r="EU59" i="1"/>
  <c r="ER59" i="1"/>
  <c r="EQ59" i="1"/>
  <c r="EP59" i="1"/>
  <c r="EO59" i="1"/>
  <c r="EN59" i="1"/>
  <c r="EM59" i="1"/>
  <c r="EL59" i="1"/>
  <c r="EU58" i="1"/>
  <c r="ER58" i="1"/>
  <c r="EQ58" i="1"/>
  <c r="EP58" i="1"/>
  <c r="EO58" i="1"/>
  <c r="EN58" i="1"/>
  <c r="EM58" i="1"/>
  <c r="EL58" i="1"/>
  <c r="EU57" i="1"/>
  <c r="ER57" i="1"/>
  <c r="EQ57" i="1"/>
  <c r="EP57" i="1"/>
  <c r="EO57" i="1"/>
  <c r="EN57" i="1"/>
  <c r="EM57" i="1"/>
  <c r="EL57" i="1"/>
  <c r="EU56" i="1"/>
  <c r="ER56" i="1"/>
  <c r="EQ56" i="1"/>
  <c r="EP56" i="1"/>
  <c r="EO56" i="1"/>
  <c r="EN56" i="1"/>
  <c r="EM56" i="1"/>
  <c r="EL56" i="1"/>
  <c r="EU55" i="1"/>
  <c r="ER55" i="1"/>
  <c r="EQ55" i="1"/>
  <c r="EP55" i="1"/>
  <c r="EO55" i="1"/>
  <c r="EN55" i="1"/>
  <c r="EM55" i="1"/>
  <c r="EL55" i="1"/>
  <c r="EU52" i="1"/>
  <c r="EQ52" i="1"/>
  <c r="EP52" i="1"/>
  <c r="EO52" i="1"/>
  <c r="EN52" i="1"/>
  <c r="EM52" i="1"/>
  <c r="EL52" i="1"/>
  <c r="EU51" i="1"/>
  <c r="EQ51" i="1"/>
  <c r="EP51" i="1"/>
  <c r="EO51" i="1"/>
  <c r="EN51" i="1"/>
  <c r="EM51" i="1"/>
  <c r="EL51" i="1"/>
  <c r="EU50" i="1"/>
  <c r="EQ50" i="1"/>
  <c r="EP50" i="1"/>
  <c r="EO50" i="1"/>
  <c r="EN50" i="1"/>
  <c r="EM50" i="1"/>
  <c r="EL50" i="1"/>
  <c r="EU48" i="1"/>
  <c r="EU47" i="1"/>
  <c r="EL47" i="1"/>
  <c r="EU46" i="1"/>
  <c r="EL46" i="1"/>
  <c r="EU45" i="1"/>
  <c r="EL45" i="1"/>
  <c r="EU44" i="1"/>
  <c r="EL44" i="1"/>
  <c r="EU43" i="1"/>
  <c r="EL43" i="1"/>
  <c r="EU42" i="1"/>
  <c r="EL42" i="1"/>
  <c r="EU41" i="1"/>
  <c r="EL41" i="1"/>
  <c r="EU40" i="1"/>
  <c r="AS40" i="1"/>
  <c r="AR40" i="1"/>
  <c r="AQ40" i="1"/>
  <c r="AP40" i="1"/>
  <c r="AO40" i="1"/>
  <c r="AN40" i="1"/>
  <c r="AM40" i="1"/>
  <c r="AL40" i="1"/>
  <c r="AK40" i="1"/>
  <c r="AJ40" i="1"/>
  <c r="AI40" i="1"/>
  <c r="AH40" i="1"/>
  <c r="AG40" i="1"/>
  <c r="AF40" i="1"/>
  <c r="AE40" i="1"/>
  <c r="AD40" i="1"/>
  <c r="AC40" i="1"/>
  <c r="AB40" i="1"/>
  <c r="AA40" i="1"/>
  <c r="Z40" i="1"/>
  <c r="Y40" i="1"/>
  <c r="X40" i="1"/>
  <c r="W40" i="1"/>
  <c r="V40" i="1"/>
  <c r="U40" i="1"/>
  <c r="T40" i="1"/>
  <c r="S40" i="1"/>
  <c r="R40" i="1"/>
  <c r="Q40" i="1"/>
  <c r="P40" i="1"/>
  <c r="O40" i="1"/>
  <c r="N40" i="1"/>
  <c r="M40" i="1"/>
  <c r="L40" i="1"/>
  <c r="K40" i="1"/>
  <c r="J40" i="1"/>
  <c r="I40" i="1"/>
  <c r="H40" i="1"/>
  <c r="G40" i="1"/>
  <c r="F40" i="1"/>
  <c r="E40" i="1"/>
  <c r="D40" i="1"/>
  <c r="C40" i="1"/>
  <c r="EU39" i="1"/>
  <c r="EL39" i="1"/>
  <c r="EU38" i="1"/>
  <c r="EL38" i="1"/>
  <c r="EU37" i="1"/>
  <c r="EL37" i="1"/>
  <c r="EU36" i="1"/>
  <c r="EL36" i="1"/>
  <c r="EU35" i="1"/>
  <c r="EL35" i="1"/>
  <c r="EU34" i="1"/>
  <c r="EL34" i="1"/>
  <c r="EU33" i="1"/>
  <c r="EL33" i="1"/>
  <c r="EU32" i="1"/>
  <c r="EL32" i="1"/>
  <c r="EU31" i="1"/>
  <c r="EL31" i="1"/>
  <c r="EU30" i="1"/>
  <c r="EL30" i="1"/>
  <c r="EU29" i="1"/>
  <c r="EL29" i="1"/>
  <c r="EU28" i="1"/>
  <c r="EL28" i="1"/>
  <c r="EU27" i="1"/>
  <c r="EL27" i="1"/>
  <c r="EU26" i="1"/>
  <c r="EL26" i="1"/>
  <c r="EU25" i="1"/>
  <c r="EL25" i="1"/>
  <c r="EU24" i="1"/>
  <c r="EL24" i="1"/>
  <c r="EU23" i="1"/>
  <c r="EL23" i="1"/>
  <c r="EU14" i="1"/>
  <c r="EL14" i="1"/>
  <c r="CN14" i="1"/>
  <c r="CN13" i="1"/>
  <c r="EI13" i="1" l="1"/>
  <c r="EJ13" i="1"/>
  <c r="EY13" i="1"/>
  <c r="EN40" i="1"/>
  <c r="EI64" i="1"/>
  <c r="EJ64" i="1"/>
  <c r="EY64" i="1"/>
  <c r="EJ66" i="1"/>
  <c r="EI66" i="1"/>
  <c r="EY66" i="1"/>
  <c r="EJ14" i="1"/>
  <c r="ER14" i="1"/>
  <c r="EI14" i="1"/>
  <c r="EY14" i="1"/>
  <c r="EJ79" i="1"/>
  <c r="EI79" i="1"/>
  <c r="EY79" i="1"/>
  <c r="EJ85" i="1"/>
  <c r="EI85" i="1"/>
  <c r="EY85" i="1"/>
  <c r="EJ65" i="1"/>
  <c r="EI65" i="1"/>
  <c r="EY65" i="1"/>
  <c r="EJ75" i="1"/>
  <c r="EI75" i="1"/>
  <c r="EY75" i="1"/>
  <c r="EJ78" i="1"/>
  <c r="EI78" i="1"/>
  <c r="EY78" i="1"/>
  <c r="EM40" i="1"/>
  <c r="EO40" i="1"/>
  <c r="EP40" i="1"/>
  <c r="EI40" i="1"/>
  <c r="EJ40" i="1"/>
  <c r="EY40" i="1"/>
  <c r="EX64" i="1"/>
  <c r="ER13" i="1"/>
  <c r="EX66" i="1"/>
  <c r="EV79" i="1"/>
  <c r="EX79" i="1"/>
  <c r="EL40" i="1"/>
  <c r="EX40" i="1"/>
  <c r="EV75" i="1"/>
  <c r="EX75" i="1"/>
  <c r="EV78" i="1"/>
  <c r="EX78" i="1"/>
  <c r="EX85" i="1"/>
  <c r="EX14" i="1"/>
  <c r="EX65" i="1"/>
  <c r="Q6" i="3"/>
  <c r="EU64" i="1"/>
  <c r="ER79" i="1"/>
  <c r="ER75" i="1"/>
  <c r="EU66" i="1"/>
  <c r="EU65" i="1"/>
  <c r="O13" i="2"/>
  <c r="Q4" i="2" s="1"/>
  <c r="EV14" i="1"/>
  <c r="EQ64" i="1"/>
  <c r="EQ65" i="1"/>
  <c r="EQ66" i="1"/>
  <c r="ER78" i="1"/>
  <c r="EQ85" i="1"/>
  <c r="ER66" i="1"/>
  <c r="EX13" i="1" l="1"/>
  <c r="EW13" i="1"/>
  <c r="EV13" i="1"/>
  <c r="Q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VANESSA ARGELIA DE JESUS PERALTA</author>
    <author>tc={41978D7D-5A30-41F0-A7E3-4D46018EF616}</author>
    <author>tc={CBD9BAB0-F115-491C-84D3-59B37417348B}</author>
    <author>tc={562B7278-FA68-43A4-9E9C-5F419902C7A7}</author>
    <author>tc={E0F784BF-09F3-4BE0-9776-3D97932AE888}</author>
    <author>tc={96E2B4CC-82D3-4AB0-9AE7-2BA4FD917D57}</author>
    <author>tc={5DFDFC01-33D7-4574-9F62-83A52248CA72}</author>
    <author>tc={22A4F432-D675-4AF0-AFCE-3204392080FF}</author>
    <author>tc={A66E0923-DE13-4A43-B1C8-8DC1C48FB3A3}</author>
    <author>tc={2ED59D40-C68A-459F-872D-102888A13CB8}</author>
    <author>tc={EFB7E532-296C-443F-8E6A-FB44B9ECA0AD}</author>
    <author>tc={6DE47BB4-FCAB-41A8-8206-7CDD9DE4A56B}</author>
    <author>tc={62D989DA-EF7E-4385-BC0F-DA48373654C0}</author>
    <author>tc={515786D1-D769-40FE-9710-95ECA20300C9}</author>
    <author>tc={A3FE2EBF-5864-49CA-9542-48985F63D73F}</author>
    <author>tc={B1BD4138-F198-41F7-B973-62589406E79C}</author>
    <author>tc={88BA878B-8B0D-4D6E-8508-FA18BFC2D5CE}</author>
    <author>tc={49938666-21EB-4D4D-8698-2AD4E2AB9F82}</author>
    <author>tc={3424BB25-AF1A-4077-91F4-F0B46A0DA701}</author>
    <author>tc={C3EC076D-F317-4EED-B0EA-620207CEFECB}</author>
    <author>tc={9C0B56C7-BB89-4E36-9864-3D5512CC9B6D}</author>
    <author>tc={4863E2F2-4E26-499E-B621-EF5BDF1EF833}</author>
    <author>EDITH GUADALUPE CASTILLO MALPICA</author>
    <author>tc={E0D4A4D1-66E5-4C44-B63C-96EA2CA1D06F}</author>
    <author>tc={E3FFE9D7-1B9A-4490-B8B9-D31D152CE3C3}</author>
    <author>tc={2228E9E6-4D28-4EB1-AC70-393E5CAA20FB}</author>
    <author>tc={3D48B06C-2F4E-413A-8842-03257AA91EE9}</author>
    <author>tc={ECEC7945-1796-4376-9D36-FA8F763E0B43}</author>
    <author>tc={8E973DF7-A3A2-49D1-9530-89F1D0680FBF}</author>
    <author>tc={568240F4-7985-4652-B522-2330E2844DBA}</author>
    <author>tc={07D900BB-3FF4-44DA-AA5D-AC360185E410}</author>
    <author>tc={10466D99-0651-419F-8231-FFC736133AF7}</author>
    <author>tc={A4BF30C0-6D14-469C-B921-614B4E0466B5}</author>
    <author>tc={7C136264-147D-4126-882C-F5D96106521A}</author>
    <author>tc={9ABE94C4-173D-4866-98DB-52F12B1F1788}</author>
    <author>tc={46C75488-E904-44A0-B4A1-6008D9F2F111}</author>
    <author>tc={DED4D916-093C-4A02-BB1F-349ABBF8633A}</author>
    <author>tc={0171A62A-2041-4897-A39D-CD6FE4AD0E7D}</author>
    <author>tc={5300C8B7-F1C2-4306-8886-4AB32FBFDAC5}</author>
    <author>tc={E301F896-F518-40B0-A6F8-5C2F0CBE04C4}</author>
    <author>tc={808E4C80-DFAB-4324-9DEC-CAF9B2EDC0F0}</author>
    <author>tc={CE4DAD37-8A4E-4320-AE58-18545E724BE5}</author>
    <author>tc={43654FF2-7596-4896-8AB6-CA4D91E25292}</author>
    <author>tc={205DE1FE-F562-4989-9AEE-B203C1AD4664}</author>
    <author>tc={4A27BF2F-C38A-4352-8880-112415993A06}</author>
    <author>tc={9BBA296F-DEF7-4657-AA1E-8C71A4C413BA}</author>
    <author>tc={8E7D1781-D78F-40FE-9369-92AAD518A095}</author>
    <author>tc={413F21D5-95DC-4DCD-81B2-934F182A6B83}</author>
    <author>tc={308F5479-4C53-487A-9CA7-568185258809}</author>
    <author>tc={3A6BA6DC-4322-448C-8D38-9CFDE1E4D62A}</author>
    <author>tc={1A9A6AE1-869F-4546-8BFF-1E93C83ABEDA}</author>
  </authors>
  <commentList>
    <comment ref="DL12" authorId="0" shapeId="0" xr:uid="{4C2EB35C-213C-4D9C-B8E1-9E4331BD0012}">
      <text>
        <r>
          <rPr>
            <b/>
            <sz val="8"/>
            <color indexed="81"/>
            <rFont val="Tahoma"/>
            <family val="2"/>
          </rPr>
          <t>APARTIR DE ESTA QUINCENA SE REPORTA SOLO CERT-MX. POR LA DIVISIÓN DE AREAS EN COMPAÑIAS</t>
        </r>
      </text>
    </comment>
    <comment ref="CN13" authorId="1" shapeId="0" xr:uid="{00000000-0006-0000-0000-000001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agregan 06 servicios de la 2a quincena de agosto
Respuesta:
    1a quincena de septiembre 11 servicios.
Se suman los 6 de la segunda quincena de agosto, en total : 17</t>
        </r>
      </text>
    </comment>
    <comment ref="CN14" authorId="2" shapeId="0" xr:uid="{00000000-0006-0000-0000-000002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agregan 03 solicitudes de la 2a quincena de agosto
Respuesta:
    1a quincena de septiembre 5 solicitudes atendidas. 
Se suman las 3 sol de la 2a quincena de agosto, en total :8 solicitudes</t>
        </r>
      </text>
    </comment>
    <comment ref="DJ14" authorId="0" shapeId="0" xr:uid="{98FC1B63-7FC3-476A-9CF4-F4E82BF39C0A}">
      <text>
        <r>
          <rPr>
            <b/>
            <sz val="9"/>
            <color indexed="81"/>
            <rFont val="Tahoma"/>
            <family val="2"/>
          </rPr>
          <t>tenia 15 se modifica a 8</t>
        </r>
      </text>
    </comment>
    <comment ref="DZ22" authorId="0" shapeId="0" xr:uid="{98A94BEF-1E28-487C-B2FE-E0F635556CD9}">
      <text>
        <r>
          <rPr>
            <b/>
            <sz val="9"/>
            <color indexed="81"/>
            <rFont val="Tahoma"/>
            <family val="2"/>
          </rPr>
          <t>EN SUS DATOS MENCIONA QUE SON ALERTAS Y BOLETINES
Servicios especializados de ciberseguridad, en apoyo a la prevención y atención de eventos de ciberseguridad que comprometen infraestructuras de información tecnológica en atención a las peticiones realizadas por autoridades de los tres órdenes de gobierno, así como organismos de la Guardia Nacional, de enero a marzo 2026 se han atendido 04 casos de investigación cibernética, y se han elaborado 22 Gestiones de baja de sitios, 12 servicios de suspensión de contenido, 03 Análisis de Vulnerabilidades, 02 Servicios técnico/legales, 171 servicios de informes o dictámenes técnicos de ciberseguridad (Alertas y Boletines).</t>
        </r>
      </text>
    </comment>
    <comment ref="BX30" authorId="3" shapeId="0" xr:uid="{00000000-0006-0000-0000-000003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TENIA 11 PERO ERAN TRAFICO</t>
        </r>
      </text>
    </comment>
    <comment ref="BZ30" authorId="4" shapeId="0" xr:uid="{00000000-0006-0000-0000-000004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TENIA 5 PERO ERAN TRAFICO</t>
        </r>
      </text>
    </comment>
    <comment ref="B31" authorId="5" shapeId="0" xr:uid="{00000000-0006-0000-0000-000005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TOMARA A PARTIR DE DICIEMBRE -SEGUN LO REQUERIDO POR LA MTRA. MIRYAM</t>
        </r>
      </text>
    </comment>
    <comment ref="BX32" authorId="6" shapeId="0" xr:uid="{00000000-0006-0000-0000-000006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quitan de trata y pasan a trafico, según el detalle</t>
        </r>
      </text>
    </comment>
    <comment ref="B38" authorId="7" shapeId="0" xr:uid="{00000000-0006-0000-0000-000007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VIOLACIÓN DE LA INTIMIDAD PERSONAL Y FAMILIAR,VIOLENCIA DE GÉNERO,VIOLENCIA CONTRA LA INTIMIDAD SEXUAL,VIOLENCIA CONTRA LAS MUJERES,VIOLACIÓN A LA INTIMIDAD SEXUAL,VIOLENCIA DIGITAL</t>
        </r>
      </text>
    </comment>
    <comment ref="BY38" authorId="8" shapeId="0" xr:uid="{00000000-0006-0000-0000-000008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Tenia 3, se ajusta de acuerdo al detalle</t>
        </r>
      </text>
    </comment>
    <comment ref="CC38" authorId="9" shapeId="0" xr:uid="{00000000-0006-0000-0000-000009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Tenia 2, son 3 según el detalle</t>
        </r>
      </text>
    </comment>
    <comment ref="CG38" authorId="10" shapeId="0" xr:uid="{00000000-0006-0000-0000-00000A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1: se cambia a octubre , debido a que en PAT el enlace de información tiene 87 ciberinvestigaciones en mayo</t>
        </r>
      </text>
    </comment>
    <comment ref="CQ38" authorId="11" shapeId="0" xr:uid="{00000000-0006-0000-0000-00000B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 1 UAGN de mayo, debido a que el enlace de información tiene 87 ciberinvestigaciones en mayo</t>
        </r>
      </text>
    </comment>
    <comment ref="AQ43" authorId="12" shapeId="0" xr:uid="{00000000-0006-0000-0000-00000C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EL AREA INDICA QUE ES 1 DEMIGRANTES</t>
        </r>
      </text>
    </comment>
    <comment ref="AU43" authorId="13" shapeId="0" xr:uid="{00000000-0006-0000-0000-00000D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EL ÁREA INDICA QUE EN AGOSTO FALTO REPORTAR EN POA 1</t>
        </r>
      </text>
    </comment>
    <comment ref="AQ44" authorId="14" shapeId="0" xr:uid="{00000000-0006-0000-0000-00000E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1 DE MIGRANTES</t>
        </r>
      </text>
    </comment>
    <comment ref="B48" authorId="15" shapeId="0" xr:uid="{00000000-0006-0000-0000-00000F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29/08/2024
Se agrega rubro, denuncia de Atención Ciudadana</t>
        </r>
      </text>
    </comment>
    <comment ref="CO49" authorId="16" shapeId="0" xr:uid="{00000000-0006-0000-0000-000010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Atención Ciudadana</t>
        </r>
      </text>
    </comment>
    <comment ref="BW56" authorId="17" shapeId="0" xr:uid="{00000000-0006-0000-0000-000011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Son dos víctimas identificadas en la 1a en POA no lo reportaron pasa a la 2 de diciembre</t>
        </r>
      </text>
    </comment>
    <comment ref="CK56" authorId="18" shapeId="0" xr:uid="{00000000-0006-0000-0000-000012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Tener en cuenta ivan alejandro castillo leon
Respuesta:
    En esta quincena NO había victima de IVAN ALEJANDRO CASILLO LEON. 
12-08-2024 CENADEM INFORMA: que solo cambio el estatus de identificada a recuperada para la victima, pero no informo del cambio. SOLO ENVIO EL RELEVANTE Y SE REPORTO COMO OTRA VICTIMA. 
LO CORRECTO  EN ESTA QUINCENA ES 1 VICTIMA.</t>
        </r>
      </text>
    </comment>
    <comment ref="CL56" authorId="19" shapeId="0" xr:uid="{00000000-0006-0000-0000-000013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había dejado 7, se ajusta a 6 ya se habían enviado los reportes.
</t>
        </r>
      </text>
    </comment>
    <comment ref="BU60" authorId="20" shapeId="0" xr:uid="{00000000-0006-0000-0000-000014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POR ERROR INVOLUNTARIO NO SE CONTARON 2 ALERTAS, PASAN A LA 1A QUINCENA DE DICIEMBRE </t>
        </r>
      </text>
    </comment>
    <comment ref="BV60" authorId="21" shapeId="0" xr:uid="{00000000-0006-0000-0000-000015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agregan 02 alertas de noviembre</t>
        </r>
      </text>
    </comment>
    <comment ref="BN61" authorId="22" shapeId="0" xr:uid="{00000000-0006-0000-0000-000016000000}">
      <text>
        <r>
          <rPr>
            <b/>
            <sz val="9"/>
            <color indexed="81"/>
            <rFont val="Tahoma"/>
            <family val="2"/>
          </rPr>
          <t>EDITH GUADALUPE CASTILLO MALPICA:</t>
        </r>
        <r>
          <rPr>
            <sz val="9"/>
            <color indexed="81"/>
            <rFont val="Tahoma"/>
            <family val="2"/>
          </rPr>
          <t xml:space="preserve">
en la primera de agosto los localizados son 3 sin embargo se reporto solo uno por lo tanto los otros dos sumaran en la segundda quincena</t>
        </r>
      </text>
    </comment>
    <comment ref="BO61" authorId="22" shapeId="0" xr:uid="{00000000-0006-0000-0000-000017000000}">
      <text>
        <r>
          <rPr>
            <b/>
            <sz val="9"/>
            <color indexed="81"/>
            <rFont val="Tahoma"/>
            <family val="2"/>
          </rPr>
          <t>EDITH GUADALUPE CASTILLO MALPICA:</t>
        </r>
        <r>
          <rPr>
            <sz val="9"/>
            <color indexed="81"/>
            <rFont val="Tahoma"/>
            <family val="2"/>
          </rPr>
          <t xml:space="preserve">
se realizaron 6 alerta amber localizadas sin embargo se sumaran las 2 de la primera quincena de agosto por lo que sumaran 8 a reportar</t>
        </r>
      </text>
    </comment>
    <comment ref="BW64" authorId="23" shapeId="0" xr:uid="{00000000-0006-0000-0000-000018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REVISAR SACDE PASADO</t>
        </r>
      </text>
    </comment>
    <comment ref="CA64" authorId="24" shapeId="0" xr:uid="{00000000-0006-0000-0000-000019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REVISAR SACDE PASADO</t>
        </r>
      </text>
    </comment>
    <comment ref="B65" authorId="25" shapeId="0" xr:uid="{00000000-0006-0000-0000-00001A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ATENCIÓN CIUDADANA ANTES: Monitoreo de sitios web en internet (30-01-2025)</t>
        </r>
      </text>
    </comment>
    <comment ref="BO68" authorId="26" shapeId="0" xr:uid="{00000000-0006-0000-0000-00001B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CERT; INFORMA QUE SON 19.
ANTES REPORTARON  15</t>
        </r>
      </text>
    </comment>
    <comment ref="BO69" authorId="27" shapeId="0" xr:uid="{00000000-0006-0000-0000-00001C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CERT INFORMA SON 59.
ANTES REPORTO 63</t>
        </r>
      </text>
    </comment>
    <comment ref="CJ75" authorId="28" shapeId="0" xr:uid="{00000000-0006-0000-0000-00001D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265 SE PASA A LA 2A QUINCENA DE SEPTIEMBRE</t>
        </r>
      </text>
    </comment>
    <comment ref="CO75" authorId="29" shapeId="0" xr:uid="{00000000-0006-0000-0000-00001E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Para el mes de septiembre se suma la 1a quincena de julio</t>
        </r>
      </text>
    </comment>
    <comment ref="CJ77" authorId="30" shapeId="0" xr:uid="{00000000-0006-0000-0000-00001F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1: PASA A LA 2A QUINCENA DE SEPTIEMBRE</t>
        </r>
      </text>
    </comment>
    <comment ref="CJ78" authorId="31" shapeId="0" xr:uid="{00000000-0006-0000-0000-000020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262 PASA A LA 2A QUINCENA DE SEPTIEMBRE</t>
        </r>
      </text>
    </comment>
    <comment ref="CJ79" authorId="32" shapeId="0" xr:uid="{00000000-0006-0000-0000-000021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2: PASA A LA 2A QUINCENA DE SEPT</t>
        </r>
      </text>
    </comment>
    <comment ref="CA84" authorId="33" shapeId="0" xr:uid="{00000000-0006-0000-0000-000022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Tenia 8837460</t>
        </r>
      </text>
    </comment>
    <comment ref="CC84" authorId="34" shapeId="0" xr:uid="{00000000-0006-0000-0000-000023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LAS CIFRAS DE ESTE MES NO LAS REPORTO EL AREA SE PASAN A LA 1A QUINCENA DE JUNIO</t>
        </r>
      </text>
    </comment>
    <comment ref="CE84" authorId="35" shapeId="0" xr:uid="{00000000-0006-0000-0000-000024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REPORTO LO QUE INDICAN EN CORREO NO SE ABRIO EL ARCHIVO
Respuesta:
    153144</t>
        </r>
      </text>
    </comment>
    <comment ref="CF84" authorId="36" shapeId="0" xr:uid="{00000000-0006-0000-0000-000025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REPORTO LA CIFRA DEL CORREO NO ENVIARON ARCHIVO
#InternetSeguroParaTodasyTodos 2,708,320 
#JusticiaYPaz 2,480,140 </t>
        </r>
      </text>
    </comment>
    <comment ref="CG84" authorId="37" shapeId="0" xr:uid="{00000000-0006-0000-0000-000026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tomo en cuenta lo que restaba de la 1a quincena de mayo que no habían reportado + la 2a de mayo</t>
        </r>
      </text>
    </comment>
    <comment ref="CH84" authorId="38" shapeId="0" xr:uid="{00000000-0006-0000-0000-000027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PARA ESTA QUINCENA DE JUNIO EL AREA DE PREVENCIÓN SOLICITA SE CONSIDERA LAS VISUALIZACIONES DE LA 2A QUINCENA DE MARZO QUE NO HABIAN REPORTADO.
SE CONSIDERAN LAS SEMANAS DE 
02 al 08 de mar.
09 al 15 de mar.
16 al 22 de mar.
MAS LO REPORTADO EN LA 1A QUINCENA DE JUNIO </t>
        </r>
      </text>
    </comment>
    <comment ref="CE85" authorId="39" shapeId="0" xr:uid="{00000000-0006-0000-0000-000028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Tenia 40
</t>
        </r>
      </text>
    </comment>
    <comment ref="CM85" authorId="40" shapeId="0" xr:uid="{00000000-0006-0000-0000-000029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Tenia 114
</t>
        </r>
      </text>
    </comment>
    <comment ref="CY85" authorId="41" shapeId="0" xr:uid="{00000000-0006-0000-0000-00002A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Dato anterior 7049 error por lanzamiento campaña</t>
        </r>
      </text>
    </comment>
    <comment ref="DJ86" authorId="0" shapeId="0" xr:uid="{46CB3209-D410-420C-AC06-3F183E4523A5}">
      <text>
        <r>
          <rPr>
            <b/>
            <sz val="9"/>
            <color indexed="81"/>
            <rFont val="Tahoma"/>
            <family val="2"/>
          </rPr>
          <t xml:space="preserve">se habian contemplado 16 pero 1 no cuenta para poa (PREV-2025-019b)
SON 15 ACTIVIDADES
SE AJUSTA A 15
</t>
        </r>
      </text>
    </comment>
    <comment ref="DK86" authorId="0" shapeId="0" xr:uid="{183751CE-D8AF-4BD6-83A1-5AA46459C75F}">
      <text>
        <r>
          <rPr>
            <b/>
            <sz val="9"/>
            <color indexed="81"/>
            <rFont val="Tahoma"/>
            <family val="2"/>
          </rPr>
          <t>PREVENCIÓN reporta 04 actividades
de PNHGIC son 4 actividades 
2-59
2-93</t>
        </r>
      </text>
    </comment>
    <comment ref="AB87" authorId="42" shapeId="0" xr:uid="{00000000-0006-0000-0000-00002B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FORO</t>
        </r>
      </text>
    </comment>
    <comment ref="AE87" authorId="43" shapeId="0" xr:uid="{00000000-0006-0000-0000-00002C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01 FORO; 01 ASESORIA</t>
        </r>
      </text>
    </comment>
    <comment ref="AF87" authorId="44" shapeId="0" xr:uid="{00000000-0006-0000-0000-00002D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09 ASESORIAS; 03 FOROS</t>
        </r>
      </text>
    </comment>
    <comment ref="AH87" authorId="45" shapeId="0" xr:uid="{00000000-0006-0000-0000-00002E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FORO</t>
        </r>
      </text>
    </comment>
    <comment ref="AK87" authorId="46" shapeId="0" xr:uid="{00000000-0006-0000-0000-00002F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FORO</t>
        </r>
      </text>
    </comment>
    <comment ref="AL87" authorId="47" shapeId="0" xr:uid="{00000000-0006-0000-0000-000030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FORO</t>
        </r>
      </text>
    </comment>
    <comment ref="AM87" authorId="48" shapeId="0" xr:uid="{00000000-0006-0000-0000-000031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FORO</t>
        </r>
      </text>
    </comment>
    <comment ref="DM87" authorId="0" shapeId="0" xr:uid="{3B139ED9-B6CF-4C8F-8F94-F3CF6FB9E08A}">
      <text>
        <r>
          <rPr>
            <b/>
            <sz val="9"/>
            <color indexed="81"/>
            <rFont val="Tahoma"/>
            <family val="2"/>
          </rPr>
          <t>ANTERIORMENTE SE TENIA 0 PERO HAY 1 TALLER DE REPLICADORES</t>
        </r>
      </text>
    </comment>
    <comment ref="CY88" authorId="0" shapeId="0" xr:uid="{BD452F32-2857-41B8-BACD-7BC597614E57}">
      <text>
        <r>
          <rPr>
            <b/>
            <sz val="9"/>
            <color indexed="81"/>
            <rFont val="Tahoma"/>
            <family val="2"/>
          </rPr>
          <t>ANTERIORMENTE SE TENIAN 2; SE ESTABA CONTEMPLANDO LA INAUGURACIÓN DE LA CAMPAÑA INTERNET SEGURO PARA TODAS Y TODOS</t>
        </r>
      </text>
    </comment>
    <comment ref="DM88" authorId="0" shapeId="0" xr:uid="{4429DDA0-5A95-402D-A89C-E4C036A8824F}">
      <text>
        <r>
          <rPr>
            <b/>
            <sz val="9"/>
            <color indexed="81"/>
            <rFont val="Tahoma"/>
            <family val="2"/>
          </rPr>
          <t xml:space="preserve">ANTERIORMENTE SE TENIA 1 PERO ES TALLER DE REPLICADORES </t>
        </r>
      </text>
    </comment>
    <comment ref="DO88" authorId="0" shapeId="0" xr:uid="{9B5191C4-05A2-49F4-AF55-7DC4225DFE6F}">
      <text>
        <r>
          <rPr>
            <b/>
            <sz val="9"/>
            <color indexed="81"/>
            <rFont val="Tahoma"/>
            <family val="2"/>
          </rPr>
          <t>se contemplan 2 en memoria anual proximidad para cuadrar la cifra de febrero</t>
        </r>
      </text>
    </comment>
    <comment ref="CY89" authorId="0" shapeId="0" xr:uid="{EA07467F-29EF-4B04-A680-081C8B69D5B9}">
      <text>
        <r>
          <rPr>
            <b/>
            <sz val="9"/>
            <color indexed="81"/>
            <rFont val="Tahoma"/>
            <family val="2"/>
          </rPr>
          <t>ANTERIROMENTE SE TENIA 0. LO CORRECTO ES 1  POR LA INAUGURACIÓN DE LA CAMPAÑA INTERNET SEGURO PARA TODAS Y TODOS</t>
        </r>
      </text>
    </comment>
    <comment ref="DO89" authorId="0" shapeId="0" xr:uid="{701C9B21-1F87-4E73-B6AB-DE73AE1E210D}">
      <text>
        <r>
          <rPr>
            <b/>
            <sz val="9"/>
            <color indexed="81"/>
            <rFont val="Tahoma"/>
            <family val="2"/>
          </rPr>
          <t>en el mes de octubre se suma 1  (de 15 se deja en 16)  para cuadrar cifra de febrero y en el reporte de proximidad</t>
        </r>
      </text>
    </comment>
    <comment ref="BT90" authorId="49" shapeId="0" xr:uid="{00000000-0006-0000-0000-000032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02 panel
01 foro</t>
        </r>
      </text>
    </comment>
    <comment ref="B92" authorId="0" shapeId="0" xr:uid="{08FE7CD2-D3DA-417B-A6B1-503E26F188B8}">
      <text>
        <r>
          <rPr>
            <b/>
            <sz val="9"/>
            <color indexed="81"/>
            <rFont val="Tahoma"/>
            <family val="2"/>
          </rPr>
          <t xml:space="preserve">22-12-2025
EL AREA DE PREVENCIÓN (JHONATAN), INDICA QUE CONSIDERA INFORMAR LA CIFRA UNICAMENTE (FORMAL)  EN LOS MESES DE NOV,DIC Y ENERO, MESES EN LOS QUE SE REALIZA LA JORNADA DE CADA AÑO.
LOS DEMAS SOLO SE REALIZA EL REGISTRO PARA SEGUIMIENTO. </t>
        </r>
      </text>
    </comment>
    <comment ref="CS92" authorId="50" shapeId="0" xr:uid="{00000000-0006-0000-0000-000033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#MexicoContraElCiberFraude (01 a 25 Nov 2024)
16,441,643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tc={E272C621-078C-4F90-932C-76C5EA5FE0D5}</author>
    <author>tc={86F186DF-3BD7-4871-BF5C-7ACDB6258A84}</author>
  </authors>
  <commentList>
    <comment ref="R4" authorId="0" shapeId="0" xr:uid="{00000000-0006-0000-0100-000001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CERT; INFORMA QUE SON 19.
ANTES REPORTARON  15</t>
        </r>
      </text>
    </comment>
    <comment ref="R5" authorId="1" shapeId="0" xr:uid="{00000000-0006-0000-0100-000002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CERT INFORMA SON 59.
ANTES REPORTO 63
Respuesta:
    Lo correcto es 15 y 63
Respuesta:
    Lo anterior estaba 19 y 59</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tc={554784EC-997A-4DEC-8E6C-08A679ECA070}</author>
  </authors>
  <commentList>
    <comment ref="AP3" authorId="0" shapeId="0" xr:uid="{00000000-0006-0000-0200-000001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quincenal
16</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tc={EBDEF20A-2735-4BB4-936D-72FF50E69096}</author>
    <author>tc={CAA2EE2B-19BD-4B99-AD05-830266B61A67}</author>
    <author>tc={4C739F31-FAE8-4E16-9839-1385A0830CDF}</author>
    <author>tc={EE0A3196-71CE-4B84-84B3-0D0FDCAEABAE}</author>
    <author>tc={2C2DE982-5153-4ED7-AB80-F1C2870AACEA}</author>
    <author>tc={5E1A26CC-5336-4BBF-93E5-FD59DC80AE80}</author>
    <author>tc={F5D5B772-7D6B-40A7-8807-1BA9E65B1EDA}</author>
    <author>tc={4CA042CA-FCC7-42E6-9CF2-FE95EFB3C220}</author>
    <author>tc={9ECB4DF3-BADA-4012-B5D4-A73427A9398A}</author>
    <author>tc={D10FC9C7-22E3-4309-8580-DE8614F33CE9}</author>
    <author>tc={39EC51D6-2CF4-476A-B340-F868F5114615}</author>
    <author>tc={4F1A0387-335D-4F49-B8DE-50C45C647248}</author>
    <author>tc={8D60BB74-0F24-4B9C-95ED-126A88556F35}</author>
    <author>tc={E63DB458-B4AE-4BCC-BF0C-5287B6EB5B2F}</author>
    <author>tc={1F86DF97-090D-493C-83D9-E4A691ACD1E4}</author>
    <author>tc={5F585C78-CF64-43D1-93E0-C9F6EB2CAE1C}</author>
    <author>tc={D0B3CBDF-9AB4-44C4-9C24-70A814A0DC20}</author>
    <author>tc={F680D680-F73E-45BF-8887-D8D4A0C5B267}</author>
    <author>tc={7A406F24-F125-4DBD-BD64-11D0FC8A99B4}</author>
    <author>tc={5DBA7C54-26FF-49B0-9EB4-6C9A5B573FE8}</author>
    <author>EDITH GUADALUPE CASTILLO MALPICA</author>
    <author>tc={7E84F90F-9DA0-4C29-B382-3199A5491AA9}</author>
    <author>tc={7D2A8800-3E4C-42C8-A191-323A816EE507}</author>
    <author>tc={5A978C01-AA09-4680-8974-326CB380A158}</author>
    <author>VANESSA ARGELIA DE JESUS PERALTA</author>
    <author>tc={1F486EA3-B891-4105-B370-59F864D3F55D}</author>
    <author>tc={1C417F96-B1CB-4925-94A4-B36CB5DCD845}</author>
    <author>tc={2062E54C-420E-4940-B8C2-8C91FE4CCB9E}</author>
    <author>tc={CDA55848-23E7-4E10-BD97-4DF75B793F41}</author>
    <author>tc={748EC84E-88F6-4FA9-B7AA-2DF217ADF6CE}</author>
    <author>tc={49B8603B-183B-4407-BC29-9E878B4844CB}</author>
    <author>tc={F5C51E12-FEC1-4DD1-B27C-FF66E34A04C0}</author>
    <author>tc={9D63C1EF-8D60-40FA-9BC8-9486EFD7F453}</author>
    <author>tc={DEDD9819-78DB-4E2E-9893-CEE3D58C9D57}</author>
    <author>tc={D4F01B9C-853B-450F-ABCE-3A02BEC777FB}</author>
    <author>tc={C8E36DB5-6F39-4995-9C60-997F6A130766}</author>
    <author>tc={E9C4CC4C-7928-430E-BA3B-D29CE96C0FCA}</author>
    <author>tc={B3B855A7-A9D6-4F29-BAEE-AEB4292A488F}</author>
    <author>tc={58788B9C-85F4-49DA-A340-7AD554E94FB0}</author>
    <author>tc={550BDC9F-0BF4-4F69-8D42-602E1B03B24D}</author>
    <author>tc={356F1119-CFA4-49CA-90BD-8E6979507C49}</author>
    <author>tc={25257CC2-5315-4AF3-8C5B-0F970C7400BA}</author>
    <author>tc={A60A6214-B39A-4217-B539-7BAC38D7C2E5}</author>
    <author>tc={2067281D-A250-4BD0-B5D7-B4FA17073E3F}</author>
  </authors>
  <commentList>
    <comment ref="CJ13" authorId="0" shapeId="0" xr:uid="{00000000-0006-0000-0400-000001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265 SE PASA A LA 2A QUINCENA DE SEPTIEMBRE</t>
        </r>
      </text>
    </comment>
    <comment ref="CO13" authorId="1" shapeId="0" xr:uid="{00000000-0006-0000-0400-000002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Para el mes de septiembre se suma la 1a quincena de julio</t>
        </r>
      </text>
    </comment>
    <comment ref="CJ23" authorId="2" shapeId="0" xr:uid="{00000000-0006-0000-0400-000003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1: PASA A LA 2A QUINCENA DE SEPTIEMBRE</t>
        </r>
      </text>
    </comment>
    <comment ref="CJ24" authorId="3" shapeId="0" xr:uid="{00000000-0006-0000-0400-000004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262 PASA A LA 2A QUINCENA DE SEPTIEMBRE</t>
        </r>
      </text>
    </comment>
    <comment ref="CJ25" authorId="4" shapeId="0" xr:uid="{00000000-0006-0000-0400-000005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2: PASA A LA 2A QUINCENA DE SEPT</t>
        </r>
      </text>
    </comment>
    <comment ref="BO29" authorId="5" shapeId="0" xr:uid="{00000000-0006-0000-0400-000006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CERT; INFORMA QUE SON 19.
ANTES REPORTARON  15</t>
        </r>
      </text>
    </comment>
    <comment ref="BO30" authorId="6" shapeId="0" xr:uid="{00000000-0006-0000-0400-000007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CERT INFORMA SON 59.
ANTES REPORTO 63</t>
        </r>
      </text>
    </comment>
    <comment ref="AQ48" authorId="7" shapeId="0" xr:uid="{00000000-0006-0000-0400-000008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EL AREA INDICA QUE ES 1 DEMIGRANTES</t>
        </r>
      </text>
    </comment>
    <comment ref="AU48" authorId="8" shapeId="0" xr:uid="{00000000-0006-0000-0400-000009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EL ÁREA INDICA QUE EN AGOSTO FALTO REPORTAR EN POA 1</t>
        </r>
      </text>
    </comment>
    <comment ref="AQ49" authorId="9" shapeId="0" xr:uid="{00000000-0006-0000-0400-00000A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1 DE MIGRANTES</t>
        </r>
      </text>
    </comment>
    <comment ref="B53" authorId="10" shapeId="0" xr:uid="{00000000-0006-0000-0400-00000B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29/08/2024
Se agrega rubro, denuncia de Atención Ciudadana</t>
        </r>
      </text>
    </comment>
    <comment ref="CO54" authorId="11" shapeId="0" xr:uid="{00000000-0006-0000-0400-00000C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Atención Ciudadana</t>
        </r>
      </text>
    </comment>
    <comment ref="BW62" authorId="12" shapeId="0" xr:uid="{00000000-0006-0000-0400-00000D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REVISAR SACDE PASADO</t>
        </r>
      </text>
    </comment>
    <comment ref="CA62" authorId="13" shapeId="0" xr:uid="{00000000-0006-0000-0400-00000E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REVISAR SACDE PASADO</t>
        </r>
      </text>
    </comment>
    <comment ref="B63" authorId="14" shapeId="0" xr:uid="{00000000-0006-0000-0400-00000F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ATENCIÓN CIUDADANA ANTES: Monitoreo de sitios web en internet (30-01-2025)</t>
        </r>
      </text>
    </comment>
    <comment ref="BW66" authorId="15" shapeId="0" xr:uid="{00000000-0006-0000-0400-000010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Son dos víctimas identificadas en la 1a en POA no lo reportaron pasa a la 2 de diciembre</t>
        </r>
      </text>
    </comment>
    <comment ref="CK66" authorId="16" shapeId="0" xr:uid="{00000000-0006-0000-0400-000011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Tener en cuenta ivan alejandro castillo leon
Respuesta:
    En esta quincena NO había victima de IVAN ALEJANDRO CASILLO LEON. 
12-08-2024 CENADEM INFORMA: que solo cambio el estatus de identificada a recuperada para la victima, pero no informo del cambio. SOLO ENVIO EL RELEVANTE Y SE REPORTO COMO OTRA VICTIMA. 
LO CORRECTO  EN ESTA QUINCENA ES 1 VICTIMA.</t>
        </r>
      </text>
    </comment>
    <comment ref="CL66" authorId="17" shapeId="0" xr:uid="{00000000-0006-0000-0400-000012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había dejado 7, se ajusta a 6 ya se habían enviado los reportes.
</t>
        </r>
      </text>
    </comment>
    <comment ref="BU77" authorId="18" shapeId="0" xr:uid="{00000000-0006-0000-0400-000013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POR ERROR INVOLUNTARIO NO SE CONTARON 2 ALERTAS, PASAN A LA 1A QUINCENA DE DICIEMBRE </t>
        </r>
      </text>
    </comment>
    <comment ref="BV77" authorId="19" shapeId="0" xr:uid="{00000000-0006-0000-0400-000014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agregan 02 alertas de noviembre</t>
        </r>
      </text>
    </comment>
    <comment ref="BN78" authorId="20" shapeId="0" xr:uid="{00000000-0006-0000-0400-000015000000}">
      <text>
        <r>
          <rPr>
            <b/>
            <sz val="9"/>
            <color indexed="81"/>
            <rFont val="Tahoma"/>
            <family val="2"/>
          </rPr>
          <t>EDITH GUADALUPE CASTILLO MALPICA:</t>
        </r>
        <r>
          <rPr>
            <sz val="9"/>
            <color indexed="81"/>
            <rFont val="Tahoma"/>
            <family val="2"/>
          </rPr>
          <t xml:space="preserve">
en la primera de agosto los localizados son 3 sin embargo se reporto solo uno por lo tanto los otros dos sumaran en la segundda quincena</t>
        </r>
      </text>
    </comment>
    <comment ref="BO78" authorId="20" shapeId="0" xr:uid="{00000000-0006-0000-0400-000016000000}">
      <text>
        <r>
          <rPr>
            <b/>
            <sz val="9"/>
            <color indexed="81"/>
            <rFont val="Tahoma"/>
            <family val="2"/>
          </rPr>
          <t>EDITH GUADALUPE CASTILLO MALPICA:</t>
        </r>
        <r>
          <rPr>
            <sz val="9"/>
            <color indexed="81"/>
            <rFont val="Tahoma"/>
            <family val="2"/>
          </rPr>
          <t xml:space="preserve">
se realizaron 6 alerta amber localizadas sin embargo se sumaran las 2 de la primera quincena de agosto por lo que sumaran 8 a reportar</t>
        </r>
      </text>
    </comment>
    <comment ref="BX87" authorId="21" shapeId="0" xr:uid="{00000000-0006-0000-0400-000017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TENIA 11 PERO ERAN TRAFICO</t>
        </r>
      </text>
    </comment>
    <comment ref="BZ87" authorId="22" shapeId="0" xr:uid="{00000000-0006-0000-0400-000018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TENIA 5 PERO ERAN TRAFICO</t>
        </r>
      </text>
    </comment>
    <comment ref="BX88" authorId="23" shapeId="0" xr:uid="{00000000-0006-0000-0400-000019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quitan de trata y pasan a trafico, según el detalle</t>
        </r>
      </text>
    </comment>
    <comment ref="DL94" authorId="24" shapeId="0" xr:uid="{C5AA4862-AF6B-4139-86EE-49665D3D30F7}">
      <text>
        <r>
          <rPr>
            <b/>
            <sz val="9"/>
            <color indexed="81"/>
            <rFont val="Tahoma"/>
            <family val="2"/>
          </rPr>
          <t>VIOLENCIA POLITICA EN RAZON DE GENERO</t>
        </r>
      </text>
    </comment>
    <comment ref="DM94" authorId="24" shapeId="0" xr:uid="{C31387DD-ED71-4369-BB93-F8A5AA0183E0}">
      <text>
        <r>
          <rPr>
            <b/>
            <sz val="9"/>
            <color indexed="81"/>
            <rFont val="Tahoma"/>
            <family val="2"/>
          </rPr>
          <t>VIOLENCIA POLITICA EN RAZON DE GENERO</t>
        </r>
      </text>
    </comment>
    <comment ref="CN97" authorId="25" shapeId="0" xr:uid="{00000000-0006-0000-0400-00001A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agregan 06 servicios de la 2a quincena de agosto
Respuesta:
    1a quincena de septiembre 11 servicios.
Se suman los 6 de la segunda quincena de agosto, en total : 17</t>
        </r>
      </text>
    </comment>
    <comment ref="CN98" authorId="26" shapeId="0" xr:uid="{00000000-0006-0000-0400-00001B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agregan 03 solicitudes de la 2a quincena de agosto
Respuesta:
    1a quincena de septiembre 5 solicitudes atendidas. 
Se suman las 3 sol de la 2a quincena de agosto, en total :8 solicitudes</t>
        </r>
      </text>
    </comment>
    <comment ref="CA101" authorId="27" shapeId="0" xr:uid="{00000000-0006-0000-0400-00001C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Tenia 8837460</t>
        </r>
      </text>
    </comment>
    <comment ref="CC101" authorId="28" shapeId="0" xr:uid="{00000000-0006-0000-0400-00001D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LAS CIFRAS DE ESTE MES NO LAS REPORTO EL AREA SE PASAN A LA 1A QUINCENA DE JUNIO</t>
        </r>
      </text>
    </comment>
    <comment ref="CE101" authorId="29" shapeId="0" xr:uid="{00000000-0006-0000-0400-00001E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REPORTO LO QUE INDICAN EN CORREO NO SE ABRIO EL ARCHIVO
Respuesta:
    153144</t>
        </r>
      </text>
    </comment>
    <comment ref="CF101" authorId="30" shapeId="0" xr:uid="{00000000-0006-0000-0400-00001F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REPORTO LA CIFRA DEL CORREO NO ENVIARON ARCHIVO
#InternetSeguroParaTodasyTodos 2,708,320 
#JusticiaYPaz 2,480,140 </t>
        </r>
      </text>
    </comment>
    <comment ref="CG101" authorId="31" shapeId="0" xr:uid="{00000000-0006-0000-0400-000020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tomo en cuenta lo que restaba de la 1a quincena de mayo que no habían reportado + la 2a de mayo</t>
        </r>
      </text>
    </comment>
    <comment ref="CH101" authorId="32" shapeId="0" xr:uid="{00000000-0006-0000-0400-000021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PARA ESTA QUINCENA DE JUNIO EL AREA DE PREVENCIÓN SOLICITA SE CONSIDERA LAS VISUALIZACIONES DE LA 2A QUINCENA DE MARZO QUE NO HABIAN REPORTADO.
SE CONSIDERAN LAS SEMANAS DE 
02 al 08 de mar.
09 al 15 de mar.
16 al 22 de mar.
MAS LO REPORTADO EN LA 1A QUINCENA DE JUNIO </t>
        </r>
      </text>
    </comment>
    <comment ref="CE102" authorId="33" shapeId="0" xr:uid="{00000000-0006-0000-0400-000022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Tenia 40
</t>
        </r>
      </text>
    </comment>
    <comment ref="CM102" authorId="34" shapeId="0" xr:uid="{00000000-0006-0000-0400-000023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Tenia 114
</t>
        </r>
      </text>
    </comment>
    <comment ref="AB104" authorId="35" shapeId="0" xr:uid="{00000000-0006-0000-0400-000024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FORO</t>
        </r>
      </text>
    </comment>
    <comment ref="AE104" authorId="36" shapeId="0" xr:uid="{00000000-0006-0000-0400-000025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01 FORO; 01 ASESORIA</t>
        </r>
      </text>
    </comment>
    <comment ref="AF104" authorId="37" shapeId="0" xr:uid="{00000000-0006-0000-0400-000026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09 ASESORIAS; 03 FOROS</t>
        </r>
      </text>
    </comment>
    <comment ref="AH104" authorId="38" shapeId="0" xr:uid="{00000000-0006-0000-0400-000027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FORO</t>
        </r>
      </text>
    </comment>
    <comment ref="AK104" authorId="39" shapeId="0" xr:uid="{00000000-0006-0000-0400-000028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FORO</t>
        </r>
      </text>
    </comment>
    <comment ref="AL104" authorId="40" shapeId="0" xr:uid="{00000000-0006-0000-0400-000029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FORO</t>
        </r>
      </text>
    </comment>
    <comment ref="AM104" authorId="41" shapeId="0" xr:uid="{00000000-0006-0000-0400-00002A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FORO</t>
        </r>
      </text>
    </comment>
    <comment ref="DM104" authorId="24" shapeId="0" xr:uid="{BA426436-CE43-4426-82C4-6873821D61F9}">
      <text>
        <r>
          <rPr>
            <b/>
            <sz val="9"/>
            <color indexed="81"/>
            <rFont val="Tahoma"/>
            <family val="2"/>
          </rPr>
          <t>ANTERIORMENTE ERA 0, PERO ES 1 TALLER DE REPLICADORES</t>
        </r>
      </text>
    </comment>
    <comment ref="CY105" authorId="24" shapeId="0" xr:uid="{DF67FF89-8A2D-4A20-AE4E-9AF0021B19A5}">
      <text>
        <r>
          <rPr>
            <b/>
            <sz val="9"/>
            <color indexed="81"/>
            <rFont val="Tahoma"/>
            <family val="2"/>
          </rPr>
          <t>ANTERIOMENTE SE TENIA 2, PERO 1 CONFERENCIA ES LA INAUGUARACIÓN DE LA CAMPAÑA INTERNET SEGURO PARA TODAS Y TODOS</t>
        </r>
      </text>
    </comment>
    <comment ref="DM105" authorId="24" shapeId="0" xr:uid="{F0DAA960-8EDE-4264-816C-F730919BBBF0}">
      <text>
        <r>
          <rPr>
            <b/>
            <sz val="9"/>
            <color indexed="81"/>
            <rFont val="Tahoma"/>
            <family val="2"/>
          </rPr>
          <t>ANTERIORMENTE SE TENIA 1 PERO ES TALLER DE REPLICADORES</t>
        </r>
      </text>
    </comment>
    <comment ref="DO105" authorId="24" shapeId="0" xr:uid="{B8A33528-129B-44A3-BF0B-4B27C3CEDB3A}">
      <text>
        <r>
          <rPr>
            <b/>
            <sz val="9"/>
            <color indexed="81"/>
            <rFont val="Tahoma"/>
            <family val="2"/>
          </rPr>
          <t>en memori anual se dejaron 2 para cuadrar la cifra: teniamos 1 platica de mas en febrero que es conferencia (inauguraciónsemana ciber)</t>
        </r>
      </text>
    </comment>
    <comment ref="CY106" authorId="24" shapeId="0" xr:uid="{31ABB7DF-E6FC-40B0-8FC2-AB85CD13C253}">
      <text>
        <r>
          <rPr>
            <b/>
            <sz val="9"/>
            <color indexed="81"/>
            <rFont val="Tahoma"/>
            <family val="2"/>
          </rPr>
          <t>ANTERIORMENTE SE TENIA 0, PERO 1 ES CONFERENCIA DE LA INAUGURACIÓN INTERNET SEGURO PARA TODAS Y TODOS</t>
        </r>
      </text>
    </comment>
    <comment ref="DO106" authorId="24" shapeId="0" xr:uid="{0002108A-F64A-473B-8DFA-4609DD7D6B48}">
      <text>
        <r>
          <rPr>
            <b/>
            <sz val="9"/>
            <color indexed="81"/>
            <rFont val="Tahoma"/>
            <family val="2"/>
          </rPr>
          <t xml:space="preserve">en memoria anual se suna 1 mas que hacia fala en febrero conferencia de inauguración de internet seguro para todo y todas
</t>
        </r>
      </text>
    </comment>
    <comment ref="BT107" authorId="42" shapeId="0" xr:uid="{00000000-0006-0000-0400-00002B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02 panel
01 foro</t>
        </r>
      </text>
    </comment>
    <comment ref="B110" authorId="24" shapeId="0" xr:uid="{C6FF7F01-5F88-4813-9506-3C09BB18B5B5}">
      <text>
        <r>
          <rPr>
            <b/>
            <sz val="9"/>
            <color indexed="81"/>
            <rFont val="Tahoma"/>
            <family val="2"/>
          </rPr>
          <t xml:space="preserve">22-12-2025
EL AREA DE PREVENCIÓN (JHONATAN), INDICA QUE CONSIDERA INFORMAR LA CIFRA UNICAMENTE (FORMAL)  EN LOS MESES DE NOV,DIC Y ENERO, MESES EN LOS QUE SE REALIZA LA JORNADA DE CADA AÑO.
LOS DEMAS SOLO SE REALIZA EL REGISTRO PARA SEGUIMIENTO. </t>
        </r>
      </text>
    </comment>
    <comment ref="CS110" authorId="43" shapeId="0" xr:uid="{00000000-0006-0000-0400-00002C000000}">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#MexicoContraElCiberFraude (01 a 25 Nov 2024)
16,441,643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VANESSA ARGELIA DE JESUS PERALTA</author>
    <author>tc={562B7278-FA68-43A4-9E9C-5F419902C7A7}</author>
    <author>tc={E0F784BF-09F3-4BE0-9776-3D97932AE888}</author>
    <author>tc={3D48B06C-2F4E-413A-8842-03257AA91EE9}</author>
    <author>tc={ECEC7945-1796-4376-9D36-FA8F763E0B43}</author>
    <author>tc={8E973DF7-A3A2-49D1-9530-89F1D0680FBF}</author>
    <author>tc={568240F4-7985-4652-B522-2330E2844DBA}</author>
    <author>tc={07D900BB-3FF4-44DA-AA5D-AC360185E410}</author>
    <author>tc={10466D99-0651-419F-8231-FFC736133AF7}</author>
    <author>tc={A4BF30C0-6D14-469C-B921-614B4E0466B5}</author>
    <author>tc={7C136264-147D-4126-882C-F5D96106521A}</author>
    <author>tc={9ABE94C4-173D-4866-98DB-52F12B1F1788}</author>
    <author>tc={46C75488-E904-44A0-B4A1-6008D9F2F111}</author>
    <author>tc={DED4D916-093C-4A02-BB1F-349ABBF8633A}</author>
    <author>tc={0171A62A-2041-4897-A39D-CD6FE4AD0E7D}</author>
    <author>tc={5300C8B7-F1C2-4306-8886-4AB32FBFDAC5}</author>
    <author>tc={E301F896-F518-40B0-A6F8-5C2F0CBE04C4}</author>
    <author>tc={808E4C80-DFAB-4324-9DEC-CAF9B2EDC0F0}</author>
    <author>tc={CE4DAD37-8A4E-4320-AE58-18545E724BE5}</author>
    <author>tc={43654FF2-7596-4896-8AB6-CA4D91E25292}</author>
    <author>tc={205DE1FE-F562-4989-9AEE-B203C1AD4664}</author>
    <author>tc={4A27BF2F-C38A-4352-8880-112415993A06}</author>
    <author>tc={9BBA296F-DEF7-4657-AA1E-8C71A4C413BA}</author>
    <author>tc={8E7D1781-D78F-40FE-9369-92AAD518A095}</author>
    <author>tc={413F21D5-95DC-4DCD-81B2-934F182A6B83}</author>
    <author>tc={308F5479-4C53-487A-9CA7-568185258809}</author>
    <author>tc={3A6BA6DC-4322-448C-8D38-9CFDE1E4D62A}</author>
    <author>tc={1A9A6AE1-869F-4546-8BFF-1E93C83ABEDA}</author>
  </authors>
  <commentList>
    <comment ref="DL12" authorId="0" shapeId="0" xr:uid="{7F8F81E7-F6E4-4A3B-8235-2530D4D1F3B7}">
      <text>
        <r>
          <rPr>
            <b/>
            <sz val="8"/>
            <color indexed="81"/>
            <rFont val="Tahoma"/>
            <family val="2"/>
          </rPr>
          <t>APARTIR DE ESTA QUINCENA SE REPORTA SOLO CERT-MX. POR LA DIVISIÓN DE AREAS EN COMPAÑIAS</t>
        </r>
      </text>
    </comment>
    <comment ref="DZ20" authorId="0" shapeId="0" xr:uid="{F979D38F-04CA-4646-8C82-90B1127B0BD4}">
      <text>
        <r>
          <rPr>
            <b/>
            <sz val="9"/>
            <color indexed="81"/>
            <rFont val="Tahoma"/>
            <family val="2"/>
          </rPr>
          <t>EN SUS DATOS MENCIONA QUE SON ALERTAS Y BOLETINES
Servicios especializados de ciberseguridad, en apoyo a la prevención y atención de eventos de ciberseguridad que comprometen infraestructuras de información tecnológica en atención a las peticiones realizadas por autoridades de los tres órdenes de gobierno, así como organismos de la Guardia Nacional, de enero a marzo 2026 se han atendido 04 casos de investigación cibernética, y se han elaborado 22 Gestiones de baja de sitios, 12 servicios de suspensión de contenido, 03 Análisis de Vulnerabilidades, 02 Servicios técnico/legales, 171 servicios de informes o dictámenes técnicos de ciberseguridad (Alertas y Boletines).</t>
        </r>
      </text>
    </comment>
    <comment ref="BX33" authorId="1" shapeId="0" xr:uid="{7B4E7724-1CA4-4D32-A657-4867308297FA}">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TENIA 11 PERO ERAN TRAFICO</t>
        </r>
      </text>
    </comment>
    <comment ref="BZ33" authorId="2" shapeId="0" xr:uid="{FDB79DDE-1FCE-484B-929A-6D3BDA7828FB}">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TENIA 5 PERO ERAN TRAFICO</t>
        </r>
      </text>
    </comment>
    <comment ref="BO36" authorId="3" shapeId="0" xr:uid="{31B7AAF1-62E2-4F2E-9037-9CCC3ACA652D}">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CERT; INFORMA QUE SON 19.
ANTES REPORTARON  15</t>
        </r>
      </text>
    </comment>
    <comment ref="BO37" authorId="4" shapeId="0" xr:uid="{57C715AD-B60D-4604-993C-8FD8EAAB0FE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CERT INFORMA SON 59.
ANTES REPORTO 63</t>
        </r>
      </text>
    </comment>
    <comment ref="CJ43" authorId="5" shapeId="0" xr:uid="{475DA0A5-6D3E-411B-A5A8-CF978D630C19}">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265 SE PASA A LA 2A QUINCENA DE SEPTIEMBRE</t>
        </r>
      </text>
    </comment>
    <comment ref="CO43" authorId="6" shapeId="0" xr:uid="{C1AD3AA7-6111-43BD-9DA3-F07E23F0579A}">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Para el mes de septiembre se suma la 1a quincena de julio</t>
        </r>
      </text>
    </comment>
    <comment ref="CJ45" authorId="7" shapeId="0" xr:uid="{9704B8C8-042B-439C-B171-0C92268CD835}">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1: PASA A LA 2A QUINCENA DE SEPTIEMBRE</t>
        </r>
      </text>
    </comment>
    <comment ref="CJ46" authorId="8" shapeId="0" xr:uid="{632B4DF2-A6A6-4276-B736-3F7EFB96F5E2}">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262 PASA A LA 2A QUINCENA DE SEPTIEMBRE</t>
        </r>
      </text>
    </comment>
    <comment ref="CJ47" authorId="9" shapeId="0" xr:uid="{ABDE249A-8DE0-4AB3-8DBD-5F54D66C1CD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2: PASA A LA 2A QUINCENA DE SEPT</t>
        </r>
      </text>
    </comment>
    <comment ref="CA52" authorId="10" shapeId="0" xr:uid="{2E631EFC-E337-4A48-A334-FD133EBE6C6B}">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Tenia 8837460</t>
        </r>
      </text>
    </comment>
    <comment ref="CC52" authorId="11" shapeId="0" xr:uid="{42682B61-AEFD-4A34-BF84-B915D4257C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LAS CIFRAS DE ESTE MES NO LAS REPORTO EL AREA SE PASAN A LA 1A QUINCENA DE JUNIO</t>
        </r>
      </text>
    </comment>
    <comment ref="CE52" authorId="12" shapeId="0" xr:uid="{8E79C2A6-E61A-495D-B5AD-7C731ECCAB1E}">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REPORTO LO QUE INDICAN EN CORREO NO SE ABRIO EL ARCHIVO
Respuesta:
    153144</t>
        </r>
      </text>
    </comment>
    <comment ref="CF52" authorId="13" shapeId="0" xr:uid="{73C248DE-FB01-4F3D-A3B3-65849B659F3A}">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SE REPORTO LA CIFRA DEL CORREO NO ENVIARON ARCHIVO
#InternetSeguroParaTodasyTodos 2,708,320 
#JusticiaYPaz 2,480,140 </t>
        </r>
      </text>
    </comment>
    <comment ref="CG52" authorId="14" shapeId="0" xr:uid="{A784023A-D870-4DF4-B5CD-7AAC08DBC668}">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Se tomo en cuenta lo que restaba de la 1a quincena de mayo que no habían reportado + la 2a de mayo</t>
        </r>
      </text>
    </comment>
    <comment ref="CH52" authorId="15" shapeId="0" xr:uid="{56F87D55-6B74-4869-BEAF-A7BE04A513B3}">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PARA ESTA QUINCENA DE JUNIO EL AREA DE PREVENCIÓN SOLICITA SE CONSIDERA LAS VISUALIZACIONES DE LA 2A QUINCENA DE MARZO QUE NO HABIAN REPORTADO.
SE CONSIDERAN LAS SEMANAS DE 
02 al 08 de mar.
09 al 15 de mar.
16 al 22 de mar.
MAS LO REPORTADO EN LA 1A QUINCENA DE JUNIO </t>
        </r>
      </text>
    </comment>
    <comment ref="CE53" authorId="16" shapeId="0" xr:uid="{A9C330D0-840B-4613-9A11-1B8B5BC4744D}">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Tenia 40
</t>
        </r>
      </text>
    </comment>
    <comment ref="CM53" authorId="17" shapeId="0" xr:uid="{7E68C35B-5EDB-424D-803A-8601416F9424}">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Tenia 114
</t>
        </r>
      </text>
    </comment>
    <comment ref="CY53" authorId="18" shapeId="0" xr:uid="{F58A809C-828F-42EC-A0DA-A3865C8CABD2}">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Dato anterior 7049 error por lanzamiento campaña</t>
        </r>
      </text>
    </comment>
    <comment ref="DJ54" authorId="0" shapeId="0" xr:uid="{D6C9D9EE-605E-4C95-82BE-87FCED4376A6}">
      <text>
        <r>
          <rPr>
            <b/>
            <sz val="9"/>
            <color indexed="81"/>
            <rFont val="Tahoma"/>
            <family val="2"/>
          </rPr>
          <t xml:space="preserve">se habian contemplado 16 pero 1 no cuenta para poa (PREV-2025-019b)
SON 15 ACTIVIDADES
SE AJUSTA A 15
</t>
        </r>
      </text>
    </comment>
    <comment ref="DK54" authorId="0" shapeId="0" xr:uid="{30BE8876-4F70-4DB5-9D52-F149505F8DCB}">
      <text>
        <r>
          <rPr>
            <b/>
            <sz val="9"/>
            <color indexed="81"/>
            <rFont val="Tahoma"/>
            <family val="2"/>
          </rPr>
          <t>PREVENCIÓN reporta 04 actividades
de PNHGIC son 4 actividades 
2-59
2-93</t>
        </r>
      </text>
    </comment>
    <comment ref="AB55" authorId="19" shapeId="0" xr:uid="{A5910CF9-B34C-4400-81DB-5FEC988F9B58}">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FORO</t>
        </r>
      </text>
    </comment>
    <comment ref="AE55" authorId="20" shapeId="0" xr:uid="{14047DEE-59DB-42C0-A969-AFC34D3FF587}">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01 FORO; 01 ASESORIA</t>
        </r>
      </text>
    </comment>
    <comment ref="AF55" authorId="21" shapeId="0" xr:uid="{29B8C833-B29D-4564-83AC-BEC091D952DC}">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09 ASESORIAS; 03 FOROS</t>
        </r>
      </text>
    </comment>
    <comment ref="AH55" authorId="22" shapeId="0" xr:uid="{EE27C0DC-A99E-4022-9911-E963E930E884}">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FORO</t>
        </r>
      </text>
    </comment>
    <comment ref="AK55" authorId="23" shapeId="0" xr:uid="{A2B38EBF-111D-4D98-986E-CF885FCF460B}">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FORO</t>
        </r>
      </text>
    </comment>
    <comment ref="AL55" authorId="24" shapeId="0" xr:uid="{1F2FD7E2-B5DB-4158-9556-09E4063EC1C2}">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FORO</t>
        </r>
      </text>
    </comment>
    <comment ref="AM55" authorId="25" shapeId="0" xr:uid="{9301CA29-FB50-44F2-A42C-1027D389A442}">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FORO</t>
        </r>
      </text>
    </comment>
    <comment ref="DM55" authorId="0" shapeId="0" xr:uid="{291F9DBB-78FB-4DF9-AD24-1BAF6B785BA7}">
      <text>
        <r>
          <rPr>
            <b/>
            <sz val="9"/>
            <color indexed="81"/>
            <rFont val="Tahoma"/>
            <family val="2"/>
          </rPr>
          <t>ANTERIORMENTE SE TENIA 0 PERO HAY 1 TALLER DE REPLICADORES</t>
        </r>
      </text>
    </comment>
    <comment ref="CY56" authorId="0" shapeId="0" xr:uid="{B98C106A-56CD-43D3-899A-C92C38586DC3}">
      <text>
        <r>
          <rPr>
            <b/>
            <sz val="9"/>
            <color indexed="81"/>
            <rFont val="Tahoma"/>
            <family val="2"/>
          </rPr>
          <t>ANTERIORMENTE SE TENIAN 2; SE ESTABA CONTEMPLANDO LA INAUGURACIÓN DE LA CAMPAÑA INTERNET SEGURO PARA TODAS Y TODOS</t>
        </r>
      </text>
    </comment>
    <comment ref="DM56" authorId="0" shapeId="0" xr:uid="{904E97E8-6CC4-4098-A757-C7926D7D1D66}">
      <text>
        <r>
          <rPr>
            <b/>
            <sz val="9"/>
            <color indexed="81"/>
            <rFont val="Tahoma"/>
            <family val="2"/>
          </rPr>
          <t xml:space="preserve">ANTERIORMENTE SE TENIA 1 PERO ES TALLER DE REPLICADORES </t>
        </r>
      </text>
    </comment>
    <comment ref="DO56" authorId="0" shapeId="0" xr:uid="{D6B02852-CFD7-4850-96A2-D4AFE5DD873F}">
      <text>
        <r>
          <rPr>
            <b/>
            <sz val="9"/>
            <color indexed="81"/>
            <rFont val="Tahoma"/>
            <family val="2"/>
          </rPr>
          <t>se contemplan 2 en memoria anual proximidad para cuadrar la cifra de febrero</t>
        </r>
      </text>
    </comment>
    <comment ref="CY57" authorId="0" shapeId="0" xr:uid="{B856662F-F458-40B8-8C64-BDC4B659BC54}">
      <text>
        <r>
          <rPr>
            <b/>
            <sz val="9"/>
            <color indexed="81"/>
            <rFont val="Tahoma"/>
            <family val="2"/>
          </rPr>
          <t>ANTERIROMENTE SE TENIA 0. LO CORRECTO ES 1  POR LA INAUGURACIÓN DE LA CAMPAÑA INTERNET SEGURO PARA TODAS Y TODOS</t>
        </r>
      </text>
    </comment>
    <comment ref="DO57" authorId="0" shapeId="0" xr:uid="{7BAEE8C4-0F35-4C9A-B170-3B16B7C3465C}">
      <text>
        <r>
          <rPr>
            <b/>
            <sz val="9"/>
            <color indexed="81"/>
            <rFont val="Tahoma"/>
            <family val="2"/>
          </rPr>
          <t>en el mes de octubre se suma 1  (de 15 se deja en 16)  para cuadrar cifra de febrero y en el reporte de proximidad</t>
        </r>
      </text>
    </comment>
    <comment ref="BT58" authorId="26" shapeId="0" xr:uid="{A9ED1358-8D31-471B-8395-A7A1176F190E}">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02 panel
01 foro</t>
        </r>
      </text>
    </comment>
    <comment ref="CS60" authorId="27" shapeId="0" xr:uid="{7BE11069-D031-4B46-9EB6-4D91922F3D43}">
      <text>
        <r>
          <rPr>
            <sz val="11"/>
            <color theme="1"/>
            <rFont val="Calibri"/>
            <family val="2"/>
            <scheme val="minor"/>
          </rPr>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#MexicoContraElCiberFraude (01 a 25 Nov 2024)
16,441,643 
</t>
        </r>
      </text>
    </comment>
  </commentList>
</comments>
</file>

<file path=xl/sharedStrings.xml><?xml version="1.0" encoding="utf-8"?>
<sst xmlns="http://schemas.openxmlformats.org/spreadsheetml/2006/main" count="2182" uniqueCount="311">
  <si>
    <t>GUARDIA NACIONAL</t>
  </si>
  <si>
    <t>UNIDAD DE ÓRGANOS ESPECIALIZADOS POR COMPETENCIA</t>
  </si>
  <si>
    <t>DIRECCIÓN GENERAL CIENTÍFICA</t>
  </si>
  <si>
    <t>INFORME DE ACCIONES Y RESULTADOS EN EL MARCO DE LA ESTRATEGIA NACIONAL DE SEGURIDAD PÚBLICA (ENSP)</t>
  </si>
  <si>
    <t>Concepto</t>
  </si>
  <si>
    <t>Total</t>
  </si>
  <si>
    <t>VIII. SEGURIDAD PÚBLICA, SEGURIDAD NACIONAL Y PAZ</t>
  </si>
  <si>
    <t>CIBERSEGURIDAD</t>
  </si>
  <si>
    <t xml:space="preserve">Ciberseguridad </t>
  </si>
  <si>
    <t>Forense Digital</t>
  </si>
  <si>
    <t>Servicios</t>
  </si>
  <si>
    <t>Ciberinvestigaciones</t>
  </si>
  <si>
    <t>Amenazas</t>
  </si>
  <si>
    <t>Desaparición Forzada</t>
  </si>
  <si>
    <t>Fraude</t>
  </si>
  <si>
    <t>Personas Desaparecidas</t>
  </si>
  <si>
    <t>Pornografía Infantil</t>
  </si>
  <si>
    <t>Secuestro</t>
  </si>
  <si>
    <t>Trata de Personas</t>
  </si>
  <si>
    <t>Otros Delitos</t>
  </si>
  <si>
    <t>Denuncias - Todas</t>
  </si>
  <si>
    <t>Delitos contra el ambiente</t>
  </si>
  <si>
    <t>Falsificación de papel moneda</t>
  </si>
  <si>
    <t>Violencia de Género</t>
  </si>
  <si>
    <t>Tráfico de personas (migrantes)</t>
  </si>
  <si>
    <t>Delitos contra la Salud</t>
  </si>
  <si>
    <t>Violación a la intimidad sexual</t>
  </si>
  <si>
    <t>Denuncias - Ciberguardián</t>
  </si>
  <si>
    <t>Pornografía Infantil -Ciberguardián</t>
  </si>
  <si>
    <t>Operativo Salvación</t>
  </si>
  <si>
    <t>Detenidos - Ciberguardián</t>
  </si>
  <si>
    <t>Víctimas - Ciberguardián</t>
  </si>
  <si>
    <t>Taller</t>
  </si>
  <si>
    <t>Servidores Publicos Capacitados</t>
  </si>
  <si>
    <t>Alerta Amber</t>
  </si>
  <si>
    <t>Diseminación</t>
  </si>
  <si>
    <t>Localizados</t>
  </si>
  <si>
    <t>Reportes Ciudadanos</t>
  </si>
  <si>
    <t xml:space="preserve">Asesorías Cibernéticas (Reportes ciudadanos) </t>
  </si>
  <si>
    <t>Canalizados a autoridad ministerial (para formular denuncia)</t>
  </si>
  <si>
    <t xml:space="preserve">Resuelto con asesorías técnicas- jurídicas especializadas
</t>
  </si>
  <si>
    <t>Alertas y Boletínes</t>
  </si>
  <si>
    <t>Gestiones para desactivación de sitios WEB</t>
  </si>
  <si>
    <t>Desactivación de sitios WEB.</t>
  </si>
  <si>
    <t>Académico</t>
  </si>
  <si>
    <t>Financiero</t>
  </si>
  <si>
    <t>Gubernamental</t>
  </si>
  <si>
    <t>Privado</t>
  </si>
  <si>
    <t>Incidentes de seguridad informática</t>
  </si>
  <si>
    <t>Incidentes de seguridad</t>
  </si>
  <si>
    <t>Protocolo Nacional Homologado para la Gestión de Incidentes Cibernéticos (PNHIC)</t>
  </si>
  <si>
    <t>Talleres</t>
  </si>
  <si>
    <t>Personas capacitadas</t>
  </si>
  <si>
    <t>Campaña de Concientización de Ciberseguridad</t>
  </si>
  <si>
    <t xml:space="preserve">Visualizaciones </t>
  </si>
  <si>
    <t xml:space="preserve">Personas Impactadas por medios digitales </t>
  </si>
  <si>
    <t xml:space="preserve">Eventos </t>
  </si>
  <si>
    <t>Jornada Nacional Antifraude Cibernético</t>
  </si>
  <si>
    <t>COOPERACIÓN INTERNACIONAL</t>
  </si>
  <si>
    <t>Sub Comisión Técnica contra la Trata de Personas y Tráfico Ilícitó de Migrantes (SCTTTM)</t>
  </si>
  <si>
    <t>Videoconferencias</t>
  </si>
  <si>
    <t>2020</t>
  </si>
  <si>
    <t>2021</t>
  </si>
  <si>
    <t>2019</t>
  </si>
  <si>
    <t>2022</t>
  </si>
  <si>
    <t>SSPC</t>
  </si>
  <si>
    <t>Denuncias-Todas</t>
  </si>
  <si>
    <t>El que resulte</t>
  </si>
  <si>
    <t>Subcomisión Técnica de Investigción contra el Ciberdelito</t>
  </si>
  <si>
    <t>Comité Especial de las Naciones Unidas encargado de la elaboración de una Convención contra la Ciberdelincuencia.</t>
  </si>
  <si>
    <t>Entendimiento Bicentenario.
Grupo conexo al DEAN Y GANSEG</t>
  </si>
  <si>
    <t>Grupo de Alto Nivel de Seguridad México Salvador.
Grupo conexo al DEAN Y ENTENDIMIENTO BICENTERNARIO</t>
  </si>
  <si>
    <t>Comité Intersecretarial México-Oficina de las Naciones Unidas contra la Droga y el Delito (ONUDD).</t>
  </si>
  <si>
    <t>T-MEC.</t>
  </si>
  <si>
    <t>Dialogo de Alto Nivel (DEAN).
Grupo conexo al ENTENDIMIENTO BICENTERARIO Y GANSEG</t>
  </si>
  <si>
    <t>El PACcTO / Red Cibel@</t>
  </si>
  <si>
    <t>Solicitudes</t>
  </si>
  <si>
    <t xml:space="preserve">Alertas </t>
  </si>
  <si>
    <t>Boletines</t>
  </si>
  <si>
    <t>Investigaciones cibernéticas</t>
  </si>
  <si>
    <t>Enero</t>
  </si>
  <si>
    <t>Febrero</t>
  </si>
  <si>
    <t>Marzo</t>
  </si>
  <si>
    <t>Abril</t>
  </si>
  <si>
    <t>Mayo</t>
  </si>
  <si>
    <t>Junio</t>
  </si>
  <si>
    <t>Julio</t>
  </si>
  <si>
    <t>Agosto</t>
  </si>
  <si>
    <t>Septiembre</t>
  </si>
  <si>
    <t>Octubre</t>
  </si>
  <si>
    <t>Noviembre</t>
  </si>
  <si>
    <t>Diciembre</t>
  </si>
  <si>
    <t>Gestiones de desactivacion de sitios web</t>
  </si>
  <si>
    <t>Ejercicios de Crisis</t>
  </si>
  <si>
    <t>Menor desaparecido</t>
  </si>
  <si>
    <t>2023</t>
  </si>
  <si>
    <t>Monitor de Imágenes en Internet (FACES)
Registros relacionados con delitos bancarios (GN-ABM)</t>
  </si>
  <si>
    <t>Cargas</t>
  </si>
  <si>
    <t>Consultas</t>
  </si>
  <si>
    <t>Monitor de Imágenes en Internet (FACES)
Registros con imágenes de los rostros identificados en casos de investigación</t>
  </si>
  <si>
    <t>Cargas/registros</t>
  </si>
  <si>
    <t>Sentencias</t>
  </si>
  <si>
    <t>CIBERINVESTIGACIONES DE 2018 AL 15 DE ,MARZO DE 2023</t>
  </si>
  <si>
    <t>DIC 2018 al 15 marzo de 2023</t>
  </si>
  <si>
    <t>Eventos- Taller</t>
  </si>
  <si>
    <t>Eventos-Platica</t>
  </si>
  <si>
    <t>Eventos-Conferencia</t>
  </si>
  <si>
    <t>Eventos- Panel</t>
  </si>
  <si>
    <t>Eventos- Stand</t>
  </si>
  <si>
    <t>participantes -conexiones-</t>
  </si>
  <si>
    <t>2024</t>
  </si>
  <si>
    <t>Apoyo técnico especializado</t>
  </si>
  <si>
    <t>Trafico de personas (migrantes)</t>
  </si>
  <si>
    <t>Delincuencia Organizada</t>
  </si>
  <si>
    <t>Extorsión</t>
  </si>
  <si>
    <t>Delitos contra la Libertad de Expresión</t>
  </si>
  <si>
    <t>Homicidios</t>
  </si>
  <si>
    <t>Delitos Electorales</t>
  </si>
  <si>
    <t>Violacion contra la intimidad sexual</t>
  </si>
  <si>
    <t>15-ene</t>
  </si>
  <si>
    <t>30-ene</t>
  </si>
  <si>
    <t>15-feb</t>
  </si>
  <si>
    <t>28-feb</t>
  </si>
  <si>
    <t>15-mar</t>
  </si>
  <si>
    <t>30-mar</t>
  </si>
  <si>
    <t>15-abr</t>
  </si>
  <si>
    <t>30-abr</t>
  </si>
  <si>
    <t>15-may</t>
  </si>
  <si>
    <t>30-may</t>
  </si>
  <si>
    <t>15-jun</t>
  </si>
  <si>
    <t>30-jun</t>
  </si>
  <si>
    <t>Denuncias</t>
  </si>
  <si>
    <t>Victimas  identificadas en el analisis</t>
  </si>
  <si>
    <t>Fememino</t>
  </si>
  <si>
    <t>Masculino</t>
  </si>
  <si>
    <t>Alertas amber</t>
  </si>
  <si>
    <t>Venta de armas</t>
  </si>
  <si>
    <t>15-jul</t>
  </si>
  <si>
    <t>30-jul</t>
  </si>
  <si>
    <t>15-agto</t>
  </si>
  <si>
    <t>30-agto</t>
  </si>
  <si>
    <t>15-sep</t>
  </si>
  <si>
    <t>30-sep</t>
  </si>
  <si>
    <t>15-oct</t>
  </si>
  <si>
    <t>30-oct</t>
  </si>
  <si>
    <t>15-nov</t>
  </si>
  <si>
    <t>30-nov</t>
  </si>
  <si>
    <t>15-dic</t>
  </si>
  <si>
    <t>30-dic</t>
  </si>
  <si>
    <t>ENSP</t>
  </si>
  <si>
    <t>2025</t>
  </si>
  <si>
    <t>PPT JACOBO
 1° Dic. 2018 al 30 sep. de 2024</t>
  </si>
  <si>
    <t>Análisis de reportes por áreas especializadas</t>
  </si>
  <si>
    <t>ACUMULADO 01 DIC 2018- LA FECHA</t>
  </si>
  <si>
    <t>N/A</t>
  </si>
  <si>
    <t>Panel</t>
  </si>
  <si>
    <t>mensajes/infografias</t>
  </si>
  <si>
    <t>Objetivos identificados</t>
  </si>
  <si>
    <t xml:space="preserve">Paginas analizadas </t>
  </si>
  <si>
    <t>Narcomantas identificadas</t>
  </si>
  <si>
    <t>Denuncia presentadas ante la autoridad correspondiente (venta de armas, tala clandestina y tráfico ilegal de vida silvestre, trafico de migrantes, amenazas)</t>
  </si>
  <si>
    <t>Análisis de Escenario</t>
  </si>
  <si>
    <t>Gestiones de baja de publicaciones- GMYSE (Grupo de Monitoreo Y Seguimiento Estratégico)</t>
  </si>
  <si>
    <t>Gestiones de baja de Publicaciones- Delincuencia Organizada</t>
  </si>
  <si>
    <t>CIBERPATRULLAJE</t>
  </si>
  <si>
    <t>Prevención de delitos en medios electrónicos</t>
  </si>
  <si>
    <t xml:space="preserve">Denuncias ante la autoridad correspondiente Pornografía Infantil </t>
  </si>
  <si>
    <t>Víctimas del delito de pornografía infantil</t>
  </si>
  <si>
    <t>Detención de probables responsables</t>
  </si>
  <si>
    <t>Sentencias condenatorias</t>
  </si>
  <si>
    <t>Pistas NCMEC analizadas</t>
  </si>
  <si>
    <t>Elaboración de evidencia Pista NCMEC</t>
  </si>
  <si>
    <t>Servidores públicos de las procuradurías y fiscalías capacitados por la GN.</t>
  </si>
  <si>
    <t>Ciberinvestigaciones atendidas</t>
  </si>
  <si>
    <t>Ciberinvestigaciones proceso</t>
  </si>
  <si>
    <t>Participación de Audiencias de Juicio Oral</t>
  </si>
  <si>
    <t>Investigación con ordenes de aprehensión por cumplimentar</t>
  </si>
  <si>
    <t>Pornografía Infantil atención de MM/MJ</t>
  </si>
  <si>
    <t>Amber</t>
  </si>
  <si>
    <t>Mesas de trabajo con diversas autoridades</t>
  </si>
  <si>
    <t>Servicios atendidos-Forense digital-</t>
  </si>
  <si>
    <t>Solicitudes en proceso Forense digital-</t>
  </si>
  <si>
    <t>Extracción de material videográfico CRP</t>
  </si>
  <si>
    <t>Servicios forense digital</t>
  </si>
  <si>
    <t>Solicitudes atendidos-Forense digital-</t>
  </si>
  <si>
    <t>Eventos- Panel/Foros</t>
  </si>
  <si>
    <t>Jornada Nacional Antifraude Cibernético -Panel -</t>
  </si>
  <si>
    <t>Jornada Nacional Antifraude Cibernético -participantes -conexiones-</t>
  </si>
  <si>
    <t>Jornada Nacional Antifraude Cibernético -mensajes/infografias</t>
  </si>
  <si>
    <t>Jornada Nacional Antifraude Cibernético -Desactivación de sitios WEB.</t>
  </si>
  <si>
    <t>Proximidad social</t>
  </si>
  <si>
    <t>Atención de Requerimientos de Autoridades Competentes</t>
  </si>
  <si>
    <t>Incidentes de Ciberseguridad</t>
  </si>
  <si>
    <t>Desactivación de sitios web/Fraudes</t>
  </si>
  <si>
    <t>Desactivación de sitios web, que usurpaban la identidad de diversas instituciones</t>
  </si>
  <si>
    <t>Sitios simulaban ser del sector gubernamental</t>
  </si>
  <si>
    <t>Sitios simulaban ser del sector privado</t>
  </si>
  <si>
    <t>Sitios simulaban ser del sector financiero</t>
  </si>
  <si>
    <t>Sitios simulaban ser del sector Académico</t>
  </si>
  <si>
    <t>MANDAMIENTOS MISNISTERIALES</t>
  </si>
  <si>
    <t>PARTE DE NOVEDADES</t>
  </si>
  <si>
    <t>POA (CIBERINVESTIGACIONES)</t>
  </si>
  <si>
    <t>enero 2025</t>
  </si>
  <si>
    <t>febrero 2025</t>
  </si>
  <si>
    <t>marzo 2025</t>
  </si>
  <si>
    <t>REQUERIMIENTO JEFE TIMON</t>
  </si>
  <si>
    <t>forense</t>
  </si>
  <si>
    <t>ciberinvest</t>
  </si>
  <si>
    <t>ciber</t>
  </si>
  <si>
    <t>for</t>
  </si>
  <si>
    <t>Participación en órdenes de Investigación</t>
  </si>
  <si>
    <t>Participación en órdenes de Investigación 2024</t>
  </si>
  <si>
    <t>Nov.2024</t>
  </si>
  <si>
    <t>Dic. 2024</t>
  </si>
  <si>
    <t>Ene.2025</t>
  </si>
  <si>
    <t>Mzo.2025</t>
  </si>
  <si>
    <t>Feb.2025</t>
  </si>
  <si>
    <t>Participación en órdenes técnicas de Investigación</t>
  </si>
  <si>
    <t>Noviembre 2024</t>
  </si>
  <si>
    <t>Diciembre 2024</t>
  </si>
  <si>
    <t>Enero 2025</t>
  </si>
  <si>
    <t>Febrero 2025</t>
  </si>
  <si>
    <t>Marzo 2025</t>
  </si>
  <si>
    <t>Detenidos-Todos</t>
  </si>
  <si>
    <t>Detenidos -Todos</t>
  </si>
  <si>
    <t>GMySE</t>
  </si>
  <si>
    <t>Detenidos- Extrosión</t>
  </si>
  <si>
    <t>Violencia digital</t>
  </si>
  <si>
    <t>Homicidios/ Feminicidios</t>
  </si>
  <si>
    <t>Extinción de dominio</t>
  </si>
  <si>
    <t>Secuestro/Privacion ilegal</t>
  </si>
  <si>
    <t>Violencia contra la intimidad sexual</t>
  </si>
  <si>
    <t>Abril 2025</t>
  </si>
  <si>
    <t>15 de Mayo 2025</t>
  </si>
  <si>
    <t>15 Mayo</t>
  </si>
  <si>
    <t>Corte al 19 de mayo 2025</t>
  </si>
  <si>
    <t>19 de Mayo 2025</t>
  </si>
  <si>
    <t>P.N.</t>
  </si>
  <si>
    <t>19 de Mayo</t>
  </si>
  <si>
    <t>Mayo 2025</t>
  </si>
  <si>
    <t>2876-25 CONFIRMAR SI ES CON SERVICIO</t>
  </si>
  <si>
    <r>
      <t xml:space="preserve">Informes de Ciberpatrullaje (falsificación de papel moneda, tala clandestina, tráfico ilícito de migrantes y tráfico ilegal de vida silvestre, violación contra la intimidad sexual) </t>
    </r>
    <r>
      <rPr>
        <b/>
        <sz val="10"/>
        <color theme="1"/>
        <rFont val="Montserrat"/>
      </rPr>
      <t>LIEF</t>
    </r>
  </si>
  <si>
    <r>
      <t xml:space="preserve">Informes de Ciberpatrullaje (faltas administrativas,fraude y extorsión,delincuencia organizada) </t>
    </r>
    <r>
      <rPr>
        <b/>
        <sz val="10"/>
        <color theme="1"/>
        <rFont val="Montserrat"/>
      </rPr>
      <t>LAB</t>
    </r>
  </si>
  <si>
    <t>Paginas notificadas</t>
  </si>
  <si>
    <t>405</t>
  </si>
  <si>
    <t> 4 </t>
  </si>
  <si>
    <t>Acceso Lógico no autorizado a sistemas e información (Defacement)</t>
  </si>
  <si>
    <t>Ataques de fuerza bruta o escaneos de equipos y redes</t>
  </si>
  <si>
    <t>Divulgación no autorizada de información</t>
  </si>
  <si>
    <t>Envio de correo spam</t>
  </si>
  <si>
    <t>Infección por código malicioso (virus, gusano, bots, troyanos, rootkits)</t>
  </si>
  <si>
    <t>Negación o degradación del servicio (DDos)</t>
  </si>
  <si>
    <t>Phishing</t>
  </si>
  <si>
    <t>Reporte de vulnerabilidades en infraestructura TIC´s</t>
  </si>
  <si>
    <t>TOTAL</t>
  </si>
  <si>
    <t>Robo de contraseñas en redes sociales</t>
  </si>
  <si>
    <t>Acoso Cibernético</t>
  </si>
  <si>
    <t>Usurpación de identidad</t>
  </si>
  <si>
    <t>Difamación</t>
  </si>
  <si>
    <t>Delitos contra menores</t>
  </si>
  <si>
    <t>Delitos contra la seguridad informática</t>
  </si>
  <si>
    <t>Otros</t>
  </si>
  <si>
    <t>MODALIDAD</t>
  </si>
  <si>
    <t>marzo 2029 -agosto 2025</t>
  </si>
  <si>
    <t>NUEVA ADMINISTRACION
Oct  2024- A LA FECHA</t>
  </si>
  <si>
    <t>CREACION GN
JULIO 2019 A LA FECHA</t>
  </si>
  <si>
    <t>PORCENTAJE -Otc 2024 a la fecha</t>
  </si>
  <si>
    <t>PORCENTAJE ACTA ENTREGA DE JEFE GUERERO</t>
  </si>
  <si>
    <t>Mensajes para prevenir fraudes (Jornada Nacional Antifraude Cibernético)-PUBLICACIONES-</t>
  </si>
  <si>
    <t>jaz</t>
  </si>
  <si>
    <t>2026</t>
  </si>
  <si>
    <t>Visualizaciones -Antifraude Cibernético</t>
  </si>
  <si>
    <t>Delitos conrtra la salud</t>
  </si>
  <si>
    <t>Divulgación de información</t>
  </si>
  <si>
    <t>Violencia Política contra Mujeres en  Razón de Género</t>
  </si>
  <si>
    <t>Falsificación de documentos</t>
  </si>
  <si>
    <t>Verificación de correo electronico</t>
  </si>
  <si>
    <t>Verificación de pagina web</t>
  </si>
  <si>
    <t>Ejercicio de Crisis_Taller</t>
  </si>
  <si>
    <t>Suplantación de identidad</t>
  </si>
  <si>
    <t>Acceso ilicito a sistemas</t>
  </si>
  <si>
    <t>Calumnia</t>
  </si>
  <si>
    <t>Odio</t>
  </si>
  <si>
    <t>Sin especificar</t>
  </si>
  <si>
    <t>Gestiones de bajas de sitios:</t>
  </si>
  <si>
    <t>servicios especializados de ciberseguridad</t>
  </si>
  <si>
    <t>Gestiones de suspensión de contenido</t>
  </si>
  <si>
    <t>Análisis de vulnerabilidades</t>
  </si>
  <si>
    <t>Colaboración Nacional</t>
  </si>
  <si>
    <t>Asesorías técnico/legales</t>
  </si>
  <si>
    <t>Análisis de forense digital</t>
  </si>
  <si>
    <t>Investigaciones de ciberseguridad:</t>
  </si>
  <si>
    <t>Informes de mitigación de vulnerabilidades o dictámenes técnicos en ciberseguridad</t>
  </si>
  <si>
    <t>LABORES DEFENSA</t>
  </si>
  <si>
    <t>=suma(DK14:DZ65</t>
  </si>
  <si>
    <t>=suma(DK14:DZ66</t>
  </si>
  <si>
    <t>=suma(DK14:DZ67</t>
  </si>
  <si>
    <t>=suma(DK14:DZ68</t>
  </si>
  <si>
    <t>=suma(DK14:DZ69</t>
  </si>
  <si>
    <t>=suma(DK14:DZ70</t>
  </si>
  <si>
    <t>=suma(DK14:DZ71</t>
  </si>
  <si>
    <t>=suma(DK14:DZ72</t>
  </si>
  <si>
    <t>=suma(DK14:DZ73</t>
  </si>
  <si>
    <t>=suma(DK14:DZ74</t>
  </si>
  <si>
    <t>=suma(DK14:DZ75</t>
  </si>
  <si>
    <t>=suma(DK14:DZ76</t>
  </si>
  <si>
    <t>=suma(DK14:DZ77</t>
  </si>
  <si>
    <t>=suma(DK14:DZ78</t>
  </si>
  <si>
    <t>=suma(DK14:DZ79</t>
  </si>
  <si>
    <t>=suma(DK14:DZ80</t>
  </si>
  <si>
    <r>
      <t>Colaboración Nacional/</t>
    </r>
    <r>
      <rPr>
        <sz val="10"/>
        <color rgb="FFFF0000"/>
        <rFont val="Montserrat"/>
      </rPr>
      <t>internacional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</si>
</sst>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quot;$&quot;* #,##0.00_-;_-&quot;$&quot;* &quot;-&quot;??_-;_-@_-"/>
    <numFmt numFmtId="43" formatCode="_-* #,##0.00_-;\-* #,##0.00_-;_-* &quot;-&quot;??_-;_-@_-"/>
    <numFmt numFmtId="164" formatCode="_-[$€-2]* #,##0.00_-;\-[$€-2]* #,##0.00_-;_-[$€-2]* \-??_-"/>
    <numFmt numFmtId="165" formatCode="_-[$€-2]* #,##0.00_-;\-[$€-2]* #,##0.00_-;_-[$€-2]* &quot;-&quot;??_-"/>
    <numFmt numFmtId="166" formatCode="0.0%"/>
  </numFmts>
  <fonts count="78"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Montserrat"/>
    </font>
    <font>
      <b/>
      <sz val="12"/>
      <color rgb="FF235B4F"/>
      <name val="Montserrat"/>
    </font>
    <font>
      <b/>
      <sz val="13"/>
      <color rgb="FF235B4F"/>
      <name val="Montserrat"/>
    </font>
    <font>
      <b/>
      <sz val="12"/>
      <color rgb="FF691C32"/>
      <name val="Montserrat"/>
    </font>
    <font>
      <b/>
      <sz val="10"/>
      <color theme="0"/>
      <name val="Montserrat"/>
    </font>
    <font>
      <b/>
      <sz val="10"/>
      <color rgb="FFFFFFFF"/>
      <name val="Montserrat"/>
    </font>
    <font>
      <sz val="10"/>
      <color theme="1"/>
      <name val="Montserrat"/>
    </font>
    <font>
      <b/>
      <sz val="10"/>
      <color theme="1"/>
      <name val="Montserrat"/>
    </font>
    <font>
      <sz val="11"/>
      <color theme="1"/>
      <name val="Montserrat"/>
    </font>
    <font>
      <sz val="11"/>
      <color rgb="FF000000"/>
      <name val="Montserrat"/>
    </font>
    <font>
      <sz val="8"/>
      <name val="Calibri"/>
      <family val="2"/>
      <scheme val="minor"/>
    </font>
    <font>
      <b/>
      <sz val="12"/>
      <color theme="1"/>
      <name val="Montserrat"/>
    </font>
    <font>
      <sz val="11"/>
      <color theme="1"/>
      <name val="Arial"/>
      <family val="2"/>
    </font>
    <font>
      <b/>
      <sz val="11"/>
      <color theme="1"/>
      <name val="Calibri"/>
      <family val="2"/>
      <scheme val="minor"/>
    </font>
    <font>
      <sz val="11"/>
      <color rgb="FFFF0000"/>
      <name val="Calibri"/>
      <family val="2"/>
      <scheme val="minor"/>
    </font>
    <font>
      <sz val="10"/>
      <name val="Montserrat"/>
    </font>
    <font>
      <sz val="9"/>
      <color indexed="81"/>
      <name val="Tahoma"/>
      <family val="2"/>
    </font>
    <font>
      <b/>
      <sz val="9"/>
      <color indexed="81"/>
      <name val="Tahoma"/>
      <family val="2"/>
    </font>
    <font>
      <b/>
      <sz val="10"/>
      <color rgb="FF00B050"/>
      <name val="Montserrat"/>
    </font>
    <font>
      <b/>
      <sz val="10"/>
      <color theme="3"/>
      <name val="Montserrat"/>
    </font>
    <font>
      <sz val="10"/>
      <color rgb="FFFF0000"/>
      <name val="Montserrat"/>
    </font>
    <font>
      <sz val="11"/>
      <color theme="1"/>
      <name val="Calibri"/>
      <family val="2"/>
      <scheme val="minor"/>
    </font>
    <font>
      <sz val="11"/>
      <color theme="1"/>
      <name val="Calibri"/>
      <family val="2"/>
      <scheme val="minor"/>
    </font>
    <font>
      <sz val="11"/>
      <color theme="1"/>
      <name val="Calibri"/>
      <family val="2"/>
      <scheme val="minor"/>
    </font>
    <font>
      <b/>
      <sz val="10"/>
      <name val="Montserrat"/>
    </font>
    <font>
      <sz val="11"/>
      <color rgb="FF006100"/>
      <name val="Calibri"/>
      <family val="2"/>
      <scheme val="minor"/>
    </font>
    <font>
      <sz val="11"/>
      <color theme="1"/>
      <name val="Calibri"/>
      <family val="2"/>
      <scheme val="minor"/>
    </font>
    <font>
      <sz val="10"/>
      <name val="Arial"/>
      <family val="2"/>
    </font>
    <font>
      <sz val="11"/>
      <color indexed="8"/>
      <name val="Calibri"/>
      <family val="2"/>
    </font>
    <font>
      <u/>
      <sz val="10"/>
      <color theme="10"/>
      <name val="Arial"/>
      <family val="2"/>
    </font>
    <font>
      <sz val="11"/>
      <color indexed="17"/>
      <name val="Calibri"/>
      <family val="2"/>
    </font>
    <font>
      <b/>
      <sz val="11"/>
      <color indexed="63"/>
      <name val="Calibri"/>
      <family val="2"/>
    </font>
    <font>
      <sz val="11"/>
      <color indexed="10"/>
      <name val="Calibri"/>
      <family val="2"/>
    </font>
    <font>
      <b/>
      <sz val="11"/>
      <color indexed="8"/>
      <name val="Calibri"/>
      <family val="2"/>
    </font>
    <font>
      <b/>
      <sz val="18"/>
      <color indexed="56"/>
      <name val="Cambria"/>
      <family val="1"/>
    </font>
    <font>
      <u/>
      <sz val="8.8000000000000007"/>
      <color indexed="12"/>
      <name val="Calibri"/>
      <family val="2"/>
    </font>
    <font>
      <b/>
      <sz val="15"/>
      <color indexed="62"/>
      <name val="Calibri"/>
      <family val="2"/>
    </font>
    <font>
      <b/>
      <sz val="11"/>
      <color indexed="52"/>
      <name val="Calibri"/>
      <family val="2"/>
    </font>
    <font>
      <sz val="11"/>
      <color indexed="9"/>
      <name val="Calibri"/>
      <family val="2"/>
    </font>
    <font>
      <sz val="11"/>
      <color indexed="20"/>
      <name val="Calibri"/>
      <family val="2"/>
    </font>
    <font>
      <sz val="12"/>
      <color rgb="FF006100"/>
      <name val="Calibri"/>
      <family val="2"/>
      <scheme val="minor"/>
    </font>
    <font>
      <sz val="11"/>
      <color indexed="62"/>
      <name val="Calibri"/>
      <family val="2"/>
    </font>
    <font>
      <b/>
      <sz val="13"/>
      <color indexed="56"/>
      <name val="Calibri"/>
      <family val="2"/>
    </font>
    <font>
      <sz val="11"/>
      <color indexed="60"/>
      <name val="Calibri"/>
      <family val="2"/>
    </font>
    <font>
      <b/>
      <sz val="11"/>
      <color indexed="9"/>
      <name val="Calibri"/>
      <family val="2"/>
    </font>
    <font>
      <u/>
      <sz val="11"/>
      <color theme="10"/>
      <name val="Calibri"/>
      <family val="2"/>
      <scheme val="minor"/>
    </font>
    <font>
      <b/>
      <sz val="13"/>
      <color indexed="62"/>
      <name val="Calibri"/>
      <family val="2"/>
    </font>
    <font>
      <b/>
      <sz val="11"/>
      <color indexed="62"/>
      <name val="Calibri"/>
      <family val="2"/>
    </font>
    <font>
      <b/>
      <sz val="12"/>
      <color rgb="FF3F3F3F"/>
      <name val="Calibri"/>
      <family val="2"/>
      <scheme val="minor"/>
    </font>
    <font>
      <u/>
      <sz val="10"/>
      <color indexed="12"/>
      <name val="Arial"/>
      <family val="2"/>
    </font>
    <font>
      <i/>
      <sz val="11"/>
      <color indexed="23"/>
      <name val="Calibri"/>
      <family val="2"/>
    </font>
    <font>
      <u/>
      <sz val="11"/>
      <color indexed="12"/>
      <name val="Calibri"/>
      <family val="2"/>
    </font>
    <font>
      <sz val="11"/>
      <color indexed="52"/>
      <name val="Calibri"/>
      <family val="2"/>
    </font>
    <font>
      <b/>
      <sz val="11"/>
      <color indexed="56"/>
      <name val="Calibri"/>
      <family val="2"/>
    </font>
    <font>
      <sz val="12"/>
      <color theme="1"/>
      <name val="Calibri"/>
      <family val="2"/>
      <scheme val="minor"/>
    </font>
    <font>
      <b/>
      <sz val="15"/>
      <color indexed="56"/>
      <name val="Calibri"/>
      <family val="2"/>
    </font>
    <font>
      <u/>
      <sz val="11"/>
      <color theme="10"/>
      <name val="Calibri"/>
      <family val="2"/>
    </font>
    <font>
      <sz val="12"/>
      <color rgb="FF9C6500"/>
      <name val="Calibri"/>
      <family val="2"/>
      <scheme val="minor"/>
    </font>
    <font>
      <sz val="11"/>
      <color rgb="FF9C6500"/>
      <name val="Calibri"/>
      <family val="2"/>
      <scheme val="minor"/>
    </font>
    <font>
      <sz val="10"/>
      <color indexed="8"/>
      <name val="Arial"/>
      <family val="2"/>
    </font>
    <font>
      <sz val="12"/>
      <name val="Calibri"/>
      <family val="2"/>
      <scheme val="minor"/>
    </font>
    <font>
      <sz val="14"/>
      <color rgb="FF595959"/>
      <name val="Calibri"/>
      <family val="2"/>
      <scheme val="minor"/>
    </font>
    <font>
      <b/>
      <sz val="11"/>
      <color theme="2" tint="-0.499984740745262"/>
      <name val="Calibri"/>
      <family val="2"/>
      <scheme val="minor"/>
    </font>
    <font>
      <sz val="11"/>
      <color theme="1"/>
      <name val="Calibri"/>
      <family val="2"/>
      <scheme val="minor"/>
    </font>
    <font>
      <b/>
      <sz val="11"/>
      <color rgb="FF000000"/>
      <name val="Noto Sans"/>
      <family val="2"/>
    </font>
    <font>
      <b/>
      <sz val="8"/>
      <color indexed="81"/>
      <name val="Tahoma"/>
      <family val="2"/>
    </font>
    <font>
      <b/>
      <sz val="8"/>
      <color theme="0"/>
      <name val="Montserrat"/>
    </font>
    <font>
      <b/>
      <sz val="11"/>
      <name val="Calibri"/>
      <family val="2"/>
      <scheme val="minor"/>
    </font>
    <font>
      <b/>
      <sz val="6"/>
      <color theme="0"/>
      <name val="Montserrat"/>
    </font>
    <font>
      <b/>
      <sz val="10"/>
      <color rgb="FF00B0F0"/>
      <name val="Montserrat"/>
    </font>
    <font>
      <b/>
      <sz val="10"/>
      <color theme="4" tint="-0.499984740745262"/>
      <name val="Montserrat"/>
    </font>
    <font>
      <sz val="8"/>
      <color theme="1"/>
      <name val="Montserrat"/>
    </font>
  </fonts>
  <fills count="63">
    <fill>
      <patternFill patternType="none"/>
    </fill>
    <fill>
      <patternFill patternType="gray125"/>
    </fill>
    <fill>
      <patternFill patternType="solid">
        <fgColor rgb="FF235B4F"/>
        <bgColor rgb="FF235B4F"/>
      </patternFill>
    </fill>
    <fill>
      <patternFill patternType="solid">
        <fgColor theme="0"/>
        <bgColor theme="0"/>
      </patternFill>
    </fill>
    <fill>
      <patternFill patternType="solid">
        <fgColor rgb="FFFFFF00"/>
        <bgColor indexed="64"/>
      </patternFill>
    </fill>
    <fill>
      <patternFill patternType="solid">
        <fgColor theme="9" tint="0.59999389629810485"/>
        <bgColor indexed="64"/>
      </patternFill>
    </fill>
    <fill>
      <patternFill patternType="solid">
        <fgColor theme="0" tint="-4.9989318521683403E-2"/>
        <bgColor indexed="64"/>
      </patternFill>
    </fill>
    <fill>
      <patternFill patternType="solid">
        <fgColor rgb="FF92D050"/>
        <bgColor indexed="64"/>
      </patternFill>
    </fill>
    <fill>
      <patternFill patternType="solid">
        <fgColor rgb="FFFF0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bgColor rgb="FF235B4F"/>
      </patternFill>
    </fill>
    <fill>
      <patternFill patternType="solid">
        <fgColor theme="0"/>
        <bgColor indexed="64"/>
      </patternFill>
    </fill>
    <fill>
      <patternFill patternType="solid">
        <fgColor theme="5" tint="0.79995117038483843"/>
        <bgColor indexed="64"/>
      </patternFill>
    </fill>
    <fill>
      <patternFill patternType="solid">
        <fgColor theme="4" tint="0.79995117038483843"/>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9" tint="0.79995117038483843"/>
        <bgColor indexed="64"/>
      </patternFill>
    </fill>
    <fill>
      <patternFill patternType="solid">
        <fgColor theme="6" tint="0.79995117038483843"/>
        <bgColor indexed="64"/>
      </patternFill>
    </fill>
    <fill>
      <patternFill patternType="solid">
        <fgColor theme="8" tint="0.79995117038483843"/>
        <bgColor indexed="64"/>
      </patternFill>
    </fill>
    <fill>
      <patternFill patternType="solid">
        <fgColor indexed="26"/>
        <bgColor indexed="64"/>
      </patternFill>
    </fill>
    <fill>
      <patternFill patternType="solid">
        <fgColor theme="8" tint="0.59999389629810485"/>
        <bgColor indexed="64"/>
      </patternFill>
    </fill>
    <fill>
      <patternFill patternType="solid">
        <fgColor theme="7" tint="0.79995117038483843"/>
        <bgColor indexed="64"/>
      </patternFill>
    </fill>
    <fill>
      <patternFill patternType="solid">
        <fgColor rgb="FFFFFFCC"/>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indexed="42"/>
        <bgColor indexed="64"/>
      </patternFill>
    </fill>
    <fill>
      <patternFill patternType="solid">
        <fgColor indexed="22"/>
        <bgColor indexed="64"/>
      </patternFill>
    </fill>
    <fill>
      <patternFill patternType="solid">
        <fgColor indexed="31"/>
        <bgColor indexed="64"/>
      </patternFill>
    </fill>
    <fill>
      <patternFill patternType="solid">
        <fgColor indexed="11"/>
        <bgColor indexed="64"/>
      </patternFill>
    </fill>
    <fill>
      <patternFill patternType="solid">
        <fgColor indexed="9"/>
        <bgColor indexed="64"/>
      </patternFill>
    </fill>
    <fill>
      <patternFill patternType="solid">
        <fgColor indexed="51"/>
        <bgColor indexed="64"/>
      </patternFill>
    </fill>
    <fill>
      <patternFill patternType="solid">
        <fgColor indexed="47"/>
        <bgColor indexed="64"/>
      </patternFill>
    </fill>
    <fill>
      <patternFill patternType="solid">
        <fgColor indexed="62"/>
        <bgColor indexed="64"/>
      </patternFill>
    </fill>
    <fill>
      <patternFill patternType="solid">
        <fgColor indexed="46"/>
        <bgColor indexed="64"/>
      </patternFill>
    </fill>
    <fill>
      <patternFill patternType="solid">
        <fgColor indexed="45"/>
        <bgColor indexed="64"/>
      </patternFill>
    </fill>
    <fill>
      <patternFill patternType="solid">
        <fgColor indexed="27"/>
        <bgColor indexed="64"/>
      </patternFill>
    </fill>
    <fill>
      <patternFill patternType="solid">
        <fgColor indexed="44"/>
        <bgColor indexed="64"/>
      </patternFill>
    </fill>
    <fill>
      <patternFill patternType="solid">
        <fgColor rgb="FFC6EFCE"/>
        <bgColor indexed="64"/>
      </patternFill>
    </fill>
    <fill>
      <patternFill patternType="solid">
        <fgColor indexed="29"/>
        <bgColor indexed="64"/>
      </patternFill>
    </fill>
    <fill>
      <patternFill patternType="solid">
        <fgColor indexed="43"/>
        <bgColor indexed="64"/>
      </patternFill>
    </fill>
    <fill>
      <patternFill patternType="solid">
        <fgColor indexed="55"/>
        <bgColor indexed="64"/>
      </patternFill>
    </fill>
    <fill>
      <patternFill patternType="solid">
        <fgColor indexed="30"/>
        <bgColor indexed="64"/>
      </patternFill>
    </fill>
    <fill>
      <patternFill patternType="solid">
        <fgColor indexed="10"/>
        <bgColor indexed="64"/>
      </patternFill>
    </fill>
    <fill>
      <patternFill patternType="solid">
        <fgColor rgb="FFF2F2F2"/>
        <bgColor indexed="64"/>
      </patternFill>
    </fill>
    <fill>
      <patternFill patternType="solid">
        <fgColor indexed="49"/>
        <bgColor indexed="64"/>
      </patternFill>
    </fill>
    <fill>
      <patternFill patternType="solid">
        <fgColor indexed="57"/>
        <bgColor indexed="64"/>
      </patternFill>
    </fill>
    <fill>
      <patternFill patternType="solid">
        <fgColor indexed="52"/>
        <bgColor indexed="64"/>
      </patternFill>
    </fill>
    <fill>
      <patternFill patternType="solid">
        <fgColor indexed="36"/>
        <bgColor indexed="64"/>
      </patternFill>
    </fill>
    <fill>
      <patternFill patternType="solid">
        <fgColor indexed="53"/>
        <bgColor indexed="64"/>
      </patternFill>
    </fill>
    <fill>
      <patternFill patternType="solid">
        <fgColor theme="0" tint="-0.14996795556505021"/>
        <bgColor indexed="64"/>
      </patternFill>
    </fill>
    <fill>
      <patternFill patternType="solid">
        <fgColor rgb="FFFFEB9C"/>
        <bgColor indexed="64"/>
      </patternFill>
    </fill>
    <fill>
      <patternFill patternType="solid">
        <fgColor rgb="FFFFFF99"/>
        <bgColor indexed="64"/>
      </patternFill>
    </fill>
    <fill>
      <patternFill patternType="solid">
        <fgColor theme="4" tint="0.79998168889431442"/>
        <bgColor indexed="64"/>
      </patternFill>
    </fill>
    <fill>
      <patternFill patternType="solid">
        <fgColor rgb="FFD9D9D9"/>
        <bgColor indexed="64"/>
      </patternFill>
    </fill>
    <fill>
      <patternFill patternType="solid">
        <fgColor theme="0" tint="-0.249977111117893"/>
        <bgColor indexed="64"/>
      </patternFill>
    </fill>
    <fill>
      <patternFill patternType="solid">
        <fgColor theme="6" tint="-0.249977111117893"/>
        <bgColor rgb="FF235B4F"/>
      </patternFill>
    </fill>
    <fill>
      <patternFill patternType="solid">
        <fgColor theme="0" tint="-0.14999847407452621"/>
        <bgColor indexed="64"/>
      </patternFill>
    </fill>
    <fill>
      <patternFill patternType="solid">
        <fgColor theme="5" tint="0.79998168889431442"/>
        <bgColor indexed="64"/>
      </patternFill>
    </fill>
    <fill>
      <patternFill patternType="solid">
        <fgColor theme="2" tint="-0.14999847407452621"/>
        <bgColor indexed="64"/>
      </patternFill>
    </fill>
    <fill>
      <patternFill patternType="solid">
        <fgColor theme="2" tint="-4.9989318521683403E-2"/>
        <bgColor indexed="64"/>
      </patternFill>
    </fill>
    <fill>
      <patternFill patternType="solid">
        <fgColor theme="1" tint="0.499984740745262"/>
        <bgColor indexed="64"/>
      </patternFill>
    </fill>
    <fill>
      <patternFill patternType="solid">
        <fgColor theme="0" tint="-0.14999847407452621"/>
        <bgColor rgb="FF235B4F"/>
      </patternFill>
    </fill>
  </fills>
  <borders count="70">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double">
        <color indexed="64"/>
      </left>
      <right style="double">
        <color indexed="64"/>
      </right>
      <top style="double">
        <color indexed="64"/>
      </top>
      <bottom style="double">
        <color indexed="64"/>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style="double">
        <color indexed="64"/>
      </right>
      <top style="double">
        <color indexed="64"/>
      </top>
      <bottom style="double">
        <color indexed="64"/>
      </bottom>
      <diagonal/>
    </border>
    <border>
      <left style="dotted">
        <color auto="1"/>
      </left>
      <right style="dotted">
        <color auto="1"/>
      </right>
      <top/>
      <bottom style="dotted">
        <color auto="1"/>
      </bottom>
      <diagonal/>
    </border>
    <border>
      <left style="dotted">
        <color auto="1"/>
      </left>
      <right/>
      <top/>
      <bottom style="dotted">
        <color auto="1"/>
      </bottom>
      <diagonal/>
    </border>
    <border>
      <left style="medium">
        <color indexed="64"/>
      </left>
      <right style="medium">
        <color indexed="64"/>
      </right>
      <top/>
      <bottom style="thin">
        <color indexed="64"/>
      </bottom>
      <diagonal/>
    </border>
    <border>
      <left style="dotted">
        <color auto="1"/>
      </left>
      <right style="dotted">
        <color auto="1"/>
      </right>
      <top/>
      <bottom/>
      <diagonal/>
    </border>
    <border>
      <left style="medium">
        <color indexed="64"/>
      </left>
      <right/>
      <top/>
      <bottom/>
      <diagonal/>
    </border>
    <border>
      <left style="double">
        <color indexed="64"/>
      </left>
      <right style="double">
        <color indexed="64"/>
      </right>
      <top style="double">
        <color indexed="64"/>
      </top>
      <bottom/>
      <diagonal/>
    </border>
    <border>
      <left/>
      <right style="double">
        <color indexed="64"/>
      </right>
      <top style="double">
        <color indexed="64"/>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49"/>
      </bottom>
      <diagonal/>
    </border>
    <border>
      <left style="thin">
        <color indexed="23"/>
      </left>
      <right style="thin">
        <color indexed="23"/>
      </right>
      <top style="thin">
        <color indexed="23"/>
      </top>
      <bottom style="thin">
        <color indexed="23"/>
      </bottom>
      <diagonal/>
    </border>
    <border>
      <left/>
      <right/>
      <top/>
      <bottom style="thick">
        <color indexed="22"/>
      </bottom>
      <diagonal/>
    </border>
    <border>
      <left style="double">
        <color indexed="63"/>
      </left>
      <right style="double">
        <color indexed="63"/>
      </right>
      <top style="double">
        <color indexed="63"/>
      </top>
      <bottom style="double">
        <color indexed="63"/>
      </bottom>
      <diagonal/>
    </border>
    <border>
      <left/>
      <right/>
      <top/>
      <bottom style="medium">
        <color indexed="49"/>
      </bottom>
      <diagonal/>
    </border>
    <border>
      <left/>
      <right/>
      <top/>
      <bottom style="double">
        <color indexed="52"/>
      </bottom>
      <diagonal/>
    </border>
    <border>
      <left/>
      <right/>
      <top/>
      <bottom style="medium">
        <color indexed="30"/>
      </bottom>
      <diagonal/>
    </border>
    <border>
      <left/>
      <right/>
      <top/>
      <bottom style="thick">
        <color indexed="62"/>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thin">
        <color auto="1"/>
      </left>
      <right style="thin">
        <color auto="1"/>
      </right>
      <top style="thin">
        <color auto="1"/>
      </top>
      <bottom/>
      <diagonal/>
    </border>
    <border>
      <left style="medium">
        <color rgb="FF000000"/>
      </left>
      <right style="medium">
        <color rgb="FF000000"/>
      </right>
      <top style="medium">
        <color rgb="FF000000"/>
      </top>
      <bottom style="medium">
        <color rgb="FF000000"/>
      </bottom>
      <diagonal/>
    </border>
    <border>
      <left/>
      <right/>
      <top style="double">
        <color indexed="64"/>
      </top>
      <bottom/>
      <diagonal/>
    </border>
    <border>
      <left/>
      <right style="dotted">
        <color auto="1"/>
      </right>
      <top style="dotted">
        <color auto="1"/>
      </top>
      <bottom style="dotted">
        <color auto="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dotted">
        <color theme="0" tint="-0.24994659260841701"/>
      </left>
      <right style="dotted">
        <color theme="0" tint="-0.24994659260841701"/>
      </right>
      <top style="dotted">
        <color theme="0" tint="-0.24994659260841701"/>
      </top>
      <bottom style="dotted">
        <color theme="0" tint="-0.24994659260841701"/>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diagonalDown="1">
      <left style="dotted">
        <color auto="1"/>
      </left>
      <right style="dotted">
        <color auto="1"/>
      </right>
      <top style="dotted">
        <color auto="1"/>
      </top>
      <bottom style="dotted">
        <color auto="1"/>
      </bottom>
      <diagonal style="dotted">
        <color auto="1"/>
      </diagonal>
    </border>
    <border diagonalDown="1">
      <left style="dotted">
        <color auto="1"/>
      </left>
      <right/>
      <top style="dotted">
        <color auto="1"/>
      </top>
      <bottom style="dotted">
        <color auto="1"/>
      </bottom>
      <diagonal style="dotted">
        <color auto="1"/>
      </diagonal>
    </border>
    <border>
      <left style="dotted">
        <color auto="1"/>
      </left>
      <right style="dotted">
        <color auto="1"/>
      </right>
      <top style="dotted">
        <color auto="1"/>
      </top>
      <bottom/>
      <diagonal/>
    </border>
    <border>
      <left style="thin">
        <color indexed="64"/>
      </left>
      <right style="thin">
        <color indexed="64"/>
      </right>
      <top style="thin">
        <color indexed="64"/>
      </top>
      <bottom style="dotted">
        <color auto="1"/>
      </bottom>
      <diagonal/>
    </border>
    <border>
      <left style="thin">
        <color indexed="64"/>
      </left>
      <right style="thin">
        <color indexed="64"/>
      </right>
      <top style="dotted">
        <color auto="1"/>
      </top>
      <bottom style="dotted">
        <color auto="1"/>
      </bottom>
      <diagonal/>
    </border>
    <border>
      <left style="thin">
        <color indexed="64"/>
      </left>
      <right style="thin">
        <color indexed="64"/>
      </right>
      <top style="dotted">
        <color auto="1"/>
      </top>
      <bottom style="thin">
        <color indexed="64"/>
      </bottom>
      <diagonal/>
    </border>
    <border>
      <left style="medium">
        <color indexed="64"/>
      </left>
      <right style="medium">
        <color indexed="64"/>
      </right>
      <top style="medium">
        <color indexed="64"/>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tted">
        <color auto="1"/>
      </right>
      <top/>
      <bottom/>
      <diagonal/>
    </border>
    <border>
      <left/>
      <right/>
      <top style="dotted">
        <color auto="1"/>
      </top>
      <bottom style="dotted">
        <color auto="1"/>
      </bottom>
      <diagonal/>
    </border>
    <border>
      <left style="medium">
        <color indexed="64"/>
      </left>
      <right style="medium">
        <color indexed="64"/>
      </right>
      <top/>
      <bottom/>
      <diagonal/>
    </border>
    <border>
      <left/>
      <right style="dotted">
        <color auto="1"/>
      </right>
      <top/>
      <bottom style="dotted">
        <color auto="1"/>
      </bottom>
      <diagonal/>
    </border>
    <border>
      <left/>
      <right/>
      <top/>
      <bottom style="thin">
        <color indexed="64"/>
      </bottom>
      <diagonal/>
    </border>
    <border diagonalDown="1">
      <left style="medium">
        <color indexed="64"/>
      </left>
      <right style="medium">
        <color indexed="64"/>
      </right>
      <top/>
      <bottom style="thin">
        <color indexed="64"/>
      </bottom>
      <diagonal style="thin">
        <color indexed="64"/>
      </diagonal>
    </border>
    <border>
      <left style="medium">
        <color indexed="64"/>
      </left>
      <right/>
      <top/>
      <bottom style="thin">
        <color indexed="64"/>
      </bottom>
      <diagonal/>
    </border>
    <border diagonalDown="1">
      <left/>
      <right style="medium">
        <color indexed="64"/>
      </right>
      <top/>
      <bottom style="thin">
        <color indexed="64"/>
      </bottom>
      <diagonal style="thin">
        <color indexed="64"/>
      </diagonal>
    </border>
    <border diagonalDown="1">
      <left style="medium">
        <color indexed="64"/>
      </left>
      <right style="medium">
        <color indexed="64"/>
      </right>
      <top style="medium">
        <color indexed="64"/>
      </top>
      <bottom style="thin">
        <color indexed="64"/>
      </bottom>
      <diagonal style="thin">
        <color indexed="64"/>
      </diagonal>
    </border>
    <border>
      <left style="medium">
        <color indexed="64"/>
      </left>
      <right style="medium">
        <color indexed="64"/>
      </right>
      <top style="thin">
        <color indexed="64"/>
      </top>
      <bottom style="medium">
        <color indexed="64"/>
      </bottom>
      <diagonal/>
    </border>
    <border>
      <left style="dotted">
        <color auto="1"/>
      </left>
      <right/>
      <top/>
      <bottom/>
      <diagonal/>
    </border>
  </borders>
  <cellStyleXfs count="48900">
    <xf numFmtId="0" fontId="0" fillId="0" borderId="0"/>
    <xf numFmtId="0" fontId="18" fillId="0" borderId="1"/>
    <xf numFmtId="0" fontId="27" fillId="0" borderId="1"/>
    <xf numFmtId="9" fontId="27" fillId="0" borderId="1" applyFont="0" applyFill="0" applyBorder="0" applyAlignment="0" applyProtection="0"/>
    <xf numFmtId="0" fontId="28" fillId="0" borderId="1"/>
    <xf numFmtId="9" fontId="29" fillId="0" borderId="0" applyFont="0" applyFill="0" applyBorder="0" applyAlignment="0" applyProtection="0"/>
    <xf numFmtId="0" fontId="32" fillId="0" borderId="1"/>
    <xf numFmtId="0" fontId="3" fillId="18" borderId="1" applyNumberFormat="0" applyBorder="0" applyAlignment="0" applyProtection="0"/>
    <xf numFmtId="0" fontId="35" fillId="0" borderId="1" applyNumberFormat="0" applyFill="0" applyBorder="0" applyAlignment="0" applyProtection="0"/>
    <xf numFmtId="0" fontId="35" fillId="0" borderId="1" applyNumberFormat="0" applyFill="0" applyBorder="0" applyAlignment="0" applyProtection="0"/>
    <xf numFmtId="164" fontId="3" fillId="0" borderId="1"/>
    <xf numFmtId="0" fontId="3" fillId="15" borderId="1" applyNumberFormat="0" applyBorder="0" applyAlignment="0" applyProtection="0"/>
    <xf numFmtId="0" fontId="3" fillId="0" borderId="1"/>
    <xf numFmtId="0" fontId="3" fillId="0" borderId="1"/>
    <xf numFmtId="0" fontId="3" fillId="0" borderId="1"/>
    <xf numFmtId="0" fontId="3" fillId="0" borderId="1"/>
    <xf numFmtId="164" fontId="3" fillId="0" borderId="1"/>
    <xf numFmtId="164" fontId="3" fillId="0" borderId="1"/>
    <xf numFmtId="0" fontId="3" fillId="14" borderId="1" applyNumberFormat="0" applyBorder="0" applyAlignment="0" applyProtection="0"/>
    <xf numFmtId="0" fontId="3" fillId="17" borderId="1" applyNumberFormat="0" applyBorder="0" applyAlignment="0" applyProtection="0"/>
    <xf numFmtId="164" fontId="3" fillId="0" borderId="1"/>
    <xf numFmtId="164" fontId="3" fillId="0" borderId="1"/>
    <xf numFmtId="0" fontId="3" fillId="14" borderId="1" applyNumberFormat="0" applyBorder="0" applyAlignment="0" applyProtection="0"/>
    <xf numFmtId="0" fontId="3" fillId="0" borderId="1"/>
    <xf numFmtId="0" fontId="3" fillId="14" borderId="1" applyNumberFormat="0" applyBorder="0" applyAlignment="0" applyProtection="0"/>
    <xf numFmtId="0" fontId="3" fillId="18"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6" borderId="1" applyNumberFormat="0" applyBorder="0" applyAlignment="0" applyProtection="0"/>
    <xf numFmtId="164" fontId="3" fillId="0" borderId="1"/>
    <xf numFmtId="164" fontId="3" fillId="0" borderId="1"/>
    <xf numFmtId="0" fontId="3" fillId="14" borderId="1" applyNumberFormat="0" applyBorder="0" applyAlignment="0" applyProtection="0"/>
    <xf numFmtId="0" fontId="3" fillId="0" borderId="1"/>
    <xf numFmtId="0" fontId="3" fillId="0" borderId="1"/>
    <xf numFmtId="164" fontId="33" fillId="0" borderId="1"/>
    <xf numFmtId="0" fontId="3" fillId="25" borderId="1" applyNumberFormat="0" applyBorder="0" applyAlignment="0" applyProtection="0"/>
    <xf numFmtId="0" fontId="3" fillId="21"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0" fontId="3" fillId="0" borderId="1"/>
    <xf numFmtId="0" fontId="3" fillId="24" borderId="1" applyNumberFormat="0" applyBorder="0" applyAlignment="0" applyProtection="0"/>
    <xf numFmtId="164" fontId="3" fillId="0" borderId="1"/>
    <xf numFmtId="0" fontId="3" fillId="0" borderId="1"/>
    <xf numFmtId="44" fontId="34" fillId="0" borderId="1" applyFont="0" applyFill="0" applyBorder="0" applyAlignment="0" applyProtection="0"/>
    <xf numFmtId="164" fontId="3" fillId="0" borderId="1"/>
    <xf numFmtId="164" fontId="3" fillId="0" borderId="1"/>
    <xf numFmtId="0" fontId="3" fillId="0" borderId="1"/>
    <xf numFmtId="164" fontId="3" fillId="0" borderId="1"/>
    <xf numFmtId="0" fontId="3" fillId="0" borderId="1"/>
    <xf numFmtId="44" fontId="3" fillId="0" borderId="1" applyFont="0" applyFill="0" applyBorder="0" applyAlignment="0" applyProtection="0"/>
    <xf numFmtId="0" fontId="3" fillId="13" borderId="1" applyNumberFormat="0" applyBorder="0" applyAlignment="0" applyProtection="0"/>
    <xf numFmtId="164" fontId="3" fillId="0" borderId="1"/>
    <xf numFmtId="164" fontId="3" fillId="0" borderId="1"/>
    <xf numFmtId="0" fontId="3" fillId="0" borderId="1"/>
    <xf numFmtId="0" fontId="3" fillId="19" borderId="1" applyNumberFormat="0" applyBorder="0" applyAlignment="0" applyProtection="0"/>
    <xf numFmtId="0" fontId="3" fillId="17" borderId="1" applyNumberFormat="0" applyBorder="0" applyAlignment="0" applyProtection="0"/>
    <xf numFmtId="0" fontId="3" fillId="0" borderId="1"/>
    <xf numFmtId="0" fontId="3" fillId="0" borderId="1"/>
    <xf numFmtId="164" fontId="3" fillId="0" borderId="1"/>
    <xf numFmtId="0" fontId="3" fillId="14" borderId="1" applyNumberFormat="0" applyBorder="0" applyAlignment="0" applyProtection="0"/>
    <xf numFmtId="44" fontId="3" fillId="0" borderId="1" applyFont="0" applyFill="0" applyBorder="0" applyAlignment="0" applyProtection="0"/>
    <xf numFmtId="0" fontId="3" fillId="18" borderId="1" applyNumberFormat="0" applyBorder="0" applyAlignment="0" applyProtection="0"/>
    <xf numFmtId="164" fontId="3" fillId="0" borderId="1"/>
    <xf numFmtId="0" fontId="3" fillId="15" borderId="1" applyNumberFormat="0" applyBorder="0" applyAlignment="0" applyProtection="0"/>
    <xf numFmtId="0" fontId="3" fillId="14" borderId="1" applyNumberFormat="0" applyBorder="0" applyAlignment="0" applyProtection="0"/>
    <xf numFmtId="0" fontId="3" fillId="0" borderId="1"/>
    <xf numFmtId="0" fontId="3" fillId="16" borderId="1" applyNumberFormat="0" applyBorder="0" applyAlignment="0" applyProtection="0"/>
    <xf numFmtId="0" fontId="3" fillId="0" borderId="1"/>
    <xf numFmtId="0" fontId="34" fillId="28" borderId="1" applyNumberFormat="0" applyBorder="0" applyAlignment="0" applyProtection="0"/>
    <xf numFmtId="164" fontId="3" fillId="0" borderId="1"/>
    <xf numFmtId="164" fontId="3" fillId="0" borderId="1"/>
    <xf numFmtId="0" fontId="3" fillId="0" borderId="1"/>
    <xf numFmtId="0" fontId="3" fillId="18" borderId="1" applyNumberFormat="0" applyBorder="0" applyAlignment="0" applyProtection="0"/>
    <xf numFmtId="0" fontId="3" fillId="0" borderId="1"/>
    <xf numFmtId="0" fontId="3" fillId="0" borderId="1"/>
    <xf numFmtId="0" fontId="3" fillId="0" borderId="1"/>
    <xf numFmtId="164" fontId="3" fillId="0" borderId="1"/>
    <xf numFmtId="44" fontId="3" fillId="0" borderId="1" applyFont="0" applyFill="0" applyBorder="0" applyAlignment="0" applyProtection="0"/>
    <xf numFmtId="0" fontId="3" fillId="0" borderId="1"/>
    <xf numFmtId="164" fontId="3" fillId="0" borderId="1"/>
    <xf numFmtId="0" fontId="3" fillId="0" borderId="1"/>
    <xf numFmtId="164" fontId="3" fillId="0" borderId="1"/>
    <xf numFmtId="0" fontId="3" fillId="17" borderId="1" applyNumberFormat="0" applyBorder="0" applyAlignment="0" applyProtection="0"/>
    <xf numFmtId="44" fontId="3" fillId="0" borderId="1" applyFont="0" applyFill="0" applyBorder="0" applyAlignment="0" applyProtection="0"/>
    <xf numFmtId="0" fontId="3" fillId="15" borderId="1" applyNumberFormat="0" applyBorder="0" applyAlignment="0" applyProtection="0"/>
    <xf numFmtId="44" fontId="3" fillId="0" borderId="1" applyFont="0" applyFill="0" applyBorder="0" applyAlignment="0" applyProtection="0"/>
    <xf numFmtId="0" fontId="3" fillId="14" borderId="1" applyNumberFormat="0" applyBorder="0" applyAlignment="0" applyProtection="0"/>
    <xf numFmtId="0" fontId="3" fillId="0" borderId="1"/>
    <xf numFmtId="164" fontId="3" fillId="0" borderId="1"/>
    <xf numFmtId="0" fontId="3" fillId="0" borderId="1"/>
    <xf numFmtId="164" fontId="3" fillId="0" borderId="1"/>
    <xf numFmtId="44" fontId="3" fillId="0" borderId="1" applyFont="0" applyFill="0" applyBorder="0" applyAlignment="0" applyProtection="0"/>
    <xf numFmtId="0" fontId="3" fillId="14" borderId="1" applyNumberFormat="0" applyBorder="0" applyAlignment="0" applyProtection="0"/>
    <xf numFmtId="164" fontId="3" fillId="0" borderId="1"/>
    <xf numFmtId="0" fontId="3" fillId="0" borderId="1"/>
    <xf numFmtId="164" fontId="3" fillId="0" borderId="1"/>
    <xf numFmtId="0" fontId="3" fillId="0" borderId="1"/>
    <xf numFmtId="0" fontId="3" fillId="18" borderId="1" applyNumberFormat="0" applyBorder="0" applyAlignment="0" applyProtection="0"/>
    <xf numFmtId="0" fontId="3" fillId="0" borderId="1"/>
    <xf numFmtId="164" fontId="3" fillId="0" borderId="1"/>
    <xf numFmtId="164" fontId="3" fillId="0" borderId="1"/>
    <xf numFmtId="0" fontId="3" fillId="17"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164" fontId="3" fillId="0" borderId="1"/>
    <xf numFmtId="0" fontId="3" fillId="15" borderId="1" applyNumberFormat="0" applyBorder="0" applyAlignment="0" applyProtection="0"/>
    <xf numFmtId="0" fontId="3" fillId="0" borderId="1"/>
    <xf numFmtId="0" fontId="3" fillId="13" borderId="1" applyNumberFormat="0" applyBorder="0" applyAlignment="0" applyProtection="0"/>
    <xf numFmtId="0" fontId="34" fillId="31" borderId="1" applyNumberFormat="0" applyBorder="0" applyAlignment="0" applyProtection="0"/>
    <xf numFmtId="0" fontId="3" fillId="18" borderId="1" applyNumberFormat="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14" borderId="1" applyNumberFormat="0" applyBorder="0" applyAlignment="0" applyProtection="0"/>
    <xf numFmtId="0" fontId="3" fillId="25" borderId="1" applyNumberFormat="0" applyBorder="0" applyAlignment="0" applyProtection="0"/>
    <xf numFmtId="0" fontId="3" fillId="21" borderId="1" applyNumberFormat="0" applyBorder="0" applyAlignment="0" applyProtection="0"/>
    <xf numFmtId="164" fontId="33" fillId="0" borderId="1" applyFont="0" applyFill="0" applyBorder="0" applyAlignment="0" applyProtection="0"/>
    <xf numFmtId="164" fontId="3" fillId="0" borderId="1"/>
    <xf numFmtId="0" fontId="33" fillId="0" borderId="1"/>
    <xf numFmtId="164" fontId="3" fillId="0" borderId="1"/>
    <xf numFmtId="0" fontId="3" fillId="15" borderId="1" applyNumberFormat="0" applyBorder="0" applyAlignment="0" applyProtection="0"/>
    <xf numFmtId="0" fontId="3" fillId="14" borderId="1" applyNumberFormat="0" applyBorder="0" applyAlignment="0" applyProtection="0"/>
    <xf numFmtId="0" fontId="3" fillId="0" borderId="1"/>
    <xf numFmtId="164" fontId="3" fillId="0" borderId="1"/>
    <xf numFmtId="0" fontId="3" fillId="25" borderId="1" applyNumberFormat="0" applyBorder="0" applyAlignment="0" applyProtection="0"/>
    <xf numFmtId="0" fontId="3" fillId="0" borderId="1"/>
    <xf numFmtId="0" fontId="3" fillId="0" borderId="1"/>
    <xf numFmtId="0" fontId="3" fillId="0" borderId="1"/>
    <xf numFmtId="0" fontId="3" fillId="13" borderId="1" applyNumberFormat="0" applyBorder="0" applyAlignment="0" applyProtection="0"/>
    <xf numFmtId="164" fontId="3" fillId="0" borderId="1"/>
    <xf numFmtId="44" fontId="3" fillId="0" borderId="1" applyFont="0" applyFill="0" applyBorder="0" applyAlignment="0" applyProtection="0"/>
    <xf numFmtId="0" fontId="3" fillId="14" borderId="1" applyNumberFormat="0" applyBorder="0" applyAlignment="0" applyProtection="0"/>
    <xf numFmtId="0" fontId="3" fillId="0" borderId="1"/>
    <xf numFmtId="0" fontId="3" fillId="0" borderId="1"/>
    <xf numFmtId="164" fontId="3" fillId="0" borderId="1"/>
    <xf numFmtId="0" fontId="3" fillId="0" borderId="1"/>
    <xf numFmtId="0" fontId="3" fillId="5" borderId="1" applyNumberFormat="0" applyBorder="0" applyAlignment="0" applyProtection="0"/>
    <xf numFmtId="0" fontId="3" fillId="0" borderId="1"/>
    <xf numFmtId="0" fontId="3" fillId="0" borderId="1"/>
    <xf numFmtId="0" fontId="3" fillId="19" borderId="1" applyNumberFormat="0" applyBorder="0" applyAlignment="0" applyProtection="0"/>
    <xf numFmtId="0" fontId="3" fillId="0" borderId="1"/>
    <xf numFmtId="0" fontId="3" fillId="16" borderId="1" applyNumberFormat="0" applyBorder="0" applyAlignment="0" applyProtection="0"/>
    <xf numFmtId="0" fontId="3" fillId="5" borderId="1" applyNumberFormat="0" applyBorder="0" applyAlignment="0" applyProtection="0"/>
    <xf numFmtId="0" fontId="3" fillId="0" borderId="1"/>
    <xf numFmtId="0" fontId="3" fillId="0" borderId="1"/>
    <xf numFmtId="44" fontId="3" fillId="0" borderId="1" applyFont="0" applyFill="0" applyBorder="0" applyAlignment="0" applyProtection="0"/>
    <xf numFmtId="43" fontId="3" fillId="0" borderId="1" applyFont="0" applyFill="0" applyBorder="0" applyAlignment="0" applyProtection="0"/>
    <xf numFmtId="0" fontId="3" fillId="19" borderId="1" applyNumberFormat="0" applyBorder="0" applyAlignment="0" applyProtection="0"/>
    <xf numFmtId="0" fontId="3" fillId="0" borderId="1"/>
    <xf numFmtId="164" fontId="3" fillId="0" borderId="1"/>
    <xf numFmtId="0" fontId="3" fillId="0" borderId="1"/>
    <xf numFmtId="0" fontId="3" fillId="0" borderId="1"/>
    <xf numFmtId="164" fontId="3" fillId="0" borderId="1"/>
    <xf numFmtId="164" fontId="3" fillId="0" borderId="1"/>
    <xf numFmtId="0" fontId="3" fillId="24" borderId="1" applyNumberFormat="0" applyBorder="0" applyAlignment="0" applyProtection="0"/>
    <xf numFmtId="164" fontId="3" fillId="0" borderId="1"/>
    <xf numFmtId="164" fontId="3" fillId="0" borderId="1"/>
    <xf numFmtId="0" fontId="3" fillId="0" borderId="1"/>
    <xf numFmtId="0" fontId="3" fillId="0" borderId="1"/>
    <xf numFmtId="0" fontId="3" fillId="14" borderId="1" applyNumberFormat="0" applyBorder="0" applyAlignment="0" applyProtection="0"/>
    <xf numFmtId="0" fontId="3" fillId="0" borderId="1"/>
    <xf numFmtId="164" fontId="3" fillId="0" borderId="1"/>
    <xf numFmtId="0" fontId="3" fillId="0" borderId="1"/>
    <xf numFmtId="0" fontId="3" fillId="13" borderId="1" applyNumberFormat="0" applyBorder="0" applyAlignment="0" applyProtection="0"/>
    <xf numFmtId="43" fontId="3" fillId="0" borderId="1" applyFont="0" applyFill="0" applyBorder="0" applyAlignment="0" applyProtection="0"/>
    <xf numFmtId="0" fontId="3" fillId="0" borderId="1"/>
    <xf numFmtId="0" fontId="3" fillId="13"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0" fontId="3" fillId="19" borderId="1" applyNumberFormat="0" applyBorder="0" applyAlignment="0" applyProtection="0"/>
    <xf numFmtId="0" fontId="3" fillId="14" borderId="1" applyNumberFormat="0" applyBorder="0" applyAlignment="0" applyProtection="0"/>
    <xf numFmtId="164" fontId="3" fillId="0" borderId="1"/>
    <xf numFmtId="0" fontId="3" fillId="25" borderId="1" applyNumberFormat="0" applyBorder="0" applyAlignment="0" applyProtection="0"/>
    <xf numFmtId="0" fontId="3" fillId="13" borderId="1" applyNumberFormat="0" applyBorder="0" applyAlignment="0" applyProtection="0"/>
    <xf numFmtId="0" fontId="3" fillId="0" borderId="1"/>
    <xf numFmtId="0" fontId="3" fillId="0" borderId="1"/>
    <xf numFmtId="0" fontId="3" fillId="0" borderId="1"/>
    <xf numFmtId="0" fontId="3"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0" fontId="3" fillId="0" borderId="1"/>
    <xf numFmtId="164" fontId="3" fillId="0" borderId="1"/>
    <xf numFmtId="164" fontId="3" fillId="0" borderId="1"/>
    <xf numFmtId="164" fontId="3" fillId="0" borderId="1"/>
    <xf numFmtId="0" fontId="3" fillId="13" borderId="1" applyNumberFormat="0" applyBorder="0" applyAlignment="0" applyProtection="0"/>
    <xf numFmtId="164" fontId="3" fillId="0" borderId="1"/>
    <xf numFmtId="0" fontId="3" fillId="21" borderId="1" applyNumberFormat="0" applyBorder="0" applyAlignment="0" applyProtection="0"/>
    <xf numFmtId="164" fontId="3" fillId="0" borderId="1"/>
    <xf numFmtId="0" fontId="3" fillId="0" borderId="1"/>
    <xf numFmtId="0" fontId="3" fillId="24" borderId="1" applyNumberFormat="0" applyBorder="0" applyAlignment="0" applyProtection="0"/>
    <xf numFmtId="0" fontId="3" fillId="0" borderId="1"/>
    <xf numFmtId="0" fontId="3" fillId="14" borderId="1" applyNumberFormat="0" applyBorder="0" applyAlignment="0" applyProtection="0"/>
    <xf numFmtId="0" fontId="3" fillId="0" borderId="1"/>
    <xf numFmtId="164" fontId="3" fillId="0" borderId="1"/>
    <xf numFmtId="164" fontId="3" fillId="0" borderId="1"/>
    <xf numFmtId="0" fontId="3" fillId="0" borderId="1"/>
    <xf numFmtId="0" fontId="3" fillId="0" borderId="1"/>
    <xf numFmtId="0" fontId="3" fillId="2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14" borderId="1" applyNumberFormat="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13" borderId="1" applyNumberFormat="0" applyBorder="0" applyAlignment="0" applyProtection="0"/>
    <xf numFmtId="44" fontId="3" fillId="0" borderId="1" applyFont="0" applyFill="0" applyBorder="0" applyAlignment="0" applyProtection="0"/>
    <xf numFmtId="0" fontId="3" fillId="13" borderId="1" applyNumberFormat="0" applyBorder="0" applyAlignment="0" applyProtection="0"/>
    <xf numFmtId="0" fontId="3" fillId="0" borderId="1"/>
    <xf numFmtId="0" fontId="3" fillId="22" borderId="1" applyNumberFormat="0" applyBorder="0" applyAlignment="0" applyProtection="0"/>
    <xf numFmtId="0" fontId="3" fillId="13"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44" fontId="3" fillId="0" borderId="1" applyFont="0" applyFill="0" applyBorder="0" applyAlignment="0" applyProtection="0"/>
    <xf numFmtId="0" fontId="3" fillId="14"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0" fontId="3" fillId="0" borderId="1"/>
    <xf numFmtId="164" fontId="3" fillId="0" borderId="1"/>
    <xf numFmtId="0" fontId="3" fillId="14" borderId="1" applyNumberFormat="0" applyBorder="0" applyAlignment="0" applyProtection="0"/>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16" borderId="1" applyNumberFormat="0" applyBorder="0" applyAlignment="0" applyProtection="0"/>
    <xf numFmtId="0" fontId="3" fillId="17" borderId="1" applyNumberFormat="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14"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0" fontId="3" fillId="0" borderId="1"/>
    <xf numFmtId="0" fontId="3" fillId="14" borderId="1" applyNumberFormat="0" applyBorder="0" applyAlignment="0" applyProtection="0"/>
    <xf numFmtId="164" fontId="3" fillId="0" borderId="1"/>
    <xf numFmtId="0" fontId="3" fillId="13" borderId="1" applyNumberFormat="0" applyBorder="0" applyAlignment="0" applyProtection="0"/>
    <xf numFmtId="0" fontId="33" fillId="0" borderId="1"/>
    <xf numFmtId="0" fontId="3" fillId="15" borderId="1" applyNumberFormat="0" applyBorder="0" applyAlignment="0" applyProtection="0"/>
    <xf numFmtId="0" fontId="3" fillId="19"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24" borderId="1" applyNumberFormat="0" applyBorder="0" applyAlignment="0" applyProtection="0"/>
    <xf numFmtId="0" fontId="3" fillId="15" borderId="1" applyNumberFormat="0" applyBorder="0" applyAlignment="0" applyProtection="0"/>
    <xf numFmtId="0" fontId="3" fillId="14" borderId="1" applyNumberFormat="0" applyBorder="0" applyAlignment="0" applyProtection="0"/>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22" borderId="1" applyNumberFormat="0" applyBorder="0" applyAlignment="0" applyProtection="0"/>
    <xf numFmtId="164" fontId="3" fillId="0" borderId="1"/>
    <xf numFmtId="0" fontId="3" fillId="24" borderId="1" applyNumberFormat="0" applyBorder="0" applyAlignment="0" applyProtection="0"/>
    <xf numFmtId="164" fontId="3" fillId="0" borderId="1"/>
    <xf numFmtId="164" fontId="3" fillId="0" borderId="1"/>
    <xf numFmtId="0" fontId="3" fillId="0" borderId="1"/>
    <xf numFmtId="0" fontId="3" fillId="0" borderId="1"/>
    <xf numFmtId="0" fontId="3" fillId="0" borderId="1"/>
    <xf numFmtId="0" fontId="3" fillId="17" borderId="1" applyNumberFormat="0" applyBorder="0" applyAlignment="0" applyProtection="0"/>
    <xf numFmtId="0" fontId="3" fillId="0" borderId="1"/>
    <xf numFmtId="0" fontId="3" fillId="13" borderId="1" applyNumberFormat="0" applyBorder="0" applyAlignment="0" applyProtection="0"/>
    <xf numFmtId="0" fontId="3" fillId="0" borderId="1"/>
    <xf numFmtId="0" fontId="3" fillId="0" borderId="1"/>
    <xf numFmtId="49" fontId="3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14" borderId="1" applyNumberFormat="0" applyBorder="0" applyAlignment="0" applyProtection="0"/>
    <xf numFmtId="0" fontId="3" fillId="25" borderId="1" applyNumberFormat="0" applyBorder="0" applyAlignment="0" applyProtection="0"/>
    <xf numFmtId="0" fontId="3" fillId="0" borderId="1"/>
    <xf numFmtId="0" fontId="3" fillId="16" borderId="1" applyNumberFormat="0" applyBorder="0" applyAlignment="0" applyProtection="0"/>
    <xf numFmtId="0" fontId="33" fillId="0" borderId="1"/>
    <xf numFmtId="0" fontId="3" fillId="0" borderId="1"/>
    <xf numFmtId="164" fontId="3" fillId="0" borderId="1"/>
    <xf numFmtId="164" fontId="3" fillId="0" borderId="1"/>
    <xf numFmtId="0" fontId="34" fillId="32" borderId="1" applyNumberFormat="0" applyBorder="0" applyAlignment="0" applyProtection="0"/>
    <xf numFmtId="0" fontId="3" fillId="15" borderId="1" applyNumberFormat="0" applyBorder="0" applyAlignment="0" applyProtection="0"/>
    <xf numFmtId="0" fontId="3" fillId="0" borderId="1"/>
    <xf numFmtId="44" fontId="3" fillId="0" borderId="1" applyFont="0" applyFill="0" applyBorder="0" applyAlignment="0" applyProtection="0"/>
    <xf numFmtId="0" fontId="3" fillId="18" borderId="1" applyNumberFormat="0" applyBorder="0" applyAlignment="0" applyProtection="0"/>
    <xf numFmtId="0" fontId="3" fillId="19" borderId="1" applyNumberFormat="0" applyBorder="0" applyAlignment="0" applyProtection="0"/>
    <xf numFmtId="0" fontId="33" fillId="0" borderId="1"/>
    <xf numFmtId="0" fontId="3" fillId="24" borderId="1" applyNumberFormat="0" applyBorder="0" applyAlignment="0" applyProtection="0"/>
    <xf numFmtId="0" fontId="3" fillId="0" borderId="1"/>
    <xf numFmtId="0" fontId="3" fillId="14" borderId="1" applyNumberFormat="0" applyBorder="0" applyAlignment="0" applyProtection="0"/>
    <xf numFmtId="0" fontId="3" fillId="0" borderId="1"/>
    <xf numFmtId="164" fontId="3" fillId="0" borderId="1"/>
    <xf numFmtId="0" fontId="3" fillId="13" borderId="1" applyNumberFormat="0" applyBorder="0" applyAlignment="0" applyProtection="0"/>
    <xf numFmtId="0" fontId="3" fillId="0" borderId="1"/>
    <xf numFmtId="0" fontId="3" fillId="24"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13" borderId="1" applyNumberFormat="0" applyBorder="0" applyAlignment="0" applyProtection="0"/>
    <xf numFmtId="0" fontId="3" fillId="0" borderId="1"/>
    <xf numFmtId="0" fontId="3" fillId="0" borderId="1"/>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16" borderId="1" applyNumberFormat="0" applyBorder="0" applyAlignment="0" applyProtection="0"/>
    <xf numFmtId="0" fontId="3" fillId="14" borderId="1" applyNumberFormat="0" applyBorder="0" applyAlignment="0" applyProtection="0"/>
    <xf numFmtId="0" fontId="3" fillId="0" borderId="1"/>
    <xf numFmtId="164" fontId="3" fillId="0" borderId="1"/>
    <xf numFmtId="0" fontId="3" fillId="0" borderId="1"/>
    <xf numFmtId="0" fontId="3" fillId="0" borderId="1"/>
    <xf numFmtId="0" fontId="3" fillId="18" borderId="1" applyNumberFormat="0" applyBorder="0" applyAlignment="0" applyProtection="0"/>
    <xf numFmtId="0" fontId="3" fillId="0" borderId="1"/>
    <xf numFmtId="164" fontId="3" fillId="0" borderId="1"/>
    <xf numFmtId="0" fontId="3" fillId="0" borderId="1"/>
    <xf numFmtId="164" fontId="3" fillId="0" borderId="1"/>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0" fontId="3" fillId="0" borderId="1"/>
    <xf numFmtId="0" fontId="3" fillId="14" borderId="1" applyNumberFormat="0" applyBorder="0" applyAlignment="0" applyProtection="0"/>
    <xf numFmtId="0" fontId="3" fillId="17" borderId="1" applyNumberFormat="0" applyBorder="0" applyAlignment="0" applyProtection="0"/>
    <xf numFmtId="164" fontId="3" fillId="0" borderId="1"/>
    <xf numFmtId="44" fontId="3" fillId="0" borderId="1" applyFont="0" applyFill="0" applyBorder="0" applyAlignment="0" applyProtection="0"/>
    <xf numFmtId="0" fontId="34" fillId="0" borderId="1"/>
    <xf numFmtId="0" fontId="3" fillId="0" borderId="1"/>
    <xf numFmtId="164" fontId="3" fillId="0" borderId="1"/>
    <xf numFmtId="164" fontId="3" fillId="0" borderId="1"/>
    <xf numFmtId="0" fontId="3" fillId="21" borderId="1" applyNumberFormat="0" applyBorder="0" applyAlignment="0" applyProtection="0"/>
    <xf numFmtId="0" fontId="3" fillId="13" borderId="1" applyNumberFormat="0" applyBorder="0" applyAlignment="0" applyProtection="0"/>
    <xf numFmtId="0" fontId="3" fillId="0" borderId="1"/>
    <xf numFmtId="0" fontId="3" fillId="0" borderId="1"/>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21" borderId="1" applyNumberFormat="0" applyBorder="0" applyAlignment="0" applyProtection="0"/>
    <xf numFmtId="44" fontId="3" fillId="0" borderId="1" applyFont="0" applyFill="0" applyBorder="0" applyAlignment="0" applyProtection="0"/>
    <xf numFmtId="164" fontId="3" fillId="0" borderId="1"/>
    <xf numFmtId="0" fontId="3" fillId="0" borderId="1"/>
    <xf numFmtId="0" fontId="3" fillId="13"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0" fontId="3" fillId="14" borderId="1" applyNumberFormat="0" applyBorder="0" applyAlignment="0" applyProtection="0"/>
    <xf numFmtId="164" fontId="3" fillId="0" borderId="1"/>
    <xf numFmtId="43" fontId="3" fillId="0" borderId="1" applyFont="0" applyFill="0" applyBorder="0" applyAlignment="0" applyProtection="0"/>
    <xf numFmtId="0" fontId="3" fillId="18"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17" borderId="1" applyNumberFormat="0" applyBorder="0" applyAlignment="0" applyProtection="0"/>
    <xf numFmtId="164" fontId="3" fillId="0" borderId="1"/>
    <xf numFmtId="0" fontId="3" fillId="14" borderId="1" applyNumberFormat="0" applyBorder="0" applyAlignment="0" applyProtection="0"/>
    <xf numFmtId="164" fontId="3" fillId="0" borderId="1"/>
    <xf numFmtId="0" fontId="3" fillId="13" borderId="1" applyNumberFormat="0" applyBorder="0" applyAlignment="0" applyProtection="0"/>
    <xf numFmtId="0" fontId="3" fillId="0" borderId="1"/>
    <xf numFmtId="0" fontId="3" fillId="0" borderId="1"/>
    <xf numFmtId="0" fontId="3" fillId="22" borderId="1" applyNumberFormat="0" applyBorder="0" applyAlignment="0" applyProtection="0"/>
    <xf numFmtId="0" fontId="3" fillId="21" borderId="1" applyNumberFormat="0" applyBorder="0" applyAlignment="0" applyProtection="0"/>
    <xf numFmtId="0" fontId="3" fillId="21" borderId="1" applyNumberFormat="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0" fontId="3" fillId="14" borderId="1" applyNumberFormat="0" applyBorder="0" applyAlignment="0" applyProtection="0"/>
    <xf numFmtId="164" fontId="3" fillId="0" borderId="1"/>
    <xf numFmtId="0" fontId="3" fillId="0" borderId="1"/>
    <xf numFmtId="0" fontId="3" fillId="0" borderId="1"/>
    <xf numFmtId="0" fontId="3" fillId="14" borderId="1" applyNumberFormat="0" applyBorder="0" applyAlignment="0" applyProtection="0"/>
    <xf numFmtId="0" fontId="3" fillId="0" borderId="1"/>
    <xf numFmtId="0" fontId="3" fillId="5" borderId="1" applyNumberFormat="0" applyBorder="0" applyAlignment="0" applyProtection="0"/>
    <xf numFmtId="0" fontId="3" fillId="0" borderId="1"/>
    <xf numFmtId="0" fontId="3" fillId="0" borderId="1"/>
    <xf numFmtId="0" fontId="3" fillId="0" borderId="1"/>
    <xf numFmtId="0" fontId="3" fillId="18" borderId="1" applyNumberFormat="0" applyBorder="0" applyAlignment="0" applyProtection="0"/>
    <xf numFmtId="0" fontId="3" fillId="0" borderId="1"/>
    <xf numFmtId="0" fontId="3" fillId="22" borderId="1" applyNumberFormat="0" applyBorder="0" applyAlignment="0" applyProtection="0"/>
    <xf numFmtId="164" fontId="3" fillId="0" borderId="1"/>
    <xf numFmtId="0" fontId="3" fillId="0" borderId="1"/>
    <xf numFmtId="164" fontId="3" fillId="0" borderId="1"/>
    <xf numFmtId="43" fontId="3" fillId="0" borderId="1" applyFont="0" applyFill="0" applyBorder="0" applyAlignment="0" applyProtection="0"/>
    <xf numFmtId="0" fontId="3" fillId="5" borderId="1" applyNumberFormat="0" applyBorder="0" applyAlignment="0" applyProtection="0"/>
    <xf numFmtId="0" fontId="3" fillId="25" borderId="1" applyNumberFormat="0" applyBorder="0" applyAlignment="0" applyProtection="0"/>
    <xf numFmtId="0" fontId="3" fillId="0" borderId="1"/>
    <xf numFmtId="0" fontId="3" fillId="14" borderId="1" applyNumberFormat="0" applyBorder="0" applyAlignment="0" applyProtection="0"/>
    <xf numFmtId="0" fontId="3" fillId="15" borderId="1" applyNumberFormat="0" applyBorder="0" applyAlignment="0" applyProtection="0"/>
    <xf numFmtId="44" fontId="3" fillId="0" borderId="1" applyFont="0" applyFill="0" applyBorder="0" applyAlignment="0" applyProtection="0"/>
    <xf numFmtId="0" fontId="3" fillId="0" borderId="1"/>
    <xf numFmtId="0" fontId="3" fillId="22" borderId="1" applyNumberFormat="0" applyBorder="0" applyAlignment="0" applyProtection="0"/>
    <xf numFmtId="0" fontId="3" fillId="0" borderId="1"/>
    <xf numFmtId="0" fontId="3" fillId="14"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0" fontId="3" fillId="0" borderId="1"/>
    <xf numFmtId="0" fontId="3" fillId="13" borderId="1" applyNumberFormat="0" applyBorder="0" applyAlignment="0" applyProtection="0"/>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0" fontId="3" fillId="0" borderId="1"/>
    <xf numFmtId="0" fontId="3" fillId="13" borderId="1" applyNumberFormat="0" applyBorder="0" applyAlignment="0" applyProtection="0"/>
    <xf numFmtId="0" fontId="3" fillId="0" borderId="1"/>
    <xf numFmtId="0" fontId="3" fillId="0" borderId="1"/>
    <xf numFmtId="0" fontId="3" fillId="0" borderId="1"/>
    <xf numFmtId="0" fontId="3" fillId="0" borderId="1"/>
    <xf numFmtId="0" fontId="3" fillId="16" borderId="1" applyNumberFormat="0" applyBorder="0" applyAlignment="0" applyProtection="0"/>
    <xf numFmtId="164" fontId="3" fillId="0" borderId="1"/>
    <xf numFmtId="0" fontId="3" fillId="16" borderId="1" applyNumberFormat="0" applyBorder="0" applyAlignment="0" applyProtection="0"/>
    <xf numFmtId="0" fontId="3" fillId="18" borderId="1" applyNumberFormat="0" applyBorder="0" applyAlignment="0" applyProtection="0"/>
    <xf numFmtId="0" fontId="3" fillId="0" borderId="1"/>
    <xf numFmtId="0" fontId="3" fillId="0" borderId="1"/>
    <xf numFmtId="0" fontId="3" fillId="14" borderId="1" applyNumberFormat="0" applyBorder="0" applyAlignment="0" applyProtection="0"/>
    <xf numFmtId="0" fontId="3" fillId="0" borderId="1"/>
    <xf numFmtId="164" fontId="3" fillId="0" borderId="1"/>
    <xf numFmtId="164" fontId="3" fillId="0" borderId="1"/>
    <xf numFmtId="0" fontId="3" fillId="0" borderId="1"/>
    <xf numFmtId="0" fontId="3" fillId="0" borderId="1"/>
    <xf numFmtId="0" fontId="3" fillId="14" borderId="1" applyNumberFormat="0" applyBorder="0" applyAlignment="0" applyProtection="0"/>
    <xf numFmtId="0" fontId="3" fillId="18" borderId="1" applyNumberFormat="0" applyBorder="0" applyAlignment="0" applyProtection="0"/>
    <xf numFmtId="0" fontId="3" fillId="0" borderId="1"/>
    <xf numFmtId="164" fontId="3" fillId="0" borderId="1"/>
    <xf numFmtId="164" fontId="3" fillId="0" borderId="1"/>
    <xf numFmtId="0" fontId="33" fillId="0" borderId="1"/>
    <xf numFmtId="0" fontId="33" fillId="0" borderId="1"/>
    <xf numFmtId="0" fontId="3" fillId="17"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14" borderId="1" applyNumberFormat="0" applyBorder="0" applyAlignment="0" applyProtection="0"/>
    <xf numFmtId="164" fontId="3" fillId="0" borderId="1"/>
    <xf numFmtId="0" fontId="3" fillId="5" borderId="1" applyNumberFormat="0" applyBorder="0" applyAlignment="0" applyProtection="0"/>
    <xf numFmtId="164" fontId="3" fillId="0" borderId="1"/>
    <xf numFmtId="0" fontId="3" fillId="0" borderId="1"/>
    <xf numFmtId="0" fontId="3" fillId="0" borderId="1"/>
    <xf numFmtId="0" fontId="3" fillId="25" borderId="1" applyNumberFormat="0" applyBorder="0" applyAlignment="0" applyProtection="0"/>
    <xf numFmtId="0" fontId="3" fillId="24" borderId="1" applyNumberFormat="0" applyBorder="0" applyAlignment="0" applyProtection="0"/>
    <xf numFmtId="164" fontId="3" fillId="0" borderId="1"/>
    <xf numFmtId="0" fontId="3" fillId="14" borderId="1" applyNumberFormat="0" applyBorder="0" applyAlignment="0" applyProtection="0"/>
    <xf numFmtId="0" fontId="3" fillId="0" borderId="1"/>
    <xf numFmtId="164" fontId="3" fillId="0" borderId="1"/>
    <xf numFmtId="0" fontId="3" fillId="16"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22" borderId="1" applyNumberFormat="0" applyBorder="0" applyAlignment="0" applyProtection="0"/>
    <xf numFmtId="0" fontId="3" fillId="0" borderId="1"/>
    <xf numFmtId="0" fontId="3" fillId="0" borderId="1"/>
    <xf numFmtId="164" fontId="3" fillId="0" borderId="1"/>
    <xf numFmtId="0" fontId="3" fillId="14" borderId="1" applyNumberFormat="0" applyBorder="0" applyAlignment="0" applyProtection="0"/>
    <xf numFmtId="164" fontId="3" fillId="0" borderId="1"/>
    <xf numFmtId="0" fontId="3" fillId="0" borderId="1"/>
    <xf numFmtId="164" fontId="3" fillId="0" borderId="1"/>
    <xf numFmtId="164" fontId="3" fillId="0" borderId="1"/>
    <xf numFmtId="0" fontId="3" fillId="24" borderId="1" applyNumberFormat="0" applyBorder="0" applyAlignment="0" applyProtection="0"/>
    <xf numFmtId="164" fontId="3" fillId="0" borderId="1"/>
    <xf numFmtId="0" fontId="3" fillId="0" borderId="1"/>
    <xf numFmtId="164" fontId="3" fillId="0" borderId="1"/>
    <xf numFmtId="0" fontId="3" fillId="5" borderId="1" applyNumberFormat="0" applyBorder="0" applyAlignment="0" applyProtection="0"/>
    <xf numFmtId="164" fontId="3" fillId="0" borderId="1"/>
    <xf numFmtId="164" fontId="3" fillId="0" borderId="1"/>
    <xf numFmtId="164" fontId="3" fillId="0" borderId="1"/>
    <xf numFmtId="164" fontId="3" fillId="0" borderId="1"/>
    <xf numFmtId="0" fontId="3" fillId="14" borderId="1" applyNumberFormat="0" applyBorder="0" applyAlignment="0" applyProtection="0"/>
    <xf numFmtId="9" fontId="34" fillId="0" borderId="1" applyFont="0" applyFill="0" applyBorder="0" applyAlignment="0" applyProtection="0"/>
    <xf numFmtId="164" fontId="3" fillId="0" borderId="1"/>
    <xf numFmtId="0" fontId="3" fillId="0" borderId="1"/>
    <xf numFmtId="0" fontId="3" fillId="0" borderId="1"/>
    <xf numFmtId="0" fontId="3" fillId="13" borderId="1" applyNumberFormat="0" applyBorder="0" applyAlignment="0" applyProtection="0"/>
    <xf numFmtId="0" fontId="3" fillId="0" borderId="1"/>
    <xf numFmtId="0" fontId="3" fillId="0" borderId="1"/>
    <xf numFmtId="0" fontId="3" fillId="0" borderId="1"/>
    <xf numFmtId="0" fontId="3" fillId="0" borderId="1"/>
    <xf numFmtId="0" fontId="3" fillId="17" borderId="1" applyNumberFormat="0" applyBorder="0" applyAlignment="0" applyProtection="0"/>
    <xf numFmtId="164" fontId="3" fillId="0" borderId="1"/>
    <xf numFmtId="0" fontId="3" fillId="24" borderId="1" applyNumberFormat="0" applyBorder="0" applyAlignment="0" applyProtection="0"/>
    <xf numFmtId="0" fontId="3" fillId="13" borderId="1" applyNumberFormat="0" applyBorder="0" applyAlignment="0" applyProtection="0"/>
    <xf numFmtId="0" fontId="3" fillId="0" borderId="1"/>
    <xf numFmtId="0" fontId="3" fillId="19" borderId="1" applyNumberFormat="0" applyBorder="0" applyAlignment="0" applyProtection="0"/>
    <xf numFmtId="0" fontId="3" fillId="0" borderId="1"/>
    <xf numFmtId="164" fontId="3" fillId="0" borderId="1"/>
    <xf numFmtId="0" fontId="3" fillId="0" borderId="1"/>
    <xf numFmtId="44" fontId="3" fillId="0" borderId="1" applyFont="0" applyFill="0" applyBorder="0" applyAlignment="0" applyProtection="0"/>
    <xf numFmtId="0" fontId="3" fillId="23" borderId="25" applyNumberFormat="0" applyFont="0" applyAlignment="0" applyProtection="0"/>
    <xf numFmtId="164" fontId="3" fillId="0" borderId="1"/>
    <xf numFmtId="0" fontId="3" fillId="15" borderId="1" applyNumberFormat="0" applyBorder="0" applyAlignment="0" applyProtection="0"/>
    <xf numFmtId="0" fontId="3" fillId="21" borderId="1" applyNumberFormat="0" applyBorder="0" applyAlignment="0" applyProtection="0"/>
    <xf numFmtId="0" fontId="3" fillId="13" borderId="1" applyNumberFormat="0" applyBorder="0" applyAlignment="0" applyProtection="0"/>
    <xf numFmtId="164" fontId="3" fillId="0" borderId="1"/>
    <xf numFmtId="0" fontId="3" fillId="0" borderId="1"/>
    <xf numFmtId="164" fontId="3" fillId="0" borderId="1"/>
    <xf numFmtId="0" fontId="3" fillId="22" borderId="1" applyNumberFormat="0" applyBorder="0" applyAlignment="0" applyProtection="0"/>
    <xf numFmtId="0" fontId="3" fillId="0" borderId="1"/>
    <xf numFmtId="0" fontId="3" fillId="0" borderId="1"/>
    <xf numFmtId="0" fontId="3" fillId="0" borderId="1"/>
    <xf numFmtId="0" fontId="3" fillId="21" borderId="1" applyNumberFormat="0" applyBorder="0" applyAlignment="0" applyProtection="0"/>
    <xf numFmtId="164" fontId="3" fillId="0" borderId="1"/>
    <xf numFmtId="0" fontId="3" fillId="16" borderId="1" applyNumberFormat="0" applyBorder="0" applyAlignment="0" applyProtection="0"/>
    <xf numFmtId="0" fontId="3" fillId="0" borderId="1"/>
    <xf numFmtId="0" fontId="3" fillId="18" borderId="1" applyNumberFormat="0" applyBorder="0" applyAlignment="0" applyProtection="0"/>
    <xf numFmtId="44" fontId="3" fillId="0" borderId="1" applyFont="0" applyFill="0" applyBorder="0" applyAlignment="0" applyProtection="0"/>
    <xf numFmtId="0" fontId="3" fillId="17" borderId="1" applyNumberFormat="0" applyBorder="0" applyAlignment="0" applyProtection="0"/>
    <xf numFmtId="0" fontId="3" fillId="0" borderId="1"/>
    <xf numFmtId="0" fontId="3" fillId="13" borderId="1" applyNumberFormat="0" applyBorder="0" applyAlignment="0" applyProtection="0"/>
    <xf numFmtId="0" fontId="3" fillId="14"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19" borderId="1" applyNumberFormat="0" applyBorder="0" applyAlignment="0" applyProtection="0"/>
    <xf numFmtId="0" fontId="3" fillId="14" borderId="1" applyNumberFormat="0" applyBorder="0" applyAlignment="0" applyProtection="0"/>
    <xf numFmtId="164" fontId="3" fillId="0" borderId="1"/>
    <xf numFmtId="0" fontId="3" fillId="25" borderId="1" applyNumberFormat="0" applyBorder="0" applyAlignment="0" applyProtection="0"/>
    <xf numFmtId="0" fontId="3" fillId="0" borderId="1"/>
    <xf numFmtId="0" fontId="3" fillId="0" borderId="1"/>
    <xf numFmtId="0" fontId="3" fillId="0" borderId="1"/>
    <xf numFmtId="0" fontId="3" fillId="0" borderId="1"/>
    <xf numFmtId="164" fontId="3" fillId="0" borderId="1"/>
    <xf numFmtId="0" fontId="3" fillId="14" borderId="1" applyNumberFormat="0" applyBorder="0" applyAlignment="0" applyProtection="0"/>
    <xf numFmtId="0" fontId="3" fillId="0" borderId="1"/>
    <xf numFmtId="0" fontId="3" fillId="24" borderId="1" applyNumberFormat="0" applyBorder="0" applyAlignment="0" applyProtection="0"/>
    <xf numFmtId="0" fontId="3" fillId="0" borderId="1"/>
    <xf numFmtId="0" fontId="3" fillId="14" borderId="1" applyNumberFormat="0" applyBorder="0" applyAlignment="0" applyProtection="0"/>
    <xf numFmtId="0" fontId="3" fillId="0" borderId="1"/>
    <xf numFmtId="164" fontId="3" fillId="0" borderId="1"/>
    <xf numFmtId="0" fontId="3" fillId="5" borderId="1" applyNumberFormat="0" applyBorder="0" applyAlignment="0" applyProtection="0"/>
    <xf numFmtId="164" fontId="3" fillId="0" borderId="1"/>
    <xf numFmtId="164" fontId="3" fillId="0" borderId="1"/>
    <xf numFmtId="0" fontId="3" fillId="14" borderId="1" applyNumberFormat="0" applyBorder="0" applyAlignment="0" applyProtection="0"/>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18" borderId="1" applyNumberFormat="0" applyBorder="0" applyAlignment="0" applyProtection="0"/>
    <xf numFmtId="0" fontId="3" fillId="0" borderId="1"/>
    <xf numFmtId="0" fontId="3" fillId="24" borderId="1" applyNumberFormat="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43" fontId="3" fillId="0" borderId="1" applyFont="0" applyFill="0" applyBorder="0" applyAlignment="0" applyProtection="0"/>
    <xf numFmtId="0" fontId="3" fillId="17" borderId="1" applyNumberFormat="0" applyBorder="0" applyAlignment="0" applyProtection="0"/>
    <xf numFmtId="0" fontId="3" fillId="0" borderId="1"/>
    <xf numFmtId="0" fontId="3" fillId="0" borderId="1"/>
    <xf numFmtId="0" fontId="3" fillId="17" borderId="1" applyNumberFormat="0" applyBorder="0" applyAlignment="0" applyProtection="0"/>
    <xf numFmtId="44" fontId="3" fillId="0" borderId="1" applyFont="0" applyFill="0" applyBorder="0" applyAlignment="0" applyProtection="0"/>
    <xf numFmtId="164" fontId="3" fillId="0" borderId="1"/>
    <xf numFmtId="0" fontId="3" fillId="0" borderId="1"/>
    <xf numFmtId="0" fontId="3" fillId="13" borderId="1" applyNumberFormat="0" applyBorder="0" applyAlignment="0" applyProtection="0"/>
    <xf numFmtId="0" fontId="3" fillId="14" borderId="1" applyNumberFormat="0" applyBorder="0" applyAlignment="0" applyProtection="0"/>
    <xf numFmtId="0" fontId="3" fillId="14" borderId="1" applyNumberFormat="0" applyBorder="0" applyAlignment="0" applyProtection="0"/>
    <xf numFmtId="44" fontId="3" fillId="0" borderId="1" applyFont="0" applyFill="0" applyBorder="0" applyAlignment="0" applyProtection="0"/>
    <xf numFmtId="164" fontId="3" fillId="0" borderId="1"/>
    <xf numFmtId="164" fontId="3" fillId="0" borderId="1"/>
    <xf numFmtId="164" fontId="33" fillId="0" borderId="1"/>
    <xf numFmtId="164" fontId="3" fillId="0" borderId="1"/>
    <xf numFmtId="0" fontId="34" fillId="36" borderId="1" applyNumberFormat="0" applyBorder="0" applyAlignment="0" applyProtection="0"/>
    <xf numFmtId="164" fontId="3" fillId="0" borderId="1"/>
    <xf numFmtId="0" fontId="3" fillId="5" borderId="1" applyNumberFormat="0" applyBorder="0" applyAlignment="0" applyProtection="0"/>
    <xf numFmtId="0" fontId="3" fillId="0" borderId="1"/>
    <xf numFmtId="164" fontId="3" fillId="0" borderId="1"/>
    <xf numFmtId="164" fontId="3" fillId="0" borderId="1"/>
    <xf numFmtId="0" fontId="3" fillId="14" borderId="1" applyNumberFormat="0" applyBorder="0" applyAlignment="0" applyProtection="0"/>
    <xf numFmtId="0" fontId="3" fillId="0" borderId="1"/>
    <xf numFmtId="0" fontId="3" fillId="0" borderId="1"/>
    <xf numFmtId="164" fontId="3" fillId="0" borderId="1"/>
    <xf numFmtId="164" fontId="3" fillId="0" borderId="1"/>
    <xf numFmtId="0" fontId="3" fillId="13" borderId="1" applyNumberFormat="0" applyBorder="0" applyAlignment="0" applyProtection="0"/>
    <xf numFmtId="0" fontId="3" fillId="0" borderId="1"/>
    <xf numFmtId="164" fontId="3" fillId="0" borderId="1"/>
    <xf numFmtId="0" fontId="3" fillId="14"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22" borderId="1" applyNumberFormat="0" applyBorder="0" applyAlignment="0" applyProtection="0"/>
    <xf numFmtId="164" fontId="3" fillId="0" borderId="1"/>
    <xf numFmtId="164" fontId="3" fillId="0" borderId="1"/>
    <xf numFmtId="164" fontId="3" fillId="0" borderId="1"/>
    <xf numFmtId="164" fontId="3" fillId="0" borderId="1"/>
    <xf numFmtId="0" fontId="3" fillId="0" borderId="1"/>
    <xf numFmtId="0" fontId="3" fillId="14" borderId="1" applyNumberFormat="0" applyBorder="0" applyAlignment="0" applyProtection="0"/>
    <xf numFmtId="9" fontId="34" fillId="0" borderId="1" applyFont="0" applyFill="0" applyBorder="0" applyAlignment="0" applyProtection="0"/>
    <xf numFmtId="164" fontId="3" fillId="0" borderId="1"/>
    <xf numFmtId="0" fontId="3" fillId="0" borderId="1"/>
    <xf numFmtId="0" fontId="3" fillId="13" borderId="1" applyNumberFormat="0" applyBorder="0" applyAlignment="0" applyProtection="0"/>
    <xf numFmtId="0" fontId="3" fillId="0" borderId="1"/>
    <xf numFmtId="0" fontId="3" fillId="0" borderId="1"/>
    <xf numFmtId="0" fontId="3" fillId="21" borderId="1" applyNumberFormat="0" applyBorder="0" applyAlignment="0" applyProtection="0"/>
    <xf numFmtId="164" fontId="3" fillId="0" borderId="1"/>
    <xf numFmtId="0" fontId="3" fillId="13" borderId="1" applyNumberFormat="0" applyBorder="0" applyAlignment="0" applyProtection="0"/>
    <xf numFmtId="0" fontId="3" fillId="0" borderId="1"/>
    <xf numFmtId="0" fontId="3" fillId="0" borderId="1"/>
    <xf numFmtId="164" fontId="3" fillId="0" borderId="1"/>
    <xf numFmtId="0" fontId="3" fillId="16" borderId="1" applyNumberFormat="0" applyBorder="0" applyAlignment="0" applyProtection="0"/>
    <xf numFmtId="0" fontId="3" fillId="0" borderId="1"/>
    <xf numFmtId="0" fontId="3" fillId="0" borderId="1"/>
    <xf numFmtId="0" fontId="3" fillId="0" borderId="1"/>
    <xf numFmtId="164" fontId="3" fillId="0" borderId="1"/>
    <xf numFmtId="43" fontId="3" fillId="0" borderId="1" applyFont="0" applyFill="0" applyBorder="0" applyAlignment="0" applyProtection="0"/>
    <xf numFmtId="0" fontId="3" fillId="22" borderId="1" applyNumberFormat="0" applyBorder="0" applyAlignment="0" applyProtection="0"/>
    <xf numFmtId="0" fontId="3" fillId="0" borderId="1"/>
    <xf numFmtId="0" fontId="3" fillId="0" borderId="1"/>
    <xf numFmtId="0" fontId="3" fillId="13" borderId="1" applyNumberFormat="0" applyBorder="0" applyAlignment="0" applyProtection="0"/>
    <xf numFmtId="0" fontId="3" fillId="14"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19"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14" borderId="1" applyNumberFormat="0" applyBorder="0" applyAlignment="0" applyProtection="0"/>
    <xf numFmtId="0" fontId="3" fillId="0" borderId="1"/>
    <xf numFmtId="164" fontId="3" fillId="0" borderId="1"/>
    <xf numFmtId="0" fontId="3" fillId="0" borderId="1"/>
    <xf numFmtId="0" fontId="3" fillId="0" borderId="1"/>
    <xf numFmtId="164" fontId="3" fillId="0" borderId="1"/>
    <xf numFmtId="164" fontId="3" fillId="0" borderId="1"/>
    <xf numFmtId="0" fontId="3" fillId="14" borderId="1" applyNumberFormat="0" applyBorder="0" applyAlignment="0" applyProtection="0"/>
    <xf numFmtId="164" fontId="3" fillId="0" borderId="1"/>
    <xf numFmtId="0" fontId="3" fillId="0" borderId="1"/>
    <xf numFmtId="0" fontId="3" fillId="24" borderId="1" applyNumberFormat="0" applyBorder="0" applyAlignment="0" applyProtection="0"/>
    <xf numFmtId="0" fontId="3" fillId="0" borderId="1"/>
    <xf numFmtId="0" fontId="3" fillId="0" borderId="1"/>
    <xf numFmtId="0" fontId="3" fillId="0" borderId="1"/>
    <xf numFmtId="0" fontId="3" fillId="0" borderId="1"/>
    <xf numFmtId="0" fontId="3" fillId="17" borderId="1" applyNumberFormat="0" applyBorder="0" applyAlignment="0" applyProtection="0"/>
    <xf numFmtId="0" fontId="3" fillId="0" borderId="1"/>
    <xf numFmtId="164" fontId="3" fillId="0" borderId="1"/>
    <xf numFmtId="0" fontId="3" fillId="0" borderId="1"/>
    <xf numFmtId="164" fontId="3" fillId="0" borderId="1"/>
    <xf numFmtId="164" fontId="3" fillId="0" borderId="1"/>
    <xf numFmtId="0" fontId="3" fillId="18" borderId="1" applyNumberFormat="0" applyBorder="0" applyAlignment="0" applyProtection="0"/>
    <xf numFmtId="44" fontId="3" fillId="0" borderId="1" applyFont="0" applyFill="0" applyBorder="0" applyAlignment="0" applyProtection="0"/>
    <xf numFmtId="0" fontId="3" fillId="0" borderId="1"/>
    <xf numFmtId="0" fontId="3" fillId="17" borderId="1" applyNumberFormat="0" applyBorder="0" applyAlignment="0" applyProtection="0"/>
    <xf numFmtId="164" fontId="3" fillId="0" borderId="1"/>
    <xf numFmtId="0" fontId="3" fillId="13" borderId="1" applyNumberFormat="0" applyBorder="0" applyAlignment="0" applyProtection="0"/>
    <xf numFmtId="0" fontId="3" fillId="0" borderId="1"/>
    <xf numFmtId="164" fontId="3" fillId="0" borderId="1"/>
    <xf numFmtId="164" fontId="3" fillId="0" borderId="1"/>
    <xf numFmtId="43" fontId="3" fillId="0" borderId="1" applyFont="0" applyFill="0" applyBorder="0" applyAlignment="0" applyProtection="0"/>
    <xf numFmtId="0" fontId="3" fillId="0" borderId="1"/>
    <xf numFmtId="164" fontId="3" fillId="0" borderId="1"/>
    <xf numFmtId="164" fontId="3" fillId="0" borderId="1"/>
    <xf numFmtId="0" fontId="3" fillId="18" borderId="1" applyNumberFormat="0" applyBorder="0" applyAlignment="0" applyProtection="0"/>
    <xf numFmtId="164" fontId="3" fillId="0" borderId="1"/>
    <xf numFmtId="0" fontId="3" fillId="13" borderId="1" applyNumberFormat="0" applyBorder="0" applyAlignment="0" applyProtection="0"/>
    <xf numFmtId="165" fontId="33" fillId="0" borderId="1" applyFont="0" applyFill="0" applyBorder="0" applyAlignment="0" applyProtection="0"/>
    <xf numFmtId="164" fontId="33" fillId="0" borderId="1" applyFont="0" applyFill="0" applyBorder="0" applyAlignment="0" applyProtection="0"/>
    <xf numFmtId="0" fontId="3" fillId="0" borderId="1"/>
    <xf numFmtId="0" fontId="3" fillId="17" borderId="1" applyNumberFormat="0" applyBorder="0" applyAlignment="0" applyProtection="0"/>
    <xf numFmtId="0" fontId="3" fillId="23" borderId="25" applyNumberFormat="0" applyFont="0" applyAlignment="0" applyProtection="0"/>
    <xf numFmtId="164" fontId="3" fillId="0" borderId="1"/>
    <xf numFmtId="164" fontId="3" fillId="0" borderId="1"/>
    <xf numFmtId="0" fontId="3" fillId="13" borderId="1" applyNumberFormat="0" applyBorder="0" applyAlignment="0" applyProtection="0"/>
    <xf numFmtId="164" fontId="3" fillId="0" borderId="1"/>
    <xf numFmtId="0" fontId="3" fillId="16" borderId="1" applyNumberFormat="0" applyBorder="0" applyAlignment="0" applyProtection="0"/>
    <xf numFmtId="0" fontId="3" fillId="14" borderId="1" applyNumberFormat="0" applyBorder="0" applyAlignment="0" applyProtection="0"/>
    <xf numFmtId="0" fontId="3" fillId="14" borderId="1" applyNumberFormat="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164" fontId="3" fillId="0" borderId="1"/>
    <xf numFmtId="0" fontId="3" fillId="25" borderId="1" applyNumberFormat="0" applyBorder="0" applyAlignment="0" applyProtection="0"/>
    <xf numFmtId="0" fontId="3" fillId="16" borderId="1" applyNumberFormat="0" applyBorder="0" applyAlignment="0" applyProtection="0"/>
    <xf numFmtId="0" fontId="3" fillId="0" borderId="1"/>
    <xf numFmtId="0" fontId="3" fillId="0" borderId="1"/>
    <xf numFmtId="0" fontId="3" fillId="0" borderId="1"/>
    <xf numFmtId="43" fontId="3" fillId="0" borderId="1" applyFont="0" applyFill="0" applyBorder="0" applyAlignment="0" applyProtection="0"/>
    <xf numFmtId="0" fontId="3" fillId="22" borderId="1" applyNumberFormat="0" applyBorder="0" applyAlignment="0" applyProtection="0"/>
    <xf numFmtId="0" fontId="3" fillId="0" borderId="1"/>
    <xf numFmtId="0" fontId="3" fillId="0" borderId="1"/>
    <xf numFmtId="164" fontId="3" fillId="0" borderId="1"/>
    <xf numFmtId="0" fontId="3" fillId="0" borderId="1"/>
    <xf numFmtId="0" fontId="3" fillId="0" borderId="1"/>
    <xf numFmtId="0" fontId="3" fillId="13" borderId="1" applyNumberFormat="0" applyBorder="0" applyAlignment="0" applyProtection="0"/>
    <xf numFmtId="0" fontId="3" fillId="0" borderId="1"/>
    <xf numFmtId="0" fontId="3" fillId="0" borderId="1"/>
    <xf numFmtId="0" fontId="3" fillId="0" borderId="1"/>
    <xf numFmtId="0" fontId="3" fillId="0" borderId="1"/>
    <xf numFmtId="0" fontId="3" fillId="25" borderId="1" applyNumberFormat="0" applyBorder="0" applyAlignment="0" applyProtection="0"/>
    <xf numFmtId="0" fontId="3" fillId="0" borderId="1"/>
    <xf numFmtId="0" fontId="3" fillId="16" borderId="1" applyNumberFormat="0" applyBorder="0" applyAlignment="0" applyProtection="0"/>
    <xf numFmtId="164" fontId="3" fillId="0" borderId="1"/>
    <xf numFmtId="0" fontId="3" fillId="19" borderId="1" applyNumberFormat="0" applyBorder="0" applyAlignment="0" applyProtection="0"/>
    <xf numFmtId="0" fontId="3" fillId="15"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164" fontId="3" fillId="0" borderId="1"/>
    <xf numFmtId="0" fontId="3" fillId="0" borderId="1"/>
    <xf numFmtId="0" fontId="3" fillId="13" borderId="1" applyNumberFormat="0" applyBorder="0" applyAlignment="0" applyProtection="0"/>
    <xf numFmtId="0" fontId="3" fillId="14" borderId="1" applyNumberFormat="0" applyBorder="0" applyAlignment="0" applyProtection="0"/>
    <xf numFmtId="0" fontId="3" fillId="0" borderId="1"/>
    <xf numFmtId="164" fontId="3" fillId="0" borderId="1"/>
    <xf numFmtId="0" fontId="34" fillId="34" borderId="1" applyNumberFormat="0" applyBorder="0" applyAlignment="0" applyProtection="0"/>
    <xf numFmtId="0" fontId="3" fillId="21" borderId="1" applyNumberFormat="0" applyBorder="0" applyAlignment="0" applyProtection="0"/>
    <xf numFmtId="44" fontId="3" fillId="0" borderId="1" applyFont="0" applyFill="0" applyBorder="0" applyAlignment="0" applyProtection="0"/>
    <xf numFmtId="0" fontId="3" fillId="15" borderId="1" applyNumberFormat="0" applyBorder="0" applyAlignment="0" applyProtection="0"/>
    <xf numFmtId="0" fontId="3" fillId="0" borderId="1"/>
    <xf numFmtId="0" fontId="3" fillId="0" borderId="1"/>
    <xf numFmtId="0" fontId="3" fillId="0" borderId="1"/>
    <xf numFmtId="164" fontId="3" fillId="0" borderId="1"/>
    <xf numFmtId="164" fontId="3" fillId="0" borderId="1"/>
    <xf numFmtId="0" fontId="3" fillId="14" borderId="1" applyNumberFormat="0" applyBorder="0" applyAlignment="0" applyProtection="0"/>
    <xf numFmtId="0" fontId="3" fillId="0" borderId="1"/>
    <xf numFmtId="164" fontId="3" fillId="0" borderId="1"/>
    <xf numFmtId="0" fontId="3" fillId="13" borderId="1" applyNumberFormat="0" applyBorder="0" applyAlignment="0" applyProtection="0"/>
    <xf numFmtId="0" fontId="3" fillId="0" borderId="1"/>
    <xf numFmtId="0" fontId="3" fillId="0" borderId="1"/>
    <xf numFmtId="0" fontId="3" fillId="0" borderId="1"/>
    <xf numFmtId="164" fontId="3" fillId="0" borderId="1"/>
    <xf numFmtId="0" fontId="3" fillId="17" borderId="1" applyNumberFormat="0" applyBorder="0" applyAlignment="0" applyProtection="0"/>
    <xf numFmtId="0" fontId="3" fillId="0" borderId="1"/>
    <xf numFmtId="0" fontId="3" fillId="0" borderId="1"/>
    <xf numFmtId="164" fontId="3" fillId="0" borderId="1"/>
    <xf numFmtId="0" fontId="3" fillId="15" borderId="1" applyNumberFormat="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0" fontId="3" fillId="18" borderId="1" applyNumberFormat="0" applyBorder="0" applyAlignment="0" applyProtection="0"/>
    <xf numFmtId="164" fontId="3" fillId="0" borderId="1"/>
    <xf numFmtId="164" fontId="3" fillId="0" borderId="1"/>
    <xf numFmtId="0" fontId="3" fillId="16" borderId="1" applyNumberFormat="0" applyBorder="0" applyAlignment="0" applyProtection="0"/>
    <xf numFmtId="0" fontId="3" fillId="14" borderId="1" applyNumberFormat="0" applyBorder="0" applyAlignment="0" applyProtection="0"/>
    <xf numFmtId="0" fontId="3" fillId="0" borderId="1"/>
    <xf numFmtId="0" fontId="3" fillId="0" borderId="1"/>
    <xf numFmtId="0" fontId="3" fillId="0" borderId="1"/>
    <xf numFmtId="164" fontId="3" fillId="0" borderId="1"/>
    <xf numFmtId="0" fontId="3" fillId="15" borderId="1" applyNumberFormat="0" applyBorder="0" applyAlignment="0" applyProtection="0"/>
    <xf numFmtId="0" fontId="3" fillId="13" borderId="1" applyNumberFormat="0" applyBorder="0" applyAlignment="0" applyProtection="0"/>
    <xf numFmtId="165" fontId="33" fillId="0" borderId="1" applyFont="0" applyFill="0" applyBorder="0" applyAlignment="0" applyProtection="0"/>
    <xf numFmtId="165" fontId="33" fillId="0" borderId="1" applyFont="0" applyFill="0" applyBorder="0" applyAlignment="0" applyProtection="0"/>
    <xf numFmtId="0" fontId="3" fillId="0" borderId="1"/>
    <xf numFmtId="0" fontId="3" fillId="17" borderId="1" applyNumberFormat="0" applyBorder="0" applyAlignment="0" applyProtection="0"/>
    <xf numFmtId="0" fontId="3" fillId="0" borderId="1"/>
    <xf numFmtId="0" fontId="3" fillId="18" borderId="1" applyNumberFormat="0" applyBorder="0" applyAlignment="0" applyProtection="0"/>
    <xf numFmtId="0" fontId="3" fillId="14" borderId="1" applyNumberFormat="0" applyBorder="0" applyAlignment="0" applyProtection="0"/>
    <xf numFmtId="0" fontId="3" fillId="14" borderId="1" applyNumberFormat="0" applyBorder="0" applyAlignment="0" applyProtection="0"/>
    <xf numFmtId="0" fontId="3" fillId="16" borderId="1" applyNumberFormat="0" applyBorder="0" applyAlignment="0" applyProtection="0"/>
    <xf numFmtId="0" fontId="3" fillId="0" borderId="1"/>
    <xf numFmtId="0" fontId="3" fillId="0" borderId="1"/>
    <xf numFmtId="0" fontId="3" fillId="25" borderId="1" applyNumberFormat="0" applyBorder="0" applyAlignment="0" applyProtection="0"/>
    <xf numFmtId="0" fontId="33" fillId="0" borderId="1"/>
    <xf numFmtId="0" fontId="3" fillId="0" borderId="1"/>
    <xf numFmtId="0" fontId="3" fillId="0" borderId="1"/>
    <xf numFmtId="0" fontId="3" fillId="22" borderId="1" applyNumberFormat="0" applyBorder="0" applyAlignment="0" applyProtection="0"/>
    <xf numFmtId="0" fontId="3" fillId="0" borderId="1"/>
    <xf numFmtId="0" fontId="3" fillId="0" borderId="1"/>
    <xf numFmtId="164" fontId="3" fillId="0" borderId="1"/>
    <xf numFmtId="0" fontId="3" fillId="19" borderId="1" applyNumberFormat="0" applyBorder="0" applyAlignment="0" applyProtection="0"/>
    <xf numFmtId="164" fontId="3" fillId="0" borderId="1"/>
    <xf numFmtId="164" fontId="3" fillId="0" borderId="1"/>
    <xf numFmtId="0" fontId="3" fillId="16" borderId="1" applyNumberFormat="0" applyBorder="0" applyAlignment="0" applyProtection="0"/>
    <xf numFmtId="0" fontId="3" fillId="14" borderId="1" applyNumberFormat="0" applyBorder="0" applyAlignment="0" applyProtection="0"/>
    <xf numFmtId="44" fontId="3" fillId="0" borderId="1" applyFont="0" applyFill="0" applyBorder="0" applyAlignment="0" applyProtection="0"/>
    <xf numFmtId="0" fontId="3" fillId="17" borderId="1" applyNumberFormat="0" applyBorder="0" applyAlignment="0" applyProtection="0"/>
    <xf numFmtId="164" fontId="3" fillId="0" borderId="1"/>
    <xf numFmtId="164" fontId="3" fillId="0" borderId="1"/>
    <xf numFmtId="164" fontId="3" fillId="0" borderId="1"/>
    <xf numFmtId="0" fontId="3" fillId="15" borderId="1" applyNumberFormat="0" applyBorder="0" applyAlignment="0" applyProtection="0"/>
    <xf numFmtId="0" fontId="3" fillId="18" borderId="1" applyNumberFormat="0" applyBorder="0" applyAlignment="0" applyProtection="0"/>
    <xf numFmtId="0" fontId="3" fillId="18" borderId="1" applyNumberFormat="0" applyBorder="0" applyAlignment="0" applyProtection="0"/>
    <xf numFmtId="0" fontId="3" fillId="0" borderId="1"/>
    <xf numFmtId="0" fontId="3" fillId="0" borderId="1"/>
    <xf numFmtId="164" fontId="3" fillId="0" borderId="1"/>
    <xf numFmtId="0" fontId="3" fillId="15" borderId="1" applyNumberFormat="0" applyBorder="0" applyAlignment="0" applyProtection="0"/>
    <xf numFmtId="0" fontId="3" fillId="13" borderId="1" applyNumberFormat="0" applyBorder="0" applyAlignment="0" applyProtection="0"/>
    <xf numFmtId="164" fontId="3" fillId="0" borderId="1"/>
    <xf numFmtId="0" fontId="3" fillId="0" borderId="1"/>
    <xf numFmtId="164" fontId="3" fillId="0" borderId="1"/>
    <xf numFmtId="0" fontId="3" fillId="19" borderId="1" applyNumberFormat="0" applyBorder="0" applyAlignment="0" applyProtection="0"/>
    <xf numFmtId="0" fontId="3" fillId="22" borderId="1" applyNumberFormat="0" applyBorder="0" applyAlignment="0" applyProtection="0"/>
    <xf numFmtId="44" fontId="3" fillId="0" borderId="1" applyFont="0" applyFill="0" applyBorder="0" applyAlignment="0" applyProtection="0"/>
    <xf numFmtId="0" fontId="3" fillId="0" borderId="1"/>
    <xf numFmtId="0" fontId="44" fillId="39" borderId="1" applyNumberFormat="0" applyBorder="0" applyAlignment="0" applyProtection="0"/>
    <xf numFmtId="164" fontId="3" fillId="0" borderId="1"/>
    <xf numFmtId="164" fontId="3" fillId="0" borderId="1"/>
    <xf numFmtId="43" fontId="3" fillId="0" borderId="1" applyFont="0" applyFill="0" applyBorder="0" applyAlignment="0" applyProtection="0"/>
    <xf numFmtId="0" fontId="3" fillId="17" borderId="1" applyNumberFormat="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0" fontId="3" fillId="14"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 fillId="0" borderId="1"/>
    <xf numFmtId="0" fontId="3" fillId="18" borderId="1" applyNumberFormat="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18"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 fillId="17" borderId="1" applyNumberFormat="0" applyBorder="0" applyAlignment="0" applyProtection="0"/>
    <xf numFmtId="0" fontId="3" fillId="0" borderId="1"/>
    <xf numFmtId="0" fontId="34" fillId="28" borderId="1" applyNumberFormat="0" applyBorder="0" applyAlignment="0" applyProtection="0"/>
    <xf numFmtId="0" fontId="3" fillId="14" borderId="1" applyNumberFormat="0" applyBorder="0" applyAlignment="0" applyProtection="0"/>
    <xf numFmtId="164" fontId="3" fillId="0" borderId="1"/>
    <xf numFmtId="0" fontId="3" fillId="5" borderId="1" applyNumberFormat="0" applyBorder="0" applyAlignment="0" applyProtection="0"/>
    <xf numFmtId="164" fontId="3" fillId="0" borderId="1"/>
    <xf numFmtId="164" fontId="3" fillId="0" borderId="1"/>
    <xf numFmtId="0" fontId="3" fillId="14" borderId="1" applyNumberFormat="0" applyBorder="0" applyAlignment="0" applyProtection="0"/>
    <xf numFmtId="164" fontId="3" fillId="0" borderId="1"/>
    <xf numFmtId="164" fontId="3" fillId="0" borderId="1"/>
    <xf numFmtId="0" fontId="3" fillId="13" borderId="1" applyNumberFormat="0" applyBorder="0" applyAlignment="0" applyProtection="0"/>
    <xf numFmtId="0" fontId="3" fillId="21" borderId="1" applyNumberFormat="0" applyBorder="0" applyAlignment="0" applyProtection="0"/>
    <xf numFmtId="0" fontId="3" fillId="14" borderId="1" applyNumberFormat="0" applyBorder="0" applyAlignment="0" applyProtection="0"/>
    <xf numFmtId="164" fontId="3" fillId="0" borderId="1"/>
    <xf numFmtId="164" fontId="3" fillId="0" borderId="1"/>
    <xf numFmtId="0" fontId="3" fillId="5" borderId="1" applyNumberFormat="0" applyBorder="0" applyAlignment="0" applyProtection="0"/>
    <xf numFmtId="0" fontId="3" fillId="0" borderId="1"/>
    <xf numFmtId="0" fontId="3" fillId="0" borderId="1"/>
    <xf numFmtId="164" fontId="3" fillId="0" borderId="1"/>
    <xf numFmtId="164" fontId="3" fillId="0" borderId="1"/>
    <xf numFmtId="164" fontId="3" fillId="0" borderId="1"/>
    <xf numFmtId="0" fontId="3" fillId="14" borderId="1" applyNumberFormat="0" applyBorder="0" applyAlignment="0" applyProtection="0"/>
    <xf numFmtId="0" fontId="3" fillId="0" borderId="1"/>
    <xf numFmtId="0" fontId="3" fillId="0" borderId="1"/>
    <xf numFmtId="43" fontId="3" fillId="0" borderId="1" applyFont="0" applyFill="0" applyBorder="0" applyAlignment="0" applyProtection="0"/>
    <xf numFmtId="0" fontId="3" fillId="24"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13" borderId="1" applyNumberFormat="0" applyBorder="0" applyAlignment="0" applyProtection="0"/>
    <xf numFmtId="44" fontId="3" fillId="0" borderId="1" applyFont="0" applyFill="0" applyBorder="0" applyAlignment="0" applyProtection="0"/>
    <xf numFmtId="0" fontId="3" fillId="0" borderId="1"/>
    <xf numFmtId="164" fontId="3" fillId="0" borderId="1"/>
    <xf numFmtId="0" fontId="3" fillId="19" borderId="1" applyNumberFormat="0" applyBorder="0" applyAlignment="0" applyProtection="0"/>
    <xf numFmtId="0" fontId="3" fillId="14" borderId="1" applyNumberFormat="0" applyBorder="0" applyAlignment="0" applyProtection="0"/>
    <xf numFmtId="164" fontId="3" fillId="0" borderId="1"/>
    <xf numFmtId="0" fontId="3" fillId="0" borderId="1"/>
    <xf numFmtId="0" fontId="3" fillId="0" borderId="1"/>
    <xf numFmtId="164" fontId="3" fillId="0" borderId="1"/>
    <xf numFmtId="164" fontId="3" fillId="0" borderId="1"/>
    <xf numFmtId="164" fontId="3" fillId="0" borderId="1"/>
    <xf numFmtId="0" fontId="3" fillId="14" borderId="1" applyNumberFormat="0" applyBorder="0" applyAlignment="0" applyProtection="0"/>
    <xf numFmtId="0" fontId="3" fillId="0" borderId="1"/>
    <xf numFmtId="43" fontId="3" fillId="0" borderId="1" applyFont="0" applyFill="0" applyBorder="0" applyAlignment="0" applyProtection="0"/>
    <xf numFmtId="164" fontId="3" fillId="0" borderId="1"/>
    <xf numFmtId="0" fontId="3" fillId="15" borderId="1" applyNumberFormat="0" applyBorder="0" applyAlignment="0" applyProtection="0"/>
    <xf numFmtId="0" fontId="3" fillId="14" borderId="1" applyNumberFormat="0" applyBorder="0" applyAlignment="0" applyProtection="0"/>
    <xf numFmtId="0" fontId="3" fillId="15" borderId="1" applyNumberFormat="0" applyBorder="0" applyAlignment="0" applyProtection="0"/>
    <xf numFmtId="0" fontId="3" fillId="14" borderId="1" applyNumberFormat="0" applyBorder="0" applyAlignment="0" applyProtection="0"/>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14" borderId="1" applyNumberFormat="0" applyBorder="0" applyAlignment="0" applyProtection="0"/>
    <xf numFmtId="43" fontId="3" fillId="0" borderId="1" applyFont="0" applyFill="0" applyBorder="0" applyAlignment="0" applyProtection="0"/>
    <xf numFmtId="0" fontId="3" fillId="0" borderId="1"/>
    <xf numFmtId="0" fontId="3" fillId="0" borderId="1"/>
    <xf numFmtId="164" fontId="3" fillId="0" borderId="1"/>
    <xf numFmtId="0" fontId="3" fillId="22" borderId="1" applyNumberFormat="0" applyBorder="0" applyAlignment="0" applyProtection="0"/>
    <xf numFmtId="0" fontId="3" fillId="21" borderId="1" applyNumberFormat="0" applyBorder="0" applyAlignment="0" applyProtection="0"/>
    <xf numFmtId="0" fontId="3" fillId="21" borderId="1" applyNumberFormat="0" applyBorder="0" applyAlignment="0" applyProtection="0"/>
    <xf numFmtId="0" fontId="3" fillId="0" borderId="1"/>
    <xf numFmtId="0" fontId="3" fillId="25" borderId="1" applyNumberFormat="0" applyBorder="0" applyAlignment="0" applyProtection="0"/>
    <xf numFmtId="164" fontId="3" fillId="0" borderId="1"/>
    <xf numFmtId="0" fontId="3" fillId="18" borderId="1" applyNumberFormat="0" applyBorder="0" applyAlignment="0" applyProtection="0"/>
    <xf numFmtId="0" fontId="3" fillId="14" borderId="1" applyNumberFormat="0" applyBorder="0" applyAlignment="0" applyProtection="0"/>
    <xf numFmtId="0" fontId="3" fillId="0" borderId="1"/>
    <xf numFmtId="43" fontId="3" fillId="0" borderId="1" applyFont="0" applyFill="0" applyBorder="0" applyAlignment="0" applyProtection="0"/>
    <xf numFmtId="0" fontId="3" fillId="14" borderId="1" applyNumberFormat="0" applyBorder="0" applyAlignment="0" applyProtection="0"/>
    <xf numFmtId="0" fontId="3" fillId="0" borderId="1"/>
    <xf numFmtId="0" fontId="3" fillId="0" borderId="1"/>
    <xf numFmtId="164" fontId="3" fillId="0" borderId="1"/>
    <xf numFmtId="0" fontId="3" fillId="0" borderId="1"/>
    <xf numFmtId="0" fontId="3" fillId="0" borderId="1"/>
    <xf numFmtId="164" fontId="3" fillId="0" borderId="1"/>
    <xf numFmtId="0" fontId="3" fillId="22" borderId="1" applyNumberFormat="0" applyBorder="0" applyAlignment="0" applyProtection="0"/>
    <xf numFmtId="0" fontId="3" fillId="15" borderId="1" applyNumberFormat="0" applyBorder="0" applyAlignment="0" applyProtection="0"/>
    <xf numFmtId="0" fontId="3" fillId="18" borderId="1" applyNumberFormat="0" applyBorder="0" applyAlignment="0" applyProtection="0"/>
    <xf numFmtId="164" fontId="3" fillId="0" borderId="1"/>
    <xf numFmtId="164" fontId="3" fillId="0" borderId="1"/>
    <xf numFmtId="0" fontId="3" fillId="14" borderId="1" applyNumberFormat="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0" fontId="3" fillId="22" borderId="1" applyNumberFormat="0" applyBorder="0" applyAlignment="0" applyProtection="0"/>
    <xf numFmtId="0" fontId="3" fillId="0" borderId="1"/>
    <xf numFmtId="0" fontId="3" fillId="0" borderId="1"/>
    <xf numFmtId="0" fontId="3" fillId="18" borderId="1" applyNumberFormat="0" applyBorder="0" applyAlignment="0" applyProtection="0"/>
    <xf numFmtId="0" fontId="3" fillId="0" borderId="1"/>
    <xf numFmtId="0" fontId="3" fillId="14" borderId="1" applyNumberFormat="0" applyBorder="0" applyAlignment="0" applyProtection="0"/>
    <xf numFmtId="164" fontId="3" fillId="0" borderId="1"/>
    <xf numFmtId="0" fontId="3" fillId="5" borderId="1" applyNumberFormat="0" applyBorder="0" applyAlignment="0" applyProtection="0"/>
    <xf numFmtId="164" fontId="3" fillId="0" borderId="1"/>
    <xf numFmtId="164" fontId="3" fillId="0" borderId="1"/>
    <xf numFmtId="0" fontId="3" fillId="0" borderId="1"/>
    <xf numFmtId="0" fontId="3" fillId="19" borderId="1" applyNumberFormat="0" applyBorder="0" applyAlignment="0" applyProtection="0"/>
    <xf numFmtId="0" fontId="3" fillId="5" borderId="1" applyNumberFormat="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164" fontId="3" fillId="0" borderId="1"/>
    <xf numFmtId="0" fontId="3" fillId="14"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14" borderId="1" applyNumberFormat="0" applyBorder="0" applyAlignment="0" applyProtection="0"/>
    <xf numFmtId="0" fontId="3" fillId="17"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13" borderId="1" applyNumberFormat="0" applyBorder="0" applyAlignment="0" applyProtection="0"/>
    <xf numFmtId="0" fontId="3" fillId="0" borderId="1"/>
    <xf numFmtId="164" fontId="33" fillId="0" borderId="1"/>
    <xf numFmtId="0" fontId="3" fillId="0" borderId="1"/>
    <xf numFmtId="164" fontId="3" fillId="0" borderId="1"/>
    <xf numFmtId="0" fontId="3" fillId="17" borderId="1" applyNumberFormat="0" applyBorder="0" applyAlignment="0" applyProtection="0"/>
    <xf numFmtId="0" fontId="3" fillId="15" borderId="1" applyNumberFormat="0" applyBorder="0" applyAlignment="0" applyProtection="0"/>
    <xf numFmtId="164" fontId="3" fillId="0" borderId="1"/>
    <xf numFmtId="164" fontId="3" fillId="0" borderId="1"/>
    <xf numFmtId="164" fontId="3" fillId="0" borderId="1"/>
    <xf numFmtId="164" fontId="3" fillId="0" borderId="1"/>
    <xf numFmtId="0" fontId="3" fillId="14" borderId="1" applyNumberFormat="0" applyBorder="0" applyAlignment="0" applyProtection="0"/>
    <xf numFmtId="0" fontId="3" fillId="0" borderId="1"/>
    <xf numFmtId="0" fontId="3" fillId="0" borderId="1"/>
    <xf numFmtId="0" fontId="3" fillId="0" borderId="1"/>
    <xf numFmtId="0" fontId="3" fillId="14" borderId="1" applyNumberFormat="0" applyBorder="0" applyAlignment="0" applyProtection="0"/>
    <xf numFmtId="0" fontId="3" fillId="0" borderId="1"/>
    <xf numFmtId="0" fontId="3" fillId="25" borderId="1" applyNumberFormat="0" applyBorder="0" applyAlignment="0" applyProtection="0"/>
    <xf numFmtId="0" fontId="3" fillId="0" borderId="1"/>
    <xf numFmtId="0" fontId="3" fillId="0" borderId="1"/>
    <xf numFmtId="164" fontId="3" fillId="0" borderId="1"/>
    <xf numFmtId="43" fontId="3" fillId="0" borderId="1" applyFont="0" applyFill="0" applyBorder="0" applyAlignment="0" applyProtection="0"/>
    <xf numFmtId="0" fontId="3" fillId="22" borderId="1" applyNumberFormat="0" applyBorder="0" applyAlignment="0" applyProtection="0"/>
    <xf numFmtId="164" fontId="3" fillId="0" borderId="1"/>
    <xf numFmtId="164" fontId="3" fillId="0" borderId="1"/>
    <xf numFmtId="164" fontId="3" fillId="0" borderId="1"/>
    <xf numFmtId="0" fontId="3" fillId="18" borderId="1" applyNumberFormat="0" applyBorder="0" applyAlignment="0" applyProtection="0"/>
    <xf numFmtId="0" fontId="3" fillId="14" borderId="1" applyNumberFormat="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0" fontId="3" fillId="14" borderId="1" applyNumberFormat="0" applyBorder="0" applyAlignment="0" applyProtection="0"/>
    <xf numFmtId="164" fontId="3" fillId="0" borderId="1"/>
    <xf numFmtId="164" fontId="3" fillId="0" borderId="1"/>
    <xf numFmtId="0" fontId="3" fillId="13" borderId="1" applyNumberFormat="0" applyBorder="0" applyAlignment="0" applyProtection="0"/>
    <xf numFmtId="164" fontId="3" fillId="0" borderId="1"/>
    <xf numFmtId="44" fontId="3" fillId="0" borderId="1" applyFont="0" applyFill="0" applyBorder="0" applyAlignment="0" applyProtection="0"/>
    <xf numFmtId="164" fontId="3" fillId="0" borderId="1"/>
    <xf numFmtId="0" fontId="34" fillId="34" borderId="1" applyNumberFormat="0" applyBorder="0" applyAlignment="0" applyProtection="0"/>
    <xf numFmtId="0" fontId="3" fillId="19"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164" fontId="3" fillId="0" borderId="1"/>
    <xf numFmtId="0" fontId="3" fillId="14" borderId="1" applyNumberFormat="0" applyBorder="0" applyAlignment="0" applyProtection="0"/>
    <xf numFmtId="164" fontId="3" fillId="0" borderId="1"/>
    <xf numFmtId="0" fontId="3" fillId="21" borderId="1" applyNumberFormat="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0" fontId="3" fillId="0" borderId="1"/>
    <xf numFmtId="0" fontId="3" fillId="14" borderId="1" applyNumberFormat="0" applyBorder="0" applyAlignment="0" applyProtection="0"/>
    <xf numFmtId="0" fontId="3" fillId="0" borderId="1"/>
    <xf numFmtId="0" fontId="3" fillId="0" borderId="1"/>
    <xf numFmtId="0" fontId="3" fillId="22" borderId="1" applyNumberFormat="0" applyBorder="0" applyAlignment="0" applyProtection="0"/>
    <xf numFmtId="0" fontId="3" fillId="15" borderId="1" applyNumberFormat="0" applyBorder="0" applyAlignment="0" applyProtection="0"/>
    <xf numFmtId="164" fontId="3" fillId="0" borderId="1"/>
    <xf numFmtId="0" fontId="3" fillId="14"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13" borderId="1" applyNumberFormat="0" applyBorder="0" applyAlignment="0" applyProtection="0"/>
    <xf numFmtId="164" fontId="3" fillId="0" borderId="1"/>
    <xf numFmtId="0" fontId="3" fillId="0" borderId="1"/>
    <xf numFmtId="44" fontId="3" fillId="0" borderId="1" applyFont="0" applyFill="0" applyBorder="0" applyAlignment="0" applyProtection="0"/>
    <xf numFmtId="0" fontId="3" fillId="0" borderId="1"/>
    <xf numFmtId="0" fontId="3" fillId="0" borderId="1"/>
    <xf numFmtId="0" fontId="3" fillId="14" borderId="1" applyNumberFormat="0" applyBorder="0" applyAlignment="0" applyProtection="0"/>
    <xf numFmtId="0" fontId="3" fillId="0" borderId="1"/>
    <xf numFmtId="0" fontId="3" fillId="0" borderId="1"/>
    <xf numFmtId="0" fontId="3" fillId="0" borderId="1"/>
    <xf numFmtId="164" fontId="3" fillId="0" borderId="1"/>
    <xf numFmtId="0" fontId="3" fillId="0" borderId="1"/>
    <xf numFmtId="0" fontId="3" fillId="0" borderId="1"/>
    <xf numFmtId="0" fontId="3" fillId="22" borderId="1" applyNumberFormat="0" applyBorder="0" applyAlignment="0" applyProtection="0"/>
    <xf numFmtId="0" fontId="3" fillId="22" borderId="1" applyNumberFormat="0" applyBorder="0" applyAlignment="0" applyProtection="0"/>
    <xf numFmtId="0" fontId="3" fillId="18" borderId="1" applyNumberFormat="0" applyBorder="0" applyAlignment="0" applyProtection="0"/>
    <xf numFmtId="0" fontId="3" fillId="14" borderId="1" applyNumberFormat="0" applyBorder="0" applyAlignment="0" applyProtection="0"/>
    <xf numFmtId="164" fontId="3" fillId="0" borderId="1"/>
    <xf numFmtId="0" fontId="3" fillId="13" borderId="1" applyNumberFormat="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0" fontId="3" fillId="14" borderId="1" applyNumberFormat="0" applyBorder="0" applyAlignment="0" applyProtection="0"/>
    <xf numFmtId="0" fontId="3" fillId="0" borderId="1"/>
    <xf numFmtId="0" fontId="3" fillId="24" borderId="1" applyNumberFormat="0" applyBorder="0" applyAlignment="0" applyProtection="0"/>
    <xf numFmtId="0" fontId="3" fillId="0" borderId="1"/>
    <xf numFmtId="0" fontId="3" fillId="0" borderId="1"/>
    <xf numFmtId="0" fontId="3" fillId="0" borderId="1"/>
    <xf numFmtId="0" fontId="3" fillId="14" borderId="1" applyNumberFormat="0" applyBorder="0" applyAlignment="0" applyProtection="0"/>
    <xf numFmtId="0" fontId="34" fillId="37" borderId="1" applyNumberFormat="0" applyBorder="0" applyAlignment="0" applyProtection="0"/>
    <xf numFmtId="9" fontId="3" fillId="0" borderId="1" applyFont="0" applyFill="0" applyBorder="0" applyAlignment="0" applyProtection="0"/>
    <xf numFmtId="0" fontId="3" fillId="18" borderId="1" applyNumberFormat="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22" borderId="1" applyNumberFormat="0" applyBorder="0" applyAlignment="0" applyProtection="0"/>
    <xf numFmtId="0" fontId="3" fillId="15" borderId="1" applyNumberFormat="0" applyBorder="0" applyAlignment="0" applyProtection="0"/>
    <xf numFmtId="0" fontId="3" fillId="14" borderId="1" applyNumberFormat="0" applyBorder="0" applyAlignment="0" applyProtection="0"/>
    <xf numFmtId="164" fontId="3" fillId="0" borderId="1"/>
    <xf numFmtId="0" fontId="3" fillId="13" borderId="1" applyNumberFormat="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14" borderId="1" applyNumberFormat="0" applyBorder="0" applyAlignment="0" applyProtection="0"/>
    <xf numFmtId="0" fontId="3" fillId="17" borderId="1" applyNumberFormat="0" applyBorder="0" applyAlignment="0" applyProtection="0"/>
    <xf numFmtId="164" fontId="3" fillId="0" borderId="1"/>
    <xf numFmtId="0" fontId="44" fillId="39"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14"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 fillId="0" borderId="1"/>
    <xf numFmtId="164" fontId="3" fillId="0" borderId="1"/>
    <xf numFmtId="164" fontId="3" fillId="0" borderId="1"/>
    <xf numFmtId="0" fontId="3" fillId="13" borderId="1" applyNumberFormat="0" applyBorder="0" applyAlignment="0" applyProtection="0"/>
    <xf numFmtId="0" fontId="3" fillId="0" borderId="1"/>
    <xf numFmtId="0" fontId="3" fillId="18" borderId="1" applyNumberFormat="0" applyBorder="0" applyAlignment="0" applyProtection="0"/>
    <xf numFmtId="164" fontId="3" fillId="0" borderId="1"/>
    <xf numFmtId="44" fontId="3" fillId="0" borderId="1" applyFont="0" applyFill="0" applyBorder="0" applyAlignment="0" applyProtection="0"/>
    <xf numFmtId="0" fontId="3" fillId="24" borderId="1" applyNumberFormat="0" applyBorder="0" applyAlignment="0" applyProtection="0"/>
    <xf numFmtId="0" fontId="3" fillId="0" borderId="1"/>
    <xf numFmtId="0" fontId="3" fillId="14" borderId="1" applyNumberFormat="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18" borderId="1" applyNumberFormat="0" applyBorder="0" applyAlignment="0" applyProtection="0"/>
    <xf numFmtId="0" fontId="3" fillId="0" borderId="1"/>
    <xf numFmtId="0" fontId="3" fillId="13" borderId="1" applyNumberFormat="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164" fontId="3" fillId="0" borderId="1"/>
    <xf numFmtId="0" fontId="3" fillId="19" borderId="1" applyNumberFormat="0" applyBorder="0" applyAlignment="0" applyProtection="0"/>
    <xf numFmtId="0" fontId="3" fillId="0" borderId="1"/>
    <xf numFmtId="164" fontId="3" fillId="0" borderId="1"/>
    <xf numFmtId="0" fontId="3" fillId="19" borderId="1" applyNumberFormat="0" applyBorder="0" applyAlignment="0" applyProtection="0"/>
    <xf numFmtId="164" fontId="3" fillId="0" borderId="1"/>
    <xf numFmtId="164" fontId="3" fillId="0" borderId="1"/>
    <xf numFmtId="0" fontId="3" fillId="5"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19" borderId="1" applyNumberFormat="0" applyBorder="0" applyAlignment="0" applyProtection="0"/>
    <xf numFmtId="164" fontId="3" fillId="0" borderId="1"/>
    <xf numFmtId="164" fontId="3" fillId="0" borderId="1"/>
    <xf numFmtId="0" fontId="3" fillId="14" borderId="1" applyNumberFormat="0" applyBorder="0" applyAlignment="0" applyProtection="0"/>
    <xf numFmtId="164" fontId="3" fillId="0" borderId="1"/>
    <xf numFmtId="0" fontId="3" fillId="25" borderId="1" applyNumberFormat="0" applyBorder="0" applyAlignment="0" applyProtection="0"/>
    <xf numFmtId="0" fontId="3" fillId="19" borderId="1" applyNumberFormat="0" applyBorder="0" applyAlignment="0" applyProtection="0"/>
    <xf numFmtId="0" fontId="3" fillId="17" borderId="1" applyNumberFormat="0" applyBorder="0" applyAlignment="0" applyProtection="0"/>
    <xf numFmtId="0" fontId="3" fillId="0" borderId="1"/>
    <xf numFmtId="0" fontId="3" fillId="0" borderId="1"/>
    <xf numFmtId="0" fontId="3" fillId="13" borderId="1" applyNumberFormat="0" applyBorder="0" applyAlignment="0" applyProtection="0"/>
    <xf numFmtId="0" fontId="3" fillId="14" borderId="1" applyNumberFormat="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0" fontId="3" fillId="19" borderId="1" applyNumberFormat="0" applyBorder="0" applyAlignment="0" applyProtection="0"/>
    <xf numFmtId="0" fontId="3" fillId="0" borderId="1"/>
    <xf numFmtId="0" fontId="3" fillId="17" borderId="1" applyNumberFormat="0" applyBorder="0" applyAlignment="0" applyProtection="0"/>
    <xf numFmtId="0" fontId="3" fillId="14" borderId="1" applyNumberFormat="0" applyBorder="0" applyAlignment="0" applyProtection="0"/>
    <xf numFmtId="164" fontId="3" fillId="0" borderId="1"/>
    <xf numFmtId="164" fontId="3" fillId="0" borderId="1"/>
    <xf numFmtId="0" fontId="3" fillId="14"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24" borderId="1" applyNumberFormat="0" applyBorder="0" applyAlignment="0" applyProtection="0"/>
    <xf numFmtId="0" fontId="3" fillId="24" borderId="1" applyNumberFormat="0" applyBorder="0" applyAlignment="0" applyProtection="0"/>
    <xf numFmtId="164" fontId="3" fillId="0" borderId="1"/>
    <xf numFmtId="0" fontId="3" fillId="5" borderId="1" applyNumberFormat="0" applyBorder="0" applyAlignment="0" applyProtection="0"/>
    <xf numFmtId="0" fontId="3" fillId="0" borderId="1"/>
    <xf numFmtId="0" fontId="3" fillId="0" borderId="1"/>
    <xf numFmtId="43" fontId="3" fillId="0" borderId="1" applyFont="0" applyFill="0" applyBorder="0" applyAlignment="0" applyProtection="0"/>
    <xf numFmtId="164" fontId="3" fillId="0" borderId="1"/>
    <xf numFmtId="0" fontId="3" fillId="14" borderId="1" applyNumberFormat="0" applyBorder="0" applyAlignment="0" applyProtection="0"/>
    <xf numFmtId="0" fontId="3" fillId="0" borderId="1"/>
    <xf numFmtId="0" fontId="3" fillId="0" borderId="1"/>
    <xf numFmtId="0" fontId="3" fillId="0" borderId="1"/>
    <xf numFmtId="0" fontId="3" fillId="25"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164" fontId="3" fillId="0" borderId="1"/>
    <xf numFmtId="0" fontId="33" fillId="0" borderId="1"/>
    <xf numFmtId="0" fontId="34" fillId="0" borderId="1"/>
    <xf numFmtId="0" fontId="3" fillId="17" borderId="1" applyNumberFormat="0" applyBorder="0" applyAlignment="0" applyProtection="0"/>
    <xf numFmtId="0" fontId="3" fillId="0" borderId="1"/>
    <xf numFmtId="164" fontId="3" fillId="0" borderId="1"/>
    <xf numFmtId="164" fontId="3" fillId="0" borderId="1"/>
    <xf numFmtId="164" fontId="3" fillId="0" borderId="1"/>
    <xf numFmtId="0" fontId="3" fillId="14"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164" fontId="3" fillId="0" borderId="1"/>
    <xf numFmtId="0" fontId="3" fillId="17" borderId="1" applyNumberFormat="0" applyBorder="0" applyAlignment="0" applyProtection="0"/>
    <xf numFmtId="0" fontId="3" fillId="0" borderId="1"/>
    <xf numFmtId="0" fontId="3" fillId="0" borderId="1"/>
    <xf numFmtId="0" fontId="3" fillId="0" borderId="1"/>
    <xf numFmtId="164" fontId="3" fillId="0" borderId="1"/>
    <xf numFmtId="164" fontId="3" fillId="0" borderId="1"/>
    <xf numFmtId="0" fontId="3" fillId="14" borderId="1" applyNumberFormat="0" applyBorder="0" applyAlignment="0" applyProtection="0"/>
    <xf numFmtId="164" fontId="3" fillId="0" borderId="1"/>
    <xf numFmtId="164" fontId="3" fillId="0" borderId="1"/>
    <xf numFmtId="164" fontId="3" fillId="0" borderId="1"/>
    <xf numFmtId="0" fontId="3" fillId="18" borderId="1" applyNumberFormat="0" applyBorder="0" applyAlignment="0" applyProtection="0"/>
    <xf numFmtId="0" fontId="3" fillId="25"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14" borderId="1" applyNumberFormat="0" applyBorder="0" applyAlignment="0" applyProtection="0"/>
    <xf numFmtId="0" fontId="3" fillId="0" borderId="1"/>
    <xf numFmtId="0" fontId="3" fillId="0" borderId="1"/>
    <xf numFmtId="0" fontId="3" fillId="0" borderId="1"/>
    <xf numFmtId="0" fontId="3" fillId="0" borderId="1"/>
    <xf numFmtId="43" fontId="3" fillId="0" borderId="1" applyFont="0" applyFill="0" applyBorder="0" applyAlignment="0" applyProtection="0"/>
    <xf numFmtId="0" fontId="3" fillId="0" borderId="1"/>
    <xf numFmtId="164" fontId="3" fillId="0" borderId="1"/>
    <xf numFmtId="0" fontId="3" fillId="17"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24" borderId="1" applyNumberFormat="0" applyBorder="0" applyAlignment="0" applyProtection="0"/>
    <xf numFmtId="164" fontId="3" fillId="0" borderId="1"/>
    <xf numFmtId="0" fontId="3" fillId="0" borderId="1"/>
    <xf numFmtId="164" fontId="3" fillId="0" borderId="1"/>
    <xf numFmtId="0" fontId="3" fillId="14" borderId="1" applyNumberFormat="0" applyBorder="0" applyAlignment="0" applyProtection="0"/>
    <xf numFmtId="164" fontId="3" fillId="0" borderId="1"/>
    <xf numFmtId="0" fontId="3" fillId="0" borderId="1"/>
    <xf numFmtId="0" fontId="3" fillId="0" borderId="1"/>
    <xf numFmtId="0" fontId="3" fillId="0" borderId="1"/>
    <xf numFmtId="0" fontId="3" fillId="0" borderId="1"/>
    <xf numFmtId="0" fontId="3" fillId="17" borderId="1" applyNumberFormat="0" applyBorder="0" applyAlignment="0" applyProtection="0"/>
    <xf numFmtId="44" fontId="3" fillId="0" borderId="1" applyFont="0" applyFill="0" applyBorder="0" applyAlignment="0" applyProtection="0"/>
    <xf numFmtId="0" fontId="3" fillId="14" borderId="1" applyNumberFormat="0" applyBorder="0" applyAlignment="0" applyProtection="0"/>
    <xf numFmtId="0" fontId="3" fillId="0" borderId="1"/>
    <xf numFmtId="164" fontId="3" fillId="0" borderId="1"/>
    <xf numFmtId="164" fontId="3" fillId="0" borderId="1"/>
    <xf numFmtId="164" fontId="3" fillId="0" borderId="1"/>
    <xf numFmtId="0" fontId="3" fillId="19" borderId="1" applyNumberFormat="0" applyBorder="0" applyAlignment="0" applyProtection="0"/>
    <xf numFmtId="164" fontId="3" fillId="0" borderId="1"/>
    <xf numFmtId="0" fontId="3" fillId="5" borderId="1" applyNumberFormat="0" applyBorder="0" applyAlignment="0" applyProtection="0"/>
    <xf numFmtId="0" fontId="3" fillId="0" borderId="1"/>
    <xf numFmtId="0" fontId="3" fillId="0" borderId="1"/>
    <xf numFmtId="164" fontId="3" fillId="0" borderId="1"/>
    <xf numFmtId="0" fontId="3" fillId="14" borderId="1" applyNumberFormat="0" applyBorder="0" applyAlignment="0" applyProtection="0"/>
    <xf numFmtId="0" fontId="3" fillId="0" borderId="1"/>
    <xf numFmtId="164" fontId="3" fillId="0" borderId="1"/>
    <xf numFmtId="0" fontId="34" fillId="0" borderId="1"/>
    <xf numFmtId="0" fontId="34" fillId="0" borderId="1"/>
    <xf numFmtId="0" fontId="3" fillId="17"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164" fontId="3" fillId="0" borderId="1"/>
    <xf numFmtId="164" fontId="3" fillId="0" borderId="1"/>
    <xf numFmtId="0" fontId="3" fillId="14" borderId="1" applyNumberFormat="0" applyBorder="0" applyAlignment="0" applyProtection="0"/>
    <xf numFmtId="0" fontId="3" fillId="24" borderId="1" applyNumberFormat="0" applyBorder="0" applyAlignment="0" applyProtection="0"/>
    <xf numFmtId="164" fontId="3" fillId="0" borderId="1"/>
    <xf numFmtId="0" fontId="3" fillId="14" borderId="1" applyNumberFormat="0" applyBorder="0" applyAlignment="0" applyProtection="0"/>
    <xf numFmtId="164" fontId="3" fillId="0" borderId="1"/>
    <xf numFmtId="164" fontId="3" fillId="0" borderId="1"/>
    <xf numFmtId="0" fontId="3" fillId="16" borderId="1" applyNumberFormat="0" applyBorder="0" applyAlignment="0" applyProtection="0"/>
    <xf numFmtId="0" fontId="3" fillId="0" borderId="1"/>
    <xf numFmtId="0" fontId="3" fillId="0" borderId="1"/>
    <xf numFmtId="0" fontId="3" fillId="13" borderId="1" applyNumberFormat="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0" fontId="3" fillId="19" borderId="1" applyNumberFormat="0" applyBorder="0" applyAlignment="0" applyProtection="0"/>
    <xf numFmtId="0" fontId="3" fillId="0" borderId="1"/>
    <xf numFmtId="0" fontId="3" fillId="19" borderId="1" applyNumberFormat="0" applyBorder="0" applyAlignment="0" applyProtection="0"/>
    <xf numFmtId="0" fontId="3" fillId="16" borderId="1" applyNumberFormat="0" applyBorder="0" applyAlignment="0" applyProtection="0"/>
    <xf numFmtId="0" fontId="3" fillId="0" borderId="1"/>
    <xf numFmtId="43"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22" borderId="1" applyNumberFormat="0" applyBorder="0" applyAlignment="0" applyProtection="0"/>
    <xf numFmtId="0" fontId="3" fillId="14" borderId="1" applyNumberFormat="0" applyBorder="0" applyAlignment="0" applyProtection="0"/>
    <xf numFmtId="164" fontId="3" fillId="0" borderId="1"/>
    <xf numFmtId="164" fontId="3" fillId="0" borderId="1"/>
    <xf numFmtId="164" fontId="3" fillId="0" borderId="1"/>
    <xf numFmtId="0" fontId="3" fillId="14" borderId="1" applyNumberFormat="0" applyBorder="0" applyAlignment="0" applyProtection="0"/>
    <xf numFmtId="0" fontId="3" fillId="0" borderId="1"/>
    <xf numFmtId="0" fontId="3" fillId="0" borderId="1"/>
    <xf numFmtId="0" fontId="3" fillId="0" borderId="1"/>
    <xf numFmtId="0" fontId="3" fillId="24" borderId="1" applyNumberFormat="0" applyBorder="0" applyAlignment="0" applyProtection="0"/>
    <xf numFmtId="0" fontId="3" fillId="0" borderId="1"/>
    <xf numFmtId="0" fontId="3" fillId="0" borderId="1"/>
    <xf numFmtId="0" fontId="3" fillId="0" borderId="1"/>
    <xf numFmtId="0" fontId="3" fillId="0" borderId="1"/>
    <xf numFmtId="0" fontId="3" fillId="13" borderId="1" applyNumberFormat="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19" borderId="1" applyNumberFormat="0" applyBorder="0" applyAlignment="0" applyProtection="0"/>
    <xf numFmtId="0" fontId="3" fillId="0" borderId="1"/>
    <xf numFmtId="0" fontId="3" fillId="17" borderId="1" applyNumberFormat="0" applyBorder="0" applyAlignment="0" applyProtection="0"/>
    <xf numFmtId="0" fontId="3" fillId="0" borderId="1"/>
    <xf numFmtId="0" fontId="3" fillId="0" borderId="1"/>
    <xf numFmtId="0" fontId="3" fillId="14" borderId="1" applyNumberFormat="0" applyBorder="0" applyAlignment="0" applyProtection="0"/>
    <xf numFmtId="164" fontId="3" fillId="0" borderId="1"/>
    <xf numFmtId="164" fontId="3" fillId="0" borderId="1"/>
    <xf numFmtId="0" fontId="3" fillId="5" borderId="1" applyNumberFormat="0" applyBorder="0" applyAlignment="0" applyProtection="0"/>
    <xf numFmtId="0" fontId="3" fillId="0" borderId="1"/>
    <xf numFmtId="0" fontId="3" fillId="0" borderId="1"/>
    <xf numFmtId="0" fontId="3" fillId="0" borderId="1"/>
    <xf numFmtId="164" fontId="3" fillId="0" borderId="1"/>
    <xf numFmtId="164" fontId="3" fillId="0" borderId="1"/>
    <xf numFmtId="164" fontId="3" fillId="0" borderId="1"/>
    <xf numFmtId="0" fontId="3" fillId="14" borderId="1" applyNumberFormat="0" applyBorder="0" applyAlignment="0" applyProtection="0"/>
    <xf numFmtId="43" fontId="3" fillId="0" borderId="1" applyFont="0" applyFill="0" applyBorder="0" applyAlignment="0" applyProtection="0"/>
    <xf numFmtId="0" fontId="3" fillId="0" borderId="1"/>
    <xf numFmtId="0" fontId="3" fillId="0" borderId="1"/>
    <xf numFmtId="0" fontId="3" fillId="0" borderId="1"/>
    <xf numFmtId="164" fontId="3" fillId="0" borderId="1"/>
    <xf numFmtId="0" fontId="3" fillId="17" borderId="1" applyNumberFormat="0" applyBorder="0" applyAlignment="0" applyProtection="0"/>
    <xf numFmtId="0" fontId="3" fillId="0" borderId="1"/>
    <xf numFmtId="164" fontId="3" fillId="0" borderId="1"/>
    <xf numFmtId="0" fontId="3" fillId="0" borderId="1"/>
    <xf numFmtId="164" fontId="3" fillId="0" borderId="1"/>
    <xf numFmtId="0" fontId="3" fillId="0" borderId="1"/>
    <xf numFmtId="0" fontId="3" fillId="14"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13" borderId="1" applyNumberFormat="0" applyBorder="0" applyAlignment="0" applyProtection="0"/>
    <xf numFmtId="164" fontId="3" fillId="0" borderId="1"/>
    <xf numFmtId="44" fontId="3" fillId="0" borderId="1" applyFont="0" applyFill="0" applyBorder="0" applyAlignment="0" applyProtection="0"/>
    <xf numFmtId="164" fontId="3" fillId="0" borderId="1"/>
    <xf numFmtId="0" fontId="3" fillId="19" borderId="1" applyNumberFormat="0" applyBorder="0" applyAlignment="0" applyProtection="0"/>
    <xf numFmtId="0" fontId="3" fillId="0" borderId="1"/>
    <xf numFmtId="0" fontId="34" fillId="0" borderId="1"/>
    <xf numFmtId="0" fontId="3" fillId="22" borderId="1" applyNumberFormat="0" applyBorder="0" applyAlignment="0" applyProtection="0"/>
    <xf numFmtId="0" fontId="3" fillId="0" borderId="1"/>
    <xf numFmtId="0" fontId="3" fillId="0" borderId="1"/>
    <xf numFmtId="0" fontId="3" fillId="24" borderId="1" applyNumberFormat="0" applyBorder="0" applyAlignment="0" applyProtection="0"/>
    <xf numFmtId="164" fontId="3" fillId="0" borderId="1"/>
    <xf numFmtId="164" fontId="3" fillId="0" borderId="1"/>
    <xf numFmtId="0" fontId="3" fillId="16" borderId="1" applyNumberFormat="0" applyBorder="0" applyAlignment="0" applyProtection="0"/>
    <xf numFmtId="0" fontId="3" fillId="0" borderId="1"/>
    <xf numFmtId="0" fontId="3" fillId="14" borderId="1" applyNumberFormat="0" applyBorder="0" applyAlignment="0" applyProtection="0"/>
    <xf numFmtId="164" fontId="3" fillId="0" borderId="1"/>
    <xf numFmtId="44" fontId="3" fillId="0" borderId="1" applyFont="0" applyFill="0" applyBorder="0" applyAlignment="0" applyProtection="0"/>
    <xf numFmtId="0" fontId="3" fillId="5" borderId="1" applyNumberFormat="0" applyBorder="0" applyAlignment="0" applyProtection="0"/>
    <xf numFmtId="0" fontId="3" fillId="17" borderId="1" applyNumberFormat="0" applyBorder="0" applyAlignment="0" applyProtection="0"/>
    <xf numFmtId="0" fontId="3" fillId="0" borderId="1"/>
    <xf numFmtId="0" fontId="3" fillId="0" borderId="1"/>
    <xf numFmtId="0" fontId="3" fillId="14" borderId="1" applyNumberFormat="0" applyBorder="0" applyAlignment="0" applyProtection="0"/>
    <xf numFmtId="164" fontId="3" fillId="0" borderId="1"/>
    <xf numFmtId="164" fontId="3" fillId="0" borderId="1"/>
    <xf numFmtId="164" fontId="3" fillId="0" borderId="1"/>
    <xf numFmtId="0" fontId="3" fillId="16" borderId="1" applyNumberFormat="0" applyBorder="0" applyAlignment="0" applyProtection="0"/>
    <xf numFmtId="0" fontId="3" fillId="0" borderId="1"/>
    <xf numFmtId="164" fontId="3" fillId="0" borderId="1"/>
    <xf numFmtId="164" fontId="3" fillId="0" borderId="1"/>
    <xf numFmtId="164" fontId="3" fillId="0" borderId="1"/>
    <xf numFmtId="164" fontId="3" fillId="0" borderId="1"/>
    <xf numFmtId="0" fontId="3" fillId="14" borderId="1" applyNumberFormat="0" applyBorder="0" applyAlignment="0" applyProtection="0"/>
    <xf numFmtId="0" fontId="3" fillId="15" borderId="1" applyNumberFormat="0" applyBorder="0" applyAlignment="0" applyProtection="0"/>
    <xf numFmtId="44" fontId="3" fillId="0" borderId="1" applyFont="0" applyFill="0" applyBorder="0" applyAlignment="0" applyProtection="0"/>
    <xf numFmtId="164" fontId="3" fillId="0" borderId="1"/>
    <xf numFmtId="0" fontId="3" fillId="18" borderId="1" applyNumberFormat="0" applyBorder="0" applyAlignment="0" applyProtection="0"/>
    <xf numFmtId="0" fontId="3" fillId="0" borderId="1"/>
    <xf numFmtId="0" fontId="3" fillId="0" borderId="1"/>
    <xf numFmtId="164" fontId="3" fillId="0" borderId="1"/>
    <xf numFmtId="164" fontId="3" fillId="0" borderId="1"/>
    <xf numFmtId="0" fontId="3" fillId="14" borderId="1" applyNumberFormat="0" applyBorder="0" applyAlignment="0" applyProtection="0"/>
    <xf numFmtId="0" fontId="3" fillId="0" borderId="1"/>
    <xf numFmtId="164" fontId="3" fillId="0" borderId="1"/>
    <xf numFmtId="0" fontId="3" fillId="17" borderId="1" applyNumberFormat="0" applyBorder="0" applyAlignment="0" applyProtection="0"/>
    <xf numFmtId="0" fontId="3" fillId="0" borderId="1"/>
    <xf numFmtId="164" fontId="3" fillId="0" borderId="1"/>
    <xf numFmtId="164" fontId="3" fillId="0" borderId="1"/>
    <xf numFmtId="164" fontId="3" fillId="0" borderId="1"/>
    <xf numFmtId="0" fontId="3" fillId="0" borderId="1"/>
    <xf numFmtId="0" fontId="3" fillId="14"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6" borderId="1" applyNumberFormat="0" applyBorder="0" applyAlignment="0" applyProtection="0"/>
    <xf numFmtId="44" fontId="3" fillId="0" borderId="1" applyFont="0" applyFill="0" applyBorder="0" applyAlignment="0" applyProtection="0"/>
    <xf numFmtId="0" fontId="3" fillId="14" borderId="1" applyNumberFormat="0" applyBorder="0" applyAlignment="0" applyProtection="0"/>
    <xf numFmtId="164" fontId="3" fillId="0" borderId="1"/>
    <xf numFmtId="0" fontId="3" fillId="0" borderId="1"/>
    <xf numFmtId="0" fontId="3" fillId="0" borderId="1"/>
    <xf numFmtId="0" fontId="3" fillId="19" borderId="1" applyNumberFormat="0" applyBorder="0" applyAlignment="0" applyProtection="0"/>
    <xf numFmtId="0" fontId="3" fillId="18" borderId="1" applyNumberFormat="0" applyBorder="0" applyAlignment="0" applyProtection="0"/>
    <xf numFmtId="164" fontId="3" fillId="0" borderId="1"/>
    <xf numFmtId="0" fontId="3" fillId="15" borderId="1" applyNumberFormat="0" applyBorder="0" applyAlignment="0" applyProtection="0"/>
    <xf numFmtId="0" fontId="3" fillId="0" borderId="1"/>
    <xf numFmtId="0" fontId="3" fillId="0" borderId="1"/>
    <xf numFmtId="0" fontId="3" fillId="0" borderId="1"/>
    <xf numFmtId="0" fontId="3" fillId="14" borderId="1" applyNumberFormat="0" applyBorder="0" applyAlignment="0" applyProtection="0"/>
    <xf numFmtId="164" fontId="3" fillId="0" borderId="1"/>
    <xf numFmtId="0" fontId="3" fillId="0" borderId="1"/>
    <xf numFmtId="0" fontId="3" fillId="19" borderId="1" applyNumberFormat="0" applyBorder="0" applyAlignment="0" applyProtection="0"/>
    <xf numFmtId="0" fontId="3" fillId="1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18"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3" borderId="1" applyNumberFormat="0" applyBorder="0" applyAlignment="0" applyProtection="0"/>
    <xf numFmtId="0" fontId="3" fillId="0" borderId="1"/>
    <xf numFmtId="0" fontId="3" fillId="0" borderId="1"/>
    <xf numFmtId="164" fontId="3" fillId="0" borderId="1"/>
    <xf numFmtId="164" fontId="3" fillId="0" borderId="1"/>
    <xf numFmtId="0" fontId="3" fillId="14" borderId="1" applyNumberFormat="0" applyBorder="0" applyAlignment="0" applyProtection="0"/>
    <xf numFmtId="0" fontId="3" fillId="0" borderId="1"/>
    <xf numFmtId="0" fontId="3" fillId="0" borderId="1"/>
    <xf numFmtId="0" fontId="3" fillId="0" borderId="1"/>
    <xf numFmtId="0" fontId="3" fillId="17"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14" borderId="1" applyNumberFormat="0" applyBorder="0" applyAlignment="0" applyProtection="0"/>
    <xf numFmtId="0" fontId="3" fillId="0" borderId="1"/>
    <xf numFmtId="0" fontId="3" fillId="14" borderId="1" applyNumberFormat="0" applyBorder="0" applyAlignment="0" applyProtection="0"/>
    <xf numFmtId="0" fontId="3" fillId="0" borderId="1"/>
    <xf numFmtId="0" fontId="3" fillId="0" borderId="1"/>
    <xf numFmtId="164" fontId="3" fillId="0" borderId="1"/>
    <xf numFmtId="164" fontId="3" fillId="0" borderId="1"/>
    <xf numFmtId="0" fontId="3" fillId="16" borderId="1" applyNumberFormat="0" applyBorder="0" applyAlignment="0" applyProtection="0"/>
    <xf numFmtId="0" fontId="3" fillId="0" borderId="1"/>
    <xf numFmtId="0" fontId="3" fillId="0" borderId="1"/>
    <xf numFmtId="0" fontId="3" fillId="13" borderId="1" applyNumberFormat="0" applyBorder="0" applyAlignment="0" applyProtection="0"/>
    <xf numFmtId="0" fontId="3" fillId="13" borderId="1" applyNumberFormat="0" applyBorder="0" applyAlignment="0" applyProtection="0"/>
    <xf numFmtId="0" fontId="3" fillId="14" borderId="1" applyNumberFormat="0" applyBorder="0" applyAlignment="0" applyProtection="0"/>
    <xf numFmtId="164" fontId="3" fillId="0" borderId="1"/>
    <xf numFmtId="164" fontId="3" fillId="0" borderId="1"/>
    <xf numFmtId="164" fontId="3" fillId="0" borderId="1"/>
    <xf numFmtId="0" fontId="3" fillId="14" borderId="1" applyNumberFormat="0" applyBorder="0" applyAlignment="0" applyProtection="0"/>
    <xf numFmtId="0" fontId="3" fillId="14" borderId="1" applyNumberFormat="0" applyBorder="0" applyAlignment="0" applyProtection="0"/>
    <xf numFmtId="164" fontId="3" fillId="0" borderId="1"/>
    <xf numFmtId="44" fontId="3" fillId="0" borderId="1" applyFont="0" applyFill="0" applyBorder="0" applyAlignment="0" applyProtection="0"/>
    <xf numFmtId="0" fontId="3" fillId="14" borderId="1" applyNumberFormat="0" applyBorder="0" applyAlignment="0" applyProtection="0"/>
    <xf numFmtId="0" fontId="3" fillId="0" borderId="1"/>
    <xf numFmtId="0" fontId="3" fillId="0" borderId="1"/>
    <xf numFmtId="0" fontId="3" fillId="14" borderId="1" applyNumberFormat="0" applyBorder="0" applyAlignment="0" applyProtection="0"/>
    <xf numFmtId="0" fontId="3" fillId="18" borderId="1" applyNumberFormat="0" applyBorder="0" applyAlignment="0" applyProtection="0"/>
    <xf numFmtId="164" fontId="3" fillId="0" borderId="1"/>
    <xf numFmtId="164" fontId="3" fillId="0" borderId="1"/>
    <xf numFmtId="164" fontId="3" fillId="0" borderId="1"/>
    <xf numFmtId="0" fontId="3" fillId="16" borderId="1" applyNumberFormat="0" applyBorder="0" applyAlignment="0" applyProtection="0"/>
    <xf numFmtId="0" fontId="3" fillId="14" borderId="1" applyNumberFormat="0" applyBorder="0" applyAlignment="0" applyProtection="0"/>
    <xf numFmtId="0" fontId="3" fillId="0" borderId="1"/>
    <xf numFmtId="0" fontId="3" fillId="0" borderId="1"/>
    <xf numFmtId="0" fontId="34" fillId="0" borderId="1"/>
    <xf numFmtId="0" fontId="3" fillId="19" borderId="1" applyNumberFormat="0" applyBorder="0" applyAlignment="0" applyProtection="0"/>
    <xf numFmtId="0" fontId="3" fillId="0" borderId="1"/>
    <xf numFmtId="0" fontId="3" fillId="0" borderId="1"/>
    <xf numFmtId="0" fontId="3" fillId="0" borderId="1"/>
    <xf numFmtId="0" fontId="3" fillId="14" borderId="1" applyNumberFormat="0" applyBorder="0" applyAlignment="0" applyProtection="0"/>
    <xf numFmtId="164" fontId="3" fillId="0" borderId="1"/>
    <xf numFmtId="0" fontId="3" fillId="13" borderId="1" applyNumberFormat="0" applyBorder="0" applyAlignment="0" applyProtection="0"/>
    <xf numFmtId="0" fontId="3" fillId="14" borderId="1" applyNumberFormat="0" applyBorder="0" applyAlignment="0" applyProtection="0"/>
    <xf numFmtId="164" fontId="3" fillId="0" borderId="1"/>
    <xf numFmtId="0" fontId="3" fillId="14" borderId="1" applyNumberFormat="0" applyBorder="0" applyAlignment="0" applyProtection="0"/>
    <xf numFmtId="44" fontId="3" fillId="0" borderId="1" applyFont="0" applyFill="0" applyBorder="0" applyAlignment="0" applyProtection="0"/>
    <xf numFmtId="164" fontId="3" fillId="0" borderId="1"/>
    <xf numFmtId="0" fontId="3" fillId="5" borderId="1" applyNumberFormat="0" applyBorder="0" applyAlignment="0" applyProtection="0"/>
    <xf numFmtId="0" fontId="3" fillId="0" borderId="1"/>
    <xf numFmtId="164" fontId="3" fillId="0" borderId="1"/>
    <xf numFmtId="0" fontId="3" fillId="18" borderId="1" applyNumberFormat="0" applyBorder="0" applyAlignment="0" applyProtection="0"/>
    <xf numFmtId="0" fontId="3" fillId="14" borderId="1" applyNumberFormat="0" applyBorder="0" applyAlignment="0" applyProtection="0"/>
    <xf numFmtId="44" fontId="3" fillId="0" borderId="1" applyFont="0" applyFill="0" applyBorder="0" applyAlignment="0" applyProtection="0"/>
    <xf numFmtId="164" fontId="33" fillId="0" borderId="1" applyFill="0" applyBorder="0" applyAlignment="0" applyProtection="0"/>
    <xf numFmtId="164" fontId="3" fillId="0" borderId="1"/>
    <xf numFmtId="164" fontId="3" fillId="0" borderId="1"/>
    <xf numFmtId="165" fontId="33" fillId="0" borderId="1" applyFont="0" applyFill="0" applyBorder="0" applyAlignment="0" applyProtection="0"/>
    <xf numFmtId="164" fontId="3" fillId="0" borderId="1"/>
    <xf numFmtId="0" fontId="3" fillId="0" borderId="1"/>
    <xf numFmtId="0" fontId="3" fillId="19" borderId="1" applyNumberFormat="0" applyBorder="0" applyAlignment="0" applyProtection="0"/>
    <xf numFmtId="164" fontId="33" fillId="0" borderId="1"/>
    <xf numFmtId="44" fontId="3" fillId="0" borderId="1" applyFont="0" applyFill="0" applyBorder="0" applyAlignment="0" applyProtection="0"/>
    <xf numFmtId="0" fontId="3" fillId="0" borderId="1"/>
    <xf numFmtId="0" fontId="3" fillId="14" borderId="1" applyNumberFormat="0" applyBorder="0" applyAlignment="0" applyProtection="0"/>
    <xf numFmtId="0" fontId="3" fillId="0" borderId="1"/>
    <xf numFmtId="0" fontId="3" fillId="0" borderId="1"/>
    <xf numFmtId="0" fontId="3" fillId="17"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14" borderId="1" applyNumberFormat="0" applyBorder="0" applyAlignment="0" applyProtection="0"/>
    <xf numFmtId="0" fontId="3" fillId="21" borderId="1" applyNumberFormat="0" applyBorder="0" applyAlignment="0" applyProtection="0"/>
    <xf numFmtId="44" fontId="3" fillId="0" borderId="1" applyFont="0" applyFill="0" applyBorder="0" applyAlignment="0" applyProtection="0"/>
    <xf numFmtId="0" fontId="3" fillId="18" borderId="1" applyNumberFormat="0" applyBorder="0" applyAlignment="0" applyProtection="0"/>
    <xf numFmtId="0" fontId="3" fillId="19" borderId="1" applyNumberFormat="0" applyBorder="0" applyAlignment="0" applyProtection="0"/>
    <xf numFmtId="0" fontId="3" fillId="24" borderId="1" applyNumberFormat="0" applyBorder="0" applyAlignment="0" applyProtection="0"/>
    <xf numFmtId="164" fontId="3" fillId="0" borderId="1"/>
    <xf numFmtId="164" fontId="3" fillId="0" borderId="1"/>
    <xf numFmtId="0" fontId="3" fillId="0" borderId="1"/>
    <xf numFmtId="0" fontId="3" fillId="14"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13"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0" fontId="3" fillId="19" borderId="1" applyNumberFormat="0" applyBorder="0" applyAlignment="0" applyProtection="0"/>
    <xf numFmtId="0" fontId="3" fillId="22" borderId="1" applyNumberFormat="0" applyBorder="0" applyAlignment="0" applyProtection="0"/>
    <xf numFmtId="0" fontId="3" fillId="14" borderId="1" applyNumberFormat="0" applyBorder="0" applyAlignment="0" applyProtection="0"/>
    <xf numFmtId="164" fontId="3" fillId="0" borderId="1"/>
    <xf numFmtId="0" fontId="3" fillId="25" borderId="1" applyNumberFormat="0" applyBorder="0" applyAlignment="0" applyProtection="0"/>
    <xf numFmtId="164" fontId="3" fillId="0" borderId="1"/>
    <xf numFmtId="0" fontId="3" fillId="19" borderId="1" applyNumberFormat="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0" fontId="3" fillId="0" borderId="1"/>
    <xf numFmtId="164" fontId="3" fillId="0" borderId="1"/>
    <xf numFmtId="0" fontId="3" fillId="14" borderId="1" applyNumberFormat="0" applyBorder="0" applyAlignment="0" applyProtection="0"/>
    <xf numFmtId="164" fontId="3" fillId="0" borderId="1"/>
    <xf numFmtId="164" fontId="3" fillId="0" borderId="1"/>
    <xf numFmtId="0" fontId="3" fillId="14" borderId="1" applyNumberFormat="0" applyBorder="0" applyAlignment="0" applyProtection="0"/>
    <xf numFmtId="0" fontId="3" fillId="0" borderId="1"/>
    <xf numFmtId="0" fontId="3" fillId="19" borderId="1" applyNumberFormat="0" applyBorder="0" applyAlignment="0" applyProtection="0"/>
    <xf numFmtId="0" fontId="3" fillId="0" borderId="1"/>
    <xf numFmtId="0" fontId="3" fillId="13" borderId="1" applyNumberFormat="0" applyBorder="0" applyAlignment="0" applyProtection="0"/>
    <xf numFmtId="0" fontId="3" fillId="13" borderId="1" applyNumberFormat="0" applyBorder="0" applyAlignment="0" applyProtection="0"/>
    <xf numFmtId="44" fontId="3" fillId="0" borderId="1" applyFont="0" applyFill="0" applyBorder="0" applyAlignment="0" applyProtection="0"/>
    <xf numFmtId="0" fontId="3" fillId="0" borderId="1"/>
    <xf numFmtId="164" fontId="3" fillId="0" borderId="1"/>
    <xf numFmtId="0" fontId="3" fillId="19" borderId="1" applyNumberFormat="0" applyBorder="0" applyAlignment="0" applyProtection="0"/>
    <xf numFmtId="0" fontId="3" fillId="14" borderId="1" applyNumberFormat="0" applyBorder="0" applyAlignment="0" applyProtection="0"/>
    <xf numFmtId="164" fontId="3" fillId="0" borderId="1"/>
    <xf numFmtId="44" fontId="3" fillId="0" borderId="1" applyFont="0" applyFill="0" applyBorder="0" applyAlignment="0" applyProtection="0"/>
    <xf numFmtId="164" fontId="3" fillId="0" borderId="1"/>
    <xf numFmtId="0" fontId="3" fillId="5" borderId="1" applyNumberFormat="0" applyBorder="0" applyAlignment="0" applyProtection="0"/>
    <xf numFmtId="164" fontId="3" fillId="0" borderId="1"/>
    <xf numFmtId="164" fontId="3" fillId="0" borderId="1"/>
    <xf numFmtId="0" fontId="3" fillId="19" borderId="1" applyNumberFormat="0" applyBorder="0" applyAlignment="0" applyProtection="0"/>
    <xf numFmtId="0" fontId="3" fillId="14" borderId="1" applyNumberFormat="0" applyBorder="0" applyAlignment="0" applyProtection="0"/>
    <xf numFmtId="164" fontId="3" fillId="0" borderId="1"/>
    <xf numFmtId="0" fontId="3" fillId="0" borderId="1"/>
    <xf numFmtId="0" fontId="3" fillId="18" borderId="1" applyNumberFormat="0" applyBorder="0" applyAlignment="0" applyProtection="0"/>
    <xf numFmtId="0" fontId="3" fillId="5" borderId="1" applyNumberFormat="0" applyBorder="0" applyAlignment="0" applyProtection="0"/>
    <xf numFmtId="164" fontId="3" fillId="0" borderId="1"/>
    <xf numFmtId="164" fontId="3" fillId="0" borderId="1"/>
    <xf numFmtId="0" fontId="3" fillId="14"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0" borderId="1"/>
    <xf numFmtId="0" fontId="3" fillId="5" borderId="1" applyNumberFormat="0" applyBorder="0" applyAlignment="0" applyProtection="0"/>
    <xf numFmtId="44" fontId="3" fillId="0" borderId="1" applyFont="0" applyFill="0" applyBorder="0" applyAlignment="0" applyProtection="0"/>
    <xf numFmtId="0" fontId="3" fillId="0" borderId="1"/>
    <xf numFmtId="0" fontId="3" fillId="19" borderId="1" applyNumberFormat="0" applyBorder="0" applyAlignment="0" applyProtection="0"/>
    <xf numFmtId="0" fontId="3" fillId="14" borderId="1" applyNumberFormat="0" applyBorder="0" applyAlignment="0" applyProtection="0"/>
    <xf numFmtId="0" fontId="3" fillId="18" borderId="1" applyNumberFormat="0" applyBorder="0" applyAlignment="0" applyProtection="0"/>
    <xf numFmtId="0" fontId="3" fillId="5" borderId="1" applyNumberFormat="0" applyBorder="0" applyAlignment="0" applyProtection="0"/>
    <xf numFmtId="0" fontId="3" fillId="5" borderId="1" applyNumberFormat="0" applyBorder="0" applyAlignment="0" applyProtection="0"/>
    <xf numFmtId="164" fontId="3" fillId="0" borderId="1"/>
    <xf numFmtId="164" fontId="3" fillId="0" borderId="1"/>
    <xf numFmtId="0" fontId="3" fillId="14"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43" fontId="3" fillId="0" borderId="1" applyFont="0" applyFill="0" applyBorder="0" applyAlignment="0" applyProtection="0"/>
    <xf numFmtId="0" fontId="3" fillId="0" borderId="1"/>
    <xf numFmtId="164" fontId="3" fillId="0" borderId="1"/>
    <xf numFmtId="164" fontId="3" fillId="0" borderId="1"/>
    <xf numFmtId="164" fontId="41" fillId="0" borderId="1" applyNumberFormat="0" applyFill="0" applyBorder="0" applyAlignment="0" applyProtection="0">
      <alignment vertical="top"/>
      <protection locked="0"/>
    </xf>
    <xf numFmtId="0" fontId="3" fillId="0" borderId="1"/>
    <xf numFmtId="164" fontId="3" fillId="0" borderId="1"/>
    <xf numFmtId="44" fontId="3" fillId="0" borderId="1" applyFont="0" applyFill="0" applyBorder="0" applyAlignment="0" applyProtection="0"/>
    <xf numFmtId="0" fontId="3" fillId="13" borderId="1" applyNumberFormat="0" applyBorder="0" applyAlignment="0" applyProtection="0"/>
    <xf numFmtId="0" fontId="3" fillId="0" borderId="1"/>
    <xf numFmtId="0" fontId="3" fillId="0" borderId="1"/>
    <xf numFmtId="0" fontId="3" fillId="19" borderId="1" applyNumberFormat="0" applyBorder="0" applyAlignment="0" applyProtection="0"/>
    <xf numFmtId="0" fontId="3" fillId="14" borderId="1" applyNumberFormat="0" applyBorder="0" applyAlignment="0" applyProtection="0"/>
    <xf numFmtId="0" fontId="3" fillId="0" borderId="1"/>
    <xf numFmtId="164" fontId="3" fillId="0" borderId="1"/>
    <xf numFmtId="0" fontId="3" fillId="18" borderId="1" applyNumberFormat="0" applyBorder="0" applyAlignment="0" applyProtection="0"/>
    <xf numFmtId="0" fontId="3" fillId="22" borderId="1" applyNumberFormat="0" applyBorder="0" applyAlignment="0" applyProtection="0"/>
    <xf numFmtId="0" fontId="3" fillId="0" borderId="1"/>
    <xf numFmtId="0" fontId="3" fillId="0" borderId="1"/>
    <xf numFmtId="0" fontId="3" fillId="5" borderId="1" applyNumberFormat="0" applyBorder="0" applyAlignment="0" applyProtection="0"/>
    <xf numFmtId="0" fontId="44" fillId="43" borderId="1" applyNumberFormat="0" applyBorder="0" applyAlignment="0" applyProtection="0"/>
    <xf numFmtId="0" fontId="3" fillId="16" borderId="1" applyNumberFormat="0" applyBorder="0" applyAlignment="0" applyProtection="0"/>
    <xf numFmtId="164" fontId="3" fillId="0" borderId="1"/>
    <xf numFmtId="164" fontId="3" fillId="0" borderId="1"/>
    <xf numFmtId="0" fontId="3" fillId="0" borderId="1"/>
    <xf numFmtId="0" fontId="33" fillId="0" borderId="1"/>
    <xf numFmtId="44" fontId="3" fillId="0" borderId="1" applyFont="0" applyFill="0" applyBorder="0" applyAlignment="0" applyProtection="0"/>
    <xf numFmtId="0" fontId="3" fillId="14"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3" borderId="1" applyNumberFormat="0" applyBorder="0" applyAlignment="0" applyProtection="0"/>
    <xf numFmtId="0" fontId="3" fillId="0" borderId="1"/>
    <xf numFmtId="44" fontId="3" fillId="0" borderId="1" applyFont="0" applyFill="0" applyBorder="0" applyAlignment="0" applyProtection="0"/>
    <xf numFmtId="0" fontId="3" fillId="14" borderId="1" applyNumberFormat="0" applyBorder="0" applyAlignment="0" applyProtection="0"/>
    <xf numFmtId="0"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14" borderId="1" applyNumberFormat="0" applyBorder="0" applyAlignment="0" applyProtection="0"/>
    <xf numFmtId="164" fontId="3" fillId="0" borderId="1"/>
    <xf numFmtId="0" fontId="3" fillId="0" borderId="1"/>
    <xf numFmtId="0" fontId="3" fillId="18" borderId="1" applyNumberFormat="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0" borderId="1"/>
    <xf numFmtId="164" fontId="3" fillId="0" borderId="1"/>
    <xf numFmtId="0" fontId="3" fillId="14" borderId="1" applyNumberFormat="0" applyBorder="0" applyAlignment="0" applyProtection="0"/>
    <xf numFmtId="0" fontId="3" fillId="0" borderId="1"/>
    <xf numFmtId="0" fontId="3" fillId="0" borderId="1"/>
    <xf numFmtId="164" fontId="3" fillId="0" borderId="1"/>
    <xf numFmtId="0" fontId="3" fillId="0" borderId="1"/>
    <xf numFmtId="0" fontId="3" fillId="19" borderId="1" applyNumberFormat="0" applyBorder="0" applyAlignment="0" applyProtection="0"/>
    <xf numFmtId="0" fontId="3" fillId="0" borderId="1"/>
    <xf numFmtId="164" fontId="3" fillId="0" borderId="1"/>
    <xf numFmtId="44" fontId="3" fillId="0" borderId="1" applyFont="0" applyFill="0" applyBorder="0" applyAlignment="0" applyProtection="0"/>
    <xf numFmtId="0" fontId="3" fillId="14" borderId="1" applyNumberFormat="0" applyBorder="0" applyAlignment="0" applyProtection="0"/>
    <xf numFmtId="164" fontId="3" fillId="0" borderId="1"/>
    <xf numFmtId="0" fontId="3" fillId="13"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21" borderId="1" applyNumberFormat="0" applyBorder="0" applyAlignment="0" applyProtection="0"/>
    <xf numFmtId="0" fontId="3" fillId="19" borderId="1" applyNumberFormat="0" applyBorder="0" applyAlignment="0" applyProtection="0"/>
    <xf numFmtId="164" fontId="3" fillId="0" borderId="1"/>
    <xf numFmtId="164" fontId="3" fillId="0" borderId="1"/>
    <xf numFmtId="0" fontId="3" fillId="14" borderId="1" applyNumberFormat="0" applyBorder="0" applyAlignment="0" applyProtection="0"/>
    <xf numFmtId="0" fontId="3" fillId="19" borderId="1" applyNumberFormat="0" applyBorder="0" applyAlignment="0" applyProtection="0"/>
    <xf numFmtId="164" fontId="3" fillId="0" borderId="1"/>
    <xf numFmtId="44" fontId="3" fillId="0" borderId="1" applyFont="0" applyFill="0" applyBorder="0" applyAlignment="0" applyProtection="0"/>
    <xf numFmtId="0" fontId="3" fillId="13" borderId="1" applyNumberFormat="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164" fontId="3" fillId="0" borderId="1"/>
    <xf numFmtId="164" fontId="3" fillId="0" borderId="1"/>
    <xf numFmtId="0" fontId="3" fillId="22" borderId="1" applyNumberFormat="0" applyBorder="0" applyAlignment="0" applyProtection="0"/>
    <xf numFmtId="0" fontId="3" fillId="19" borderId="1" applyNumberFormat="0" applyBorder="0" applyAlignment="0" applyProtection="0"/>
    <xf numFmtId="0" fontId="3" fillId="14" borderId="1" applyNumberFormat="0" applyBorder="0" applyAlignment="0" applyProtection="0"/>
    <xf numFmtId="164" fontId="3" fillId="0" borderId="1"/>
    <xf numFmtId="0" fontId="3" fillId="16"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13" borderId="1" applyNumberFormat="0" applyBorder="0" applyAlignment="0" applyProtection="0"/>
    <xf numFmtId="0" fontId="3" fillId="14" borderId="1" applyNumberFormat="0" applyBorder="0" applyAlignment="0" applyProtection="0"/>
    <xf numFmtId="0" fontId="3" fillId="0" borderId="1"/>
    <xf numFmtId="164" fontId="3" fillId="0" borderId="1"/>
    <xf numFmtId="0" fontId="3" fillId="0" borderId="1"/>
    <xf numFmtId="164" fontId="3" fillId="0" borderId="1"/>
    <xf numFmtId="164" fontId="3" fillId="0" borderId="1"/>
    <xf numFmtId="0" fontId="3" fillId="14" borderId="1" applyNumberFormat="0" applyBorder="0" applyAlignment="0" applyProtection="0"/>
    <xf numFmtId="0" fontId="3" fillId="0" borderId="1"/>
    <xf numFmtId="0" fontId="3" fillId="0" borderId="1"/>
    <xf numFmtId="0" fontId="3" fillId="0" borderId="1"/>
    <xf numFmtId="0" fontId="3" fillId="14" borderId="1" applyNumberFormat="0" applyBorder="0" applyAlignment="0" applyProtection="0"/>
    <xf numFmtId="0" fontId="3" fillId="0" borderId="1"/>
    <xf numFmtId="164" fontId="3" fillId="0" borderId="1"/>
    <xf numFmtId="0" fontId="3" fillId="14"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14"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0" fontId="3" fillId="0" borderId="1"/>
    <xf numFmtId="0" fontId="3" fillId="14"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16" borderId="1" applyNumberFormat="0" applyBorder="0" applyAlignment="0" applyProtection="0"/>
    <xf numFmtId="164" fontId="3" fillId="0" borderId="1"/>
    <xf numFmtId="164" fontId="3" fillId="0" borderId="1"/>
    <xf numFmtId="0" fontId="3" fillId="16" borderId="1" applyNumberFormat="0" applyBorder="0" applyAlignment="0" applyProtection="0"/>
    <xf numFmtId="0" fontId="3" fillId="14" borderId="1" applyNumberFormat="0" applyBorder="0" applyAlignment="0" applyProtection="0"/>
    <xf numFmtId="0" fontId="3" fillId="19" borderId="1" applyNumberFormat="0" applyBorder="0" applyAlignment="0" applyProtection="0"/>
    <xf numFmtId="164" fontId="3" fillId="0" borderId="1"/>
    <xf numFmtId="164" fontId="3" fillId="0" borderId="1"/>
    <xf numFmtId="0" fontId="3" fillId="14" borderId="1" applyNumberFormat="0" applyBorder="0" applyAlignment="0" applyProtection="0"/>
    <xf numFmtId="0" fontId="3" fillId="0" borderId="1"/>
    <xf numFmtId="0" fontId="3" fillId="0" borderId="1"/>
    <xf numFmtId="0" fontId="3" fillId="13" borderId="1" applyNumberFormat="0" applyBorder="0" applyAlignment="0" applyProtection="0"/>
    <xf numFmtId="0" fontId="3" fillId="0" borderId="1"/>
    <xf numFmtId="0" fontId="3" fillId="0" borderId="1"/>
    <xf numFmtId="0" fontId="3" fillId="5" borderId="1" applyNumberFormat="0" applyBorder="0" applyAlignment="0" applyProtection="0"/>
    <xf numFmtId="164" fontId="3" fillId="0" borderId="1"/>
    <xf numFmtId="0" fontId="3" fillId="14" borderId="1" applyNumberFormat="0" applyBorder="0" applyAlignment="0" applyProtection="0"/>
    <xf numFmtId="0" fontId="3" fillId="0" borderId="1"/>
    <xf numFmtId="164" fontId="3" fillId="0" borderId="1"/>
    <xf numFmtId="0" fontId="3" fillId="0" borderId="1"/>
    <xf numFmtId="0" fontId="3" fillId="0" borderId="1"/>
    <xf numFmtId="164" fontId="3" fillId="0" borderId="1"/>
    <xf numFmtId="0" fontId="3" fillId="16" borderId="1" applyNumberFormat="0" applyBorder="0" applyAlignment="0" applyProtection="0"/>
    <xf numFmtId="0" fontId="3" fillId="0" borderId="1"/>
    <xf numFmtId="0" fontId="3" fillId="18" borderId="1" applyNumberFormat="0" applyBorder="0" applyAlignment="0" applyProtection="0"/>
    <xf numFmtId="0" fontId="3" fillId="5" borderId="1" applyNumberFormat="0" applyBorder="0" applyAlignment="0" applyProtection="0"/>
    <xf numFmtId="164" fontId="3" fillId="0" borderId="1"/>
    <xf numFmtId="0" fontId="3" fillId="14" borderId="1" applyNumberFormat="0" applyBorder="0" applyAlignment="0" applyProtection="0"/>
    <xf numFmtId="0" fontId="3" fillId="5" borderId="1" applyNumberFormat="0" applyBorder="0" applyAlignment="0" applyProtection="0"/>
    <xf numFmtId="164" fontId="3" fillId="0" borderId="1"/>
    <xf numFmtId="164" fontId="3" fillId="0" borderId="1"/>
    <xf numFmtId="164" fontId="3" fillId="0" borderId="1"/>
    <xf numFmtId="0" fontId="3" fillId="0" borderId="1"/>
    <xf numFmtId="164" fontId="3" fillId="0" borderId="1"/>
    <xf numFmtId="0" fontId="3" fillId="13" borderId="1" applyNumberFormat="0" applyBorder="0" applyAlignment="0" applyProtection="0"/>
    <xf numFmtId="0" fontId="3" fillId="0" borderId="1"/>
    <xf numFmtId="0" fontId="3" fillId="15" borderId="1" applyNumberFormat="0" applyBorder="0" applyAlignment="0" applyProtection="0"/>
    <xf numFmtId="0" fontId="3" fillId="18" borderId="1" applyNumberFormat="0" applyBorder="0" applyAlignment="0" applyProtection="0"/>
    <xf numFmtId="0" fontId="3" fillId="5" borderId="1" applyNumberFormat="0" applyBorder="0" applyAlignment="0" applyProtection="0"/>
    <xf numFmtId="164" fontId="3" fillId="0" borderId="1"/>
    <xf numFmtId="0" fontId="3" fillId="14" borderId="1" applyNumberFormat="0" applyBorder="0" applyAlignment="0" applyProtection="0"/>
    <xf numFmtId="43" fontId="3" fillId="0" borderId="1" applyFont="0" applyFill="0" applyBorder="0" applyAlignment="0" applyProtection="0"/>
    <xf numFmtId="0" fontId="43" fillId="30" borderId="30" applyNumberFormat="0" applyAlignment="0" applyProtection="0"/>
    <xf numFmtId="0" fontId="3" fillId="5" borderId="1" applyNumberFormat="0" applyBorder="0" applyAlignment="0" applyProtection="0"/>
    <xf numFmtId="0" fontId="3" fillId="0" borderId="1"/>
    <xf numFmtId="0" fontId="3" fillId="0" borderId="1"/>
    <xf numFmtId="0" fontId="3" fillId="14" borderId="1" applyNumberFormat="0" applyBorder="0" applyAlignment="0" applyProtection="0"/>
    <xf numFmtId="0" fontId="3" fillId="0" borderId="1"/>
    <xf numFmtId="44" fontId="3" fillId="0" borderId="1" applyFont="0" applyFill="0" applyBorder="0" applyAlignment="0" applyProtection="0"/>
    <xf numFmtId="0" fontId="3" fillId="15" borderId="1" applyNumberFormat="0" applyBorder="0" applyAlignment="0" applyProtection="0"/>
    <xf numFmtId="0" fontId="3" fillId="18" borderId="1" applyNumberFormat="0" applyBorder="0" applyAlignment="0" applyProtection="0"/>
    <xf numFmtId="0" fontId="3" fillId="17" borderId="1" applyNumberFormat="0" applyBorder="0" applyAlignment="0" applyProtection="0"/>
    <xf numFmtId="43" fontId="3" fillId="0" borderId="1" applyFont="0" applyFill="0" applyBorder="0" applyAlignment="0" applyProtection="0"/>
    <xf numFmtId="0" fontId="3" fillId="5"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0" fontId="3" fillId="14" borderId="1" applyNumberFormat="0" applyBorder="0" applyAlignment="0" applyProtection="0"/>
    <xf numFmtId="0" fontId="3" fillId="0" borderId="1"/>
    <xf numFmtId="0" fontId="3" fillId="5" borderId="1" applyNumberFormat="0" applyBorder="0" applyAlignment="0" applyProtection="0"/>
    <xf numFmtId="164" fontId="3" fillId="0" borderId="1"/>
    <xf numFmtId="0" fontId="3" fillId="14" borderId="1" applyNumberFormat="0" applyBorder="0" applyAlignment="0" applyProtection="0"/>
    <xf numFmtId="0" fontId="3" fillId="0" borderId="1"/>
    <xf numFmtId="0" fontId="3" fillId="15" borderId="1" applyNumberFormat="0" applyBorder="0" applyAlignment="0" applyProtection="0"/>
    <xf numFmtId="0" fontId="3" fillId="18" borderId="1" applyNumberFormat="0" applyBorder="0" applyAlignment="0" applyProtection="0"/>
    <xf numFmtId="0" fontId="3" fillId="0" borderId="1"/>
    <xf numFmtId="164" fontId="3" fillId="0" borderId="1"/>
    <xf numFmtId="0" fontId="3" fillId="13" borderId="1" applyNumberFormat="0" applyBorder="0" applyAlignment="0" applyProtection="0"/>
    <xf numFmtId="0" fontId="3" fillId="5" borderId="1" applyNumberFormat="0" applyBorder="0" applyAlignment="0" applyProtection="0"/>
    <xf numFmtId="164" fontId="3" fillId="0" borderId="1"/>
    <xf numFmtId="164" fontId="3" fillId="0" borderId="1"/>
    <xf numFmtId="0" fontId="3" fillId="14" borderId="1" applyNumberFormat="0" applyBorder="0" applyAlignment="0" applyProtection="0"/>
    <xf numFmtId="164" fontId="3" fillId="0" borderId="1"/>
    <xf numFmtId="0" fontId="3" fillId="14" borderId="1" applyNumberFormat="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0" fontId="3" fillId="0" borderId="1"/>
    <xf numFmtId="0" fontId="3" fillId="0" borderId="1"/>
    <xf numFmtId="0" fontId="3" fillId="5" borderId="1" applyNumberFormat="0" applyBorder="0" applyAlignment="0" applyProtection="0"/>
    <xf numFmtId="0" fontId="3" fillId="0" borderId="1"/>
    <xf numFmtId="164" fontId="3" fillId="0" borderId="1"/>
    <xf numFmtId="0" fontId="3" fillId="14"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0" fontId="3" fillId="17" borderId="1" applyNumberFormat="0" applyBorder="0" applyAlignment="0" applyProtection="0"/>
    <xf numFmtId="164" fontId="3" fillId="0" borderId="1"/>
    <xf numFmtId="164" fontId="3" fillId="0" borderId="1"/>
    <xf numFmtId="0" fontId="3" fillId="14" borderId="1" applyNumberFormat="0" applyBorder="0" applyAlignment="0" applyProtection="0"/>
    <xf numFmtId="0" fontId="34" fillId="37" borderId="1" applyNumberFormat="0" applyBorder="0" applyAlignment="0" applyProtection="0"/>
    <xf numFmtId="0" fontId="3" fillId="17" borderId="1" applyNumberFormat="0" applyBorder="0" applyAlignment="0" applyProtection="0"/>
    <xf numFmtId="164" fontId="3" fillId="0" borderId="1"/>
    <xf numFmtId="164" fontId="3" fillId="0" borderId="1"/>
    <xf numFmtId="164" fontId="3" fillId="0" borderId="1"/>
    <xf numFmtId="0" fontId="3" fillId="5" borderId="1" applyNumberFormat="0" applyBorder="0" applyAlignment="0" applyProtection="0"/>
    <xf numFmtId="164" fontId="3" fillId="0" borderId="1"/>
    <xf numFmtId="0" fontId="3" fillId="14" borderId="1" applyNumberFormat="0" applyBorder="0" applyAlignment="0" applyProtection="0"/>
    <xf numFmtId="44" fontId="3" fillId="0" borderId="1" applyFont="0" applyFill="0" applyBorder="0" applyAlignment="0" applyProtection="0"/>
    <xf numFmtId="0" fontId="3" fillId="18" borderId="1" applyNumberFormat="0" applyBorder="0" applyAlignment="0" applyProtection="0"/>
    <xf numFmtId="0" fontId="3" fillId="0" borderId="1"/>
    <xf numFmtId="0" fontId="3" fillId="22" borderId="1" applyNumberFormat="0" applyBorder="0" applyAlignment="0" applyProtection="0"/>
    <xf numFmtId="0" fontId="3" fillId="5" borderId="1" applyNumberFormat="0" applyBorder="0" applyAlignment="0" applyProtection="0"/>
    <xf numFmtId="164" fontId="3" fillId="0" borderId="1"/>
    <xf numFmtId="0" fontId="3" fillId="14" borderId="1" applyNumberFormat="0" applyBorder="0" applyAlignment="0" applyProtection="0"/>
    <xf numFmtId="0" fontId="3" fillId="0" borderId="1"/>
    <xf numFmtId="44"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0" fontId="3" fillId="13"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164" fontId="3" fillId="0" borderId="1"/>
    <xf numFmtId="164" fontId="3" fillId="0" borderId="1"/>
    <xf numFmtId="164" fontId="3" fillId="0" borderId="1"/>
    <xf numFmtId="0" fontId="3" fillId="19" borderId="1" applyNumberFormat="0" applyBorder="0" applyAlignment="0" applyProtection="0"/>
    <xf numFmtId="0" fontId="3" fillId="16" borderId="1" applyNumberFormat="0" applyBorder="0" applyAlignment="0" applyProtection="0"/>
    <xf numFmtId="164" fontId="3" fillId="0" borderId="1"/>
    <xf numFmtId="0" fontId="3" fillId="5" borderId="1" applyNumberFormat="0" applyBorder="0" applyAlignment="0" applyProtection="0"/>
    <xf numFmtId="164" fontId="3" fillId="0" borderId="1"/>
    <xf numFmtId="164" fontId="3" fillId="0" borderId="1"/>
    <xf numFmtId="164" fontId="3" fillId="0" borderId="1"/>
    <xf numFmtId="0" fontId="3" fillId="14" borderId="1" applyNumberFormat="0" applyBorder="0" applyAlignment="0" applyProtection="0"/>
    <xf numFmtId="0" fontId="3" fillId="0" borderId="1"/>
    <xf numFmtId="0" fontId="3" fillId="0" borderId="1"/>
    <xf numFmtId="0" fontId="34" fillId="28" borderId="1" applyNumberFormat="0" applyBorder="0" applyAlignment="0" applyProtection="0"/>
    <xf numFmtId="0" fontId="3" fillId="0" borderId="1"/>
    <xf numFmtId="164" fontId="3" fillId="0" borderId="1"/>
    <xf numFmtId="0" fontId="3" fillId="25" borderId="1" applyNumberFormat="0" applyBorder="0" applyAlignment="0" applyProtection="0"/>
    <xf numFmtId="0" fontId="3" fillId="0" borderId="1"/>
    <xf numFmtId="0" fontId="3" fillId="14" borderId="1" applyNumberFormat="0" applyBorder="0" applyAlignment="0" applyProtection="0"/>
    <xf numFmtId="0" fontId="3" fillId="0" borderId="1"/>
    <xf numFmtId="164" fontId="33" fillId="0" borderId="1"/>
    <xf numFmtId="0" fontId="34" fillId="0" borderId="1"/>
    <xf numFmtId="0" fontId="3" fillId="18" borderId="1" applyNumberFormat="0" applyBorder="0" applyAlignment="0" applyProtection="0"/>
    <xf numFmtId="164" fontId="33" fillId="0" borderId="1" applyFill="0" applyBorder="0" applyAlignment="0" applyProtection="0"/>
    <xf numFmtId="164" fontId="33" fillId="0" borderId="1" applyFont="0" applyFill="0" applyBorder="0" applyAlignment="0" applyProtection="0"/>
    <xf numFmtId="0" fontId="3" fillId="0" borderId="1"/>
    <xf numFmtId="0" fontId="3" fillId="24"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0" borderId="1"/>
    <xf numFmtId="0" fontId="3" fillId="14" borderId="1" applyNumberFormat="0" applyBorder="0" applyAlignment="0" applyProtection="0"/>
    <xf numFmtId="0" fontId="3" fillId="0" borderId="1"/>
    <xf numFmtId="0" fontId="3" fillId="13" borderId="1" applyNumberFormat="0" applyBorder="0" applyAlignment="0" applyProtection="0"/>
    <xf numFmtId="0" fontId="33" fillId="20" borderId="26" applyNumberFormat="0" applyFont="0" applyAlignment="0" applyProtection="0"/>
    <xf numFmtId="164" fontId="33" fillId="0" borderId="1" applyFill="0" applyBorder="0" applyAlignment="0" applyProtection="0"/>
    <xf numFmtId="0" fontId="3" fillId="17" borderId="1" applyNumberFormat="0" applyBorder="0" applyAlignment="0" applyProtection="0"/>
    <xf numFmtId="0" fontId="33" fillId="0" borderId="1"/>
    <xf numFmtId="0" fontId="3" fillId="24" borderId="1" applyNumberFormat="0" applyBorder="0" applyAlignment="0" applyProtection="0"/>
    <xf numFmtId="44" fontId="3" fillId="0" borderId="1" applyFont="0" applyFill="0" applyBorder="0" applyAlignment="0" applyProtection="0"/>
    <xf numFmtId="0" fontId="3" fillId="0" borderId="1"/>
    <xf numFmtId="164" fontId="3" fillId="0" borderId="1"/>
    <xf numFmtId="0" fontId="3" fillId="14" borderId="1" applyNumberFormat="0" applyBorder="0" applyAlignment="0" applyProtection="0"/>
    <xf numFmtId="164" fontId="3" fillId="0" borderId="1"/>
    <xf numFmtId="0" fontId="3" fillId="0" borderId="1"/>
    <xf numFmtId="0" fontId="3" fillId="0" borderId="1"/>
    <xf numFmtId="0" fontId="3" fillId="15" borderId="1" applyNumberFormat="0" applyBorder="0" applyAlignment="0" applyProtection="0"/>
    <xf numFmtId="0" fontId="3" fillId="24" borderId="1" applyNumberFormat="0" applyBorder="0" applyAlignment="0" applyProtection="0"/>
    <xf numFmtId="0" fontId="3" fillId="0" borderId="1"/>
    <xf numFmtId="0" fontId="3" fillId="14" borderId="1" applyNumberFormat="0" applyBorder="0" applyAlignment="0" applyProtection="0"/>
    <xf numFmtId="0" fontId="3" fillId="0" borderId="1"/>
    <xf numFmtId="164" fontId="3" fillId="0" borderId="1"/>
    <xf numFmtId="0" fontId="3" fillId="25" borderId="1" applyNumberFormat="0" applyBorder="0" applyAlignment="0" applyProtection="0"/>
    <xf numFmtId="0" fontId="3" fillId="13" borderId="1" applyNumberFormat="0" applyBorder="0" applyAlignment="0" applyProtection="0"/>
    <xf numFmtId="0" fontId="3" fillId="0" borderId="1"/>
    <xf numFmtId="164" fontId="3" fillId="0" borderId="1"/>
    <xf numFmtId="164" fontId="3" fillId="0" borderId="1"/>
    <xf numFmtId="0" fontId="3" fillId="0" borderId="1"/>
    <xf numFmtId="0" fontId="3" fillId="5" borderId="1" applyNumberFormat="0" applyBorder="0" applyAlignment="0" applyProtection="0"/>
    <xf numFmtId="165" fontId="33" fillId="0" borderId="1" applyFont="0" applyFill="0" applyBorder="0" applyAlignment="0" applyProtection="0"/>
    <xf numFmtId="0" fontId="3" fillId="17"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0" fontId="3" fillId="0" borderId="1"/>
    <xf numFmtId="0" fontId="3" fillId="13"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14" borderId="1" applyNumberFormat="0" applyBorder="0" applyAlignment="0" applyProtection="0"/>
    <xf numFmtId="164" fontId="3" fillId="0" borderId="1"/>
    <xf numFmtId="0" fontId="3" fillId="0" borderId="1"/>
    <xf numFmtId="0" fontId="3" fillId="14" borderId="1" applyNumberFormat="0" applyBorder="0" applyAlignment="0" applyProtection="0"/>
    <xf numFmtId="0" fontId="3" fillId="0" borderId="1"/>
    <xf numFmtId="164" fontId="3" fillId="0" borderId="1"/>
    <xf numFmtId="164" fontId="3" fillId="0" borderId="1"/>
    <xf numFmtId="0" fontId="3" fillId="21" borderId="1" applyNumberFormat="0" applyBorder="0" applyAlignment="0" applyProtection="0"/>
    <xf numFmtId="0" fontId="3" fillId="16" borderId="1" applyNumberFormat="0" applyBorder="0" applyAlignment="0" applyProtection="0"/>
    <xf numFmtId="0" fontId="3" fillId="0" borderId="1"/>
    <xf numFmtId="0" fontId="3" fillId="24" borderId="1" applyNumberFormat="0" applyBorder="0" applyAlignment="0" applyProtection="0"/>
    <xf numFmtId="0" fontId="3" fillId="0" borderId="1"/>
    <xf numFmtId="0" fontId="3" fillId="24" borderId="1" applyNumberFormat="0" applyBorder="0" applyAlignment="0" applyProtection="0"/>
    <xf numFmtId="44" fontId="3" fillId="0" borderId="1" applyFont="0" applyFill="0" applyBorder="0" applyAlignment="0" applyProtection="0"/>
    <xf numFmtId="0" fontId="3" fillId="18" borderId="1" applyNumberFormat="0" applyBorder="0" applyAlignment="0" applyProtection="0"/>
    <xf numFmtId="0" fontId="3" fillId="13" borderId="1" applyNumberFormat="0" applyBorder="0" applyAlignment="0" applyProtection="0"/>
    <xf numFmtId="164" fontId="3" fillId="0" borderId="1"/>
    <xf numFmtId="0" fontId="3" fillId="14" borderId="1" applyNumberFormat="0" applyBorder="0" applyAlignment="0" applyProtection="0"/>
    <xf numFmtId="164" fontId="3" fillId="0" borderId="1"/>
    <xf numFmtId="0" fontId="3" fillId="16" borderId="1" applyNumberFormat="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13" borderId="1" applyNumberFormat="0" applyBorder="0" applyAlignment="0" applyProtection="0"/>
    <xf numFmtId="164" fontId="3" fillId="0" borderId="1"/>
    <xf numFmtId="164" fontId="3" fillId="0" borderId="1"/>
    <xf numFmtId="164" fontId="3" fillId="0" borderId="1"/>
    <xf numFmtId="164" fontId="3" fillId="0" borderId="1"/>
    <xf numFmtId="0" fontId="3" fillId="18" borderId="1" applyNumberFormat="0" applyBorder="0" applyAlignment="0" applyProtection="0"/>
    <xf numFmtId="0" fontId="3" fillId="15" borderId="1" applyNumberFormat="0" applyBorder="0" applyAlignment="0" applyProtection="0"/>
    <xf numFmtId="44" fontId="3" fillId="0" borderId="1" applyFont="0" applyFill="0" applyBorder="0" applyAlignment="0" applyProtection="0"/>
    <xf numFmtId="164" fontId="3" fillId="0" borderId="1"/>
    <xf numFmtId="0" fontId="3" fillId="18" borderId="1" applyNumberFormat="0" applyBorder="0" applyAlignment="0" applyProtection="0"/>
    <xf numFmtId="164" fontId="3" fillId="0" borderId="1"/>
    <xf numFmtId="0" fontId="3" fillId="0" borderId="1"/>
    <xf numFmtId="0" fontId="3" fillId="14" borderId="1" applyNumberFormat="0" applyBorder="0" applyAlignment="0" applyProtection="0"/>
    <xf numFmtId="164" fontId="3" fillId="0" borderId="1"/>
    <xf numFmtId="0" fontId="3" fillId="21"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3" borderId="1" applyNumberFormat="0" applyBorder="0" applyAlignment="0" applyProtection="0"/>
    <xf numFmtId="44" fontId="3" fillId="0" borderId="1" applyFont="0" applyFill="0" applyBorder="0" applyAlignment="0" applyProtection="0"/>
    <xf numFmtId="0" fontId="3" fillId="0" borderId="1"/>
    <xf numFmtId="0" fontId="3" fillId="22" borderId="1" applyNumberFormat="0" applyBorder="0" applyAlignment="0" applyProtection="0"/>
    <xf numFmtId="164" fontId="3" fillId="0" borderId="1"/>
    <xf numFmtId="0" fontId="3" fillId="14" borderId="1" applyNumberFormat="0" applyBorder="0" applyAlignment="0" applyProtection="0"/>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22" borderId="1" applyNumberFormat="0" applyBorder="0" applyAlignment="0" applyProtection="0"/>
    <xf numFmtId="0" fontId="3" fillId="13" borderId="1" applyNumberFormat="0" applyBorder="0" applyAlignment="0" applyProtection="0"/>
    <xf numFmtId="0" fontId="3" fillId="0" borderId="1"/>
    <xf numFmtId="0" fontId="3" fillId="1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13" borderId="1" applyNumberFormat="0" applyBorder="0" applyAlignment="0" applyProtection="0"/>
    <xf numFmtId="44" fontId="3" fillId="0" borderId="1" applyFont="0" applyFill="0" applyBorder="0" applyAlignment="0" applyProtection="0"/>
    <xf numFmtId="0" fontId="3" fillId="16" borderId="1" applyNumberFormat="0" applyBorder="0" applyAlignment="0" applyProtection="0"/>
    <xf numFmtId="0" fontId="3" fillId="0" borderId="1"/>
    <xf numFmtId="0" fontId="3" fillId="14" borderId="1" applyNumberFormat="0" applyBorder="0" applyAlignment="0" applyProtection="0"/>
    <xf numFmtId="44" fontId="3" fillId="0" borderId="1" applyFont="0" applyFill="0" applyBorder="0" applyAlignment="0" applyProtection="0"/>
    <xf numFmtId="0" fontId="3" fillId="18" borderId="1" applyNumberFormat="0" applyBorder="0" applyAlignment="0" applyProtection="0"/>
    <xf numFmtId="0" fontId="3" fillId="0" borderId="1"/>
    <xf numFmtId="0" fontId="3" fillId="17"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14" borderId="1" applyNumberFormat="0" applyBorder="0" applyAlignment="0" applyProtection="0"/>
    <xf numFmtId="164" fontId="3" fillId="0" borderId="1"/>
    <xf numFmtId="164" fontId="3" fillId="0" borderId="1"/>
    <xf numFmtId="164" fontId="3" fillId="0" borderId="1"/>
    <xf numFmtId="0" fontId="3" fillId="0" borderId="1"/>
    <xf numFmtId="0" fontId="3" fillId="5" borderId="1" applyNumberFormat="0" applyBorder="0" applyAlignment="0" applyProtection="0"/>
    <xf numFmtId="0" fontId="3" fillId="19" borderId="1" applyNumberFormat="0" applyBorder="0" applyAlignment="0" applyProtection="0"/>
    <xf numFmtId="0" fontId="3" fillId="24" borderId="1" applyNumberFormat="0" applyBorder="0" applyAlignment="0" applyProtection="0"/>
    <xf numFmtId="164" fontId="3" fillId="0" borderId="1"/>
    <xf numFmtId="164" fontId="3" fillId="0" borderId="1"/>
    <xf numFmtId="0" fontId="3" fillId="0" borderId="1"/>
    <xf numFmtId="0" fontId="3" fillId="14" borderId="1" applyNumberFormat="0" applyBorder="0" applyAlignment="0" applyProtection="0"/>
    <xf numFmtId="0" fontId="3" fillId="0" borderId="1"/>
    <xf numFmtId="164" fontId="3" fillId="0" borderId="1"/>
    <xf numFmtId="0" fontId="3" fillId="21"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0" fontId="3" fillId="14" borderId="1" applyNumberFormat="0" applyBorder="0" applyAlignment="0" applyProtection="0"/>
    <xf numFmtId="164" fontId="3" fillId="0" borderId="1"/>
    <xf numFmtId="0" fontId="3" fillId="17"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14" borderId="1" applyNumberFormat="0" applyBorder="0" applyAlignment="0" applyProtection="0"/>
    <xf numFmtId="0" fontId="3" fillId="0" borderId="1"/>
    <xf numFmtId="0" fontId="3" fillId="0" borderId="1"/>
    <xf numFmtId="0" fontId="3" fillId="0" borderId="1"/>
    <xf numFmtId="0" fontId="3" fillId="16" borderId="1" applyNumberFormat="0" applyBorder="0" applyAlignment="0" applyProtection="0"/>
    <xf numFmtId="44" fontId="3" fillId="0" borderId="1" applyFont="0" applyFill="0" applyBorder="0" applyAlignment="0" applyProtection="0"/>
    <xf numFmtId="0" fontId="3" fillId="0" borderId="1"/>
    <xf numFmtId="164" fontId="3" fillId="0" borderId="1"/>
    <xf numFmtId="0" fontId="3" fillId="13" borderId="1" applyNumberFormat="0" applyBorder="0" applyAlignment="0" applyProtection="0"/>
    <xf numFmtId="0" fontId="3" fillId="19" borderId="1" applyNumberFormat="0" applyBorder="0" applyAlignment="0" applyProtection="0"/>
    <xf numFmtId="164" fontId="3" fillId="0" borderId="1"/>
    <xf numFmtId="0" fontId="3" fillId="21" borderId="1" applyNumberFormat="0" applyBorder="0" applyAlignment="0" applyProtection="0"/>
    <xf numFmtId="0" fontId="3" fillId="0" borderId="1"/>
    <xf numFmtId="0" fontId="3" fillId="14" borderId="1" applyNumberFormat="0" applyBorder="0" applyAlignment="0" applyProtection="0"/>
    <xf numFmtId="164" fontId="3" fillId="0" borderId="1"/>
    <xf numFmtId="164" fontId="3" fillId="0" borderId="1"/>
    <xf numFmtId="0" fontId="3" fillId="5"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13" borderId="1" applyNumberFormat="0" applyBorder="0" applyAlignment="0" applyProtection="0"/>
    <xf numFmtId="44" fontId="3" fillId="0" borderId="1" applyFont="0" applyFill="0" applyBorder="0" applyAlignment="0" applyProtection="0"/>
    <xf numFmtId="164" fontId="3" fillId="0" borderId="1"/>
    <xf numFmtId="0" fontId="3" fillId="13" borderId="1" applyNumberFormat="0" applyBorder="0" applyAlignment="0" applyProtection="0"/>
    <xf numFmtId="0" fontId="3" fillId="0" borderId="1"/>
    <xf numFmtId="0" fontId="3" fillId="22" borderId="1" applyNumberFormat="0" applyBorder="0" applyAlignment="0" applyProtection="0"/>
    <xf numFmtId="164" fontId="3" fillId="0" borderId="1"/>
    <xf numFmtId="164" fontId="3" fillId="0" borderId="1"/>
    <xf numFmtId="0" fontId="3" fillId="14" borderId="1" applyNumberFormat="0" applyBorder="0" applyAlignment="0" applyProtection="0"/>
    <xf numFmtId="164" fontId="3" fillId="0" borderId="1"/>
    <xf numFmtId="0" fontId="3" fillId="21" borderId="1" applyNumberFormat="0" applyBorder="0" applyAlignment="0" applyProtection="0"/>
    <xf numFmtId="0" fontId="3" fillId="0" borderId="1"/>
    <xf numFmtId="0" fontId="3" fillId="0" borderId="1"/>
    <xf numFmtId="164" fontId="3" fillId="0" borderId="1"/>
    <xf numFmtId="0" fontId="3" fillId="21" borderId="1" applyNumberFormat="0" applyBorder="0" applyAlignment="0" applyProtection="0"/>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3" fillId="0" borderId="1"/>
    <xf numFmtId="164" fontId="3" fillId="0" borderId="1"/>
    <xf numFmtId="164" fontId="3" fillId="0" borderId="1"/>
    <xf numFmtId="164" fontId="3" fillId="0" borderId="1"/>
    <xf numFmtId="0" fontId="3" fillId="13" borderId="1" applyNumberFormat="0" applyBorder="0" applyAlignment="0" applyProtection="0"/>
    <xf numFmtId="0" fontId="3" fillId="19" borderId="1" applyNumberFormat="0" applyBorder="0" applyAlignment="0" applyProtection="0"/>
    <xf numFmtId="0" fontId="3" fillId="13" borderId="1" applyNumberFormat="0" applyBorder="0" applyAlignment="0" applyProtection="0"/>
    <xf numFmtId="164" fontId="33" fillId="0" borderId="1"/>
    <xf numFmtId="0" fontId="3" fillId="0" borderId="1"/>
    <xf numFmtId="164" fontId="3" fillId="0" borderId="1"/>
    <xf numFmtId="0" fontId="3" fillId="13"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164" fontId="3" fillId="0" borderId="1"/>
    <xf numFmtId="164" fontId="3" fillId="0" borderId="1"/>
    <xf numFmtId="0" fontId="3" fillId="14" borderId="1" applyNumberFormat="0" applyBorder="0" applyAlignment="0" applyProtection="0"/>
    <xf numFmtId="0" fontId="3" fillId="21" borderId="1" applyNumberFormat="0" applyBorder="0" applyAlignment="0" applyProtection="0"/>
    <xf numFmtId="164" fontId="3" fillId="0" borderId="1"/>
    <xf numFmtId="164" fontId="3" fillId="0" borderId="1"/>
    <xf numFmtId="164" fontId="3" fillId="0" borderId="1"/>
    <xf numFmtId="0" fontId="3" fillId="0" borderId="1"/>
    <xf numFmtId="0" fontId="3" fillId="24"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15" borderId="1" applyNumberFormat="0" applyBorder="0" applyAlignment="0" applyProtection="0"/>
    <xf numFmtId="164" fontId="3" fillId="0" borderId="1"/>
    <xf numFmtId="0" fontId="3" fillId="13" borderId="1" applyNumberFormat="0" applyBorder="0" applyAlignment="0" applyProtection="0"/>
    <xf numFmtId="164" fontId="3" fillId="0" borderId="1"/>
    <xf numFmtId="0" fontId="3" fillId="21" borderId="1" applyNumberFormat="0" applyBorder="0" applyAlignment="0" applyProtection="0"/>
    <xf numFmtId="0" fontId="3" fillId="14" borderId="1" applyNumberFormat="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13" borderId="1" applyNumberFormat="0" applyBorder="0" applyAlignment="0" applyProtection="0"/>
    <xf numFmtId="0" fontId="3" fillId="15" borderId="1" applyNumberFormat="0" applyBorder="0" applyAlignment="0" applyProtection="0"/>
    <xf numFmtId="0" fontId="3" fillId="13" borderId="1" applyNumberFormat="0" applyBorder="0" applyAlignment="0" applyProtection="0"/>
    <xf numFmtId="0" fontId="3" fillId="0" borderId="1"/>
    <xf numFmtId="0" fontId="3" fillId="22" borderId="1" applyNumberFormat="0" applyBorder="0" applyAlignment="0" applyProtection="0"/>
    <xf numFmtId="0" fontId="3" fillId="14" borderId="1" applyNumberFormat="0" applyBorder="0" applyAlignment="0" applyProtection="0"/>
    <xf numFmtId="0" fontId="3" fillId="5" borderId="1" applyNumberFormat="0" applyBorder="0" applyAlignment="0" applyProtection="0"/>
    <xf numFmtId="44" fontId="3" fillId="0" borderId="1" applyFont="0" applyFill="0" applyBorder="0" applyAlignment="0" applyProtection="0"/>
    <xf numFmtId="164" fontId="3" fillId="0" borderId="1"/>
    <xf numFmtId="0" fontId="3" fillId="13" borderId="1" applyNumberFormat="0" applyBorder="0" applyAlignment="0" applyProtection="0"/>
    <xf numFmtId="0" fontId="3" fillId="0" borderId="1"/>
    <xf numFmtId="0" fontId="3" fillId="15" borderId="1" applyNumberFormat="0" applyBorder="0" applyAlignment="0" applyProtection="0"/>
    <xf numFmtId="0" fontId="3" fillId="18" borderId="1" applyNumberFormat="0" applyBorder="0" applyAlignment="0" applyProtection="0"/>
    <xf numFmtId="0" fontId="3" fillId="14"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3" borderId="1" applyNumberFormat="0" applyBorder="0" applyAlignment="0" applyProtection="0"/>
    <xf numFmtId="0" fontId="3" fillId="5" borderId="1" applyNumberFormat="0" applyBorder="0" applyAlignment="0" applyProtection="0"/>
    <xf numFmtId="0" fontId="3" fillId="0" borderId="1"/>
    <xf numFmtId="0" fontId="3" fillId="0" borderId="1"/>
    <xf numFmtId="164" fontId="3" fillId="0" borderId="1"/>
    <xf numFmtId="43" fontId="3" fillId="0" borderId="1" applyFont="0" applyFill="0" applyBorder="0" applyAlignment="0" applyProtection="0"/>
    <xf numFmtId="0" fontId="3" fillId="14" borderId="1" applyNumberFormat="0" applyBorder="0" applyAlignment="0" applyProtection="0"/>
    <xf numFmtId="0" fontId="3" fillId="5" borderId="1" applyNumberFormat="0" applyBorder="0" applyAlignment="0" applyProtection="0"/>
    <xf numFmtId="0" fontId="3" fillId="0" borderId="1"/>
    <xf numFmtId="164" fontId="3" fillId="0" borderId="1"/>
    <xf numFmtId="0" fontId="3" fillId="15" borderId="1" applyNumberFormat="0" applyBorder="0" applyAlignment="0" applyProtection="0"/>
    <xf numFmtId="0" fontId="3" fillId="18" borderId="1" applyNumberFormat="0" applyBorder="0" applyAlignment="0" applyProtection="0"/>
    <xf numFmtId="0" fontId="3" fillId="5" borderId="1" applyNumberFormat="0" applyBorder="0" applyAlignment="0" applyProtection="0"/>
    <xf numFmtId="0" fontId="3" fillId="18" borderId="1" applyNumberFormat="0" applyBorder="0" applyAlignment="0" applyProtection="0"/>
    <xf numFmtId="164" fontId="33" fillId="0" borderId="1" applyFill="0" applyBorder="0" applyAlignment="0" applyProtection="0"/>
    <xf numFmtId="165" fontId="33" fillId="0" borderId="1" applyFont="0" applyFill="0" applyBorder="0" applyAlignment="0" applyProtection="0"/>
    <xf numFmtId="0" fontId="3" fillId="19" borderId="1" applyNumberFormat="0" applyBorder="0" applyAlignment="0" applyProtection="0"/>
    <xf numFmtId="164" fontId="33" fillId="0" borderId="1"/>
    <xf numFmtId="44" fontId="3" fillId="0" borderId="1" applyFont="0" applyFill="0" applyBorder="0" applyAlignment="0" applyProtection="0"/>
    <xf numFmtId="0" fontId="3" fillId="0" borderId="1"/>
    <xf numFmtId="0" fontId="3" fillId="14" borderId="1" applyNumberFormat="0" applyBorder="0" applyAlignment="0" applyProtection="0"/>
    <xf numFmtId="0" fontId="3" fillId="0" borderId="1"/>
    <xf numFmtId="0" fontId="3" fillId="24" borderId="1" applyNumberFormat="0" applyBorder="0" applyAlignment="0" applyProtection="0"/>
    <xf numFmtId="0" fontId="3" fillId="0" borderId="1"/>
    <xf numFmtId="0" fontId="3" fillId="0" borderId="1"/>
    <xf numFmtId="0" fontId="3" fillId="0" borderId="1"/>
    <xf numFmtId="0" fontId="3" fillId="25"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14" borderId="1" applyNumberFormat="0" applyBorder="0" applyAlignment="0" applyProtection="0"/>
    <xf numFmtId="0" fontId="3" fillId="0" borderId="1"/>
    <xf numFmtId="164" fontId="3" fillId="0" borderId="1"/>
    <xf numFmtId="164" fontId="3" fillId="0" borderId="1"/>
    <xf numFmtId="0" fontId="3" fillId="18" borderId="1" applyNumberFormat="0" applyBorder="0" applyAlignment="0" applyProtection="0"/>
    <xf numFmtId="43" fontId="3" fillId="0" borderId="1" applyFont="0" applyFill="0" applyBorder="0" applyAlignment="0" applyProtection="0"/>
    <xf numFmtId="0" fontId="3" fillId="13" borderId="1" applyNumberFormat="0" applyBorder="0" applyAlignment="0" applyProtection="0"/>
    <xf numFmtId="0" fontId="3" fillId="19" borderId="1" applyNumberFormat="0" applyBorder="0" applyAlignment="0" applyProtection="0"/>
    <xf numFmtId="0" fontId="3" fillId="17" borderId="1" applyNumberFormat="0" applyBorder="0" applyAlignment="0" applyProtection="0"/>
    <xf numFmtId="0" fontId="3" fillId="0" borderId="1"/>
    <xf numFmtId="0" fontId="3" fillId="24" borderId="1" applyNumberFormat="0" applyBorder="0" applyAlignment="0" applyProtection="0"/>
    <xf numFmtId="44" fontId="3" fillId="0" borderId="1" applyFont="0" applyFill="0" applyBorder="0" applyAlignment="0" applyProtection="0"/>
    <xf numFmtId="0" fontId="42" fillId="0" borderId="29" applyNumberFormat="0" applyFill="0" applyAlignment="0" applyProtection="0"/>
    <xf numFmtId="0" fontId="3" fillId="0" borderId="1"/>
    <xf numFmtId="0" fontId="3" fillId="0" borderId="1"/>
    <xf numFmtId="0" fontId="3" fillId="14" borderId="1" applyNumberFormat="0" applyBorder="0" applyAlignment="0" applyProtection="0"/>
    <xf numFmtId="0" fontId="3" fillId="0" borderId="1"/>
    <xf numFmtId="0" fontId="3" fillId="0" borderId="1"/>
    <xf numFmtId="0" fontId="3" fillId="18" borderId="1" applyNumberFormat="0" applyBorder="0" applyAlignment="0" applyProtection="0"/>
    <xf numFmtId="44" fontId="3" fillId="0" borderId="1" applyFont="0" applyFill="0" applyBorder="0" applyAlignment="0" applyProtection="0"/>
    <xf numFmtId="165" fontId="33" fillId="0" borderId="1" applyFont="0" applyFill="0" applyBorder="0" applyAlignment="0" applyProtection="0"/>
    <xf numFmtId="164" fontId="3" fillId="0" borderId="1"/>
    <xf numFmtId="164" fontId="3" fillId="0" borderId="1"/>
    <xf numFmtId="0" fontId="3" fillId="0" borderId="1"/>
    <xf numFmtId="0" fontId="3" fillId="22" borderId="1" applyNumberFormat="0" applyBorder="0" applyAlignment="0" applyProtection="0"/>
    <xf numFmtId="0" fontId="3" fillId="24" borderId="1" applyNumberFormat="0" applyBorder="0" applyAlignment="0" applyProtection="0"/>
    <xf numFmtId="0" fontId="3" fillId="0" borderId="1"/>
    <xf numFmtId="0" fontId="3" fillId="14" borderId="1" applyNumberFormat="0" applyBorder="0" applyAlignment="0" applyProtection="0"/>
    <xf numFmtId="0" fontId="3" fillId="0" borderId="1"/>
    <xf numFmtId="164" fontId="3" fillId="0" borderId="1"/>
    <xf numFmtId="0" fontId="3" fillId="14" borderId="1" applyNumberFormat="0" applyBorder="0" applyAlignment="0" applyProtection="0"/>
    <xf numFmtId="0" fontId="3" fillId="16" borderId="1" applyNumberFormat="0" applyBorder="0" applyAlignment="0" applyProtection="0"/>
    <xf numFmtId="164" fontId="3" fillId="0" borderId="1"/>
    <xf numFmtId="0" fontId="3" fillId="21" borderId="1" applyNumberFormat="0" applyBorder="0" applyAlignment="0" applyProtection="0"/>
    <xf numFmtId="0" fontId="3" fillId="0" borderId="1"/>
    <xf numFmtId="0" fontId="3" fillId="24" borderId="1" applyNumberFormat="0" applyBorder="0" applyAlignment="0" applyProtection="0"/>
    <xf numFmtId="164" fontId="3" fillId="0" borderId="1"/>
    <xf numFmtId="164" fontId="3" fillId="0" borderId="1"/>
    <xf numFmtId="0" fontId="3" fillId="13" borderId="1" applyNumberFormat="0" applyBorder="0" applyAlignment="0" applyProtection="0"/>
    <xf numFmtId="44" fontId="3" fillId="0" borderId="1" applyFont="0" applyFill="0" applyBorder="0" applyAlignment="0" applyProtection="0"/>
    <xf numFmtId="0" fontId="3" fillId="14" borderId="1" applyNumberFormat="0" applyBorder="0" applyAlignment="0" applyProtection="0"/>
    <xf numFmtId="44" fontId="3" fillId="0" borderId="1" applyFont="0" applyFill="0" applyBorder="0" applyAlignment="0" applyProtection="0"/>
    <xf numFmtId="0" fontId="3" fillId="14" borderId="1" applyNumberFormat="0" applyBorder="0" applyAlignment="0" applyProtection="0"/>
    <xf numFmtId="0" fontId="3" fillId="0" borderId="1"/>
    <xf numFmtId="0" fontId="3" fillId="0" borderId="1"/>
    <xf numFmtId="164" fontId="3" fillId="0" borderId="1"/>
    <xf numFmtId="0" fontId="3" fillId="19" borderId="1" applyNumberFormat="0" applyBorder="0" applyAlignment="0" applyProtection="0"/>
    <xf numFmtId="164" fontId="3" fillId="0" borderId="1"/>
    <xf numFmtId="164" fontId="3" fillId="0" borderId="1"/>
    <xf numFmtId="0" fontId="3" fillId="0" borderId="1"/>
    <xf numFmtId="0" fontId="3" fillId="0" borderId="1"/>
    <xf numFmtId="0" fontId="3" fillId="24" borderId="1" applyNumberFormat="0" applyBorder="0" applyAlignment="0" applyProtection="0"/>
    <xf numFmtId="0" fontId="3" fillId="14" borderId="1" applyNumberFormat="0" applyBorder="0" applyAlignment="0" applyProtection="0"/>
    <xf numFmtId="164" fontId="3" fillId="0" borderId="1"/>
    <xf numFmtId="0" fontId="3" fillId="14" borderId="1" applyNumberFormat="0" applyBorder="0" applyAlignment="0" applyProtection="0"/>
    <xf numFmtId="164" fontId="3" fillId="0" borderId="1"/>
    <xf numFmtId="0" fontId="3" fillId="21"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0" fontId="3" fillId="13" borderId="1" applyNumberFormat="0" applyBorder="0" applyAlignment="0" applyProtection="0"/>
    <xf numFmtId="0" fontId="33" fillId="0" borderId="1"/>
    <xf numFmtId="43" fontId="3" fillId="0" borderId="1" applyFont="0" applyFill="0" applyBorder="0" applyAlignment="0" applyProtection="0"/>
    <xf numFmtId="0" fontId="3" fillId="0" borderId="1"/>
    <xf numFmtId="164" fontId="3" fillId="0" borderId="1"/>
    <xf numFmtId="0" fontId="3" fillId="21" borderId="1" applyNumberFormat="0" applyBorder="0" applyAlignment="0" applyProtection="0"/>
    <xf numFmtId="0" fontId="3" fillId="0" borderId="1"/>
    <xf numFmtId="0" fontId="3" fillId="14" borderId="1" applyNumberFormat="0" applyBorder="0" applyAlignment="0" applyProtection="0"/>
    <xf numFmtId="0" fontId="3" fillId="19" borderId="1" applyNumberFormat="0" applyBorder="0" applyAlignment="0" applyProtection="0"/>
    <xf numFmtId="0" fontId="33" fillId="0" borderId="1"/>
    <xf numFmtId="0" fontId="3" fillId="0" borderId="1"/>
    <xf numFmtId="0" fontId="3" fillId="0" borderId="1"/>
    <xf numFmtId="0" fontId="3" fillId="14" borderId="1" applyNumberFormat="0" applyBorder="0" applyAlignment="0" applyProtection="0"/>
    <xf numFmtId="0" fontId="3" fillId="24" borderId="1" applyNumberFormat="0" applyBorder="0" applyAlignment="0" applyProtection="0"/>
    <xf numFmtId="0" fontId="3" fillId="0" borderId="1"/>
    <xf numFmtId="164" fontId="3" fillId="0" borderId="1"/>
    <xf numFmtId="0" fontId="3" fillId="14"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0" fontId="3" fillId="0" borderId="1"/>
    <xf numFmtId="0" fontId="3" fillId="16" borderId="1" applyNumberFormat="0" applyBorder="0" applyAlignment="0" applyProtection="0"/>
    <xf numFmtId="0" fontId="3" fillId="0" borderId="1"/>
    <xf numFmtId="0" fontId="3" fillId="0" borderId="1"/>
    <xf numFmtId="0" fontId="3" fillId="18" borderId="1" applyNumberFormat="0" applyBorder="0" applyAlignment="0" applyProtection="0"/>
    <xf numFmtId="0" fontId="3" fillId="0" borderId="1"/>
    <xf numFmtId="164" fontId="3" fillId="0" borderId="1"/>
    <xf numFmtId="0" fontId="3" fillId="5" borderId="1" applyNumberFormat="0" applyBorder="0" applyAlignment="0" applyProtection="0"/>
    <xf numFmtId="164" fontId="3" fillId="0" borderId="1"/>
    <xf numFmtId="0" fontId="3" fillId="14" borderId="1" applyNumberFormat="0" applyBorder="0" applyAlignment="0" applyProtection="0"/>
    <xf numFmtId="0" fontId="3" fillId="21" borderId="1" applyNumberFormat="0" applyBorder="0" applyAlignment="0" applyProtection="0"/>
    <xf numFmtId="0" fontId="3" fillId="5" borderId="1" applyNumberFormat="0" applyBorder="0" applyAlignment="0" applyProtection="0"/>
    <xf numFmtId="164" fontId="3" fillId="0" borderId="1"/>
    <xf numFmtId="164" fontId="3" fillId="0" borderId="1"/>
    <xf numFmtId="0" fontId="33" fillId="0" borderId="1"/>
    <xf numFmtId="164" fontId="3" fillId="0" borderId="1"/>
    <xf numFmtId="164" fontId="3" fillId="0" borderId="1"/>
    <xf numFmtId="0" fontId="3" fillId="18" borderId="1" applyNumberFormat="0" applyBorder="0" applyAlignment="0" applyProtection="0"/>
    <xf numFmtId="164" fontId="3" fillId="0" borderId="1"/>
    <xf numFmtId="164" fontId="3" fillId="0" borderId="1"/>
    <xf numFmtId="0" fontId="3" fillId="0" borderId="1"/>
    <xf numFmtId="0" fontId="3" fillId="24" borderId="1" applyNumberFormat="0" applyBorder="0" applyAlignment="0" applyProtection="0"/>
    <xf numFmtId="0" fontId="3" fillId="0" borderId="1"/>
    <xf numFmtId="164" fontId="3" fillId="0" borderId="1"/>
    <xf numFmtId="0" fontId="3" fillId="17"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14" borderId="1" applyNumberFormat="0" applyBorder="0" applyAlignment="0" applyProtection="0"/>
    <xf numFmtId="165" fontId="33" fillId="0" borderId="1" applyFont="0" applyFill="0" applyBorder="0" applyAlignment="0" applyProtection="0"/>
    <xf numFmtId="165" fontId="33" fillId="0" borderId="1" applyFont="0" applyFill="0" applyBorder="0" applyAlignment="0" applyProtection="0"/>
    <xf numFmtId="164" fontId="3" fillId="0" borderId="1"/>
    <xf numFmtId="44" fontId="3" fillId="0" borderId="1" applyFont="0" applyFill="0" applyBorder="0" applyAlignment="0" applyProtection="0"/>
    <xf numFmtId="0" fontId="3" fillId="18"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24" borderId="1" applyNumberFormat="0" applyBorder="0" applyAlignment="0" applyProtection="0"/>
    <xf numFmtId="164" fontId="3" fillId="0" borderId="1"/>
    <xf numFmtId="0" fontId="3" fillId="14" borderId="1" applyNumberFormat="0" applyBorder="0" applyAlignment="0" applyProtection="0"/>
    <xf numFmtId="0" fontId="3" fillId="0" borderId="1"/>
    <xf numFmtId="0" fontId="3" fillId="16" borderId="1" applyNumberFormat="0" applyBorder="0" applyAlignment="0" applyProtection="0"/>
    <xf numFmtId="0" fontId="3" fillId="24" borderId="1" applyNumberFormat="0" applyBorder="0" applyAlignment="0" applyProtection="0"/>
    <xf numFmtId="164" fontId="3" fillId="0" borderId="1"/>
    <xf numFmtId="0" fontId="3" fillId="5" borderId="1" applyNumberFormat="0" applyBorder="0" applyAlignment="0" applyProtection="0"/>
    <xf numFmtId="164" fontId="3" fillId="0" borderId="1"/>
    <xf numFmtId="164" fontId="3" fillId="0" borderId="1"/>
    <xf numFmtId="0" fontId="3" fillId="14" borderId="1" applyNumberFormat="0" applyBorder="0" applyAlignment="0" applyProtection="0"/>
    <xf numFmtId="0" fontId="3" fillId="0" borderId="1"/>
    <xf numFmtId="0" fontId="3" fillId="0" borderId="1"/>
    <xf numFmtId="0" fontId="3" fillId="5" borderId="1" applyNumberFormat="0" applyBorder="0" applyAlignment="0" applyProtection="0"/>
    <xf numFmtId="0" fontId="3" fillId="0" borderId="1"/>
    <xf numFmtId="0" fontId="3" fillId="22" borderId="1" applyNumberFormat="0" applyBorder="0" applyAlignment="0" applyProtection="0"/>
    <xf numFmtId="0" fontId="3" fillId="14" borderId="1" applyNumberFormat="0" applyBorder="0" applyAlignment="0" applyProtection="0"/>
    <xf numFmtId="164" fontId="3" fillId="0" borderId="1"/>
    <xf numFmtId="164" fontId="3" fillId="0" borderId="1"/>
    <xf numFmtId="164" fontId="3" fillId="0" borderId="1"/>
    <xf numFmtId="164" fontId="3" fillId="0" borderId="1"/>
    <xf numFmtId="0" fontId="3" fillId="18" borderId="1" applyNumberFormat="0" applyBorder="0" applyAlignment="0" applyProtection="0"/>
    <xf numFmtId="164" fontId="3" fillId="0" borderId="1"/>
    <xf numFmtId="0" fontId="3" fillId="5" borderId="1" applyNumberFormat="0" applyBorder="0" applyAlignment="0" applyProtection="0"/>
    <xf numFmtId="0" fontId="3" fillId="0" borderId="1"/>
    <xf numFmtId="0" fontId="3" fillId="0" borderId="1"/>
    <xf numFmtId="0" fontId="3" fillId="14" borderId="1" applyNumberFormat="0" applyBorder="0" applyAlignment="0" applyProtection="0"/>
    <xf numFmtId="0" fontId="3" fillId="0" borderId="1"/>
    <xf numFmtId="0" fontId="3" fillId="0" borderId="1"/>
    <xf numFmtId="164" fontId="3" fillId="0" borderId="1"/>
    <xf numFmtId="164" fontId="3" fillId="0" borderId="1"/>
    <xf numFmtId="164" fontId="33" fillId="0" borderId="1" applyFill="0" applyBorder="0" applyAlignment="0" applyProtection="0"/>
    <xf numFmtId="164" fontId="3" fillId="0" borderId="1"/>
    <xf numFmtId="164" fontId="3" fillId="0" borderId="1"/>
    <xf numFmtId="0" fontId="3" fillId="0" borderId="1"/>
    <xf numFmtId="0" fontId="3" fillId="5" borderId="1" applyNumberFormat="0" applyBorder="0" applyAlignment="0" applyProtection="0"/>
    <xf numFmtId="165" fontId="33" fillId="0" borderId="1" applyFont="0" applyFill="0" applyBorder="0" applyAlignment="0" applyProtection="0"/>
    <xf numFmtId="164" fontId="3" fillId="0" borderId="1"/>
    <xf numFmtId="0" fontId="3" fillId="0" borderId="1"/>
    <xf numFmtId="0" fontId="3" fillId="19" borderId="1" applyNumberFormat="0" applyBorder="0" applyAlignment="0" applyProtection="0"/>
    <xf numFmtId="164" fontId="33" fillId="0" borderId="1"/>
    <xf numFmtId="0" fontId="3" fillId="25" borderId="1" applyNumberFormat="0" applyBorder="0" applyAlignment="0" applyProtection="0"/>
    <xf numFmtId="44" fontId="3" fillId="0" borderId="1" applyFont="0" applyFill="0" applyBorder="0" applyAlignment="0" applyProtection="0"/>
    <xf numFmtId="0" fontId="3" fillId="0" borderId="1"/>
    <xf numFmtId="0" fontId="3" fillId="14" borderId="1" applyNumberFormat="0" applyBorder="0" applyAlignment="0" applyProtection="0"/>
    <xf numFmtId="0" fontId="3" fillId="0" borderId="1"/>
    <xf numFmtId="0" fontId="3" fillId="0" borderId="1"/>
    <xf numFmtId="0" fontId="3" fillId="14"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164" fontId="3" fillId="0" borderId="1"/>
    <xf numFmtId="0" fontId="3" fillId="22" borderId="1" applyNumberFormat="0" applyBorder="0" applyAlignment="0" applyProtection="0"/>
    <xf numFmtId="0" fontId="3" fillId="13"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0" fontId="3" fillId="19" borderId="1" applyNumberFormat="0" applyBorder="0" applyAlignment="0" applyProtection="0"/>
    <xf numFmtId="0" fontId="3" fillId="0" borderId="1"/>
    <xf numFmtId="0" fontId="3" fillId="0" borderId="1"/>
    <xf numFmtId="164" fontId="3" fillId="0" borderId="1"/>
    <xf numFmtId="164" fontId="3" fillId="0" borderId="1"/>
    <xf numFmtId="0" fontId="3" fillId="24"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14" borderId="1" applyNumberFormat="0" applyBorder="0" applyAlignment="0" applyProtection="0"/>
    <xf numFmtId="0" fontId="3" fillId="0" borderId="1"/>
    <xf numFmtId="44" fontId="3" fillId="0" borderId="1" applyFont="0" applyFill="0" applyBorder="0" applyAlignment="0" applyProtection="0"/>
    <xf numFmtId="0" fontId="3" fillId="23" borderId="25" applyNumberFormat="0" applyFont="0" applyAlignment="0" applyProtection="0"/>
    <xf numFmtId="164" fontId="33" fillId="0" borderId="1" applyFill="0" applyBorder="0" applyAlignment="0" applyProtection="0"/>
    <xf numFmtId="44" fontId="3" fillId="0" borderId="1" applyFont="0" applyFill="0" applyBorder="0" applyAlignment="0" applyProtection="0"/>
    <xf numFmtId="0" fontId="3" fillId="17" borderId="1" applyNumberFormat="0" applyBorder="0" applyAlignment="0" applyProtection="0"/>
    <xf numFmtId="0" fontId="33" fillId="0" borderId="1"/>
    <xf numFmtId="164" fontId="3" fillId="0" borderId="1"/>
    <xf numFmtId="0" fontId="3" fillId="24"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0" fontId="3" fillId="22" borderId="1" applyNumberFormat="0" applyBorder="0" applyAlignment="0" applyProtection="0"/>
    <xf numFmtId="164" fontId="3" fillId="0" borderId="1"/>
    <xf numFmtId="0" fontId="3" fillId="0" borderId="1"/>
    <xf numFmtId="0" fontId="3" fillId="0" borderId="1"/>
    <xf numFmtId="0" fontId="3" fillId="14" borderId="1" applyNumberFormat="0" applyBorder="0" applyAlignment="0" applyProtection="0"/>
    <xf numFmtId="0" fontId="3" fillId="0" borderId="1"/>
    <xf numFmtId="0" fontId="3" fillId="0" borderId="1"/>
    <xf numFmtId="0" fontId="3" fillId="19"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164" fontId="3" fillId="0" borderId="1"/>
    <xf numFmtId="0" fontId="3" fillId="24" borderId="1" applyNumberFormat="0" applyBorder="0" applyAlignment="0" applyProtection="0"/>
    <xf numFmtId="164" fontId="3" fillId="0" borderId="1"/>
    <xf numFmtId="164" fontId="3" fillId="0" borderId="1"/>
    <xf numFmtId="0" fontId="3" fillId="0" borderId="1"/>
    <xf numFmtId="0" fontId="3" fillId="14" borderId="1" applyNumberFormat="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0" fontId="3" fillId="0" borderId="1"/>
    <xf numFmtId="0" fontId="3" fillId="25" borderId="1" applyNumberFormat="0" applyBorder="0" applyAlignment="0" applyProtection="0"/>
    <xf numFmtId="0" fontId="33" fillId="0" borderId="1"/>
    <xf numFmtId="0" fontId="3" fillId="19"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24" borderId="1" applyNumberFormat="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0" fontId="3" fillId="14"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0" fontId="3" fillId="18" borderId="1" applyNumberFormat="0" applyBorder="0" applyAlignment="0" applyProtection="0"/>
    <xf numFmtId="0" fontId="3" fillId="14" borderId="1" applyNumberFormat="0" applyBorder="0" applyAlignment="0" applyProtection="0"/>
    <xf numFmtId="0" fontId="3" fillId="0" borderId="1"/>
    <xf numFmtId="44" fontId="3" fillId="0" borderId="1" applyFont="0" applyFill="0" applyBorder="0" applyAlignment="0" applyProtection="0"/>
    <xf numFmtId="164"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164" fontId="3" fillId="0" borderId="1"/>
    <xf numFmtId="43" fontId="3" fillId="0" borderId="1" applyFont="0" applyFill="0" applyBorder="0" applyAlignment="0" applyProtection="0"/>
    <xf numFmtId="164" fontId="3" fillId="0" borderId="1"/>
    <xf numFmtId="164" fontId="3" fillId="0" borderId="1"/>
    <xf numFmtId="0" fontId="3" fillId="14" borderId="1" applyNumberFormat="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164" fontId="3" fillId="0" borderId="1"/>
    <xf numFmtId="0" fontId="3" fillId="14" borderId="1" applyNumberFormat="0" applyBorder="0" applyAlignment="0" applyProtection="0"/>
    <xf numFmtId="164" fontId="3" fillId="0" borderId="1"/>
    <xf numFmtId="164" fontId="3" fillId="0" borderId="1"/>
    <xf numFmtId="0" fontId="3" fillId="0" borderId="1"/>
    <xf numFmtId="0" fontId="3" fillId="0" borderId="1"/>
    <xf numFmtId="0" fontId="3" fillId="0" borderId="1"/>
    <xf numFmtId="0" fontId="3" fillId="1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18" borderId="1" applyNumberFormat="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0" fontId="3" fillId="14" borderId="1" applyNumberFormat="0" applyBorder="0" applyAlignment="0" applyProtection="0"/>
    <xf numFmtId="164" fontId="3" fillId="0" borderId="1"/>
    <xf numFmtId="164" fontId="3" fillId="0" borderId="1"/>
    <xf numFmtId="0" fontId="3" fillId="19" borderId="1" applyNumberFormat="0" applyBorder="0" applyAlignment="0" applyProtection="0"/>
    <xf numFmtId="0" fontId="3" fillId="0" borderId="1"/>
    <xf numFmtId="0" fontId="34" fillId="26" borderId="1" applyNumberFormat="0" applyBorder="0" applyAlignment="0" applyProtection="0"/>
    <xf numFmtId="0" fontId="3" fillId="0" borderId="1"/>
    <xf numFmtId="0" fontId="3" fillId="0" borderId="1"/>
    <xf numFmtId="164" fontId="33" fillId="0" borderId="1"/>
    <xf numFmtId="0" fontId="3" fillId="24" borderId="1" applyNumberFormat="0" applyBorder="0" applyAlignment="0" applyProtection="0"/>
    <xf numFmtId="0" fontId="3" fillId="25" borderId="1" applyNumberFormat="0" applyBorder="0" applyAlignment="0" applyProtection="0"/>
    <xf numFmtId="165" fontId="33" fillId="0" borderId="1" applyFont="0" applyFill="0" applyBorder="0" applyAlignment="0" applyProtection="0"/>
    <xf numFmtId="165" fontId="33" fillId="0" borderId="1" applyFont="0" applyFill="0" applyBorder="0" applyAlignment="0" applyProtection="0"/>
    <xf numFmtId="44" fontId="3" fillId="0" borderId="1" applyFont="0" applyFill="0" applyBorder="0" applyAlignment="0" applyProtection="0"/>
    <xf numFmtId="0" fontId="3" fillId="14" borderId="1" applyNumberFormat="0" applyBorder="0" applyAlignment="0" applyProtection="0"/>
    <xf numFmtId="164" fontId="3" fillId="0" borderId="1"/>
    <xf numFmtId="164" fontId="3" fillId="0" borderId="1"/>
    <xf numFmtId="0" fontId="3" fillId="14" borderId="1" applyNumberFormat="0" applyBorder="0" applyAlignment="0" applyProtection="0"/>
    <xf numFmtId="0" fontId="3" fillId="25" borderId="1" applyNumberFormat="0" applyBorder="0" applyAlignment="0" applyProtection="0"/>
    <xf numFmtId="164" fontId="33" fillId="0" borderId="1" applyFont="0" applyFill="0" applyBorder="0" applyAlignment="0" applyProtection="0"/>
    <xf numFmtId="44" fontId="3" fillId="0" borderId="1" applyFont="0" applyFill="0" applyBorder="0" applyAlignment="0" applyProtection="0"/>
    <xf numFmtId="164" fontId="3" fillId="0" borderId="1"/>
    <xf numFmtId="0" fontId="33" fillId="0" borderId="1"/>
    <xf numFmtId="0" fontId="3" fillId="0" borderId="1"/>
    <xf numFmtId="0" fontId="3" fillId="0" borderId="1"/>
    <xf numFmtId="0" fontId="3" fillId="18" borderId="1" applyNumberFormat="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13" borderId="1" applyNumberFormat="0" applyBorder="0" applyAlignment="0" applyProtection="0"/>
    <xf numFmtId="0" fontId="3" fillId="14" borderId="1" applyNumberFormat="0" applyBorder="0" applyAlignment="0" applyProtection="0"/>
    <xf numFmtId="0" fontId="3" fillId="24" borderId="1" applyNumberFormat="0" applyBorder="0" applyAlignment="0" applyProtection="0"/>
    <xf numFmtId="164" fontId="3" fillId="0" borderId="1"/>
    <xf numFmtId="164" fontId="3" fillId="0" borderId="1"/>
    <xf numFmtId="0" fontId="3" fillId="0" borderId="1"/>
    <xf numFmtId="0" fontId="3" fillId="0" borderId="1"/>
    <xf numFmtId="0" fontId="3" fillId="0" borderId="1"/>
    <xf numFmtId="0" fontId="3" fillId="0" borderId="1"/>
    <xf numFmtId="0" fontId="3" fillId="17" borderId="1" applyNumberFormat="0" applyBorder="0" applyAlignment="0" applyProtection="0"/>
    <xf numFmtId="164" fontId="3" fillId="0" borderId="1"/>
    <xf numFmtId="164" fontId="3" fillId="0" borderId="1"/>
    <xf numFmtId="164" fontId="3" fillId="0" borderId="1"/>
    <xf numFmtId="0" fontId="3" fillId="14" borderId="1" applyNumberFormat="0" applyBorder="0" applyAlignment="0" applyProtection="0"/>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13" borderId="1" applyNumberFormat="0" applyBorder="0" applyAlignment="0" applyProtection="0"/>
    <xf numFmtId="0" fontId="3" fillId="0" borderId="1"/>
    <xf numFmtId="164" fontId="3" fillId="0" borderId="1"/>
    <xf numFmtId="164" fontId="3" fillId="0" borderId="1"/>
    <xf numFmtId="0" fontId="3" fillId="19" borderId="1" applyNumberFormat="0" applyBorder="0" applyAlignment="0" applyProtection="0"/>
    <xf numFmtId="164" fontId="3" fillId="0" borderId="1"/>
    <xf numFmtId="44" fontId="3" fillId="0" borderId="1" applyFont="0" applyFill="0" applyBorder="0" applyAlignment="0" applyProtection="0"/>
    <xf numFmtId="164" fontId="3" fillId="0" borderId="1"/>
    <xf numFmtId="0" fontId="34" fillId="0" borderId="1"/>
    <xf numFmtId="164" fontId="3" fillId="0" borderId="1"/>
    <xf numFmtId="0" fontId="3" fillId="19" borderId="1" applyNumberFormat="0" applyBorder="0" applyAlignment="0" applyProtection="0"/>
    <xf numFmtId="164" fontId="3" fillId="0" borderId="1"/>
    <xf numFmtId="164" fontId="3" fillId="0" borderId="1"/>
    <xf numFmtId="0" fontId="3" fillId="14" borderId="1" applyNumberFormat="0" applyBorder="0" applyAlignment="0" applyProtection="0"/>
    <xf numFmtId="164" fontId="3" fillId="0" borderId="1"/>
    <xf numFmtId="164" fontId="3" fillId="0" borderId="1"/>
    <xf numFmtId="164" fontId="3" fillId="0" borderId="1"/>
    <xf numFmtId="164" fontId="3" fillId="0" borderId="1"/>
    <xf numFmtId="164" fontId="3" fillId="0" borderId="1"/>
    <xf numFmtId="0" fontId="3" fillId="13" borderId="1" applyNumberFormat="0" applyBorder="0" applyAlignment="0" applyProtection="0"/>
    <xf numFmtId="44" fontId="3" fillId="0" borderId="1" applyFont="0" applyFill="0" applyBorder="0" applyAlignment="0" applyProtection="0"/>
    <xf numFmtId="0" fontId="3" fillId="23" borderId="25" applyNumberFormat="0" applyFont="0" applyAlignment="0" applyProtection="0"/>
    <xf numFmtId="0" fontId="3" fillId="0" borderId="1"/>
    <xf numFmtId="0" fontId="3" fillId="14"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24" borderId="1" applyNumberFormat="0" applyBorder="0" applyAlignment="0" applyProtection="0"/>
    <xf numFmtId="164" fontId="3" fillId="0" borderId="1"/>
    <xf numFmtId="164" fontId="3" fillId="0" borderId="1"/>
    <xf numFmtId="164" fontId="3" fillId="0" borderId="1"/>
    <xf numFmtId="164" fontId="3" fillId="0" borderId="1"/>
    <xf numFmtId="0" fontId="3" fillId="13" borderId="1" applyNumberFormat="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164" fontId="3" fillId="0" borderId="1"/>
    <xf numFmtId="0" fontId="3" fillId="13" borderId="1" applyNumberFormat="0" applyBorder="0" applyAlignment="0" applyProtection="0"/>
    <xf numFmtId="44" fontId="3" fillId="0" borderId="1" applyFont="0" applyFill="0" applyBorder="0" applyAlignment="0" applyProtection="0"/>
    <xf numFmtId="0" fontId="3" fillId="18" borderId="1" applyNumberFormat="0" applyBorder="0" applyAlignment="0" applyProtection="0"/>
    <xf numFmtId="0" fontId="3" fillId="0" borderId="1"/>
    <xf numFmtId="0" fontId="3" fillId="0" borderId="1"/>
    <xf numFmtId="0" fontId="3" fillId="22" borderId="1" applyNumberFormat="0" applyBorder="0" applyAlignment="0" applyProtection="0"/>
    <xf numFmtId="164" fontId="3" fillId="0" borderId="1"/>
    <xf numFmtId="164" fontId="3" fillId="0" borderId="1"/>
    <xf numFmtId="0" fontId="3" fillId="0" borderId="1"/>
    <xf numFmtId="0" fontId="3" fillId="14" borderId="1" applyNumberFormat="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164" fontId="3" fillId="0" borderId="1"/>
    <xf numFmtId="0" fontId="3" fillId="0" borderId="1"/>
    <xf numFmtId="0" fontId="3" fillId="5" borderId="1" applyNumberFormat="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0" fontId="3" fillId="18"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13" borderId="1" applyNumberFormat="0" applyBorder="0" applyAlignment="0" applyProtection="0"/>
    <xf numFmtId="0" fontId="3" fillId="14" borderId="1" applyNumberFormat="0" applyBorder="0" applyAlignment="0" applyProtection="0"/>
    <xf numFmtId="164" fontId="3" fillId="0" borderId="1"/>
    <xf numFmtId="164" fontId="3" fillId="0" borderId="1"/>
    <xf numFmtId="164" fontId="3" fillId="0" borderId="1"/>
    <xf numFmtId="164" fontId="3" fillId="0" borderId="1"/>
    <xf numFmtId="0" fontId="3" fillId="13"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8" borderId="1" applyNumberFormat="0" applyBorder="0" applyAlignment="0" applyProtection="0"/>
    <xf numFmtId="0" fontId="3" fillId="17" borderId="1" applyNumberFormat="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13" borderId="1" applyNumberFormat="0" applyBorder="0" applyAlignment="0" applyProtection="0"/>
    <xf numFmtId="0" fontId="39" fillId="0" borderId="28" applyNumberFormat="0" applyFill="0" applyAlignment="0" applyProtection="0"/>
    <xf numFmtId="44" fontId="3" fillId="0" borderId="1" applyFont="0" applyFill="0" applyBorder="0" applyAlignment="0" applyProtection="0"/>
    <xf numFmtId="0" fontId="3" fillId="18" borderId="1" applyNumberFormat="0" applyBorder="0" applyAlignment="0" applyProtection="0"/>
    <xf numFmtId="0" fontId="3" fillId="0" borderId="1"/>
    <xf numFmtId="0" fontId="3" fillId="0" borderId="1"/>
    <xf numFmtId="0" fontId="3" fillId="14" borderId="1" applyNumberFormat="0" applyBorder="0" applyAlignment="0" applyProtection="0"/>
    <xf numFmtId="0" fontId="3" fillId="0" borderId="1"/>
    <xf numFmtId="164" fontId="3" fillId="0" borderId="1"/>
    <xf numFmtId="164" fontId="3" fillId="0" borderId="1"/>
    <xf numFmtId="0" fontId="3" fillId="13" borderId="1" applyNumberFormat="0" applyBorder="0" applyAlignment="0" applyProtection="0"/>
    <xf numFmtId="0" fontId="3" fillId="0" borderId="1"/>
    <xf numFmtId="0" fontId="3" fillId="22" borderId="1" applyNumberFormat="0" applyBorder="0" applyAlignment="0" applyProtection="0"/>
    <xf numFmtId="165" fontId="33" fillId="0" borderId="1" applyFont="0" applyFill="0" applyBorder="0" applyAlignment="0" applyProtection="0"/>
    <xf numFmtId="164" fontId="3" fillId="0" borderId="1"/>
    <xf numFmtId="164" fontId="3" fillId="0" borderId="1"/>
    <xf numFmtId="164" fontId="3" fillId="0" borderId="1"/>
    <xf numFmtId="0" fontId="3" fillId="18"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13" borderId="1" applyNumberFormat="0" applyBorder="0" applyAlignment="0" applyProtection="0"/>
    <xf numFmtId="44" fontId="3" fillId="0" borderId="1" applyFont="0" applyFill="0" applyBorder="0" applyAlignment="0" applyProtection="0"/>
    <xf numFmtId="0" fontId="3" fillId="14" borderId="1" applyNumberFormat="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0" fontId="3" fillId="24" borderId="1" applyNumberFormat="0" applyBorder="0" applyAlignment="0" applyProtection="0"/>
    <xf numFmtId="164" fontId="3" fillId="0" borderId="1"/>
    <xf numFmtId="164" fontId="3" fillId="0" borderId="1"/>
    <xf numFmtId="0" fontId="3" fillId="13" borderId="1" applyNumberFormat="0" applyBorder="0" applyAlignment="0" applyProtection="0"/>
    <xf numFmtId="164" fontId="3" fillId="0" borderId="1"/>
    <xf numFmtId="0" fontId="3" fillId="15" borderId="1" applyNumberFormat="0" applyBorder="0" applyAlignment="0" applyProtection="0"/>
    <xf numFmtId="164" fontId="3" fillId="0" borderId="1"/>
    <xf numFmtId="0" fontId="3" fillId="13" borderId="1" applyNumberFormat="0" applyBorder="0" applyAlignment="0" applyProtection="0"/>
    <xf numFmtId="0" fontId="3" fillId="14" borderId="1" applyNumberFormat="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0" fontId="3" fillId="0" borderId="1"/>
    <xf numFmtId="0" fontId="3" fillId="22" borderId="1" applyNumberFormat="0" applyBorder="0" applyAlignment="0" applyProtection="0"/>
    <xf numFmtId="164" fontId="3" fillId="0" borderId="1"/>
    <xf numFmtId="164" fontId="3" fillId="0" borderId="1"/>
    <xf numFmtId="0" fontId="3" fillId="18" borderId="1" applyNumberFormat="0" applyBorder="0" applyAlignment="0" applyProtection="0"/>
    <xf numFmtId="44" fontId="3" fillId="0" borderId="1" applyFont="0" applyFill="0" applyBorder="0" applyAlignment="0" applyProtection="0"/>
    <xf numFmtId="0" fontId="3" fillId="15" borderId="1" applyNumberFormat="0" applyBorder="0" applyAlignment="0" applyProtection="0"/>
    <xf numFmtId="0" fontId="3" fillId="13" borderId="1" applyNumberFormat="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0" fontId="3" fillId="17" borderId="1" applyNumberFormat="0" applyBorder="0" applyAlignment="0" applyProtection="0"/>
    <xf numFmtId="0" fontId="3" fillId="0" borderId="1"/>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14" borderId="1" applyNumberFormat="0" applyBorder="0" applyAlignment="0" applyProtection="0"/>
    <xf numFmtId="0" fontId="3" fillId="0" borderId="1"/>
    <xf numFmtId="0" fontId="3" fillId="15" borderId="1" applyNumberFormat="0" applyBorder="0" applyAlignment="0" applyProtection="0"/>
    <xf numFmtId="0" fontId="3" fillId="18" borderId="1" applyNumberFormat="0" applyBorder="0" applyAlignment="0" applyProtection="0"/>
    <xf numFmtId="164" fontId="3" fillId="0" borderId="1"/>
    <xf numFmtId="0" fontId="3" fillId="13" borderId="1" applyNumberFormat="0" applyBorder="0" applyAlignment="0" applyProtection="0"/>
    <xf numFmtId="0" fontId="3" fillId="14" borderId="1" applyNumberFormat="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164" fontId="3" fillId="0" borderId="1"/>
    <xf numFmtId="164" fontId="3" fillId="0" borderId="1"/>
    <xf numFmtId="0" fontId="3" fillId="13" borderId="1" applyNumberFormat="0" applyBorder="0" applyAlignment="0" applyProtection="0"/>
    <xf numFmtId="0" fontId="3" fillId="18" borderId="1" applyNumberFormat="0" applyBorder="0" applyAlignment="0" applyProtection="0"/>
    <xf numFmtId="0" fontId="3" fillId="17" borderId="1" applyNumberFormat="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14" borderId="1" applyNumberFormat="0" applyBorder="0" applyAlignment="0" applyProtection="0"/>
    <xf numFmtId="0" fontId="3" fillId="19" borderId="1" applyNumberFormat="0" applyBorder="0" applyAlignment="0" applyProtection="0"/>
    <xf numFmtId="164" fontId="33" fillId="0" borderId="1"/>
    <xf numFmtId="164" fontId="3" fillId="0" borderId="1"/>
    <xf numFmtId="44" fontId="3" fillId="0" borderId="1" applyFont="0" applyFill="0" applyBorder="0" applyAlignment="0" applyProtection="0"/>
    <xf numFmtId="164" fontId="33" fillId="0" borderId="1" applyFill="0" applyBorder="0" applyAlignment="0" applyProtection="0"/>
    <xf numFmtId="44" fontId="3" fillId="0" borderId="1" applyFont="0" applyFill="0" applyBorder="0" applyAlignment="0" applyProtection="0"/>
    <xf numFmtId="165" fontId="33" fillId="0" borderId="1" applyFont="0" applyFill="0" applyBorder="0" applyAlignment="0" applyProtection="0"/>
    <xf numFmtId="0" fontId="3" fillId="0" borderId="1"/>
    <xf numFmtId="0" fontId="3" fillId="14"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22"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21" borderId="1" applyNumberFormat="0" applyBorder="0" applyAlignment="0" applyProtection="0"/>
    <xf numFmtId="0" fontId="3" fillId="18" borderId="1" applyNumberFormat="0" applyBorder="0" applyAlignment="0" applyProtection="0"/>
    <xf numFmtId="0" fontId="3" fillId="19" borderId="1" applyNumberFormat="0" applyBorder="0" applyAlignment="0" applyProtection="0"/>
    <xf numFmtId="0" fontId="3" fillId="0" borderId="1"/>
    <xf numFmtId="0" fontId="3" fillId="0" borderId="1"/>
    <xf numFmtId="0" fontId="3" fillId="24" borderId="1" applyNumberFormat="0" applyBorder="0" applyAlignment="0" applyProtection="0"/>
    <xf numFmtId="0" fontId="3" fillId="0" borderId="1"/>
    <xf numFmtId="0" fontId="3" fillId="0" borderId="1"/>
    <xf numFmtId="0" fontId="3" fillId="25"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14" borderId="1" applyNumberFormat="0" applyBorder="0" applyAlignment="0" applyProtection="0"/>
    <xf numFmtId="0" fontId="3" fillId="0" borderId="1"/>
    <xf numFmtId="44" fontId="3" fillId="0" borderId="1" applyFont="0" applyFill="0" applyBorder="0" applyAlignment="0" applyProtection="0"/>
    <xf numFmtId="0" fontId="3" fillId="19" borderId="1" applyNumberFormat="0" applyBorder="0" applyAlignment="0" applyProtection="0"/>
    <xf numFmtId="0" fontId="3" fillId="17" borderId="1" applyNumberFormat="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25" borderId="1" applyNumberFormat="0" applyBorder="0" applyAlignment="0" applyProtection="0"/>
    <xf numFmtId="0" fontId="3" fillId="23" borderId="25" applyNumberFormat="0" applyFont="0" applyAlignment="0" applyProtection="0"/>
    <xf numFmtId="44" fontId="3" fillId="0" borderId="1" applyFont="0" applyFill="0" applyBorder="0" applyAlignment="0" applyProtection="0"/>
    <xf numFmtId="0" fontId="3" fillId="0" borderId="1"/>
    <xf numFmtId="0" fontId="3" fillId="22" borderId="1" applyNumberFormat="0" applyBorder="0" applyAlignment="0" applyProtection="0"/>
    <xf numFmtId="164" fontId="3" fillId="0" borderId="1"/>
    <xf numFmtId="0" fontId="3" fillId="24"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14"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21" borderId="1" applyNumberFormat="0" applyBorder="0" applyAlignment="0" applyProtection="0"/>
    <xf numFmtId="0" fontId="3" fillId="19"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0" fontId="3" fillId="24" borderId="1" applyNumberFormat="0" applyBorder="0" applyAlignment="0" applyProtection="0"/>
    <xf numFmtId="164" fontId="3" fillId="0" borderId="1"/>
    <xf numFmtId="164" fontId="3" fillId="0" borderId="1"/>
    <xf numFmtId="0" fontId="3" fillId="14" borderId="1" applyNumberFormat="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0" fontId="3" fillId="14" borderId="1" applyNumberFormat="0" applyBorder="0" applyAlignment="0" applyProtection="0"/>
    <xf numFmtId="164" fontId="3" fillId="0" borderId="1"/>
    <xf numFmtId="164" fontId="3" fillId="0" borderId="1"/>
    <xf numFmtId="0" fontId="3" fillId="0" borderId="1"/>
    <xf numFmtId="0" fontId="3" fillId="0" borderId="1"/>
    <xf numFmtId="0" fontId="3" fillId="0" borderId="1"/>
    <xf numFmtId="0" fontId="3" fillId="0" borderId="1"/>
    <xf numFmtId="0" fontId="3" fillId="22" borderId="1" applyNumberFormat="0" applyBorder="0" applyAlignment="0" applyProtection="0"/>
    <xf numFmtId="164" fontId="3" fillId="0" borderId="1"/>
    <xf numFmtId="0" fontId="3" fillId="0" borderId="1"/>
    <xf numFmtId="164" fontId="3" fillId="0" borderId="1"/>
    <xf numFmtId="0" fontId="3" fillId="25" borderId="1" applyNumberFormat="0" applyBorder="0" applyAlignment="0" applyProtection="0"/>
    <xf numFmtId="164" fontId="3" fillId="0" borderId="1"/>
    <xf numFmtId="0" fontId="3" fillId="13"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8" borderId="1" applyNumberFormat="0" applyBorder="0" applyAlignment="0" applyProtection="0"/>
    <xf numFmtId="0" fontId="3" fillId="0" borderId="1"/>
    <xf numFmtId="0" fontId="3" fillId="17" borderId="1" applyNumberFormat="0" applyBorder="0" applyAlignment="0" applyProtection="0"/>
    <xf numFmtId="0" fontId="3" fillId="13" borderId="1" applyNumberFormat="0" applyBorder="0" applyAlignment="0" applyProtection="0"/>
    <xf numFmtId="0" fontId="3" fillId="14"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14" borderId="1" applyNumberFormat="0" applyBorder="0" applyAlignment="0" applyProtection="0"/>
    <xf numFmtId="164" fontId="3" fillId="0" borderId="1"/>
    <xf numFmtId="0" fontId="3" fillId="13" borderId="1" applyNumberFormat="0" applyBorder="0" applyAlignment="0" applyProtection="0"/>
    <xf numFmtId="164" fontId="3" fillId="0" borderId="1"/>
    <xf numFmtId="164" fontId="3" fillId="0" borderId="1"/>
    <xf numFmtId="0" fontId="3" fillId="14"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13" borderId="1" applyNumberFormat="0" applyBorder="0" applyAlignment="0" applyProtection="0"/>
    <xf numFmtId="0" fontId="3" fillId="13" borderId="1" applyNumberFormat="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164" fontId="3" fillId="0" borderId="1"/>
    <xf numFmtId="0" fontId="3" fillId="13" borderId="1" applyNumberFormat="0" applyBorder="0" applyAlignment="0" applyProtection="0"/>
    <xf numFmtId="44" fontId="3" fillId="0" borderId="1" applyFont="0" applyFill="0" applyBorder="0" applyAlignment="0" applyProtection="0"/>
    <xf numFmtId="0" fontId="3" fillId="18" borderId="1" applyNumberFormat="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0" fontId="3" fillId="14"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3" borderId="1" applyNumberFormat="0" applyBorder="0" applyAlignment="0" applyProtection="0"/>
    <xf numFmtId="0" fontId="3" fillId="19" borderId="1" applyNumberFormat="0" applyBorder="0" applyAlignment="0" applyProtection="0"/>
    <xf numFmtId="0" fontId="3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14" borderId="1" applyNumberFormat="0" applyBorder="0" applyAlignment="0" applyProtection="0"/>
    <xf numFmtId="44" fontId="3" fillId="0" borderId="1" applyFont="0" applyFill="0" applyBorder="0" applyAlignment="0" applyProtection="0"/>
    <xf numFmtId="0" fontId="3" fillId="0" borderId="1"/>
    <xf numFmtId="0" fontId="3" fillId="22" borderId="1" applyNumberFormat="0" applyBorder="0" applyAlignment="0" applyProtection="0"/>
    <xf numFmtId="0" fontId="3" fillId="18" borderId="1" applyNumberFormat="0" applyBorder="0" applyAlignment="0" applyProtection="0"/>
    <xf numFmtId="44" fontId="3" fillId="0" borderId="1" applyFont="0" applyFill="0" applyBorder="0" applyAlignment="0" applyProtection="0"/>
    <xf numFmtId="0" fontId="3" fillId="17"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164" fontId="33" fillId="0" borderId="1"/>
    <xf numFmtId="0" fontId="3" fillId="19" borderId="1" applyNumberFormat="0" applyBorder="0" applyAlignment="0" applyProtection="0"/>
    <xf numFmtId="0" fontId="3" fillId="0" borderId="1"/>
    <xf numFmtId="0" fontId="3" fillId="0" borderId="1"/>
    <xf numFmtId="164" fontId="3" fillId="0" borderId="1"/>
    <xf numFmtId="0" fontId="3" fillId="0" borderId="1"/>
    <xf numFmtId="164" fontId="3" fillId="0" borderId="1"/>
    <xf numFmtId="164" fontId="3" fillId="0" borderId="1"/>
    <xf numFmtId="0" fontId="3" fillId="24" borderId="1" applyNumberFormat="0" applyBorder="0" applyAlignment="0" applyProtection="0"/>
    <xf numFmtId="164" fontId="3" fillId="0" borderId="1"/>
    <xf numFmtId="164" fontId="3" fillId="0" borderId="1"/>
    <xf numFmtId="164" fontId="3" fillId="0" borderId="1"/>
    <xf numFmtId="164" fontId="3" fillId="0" borderId="1"/>
    <xf numFmtId="0" fontId="3" fillId="14" borderId="1" applyNumberFormat="0" applyBorder="0" applyAlignment="0" applyProtection="0"/>
    <xf numFmtId="0" fontId="3" fillId="0" borderId="1"/>
    <xf numFmtId="0" fontId="3" fillId="0" borderId="1"/>
    <xf numFmtId="164" fontId="3" fillId="0" borderId="1"/>
    <xf numFmtId="164" fontId="3" fillId="0" borderId="1"/>
    <xf numFmtId="0" fontId="3" fillId="0" borderId="1"/>
    <xf numFmtId="0" fontId="3" fillId="0" borderId="1"/>
    <xf numFmtId="0" fontId="3" fillId="16"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14" borderId="1" applyNumberFormat="0" applyBorder="0" applyAlignment="0" applyProtection="0"/>
    <xf numFmtId="164" fontId="3" fillId="0" borderId="1"/>
    <xf numFmtId="0" fontId="3" fillId="0" borderId="1"/>
    <xf numFmtId="164" fontId="3" fillId="0" borderId="1"/>
    <xf numFmtId="164" fontId="3" fillId="0" borderId="1"/>
    <xf numFmtId="164" fontId="3" fillId="0" borderId="1"/>
    <xf numFmtId="164" fontId="3" fillId="0" borderId="1"/>
    <xf numFmtId="0" fontId="3" fillId="24" borderId="1" applyNumberFormat="0" applyBorder="0" applyAlignment="0" applyProtection="0"/>
    <xf numFmtId="164" fontId="3" fillId="0" borderId="1"/>
    <xf numFmtId="164" fontId="3" fillId="0" borderId="1"/>
    <xf numFmtId="164" fontId="3" fillId="0" borderId="1"/>
    <xf numFmtId="164" fontId="3" fillId="0" borderId="1"/>
    <xf numFmtId="0" fontId="3" fillId="14" borderId="1" applyNumberFormat="0" applyBorder="0" applyAlignment="0" applyProtection="0"/>
    <xf numFmtId="0" fontId="3" fillId="25" borderId="1" applyNumberFormat="0" applyBorder="0" applyAlignment="0" applyProtection="0"/>
    <xf numFmtId="0" fontId="3" fillId="0" borderId="1"/>
    <xf numFmtId="0" fontId="3" fillId="0" borderId="1"/>
    <xf numFmtId="164" fontId="3" fillId="0" borderId="1"/>
    <xf numFmtId="0" fontId="3" fillId="5" borderId="1" applyNumberFormat="0" applyBorder="0" applyAlignment="0" applyProtection="0"/>
    <xf numFmtId="164" fontId="3" fillId="0" borderId="1"/>
    <xf numFmtId="164" fontId="3" fillId="0" borderId="1"/>
    <xf numFmtId="0" fontId="3" fillId="14" borderId="1" applyNumberFormat="0" applyBorder="0" applyAlignment="0" applyProtection="0"/>
    <xf numFmtId="0" fontId="3" fillId="0" borderId="1"/>
    <xf numFmtId="164" fontId="3" fillId="0" borderId="1"/>
    <xf numFmtId="164" fontId="3" fillId="0" borderId="1"/>
    <xf numFmtId="164"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14" borderId="1" applyNumberFormat="0" applyBorder="0" applyAlignment="0" applyProtection="0"/>
    <xf numFmtId="0" fontId="3" fillId="14" borderId="1" applyNumberFormat="0" applyBorder="0" applyAlignment="0" applyProtection="0"/>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13" borderId="1" applyNumberFormat="0" applyBorder="0" applyAlignment="0" applyProtection="0"/>
    <xf numFmtId="0" fontId="3" fillId="0" borderId="1"/>
    <xf numFmtId="0" fontId="3" fillId="0" borderId="1"/>
    <xf numFmtId="0" fontId="3" fillId="0" borderId="1"/>
    <xf numFmtId="164" fontId="3" fillId="0" borderId="1"/>
    <xf numFmtId="0" fontId="3" fillId="14" borderId="1" applyNumberFormat="0" applyBorder="0" applyAlignment="0" applyProtection="0"/>
    <xf numFmtId="44" fontId="3" fillId="0" borderId="1" applyFont="0" applyFill="0" applyBorder="0" applyAlignment="0" applyProtection="0"/>
    <xf numFmtId="164" fontId="3" fillId="0" borderId="1"/>
    <xf numFmtId="0" fontId="3" fillId="0" borderId="1"/>
    <xf numFmtId="0" fontId="3" fillId="19" borderId="1" applyNumberFormat="0" applyBorder="0" applyAlignment="0" applyProtection="0"/>
    <xf numFmtId="0" fontId="33" fillId="0" borderId="1"/>
    <xf numFmtId="44" fontId="3" fillId="0" borderId="1" applyFont="0" applyFill="0" applyBorder="0" applyAlignment="0" applyProtection="0"/>
    <xf numFmtId="0" fontId="3" fillId="0" borderId="1"/>
    <xf numFmtId="0" fontId="3" fillId="14" borderId="1" applyNumberFormat="0" applyBorder="0" applyAlignment="0" applyProtection="0"/>
    <xf numFmtId="0" fontId="3" fillId="0" borderId="1"/>
    <xf numFmtId="0" fontId="3" fillId="17" borderId="1" applyNumberFormat="0" applyBorder="0" applyAlignment="0" applyProtection="0"/>
    <xf numFmtId="9" fontId="34" fillId="0" borderId="1" applyFont="0" applyFill="0" applyBorder="0" applyAlignment="0" applyProtection="0"/>
    <xf numFmtId="164" fontId="3" fillId="0" borderId="1"/>
    <xf numFmtId="0" fontId="3" fillId="13"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164" fontId="33" fillId="0" borderId="1"/>
    <xf numFmtId="0" fontId="3" fillId="0" borderId="1"/>
    <xf numFmtId="0" fontId="34" fillId="32" borderId="1" applyNumberFormat="0" applyBorder="0" applyAlignment="0" applyProtection="0"/>
    <xf numFmtId="164" fontId="3" fillId="0" borderId="1"/>
    <xf numFmtId="0" fontId="3" fillId="15" borderId="1" applyNumberFormat="0" applyBorder="0" applyAlignment="0" applyProtection="0"/>
    <xf numFmtId="164" fontId="3" fillId="0" borderId="1"/>
    <xf numFmtId="164" fontId="3" fillId="0" borderId="1"/>
    <xf numFmtId="0" fontId="3" fillId="0" borderId="1"/>
    <xf numFmtId="0" fontId="3" fillId="0" borderId="1"/>
    <xf numFmtId="0" fontId="3" fillId="14" borderId="1" applyNumberFormat="0" applyBorder="0" applyAlignment="0" applyProtection="0"/>
    <xf numFmtId="0" fontId="3" fillId="21" borderId="1" applyNumberFormat="0" applyBorder="0" applyAlignment="0" applyProtection="0"/>
    <xf numFmtId="0" fontId="3" fillId="0" borderId="1"/>
    <xf numFmtId="0" fontId="3" fillId="0" borderId="1"/>
    <xf numFmtId="0" fontId="3" fillId="14"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22" borderId="1" applyNumberFormat="0" applyBorder="0" applyAlignment="0" applyProtection="0"/>
    <xf numFmtId="0" fontId="3" fillId="0" borderId="1"/>
    <xf numFmtId="164" fontId="33" fillId="0" borderId="1" applyFont="0" applyFill="0" applyBorder="0" applyAlignment="0" applyProtection="0"/>
    <xf numFmtId="164" fontId="3" fillId="0" borderId="1"/>
    <xf numFmtId="164" fontId="33" fillId="0" borderId="1" applyFill="0" applyBorder="0" applyAlignment="0" applyProtection="0"/>
    <xf numFmtId="0" fontId="3" fillId="18" borderId="1" applyNumberFormat="0" applyBorder="0" applyAlignment="0" applyProtection="0"/>
    <xf numFmtId="0" fontId="3" fillId="0" borderId="1"/>
    <xf numFmtId="164" fontId="33" fillId="0" borderId="1"/>
    <xf numFmtId="0" fontId="3" fillId="0" borderId="1"/>
    <xf numFmtId="0" fontId="3" fillId="0" borderId="1"/>
    <xf numFmtId="0" fontId="3" fillId="13" borderId="1" applyNumberFormat="0" applyBorder="0" applyAlignment="0" applyProtection="0"/>
    <xf numFmtId="44" fontId="3" fillId="0" borderId="1" applyFont="0" applyFill="0" applyBorder="0" applyAlignment="0" applyProtection="0"/>
    <xf numFmtId="0" fontId="3" fillId="19" borderId="1" applyNumberFormat="0" applyBorder="0" applyAlignment="0" applyProtection="0"/>
    <xf numFmtId="44" fontId="3" fillId="0" borderId="1" applyFont="0" applyFill="0" applyBorder="0" applyAlignment="0" applyProtection="0"/>
    <xf numFmtId="164" fontId="3" fillId="0" borderId="1"/>
    <xf numFmtId="0" fontId="3" fillId="24" borderId="1" applyNumberFormat="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14" borderId="1" applyNumberFormat="0" applyBorder="0" applyAlignment="0" applyProtection="0"/>
    <xf numFmtId="0" fontId="3" fillId="0" borderId="1"/>
    <xf numFmtId="44" fontId="3" fillId="0" borderId="1" applyFont="0" applyFill="0" applyBorder="0" applyAlignment="0" applyProtection="0"/>
    <xf numFmtId="0" fontId="3" fillId="19" borderId="1" applyNumberFormat="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0" borderId="1"/>
    <xf numFmtId="0" fontId="3" fillId="14" borderId="1" applyNumberFormat="0" applyBorder="0" applyAlignment="0" applyProtection="0"/>
    <xf numFmtId="0" fontId="3" fillId="0" borderId="1"/>
    <xf numFmtId="164" fontId="3" fillId="0" borderId="1"/>
    <xf numFmtId="164" fontId="3" fillId="0" borderId="1"/>
    <xf numFmtId="164" fontId="3" fillId="0" borderId="1"/>
    <xf numFmtId="0" fontId="3" fillId="14" borderId="1" applyNumberFormat="0" applyBorder="0" applyAlignment="0" applyProtection="0"/>
    <xf numFmtId="164" fontId="3" fillId="0" borderId="1"/>
    <xf numFmtId="164" fontId="3" fillId="0" borderId="1"/>
    <xf numFmtId="164" fontId="3" fillId="0" borderId="1"/>
    <xf numFmtId="0" fontId="3" fillId="14" borderId="1" applyNumberFormat="0" applyBorder="0" applyAlignment="0" applyProtection="0"/>
    <xf numFmtId="0" fontId="3" fillId="0" borderId="1"/>
    <xf numFmtId="0" fontId="3" fillId="18" borderId="1" applyNumberFormat="0" applyBorder="0" applyAlignment="0" applyProtection="0"/>
    <xf numFmtId="0" fontId="3" fillId="14" borderId="1" applyNumberFormat="0" applyBorder="0" applyAlignment="0" applyProtection="0"/>
    <xf numFmtId="0" fontId="3" fillId="17" borderId="1" applyNumberFormat="0" applyBorder="0" applyAlignment="0" applyProtection="0"/>
    <xf numFmtId="0" fontId="3" fillId="13" borderId="1" applyNumberFormat="0" applyBorder="0" applyAlignment="0" applyProtection="0"/>
    <xf numFmtId="0" fontId="3" fillId="0" borderId="1"/>
    <xf numFmtId="164" fontId="3" fillId="0" borderId="1"/>
    <xf numFmtId="164" fontId="3" fillId="0" borderId="1"/>
    <xf numFmtId="0" fontId="3" fillId="13" borderId="1" applyNumberFormat="0" applyBorder="0" applyAlignment="0" applyProtection="0"/>
    <xf numFmtId="44" fontId="3" fillId="0" borderId="1" applyFont="0" applyFill="0" applyBorder="0" applyAlignment="0" applyProtection="0"/>
    <xf numFmtId="0" fontId="3" fillId="19" borderId="1" applyNumberFormat="0" applyBorder="0" applyAlignment="0" applyProtection="0"/>
    <xf numFmtId="164" fontId="3" fillId="0" borderId="1"/>
    <xf numFmtId="164" fontId="3" fillId="0" borderId="1"/>
    <xf numFmtId="0" fontId="3" fillId="14" borderId="1" applyNumberFormat="0" applyBorder="0" applyAlignment="0" applyProtection="0"/>
    <xf numFmtId="164" fontId="3" fillId="0" borderId="1"/>
    <xf numFmtId="0" fontId="3" fillId="14" borderId="1" applyNumberFormat="0" applyBorder="0" applyAlignment="0" applyProtection="0"/>
    <xf numFmtId="164" fontId="3" fillId="0" borderId="1"/>
    <xf numFmtId="0" fontId="3" fillId="15" borderId="1" applyNumberFormat="0" applyBorder="0" applyAlignment="0" applyProtection="0"/>
    <xf numFmtId="164" fontId="3" fillId="0" borderId="1"/>
    <xf numFmtId="164" fontId="3" fillId="0" borderId="1"/>
    <xf numFmtId="0" fontId="3" fillId="0" borderId="1"/>
    <xf numFmtId="0" fontId="3" fillId="0" borderId="1"/>
    <xf numFmtId="0" fontId="47" fillId="32" borderId="30" applyNumberFormat="0" applyAlignment="0" applyProtection="0"/>
    <xf numFmtId="0" fontId="3" fillId="0" borderId="1"/>
    <xf numFmtId="44" fontId="3" fillId="0" borderId="1" applyFont="0" applyFill="0" applyBorder="0" applyAlignment="0" applyProtection="0"/>
    <xf numFmtId="0" fontId="3" fillId="0" borderId="1"/>
    <xf numFmtId="0" fontId="3" fillId="22"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13"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13" borderId="1" applyNumberFormat="0" applyBorder="0" applyAlignment="0" applyProtection="0"/>
    <xf numFmtId="0" fontId="43" fillId="30" borderId="30" applyNumberFormat="0" applyAlignment="0" applyProtection="0"/>
    <xf numFmtId="0" fontId="39" fillId="0" borderId="28" applyNumberFormat="0" applyFill="0" applyAlignment="0" applyProtection="0"/>
    <xf numFmtId="0" fontId="3" fillId="21" borderId="1" applyNumberFormat="0" applyBorder="0" applyAlignment="0" applyProtection="0"/>
    <xf numFmtId="0" fontId="3" fillId="0" borderId="1"/>
    <xf numFmtId="0" fontId="3" fillId="0" borderId="1"/>
    <xf numFmtId="0" fontId="3" fillId="14" borderId="1" applyNumberFormat="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0" fontId="3" fillId="13" borderId="1" applyNumberFormat="0" applyBorder="0" applyAlignment="0" applyProtection="0"/>
    <xf numFmtId="0" fontId="3" fillId="0" borderId="1"/>
    <xf numFmtId="0" fontId="3" fillId="14" borderId="1" applyNumberFormat="0" applyBorder="0" applyAlignment="0" applyProtection="0"/>
    <xf numFmtId="164" fontId="3" fillId="0" borderId="1"/>
    <xf numFmtId="44" fontId="3" fillId="0" borderId="1" applyFont="0" applyFill="0" applyBorder="0" applyAlignment="0" applyProtection="0"/>
    <xf numFmtId="0" fontId="3" fillId="0" borderId="1"/>
    <xf numFmtId="0" fontId="3" fillId="13" borderId="1" applyNumberFormat="0" applyBorder="0" applyAlignment="0" applyProtection="0"/>
    <xf numFmtId="0" fontId="3" fillId="0" borderId="1"/>
    <xf numFmtId="0" fontId="3" fillId="13" borderId="1" applyNumberFormat="0" applyBorder="0" applyAlignment="0" applyProtection="0"/>
    <xf numFmtId="0" fontId="3" fillId="15" borderId="1" applyNumberFormat="0" applyBorder="0" applyAlignment="0" applyProtection="0"/>
    <xf numFmtId="0" fontId="3" fillId="14" borderId="1" applyNumberFormat="0" applyBorder="0" applyAlignment="0" applyProtection="0"/>
    <xf numFmtId="164" fontId="3" fillId="0" borderId="1"/>
    <xf numFmtId="0" fontId="3" fillId="0" borderId="1"/>
    <xf numFmtId="164" fontId="3" fillId="0" borderId="1"/>
    <xf numFmtId="164" fontId="3" fillId="0" borderId="1"/>
    <xf numFmtId="0" fontId="3" fillId="15" borderId="1" applyNumberFormat="0" applyBorder="0" applyAlignment="0" applyProtection="0"/>
    <xf numFmtId="9" fontId="34" fillId="0" borderId="1" applyFont="0" applyFill="0" applyBorder="0" applyAlignment="0" applyProtection="0"/>
    <xf numFmtId="0" fontId="3" fillId="0" borderId="1"/>
    <xf numFmtId="0" fontId="3" fillId="0" borderId="1"/>
    <xf numFmtId="0" fontId="3" fillId="14" borderId="1" applyNumberFormat="0" applyBorder="0" applyAlignment="0" applyProtection="0"/>
    <xf numFmtId="44" fontId="3" fillId="0" borderId="1" applyFont="0" applyFill="0" applyBorder="0" applyAlignment="0" applyProtection="0"/>
    <xf numFmtId="0" fontId="3" fillId="15" borderId="1" applyNumberFormat="0" applyBorder="0" applyAlignment="0" applyProtection="0"/>
    <xf numFmtId="0" fontId="3" fillId="13" borderId="1" applyNumberFormat="0" applyBorder="0" applyAlignment="0" applyProtection="0"/>
    <xf numFmtId="0" fontId="3" fillId="14" borderId="1" applyNumberFormat="0" applyBorder="0" applyAlignment="0" applyProtection="0"/>
    <xf numFmtId="164" fontId="3" fillId="0" borderId="1"/>
    <xf numFmtId="0" fontId="3" fillId="14" borderId="1" applyNumberFormat="0" applyBorder="0" applyAlignment="0" applyProtection="0"/>
    <xf numFmtId="0" fontId="3" fillId="14" borderId="1" applyNumberFormat="0" applyBorder="0" applyAlignment="0" applyProtection="0"/>
    <xf numFmtId="44" fontId="3" fillId="0" borderId="1" applyFont="0" applyFill="0" applyBorder="0" applyAlignment="0" applyProtection="0"/>
    <xf numFmtId="0" fontId="3" fillId="18" borderId="1" applyNumberFormat="0" applyBorder="0" applyAlignment="0" applyProtection="0"/>
    <xf numFmtId="0" fontId="34" fillId="0" borderId="1"/>
    <xf numFmtId="164" fontId="3" fillId="0" borderId="1"/>
    <xf numFmtId="0" fontId="3" fillId="18" borderId="1" applyNumberFormat="0" applyBorder="0" applyAlignment="0" applyProtection="0"/>
    <xf numFmtId="0" fontId="3" fillId="0" borderId="1"/>
    <xf numFmtId="0" fontId="3" fillId="14" borderId="1" applyNumberFormat="0" applyBorder="0" applyAlignment="0" applyProtection="0"/>
    <xf numFmtId="164" fontId="3" fillId="0" borderId="1"/>
    <xf numFmtId="0" fontId="3" fillId="18" borderId="1" applyNumberFormat="0" applyBorder="0" applyAlignment="0" applyProtection="0"/>
    <xf numFmtId="164" fontId="3" fillId="0" borderId="1"/>
    <xf numFmtId="0" fontId="3" fillId="24" borderId="1" applyNumberFormat="0" applyBorder="0" applyAlignment="0" applyProtection="0"/>
    <xf numFmtId="0" fontId="3" fillId="25" borderId="1" applyNumberFormat="0" applyBorder="0" applyAlignment="0" applyProtection="0"/>
    <xf numFmtId="0" fontId="3" fillId="21" borderId="1" applyNumberFormat="0" applyBorder="0" applyAlignment="0" applyProtection="0"/>
    <xf numFmtId="0" fontId="3" fillId="19" borderId="1" applyNumberFormat="0" applyBorder="0" applyAlignment="0" applyProtection="0"/>
    <xf numFmtId="0" fontId="3" fillId="0" borderId="1"/>
    <xf numFmtId="0" fontId="3" fillId="0" borderId="1"/>
    <xf numFmtId="0" fontId="3" fillId="15" borderId="1" applyNumberFormat="0" applyBorder="0" applyAlignment="0" applyProtection="0"/>
    <xf numFmtId="164" fontId="3" fillId="0" borderId="1"/>
    <xf numFmtId="164" fontId="3" fillId="0" borderId="1"/>
    <xf numFmtId="0" fontId="3" fillId="0" borderId="1"/>
    <xf numFmtId="0" fontId="3" fillId="14"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5" borderId="1" applyNumberFormat="0" applyBorder="0" applyAlignment="0" applyProtection="0"/>
    <xf numFmtId="0" fontId="3" fillId="0" borderId="1"/>
    <xf numFmtId="164" fontId="3" fillId="0" borderId="1"/>
    <xf numFmtId="0" fontId="3" fillId="0" borderId="1"/>
    <xf numFmtId="0" fontId="3" fillId="0" borderId="1"/>
    <xf numFmtId="0" fontId="3" fillId="0" borderId="1"/>
    <xf numFmtId="0" fontId="3" fillId="19" borderId="1" applyNumberFormat="0" applyBorder="0" applyAlignment="0" applyProtection="0"/>
    <xf numFmtId="0" fontId="3" fillId="0" borderId="1"/>
    <xf numFmtId="0" fontId="3" fillId="0" borderId="1"/>
    <xf numFmtId="0" fontId="3" fillId="0" borderId="1"/>
    <xf numFmtId="0" fontId="3" fillId="5"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164" fontId="3" fillId="0" borderId="1"/>
    <xf numFmtId="0" fontId="3" fillId="18" borderId="1" applyNumberFormat="0" applyBorder="0" applyAlignment="0" applyProtection="0"/>
    <xf numFmtId="164" fontId="3" fillId="0" borderId="1"/>
    <xf numFmtId="164" fontId="3" fillId="0" borderId="1"/>
    <xf numFmtId="164" fontId="3" fillId="0" borderId="1"/>
    <xf numFmtId="0" fontId="3" fillId="14" borderId="1" applyNumberFormat="0" applyBorder="0" applyAlignment="0" applyProtection="0"/>
    <xf numFmtId="44" fontId="3" fillId="0" borderId="1" applyFont="0" applyFill="0" applyBorder="0" applyAlignment="0" applyProtection="0"/>
    <xf numFmtId="0" fontId="3" fillId="23" borderId="25" applyNumberFormat="0" applyFont="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5" borderId="1" applyNumberFormat="0" applyBorder="0" applyAlignment="0" applyProtection="0"/>
    <xf numFmtId="164" fontId="3" fillId="0" borderId="1"/>
    <xf numFmtId="44" fontId="3" fillId="0" borderId="1" applyFont="0" applyFill="0" applyBorder="0" applyAlignment="0" applyProtection="0"/>
    <xf numFmtId="0" fontId="3" fillId="19" borderId="1" applyNumberFormat="0" applyBorder="0" applyAlignment="0" applyProtection="0"/>
    <xf numFmtId="164" fontId="3" fillId="0" borderId="1"/>
    <xf numFmtId="164" fontId="3" fillId="0" borderId="1"/>
    <xf numFmtId="0" fontId="3" fillId="0" borderId="1"/>
    <xf numFmtId="0" fontId="3" fillId="18" borderId="1" applyNumberFormat="0" applyBorder="0" applyAlignment="0" applyProtection="0"/>
    <xf numFmtId="164" fontId="3" fillId="0" borderId="1"/>
    <xf numFmtId="0" fontId="3" fillId="5" borderId="1" applyNumberFormat="0" applyBorder="0" applyAlignment="0" applyProtection="0"/>
    <xf numFmtId="164" fontId="3" fillId="0" borderId="1"/>
    <xf numFmtId="164" fontId="3" fillId="0" borderId="1"/>
    <xf numFmtId="0" fontId="3" fillId="14" borderId="1" applyNumberFormat="0" applyBorder="0" applyAlignment="0" applyProtection="0"/>
    <xf numFmtId="44" fontId="3" fillId="0" borderId="1" applyFont="0" applyFill="0" applyBorder="0" applyAlignment="0" applyProtection="0"/>
    <xf numFmtId="0" fontId="3" fillId="0" borderId="1"/>
    <xf numFmtId="0" fontId="33" fillId="0" borderId="1"/>
    <xf numFmtId="0" fontId="3" fillId="0" borderId="1"/>
    <xf numFmtId="0" fontId="3"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0" fontId="3" fillId="0" borderId="1"/>
    <xf numFmtId="0" fontId="3" fillId="24" borderId="1" applyNumberFormat="0" applyBorder="0" applyAlignment="0" applyProtection="0"/>
    <xf numFmtId="0" fontId="3" fillId="0" borderId="1"/>
    <xf numFmtId="0" fontId="3" fillId="18" borderId="1" applyNumberFormat="0" applyBorder="0" applyAlignment="0" applyProtection="0"/>
    <xf numFmtId="0" fontId="3" fillId="14" borderId="1" applyNumberFormat="0" applyBorder="0" applyAlignment="0" applyProtection="0"/>
    <xf numFmtId="164" fontId="3" fillId="0" borderId="1"/>
    <xf numFmtId="164" fontId="3" fillId="0" borderId="1"/>
    <xf numFmtId="0" fontId="3" fillId="13" borderId="1" applyNumberFormat="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164" fontId="3" fillId="0" borderId="1"/>
    <xf numFmtId="0" fontId="33" fillId="0" borderId="1"/>
    <xf numFmtId="0" fontId="3" fillId="17" borderId="1" applyNumberFormat="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0" fontId="34" fillId="36" borderId="1" applyNumberFormat="0" applyBorder="0" applyAlignment="0" applyProtection="0"/>
    <xf numFmtId="0" fontId="3" fillId="18" borderId="1" applyNumberFormat="0" applyBorder="0" applyAlignment="0" applyProtection="0"/>
    <xf numFmtId="0" fontId="3" fillId="0" borderId="1"/>
    <xf numFmtId="0" fontId="3" fillId="0" borderId="1"/>
    <xf numFmtId="0" fontId="3" fillId="14" borderId="1" applyNumberFormat="0" applyBorder="0" applyAlignment="0" applyProtection="0"/>
    <xf numFmtId="164" fontId="3" fillId="0" borderId="1"/>
    <xf numFmtId="0" fontId="3" fillId="0" borderId="1"/>
    <xf numFmtId="164" fontId="3" fillId="0" borderId="1"/>
    <xf numFmtId="164" fontId="3" fillId="0" borderId="1"/>
    <xf numFmtId="164" fontId="3" fillId="0" borderId="1"/>
    <xf numFmtId="0" fontId="3" fillId="18" borderId="1" applyNumberFormat="0" applyBorder="0" applyAlignment="0" applyProtection="0"/>
    <xf numFmtId="0" fontId="3" fillId="24" borderId="1" applyNumberFormat="0" applyBorder="0" applyAlignment="0" applyProtection="0"/>
    <xf numFmtId="164" fontId="3" fillId="0" borderId="1"/>
    <xf numFmtId="164" fontId="3" fillId="0" borderId="1"/>
    <xf numFmtId="164" fontId="3" fillId="0" borderId="1"/>
    <xf numFmtId="0" fontId="3" fillId="14" borderId="1" applyNumberFormat="0" applyBorder="0" applyAlignment="0" applyProtection="0"/>
    <xf numFmtId="0" fontId="3" fillId="0" borderId="1"/>
    <xf numFmtId="0" fontId="3" fillId="0" borderId="1"/>
    <xf numFmtId="0" fontId="3" fillId="0" borderId="1"/>
    <xf numFmtId="0" fontId="3" fillId="0" borderId="1"/>
    <xf numFmtId="0" fontId="3" fillId="16" borderId="1" applyNumberFormat="0" applyBorder="0" applyAlignment="0" applyProtection="0"/>
    <xf numFmtId="0" fontId="3" fillId="19" borderId="1" applyNumberFormat="0" applyBorder="0" applyAlignment="0" applyProtection="0"/>
    <xf numFmtId="164" fontId="3" fillId="0" borderId="1"/>
    <xf numFmtId="0" fontId="3" fillId="0" borderId="1"/>
    <xf numFmtId="164" fontId="3" fillId="0" borderId="1"/>
    <xf numFmtId="0" fontId="3" fillId="0" borderId="1"/>
    <xf numFmtId="0" fontId="3" fillId="0" borderId="1"/>
    <xf numFmtId="44" fontId="3" fillId="0" borderId="1" applyFont="0" applyFill="0" applyBorder="0" applyAlignment="0" applyProtection="0"/>
    <xf numFmtId="164" fontId="3" fillId="0" borderId="1"/>
    <xf numFmtId="0" fontId="3" fillId="18" borderId="1" applyNumberFormat="0" applyBorder="0" applyAlignment="0" applyProtection="0"/>
    <xf numFmtId="0" fontId="3" fillId="5" borderId="1" applyNumberFormat="0" applyBorder="0" applyAlignment="0" applyProtection="0"/>
    <xf numFmtId="164" fontId="3" fillId="0" borderId="1"/>
    <xf numFmtId="0" fontId="3" fillId="0" borderId="1"/>
    <xf numFmtId="0" fontId="3" fillId="19" borderId="1" applyNumberFormat="0" applyBorder="0" applyAlignment="0" applyProtection="0"/>
    <xf numFmtId="164" fontId="3" fillId="0" borderId="1"/>
    <xf numFmtId="164" fontId="3" fillId="0" borderId="1"/>
    <xf numFmtId="0" fontId="3" fillId="0" borderId="1"/>
    <xf numFmtId="0" fontId="3" fillId="5" borderId="1" applyNumberFormat="0" applyBorder="0" applyAlignment="0" applyProtection="0"/>
    <xf numFmtId="164" fontId="3" fillId="0" borderId="1"/>
    <xf numFmtId="164" fontId="3" fillId="0" borderId="1"/>
    <xf numFmtId="164" fontId="3" fillId="0" borderId="1"/>
    <xf numFmtId="164" fontId="3" fillId="0" borderId="1"/>
    <xf numFmtId="0" fontId="3" fillId="14" borderId="1" applyNumberFormat="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0" fontId="3" fillId="14" borderId="1" applyNumberFormat="0" applyBorder="0" applyAlignment="0" applyProtection="0"/>
    <xf numFmtId="164" fontId="3" fillId="0" borderId="1"/>
    <xf numFmtId="0" fontId="50" fillId="41" borderId="32" applyNumberFormat="0" applyAlignment="0" applyProtection="0"/>
    <xf numFmtId="0" fontId="3" fillId="17" borderId="1" applyNumberFormat="0" applyBorder="0" applyAlignment="0" applyProtection="0"/>
    <xf numFmtId="0" fontId="3" fillId="19" borderId="1" applyNumberFormat="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0" fontId="3" fillId="17" borderId="1" applyNumberFormat="0" applyBorder="0" applyAlignment="0" applyProtection="0"/>
    <xf numFmtId="164" fontId="3" fillId="0" borderId="1"/>
    <xf numFmtId="44" fontId="3" fillId="0" borderId="1" applyFont="0" applyFill="0" applyBorder="0" applyAlignment="0" applyProtection="0"/>
    <xf numFmtId="0" fontId="3" fillId="0" borderId="1"/>
    <xf numFmtId="0" fontId="3" fillId="18" borderId="1" applyNumberFormat="0" applyBorder="0" applyAlignment="0" applyProtection="0"/>
    <xf numFmtId="164" fontId="3" fillId="0" borderId="1"/>
    <xf numFmtId="164" fontId="3" fillId="0" borderId="1"/>
    <xf numFmtId="164" fontId="3" fillId="0" borderId="1"/>
    <xf numFmtId="164" fontId="3" fillId="0" borderId="1"/>
    <xf numFmtId="0" fontId="3" fillId="14" borderId="1" applyNumberFormat="0" applyBorder="0" applyAlignment="0" applyProtection="0"/>
    <xf numFmtId="164" fontId="3" fillId="0" borderId="1"/>
    <xf numFmtId="164" fontId="3" fillId="0" borderId="1"/>
    <xf numFmtId="164" fontId="3" fillId="0" borderId="1"/>
    <xf numFmtId="0" fontId="3" fillId="14" borderId="1" applyNumberFormat="0" applyBorder="0" applyAlignment="0" applyProtection="0"/>
    <xf numFmtId="44" fontId="3" fillId="0" borderId="1" applyFont="0" applyFill="0" applyBorder="0" applyAlignment="0" applyProtection="0"/>
    <xf numFmtId="0" fontId="3" fillId="18" borderId="1" applyNumberFormat="0" applyBorder="0" applyAlignment="0" applyProtection="0"/>
    <xf numFmtId="164" fontId="3" fillId="0" borderId="1"/>
    <xf numFmtId="9" fontId="3" fillId="0" borderId="1" applyFont="0" applyFill="0" applyBorder="0" applyAlignment="0" applyProtection="0"/>
    <xf numFmtId="0" fontId="3" fillId="0" borderId="1"/>
    <xf numFmtId="164" fontId="3" fillId="0" borderId="1"/>
    <xf numFmtId="0" fontId="3" fillId="0" borderId="1"/>
    <xf numFmtId="0" fontId="3" fillId="0" borderId="1"/>
    <xf numFmtId="0" fontId="3" fillId="19" borderId="1" applyNumberFormat="0" applyBorder="0" applyAlignment="0" applyProtection="0"/>
    <xf numFmtId="0" fontId="3" fillId="0" borderId="1"/>
    <xf numFmtId="0" fontId="3" fillId="0" borderId="1"/>
    <xf numFmtId="164" fontId="3" fillId="0" borderId="1"/>
    <xf numFmtId="164" fontId="3" fillId="0" borderId="1"/>
    <xf numFmtId="0" fontId="3" fillId="14" borderId="1" applyNumberFormat="0" applyBorder="0" applyAlignment="0" applyProtection="0"/>
    <xf numFmtId="164" fontId="3" fillId="0" borderId="1"/>
    <xf numFmtId="164" fontId="3" fillId="0" borderId="1"/>
    <xf numFmtId="164" fontId="3" fillId="0" borderId="1"/>
    <xf numFmtId="0" fontId="3" fillId="0" borderId="1"/>
    <xf numFmtId="0" fontId="3" fillId="19" borderId="1" applyNumberFormat="0" applyBorder="0" applyAlignment="0" applyProtection="0"/>
    <xf numFmtId="0" fontId="3" fillId="14" borderId="1" applyNumberFormat="0" applyBorder="0" applyAlignment="0" applyProtection="0"/>
    <xf numFmtId="44" fontId="3" fillId="0" borderId="1" applyFont="0" applyFill="0" applyBorder="0" applyAlignment="0" applyProtection="0"/>
    <xf numFmtId="0" fontId="3" fillId="13" borderId="1" applyNumberFormat="0" applyBorder="0" applyAlignment="0" applyProtection="0"/>
    <xf numFmtId="0" fontId="3" fillId="0" borderId="1"/>
    <xf numFmtId="164" fontId="3" fillId="0" borderId="1"/>
    <xf numFmtId="0" fontId="3" fillId="0" borderId="1"/>
    <xf numFmtId="164" fontId="3" fillId="0" borderId="1"/>
    <xf numFmtId="0" fontId="3" fillId="0" borderId="1"/>
    <xf numFmtId="0" fontId="57" fillId="0" borderId="1" applyNumberFormat="0" applyFill="0" applyBorder="0" applyAlignment="0" applyProtection="0">
      <alignment vertical="top"/>
      <protection locked="0"/>
    </xf>
    <xf numFmtId="0" fontId="3" fillId="17" borderId="1" applyNumberFormat="0" applyBorder="0" applyAlignment="0" applyProtection="0"/>
    <xf numFmtId="0" fontId="3" fillId="14" borderId="1" applyNumberFormat="0" applyBorder="0" applyAlignment="0" applyProtection="0"/>
    <xf numFmtId="0" fontId="3" fillId="0" borderId="1"/>
    <xf numFmtId="164" fontId="3" fillId="0" borderId="1"/>
    <xf numFmtId="164" fontId="3" fillId="0" borderId="1"/>
    <xf numFmtId="164" fontId="3" fillId="0" borderId="1"/>
    <xf numFmtId="0" fontId="3" fillId="19" borderId="1" applyNumberFormat="0" applyBorder="0" applyAlignment="0" applyProtection="0"/>
    <xf numFmtId="44" fontId="3" fillId="0" borderId="1" applyFont="0" applyFill="0" applyBorder="0" applyAlignment="0" applyProtection="0"/>
    <xf numFmtId="0" fontId="3" fillId="0" borderId="1"/>
    <xf numFmtId="0" fontId="3" fillId="18" borderId="1" applyNumberFormat="0" applyBorder="0" applyAlignment="0" applyProtection="0"/>
    <xf numFmtId="164" fontId="3" fillId="0" borderId="1"/>
    <xf numFmtId="0" fontId="3" fillId="0" borderId="1"/>
    <xf numFmtId="0" fontId="3" fillId="0" borderId="1"/>
    <xf numFmtId="0" fontId="3" fillId="0" borderId="1"/>
    <xf numFmtId="0" fontId="3" fillId="19" borderId="1" applyNumberFormat="0" applyBorder="0" applyAlignment="0" applyProtection="0"/>
    <xf numFmtId="0" fontId="3" fillId="0" borderId="1"/>
    <xf numFmtId="0" fontId="3" fillId="13" borderId="1" applyNumberFormat="0" applyBorder="0" applyAlignment="0" applyProtection="0"/>
    <xf numFmtId="0" fontId="3" fillId="0" borderId="1"/>
    <xf numFmtId="0" fontId="3" fillId="0" borderId="1"/>
    <xf numFmtId="0" fontId="3" fillId="25" borderId="1" applyNumberFormat="0" applyBorder="0" applyAlignment="0" applyProtection="0"/>
    <xf numFmtId="0" fontId="3" fillId="0" borderId="1"/>
    <xf numFmtId="0" fontId="3" fillId="0" borderId="1"/>
    <xf numFmtId="164" fontId="3" fillId="0" borderId="1"/>
    <xf numFmtId="0" fontId="3" fillId="19" borderId="1" applyNumberFormat="0" applyBorder="0" applyAlignment="0" applyProtection="0"/>
    <xf numFmtId="164" fontId="3" fillId="0" borderId="1"/>
    <xf numFmtId="0" fontId="3" fillId="0" borderId="1"/>
    <xf numFmtId="0" fontId="3" fillId="0" borderId="1"/>
    <xf numFmtId="164" fontId="3" fillId="0" borderId="1"/>
    <xf numFmtId="0" fontId="3" fillId="14" borderId="1" applyNumberFormat="0" applyBorder="0" applyAlignment="0" applyProtection="0"/>
    <xf numFmtId="0" fontId="3" fillId="19" borderId="1" applyNumberFormat="0" applyBorder="0" applyAlignment="0" applyProtection="0"/>
    <xf numFmtId="0" fontId="3" fillId="18" borderId="1" applyNumberFormat="0" applyBorder="0" applyAlignment="0" applyProtection="0"/>
    <xf numFmtId="164" fontId="3" fillId="0" borderId="1"/>
    <xf numFmtId="9" fontId="3" fillId="0" borderId="1" applyFont="0" applyFill="0" applyBorder="0" applyAlignment="0" applyProtection="0"/>
    <xf numFmtId="164" fontId="3" fillId="0" borderId="1"/>
    <xf numFmtId="164" fontId="3" fillId="0" borderId="1"/>
    <xf numFmtId="0" fontId="3" fillId="0" borderId="1"/>
    <xf numFmtId="0" fontId="3" fillId="0" borderId="1"/>
    <xf numFmtId="0" fontId="3" fillId="0" borderId="1"/>
    <xf numFmtId="0" fontId="3" fillId="19" borderId="1" applyNumberFormat="0" applyBorder="0" applyAlignment="0" applyProtection="0"/>
    <xf numFmtId="164" fontId="3" fillId="0" borderId="1"/>
    <xf numFmtId="164" fontId="3" fillId="0" borderId="1"/>
    <xf numFmtId="0" fontId="3" fillId="13" borderId="1" applyNumberFormat="0" applyBorder="0" applyAlignment="0" applyProtection="0"/>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14" borderId="1" applyNumberFormat="0" applyBorder="0" applyAlignment="0" applyProtection="0"/>
    <xf numFmtId="0" fontId="3" fillId="0" borderId="1"/>
    <xf numFmtId="0" fontId="3" fillId="19"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8" borderId="1" applyNumberFormat="0" applyBorder="0" applyAlignment="0" applyProtection="0"/>
    <xf numFmtId="43" fontId="3" fillId="0" borderId="1" applyFont="0" applyFill="0" applyBorder="0" applyAlignment="0" applyProtection="0"/>
    <xf numFmtId="44" fontId="3" fillId="0" borderId="1" applyFont="0" applyFill="0" applyBorder="0" applyAlignment="0" applyProtection="0"/>
    <xf numFmtId="0" fontId="3" fillId="17" borderId="1" applyNumberFormat="0" applyBorder="0" applyAlignment="0" applyProtection="0"/>
    <xf numFmtId="0" fontId="3" fillId="0" borderId="1"/>
    <xf numFmtId="0" fontId="3" fillId="0" borderId="1"/>
    <xf numFmtId="0" fontId="3" fillId="14" borderId="1" applyNumberFormat="0" applyBorder="0" applyAlignment="0" applyProtection="0"/>
    <xf numFmtId="0" fontId="3" fillId="0" borderId="1"/>
    <xf numFmtId="0" fontId="3" fillId="13" borderId="1" applyNumberFormat="0" applyBorder="0" applyAlignment="0" applyProtection="0"/>
    <xf numFmtId="0" fontId="3" fillId="0" borderId="1"/>
    <xf numFmtId="0" fontId="3" fillId="25" borderId="1" applyNumberFormat="0" applyBorder="0" applyAlignment="0" applyProtection="0"/>
    <xf numFmtId="0" fontId="3" fillId="18" borderId="1" applyNumberFormat="0" applyBorder="0" applyAlignment="0" applyProtection="0"/>
    <xf numFmtId="164" fontId="3" fillId="0" borderId="1"/>
    <xf numFmtId="0" fontId="3" fillId="0" borderId="1"/>
    <xf numFmtId="0" fontId="3" fillId="0" borderId="1"/>
    <xf numFmtId="164" fontId="3" fillId="0" borderId="1"/>
    <xf numFmtId="0" fontId="3" fillId="19" borderId="1" applyNumberFormat="0" applyBorder="0" applyAlignment="0" applyProtection="0"/>
    <xf numFmtId="164" fontId="3" fillId="0" borderId="1"/>
    <xf numFmtId="0" fontId="3" fillId="15" borderId="1" applyNumberFormat="0" applyBorder="0" applyAlignment="0" applyProtection="0"/>
    <xf numFmtId="164" fontId="3" fillId="0" borderId="1"/>
    <xf numFmtId="0" fontId="3" fillId="0" borderId="1"/>
    <xf numFmtId="0" fontId="3" fillId="19" borderId="1" applyNumberFormat="0" applyBorder="0" applyAlignment="0" applyProtection="0"/>
    <xf numFmtId="0" fontId="35" fillId="0" borderId="1" applyNumberFormat="0" applyFill="0" applyBorder="0" applyAlignment="0" applyProtection="0"/>
    <xf numFmtId="0" fontId="35" fillId="0" borderId="1" applyNumberFormat="0" applyFill="0" applyBorder="0" applyAlignment="0" applyProtection="0"/>
    <xf numFmtId="164" fontId="3" fillId="0" borderId="1"/>
    <xf numFmtId="0" fontId="3" fillId="0" borderId="1"/>
    <xf numFmtId="0" fontId="3" fillId="0" borderId="1"/>
    <xf numFmtId="0" fontId="3" fillId="0" borderId="1"/>
    <xf numFmtId="0" fontId="3" fillId="14"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19" borderId="1" applyNumberFormat="0" applyBorder="0" applyAlignment="0" applyProtection="0"/>
    <xf numFmtId="0" fontId="3" fillId="0" borderId="1"/>
    <xf numFmtId="0" fontId="3" fillId="0" borderId="1"/>
    <xf numFmtId="0" fontId="3" fillId="17" borderId="1" applyNumberFormat="0" applyBorder="0" applyAlignment="0" applyProtection="0"/>
    <xf numFmtId="164" fontId="3" fillId="0" borderId="1"/>
    <xf numFmtId="0" fontId="3" fillId="13" borderId="1" applyNumberFormat="0" applyBorder="0" applyAlignment="0" applyProtection="0"/>
    <xf numFmtId="164" fontId="3" fillId="0" borderId="1"/>
    <xf numFmtId="0" fontId="3" fillId="18" borderId="1" applyNumberFormat="0" applyBorder="0" applyAlignment="0" applyProtection="0"/>
    <xf numFmtId="0" fontId="3" fillId="24" borderId="1" applyNumberFormat="0" applyBorder="0" applyAlignment="0" applyProtection="0"/>
    <xf numFmtId="0" fontId="3" fillId="15" borderId="1" applyNumberFormat="0" applyBorder="0" applyAlignment="0" applyProtection="0"/>
    <xf numFmtId="0" fontId="3" fillId="25" borderId="1" applyNumberFormat="0" applyBorder="0" applyAlignment="0" applyProtection="0"/>
    <xf numFmtId="0" fontId="3" fillId="0" borderId="1"/>
    <xf numFmtId="0" fontId="3" fillId="0" borderId="1"/>
    <xf numFmtId="0" fontId="3" fillId="14" borderId="1" applyNumberFormat="0" applyBorder="0" applyAlignment="0" applyProtection="0"/>
    <xf numFmtId="0" fontId="3" fillId="19" borderId="1" applyNumberFormat="0" applyBorder="0" applyAlignment="0" applyProtection="0"/>
    <xf numFmtId="0" fontId="3" fillId="0" borderId="1"/>
    <xf numFmtId="164" fontId="3" fillId="0" borderId="1"/>
    <xf numFmtId="164" fontId="3" fillId="0" borderId="1"/>
    <xf numFmtId="0" fontId="3" fillId="17" borderId="1" applyNumberFormat="0" applyBorder="0" applyAlignment="0" applyProtection="0"/>
    <xf numFmtId="0" fontId="3" fillId="0" borderId="1"/>
    <xf numFmtId="0" fontId="3" fillId="0" borderId="1"/>
    <xf numFmtId="164" fontId="3" fillId="0" borderId="1"/>
    <xf numFmtId="0" fontId="3" fillId="0" borderId="1"/>
    <xf numFmtId="0" fontId="3" fillId="14" borderId="1" applyNumberFormat="0" applyBorder="0" applyAlignment="0" applyProtection="0"/>
    <xf numFmtId="0" fontId="3" fillId="0" borderId="1"/>
    <xf numFmtId="164" fontId="3" fillId="0" borderId="1"/>
    <xf numFmtId="164" fontId="3" fillId="0" borderId="1"/>
    <xf numFmtId="0" fontId="3" fillId="0" borderId="1"/>
    <xf numFmtId="0" fontId="3" fillId="14" borderId="1" applyNumberFormat="0" applyBorder="0" applyAlignment="0" applyProtection="0"/>
    <xf numFmtId="0" fontId="3" fillId="0" borderId="1"/>
    <xf numFmtId="44" fontId="3" fillId="0" borderId="1" applyFont="0" applyFill="0" applyBorder="0" applyAlignment="0" applyProtection="0"/>
    <xf numFmtId="0" fontId="50" fillId="41" borderId="32" applyNumberFormat="0" applyAlignment="0" applyProtection="0"/>
    <xf numFmtId="0" fontId="3" fillId="17" borderId="1" applyNumberFormat="0" applyBorder="0" applyAlignment="0" applyProtection="0"/>
    <xf numFmtId="0" fontId="3" fillId="19" borderId="1" applyNumberFormat="0" applyBorder="0" applyAlignment="0" applyProtection="0"/>
    <xf numFmtId="0" fontId="3" fillId="0" borderId="1"/>
    <xf numFmtId="164" fontId="3" fillId="0" borderId="1"/>
    <xf numFmtId="164" fontId="3" fillId="0" borderId="1"/>
    <xf numFmtId="164" fontId="3" fillId="0" borderId="1"/>
    <xf numFmtId="0" fontId="3" fillId="17"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5" fillId="0" borderId="1" applyNumberFormat="0" applyFill="0" applyBorder="0" applyAlignment="0" applyProtection="0"/>
    <xf numFmtId="0" fontId="35" fillId="0" borderId="1" applyNumberFormat="0" applyFill="0" applyBorder="0" applyAlignment="0" applyProtection="0"/>
    <xf numFmtId="164" fontId="3" fillId="0" borderId="1"/>
    <xf numFmtId="164" fontId="3" fillId="0" borderId="1"/>
    <xf numFmtId="0" fontId="3" fillId="24" borderId="1" applyNumberFormat="0" applyBorder="0" applyAlignment="0" applyProtection="0"/>
    <xf numFmtId="164" fontId="3" fillId="0" borderId="1"/>
    <xf numFmtId="0" fontId="3" fillId="17" borderId="1" applyNumberFormat="0" applyBorder="0" applyAlignment="0" applyProtection="0"/>
    <xf numFmtId="164" fontId="3" fillId="0" borderId="1"/>
    <xf numFmtId="164" fontId="3" fillId="0" borderId="1"/>
    <xf numFmtId="0" fontId="3" fillId="14" borderId="1" applyNumberFormat="0" applyBorder="0" applyAlignment="0" applyProtection="0"/>
    <xf numFmtId="0" fontId="3" fillId="19" borderId="1" applyNumberFormat="0" applyBorder="0" applyAlignment="0" applyProtection="0"/>
    <xf numFmtId="0" fontId="3" fillId="0" borderId="1"/>
    <xf numFmtId="0" fontId="3" fillId="22" borderId="1" applyNumberFormat="0" applyBorder="0" applyAlignment="0" applyProtection="0"/>
    <xf numFmtId="164" fontId="3" fillId="0" borderId="1"/>
    <xf numFmtId="0" fontId="3" fillId="21" borderId="1" applyNumberFormat="0" applyBorder="0" applyAlignment="0" applyProtection="0"/>
    <xf numFmtId="164" fontId="3" fillId="0" borderId="1"/>
    <xf numFmtId="164" fontId="3" fillId="0" borderId="1"/>
    <xf numFmtId="0" fontId="3" fillId="0" borderId="1"/>
    <xf numFmtId="0" fontId="3" fillId="19" borderId="1" applyNumberFormat="0" applyBorder="0" applyAlignment="0" applyProtection="0"/>
    <xf numFmtId="164" fontId="3" fillId="0" borderId="1"/>
    <xf numFmtId="0" fontId="3" fillId="17" borderId="1" applyNumberFormat="0" applyBorder="0" applyAlignment="0" applyProtection="0"/>
    <xf numFmtId="164" fontId="3" fillId="0" borderId="1"/>
    <xf numFmtId="44" fontId="3" fillId="0" borderId="1" applyFont="0" applyFill="0" applyBorder="0" applyAlignment="0" applyProtection="0"/>
    <xf numFmtId="0" fontId="3" fillId="18" borderId="1" applyNumberFormat="0" applyBorder="0" applyAlignment="0" applyProtection="0"/>
    <xf numFmtId="0" fontId="35" fillId="0" borderId="1" applyNumberFormat="0" applyFill="0" applyBorder="0" applyAlignment="0" applyProtection="0"/>
    <xf numFmtId="0" fontId="35" fillId="0" borderId="1" applyNumberFormat="0" applyFill="0" applyBorder="0" applyAlignment="0" applyProtection="0"/>
    <xf numFmtId="164" fontId="3" fillId="0" borderId="1"/>
    <xf numFmtId="164" fontId="3" fillId="0" borderId="1"/>
    <xf numFmtId="0" fontId="3" fillId="14"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0" fontId="3" fillId="0" borderId="1"/>
    <xf numFmtId="0" fontId="3" fillId="17" borderId="1" applyNumberFormat="0" applyBorder="0" applyAlignment="0" applyProtection="0"/>
    <xf numFmtId="164" fontId="3" fillId="0" borderId="1"/>
    <xf numFmtId="164" fontId="3" fillId="0" borderId="1"/>
    <xf numFmtId="164" fontId="3" fillId="0" borderId="1"/>
    <xf numFmtId="164" fontId="3" fillId="0" borderId="1"/>
    <xf numFmtId="0" fontId="3" fillId="18" borderId="1" applyNumberFormat="0" applyBorder="0" applyAlignment="0" applyProtection="0"/>
    <xf numFmtId="164" fontId="3" fillId="0" borderId="1"/>
    <xf numFmtId="164" fontId="3" fillId="0" borderId="1"/>
    <xf numFmtId="164" fontId="3" fillId="0" borderId="1"/>
    <xf numFmtId="0" fontId="3" fillId="14" borderId="1" applyNumberFormat="0" applyBorder="0" applyAlignment="0" applyProtection="0"/>
    <xf numFmtId="44" fontId="3" fillId="0" borderId="1" applyFont="0" applyFill="0" applyBorder="0" applyAlignment="0" applyProtection="0"/>
    <xf numFmtId="0" fontId="3" fillId="18" borderId="1" applyNumberFormat="0" applyBorder="0" applyAlignment="0" applyProtection="0"/>
    <xf numFmtId="0" fontId="3" fillId="0" borderId="1"/>
    <xf numFmtId="0" fontId="3" fillId="0" borderId="1"/>
    <xf numFmtId="0" fontId="3" fillId="19" borderId="1" applyNumberFormat="0" applyBorder="0" applyAlignment="0" applyProtection="0"/>
    <xf numFmtId="164" fontId="3" fillId="0" borderId="1"/>
    <xf numFmtId="164" fontId="3" fillId="0" borderId="1"/>
    <xf numFmtId="0" fontId="3" fillId="14" borderId="1" applyNumberFormat="0" applyBorder="0" applyAlignment="0" applyProtection="0"/>
    <xf numFmtId="0" fontId="3" fillId="19" borderId="1" applyNumberFormat="0" applyBorder="0" applyAlignment="0" applyProtection="0"/>
    <xf numFmtId="0" fontId="3" fillId="17" borderId="1" applyNumberFormat="0" applyBorder="0" applyAlignment="0" applyProtection="0"/>
    <xf numFmtId="164" fontId="3" fillId="0" borderId="1"/>
    <xf numFmtId="164" fontId="3" fillId="0" borderId="1"/>
    <xf numFmtId="0" fontId="3" fillId="0" borderId="1"/>
    <xf numFmtId="0" fontId="3" fillId="18" borderId="1" applyNumberFormat="0" applyBorder="0" applyAlignment="0" applyProtection="0"/>
    <xf numFmtId="164" fontId="3" fillId="0" borderId="1"/>
    <xf numFmtId="164" fontId="3" fillId="0" borderId="1"/>
    <xf numFmtId="0" fontId="3" fillId="14"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164" fontId="3" fillId="0" borderId="1"/>
    <xf numFmtId="164" fontId="3" fillId="0" borderId="1"/>
    <xf numFmtId="0" fontId="3" fillId="0" borderId="1"/>
    <xf numFmtId="0" fontId="3" fillId="22" borderId="1" applyNumberFormat="0" applyBorder="0" applyAlignment="0" applyProtection="0"/>
    <xf numFmtId="164" fontId="3" fillId="0" borderId="1"/>
    <xf numFmtId="0" fontId="3" fillId="18" borderId="1" applyNumberFormat="0" applyBorder="0" applyAlignment="0" applyProtection="0"/>
    <xf numFmtId="0" fontId="35" fillId="0" borderId="1" applyNumberFormat="0" applyFill="0" applyBorder="0" applyAlignment="0" applyProtection="0"/>
    <xf numFmtId="0" fontId="35" fillId="0" borderId="1" applyNumberFormat="0" applyFill="0" applyBorder="0" applyAlignment="0" applyProtection="0"/>
    <xf numFmtId="0" fontId="3" fillId="0" borderId="1"/>
    <xf numFmtId="0" fontId="3" fillId="0" borderId="1"/>
    <xf numFmtId="0" fontId="3" fillId="0" borderId="1"/>
    <xf numFmtId="0" fontId="3" fillId="0" borderId="1"/>
    <xf numFmtId="164" fontId="3" fillId="0" borderId="1"/>
    <xf numFmtId="0" fontId="3" fillId="22" borderId="1" applyNumberFormat="0" applyBorder="0" applyAlignment="0" applyProtection="0"/>
    <xf numFmtId="0" fontId="3" fillId="0" borderId="1"/>
    <xf numFmtId="164" fontId="3" fillId="0" borderId="1"/>
    <xf numFmtId="164" fontId="3" fillId="0" borderId="1"/>
    <xf numFmtId="164" fontId="3" fillId="0" borderId="1"/>
    <xf numFmtId="0" fontId="3" fillId="14" borderId="1" applyNumberFormat="0" applyBorder="0" applyAlignment="0" applyProtection="0"/>
    <xf numFmtId="164" fontId="3" fillId="0" borderId="1"/>
    <xf numFmtId="0" fontId="3" fillId="18" borderId="1" applyNumberFormat="0" applyBorder="0" applyAlignment="0" applyProtection="0"/>
    <xf numFmtId="164" fontId="3" fillId="0" borderId="1"/>
    <xf numFmtId="164" fontId="3" fillId="0" borderId="1"/>
    <xf numFmtId="164" fontId="3" fillId="0" borderId="1"/>
    <xf numFmtId="0" fontId="3" fillId="14" borderId="1" applyNumberFormat="0" applyBorder="0" applyAlignment="0" applyProtection="0"/>
    <xf numFmtId="164" fontId="3" fillId="0" borderId="1"/>
    <xf numFmtId="164" fontId="3" fillId="0" borderId="1"/>
    <xf numFmtId="164" fontId="3" fillId="0" borderId="1"/>
    <xf numFmtId="0" fontId="3" fillId="0" borderId="1"/>
    <xf numFmtId="0" fontId="3" fillId="19" borderId="1" applyNumberFormat="0" applyBorder="0" applyAlignment="0" applyProtection="0"/>
    <xf numFmtId="0" fontId="3" fillId="0" borderId="1"/>
    <xf numFmtId="0" fontId="3" fillId="0" borderId="1"/>
    <xf numFmtId="0" fontId="3" fillId="17" borderId="1" applyNumberFormat="0" applyBorder="0" applyAlignment="0" applyProtection="0"/>
    <xf numFmtId="0" fontId="3" fillId="0" borderId="1"/>
    <xf numFmtId="0" fontId="3" fillId="13" borderId="1" applyNumberFormat="0" applyBorder="0" applyAlignment="0" applyProtection="0"/>
    <xf numFmtId="164" fontId="3" fillId="0" borderId="1"/>
    <xf numFmtId="164" fontId="3" fillId="0" borderId="1"/>
    <xf numFmtId="0" fontId="3" fillId="16" borderId="1" applyNumberFormat="0" applyBorder="0" applyAlignment="0" applyProtection="0"/>
    <xf numFmtId="0" fontId="3" fillId="25" borderId="1" applyNumberFormat="0" applyBorder="0" applyAlignment="0" applyProtection="0"/>
    <xf numFmtId="164" fontId="3" fillId="0" borderId="1"/>
    <xf numFmtId="0" fontId="3" fillId="19" borderId="1" applyNumberFormat="0" applyBorder="0" applyAlignment="0" applyProtection="0"/>
    <xf numFmtId="0" fontId="3" fillId="0" borderId="1"/>
    <xf numFmtId="0" fontId="3" fillId="0" borderId="1"/>
    <xf numFmtId="0" fontId="3" fillId="0" borderId="1"/>
    <xf numFmtId="0" fontId="3" fillId="18" borderId="1" applyNumberFormat="0" applyBorder="0" applyAlignment="0" applyProtection="0"/>
    <xf numFmtId="0" fontId="3" fillId="14" borderId="1" applyNumberFormat="0" applyBorder="0" applyAlignment="0" applyProtection="0"/>
    <xf numFmtId="44" fontId="3" fillId="0" borderId="1" applyFont="0" applyFill="0" applyBorder="0" applyAlignment="0" applyProtection="0"/>
    <xf numFmtId="0" fontId="3" fillId="19" borderId="1" applyNumberFormat="0" applyBorder="0" applyAlignment="0" applyProtection="0"/>
    <xf numFmtId="0" fontId="3" fillId="0" borderId="1"/>
    <xf numFmtId="0" fontId="3" fillId="0" borderId="1"/>
    <xf numFmtId="0" fontId="3" fillId="0" borderId="1"/>
    <xf numFmtId="43" fontId="3" fillId="0" borderId="1" applyFont="0" applyFill="0" applyBorder="0" applyAlignment="0" applyProtection="0"/>
    <xf numFmtId="0" fontId="3" fillId="22" borderId="1" applyNumberFormat="0" applyBorder="0" applyAlignment="0" applyProtection="0"/>
    <xf numFmtId="164" fontId="3" fillId="0" borderId="1"/>
    <xf numFmtId="0" fontId="3" fillId="18" borderId="1" applyNumberFormat="0" applyBorder="0" applyAlignment="0" applyProtection="0"/>
    <xf numFmtId="0" fontId="3" fillId="15" borderId="1" applyNumberFormat="0" applyBorder="0" applyAlignment="0" applyProtection="0"/>
    <xf numFmtId="0" fontId="3" fillId="0" borderId="1"/>
    <xf numFmtId="0" fontId="3" fillId="0" borderId="1"/>
    <xf numFmtId="0" fontId="3" fillId="0" borderId="1"/>
    <xf numFmtId="0" fontId="3" fillId="14" borderId="1" applyNumberFormat="0" applyBorder="0" applyAlignment="0" applyProtection="0"/>
    <xf numFmtId="44" fontId="3" fillId="0" borderId="1" applyFont="0" applyFill="0" applyBorder="0" applyAlignment="0" applyProtection="0"/>
    <xf numFmtId="0" fontId="3" fillId="19" borderId="1" applyNumberFormat="0" applyBorder="0" applyAlignment="0" applyProtection="0"/>
    <xf numFmtId="0" fontId="3" fillId="0" borderId="1"/>
    <xf numFmtId="0" fontId="3" fillId="18" borderId="1" applyNumberFormat="0" applyBorder="0" applyAlignment="0" applyProtection="0"/>
    <xf numFmtId="0" fontId="35" fillId="0" borderId="1" applyNumberFormat="0" applyFill="0" applyBorder="0" applyAlignment="0" applyProtection="0"/>
    <xf numFmtId="0" fontId="35" fillId="0" borderId="1" applyNumberFormat="0" applyFill="0" applyBorder="0" applyAlignment="0" applyProtection="0"/>
    <xf numFmtId="0" fontId="33" fillId="20" borderId="26" applyNumberFormat="0" applyFont="0" applyAlignment="0" applyProtection="0"/>
    <xf numFmtId="164" fontId="3" fillId="0" borderId="1"/>
    <xf numFmtId="0" fontId="3" fillId="15" borderId="1" applyNumberFormat="0" applyBorder="0" applyAlignment="0" applyProtection="0"/>
    <xf numFmtId="0" fontId="3" fillId="0" borderId="1"/>
    <xf numFmtId="0" fontId="3" fillId="0" borderId="1"/>
    <xf numFmtId="164" fontId="3" fillId="0" borderId="1"/>
    <xf numFmtId="164" fontId="3" fillId="0" borderId="1"/>
    <xf numFmtId="0" fontId="3" fillId="14" borderId="1" applyNumberFormat="0" applyBorder="0" applyAlignment="0" applyProtection="0"/>
    <xf numFmtId="164" fontId="3" fillId="0" borderId="1"/>
    <xf numFmtId="164" fontId="3" fillId="0" borderId="1"/>
    <xf numFmtId="0" fontId="3" fillId="0" borderId="1"/>
    <xf numFmtId="0" fontId="3" fillId="0" borderId="1"/>
    <xf numFmtId="0" fontId="3" fillId="19" borderId="1" applyNumberFormat="0" applyBorder="0" applyAlignment="0" applyProtection="0"/>
    <xf numFmtId="164" fontId="3" fillId="0" borderId="1"/>
    <xf numFmtId="0" fontId="3" fillId="17" borderId="1" applyNumberFormat="0" applyBorder="0" applyAlignment="0" applyProtection="0"/>
    <xf numFmtId="0" fontId="3" fillId="0" borderId="1"/>
    <xf numFmtId="0" fontId="3" fillId="13" borderId="1" applyNumberFormat="0" applyBorder="0" applyAlignment="0" applyProtection="0"/>
    <xf numFmtId="0" fontId="3" fillId="14" borderId="1" applyNumberFormat="0" applyBorder="0" applyAlignment="0" applyProtection="0"/>
    <xf numFmtId="0" fontId="3" fillId="0" borderId="1"/>
    <xf numFmtId="164" fontId="3" fillId="0" borderId="1"/>
    <xf numFmtId="0" fontId="3" fillId="19" borderId="1" applyNumberFormat="0" applyBorder="0" applyAlignment="0" applyProtection="0"/>
    <xf numFmtId="0" fontId="3" fillId="0" borderId="1"/>
    <xf numFmtId="0" fontId="3" fillId="19" borderId="1" applyNumberFormat="0" applyBorder="0" applyAlignment="0" applyProtection="0"/>
    <xf numFmtId="164" fontId="3" fillId="0" borderId="1"/>
    <xf numFmtId="164" fontId="3" fillId="0" borderId="1"/>
    <xf numFmtId="164" fontId="3" fillId="0" borderId="1"/>
    <xf numFmtId="164" fontId="3" fillId="0" borderId="1"/>
    <xf numFmtId="0" fontId="3" fillId="17" borderId="1" applyNumberFormat="0" applyBorder="0" applyAlignment="0" applyProtection="0"/>
    <xf numFmtId="164" fontId="3" fillId="0" borderId="1"/>
    <xf numFmtId="164" fontId="3" fillId="0" borderId="1"/>
    <xf numFmtId="164" fontId="3" fillId="0" borderId="1"/>
    <xf numFmtId="0" fontId="3" fillId="0" borderId="1"/>
    <xf numFmtId="0" fontId="3" fillId="21" borderId="1" applyNumberFormat="0" applyBorder="0" applyAlignment="0" applyProtection="0"/>
    <xf numFmtId="0" fontId="3" fillId="13" borderId="1" applyNumberFormat="0" applyBorder="0" applyAlignment="0" applyProtection="0"/>
    <xf numFmtId="0" fontId="3" fillId="14" borderId="1" applyNumberFormat="0" applyBorder="0" applyAlignment="0" applyProtection="0"/>
    <xf numFmtId="0" fontId="3" fillId="0" borderId="1"/>
    <xf numFmtId="0" fontId="3" fillId="0" borderId="1"/>
    <xf numFmtId="0" fontId="33" fillId="0" borderId="1"/>
    <xf numFmtId="0" fontId="34" fillId="0" borderId="1"/>
    <xf numFmtId="164" fontId="3" fillId="0" borderId="1"/>
    <xf numFmtId="0" fontId="3" fillId="0" borderId="1"/>
    <xf numFmtId="0" fontId="3" fillId="19" borderId="1" applyNumberFormat="0" applyBorder="0" applyAlignment="0" applyProtection="0"/>
    <xf numFmtId="164" fontId="3" fillId="0" borderId="1"/>
    <xf numFmtId="164" fontId="3" fillId="0" borderId="1"/>
    <xf numFmtId="164" fontId="3" fillId="0" borderId="1"/>
    <xf numFmtId="0" fontId="3" fillId="21" borderId="1" applyNumberFormat="0" applyBorder="0" applyAlignment="0" applyProtection="0"/>
    <xf numFmtId="0" fontId="3" fillId="16" borderId="1" applyNumberFormat="0" applyBorder="0" applyAlignment="0" applyProtection="0"/>
    <xf numFmtId="0" fontId="3" fillId="14" borderId="1" applyNumberFormat="0" applyBorder="0" applyAlignment="0" applyProtection="0"/>
    <xf numFmtId="164" fontId="3" fillId="0" borderId="1"/>
    <xf numFmtId="0" fontId="3" fillId="18" borderId="1" applyNumberFormat="0" applyBorder="0" applyAlignment="0" applyProtection="0"/>
    <xf numFmtId="0" fontId="3" fillId="0" borderId="1"/>
    <xf numFmtId="164" fontId="3" fillId="0" borderId="1"/>
    <xf numFmtId="164" fontId="3" fillId="0" borderId="1"/>
    <xf numFmtId="0" fontId="3" fillId="16"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21" borderId="1" applyNumberFormat="0" applyBorder="0" applyAlignment="0" applyProtection="0"/>
    <xf numFmtId="0" fontId="3" fillId="14" borderId="1" applyNumberFormat="0" applyBorder="0" applyAlignment="0" applyProtection="0"/>
    <xf numFmtId="0" fontId="3" fillId="18" borderId="1" applyNumberFormat="0" applyBorder="0" applyAlignment="0" applyProtection="0"/>
    <xf numFmtId="164" fontId="3" fillId="0" borderId="1"/>
    <xf numFmtId="164" fontId="3" fillId="0" borderId="1"/>
    <xf numFmtId="0" fontId="3" fillId="16" borderId="1" applyNumberFormat="0" applyBorder="0" applyAlignment="0" applyProtection="0"/>
    <xf numFmtId="0" fontId="3" fillId="14"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18" borderId="1" applyNumberFormat="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0" fontId="3" fillId="0" borderId="1"/>
    <xf numFmtId="0" fontId="3" fillId="0" borderId="1"/>
    <xf numFmtId="164" fontId="3" fillId="0" borderId="1"/>
    <xf numFmtId="164" fontId="3" fillId="0" borderId="1"/>
    <xf numFmtId="164" fontId="3" fillId="0" borderId="1"/>
    <xf numFmtId="0" fontId="3" fillId="14" borderId="1" applyNumberFormat="0" applyBorder="0" applyAlignment="0" applyProtection="0"/>
    <xf numFmtId="0" fontId="3" fillId="0" borderId="1"/>
    <xf numFmtId="164" fontId="3" fillId="0" borderId="1"/>
    <xf numFmtId="164" fontId="3" fillId="0" borderId="1"/>
    <xf numFmtId="0" fontId="3" fillId="0" borderId="1"/>
    <xf numFmtId="0" fontId="3" fillId="19" borderId="1" applyNumberFormat="0" applyBorder="0" applyAlignment="0" applyProtection="0"/>
    <xf numFmtId="164" fontId="3" fillId="0" borderId="1"/>
    <xf numFmtId="0" fontId="3" fillId="0" borderId="1"/>
    <xf numFmtId="0" fontId="3" fillId="17" borderId="1" applyNumberFormat="0" applyBorder="0" applyAlignment="0" applyProtection="0"/>
    <xf numFmtId="0" fontId="3" fillId="0" borderId="1"/>
    <xf numFmtId="0" fontId="3" fillId="13" borderId="1" applyNumberFormat="0" applyBorder="0" applyAlignment="0" applyProtection="0"/>
    <xf numFmtId="0" fontId="3" fillId="14" borderId="1" applyNumberFormat="0" applyBorder="0" applyAlignment="0" applyProtection="0"/>
    <xf numFmtId="0" fontId="3" fillId="0" borderId="1"/>
    <xf numFmtId="0" fontId="3" fillId="0" borderId="1"/>
    <xf numFmtId="164" fontId="3" fillId="0" borderId="1"/>
    <xf numFmtId="0" fontId="3" fillId="0" borderId="1"/>
    <xf numFmtId="0" fontId="3" fillId="19" borderId="1" applyNumberFormat="0" applyBorder="0" applyAlignment="0" applyProtection="0"/>
    <xf numFmtId="164" fontId="3" fillId="0" borderId="1"/>
    <xf numFmtId="164" fontId="3" fillId="0" borderId="1"/>
    <xf numFmtId="0" fontId="3" fillId="0" borderId="1"/>
    <xf numFmtId="0" fontId="3" fillId="19"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14" borderId="1" applyNumberFormat="0" applyBorder="0" applyAlignment="0" applyProtection="0"/>
    <xf numFmtId="164" fontId="3" fillId="0" borderId="1"/>
    <xf numFmtId="164" fontId="3" fillId="0" borderId="1"/>
    <xf numFmtId="164" fontId="3" fillId="0" borderId="1"/>
    <xf numFmtId="164" fontId="3" fillId="0" borderId="1"/>
    <xf numFmtId="164" fontId="3" fillId="0" borderId="1"/>
    <xf numFmtId="0" fontId="3" fillId="18" borderId="1" applyNumberFormat="0" applyBorder="0" applyAlignment="0" applyProtection="0"/>
    <xf numFmtId="0" fontId="3" fillId="23" borderId="25" applyNumberFormat="0" applyFont="0" applyAlignment="0" applyProtection="0"/>
    <xf numFmtId="164" fontId="3" fillId="0" borderId="1"/>
    <xf numFmtId="164" fontId="3" fillId="0" borderId="1"/>
    <xf numFmtId="0" fontId="3" fillId="14" borderId="1" applyNumberFormat="0" applyBorder="0" applyAlignment="0" applyProtection="0"/>
    <xf numFmtId="164" fontId="3" fillId="0" borderId="1"/>
    <xf numFmtId="164" fontId="3" fillId="0" borderId="1"/>
    <xf numFmtId="0" fontId="3" fillId="0" borderId="1"/>
    <xf numFmtId="0" fontId="3" fillId="19" borderId="1" applyNumberFormat="0" applyBorder="0" applyAlignment="0" applyProtection="0"/>
    <xf numFmtId="0" fontId="3" fillId="0" borderId="1"/>
    <xf numFmtId="0" fontId="3" fillId="0" borderId="1"/>
    <xf numFmtId="0" fontId="3" fillId="13" borderId="1" applyNumberFormat="0" applyBorder="0" applyAlignment="0" applyProtection="0"/>
    <xf numFmtId="0" fontId="3" fillId="14" borderId="1" applyNumberFormat="0" applyBorder="0" applyAlignment="0" applyProtection="0"/>
    <xf numFmtId="0" fontId="3" fillId="0" borderId="1"/>
    <xf numFmtId="0" fontId="3" fillId="0" borderId="1"/>
    <xf numFmtId="164" fontId="3" fillId="0" borderId="1"/>
    <xf numFmtId="0" fontId="3" fillId="25" borderId="1" applyNumberFormat="0" applyBorder="0" applyAlignment="0" applyProtection="0"/>
    <xf numFmtId="0" fontId="3" fillId="24" borderId="1" applyNumberFormat="0" applyBorder="0" applyAlignment="0" applyProtection="0"/>
    <xf numFmtId="0" fontId="3" fillId="16" borderId="1" applyNumberFormat="0" applyBorder="0" applyAlignment="0" applyProtection="0"/>
    <xf numFmtId="0" fontId="3" fillId="5" borderId="1" applyNumberFormat="0" applyBorder="0" applyAlignment="0" applyProtection="0"/>
    <xf numFmtId="0" fontId="3" fillId="0" borderId="1"/>
    <xf numFmtId="164" fontId="3" fillId="0" borderId="1"/>
    <xf numFmtId="164" fontId="3" fillId="0" borderId="1"/>
    <xf numFmtId="0" fontId="3" fillId="21" borderId="1" applyNumberFormat="0" applyBorder="0" applyAlignment="0" applyProtection="0"/>
    <xf numFmtId="0" fontId="3" fillId="14" borderId="1" applyNumberFormat="0" applyBorder="0" applyAlignment="0" applyProtection="0"/>
    <xf numFmtId="0" fontId="3" fillId="24" borderId="1" applyNumberFormat="0" applyBorder="0" applyAlignment="0" applyProtection="0"/>
    <xf numFmtId="0" fontId="3" fillId="0" borderId="1"/>
    <xf numFmtId="0" fontId="3" fillId="14" borderId="1" applyNumberFormat="0" applyBorder="0" applyAlignment="0" applyProtection="0"/>
    <xf numFmtId="0" fontId="3" fillId="0" borderId="1"/>
    <xf numFmtId="0" fontId="3" fillId="0" borderId="1"/>
    <xf numFmtId="164" fontId="3" fillId="0" borderId="1"/>
    <xf numFmtId="164" fontId="3" fillId="0" borderId="1"/>
    <xf numFmtId="165" fontId="33" fillId="0" borderId="1" applyFont="0" applyFill="0" applyBorder="0" applyAlignment="0" applyProtection="0"/>
    <xf numFmtId="164" fontId="3" fillId="0" borderId="1"/>
    <xf numFmtId="164" fontId="3" fillId="0" borderId="1"/>
    <xf numFmtId="0" fontId="3" fillId="14" borderId="1" applyNumberFormat="0" applyBorder="0" applyAlignment="0" applyProtection="0"/>
    <xf numFmtId="164" fontId="3" fillId="0" borderId="1"/>
    <xf numFmtId="164" fontId="3" fillId="0" borderId="1"/>
    <xf numFmtId="0" fontId="3" fillId="19" borderId="1" applyNumberFormat="0" applyBorder="0" applyAlignment="0" applyProtection="0"/>
    <xf numFmtId="44" fontId="3" fillId="0" borderId="1" applyFont="0" applyFill="0" applyBorder="0" applyAlignment="0" applyProtection="0"/>
    <xf numFmtId="0" fontId="3" fillId="13" borderId="1" applyNumberFormat="0" applyBorder="0" applyAlignment="0" applyProtection="0"/>
    <xf numFmtId="0" fontId="3" fillId="0" borderId="1"/>
    <xf numFmtId="0" fontId="3" fillId="14" borderId="1" applyNumberFormat="0" applyBorder="0" applyAlignment="0" applyProtection="0"/>
    <xf numFmtId="0" fontId="3" fillId="0" borderId="1"/>
    <xf numFmtId="164" fontId="3" fillId="0" borderId="1"/>
    <xf numFmtId="164" fontId="3" fillId="0" borderId="1"/>
    <xf numFmtId="0" fontId="3" fillId="19" borderId="1" applyNumberFormat="0" applyBorder="0" applyAlignment="0" applyProtection="0"/>
    <xf numFmtId="164" fontId="3" fillId="0" borderId="1"/>
    <xf numFmtId="44" fontId="3" fillId="0" borderId="1" applyFont="0" applyFill="0" applyBorder="0" applyAlignment="0" applyProtection="0"/>
    <xf numFmtId="0" fontId="3" fillId="14" borderId="1" applyNumberFormat="0" applyBorder="0" applyAlignment="0" applyProtection="0"/>
    <xf numFmtId="0" fontId="3" fillId="14" borderId="1" applyNumberFormat="0" applyBorder="0" applyAlignment="0" applyProtection="0"/>
    <xf numFmtId="0" fontId="3" fillId="0" borderId="1"/>
    <xf numFmtId="0" fontId="3" fillId="14" borderId="1" applyNumberFormat="0" applyBorder="0" applyAlignment="0" applyProtection="0"/>
    <xf numFmtId="0" fontId="3" fillId="14" borderId="1" applyNumberFormat="0" applyBorder="0" applyAlignment="0" applyProtection="0"/>
    <xf numFmtId="164"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164" fontId="3" fillId="0" borderId="1"/>
    <xf numFmtId="164" fontId="3" fillId="0" borderId="1"/>
    <xf numFmtId="0" fontId="3" fillId="19" borderId="1" applyNumberFormat="0" applyBorder="0" applyAlignment="0" applyProtection="0"/>
    <xf numFmtId="164" fontId="3" fillId="0" borderId="1"/>
    <xf numFmtId="44" fontId="3" fillId="0" borderId="1" applyFont="0" applyFill="0" applyBorder="0" applyAlignment="0" applyProtection="0"/>
    <xf numFmtId="164" fontId="3" fillId="0" borderId="1"/>
    <xf numFmtId="0" fontId="3" fillId="14" borderId="1" applyNumberFormat="0" applyBorder="0" applyAlignment="0" applyProtection="0"/>
    <xf numFmtId="0" fontId="3" fillId="0" borderId="1"/>
    <xf numFmtId="0" fontId="3" fillId="16" borderId="1" applyNumberFormat="0" applyBorder="0" applyAlignment="0" applyProtection="0"/>
    <xf numFmtId="164" fontId="3" fillId="0" borderId="1"/>
    <xf numFmtId="164" fontId="3" fillId="0" borderId="1"/>
    <xf numFmtId="164" fontId="3" fillId="0" borderId="1"/>
    <xf numFmtId="0" fontId="3" fillId="19" borderId="1" applyNumberFormat="0" applyBorder="0" applyAlignment="0" applyProtection="0"/>
    <xf numFmtId="164" fontId="3" fillId="0" borderId="1"/>
    <xf numFmtId="164" fontId="3" fillId="0" borderId="1"/>
    <xf numFmtId="0" fontId="3" fillId="14" borderId="1" applyNumberFormat="0" applyBorder="0" applyAlignment="0" applyProtection="0"/>
    <xf numFmtId="0" fontId="3" fillId="0" borderId="1"/>
    <xf numFmtId="0" fontId="3" fillId="16" borderId="1" applyNumberFormat="0" applyBorder="0" applyAlignment="0" applyProtection="0"/>
    <xf numFmtId="164" fontId="3" fillId="0" borderId="1"/>
    <xf numFmtId="0" fontId="3" fillId="19" borderId="1" applyNumberFormat="0" applyBorder="0" applyAlignment="0" applyProtection="0"/>
    <xf numFmtId="164" fontId="3" fillId="0" borderId="1"/>
    <xf numFmtId="44" fontId="3" fillId="0" borderId="1" applyFont="0" applyFill="0" applyBorder="0" applyAlignment="0" applyProtection="0"/>
    <xf numFmtId="0" fontId="3" fillId="18" borderId="1" applyNumberFormat="0" applyBorder="0" applyAlignment="0" applyProtection="0"/>
    <xf numFmtId="164" fontId="3" fillId="0" borderId="1"/>
    <xf numFmtId="0" fontId="3" fillId="14" borderId="1" applyNumberFormat="0" applyBorder="0" applyAlignment="0" applyProtection="0"/>
    <xf numFmtId="0" fontId="3" fillId="16" borderId="1" applyNumberFormat="0" applyBorder="0" applyAlignment="0" applyProtection="0"/>
    <xf numFmtId="0" fontId="3" fillId="0" borderId="1"/>
    <xf numFmtId="164" fontId="3" fillId="0" borderId="1"/>
    <xf numFmtId="164" fontId="3" fillId="0" borderId="1"/>
    <xf numFmtId="164" fontId="3" fillId="0" borderId="1"/>
    <xf numFmtId="0" fontId="3" fillId="19" borderId="1" applyNumberFormat="0" applyBorder="0" applyAlignment="0" applyProtection="0"/>
    <xf numFmtId="164" fontId="3" fillId="0" borderId="1"/>
    <xf numFmtId="0" fontId="3" fillId="14" borderId="1" applyNumberFormat="0" applyBorder="0" applyAlignment="0" applyProtection="0"/>
    <xf numFmtId="0" fontId="3" fillId="0" borderId="1"/>
    <xf numFmtId="164" fontId="3" fillId="0" borderId="1"/>
    <xf numFmtId="164" fontId="3" fillId="0" borderId="1"/>
    <xf numFmtId="0" fontId="3" fillId="0" borderId="1"/>
    <xf numFmtId="164" fontId="3" fillId="0" borderId="1"/>
    <xf numFmtId="164" fontId="3" fillId="0" borderId="1"/>
    <xf numFmtId="0" fontId="3" fillId="18" borderId="1" applyNumberFormat="0" applyBorder="0" applyAlignment="0" applyProtection="0"/>
    <xf numFmtId="0" fontId="33" fillId="0" borderId="1"/>
    <xf numFmtId="44" fontId="3" fillId="0" borderId="1" applyFont="0" applyFill="0" applyBorder="0" applyAlignment="0" applyProtection="0"/>
    <xf numFmtId="0" fontId="3" fillId="17" borderId="1" applyNumberFormat="0" applyBorder="0" applyAlignment="0" applyProtection="0"/>
    <xf numFmtId="165" fontId="33" fillId="0" borderId="1" applyFont="0" applyFill="0" applyBorder="0" applyAlignment="0" applyProtection="0"/>
    <xf numFmtId="164" fontId="3" fillId="0" borderId="1"/>
    <xf numFmtId="0" fontId="3" fillId="14" borderId="1" applyNumberFormat="0" applyBorder="0" applyAlignment="0" applyProtection="0"/>
    <xf numFmtId="164" fontId="3" fillId="0" borderId="1"/>
    <xf numFmtId="44" fontId="3" fillId="0" borderId="1" applyFont="0" applyFill="0" applyBorder="0" applyAlignment="0" applyProtection="0"/>
    <xf numFmtId="164" fontId="3" fillId="0" borderId="1"/>
    <xf numFmtId="0" fontId="3" fillId="17" borderId="1" applyNumberFormat="0" applyBorder="0" applyAlignment="0" applyProtection="0"/>
    <xf numFmtId="44" fontId="3" fillId="0" borderId="1" applyFont="0" applyFill="0" applyBorder="0" applyAlignment="0" applyProtection="0"/>
    <xf numFmtId="164" fontId="3" fillId="0" borderId="1"/>
    <xf numFmtId="0" fontId="3" fillId="14" borderId="1" applyNumberFormat="0" applyBorder="0" applyAlignment="0" applyProtection="0"/>
    <xf numFmtId="164" fontId="3" fillId="0" borderId="1"/>
    <xf numFmtId="0" fontId="3" fillId="0" borderId="1"/>
    <xf numFmtId="164" fontId="3" fillId="0" borderId="1"/>
    <xf numFmtId="0" fontId="3" fillId="0" borderId="1"/>
    <xf numFmtId="164" fontId="3" fillId="0" borderId="1"/>
    <xf numFmtId="44" fontId="3" fillId="0" borderId="1" applyFont="0" applyFill="0" applyBorder="0" applyAlignment="0" applyProtection="0"/>
    <xf numFmtId="0" fontId="3" fillId="0" borderId="1"/>
    <xf numFmtId="0" fontId="3" fillId="17" borderId="1" applyNumberFormat="0" applyBorder="0" applyAlignment="0" applyProtection="0"/>
    <xf numFmtId="164" fontId="3" fillId="0" borderId="1"/>
    <xf numFmtId="0" fontId="3" fillId="14" borderId="1" applyNumberFormat="0" applyBorder="0" applyAlignment="0" applyProtection="0"/>
    <xf numFmtId="164" fontId="3" fillId="0" borderId="1"/>
    <xf numFmtId="44" fontId="3" fillId="0" borderId="1" applyFont="0" applyFill="0" applyBorder="0" applyAlignment="0" applyProtection="0"/>
    <xf numFmtId="0" fontId="3" fillId="17" borderId="1" applyNumberFormat="0" applyBorder="0" applyAlignment="0" applyProtection="0"/>
    <xf numFmtId="164" fontId="3" fillId="0" borderId="1"/>
    <xf numFmtId="164" fontId="3" fillId="0" borderId="1"/>
    <xf numFmtId="0" fontId="3" fillId="14" borderId="1" applyNumberFormat="0" applyBorder="0" applyAlignment="0" applyProtection="0"/>
    <xf numFmtId="164" fontId="3" fillId="0" borderId="1"/>
    <xf numFmtId="0" fontId="3" fillId="0" borderId="1"/>
    <xf numFmtId="164" fontId="3" fillId="0" borderId="1"/>
    <xf numFmtId="164" fontId="3" fillId="0" borderId="1"/>
    <xf numFmtId="164" fontId="3" fillId="0" borderId="1"/>
    <xf numFmtId="0" fontId="3" fillId="0" borderId="1"/>
    <xf numFmtId="0" fontId="3" fillId="14" borderId="1" applyNumberFormat="0" applyBorder="0" applyAlignment="0" applyProtection="0"/>
    <xf numFmtId="0" fontId="3" fillId="0" borderId="1"/>
    <xf numFmtId="0" fontId="3" fillId="14" borderId="1" applyNumberFormat="0" applyBorder="0" applyAlignment="0" applyProtection="0"/>
    <xf numFmtId="0" fontId="3" fillId="0" borderId="1"/>
    <xf numFmtId="0" fontId="3" fillId="0" borderId="1"/>
    <xf numFmtId="164" fontId="3" fillId="0" borderId="1"/>
    <xf numFmtId="0" fontId="3" fillId="22" borderId="1" applyNumberFormat="0" applyBorder="0" applyAlignment="0" applyProtection="0"/>
    <xf numFmtId="0" fontId="3" fillId="18" borderId="1" applyNumberFormat="0" applyBorder="0" applyAlignment="0" applyProtection="0"/>
    <xf numFmtId="164" fontId="3" fillId="0" borderId="1"/>
    <xf numFmtId="164" fontId="3" fillId="0" borderId="1"/>
    <xf numFmtId="165" fontId="33" fillId="0" borderId="1" applyFont="0" applyFill="0" applyBorder="0" applyAlignment="0" applyProtection="0"/>
    <xf numFmtId="0" fontId="3" fillId="0" borderId="1"/>
    <xf numFmtId="164" fontId="3" fillId="0" borderId="1"/>
    <xf numFmtId="164" fontId="3" fillId="0" borderId="1"/>
    <xf numFmtId="0" fontId="3" fillId="17" borderId="1" applyNumberFormat="0" applyBorder="0" applyAlignment="0" applyProtection="0"/>
    <xf numFmtId="0" fontId="33" fillId="0" borderId="1"/>
    <xf numFmtId="0" fontId="3" fillId="0" borderId="1"/>
    <xf numFmtId="164" fontId="3" fillId="0" borderId="1"/>
    <xf numFmtId="0" fontId="3" fillId="14" borderId="1" applyNumberFormat="0" applyBorder="0" applyAlignment="0" applyProtection="0"/>
    <xf numFmtId="164" fontId="3" fillId="0" borderId="1"/>
    <xf numFmtId="0" fontId="3" fillId="0" borderId="1"/>
    <xf numFmtId="0" fontId="3" fillId="0" borderId="1"/>
    <xf numFmtId="0" fontId="3" fillId="0" borderId="1"/>
    <xf numFmtId="0" fontId="3" fillId="0" borderId="1"/>
    <xf numFmtId="0" fontId="3" fillId="0" borderId="1"/>
    <xf numFmtId="0" fontId="3" fillId="22" borderId="1" applyNumberFormat="0" applyBorder="0" applyAlignment="0" applyProtection="0"/>
    <xf numFmtId="0" fontId="3" fillId="22" borderId="1" applyNumberFormat="0" applyBorder="0" applyAlignment="0" applyProtection="0"/>
    <xf numFmtId="0" fontId="3" fillId="17" borderId="1" applyNumberFormat="0" applyBorder="0" applyAlignment="0" applyProtection="0"/>
    <xf numFmtId="0" fontId="3" fillId="0" borderId="1"/>
    <xf numFmtId="164" fontId="3" fillId="0" borderId="1"/>
    <xf numFmtId="0" fontId="3" fillId="15" borderId="1" applyNumberFormat="0" applyBorder="0" applyAlignment="0" applyProtection="0"/>
    <xf numFmtId="164" fontId="3" fillId="0" borderId="1"/>
    <xf numFmtId="0" fontId="3" fillId="0" borderId="1"/>
    <xf numFmtId="164" fontId="3" fillId="0" borderId="1"/>
    <xf numFmtId="0" fontId="3" fillId="14" borderId="1" applyNumberFormat="0" applyBorder="0" applyAlignment="0" applyProtection="0"/>
    <xf numFmtId="164" fontId="3" fillId="0" borderId="1"/>
    <xf numFmtId="0" fontId="3" fillId="0" borderId="1"/>
    <xf numFmtId="0" fontId="3" fillId="17" borderId="1" applyNumberFormat="0" applyBorder="0" applyAlignment="0" applyProtection="0"/>
    <xf numFmtId="0" fontId="3" fillId="0" borderId="1"/>
    <xf numFmtId="0" fontId="3" fillId="0" borderId="1"/>
    <xf numFmtId="0" fontId="3" fillId="0" borderId="1"/>
    <xf numFmtId="164" fontId="3" fillId="0" borderId="1"/>
    <xf numFmtId="0" fontId="3" fillId="14" borderId="1" applyNumberFormat="0" applyBorder="0" applyAlignment="0" applyProtection="0"/>
    <xf numFmtId="164" fontId="3" fillId="0" borderId="1"/>
    <xf numFmtId="0" fontId="3" fillId="0" borderId="1"/>
    <xf numFmtId="0" fontId="3" fillId="22" borderId="1" applyNumberFormat="0" applyBorder="0" applyAlignment="0" applyProtection="0"/>
    <xf numFmtId="0" fontId="3" fillId="0" borderId="1"/>
    <xf numFmtId="0" fontId="3" fillId="0" borderId="1"/>
    <xf numFmtId="0" fontId="3" fillId="0" borderId="1"/>
    <xf numFmtId="0" fontId="3" fillId="0" borderId="1"/>
    <xf numFmtId="164" fontId="3" fillId="0" borderId="1"/>
    <xf numFmtId="164" fontId="3" fillId="0" borderId="1"/>
    <xf numFmtId="0" fontId="3" fillId="17" borderId="1" applyNumberFormat="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14" borderId="1" applyNumberFormat="0" applyBorder="0" applyAlignment="0" applyProtection="0"/>
    <xf numFmtId="164" fontId="3" fillId="0" borderId="1"/>
    <xf numFmtId="0" fontId="3" fillId="0" borderId="1"/>
    <xf numFmtId="0" fontId="3" fillId="0" borderId="1"/>
    <xf numFmtId="0" fontId="3" fillId="19" borderId="1" applyNumberFormat="0" applyBorder="0" applyAlignment="0" applyProtection="0"/>
    <xf numFmtId="164" fontId="3" fillId="0" borderId="1"/>
    <xf numFmtId="0" fontId="3" fillId="0" borderId="1"/>
    <xf numFmtId="44" fontId="3" fillId="0" borderId="1" applyFont="0" applyFill="0" applyBorder="0" applyAlignment="0" applyProtection="0"/>
    <xf numFmtId="0" fontId="3" fillId="0" borderId="1"/>
    <xf numFmtId="0" fontId="3" fillId="14" borderId="1" applyNumberFormat="0" applyBorder="0" applyAlignment="0" applyProtection="0"/>
    <xf numFmtId="0" fontId="3" fillId="0" borderId="1"/>
    <xf numFmtId="0" fontId="3" fillId="14" borderId="1" applyNumberFormat="0" applyBorder="0" applyAlignment="0" applyProtection="0"/>
    <xf numFmtId="164" fontId="3" fillId="0" borderId="1"/>
    <xf numFmtId="0" fontId="3" fillId="0" borderId="1"/>
    <xf numFmtId="0" fontId="3" fillId="0" borderId="1"/>
    <xf numFmtId="0" fontId="3" fillId="22" borderId="1" applyNumberFormat="0" applyBorder="0" applyAlignment="0" applyProtection="0"/>
    <xf numFmtId="164" fontId="33" fillId="0" borderId="1" applyFont="0" applyFill="0" applyBorder="0" applyAlignment="0" applyProtection="0"/>
    <xf numFmtId="164" fontId="3" fillId="0" borderId="1"/>
    <xf numFmtId="0" fontId="33" fillId="0" borderId="1"/>
    <xf numFmtId="0" fontId="3" fillId="18" borderId="1" applyNumberFormat="0" applyBorder="0" applyAlignment="0" applyProtection="0"/>
    <xf numFmtId="0" fontId="3" fillId="17" borderId="1" applyNumberFormat="0" applyBorder="0" applyAlignment="0" applyProtection="0"/>
    <xf numFmtId="0" fontId="33" fillId="0" borderId="1"/>
    <xf numFmtId="164" fontId="3" fillId="0" borderId="1"/>
    <xf numFmtId="164" fontId="3" fillId="0" borderId="1"/>
    <xf numFmtId="44" fontId="3" fillId="0" borderId="1" applyFont="0" applyFill="0" applyBorder="0" applyAlignment="0" applyProtection="0"/>
    <xf numFmtId="165" fontId="33" fillId="0" borderId="1" applyFont="0" applyFill="0" applyBorder="0" applyAlignment="0" applyProtection="0"/>
    <xf numFmtId="164" fontId="3" fillId="0" borderId="1"/>
    <xf numFmtId="0" fontId="3" fillId="17" borderId="1" applyNumberFormat="0" applyBorder="0" applyAlignment="0" applyProtection="0"/>
    <xf numFmtId="44" fontId="3" fillId="0" borderId="1" applyFont="0" applyFill="0" applyBorder="0" applyAlignment="0" applyProtection="0"/>
    <xf numFmtId="164" fontId="3" fillId="0" borderId="1"/>
    <xf numFmtId="0" fontId="3" fillId="0" borderId="1"/>
    <xf numFmtId="0" fontId="3" fillId="14" borderId="1" applyNumberFormat="0" applyBorder="0" applyAlignment="0" applyProtection="0"/>
    <xf numFmtId="164" fontId="3" fillId="0" borderId="1"/>
    <xf numFmtId="164" fontId="3" fillId="0" borderId="1"/>
    <xf numFmtId="0" fontId="3" fillId="0" borderId="1"/>
    <xf numFmtId="0" fontId="3" fillId="0" borderId="1"/>
    <xf numFmtId="0" fontId="3" fillId="0" borderId="1"/>
    <xf numFmtId="0" fontId="3" fillId="0" borderId="1"/>
    <xf numFmtId="0" fontId="3" fillId="22" borderId="1" applyNumberFormat="0" applyBorder="0" applyAlignment="0" applyProtection="0"/>
    <xf numFmtId="0" fontId="3" fillId="0" borderId="1"/>
    <xf numFmtId="0" fontId="3" fillId="14" borderId="1" applyNumberFormat="0" applyBorder="0" applyAlignment="0" applyProtection="0"/>
    <xf numFmtId="0" fontId="3" fillId="0" borderId="1"/>
    <xf numFmtId="0" fontId="3" fillId="14" borderId="1" applyNumberFormat="0" applyBorder="0" applyAlignment="0" applyProtection="0"/>
    <xf numFmtId="0" fontId="3" fillId="0" borderId="1"/>
    <xf numFmtId="164" fontId="3" fillId="0" borderId="1"/>
    <xf numFmtId="0" fontId="3" fillId="0" borderId="1"/>
    <xf numFmtId="164" fontId="33" fillId="0" borderId="1" applyFont="0" applyFill="0" applyBorder="0" applyAlignment="0" applyProtection="0"/>
    <xf numFmtId="164" fontId="33" fillId="0" borderId="1" applyFont="0" applyFill="0" applyBorder="0" applyAlignment="0" applyProtection="0"/>
    <xf numFmtId="164" fontId="3" fillId="0" borderId="1"/>
    <xf numFmtId="44" fontId="3" fillId="0" borderId="1" applyFont="0" applyFill="0" applyBorder="0" applyAlignment="0" applyProtection="0"/>
    <xf numFmtId="0" fontId="33" fillId="0" borderId="1"/>
    <xf numFmtId="0" fontId="3" fillId="18"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0" fontId="3" fillId="18" borderId="1" applyNumberFormat="0" applyBorder="0" applyAlignment="0" applyProtection="0"/>
    <xf numFmtId="0" fontId="3" fillId="22" borderId="1" applyNumberFormat="0" applyBorder="0" applyAlignment="0" applyProtection="0"/>
    <xf numFmtId="0" fontId="3" fillId="14"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13" borderId="1" applyNumberFormat="0" applyBorder="0" applyAlignment="0" applyProtection="0"/>
    <xf numFmtId="164" fontId="3" fillId="0" borderId="1"/>
    <xf numFmtId="0" fontId="3" fillId="0" borderId="1"/>
    <xf numFmtId="0" fontId="3" fillId="0" borderId="1"/>
    <xf numFmtId="164" fontId="3" fillId="0" borderId="1"/>
    <xf numFmtId="0" fontId="3" fillId="0" borderId="1"/>
    <xf numFmtId="0" fontId="34" fillId="35"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13" borderId="1" applyNumberFormat="0" applyBorder="0" applyAlignment="0" applyProtection="0"/>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19" borderId="1" applyNumberFormat="0" applyBorder="0" applyAlignment="0" applyProtection="0"/>
    <xf numFmtId="0" fontId="3" fillId="0" borderId="1"/>
    <xf numFmtId="0" fontId="3" fillId="0" borderId="1"/>
    <xf numFmtId="164" fontId="3" fillId="0" borderId="1"/>
    <xf numFmtId="0" fontId="3" fillId="5" borderId="1" applyNumberFormat="0" applyBorder="0" applyAlignment="0" applyProtection="0"/>
    <xf numFmtId="0" fontId="34" fillId="35"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13" borderId="1" applyNumberFormat="0" applyBorder="0" applyAlignment="0" applyProtection="0"/>
    <xf numFmtId="164" fontId="3" fillId="0" borderId="1"/>
    <xf numFmtId="0" fontId="3" fillId="0" borderId="1"/>
    <xf numFmtId="164" fontId="3" fillId="0" borderId="1"/>
    <xf numFmtId="0" fontId="3" fillId="0" borderId="1"/>
    <xf numFmtId="0" fontId="3" fillId="13" borderId="1" applyNumberFormat="0" applyBorder="0" applyAlignment="0" applyProtection="0"/>
    <xf numFmtId="44" fontId="3" fillId="0" borderId="1" applyFont="0" applyFill="0" applyBorder="0" applyAlignment="0" applyProtection="0"/>
    <xf numFmtId="0" fontId="3" fillId="0" borderId="1"/>
    <xf numFmtId="0" fontId="3" fillId="22" borderId="1" applyNumberFormat="0" applyBorder="0" applyAlignment="0" applyProtection="0"/>
    <xf numFmtId="44" fontId="3" fillId="0" borderId="1" applyFont="0" applyFill="0" applyBorder="0" applyAlignment="0" applyProtection="0"/>
    <xf numFmtId="0" fontId="3" fillId="0" borderId="1"/>
    <xf numFmtId="164" fontId="3" fillId="0" borderId="1"/>
    <xf numFmtId="0" fontId="3" fillId="0" borderId="1"/>
    <xf numFmtId="0" fontId="3" fillId="18" borderId="1" applyNumberFormat="0" applyBorder="0" applyAlignment="0" applyProtection="0"/>
    <xf numFmtId="0" fontId="3" fillId="0" borderId="1"/>
    <xf numFmtId="0" fontId="3" fillId="13" borderId="1" applyNumberFormat="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13" borderId="1" applyNumberFormat="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0" fontId="3" fillId="13" borderId="1" applyNumberFormat="0" applyBorder="0" applyAlignment="0" applyProtection="0"/>
    <xf numFmtId="0" fontId="3" fillId="0" borderId="1"/>
    <xf numFmtId="0" fontId="3" fillId="17"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164" fontId="3" fillId="0" borderId="1"/>
    <xf numFmtId="0" fontId="3" fillId="13"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0" borderId="1"/>
    <xf numFmtId="0" fontId="3" fillId="13" borderId="1" applyNumberFormat="0" applyBorder="0" applyAlignment="0" applyProtection="0"/>
    <xf numFmtId="164" fontId="3" fillId="0" borderId="1"/>
    <xf numFmtId="0" fontId="3" fillId="0" borderId="1"/>
    <xf numFmtId="164" fontId="3" fillId="0" borderId="1"/>
    <xf numFmtId="0" fontId="3" fillId="19" borderId="1" applyNumberFormat="0" applyBorder="0" applyAlignment="0" applyProtection="0"/>
    <xf numFmtId="0" fontId="3" fillId="0" borderId="1"/>
    <xf numFmtId="0" fontId="3" fillId="5" borderId="1" applyNumberFormat="0" applyBorder="0" applyAlignment="0" applyProtection="0"/>
    <xf numFmtId="0" fontId="3" fillId="13" borderId="1" applyNumberFormat="0" applyBorder="0" applyAlignment="0" applyProtection="0"/>
    <xf numFmtId="0" fontId="3" fillId="16" borderId="1" applyNumberFormat="0" applyBorder="0" applyAlignment="0" applyProtection="0"/>
    <xf numFmtId="0" fontId="3" fillId="25" borderId="1" applyNumberFormat="0" applyBorder="0" applyAlignment="0" applyProtection="0"/>
    <xf numFmtId="0" fontId="3" fillId="0" borderId="1"/>
    <xf numFmtId="0" fontId="3" fillId="18" borderId="1" applyNumberFormat="0" applyBorder="0" applyAlignment="0" applyProtection="0"/>
    <xf numFmtId="164" fontId="3" fillId="0" borderId="1"/>
    <xf numFmtId="164" fontId="3" fillId="0" borderId="1"/>
    <xf numFmtId="0" fontId="3" fillId="0" borderId="1"/>
    <xf numFmtId="0" fontId="3" fillId="0" borderId="1"/>
    <xf numFmtId="0" fontId="3" fillId="22" borderId="1" applyNumberFormat="0" applyBorder="0" applyAlignment="0" applyProtection="0"/>
    <xf numFmtId="44" fontId="3" fillId="0" borderId="1" applyFont="0" applyFill="0" applyBorder="0" applyAlignment="0" applyProtection="0"/>
    <xf numFmtId="0" fontId="3" fillId="13" borderId="1" applyNumberFormat="0" applyBorder="0" applyAlignment="0" applyProtection="0"/>
    <xf numFmtId="164" fontId="3" fillId="0" borderId="1"/>
    <xf numFmtId="0" fontId="3" fillId="0" borderId="1"/>
    <xf numFmtId="0" fontId="3" fillId="13" borderId="1" applyNumberFormat="0" applyBorder="0" applyAlignment="0" applyProtection="0"/>
    <xf numFmtId="0" fontId="3" fillId="16" borderId="1" applyNumberFormat="0" applyBorder="0" applyAlignment="0" applyProtection="0"/>
    <xf numFmtId="0" fontId="3" fillId="25" borderId="1" applyNumberFormat="0" applyBorder="0" applyAlignment="0" applyProtection="0"/>
    <xf numFmtId="164" fontId="3" fillId="0" borderId="1"/>
    <xf numFmtId="164" fontId="3" fillId="0" borderId="1"/>
    <xf numFmtId="0" fontId="3" fillId="0" borderId="1"/>
    <xf numFmtId="164" fontId="3" fillId="0" borderId="1"/>
    <xf numFmtId="0" fontId="3" fillId="19"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13" borderId="1" applyNumberFormat="0" applyBorder="0" applyAlignment="0" applyProtection="0"/>
    <xf numFmtId="0" fontId="3" fillId="0" borderId="1"/>
    <xf numFmtId="0" fontId="3" fillId="0" borderId="1"/>
    <xf numFmtId="0" fontId="3" fillId="25" borderId="1" applyNumberFormat="0" applyBorder="0" applyAlignment="0" applyProtection="0"/>
    <xf numFmtId="0" fontId="3" fillId="16" borderId="1" applyNumberFormat="0" applyBorder="0" applyAlignment="0" applyProtection="0"/>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19" borderId="1" applyNumberFormat="0" applyBorder="0" applyAlignment="0" applyProtection="0"/>
    <xf numFmtId="0" fontId="3" fillId="0" borderId="1"/>
    <xf numFmtId="0" fontId="3" fillId="0" borderId="1"/>
    <xf numFmtId="0" fontId="3" fillId="0" borderId="1"/>
    <xf numFmtId="164" fontId="3" fillId="0" borderId="1"/>
    <xf numFmtId="0" fontId="3" fillId="13"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164" fontId="3" fillId="0" borderId="1"/>
    <xf numFmtId="0" fontId="3" fillId="13"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13" borderId="1" applyNumberFormat="0" applyBorder="0" applyAlignment="0" applyProtection="0"/>
    <xf numFmtId="0" fontId="3" fillId="21" borderId="1" applyNumberFormat="0" applyBorder="0" applyAlignment="0" applyProtection="0"/>
    <xf numFmtId="164" fontId="3" fillId="0" borderId="1"/>
    <xf numFmtId="0" fontId="3" fillId="21" borderId="1" applyNumberFormat="0" applyBorder="0" applyAlignment="0" applyProtection="0"/>
    <xf numFmtId="0" fontId="3" fillId="0" borderId="1"/>
    <xf numFmtId="0" fontId="3" fillId="13" borderId="1" applyNumberFormat="0" applyBorder="0" applyAlignment="0" applyProtection="0"/>
    <xf numFmtId="164" fontId="3" fillId="0" borderId="1"/>
    <xf numFmtId="0" fontId="44" fillId="29" borderId="1" applyNumberFormat="0" applyBorder="0" applyAlignment="0" applyProtection="0"/>
    <xf numFmtId="164" fontId="3" fillId="0" borderId="1"/>
    <xf numFmtId="164" fontId="3" fillId="0" borderId="1"/>
    <xf numFmtId="0" fontId="3" fillId="17" borderId="1" applyNumberFormat="0" applyBorder="0" applyAlignment="0" applyProtection="0"/>
    <xf numFmtId="0" fontId="3" fillId="13" borderId="1" applyNumberFormat="0" applyBorder="0" applyAlignment="0" applyProtection="0"/>
    <xf numFmtId="0" fontId="3" fillId="17" borderId="1" applyNumberFormat="0" applyBorder="0" applyAlignment="0" applyProtection="0"/>
    <xf numFmtId="0" fontId="3" fillId="23" borderId="25" applyNumberFormat="0" applyFont="0" applyAlignment="0" applyProtection="0"/>
    <xf numFmtId="0" fontId="3" fillId="18" borderId="1" applyNumberFormat="0" applyBorder="0" applyAlignment="0" applyProtection="0"/>
    <xf numFmtId="0" fontId="3" fillId="0" borderId="1"/>
    <xf numFmtId="0" fontId="3" fillId="15" borderId="1" applyNumberFormat="0" applyBorder="0" applyAlignment="0" applyProtection="0"/>
    <xf numFmtId="0" fontId="3" fillId="13" borderId="1" applyNumberFormat="0" applyBorder="0" applyAlignment="0" applyProtection="0"/>
    <xf numFmtId="0" fontId="3" fillId="0" borderId="1"/>
    <xf numFmtId="0" fontId="3" fillId="13" borderId="1" applyNumberFormat="0" applyBorder="0" applyAlignment="0" applyProtection="0"/>
    <xf numFmtId="0" fontId="3" fillId="0" borderId="1"/>
    <xf numFmtId="164" fontId="3" fillId="0" borderId="1"/>
    <xf numFmtId="164" fontId="3" fillId="0" borderId="1"/>
    <xf numFmtId="0" fontId="3" fillId="13" borderId="1" applyNumberFormat="0" applyBorder="0" applyAlignment="0" applyProtection="0"/>
    <xf numFmtId="0" fontId="3" fillId="15" borderId="1" applyNumberFormat="0" applyBorder="0" applyAlignment="0" applyProtection="0"/>
    <xf numFmtId="0" fontId="3" fillId="13" borderId="1" applyNumberFormat="0" applyBorder="0" applyAlignment="0" applyProtection="0"/>
    <xf numFmtId="0" fontId="3" fillId="13" borderId="1" applyNumberFormat="0" applyBorder="0" applyAlignment="0" applyProtection="0"/>
    <xf numFmtId="0" fontId="3" fillId="0" borderId="1"/>
    <xf numFmtId="164" fontId="3" fillId="0" borderId="1"/>
    <xf numFmtId="164" fontId="3" fillId="0" borderId="1"/>
    <xf numFmtId="0" fontId="3" fillId="0" borderId="1"/>
    <xf numFmtId="164" fontId="3" fillId="0" borderId="1"/>
    <xf numFmtId="164" fontId="3" fillId="0" borderId="1"/>
    <xf numFmtId="0" fontId="3" fillId="16" borderId="1" applyNumberFormat="0" applyBorder="0" applyAlignment="0" applyProtection="0"/>
    <xf numFmtId="0" fontId="3" fillId="0" borderId="1"/>
    <xf numFmtId="0" fontId="3" fillId="18" borderId="1" applyNumberFormat="0" applyBorder="0" applyAlignment="0" applyProtection="0"/>
    <xf numFmtId="0" fontId="3" fillId="13" borderId="1" applyNumberFormat="0" applyBorder="0" applyAlignment="0" applyProtection="0"/>
    <xf numFmtId="0" fontId="3" fillId="13" borderId="1" applyNumberFormat="0" applyBorder="0" applyAlignment="0" applyProtection="0"/>
    <xf numFmtId="0" fontId="3" fillId="0" borderId="1"/>
    <xf numFmtId="0" fontId="3" fillId="17" borderId="1" applyNumberFormat="0" applyBorder="0" applyAlignment="0" applyProtection="0"/>
    <xf numFmtId="0" fontId="3" fillId="18" borderId="1" applyNumberFormat="0" applyBorder="0" applyAlignment="0" applyProtection="0"/>
    <xf numFmtId="44" fontId="3" fillId="0" borderId="1" applyFont="0" applyFill="0" applyBorder="0" applyAlignment="0" applyProtection="0"/>
    <xf numFmtId="0" fontId="3" fillId="13" borderId="1" applyNumberFormat="0" applyBorder="0" applyAlignment="0" applyProtection="0"/>
    <xf numFmtId="164" fontId="3" fillId="0" borderId="1"/>
    <xf numFmtId="164" fontId="3" fillId="0" borderId="1"/>
    <xf numFmtId="0" fontId="3" fillId="13" borderId="1" applyNumberFormat="0" applyBorder="0" applyAlignment="0" applyProtection="0"/>
    <xf numFmtId="0" fontId="3" fillId="18" borderId="1" applyNumberFormat="0" applyBorder="0" applyAlignment="0" applyProtection="0"/>
    <xf numFmtId="0" fontId="3" fillId="13" borderId="1" applyNumberFormat="0" applyBorder="0" applyAlignment="0" applyProtection="0"/>
    <xf numFmtId="0" fontId="3" fillId="13" borderId="1" applyNumberFormat="0" applyBorder="0" applyAlignment="0" applyProtection="0"/>
    <xf numFmtId="164" fontId="3" fillId="0" borderId="1"/>
    <xf numFmtId="0" fontId="3" fillId="0" borderId="1"/>
    <xf numFmtId="0" fontId="3" fillId="21" borderId="1" applyNumberFormat="0" applyBorder="0" applyAlignment="0" applyProtection="0"/>
    <xf numFmtId="44" fontId="3" fillId="0" borderId="1" applyFont="0" applyFill="0" applyBorder="0" applyAlignment="0" applyProtection="0"/>
    <xf numFmtId="164" fontId="3" fillId="0" borderId="1"/>
    <xf numFmtId="0" fontId="3" fillId="15" borderId="1" applyNumberFormat="0" applyBorder="0" applyAlignment="0" applyProtection="0"/>
    <xf numFmtId="0" fontId="3" fillId="24" borderId="1" applyNumberFormat="0" applyBorder="0" applyAlignment="0" applyProtection="0"/>
    <xf numFmtId="164" fontId="3" fillId="0" borderId="1"/>
    <xf numFmtId="0" fontId="3" fillId="0" borderId="1"/>
    <xf numFmtId="0" fontId="3" fillId="18" borderId="1" applyNumberFormat="0" applyBorder="0" applyAlignment="0" applyProtection="0"/>
    <xf numFmtId="164" fontId="3" fillId="0" borderId="1"/>
    <xf numFmtId="164" fontId="3" fillId="0" borderId="1"/>
    <xf numFmtId="0" fontId="3" fillId="22" borderId="1" applyNumberFormat="0" applyBorder="0" applyAlignment="0" applyProtection="0"/>
    <xf numFmtId="0" fontId="3" fillId="13" borderId="1" applyNumberFormat="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0" fontId="3" fillId="0" borderId="1"/>
    <xf numFmtId="0" fontId="3" fillId="0" borderId="1"/>
    <xf numFmtId="0" fontId="3" fillId="13"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13" borderId="1" applyNumberFormat="0" applyBorder="0" applyAlignment="0" applyProtection="0"/>
    <xf numFmtId="0" fontId="44" fillId="47" borderId="1" applyNumberFormat="0" applyBorder="0" applyAlignment="0" applyProtection="0"/>
    <xf numFmtId="164" fontId="3" fillId="0" borderId="1"/>
    <xf numFmtId="164" fontId="3" fillId="0" borderId="1"/>
    <xf numFmtId="0" fontId="3" fillId="17" borderId="1" applyNumberFormat="0" applyBorder="0" applyAlignment="0" applyProtection="0"/>
    <xf numFmtId="0" fontId="3" fillId="0" borderId="1"/>
    <xf numFmtId="0" fontId="3" fillId="0" borderId="1"/>
    <xf numFmtId="0" fontId="3" fillId="0" borderId="1"/>
    <xf numFmtId="0" fontId="3" fillId="18" borderId="1" applyNumberFormat="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0" fontId="3" fillId="0" borderId="1"/>
    <xf numFmtId="0" fontId="3" fillId="0" borderId="1"/>
    <xf numFmtId="0" fontId="3" fillId="0" borderId="1"/>
    <xf numFmtId="0" fontId="3" fillId="0" borderId="1"/>
    <xf numFmtId="0" fontId="3" fillId="16" borderId="1" applyNumberFormat="0" applyBorder="0" applyAlignment="0" applyProtection="0"/>
    <xf numFmtId="164" fontId="3" fillId="0" borderId="1"/>
    <xf numFmtId="0" fontId="3" fillId="0" borderId="1"/>
    <xf numFmtId="0" fontId="3" fillId="19" borderId="1" applyNumberFormat="0" applyBorder="0" applyAlignment="0" applyProtection="0"/>
    <xf numFmtId="164" fontId="3" fillId="0" borderId="1"/>
    <xf numFmtId="0" fontId="3" fillId="13" borderId="1" applyNumberFormat="0" applyBorder="0" applyAlignment="0" applyProtection="0"/>
    <xf numFmtId="0" fontId="33" fillId="0" borderId="1"/>
    <xf numFmtId="164" fontId="3" fillId="0" borderId="1"/>
    <xf numFmtId="0" fontId="3" fillId="0" borderId="1"/>
    <xf numFmtId="164" fontId="3" fillId="0" borderId="1"/>
    <xf numFmtId="0" fontId="3" fillId="19" borderId="1" applyNumberFormat="0" applyBorder="0" applyAlignment="0" applyProtection="0"/>
    <xf numFmtId="0" fontId="3" fillId="0" borderId="1"/>
    <xf numFmtId="0" fontId="3" fillId="0" borderId="1"/>
    <xf numFmtId="0" fontId="3" fillId="13" borderId="1" applyNumberFormat="0" applyBorder="0" applyAlignment="0" applyProtection="0"/>
    <xf numFmtId="164" fontId="3" fillId="0" borderId="1"/>
    <xf numFmtId="0" fontId="33" fillId="0" borderId="1"/>
    <xf numFmtId="0" fontId="3" fillId="25" borderId="1" applyNumberFormat="0" applyBorder="0" applyAlignment="0" applyProtection="0"/>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19" borderId="1" applyNumberFormat="0" applyBorder="0" applyAlignment="0" applyProtection="0"/>
    <xf numFmtId="164" fontId="3" fillId="0" borderId="1"/>
    <xf numFmtId="0" fontId="3" fillId="13" borderId="1" applyNumberFormat="0" applyBorder="0" applyAlignment="0" applyProtection="0"/>
    <xf numFmtId="0" fontId="33" fillId="0" borderId="1"/>
    <xf numFmtId="0" fontId="3" fillId="15" borderId="1" applyNumberFormat="0" applyBorder="0" applyAlignment="0" applyProtection="0"/>
    <xf numFmtId="0" fontId="3" fillId="0" borderId="1"/>
    <xf numFmtId="0" fontId="3" fillId="15" borderId="1" applyNumberFormat="0" applyBorder="0" applyAlignment="0" applyProtection="0"/>
    <xf numFmtId="0" fontId="3" fillId="18" borderId="1" applyNumberFormat="0" applyBorder="0" applyAlignment="0" applyProtection="0"/>
    <xf numFmtId="0" fontId="3" fillId="0" borderId="1"/>
    <xf numFmtId="164" fontId="3" fillId="0" borderId="1"/>
    <xf numFmtId="0" fontId="3" fillId="13" borderId="1" applyNumberFormat="0" applyBorder="0" applyAlignment="0" applyProtection="0"/>
    <xf numFmtId="0" fontId="34" fillId="0" borderId="1"/>
    <xf numFmtId="164" fontId="3" fillId="0" borderId="1"/>
    <xf numFmtId="0" fontId="3" fillId="0" borderId="1"/>
    <xf numFmtId="0" fontId="3" fillId="13"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0" fontId="3" fillId="17" borderId="1" applyNumberFormat="0" applyBorder="0" applyAlignment="0" applyProtection="0"/>
    <xf numFmtId="0" fontId="3" fillId="17" borderId="1" applyNumberFormat="0" applyBorder="0" applyAlignment="0" applyProtection="0"/>
    <xf numFmtId="164" fontId="3" fillId="0" borderId="1"/>
    <xf numFmtId="0" fontId="3" fillId="13" borderId="1" applyNumberFormat="0" applyBorder="0" applyAlignment="0" applyProtection="0"/>
    <xf numFmtId="0" fontId="44" fillId="29" borderId="1" applyNumberFormat="0" applyBorder="0" applyAlignment="0" applyProtection="0"/>
    <xf numFmtId="164" fontId="3" fillId="0" borderId="1"/>
    <xf numFmtId="164" fontId="3" fillId="0" borderId="1"/>
    <xf numFmtId="0" fontId="3" fillId="17" borderId="1" applyNumberFormat="0" applyBorder="0" applyAlignment="0" applyProtection="0"/>
    <xf numFmtId="0" fontId="3" fillId="0" borderId="1"/>
    <xf numFmtId="164" fontId="3" fillId="0" borderId="1"/>
    <xf numFmtId="164" fontId="3" fillId="0" borderId="1"/>
    <xf numFmtId="0" fontId="3" fillId="18" borderId="1" applyNumberFormat="0" applyBorder="0" applyAlignment="0" applyProtection="0"/>
    <xf numFmtId="0" fontId="3" fillId="0" borderId="1"/>
    <xf numFmtId="0" fontId="3" fillId="0" borderId="1"/>
    <xf numFmtId="0" fontId="3" fillId="0" borderId="1"/>
    <xf numFmtId="0" fontId="3" fillId="0" borderId="1"/>
    <xf numFmtId="0" fontId="3" fillId="17" borderId="1" applyNumberFormat="0" applyBorder="0" applyAlignment="0" applyProtection="0"/>
    <xf numFmtId="0" fontId="3" fillId="25" borderId="1" applyNumberFormat="0" applyBorder="0" applyAlignment="0" applyProtection="0"/>
    <xf numFmtId="164" fontId="3" fillId="0" borderId="1"/>
    <xf numFmtId="0" fontId="3" fillId="13" borderId="1" applyNumberFormat="0" applyBorder="0" applyAlignment="0" applyProtection="0"/>
    <xf numFmtId="0" fontId="3" fillId="0" borderId="1"/>
    <xf numFmtId="0" fontId="3" fillId="0" borderId="1"/>
    <xf numFmtId="164" fontId="3" fillId="0" borderId="1"/>
    <xf numFmtId="0" fontId="3" fillId="22"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22" borderId="1" applyNumberFormat="0" applyBorder="0" applyAlignment="0" applyProtection="0"/>
    <xf numFmtId="0" fontId="3" fillId="0" borderId="1"/>
    <xf numFmtId="164" fontId="3" fillId="0" borderId="1"/>
    <xf numFmtId="164" fontId="3" fillId="0" borderId="1"/>
    <xf numFmtId="0" fontId="3" fillId="18" borderId="1" applyNumberFormat="0" applyBorder="0" applyAlignment="0" applyProtection="0"/>
    <xf numFmtId="0" fontId="3" fillId="17" borderId="1" applyNumberFormat="0" applyBorder="0" applyAlignment="0" applyProtection="0"/>
    <xf numFmtId="164" fontId="3" fillId="0" borderId="1"/>
    <xf numFmtId="0" fontId="3" fillId="13" borderId="1" applyNumberFormat="0" applyBorder="0" applyAlignment="0" applyProtection="0"/>
    <xf numFmtId="0" fontId="3" fillId="0" borderId="1"/>
    <xf numFmtId="164" fontId="3" fillId="0" borderId="1"/>
    <xf numFmtId="164" fontId="3" fillId="0" borderId="1"/>
    <xf numFmtId="0" fontId="3" fillId="0" borderId="1"/>
    <xf numFmtId="0" fontId="3" fillId="22" borderId="1" applyNumberFormat="0" applyBorder="0" applyAlignment="0" applyProtection="0"/>
    <xf numFmtId="0" fontId="3" fillId="0" borderId="1"/>
    <xf numFmtId="0" fontId="3" fillId="0" borderId="1"/>
    <xf numFmtId="0" fontId="3" fillId="0" borderId="1"/>
    <xf numFmtId="0" fontId="3" fillId="0" borderId="1"/>
    <xf numFmtId="0" fontId="3" fillId="15" borderId="1" applyNumberFormat="0" applyBorder="0" applyAlignment="0" applyProtection="0"/>
    <xf numFmtId="0" fontId="3" fillId="17" borderId="1" applyNumberFormat="0" applyBorder="0" applyAlignment="0" applyProtection="0"/>
    <xf numFmtId="0" fontId="3" fillId="13" borderId="1" applyNumberFormat="0" applyBorder="0" applyAlignment="0" applyProtection="0"/>
    <xf numFmtId="0" fontId="3" fillId="0" borderId="1"/>
    <xf numFmtId="0" fontId="3" fillId="0" borderId="1"/>
    <xf numFmtId="0" fontId="3" fillId="18" borderId="1" applyNumberFormat="0" applyBorder="0" applyAlignment="0" applyProtection="0"/>
    <xf numFmtId="164" fontId="3" fillId="0" borderId="1"/>
    <xf numFmtId="164"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0" borderId="1"/>
    <xf numFmtId="164" fontId="3" fillId="0" borderId="1"/>
    <xf numFmtId="0" fontId="3" fillId="13" borderId="1" applyNumberFormat="0" applyBorder="0" applyAlignment="0" applyProtection="0"/>
    <xf numFmtId="0" fontId="3" fillId="0" borderId="1"/>
    <xf numFmtId="164" fontId="3" fillId="0" borderId="1"/>
    <xf numFmtId="164" fontId="3" fillId="0" borderId="1"/>
    <xf numFmtId="0" fontId="3" fillId="0" borderId="1"/>
    <xf numFmtId="0" fontId="3" fillId="18" borderId="1" applyNumberFormat="0" applyBorder="0" applyAlignment="0" applyProtection="0"/>
    <xf numFmtId="0" fontId="3" fillId="0" borderId="1"/>
    <xf numFmtId="0" fontId="3" fillId="0" borderId="1"/>
    <xf numFmtId="164" fontId="3" fillId="0" borderId="1"/>
    <xf numFmtId="0" fontId="3" fillId="17" borderId="1" applyNumberFormat="0" applyBorder="0" applyAlignment="0" applyProtection="0"/>
    <xf numFmtId="0" fontId="3" fillId="13" borderId="1" applyNumberFormat="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22"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164" fontId="3" fillId="0" borderId="1"/>
    <xf numFmtId="0" fontId="3" fillId="13" borderId="1" applyNumberFormat="0" applyBorder="0" applyAlignment="0" applyProtection="0"/>
    <xf numFmtId="0" fontId="3" fillId="0" borderId="1"/>
    <xf numFmtId="0" fontId="3" fillId="0" borderId="1"/>
    <xf numFmtId="0" fontId="3" fillId="18" borderId="1" applyNumberFormat="0" applyBorder="0" applyAlignment="0" applyProtection="0"/>
    <xf numFmtId="0" fontId="3" fillId="0" borderId="1"/>
    <xf numFmtId="0" fontId="3" fillId="0" borderId="1"/>
    <xf numFmtId="0" fontId="3" fillId="0" borderId="1"/>
    <xf numFmtId="0" fontId="3" fillId="0" borderId="1"/>
    <xf numFmtId="164" fontId="3" fillId="0" borderId="1"/>
    <xf numFmtId="0" fontId="3" fillId="17" borderId="1" applyNumberFormat="0" applyBorder="0" applyAlignment="0" applyProtection="0"/>
    <xf numFmtId="0" fontId="3" fillId="13"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22" borderId="1" applyNumberFormat="0" applyBorder="0" applyAlignment="0" applyProtection="0"/>
    <xf numFmtId="164" fontId="3" fillId="0" borderId="1"/>
    <xf numFmtId="0" fontId="3" fillId="13" borderId="1" applyNumberFormat="0" applyBorder="0" applyAlignment="0" applyProtection="0"/>
    <xf numFmtId="0" fontId="3" fillId="0" borderId="1"/>
    <xf numFmtId="0" fontId="3" fillId="0" borderId="1"/>
    <xf numFmtId="164" fontId="3" fillId="0" borderId="1"/>
    <xf numFmtId="0" fontId="3" fillId="16" borderId="1" applyNumberFormat="0" applyBorder="0" applyAlignment="0" applyProtection="0"/>
    <xf numFmtId="0" fontId="3" fillId="19" borderId="1" applyNumberFormat="0" applyBorder="0" applyAlignment="0" applyProtection="0"/>
    <xf numFmtId="0" fontId="3" fillId="18" borderId="1" applyNumberFormat="0" applyBorder="0" applyAlignment="0" applyProtection="0"/>
    <xf numFmtId="0" fontId="3" fillId="0" borderId="1"/>
    <xf numFmtId="0" fontId="3" fillId="0" borderId="1"/>
    <xf numFmtId="0" fontId="3" fillId="0" borderId="1"/>
    <xf numFmtId="0" fontId="43" fillId="27" borderId="30" applyNumberFormat="0" applyAlignment="0" applyProtection="0"/>
    <xf numFmtId="44" fontId="3" fillId="0" borderId="1" applyFont="0" applyFill="0" applyBorder="0" applyAlignment="0" applyProtection="0"/>
    <xf numFmtId="164" fontId="3" fillId="0" borderId="1"/>
    <xf numFmtId="164" fontId="3" fillId="0" borderId="1"/>
    <xf numFmtId="0" fontId="3" fillId="0" borderId="1"/>
    <xf numFmtId="164" fontId="3" fillId="0" borderId="1"/>
    <xf numFmtId="0" fontId="3" fillId="0" borderId="1"/>
    <xf numFmtId="0" fontId="3" fillId="17" borderId="1" applyNumberFormat="0" applyBorder="0" applyAlignment="0" applyProtection="0"/>
    <xf numFmtId="164" fontId="3" fillId="0" borderId="1"/>
    <xf numFmtId="164" fontId="3" fillId="0" borderId="1"/>
    <xf numFmtId="0" fontId="3" fillId="0" borderId="1"/>
    <xf numFmtId="0" fontId="3" fillId="0" borderId="1"/>
    <xf numFmtId="0" fontId="3" fillId="0" borderId="1"/>
    <xf numFmtId="0" fontId="3" fillId="22" borderId="1" applyNumberFormat="0" applyBorder="0" applyAlignment="0" applyProtection="0"/>
    <xf numFmtId="0" fontId="3" fillId="17" borderId="1" applyNumberFormat="0" applyBorder="0" applyAlignment="0" applyProtection="0"/>
    <xf numFmtId="0" fontId="3" fillId="0" borderId="1"/>
    <xf numFmtId="164" fontId="3" fillId="0" borderId="1"/>
    <xf numFmtId="164" fontId="3" fillId="0" borderId="1"/>
    <xf numFmtId="164" fontId="3" fillId="0" borderId="1"/>
    <xf numFmtId="164" fontId="3" fillId="0" borderId="1"/>
    <xf numFmtId="0" fontId="3" fillId="13" borderId="1" applyNumberFormat="0" applyBorder="0" applyAlignment="0" applyProtection="0"/>
    <xf numFmtId="44" fontId="3" fillId="0" borderId="1" applyFont="0" applyFill="0" applyBorder="0" applyAlignment="0" applyProtection="0"/>
    <xf numFmtId="0" fontId="3" fillId="13" borderId="1" applyNumberFormat="0" applyBorder="0" applyAlignment="0" applyProtection="0"/>
    <xf numFmtId="0" fontId="3" fillId="15" borderId="1" applyNumberFormat="0" applyBorder="0" applyAlignment="0" applyProtection="0"/>
    <xf numFmtId="0" fontId="3" fillId="13" borderId="1" applyNumberFormat="0" applyBorder="0" applyAlignment="0" applyProtection="0"/>
    <xf numFmtId="164" fontId="3" fillId="0" borderId="1"/>
    <xf numFmtId="0" fontId="3" fillId="13" borderId="1" applyNumberFormat="0" applyBorder="0" applyAlignment="0" applyProtection="0"/>
    <xf numFmtId="0" fontId="3" fillId="0" borderId="1"/>
    <xf numFmtId="0" fontId="3" fillId="0" borderId="1"/>
    <xf numFmtId="0" fontId="3" fillId="17" borderId="1" applyNumberFormat="0" applyBorder="0" applyAlignment="0" applyProtection="0"/>
    <xf numFmtId="0" fontId="3" fillId="0" borderId="1"/>
    <xf numFmtId="0" fontId="3" fillId="0" borderId="1"/>
    <xf numFmtId="0" fontId="3" fillId="0" borderId="1"/>
    <xf numFmtId="0" fontId="3" fillId="0" borderId="1"/>
    <xf numFmtId="0" fontId="3" fillId="18" borderId="1" applyNumberFormat="0" applyBorder="0" applyAlignment="0" applyProtection="0"/>
    <xf numFmtId="44" fontId="3" fillId="0" borderId="1" applyFont="0" applyFill="0" applyBorder="0" applyAlignment="0" applyProtection="0"/>
    <xf numFmtId="0" fontId="3" fillId="0" borderId="1"/>
    <xf numFmtId="0" fontId="3" fillId="13" borderId="1" applyNumberFormat="0" applyBorder="0" applyAlignment="0" applyProtection="0"/>
    <xf numFmtId="165" fontId="33" fillId="0" borderId="1" applyFont="0" applyFill="0" applyBorder="0" applyAlignment="0" applyProtection="0"/>
    <xf numFmtId="0" fontId="3" fillId="0" borderId="1"/>
    <xf numFmtId="0" fontId="3" fillId="17" borderId="1" applyNumberFormat="0" applyBorder="0" applyAlignment="0" applyProtection="0"/>
    <xf numFmtId="164" fontId="3" fillId="0" borderId="1"/>
    <xf numFmtId="164" fontId="3" fillId="0" borderId="1"/>
    <xf numFmtId="0" fontId="3" fillId="13" borderId="1" applyNumberFormat="0" applyBorder="0" applyAlignment="0" applyProtection="0"/>
    <xf numFmtId="44" fontId="3" fillId="0" borderId="1" applyFont="0" applyFill="0" applyBorder="0" applyAlignment="0" applyProtection="0"/>
    <xf numFmtId="0" fontId="3" fillId="13" borderId="1" applyNumberFormat="0" applyBorder="0" applyAlignment="0" applyProtection="0"/>
    <xf numFmtId="0" fontId="3" fillId="0" borderId="1"/>
    <xf numFmtId="0" fontId="3" fillId="13"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19" borderId="1" applyNumberFormat="0" applyBorder="0" applyAlignment="0" applyProtection="0"/>
    <xf numFmtId="0" fontId="3" fillId="0" borderId="1"/>
    <xf numFmtId="0" fontId="3" fillId="13" borderId="1" applyNumberFormat="0" applyBorder="0" applyAlignment="0" applyProtection="0"/>
    <xf numFmtId="0" fontId="3" fillId="16" borderId="1" applyNumberFormat="0" applyBorder="0" applyAlignment="0" applyProtection="0"/>
    <xf numFmtId="0" fontId="3" fillId="13" borderId="1" applyNumberFormat="0" applyBorder="0" applyAlignment="0" applyProtection="0"/>
    <xf numFmtId="0" fontId="3" fillId="19" borderId="1" applyNumberFormat="0" applyBorder="0" applyAlignment="0" applyProtection="0"/>
    <xf numFmtId="0" fontId="3" fillId="0" borderId="1"/>
    <xf numFmtId="44" fontId="3" fillId="0" borderId="1" applyFont="0" applyFill="0" applyBorder="0" applyAlignment="0" applyProtection="0"/>
    <xf numFmtId="0" fontId="3" fillId="21" borderId="1" applyNumberFormat="0" applyBorder="0" applyAlignment="0" applyProtection="0"/>
    <xf numFmtId="0" fontId="3" fillId="0" borderId="1"/>
    <xf numFmtId="0" fontId="33" fillId="0" borderId="1"/>
    <xf numFmtId="164" fontId="3" fillId="0" borderId="1"/>
    <xf numFmtId="164" fontId="3" fillId="0" borderId="1"/>
    <xf numFmtId="0" fontId="3" fillId="13" borderId="1" applyNumberFormat="0" applyBorder="0" applyAlignment="0" applyProtection="0"/>
    <xf numFmtId="44" fontId="3" fillId="0" borderId="1" applyFont="0" applyFill="0" applyBorder="0" applyAlignment="0" applyProtection="0"/>
    <xf numFmtId="0" fontId="33" fillId="20" borderId="26" applyNumberFormat="0" applyFont="0" applyAlignment="0" applyProtection="0"/>
    <xf numFmtId="0" fontId="3" fillId="21" borderId="1" applyNumberFormat="0" applyBorder="0" applyAlignment="0" applyProtection="0"/>
    <xf numFmtId="0" fontId="3" fillId="13" borderId="1" applyNumberFormat="0" applyBorder="0" applyAlignment="0" applyProtection="0"/>
    <xf numFmtId="0" fontId="3" fillId="0" borderId="1"/>
    <xf numFmtId="0" fontId="3" fillId="0" borderId="1"/>
    <xf numFmtId="0" fontId="34" fillId="35" borderId="1" applyNumberFormat="0" applyBorder="0" applyAlignment="0" applyProtection="0"/>
    <xf numFmtId="0" fontId="3" fillId="0" borderId="1"/>
    <xf numFmtId="0" fontId="3" fillId="0" borderId="1"/>
    <xf numFmtId="0" fontId="3" fillId="0" borderId="1"/>
    <xf numFmtId="0" fontId="3" fillId="0" borderId="1"/>
    <xf numFmtId="0" fontId="3" fillId="16" borderId="1" applyNumberFormat="0" applyBorder="0" applyAlignment="0" applyProtection="0"/>
    <xf numFmtId="0" fontId="3" fillId="25" borderId="1" applyNumberFormat="0" applyBorder="0" applyAlignment="0" applyProtection="0"/>
    <xf numFmtId="164" fontId="3" fillId="0" borderId="1"/>
    <xf numFmtId="0" fontId="3" fillId="19" borderId="1" applyNumberFormat="0" applyBorder="0" applyAlignment="0" applyProtection="0"/>
    <xf numFmtId="164" fontId="3" fillId="0" borderId="1"/>
    <xf numFmtId="0" fontId="3" fillId="19"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0" borderId="1"/>
    <xf numFmtId="0" fontId="3" fillId="13" borderId="1" applyNumberFormat="0" applyBorder="0" applyAlignment="0" applyProtection="0"/>
    <xf numFmtId="0" fontId="3" fillId="0" borderId="1"/>
    <xf numFmtId="0" fontId="3" fillId="0" borderId="1"/>
    <xf numFmtId="0" fontId="3" fillId="0" borderId="1"/>
    <xf numFmtId="0" fontId="3" fillId="16" borderId="1" applyNumberFormat="0" applyBorder="0" applyAlignment="0" applyProtection="0"/>
    <xf numFmtId="0" fontId="3" fillId="25" borderId="1" applyNumberFormat="0" applyBorder="0" applyAlignment="0" applyProtection="0"/>
    <xf numFmtId="0" fontId="3" fillId="13" borderId="1" applyNumberFormat="0" applyBorder="0" applyAlignment="0" applyProtection="0"/>
    <xf numFmtId="0" fontId="3" fillId="0" borderId="1"/>
    <xf numFmtId="0" fontId="3" fillId="17" borderId="1" applyNumberFormat="0" applyBorder="0" applyAlignment="0" applyProtection="0"/>
    <xf numFmtId="164" fontId="3" fillId="0" borderId="1"/>
    <xf numFmtId="164" fontId="3" fillId="0" borderId="1"/>
    <xf numFmtId="0" fontId="3" fillId="13" borderId="1" applyNumberFormat="0" applyBorder="0" applyAlignment="0" applyProtection="0"/>
    <xf numFmtId="164" fontId="3" fillId="0" borderId="1"/>
    <xf numFmtId="0" fontId="3" fillId="13" borderId="1" applyNumberFormat="0" applyBorder="0" applyAlignment="0" applyProtection="0"/>
    <xf numFmtId="0" fontId="3" fillId="0" borderId="1"/>
    <xf numFmtId="164" fontId="3" fillId="0" borderId="1"/>
    <xf numFmtId="164" fontId="3" fillId="0" borderId="1"/>
    <xf numFmtId="0" fontId="33" fillId="0" borderId="1"/>
    <xf numFmtId="0" fontId="3" fillId="0" borderId="1"/>
    <xf numFmtId="0" fontId="3" fillId="0" borderId="1"/>
    <xf numFmtId="0" fontId="3" fillId="22" borderId="1" applyNumberFormat="0" applyBorder="0" applyAlignment="0" applyProtection="0"/>
    <xf numFmtId="0" fontId="3" fillId="13" borderId="1" applyNumberFormat="0" applyBorder="0" applyAlignment="0" applyProtection="0"/>
    <xf numFmtId="0" fontId="3" fillId="17" borderId="1" applyNumberFormat="0" applyBorder="0" applyAlignment="0" applyProtection="0"/>
    <xf numFmtId="164" fontId="3" fillId="0" borderId="1"/>
    <xf numFmtId="164" fontId="3" fillId="0" borderId="1"/>
    <xf numFmtId="0" fontId="3" fillId="0" borderId="1"/>
    <xf numFmtId="0" fontId="3" fillId="0" borderId="1"/>
    <xf numFmtId="0" fontId="3" fillId="24" borderId="1" applyNumberFormat="0" applyBorder="0" applyAlignment="0" applyProtection="0"/>
    <xf numFmtId="0" fontId="3" fillId="0" borderId="1"/>
    <xf numFmtId="0" fontId="3" fillId="0" borderId="1"/>
    <xf numFmtId="164" fontId="3" fillId="0" borderId="1"/>
    <xf numFmtId="0" fontId="3" fillId="13" borderId="1" applyNumberFormat="0" applyBorder="0" applyAlignment="0" applyProtection="0"/>
    <xf numFmtId="0" fontId="3" fillId="0" borderId="1"/>
    <xf numFmtId="0" fontId="3" fillId="13" borderId="1" applyNumberFormat="0" applyBorder="0" applyAlignment="0" applyProtection="0"/>
    <xf numFmtId="0" fontId="3" fillId="0" borderId="1"/>
    <xf numFmtId="0" fontId="3" fillId="0" borderId="1"/>
    <xf numFmtId="0" fontId="3" fillId="0" borderId="1"/>
    <xf numFmtId="0" fontId="3" fillId="0" borderId="1"/>
    <xf numFmtId="0" fontId="3" fillId="16" borderId="1" applyNumberFormat="0" applyBorder="0" applyAlignment="0" applyProtection="0"/>
    <xf numFmtId="0" fontId="3" fillId="25" borderId="1" applyNumberFormat="0" applyBorder="0" applyAlignment="0" applyProtection="0"/>
    <xf numFmtId="164" fontId="3" fillId="0" borderId="1"/>
    <xf numFmtId="0" fontId="3" fillId="19" borderId="1" applyNumberFormat="0" applyBorder="0" applyAlignment="0" applyProtection="0"/>
    <xf numFmtId="0" fontId="3" fillId="0" borderId="1"/>
    <xf numFmtId="164" fontId="3" fillId="0" borderId="1"/>
    <xf numFmtId="164" fontId="3" fillId="0" borderId="1"/>
    <xf numFmtId="164" fontId="3" fillId="0" borderId="1"/>
    <xf numFmtId="0" fontId="3" fillId="18" borderId="1" applyNumberFormat="0" applyBorder="0" applyAlignment="0" applyProtection="0"/>
    <xf numFmtId="164" fontId="3" fillId="0" borderId="1"/>
    <xf numFmtId="0" fontId="3" fillId="13" borderId="1" applyNumberFormat="0" applyBorder="0" applyAlignment="0" applyProtection="0"/>
    <xf numFmtId="164" fontId="3" fillId="0" borderId="1"/>
    <xf numFmtId="0" fontId="3" fillId="13" borderId="1" applyNumberFormat="0" applyBorder="0" applyAlignment="0" applyProtection="0"/>
    <xf numFmtId="164" fontId="3" fillId="0" borderId="1"/>
    <xf numFmtId="0" fontId="3" fillId="13" borderId="1" applyNumberFormat="0" applyBorder="0" applyAlignment="0" applyProtection="0"/>
    <xf numFmtId="9" fontId="34" fillId="0" borderId="1" applyFont="0" applyFill="0" applyBorder="0" applyAlignment="0" applyProtection="0"/>
    <xf numFmtId="164" fontId="3" fillId="0" borderId="1"/>
    <xf numFmtId="0" fontId="3" fillId="13" borderId="1" applyNumberFormat="0" applyBorder="0" applyAlignment="0" applyProtection="0"/>
    <xf numFmtId="0" fontId="3" fillId="0" borderId="1"/>
    <xf numFmtId="0" fontId="3" fillId="13" borderId="1" applyNumberFormat="0" applyBorder="0" applyAlignment="0" applyProtection="0"/>
    <xf numFmtId="0" fontId="3" fillId="16" borderId="1" applyNumberFormat="0" applyBorder="0" applyAlignment="0" applyProtection="0"/>
    <xf numFmtId="0" fontId="3" fillId="0" borderId="1"/>
    <xf numFmtId="0" fontId="3" fillId="16" borderId="1" applyNumberFormat="0" applyBorder="0" applyAlignment="0" applyProtection="0"/>
    <xf numFmtId="0" fontId="3" fillId="0" borderId="1"/>
    <xf numFmtId="0" fontId="3" fillId="13"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13" borderId="1" applyNumberFormat="0" applyBorder="0" applyAlignment="0" applyProtection="0"/>
    <xf numFmtId="0" fontId="3" fillId="13" borderId="1" applyNumberFormat="0" applyBorder="0" applyAlignment="0" applyProtection="0"/>
    <xf numFmtId="164" fontId="3" fillId="0" borderId="1"/>
    <xf numFmtId="0" fontId="3" fillId="21" borderId="1" applyNumberFormat="0" applyBorder="0" applyAlignment="0" applyProtection="0"/>
    <xf numFmtId="0" fontId="3" fillId="0" borderId="1"/>
    <xf numFmtId="0" fontId="3" fillId="13" borderId="1" applyNumberFormat="0" applyBorder="0" applyAlignment="0" applyProtection="0"/>
    <xf numFmtId="0" fontId="3" fillId="0" borderId="1"/>
    <xf numFmtId="0" fontId="3" fillId="0" borderId="1"/>
    <xf numFmtId="164" fontId="3" fillId="0" borderId="1"/>
    <xf numFmtId="164" fontId="3" fillId="0" borderId="1"/>
    <xf numFmtId="0" fontId="3" fillId="24" borderId="1" applyNumberFormat="0" applyBorder="0" applyAlignment="0" applyProtection="0"/>
    <xf numFmtId="44" fontId="3" fillId="0" borderId="1" applyFont="0" applyFill="0" applyBorder="0" applyAlignment="0" applyProtection="0"/>
    <xf numFmtId="0" fontId="3" fillId="13" borderId="1" applyNumberFormat="0" applyBorder="0" applyAlignment="0" applyProtection="0"/>
    <xf numFmtId="0" fontId="3" fillId="0" borderId="1"/>
    <xf numFmtId="0" fontId="3" fillId="0" borderId="1"/>
    <xf numFmtId="0" fontId="3" fillId="13" borderId="1" applyNumberFormat="0" applyBorder="0" applyAlignment="0" applyProtection="0"/>
    <xf numFmtId="0" fontId="3" fillId="0" borderId="1"/>
    <xf numFmtId="0" fontId="3" fillId="0" borderId="1"/>
    <xf numFmtId="0" fontId="3" fillId="16" borderId="1" applyNumberFormat="0" applyBorder="0" applyAlignment="0" applyProtection="0"/>
    <xf numFmtId="0" fontId="3" fillId="25" borderId="1" applyNumberFormat="0" applyBorder="0" applyAlignment="0" applyProtection="0"/>
    <xf numFmtId="0" fontId="3" fillId="0" borderId="1"/>
    <xf numFmtId="0" fontId="3" fillId="0" borderId="1"/>
    <xf numFmtId="164" fontId="3" fillId="0" borderId="1"/>
    <xf numFmtId="0" fontId="3" fillId="19" borderId="1" applyNumberFormat="0" applyBorder="0" applyAlignment="0" applyProtection="0"/>
    <xf numFmtId="0" fontId="35" fillId="0" borderId="1" applyNumberFormat="0" applyFill="0" applyBorder="0" applyAlignment="0" applyProtection="0"/>
    <xf numFmtId="0" fontId="35" fillId="0" borderId="1" applyNumberFormat="0" applyFill="0" applyBorder="0" applyAlignment="0" applyProtection="0"/>
    <xf numFmtId="164" fontId="3" fillId="0" borderId="1"/>
    <xf numFmtId="0" fontId="3" fillId="0" borderId="1"/>
    <xf numFmtId="164" fontId="3" fillId="0" borderId="1"/>
    <xf numFmtId="0" fontId="3" fillId="19" borderId="1" applyNumberFormat="0" applyBorder="0" applyAlignment="0" applyProtection="0"/>
    <xf numFmtId="164" fontId="3" fillId="0" borderId="1"/>
    <xf numFmtId="164" fontId="3" fillId="0" borderId="1"/>
    <xf numFmtId="0" fontId="3" fillId="0" borderId="1"/>
    <xf numFmtId="0" fontId="3" fillId="13"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16" borderId="1" applyNumberFormat="0" applyBorder="0" applyAlignment="0" applyProtection="0"/>
    <xf numFmtId="0" fontId="3" fillId="25" borderId="1" applyNumberFormat="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164" fontId="3" fillId="0" borderId="1"/>
    <xf numFmtId="0" fontId="3" fillId="19" borderId="1" applyNumberFormat="0" applyBorder="0" applyAlignment="0" applyProtection="0"/>
    <xf numFmtId="164" fontId="3" fillId="0" borderId="1"/>
    <xf numFmtId="0" fontId="3" fillId="0" borderId="1"/>
    <xf numFmtId="0" fontId="3" fillId="0" borderId="1"/>
    <xf numFmtId="164" fontId="3" fillId="0" borderId="1"/>
    <xf numFmtId="164" fontId="3" fillId="0" borderId="1"/>
    <xf numFmtId="164" fontId="3" fillId="0" borderId="1"/>
    <xf numFmtId="0" fontId="3" fillId="24" borderId="1" applyNumberFormat="0" applyBorder="0" applyAlignment="0" applyProtection="0"/>
    <xf numFmtId="44" fontId="3" fillId="0" borderId="1" applyFont="0" applyFill="0" applyBorder="0" applyAlignment="0" applyProtection="0"/>
    <xf numFmtId="164" fontId="3" fillId="0" borderId="1"/>
    <xf numFmtId="0" fontId="3" fillId="19"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164" fontId="3" fillId="0" borderId="1"/>
    <xf numFmtId="0" fontId="3" fillId="13" borderId="1" applyNumberFormat="0" applyBorder="0" applyAlignment="0" applyProtection="0"/>
    <xf numFmtId="0" fontId="3" fillId="0" borderId="1"/>
    <xf numFmtId="0" fontId="3" fillId="0" borderId="1"/>
    <xf numFmtId="0" fontId="3" fillId="16" borderId="1" applyNumberFormat="0" applyBorder="0" applyAlignment="0" applyProtection="0"/>
    <xf numFmtId="164" fontId="3" fillId="0" borderId="1"/>
    <xf numFmtId="164" fontId="33" fillId="0" borderId="1"/>
    <xf numFmtId="164" fontId="3" fillId="0" borderId="1"/>
    <xf numFmtId="164" fontId="3" fillId="0" borderId="1"/>
    <xf numFmtId="164" fontId="3" fillId="0" borderId="1"/>
    <xf numFmtId="44" fontId="3" fillId="0" borderId="1" applyFont="0" applyFill="0" applyBorder="0" applyAlignment="0" applyProtection="0"/>
    <xf numFmtId="0" fontId="3" fillId="19"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164" fontId="3" fillId="0" borderId="1"/>
    <xf numFmtId="0" fontId="3" fillId="19" borderId="1" applyNumberFormat="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0" fontId="3" fillId="13"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 fillId="13"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5" fontId="33" fillId="0" borderId="1" applyFont="0" applyFill="0" applyBorder="0" applyAlignment="0" applyProtection="0"/>
    <xf numFmtId="165" fontId="33" fillId="0" borderId="1" applyFont="0" applyFill="0" applyBorder="0" applyAlignment="0" applyProtection="0"/>
    <xf numFmtId="0" fontId="3" fillId="0" borderId="1"/>
    <xf numFmtId="0" fontId="3" fillId="17"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17" borderId="1" applyNumberFormat="0" applyBorder="0" applyAlignment="0" applyProtection="0"/>
    <xf numFmtId="0" fontId="3" fillId="0" borderId="1"/>
    <xf numFmtId="0" fontId="3" fillId="0" borderId="1"/>
    <xf numFmtId="164" fontId="3" fillId="0" borderId="1"/>
    <xf numFmtId="164" fontId="3" fillId="0" borderId="1"/>
    <xf numFmtId="0" fontId="3" fillId="13"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164" fontId="3" fillId="0" borderId="1"/>
    <xf numFmtId="164" fontId="3" fillId="0" borderId="1"/>
    <xf numFmtId="0" fontId="3" fillId="13" borderId="1" applyNumberFormat="0" applyBorder="0" applyAlignment="0" applyProtection="0"/>
    <xf numFmtId="0" fontId="3" fillId="13" borderId="1" applyNumberFormat="0" applyBorder="0" applyAlignment="0" applyProtection="0"/>
    <xf numFmtId="0" fontId="3" fillId="23" borderId="25" applyNumberFormat="0" applyFont="0" applyAlignment="0" applyProtection="0"/>
    <xf numFmtId="0" fontId="3" fillId="13"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13" borderId="1" applyNumberFormat="0" applyBorder="0" applyAlignment="0" applyProtection="0"/>
    <xf numFmtId="0" fontId="33" fillId="0" borderId="1"/>
    <xf numFmtId="44" fontId="3" fillId="0" borderId="1" applyFont="0" applyFill="0" applyBorder="0" applyAlignment="0" applyProtection="0"/>
    <xf numFmtId="44" fontId="3" fillId="0" borderId="1" applyFont="0" applyFill="0" applyBorder="0" applyAlignment="0" applyProtection="0"/>
    <xf numFmtId="9" fontId="34" fillId="0" borderId="1" applyFont="0" applyFill="0" applyBorder="0" applyAlignment="0" applyProtection="0"/>
    <xf numFmtId="0" fontId="3" fillId="17" borderId="1" applyNumberFormat="0" applyBorder="0" applyAlignment="0" applyProtection="0"/>
    <xf numFmtId="0" fontId="3" fillId="0" borderId="1"/>
    <xf numFmtId="0" fontId="3" fillId="13"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164" fontId="3" fillId="0" borderId="1"/>
    <xf numFmtId="0" fontId="3" fillId="0" borderId="1"/>
    <xf numFmtId="0" fontId="3" fillId="24" borderId="1" applyNumberFormat="0" applyBorder="0" applyAlignment="0" applyProtection="0"/>
    <xf numFmtId="0" fontId="3" fillId="15" borderId="1" applyNumberFormat="0" applyBorder="0" applyAlignment="0" applyProtection="0"/>
    <xf numFmtId="0" fontId="3" fillId="0" borderId="1"/>
    <xf numFmtId="0" fontId="3" fillId="13" borderId="1" applyNumberFormat="0" applyBorder="0" applyAlignment="0" applyProtection="0"/>
    <xf numFmtId="0" fontId="3" fillId="0" borderId="1"/>
    <xf numFmtId="0" fontId="3" fillId="13" borderId="1" applyNumberFormat="0" applyBorder="0" applyAlignment="0" applyProtection="0"/>
    <xf numFmtId="0" fontId="3" fillId="0" borderId="1"/>
    <xf numFmtId="0" fontId="3" fillId="13" borderId="1" applyNumberFormat="0" applyBorder="0" applyAlignment="0" applyProtection="0"/>
    <xf numFmtId="0" fontId="3" fillId="0" borderId="1"/>
    <xf numFmtId="0" fontId="3" fillId="13" borderId="1" applyNumberFormat="0" applyBorder="0" applyAlignment="0" applyProtection="0"/>
    <xf numFmtId="164" fontId="3" fillId="0" borderId="1"/>
    <xf numFmtId="0" fontId="3" fillId="0" borderId="1"/>
    <xf numFmtId="0" fontId="3" fillId="0" borderId="1"/>
    <xf numFmtId="0" fontId="3" fillId="0" borderId="1"/>
    <xf numFmtId="0" fontId="3" fillId="0" borderId="1"/>
    <xf numFmtId="0" fontId="3" fillId="22" borderId="1" applyNumberFormat="0" applyBorder="0" applyAlignment="0" applyProtection="0"/>
    <xf numFmtId="0" fontId="3" fillId="13" borderId="1" applyNumberFormat="0" applyBorder="0" applyAlignment="0" applyProtection="0"/>
    <xf numFmtId="43"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13" borderId="1" applyNumberFormat="0" applyBorder="0" applyAlignment="0" applyProtection="0"/>
    <xf numFmtId="0" fontId="3" fillId="0" borderId="1"/>
    <xf numFmtId="0" fontId="3" fillId="0" borderId="1"/>
    <xf numFmtId="0" fontId="3" fillId="0" borderId="1"/>
    <xf numFmtId="0" fontId="3" fillId="16"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19" borderId="1" applyNumberFormat="0" applyBorder="0" applyAlignment="0" applyProtection="0"/>
    <xf numFmtId="0" fontId="3" fillId="0" borderId="1"/>
    <xf numFmtId="164" fontId="3" fillId="0" borderId="1"/>
    <xf numFmtId="0" fontId="3" fillId="21" borderId="1" applyNumberFormat="0" applyBorder="0" applyAlignment="0" applyProtection="0"/>
    <xf numFmtId="0" fontId="3" fillId="24" borderId="1" applyNumberFormat="0" applyBorder="0" applyAlignment="0" applyProtection="0"/>
    <xf numFmtId="164" fontId="3" fillId="0" borderId="1"/>
    <xf numFmtId="0" fontId="3" fillId="19" borderId="1" applyNumberFormat="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164" fontId="3" fillId="0" borderId="1"/>
    <xf numFmtId="164" fontId="3" fillId="0" borderId="1"/>
    <xf numFmtId="0" fontId="3" fillId="13" borderId="1" applyNumberFormat="0" applyBorder="0" applyAlignment="0" applyProtection="0"/>
    <xf numFmtId="164" fontId="3" fillId="0" borderId="1"/>
    <xf numFmtId="164" fontId="3" fillId="0" borderId="1"/>
    <xf numFmtId="0" fontId="3" fillId="21" borderId="1" applyNumberFormat="0" applyBorder="0" applyAlignment="0" applyProtection="0"/>
    <xf numFmtId="44" fontId="3" fillId="0" borderId="1" applyFont="0" applyFill="0" applyBorder="0" applyAlignment="0" applyProtection="0"/>
    <xf numFmtId="0" fontId="3" fillId="17" borderId="1" applyNumberFormat="0" applyBorder="0" applyAlignment="0" applyProtection="0"/>
    <xf numFmtId="0" fontId="3" fillId="0" borderId="1"/>
    <xf numFmtId="0" fontId="3" fillId="18" borderId="1" applyNumberFormat="0" applyBorder="0" applyAlignment="0" applyProtection="0"/>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0" fontId="3" fillId="0" borderId="1"/>
    <xf numFmtId="0" fontId="3" fillId="0" borderId="1"/>
    <xf numFmtId="0" fontId="3" fillId="13" borderId="1" applyNumberFormat="0" applyBorder="0" applyAlignment="0" applyProtection="0"/>
    <xf numFmtId="0" fontId="3" fillId="0" borderId="1"/>
    <xf numFmtId="0" fontId="3" fillId="18" borderId="1" applyNumberFormat="0" applyBorder="0" applyAlignment="0" applyProtection="0"/>
    <xf numFmtId="164" fontId="3" fillId="0" borderId="1"/>
    <xf numFmtId="44" fontId="3" fillId="0" borderId="1" applyFont="0" applyFill="0" applyBorder="0" applyAlignment="0" applyProtection="0"/>
    <xf numFmtId="0" fontId="3" fillId="13" borderId="1" applyNumberFormat="0" applyBorder="0" applyAlignment="0" applyProtection="0"/>
    <xf numFmtId="164" fontId="3" fillId="0" borderId="1"/>
    <xf numFmtId="0" fontId="3" fillId="18" borderId="1" applyNumberFormat="0" applyBorder="0" applyAlignment="0" applyProtection="0"/>
    <xf numFmtId="0" fontId="3" fillId="0" borderId="1"/>
    <xf numFmtId="0" fontId="3" fillId="0" borderId="1"/>
    <xf numFmtId="164" fontId="3" fillId="0" borderId="1"/>
    <xf numFmtId="164" fontId="3" fillId="0" borderId="1"/>
    <xf numFmtId="0" fontId="3" fillId="13" borderId="1" applyNumberFormat="0" applyBorder="0" applyAlignment="0" applyProtection="0"/>
    <xf numFmtId="0" fontId="3" fillId="0" borderId="1"/>
    <xf numFmtId="0" fontId="3" fillId="13"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13" borderId="1" applyNumberFormat="0" applyBorder="0" applyAlignment="0" applyProtection="0"/>
    <xf numFmtId="164" fontId="3" fillId="0" borderId="1"/>
    <xf numFmtId="164" fontId="3" fillId="0" borderId="1"/>
    <xf numFmtId="0" fontId="3" fillId="13" borderId="1" applyNumberFormat="0" applyBorder="0" applyAlignment="0" applyProtection="0"/>
    <xf numFmtId="0" fontId="3" fillId="16" borderId="1" applyNumberFormat="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0" fontId="3" fillId="15" borderId="1" applyNumberFormat="0" applyBorder="0" applyAlignment="0" applyProtection="0"/>
    <xf numFmtId="0" fontId="3" fillId="0" borderId="1"/>
    <xf numFmtId="0" fontId="33" fillId="0" borderId="1"/>
    <xf numFmtId="0" fontId="3" fillId="0" borderId="1"/>
    <xf numFmtId="0" fontId="3" fillId="18" borderId="1" applyNumberFormat="0" applyBorder="0" applyAlignment="0" applyProtection="0"/>
    <xf numFmtId="164" fontId="3" fillId="0" borderId="1"/>
    <xf numFmtId="164" fontId="3" fillId="0" borderId="1"/>
    <xf numFmtId="0" fontId="3" fillId="13" borderId="1" applyNumberFormat="0" applyBorder="0" applyAlignment="0" applyProtection="0"/>
    <xf numFmtId="164" fontId="33" fillId="0" borderId="1"/>
    <xf numFmtId="0" fontId="3" fillId="21" borderId="1" applyNumberFormat="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0" fontId="3" fillId="13"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0" borderId="1"/>
    <xf numFmtId="0" fontId="3" fillId="16" borderId="1" applyNumberFormat="0" applyBorder="0" applyAlignment="0" applyProtection="0"/>
    <xf numFmtId="164" fontId="3" fillId="0" borderId="1"/>
    <xf numFmtId="164" fontId="3" fillId="0" borderId="1"/>
    <xf numFmtId="0" fontId="3" fillId="13" borderId="1" applyNumberFormat="0" applyBorder="0" applyAlignment="0" applyProtection="0"/>
    <xf numFmtId="164" fontId="33" fillId="0" borderId="1"/>
    <xf numFmtId="0" fontId="3" fillId="5" borderId="1" applyNumberFormat="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0" fontId="3" fillId="0" borderId="1"/>
    <xf numFmtId="0" fontId="3" fillId="13" borderId="1" applyNumberFormat="0" applyBorder="0" applyAlignment="0" applyProtection="0"/>
    <xf numFmtId="165" fontId="33" fillId="0" borderId="1" applyFont="0" applyFill="0" applyBorder="0" applyAlignment="0" applyProtection="0"/>
    <xf numFmtId="165" fontId="33" fillId="0" borderId="1" applyFont="0" applyFill="0" applyBorder="0" applyAlignment="0" applyProtection="0"/>
    <xf numFmtId="164" fontId="3" fillId="0" borderId="1"/>
    <xf numFmtId="0" fontId="3" fillId="5" borderId="1" applyNumberFormat="0" applyBorder="0" applyAlignment="0" applyProtection="0"/>
    <xf numFmtId="164" fontId="3" fillId="0" borderId="1"/>
    <xf numFmtId="164" fontId="3" fillId="0" borderId="1"/>
    <xf numFmtId="0" fontId="3" fillId="18" borderId="1" applyNumberFormat="0" applyBorder="0" applyAlignment="0" applyProtection="0"/>
    <xf numFmtId="164" fontId="33" fillId="0" borderId="1"/>
    <xf numFmtId="0" fontId="3" fillId="21" borderId="1" applyNumberFormat="0" applyBorder="0" applyAlignment="0" applyProtection="0"/>
    <xf numFmtId="44" fontId="3" fillId="0" borderId="1" applyFont="0" applyFill="0" applyBorder="0" applyAlignment="0" applyProtection="0"/>
    <xf numFmtId="0" fontId="3" fillId="0" borderId="1"/>
    <xf numFmtId="0" fontId="3" fillId="13" borderId="1" applyNumberFormat="0" applyBorder="0" applyAlignment="0" applyProtection="0"/>
    <xf numFmtId="0" fontId="3" fillId="0" borderId="1"/>
    <xf numFmtId="0" fontId="3" fillId="0" borderId="1"/>
    <xf numFmtId="164" fontId="3" fillId="0" borderId="1"/>
    <xf numFmtId="164" fontId="3" fillId="0" borderId="1"/>
    <xf numFmtId="0" fontId="3" fillId="0" borderId="1"/>
    <xf numFmtId="164" fontId="3" fillId="0" borderId="1"/>
    <xf numFmtId="0" fontId="3" fillId="17" borderId="1" applyNumberFormat="0" applyBorder="0" applyAlignment="0" applyProtection="0"/>
    <xf numFmtId="0" fontId="3" fillId="13"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3" borderId="1" applyNumberFormat="0" applyBorder="0" applyAlignment="0" applyProtection="0"/>
    <xf numFmtId="0" fontId="3" fillId="25" borderId="1" applyNumberFormat="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0" fontId="3" fillId="19"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164" fontId="3" fillId="0" borderId="1"/>
    <xf numFmtId="0" fontId="3" fillId="0" borderId="1"/>
    <xf numFmtId="0" fontId="3" fillId="19" borderId="1" applyNumberFormat="0" applyBorder="0" applyAlignment="0" applyProtection="0"/>
    <xf numFmtId="164" fontId="3" fillId="0" borderId="1"/>
    <xf numFmtId="164" fontId="3" fillId="0" borderId="1"/>
    <xf numFmtId="0" fontId="3" fillId="0" borderId="1"/>
    <xf numFmtId="0" fontId="3" fillId="13" borderId="1" applyNumberFormat="0" applyBorder="0" applyAlignment="0" applyProtection="0"/>
    <xf numFmtId="0" fontId="3" fillId="0" borderId="1"/>
    <xf numFmtId="0" fontId="3" fillId="18" borderId="1" applyNumberFormat="0" applyBorder="0" applyAlignment="0" applyProtection="0"/>
    <xf numFmtId="0" fontId="3" fillId="0" borderId="1"/>
    <xf numFmtId="0" fontId="3" fillId="0" borderId="1"/>
    <xf numFmtId="0" fontId="3" fillId="0" borderId="1"/>
    <xf numFmtId="164" fontId="33" fillId="0" borderId="1"/>
    <xf numFmtId="164" fontId="3" fillId="0" borderId="1"/>
    <xf numFmtId="164" fontId="3" fillId="0" borderId="1"/>
    <xf numFmtId="0" fontId="3" fillId="0" borderId="1"/>
    <xf numFmtId="0" fontId="3" fillId="0" borderId="1"/>
    <xf numFmtId="0" fontId="3" fillId="0" borderId="1"/>
    <xf numFmtId="0" fontId="3" fillId="24" borderId="1" applyNumberFormat="0" applyBorder="0" applyAlignment="0" applyProtection="0"/>
    <xf numFmtId="165" fontId="33" fillId="0" borderId="1" applyFont="0" applyFill="0" applyBorder="0" applyAlignment="0" applyProtection="0"/>
    <xf numFmtId="165" fontId="33" fillId="0" borderId="1" applyFont="0" applyFill="0" applyBorder="0" applyAlignment="0" applyProtection="0"/>
    <xf numFmtId="0" fontId="3" fillId="13" borderId="1" applyNumberFormat="0" applyBorder="0" applyAlignment="0" applyProtection="0"/>
    <xf numFmtId="0" fontId="3" fillId="0" borderId="1"/>
    <xf numFmtId="0" fontId="33" fillId="0" borderId="1"/>
    <xf numFmtId="0" fontId="3" fillId="18" borderId="1" applyNumberFormat="0" applyBorder="0" applyAlignment="0" applyProtection="0"/>
    <xf numFmtId="0" fontId="3" fillId="13" borderId="1" applyNumberFormat="0" applyBorder="0" applyAlignment="0" applyProtection="0"/>
    <xf numFmtId="0" fontId="3" fillId="0" borderId="1"/>
    <xf numFmtId="0" fontId="3" fillId="0" borderId="1"/>
    <xf numFmtId="0" fontId="3" fillId="19" borderId="1" applyNumberFormat="0" applyBorder="0" applyAlignment="0" applyProtection="0"/>
    <xf numFmtId="0" fontId="3" fillId="0" borderId="1"/>
    <xf numFmtId="164" fontId="33" fillId="0" borderId="1"/>
    <xf numFmtId="0" fontId="3" fillId="18" borderId="1" applyNumberFormat="0" applyBorder="0" applyAlignment="0" applyProtection="0"/>
    <xf numFmtId="0" fontId="3" fillId="15" borderId="1" applyNumberFormat="0" applyBorder="0" applyAlignment="0" applyProtection="0"/>
    <xf numFmtId="44" fontId="3" fillId="0" borderId="1" applyFont="0" applyFill="0" applyBorder="0" applyAlignment="0" applyProtection="0"/>
    <xf numFmtId="0" fontId="3" fillId="18" borderId="1" applyNumberFormat="0" applyBorder="0" applyAlignment="0" applyProtection="0"/>
    <xf numFmtId="164" fontId="3" fillId="0" borderId="1"/>
    <xf numFmtId="0" fontId="3" fillId="19" borderId="1" applyNumberFormat="0" applyBorder="0" applyAlignment="0" applyProtection="0"/>
    <xf numFmtId="0" fontId="3" fillId="13"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164" fontId="3" fillId="0" borderId="1"/>
    <xf numFmtId="164" fontId="3" fillId="0" borderId="1"/>
    <xf numFmtId="0" fontId="3" fillId="13" borderId="1" applyNumberFormat="0" applyBorder="0" applyAlignment="0" applyProtection="0"/>
    <xf numFmtId="0" fontId="3" fillId="13" borderId="1" applyNumberFormat="0" applyBorder="0" applyAlignment="0" applyProtection="0"/>
    <xf numFmtId="44" fontId="3" fillId="0" borderId="1" applyFont="0" applyFill="0" applyBorder="0" applyAlignment="0" applyProtection="0"/>
    <xf numFmtId="0" fontId="3" fillId="0" borderId="1"/>
    <xf numFmtId="0" fontId="3" fillId="13"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13" borderId="1" applyNumberFormat="0" applyBorder="0" applyAlignment="0" applyProtection="0"/>
    <xf numFmtId="44" fontId="3" fillId="0" borderId="1" applyFont="0" applyFill="0" applyBorder="0" applyAlignment="0" applyProtection="0"/>
    <xf numFmtId="0" fontId="3" fillId="0" borderId="1"/>
    <xf numFmtId="0" fontId="3" fillId="13" borderId="1" applyNumberFormat="0" applyBorder="0" applyAlignment="0" applyProtection="0"/>
    <xf numFmtId="0" fontId="3" fillId="0" borderId="1"/>
    <xf numFmtId="0" fontId="3" fillId="13" borderId="1" applyNumberFormat="0" applyBorder="0" applyAlignment="0" applyProtection="0"/>
    <xf numFmtId="44" fontId="3" fillId="0" borderId="1" applyFont="0" applyFill="0" applyBorder="0" applyAlignment="0" applyProtection="0"/>
    <xf numFmtId="0" fontId="3" fillId="13" borderId="1" applyNumberFormat="0" applyBorder="0" applyAlignment="0" applyProtection="0"/>
    <xf numFmtId="44" fontId="3" fillId="0" borderId="1" applyFont="0" applyFill="0" applyBorder="0" applyAlignment="0" applyProtection="0"/>
    <xf numFmtId="0" fontId="3" fillId="0" borderId="1"/>
    <xf numFmtId="0" fontId="3" fillId="13" borderId="1" applyNumberFormat="0" applyBorder="0" applyAlignment="0" applyProtection="0"/>
    <xf numFmtId="164" fontId="3" fillId="0" borderId="1"/>
    <xf numFmtId="164" fontId="3" fillId="0" borderId="1"/>
    <xf numFmtId="0" fontId="3" fillId="0" borderId="1"/>
    <xf numFmtId="0" fontId="3" fillId="24" borderId="1" applyNumberFormat="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17" borderId="1" applyNumberFormat="0" applyBorder="0" applyAlignment="0" applyProtection="0"/>
    <xf numFmtId="0" fontId="3" fillId="0" borderId="1"/>
    <xf numFmtId="0" fontId="3" fillId="0" borderId="1"/>
    <xf numFmtId="0" fontId="3" fillId="13" borderId="1" applyNumberFormat="0" applyBorder="0" applyAlignment="0" applyProtection="0"/>
    <xf numFmtId="44" fontId="3" fillId="0" borderId="1" applyFont="0" applyFill="0" applyBorder="0" applyAlignment="0" applyProtection="0"/>
    <xf numFmtId="0" fontId="3" fillId="0" borderId="1"/>
    <xf numFmtId="0" fontId="3" fillId="13" borderId="1" applyNumberFormat="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21" borderId="1" applyNumberFormat="0" applyBorder="0" applyAlignment="0" applyProtection="0"/>
    <xf numFmtId="0" fontId="3" fillId="0" borderId="1"/>
    <xf numFmtId="0" fontId="33" fillId="0" borderId="1"/>
    <xf numFmtId="0" fontId="3" fillId="22" borderId="1" applyNumberFormat="0" applyBorder="0" applyAlignment="0" applyProtection="0"/>
    <xf numFmtId="0" fontId="3" fillId="0" borderId="1"/>
    <xf numFmtId="0" fontId="3" fillId="24" borderId="1" applyNumberFormat="0" applyBorder="0" applyAlignment="0" applyProtection="0"/>
    <xf numFmtId="0" fontId="3" fillId="13" borderId="1" applyNumberFormat="0" applyBorder="0" applyAlignment="0" applyProtection="0"/>
    <xf numFmtId="44" fontId="3" fillId="0" borderId="1" applyFont="0" applyFill="0" applyBorder="0" applyAlignment="0" applyProtection="0"/>
    <xf numFmtId="0" fontId="34" fillId="0" borderId="1"/>
    <xf numFmtId="0" fontId="3" fillId="17" borderId="1" applyNumberFormat="0" applyBorder="0" applyAlignment="0" applyProtection="0"/>
    <xf numFmtId="0" fontId="3" fillId="18" borderId="1" applyNumberFormat="0" applyBorder="0" applyAlignment="0" applyProtection="0"/>
    <xf numFmtId="0" fontId="3" fillId="17"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13" borderId="1" applyNumberFormat="0" applyBorder="0" applyAlignment="0" applyProtection="0"/>
    <xf numFmtId="164" fontId="3" fillId="0" borderId="1"/>
    <xf numFmtId="0" fontId="3" fillId="18" borderId="1" applyNumberFormat="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164" fontId="3" fillId="0" borderId="1"/>
    <xf numFmtId="164" fontId="3" fillId="0" borderId="1"/>
    <xf numFmtId="0" fontId="3" fillId="13" borderId="1" applyNumberFormat="0" applyBorder="0" applyAlignment="0" applyProtection="0"/>
    <xf numFmtId="0" fontId="3" fillId="18"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0" fontId="3" fillId="13" borderId="1" applyNumberFormat="0" applyBorder="0" applyAlignment="0" applyProtection="0"/>
    <xf numFmtId="44" fontId="3" fillId="0" borderId="1" applyFont="0" applyFill="0" applyBorder="0" applyAlignment="0" applyProtection="0"/>
    <xf numFmtId="164" fontId="3" fillId="0" borderId="1"/>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18" borderId="1" applyNumberFormat="0" applyBorder="0" applyAlignment="0" applyProtection="0"/>
    <xf numFmtId="0" fontId="3" fillId="13" borderId="1" applyNumberFormat="0" applyBorder="0" applyAlignment="0" applyProtection="0"/>
    <xf numFmtId="0" fontId="3" fillId="13"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13" borderId="1" applyNumberFormat="0" applyBorder="0" applyAlignment="0" applyProtection="0"/>
    <xf numFmtId="44" fontId="3" fillId="0" borderId="1" applyFont="0" applyFill="0" applyBorder="0" applyAlignment="0" applyProtection="0"/>
    <xf numFmtId="0" fontId="3" fillId="18" borderId="1" applyNumberFormat="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164" fontId="3" fillId="0" borderId="1"/>
    <xf numFmtId="164" fontId="3" fillId="0" borderId="1"/>
    <xf numFmtId="0" fontId="3" fillId="13" borderId="1" applyNumberFormat="0" applyBorder="0" applyAlignment="0" applyProtection="0"/>
    <xf numFmtId="164" fontId="3" fillId="0" borderId="1"/>
    <xf numFmtId="0" fontId="3" fillId="0" borderId="1"/>
    <xf numFmtId="0" fontId="44" fillId="42"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17" borderId="1" applyNumberFormat="0" applyBorder="0" applyAlignment="0" applyProtection="0"/>
    <xf numFmtId="164" fontId="3" fillId="0" borderId="1"/>
    <xf numFmtId="0" fontId="3" fillId="0" borderId="1"/>
    <xf numFmtId="164" fontId="3" fillId="0" borderId="1"/>
    <xf numFmtId="164" fontId="3" fillId="0" borderId="1"/>
    <xf numFmtId="0" fontId="3" fillId="13" borderId="1" applyNumberFormat="0" applyBorder="0" applyAlignment="0" applyProtection="0"/>
    <xf numFmtId="0" fontId="3" fillId="0" borderId="1"/>
    <xf numFmtId="0" fontId="3" fillId="13" borderId="1" applyNumberFormat="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17" borderId="1" applyNumberFormat="0" applyBorder="0" applyAlignment="0" applyProtection="0"/>
    <xf numFmtId="164" fontId="3" fillId="0" borderId="1"/>
    <xf numFmtId="164" fontId="3" fillId="0" borderId="1"/>
    <xf numFmtId="0" fontId="3" fillId="21" borderId="1" applyNumberFormat="0" applyBorder="0" applyAlignment="0" applyProtection="0"/>
    <xf numFmtId="44" fontId="3" fillId="0" borderId="1" applyFont="0" applyFill="0" applyBorder="0" applyAlignment="0" applyProtection="0"/>
    <xf numFmtId="0" fontId="3" fillId="17" borderId="1" applyNumberFormat="0" applyBorder="0" applyAlignment="0" applyProtection="0"/>
    <xf numFmtId="164" fontId="3" fillId="0" borderId="1"/>
    <xf numFmtId="0" fontId="3" fillId="13" borderId="1" applyNumberFormat="0" applyBorder="0" applyAlignment="0" applyProtection="0"/>
    <xf numFmtId="0" fontId="3" fillId="0" borderId="1"/>
    <xf numFmtId="0" fontId="3" fillId="0" borderId="1"/>
    <xf numFmtId="0" fontId="3" fillId="0" borderId="1"/>
    <xf numFmtId="0" fontId="3" fillId="13" borderId="1" applyNumberFormat="0" applyBorder="0" applyAlignment="0" applyProtection="0"/>
    <xf numFmtId="0" fontId="3" fillId="0" borderId="1"/>
    <xf numFmtId="0" fontId="3" fillId="18" borderId="1" applyNumberFormat="0" applyBorder="0" applyAlignment="0" applyProtection="0"/>
    <xf numFmtId="0" fontId="3" fillId="17"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15" borderId="1" applyNumberFormat="0" applyBorder="0" applyAlignment="0" applyProtection="0"/>
    <xf numFmtId="164" fontId="3" fillId="0" borderId="1"/>
    <xf numFmtId="0" fontId="3" fillId="25" borderId="1" applyNumberFormat="0" applyBorder="0" applyAlignment="0" applyProtection="0"/>
    <xf numFmtId="164" fontId="3" fillId="0" borderId="1"/>
    <xf numFmtId="0" fontId="3" fillId="0" borderId="1"/>
    <xf numFmtId="0" fontId="3" fillId="18" borderId="1" applyNumberFormat="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44" fillId="48" borderId="1" applyNumberFormat="0" applyBorder="0" applyAlignment="0" applyProtection="0"/>
    <xf numFmtId="0" fontId="3" fillId="0" borderId="1"/>
    <xf numFmtId="0" fontId="3" fillId="0" borderId="1"/>
    <xf numFmtId="0" fontId="3" fillId="0" borderId="1"/>
    <xf numFmtId="0" fontId="3" fillId="0" borderId="1"/>
    <xf numFmtId="0" fontId="3" fillId="17" borderId="1" applyNumberFormat="0" applyBorder="0" applyAlignment="0" applyProtection="0"/>
    <xf numFmtId="0" fontId="3" fillId="13" borderId="1" applyNumberFormat="0" applyBorder="0" applyAlignment="0" applyProtection="0"/>
    <xf numFmtId="0" fontId="3" fillId="18" borderId="1" applyNumberFormat="0" applyBorder="0" applyAlignment="0" applyProtection="0"/>
    <xf numFmtId="44" fontId="3" fillId="0" borderId="1" applyFont="0" applyFill="0" applyBorder="0" applyAlignment="0" applyProtection="0"/>
    <xf numFmtId="0" fontId="3" fillId="13" borderId="1" applyNumberFormat="0" applyBorder="0" applyAlignment="0" applyProtection="0"/>
    <xf numFmtId="0" fontId="3" fillId="18" borderId="1" applyNumberFormat="0" applyBorder="0" applyAlignment="0" applyProtection="0"/>
    <xf numFmtId="164" fontId="3" fillId="0" borderId="1"/>
    <xf numFmtId="164" fontId="3" fillId="0" borderId="1"/>
    <xf numFmtId="0" fontId="3" fillId="0" borderId="1"/>
    <xf numFmtId="0" fontId="3" fillId="0" borderId="1"/>
    <xf numFmtId="0" fontId="3" fillId="19" borderId="1" applyNumberFormat="0" applyBorder="0" applyAlignment="0" applyProtection="0"/>
    <xf numFmtId="164" fontId="3" fillId="0" borderId="1"/>
    <xf numFmtId="164" fontId="3" fillId="0" borderId="1"/>
    <xf numFmtId="0" fontId="35" fillId="0" borderId="1" applyNumberFormat="0" applyFill="0" applyBorder="0" applyAlignment="0" applyProtection="0"/>
    <xf numFmtId="0" fontId="35" fillId="0" borderId="1" applyNumberFormat="0" applyFill="0" applyBorder="0" applyAlignment="0" applyProtection="0"/>
    <xf numFmtId="164" fontId="3" fillId="0" borderId="1"/>
    <xf numFmtId="0" fontId="3" fillId="17" borderId="1" applyNumberFormat="0" applyBorder="0" applyAlignment="0" applyProtection="0"/>
    <xf numFmtId="0" fontId="3" fillId="0" borderId="1"/>
    <xf numFmtId="0" fontId="3" fillId="13" borderId="1" applyNumberFormat="0" applyBorder="0" applyAlignment="0" applyProtection="0"/>
    <xf numFmtId="0" fontId="3" fillId="25" borderId="1" applyNumberFormat="0" applyBorder="0" applyAlignment="0" applyProtection="0"/>
    <xf numFmtId="164" fontId="3" fillId="0" borderId="1"/>
    <xf numFmtId="0" fontId="3" fillId="19" borderId="1" applyNumberFormat="0" applyBorder="0" applyAlignment="0" applyProtection="0"/>
    <xf numFmtId="0" fontId="3" fillId="13"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13"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21" borderId="1" applyNumberFormat="0" applyBorder="0" applyAlignment="0" applyProtection="0"/>
    <xf numFmtId="0" fontId="3" fillId="17" borderId="1" applyNumberFormat="0" applyBorder="0" applyAlignment="0" applyProtection="0"/>
    <xf numFmtId="0" fontId="3" fillId="0" borderId="1"/>
    <xf numFmtId="0" fontId="3" fillId="0" borderId="1"/>
    <xf numFmtId="164" fontId="3" fillId="0" borderId="1"/>
    <xf numFmtId="164" fontId="3" fillId="0" borderId="1"/>
    <xf numFmtId="164" fontId="3" fillId="0" borderId="1"/>
    <xf numFmtId="0" fontId="3" fillId="0" borderId="1"/>
    <xf numFmtId="0" fontId="3" fillId="24" borderId="1" applyNumberFormat="0" applyBorder="0" applyAlignment="0" applyProtection="0"/>
    <xf numFmtId="0" fontId="3" fillId="13" borderId="1" applyNumberFormat="0" applyBorder="0" applyAlignment="0" applyProtection="0"/>
    <xf numFmtId="0" fontId="3" fillId="0" borderId="1"/>
    <xf numFmtId="0" fontId="3" fillId="0" borderId="1"/>
    <xf numFmtId="164" fontId="3" fillId="0" borderId="1"/>
    <xf numFmtId="164" fontId="3" fillId="0" borderId="1"/>
    <xf numFmtId="0" fontId="3" fillId="0" borderId="1"/>
    <xf numFmtId="0" fontId="3" fillId="0" borderId="1"/>
    <xf numFmtId="0" fontId="35" fillId="0" borderId="1" applyNumberFormat="0" applyFill="0" applyBorder="0" applyAlignment="0" applyProtection="0"/>
    <xf numFmtId="0" fontId="35" fillId="0" borderId="1" applyNumberFormat="0" applyFill="0" applyBorder="0" applyAlignment="0" applyProtection="0"/>
    <xf numFmtId="0" fontId="3" fillId="17" borderId="1" applyNumberFormat="0" applyBorder="0" applyAlignment="0" applyProtection="0"/>
    <xf numFmtId="0" fontId="44" fillId="49" borderId="1" applyNumberFormat="0" applyBorder="0" applyAlignment="0" applyProtection="0"/>
    <xf numFmtId="0" fontId="3" fillId="0" borderId="1"/>
    <xf numFmtId="0" fontId="3" fillId="13" borderId="1" applyNumberFormat="0" applyBorder="0" applyAlignment="0" applyProtection="0"/>
    <xf numFmtId="0" fontId="3" fillId="13" borderId="1" applyNumberFormat="0" applyBorder="0" applyAlignment="0" applyProtection="0"/>
    <xf numFmtId="0" fontId="3" fillId="25" borderId="1" applyNumberFormat="0" applyBorder="0" applyAlignment="0" applyProtection="0"/>
    <xf numFmtId="0" fontId="3" fillId="0" borderId="1"/>
    <xf numFmtId="164" fontId="3" fillId="0" borderId="1"/>
    <xf numFmtId="164" fontId="3" fillId="0" borderId="1"/>
    <xf numFmtId="0" fontId="3" fillId="19" borderId="1" applyNumberFormat="0" applyBorder="0" applyAlignment="0" applyProtection="0"/>
    <xf numFmtId="0" fontId="3" fillId="22" borderId="1" applyNumberFormat="0" applyBorder="0" applyAlignment="0" applyProtection="0"/>
    <xf numFmtId="0" fontId="3" fillId="19"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164" fontId="3" fillId="0" borderId="1"/>
    <xf numFmtId="164" fontId="3" fillId="0" borderId="1"/>
    <xf numFmtId="0" fontId="3" fillId="18" borderId="1" applyNumberFormat="0" applyBorder="0" applyAlignment="0" applyProtection="0"/>
    <xf numFmtId="164" fontId="3" fillId="0" borderId="1"/>
    <xf numFmtId="164" fontId="3" fillId="0" borderId="1"/>
    <xf numFmtId="0" fontId="3" fillId="13" borderId="1" applyNumberFormat="0" applyBorder="0" applyAlignment="0" applyProtection="0"/>
    <xf numFmtId="164" fontId="3" fillId="0" borderId="1"/>
    <xf numFmtId="164" fontId="3" fillId="0" borderId="1"/>
    <xf numFmtId="0" fontId="3" fillId="24" borderId="1" applyNumberFormat="0" applyBorder="0" applyAlignment="0" applyProtection="0"/>
    <xf numFmtId="164" fontId="3" fillId="0" borderId="1"/>
    <xf numFmtId="164" fontId="3" fillId="0" borderId="1"/>
    <xf numFmtId="0" fontId="3" fillId="13" borderId="1" applyNumberFormat="0" applyBorder="0" applyAlignment="0" applyProtection="0"/>
    <xf numFmtId="164" fontId="3" fillId="0" borderId="1"/>
    <xf numFmtId="164" fontId="3" fillId="0" borderId="1"/>
    <xf numFmtId="0" fontId="3" fillId="13" borderId="1" applyNumberFormat="0" applyBorder="0" applyAlignment="0" applyProtection="0"/>
    <xf numFmtId="164" fontId="3" fillId="0" borderId="1"/>
    <xf numFmtId="164" fontId="3" fillId="0" borderId="1"/>
    <xf numFmtId="0" fontId="3" fillId="13" borderId="1" applyNumberFormat="0" applyBorder="0" applyAlignment="0" applyProtection="0"/>
    <xf numFmtId="0" fontId="3" fillId="0" borderId="1"/>
    <xf numFmtId="0" fontId="3" fillId="0" borderId="1"/>
    <xf numFmtId="0" fontId="3" fillId="0" borderId="1"/>
    <xf numFmtId="0" fontId="3" fillId="0" borderId="1"/>
    <xf numFmtId="0" fontId="44" fillId="49" borderId="1" applyNumberFormat="0" applyBorder="0" applyAlignment="0" applyProtection="0"/>
    <xf numFmtId="0" fontId="3" fillId="13" borderId="1" applyNumberFormat="0" applyBorder="0" applyAlignment="0" applyProtection="0"/>
    <xf numFmtId="0" fontId="3" fillId="13" borderId="1" applyNumberFormat="0" applyBorder="0" applyAlignment="0" applyProtection="0"/>
    <xf numFmtId="0" fontId="3" fillId="19" borderId="1" applyNumberFormat="0" applyBorder="0" applyAlignment="0" applyProtection="0"/>
    <xf numFmtId="0" fontId="3" fillId="0" borderId="1"/>
    <xf numFmtId="164" fontId="3" fillId="0" borderId="1"/>
    <xf numFmtId="0" fontId="3" fillId="0" borderId="1"/>
    <xf numFmtId="164" fontId="3" fillId="0" borderId="1"/>
    <xf numFmtId="44" fontId="3" fillId="0" borderId="1" applyFont="0" applyFill="0" applyBorder="0" applyAlignment="0" applyProtection="0"/>
    <xf numFmtId="164" fontId="3" fillId="0" borderId="1"/>
    <xf numFmtId="0" fontId="3" fillId="17" borderId="1" applyNumberFormat="0" applyBorder="0" applyAlignment="0" applyProtection="0"/>
    <xf numFmtId="164" fontId="3" fillId="0" borderId="1"/>
    <xf numFmtId="0" fontId="3" fillId="13" borderId="1" applyNumberFormat="0" applyBorder="0" applyAlignment="0" applyProtection="0"/>
    <xf numFmtId="0" fontId="3" fillId="13" borderId="1" applyNumberFormat="0" applyBorder="0" applyAlignment="0" applyProtection="0"/>
    <xf numFmtId="0" fontId="3" fillId="0" borderId="1"/>
    <xf numFmtId="0" fontId="3" fillId="24" borderId="1" applyNumberFormat="0" applyBorder="0" applyAlignment="0" applyProtection="0"/>
    <xf numFmtId="0" fontId="3" fillId="0" borderId="1"/>
    <xf numFmtId="0" fontId="3" fillId="16" borderId="1" applyNumberFormat="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19" borderId="1" applyNumberFormat="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164" fontId="3"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0" fontId="3" fillId="13" borderId="1" applyNumberFormat="0" applyBorder="0" applyAlignment="0" applyProtection="0"/>
    <xf numFmtId="0" fontId="3" fillId="0" borderId="1"/>
    <xf numFmtId="164" fontId="3" fillId="0" borderId="1"/>
    <xf numFmtId="164" fontId="3" fillId="0" borderId="1"/>
    <xf numFmtId="0" fontId="3" fillId="16"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3" borderId="1" applyNumberFormat="0" applyBorder="0" applyAlignment="0" applyProtection="0"/>
    <xf numFmtId="0" fontId="3" fillId="0" borderId="1"/>
    <xf numFmtId="0" fontId="3" fillId="5" borderId="1" applyNumberFormat="0" applyBorder="0" applyAlignment="0" applyProtection="0"/>
    <xf numFmtId="0" fontId="3" fillId="0" borderId="1"/>
    <xf numFmtId="0" fontId="3" fillId="0" borderId="1"/>
    <xf numFmtId="0" fontId="3" fillId="13" borderId="1" applyNumberFormat="0" applyBorder="0" applyAlignment="0" applyProtection="0"/>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19" borderId="1" applyNumberFormat="0" applyBorder="0" applyAlignment="0" applyProtection="0"/>
    <xf numFmtId="0" fontId="3" fillId="0" borderId="1"/>
    <xf numFmtId="0" fontId="3" fillId="5" borderId="1" applyNumberFormat="0" applyBorder="0" applyAlignment="0" applyProtection="0"/>
    <xf numFmtId="164" fontId="3" fillId="0" borderId="1"/>
    <xf numFmtId="164" fontId="3" fillId="0" borderId="1"/>
    <xf numFmtId="0" fontId="3" fillId="13" borderId="1" applyNumberFormat="0" applyBorder="0" applyAlignment="0" applyProtection="0"/>
    <xf numFmtId="0" fontId="3" fillId="16" borderId="1" applyNumberFormat="0" applyBorder="0" applyAlignment="0" applyProtection="0"/>
    <xf numFmtId="0" fontId="3" fillId="25" borderId="1" applyNumberFormat="0" applyBorder="0" applyAlignment="0" applyProtection="0"/>
    <xf numFmtId="0" fontId="3" fillId="13" borderId="1" applyNumberFormat="0" applyBorder="0" applyAlignment="0" applyProtection="0"/>
    <xf numFmtId="0" fontId="3" fillId="25" borderId="1" applyNumberFormat="0" applyBorder="0" applyAlignment="0" applyProtection="0"/>
    <xf numFmtId="164" fontId="3" fillId="0" borderId="1"/>
    <xf numFmtId="0" fontId="3" fillId="19" borderId="1" applyNumberFormat="0" applyBorder="0" applyAlignment="0" applyProtection="0"/>
    <xf numFmtId="164" fontId="3" fillId="0" borderId="1"/>
    <xf numFmtId="0" fontId="3" fillId="13" borderId="1" applyNumberFormat="0" applyBorder="0" applyAlignment="0" applyProtection="0"/>
    <xf numFmtId="0" fontId="3" fillId="0" borderId="1"/>
    <xf numFmtId="0" fontId="3" fillId="0" borderId="1"/>
    <xf numFmtId="0" fontId="3" fillId="0" borderId="1"/>
    <xf numFmtId="0" fontId="3" fillId="25" borderId="1" applyNumberFormat="0" applyBorder="0" applyAlignment="0" applyProtection="0"/>
    <xf numFmtId="164" fontId="3" fillId="0" borderId="1"/>
    <xf numFmtId="164" fontId="3" fillId="0" borderId="1"/>
    <xf numFmtId="0" fontId="3" fillId="19" borderId="1" applyNumberFormat="0" applyBorder="0" applyAlignment="0" applyProtection="0"/>
    <xf numFmtId="0" fontId="3" fillId="0" borderId="1"/>
    <xf numFmtId="0" fontId="3" fillId="0" borderId="1"/>
    <xf numFmtId="164" fontId="3" fillId="0" borderId="1"/>
    <xf numFmtId="0" fontId="3" fillId="13" borderId="1" applyNumberFormat="0" applyBorder="0" applyAlignment="0" applyProtection="0"/>
    <xf numFmtId="0" fontId="43" fillId="30" borderId="30" applyNumberFormat="0" applyAlignment="0" applyProtection="0"/>
    <xf numFmtId="43" fontId="3" fillId="0" borderId="1" applyFont="0" applyFill="0" applyBorder="0" applyAlignment="0" applyProtection="0"/>
    <xf numFmtId="0" fontId="3" fillId="0" borderId="1"/>
    <xf numFmtId="164" fontId="3" fillId="0" borderId="1"/>
    <xf numFmtId="0" fontId="3" fillId="19" borderId="1" applyNumberFormat="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0" fontId="3" fillId="18" borderId="1" applyNumberFormat="0" applyBorder="0" applyAlignment="0" applyProtection="0"/>
    <xf numFmtId="164" fontId="3" fillId="0" borderId="1"/>
    <xf numFmtId="0" fontId="3" fillId="0" borderId="1"/>
    <xf numFmtId="0" fontId="3" fillId="13" borderId="1" applyNumberFormat="0" applyBorder="0" applyAlignment="0" applyProtection="0"/>
    <xf numFmtId="0" fontId="3" fillId="0" borderId="1"/>
    <xf numFmtId="43" fontId="3" fillId="0" borderId="1" applyFont="0" applyFill="0" applyBorder="0" applyAlignment="0" applyProtection="0"/>
    <xf numFmtId="164" fontId="3" fillId="0" borderId="1"/>
    <xf numFmtId="0" fontId="3" fillId="17" borderId="1" applyNumberFormat="0" applyBorder="0" applyAlignment="0" applyProtection="0"/>
    <xf numFmtId="0" fontId="3" fillId="18" borderId="1" applyNumberFormat="0" applyBorder="0" applyAlignment="0" applyProtection="0"/>
    <xf numFmtId="0" fontId="3" fillId="13" borderId="1" applyNumberFormat="0" applyBorder="0" applyAlignment="0" applyProtection="0"/>
    <xf numFmtId="0" fontId="3" fillId="25" borderId="1" applyNumberFormat="0" applyBorder="0" applyAlignment="0" applyProtection="0"/>
    <xf numFmtId="0" fontId="3" fillId="0" borderId="1"/>
    <xf numFmtId="164" fontId="3" fillId="0" borderId="1"/>
    <xf numFmtId="0" fontId="3" fillId="0" borderId="1"/>
    <xf numFmtId="0" fontId="3" fillId="19" borderId="1" applyNumberFormat="0" applyBorder="0" applyAlignment="0" applyProtection="0"/>
    <xf numFmtId="164" fontId="3" fillId="0" borderId="1"/>
    <xf numFmtId="0" fontId="3" fillId="13" borderId="1" applyNumberFormat="0" applyBorder="0" applyAlignment="0" applyProtection="0"/>
    <xf numFmtId="0" fontId="3" fillId="0" borderId="1"/>
    <xf numFmtId="0" fontId="37" fillId="27" borderId="27" applyNumberFormat="0" applyAlignment="0" applyProtection="0"/>
    <xf numFmtId="0" fontId="3" fillId="0" borderId="1"/>
    <xf numFmtId="0" fontId="3" fillId="19" borderId="1" applyNumberFormat="0" applyBorder="0" applyAlignment="0" applyProtection="0"/>
    <xf numFmtId="0" fontId="3" fillId="0" borderId="1"/>
    <xf numFmtId="0" fontId="3" fillId="0" borderId="1"/>
    <xf numFmtId="0" fontId="3" fillId="13" borderId="1" applyNumberFormat="0" applyBorder="0" applyAlignment="0" applyProtection="0"/>
    <xf numFmtId="0" fontId="3" fillId="16" borderId="1" applyNumberFormat="0" applyBorder="0" applyAlignment="0" applyProtection="0"/>
    <xf numFmtId="0" fontId="3" fillId="0" borderId="1"/>
    <xf numFmtId="0" fontId="3" fillId="0" borderId="1"/>
    <xf numFmtId="0" fontId="3" fillId="19" borderId="1" applyNumberFormat="0" applyBorder="0" applyAlignment="0" applyProtection="0"/>
    <xf numFmtId="0" fontId="3" fillId="0" borderId="1"/>
    <xf numFmtId="43" fontId="3" fillId="0" borderId="1" applyFont="0" applyFill="0" applyBorder="0" applyAlignment="0" applyProtection="0"/>
    <xf numFmtId="0" fontId="34" fillId="31" borderId="1" applyNumberFormat="0" applyBorder="0" applyAlignment="0" applyProtection="0"/>
    <xf numFmtId="0" fontId="3" fillId="22" borderId="1" applyNumberFormat="0" applyBorder="0" applyAlignment="0" applyProtection="0"/>
    <xf numFmtId="0" fontId="3" fillId="0" borderId="1"/>
    <xf numFmtId="164" fontId="3" fillId="0" borderId="1"/>
    <xf numFmtId="0" fontId="3" fillId="13" borderId="1" applyNumberFormat="0" applyBorder="0" applyAlignment="0" applyProtection="0"/>
    <xf numFmtId="0" fontId="3" fillId="13" borderId="1" applyNumberFormat="0" applyBorder="0" applyAlignment="0" applyProtection="0"/>
    <xf numFmtId="0" fontId="3" fillId="0" borderId="1"/>
    <xf numFmtId="44" fontId="3" fillId="0" borderId="1" applyFont="0" applyFill="0" applyBorder="0" applyAlignment="0" applyProtection="0"/>
    <xf numFmtId="0" fontId="3" fillId="13" borderId="1" applyNumberFormat="0" applyBorder="0" applyAlignment="0" applyProtection="0"/>
    <xf numFmtId="0" fontId="3" fillId="0" borderId="1"/>
    <xf numFmtId="0" fontId="3" fillId="0" borderId="1"/>
    <xf numFmtId="0" fontId="3" fillId="13" borderId="1" applyNumberFormat="0" applyBorder="0" applyAlignment="0" applyProtection="0"/>
    <xf numFmtId="0" fontId="3" fillId="0" borderId="1"/>
    <xf numFmtId="0" fontId="3" fillId="0" borderId="1"/>
    <xf numFmtId="0" fontId="3" fillId="0" borderId="1"/>
    <xf numFmtId="0" fontId="3" fillId="0" borderId="1"/>
    <xf numFmtId="0" fontId="3" fillId="16" borderId="1" applyNumberFormat="0" applyBorder="0" applyAlignment="0" applyProtection="0"/>
    <xf numFmtId="0" fontId="3" fillId="0" borderId="1"/>
    <xf numFmtId="0" fontId="3" fillId="25" borderId="1" applyNumberFormat="0" applyBorder="0" applyAlignment="0" applyProtection="0"/>
    <xf numFmtId="164" fontId="3" fillId="0" borderId="1"/>
    <xf numFmtId="0" fontId="3" fillId="19" borderId="1" applyNumberFormat="0" applyBorder="0" applyAlignment="0" applyProtection="0"/>
    <xf numFmtId="0" fontId="3" fillId="0" borderId="1"/>
    <xf numFmtId="0" fontId="3" fillId="13" borderId="1" applyNumberFormat="0" applyBorder="0" applyAlignment="0" applyProtection="0"/>
    <xf numFmtId="0" fontId="3" fillId="0" borderId="1"/>
    <xf numFmtId="0" fontId="3" fillId="0" borderId="1"/>
    <xf numFmtId="164" fontId="3" fillId="0" borderId="1"/>
    <xf numFmtId="164" fontId="3" fillId="0" borderId="1"/>
    <xf numFmtId="0" fontId="3" fillId="25" borderId="1" applyNumberFormat="0" applyBorder="0" applyAlignment="0" applyProtection="0"/>
    <xf numFmtId="164" fontId="3" fillId="0" borderId="1"/>
    <xf numFmtId="0" fontId="3" fillId="19"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13" borderId="1" applyNumberFormat="0" applyBorder="0" applyAlignment="0" applyProtection="0"/>
    <xf numFmtId="0" fontId="3" fillId="19" borderId="1" applyNumberFormat="0" applyBorder="0" applyAlignment="0" applyProtection="0"/>
    <xf numFmtId="0" fontId="3" fillId="13" borderId="1" applyNumberFormat="0" applyBorder="0" applyAlignment="0" applyProtection="0"/>
    <xf numFmtId="0" fontId="3" fillId="0" borderId="1"/>
    <xf numFmtId="0" fontId="3" fillId="0" borderId="1"/>
    <xf numFmtId="0" fontId="3" fillId="19" borderId="1" applyNumberFormat="0" applyBorder="0" applyAlignment="0" applyProtection="0"/>
    <xf numFmtId="0" fontId="3" fillId="0" borderId="1"/>
    <xf numFmtId="0" fontId="3" fillId="0" borderId="1"/>
    <xf numFmtId="0" fontId="3" fillId="13"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3" borderId="1" applyNumberFormat="0" applyBorder="0" applyAlignment="0" applyProtection="0"/>
    <xf numFmtId="0" fontId="3" fillId="25" borderId="1" applyNumberFormat="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0" fontId="3" fillId="19" borderId="1" applyNumberFormat="0" applyBorder="0" applyAlignment="0" applyProtection="0"/>
    <xf numFmtId="164" fontId="3" fillId="0" borderId="1"/>
    <xf numFmtId="0" fontId="3" fillId="0" borderId="1"/>
    <xf numFmtId="0" fontId="3" fillId="0" borderId="1"/>
    <xf numFmtId="164" fontId="3" fillId="0" borderId="1"/>
    <xf numFmtId="0" fontId="3" fillId="24" borderId="1" applyNumberFormat="0" applyBorder="0" applyAlignment="0" applyProtection="0"/>
    <xf numFmtId="44" fontId="3" fillId="0" borderId="1" applyFont="0" applyFill="0" applyBorder="0" applyAlignment="0" applyProtection="0"/>
    <xf numFmtId="164" fontId="3" fillId="0" borderId="1"/>
    <xf numFmtId="0" fontId="3" fillId="19" borderId="1" applyNumberFormat="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0" fontId="3" fillId="13" borderId="1" applyNumberFormat="0" applyBorder="0" applyAlignment="0" applyProtection="0"/>
    <xf numFmtId="44" fontId="3" fillId="0" borderId="1" applyFont="0" applyFill="0" applyBorder="0" applyAlignment="0" applyProtection="0"/>
    <xf numFmtId="0" fontId="3" fillId="19" borderId="1" applyNumberFormat="0" applyBorder="0" applyAlignment="0" applyProtection="0"/>
    <xf numFmtId="164" fontId="3" fillId="0" borderId="1"/>
    <xf numFmtId="164" fontId="3" fillId="0" borderId="1"/>
    <xf numFmtId="0" fontId="3" fillId="13"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19" borderId="1" applyNumberFormat="0" applyBorder="0" applyAlignment="0" applyProtection="0"/>
    <xf numFmtId="0" fontId="3" fillId="18" borderId="1" applyNumberFormat="0" applyBorder="0" applyAlignment="0" applyProtection="0"/>
    <xf numFmtId="164" fontId="3" fillId="0" borderId="1"/>
    <xf numFmtId="164" fontId="3" fillId="0" borderId="1"/>
    <xf numFmtId="0" fontId="3" fillId="19" borderId="1" applyNumberFormat="0" applyBorder="0" applyAlignment="0" applyProtection="0"/>
    <xf numFmtId="164" fontId="3" fillId="0" borderId="1"/>
    <xf numFmtId="0" fontId="3" fillId="25" borderId="1" applyNumberFormat="0" applyBorder="0" applyAlignment="0" applyProtection="0"/>
    <xf numFmtId="164" fontId="3" fillId="0" borderId="1"/>
    <xf numFmtId="0" fontId="3" fillId="13" borderId="1" applyNumberFormat="0" applyBorder="0" applyAlignment="0" applyProtection="0"/>
    <xf numFmtId="164" fontId="3" fillId="0" borderId="1"/>
    <xf numFmtId="164" fontId="3" fillId="0" borderId="1"/>
    <xf numFmtId="0" fontId="3" fillId="25" borderId="1" applyNumberFormat="0" applyBorder="0" applyAlignment="0" applyProtection="0"/>
    <xf numFmtId="0" fontId="3" fillId="0" borderId="1"/>
    <xf numFmtId="0" fontId="3" fillId="19" borderId="1" applyNumberFormat="0" applyBorder="0" applyAlignment="0" applyProtection="0"/>
    <xf numFmtId="164" fontId="3" fillId="0" borderId="1"/>
    <xf numFmtId="164" fontId="3" fillId="0" borderId="1"/>
    <xf numFmtId="0" fontId="3" fillId="13" borderId="1" applyNumberFormat="0" applyBorder="0" applyAlignment="0" applyProtection="0"/>
    <xf numFmtId="44" fontId="3" fillId="0" borderId="1" applyFont="0" applyFill="0" applyBorder="0" applyAlignment="0" applyProtection="0"/>
    <xf numFmtId="0" fontId="3" fillId="19" borderId="1" applyNumberFormat="0" applyBorder="0" applyAlignment="0" applyProtection="0"/>
    <xf numFmtId="164" fontId="3" fillId="0" borderId="1"/>
    <xf numFmtId="164" fontId="3" fillId="0" borderId="1"/>
    <xf numFmtId="0" fontId="3" fillId="0" borderId="1"/>
    <xf numFmtId="0" fontId="3" fillId="0" borderId="1"/>
    <xf numFmtId="0" fontId="3" fillId="17" borderId="1" applyNumberFormat="0" applyBorder="0" applyAlignment="0" applyProtection="0"/>
    <xf numFmtId="0" fontId="3" fillId="0" borderId="1"/>
    <xf numFmtId="0" fontId="3" fillId="13" borderId="1" applyNumberFormat="0" applyBorder="0" applyAlignment="0" applyProtection="0"/>
    <xf numFmtId="164" fontId="3" fillId="0" borderId="1"/>
    <xf numFmtId="0" fontId="3" fillId="19" borderId="1" applyNumberFormat="0" applyBorder="0" applyAlignment="0" applyProtection="0"/>
    <xf numFmtId="0" fontId="3" fillId="0" borderId="1"/>
    <xf numFmtId="0" fontId="3" fillId="5" borderId="1" applyNumberFormat="0" applyBorder="0" applyAlignment="0" applyProtection="0"/>
    <xf numFmtId="0" fontId="3" fillId="0" borderId="1"/>
    <xf numFmtId="0" fontId="3" fillId="0" borderId="1"/>
    <xf numFmtId="164" fontId="3" fillId="0" borderId="1"/>
    <xf numFmtId="0" fontId="3" fillId="17" borderId="1" applyNumberFormat="0" applyBorder="0" applyAlignment="0" applyProtection="0"/>
    <xf numFmtId="164" fontId="3" fillId="0" borderId="1"/>
    <xf numFmtId="164" fontId="3" fillId="0" borderId="1"/>
    <xf numFmtId="164" fontId="3" fillId="0" borderId="1"/>
    <xf numFmtId="0" fontId="3" fillId="5"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3" borderId="1" applyNumberFormat="0" applyBorder="0" applyAlignment="0" applyProtection="0"/>
    <xf numFmtId="0" fontId="3" fillId="13" borderId="1" applyNumberFormat="0" applyBorder="0" applyAlignment="0" applyProtection="0"/>
    <xf numFmtId="0" fontId="3" fillId="16" borderId="1" applyNumberFormat="0" applyBorder="0" applyAlignment="0" applyProtection="0"/>
    <xf numFmtId="0" fontId="3" fillId="25" borderId="1" applyNumberFormat="0" applyBorder="0" applyAlignment="0" applyProtection="0"/>
    <xf numFmtId="0" fontId="3" fillId="0" borderId="1"/>
    <xf numFmtId="0" fontId="3" fillId="0" borderId="1"/>
    <xf numFmtId="164" fontId="3" fillId="0" borderId="1"/>
    <xf numFmtId="0" fontId="3" fillId="19" borderId="1" applyNumberFormat="0" applyBorder="0" applyAlignment="0" applyProtection="0"/>
    <xf numFmtId="0" fontId="3" fillId="0" borderId="1"/>
    <xf numFmtId="0" fontId="3" fillId="13" borderId="1" applyNumberFormat="0" applyBorder="0" applyAlignment="0" applyProtection="0"/>
    <xf numFmtId="0" fontId="3" fillId="13" borderId="1" applyNumberFormat="0" applyBorder="0" applyAlignment="0" applyProtection="0"/>
    <xf numFmtId="0" fontId="3" fillId="0" borderId="1"/>
    <xf numFmtId="0" fontId="3" fillId="13" borderId="1" applyNumberFormat="0" applyBorder="0" applyAlignment="0" applyProtection="0"/>
    <xf numFmtId="0" fontId="3" fillId="0" borderId="1"/>
    <xf numFmtId="0" fontId="3" fillId="0" borderId="1"/>
    <xf numFmtId="164" fontId="3" fillId="0" borderId="1"/>
    <xf numFmtId="0" fontId="3" fillId="0" borderId="1"/>
    <xf numFmtId="164" fontId="3" fillId="0" borderId="1"/>
    <xf numFmtId="0" fontId="3" fillId="19" borderId="1" applyNumberFormat="0" applyBorder="0" applyAlignment="0" applyProtection="0"/>
    <xf numFmtId="0" fontId="3" fillId="0" borderId="1"/>
    <xf numFmtId="0" fontId="3" fillId="18" borderId="1" applyNumberFormat="0" applyBorder="0" applyAlignment="0" applyProtection="0"/>
    <xf numFmtId="0" fontId="3" fillId="13" borderId="1" applyNumberFormat="0" applyBorder="0" applyAlignment="0" applyProtection="0"/>
    <xf numFmtId="0" fontId="3" fillId="0" borderId="1"/>
    <xf numFmtId="0" fontId="3" fillId="0" borderId="1"/>
    <xf numFmtId="0" fontId="3" fillId="0" borderId="1"/>
    <xf numFmtId="0" fontId="3" fillId="0" borderId="1"/>
    <xf numFmtId="164" fontId="3" fillId="0" borderId="1"/>
    <xf numFmtId="0" fontId="3" fillId="17" borderId="1" applyNumberFormat="0" applyBorder="0" applyAlignment="0" applyProtection="0"/>
    <xf numFmtId="0" fontId="3" fillId="13" borderId="1" applyNumberFormat="0" applyBorder="0" applyAlignment="0" applyProtection="0"/>
    <xf numFmtId="0" fontId="3" fillId="0" borderId="1"/>
    <xf numFmtId="0" fontId="3" fillId="0" borderId="1"/>
    <xf numFmtId="0" fontId="3" fillId="13"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0" fontId="3" fillId="19"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18" borderId="1" applyNumberFormat="0" applyBorder="0" applyAlignment="0" applyProtection="0"/>
    <xf numFmtId="0" fontId="3" fillId="22" borderId="1" applyNumberFormat="0" applyBorder="0" applyAlignment="0" applyProtection="0"/>
    <xf numFmtId="0" fontId="3" fillId="13" borderId="1" applyNumberFormat="0" applyBorder="0" applyAlignment="0" applyProtection="0"/>
    <xf numFmtId="0" fontId="3" fillId="0" borderId="1"/>
    <xf numFmtId="0" fontId="3" fillId="13" borderId="1" applyNumberFormat="0" applyBorder="0" applyAlignment="0" applyProtection="0"/>
    <xf numFmtId="0" fontId="3" fillId="0" borderId="1"/>
    <xf numFmtId="164" fontId="3" fillId="0" borderId="1"/>
    <xf numFmtId="0" fontId="3" fillId="15" borderId="1" applyNumberFormat="0" applyBorder="0" applyAlignment="0" applyProtection="0"/>
    <xf numFmtId="0" fontId="33" fillId="0" borderId="1"/>
    <xf numFmtId="0" fontId="34" fillId="26" borderId="1" applyNumberFormat="0" applyBorder="0" applyAlignment="0" applyProtection="0"/>
    <xf numFmtId="0" fontId="33" fillId="0" borderId="1"/>
    <xf numFmtId="0" fontId="34" fillId="26" borderId="1" applyNumberFormat="0" applyBorder="0" applyAlignment="0" applyProtection="0"/>
    <xf numFmtId="0" fontId="3" fillId="0" borderId="1"/>
    <xf numFmtId="0" fontId="3" fillId="19" borderId="1" applyNumberFormat="0" applyBorder="0" applyAlignment="0" applyProtection="0"/>
    <xf numFmtId="0" fontId="3" fillId="0" borderId="1"/>
    <xf numFmtId="0" fontId="3" fillId="18" borderId="1" applyNumberFormat="0" applyBorder="0" applyAlignment="0" applyProtection="0"/>
    <xf numFmtId="164" fontId="3" fillId="0" borderId="1"/>
    <xf numFmtId="0" fontId="3" fillId="0" borderId="1"/>
    <xf numFmtId="0" fontId="33" fillId="0" borderId="1"/>
    <xf numFmtId="0" fontId="3" fillId="0" borderId="1"/>
    <xf numFmtId="0" fontId="3" fillId="18" borderId="1" applyNumberFormat="0" applyBorder="0" applyAlignment="0" applyProtection="0"/>
    <xf numFmtId="164" fontId="3" fillId="0" borderId="1"/>
    <xf numFmtId="44" fontId="3" fillId="0" borderId="1" applyFont="0" applyFill="0" applyBorder="0" applyAlignment="0" applyProtection="0"/>
    <xf numFmtId="0" fontId="33" fillId="0" borderId="1"/>
    <xf numFmtId="0" fontId="3" fillId="18" borderId="1" applyNumberFormat="0" applyBorder="0" applyAlignment="0" applyProtection="0"/>
    <xf numFmtId="0" fontId="3" fillId="24" borderId="1" applyNumberFormat="0" applyBorder="0" applyAlignment="0" applyProtection="0"/>
    <xf numFmtId="0" fontId="3" fillId="25" borderId="1" applyNumberFormat="0" applyBorder="0" applyAlignment="0" applyProtection="0"/>
    <xf numFmtId="164" fontId="3" fillId="0" borderId="1"/>
    <xf numFmtId="164" fontId="3" fillId="0" borderId="1"/>
    <xf numFmtId="0" fontId="3" fillId="0" borderId="1"/>
    <xf numFmtId="164" fontId="3" fillId="0" borderId="1"/>
    <xf numFmtId="0" fontId="3" fillId="19"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0" fontId="3" fillId="22" borderId="1" applyNumberFormat="0" applyBorder="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0" fontId="3" fillId="18" borderId="1" applyNumberFormat="0" applyBorder="0" applyAlignment="0" applyProtection="0"/>
    <xf numFmtId="0" fontId="3" fillId="18" borderId="1" applyNumberFormat="0" applyBorder="0" applyAlignment="0" applyProtection="0"/>
    <xf numFmtId="43" fontId="3" fillId="0" borderId="1" applyFont="0" applyFill="0" applyBorder="0" applyAlignment="0" applyProtection="0"/>
    <xf numFmtId="0" fontId="3" fillId="21" borderId="1" applyNumberFormat="0" applyBorder="0" applyAlignment="0" applyProtection="0"/>
    <xf numFmtId="0" fontId="3" fillId="18"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15" borderId="1" applyNumberFormat="0" applyBorder="0" applyAlignment="0" applyProtection="0"/>
    <xf numFmtId="0" fontId="33" fillId="0" borderId="1"/>
    <xf numFmtId="0" fontId="3" fillId="18" borderId="1" applyNumberFormat="0" applyBorder="0" applyAlignment="0" applyProtection="0"/>
    <xf numFmtId="0" fontId="3" fillId="24" borderId="1" applyNumberFormat="0" applyBorder="0" applyAlignment="0" applyProtection="0"/>
    <xf numFmtId="0" fontId="3" fillId="25" borderId="1" applyNumberFormat="0" applyBorder="0" applyAlignment="0" applyProtection="0"/>
    <xf numFmtId="0" fontId="3" fillId="0" borderId="1"/>
    <xf numFmtId="0" fontId="33" fillId="0" borderId="1"/>
    <xf numFmtId="0" fontId="3" fillId="0" borderId="1"/>
    <xf numFmtId="0" fontId="3" fillId="0" borderId="1"/>
    <xf numFmtId="0" fontId="3" fillId="22" borderId="1" applyNumberFormat="0" applyBorder="0" applyAlignment="0" applyProtection="0"/>
    <xf numFmtId="164" fontId="3" fillId="0" borderId="1"/>
    <xf numFmtId="164" fontId="3" fillId="0" borderId="1"/>
    <xf numFmtId="0" fontId="3" fillId="0" borderId="1"/>
    <xf numFmtId="0" fontId="3" fillId="24" borderId="1" applyNumberFormat="0" applyBorder="0" applyAlignment="0" applyProtection="0"/>
    <xf numFmtId="0" fontId="3" fillId="0" borderId="1"/>
    <xf numFmtId="0" fontId="3" fillId="18" borderId="1" applyNumberFormat="0" applyBorder="0" applyAlignment="0" applyProtection="0"/>
    <xf numFmtId="44" fontId="3" fillId="0" borderId="1" applyFont="0" applyFill="0" applyBorder="0" applyAlignment="0" applyProtection="0"/>
    <xf numFmtId="0" fontId="3" fillId="18" borderId="1" applyNumberFormat="0" applyBorder="0" applyAlignment="0" applyProtection="0"/>
    <xf numFmtId="0" fontId="3" fillId="0" borderId="1"/>
    <xf numFmtId="0" fontId="33" fillId="0" borderId="1"/>
    <xf numFmtId="0" fontId="3" fillId="0" borderId="1"/>
    <xf numFmtId="0" fontId="3" fillId="0" borderId="1"/>
    <xf numFmtId="0" fontId="3" fillId="22" borderId="1" applyNumberFormat="0" applyBorder="0" applyAlignment="0" applyProtection="0"/>
    <xf numFmtId="164" fontId="3" fillId="0" borderId="1"/>
    <xf numFmtId="164" fontId="3" fillId="0" borderId="1"/>
    <xf numFmtId="0" fontId="3" fillId="0" borderId="1"/>
    <xf numFmtId="0" fontId="3" fillId="24" borderId="1" applyNumberFormat="0" applyBorder="0" applyAlignment="0" applyProtection="0"/>
    <xf numFmtId="0" fontId="3" fillId="0" borderId="1"/>
    <xf numFmtId="0" fontId="3" fillId="0" borderId="1"/>
    <xf numFmtId="0" fontId="3" fillId="18" borderId="1" applyNumberFormat="0" applyBorder="0" applyAlignment="0" applyProtection="0"/>
    <xf numFmtId="0" fontId="3" fillId="25"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22" borderId="1" applyNumberFormat="0" applyBorder="0" applyAlignment="0" applyProtection="0"/>
    <xf numFmtId="0" fontId="3" fillId="0" borderId="1"/>
    <xf numFmtId="0" fontId="3" fillId="0" borderId="1"/>
    <xf numFmtId="0" fontId="3" fillId="24" borderId="1" applyNumberFormat="0" applyBorder="0" applyAlignment="0" applyProtection="0"/>
    <xf numFmtId="0" fontId="3" fillId="0" borderId="1"/>
    <xf numFmtId="0" fontId="3" fillId="18" borderId="1" applyNumberFormat="0" applyBorder="0" applyAlignment="0" applyProtection="0"/>
    <xf numFmtId="44" fontId="34" fillId="0" borderId="1" applyFont="0" applyFill="0" applyBorder="0" applyAlignment="0" applyProtection="0"/>
    <xf numFmtId="164" fontId="3" fillId="0" borderId="1"/>
    <xf numFmtId="164" fontId="3" fillId="0" borderId="1"/>
    <xf numFmtId="0" fontId="3" fillId="0" borderId="1"/>
    <xf numFmtId="0" fontId="3" fillId="5" borderId="1" applyNumberFormat="0" applyBorder="0" applyAlignment="0" applyProtection="0"/>
    <xf numFmtId="0" fontId="3" fillId="0" borderId="1"/>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18"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0" borderId="1"/>
    <xf numFmtId="0" fontId="3" fillId="5" borderId="1" applyNumberFormat="0" applyBorder="0" applyAlignment="0" applyProtection="0"/>
    <xf numFmtId="164" fontId="3" fillId="0" borderId="1"/>
    <xf numFmtId="164" fontId="3" fillId="0" borderId="1"/>
    <xf numFmtId="0" fontId="3" fillId="19" borderId="1" applyNumberFormat="0" applyBorder="0" applyAlignment="0" applyProtection="0"/>
    <xf numFmtId="0" fontId="3" fillId="0" borderId="1"/>
    <xf numFmtId="0" fontId="3" fillId="5" borderId="1" applyNumberFormat="0" applyBorder="0" applyAlignment="0" applyProtection="0"/>
    <xf numFmtId="43" fontId="3" fillId="0" borderId="1" applyFont="0" applyFill="0" applyBorder="0" applyAlignment="0" applyProtection="0"/>
    <xf numFmtId="0" fontId="3" fillId="18" borderId="1" applyNumberFormat="0" applyBorder="0" applyAlignment="0" applyProtection="0"/>
    <xf numFmtId="0" fontId="3" fillId="0" borderId="1"/>
    <xf numFmtId="0" fontId="3" fillId="0" borderId="1"/>
    <xf numFmtId="0" fontId="3" fillId="0" borderId="1"/>
    <xf numFmtId="0" fontId="3" fillId="19" borderId="1" applyNumberFormat="0" applyBorder="0" applyAlignment="0" applyProtection="0"/>
    <xf numFmtId="0" fontId="3" fillId="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0" borderId="1"/>
    <xf numFmtId="0" fontId="3" fillId="5"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3" fontId="3" fillId="0" borderId="1" applyFont="0" applyFill="0" applyBorder="0" applyAlignment="0" applyProtection="0"/>
    <xf numFmtId="0" fontId="3" fillId="0" borderId="1"/>
    <xf numFmtId="0" fontId="3" fillId="18" borderId="1" applyNumberFormat="0" applyBorder="0" applyAlignment="0" applyProtection="0"/>
    <xf numFmtId="0" fontId="3" fillId="22" borderId="1" applyNumberFormat="0" applyBorder="0" applyAlignment="0" applyProtection="0"/>
    <xf numFmtId="164" fontId="3" fillId="0" borderId="1"/>
    <xf numFmtId="0" fontId="3" fillId="0" borderId="1"/>
    <xf numFmtId="0" fontId="3" fillId="0" borderId="1"/>
    <xf numFmtId="0" fontId="3" fillId="19" borderId="1" applyNumberFormat="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3" fillId="0" borderId="1"/>
    <xf numFmtId="0" fontId="3" fillId="0" borderId="1"/>
    <xf numFmtId="0" fontId="3" fillId="18" borderId="1" applyNumberFormat="0" applyBorder="0" applyAlignment="0" applyProtection="0"/>
    <xf numFmtId="0" fontId="3" fillId="22" borderId="1" applyNumberFormat="0" applyBorder="0" applyAlignment="0" applyProtection="0"/>
    <xf numFmtId="0" fontId="3" fillId="16" borderId="1" applyNumberFormat="0" applyBorder="0" applyAlignment="0" applyProtection="0"/>
    <xf numFmtId="0" fontId="3" fillId="0" borderId="1"/>
    <xf numFmtId="0" fontId="3" fillId="25" borderId="1" applyNumberFormat="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0" fontId="3" fillId="19" borderId="1" applyNumberFormat="0" applyBorder="0" applyAlignment="0" applyProtection="0"/>
    <xf numFmtId="0" fontId="3" fillId="0" borderId="1"/>
    <xf numFmtId="0" fontId="3" fillId="18" borderId="1" applyNumberFormat="0" applyBorder="0" applyAlignment="0" applyProtection="0"/>
    <xf numFmtId="0" fontId="3" fillId="22" borderId="1" applyNumberFormat="0" applyBorder="0" applyAlignment="0" applyProtection="0"/>
    <xf numFmtId="164" fontId="3" fillId="0" borderId="1"/>
    <xf numFmtId="0" fontId="3" fillId="16" borderId="1" applyNumberFormat="0" applyBorder="0" applyAlignment="0" applyProtection="0"/>
    <xf numFmtId="0" fontId="3" fillId="5" borderId="1" applyNumberFormat="0" applyBorder="0" applyAlignment="0" applyProtection="0"/>
    <xf numFmtId="0" fontId="3" fillId="0" borderId="1"/>
    <xf numFmtId="0" fontId="3" fillId="25" borderId="1" applyNumberFormat="0" applyBorder="0" applyAlignment="0" applyProtection="0"/>
    <xf numFmtId="0" fontId="3" fillId="0" borderId="1"/>
    <xf numFmtId="0" fontId="3" fillId="25" borderId="1" applyNumberFormat="0" applyBorder="0" applyAlignment="0" applyProtection="0"/>
    <xf numFmtId="164" fontId="3" fillId="0" borderId="1"/>
    <xf numFmtId="0" fontId="3" fillId="19" borderId="1" applyNumberFormat="0" applyBorder="0" applyAlignment="0" applyProtection="0"/>
    <xf numFmtId="0" fontId="3" fillId="0" borderId="1"/>
    <xf numFmtId="0" fontId="3" fillId="18" borderId="1" applyNumberFormat="0" applyBorder="0" applyAlignment="0" applyProtection="0"/>
    <xf numFmtId="0" fontId="3" fillId="0" borderId="1"/>
    <xf numFmtId="0" fontId="3" fillId="0" borderId="1"/>
    <xf numFmtId="0" fontId="3" fillId="16" borderId="1" applyNumberFormat="0" applyBorder="0" applyAlignment="0" applyProtection="0"/>
    <xf numFmtId="0" fontId="3" fillId="0" borderId="1"/>
    <xf numFmtId="0" fontId="3" fillId="25" borderId="1" applyNumberFormat="0" applyBorder="0" applyAlignment="0" applyProtection="0"/>
    <xf numFmtId="164" fontId="3" fillId="0" borderId="1"/>
    <xf numFmtId="0" fontId="3" fillId="19" borderId="1" applyNumberFormat="0" applyBorder="0" applyAlignment="0" applyProtection="0"/>
    <xf numFmtId="0" fontId="3" fillId="0" borderId="1"/>
    <xf numFmtId="0" fontId="3" fillId="0" borderId="1"/>
    <xf numFmtId="0" fontId="3" fillId="18"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44" fillId="46" borderId="1" applyNumberFormat="0" applyBorder="0" applyAlignment="0" applyProtection="0"/>
    <xf numFmtId="0" fontId="3" fillId="16" borderId="1" applyNumberFormat="0" applyBorder="0" applyAlignment="0" applyProtection="0"/>
    <xf numFmtId="0" fontId="3" fillId="0" borderId="1"/>
    <xf numFmtId="0" fontId="3" fillId="0" borderId="1"/>
    <xf numFmtId="0" fontId="3" fillId="18" borderId="1" applyNumberFormat="0" applyBorder="0" applyAlignment="0" applyProtection="0"/>
    <xf numFmtId="43" fontId="3" fillId="0" borderId="1" applyFont="0" applyFill="0" applyBorder="0" applyAlignment="0" applyProtection="0"/>
    <xf numFmtId="0" fontId="3" fillId="22" borderId="1" applyNumberFormat="0" applyBorder="0" applyAlignment="0" applyProtection="0"/>
    <xf numFmtId="0" fontId="3" fillId="0" borderId="1"/>
    <xf numFmtId="0" fontId="3" fillId="0" borderId="1"/>
    <xf numFmtId="164" fontId="3" fillId="0" borderId="1"/>
    <xf numFmtId="0" fontId="3" fillId="0" borderId="1"/>
    <xf numFmtId="0" fontId="3" fillId="18" borderId="1" applyNumberFormat="0" applyBorder="0" applyAlignment="0" applyProtection="0"/>
    <xf numFmtId="164" fontId="3" fillId="0" borderId="1"/>
    <xf numFmtId="0" fontId="3" fillId="19" borderId="1" applyNumberFormat="0" applyBorder="0" applyAlignment="0" applyProtection="0"/>
    <xf numFmtId="0" fontId="3" fillId="15" borderId="1" applyNumberFormat="0" applyBorder="0" applyAlignment="0" applyProtection="0"/>
    <xf numFmtId="0" fontId="3" fillId="0" borderId="1"/>
    <xf numFmtId="0" fontId="3" fillId="0" borderId="1"/>
    <xf numFmtId="164" fontId="3" fillId="0" borderId="1"/>
    <xf numFmtId="43" fontId="3" fillId="0" borderId="1" applyFont="0" applyFill="0" applyBorder="0" applyAlignment="0" applyProtection="0"/>
    <xf numFmtId="164" fontId="3" fillId="0" borderId="1"/>
    <xf numFmtId="164" fontId="3" fillId="0" borderId="1"/>
    <xf numFmtId="0" fontId="3" fillId="22" borderId="1" applyNumberFormat="0" applyBorder="0" applyAlignment="0" applyProtection="0"/>
    <xf numFmtId="0" fontId="3" fillId="15" borderId="1" applyNumberFormat="0" applyBorder="0" applyAlignment="0" applyProtection="0"/>
    <xf numFmtId="0" fontId="3" fillId="18" borderId="1" applyNumberFormat="0" applyBorder="0" applyAlignment="0" applyProtection="0"/>
    <xf numFmtId="0" fontId="3" fillId="18" borderId="1" applyNumberFormat="0" applyBorder="0" applyAlignment="0" applyProtection="0"/>
    <xf numFmtId="0" fontId="3" fillId="0" borderId="1"/>
    <xf numFmtId="0" fontId="3" fillId="0" borderId="1"/>
    <xf numFmtId="0" fontId="3" fillId="25" borderId="1" applyNumberFormat="0" applyBorder="0" applyAlignment="0" applyProtection="0"/>
    <xf numFmtId="0" fontId="3" fillId="18" borderId="1" applyNumberFormat="0" applyBorder="0" applyAlignment="0" applyProtection="0"/>
    <xf numFmtId="0" fontId="3" fillId="16" borderId="1" applyNumberFormat="0" applyBorder="0" applyAlignment="0" applyProtection="0"/>
    <xf numFmtId="0" fontId="3" fillId="18"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25" borderId="1" applyNumberFormat="0" applyBorder="0" applyAlignment="0" applyProtection="0"/>
    <xf numFmtId="164" fontId="3" fillId="0" borderId="1"/>
    <xf numFmtId="164" fontId="3" fillId="0" borderId="1"/>
    <xf numFmtId="0" fontId="3" fillId="18" borderId="1" applyNumberFormat="0" applyBorder="0" applyAlignment="0" applyProtection="0"/>
    <xf numFmtId="164" fontId="3" fillId="0" borderId="1"/>
    <xf numFmtId="164" fontId="3" fillId="0" borderId="1"/>
    <xf numFmtId="164" fontId="3" fillId="0" borderId="1"/>
    <xf numFmtId="0" fontId="3" fillId="18" borderId="1" applyNumberFormat="0" applyBorder="0" applyAlignment="0" applyProtection="0"/>
    <xf numFmtId="0" fontId="3" fillId="18" borderId="1" applyNumberFormat="0" applyBorder="0" applyAlignment="0" applyProtection="0"/>
    <xf numFmtId="164" fontId="3" fillId="0" borderId="1"/>
    <xf numFmtId="164" fontId="3" fillId="0" borderId="1"/>
    <xf numFmtId="0" fontId="3" fillId="0" borderId="1"/>
    <xf numFmtId="0" fontId="3" fillId="0" borderId="1"/>
    <xf numFmtId="0" fontId="3" fillId="18" borderId="1" applyNumberFormat="0" applyBorder="0" applyAlignment="0" applyProtection="0"/>
    <xf numFmtId="0" fontId="3" fillId="22" borderId="1" applyNumberFormat="0" applyBorder="0" applyAlignment="0" applyProtection="0"/>
    <xf numFmtId="0" fontId="3" fillId="0" borderId="1"/>
    <xf numFmtId="0" fontId="3" fillId="18" borderId="1" applyNumberFormat="0" applyBorder="0" applyAlignment="0" applyProtection="0"/>
    <xf numFmtId="0" fontId="3" fillId="0" borderId="1"/>
    <xf numFmtId="0" fontId="3" fillId="19" borderId="1" applyNumberFormat="0" applyBorder="0" applyAlignment="0" applyProtection="0"/>
    <xf numFmtId="0" fontId="33" fillId="0" borderId="1"/>
    <xf numFmtId="0" fontId="3" fillId="18" borderId="1" applyNumberFormat="0" applyBorder="0" applyAlignment="0" applyProtection="0"/>
    <xf numFmtId="0" fontId="3" fillId="0" borderId="1"/>
    <xf numFmtId="0" fontId="3" fillId="0" borderId="1"/>
    <xf numFmtId="0" fontId="3" fillId="25" borderId="1" applyNumberFormat="0" applyBorder="0" applyAlignment="0" applyProtection="0"/>
    <xf numFmtId="0" fontId="3" fillId="18" borderId="1" applyNumberFormat="0" applyBorder="0" applyAlignment="0" applyProtection="0"/>
    <xf numFmtId="0" fontId="3" fillId="0" borderId="1"/>
    <xf numFmtId="0" fontId="3" fillId="18" borderId="1" applyNumberFormat="0" applyBorder="0" applyAlignment="0" applyProtection="0"/>
    <xf numFmtId="0" fontId="35" fillId="0" borderId="1" applyNumberFormat="0" applyFill="0" applyBorder="0" applyAlignment="0" applyProtection="0"/>
    <xf numFmtId="0" fontId="33" fillId="20" borderId="26" applyNumberFormat="0" applyFont="0" applyAlignment="0" applyProtection="0"/>
    <xf numFmtId="0" fontId="3" fillId="24" borderId="1" applyNumberFormat="0" applyBorder="0" applyAlignment="0" applyProtection="0"/>
    <xf numFmtId="0" fontId="3" fillId="25" borderId="1" applyNumberFormat="0" applyBorder="0" applyAlignment="0" applyProtection="0"/>
    <xf numFmtId="0" fontId="3" fillId="0" borderId="1"/>
    <xf numFmtId="0" fontId="3" fillId="18" borderId="1" applyNumberFormat="0" applyBorder="0" applyAlignment="0" applyProtection="0"/>
    <xf numFmtId="0" fontId="3" fillId="16" borderId="1" applyNumberFormat="0" applyBorder="0" applyAlignment="0" applyProtection="0"/>
    <xf numFmtId="0" fontId="3" fillId="24" borderId="1" applyNumberFormat="0" applyBorder="0" applyAlignment="0" applyProtection="0"/>
    <xf numFmtId="0" fontId="3" fillId="18" borderId="1" applyNumberFormat="0" applyBorder="0" applyAlignment="0" applyProtection="0"/>
    <xf numFmtId="0" fontId="3" fillId="18" borderId="1" applyNumberFormat="0" applyBorder="0" applyAlignment="0" applyProtection="0"/>
    <xf numFmtId="44" fontId="3" fillId="0" borderId="1" applyFont="0" applyFill="0" applyBorder="0" applyAlignment="0" applyProtection="0"/>
    <xf numFmtId="164" fontId="3" fillId="0" borderId="1"/>
    <xf numFmtId="0" fontId="3" fillId="18" borderId="1" applyNumberFormat="0" applyBorder="0" applyAlignment="0" applyProtection="0"/>
    <xf numFmtId="0" fontId="3" fillId="0" borderId="1"/>
    <xf numFmtId="0" fontId="3" fillId="0" borderId="1"/>
    <xf numFmtId="0" fontId="3" fillId="0" borderId="1"/>
    <xf numFmtId="0" fontId="3" fillId="18" borderId="1" applyNumberFormat="0" applyBorder="0" applyAlignment="0" applyProtection="0"/>
    <xf numFmtId="165" fontId="33" fillId="0" borderId="1" applyFont="0" applyFill="0" applyBorder="0" applyAlignment="0" applyProtection="0"/>
    <xf numFmtId="0" fontId="3" fillId="16" borderId="1" applyNumberFormat="0" applyBorder="0" applyAlignment="0" applyProtection="0"/>
    <xf numFmtId="0" fontId="3" fillId="0" borderId="1"/>
    <xf numFmtId="0" fontId="3" fillId="18"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18" borderId="1" applyNumberFormat="0" applyBorder="0" applyAlignment="0" applyProtection="0"/>
    <xf numFmtId="0" fontId="3" fillId="0" borderId="1"/>
    <xf numFmtId="0" fontId="3" fillId="0" borderId="1"/>
    <xf numFmtId="0" fontId="3" fillId="22"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0" fontId="3" fillId="18" borderId="1" applyNumberFormat="0" applyBorder="0" applyAlignment="0" applyProtection="0"/>
    <xf numFmtId="0" fontId="3" fillId="0" borderId="1"/>
    <xf numFmtId="0" fontId="3" fillId="16" borderId="1" applyNumberFormat="0" applyBorder="0" applyAlignment="0" applyProtection="0"/>
    <xf numFmtId="44" fontId="3" fillId="0" borderId="1" applyFont="0" applyFill="0" applyBorder="0" applyAlignment="0" applyProtection="0"/>
    <xf numFmtId="164" fontId="3" fillId="0" borderId="1"/>
    <xf numFmtId="0" fontId="3" fillId="18" borderId="1" applyNumberFormat="0" applyBorder="0" applyAlignment="0" applyProtection="0"/>
    <xf numFmtId="164" fontId="3" fillId="0" borderId="1"/>
    <xf numFmtId="0" fontId="3" fillId="0" borderId="1"/>
    <xf numFmtId="0" fontId="3" fillId="0" borderId="1"/>
    <xf numFmtId="0" fontId="3" fillId="18" borderId="1" applyNumberFormat="0" applyBorder="0" applyAlignment="0" applyProtection="0"/>
    <xf numFmtId="165" fontId="33" fillId="0" borderId="1" applyFont="0" applyFill="0" applyBorder="0" applyAlignment="0" applyProtection="0"/>
    <xf numFmtId="0" fontId="3" fillId="24"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0" borderId="1"/>
    <xf numFmtId="0" fontId="3" fillId="0" borderId="1"/>
    <xf numFmtId="0" fontId="3" fillId="0" borderId="1"/>
    <xf numFmtId="0" fontId="3" fillId="18" borderId="1" applyNumberFormat="0" applyBorder="0" applyAlignment="0" applyProtection="0"/>
    <xf numFmtId="165" fontId="33" fillId="0" borderId="1" applyFont="0" applyFill="0" applyBorder="0" applyAlignment="0" applyProtection="0"/>
    <xf numFmtId="0" fontId="3" fillId="18" borderId="1" applyNumberFormat="0" applyBorder="0" applyAlignment="0" applyProtection="0"/>
    <xf numFmtId="0" fontId="3" fillId="0" borderId="1"/>
    <xf numFmtId="0" fontId="3" fillId="18" borderId="1" applyNumberFormat="0" applyBorder="0" applyAlignment="0" applyProtection="0"/>
    <xf numFmtId="0" fontId="3" fillId="0" borderId="1"/>
    <xf numFmtId="0" fontId="3" fillId="0" borderId="1"/>
    <xf numFmtId="0" fontId="3" fillId="0" borderId="1"/>
    <xf numFmtId="0" fontId="33" fillId="0" borderId="1"/>
    <xf numFmtId="0" fontId="3" fillId="0" borderId="1"/>
    <xf numFmtId="0" fontId="3" fillId="24" borderId="1" applyNumberFormat="0" applyBorder="0" applyAlignment="0" applyProtection="0"/>
    <xf numFmtId="0" fontId="3" fillId="25" borderId="1" applyNumberFormat="0" applyBorder="0" applyAlignment="0" applyProtection="0"/>
    <xf numFmtId="0" fontId="3" fillId="0" borderId="1"/>
    <xf numFmtId="0" fontId="3" fillId="0" borderId="1"/>
    <xf numFmtId="164" fontId="3" fillId="0" borderId="1"/>
    <xf numFmtId="0" fontId="3" fillId="18" borderId="1" applyNumberFormat="0" applyBorder="0" applyAlignment="0" applyProtection="0"/>
    <xf numFmtId="0" fontId="3" fillId="0" borderId="1"/>
    <xf numFmtId="164" fontId="3" fillId="0" borderId="1"/>
    <xf numFmtId="0" fontId="3" fillId="24" borderId="1" applyNumberFormat="0" applyBorder="0" applyAlignment="0" applyProtection="0"/>
    <xf numFmtId="164" fontId="3" fillId="0" borderId="1"/>
    <xf numFmtId="164" fontId="3" fillId="0" borderId="1"/>
    <xf numFmtId="0" fontId="3" fillId="0" borderId="1"/>
    <xf numFmtId="0" fontId="3" fillId="18" borderId="1" applyNumberFormat="0" applyBorder="0" applyAlignment="0" applyProtection="0"/>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18" borderId="1" applyNumberFormat="0" applyBorder="0" applyAlignment="0" applyProtection="0"/>
    <xf numFmtId="0" fontId="3" fillId="0" borderId="1"/>
    <xf numFmtId="0" fontId="3" fillId="0" borderId="1"/>
    <xf numFmtId="164" fontId="3" fillId="0" borderId="1"/>
    <xf numFmtId="0" fontId="3" fillId="15"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18" borderId="1" applyNumberFormat="0" applyBorder="0" applyAlignment="0" applyProtection="0"/>
    <xf numFmtId="0" fontId="3" fillId="0" borderId="1"/>
    <xf numFmtId="164" fontId="3" fillId="0" borderId="1"/>
    <xf numFmtId="0" fontId="44" fillId="45"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 fillId="17" borderId="1" applyNumberFormat="0" applyBorder="0" applyAlignment="0" applyProtection="0"/>
    <xf numFmtId="0" fontId="3" fillId="18" borderId="1" applyNumberFormat="0" applyBorder="0" applyAlignment="0" applyProtection="0"/>
    <xf numFmtId="0" fontId="3" fillId="17" borderId="1" applyNumberFormat="0" applyBorder="0" applyAlignment="0" applyProtection="0"/>
    <xf numFmtId="164" fontId="3" fillId="0" borderId="1"/>
    <xf numFmtId="0" fontId="3" fillId="15" borderId="1" applyNumberFormat="0" applyBorder="0" applyAlignment="0" applyProtection="0"/>
    <xf numFmtId="0" fontId="3" fillId="0" borderId="1"/>
    <xf numFmtId="0" fontId="3" fillId="0" borderId="1"/>
    <xf numFmtId="164" fontId="3" fillId="0" borderId="1"/>
    <xf numFmtId="0" fontId="3" fillId="15" borderId="1" applyNumberFormat="0" applyBorder="0" applyAlignment="0" applyProtection="0"/>
    <xf numFmtId="44" fontId="3" fillId="0" borderId="1" applyFont="0" applyFill="0" applyBorder="0" applyAlignment="0" applyProtection="0"/>
    <xf numFmtId="164" fontId="3" fillId="0" borderId="1"/>
    <xf numFmtId="0" fontId="3" fillId="18" borderId="1" applyNumberFormat="0" applyBorder="0" applyAlignment="0" applyProtection="0"/>
    <xf numFmtId="0" fontId="3" fillId="0" borderId="1"/>
    <xf numFmtId="0" fontId="3" fillId="17" borderId="1" applyNumberFormat="0" applyBorder="0" applyAlignment="0" applyProtection="0"/>
    <xf numFmtId="164" fontId="3" fillId="0" borderId="1"/>
    <xf numFmtId="164" fontId="3" fillId="0" borderId="1"/>
    <xf numFmtId="164" fontId="3" fillId="0" borderId="1"/>
    <xf numFmtId="0" fontId="3" fillId="0" borderId="1"/>
    <xf numFmtId="0" fontId="3" fillId="18" borderId="1" applyNumberFormat="0" applyBorder="0" applyAlignment="0" applyProtection="0"/>
    <xf numFmtId="0" fontId="3" fillId="15" borderId="1" applyNumberFormat="0" applyBorder="0" applyAlignment="0" applyProtection="0"/>
    <xf numFmtId="0" fontId="3" fillId="0" borderId="1"/>
    <xf numFmtId="164" fontId="3" fillId="0" borderId="1"/>
    <xf numFmtId="164" fontId="3" fillId="0" borderId="1"/>
    <xf numFmtId="0" fontId="3" fillId="18" borderId="1" applyNumberFormat="0" applyBorder="0" applyAlignment="0" applyProtection="0"/>
    <xf numFmtId="0" fontId="3" fillId="0" borderId="1"/>
    <xf numFmtId="0" fontId="3" fillId="0" borderId="1"/>
    <xf numFmtId="0" fontId="3" fillId="0" borderId="1"/>
    <xf numFmtId="0" fontId="3" fillId="18" borderId="1" applyNumberFormat="0" applyBorder="0" applyAlignment="0" applyProtection="0"/>
    <xf numFmtId="0" fontId="3" fillId="0" borderId="1"/>
    <xf numFmtId="164" fontId="3" fillId="0" borderId="1"/>
    <xf numFmtId="0" fontId="3" fillId="17" borderId="1" applyNumberFormat="0" applyBorder="0" applyAlignment="0" applyProtection="0"/>
    <xf numFmtId="0" fontId="3" fillId="0" borderId="1"/>
    <xf numFmtId="0" fontId="3" fillId="19" borderId="1" applyNumberFormat="0" applyBorder="0" applyAlignment="0" applyProtection="0"/>
    <xf numFmtId="0" fontId="3" fillId="0" borderId="1"/>
    <xf numFmtId="165" fontId="33" fillId="0" borderId="1" applyFont="0" applyFill="0" applyBorder="0" applyAlignment="0" applyProtection="0"/>
    <xf numFmtId="0" fontId="3" fillId="0" borderId="1"/>
    <xf numFmtId="0" fontId="3" fillId="17" borderId="1" applyNumberFormat="0" applyBorder="0" applyAlignment="0" applyProtection="0"/>
    <xf numFmtId="0" fontId="3" fillId="0" borderId="1"/>
    <xf numFmtId="164" fontId="3" fillId="0" borderId="1"/>
    <xf numFmtId="0" fontId="3" fillId="15" borderId="1" applyNumberFormat="0" applyBorder="0" applyAlignment="0" applyProtection="0"/>
    <xf numFmtId="164" fontId="3" fillId="0" borderId="1"/>
    <xf numFmtId="0" fontId="3" fillId="18" borderId="1" applyNumberFormat="0" applyBorder="0" applyAlignment="0" applyProtection="0"/>
    <xf numFmtId="164" fontId="3" fillId="0" borderId="1"/>
    <xf numFmtId="0" fontId="3" fillId="18" borderId="1" applyNumberFormat="0" applyBorder="0" applyAlignment="0" applyProtection="0"/>
    <xf numFmtId="0" fontId="3" fillId="24" borderId="1" applyNumberFormat="0" applyBorder="0" applyAlignment="0" applyProtection="0"/>
    <xf numFmtId="0" fontId="3" fillId="25" borderId="1" applyNumberFormat="0" applyBorder="0" applyAlignment="0" applyProtection="0"/>
    <xf numFmtId="0" fontId="3" fillId="0" borderId="1"/>
    <xf numFmtId="0" fontId="3" fillId="18" borderId="1" applyNumberFormat="0" applyBorder="0" applyAlignment="0" applyProtection="0"/>
    <xf numFmtId="0" fontId="3" fillId="0" borderId="1"/>
    <xf numFmtId="0" fontId="3" fillId="24" borderId="1" applyNumberFormat="0" applyBorder="0" applyAlignment="0" applyProtection="0"/>
    <xf numFmtId="0" fontId="3" fillId="0" borderId="1"/>
    <xf numFmtId="0" fontId="3" fillId="18" borderId="1" applyNumberFormat="0" applyBorder="0" applyAlignment="0" applyProtection="0"/>
    <xf numFmtId="164" fontId="3" fillId="0" borderId="1"/>
    <xf numFmtId="164" fontId="3" fillId="0" borderId="1"/>
    <xf numFmtId="164" fontId="3" fillId="0" borderId="1"/>
    <xf numFmtId="0" fontId="3" fillId="18" borderId="1" applyNumberFormat="0" applyBorder="0" applyAlignment="0" applyProtection="0"/>
    <xf numFmtId="0" fontId="3" fillId="15" borderId="1" applyNumberFormat="0" applyBorder="0" applyAlignment="0" applyProtection="0"/>
    <xf numFmtId="0" fontId="3" fillId="18" borderId="1" applyNumberFormat="0" applyBorder="0" applyAlignment="0" applyProtection="0"/>
    <xf numFmtId="0" fontId="3" fillId="0" borderId="1"/>
    <xf numFmtId="0" fontId="3" fillId="18" borderId="1" applyNumberFormat="0" applyBorder="0" applyAlignment="0" applyProtection="0"/>
    <xf numFmtId="164" fontId="3" fillId="0" borderId="1"/>
    <xf numFmtId="0" fontId="3" fillId="15" borderId="1" applyNumberFormat="0" applyBorder="0" applyAlignment="0" applyProtection="0"/>
    <xf numFmtId="0" fontId="3" fillId="18" borderId="1" applyNumberFormat="0" applyBorder="0" applyAlignment="0" applyProtection="0"/>
    <xf numFmtId="164" fontId="3" fillId="0" borderId="1"/>
    <xf numFmtId="0" fontId="3" fillId="15"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18" borderId="1" applyNumberFormat="0" applyBorder="0" applyAlignment="0" applyProtection="0"/>
    <xf numFmtId="0" fontId="3" fillId="0" borderId="1"/>
    <xf numFmtId="0" fontId="3" fillId="0" borderId="1"/>
    <xf numFmtId="164" fontId="3" fillId="0" borderId="1"/>
    <xf numFmtId="0" fontId="3" fillId="22" borderId="1" applyNumberFormat="0" applyBorder="0" applyAlignment="0" applyProtection="0"/>
    <xf numFmtId="0" fontId="3" fillId="0" borderId="1"/>
    <xf numFmtId="0" fontId="3" fillId="21" borderId="1" applyNumberFormat="0" applyBorder="0" applyAlignment="0" applyProtection="0"/>
    <xf numFmtId="0" fontId="3" fillId="0" borderId="1"/>
    <xf numFmtId="164" fontId="3" fillId="0" borderId="1"/>
    <xf numFmtId="164" fontId="3" fillId="0" borderId="1"/>
    <xf numFmtId="0" fontId="3" fillId="0" borderId="1"/>
    <xf numFmtId="0" fontId="3" fillId="25" borderId="1" applyNumberFormat="0" applyBorder="0" applyAlignment="0" applyProtection="0"/>
    <xf numFmtId="0" fontId="3" fillId="25" borderId="1" applyNumberFormat="0" applyBorder="0" applyAlignment="0" applyProtection="0"/>
    <xf numFmtId="0" fontId="3" fillId="0" borderId="1"/>
    <xf numFmtId="0" fontId="3" fillId="0" borderId="1"/>
    <xf numFmtId="0" fontId="3" fillId="18" borderId="1" applyNumberFormat="0" applyBorder="0" applyAlignment="0" applyProtection="0"/>
    <xf numFmtId="0" fontId="3" fillId="16" borderId="1" applyNumberFormat="0" applyBorder="0" applyAlignment="0" applyProtection="0"/>
    <xf numFmtId="0" fontId="3" fillId="0" borderId="1"/>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21" borderId="1" applyNumberFormat="0" applyBorder="0" applyAlignment="0" applyProtection="0"/>
    <xf numFmtId="164" fontId="3" fillId="0" borderId="1"/>
    <xf numFmtId="0" fontId="3" fillId="0" borderId="1"/>
    <xf numFmtId="0" fontId="3" fillId="25" borderId="1" applyNumberFormat="0" applyBorder="0" applyAlignment="0" applyProtection="0"/>
    <xf numFmtId="164" fontId="3" fillId="0" borderId="1"/>
    <xf numFmtId="164" fontId="3" fillId="0" borderId="1"/>
    <xf numFmtId="164" fontId="3" fillId="0" borderId="1"/>
    <xf numFmtId="0" fontId="3" fillId="18" borderId="1" applyNumberFormat="0" applyBorder="0" applyAlignment="0" applyProtection="0"/>
    <xf numFmtId="165" fontId="3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43" fontId="3" fillId="0" borderId="1" applyFont="0" applyFill="0" applyBorder="0" applyAlignment="0" applyProtection="0"/>
    <xf numFmtId="0" fontId="3" fillId="22" borderId="1" applyNumberFormat="0" applyBorder="0" applyAlignment="0" applyProtection="0"/>
    <xf numFmtId="0" fontId="3" fillId="0" borderId="1"/>
    <xf numFmtId="0" fontId="3" fillId="0" borderId="1"/>
    <xf numFmtId="0" fontId="3" fillId="18" borderId="1" applyNumberFormat="0" applyBorder="0" applyAlignment="0" applyProtection="0"/>
    <xf numFmtId="0" fontId="3" fillId="0" borderId="1"/>
    <xf numFmtId="0" fontId="3" fillId="0" borderId="1"/>
    <xf numFmtId="0" fontId="3" fillId="0" borderId="1"/>
    <xf numFmtId="164" fontId="3" fillId="0" borderId="1"/>
    <xf numFmtId="0" fontId="3" fillId="25"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164" fontId="3" fillId="0" borderId="1"/>
    <xf numFmtId="0" fontId="3" fillId="22" borderId="1" applyNumberFormat="0" applyBorder="0" applyAlignment="0" applyProtection="0"/>
    <xf numFmtId="0" fontId="3" fillId="0" borderId="1"/>
    <xf numFmtId="0" fontId="3" fillId="24" borderId="1" applyNumberFormat="0" applyBorder="0" applyAlignment="0" applyProtection="0"/>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0" fontId="3" fillId="18" borderId="1" applyNumberFormat="0" applyBorder="0" applyAlignment="0" applyProtection="0"/>
    <xf numFmtId="164" fontId="3" fillId="0" borderId="1"/>
    <xf numFmtId="0" fontId="3" fillId="25"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164" fontId="3" fillId="0" borderId="1"/>
    <xf numFmtId="0" fontId="3" fillId="22" borderId="1" applyNumberFormat="0" applyBorder="0" applyAlignment="0" applyProtection="0"/>
    <xf numFmtId="0" fontId="3" fillId="0" borderId="1"/>
    <xf numFmtId="164" fontId="3" fillId="0" borderId="1"/>
    <xf numFmtId="164" fontId="3" fillId="0" borderId="1"/>
    <xf numFmtId="0" fontId="3" fillId="0" borderId="1"/>
    <xf numFmtId="165" fontId="33" fillId="0" borderId="1" applyFont="0" applyFill="0" applyBorder="0" applyAlignment="0" applyProtection="0"/>
    <xf numFmtId="0" fontId="3" fillId="18" borderId="1" applyNumberFormat="0" applyBorder="0" applyAlignment="0" applyProtection="0"/>
    <xf numFmtId="0" fontId="3" fillId="0" borderId="1"/>
    <xf numFmtId="0" fontId="3" fillId="0" borderId="1"/>
    <xf numFmtId="0" fontId="3" fillId="0" borderId="1"/>
    <xf numFmtId="164" fontId="3" fillId="0" borderId="1"/>
    <xf numFmtId="0" fontId="3" fillId="22" borderId="1" applyNumberFormat="0" applyBorder="0" applyAlignment="0" applyProtection="0"/>
    <xf numFmtId="0" fontId="3" fillId="15"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45" fillId="35" borderId="1" applyNumberFormat="0" applyBorder="0" applyAlignment="0" applyProtection="0"/>
    <xf numFmtId="164" fontId="3" fillId="0" borderId="1"/>
    <xf numFmtId="164" fontId="3" fillId="0" borderId="1"/>
    <xf numFmtId="165" fontId="33" fillId="0" borderId="1" applyFont="0" applyFill="0" applyBorder="0" applyAlignment="0" applyProtection="0"/>
    <xf numFmtId="164" fontId="3" fillId="0" borderId="1"/>
    <xf numFmtId="0" fontId="3" fillId="0" borderId="1"/>
    <xf numFmtId="0" fontId="3" fillId="19" borderId="1" applyNumberFormat="0" applyBorder="0" applyAlignment="0" applyProtection="0"/>
    <xf numFmtId="0" fontId="3" fillId="0" borderId="1"/>
    <xf numFmtId="0" fontId="3" fillId="18" borderId="1" applyNumberFormat="0" applyBorder="0" applyAlignment="0" applyProtection="0"/>
    <xf numFmtId="0" fontId="3" fillId="0" borderId="1"/>
    <xf numFmtId="0" fontId="3" fillId="0" borderId="1"/>
    <xf numFmtId="164" fontId="33" fillId="0" borderId="1"/>
    <xf numFmtId="0" fontId="3" fillId="24" borderId="1" applyNumberFormat="0" applyBorder="0" applyAlignment="0" applyProtection="0"/>
    <xf numFmtId="0" fontId="3" fillId="25" borderId="1" applyNumberFormat="0" applyBorder="0" applyAlignment="0" applyProtection="0"/>
    <xf numFmtId="0" fontId="36" fillId="26" borderId="1" applyNumberFormat="0" applyBorder="0" applyAlignment="0" applyProtection="0"/>
    <xf numFmtId="0" fontId="3" fillId="24" borderId="1" applyNumberFormat="0" applyBorder="0" applyAlignment="0" applyProtection="0"/>
    <xf numFmtId="0" fontId="3" fillId="0" borderId="1"/>
    <xf numFmtId="164" fontId="3" fillId="0" borderId="1"/>
    <xf numFmtId="0" fontId="3" fillId="19" borderId="1" applyNumberFormat="0" applyBorder="0" applyAlignment="0" applyProtection="0"/>
    <xf numFmtId="0" fontId="3" fillId="0" borderId="1"/>
    <xf numFmtId="0"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18" borderId="1" applyNumberFormat="0" applyBorder="0" applyAlignment="0" applyProtection="0"/>
    <xf numFmtId="0" fontId="3" fillId="24" borderId="1" applyNumberFormat="0" applyBorder="0" applyAlignment="0" applyProtection="0"/>
    <xf numFmtId="0" fontId="3" fillId="25" borderId="1" applyNumberFormat="0" applyBorder="0" applyAlignment="0" applyProtection="0"/>
    <xf numFmtId="164" fontId="3" fillId="0" borderId="1"/>
    <xf numFmtId="0" fontId="3" fillId="17" borderId="1" applyNumberFormat="0" applyBorder="0" applyAlignment="0" applyProtection="0"/>
    <xf numFmtId="0" fontId="3" fillId="0" borderId="1"/>
    <xf numFmtId="164" fontId="3" fillId="0" borderId="1"/>
    <xf numFmtId="164" fontId="3" fillId="0" borderId="1"/>
    <xf numFmtId="164" fontId="3" fillId="0" borderId="1"/>
    <xf numFmtId="0" fontId="3" fillId="15" borderId="1" applyNumberFormat="0" applyBorder="0" applyAlignment="0" applyProtection="0"/>
    <xf numFmtId="164" fontId="3" fillId="0" borderId="1"/>
    <xf numFmtId="164" fontId="3" fillId="0" borderId="1"/>
    <xf numFmtId="0" fontId="3" fillId="0" borderId="1"/>
    <xf numFmtId="164" fontId="3" fillId="0" borderId="1"/>
    <xf numFmtId="0" fontId="3" fillId="18" borderId="1" applyNumberFormat="0" applyBorder="0" applyAlignment="0" applyProtection="0"/>
    <xf numFmtId="0" fontId="3" fillId="0" borderId="1"/>
    <xf numFmtId="0" fontId="3" fillId="22" borderId="1" applyNumberFormat="0" applyBorder="0" applyAlignment="0" applyProtection="0"/>
    <xf numFmtId="0" fontId="44" fillId="48" borderId="1" applyNumberFormat="0" applyBorder="0" applyAlignment="0" applyProtection="0"/>
    <xf numFmtId="0" fontId="3" fillId="0" borderId="1"/>
    <xf numFmtId="0" fontId="3" fillId="0" borderId="1"/>
    <xf numFmtId="0" fontId="3" fillId="15" borderId="1" applyNumberFormat="0" applyBorder="0" applyAlignment="0" applyProtection="0"/>
    <xf numFmtId="0" fontId="3" fillId="17" borderId="1" applyNumberFormat="0" applyBorder="0" applyAlignment="0" applyProtection="0"/>
    <xf numFmtId="0" fontId="3" fillId="17" borderId="1" applyNumberFormat="0" applyBorder="0" applyAlignment="0" applyProtection="0"/>
    <xf numFmtId="0" fontId="3" fillId="18" borderId="1" applyNumberFormat="0" applyBorder="0" applyAlignment="0" applyProtection="0"/>
    <xf numFmtId="0" fontId="3" fillId="0" borderId="1"/>
    <xf numFmtId="0" fontId="3" fillId="0" borderId="1"/>
    <xf numFmtId="0" fontId="3" fillId="18" borderId="1" applyNumberFormat="0" applyBorder="0" applyAlignment="0" applyProtection="0"/>
    <xf numFmtId="0" fontId="3" fillId="0" borderId="1"/>
    <xf numFmtId="0" fontId="3" fillId="18" borderId="1" applyNumberFormat="0" applyBorder="0" applyAlignment="0" applyProtection="0"/>
    <xf numFmtId="0" fontId="3" fillId="25" borderId="1" applyNumberFormat="0" applyBorder="0" applyAlignment="0" applyProtection="0"/>
    <xf numFmtId="164" fontId="3" fillId="0" borderId="1"/>
    <xf numFmtId="164" fontId="3" fillId="0" borderId="1"/>
    <xf numFmtId="0" fontId="3" fillId="0" borderId="1"/>
    <xf numFmtId="0" fontId="3" fillId="22" borderId="1" applyNumberFormat="0" applyBorder="0" applyAlignment="0" applyProtection="0"/>
    <xf numFmtId="0" fontId="3" fillId="17" borderId="1" applyNumberFormat="0" applyBorder="0" applyAlignment="0" applyProtection="0"/>
    <xf numFmtId="0" fontId="3" fillId="0" borderId="1"/>
    <xf numFmtId="164" fontId="3" fillId="0" borderId="1"/>
    <xf numFmtId="164" fontId="3" fillId="0" borderId="1"/>
    <xf numFmtId="0" fontId="3" fillId="18" borderId="1" applyNumberFormat="0" applyBorder="0" applyAlignment="0" applyProtection="0"/>
    <xf numFmtId="0" fontId="3" fillId="0" borderId="1"/>
    <xf numFmtId="0" fontId="3" fillId="24" borderId="1" applyNumberFormat="0" applyBorder="0" applyAlignment="0" applyProtection="0"/>
    <xf numFmtId="164" fontId="3" fillId="0" borderId="1"/>
    <xf numFmtId="164" fontId="3" fillId="0" borderId="1"/>
    <xf numFmtId="164" fontId="3" fillId="0" borderId="1"/>
    <xf numFmtId="0" fontId="3" fillId="18"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43" fontId="3" fillId="0" borderId="1" applyFont="0" applyFill="0" applyBorder="0" applyAlignment="0" applyProtection="0"/>
    <xf numFmtId="0" fontId="3" fillId="17"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 fillId="17" borderId="1" applyNumberFormat="0" applyBorder="0" applyAlignment="0" applyProtection="0"/>
    <xf numFmtId="0" fontId="3" fillId="21" borderId="1" applyNumberFormat="0" applyBorder="0" applyAlignment="0" applyProtection="0"/>
    <xf numFmtId="0" fontId="36" fillId="26" borderId="1" applyNumberFormat="0" applyBorder="0" applyAlignment="0" applyProtection="0"/>
    <xf numFmtId="0" fontId="3" fillId="25" borderId="1" applyNumberFormat="0" applyBorder="0" applyAlignment="0" applyProtection="0"/>
    <xf numFmtId="0" fontId="3" fillId="0" borderId="1"/>
    <xf numFmtId="164" fontId="3" fillId="0" borderId="1"/>
    <xf numFmtId="0" fontId="3" fillId="22" borderId="1" applyNumberFormat="0" applyBorder="0" applyAlignment="0" applyProtection="0"/>
    <xf numFmtId="164" fontId="3" fillId="0" borderId="1"/>
    <xf numFmtId="164" fontId="3" fillId="0" borderId="1"/>
    <xf numFmtId="0" fontId="3" fillId="0" borderId="1"/>
    <xf numFmtId="0" fontId="3" fillId="21"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 fillId="16" borderId="1" applyNumberFormat="0" applyBorder="0" applyAlignment="0" applyProtection="0"/>
    <xf numFmtId="0" fontId="3" fillId="0" borderId="1"/>
    <xf numFmtId="164" fontId="3" fillId="0" borderId="1"/>
    <xf numFmtId="164" fontId="3" fillId="0" borderId="1"/>
    <xf numFmtId="0" fontId="3" fillId="18" borderId="1" applyNumberFormat="0" applyBorder="0" applyAlignment="0" applyProtection="0"/>
    <xf numFmtId="0" fontId="3" fillId="0" borderId="1"/>
    <xf numFmtId="164" fontId="3" fillId="0" borderId="1"/>
    <xf numFmtId="0" fontId="3" fillId="17" borderId="1" applyNumberFormat="0" applyBorder="0" applyAlignment="0" applyProtection="0"/>
    <xf numFmtId="0" fontId="3" fillId="0" borderId="1"/>
    <xf numFmtId="0" fontId="3" fillId="22" borderId="1" applyNumberFormat="0" applyBorder="0" applyAlignment="0" applyProtection="0"/>
    <xf numFmtId="0" fontId="3" fillId="0" borderId="1"/>
    <xf numFmtId="164" fontId="3" fillId="0" borderId="1"/>
    <xf numFmtId="0" fontId="3" fillId="5" borderId="1" applyNumberFormat="0" applyBorder="0" applyAlignment="0" applyProtection="0"/>
    <xf numFmtId="0" fontId="3" fillId="0" borderId="1"/>
    <xf numFmtId="164" fontId="3" fillId="0" borderId="1"/>
    <xf numFmtId="0" fontId="3" fillId="22" borderId="1" applyNumberFormat="0" applyBorder="0" applyAlignment="0" applyProtection="0"/>
    <xf numFmtId="0" fontId="3" fillId="0" borderId="1"/>
    <xf numFmtId="0" fontId="3" fillId="0" borderId="1"/>
    <xf numFmtId="0" fontId="3" fillId="5" borderId="1" applyNumberFormat="0" applyBorder="0" applyAlignment="0" applyProtection="0"/>
    <xf numFmtId="44" fontId="3" fillId="0" borderId="1" applyFont="0" applyFill="0" applyBorder="0" applyAlignment="0" applyProtection="0"/>
    <xf numFmtId="0" fontId="3" fillId="0" borderId="1"/>
    <xf numFmtId="43" fontId="3" fillId="0" borderId="1" applyFont="0" applyFill="0" applyBorder="0" applyAlignment="0" applyProtection="0"/>
    <xf numFmtId="164" fontId="3" fillId="0" borderId="1"/>
    <xf numFmtId="164" fontId="3" fillId="0" borderId="1"/>
    <xf numFmtId="164" fontId="3" fillId="0" borderId="1"/>
    <xf numFmtId="164" fontId="3" fillId="0" borderId="1"/>
    <xf numFmtId="0" fontId="3" fillId="18" borderId="1" applyNumberFormat="0" applyBorder="0" applyAlignment="0" applyProtection="0"/>
    <xf numFmtId="164" fontId="3" fillId="0" borderId="1"/>
    <xf numFmtId="164" fontId="3" fillId="0" borderId="1"/>
    <xf numFmtId="164" fontId="3" fillId="0" borderId="1"/>
    <xf numFmtId="164" fontId="3" fillId="0" borderId="1"/>
    <xf numFmtId="0" fontId="3" fillId="18" borderId="1" applyNumberFormat="0" applyBorder="0" applyAlignment="0" applyProtection="0"/>
    <xf numFmtId="0" fontId="3" fillId="0" borderId="1"/>
    <xf numFmtId="164" fontId="3" fillId="0" borderId="1"/>
    <xf numFmtId="0" fontId="3" fillId="17" borderId="1" applyNumberFormat="0" applyBorder="0" applyAlignment="0" applyProtection="0"/>
    <xf numFmtId="0" fontId="3" fillId="0" borderId="1"/>
    <xf numFmtId="0" fontId="3" fillId="0" borderId="1"/>
    <xf numFmtId="0" fontId="3" fillId="0" borderId="1"/>
    <xf numFmtId="43" fontId="3" fillId="0" borderId="1" applyFont="0" applyFill="0" applyBorder="0" applyAlignment="0" applyProtection="0"/>
    <xf numFmtId="0" fontId="3" fillId="0" borderId="1"/>
    <xf numFmtId="0" fontId="3" fillId="5" borderId="1" applyNumberFormat="0" applyBorder="0" applyAlignment="0" applyProtection="0"/>
    <xf numFmtId="0" fontId="3" fillId="0" borderId="1"/>
    <xf numFmtId="164" fontId="3" fillId="0" borderId="1"/>
    <xf numFmtId="0" fontId="3" fillId="22" borderId="1" applyNumberFormat="0" applyBorder="0" applyAlignment="0" applyProtection="0"/>
    <xf numFmtId="0" fontId="3" fillId="0" borderId="1"/>
    <xf numFmtId="0" fontId="3" fillId="0" borderId="1"/>
    <xf numFmtId="0" fontId="3" fillId="18" borderId="1" applyNumberFormat="0" applyBorder="0" applyAlignment="0" applyProtection="0"/>
    <xf numFmtId="0" fontId="3" fillId="0" borderId="1"/>
    <xf numFmtId="164" fontId="3" fillId="0" borderId="1"/>
    <xf numFmtId="0" fontId="3" fillId="17"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165" fontId="33" fillId="0" borderId="1" applyFont="0" applyFill="0" applyBorder="0" applyAlignment="0" applyProtection="0"/>
    <xf numFmtId="164" fontId="3" fillId="0" borderId="1"/>
    <xf numFmtId="0" fontId="3" fillId="18" borderId="1" applyNumberFormat="0" applyBorder="0" applyAlignment="0" applyProtection="0"/>
    <xf numFmtId="164" fontId="3" fillId="0" borderId="1"/>
    <xf numFmtId="164" fontId="3" fillId="0" borderId="1"/>
    <xf numFmtId="0" fontId="3" fillId="0" borderId="1"/>
    <xf numFmtId="0" fontId="3" fillId="0" borderId="1"/>
    <xf numFmtId="0" fontId="3" fillId="0" borderId="1"/>
    <xf numFmtId="0" fontId="3" fillId="17" borderId="1" applyNumberFormat="0" applyBorder="0" applyAlignment="0" applyProtection="0"/>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22" borderId="1" applyNumberFormat="0" applyBorder="0" applyAlignment="0" applyProtection="0"/>
    <xf numFmtId="164" fontId="3" fillId="0" borderId="1"/>
    <xf numFmtId="164" fontId="3" fillId="0" borderId="1"/>
    <xf numFmtId="0" fontId="3" fillId="18" borderId="1" applyNumberFormat="0" applyBorder="0" applyAlignment="0" applyProtection="0"/>
    <xf numFmtId="164" fontId="3" fillId="0" borderId="1"/>
    <xf numFmtId="0" fontId="3" fillId="0" borderId="1"/>
    <xf numFmtId="164" fontId="3" fillId="0" borderId="1"/>
    <xf numFmtId="164" fontId="3" fillId="0" borderId="1"/>
    <xf numFmtId="0" fontId="3" fillId="18" borderId="1" applyNumberFormat="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165" fontId="33" fillId="0" borderId="1" applyFont="0" applyFill="0" applyBorder="0" applyAlignment="0" applyProtection="0"/>
    <xf numFmtId="164" fontId="33" fillId="0" borderId="1" applyFont="0" applyFill="0" applyBorder="0" applyAlignment="0" applyProtection="0"/>
    <xf numFmtId="0" fontId="3" fillId="0" borderId="1"/>
    <xf numFmtId="0" fontId="3" fillId="17" borderId="1" applyNumberFormat="0" applyBorder="0" applyAlignment="0" applyProtection="0"/>
    <xf numFmtId="0" fontId="3" fillId="0" borderId="1"/>
    <xf numFmtId="0" fontId="3" fillId="18" borderId="1" applyNumberFormat="0" applyBorder="0" applyAlignment="0" applyProtection="0"/>
    <xf numFmtId="0" fontId="3" fillId="0" borderId="1"/>
    <xf numFmtId="164" fontId="3" fillId="0" borderId="1"/>
    <xf numFmtId="0" fontId="43" fillId="27" borderId="30" applyNumberFormat="0" applyAlignment="0" applyProtection="0"/>
    <xf numFmtId="44" fontId="3" fillId="0" borderId="1" applyFont="0" applyFill="0" applyBorder="0" applyAlignment="0" applyProtection="0"/>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22" borderId="1" applyNumberFormat="0" applyBorder="0" applyAlignment="0" applyProtection="0"/>
    <xf numFmtId="0" fontId="3" fillId="18"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5" borderId="1" applyNumberFormat="0" applyBorder="0" applyAlignment="0" applyProtection="0"/>
    <xf numFmtId="164" fontId="33" fillId="0" borderId="1" applyFont="0" applyFill="0" applyBorder="0" applyAlignment="0" applyProtection="0"/>
    <xf numFmtId="0" fontId="3" fillId="0" borderId="1"/>
    <xf numFmtId="0" fontId="3" fillId="18" borderId="1" applyNumberFormat="0" applyBorder="0" applyAlignment="0" applyProtection="0"/>
    <xf numFmtId="164" fontId="3" fillId="0" borderId="1"/>
    <xf numFmtId="164" fontId="3" fillId="0" borderId="1"/>
    <xf numFmtId="0" fontId="3" fillId="22" borderId="1" applyNumberFormat="0" applyBorder="0" applyAlignment="0" applyProtection="0"/>
    <xf numFmtId="164" fontId="3" fillId="0" borderId="1"/>
    <xf numFmtId="0" fontId="3" fillId="0" borderId="1"/>
    <xf numFmtId="164" fontId="3" fillId="0" borderId="1"/>
    <xf numFmtId="0" fontId="3" fillId="0" borderId="1"/>
    <xf numFmtId="0" fontId="3" fillId="0" borderId="1"/>
    <xf numFmtId="0" fontId="3" fillId="18" borderId="1" applyNumberFormat="0" applyBorder="0" applyAlignment="0" applyProtection="0"/>
    <xf numFmtId="0" fontId="3" fillId="0" borderId="1"/>
    <xf numFmtId="164" fontId="3" fillId="0" borderId="1"/>
    <xf numFmtId="0" fontId="3" fillId="18" borderId="1" applyNumberFormat="0" applyBorder="0" applyAlignment="0" applyProtection="0"/>
    <xf numFmtId="0" fontId="3" fillId="18" borderId="1" applyNumberFormat="0" applyBorder="0" applyAlignment="0" applyProtection="0"/>
    <xf numFmtId="0" fontId="3" fillId="0" borderId="1"/>
    <xf numFmtId="0" fontId="3" fillId="0" borderId="1"/>
    <xf numFmtId="0" fontId="3" fillId="0" borderId="1"/>
    <xf numFmtId="0" fontId="3" fillId="15" borderId="1" applyNumberFormat="0" applyBorder="0" applyAlignment="0" applyProtection="0"/>
    <xf numFmtId="165" fontId="33" fillId="0" borderId="1" applyFont="0" applyFill="0" applyBorder="0" applyAlignment="0" applyProtection="0"/>
    <xf numFmtId="0" fontId="3" fillId="18" borderId="1" applyNumberFormat="0" applyBorder="0" applyAlignment="0" applyProtection="0"/>
    <xf numFmtId="164" fontId="3" fillId="0" borderId="1"/>
    <xf numFmtId="0" fontId="3" fillId="0" borderId="1"/>
    <xf numFmtId="164" fontId="3" fillId="0" borderId="1"/>
    <xf numFmtId="0" fontId="3" fillId="0" borderId="1"/>
    <xf numFmtId="0" fontId="3" fillId="0" borderId="1"/>
    <xf numFmtId="0" fontId="3" fillId="0" borderId="1"/>
    <xf numFmtId="0" fontId="3" fillId="22" borderId="1" applyNumberFormat="0" applyBorder="0" applyAlignment="0" applyProtection="0"/>
    <xf numFmtId="0" fontId="3" fillId="18" borderId="1" applyNumberFormat="0" applyBorder="0" applyAlignment="0" applyProtection="0"/>
    <xf numFmtId="164" fontId="3" fillId="0" borderId="1"/>
    <xf numFmtId="164" fontId="3" fillId="0" borderId="1"/>
    <xf numFmtId="0" fontId="3" fillId="0" borderId="1"/>
    <xf numFmtId="0" fontId="3" fillId="15" borderId="1" applyNumberFormat="0" applyBorder="0" applyAlignment="0" applyProtection="0"/>
    <xf numFmtId="0" fontId="3" fillId="0" borderId="1"/>
    <xf numFmtId="0" fontId="3" fillId="17" borderId="1" applyNumberFormat="0" applyBorder="0" applyAlignment="0" applyProtection="0"/>
    <xf numFmtId="0" fontId="3" fillId="18" borderId="1" applyNumberFormat="0" applyBorder="0" applyAlignment="0" applyProtection="0"/>
    <xf numFmtId="9" fontId="34" fillId="0" borderId="1" applyFont="0" applyFill="0" applyBorder="0" applyAlignment="0" applyProtection="0"/>
    <xf numFmtId="0" fontId="3" fillId="15" borderId="1" applyNumberFormat="0" applyBorder="0" applyAlignment="0" applyProtection="0"/>
    <xf numFmtId="0" fontId="3" fillId="0" borderId="1"/>
    <xf numFmtId="0" fontId="3" fillId="0" borderId="1"/>
    <xf numFmtId="0" fontId="3" fillId="18" borderId="1" applyNumberFormat="0" applyBorder="0" applyAlignment="0" applyProtection="0"/>
    <xf numFmtId="44" fontId="3" fillId="0" borderId="1" applyFont="0" applyFill="0" applyBorder="0" applyAlignment="0" applyProtection="0"/>
    <xf numFmtId="0" fontId="3" fillId="0" borderId="1"/>
    <xf numFmtId="0" fontId="3" fillId="18" borderId="1" applyNumberFormat="0" applyBorder="0" applyAlignment="0" applyProtection="0"/>
    <xf numFmtId="0" fontId="3" fillId="0" borderId="1"/>
    <xf numFmtId="0" fontId="3" fillId="0" borderId="1"/>
    <xf numFmtId="0" fontId="3" fillId="0" borderId="1"/>
    <xf numFmtId="0" fontId="3" fillId="17" borderId="1" applyNumberFormat="0" applyBorder="0" applyAlignment="0" applyProtection="0"/>
    <xf numFmtId="0" fontId="3" fillId="0" borderId="1"/>
    <xf numFmtId="0" fontId="3" fillId="0" borderId="1"/>
    <xf numFmtId="0" fontId="3" fillId="0" borderId="1"/>
    <xf numFmtId="164" fontId="3" fillId="0" borderId="1"/>
    <xf numFmtId="0" fontId="3" fillId="21" borderId="1" applyNumberFormat="0" applyBorder="0" applyAlignment="0" applyProtection="0"/>
    <xf numFmtId="0" fontId="3" fillId="18" borderId="1" applyNumberFormat="0" applyBorder="0" applyAlignment="0" applyProtection="0"/>
    <xf numFmtId="164" fontId="3" fillId="0" borderId="1"/>
    <xf numFmtId="0" fontId="3" fillId="24" borderId="1" applyNumberFormat="0" applyBorder="0" applyAlignment="0" applyProtection="0"/>
    <xf numFmtId="164" fontId="3" fillId="0" borderId="1"/>
    <xf numFmtId="164" fontId="3" fillId="0" borderId="1"/>
    <xf numFmtId="0" fontId="3" fillId="18"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8" borderId="1" applyNumberFormat="0" applyBorder="0" applyAlignment="0" applyProtection="0"/>
    <xf numFmtId="44" fontId="3" fillId="0" borderId="1" applyFont="0" applyFill="0" applyBorder="0" applyAlignment="0" applyProtection="0"/>
    <xf numFmtId="0" fontId="3" fillId="0" borderId="1"/>
    <xf numFmtId="0" fontId="3" fillId="17"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8" borderId="1" applyNumberFormat="0" applyBorder="0" applyAlignment="0" applyProtection="0"/>
    <xf numFmtId="44" fontId="3" fillId="0" borderId="1" applyFont="0" applyFill="0" applyBorder="0" applyAlignment="0" applyProtection="0"/>
    <xf numFmtId="0" fontId="3" fillId="18" borderId="1" applyNumberFormat="0" applyBorder="0" applyAlignment="0" applyProtection="0"/>
    <xf numFmtId="0" fontId="33" fillId="0" borderId="1"/>
    <xf numFmtId="0" fontId="3" fillId="0" borderId="1"/>
    <xf numFmtId="164" fontId="3" fillId="0" borderId="1"/>
    <xf numFmtId="0" fontId="3" fillId="22" borderId="1" applyNumberFormat="0" applyBorder="0" applyAlignment="0" applyProtection="0"/>
    <xf numFmtId="0" fontId="3" fillId="16"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18" borderId="1" applyNumberFormat="0" applyBorder="0" applyAlignment="0" applyProtection="0"/>
    <xf numFmtId="0" fontId="3" fillId="0" borderId="1"/>
    <xf numFmtId="0" fontId="3" fillId="0" borderId="1"/>
    <xf numFmtId="0" fontId="3" fillId="0" borderId="1"/>
    <xf numFmtId="164" fontId="3" fillId="0" borderId="1"/>
    <xf numFmtId="0" fontId="3" fillId="17" borderId="1" applyNumberFormat="0" applyBorder="0" applyAlignment="0" applyProtection="0"/>
    <xf numFmtId="0" fontId="3" fillId="0" borderId="1"/>
    <xf numFmtId="0" fontId="3" fillId="22" borderId="1" applyNumberFormat="0" applyBorder="0" applyAlignment="0" applyProtection="0"/>
    <xf numFmtId="44" fontId="3" fillId="0" borderId="1" applyFont="0" applyFill="0" applyBorder="0" applyAlignment="0" applyProtection="0"/>
    <xf numFmtId="0" fontId="3" fillId="0" borderId="1"/>
    <xf numFmtId="164" fontId="3" fillId="0" borderId="1"/>
    <xf numFmtId="0" fontId="3" fillId="0" borderId="1"/>
    <xf numFmtId="0" fontId="3" fillId="18" borderId="1" applyNumberFormat="0" applyBorder="0" applyAlignment="0" applyProtection="0"/>
    <xf numFmtId="0" fontId="33" fillId="0" borderId="1"/>
    <xf numFmtId="0" fontId="3" fillId="0" borderId="1"/>
    <xf numFmtId="0" fontId="3" fillId="0" borderId="1"/>
    <xf numFmtId="0" fontId="3" fillId="22" borderId="1" applyNumberFormat="0" applyBorder="0" applyAlignment="0" applyProtection="0"/>
    <xf numFmtId="0" fontId="3" fillId="0" borderId="1"/>
    <xf numFmtId="44" fontId="3" fillId="0" borderId="1" applyFont="0" applyFill="0" applyBorder="0" applyAlignment="0" applyProtection="0"/>
    <xf numFmtId="0" fontId="3" fillId="18" borderId="1" applyNumberFormat="0" applyBorder="0" applyAlignment="0" applyProtection="0"/>
    <xf numFmtId="164" fontId="3" fillId="0" borderId="1"/>
    <xf numFmtId="0" fontId="3" fillId="0" borderId="1"/>
    <xf numFmtId="0" fontId="3" fillId="22"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8" borderId="1" applyNumberFormat="0" applyBorder="0" applyAlignment="0" applyProtection="0"/>
    <xf numFmtId="44" fontId="3" fillId="0" borderId="1" applyFont="0" applyFill="0" applyBorder="0" applyAlignment="0" applyProtection="0"/>
    <xf numFmtId="0" fontId="3" fillId="0" borderId="1"/>
    <xf numFmtId="0" fontId="3" fillId="18" borderId="1" applyNumberFormat="0" applyBorder="0" applyAlignment="0" applyProtection="0"/>
    <xf numFmtId="164" fontId="3" fillId="0" borderId="1"/>
    <xf numFmtId="164" fontId="3" fillId="0" borderId="1"/>
    <xf numFmtId="0" fontId="3" fillId="0" borderId="1"/>
    <xf numFmtId="0" fontId="3" fillId="0" borderId="1"/>
    <xf numFmtId="0" fontId="3" fillId="17" borderId="1" applyNumberFormat="0" applyBorder="0" applyAlignment="0" applyProtection="0"/>
    <xf numFmtId="0" fontId="33" fillId="0" borderId="1"/>
    <xf numFmtId="0" fontId="3" fillId="0" borderId="1"/>
    <xf numFmtId="0" fontId="3" fillId="18" borderId="1" applyNumberFormat="0" applyBorder="0" applyAlignment="0" applyProtection="0"/>
    <xf numFmtId="164" fontId="3" fillId="0" borderId="1"/>
    <xf numFmtId="164" fontId="3" fillId="0" borderId="1"/>
    <xf numFmtId="164" fontId="3" fillId="0" borderId="1"/>
    <xf numFmtId="164" fontId="3" fillId="0" borderId="1"/>
    <xf numFmtId="0" fontId="3" fillId="18" borderId="1" applyNumberFormat="0" applyBorder="0" applyAlignment="0" applyProtection="0"/>
    <xf numFmtId="0" fontId="35" fillId="0" borderId="1" applyNumberFormat="0" applyFill="0" applyBorder="0" applyAlignment="0" applyProtection="0"/>
    <xf numFmtId="43" fontId="3" fillId="0" borderId="1" applyFont="0" applyFill="0" applyBorder="0" applyAlignment="0" applyProtection="0"/>
    <xf numFmtId="164" fontId="3" fillId="0" borderId="1"/>
    <xf numFmtId="164" fontId="3" fillId="0" borderId="1"/>
    <xf numFmtId="0" fontId="3" fillId="18" borderId="1" applyNumberFormat="0" applyBorder="0" applyAlignment="0" applyProtection="0"/>
    <xf numFmtId="43" fontId="3" fillId="0" borderId="1" applyFont="0" applyFill="0" applyBorder="0" applyAlignment="0" applyProtection="0"/>
    <xf numFmtId="44" fontId="3" fillId="0" borderId="1" applyFont="0" applyFill="0" applyBorder="0" applyAlignment="0" applyProtection="0"/>
    <xf numFmtId="0" fontId="3" fillId="0" borderId="1"/>
    <xf numFmtId="0" fontId="3" fillId="17" borderId="1" applyNumberFormat="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21" borderId="1" applyNumberFormat="0" applyBorder="0" applyAlignment="0" applyProtection="0"/>
    <xf numFmtId="43" fontId="3" fillId="0" borderId="1" applyFont="0" applyFill="0" applyBorder="0" applyAlignment="0" applyProtection="0"/>
    <xf numFmtId="164" fontId="3" fillId="0" borderId="1"/>
    <xf numFmtId="164" fontId="3" fillId="0" borderId="1"/>
    <xf numFmtId="0" fontId="3" fillId="18" borderId="1" applyNumberFormat="0" applyBorder="0" applyAlignment="0" applyProtection="0"/>
    <xf numFmtId="0" fontId="3" fillId="0" borderId="1"/>
    <xf numFmtId="0" fontId="3" fillId="17" borderId="1" applyNumberFormat="0" applyBorder="0" applyAlignment="0" applyProtection="0"/>
    <xf numFmtId="164" fontId="3" fillId="0" borderId="1"/>
    <xf numFmtId="164" fontId="3" fillId="0" borderId="1"/>
    <xf numFmtId="164" fontId="3" fillId="0" borderId="1"/>
    <xf numFmtId="164" fontId="3" fillId="0" borderId="1"/>
    <xf numFmtId="164" fontId="3" fillId="0" borderId="1"/>
    <xf numFmtId="0" fontId="3" fillId="18" borderId="1" applyNumberFormat="0" applyBorder="0" applyAlignment="0" applyProtection="0"/>
    <xf numFmtId="0" fontId="35" fillId="0" borderId="1" applyNumberFormat="0" applyFill="0" applyBorder="0" applyAlignment="0" applyProtection="0"/>
    <xf numFmtId="43" fontId="3" fillId="0" borderId="1" applyFont="0" applyFill="0" applyBorder="0" applyAlignment="0" applyProtection="0"/>
    <xf numFmtId="164" fontId="3" fillId="0" borderId="1"/>
    <xf numFmtId="164" fontId="3" fillId="0" borderId="1"/>
    <xf numFmtId="0" fontId="3" fillId="0" borderId="1"/>
    <xf numFmtId="164" fontId="3"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5" fillId="0" borderId="1" applyNumberFormat="0" applyFill="0" applyBorder="0" applyAlignment="0" applyProtection="0"/>
    <xf numFmtId="43" fontId="3" fillId="0" borderId="1" applyFont="0" applyFill="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8" borderId="1" applyNumberFormat="0" applyBorder="0" applyAlignment="0" applyProtection="0"/>
    <xf numFmtId="43" fontId="3" fillId="0" borderId="1" applyFont="0" applyFill="0" applyBorder="0" applyAlignment="0" applyProtection="0"/>
    <xf numFmtId="44" fontId="3" fillId="0" borderId="1" applyFont="0" applyFill="0" applyBorder="0" applyAlignment="0" applyProtection="0"/>
    <xf numFmtId="0" fontId="3" fillId="21" borderId="1" applyNumberFormat="0" applyBorder="0" applyAlignment="0" applyProtection="0"/>
    <xf numFmtId="0" fontId="3" fillId="0" borderId="1"/>
    <xf numFmtId="0" fontId="3" fillId="18" borderId="1" applyNumberFormat="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18" borderId="1" applyNumberFormat="0" applyBorder="0" applyAlignment="0" applyProtection="0"/>
    <xf numFmtId="0"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164" fontId="3" fillId="0" borderId="1"/>
    <xf numFmtId="164" fontId="3" fillId="0" borderId="1"/>
    <xf numFmtId="0" fontId="3" fillId="18" borderId="1" applyNumberFormat="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18" borderId="1" applyNumberFormat="0" applyBorder="0" applyAlignment="0" applyProtection="0"/>
    <xf numFmtId="164" fontId="3" fillId="0" borderId="1"/>
    <xf numFmtId="164" fontId="3" fillId="0" borderId="1"/>
    <xf numFmtId="43"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0" fontId="3" fillId="18" borderId="1" applyNumberFormat="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0" fontId="3" fillId="17" borderId="1" applyNumberFormat="0" applyBorder="0" applyAlignment="0" applyProtection="0"/>
    <xf numFmtId="164" fontId="3" fillId="0" borderId="1"/>
    <xf numFmtId="0" fontId="3" fillId="21"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3" fillId="0" borderId="1"/>
    <xf numFmtId="0" fontId="3" fillId="17" borderId="1" applyNumberFormat="0" applyBorder="0" applyAlignment="0" applyProtection="0"/>
    <xf numFmtId="164" fontId="3" fillId="0" borderId="1"/>
    <xf numFmtId="164" fontId="3" fillId="0" borderId="1"/>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0" fontId="3" fillId="18"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0" fontId="3" fillId="18" borderId="1" applyNumberFormat="0" applyBorder="0" applyAlignment="0" applyProtection="0"/>
    <xf numFmtId="0" fontId="3" fillId="0" borderId="1"/>
    <xf numFmtId="0" fontId="3" fillId="18" borderId="1" applyNumberFormat="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0" fontId="3" fillId="18" borderId="1" applyNumberFormat="0" applyBorder="0" applyAlignment="0" applyProtection="0"/>
    <xf numFmtId="164" fontId="3" fillId="0" borderId="1"/>
    <xf numFmtId="164" fontId="3" fillId="0" borderId="1"/>
    <xf numFmtId="164" fontId="3" fillId="0" borderId="1"/>
    <xf numFmtId="164" fontId="3" fillId="0" borderId="1"/>
    <xf numFmtId="0" fontId="3" fillId="18" borderId="1" applyNumberFormat="0" applyBorder="0" applyAlignment="0" applyProtection="0"/>
    <xf numFmtId="0" fontId="3" fillId="25"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 fillId="15" borderId="1" applyNumberFormat="0" applyBorder="0" applyAlignment="0" applyProtection="0"/>
    <xf numFmtId="0" fontId="33" fillId="0" borderId="1"/>
    <xf numFmtId="164" fontId="3" fillId="0" borderId="1"/>
    <xf numFmtId="164" fontId="3" fillId="0" borderId="1"/>
    <xf numFmtId="0" fontId="3" fillId="0" borderId="1"/>
    <xf numFmtId="0" fontId="3" fillId="18" borderId="1" applyNumberFormat="0" applyBorder="0" applyAlignment="0" applyProtection="0"/>
    <xf numFmtId="0" fontId="3" fillId="24" borderId="1" applyNumberFormat="0" applyBorder="0" applyAlignment="0" applyProtection="0"/>
    <xf numFmtId="0" fontId="3" fillId="25" borderId="1" applyNumberFormat="0" applyBorder="0" applyAlignment="0" applyProtection="0"/>
    <xf numFmtId="0" fontId="33" fillId="0" borderId="1"/>
    <xf numFmtId="0" fontId="3" fillId="18" borderId="1" applyNumberFormat="0" applyBorder="0" applyAlignment="0" applyProtection="0"/>
    <xf numFmtId="0" fontId="3" fillId="18" borderId="1" applyNumberFormat="0" applyBorder="0" applyAlignment="0" applyProtection="0"/>
    <xf numFmtId="0" fontId="3" fillId="0" borderId="1"/>
    <xf numFmtId="0" fontId="3" fillId="0" borderId="1"/>
    <xf numFmtId="0" fontId="3" fillId="18" borderId="1" applyNumberFormat="0" applyBorder="0" applyAlignment="0" applyProtection="0"/>
    <xf numFmtId="164" fontId="3" fillId="0" borderId="1"/>
    <xf numFmtId="164" fontId="3" fillId="0" borderId="1"/>
    <xf numFmtId="0" fontId="3" fillId="0" borderId="1"/>
    <xf numFmtId="0" fontId="3" fillId="18" borderId="1" applyNumberFormat="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0" fontId="3" fillId="18" borderId="1" applyNumberFormat="0" applyBorder="0" applyAlignment="0" applyProtection="0"/>
    <xf numFmtId="0" fontId="3" fillId="18" borderId="1" applyNumberFormat="0" applyBorder="0" applyAlignment="0" applyProtection="0"/>
    <xf numFmtId="0" fontId="3" fillId="0" borderId="1"/>
    <xf numFmtId="0" fontId="3" fillId="0" borderId="1"/>
    <xf numFmtId="0" fontId="3" fillId="0" borderId="1"/>
    <xf numFmtId="0" fontId="3" fillId="19" borderId="1" applyNumberFormat="0" applyBorder="0" applyAlignment="0" applyProtection="0"/>
    <xf numFmtId="164" fontId="3" fillId="0" borderId="1"/>
    <xf numFmtId="164" fontId="3" fillId="0" borderId="1"/>
    <xf numFmtId="0" fontId="3" fillId="18"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 fillId="0" borderId="1"/>
    <xf numFmtId="0" fontId="33" fillId="0" borderId="1"/>
    <xf numFmtId="0" fontId="3" fillId="0" borderId="1"/>
    <xf numFmtId="0" fontId="3" fillId="0" borderId="1"/>
    <xf numFmtId="0" fontId="3" fillId="18" borderId="1" applyNumberFormat="0" applyBorder="0" applyAlignment="0" applyProtection="0"/>
    <xf numFmtId="164" fontId="3" fillId="0" borderId="1"/>
    <xf numFmtId="0" fontId="3" fillId="0" borderId="1"/>
    <xf numFmtId="164" fontId="3" fillId="0" borderId="1"/>
    <xf numFmtId="0" fontId="3" fillId="18" borderId="1" applyNumberFormat="0" applyBorder="0" applyAlignment="0" applyProtection="0"/>
    <xf numFmtId="164" fontId="3" fillId="0" borderId="1"/>
    <xf numFmtId="164" fontId="3" fillId="0" borderId="1"/>
    <xf numFmtId="164" fontId="3" fillId="0" borderId="1"/>
    <xf numFmtId="164" fontId="3" fillId="0" borderId="1"/>
    <xf numFmtId="0" fontId="3" fillId="18" borderId="1" applyNumberFormat="0" applyBorder="0" applyAlignment="0" applyProtection="0"/>
    <xf numFmtId="43" fontId="3" fillId="0" borderId="1" applyFont="0" applyFill="0" applyBorder="0" applyAlignment="0" applyProtection="0"/>
    <xf numFmtId="0" fontId="33" fillId="0" borderId="1"/>
    <xf numFmtId="164" fontId="3" fillId="0" borderId="1"/>
    <xf numFmtId="164" fontId="3" fillId="0" borderId="1"/>
    <xf numFmtId="0" fontId="3" fillId="18" borderId="1" applyNumberFormat="0" applyBorder="0" applyAlignment="0" applyProtection="0"/>
    <xf numFmtId="0" fontId="33" fillId="0" borderId="1"/>
    <xf numFmtId="0" fontId="3" fillId="18" borderId="1" applyNumberFormat="0" applyBorder="0" applyAlignment="0" applyProtection="0"/>
    <xf numFmtId="0" fontId="3" fillId="24" borderId="1" applyNumberFormat="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164" fontId="3" fillId="0" borderId="1"/>
    <xf numFmtId="0" fontId="3" fillId="17" borderId="1" applyNumberFormat="0" applyBorder="0" applyAlignment="0" applyProtection="0"/>
    <xf numFmtId="0" fontId="33" fillId="0" borderId="1"/>
    <xf numFmtId="0" fontId="3" fillId="18" borderId="1" applyNumberFormat="0" applyBorder="0" applyAlignment="0" applyProtection="0"/>
    <xf numFmtId="0" fontId="3" fillId="24" borderId="1" applyNumberFormat="0" applyBorder="0" applyAlignment="0" applyProtection="0"/>
    <xf numFmtId="0" fontId="3" fillId="0" borderId="1"/>
    <xf numFmtId="0" fontId="3" fillId="0" borderId="1"/>
    <xf numFmtId="0" fontId="3" fillId="0" borderId="1"/>
    <xf numFmtId="0" fontId="3" fillId="17" borderId="1" applyNumberFormat="0" applyBorder="0" applyAlignment="0" applyProtection="0"/>
    <xf numFmtId="0" fontId="3" fillId="18" borderId="1" applyNumberFormat="0" applyBorder="0" applyAlignment="0" applyProtection="0"/>
    <xf numFmtId="164" fontId="3" fillId="0" borderId="1"/>
    <xf numFmtId="164" fontId="3" fillId="0" borderId="1"/>
    <xf numFmtId="0" fontId="3" fillId="18" borderId="1" applyNumberFormat="0" applyBorder="0" applyAlignment="0" applyProtection="0"/>
    <xf numFmtId="0" fontId="3" fillId="0" borderId="1"/>
    <xf numFmtId="0" fontId="3" fillId="24" borderId="1" applyNumberFormat="0" applyBorder="0" applyAlignment="0" applyProtection="0"/>
    <xf numFmtId="0" fontId="3" fillId="18" borderId="1" applyNumberFormat="0" applyBorder="0" applyAlignment="0" applyProtection="0"/>
    <xf numFmtId="0" fontId="3" fillId="0" borderId="1"/>
    <xf numFmtId="0" fontId="3" fillId="0" borderId="1"/>
    <xf numFmtId="164" fontId="33" fillId="0" borderId="1"/>
    <xf numFmtId="0" fontId="3" fillId="0" borderId="1"/>
    <xf numFmtId="43" fontId="3" fillId="0" borderId="1" applyFont="0" applyFill="0" applyBorder="0" applyAlignment="0" applyProtection="0"/>
    <xf numFmtId="0" fontId="3" fillId="0" borderId="1"/>
    <xf numFmtId="0" fontId="3" fillId="0" borderId="1"/>
    <xf numFmtId="0" fontId="3" fillId="17" borderId="1" applyNumberFormat="0" applyBorder="0" applyAlignment="0" applyProtection="0"/>
    <xf numFmtId="0" fontId="3" fillId="0" borderId="1"/>
    <xf numFmtId="0" fontId="33" fillId="0" borderId="1"/>
    <xf numFmtId="0" fontId="3" fillId="18" borderId="1" applyNumberFormat="0" applyBorder="0" applyAlignment="0" applyProtection="0"/>
    <xf numFmtId="0" fontId="3" fillId="0" borderId="1"/>
    <xf numFmtId="0" fontId="3" fillId="0" borderId="1"/>
    <xf numFmtId="164" fontId="3" fillId="0" borderId="1"/>
    <xf numFmtId="0" fontId="3" fillId="0" borderId="1"/>
    <xf numFmtId="0" fontId="3" fillId="0" borderId="1"/>
    <xf numFmtId="0" fontId="3" fillId="18" borderId="1" applyNumberFormat="0" applyBorder="0" applyAlignment="0" applyProtection="0"/>
    <xf numFmtId="0" fontId="3" fillId="18" borderId="1" applyNumberFormat="0" applyBorder="0" applyAlignment="0" applyProtection="0"/>
    <xf numFmtId="0" fontId="3" fillId="0" borderId="1"/>
    <xf numFmtId="164" fontId="33" fillId="0" borderId="1"/>
    <xf numFmtId="0" fontId="3" fillId="18" borderId="1" applyNumberFormat="0" applyBorder="0" applyAlignment="0" applyProtection="0"/>
    <xf numFmtId="0" fontId="3" fillId="17" borderId="1" applyNumberFormat="0" applyBorder="0" applyAlignment="0" applyProtection="0"/>
    <xf numFmtId="0" fontId="3" fillId="0" borderId="1"/>
    <xf numFmtId="0" fontId="3" fillId="0" borderId="1"/>
    <xf numFmtId="0" fontId="3" fillId="18" borderId="1" applyNumberFormat="0" applyBorder="0" applyAlignment="0" applyProtection="0"/>
    <xf numFmtId="0" fontId="3" fillId="0" borderId="1"/>
    <xf numFmtId="0" fontId="33" fillId="0" borderId="1"/>
    <xf numFmtId="0" fontId="3" fillId="0" borderId="1"/>
    <xf numFmtId="0" fontId="3" fillId="0" borderId="1"/>
    <xf numFmtId="0" fontId="3" fillId="0" borderId="1"/>
    <xf numFmtId="0" fontId="3" fillId="18" borderId="1" applyNumberFormat="0" applyBorder="0" applyAlignment="0" applyProtection="0"/>
    <xf numFmtId="0" fontId="3" fillId="0" borderId="1"/>
    <xf numFmtId="0" fontId="3" fillId="0" borderId="1"/>
    <xf numFmtId="0" fontId="3" fillId="0" borderId="1"/>
    <xf numFmtId="0" fontId="3" fillId="0" borderId="1"/>
    <xf numFmtId="0" fontId="3" fillId="18" borderId="1" applyNumberFormat="0" applyBorder="0" applyAlignment="0" applyProtection="0"/>
    <xf numFmtId="0" fontId="3" fillId="0" borderId="1"/>
    <xf numFmtId="0" fontId="3" fillId="0" borderId="1"/>
    <xf numFmtId="0" fontId="3" fillId="18" borderId="1" applyNumberFormat="0" applyBorder="0" applyAlignment="0" applyProtection="0"/>
    <xf numFmtId="0" fontId="3" fillId="0" borderId="1"/>
    <xf numFmtId="0" fontId="3" fillId="0" borderId="1"/>
    <xf numFmtId="0" fontId="3" fillId="0" borderId="1"/>
    <xf numFmtId="0" fontId="3" fillId="0" borderId="1"/>
    <xf numFmtId="0" fontId="3" fillId="18" borderId="1" applyNumberFormat="0" applyBorder="0" applyAlignment="0" applyProtection="0"/>
    <xf numFmtId="0" fontId="33" fillId="0" borderId="1"/>
    <xf numFmtId="0" fontId="3" fillId="18" borderId="1" applyNumberFormat="0" applyBorder="0" applyAlignment="0" applyProtection="0"/>
    <xf numFmtId="0" fontId="3" fillId="0" borderId="1"/>
    <xf numFmtId="0" fontId="3" fillId="0" borderId="1"/>
    <xf numFmtId="0" fontId="3" fillId="22" borderId="1" applyNumberFormat="0" applyBorder="0" applyAlignment="0" applyProtection="0"/>
    <xf numFmtId="0" fontId="3" fillId="18" borderId="1" applyNumberFormat="0" applyBorder="0" applyAlignment="0" applyProtection="0"/>
    <xf numFmtId="0" fontId="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22"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17" borderId="1" applyNumberFormat="0" applyBorder="0" applyAlignment="0" applyProtection="0"/>
    <xf numFmtId="0" fontId="3" fillId="0" borderId="1"/>
    <xf numFmtId="164" fontId="3" fillId="0" borderId="1"/>
    <xf numFmtId="164" fontId="3" fillId="0" borderId="1"/>
    <xf numFmtId="164" fontId="3" fillId="0" borderId="1"/>
    <xf numFmtId="0" fontId="3" fillId="18"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0" fontId="3" fillId="0" borderId="1"/>
    <xf numFmtId="164" fontId="3" fillId="0" borderId="1"/>
    <xf numFmtId="0" fontId="3" fillId="0" borderId="1"/>
    <xf numFmtId="0"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18" borderId="1" applyNumberFormat="0" applyBorder="0" applyAlignment="0" applyProtection="0"/>
    <xf numFmtId="44" fontId="3" fillId="0" borderId="1" applyFont="0" applyFill="0" applyBorder="0" applyAlignment="0" applyProtection="0"/>
    <xf numFmtId="164" fontId="3" fillId="0" borderId="1"/>
    <xf numFmtId="0" fontId="3" fillId="0" borderId="1"/>
    <xf numFmtId="164" fontId="3" fillId="0" borderId="1"/>
    <xf numFmtId="0" fontId="3" fillId="19" borderId="1" applyNumberFormat="0" applyBorder="0" applyAlignment="0" applyProtection="0"/>
    <xf numFmtId="44" fontId="3" fillId="0" borderId="1" applyFont="0" applyFill="0" applyBorder="0" applyAlignment="0" applyProtection="0"/>
    <xf numFmtId="0" fontId="3" fillId="0" borderId="1"/>
    <xf numFmtId="164" fontId="33" fillId="0" borderId="1"/>
    <xf numFmtId="0" fontId="3" fillId="0" borderId="1"/>
    <xf numFmtId="0" fontId="3" fillId="18"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22" borderId="1" applyNumberFormat="0" applyBorder="0" applyAlignment="0" applyProtection="0"/>
    <xf numFmtId="0" fontId="3" fillId="0" borderId="1"/>
    <xf numFmtId="0" fontId="3" fillId="0" borderId="1"/>
    <xf numFmtId="0" fontId="33" fillId="0" borderId="1"/>
    <xf numFmtId="0" fontId="3" fillId="0" borderId="1"/>
    <xf numFmtId="0" fontId="3" fillId="18"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3" fillId="0" borderId="1"/>
    <xf numFmtId="0" fontId="3" fillId="0" borderId="1"/>
    <xf numFmtId="164" fontId="3" fillId="0" borderId="1"/>
    <xf numFmtId="0" fontId="3" fillId="18" borderId="1" applyNumberFormat="0" applyBorder="0" applyAlignment="0" applyProtection="0"/>
    <xf numFmtId="0" fontId="3" fillId="0" borderId="1"/>
    <xf numFmtId="0" fontId="3" fillId="0" borderId="1"/>
    <xf numFmtId="0" fontId="3" fillId="0" borderId="1"/>
    <xf numFmtId="0" fontId="3" fillId="0" borderId="1"/>
    <xf numFmtId="164" fontId="3" fillId="0" borderId="1"/>
    <xf numFmtId="0" fontId="3" fillId="18" borderId="1" applyNumberFormat="0" applyBorder="0" applyAlignment="0" applyProtection="0"/>
    <xf numFmtId="0" fontId="33" fillId="0" borderId="1"/>
    <xf numFmtId="0" fontId="3" fillId="0" borderId="1"/>
    <xf numFmtId="0" fontId="3" fillId="0" borderId="1"/>
    <xf numFmtId="0" fontId="3" fillId="0" borderId="1"/>
    <xf numFmtId="164" fontId="3" fillId="0" borderId="1"/>
    <xf numFmtId="0" fontId="3" fillId="18" borderId="1" applyNumberFormat="0" applyBorder="0" applyAlignment="0" applyProtection="0"/>
    <xf numFmtId="0" fontId="3" fillId="0" borderId="1"/>
    <xf numFmtId="0" fontId="3" fillId="0" borderId="1"/>
    <xf numFmtId="0" fontId="3" fillId="18" borderId="1" applyNumberFormat="0" applyBorder="0" applyAlignment="0" applyProtection="0"/>
    <xf numFmtId="0" fontId="3" fillId="0" borderId="1"/>
    <xf numFmtId="44" fontId="3" fillId="0" borderId="1" applyFont="0" applyFill="0" applyBorder="0" applyAlignment="0" applyProtection="0"/>
    <xf numFmtId="0" fontId="33" fillId="0" borderId="1"/>
    <xf numFmtId="0" fontId="3" fillId="18" borderId="1" applyNumberFormat="0" applyBorder="0" applyAlignment="0" applyProtection="0"/>
    <xf numFmtId="44" fontId="3" fillId="0" borderId="1" applyFont="0" applyFill="0" applyBorder="0" applyAlignment="0" applyProtection="0"/>
    <xf numFmtId="0" fontId="3" fillId="0" borderId="1"/>
    <xf numFmtId="0" fontId="3" fillId="18" borderId="1" applyNumberFormat="0" applyBorder="0" applyAlignment="0" applyProtection="0"/>
    <xf numFmtId="164" fontId="3" fillId="0" borderId="1"/>
    <xf numFmtId="164" fontId="3" fillId="0" borderId="1"/>
    <xf numFmtId="0" fontId="33" fillId="0" borderId="1"/>
    <xf numFmtId="0" fontId="3" fillId="0" borderId="1"/>
    <xf numFmtId="44" fontId="3" fillId="0" borderId="1" applyFont="0" applyFill="0" applyBorder="0" applyAlignment="0" applyProtection="0"/>
    <xf numFmtId="0" fontId="3" fillId="0" borderId="1"/>
    <xf numFmtId="0" fontId="3" fillId="18" borderId="1" applyNumberFormat="0" applyBorder="0" applyAlignment="0" applyProtection="0"/>
    <xf numFmtId="0" fontId="3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18" borderId="1" applyNumberFormat="0" applyBorder="0" applyAlignment="0" applyProtection="0"/>
    <xf numFmtId="0" fontId="3" fillId="0" borderId="1"/>
    <xf numFmtId="164" fontId="33" fillId="0" borderId="1"/>
    <xf numFmtId="0" fontId="3" fillId="0" borderId="1"/>
    <xf numFmtId="44" fontId="3" fillId="0" borderId="1" applyFont="0" applyFill="0" applyBorder="0" applyAlignment="0" applyProtection="0"/>
    <xf numFmtId="0" fontId="3" fillId="0" borderId="1"/>
    <xf numFmtId="0" fontId="3" fillId="0" borderId="1"/>
    <xf numFmtId="164" fontId="3" fillId="0" borderId="1"/>
    <xf numFmtId="0" fontId="3" fillId="0" borderId="1"/>
    <xf numFmtId="0" fontId="3" fillId="0" borderId="1"/>
    <xf numFmtId="0" fontId="3" fillId="18" borderId="1" applyNumberFormat="0" applyBorder="0" applyAlignment="0" applyProtection="0"/>
    <xf numFmtId="164" fontId="3" fillId="0" borderId="1"/>
    <xf numFmtId="164" fontId="3" fillId="0" borderId="1"/>
    <xf numFmtId="164" fontId="3" fillId="0" borderId="1"/>
    <xf numFmtId="164" fontId="3" fillId="0" borderId="1"/>
    <xf numFmtId="0" fontId="33" fillId="0" borderId="1"/>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164" fontId="3" fillId="0" borderId="1"/>
    <xf numFmtId="0" fontId="3" fillId="0" borderId="1"/>
    <xf numFmtId="0" fontId="3" fillId="18" borderId="1" applyNumberFormat="0" applyBorder="0" applyAlignment="0" applyProtection="0"/>
    <xf numFmtId="0" fontId="3" fillId="0" borderId="1"/>
    <xf numFmtId="164" fontId="3" fillId="0" borderId="1"/>
    <xf numFmtId="0" fontId="3" fillId="18" borderId="1" applyNumberFormat="0" applyBorder="0" applyAlignment="0" applyProtection="0"/>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1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0" borderId="1"/>
    <xf numFmtId="0" fontId="3" fillId="22" borderId="1" applyNumberFormat="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0" fontId="3" fillId="0" borderId="1"/>
    <xf numFmtId="0" fontId="3" fillId="22"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0" fontId="3" fillId="0" borderId="1"/>
    <xf numFmtId="0" fontId="3" fillId="0" borderId="1"/>
    <xf numFmtId="0" fontId="3" fillId="0" borderId="1"/>
    <xf numFmtId="164" fontId="3" fillId="0" borderId="1"/>
    <xf numFmtId="0" fontId="3" fillId="22" borderId="1" applyNumberFormat="0" applyBorder="0" applyAlignment="0" applyProtection="0"/>
    <xf numFmtId="0" fontId="3" fillId="0" borderId="1"/>
    <xf numFmtId="0" fontId="3" fillId="0" borderId="1"/>
    <xf numFmtId="164" fontId="3" fillId="0" borderId="1"/>
    <xf numFmtId="0" fontId="3" fillId="22" borderId="1" applyNumberFormat="0" applyBorder="0" applyAlignment="0" applyProtection="0"/>
    <xf numFmtId="44" fontId="3" fillId="0" borderId="1" applyFont="0" applyFill="0" applyBorder="0" applyAlignment="0" applyProtection="0"/>
    <xf numFmtId="164" fontId="3" fillId="0" borderId="1"/>
    <xf numFmtId="0" fontId="3" fillId="21" borderId="1" applyNumberFormat="0" applyBorder="0" applyAlignment="0" applyProtection="0"/>
    <xf numFmtId="0" fontId="3" fillId="0" borderId="1"/>
    <xf numFmtId="0" fontId="3" fillId="22" borderId="1" applyNumberFormat="0" applyBorder="0" applyAlignment="0" applyProtection="0"/>
    <xf numFmtId="0" fontId="3" fillId="0" borderId="1"/>
    <xf numFmtId="0" fontId="3" fillId="0" borderId="1"/>
    <xf numFmtId="0" fontId="3" fillId="25" borderId="1" applyNumberFormat="0" applyBorder="0" applyAlignment="0" applyProtection="0"/>
    <xf numFmtId="44" fontId="3" fillId="0" borderId="1" applyFont="0" applyFill="0" applyBorder="0" applyAlignment="0" applyProtection="0"/>
    <xf numFmtId="0" fontId="3" fillId="0" borderId="1"/>
    <xf numFmtId="0" fontId="3" fillId="22" borderId="1" applyNumberFormat="0" applyBorder="0" applyAlignment="0" applyProtection="0"/>
    <xf numFmtId="0" fontId="3" fillId="0" borderId="1"/>
    <xf numFmtId="0" fontId="3" fillId="0" borderId="1"/>
    <xf numFmtId="0" fontId="3" fillId="22"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0" borderId="1"/>
    <xf numFmtId="0" fontId="3" fillId="22"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0" borderId="1"/>
    <xf numFmtId="164" fontId="3" fillId="0" borderId="1"/>
    <xf numFmtId="0" fontId="3" fillId="0" borderId="1"/>
    <xf numFmtId="164" fontId="3" fillId="0" borderId="1"/>
    <xf numFmtId="0" fontId="3" fillId="0" borderId="1"/>
    <xf numFmtId="0" fontId="3" fillId="0" borderId="1"/>
    <xf numFmtId="0" fontId="3" fillId="22" borderId="1" applyNumberFormat="0" applyBorder="0" applyAlignment="0" applyProtection="0"/>
    <xf numFmtId="164" fontId="3" fillId="0" borderId="1"/>
    <xf numFmtId="164" fontId="3" fillId="0" borderId="1"/>
    <xf numFmtId="0" fontId="3" fillId="0" borderId="1"/>
    <xf numFmtId="0" fontId="3" fillId="22" borderId="1" applyNumberFormat="0" applyBorder="0" applyAlignment="0" applyProtection="0"/>
    <xf numFmtId="164" fontId="3" fillId="0" borderId="1"/>
    <xf numFmtId="164" fontId="3" fillId="0" borderId="1"/>
    <xf numFmtId="164" fontId="3" fillId="0" borderId="1"/>
    <xf numFmtId="0" fontId="3" fillId="0" borderId="1"/>
    <xf numFmtId="164" fontId="3" fillId="0" borderId="1"/>
    <xf numFmtId="0" fontId="3" fillId="0" borderId="1"/>
    <xf numFmtId="0" fontId="3" fillId="22" borderId="1" applyNumberFormat="0" applyBorder="0" applyAlignment="0" applyProtection="0"/>
    <xf numFmtId="0" fontId="3" fillId="0" borderId="1"/>
    <xf numFmtId="0" fontId="3" fillId="0" borderId="1"/>
    <xf numFmtId="0" fontId="3" fillId="22" borderId="1" applyNumberFormat="0" applyBorder="0" applyAlignment="0" applyProtection="0"/>
    <xf numFmtId="0" fontId="3" fillId="0" borderId="1"/>
    <xf numFmtId="0" fontId="3" fillId="22"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22" borderId="1" applyNumberFormat="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22" borderId="1" applyNumberFormat="0" applyBorder="0" applyAlignment="0" applyProtection="0"/>
    <xf numFmtId="0" fontId="3" fillId="0" borderId="1"/>
    <xf numFmtId="0" fontId="3" fillId="22" borderId="1" applyNumberFormat="0" applyBorder="0" applyAlignment="0" applyProtection="0"/>
    <xf numFmtId="0" fontId="3" fillId="0" borderId="1"/>
    <xf numFmtId="0" fontId="3" fillId="0" borderId="1"/>
    <xf numFmtId="0" fontId="3" fillId="17" borderId="1" applyNumberFormat="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19" borderId="1" applyNumberFormat="0" applyBorder="0" applyAlignment="0" applyProtection="0"/>
    <xf numFmtId="0" fontId="3" fillId="0" borderId="1"/>
    <xf numFmtId="0" fontId="3" fillId="0" borderId="1"/>
    <xf numFmtId="0" fontId="3" fillId="0" borderId="1"/>
    <xf numFmtId="0" fontId="3" fillId="0" borderId="1"/>
    <xf numFmtId="0" fontId="3" fillId="22" borderId="1" applyNumberFormat="0" applyBorder="0" applyAlignment="0" applyProtection="0"/>
    <xf numFmtId="164" fontId="3" fillId="0" borderId="1"/>
    <xf numFmtId="0" fontId="3" fillId="0" borderId="1"/>
    <xf numFmtId="0" fontId="3" fillId="0" borderId="1"/>
    <xf numFmtId="0" fontId="3" fillId="19" borderId="1" applyNumberFormat="0" applyBorder="0" applyAlignment="0" applyProtection="0"/>
    <xf numFmtId="0" fontId="3" fillId="0" borderId="1"/>
    <xf numFmtId="0" fontId="3" fillId="22" borderId="1" applyNumberFormat="0" applyBorder="0" applyAlignment="0" applyProtection="0"/>
    <xf numFmtId="164" fontId="3" fillId="0" borderId="1"/>
    <xf numFmtId="0" fontId="3" fillId="19" borderId="1" applyNumberFormat="0" applyBorder="0" applyAlignment="0" applyProtection="0"/>
    <xf numFmtId="0" fontId="3" fillId="0" borderId="1"/>
    <xf numFmtId="0" fontId="3" fillId="22" borderId="1" applyNumberFormat="0" applyBorder="0" applyAlignment="0" applyProtection="0"/>
    <xf numFmtId="164" fontId="3" fillId="0" borderId="1"/>
    <xf numFmtId="0" fontId="3" fillId="17" borderId="1" applyNumberFormat="0" applyBorder="0" applyAlignment="0" applyProtection="0"/>
    <xf numFmtId="0" fontId="3" fillId="19" borderId="1" applyNumberFormat="0" applyBorder="0" applyAlignment="0" applyProtection="0"/>
    <xf numFmtId="0" fontId="3" fillId="0" borderId="1"/>
    <xf numFmtId="0" fontId="3" fillId="22" borderId="1" applyNumberFormat="0" applyBorder="0" applyAlignment="0" applyProtection="0"/>
    <xf numFmtId="164" fontId="3" fillId="0" borderId="1"/>
    <xf numFmtId="0" fontId="3" fillId="22" borderId="1" applyNumberFormat="0" applyBorder="0" applyAlignment="0" applyProtection="0"/>
    <xf numFmtId="164" fontId="3" fillId="0" borderId="1"/>
    <xf numFmtId="0" fontId="3" fillId="0" borderId="1"/>
    <xf numFmtId="0" fontId="3" fillId="19"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0" fontId="3" fillId="19" borderId="1" applyNumberFormat="0" applyBorder="0" applyAlignment="0" applyProtection="0"/>
    <xf numFmtId="0" fontId="3" fillId="22" borderId="1" applyNumberFormat="0" applyBorder="0" applyAlignment="0" applyProtection="0"/>
    <xf numFmtId="164" fontId="3" fillId="0" borderId="1"/>
    <xf numFmtId="0" fontId="3" fillId="0" borderId="1"/>
    <xf numFmtId="164" fontId="3" fillId="0" borderId="1"/>
    <xf numFmtId="0" fontId="3" fillId="17" borderId="1" applyNumberFormat="0" applyBorder="0" applyAlignment="0" applyProtection="0"/>
    <xf numFmtId="0" fontId="3" fillId="0" borderId="1"/>
    <xf numFmtId="0" fontId="3" fillId="17" borderId="1" applyNumberFormat="0" applyBorder="0" applyAlignment="0" applyProtection="0"/>
    <xf numFmtId="0" fontId="3" fillId="0" borderId="1"/>
    <xf numFmtId="0" fontId="3" fillId="22"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43" fontId="3" fillId="0" borderId="1" applyFont="0" applyFill="0" applyBorder="0" applyAlignment="0" applyProtection="0"/>
    <xf numFmtId="164" fontId="3" fillId="0" borderId="1"/>
    <xf numFmtId="0" fontId="3" fillId="0" borderId="1"/>
    <xf numFmtId="164" fontId="3" fillId="0" borderId="1"/>
    <xf numFmtId="0" fontId="3" fillId="0" borderId="1"/>
    <xf numFmtId="0" fontId="3" fillId="22" borderId="1" applyNumberFormat="0" applyBorder="0" applyAlignment="0" applyProtection="0"/>
    <xf numFmtId="44" fontId="3" fillId="0" borderId="1" applyFont="0" applyFill="0" applyBorder="0" applyAlignment="0" applyProtection="0"/>
    <xf numFmtId="0" fontId="3" fillId="0" borderId="1"/>
    <xf numFmtId="43" fontId="3" fillId="0" borderId="1" applyFont="0" applyFill="0" applyBorder="0" applyAlignment="0" applyProtection="0"/>
    <xf numFmtId="164" fontId="3" fillId="0" borderId="1"/>
    <xf numFmtId="164" fontId="3" fillId="0" borderId="1"/>
    <xf numFmtId="0" fontId="3" fillId="22" borderId="1" applyNumberFormat="0" applyBorder="0" applyAlignment="0" applyProtection="0"/>
    <xf numFmtId="0" fontId="3" fillId="0" borderId="1"/>
    <xf numFmtId="0" fontId="3" fillId="0" borderId="1"/>
    <xf numFmtId="0" fontId="3" fillId="0" borderId="1"/>
    <xf numFmtId="164" fontId="3" fillId="0" borderId="1"/>
    <xf numFmtId="164" fontId="3" fillId="0" borderId="1"/>
    <xf numFmtId="0" fontId="3" fillId="0" borderId="1"/>
    <xf numFmtId="0" fontId="3" fillId="22" borderId="1" applyNumberFormat="0" applyBorder="0" applyAlignment="0" applyProtection="0"/>
    <xf numFmtId="0" fontId="3" fillId="22"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0" fontId="3" fillId="22"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22" borderId="1" applyNumberFormat="0" applyBorder="0" applyAlignment="0" applyProtection="0"/>
    <xf numFmtId="0" fontId="3" fillId="0" borderId="1"/>
    <xf numFmtId="0" fontId="3" fillId="22" borderId="1" applyNumberFormat="0" applyBorder="0" applyAlignment="0" applyProtection="0"/>
    <xf numFmtId="0" fontId="3" fillId="0" borderId="1"/>
    <xf numFmtId="0" fontId="3" fillId="21" borderId="1" applyNumberFormat="0" applyBorder="0" applyAlignment="0" applyProtection="0"/>
    <xf numFmtId="0" fontId="3" fillId="25" borderId="1" applyNumberFormat="0" applyBorder="0" applyAlignment="0" applyProtection="0"/>
    <xf numFmtId="0" fontId="3" fillId="0" borderId="1"/>
    <xf numFmtId="0" fontId="3" fillId="0" borderId="1"/>
    <xf numFmtId="0" fontId="3" fillId="22" borderId="1" applyNumberFormat="0" applyBorder="0" applyAlignment="0" applyProtection="0"/>
    <xf numFmtId="0" fontId="3" fillId="0" borderId="1"/>
    <xf numFmtId="0" fontId="3" fillId="0" borderId="1"/>
    <xf numFmtId="164" fontId="3" fillId="0" borderId="1"/>
    <xf numFmtId="0" fontId="3" fillId="17"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17" borderId="1" applyNumberFormat="0" applyBorder="0" applyAlignment="0" applyProtection="0"/>
    <xf numFmtId="0" fontId="3" fillId="0" borderId="1"/>
    <xf numFmtId="164" fontId="3" fillId="0" borderId="1"/>
    <xf numFmtId="0" fontId="3" fillId="17" borderId="1" applyNumberFormat="0" applyBorder="0" applyAlignment="0" applyProtection="0"/>
    <xf numFmtId="0" fontId="3" fillId="0" borderId="1"/>
    <xf numFmtId="0" fontId="3" fillId="22" borderId="1" applyNumberFormat="0" applyBorder="0" applyAlignment="0" applyProtection="0"/>
    <xf numFmtId="0" fontId="3" fillId="0" borderId="1"/>
    <xf numFmtId="0" fontId="3" fillId="0" borderId="1"/>
    <xf numFmtId="0" fontId="3" fillId="0" borderId="1"/>
    <xf numFmtId="164" fontId="3" fillId="0" borderId="1"/>
    <xf numFmtId="164" fontId="3" fillId="0" borderId="1"/>
    <xf numFmtId="164" fontId="3" fillId="0" borderId="1"/>
    <xf numFmtId="0" fontId="43" fillId="30" borderId="30" applyNumberFormat="0" applyAlignment="0" applyProtection="0"/>
    <xf numFmtId="164" fontId="3" fillId="0" borderId="1"/>
    <xf numFmtId="0" fontId="3" fillId="21" borderId="1" applyNumberFormat="0" applyBorder="0" applyAlignment="0" applyProtection="0"/>
    <xf numFmtId="0" fontId="3" fillId="0" borderId="1"/>
    <xf numFmtId="164" fontId="3" fillId="0" borderId="1"/>
    <xf numFmtId="0" fontId="3" fillId="17"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0" fontId="3" fillId="0" borderId="1"/>
    <xf numFmtId="0" fontId="3" fillId="0" borderId="1"/>
    <xf numFmtId="0" fontId="3" fillId="0" borderId="1"/>
    <xf numFmtId="0" fontId="3" fillId="0" borderId="1"/>
    <xf numFmtId="0" fontId="3" fillId="15" borderId="1" applyNumberFormat="0" applyBorder="0" applyAlignment="0" applyProtection="0"/>
    <xf numFmtId="0" fontId="3" fillId="0" borderId="1"/>
    <xf numFmtId="164" fontId="3" fillId="0" borderId="1"/>
    <xf numFmtId="0" fontId="3" fillId="17" borderId="1" applyNumberFormat="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0" fontId="3" fillId="19" borderId="1" applyNumberFormat="0" applyBorder="0" applyAlignment="0" applyProtection="0"/>
    <xf numFmtId="0" fontId="3" fillId="0" borderId="1"/>
    <xf numFmtId="0" fontId="3" fillId="22" borderId="1" applyNumberFormat="0" applyBorder="0" applyAlignment="0" applyProtection="0"/>
    <xf numFmtId="164" fontId="3" fillId="0" borderId="1"/>
    <xf numFmtId="0" fontId="3" fillId="17" borderId="1" applyNumberFormat="0" applyBorder="0" applyAlignment="0" applyProtection="0"/>
    <xf numFmtId="0" fontId="3" fillId="0" borderId="1"/>
    <xf numFmtId="0" fontId="3" fillId="0" borderId="1"/>
    <xf numFmtId="164" fontId="3" fillId="0" borderId="1"/>
    <xf numFmtId="164" fontId="3" fillId="0" borderId="1"/>
    <xf numFmtId="0" fontId="3" fillId="0" borderId="1"/>
    <xf numFmtId="0" fontId="3" fillId="0" borderId="1"/>
    <xf numFmtId="0" fontId="3" fillId="22" borderId="1" applyNumberFormat="0" applyBorder="0" applyAlignment="0" applyProtection="0"/>
    <xf numFmtId="0" fontId="3" fillId="0" borderId="1"/>
    <xf numFmtId="44" fontId="3" fillId="0" borderId="1" applyFont="0" applyFill="0" applyBorder="0" applyAlignment="0" applyProtection="0"/>
    <xf numFmtId="0" fontId="3" fillId="17"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0" fontId="3" fillId="0" borderId="1"/>
    <xf numFmtId="0" fontId="3" fillId="0" borderId="1"/>
    <xf numFmtId="0" fontId="3" fillId="22" borderId="1" applyNumberFormat="0" applyBorder="0" applyAlignment="0" applyProtection="0"/>
    <xf numFmtId="0" fontId="3" fillId="16" borderId="1" applyNumberFormat="0" applyBorder="0" applyAlignment="0" applyProtection="0"/>
    <xf numFmtId="0" fontId="3" fillId="21" borderId="1" applyNumberFormat="0" applyBorder="0" applyAlignment="0" applyProtection="0"/>
    <xf numFmtId="0" fontId="3" fillId="0" borderId="1"/>
    <xf numFmtId="0" fontId="3" fillId="0" borderId="1"/>
    <xf numFmtId="0" fontId="3" fillId="0" borderId="1"/>
    <xf numFmtId="0" fontId="3" fillId="0" borderId="1"/>
    <xf numFmtId="0" fontId="3" fillId="22" borderId="1" applyNumberFormat="0" applyBorder="0" applyAlignment="0" applyProtection="0"/>
    <xf numFmtId="0" fontId="3" fillId="16" borderId="1" applyNumberFormat="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22" borderId="1" applyNumberFormat="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0" fontId="3" fillId="0" borderId="1"/>
    <xf numFmtId="0" fontId="3" fillId="0" borderId="1"/>
    <xf numFmtId="0" fontId="34" fillId="34" borderId="1" applyNumberFormat="0" applyBorder="0" applyAlignment="0" applyProtection="0"/>
    <xf numFmtId="0" fontId="3" fillId="0" borderId="1"/>
    <xf numFmtId="0" fontId="3" fillId="0" borderId="1"/>
    <xf numFmtId="0" fontId="3" fillId="21" borderId="1" applyNumberFormat="0" applyBorder="0" applyAlignment="0" applyProtection="0"/>
    <xf numFmtId="0" fontId="3" fillId="25" borderId="1" applyNumberFormat="0" applyBorder="0" applyAlignment="0" applyProtection="0"/>
    <xf numFmtId="0" fontId="3" fillId="0" borderId="1"/>
    <xf numFmtId="0" fontId="3" fillId="0" borderId="1"/>
    <xf numFmtId="0" fontId="3" fillId="0" borderId="1"/>
    <xf numFmtId="0" fontId="3" fillId="0" borderId="1"/>
    <xf numFmtId="0" fontId="3" fillId="22"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164" fontId="3" fillId="0" borderId="1"/>
    <xf numFmtId="164" fontId="3" fillId="0" borderId="1"/>
    <xf numFmtId="0" fontId="3" fillId="0" borderId="1"/>
    <xf numFmtId="164" fontId="3" fillId="0" borderId="1"/>
    <xf numFmtId="164" fontId="3" fillId="0" borderId="1"/>
    <xf numFmtId="164" fontId="3" fillId="0" borderId="1"/>
    <xf numFmtId="0" fontId="3" fillId="22" borderId="1" applyNumberFormat="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22" borderId="1" applyNumberFormat="0" applyBorder="0" applyAlignment="0" applyProtection="0"/>
    <xf numFmtId="0" fontId="3" fillId="0" borderId="1"/>
    <xf numFmtId="0" fontId="44" fillId="48" borderId="1" applyNumberFormat="0" applyBorder="0" applyAlignment="0" applyProtection="0"/>
    <xf numFmtId="0" fontId="3" fillId="25" borderId="1" applyNumberFormat="0" applyBorder="0" applyAlignment="0" applyProtection="0"/>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22" borderId="1" applyNumberFormat="0" applyBorder="0" applyAlignment="0" applyProtection="0"/>
    <xf numFmtId="0" fontId="3" fillId="19" borderId="1" applyNumberFormat="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0" fontId="3" fillId="22" borderId="1" applyNumberFormat="0" applyBorder="0" applyAlignment="0" applyProtection="0"/>
    <xf numFmtId="0" fontId="3" fillId="19" borderId="1" applyNumberFormat="0" applyBorder="0" applyAlignment="0" applyProtection="0"/>
    <xf numFmtId="0" fontId="3" fillId="0" borderId="1"/>
    <xf numFmtId="164" fontId="3" fillId="0" borderId="1"/>
    <xf numFmtId="164" fontId="3" fillId="0" borderId="1"/>
    <xf numFmtId="0" fontId="3" fillId="19" borderId="1" applyNumberFormat="0" applyBorder="0" applyAlignment="0" applyProtection="0"/>
    <xf numFmtId="0" fontId="3" fillId="22" borderId="1" applyNumberFormat="0" applyBorder="0" applyAlignment="0" applyProtection="0"/>
    <xf numFmtId="0" fontId="3" fillId="0" borderId="1"/>
    <xf numFmtId="0" fontId="3" fillId="22" borderId="1" applyNumberFormat="0" applyBorder="0" applyAlignment="0" applyProtection="0"/>
    <xf numFmtId="0" fontId="3" fillId="21" borderId="1" applyNumberFormat="0" applyBorder="0" applyAlignment="0" applyProtection="0"/>
    <xf numFmtId="0" fontId="3" fillId="0" borderId="1"/>
    <xf numFmtId="0" fontId="3" fillId="16" borderId="1" applyNumberFormat="0" applyBorder="0" applyAlignment="0" applyProtection="0"/>
    <xf numFmtId="164" fontId="3" fillId="0" borderId="1"/>
    <xf numFmtId="164" fontId="3" fillId="0" borderId="1"/>
    <xf numFmtId="0" fontId="3" fillId="0" borderId="1"/>
    <xf numFmtId="0" fontId="3" fillId="0" borderId="1"/>
    <xf numFmtId="0" fontId="3" fillId="0" borderId="1"/>
    <xf numFmtId="164" fontId="3" fillId="0" borderId="1"/>
    <xf numFmtId="0" fontId="3" fillId="22" borderId="1" applyNumberFormat="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0" fontId="3" fillId="0" borderId="1"/>
    <xf numFmtId="164" fontId="3" fillId="0" borderId="1"/>
    <xf numFmtId="0" fontId="3" fillId="5" borderId="1" applyNumberFormat="0" applyBorder="0" applyAlignment="0" applyProtection="0"/>
    <xf numFmtId="164" fontId="3" fillId="0" borderId="1"/>
    <xf numFmtId="164" fontId="3" fillId="0" borderId="1"/>
    <xf numFmtId="0" fontId="3" fillId="0" borderId="1"/>
    <xf numFmtId="0" fontId="3" fillId="0" borderId="1"/>
    <xf numFmtId="43" fontId="3" fillId="0" borderId="1" applyFont="0" applyFill="0" applyBorder="0" applyAlignment="0" applyProtection="0"/>
    <xf numFmtId="0" fontId="3" fillId="22" borderId="1" applyNumberFormat="0" applyBorder="0" applyAlignment="0" applyProtection="0"/>
    <xf numFmtId="164" fontId="3" fillId="0" borderId="1"/>
    <xf numFmtId="164" fontId="3" fillId="0" borderId="1"/>
    <xf numFmtId="0" fontId="3" fillId="0" borderId="1"/>
    <xf numFmtId="0" fontId="3" fillId="0" borderId="1"/>
    <xf numFmtId="43" fontId="3" fillId="0" borderId="1" applyFont="0" applyFill="0" applyBorder="0" applyAlignment="0" applyProtection="0"/>
    <xf numFmtId="0" fontId="3" fillId="22" borderId="1" applyNumberFormat="0" applyBorder="0" applyAlignment="0" applyProtection="0"/>
    <xf numFmtId="0" fontId="3" fillId="25" borderId="1" applyNumberFormat="0" applyBorder="0" applyAlignment="0" applyProtection="0"/>
    <xf numFmtId="164" fontId="3" fillId="0" borderId="1"/>
    <xf numFmtId="164" fontId="3" fillId="0" borderId="1"/>
    <xf numFmtId="164" fontId="3" fillId="0" borderId="1"/>
    <xf numFmtId="164" fontId="3" fillId="0" borderId="1"/>
    <xf numFmtId="0" fontId="3" fillId="0" borderId="1"/>
    <xf numFmtId="0" fontId="3" fillId="0" borderId="1"/>
    <xf numFmtId="43" fontId="3" fillId="0" borderId="1" applyFont="0" applyFill="0" applyBorder="0" applyAlignment="0" applyProtection="0"/>
    <xf numFmtId="0" fontId="3" fillId="22" borderId="1" applyNumberFormat="0" applyBorder="0" applyAlignment="0" applyProtection="0"/>
    <xf numFmtId="0" fontId="3" fillId="0" borderId="1"/>
    <xf numFmtId="0" fontId="3" fillId="22" borderId="1" applyNumberFormat="0" applyBorder="0" applyAlignment="0" applyProtection="0"/>
    <xf numFmtId="0" fontId="3" fillId="0" borderId="1"/>
    <xf numFmtId="0" fontId="3" fillId="22" borderId="1" applyNumberFormat="0" applyBorder="0" applyAlignment="0" applyProtection="0"/>
    <xf numFmtId="0" fontId="3" fillId="0" borderId="1"/>
    <xf numFmtId="0" fontId="3" fillId="16" borderId="1" applyNumberFormat="0" applyBorder="0" applyAlignment="0" applyProtection="0"/>
    <xf numFmtId="0" fontId="53" fillId="0" borderId="33" applyNumberFormat="0" applyFill="0" applyAlignment="0" applyProtection="0"/>
    <xf numFmtId="0" fontId="3" fillId="0" borderId="1"/>
    <xf numFmtId="0" fontId="3" fillId="0" borderId="1"/>
    <xf numFmtId="0" fontId="3" fillId="22" borderId="1" applyNumberFormat="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0" fontId="3" fillId="22" borderId="1" applyNumberFormat="0" applyBorder="0" applyAlignment="0" applyProtection="0"/>
    <xf numFmtId="0" fontId="3" fillId="0" borderId="1"/>
    <xf numFmtId="0" fontId="3" fillId="0" borderId="1"/>
    <xf numFmtId="164" fontId="3" fillId="0" borderId="1"/>
    <xf numFmtId="0" fontId="3" fillId="22"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0" fontId="3" fillId="22" borderId="1" applyNumberFormat="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0" fontId="3" fillId="22" borderId="1" applyNumberFormat="0" applyBorder="0" applyAlignment="0" applyProtection="0"/>
    <xf numFmtId="0" fontId="3" fillId="0" borderId="1"/>
    <xf numFmtId="164" fontId="3" fillId="0" borderId="1"/>
    <xf numFmtId="0" fontId="3" fillId="0" borderId="1"/>
    <xf numFmtId="0" fontId="3" fillId="0" borderId="1"/>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0" fontId="3" fillId="0" borderId="1"/>
    <xf numFmtId="0" fontId="3" fillId="0" borderId="1"/>
    <xf numFmtId="0" fontId="3" fillId="22" borderId="1" applyNumberFormat="0" applyBorder="0" applyAlignment="0" applyProtection="0"/>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22" borderId="1" applyNumberFormat="0" applyBorder="0" applyAlignment="0" applyProtection="0"/>
    <xf numFmtId="0" fontId="3" fillId="15" borderId="1" applyNumberFormat="0" applyBorder="0" applyAlignment="0" applyProtection="0"/>
    <xf numFmtId="0" fontId="3" fillId="15" borderId="1" applyNumberFormat="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0" fontId="47" fillId="32" borderId="30" applyNumberFormat="0" applyAlignment="0" applyProtection="0"/>
    <xf numFmtId="0" fontId="3" fillId="0" borderId="1"/>
    <xf numFmtId="0" fontId="3" fillId="0" borderId="1"/>
    <xf numFmtId="0" fontId="3" fillId="22"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19" borderId="1" applyNumberFormat="0" applyBorder="0" applyAlignment="0" applyProtection="0"/>
    <xf numFmtId="0" fontId="3" fillId="0" borderId="1"/>
    <xf numFmtId="0" fontId="3" fillId="22"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0" borderId="1"/>
    <xf numFmtId="164"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0" fontId="3" fillId="0" borderId="1"/>
    <xf numFmtId="0" fontId="3" fillId="21" borderId="1" applyNumberFormat="0" applyBorder="0" applyAlignment="0" applyProtection="0"/>
    <xf numFmtId="0" fontId="3" fillId="24"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22" borderId="1" applyNumberFormat="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0" fontId="3" fillId="0" borderId="1"/>
    <xf numFmtId="0" fontId="3" fillId="22" borderId="1" applyNumberFormat="0" applyBorder="0" applyAlignment="0" applyProtection="0"/>
    <xf numFmtId="164" fontId="3" fillId="0" borderId="1"/>
    <xf numFmtId="0" fontId="3" fillId="25"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19" borderId="1" applyNumberFormat="0" applyBorder="0" applyAlignment="0" applyProtection="0"/>
    <xf numFmtId="0" fontId="3" fillId="0" borderId="1"/>
    <xf numFmtId="0" fontId="3" fillId="22"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0" borderId="1"/>
    <xf numFmtId="43" fontId="3" fillId="0" borderId="1" applyFont="0" applyFill="0" applyBorder="0" applyAlignment="0" applyProtection="0"/>
    <xf numFmtId="164" fontId="3" fillId="0" borderId="1"/>
    <xf numFmtId="164" fontId="3" fillId="0" borderId="1"/>
    <xf numFmtId="0" fontId="3" fillId="22" borderId="1" applyNumberFormat="0" applyBorder="0" applyAlignment="0" applyProtection="0"/>
    <xf numFmtId="164" fontId="3" fillId="0" borderId="1"/>
    <xf numFmtId="0" fontId="3" fillId="24"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16" borderId="1" applyNumberFormat="0" applyBorder="0" applyAlignment="0" applyProtection="0"/>
    <xf numFmtId="0" fontId="3" fillId="19" borderId="1" applyNumberFormat="0" applyBorder="0" applyAlignment="0" applyProtection="0"/>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22" borderId="1" applyNumberFormat="0" applyBorder="0" applyAlignment="0" applyProtection="0"/>
    <xf numFmtId="164" fontId="3" fillId="0" borderId="1"/>
    <xf numFmtId="0" fontId="3" fillId="25" borderId="1" applyNumberFormat="0" applyBorder="0" applyAlignment="0" applyProtection="0"/>
    <xf numFmtId="0" fontId="3" fillId="24" borderId="1" applyNumberFormat="0" applyBorder="0" applyAlignment="0" applyProtection="0"/>
    <xf numFmtId="0" fontId="3" fillId="0" borderId="1"/>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22" borderId="1" applyNumberFormat="0" applyBorder="0" applyAlignment="0" applyProtection="0"/>
    <xf numFmtId="0" fontId="3" fillId="17" borderId="1" applyNumberFormat="0" applyBorder="0" applyAlignment="0" applyProtection="0"/>
    <xf numFmtId="0" fontId="3" fillId="0" borderId="1"/>
    <xf numFmtId="0" fontId="3" fillId="24"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0" borderId="1"/>
    <xf numFmtId="0" fontId="3" fillId="22"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21" borderId="1" applyNumberFormat="0" applyBorder="0" applyAlignment="0" applyProtection="0"/>
    <xf numFmtId="0" fontId="3" fillId="24" borderId="1" applyNumberFormat="0" applyBorder="0" applyAlignment="0" applyProtection="0"/>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0" fontId="3" fillId="22" borderId="1" applyNumberFormat="0" applyBorder="0" applyAlignment="0" applyProtection="0"/>
    <xf numFmtId="164" fontId="3" fillId="0" borderId="1"/>
    <xf numFmtId="44" fontId="3" fillId="0" borderId="1" applyFont="0" applyFill="0" applyBorder="0" applyAlignment="0" applyProtection="0"/>
    <xf numFmtId="0" fontId="3" fillId="19" borderId="1" applyNumberFormat="0" applyBorder="0" applyAlignment="0" applyProtection="0"/>
    <xf numFmtId="164" fontId="3" fillId="0" borderId="1"/>
    <xf numFmtId="0" fontId="3" fillId="5" borderId="1" applyNumberFormat="0" applyBorder="0" applyAlignment="0" applyProtection="0"/>
    <xf numFmtId="164" fontId="3" fillId="0" borderId="1"/>
    <xf numFmtId="164" fontId="3" fillId="0" borderId="1"/>
    <xf numFmtId="0" fontId="3" fillId="0" borderId="1"/>
    <xf numFmtId="0" fontId="3"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0" fontId="3" fillId="0" borderId="1"/>
    <xf numFmtId="0" fontId="3" fillId="0" borderId="1"/>
    <xf numFmtId="0" fontId="3" fillId="22" borderId="1" applyNumberFormat="0" applyBorder="0" applyAlignment="0" applyProtection="0"/>
    <xf numFmtId="0" fontId="3" fillId="25" borderId="1" applyNumberFormat="0" applyBorder="0" applyAlignment="0" applyProtection="0"/>
    <xf numFmtId="0" fontId="3" fillId="0" borderId="1"/>
    <xf numFmtId="0" fontId="3" fillId="0" borderId="1"/>
    <xf numFmtId="164" fontId="3" fillId="0" borderId="1"/>
    <xf numFmtId="164" fontId="3" fillId="0" borderId="1"/>
    <xf numFmtId="0" fontId="3" fillId="0" borderId="1"/>
    <xf numFmtId="0" fontId="3" fillId="0" borderId="1"/>
    <xf numFmtId="0" fontId="3" fillId="22" borderId="1" applyNumberFormat="0" applyBorder="0" applyAlignment="0" applyProtection="0"/>
    <xf numFmtId="0" fontId="3" fillId="0" borderId="1"/>
    <xf numFmtId="0" fontId="3" fillId="0" borderId="1"/>
    <xf numFmtId="0" fontId="3" fillId="23" borderId="25" applyNumberFormat="0" applyFont="0" applyAlignment="0" applyProtection="0"/>
    <xf numFmtId="0" fontId="3" fillId="21" borderId="1" applyNumberFormat="0" applyBorder="0" applyAlignment="0" applyProtection="0"/>
    <xf numFmtId="0" fontId="3" fillId="0" borderId="1"/>
    <xf numFmtId="0" fontId="3" fillId="22"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16"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0" fontId="3" fillId="0" borderId="1"/>
    <xf numFmtId="0" fontId="3" fillId="16" borderId="1" applyNumberFormat="0" applyBorder="0" applyAlignment="0" applyProtection="0"/>
    <xf numFmtId="0" fontId="3" fillId="0" borderId="1"/>
    <xf numFmtId="164" fontId="3" fillId="0" borderId="1"/>
    <xf numFmtId="164" fontId="3" fillId="0" borderId="1"/>
    <xf numFmtId="0" fontId="3" fillId="0" borderId="1"/>
    <xf numFmtId="0" fontId="3" fillId="22" borderId="1" applyNumberFormat="0" applyBorder="0" applyAlignment="0" applyProtection="0"/>
    <xf numFmtId="0" fontId="3" fillId="0" borderId="1"/>
    <xf numFmtId="0" fontId="3" fillId="0" borderId="1"/>
    <xf numFmtId="164" fontId="3" fillId="0" borderId="1"/>
    <xf numFmtId="164" fontId="3" fillId="0" borderId="1"/>
    <xf numFmtId="164" fontId="3" fillId="0" borderId="1"/>
    <xf numFmtId="164" fontId="3" fillId="0" borderId="1"/>
    <xf numFmtId="0" fontId="3" fillId="22" borderId="1" applyNumberFormat="0" applyBorder="0" applyAlignment="0" applyProtection="0"/>
    <xf numFmtId="164" fontId="3" fillId="0" borderId="1"/>
    <xf numFmtId="0" fontId="3" fillId="0" borderId="1"/>
    <xf numFmtId="164"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164" fontId="3" fillId="0" borderId="1"/>
    <xf numFmtId="164" fontId="3" fillId="0" borderId="1"/>
    <xf numFmtId="0" fontId="3" fillId="22" borderId="1" applyNumberFormat="0" applyBorder="0" applyAlignment="0" applyProtection="0"/>
    <xf numFmtId="0" fontId="3" fillId="0" borderId="1"/>
    <xf numFmtId="0" fontId="33" fillId="0" borderId="1"/>
    <xf numFmtId="0" fontId="3" fillId="22"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22" borderId="1" applyNumberFormat="0" applyBorder="0" applyAlignment="0" applyProtection="0"/>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15" borderId="1" applyNumberFormat="0" applyBorder="0" applyAlignment="0" applyProtection="0"/>
    <xf numFmtId="164" fontId="3" fillId="0" borderId="1"/>
    <xf numFmtId="0" fontId="3" fillId="0" borderId="1"/>
    <xf numFmtId="164" fontId="3" fillId="0" borderId="1"/>
    <xf numFmtId="44" fontId="3" fillId="0" borderId="1" applyFont="0" applyFill="0" applyBorder="0" applyAlignment="0" applyProtection="0"/>
    <xf numFmtId="0" fontId="3" fillId="15"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22" borderId="1" applyNumberFormat="0" applyBorder="0" applyAlignment="0" applyProtection="0"/>
    <xf numFmtId="0" fontId="3" fillId="0" borderId="1"/>
    <xf numFmtId="0" fontId="3" fillId="25" borderId="1" applyNumberFormat="0" applyBorder="0" applyAlignment="0" applyProtection="0"/>
    <xf numFmtId="0" fontId="3" fillId="0" borderId="1"/>
    <xf numFmtId="0" fontId="3" fillId="19" borderId="1" applyNumberFormat="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21"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17" borderId="1" applyNumberFormat="0" applyBorder="0" applyAlignment="0" applyProtection="0"/>
    <xf numFmtId="0" fontId="3" fillId="0" borderId="1"/>
    <xf numFmtId="0" fontId="3" fillId="25" borderId="1" applyNumberFormat="0" applyBorder="0" applyAlignment="0" applyProtection="0"/>
    <xf numFmtId="0" fontId="3" fillId="0" borderId="1"/>
    <xf numFmtId="0" fontId="3" fillId="22"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0" borderId="1"/>
    <xf numFmtId="0" fontId="3" fillId="17" borderId="1" applyNumberFormat="0" applyBorder="0" applyAlignment="0" applyProtection="0"/>
    <xf numFmtId="0" fontId="3" fillId="0" borderId="1"/>
    <xf numFmtId="164" fontId="3" fillId="0" borderId="1"/>
    <xf numFmtId="0" fontId="3" fillId="16" borderId="1" applyNumberFormat="0" applyBorder="0" applyAlignment="0" applyProtection="0"/>
    <xf numFmtId="0" fontId="3" fillId="25" borderId="1" applyNumberFormat="0" applyBorder="0" applyAlignment="0" applyProtection="0"/>
    <xf numFmtId="164" fontId="3" fillId="0" borderId="1"/>
    <xf numFmtId="164" fontId="3" fillId="0" borderId="1"/>
    <xf numFmtId="0" fontId="3" fillId="0" borderId="1"/>
    <xf numFmtId="0" fontId="3" fillId="22"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22" borderId="1" applyNumberFormat="0" applyBorder="0" applyAlignment="0" applyProtection="0"/>
    <xf numFmtId="0" fontId="3" fillId="17"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0" borderId="1"/>
    <xf numFmtId="0" fontId="3" fillId="22" borderId="1" applyNumberFormat="0" applyBorder="0" applyAlignment="0" applyProtection="0"/>
    <xf numFmtId="44" fontId="3" fillId="0" borderId="1" applyFont="0" applyFill="0" applyBorder="0" applyAlignment="0" applyProtection="0"/>
    <xf numFmtId="164" fontId="3" fillId="0" borderId="1"/>
    <xf numFmtId="0" fontId="3" fillId="19" borderId="1" applyNumberFormat="0" applyBorder="0" applyAlignment="0" applyProtection="0"/>
    <xf numFmtId="0" fontId="3" fillId="0" borderId="1"/>
    <xf numFmtId="0" fontId="3" fillId="22" borderId="1" applyNumberFormat="0" applyBorder="0" applyAlignment="0" applyProtection="0"/>
    <xf numFmtId="164" fontId="3" fillId="0" borderId="1"/>
    <xf numFmtId="0" fontId="3" fillId="17" borderId="1" applyNumberFormat="0" applyBorder="0" applyAlignment="0" applyProtection="0"/>
    <xf numFmtId="164" fontId="3" fillId="0" borderId="1"/>
    <xf numFmtId="0" fontId="3" fillId="21"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17" borderId="1" applyNumberFormat="0" applyBorder="0" applyAlignment="0" applyProtection="0"/>
    <xf numFmtId="0" fontId="3" fillId="0" borderId="1"/>
    <xf numFmtId="0" fontId="3" fillId="22" borderId="1" applyNumberFormat="0" applyBorder="0" applyAlignment="0" applyProtection="0"/>
    <xf numFmtId="0" fontId="3" fillId="25"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44" fontId="3" fillId="0" borderId="1" applyFont="0" applyFill="0" applyBorder="0" applyAlignment="0" applyProtection="0"/>
    <xf numFmtId="0" fontId="3" fillId="0" borderId="1"/>
    <xf numFmtId="0" fontId="3" fillId="22"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0" borderId="1"/>
    <xf numFmtId="0" fontId="3" fillId="22" borderId="1" applyNumberFormat="0" applyBorder="0" applyAlignment="0" applyProtection="0"/>
    <xf numFmtId="0" fontId="3" fillId="0" borderId="1"/>
    <xf numFmtId="0" fontId="3" fillId="22"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22" borderId="1" applyNumberFormat="0" applyBorder="0" applyAlignment="0" applyProtection="0"/>
    <xf numFmtId="0" fontId="3" fillId="0" borderId="1"/>
    <xf numFmtId="0" fontId="3" fillId="22" borderId="1" applyNumberFormat="0" applyBorder="0" applyAlignment="0" applyProtection="0"/>
    <xf numFmtId="44" fontId="3" fillId="0" borderId="1" applyFont="0" applyFill="0" applyBorder="0" applyAlignment="0" applyProtection="0"/>
    <xf numFmtId="0" fontId="3" fillId="0" borderId="1"/>
    <xf numFmtId="0" fontId="3" fillId="22" borderId="1" applyNumberFormat="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21" borderId="1" applyNumberFormat="0" applyBorder="0" applyAlignment="0" applyProtection="0"/>
    <xf numFmtId="0" fontId="3" fillId="0" borderId="1"/>
    <xf numFmtId="0" fontId="33"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164" fontId="3" fillId="0" borderId="1"/>
    <xf numFmtId="0" fontId="3" fillId="0" borderId="1"/>
    <xf numFmtId="0" fontId="3" fillId="24" borderId="1" applyNumberFormat="0" applyBorder="0" applyAlignment="0" applyProtection="0"/>
    <xf numFmtId="0" fontId="3" fillId="0" borderId="1"/>
    <xf numFmtId="0" fontId="34"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0" fontId="3" fillId="0" borderId="1"/>
    <xf numFmtId="0" fontId="3" fillId="24" borderId="1" applyNumberFormat="0" applyBorder="0" applyAlignment="0" applyProtection="0"/>
    <xf numFmtId="0" fontId="3" fillId="17" borderId="1" applyNumberFormat="0" applyBorder="0" applyAlignment="0" applyProtection="0"/>
    <xf numFmtId="0" fontId="3" fillId="0" borderId="1"/>
    <xf numFmtId="0" fontId="3" fillId="22"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0" fontId="3" fillId="0" borderId="1"/>
    <xf numFmtId="164" fontId="3" fillId="0" borderId="1"/>
    <xf numFmtId="164" fontId="3" fillId="0" borderId="1"/>
    <xf numFmtId="0" fontId="3" fillId="22" borderId="1" applyNumberFormat="0" applyBorder="0" applyAlignment="0" applyProtection="0"/>
    <xf numFmtId="164" fontId="3" fillId="0" borderId="1"/>
    <xf numFmtId="0" fontId="3" fillId="0" borderId="1"/>
    <xf numFmtId="0" fontId="3" fillId="24" borderId="1" applyNumberFormat="0" applyBorder="0" applyAlignment="0" applyProtection="0"/>
    <xf numFmtId="164" fontId="3" fillId="0" borderId="1"/>
    <xf numFmtId="164" fontId="3" fillId="0" borderId="1"/>
    <xf numFmtId="0" fontId="3" fillId="0" borderId="1"/>
    <xf numFmtId="0" fontId="3" fillId="0" borderId="1"/>
    <xf numFmtId="0" fontId="3" fillId="22" borderId="1" applyNumberFormat="0" applyBorder="0" applyAlignment="0" applyProtection="0"/>
    <xf numFmtId="0" fontId="3" fillId="0" borderId="1"/>
    <xf numFmtId="0" fontId="3" fillId="24" borderId="1" applyNumberFormat="0" applyBorder="0" applyAlignment="0" applyProtection="0"/>
    <xf numFmtId="0" fontId="3" fillId="0" borderId="1"/>
    <xf numFmtId="44" fontId="34" fillId="0" borderId="1" applyFont="0" applyFill="0" applyBorder="0" applyAlignment="0" applyProtection="0"/>
    <xf numFmtId="164" fontId="3" fillId="0" borderId="1"/>
    <xf numFmtId="164" fontId="3" fillId="0" borderId="1"/>
    <xf numFmtId="164" fontId="3" fillId="0" borderId="1"/>
    <xf numFmtId="164" fontId="3" fillId="0" borderId="1"/>
    <xf numFmtId="0" fontId="3" fillId="0" borderId="1"/>
    <xf numFmtId="0" fontId="3" fillId="17" borderId="1" applyNumberFormat="0" applyBorder="0" applyAlignment="0" applyProtection="0"/>
    <xf numFmtId="0" fontId="3" fillId="0" borderId="1"/>
    <xf numFmtId="0" fontId="3" fillId="0" borderId="1"/>
    <xf numFmtId="0" fontId="3" fillId="22" borderId="1" applyNumberFormat="0" applyBorder="0" applyAlignment="0" applyProtection="0"/>
    <xf numFmtId="164" fontId="3" fillId="0" borderId="1"/>
    <xf numFmtId="164" fontId="3" fillId="0" borderId="1"/>
    <xf numFmtId="0" fontId="3" fillId="24" borderId="1" applyNumberFormat="0" applyBorder="0" applyAlignment="0" applyProtection="0"/>
    <xf numFmtId="164" fontId="3" fillId="0" borderId="1"/>
    <xf numFmtId="0" fontId="3" fillId="0" borderId="1"/>
    <xf numFmtId="0" fontId="3" fillId="17" borderId="1" applyNumberFormat="0" applyBorder="0" applyAlignment="0" applyProtection="0"/>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22" borderId="1" applyNumberFormat="0" applyBorder="0" applyAlignment="0" applyProtection="0"/>
    <xf numFmtId="164" fontId="3" fillId="0" borderId="1"/>
    <xf numFmtId="0" fontId="3" fillId="24" borderId="1" applyNumberFormat="0" applyBorder="0" applyAlignment="0" applyProtection="0"/>
    <xf numFmtId="0" fontId="3" fillId="15" borderId="1" applyNumberFormat="0" applyBorder="0" applyAlignment="0" applyProtection="0"/>
    <xf numFmtId="164" fontId="3" fillId="0" borderId="1"/>
    <xf numFmtId="0" fontId="3" fillId="25" borderId="1" applyNumberFormat="0" applyBorder="0" applyAlignment="0" applyProtection="0"/>
    <xf numFmtId="164" fontId="3" fillId="0" borderId="1"/>
    <xf numFmtId="0" fontId="3" fillId="0" borderId="1"/>
    <xf numFmtId="0" fontId="3" fillId="22" borderId="1" applyNumberFormat="0" applyBorder="0" applyAlignment="0" applyProtection="0"/>
    <xf numFmtId="164" fontId="3" fillId="0" borderId="1"/>
    <xf numFmtId="164" fontId="3" fillId="0" borderId="1"/>
    <xf numFmtId="0" fontId="3" fillId="0" borderId="1"/>
    <xf numFmtId="0" fontId="3" fillId="24" borderId="1" applyNumberFormat="0" applyBorder="0" applyAlignment="0" applyProtection="0"/>
    <xf numFmtId="0" fontId="3" fillId="25" borderId="1" applyNumberFormat="0" applyBorder="0" applyAlignment="0" applyProtection="0"/>
    <xf numFmtId="164" fontId="3" fillId="0" borderId="1"/>
    <xf numFmtId="0" fontId="3" fillId="16" borderId="1" applyNumberFormat="0" applyBorder="0" applyAlignment="0" applyProtection="0"/>
    <xf numFmtId="0" fontId="3" fillId="24" borderId="1" applyNumberFormat="0" applyBorder="0" applyAlignment="0" applyProtection="0"/>
    <xf numFmtId="0" fontId="3" fillId="15" borderId="1" applyNumberFormat="0" applyBorder="0" applyAlignment="0" applyProtection="0"/>
    <xf numFmtId="0" fontId="3" fillId="17" borderId="1" applyNumberFormat="0" applyBorder="0" applyAlignment="0" applyProtection="0"/>
    <xf numFmtId="164" fontId="3" fillId="0" borderId="1"/>
    <xf numFmtId="164" fontId="3" fillId="0" borderId="1"/>
    <xf numFmtId="0" fontId="3" fillId="25" borderId="1" applyNumberFormat="0" applyBorder="0" applyAlignment="0" applyProtection="0"/>
    <xf numFmtId="164" fontId="3" fillId="0" borderId="1"/>
    <xf numFmtId="0" fontId="3" fillId="0" borderId="1"/>
    <xf numFmtId="0" fontId="3" fillId="22" borderId="1" applyNumberFormat="0" applyBorder="0" applyAlignment="0" applyProtection="0"/>
    <xf numFmtId="164" fontId="3" fillId="0" borderId="1"/>
    <xf numFmtId="0" fontId="3" fillId="24" borderId="1" applyNumberFormat="0" applyBorder="0" applyAlignment="0" applyProtection="0"/>
    <xf numFmtId="164" fontId="3" fillId="0" borderId="1"/>
    <xf numFmtId="0" fontId="3" fillId="24"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17" borderId="1" applyNumberFormat="0" applyBorder="0" applyAlignment="0" applyProtection="0"/>
    <xf numFmtId="0" fontId="3" fillId="0" borderId="1"/>
    <xf numFmtId="0" fontId="3" fillId="0" borderId="1"/>
    <xf numFmtId="0" fontId="3" fillId="22" borderId="1" applyNumberFormat="0" applyBorder="0" applyAlignment="0" applyProtection="0"/>
    <xf numFmtId="43" fontId="3" fillId="0" borderId="1" applyFont="0" applyFill="0" applyBorder="0" applyAlignment="0" applyProtection="0"/>
    <xf numFmtId="0" fontId="3" fillId="0" borderId="1"/>
    <xf numFmtId="164" fontId="3" fillId="0" borderId="1"/>
    <xf numFmtId="164" fontId="3" fillId="0" borderId="1"/>
    <xf numFmtId="164" fontId="3" fillId="0" borderId="1"/>
    <xf numFmtId="164" fontId="3" fillId="0" borderId="1"/>
    <xf numFmtId="0" fontId="3" fillId="22" borderId="1" applyNumberFormat="0" applyBorder="0" applyAlignment="0" applyProtection="0"/>
    <xf numFmtId="0" fontId="3" fillId="5"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22" borderId="1" applyNumberFormat="0" applyBorder="0" applyAlignment="0" applyProtection="0"/>
    <xf numFmtId="0" fontId="3" fillId="5" borderId="1" applyNumberFormat="0" applyBorder="0" applyAlignment="0" applyProtection="0"/>
    <xf numFmtId="0" fontId="3" fillId="5"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5" borderId="1" applyNumberFormat="0" applyBorder="0" applyAlignment="0" applyProtection="0"/>
    <xf numFmtId="0" fontId="3" fillId="0" borderId="1"/>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164" fontId="33" fillId="0" borderId="1" applyFont="0" applyFill="0" applyBorder="0" applyAlignment="0" applyProtection="0"/>
    <xf numFmtId="0" fontId="3" fillId="5" borderId="1" applyNumberFormat="0" applyBorder="0" applyAlignment="0" applyProtection="0"/>
    <xf numFmtId="0" fontId="3" fillId="0" borderId="1"/>
    <xf numFmtId="0" fontId="3" fillId="22" borderId="1" applyNumberFormat="0" applyBorder="0" applyAlignment="0" applyProtection="0"/>
    <xf numFmtId="0" fontId="3" fillId="5"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0" fontId="3" fillId="5" borderId="1" applyNumberFormat="0" applyBorder="0" applyAlignment="0" applyProtection="0"/>
    <xf numFmtId="0" fontId="3" fillId="0" borderId="1"/>
    <xf numFmtId="0" fontId="3" fillId="22" borderId="1" applyNumberFormat="0" applyBorder="0" applyAlignment="0" applyProtection="0"/>
    <xf numFmtId="0" fontId="3" fillId="0" borderId="1"/>
    <xf numFmtId="164" fontId="3" fillId="0" borderId="1"/>
    <xf numFmtId="164" fontId="3" fillId="0" borderId="1"/>
    <xf numFmtId="164" fontId="3" fillId="0" borderId="1"/>
    <xf numFmtId="164" fontId="3" fillId="0" borderId="1"/>
    <xf numFmtId="0" fontId="3" fillId="22" borderId="1" applyNumberFormat="0" applyBorder="0" applyAlignment="0" applyProtection="0"/>
    <xf numFmtId="0" fontId="3" fillId="5"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24" borderId="1" applyNumberFormat="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0" borderId="1"/>
    <xf numFmtId="0" fontId="3" fillId="22" borderId="1" applyNumberFormat="0" applyBorder="0" applyAlignment="0" applyProtection="0"/>
    <xf numFmtId="164" fontId="3" fillId="0" borderId="1"/>
    <xf numFmtId="0" fontId="3" fillId="0" borderId="1"/>
    <xf numFmtId="44" fontId="3" fillId="0" borderId="1" applyFont="0" applyFill="0" applyBorder="0" applyAlignment="0" applyProtection="0"/>
    <xf numFmtId="0" fontId="3" fillId="19" borderId="1" applyNumberFormat="0" applyBorder="0" applyAlignment="0" applyProtection="0"/>
    <xf numFmtId="0" fontId="3" fillId="5" borderId="1" applyNumberFormat="0" applyBorder="0" applyAlignment="0" applyProtection="0"/>
    <xf numFmtId="0" fontId="3" fillId="25" borderId="1" applyNumberFormat="0" applyBorder="0" applyAlignment="0" applyProtection="0"/>
    <xf numFmtId="0" fontId="3" fillId="0" borderId="1"/>
    <xf numFmtId="0" fontId="3" fillId="5" borderId="1" applyNumberFormat="0" applyBorder="0" applyAlignment="0" applyProtection="0"/>
    <xf numFmtId="0" fontId="3" fillId="0" borderId="1"/>
    <xf numFmtId="0" fontId="3" fillId="0" borderId="1"/>
    <xf numFmtId="0" fontId="3" fillId="0" borderId="1"/>
    <xf numFmtId="0" fontId="3" fillId="0" borderId="1"/>
    <xf numFmtId="0" fontId="3" fillId="22"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164" fontId="3" fillId="0" borderId="1"/>
    <xf numFmtId="0" fontId="3" fillId="0" borderId="1"/>
    <xf numFmtId="164" fontId="3" fillId="0" borderId="1"/>
    <xf numFmtId="164" fontId="3" fillId="0" borderId="1"/>
    <xf numFmtId="0" fontId="3" fillId="22" borderId="1" applyNumberFormat="0" applyBorder="0" applyAlignment="0" applyProtection="0"/>
    <xf numFmtId="164" fontId="3" fillId="0" borderId="1"/>
    <xf numFmtId="164" fontId="3" fillId="0" borderId="1"/>
    <xf numFmtId="164" fontId="3" fillId="0" borderId="1"/>
    <xf numFmtId="0" fontId="3" fillId="24" borderId="1" applyNumberFormat="0" applyBorder="0" applyAlignment="0" applyProtection="0"/>
    <xf numFmtId="0" fontId="3" fillId="15" borderId="1" applyNumberFormat="0" applyBorder="0" applyAlignment="0" applyProtection="0"/>
    <xf numFmtId="164" fontId="3" fillId="0" borderId="1"/>
    <xf numFmtId="0" fontId="3" fillId="25" borderId="1" applyNumberFormat="0" applyBorder="0" applyAlignment="0" applyProtection="0"/>
    <xf numFmtId="164" fontId="3" fillId="0" borderId="1"/>
    <xf numFmtId="0" fontId="3" fillId="0" borderId="1"/>
    <xf numFmtId="0" fontId="3" fillId="22" borderId="1" applyNumberFormat="0" applyBorder="0" applyAlignment="0" applyProtection="0"/>
    <xf numFmtId="0" fontId="35" fillId="0" borderId="1" applyNumberFormat="0" applyFill="0" applyBorder="0" applyAlignment="0" applyProtection="0"/>
    <xf numFmtId="164" fontId="3" fillId="0" borderId="1"/>
    <xf numFmtId="0" fontId="3" fillId="0" borderId="1"/>
    <xf numFmtId="0" fontId="3" fillId="24" borderId="1" applyNumberFormat="0" applyBorder="0" applyAlignment="0" applyProtection="0"/>
    <xf numFmtId="0" fontId="3" fillId="22"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44" fontId="3" fillId="0" borderId="1" applyFont="0" applyFill="0" applyBorder="0" applyAlignment="0" applyProtection="0"/>
    <xf numFmtId="0" fontId="3" fillId="0" borderId="1"/>
    <xf numFmtId="0" fontId="3" fillId="5"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164" fontId="3" fillId="0" borderId="1"/>
    <xf numFmtId="0" fontId="3" fillId="0" borderId="1"/>
    <xf numFmtId="164" fontId="3" fillId="0" borderId="1"/>
    <xf numFmtId="0" fontId="3" fillId="0" borderId="1"/>
    <xf numFmtId="43" fontId="3" fillId="0" borderId="1" applyFont="0" applyFill="0" applyBorder="0" applyAlignment="0" applyProtection="0"/>
    <xf numFmtId="0" fontId="3" fillId="0" borderId="1"/>
    <xf numFmtId="0" fontId="3" fillId="15"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0" fontId="3" fillId="0" borderId="1"/>
    <xf numFmtId="0" fontId="3" fillId="0" borderId="1"/>
    <xf numFmtId="0" fontId="3" fillId="22" borderId="1" applyNumberFormat="0" applyBorder="0" applyAlignment="0" applyProtection="0"/>
    <xf numFmtId="0" fontId="3" fillId="0" borderId="1"/>
    <xf numFmtId="0" fontId="33" fillId="0" borderId="1"/>
    <xf numFmtId="164" fontId="3" fillId="0" borderId="1"/>
    <xf numFmtId="164" fontId="3" fillId="0" borderId="1"/>
    <xf numFmtId="0" fontId="3" fillId="22" borderId="1" applyNumberFormat="0" applyBorder="0" applyAlignment="0" applyProtection="0"/>
    <xf numFmtId="0" fontId="3" fillId="24" borderId="1" applyNumberFormat="0" applyBorder="0" applyAlignment="0" applyProtection="0"/>
    <xf numFmtId="0" fontId="3" fillId="0" borderId="1"/>
    <xf numFmtId="0" fontId="3" fillId="22"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0" borderId="1"/>
    <xf numFmtId="0" fontId="3" fillId="22" borderId="1" applyNumberFormat="0" applyBorder="0" applyAlignment="0" applyProtection="0"/>
    <xf numFmtId="0" fontId="3" fillId="0" borderId="1"/>
    <xf numFmtId="0" fontId="3" fillId="22" borderId="1" applyNumberFormat="0" applyBorder="0" applyAlignment="0" applyProtection="0"/>
    <xf numFmtId="0" fontId="3" fillId="0" borderId="1"/>
    <xf numFmtId="0" fontId="3" fillId="0" borderId="1"/>
    <xf numFmtId="0" fontId="3" fillId="22"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0" fontId="3" fillId="22" borderId="1" applyNumberFormat="0" applyBorder="0" applyAlignment="0" applyProtection="0"/>
    <xf numFmtId="0" fontId="3" fillId="0" borderId="1"/>
    <xf numFmtId="0" fontId="3" fillId="0" borderId="1"/>
    <xf numFmtId="0" fontId="3" fillId="0" borderId="1"/>
    <xf numFmtId="0" fontId="3" fillId="0" borderId="1"/>
    <xf numFmtId="0" fontId="3" fillId="21" borderId="1" applyNumberFormat="0" applyBorder="0" applyAlignment="0" applyProtection="0"/>
    <xf numFmtId="0" fontId="3" fillId="22" borderId="1" applyNumberFormat="0" applyBorder="0" applyAlignment="0" applyProtection="0"/>
    <xf numFmtId="0" fontId="33" fillId="0" borderId="1"/>
    <xf numFmtId="0" fontId="34" fillId="0" borderId="1"/>
    <xf numFmtId="0" fontId="3" fillId="0" borderId="1"/>
    <xf numFmtId="0" fontId="3" fillId="0" borderId="1"/>
    <xf numFmtId="0" fontId="3" fillId="0" borderId="1"/>
    <xf numFmtId="0" fontId="3" fillId="22" borderId="1" applyNumberFormat="0" applyBorder="0" applyAlignment="0" applyProtection="0"/>
    <xf numFmtId="0" fontId="3" fillId="0" borderId="1"/>
    <xf numFmtId="0" fontId="34" fillId="0" borderId="1"/>
    <xf numFmtId="0" fontId="3" fillId="0" borderId="1"/>
    <xf numFmtId="0" fontId="3" fillId="0" borderId="1"/>
    <xf numFmtId="0" fontId="3" fillId="22" borderId="1" applyNumberFormat="0" applyBorder="0" applyAlignment="0" applyProtection="0"/>
    <xf numFmtId="0" fontId="3" fillId="0" borderId="1"/>
    <xf numFmtId="0" fontId="3" fillId="0" borderId="1"/>
    <xf numFmtId="0" fontId="33" fillId="0" borderId="1"/>
    <xf numFmtId="0" fontId="34" fillId="0" borderId="1"/>
    <xf numFmtId="0" fontId="3" fillId="0" borderId="1"/>
    <xf numFmtId="0" fontId="3" fillId="0" borderId="1"/>
    <xf numFmtId="0" fontId="3" fillId="0" borderId="1"/>
    <xf numFmtId="0" fontId="3" fillId="22" borderId="1" applyNumberFormat="0" applyBorder="0" applyAlignment="0" applyProtection="0"/>
    <xf numFmtId="0" fontId="33" fillId="0" borderId="1"/>
    <xf numFmtId="0" fontId="34" fillId="0" borderId="1"/>
    <xf numFmtId="0" fontId="3" fillId="0" borderId="1"/>
    <xf numFmtId="0" fontId="3" fillId="0" borderId="1"/>
    <xf numFmtId="0" fontId="3" fillId="0" borderId="1"/>
    <xf numFmtId="0" fontId="3" fillId="0" borderId="1"/>
    <xf numFmtId="0" fontId="3" fillId="0" borderId="1"/>
    <xf numFmtId="0" fontId="3" fillId="22" borderId="1" applyNumberFormat="0" applyBorder="0" applyAlignment="0" applyProtection="0"/>
    <xf numFmtId="0" fontId="3" fillId="0" borderId="1"/>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164" fontId="3" fillId="0" borderId="1"/>
    <xf numFmtId="164" fontId="3" fillId="0" borderId="1"/>
    <xf numFmtId="0" fontId="3" fillId="22" borderId="1" applyNumberFormat="0" applyBorder="0" applyAlignment="0" applyProtection="0"/>
    <xf numFmtId="0" fontId="3" fillId="0" borderId="1"/>
    <xf numFmtId="0" fontId="3" fillId="0" borderId="1"/>
    <xf numFmtId="164" fontId="3" fillId="0" borderId="1"/>
    <xf numFmtId="164" fontId="3" fillId="0" borderId="1"/>
    <xf numFmtId="164" fontId="3" fillId="0" borderId="1"/>
    <xf numFmtId="164" fontId="3" fillId="0" borderId="1"/>
    <xf numFmtId="0" fontId="3" fillId="22" borderId="1" applyNumberFormat="0" applyBorder="0" applyAlignment="0" applyProtection="0"/>
    <xf numFmtId="0" fontId="3" fillId="24" borderId="1" applyNumberFormat="0" applyBorder="0" applyAlignment="0" applyProtection="0"/>
    <xf numFmtId="0" fontId="3" fillId="0" borderId="1"/>
    <xf numFmtId="0" fontId="3" fillId="0" borderId="1"/>
    <xf numFmtId="0" fontId="33" fillId="0" borderId="1"/>
    <xf numFmtId="0" fontId="3" fillId="22" borderId="1" applyNumberFormat="0" applyBorder="0" applyAlignment="0" applyProtection="0"/>
    <xf numFmtId="0" fontId="33" fillId="0" borderId="1"/>
    <xf numFmtId="0" fontId="3" fillId="22" borderId="1" applyNumberFormat="0" applyBorder="0" applyAlignment="0" applyProtection="0"/>
    <xf numFmtId="0" fontId="3" fillId="21" borderId="1" applyNumberFormat="0" applyBorder="0" applyAlignment="0" applyProtection="0"/>
    <xf numFmtId="0" fontId="3" fillId="0" borderId="1"/>
    <xf numFmtId="0" fontId="3" fillId="0" borderId="1"/>
    <xf numFmtId="0" fontId="3" fillId="0" borderId="1"/>
    <xf numFmtId="0" fontId="3" fillId="17" borderId="1" applyNumberFormat="0" applyBorder="0" applyAlignment="0" applyProtection="0"/>
    <xf numFmtId="0" fontId="3" fillId="22" borderId="1" applyNumberFormat="0" applyBorder="0" applyAlignment="0" applyProtection="0"/>
    <xf numFmtId="164" fontId="3" fillId="0" borderId="1"/>
    <xf numFmtId="0" fontId="3" fillId="0" borderId="1"/>
    <xf numFmtId="0" fontId="3" fillId="19" borderId="1" applyNumberFormat="0" applyBorder="0" applyAlignment="0" applyProtection="0"/>
    <xf numFmtId="0" fontId="3" fillId="17" borderId="1" applyNumberFormat="0" applyBorder="0" applyAlignment="0" applyProtection="0"/>
    <xf numFmtId="0" fontId="3" fillId="21" borderId="1" applyNumberFormat="0" applyBorder="0" applyAlignment="0" applyProtection="0"/>
    <xf numFmtId="0" fontId="3" fillId="22" borderId="1" applyNumberFormat="0" applyBorder="0" applyAlignment="0" applyProtection="0"/>
    <xf numFmtId="0" fontId="3" fillId="0" borderId="1"/>
    <xf numFmtId="0" fontId="3" fillId="0" borderId="1"/>
    <xf numFmtId="0" fontId="3" fillId="0" borderId="1"/>
    <xf numFmtId="0" fontId="3" fillId="17" borderId="1" applyNumberFormat="0" applyBorder="0" applyAlignment="0" applyProtection="0"/>
    <xf numFmtId="0" fontId="3" fillId="0" borderId="1"/>
    <xf numFmtId="0" fontId="3" fillId="22" borderId="1" applyNumberFormat="0" applyBorder="0" applyAlignment="0" applyProtection="0"/>
    <xf numFmtId="0" fontId="3" fillId="22" borderId="1" applyNumberFormat="0" applyBorder="0" applyAlignment="0" applyProtection="0"/>
    <xf numFmtId="0" fontId="3" fillId="22" borderId="1" applyNumberFormat="0" applyBorder="0" applyAlignment="0" applyProtection="0"/>
    <xf numFmtId="164" fontId="3" fillId="0" borderId="1"/>
    <xf numFmtId="164" fontId="3" fillId="0" borderId="1"/>
    <xf numFmtId="0" fontId="3" fillId="17" borderId="1" applyNumberFormat="0" applyBorder="0" applyAlignment="0" applyProtection="0"/>
    <xf numFmtId="164" fontId="3" fillId="0" borderId="1"/>
    <xf numFmtId="0" fontId="3" fillId="22" borderId="1" applyNumberFormat="0" applyBorder="0" applyAlignment="0" applyProtection="0"/>
    <xf numFmtId="0" fontId="3" fillId="19" borderId="1" applyNumberFormat="0" applyBorder="0" applyAlignment="0" applyProtection="0"/>
    <xf numFmtId="0" fontId="3" fillId="22" borderId="1" applyNumberFormat="0" applyBorder="0" applyAlignment="0" applyProtection="0"/>
    <xf numFmtId="0" fontId="3" fillId="22" borderId="1" applyNumberFormat="0" applyBorder="0" applyAlignment="0" applyProtection="0"/>
    <xf numFmtId="0" fontId="3" fillId="22" borderId="1" applyNumberFormat="0" applyBorder="0" applyAlignment="0" applyProtection="0"/>
    <xf numFmtId="0" fontId="3" fillId="0" borderId="1"/>
    <xf numFmtId="44" fontId="3" fillId="0" borderId="1" applyFont="0" applyFill="0" applyBorder="0" applyAlignment="0" applyProtection="0"/>
    <xf numFmtId="0" fontId="3" fillId="17" borderId="1" applyNumberFormat="0" applyBorder="0" applyAlignment="0" applyProtection="0"/>
    <xf numFmtId="0" fontId="3" fillId="0" borderId="1"/>
    <xf numFmtId="0" fontId="3" fillId="0" borderId="1"/>
    <xf numFmtId="0" fontId="3" fillId="22" borderId="1" applyNumberFormat="0" applyBorder="0" applyAlignment="0" applyProtection="0"/>
    <xf numFmtId="0" fontId="3" fillId="0" borderId="1"/>
    <xf numFmtId="0" fontId="3" fillId="0" borderId="1"/>
    <xf numFmtId="0" fontId="3" fillId="0" borderId="1"/>
    <xf numFmtId="0" fontId="3" fillId="0" borderId="1"/>
    <xf numFmtId="0" fontId="3" fillId="22" borderId="1" applyNumberFormat="0" applyBorder="0" applyAlignment="0" applyProtection="0"/>
    <xf numFmtId="0" fontId="3" fillId="0" borderId="1"/>
    <xf numFmtId="0" fontId="3" fillId="0" borderId="1"/>
    <xf numFmtId="0" fontId="3" fillId="22" borderId="1" applyNumberFormat="0" applyBorder="0" applyAlignment="0" applyProtection="0"/>
    <xf numFmtId="0" fontId="3" fillId="0" borderId="1"/>
    <xf numFmtId="0" fontId="3" fillId="0" borderId="1"/>
    <xf numFmtId="0" fontId="3" fillId="22" borderId="1" applyNumberFormat="0" applyBorder="0" applyAlignment="0" applyProtection="0"/>
    <xf numFmtId="0" fontId="3" fillId="0" borderId="1"/>
    <xf numFmtId="0" fontId="3" fillId="22" borderId="1" applyNumberFormat="0" applyBorder="0" applyAlignment="0" applyProtection="0"/>
    <xf numFmtId="0" fontId="3" fillId="0" borderId="1"/>
    <xf numFmtId="0" fontId="3" fillId="0" borderId="1"/>
    <xf numFmtId="0" fontId="3" fillId="0" borderId="1"/>
    <xf numFmtId="164" fontId="3" fillId="0" borderId="1"/>
    <xf numFmtId="0" fontId="3" fillId="22" borderId="1" applyNumberFormat="0" applyBorder="0" applyAlignment="0" applyProtection="0"/>
    <xf numFmtId="164" fontId="3" fillId="0" borderId="1"/>
    <xf numFmtId="164" fontId="3" fillId="0" borderId="1"/>
    <xf numFmtId="0" fontId="3" fillId="0" borderId="1"/>
    <xf numFmtId="0" fontId="3" fillId="0" borderId="1"/>
    <xf numFmtId="0" fontId="3" fillId="0" borderId="1"/>
    <xf numFmtId="0" fontId="3" fillId="22" borderId="1" applyNumberFormat="0" applyBorder="0" applyAlignment="0" applyProtection="0"/>
    <xf numFmtId="0" fontId="3" fillId="0" borderId="1"/>
    <xf numFmtId="0" fontId="3" fillId="0" borderId="1"/>
    <xf numFmtId="0" fontId="3" fillId="0" borderId="1"/>
    <xf numFmtId="0" fontId="3" fillId="22" borderId="1" applyNumberFormat="0" applyBorder="0" applyAlignment="0" applyProtection="0"/>
    <xf numFmtId="0" fontId="3" fillId="0" borderId="1"/>
    <xf numFmtId="44" fontId="3" fillId="0" borderId="1" applyFont="0" applyFill="0" applyBorder="0" applyAlignment="0" applyProtection="0"/>
    <xf numFmtId="0" fontId="33" fillId="0" borderId="1"/>
    <xf numFmtId="0" fontId="3" fillId="22"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0" fontId="3" fillId="0" borderId="1"/>
    <xf numFmtId="0" fontId="3" fillId="22"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0" fontId="3" fillId="0" borderId="1"/>
    <xf numFmtId="0" fontId="3" fillId="22"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164" fontId="3" fillId="0" borderId="1"/>
    <xf numFmtId="0" fontId="3" fillId="22" borderId="1" applyNumberFormat="0" applyBorder="0" applyAlignment="0" applyProtection="0"/>
    <xf numFmtId="0" fontId="3" fillId="15" borderId="1" applyNumberFormat="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22" borderId="1" applyNumberFormat="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0" fontId="3" fillId="19" borderId="1" applyNumberFormat="0" applyBorder="0" applyAlignment="0" applyProtection="0"/>
    <xf numFmtId="0" fontId="3" fillId="0" borderId="1"/>
    <xf numFmtId="0" fontId="3" fillId="0" borderId="1"/>
    <xf numFmtId="0" fontId="3" fillId="0" borderId="1"/>
    <xf numFmtId="164" fontId="3" fillId="0" borderId="1"/>
    <xf numFmtId="0" fontId="3" fillId="19" borderId="1" applyNumberFormat="0" applyBorder="0" applyAlignment="0" applyProtection="0"/>
    <xf numFmtId="0" fontId="3" fillId="19" borderId="1" applyNumberFormat="0" applyBorder="0" applyAlignment="0" applyProtection="0"/>
    <xf numFmtId="0" fontId="3" fillId="0" borderId="1"/>
    <xf numFmtId="0" fontId="3" fillId="0" borderId="1"/>
    <xf numFmtId="0" fontId="3" fillId="0" borderId="1"/>
    <xf numFmtId="0" fontId="3" fillId="19" borderId="1" applyNumberFormat="0" applyBorder="0" applyAlignment="0" applyProtection="0"/>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5" borderId="1" applyNumberFormat="0" applyBorder="0" applyAlignment="0" applyProtection="0"/>
    <xf numFmtId="164" fontId="3" fillId="0" borderId="1"/>
    <xf numFmtId="0" fontId="3" fillId="0" borderId="1"/>
    <xf numFmtId="0" fontId="3" fillId="25" borderId="1" applyNumberFormat="0" applyBorder="0" applyAlignment="0" applyProtection="0"/>
    <xf numFmtId="0" fontId="3" fillId="19" borderId="1" applyNumberFormat="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0" fontId="3" fillId="19" borderId="1" applyNumberFormat="0" applyBorder="0" applyAlignment="0" applyProtection="0"/>
    <xf numFmtId="164"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0" fontId="3" fillId="19" borderId="1" applyNumberFormat="0" applyBorder="0" applyAlignment="0" applyProtection="0"/>
    <xf numFmtId="164" fontId="33" fillId="0" borderId="1"/>
    <xf numFmtId="164" fontId="3" fillId="0" borderId="1"/>
    <xf numFmtId="165" fontId="33" fillId="0" borderId="1" applyFont="0" applyFill="0" applyBorder="0" applyAlignment="0" applyProtection="0"/>
    <xf numFmtId="164" fontId="3" fillId="0" borderId="1"/>
    <xf numFmtId="164" fontId="33" fillId="0" borderId="1" applyFill="0" applyBorder="0" applyAlignment="0" applyProtection="0"/>
    <xf numFmtId="0" fontId="3" fillId="19" borderId="1" applyNumberFormat="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19" borderId="1" applyNumberFormat="0" applyBorder="0" applyAlignment="0" applyProtection="0"/>
    <xf numFmtId="164" fontId="33" fillId="0" borderId="1"/>
    <xf numFmtId="44" fontId="3" fillId="0" borderId="1" applyFont="0" applyFill="0" applyBorder="0" applyAlignment="0" applyProtection="0"/>
    <xf numFmtId="164" fontId="3" fillId="0" borderId="1"/>
    <xf numFmtId="164" fontId="3" fillId="0" borderId="1"/>
    <xf numFmtId="164" fontId="33" fillId="0" borderId="1" applyFill="0" applyBorder="0" applyAlignment="0" applyProtection="0"/>
    <xf numFmtId="44" fontId="3" fillId="0" borderId="1" applyFont="0" applyFill="0" applyBorder="0" applyAlignment="0" applyProtection="0"/>
    <xf numFmtId="164"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44" fontId="3" fillId="0" borderId="1" applyFont="0" applyFill="0" applyBorder="0" applyAlignment="0" applyProtection="0"/>
    <xf numFmtId="0" fontId="3" fillId="19" borderId="1" applyNumberFormat="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19" borderId="1" applyNumberFormat="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19" borderId="1" applyNumberFormat="0" applyBorder="0" applyAlignment="0" applyProtection="0"/>
    <xf numFmtId="0" fontId="3" fillId="5" borderId="1" applyNumberFormat="0" applyBorder="0" applyAlignment="0" applyProtection="0"/>
    <xf numFmtId="0" fontId="3" fillId="25" borderId="1" applyNumberFormat="0" applyBorder="0" applyAlignment="0" applyProtection="0"/>
    <xf numFmtId="164" fontId="3" fillId="0" borderId="1"/>
    <xf numFmtId="0" fontId="3" fillId="0" borderId="1"/>
    <xf numFmtId="0" fontId="3" fillId="19" borderId="1" applyNumberFormat="0" applyBorder="0" applyAlignment="0" applyProtection="0"/>
    <xf numFmtId="0" fontId="3" fillId="0" borderId="1"/>
    <xf numFmtId="164" fontId="3" fillId="0" borderId="1"/>
    <xf numFmtId="164" fontId="3" fillId="0" borderId="1"/>
    <xf numFmtId="0" fontId="3" fillId="0" borderId="1"/>
    <xf numFmtId="0" fontId="3" fillId="5" borderId="1" applyNumberFormat="0" applyBorder="0" applyAlignment="0" applyProtection="0"/>
    <xf numFmtId="0" fontId="3" fillId="19" borderId="1" applyNumberFormat="0" applyBorder="0" applyAlignment="0" applyProtection="0"/>
    <xf numFmtId="164" fontId="3" fillId="0" borderId="1"/>
    <xf numFmtId="44" fontId="3" fillId="0" borderId="1" applyFont="0" applyFill="0" applyBorder="0" applyAlignment="0" applyProtection="0"/>
    <xf numFmtId="0" fontId="3" fillId="19" borderId="1" applyNumberFormat="0" applyBorder="0" applyAlignment="0" applyProtection="0"/>
    <xf numFmtId="164" fontId="3" fillId="0" borderId="1"/>
    <xf numFmtId="44" fontId="3" fillId="0" borderId="1" applyFont="0" applyFill="0" applyBorder="0" applyAlignment="0" applyProtection="0"/>
    <xf numFmtId="0" fontId="3" fillId="19" borderId="1" applyNumberFormat="0" applyBorder="0" applyAlignment="0" applyProtection="0"/>
    <xf numFmtId="164" fontId="3" fillId="0" borderId="1"/>
    <xf numFmtId="44" fontId="3" fillId="0" borderId="1" applyFont="0" applyFill="0" applyBorder="0" applyAlignment="0" applyProtection="0"/>
    <xf numFmtId="164" fontId="3" fillId="0" borderId="1"/>
    <xf numFmtId="0" fontId="47" fillId="32" borderId="30" applyNumberFormat="0" applyAlignment="0" applyProtection="0"/>
    <xf numFmtId="0" fontId="3" fillId="19" borderId="1" applyNumberFormat="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0" fontId="3" fillId="19" borderId="1" applyNumberFormat="0" applyBorder="0" applyAlignment="0" applyProtection="0"/>
    <xf numFmtId="164" fontId="3" fillId="0" borderId="1"/>
    <xf numFmtId="0" fontId="3" fillId="0" borderId="1"/>
    <xf numFmtId="0" fontId="3" fillId="5" borderId="1" applyNumberFormat="0" applyBorder="0" applyAlignment="0" applyProtection="0"/>
    <xf numFmtId="0" fontId="3" fillId="23" borderId="25" applyNumberFormat="0" applyFont="0" applyAlignment="0" applyProtection="0"/>
    <xf numFmtId="0" fontId="3" fillId="0" borderId="1"/>
    <xf numFmtId="0" fontId="3" fillId="0" borderId="1"/>
    <xf numFmtId="0" fontId="3" fillId="0" borderId="1"/>
    <xf numFmtId="0" fontId="3" fillId="17" borderId="1" applyNumberFormat="0" applyBorder="0" applyAlignment="0" applyProtection="0"/>
    <xf numFmtId="0" fontId="3" fillId="0" borderId="1"/>
    <xf numFmtId="164" fontId="3" fillId="0" borderId="1"/>
    <xf numFmtId="0" fontId="3" fillId="0" borderId="1"/>
    <xf numFmtId="0" fontId="3" fillId="19" borderId="1" applyNumberFormat="0" applyBorder="0" applyAlignment="0" applyProtection="0"/>
    <xf numFmtId="0" fontId="3" fillId="17" borderId="1" applyNumberFormat="0" applyBorder="0" applyAlignment="0" applyProtection="0"/>
    <xf numFmtId="43" fontId="3" fillId="0" borderId="1" applyFont="0" applyFill="0" applyBorder="0" applyAlignment="0" applyProtection="0"/>
    <xf numFmtId="0" fontId="3" fillId="19" borderId="1" applyNumberFormat="0" applyBorder="0" applyAlignment="0" applyProtection="0"/>
    <xf numFmtId="44" fontId="3" fillId="0" borderId="1" applyFont="0" applyFill="0" applyBorder="0" applyAlignment="0" applyProtection="0"/>
    <xf numFmtId="164" fontId="3" fillId="0" borderId="1"/>
    <xf numFmtId="9"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19" borderId="1" applyNumberFormat="0" applyBorder="0" applyAlignment="0" applyProtection="0"/>
    <xf numFmtId="0" fontId="3" fillId="17" borderId="1" applyNumberFormat="0" applyBorder="0" applyAlignment="0" applyProtection="0"/>
    <xf numFmtId="0" fontId="3" fillId="0" borderId="1"/>
    <xf numFmtId="44"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4" fontId="3" fillId="0" borderId="1"/>
    <xf numFmtId="0" fontId="3" fillId="19" borderId="1" applyNumberFormat="0" applyBorder="0" applyAlignment="0" applyProtection="0"/>
    <xf numFmtId="164"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9" fontId="3" fillId="0" borderId="1" applyFont="0" applyFill="0" applyBorder="0" applyAlignment="0" applyProtection="0"/>
    <xf numFmtId="0" fontId="3" fillId="0" borderId="1"/>
    <xf numFmtId="0" fontId="3" fillId="0" borderId="1"/>
    <xf numFmtId="0" fontId="3" fillId="0" borderId="1"/>
    <xf numFmtId="164" fontId="3" fillId="0" borderId="1"/>
    <xf numFmtId="0" fontId="3" fillId="0" borderId="1"/>
    <xf numFmtId="0" fontId="3" fillId="0" borderId="1"/>
    <xf numFmtId="0" fontId="3" fillId="19" borderId="1" applyNumberFormat="0" applyBorder="0" applyAlignment="0" applyProtection="0"/>
    <xf numFmtId="164" fontId="3" fillId="0" borderId="1"/>
    <xf numFmtId="0" fontId="3" fillId="0" borderId="1"/>
    <xf numFmtId="0" fontId="3" fillId="19" borderId="1" applyNumberFormat="0" applyBorder="0" applyAlignment="0" applyProtection="0"/>
    <xf numFmtId="0" fontId="3" fillId="5" borderId="1" applyNumberFormat="0" applyBorder="0" applyAlignment="0" applyProtection="0"/>
    <xf numFmtId="0" fontId="3" fillId="25" borderId="1" applyNumberFormat="0" applyBorder="0" applyAlignment="0" applyProtection="0"/>
    <xf numFmtId="0" fontId="3" fillId="0" borderId="1"/>
    <xf numFmtId="0" fontId="3" fillId="0" borderId="1"/>
    <xf numFmtId="0" fontId="3" fillId="0" borderId="1"/>
    <xf numFmtId="0" fontId="3" fillId="0" borderId="1"/>
    <xf numFmtId="0" fontId="3" fillId="5" borderId="1" applyNumberFormat="0" applyBorder="0" applyAlignment="0" applyProtection="0"/>
    <xf numFmtId="44" fontId="3" fillId="0" borderId="1" applyFont="0" applyFill="0" applyBorder="0" applyAlignment="0" applyProtection="0"/>
    <xf numFmtId="43" fontId="3" fillId="0" borderId="1" applyFont="0" applyFill="0" applyBorder="0" applyAlignment="0" applyProtection="0"/>
    <xf numFmtId="0" fontId="3" fillId="19" borderId="1" applyNumberFormat="0" applyBorder="0" applyAlignment="0" applyProtection="0"/>
    <xf numFmtId="44" fontId="3" fillId="0" borderId="1" applyFont="0" applyFill="0" applyBorder="0" applyAlignment="0" applyProtection="0"/>
    <xf numFmtId="0" fontId="3" fillId="19" borderId="1" applyNumberFormat="0" applyBorder="0" applyAlignment="0" applyProtection="0"/>
    <xf numFmtId="164" fontId="3" fillId="0" borderId="1"/>
    <xf numFmtId="0" fontId="3" fillId="0" borderId="1"/>
    <xf numFmtId="0" fontId="3" fillId="0" borderId="1"/>
    <xf numFmtId="0" fontId="34" fillId="36" borderId="1" applyNumberFormat="0" applyBorder="0" applyAlignment="0" applyProtection="0"/>
    <xf numFmtId="0" fontId="3" fillId="0" borderId="1"/>
    <xf numFmtId="0" fontId="3" fillId="5" borderId="1" applyNumberFormat="0" applyBorder="0" applyAlignment="0" applyProtection="0"/>
    <xf numFmtId="0" fontId="3" fillId="25" borderId="1" applyNumberFormat="0" applyBorder="0" applyAlignment="0" applyProtection="0"/>
    <xf numFmtId="0" fontId="3" fillId="0" borderId="1"/>
    <xf numFmtId="164" fontId="3" fillId="0" borderId="1"/>
    <xf numFmtId="0" fontId="3" fillId="0" borderId="1"/>
    <xf numFmtId="0" fontId="3" fillId="19" borderId="1" applyNumberFormat="0" applyBorder="0" applyAlignment="0" applyProtection="0"/>
    <xf numFmtId="0" fontId="3" fillId="5" borderId="1" applyNumberFormat="0" applyBorder="0" applyAlignment="0" applyProtection="0"/>
    <xf numFmtId="0" fontId="3" fillId="25" borderId="1" applyNumberFormat="0" applyBorder="0" applyAlignment="0" applyProtection="0"/>
    <xf numFmtId="164" fontId="3" fillId="0" borderId="1"/>
    <xf numFmtId="164" fontId="3" fillId="0" borderId="1"/>
    <xf numFmtId="0" fontId="3" fillId="0" borderId="1"/>
    <xf numFmtId="0" fontId="3" fillId="19" borderId="1" applyNumberFormat="0" applyBorder="0" applyAlignment="0" applyProtection="0"/>
    <xf numFmtId="0" fontId="3" fillId="0" borderId="1"/>
    <xf numFmtId="0" fontId="3" fillId="0" borderId="1"/>
    <xf numFmtId="0" fontId="3" fillId="0" borderId="1"/>
    <xf numFmtId="0" fontId="3" fillId="5" borderId="1" applyNumberFormat="0" applyBorder="0" applyAlignment="0" applyProtection="0"/>
    <xf numFmtId="164" fontId="3" fillId="0" borderId="1"/>
    <xf numFmtId="0" fontId="3" fillId="0" borderId="1"/>
    <xf numFmtId="43" fontId="3" fillId="0" borderId="1" applyFont="0" applyFill="0" applyBorder="0" applyAlignment="0" applyProtection="0"/>
    <xf numFmtId="0" fontId="3" fillId="19" borderId="1" applyNumberFormat="0" applyBorder="0" applyAlignment="0" applyProtection="0"/>
    <xf numFmtId="0" fontId="3" fillId="0" borderId="1"/>
    <xf numFmtId="43" fontId="3" fillId="0" borderId="1" applyFont="0" applyFill="0" applyBorder="0" applyAlignment="0" applyProtection="0"/>
    <xf numFmtId="0" fontId="3" fillId="19" borderId="1" applyNumberFormat="0" applyBorder="0" applyAlignment="0" applyProtection="0"/>
    <xf numFmtId="164" fontId="3" fillId="0" borderId="1"/>
    <xf numFmtId="164" fontId="3" fillId="0" borderId="1"/>
    <xf numFmtId="0" fontId="3" fillId="16" borderId="1" applyNumberFormat="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19" borderId="1" applyNumberFormat="0" applyBorder="0" applyAlignment="0" applyProtection="0"/>
    <xf numFmtId="0" fontId="3" fillId="0" borderId="1"/>
    <xf numFmtId="0" fontId="3" fillId="19" borderId="1" applyNumberFormat="0" applyBorder="0" applyAlignment="0" applyProtection="0"/>
    <xf numFmtId="0" fontId="3" fillId="19" borderId="1" applyNumberFormat="0" applyBorder="0" applyAlignment="0" applyProtection="0"/>
    <xf numFmtId="0" fontId="3" fillId="0" borderId="1"/>
    <xf numFmtId="164" fontId="3" fillId="0" borderId="1"/>
    <xf numFmtId="164" fontId="3" fillId="0" borderId="1"/>
    <xf numFmtId="0" fontId="3" fillId="16" borderId="1" applyNumberFormat="0" applyBorder="0" applyAlignment="0" applyProtection="0"/>
    <xf numFmtId="0" fontId="3" fillId="0" borderId="1"/>
    <xf numFmtId="44" fontId="3" fillId="0" borderId="1" applyFont="0" applyFill="0" applyBorder="0" applyAlignment="0" applyProtection="0"/>
    <xf numFmtId="0" fontId="3" fillId="19" borderId="1" applyNumberFormat="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0" fontId="3" fillId="19" borderId="1" applyNumberFormat="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17" borderId="1" applyNumberFormat="0" applyBorder="0" applyAlignment="0" applyProtection="0"/>
    <xf numFmtId="0" fontId="3" fillId="0" borderId="1"/>
    <xf numFmtId="164" fontId="3" fillId="0" borderId="1"/>
    <xf numFmtId="164" fontId="3" fillId="0" borderId="1"/>
    <xf numFmtId="0" fontId="3" fillId="19" borderId="1" applyNumberFormat="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17" borderId="1" applyNumberFormat="0" applyBorder="0" applyAlignment="0" applyProtection="0"/>
    <xf numFmtId="0" fontId="3" fillId="19" borderId="1" applyNumberFormat="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19" borderId="1" applyNumberFormat="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0" fontId="3" fillId="0" borderId="1"/>
    <xf numFmtId="164" fontId="3" fillId="0" borderId="1"/>
    <xf numFmtId="0" fontId="3" fillId="17" borderId="1" applyNumberFormat="0" applyBorder="0" applyAlignment="0" applyProtection="0"/>
    <xf numFmtId="0" fontId="3" fillId="0" borderId="1"/>
    <xf numFmtId="0" fontId="3" fillId="19" borderId="1" applyNumberFormat="0" applyBorder="0" applyAlignment="0" applyProtection="0"/>
    <xf numFmtId="0" fontId="3" fillId="0" borderId="1"/>
    <xf numFmtId="0" fontId="3" fillId="0" borderId="1"/>
    <xf numFmtId="164" fontId="3" fillId="0" borderId="1"/>
    <xf numFmtId="0" fontId="3" fillId="17" borderId="1" applyNumberFormat="0" applyBorder="0" applyAlignment="0" applyProtection="0"/>
    <xf numFmtId="0" fontId="3" fillId="19" borderId="1" applyNumberFormat="0" applyBorder="0" applyAlignment="0" applyProtection="0"/>
    <xf numFmtId="0" fontId="3" fillId="0" borderId="1"/>
    <xf numFmtId="164" fontId="3" fillId="0" borderId="1"/>
    <xf numFmtId="164" fontId="3" fillId="0" borderId="1"/>
    <xf numFmtId="0" fontId="3" fillId="16" borderId="1" applyNumberFormat="0" applyBorder="0" applyAlignment="0" applyProtection="0"/>
    <xf numFmtId="0" fontId="3" fillId="19" borderId="1" applyNumberFormat="0" applyBorder="0" applyAlignment="0" applyProtection="0"/>
    <xf numFmtId="0" fontId="3" fillId="19" borderId="1" applyNumberFormat="0" applyBorder="0" applyAlignment="0" applyProtection="0"/>
    <xf numFmtId="0" fontId="3" fillId="0" borderId="1"/>
    <xf numFmtId="0" fontId="3" fillId="19" borderId="1" applyNumberFormat="0" applyBorder="0" applyAlignment="0" applyProtection="0"/>
    <xf numFmtId="164" fontId="3" fillId="0" borderId="1"/>
    <xf numFmtId="0" fontId="3" fillId="0" borderId="1"/>
    <xf numFmtId="0" fontId="3" fillId="0" borderId="1"/>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0" fontId="3" fillId="19" borderId="1" applyNumberFormat="0" applyBorder="0" applyAlignment="0" applyProtection="0"/>
    <xf numFmtId="0" fontId="3" fillId="0" borderId="1"/>
    <xf numFmtId="0" fontId="3" fillId="0" borderId="1"/>
    <xf numFmtId="0" fontId="3" fillId="19" borderId="1" applyNumberFormat="0" applyBorder="0" applyAlignment="0" applyProtection="0"/>
    <xf numFmtId="0" fontId="58" fillId="0" borderId="34" applyNumberFormat="0" applyFill="0" applyAlignment="0" applyProtection="0"/>
    <xf numFmtId="0" fontId="3" fillId="19" borderId="1" applyNumberFormat="0" applyBorder="0" applyAlignment="0" applyProtection="0"/>
    <xf numFmtId="0" fontId="3" fillId="0" borderId="1"/>
    <xf numFmtId="0" fontId="3" fillId="19" borderId="1" applyNumberFormat="0" applyBorder="0" applyAlignment="0" applyProtection="0"/>
    <xf numFmtId="0" fontId="3" fillId="0" borderId="1"/>
    <xf numFmtId="0" fontId="3" fillId="0" borderId="1"/>
    <xf numFmtId="0" fontId="3" fillId="0" borderId="1"/>
    <xf numFmtId="164" fontId="3" fillId="0" borderId="1"/>
    <xf numFmtId="0" fontId="3" fillId="0" borderId="1"/>
    <xf numFmtId="164" fontId="3" fillId="0" borderId="1"/>
    <xf numFmtId="0" fontId="3" fillId="19" borderId="1" applyNumberFormat="0" applyBorder="0" applyAlignment="0" applyProtection="0"/>
    <xf numFmtId="0" fontId="3" fillId="0" borderId="1"/>
    <xf numFmtId="0" fontId="3" fillId="5" borderId="1" applyNumberFormat="0" applyBorder="0" applyAlignment="0" applyProtection="0"/>
    <xf numFmtId="0" fontId="3" fillId="25" borderId="1" applyNumberFormat="0" applyBorder="0" applyAlignment="0" applyProtection="0"/>
    <xf numFmtId="164" fontId="3" fillId="0" borderId="1"/>
    <xf numFmtId="0" fontId="3" fillId="16" borderId="1" applyNumberFormat="0" applyBorder="0" applyAlignment="0" applyProtection="0"/>
    <xf numFmtId="0" fontId="3" fillId="25" borderId="1" applyNumberFormat="0" applyBorder="0" applyAlignment="0" applyProtection="0"/>
    <xf numFmtId="0" fontId="3" fillId="0" borderId="1"/>
    <xf numFmtId="0" fontId="3" fillId="0" borderId="1"/>
    <xf numFmtId="0" fontId="3" fillId="5" borderId="1" applyNumberFormat="0" applyBorder="0" applyAlignment="0" applyProtection="0"/>
    <xf numFmtId="0" fontId="3" fillId="0" borderId="1"/>
    <xf numFmtId="164" fontId="3" fillId="0" borderId="1"/>
    <xf numFmtId="164" fontId="3" fillId="0" borderId="1"/>
    <xf numFmtId="0" fontId="3" fillId="0" borderId="1"/>
    <xf numFmtId="164" fontId="3" fillId="0" borderId="1"/>
    <xf numFmtId="0" fontId="3" fillId="19" borderId="1" applyNumberFormat="0" applyBorder="0" applyAlignment="0" applyProtection="0"/>
    <xf numFmtId="0" fontId="3" fillId="0" borderId="1"/>
    <xf numFmtId="0" fontId="3" fillId="0" borderId="1"/>
    <xf numFmtId="0" fontId="3" fillId="16" borderId="1" applyNumberFormat="0" applyBorder="0" applyAlignment="0" applyProtection="0"/>
    <xf numFmtId="0" fontId="3" fillId="25" borderId="1" applyNumberFormat="0" applyBorder="0" applyAlignment="0" applyProtection="0"/>
    <xf numFmtId="0" fontId="3" fillId="0" borderId="1"/>
    <xf numFmtId="0" fontId="3" fillId="16" borderId="1" applyNumberFormat="0" applyBorder="0" applyAlignment="0" applyProtection="0"/>
    <xf numFmtId="164" fontId="3" fillId="0" borderId="1"/>
    <xf numFmtId="0" fontId="3" fillId="5" borderId="1" applyNumberFormat="0" applyBorder="0" applyAlignment="0" applyProtection="0"/>
    <xf numFmtId="0" fontId="3" fillId="0" borderId="1"/>
    <xf numFmtId="164" fontId="3" fillId="0" borderId="1"/>
    <xf numFmtId="0" fontId="3" fillId="0" borderId="1"/>
    <xf numFmtId="43" fontId="3" fillId="0" borderId="1" applyFont="0" applyFill="0" applyBorder="0" applyAlignment="0" applyProtection="0"/>
    <xf numFmtId="164" fontId="3" fillId="0" borderId="1"/>
    <xf numFmtId="0" fontId="3" fillId="19" borderId="1" applyNumberFormat="0" applyBorder="0" applyAlignment="0" applyProtection="0"/>
    <xf numFmtId="0" fontId="3" fillId="0" borderId="1"/>
    <xf numFmtId="0" fontId="3" fillId="16" borderId="1" applyNumberFormat="0" applyBorder="0" applyAlignment="0" applyProtection="0"/>
    <xf numFmtId="0" fontId="3" fillId="5" borderId="1" applyNumberFormat="0" applyBorder="0" applyAlignment="0" applyProtection="0"/>
    <xf numFmtId="0" fontId="3" fillId="0" borderId="1"/>
    <xf numFmtId="164" fontId="3" fillId="0" borderId="1"/>
    <xf numFmtId="0" fontId="3" fillId="19" borderId="1" applyNumberFormat="0" applyBorder="0" applyAlignment="0" applyProtection="0"/>
    <xf numFmtId="0" fontId="3" fillId="16" borderId="1" applyNumberFormat="0" applyBorder="0" applyAlignment="0" applyProtection="0"/>
    <xf numFmtId="0" fontId="3" fillId="0" borderId="1"/>
    <xf numFmtId="0" fontId="3" fillId="0" borderId="1"/>
    <xf numFmtId="0" fontId="3" fillId="0" borderId="1"/>
    <xf numFmtId="164" fontId="3" fillId="0" borderId="1"/>
    <xf numFmtId="0" fontId="3" fillId="0" borderId="1"/>
    <xf numFmtId="0" fontId="3" fillId="19" borderId="1" applyNumberFormat="0" applyBorder="0" applyAlignment="0" applyProtection="0"/>
    <xf numFmtId="164" fontId="3" fillId="0" borderId="1"/>
    <xf numFmtId="0" fontId="3" fillId="0" borderId="1"/>
    <xf numFmtId="164" fontId="3" fillId="0" borderId="1"/>
    <xf numFmtId="0" fontId="3" fillId="17" borderId="1" applyNumberFormat="0" applyBorder="0" applyAlignment="0" applyProtection="0"/>
    <xf numFmtId="164" fontId="3" fillId="0" borderId="1"/>
    <xf numFmtId="164" fontId="3" fillId="0" borderId="1"/>
    <xf numFmtId="0" fontId="3" fillId="16" borderId="1" applyNumberFormat="0" applyBorder="0" applyAlignment="0" applyProtection="0"/>
    <xf numFmtId="0" fontId="3" fillId="25" borderId="1" applyNumberFormat="0" applyBorder="0" applyAlignment="0" applyProtection="0"/>
    <xf numFmtId="164" fontId="3" fillId="0" borderId="1"/>
    <xf numFmtId="0" fontId="3" fillId="19" borderId="1" applyNumberFormat="0" applyBorder="0" applyAlignment="0" applyProtection="0"/>
    <xf numFmtId="164" fontId="3" fillId="0" borderId="1"/>
    <xf numFmtId="0" fontId="3" fillId="16" borderId="1" applyNumberFormat="0" applyBorder="0" applyAlignment="0" applyProtection="0"/>
    <xf numFmtId="0" fontId="3" fillId="0" borderId="1"/>
    <xf numFmtId="0" fontId="3" fillId="25" borderId="1" applyNumberFormat="0" applyBorder="0" applyAlignment="0" applyProtection="0"/>
    <xf numFmtId="164" fontId="3" fillId="0" borderId="1"/>
    <xf numFmtId="0" fontId="3" fillId="19" borderId="1" applyNumberFormat="0" applyBorder="0" applyAlignment="0" applyProtection="0"/>
    <xf numFmtId="0" fontId="3" fillId="0" borderId="1"/>
    <xf numFmtId="0" fontId="3" fillId="16" borderId="1" applyNumberFormat="0" applyBorder="0" applyAlignment="0" applyProtection="0"/>
    <xf numFmtId="0" fontId="3" fillId="19" borderId="1" applyNumberFormat="0" applyBorder="0" applyAlignment="0" applyProtection="0"/>
    <xf numFmtId="164" fontId="3" fillId="0" borderId="1"/>
    <xf numFmtId="0" fontId="3" fillId="16"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0" fontId="3" fillId="0" borderId="1"/>
    <xf numFmtId="0" fontId="3" fillId="16" borderId="1" applyNumberFormat="0" applyBorder="0" applyAlignment="0" applyProtection="0"/>
    <xf numFmtId="164" fontId="3" fillId="0" borderId="1"/>
    <xf numFmtId="0" fontId="3" fillId="19"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0" borderId="1"/>
    <xf numFmtId="0" fontId="3" fillId="16" borderId="1" applyNumberFormat="0" applyBorder="0" applyAlignment="0" applyProtection="0"/>
    <xf numFmtId="0" fontId="3" fillId="19" borderId="1" applyNumberFormat="0" applyBorder="0" applyAlignment="0" applyProtection="0"/>
    <xf numFmtId="0" fontId="3" fillId="0" borderId="1"/>
    <xf numFmtId="0" fontId="3" fillId="16" borderId="1" applyNumberFormat="0" applyBorder="0" applyAlignment="0" applyProtection="0"/>
    <xf numFmtId="0" fontId="3" fillId="0" borderId="1"/>
    <xf numFmtId="164" fontId="3" fillId="0" borderId="1"/>
    <xf numFmtId="0" fontId="3" fillId="19"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19" borderId="1" applyNumberFormat="0" applyBorder="0" applyAlignment="0" applyProtection="0"/>
    <xf numFmtId="164" fontId="3" fillId="0" borderId="1"/>
    <xf numFmtId="44" fontId="3" fillId="0" borderId="1" applyFont="0" applyFill="0" applyBorder="0" applyAlignment="0" applyProtection="0"/>
    <xf numFmtId="0" fontId="3" fillId="16" borderId="1" applyNumberFormat="0" applyBorder="0" applyAlignment="0" applyProtection="0"/>
    <xf numFmtId="0" fontId="3" fillId="19" borderId="1" applyNumberFormat="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0" fontId="3" fillId="17" borderId="1" applyNumberFormat="0" applyBorder="0" applyAlignment="0" applyProtection="0"/>
    <xf numFmtId="0" fontId="3" fillId="24" borderId="1" applyNumberFormat="0" applyBorder="0" applyAlignment="0" applyProtection="0"/>
    <xf numFmtId="0" fontId="3" fillId="16" borderId="1" applyNumberFormat="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19" borderId="1" applyNumberFormat="0" applyBorder="0" applyAlignment="0" applyProtection="0"/>
    <xf numFmtId="0" fontId="3" fillId="17" borderId="1" applyNumberFormat="0" applyBorder="0" applyAlignment="0" applyProtection="0"/>
    <xf numFmtId="0" fontId="3" fillId="24" borderId="1" applyNumberFormat="0" applyBorder="0" applyAlignment="0" applyProtection="0"/>
    <xf numFmtId="0" fontId="3" fillId="0" borderId="1"/>
    <xf numFmtId="0" fontId="3" fillId="16" borderId="1" applyNumberFormat="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0" fontId="3" fillId="19" borderId="1" applyNumberFormat="0" applyBorder="0" applyAlignment="0" applyProtection="0"/>
    <xf numFmtId="44" fontId="3" fillId="0" borderId="1" applyFont="0" applyFill="0" applyBorder="0" applyAlignment="0" applyProtection="0"/>
    <xf numFmtId="164" fontId="3" fillId="0" borderId="1"/>
    <xf numFmtId="0" fontId="3" fillId="0" borderId="1"/>
    <xf numFmtId="0" fontId="3" fillId="19"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0" fontId="3" fillId="25" borderId="1" applyNumberFormat="0" applyBorder="0" applyAlignment="0" applyProtection="0"/>
    <xf numFmtId="0" fontId="3" fillId="0" borderId="1"/>
    <xf numFmtId="164" fontId="3" fillId="0" borderId="1"/>
    <xf numFmtId="0" fontId="3" fillId="0" borderId="1"/>
    <xf numFmtId="164" fontId="3" fillId="0" borderId="1"/>
    <xf numFmtId="0" fontId="3" fillId="19" borderId="1" applyNumberFormat="0" applyBorder="0" applyAlignment="0" applyProtection="0"/>
    <xf numFmtId="0" fontId="3" fillId="16" borderId="1" applyNumberFormat="0" applyBorder="0" applyAlignment="0" applyProtection="0"/>
    <xf numFmtId="0" fontId="3" fillId="25" borderId="1" applyNumberFormat="0" applyBorder="0" applyAlignment="0" applyProtection="0"/>
    <xf numFmtId="164" fontId="3" fillId="0" borderId="1"/>
    <xf numFmtId="0" fontId="3" fillId="0" borderId="1"/>
    <xf numFmtId="164" fontId="3" fillId="0" borderId="1"/>
    <xf numFmtId="0" fontId="3" fillId="19" borderId="1" applyNumberFormat="0" applyBorder="0" applyAlignment="0" applyProtection="0"/>
    <xf numFmtId="0" fontId="3" fillId="0" borderId="1"/>
    <xf numFmtId="0" fontId="3" fillId="19" borderId="1" applyNumberFormat="0" applyBorder="0" applyAlignment="0" applyProtection="0"/>
    <xf numFmtId="0" fontId="3" fillId="0" borderId="1"/>
    <xf numFmtId="0" fontId="3" fillId="19" borderId="1" applyNumberFormat="0" applyBorder="0" applyAlignment="0" applyProtection="0"/>
    <xf numFmtId="0" fontId="3" fillId="0" borderId="1"/>
    <xf numFmtId="0" fontId="3" fillId="19" borderId="1" applyNumberFormat="0" applyBorder="0" applyAlignment="0" applyProtection="0"/>
    <xf numFmtId="0" fontId="3" fillId="17" borderId="1" applyNumberFormat="0" applyBorder="0" applyAlignment="0" applyProtection="0"/>
    <xf numFmtId="0" fontId="43" fillId="30" borderId="30" applyNumberFormat="0" applyAlignment="0" applyProtection="0"/>
    <xf numFmtId="43" fontId="3" fillId="0" borderId="1" applyFont="0" applyFill="0" applyBorder="0" applyAlignment="0" applyProtection="0"/>
    <xf numFmtId="164" fontId="3" fillId="0" borderId="1"/>
    <xf numFmtId="0" fontId="3" fillId="19" borderId="1" applyNumberFormat="0" applyBorder="0" applyAlignment="0" applyProtection="0"/>
    <xf numFmtId="0" fontId="43" fillId="30" borderId="30" applyNumberFormat="0" applyAlignment="0" applyProtection="0"/>
    <xf numFmtId="164" fontId="3" fillId="0" borderId="1"/>
    <xf numFmtId="43" fontId="3" fillId="0" borderId="1" applyFont="0" applyFill="0" applyBorder="0" applyAlignment="0" applyProtection="0"/>
    <xf numFmtId="164" fontId="3" fillId="0" borderId="1"/>
    <xf numFmtId="0" fontId="3" fillId="0" borderId="1"/>
    <xf numFmtId="0" fontId="3" fillId="19" borderId="1" applyNumberFormat="0" applyBorder="0" applyAlignment="0" applyProtection="0"/>
    <xf numFmtId="0" fontId="3" fillId="24" borderId="1" applyNumberFormat="0" applyBorder="0" applyAlignment="0" applyProtection="0"/>
    <xf numFmtId="0" fontId="3" fillId="0" borderId="1"/>
    <xf numFmtId="164" fontId="3" fillId="0" borderId="1"/>
    <xf numFmtId="0" fontId="3" fillId="0" borderId="1"/>
    <xf numFmtId="164" fontId="3" fillId="0" borderId="1"/>
    <xf numFmtId="44" fontId="3" fillId="0" borderId="1" applyFont="0" applyFill="0" applyBorder="0" applyAlignment="0" applyProtection="0"/>
    <xf numFmtId="164" fontId="3" fillId="0" borderId="1"/>
    <xf numFmtId="164" fontId="3" fillId="0" borderId="1"/>
    <xf numFmtId="0" fontId="3" fillId="0" borderId="1"/>
    <xf numFmtId="43" fontId="3" fillId="0" borderId="1" applyFont="0" applyFill="0" applyBorder="0" applyAlignment="0" applyProtection="0"/>
    <xf numFmtId="0" fontId="3" fillId="0" borderId="1"/>
    <xf numFmtId="0" fontId="3" fillId="0" borderId="1"/>
    <xf numFmtId="0" fontId="3" fillId="0" borderId="1"/>
    <xf numFmtId="164" fontId="3" fillId="0" borderId="1"/>
    <xf numFmtId="0" fontId="3" fillId="0" borderId="1"/>
    <xf numFmtId="0" fontId="3" fillId="19" borderId="1" applyNumberFormat="0" applyBorder="0" applyAlignment="0" applyProtection="0"/>
    <xf numFmtId="164" fontId="3" fillId="0" borderId="1"/>
    <xf numFmtId="0" fontId="3" fillId="17" borderId="1" applyNumberFormat="0" applyBorder="0" applyAlignment="0" applyProtection="0"/>
    <xf numFmtId="0" fontId="3" fillId="25" borderId="1" applyNumberFormat="0" applyBorder="0" applyAlignment="0" applyProtection="0"/>
    <xf numFmtId="164" fontId="3" fillId="0" borderId="1"/>
    <xf numFmtId="164" fontId="3" fillId="0" borderId="1"/>
    <xf numFmtId="0" fontId="3" fillId="19" borderId="1" applyNumberFormat="0" applyBorder="0" applyAlignment="0" applyProtection="0"/>
    <xf numFmtId="0" fontId="3" fillId="19" borderId="1" applyNumberFormat="0" applyBorder="0" applyAlignment="0" applyProtection="0"/>
    <xf numFmtId="0" fontId="3" fillId="0" borderId="1"/>
    <xf numFmtId="0" fontId="3" fillId="19" borderId="1" applyNumberFormat="0" applyBorder="0" applyAlignment="0" applyProtection="0"/>
    <xf numFmtId="0" fontId="3" fillId="0" borderId="1"/>
    <xf numFmtId="0" fontId="43" fillId="30" borderId="30" applyNumberFormat="0" applyAlignment="0" applyProtection="0"/>
    <xf numFmtId="43" fontId="3" fillId="0" borderId="1" applyFont="0" applyFill="0" applyBorder="0" applyAlignment="0" applyProtection="0"/>
    <xf numFmtId="164" fontId="3" fillId="0" borderId="1"/>
    <xf numFmtId="164" fontId="3" fillId="0" borderId="1"/>
    <xf numFmtId="0" fontId="3" fillId="19" borderId="1" applyNumberFormat="0" applyBorder="0" applyAlignment="0" applyProtection="0"/>
    <xf numFmtId="164" fontId="3" fillId="0" borderId="1"/>
    <xf numFmtId="0" fontId="3" fillId="16" borderId="1" applyNumberFormat="0" applyBorder="0" applyAlignment="0" applyProtection="0"/>
    <xf numFmtId="0" fontId="3" fillId="16" borderId="1" applyNumberFormat="0" applyBorder="0" applyAlignment="0" applyProtection="0"/>
    <xf numFmtId="0" fontId="3" fillId="19" borderId="1" applyNumberFormat="0" applyBorder="0" applyAlignment="0" applyProtection="0"/>
    <xf numFmtId="0" fontId="3" fillId="16" borderId="1" applyNumberFormat="0" applyBorder="0" applyAlignment="0" applyProtection="0"/>
    <xf numFmtId="164" fontId="3" fillId="0" borderId="1"/>
    <xf numFmtId="0" fontId="3" fillId="19" borderId="1" applyNumberFormat="0" applyBorder="0" applyAlignment="0" applyProtection="0"/>
    <xf numFmtId="43" fontId="3" fillId="0" borderId="1" applyFont="0" applyFill="0" applyBorder="0" applyAlignment="0" applyProtection="0"/>
    <xf numFmtId="164" fontId="3" fillId="0" borderId="1"/>
    <xf numFmtId="0" fontId="3" fillId="19" borderId="1" applyNumberFormat="0" applyBorder="0" applyAlignment="0" applyProtection="0"/>
    <xf numFmtId="0" fontId="3" fillId="16" borderId="1" applyNumberFormat="0" applyBorder="0" applyAlignment="0" applyProtection="0"/>
    <xf numFmtId="164" fontId="3" fillId="0" borderId="1"/>
    <xf numFmtId="0" fontId="3" fillId="19" borderId="1" applyNumberFormat="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0" fontId="3" fillId="19"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17" borderId="1" applyNumberFormat="0" applyBorder="0" applyAlignment="0" applyProtection="0"/>
    <xf numFmtId="0" fontId="3" fillId="0" borderId="1"/>
    <xf numFmtId="0" fontId="3" fillId="24" borderId="1" applyNumberFormat="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0" fontId="3" fillId="0" borderId="1"/>
    <xf numFmtId="164" fontId="3" fillId="0" borderId="1"/>
    <xf numFmtId="0" fontId="3" fillId="19" borderId="1" applyNumberFormat="0" applyBorder="0" applyAlignment="0" applyProtection="0"/>
    <xf numFmtId="164" fontId="3" fillId="0" borderId="1"/>
    <xf numFmtId="0" fontId="3" fillId="0" borderId="1"/>
    <xf numFmtId="0" fontId="3" fillId="0" borderId="1"/>
    <xf numFmtId="0" fontId="3" fillId="19" borderId="1" applyNumberFormat="0" applyBorder="0" applyAlignment="0" applyProtection="0"/>
    <xf numFmtId="0" fontId="3" fillId="16" borderId="1" applyNumberFormat="0" applyBorder="0" applyAlignment="0" applyProtection="0"/>
    <xf numFmtId="0" fontId="3" fillId="25" borderId="1" applyNumberFormat="0" applyBorder="0" applyAlignment="0" applyProtection="0"/>
    <xf numFmtId="0" fontId="3" fillId="0" borderId="1"/>
    <xf numFmtId="164" fontId="3" fillId="0" borderId="1"/>
    <xf numFmtId="0" fontId="3" fillId="0" borderId="1"/>
    <xf numFmtId="43" fontId="3" fillId="0" borderId="1" applyFont="0" applyFill="0" applyBorder="0" applyAlignment="0" applyProtection="0"/>
    <xf numFmtId="0" fontId="3" fillId="0" borderId="1"/>
    <xf numFmtId="0" fontId="3" fillId="0" borderId="1"/>
    <xf numFmtId="164" fontId="3" fillId="0" borderId="1"/>
    <xf numFmtId="0" fontId="3" fillId="19" borderId="1" applyNumberFormat="0" applyBorder="0" applyAlignment="0" applyProtection="0"/>
    <xf numFmtId="0" fontId="3" fillId="25" borderId="1" applyNumberFormat="0" applyBorder="0" applyAlignment="0" applyProtection="0"/>
    <xf numFmtId="164" fontId="3" fillId="0" borderId="1"/>
    <xf numFmtId="0" fontId="3" fillId="19" borderId="1" applyNumberFormat="0" applyBorder="0" applyAlignment="0" applyProtection="0"/>
    <xf numFmtId="0" fontId="3" fillId="17" borderId="1" applyNumberFormat="0" applyBorder="0" applyAlignment="0" applyProtection="0"/>
    <xf numFmtId="164" fontId="3" fillId="0" borderId="1"/>
    <xf numFmtId="0" fontId="3" fillId="25" borderId="1" applyNumberFormat="0" applyBorder="0" applyAlignment="0" applyProtection="0"/>
    <xf numFmtId="0" fontId="3" fillId="19" borderId="1" applyNumberFormat="0" applyBorder="0" applyAlignment="0" applyProtection="0"/>
    <xf numFmtId="164" fontId="3" fillId="0" borderId="1"/>
    <xf numFmtId="164" fontId="3" fillId="0" borderId="1"/>
    <xf numFmtId="0" fontId="3" fillId="0" borderId="1"/>
    <xf numFmtId="0" fontId="3" fillId="19"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17" borderId="1" applyNumberFormat="0" applyBorder="0" applyAlignment="0" applyProtection="0"/>
    <xf numFmtId="0" fontId="38" fillId="0" borderId="1" applyNumberFormat="0" applyFill="0" applyBorder="0" applyAlignment="0" applyProtection="0"/>
    <xf numFmtId="164" fontId="3" fillId="0" borderId="1"/>
    <xf numFmtId="164" fontId="3" fillId="0" borderId="1"/>
    <xf numFmtId="0" fontId="3" fillId="19" borderId="1" applyNumberFormat="0" applyBorder="0" applyAlignment="0" applyProtection="0"/>
    <xf numFmtId="0" fontId="3" fillId="19"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25" borderId="1" applyNumberFormat="0" applyBorder="0" applyAlignment="0" applyProtection="0"/>
    <xf numFmtId="0" fontId="3" fillId="19" borderId="1" applyNumberFormat="0" applyBorder="0" applyAlignment="0" applyProtection="0"/>
    <xf numFmtId="164" fontId="3" fillId="0" borderId="1"/>
    <xf numFmtId="0" fontId="3" fillId="0" borderId="1"/>
    <xf numFmtId="0" fontId="3" fillId="19" borderId="1" applyNumberFormat="0" applyBorder="0" applyAlignment="0" applyProtection="0"/>
    <xf numFmtId="164" fontId="3" fillId="0" borderId="1"/>
    <xf numFmtId="164" fontId="3" fillId="0" borderId="1"/>
    <xf numFmtId="0" fontId="3" fillId="15" borderId="1" applyNumberFormat="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0" fontId="3" fillId="19" borderId="1" applyNumberFormat="0" applyBorder="0" applyAlignment="0" applyProtection="0"/>
    <xf numFmtId="0" fontId="3" fillId="0" borderId="1"/>
    <xf numFmtId="164" fontId="3" fillId="0" borderId="1"/>
    <xf numFmtId="0" fontId="3" fillId="0" borderId="1"/>
    <xf numFmtId="164" fontId="3" fillId="0" borderId="1"/>
    <xf numFmtId="0" fontId="3" fillId="19" borderId="1" applyNumberFormat="0" applyBorder="0" applyAlignment="0" applyProtection="0"/>
    <xf numFmtId="0" fontId="3" fillId="0" borderId="1"/>
    <xf numFmtId="0" fontId="3" fillId="0" borderId="1"/>
    <xf numFmtId="0" fontId="3" fillId="19" borderId="1" applyNumberFormat="0" applyBorder="0" applyAlignment="0" applyProtection="0"/>
    <xf numFmtId="0" fontId="3" fillId="0" borderId="1"/>
    <xf numFmtId="0" fontId="3" fillId="0" borderId="1"/>
    <xf numFmtId="164" fontId="3" fillId="0" borderId="1"/>
    <xf numFmtId="164" fontId="3" fillId="0" borderId="1"/>
    <xf numFmtId="164" fontId="3" fillId="0" borderId="1"/>
    <xf numFmtId="0" fontId="3" fillId="19"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0" fontId="3" fillId="0" borderId="1"/>
    <xf numFmtId="0" fontId="3" fillId="19" borderId="1" applyNumberFormat="0" applyBorder="0" applyAlignment="0" applyProtection="0"/>
    <xf numFmtId="0" fontId="3" fillId="0" borderId="1"/>
    <xf numFmtId="0" fontId="3" fillId="19" borderId="1" applyNumberFormat="0" applyBorder="0" applyAlignment="0" applyProtection="0"/>
    <xf numFmtId="0" fontId="3" fillId="0" borderId="1"/>
    <xf numFmtId="0" fontId="3" fillId="19" borderId="1" applyNumberFormat="0" applyBorder="0" applyAlignment="0" applyProtection="0"/>
    <xf numFmtId="0" fontId="3" fillId="0" borderId="1"/>
    <xf numFmtId="0" fontId="3" fillId="0" borderId="1"/>
    <xf numFmtId="0" fontId="3" fillId="19" borderId="1" applyNumberFormat="0" applyBorder="0" applyAlignment="0" applyProtection="0"/>
    <xf numFmtId="0" fontId="3" fillId="19" borderId="1" applyNumberFormat="0" applyBorder="0" applyAlignment="0" applyProtection="0"/>
    <xf numFmtId="0" fontId="3" fillId="0" borderId="1"/>
    <xf numFmtId="0" fontId="3" fillId="19" borderId="1" applyNumberFormat="0" applyBorder="0" applyAlignment="0" applyProtection="0"/>
    <xf numFmtId="0" fontId="3" fillId="0" borderId="1"/>
    <xf numFmtId="0" fontId="3" fillId="0" borderId="1"/>
    <xf numFmtId="0" fontId="3" fillId="19" borderId="1" applyNumberFormat="0" applyBorder="0" applyAlignment="0" applyProtection="0"/>
    <xf numFmtId="0" fontId="3" fillId="0" borderId="1"/>
    <xf numFmtId="0" fontId="3" fillId="0" borderId="1"/>
    <xf numFmtId="0" fontId="3" fillId="0" borderId="1"/>
    <xf numFmtId="0" fontId="3" fillId="19" borderId="1" applyNumberFormat="0" applyBorder="0" applyAlignment="0" applyProtection="0"/>
    <xf numFmtId="0" fontId="3" fillId="0" borderId="1"/>
    <xf numFmtId="164" fontId="3" fillId="0" borderId="1"/>
    <xf numFmtId="0" fontId="3" fillId="17" borderId="1" applyNumberFormat="0" applyBorder="0" applyAlignment="0" applyProtection="0"/>
    <xf numFmtId="164" fontId="3" fillId="0" borderId="1"/>
    <xf numFmtId="164" fontId="3" fillId="0" borderId="1"/>
    <xf numFmtId="0" fontId="3" fillId="19" borderId="1" applyNumberFormat="0" applyBorder="0" applyAlignment="0" applyProtection="0"/>
    <xf numFmtId="0" fontId="3" fillId="0" borderId="1"/>
    <xf numFmtId="0" fontId="3" fillId="0" borderId="1"/>
    <xf numFmtId="164" fontId="3" fillId="0" borderId="1"/>
    <xf numFmtId="164" fontId="3" fillId="0" borderId="1"/>
    <xf numFmtId="0" fontId="3" fillId="19"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19" borderId="1" applyNumberFormat="0" applyBorder="0" applyAlignment="0" applyProtection="0"/>
    <xf numFmtId="0" fontId="3" fillId="0" borderId="1"/>
    <xf numFmtId="0" fontId="3" fillId="0" borderId="1"/>
    <xf numFmtId="0" fontId="3" fillId="0" borderId="1"/>
    <xf numFmtId="0" fontId="3" fillId="5" borderId="1" applyNumberFormat="0" applyBorder="0" applyAlignment="0" applyProtection="0"/>
    <xf numFmtId="0" fontId="3" fillId="0" borderId="1"/>
    <xf numFmtId="0" fontId="3" fillId="0" borderId="1"/>
    <xf numFmtId="0" fontId="3" fillId="0" borderId="1"/>
    <xf numFmtId="0" fontId="3" fillId="19" borderId="1" applyNumberFormat="0" applyBorder="0" applyAlignment="0" applyProtection="0"/>
    <xf numFmtId="0" fontId="3" fillId="0" borderId="1"/>
    <xf numFmtId="0" fontId="3" fillId="19"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0" fontId="3" fillId="19" borderId="1" applyNumberFormat="0" applyBorder="0" applyAlignment="0" applyProtection="0"/>
    <xf numFmtId="164" fontId="3" fillId="0" borderId="1"/>
    <xf numFmtId="0" fontId="3" fillId="24" borderId="1" applyNumberFormat="0" applyBorder="0" applyAlignment="0" applyProtection="0"/>
    <xf numFmtId="0" fontId="3" fillId="25" borderId="1" applyNumberFormat="0" applyBorder="0" applyAlignment="0" applyProtection="0"/>
    <xf numFmtId="0" fontId="3" fillId="0" borderId="1"/>
    <xf numFmtId="164" fontId="3" fillId="0" borderId="1"/>
    <xf numFmtId="0" fontId="3" fillId="19" borderId="1" applyNumberFormat="0" applyBorder="0" applyAlignment="0" applyProtection="0"/>
    <xf numFmtId="0" fontId="3" fillId="24" borderId="1" applyNumberFormat="0" applyBorder="0" applyAlignment="0" applyProtection="0"/>
    <xf numFmtId="0" fontId="3" fillId="15" borderId="1" applyNumberFormat="0" applyBorder="0" applyAlignment="0" applyProtection="0"/>
    <xf numFmtId="0" fontId="3" fillId="25" borderId="1" applyNumberFormat="0" applyBorder="0" applyAlignment="0" applyProtection="0"/>
    <xf numFmtId="0" fontId="3" fillId="0" borderId="1"/>
    <xf numFmtId="164" fontId="3" fillId="0" borderId="1"/>
    <xf numFmtId="0" fontId="3" fillId="19" borderId="1" applyNumberFormat="0" applyBorder="0" applyAlignment="0" applyProtection="0"/>
    <xf numFmtId="0" fontId="3" fillId="0" borderId="1"/>
    <xf numFmtId="0" fontId="3" fillId="24" borderId="1" applyNumberFormat="0" applyBorder="0" applyAlignment="0" applyProtection="0"/>
    <xf numFmtId="0" fontId="3" fillId="25"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0" fontId="3" fillId="19" borderId="1" applyNumberFormat="0" applyBorder="0" applyAlignment="0" applyProtection="0"/>
    <xf numFmtId="0" fontId="3" fillId="0" borderId="1"/>
    <xf numFmtId="0" fontId="3" fillId="19" borderId="1" applyNumberFormat="0" applyBorder="0" applyAlignment="0" applyProtection="0"/>
    <xf numFmtId="0" fontId="3" fillId="24" borderId="1" applyNumberFormat="0" applyBorder="0" applyAlignment="0" applyProtection="0"/>
    <xf numFmtId="0" fontId="3" fillId="25" borderId="1" applyNumberFormat="0" applyBorder="0" applyAlignment="0" applyProtection="0"/>
    <xf numFmtId="0" fontId="3" fillId="0" borderId="1"/>
    <xf numFmtId="164" fontId="3" fillId="0" borderId="1"/>
    <xf numFmtId="164" fontId="3" fillId="0" borderId="1"/>
    <xf numFmtId="0" fontId="3" fillId="0" borderId="1"/>
    <xf numFmtId="0" fontId="3" fillId="0" borderId="1"/>
    <xf numFmtId="164" fontId="3" fillId="0" borderId="1"/>
    <xf numFmtId="0" fontId="3" fillId="19" borderId="1" applyNumberFormat="0" applyBorder="0" applyAlignment="0" applyProtection="0"/>
    <xf numFmtId="44" fontId="3" fillId="0" borderId="1" applyFont="0" applyFill="0" applyBorder="0" applyAlignment="0" applyProtection="0"/>
    <xf numFmtId="164" fontId="3" fillId="0" borderId="1"/>
    <xf numFmtId="0" fontId="3" fillId="19" borderId="1" applyNumberFormat="0" applyBorder="0" applyAlignment="0" applyProtection="0"/>
    <xf numFmtId="0" fontId="3" fillId="0" borderId="1"/>
    <xf numFmtId="0" fontId="33" fillId="0" borderId="1"/>
    <xf numFmtId="164" fontId="3" fillId="0" borderId="1"/>
    <xf numFmtId="0" fontId="3" fillId="19"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19" borderId="1" applyNumberFormat="0" applyBorder="0" applyAlignment="0" applyProtection="0"/>
    <xf numFmtId="0" fontId="3" fillId="5" borderId="1" applyNumberFormat="0" applyBorder="0" applyAlignment="0" applyProtection="0"/>
    <xf numFmtId="0" fontId="3" fillId="0" borderId="1"/>
    <xf numFmtId="0" fontId="3" fillId="0" borderId="1"/>
    <xf numFmtId="0" fontId="3" fillId="16" borderId="1" applyNumberFormat="0" applyBorder="0" applyAlignment="0" applyProtection="0"/>
    <xf numFmtId="164" fontId="3" fillId="0" borderId="1"/>
    <xf numFmtId="0" fontId="3" fillId="5" borderId="1" applyNumberFormat="0" applyBorder="0" applyAlignment="0" applyProtection="0"/>
    <xf numFmtId="0" fontId="3" fillId="0" borderId="1"/>
    <xf numFmtId="0" fontId="3" fillId="5" borderId="1" applyNumberFormat="0" applyBorder="0" applyAlignment="0" applyProtection="0"/>
    <xf numFmtId="44" fontId="3" fillId="0" borderId="1" applyFont="0" applyFill="0" applyBorder="0" applyAlignment="0" applyProtection="0"/>
    <xf numFmtId="43" fontId="3" fillId="0" borderId="1" applyFont="0" applyFill="0" applyBorder="0" applyAlignment="0" applyProtection="0"/>
    <xf numFmtId="44" fontId="3" fillId="0" borderId="1" applyFont="0" applyFill="0" applyBorder="0" applyAlignment="0" applyProtection="0"/>
    <xf numFmtId="43" fontId="3" fillId="0" borderId="1" applyFont="0" applyFill="0" applyBorder="0" applyAlignment="0" applyProtection="0"/>
    <xf numFmtId="0" fontId="3" fillId="17" borderId="1" applyNumberFormat="0" applyBorder="0" applyAlignment="0" applyProtection="0"/>
    <xf numFmtId="0" fontId="3" fillId="5" borderId="1" applyNumberFormat="0" applyBorder="0" applyAlignment="0" applyProtection="0"/>
    <xf numFmtId="0" fontId="3" fillId="0" borderId="1"/>
    <xf numFmtId="0" fontId="3" fillId="0" borderId="1"/>
    <xf numFmtId="0" fontId="3" fillId="0" borderId="1"/>
    <xf numFmtId="0" fontId="3" fillId="19" borderId="1" applyNumberFormat="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0" borderId="1"/>
    <xf numFmtId="0" fontId="3" fillId="21" borderId="1" applyNumberFormat="0" applyBorder="0" applyAlignment="0" applyProtection="0"/>
    <xf numFmtId="0" fontId="3" fillId="19" borderId="1" applyNumberFormat="0" applyBorder="0" applyAlignment="0" applyProtection="0"/>
    <xf numFmtId="0" fontId="3" fillId="19"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19"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0" fontId="3" fillId="0" borderId="1"/>
    <xf numFmtId="0" fontId="3" fillId="0" borderId="1"/>
    <xf numFmtId="0" fontId="3" fillId="19" borderId="1" applyNumberFormat="0" applyBorder="0" applyAlignment="0" applyProtection="0"/>
    <xf numFmtId="0" fontId="3" fillId="19"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164" fontId="3" fillId="0" borderId="1"/>
    <xf numFmtId="0" fontId="3" fillId="0" borderId="1"/>
    <xf numFmtId="0" fontId="3" fillId="19"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25" borderId="1" applyNumberFormat="0" applyBorder="0" applyAlignment="0" applyProtection="0"/>
    <xf numFmtId="0" fontId="3" fillId="21" borderId="1" applyNumberFormat="0" applyBorder="0" applyAlignment="0" applyProtection="0"/>
    <xf numFmtId="0" fontId="3" fillId="0" borderId="1"/>
    <xf numFmtId="0" fontId="3" fillId="19"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0" fontId="3" fillId="0" borderId="1"/>
    <xf numFmtId="0" fontId="3" fillId="19"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0" borderId="1"/>
    <xf numFmtId="0" fontId="3" fillId="0" borderId="1"/>
    <xf numFmtId="0" fontId="3" fillId="0" borderId="1"/>
    <xf numFmtId="0" fontId="3" fillId="19"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0" fontId="3" fillId="0" borderId="1"/>
    <xf numFmtId="0" fontId="3" fillId="19" borderId="1" applyNumberFormat="0" applyBorder="0" applyAlignment="0" applyProtection="0"/>
    <xf numFmtId="0" fontId="3" fillId="0" borderId="1"/>
    <xf numFmtId="0" fontId="3" fillId="0" borderId="1"/>
    <xf numFmtId="0" fontId="3" fillId="19" borderId="1" applyNumberFormat="0" applyBorder="0" applyAlignment="0" applyProtection="0"/>
    <xf numFmtId="44" fontId="3" fillId="0" borderId="1" applyFont="0" applyFill="0" applyBorder="0" applyAlignment="0" applyProtection="0"/>
    <xf numFmtId="0" fontId="3" fillId="19" borderId="1" applyNumberFormat="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5"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23" borderId="25" applyNumberFormat="0" applyFont="0" applyAlignment="0" applyProtection="0"/>
    <xf numFmtId="43" fontId="3" fillId="0" borderId="1" applyFont="0" applyFill="0" applyBorder="0" applyAlignment="0" applyProtection="0"/>
    <xf numFmtId="0" fontId="3" fillId="19" borderId="1" applyNumberFormat="0" applyBorder="0" applyAlignment="0" applyProtection="0"/>
    <xf numFmtId="164" fontId="3" fillId="0" borderId="1"/>
    <xf numFmtId="164" fontId="3" fillId="0" borderId="1"/>
    <xf numFmtId="0" fontId="3" fillId="0" borderId="1"/>
    <xf numFmtId="0" fontId="3" fillId="19" borderId="1" applyNumberFormat="0" applyBorder="0" applyAlignment="0" applyProtection="0"/>
    <xf numFmtId="164" fontId="3" fillId="0" borderId="1"/>
    <xf numFmtId="164" fontId="3" fillId="0" borderId="1"/>
    <xf numFmtId="164" fontId="3" fillId="0" borderId="1"/>
    <xf numFmtId="164" fontId="3" fillId="0" borderId="1"/>
    <xf numFmtId="0" fontId="3" fillId="19"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19" borderId="1" applyNumberFormat="0" applyBorder="0" applyAlignment="0" applyProtection="0"/>
    <xf numFmtId="164" fontId="3" fillId="0" borderId="1"/>
    <xf numFmtId="0" fontId="3" fillId="0" borderId="1"/>
    <xf numFmtId="164" fontId="3" fillId="0" borderId="1"/>
    <xf numFmtId="44" fontId="3" fillId="0" borderId="1" applyFont="0" applyFill="0" applyBorder="0" applyAlignment="0" applyProtection="0"/>
    <xf numFmtId="0" fontId="3" fillId="19" borderId="1" applyNumberFormat="0" applyBorder="0" applyAlignment="0" applyProtection="0"/>
    <xf numFmtId="164" fontId="3" fillId="0" borderId="1"/>
    <xf numFmtId="0" fontId="3" fillId="0" borderId="1"/>
    <xf numFmtId="164" fontId="3" fillId="0" borderId="1"/>
    <xf numFmtId="44" fontId="3" fillId="0" borderId="1" applyFont="0" applyFill="0" applyBorder="0" applyAlignment="0" applyProtection="0"/>
    <xf numFmtId="0" fontId="3" fillId="23" borderId="25" applyNumberFormat="0" applyFont="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0" fontId="3" fillId="19"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0" fontId="3" fillId="19"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15" borderId="1" applyNumberFormat="0" applyBorder="0" applyAlignment="0" applyProtection="0"/>
    <xf numFmtId="0" fontId="3" fillId="17" borderId="1" applyNumberFormat="0" applyBorder="0" applyAlignment="0" applyProtection="0"/>
    <xf numFmtId="0" fontId="3" fillId="0" borderId="1"/>
    <xf numFmtId="0" fontId="3" fillId="15" borderId="1" applyNumberFormat="0" applyBorder="0" applyAlignment="0" applyProtection="0"/>
    <xf numFmtId="0" fontId="3" fillId="0" borderId="1"/>
    <xf numFmtId="164" fontId="3" fillId="0" borderId="1"/>
    <xf numFmtId="0" fontId="3" fillId="17" borderId="1" applyNumberFormat="0" applyBorder="0" applyAlignment="0" applyProtection="0"/>
    <xf numFmtId="0" fontId="3" fillId="17" borderId="1" applyNumberFormat="0" applyBorder="0" applyAlignment="0" applyProtection="0"/>
    <xf numFmtId="0" fontId="3" fillId="15" borderId="1" applyNumberFormat="0" applyBorder="0" applyAlignment="0" applyProtection="0"/>
    <xf numFmtId="0" fontId="3" fillId="0" borderId="1"/>
    <xf numFmtId="164" fontId="3" fillId="0" borderId="1"/>
    <xf numFmtId="164" fontId="3" fillId="0" borderId="1"/>
    <xf numFmtId="0" fontId="3" fillId="15" borderId="1" applyNumberFormat="0" applyBorder="0" applyAlignment="0" applyProtection="0"/>
    <xf numFmtId="164" fontId="3" fillId="0" borderId="1"/>
    <xf numFmtId="0" fontId="3" fillId="17" borderId="1" applyNumberFormat="0" applyBorder="0" applyAlignment="0" applyProtection="0"/>
    <xf numFmtId="0" fontId="3" fillId="0" borderId="1"/>
    <xf numFmtId="0" fontId="3" fillId="5" borderId="1" applyNumberFormat="0" applyBorder="0" applyAlignment="0" applyProtection="0"/>
    <xf numFmtId="0" fontId="3" fillId="15" borderId="1" applyNumberFormat="0" applyBorder="0" applyAlignment="0" applyProtection="0"/>
    <xf numFmtId="0" fontId="3" fillId="0" borderId="1"/>
    <xf numFmtId="164" fontId="3" fillId="0" borderId="1"/>
    <xf numFmtId="0" fontId="3" fillId="24" borderId="1" applyNumberFormat="0" applyBorder="0" applyAlignment="0" applyProtection="0"/>
    <xf numFmtId="0" fontId="3" fillId="17" borderId="1" applyNumberFormat="0" applyBorder="0" applyAlignment="0" applyProtection="0"/>
    <xf numFmtId="0" fontId="3" fillId="17" borderId="1" applyNumberFormat="0" applyBorder="0" applyAlignment="0" applyProtection="0"/>
    <xf numFmtId="164" fontId="33" fillId="0" borderId="1"/>
    <xf numFmtId="164" fontId="3" fillId="0" borderId="1"/>
    <xf numFmtId="164" fontId="3" fillId="0" borderId="1"/>
    <xf numFmtId="0" fontId="3" fillId="0" borderId="1"/>
    <xf numFmtId="164" fontId="3" fillId="0" borderId="1"/>
    <xf numFmtId="164" fontId="3" fillId="0" borderId="1"/>
    <xf numFmtId="0" fontId="3" fillId="17" borderId="1" applyNumberFormat="0" applyBorder="0" applyAlignment="0" applyProtection="0"/>
    <xf numFmtId="0" fontId="3" fillId="1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17" borderId="1" applyNumberFormat="0" applyBorder="0" applyAlignment="0" applyProtection="0"/>
    <xf numFmtId="0" fontId="3" fillId="0" borderId="1"/>
    <xf numFmtId="0" fontId="44" fillId="42" borderId="1" applyNumberFormat="0" applyBorder="0" applyAlignment="0" applyProtection="0"/>
    <xf numFmtId="164" fontId="3" fillId="0" borderId="1"/>
    <xf numFmtId="164" fontId="3" fillId="0" borderId="1"/>
    <xf numFmtId="164" fontId="3" fillId="0" borderId="1"/>
    <xf numFmtId="0" fontId="3" fillId="17" borderId="1" applyNumberFormat="0" applyBorder="0" applyAlignment="0" applyProtection="0"/>
    <xf numFmtId="164" fontId="3" fillId="0" borderId="1"/>
    <xf numFmtId="0" fontId="3" fillId="0" borderId="1"/>
    <xf numFmtId="0" fontId="3" fillId="0" borderId="1"/>
    <xf numFmtId="164" fontId="3" fillId="0" borderId="1"/>
    <xf numFmtId="164" fontId="3" fillId="0" borderId="1"/>
    <xf numFmtId="44" fontId="3" fillId="0" borderId="1" applyFont="0" applyFill="0" applyBorder="0" applyAlignment="0" applyProtection="0"/>
    <xf numFmtId="0" fontId="3" fillId="17" borderId="1" applyNumberFormat="0" applyBorder="0" applyAlignment="0" applyProtection="0"/>
    <xf numFmtId="164" fontId="3" fillId="0" borderId="1"/>
    <xf numFmtId="0" fontId="3" fillId="17" borderId="1" applyNumberFormat="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0" fontId="3" fillId="17" borderId="1" applyNumberFormat="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0" fontId="3" fillId="17" borderId="1" applyNumberFormat="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17" borderId="1" applyNumberFormat="0" applyBorder="0" applyAlignment="0" applyProtection="0"/>
    <xf numFmtId="44" fontId="3" fillId="0" borderId="1" applyFont="0" applyFill="0" applyBorder="0" applyAlignment="0" applyProtection="0"/>
    <xf numFmtId="0" fontId="3" fillId="17"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0" fontId="3" fillId="17" borderId="1" applyNumberFormat="0" applyBorder="0" applyAlignment="0" applyProtection="0"/>
    <xf numFmtId="0" fontId="3" fillId="5" borderId="1" applyNumberFormat="0" applyBorder="0" applyAlignment="0" applyProtection="0"/>
    <xf numFmtId="0" fontId="3" fillId="0" borderId="1"/>
    <xf numFmtId="0" fontId="3" fillId="0" borderId="1"/>
    <xf numFmtId="0" fontId="3" fillId="24" borderId="1" applyNumberFormat="0" applyBorder="0" applyAlignment="0" applyProtection="0"/>
    <xf numFmtId="0" fontId="3" fillId="0" borderId="1"/>
    <xf numFmtId="44" fontId="3" fillId="0" borderId="1" applyFont="0" applyFill="0" applyBorder="0" applyAlignment="0" applyProtection="0"/>
    <xf numFmtId="0" fontId="3" fillId="17" borderId="1" applyNumberFormat="0" applyBorder="0" applyAlignment="0" applyProtection="0"/>
    <xf numFmtId="43" fontId="3" fillId="0" borderId="1" applyFont="0" applyFill="0" applyBorder="0" applyAlignment="0" applyProtection="0"/>
    <xf numFmtId="0" fontId="43" fillId="30" borderId="30" applyNumberFormat="0" applyAlignment="0" applyProtection="0"/>
    <xf numFmtId="44" fontId="3" fillId="0" borderId="1" applyFont="0" applyFill="0" applyBorder="0" applyAlignment="0" applyProtection="0"/>
    <xf numFmtId="0" fontId="3" fillId="17" borderId="1" applyNumberFormat="0" applyBorder="0" applyAlignment="0" applyProtection="0"/>
    <xf numFmtId="43" fontId="3" fillId="0" borderId="1" applyFont="0" applyFill="0" applyBorder="0" applyAlignment="0" applyProtection="0"/>
    <xf numFmtId="0" fontId="3" fillId="0" borderId="1"/>
    <xf numFmtId="164" fontId="3" fillId="0" borderId="1"/>
    <xf numFmtId="164" fontId="3" fillId="0" borderId="1"/>
    <xf numFmtId="0" fontId="3" fillId="21" borderId="1" applyNumberFormat="0" applyBorder="0" applyAlignment="0" applyProtection="0"/>
    <xf numFmtId="0" fontId="3" fillId="17"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17"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21" borderId="1" applyNumberFormat="0" applyBorder="0" applyAlignment="0" applyProtection="0"/>
    <xf numFmtId="0" fontId="3" fillId="17" borderId="1" applyNumberFormat="0" applyBorder="0" applyAlignment="0" applyProtection="0"/>
    <xf numFmtId="0" fontId="3" fillId="24" borderId="1" applyNumberFormat="0" applyBorder="0" applyAlignment="0" applyProtection="0"/>
    <xf numFmtId="0" fontId="3" fillId="0" borderId="1"/>
    <xf numFmtId="0" fontId="3" fillId="0" borderId="1"/>
    <xf numFmtId="0" fontId="3" fillId="0" borderId="1"/>
    <xf numFmtId="0" fontId="3" fillId="17"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0" fontId="3" fillId="17" borderId="1" applyNumberFormat="0" applyBorder="0" applyAlignment="0" applyProtection="0"/>
    <xf numFmtId="0" fontId="3" fillId="17" borderId="1" applyNumberFormat="0" applyBorder="0" applyAlignment="0" applyProtection="0"/>
    <xf numFmtId="0" fontId="3" fillId="0" borderId="1"/>
    <xf numFmtId="0" fontId="3" fillId="17" borderId="1" applyNumberFormat="0" applyBorder="0" applyAlignment="0" applyProtection="0"/>
    <xf numFmtId="0" fontId="3" fillId="17" borderId="1" applyNumberFormat="0" applyBorder="0" applyAlignment="0" applyProtection="0"/>
    <xf numFmtId="0" fontId="3" fillId="0" borderId="1"/>
    <xf numFmtId="164" fontId="3" fillId="0" borderId="1"/>
    <xf numFmtId="0" fontId="3" fillId="15" borderId="1" applyNumberFormat="0" applyBorder="0" applyAlignment="0" applyProtection="0"/>
    <xf numFmtId="164" fontId="3" fillId="0" borderId="1"/>
    <xf numFmtId="0" fontId="3" fillId="17" borderId="1" applyNumberFormat="0" applyBorder="0" applyAlignment="0" applyProtection="0"/>
    <xf numFmtId="0" fontId="3" fillId="0" borderId="1"/>
    <xf numFmtId="164" fontId="3" fillId="0" borderId="1"/>
    <xf numFmtId="0" fontId="3" fillId="15" borderId="1" applyNumberFormat="0" applyBorder="0" applyAlignment="0" applyProtection="0"/>
    <xf numFmtId="164" fontId="3" fillId="0" borderId="1"/>
    <xf numFmtId="0" fontId="3" fillId="17" borderId="1" applyNumberFormat="0" applyBorder="0" applyAlignment="0" applyProtection="0"/>
    <xf numFmtId="164" fontId="3" fillId="0" borderId="1"/>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17" borderId="1" applyNumberFormat="0" applyBorder="0" applyAlignment="0" applyProtection="0"/>
    <xf numFmtId="0" fontId="3" fillId="17" borderId="1" applyNumberFormat="0" applyBorder="0" applyAlignment="0" applyProtection="0"/>
    <xf numFmtId="0" fontId="3" fillId="0" borderId="1"/>
    <xf numFmtId="0" fontId="3" fillId="0" borderId="1"/>
    <xf numFmtId="0" fontId="34" fillId="0" borderId="1"/>
    <xf numFmtId="0" fontId="3" fillId="17" borderId="1" applyNumberFormat="0" applyBorder="0" applyAlignment="0" applyProtection="0"/>
    <xf numFmtId="0" fontId="3" fillId="0" borderId="1"/>
    <xf numFmtId="0" fontId="3" fillId="21" borderId="1" applyNumberFormat="0" applyBorder="0" applyAlignment="0" applyProtection="0"/>
    <xf numFmtId="44" fontId="3" fillId="0" borderId="1" applyFont="0" applyFill="0" applyBorder="0" applyAlignment="0" applyProtection="0"/>
    <xf numFmtId="0" fontId="3" fillId="17" borderId="1" applyNumberFormat="0" applyBorder="0" applyAlignment="0" applyProtection="0"/>
    <xf numFmtId="164" fontId="3" fillId="0" borderId="1"/>
    <xf numFmtId="0" fontId="44" fillId="45" borderId="1" applyNumberFormat="0" applyBorder="0" applyAlignment="0" applyProtection="0"/>
    <xf numFmtId="164" fontId="3" fillId="0" borderId="1"/>
    <xf numFmtId="164" fontId="3" fillId="0" borderId="1"/>
    <xf numFmtId="0" fontId="3" fillId="17" borderId="1" applyNumberFormat="0" applyBorder="0" applyAlignment="0" applyProtection="0"/>
    <xf numFmtId="0" fontId="3" fillId="0" borderId="1"/>
    <xf numFmtId="0" fontId="3" fillId="0" borderId="1"/>
    <xf numFmtId="0" fontId="34" fillId="32" borderId="1" applyNumberFormat="0" applyBorder="0" applyAlignment="0" applyProtection="0"/>
    <xf numFmtId="0" fontId="3" fillId="0" borderId="1"/>
    <xf numFmtId="0" fontId="3" fillId="0" borderId="1"/>
    <xf numFmtId="164" fontId="3" fillId="0" borderId="1"/>
    <xf numFmtId="164" fontId="3" fillId="0" borderId="1"/>
    <xf numFmtId="0" fontId="33" fillId="0" borderId="1"/>
    <xf numFmtId="0" fontId="3" fillId="17" borderId="1" applyNumberFormat="0" applyBorder="0" applyAlignment="0" applyProtection="0"/>
    <xf numFmtId="0" fontId="3" fillId="0" borderId="1"/>
    <xf numFmtId="0" fontId="3" fillId="0" borderId="1"/>
    <xf numFmtId="164" fontId="3" fillId="0" borderId="1"/>
    <xf numFmtId="164" fontId="3" fillId="0" borderId="1"/>
    <xf numFmtId="0" fontId="3" fillId="17"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17" borderId="1" applyNumberFormat="0" applyBorder="0" applyAlignment="0" applyProtection="0"/>
    <xf numFmtId="0" fontId="3" fillId="17" borderId="1" applyNumberFormat="0" applyBorder="0" applyAlignment="0" applyProtection="0"/>
    <xf numFmtId="0" fontId="3" fillId="17" borderId="1" applyNumberFormat="0" applyBorder="0" applyAlignment="0" applyProtection="0"/>
    <xf numFmtId="0" fontId="3" fillId="0" borderId="1"/>
    <xf numFmtId="0" fontId="3" fillId="0" borderId="1"/>
    <xf numFmtId="0" fontId="3" fillId="0" borderId="1"/>
    <xf numFmtId="0" fontId="3" fillId="17"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7" borderId="1" applyNumberFormat="0" applyBorder="0" applyAlignment="0" applyProtection="0"/>
    <xf numFmtId="44" fontId="3" fillId="0" borderId="1" applyFont="0" applyFill="0" applyBorder="0" applyAlignment="0" applyProtection="0"/>
    <xf numFmtId="0" fontId="3" fillId="17" borderId="1" applyNumberFormat="0" applyBorder="0" applyAlignment="0" applyProtection="0"/>
    <xf numFmtId="0" fontId="3" fillId="0" borderId="1"/>
    <xf numFmtId="164"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17" borderId="1" applyNumberFormat="0" applyBorder="0" applyAlignment="0" applyProtection="0"/>
    <xf numFmtId="0" fontId="3" fillId="0" borderId="1"/>
    <xf numFmtId="0" fontId="3" fillId="17" borderId="1" applyNumberFormat="0" applyBorder="0" applyAlignment="0" applyProtection="0"/>
    <xf numFmtId="0" fontId="3" fillId="0" borderId="1"/>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 fillId="17" borderId="1" applyNumberFormat="0" applyBorder="0" applyAlignment="0" applyProtection="0"/>
    <xf numFmtId="0" fontId="3" fillId="0" borderId="1"/>
    <xf numFmtId="164" fontId="3" fillId="0" borderId="1"/>
    <xf numFmtId="0" fontId="3" fillId="17" borderId="1" applyNumberFormat="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0" fontId="3" fillId="17" borderId="1" applyNumberFormat="0" applyBorder="0" applyAlignment="0" applyProtection="0"/>
    <xf numFmtId="0" fontId="3" fillId="0" borderId="1"/>
    <xf numFmtId="0" fontId="3" fillId="17" borderId="1" applyNumberFormat="0" applyBorder="0" applyAlignment="0" applyProtection="0"/>
    <xf numFmtId="0" fontId="3" fillId="0" borderId="1"/>
    <xf numFmtId="164" fontId="3" fillId="0" borderId="1"/>
    <xf numFmtId="164" fontId="3" fillId="0" borderId="1"/>
    <xf numFmtId="0" fontId="3" fillId="0" borderId="1"/>
    <xf numFmtId="0" fontId="3" fillId="0" borderId="1"/>
    <xf numFmtId="0" fontId="3" fillId="0" borderId="1"/>
    <xf numFmtId="43" fontId="3" fillId="0" borderId="1" applyFont="0" applyFill="0" applyBorder="0" applyAlignment="0" applyProtection="0"/>
    <xf numFmtId="0" fontId="3" fillId="0" borderId="1"/>
    <xf numFmtId="0" fontId="3" fillId="0" borderId="1"/>
    <xf numFmtId="164" fontId="3" fillId="0" borderId="1"/>
    <xf numFmtId="0" fontId="3" fillId="0" borderId="1"/>
    <xf numFmtId="0" fontId="3" fillId="24" borderId="1" applyNumberFormat="0" applyBorder="0" applyAlignment="0" applyProtection="0"/>
    <xf numFmtId="0" fontId="3" fillId="17" borderId="1" applyNumberFormat="0" applyBorder="0" applyAlignment="0" applyProtection="0"/>
    <xf numFmtId="0" fontId="3" fillId="0" borderId="1"/>
    <xf numFmtId="0" fontId="3" fillId="24" borderId="1" applyNumberFormat="0" applyBorder="0" applyAlignment="0" applyProtection="0"/>
    <xf numFmtId="0" fontId="3" fillId="17" borderId="1" applyNumberFormat="0" applyBorder="0" applyAlignment="0" applyProtection="0"/>
    <xf numFmtId="0" fontId="3" fillId="0" borderId="1"/>
    <xf numFmtId="0" fontId="3" fillId="24" borderId="1" applyNumberFormat="0" applyBorder="0" applyAlignment="0" applyProtection="0"/>
    <xf numFmtId="0" fontId="3" fillId="17"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17" borderId="1" applyNumberFormat="0" applyBorder="0" applyAlignment="0" applyProtection="0"/>
    <xf numFmtId="0" fontId="3" fillId="0" borderId="1"/>
    <xf numFmtId="0" fontId="3" fillId="0" borderId="1"/>
    <xf numFmtId="0" fontId="3" fillId="0" borderId="1"/>
    <xf numFmtId="0" fontId="3" fillId="0" borderId="1"/>
    <xf numFmtId="0" fontId="3" fillId="17"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17"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0" fontId="3" fillId="17" borderId="1" applyNumberFormat="0" applyBorder="0" applyAlignment="0" applyProtection="0"/>
    <xf numFmtId="44" fontId="3" fillId="0" borderId="1" applyFont="0" applyFill="0" applyBorder="0" applyAlignment="0" applyProtection="0"/>
    <xf numFmtId="0" fontId="3" fillId="0" borderId="1"/>
    <xf numFmtId="0" fontId="3" fillId="17" borderId="1" applyNumberFormat="0" applyBorder="0" applyAlignment="0" applyProtection="0"/>
    <xf numFmtId="0"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17" borderId="1" applyNumberFormat="0" applyBorder="0" applyAlignment="0" applyProtection="0"/>
    <xf numFmtId="0" fontId="3" fillId="0" borderId="1"/>
    <xf numFmtId="0" fontId="3" fillId="24"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0" fontId="3" fillId="17" borderId="1" applyNumberFormat="0" applyBorder="0" applyAlignment="0" applyProtection="0"/>
    <xf numFmtId="164" fontId="3" fillId="0" borderId="1"/>
    <xf numFmtId="0" fontId="3" fillId="17" borderId="1" applyNumberFormat="0" applyBorder="0" applyAlignment="0" applyProtection="0"/>
    <xf numFmtId="0" fontId="3" fillId="0" borderId="1"/>
    <xf numFmtId="0" fontId="3" fillId="24" borderId="1" applyNumberFormat="0" applyBorder="0" applyAlignment="0" applyProtection="0"/>
    <xf numFmtId="0" fontId="3" fillId="17" borderId="1" applyNumberFormat="0" applyBorder="0" applyAlignment="0" applyProtection="0"/>
    <xf numFmtId="0" fontId="3" fillId="24" borderId="1" applyNumberFormat="0" applyBorder="0" applyAlignment="0" applyProtection="0"/>
    <xf numFmtId="0" fontId="3" fillId="17" borderId="1" applyNumberFormat="0" applyBorder="0" applyAlignment="0" applyProtection="0"/>
    <xf numFmtId="0" fontId="3" fillId="17"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17" borderId="1" applyNumberFormat="0" applyBorder="0" applyAlignment="0" applyProtection="0"/>
    <xf numFmtId="0" fontId="3" fillId="0" borderId="1"/>
    <xf numFmtId="0" fontId="3" fillId="17" borderId="1" applyNumberFormat="0" applyBorder="0" applyAlignment="0" applyProtection="0"/>
    <xf numFmtId="0" fontId="3" fillId="0" borderId="1"/>
    <xf numFmtId="164" fontId="3" fillId="0" borderId="1"/>
    <xf numFmtId="0" fontId="3" fillId="17" borderId="1" applyNumberFormat="0" applyBorder="0" applyAlignment="0" applyProtection="0"/>
    <xf numFmtId="0" fontId="3" fillId="0" borderId="1"/>
    <xf numFmtId="0" fontId="3" fillId="0" borderId="1"/>
    <xf numFmtId="0" fontId="3" fillId="17" borderId="1" applyNumberFormat="0" applyBorder="0" applyAlignment="0" applyProtection="0"/>
    <xf numFmtId="164" fontId="3" fillId="0" borderId="1"/>
    <xf numFmtId="164" fontId="3" fillId="0" borderId="1"/>
    <xf numFmtId="44" fontId="3" fillId="0" borderId="1" applyFont="0" applyFill="0" applyBorder="0" applyAlignment="0" applyProtection="0"/>
    <xf numFmtId="9" fontId="34" fillId="0" borderId="1" applyFont="0" applyFill="0" applyBorder="0" applyAlignment="0" applyProtection="0"/>
    <xf numFmtId="0" fontId="3" fillId="17" borderId="1" applyNumberFormat="0" applyBorder="0" applyAlignment="0" applyProtection="0"/>
    <xf numFmtId="44" fontId="3" fillId="0" borderId="1" applyFont="0" applyFill="0" applyBorder="0" applyAlignment="0" applyProtection="0"/>
    <xf numFmtId="9" fontId="34" fillId="0" borderId="1" applyFont="0" applyFill="0" applyBorder="0" applyAlignment="0" applyProtection="0"/>
    <xf numFmtId="0" fontId="3" fillId="0" borderId="1"/>
    <xf numFmtId="0" fontId="3" fillId="17" borderId="1" applyNumberFormat="0" applyBorder="0" applyAlignment="0" applyProtection="0"/>
    <xf numFmtId="0" fontId="3" fillId="0" borderId="1"/>
    <xf numFmtId="164" fontId="3" fillId="0" borderId="1"/>
    <xf numFmtId="0" fontId="3" fillId="17"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17" borderId="1" applyNumberFormat="0" applyBorder="0" applyAlignment="0" applyProtection="0"/>
    <xf numFmtId="0" fontId="3" fillId="0" borderId="1"/>
    <xf numFmtId="0" fontId="3" fillId="0" borderId="1"/>
    <xf numFmtId="0" fontId="3" fillId="0" borderId="1"/>
    <xf numFmtId="0" fontId="3" fillId="16" borderId="1" applyNumberFormat="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0" fontId="3" fillId="0" borderId="1"/>
    <xf numFmtId="43" fontId="3" fillId="0" borderId="1" applyFont="0" applyFill="0" applyBorder="0" applyAlignment="0" applyProtection="0"/>
    <xf numFmtId="0" fontId="3" fillId="0" borderId="1"/>
    <xf numFmtId="0" fontId="3" fillId="0" borderId="1"/>
    <xf numFmtId="164" fontId="3" fillId="0" borderId="1"/>
    <xf numFmtId="0" fontId="3" fillId="0" borderId="1"/>
    <xf numFmtId="0" fontId="3" fillId="17" borderId="1" applyNumberFormat="0" applyBorder="0" applyAlignment="0" applyProtection="0"/>
    <xf numFmtId="0" fontId="3" fillId="16" borderId="1" applyNumberFormat="0" applyBorder="0" applyAlignment="0" applyProtection="0"/>
    <xf numFmtId="0" fontId="3" fillId="0" borderId="1"/>
    <xf numFmtId="0" fontId="3" fillId="24" borderId="1" applyNumberFormat="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17" borderId="1" applyNumberFormat="0" applyBorder="0" applyAlignment="0" applyProtection="0"/>
    <xf numFmtId="0" fontId="3" fillId="0" borderId="1"/>
    <xf numFmtId="0" fontId="3" fillId="0" borderId="1"/>
    <xf numFmtId="0" fontId="3" fillId="17" borderId="1" applyNumberFormat="0" applyBorder="0" applyAlignment="0" applyProtection="0"/>
    <xf numFmtId="0" fontId="3" fillId="0" borderId="1"/>
    <xf numFmtId="0" fontId="3" fillId="0" borderId="1"/>
    <xf numFmtId="0" fontId="3" fillId="0" borderId="1"/>
    <xf numFmtId="0" fontId="3" fillId="16" borderId="1" applyNumberFormat="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0" fontId="3" fillId="17" borderId="1" applyNumberFormat="0" applyBorder="0" applyAlignment="0" applyProtection="0"/>
    <xf numFmtId="164" fontId="3" fillId="0" borderId="1"/>
    <xf numFmtId="44" fontId="3" fillId="0" borderId="1" applyFont="0" applyFill="0" applyBorder="0" applyAlignment="0" applyProtection="0"/>
    <xf numFmtId="43" fontId="3" fillId="0" borderId="1" applyFont="0" applyFill="0" applyBorder="0" applyAlignment="0" applyProtection="0"/>
    <xf numFmtId="164" fontId="3" fillId="0" borderId="1"/>
    <xf numFmtId="0" fontId="3" fillId="0" borderId="1"/>
    <xf numFmtId="0" fontId="3" fillId="0" borderId="1"/>
    <xf numFmtId="0" fontId="3" fillId="17" borderId="1" applyNumberFormat="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 fillId="17" borderId="1" applyNumberFormat="0" applyBorder="0" applyAlignment="0" applyProtection="0"/>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0" fontId="3" fillId="17" borderId="1" applyNumberFormat="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0" borderId="1"/>
    <xf numFmtId="0" fontId="3" fillId="0" borderId="1"/>
    <xf numFmtId="0" fontId="3" fillId="17" borderId="1" applyNumberFormat="0" applyBorder="0" applyAlignment="0" applyProtection="0"/>
    <xf numFmtId="0" fontId="3" fillId="0" borderId="1"/>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0" fontId="3" fillId="17" borderId="1" applyNumberFormat="0" applyBorder="0" applyAlignment="0" applyProtection="0"/>
    <xf numFmtId="0" fontId="3" fillId="17"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4" fillId="0" borderId="1"/>
    <xf numFmtId="0" fontId="3" fillId="17" borderId="1" applyNumberFormat="0" applyBorder="0" applyAlignment="0" applyProtection="0"/>
    <xf numFmtId="0" fontId="3" fillId="0" borderId="1"/>
    <xf numFmtId="0" fontId="3" fillId="0" borderId="1"/>
    <xf numFmtId="0" fontId="3" fillId="0" borderId="1"/>
    <xf numFmtId="0" fontId="3" fillId="17" borderId="1" applyNumberFormat="0" applyBorder="0" applyAlignment="0" applyProtection="0"/>
    <xf numFmtId="0" fontId="3" fillId="17" borderId="1" applyNumberFormat="0" applyBorder="0" applyAlignment="0" applyProtection="0"/>
    <xf numFmtId="164" fontId="3" fillId="0" borderId="1"/>
    <xf numFmtId="164" fontId="3" fillId="0" borderId="1"/>
    <xf numFmtId="0" fontId="3" fillId="0" borderId="1"/>
    <xf numFmtId="0" fontId="3" fillId="16" borderId="1" applyNumberFormat="0" applyBorder="0" applyAlignment="0" applyProtection="0"/>
    <xf numFmtId="164" fontId="3" fillId="0" borderId="1"/>
    <xf numFmtId="0" fontId="3" fillId="0" borderId="1"/>
    <xf numFmtId="0" fontId="3" fillId="0" borderId="1"/>
    <xf numFmtId="0" fontId="3" fillId="0" borderId="1"/>
    <xf numFmtId="0" fontId="3" fillId="0" borderId="1"/>
    <xf numFmtId="0" fontId="3" fillId="17" borderId="1" applyNumberFormat="0" applyBorder="0" applyAlignment="0" applyProtection="0"/>
    <xf numFmtId="164" fontId="3" fillId="0" borderId="1"/>
    <xf numFmtId="0" fontId="3" fillId="0" borderId="1"/>
    <xf numFmtId="164" fontId="3" fillId="0" borderId="1"/>
    <xf numFmtId="165" fontId="3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17" borderId="1" applyNumberFormat="0" applyBorder="0" applyAlignment="0" applyProtection="0"/>
    <xf numFmtId="0" fontId="3" fillId="17" borderId="1" applyNumberFormat="0" applyBorder="0" applyAlignment="0" applyProtection="0"/>
    <xf numFmtId="0" fontId="3" fillId="0" borderId="1"/>
    <xf numFmtId="0" fontId="3" fillId="17" borderId="1" applyNumberFormat="0" applyBorder="0" applyAlignment="0" applyProtection="0"/>
    <xf numFmtId="0" fontId="3" fillId="0" borderId="1"/>
    <xf numFmtId="0" fontId="3" fillId="0" borderId="1"/>
    <xf numFmtId="0" fontId="3" fillId="17" borderId="1" applyNumberFormat="0" applyBorder="0" applyAlignment="0" applyProtection="0"/>
    <xf numFmtId="0" fontId="3" fillId="15" borderId="1" applyNumberFormat="0" applyBorder="0" applyAlignment="0" applyProtection="0"/>
    <xf numFmtId="0" fontId="3" fillId="0" borderId="1"/>
    <xf numFmtId="0" fontId="3" fillId="17" borderId="1" applyNumberFormat="0" applyBorder="0" applyAlignment="0" applyProtection="0"/>
    <xf numFmtId="0" fontId="3" fillId="0" borderId="1"/>
    <xf numFmtId="164" fontId="3" fillId="0" borderId="1"/>
    <xf numFmtId="164"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0" fontId="3" fillId="0" borderId="1"/>
    <xf numFmtId="0" fontId="3" fillId="17" borderId="1" applyNumberFormat="0" applyBorder="0" applyAlignment="0" applyProtection="0"/>
    <xf numFmtId="0" fontId="3" fillId="0" borderId="1"/>
    <xf numFmtId="164" fontId="3" fillId="0" borderId="1"/>
    <xf numFmtId="164" fontId="3" fillId="0" borderId="1"/>
    <xf numFmtId="164" fontId="3" fillId="0" borderId="1"/>
    <xf numFmtId="165" fontId="33" fillId="0" borderId="1" applyFont="0" applyFill="0" applyBorder="0" applyAlignment="0" applyProtection="0"/>
    <xf numFmtId="165" fontId="33" fillId="0" borderId="1" applyFont="0" applyFill="0" applyBorder="0" applyAlignment="0" applyProtection="0"/>
    <xf numFmtId="0" fontId="3" fillId="0" borderId="1"/>
    <xf numFmtId="0" fontId="3" fillId="17" borderId="1" applyNumberFormat="0" applyBorder="0" applyAlignment="0" applyProtection="0"/>
    <xf numFmtId="0" fontId="3" fillId="0" borderId="1"/>
    <xf numFmtId="164" fontId="3" fillId="0" borderId="1"/>
    <xf numFmtId="164" fontId="33" fillId="0" borderId="1" applyFont="0" applyFill="0" applyBorder="0" applyAlignment="0" applyProtection="0"/>
    <xf numFmtId="0" fontId="3" fillId="0" borderId="1"/>
    <xf numFmtId="0" fontId="3" fillId="17" borderId="1" applyNumberFormat="0" applyBorder="0" applyAlignment="0" applyProtection="0"/>
    <xf numFmtId="0" fontId="3" fillId="0" borderId="1"/>
    <xf numFmtId="164" fontId="3" fillId="0" borderId="1"/>
    <xf numFmtId="164" fontId="3" fillId="0" borderId="1"/>
    <xf numFmtId="0" fontId="3" fillId="0" borderId="1"/>
    <xf numFmtId="0" fontId="3" fillId="5" borderId="1" applyNumberFormat="0" applyBorder="0" applyAlignment="0" applyProtection="0"/>
    <xf numFmtId="164" fontId="33" fillId="0" borderId="1" applyFont="0" applyFill="0" applyBorder="0" applyAlignment="0" applyProtection="0"/>
    <xf numFmtId="0" fontId="3" fillId="0" borderId="1"/>
    <xf numFmtId="0" fontId="3" fillId="17" borderId="1" applyNumberFormat="0" applyBorder="0" applyAlignment="0" applyProtection="0"/>
    <xf numFmtId="164" fontId="3" fillId="0" borderId="1"/>
    <xf numFmtId="0" fontId="3" fillId="0" borderId="1"/>
    <xf numFmtId="164" fontId="3" fillId="0" borderId="1"/>
    <xf numFmtId="0" fontId="3" fillId="17" borderId="1" applyNumberFormat="0" applyBorder="0" applyAlignment="0" applyProtection="0"/>
    <xf numFmtId="0" fontId="3" fillId="0" borderId="1"/>
    <xf numFmtId="164" fontId="3" fillId="0" borderId="1"/>
    <xf numFmtId="164" fontId="3" fillId="0" borderId="1"/>
    <xf numFmtId="0" fontId="3" fillId="0" borderId="1"/>
    <xf numFmtId="0" fontId="3" fillId="17" borderId="1" applyNumberFormat="0" applyBorder="0" applyAlignment="0" applyProtection="0"/>
    <xf numFmtId="0" fontId="3" fillId="0" borderId="1"/>
    <xf numFmtId="0" fontId="3" fillId="17"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164" fontId="3" fillId="0" borderId="1"/>
    <xf numFmtId="0" fontId="3" fillId="17" borderId="1" applyNumberFormat="0" applyBorder="0" applyAlignment="0" applyProtection="0"/>
    <xf numFmtId="0" fontId="3" fillId="0" borderId="1"/>
    <xf numFmtId="0" fontId="3" fillId="17" borderId="1" applyNumberFormat="0" applyBorder="0" applyAlignment="0" applyProtection="0"/>
    <xf numFmtId="0" fontId="3" fillId="0" borderId="1"/>
    <xf numFmtId="0" fontId="3" fillId="5" borderId="1" applyNumberFormat="0" applyBorder="0" applyAlignment="0" applyProtection="0"/>
    <xf numFmtId="0" fontId="3" fillId="0" borderId="1"/>
    <xf numFmtId="0" fontId="3" fillId="0" borderId="1"/>
    <xf numFmtId="0" fontId="3" fillId="17" borderId="1" applyNumberFormat="0" applyBorder="0" applyAlignment="0" applyProtection="0"/>
    <xf numFmtId="0" fontId="3" fillId="0" borderId="1"/>
    <xf numFmtId="0" fontId="3" fillId="5" borderId="1" applyNumberFormat="0" applyBorder="0" applyAlignment="0" applyProtection="0"/>
    <xf numFmtId="0" fontId="3" fillId="0" borderId="1"/>
    <xf numFmtId="0" fontId="3" fillId="0" borderId="1"/>
    <xf numFmtId="0" fontId="3" fillId="17" borderId="1" applyNumberFormat="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0" fontId="3" fillId="0" borderId="1"/>
    <xf numFmtId="0" fontId="3" fillId="5" borderId="1" applyNumberFormat="0" applyBorder="0" applyAlignment="0" applyProtection="0"/>
    <xf numFmtId="0" fontId="3" fillId="0" borderId="1"/>
    <xf numFmtId="0" fontId="3" fillId="0" borderId="1"/>
    <xf numFmtId="0" fontId="3" fillId="17" borderId="1" applyNumberFormat="0" applyBorder="0" applyAlignment="0" applyProtection="0"/>
    <xf numFmtId="0" fontId="3" fillId="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17" borderId="1" applyNumberFormat="0" applyBorder="0" applyAlignment="0" applyProtection="0"/>
    <xf numFmtId="0" fontId="3" fillId="0" borderId="1"/>
    <xf numFmtId="164" fontId="3" fillId="0" borderId="1"/>
    <xf numFmtId="0" fontId="3" fillId="0" borderId="1"/>
    <xf numFmtId="0" fontId="3" fillId="0" borderId="1"/>
    <xf numFmtId="0" fontId="3" fillId="17" borderId="1" applyNumberFormat="0" applyBorder="0" applyAlignment="0" applyProtection="0"/>
    <xf numFmtId="0" fontId="3" fillId="17" borderId="1" applyNumberFormat="0" applyBorder="0" applyAlignment="0" applyProtection="0"/>
    <xf numFmtId="0" fontId="3" fillId="17" borderId="1" applyNumberFormat="0" applyBorder="0" applyAlignment="0" applyProtection="0"/>
    <xf numFmtId="0" fontId="3" fillId="0" borderId="1"/>
    <xf numFmtId="0" fontId="3" fillId="17" borderId="1" applyNumberFormat="0" applyBorder="0" applyAlignment="0" applyProtection="0"/>
    <xf numFmtId="0" fontId="3" fillId="17" borderId="1" applyNumberFormat="0" applyBorder="0" applyAlignment="0" applyProtection="0"/>
    <xf numFmtId="0" fontId="3" fillId="0" borderId="1"/>
    <xf numFmtId="0" fontId="3" fillId="0" borderId="1"/>
    <xf numFmtId="164" fontId="3" fillId="0" borderId="1"/>
    <xf numFmtId="0" fontId="3" fillId="17" borderId="1" applyNumberFormat="0" applyBorder="0" applyAlignment="0" applyProtection="0"/>
    <xf numFmtId="164" fontId="3" fillId="0" borderId="1"/>
    <xf numFmtId="164" fontId="3" fillId="0" borderId="1"/>
    <xf numFmtId="0" fontId="3" fillId="0" borderId="1"/>
    <xf numFmtId="0" fontId="3" fillId="0" borderId="1"/>
    <xf numFmtId="0" fontId="3" fillId="0" borderId="1"/>
    <xf numFmtId="0" fontId="3" fillId="17"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17" borderId="1" applyNumberFormat="0" applyBorder="0" applyAlignment="0" applyProtection="0"/>
    <xf numFmtId="44" fontId="3" fillId="0" borderId="1" applyFont="0" applyFill="0" applyBorder="0" applyAlignment="0" applyProtection="0"/>
    <xf numFmtId="43" fontId="3" fillId="0" borderId="1" applyFont="0" applyFill="0" applyBorder="0" applyAlignment="0" applyProtection="0"/>
    <xf numFmtId="0" fontId="3" fillId="17" borderId="1" applyNumberFormat="0" applyBorder="0" applyAlignment="0" applyProtection="0"/>
    <xf numFmtId="0" fontId="3" fillId="25"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43" fontId="3" fillId="0" borderId="1" applyFont="0" applyFill="0" applyBorder="0" applyAlignment="0" applyProtection="0"/>
    <xf numFmtId="0" fontId="3" fillId="17" borderId="1" applyNumberFormat="0" applyBorder="0" applyAlignment="0" applyProtection="0"/>
    <xf numFmtId="0" fontId="3" fillId="17" borderId="1" applyNumberFormat="0" applyBorder="0" applyAlignment="0" applyProtection="0"/>
    <xf numFmtId="164" fontId="3" fillId="0" borderId="1"/>
    <xf numFmtId="164" fontId="3" fillId="0" borderId="1"/>
    <xf numFmtId="43" fontId="3" fillId="0" borderId="1" applyFont="0" applyFill="0" applyBorder="0" applyAlignment="0" applyProtection="0"/>
    <xf numFmtId="44" fontId="3" fillId="0" borderId="1" applyFont="0" applyFill="0" applyBorder="0" applyAlignment="0" applyProtection="0"/>
    <xf numFmtId="43" fontId="3" fillId="0" borderId="1" applyFont="0" applyFill="0" applyBorder="0" applyAlignment="0" applyProtection="0"/>
    <xf numFmtId="0" fontId="3" fillId="0" borderId="1"/>
    <xf numFmtId="164" fontId="3" fillId="0" borderId="1"/>
    <xf numFmtId="0" fontId="3" fillId="17" borderId="1" applyNumberFormat="0" applyBorder="0" applyAlignment="0" applyProtection="0"/>
    <xf numFmtId="0" fontId="3" fillId="0" borderId="1"/>
    <xf numFmtId="43" fontId="3" fillId="0" borderId="1" applyFont="0" applyFill="0" applyBorder="0" applyAlignment="0" applyProtection="0"/>
    <xf numFmtId="43" fontId="3" fillId="0" borderId="1" applyFont="0" applyFill="0" applyBorder="0" applyAlignment="0" applyProtection="0"/>
    <xf numFmtId="164" fontId="3" fillId="0" borderId="1"/>
    <xf numFmtId="0" fontId="3" fillId="17" borderId="1" applyNumberFormat="0" applyBorder="0" applyAlignment="0" applyProtection="0"/>
    <xf numFmtId="0" fontId="3" fillId="0" borderId="1"/>
    <xf numFmtId="43"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164" fontId="3" fillId="0" borderId="1"/>
    <xf numFmtId="164" fontId="3" fillId="0" borderId="1"/>
    <xf numFmtId="0" fontId="3" fillId="17" borderId="1" applyNumberFormat="0" applyBorder="0" applyAlignment="0" applyProtection="0"/>
    <xf numFmtId="43" fontId="3" fillId="0" borderId="1" applyFont="0" applyFill="0" applyBorder="0" applyAlignment="0" applyProtection="0"/>
    <xf numFmtId="0" fontId="3" fillId="0" borderId="1"/>
    <xf numFmtId="0" fontId="3" fillId="17" borderId="1" applyNumberFormat="0" applyBorder="0" applyAlignment="0" applyProtection="0"/>
    <xf numFmtId="43" fontId="3" fillId="0" borderId="1" applyFont="0" applyFill="0" applyBorder="0" applyAlignment="0" applyProtection="0"/>
    <xf numFmtId="0" fontId="3" fillId="0" borderId="1"/>
    <xf numFmtId="0" fontId="3" fillId="0" borderId="1"/>
    <xf numFmtId="0" fontId="34" fillId="37" borderId="1" applyNumberFormat="0" applyBorder="0" applyAlignment="0" applyProtection="0"/>
    <xf numFmtId="0" fontId="3" fillId="0" borderId="1"/>
    <xf numFmtId="0" fontId="3" fillId="0" borderId="1"/>
    <xf numFmtId="0" fontId="60" fillId="50" borderId="2" applyNumberFormat="0" applyAlignment="0" applyProtection="0"/>
    <xf numFmtId="0" fontId="3" fillId="24" borderId="1" applyNumberFormat="0" applyBorder="0" applyAlignment="0" applyProtection="0"/>
    <xf numFmtId="44" fontId="3" fillId="0" borderId="1" applyFont="0" applyFill="0" applyBorder="0" applyAlignment="0" applyProtection="0"/>
    <xf numFmtId="0" fontId="3" fillId="0" borderId="1"/>
    <xf numFmtId="0" fontId="3" fillId="15" borderId="1" applyNumberFormat="0" applyBorder="0" applyAlignment="0" applyProtection="0"/>
    <xf numFmtId="0" fontId="3" fillId="15" borderId="1" applyNumberFormat="0" applyBorder="0" applyAlignment="0" applyProtection="0"/>
    <xf numFmtId="0" fontId="3" fillId="0" borderId="1"/>
    <xf numFmtId="0" fontId="3" fillId="15" borderId="1" applyNumberFormat="0" applyBorder="0" applyAlignment="0" applyProtection="0"/>
    <xf numFmtId="0" fontId="3" fillId="0" borderId="1"/>
    <xf numFmtId="0" fontId="3" fillId="15" borderId="1" applyNumberFormat="0" applyBorder="0" applyAlignment="0" applyProtection="0"/>
    <xf numFmtId="164" fontId="3" fillId="0" borderId="1"/>
    <xf numFmtId="0" fontId="3" fillId="15" borderId="1" applyNumberFormat="0" applyBorder="0" applyAlignment="0" applyProtection="0"/>
    <xf numFmtId="0" fontId="3" fillId="0" borderId="1"/>
    <xf numFmtId="164" fontId="3" fillId="0" borderId="1"/>
    <xf numFmtId="164" fontId="3" fillId="0" borderId="1"/>
    <xf numFmtId="0" fontId="3" fillId="15" borderId="1" applyNumberFormat="0" applyBorder="0" applyAlignment="0" applyProtection="0"/>
    <xf numFmtId="164" fontId="3" fillId="0" borderId="1"/>
    <xf numFmtId="164" fontId="3" fillId="0" borderId="1"/>
    <xf numFmtId="0" fontId="3" fillId="24" borderId="1" applyNumberFormat="0" applyBorder="0" applyAlignment="0" applyProtection="0"/>
    <xf numFmtId="44" fontId="3" fillId="0" borderId="1" applyFont="0" applyFill="0" applyBorder="0" applyAlignment="0" applyProtection="0"/>
    <xf numFmtId="0" fontId="3" fillId="1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15" borderId="1" applyNumberFormat="0" applyBorder="0" applyAlignment="0" applyProtection="0"/>
    <xf numFmtId="0" fontId="3" fillId="15" borderId="1" applyNumberFormat="0" applyBorder="0" applyAlignment="0" applyProtection="0"/>
    <xf numFmtId="0" fontId="3" fillId="5" borderId="1" applyNumberFormat="0" applyBorder="0" applyAlignment="0" applyProtection="0"/>
    <xf numFmtId="0" fontId="3" fillId="15" borderId="1" applyNumberFormat="0" applyBorder="0" applyAlignment="0" applyProtection="0"/>
    <xf numFmtId="44" fontId="3" fillId="0" borderId="1" applyFont="0" applyFill="0" applyBorder="0" applyAlignment="0" applyProtection="0"/>
    <xf numFmtId="0" fontId="3" fillId="15" borderId="1" applyNumberFormat="0" applyBorder="0" applyAlignment="0" applyProtection="0"/>
    <xf numFmtId="0" fontId="3" fillId="15" borderId="1" applyNumberFormat="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16" borderId="1" applyNumberFormat="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0" fontId="3" fillId="0" borderId="1"/>
    <xf numFmtId="0" fontId="47" fillId="32" borderId="30" applyNumberFormat="0" applyAlignment="0" applyProtection="0"/>
    <xf numFmtId="0" fontId="3" fillId="15" borderId="1" applyNumberFormat="0" applyBorder="0" applyAlignment="0" applyProtection="0"/>
    <xf numFmtId="0" fontId="3" fillId="15"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0" fontId="47" fillId="32" borderId="30" applyNumberFormat="0" applyAlignment="0" applyProtection="0"/>
    <xf numFmtId="0" fontId="3" fillId="1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24" borderId="1" applyNumberFormat="0" applyBorder="0" applyAlignment="0" applyProtection="0"/>
    <xf numFmtId="0" fontId="3" fillId="15" borderId="1" applyNumberFormat="0" applyBorder="0" applyAlignment="0" applyProtection="0"/>
    <xf numFmtId="0" fontId="3" fillId="25"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15" borderId="1" applyNumberFormat="0" applyBorder="0" applyAlignment="0" applyProtection="0"/>
    <xf numFmtId="0" fontId="3" fillId="25"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15" borderId="1" applyNumberFormat="0" applyBorder="0" applyAlignment="0" applyProtection="0"/>
    <xf numFmtId="0" fontId="3" fillId="16" borderId="1" applyNumberFormat="0" applyBorder="0" applyAlignment="0" applyProtection="0"/>
    <xf numFmtId="0" fontId="3" fillId="25" borderId="1" applyNumberFormat="0" applyBorder="0" applyAlignment="0" applyProtection="0"/>
    <xf numFmtId="0" fontId="3" fillId="24" borderId="1" applyNumberFormat="0" applyBorder="0" applyAlignment="0" applyProtection="0"/>
    <xf numFmtId="0" fontId="3" fillId="15" borderId="1" applyNumberFormat="0" applyBorder="0" applyAlignment="0" applyProtection="0"/>
    <xf numFmtId="0" fontId="3" fillId="16" borderId="1" applyNumberFormat="0" applyBorder="0" applyAlignment="0" applyProtection="0"/>
    <xf numFmtId="0" fontId="3" fillId="0" borderId="1"/>
    <xf numFmtId="0" fontId="3" fillId="15" borderId="1" applyNumberFormat="0" applyBorder="0" applyAlignment="0" applyProtection="0"/>
    <xf numFmtId="0" fontId="3" fillId="0" borderId="1"/>
    <xf numFmtId="0" fontId="3" fillId="0" borderId="1"/>
    <xf numFmtId="0" fontId="3" fillId="15" borderId="1" applyNumberFormat="0" applyBorder="0" applyAlignment="0" applyProtection="0"/>
    <xf numFmtId="0" fontId="3" fillId="0" borderId="1"/>
    <xf numFmtId="0" fontId="3" fillId="15" borderId="1" applyNumberFormat="0" applyBorder="0" applyAlignment="0" applyProtection="0"/>
    <xf numFmtId="164" fontId="3" fillId="0" borderId="1"/>
    <xf numFmtId="0" fontId="3" fillId="15" borderId="1" applyNumberFormat="0" applyBorder="0" applyAlignment="0" applyProtection="0"/>
    <xf numFmtId="164" fontId="3" fillId="0" borderId="1"/>
    <xf numFmtId="44" fontId="3" fillId="0" borderId="1" applyFont="0" applyFill="0" applyBorder="0" applyAlignment="0" applyProtection="0"/>
    <xf numFmtId="0" fontId="3" fillId="15" borderId="1" applyNumberFormat="0" applyBorder="0" applyAlignment="0" applyProtection="0"/>
    <xf numFmtId="0" fontId="3" fillId="15" borderId="1" applyNumberFormat="0" applyBorder="0" applyAlignment="0" applyProtection="0"/>
    <xf numFmtId="0" fontId="3" fillId="15" borderId="1" applyNumberFormat="0" applyBorder="0" applyAlignment="0" applyProtection="0"/>
    <xf numFmtId="0" fontId="3" fillId="0" borderId="1"/>
    <xf numFmtId="0" fontId="3" fillId="15" borderId="1" applyNumberFormat="0" applyBorder="0" applyAlignment="0" applyProtection="0"/>
    <xf numFmtId="0" fontId="3" fillId="0" borderId="1"/>
    <xf numFmtId="0" fontId="3" fillId="15" borderId="1" applyNumberFormat="0" applyBorder="0" applyAlignment="0" applyProtection="0"/>
    <xf numFmtId="44" fontId="3" fillId="0" borderId="1" applyFont="0" applyFill="0" applyBorder="0" applyAlignment="0" applyProtection="0"/>
    <xf numFmtId="0" fontId="3" fillId="15" borderId="1" applyNumberFormat="0" applyBorder="0" applyAlignment="0" applyProtection="0"/>
    <xf numFmtId="164" fontId="3" fillId="0" borderId="1"/>
    <xf numFmtId="164" fontId="3" fillId="0" borderId="1"/>
    <xf numFmtId="0" fontId="3" fillId="15" borderId="1" applyNumberFormat="0" applyBorder="0" applyAlignment="0" applyProtection="0"/>
    <xf numFmtId="0" fontId="3" fillId="24" borderId="1" applyNumberFormat="0" applyBorder="0" applyAlignment="0" applyProtection="0"/>
    <xf numFmtId="0" fontId="3" fillId="0" borderId="1"/>
    <xf numFmtId="0" fontId="3" fillId="15" borderId="1" applyNumberFormat="0" applyBorder="0" applyAlignment="0" applyProtection="0"/>
    <xf numFmtId="0" fontId="3" fillId="24" borderId="1" applyNumberFormat="0" applyBorder="0" applyAlignment="0" applyProtection="0"/>
    <xf numFmtId="0" fontId="3" fillId="15" borderId="1" applyNumberFormat="0" applyBorder="0" applyAlignment="0" applyProtection="0"/>
    <xf numFmtId="0" fontId="3" fillId="15" borderId="1" applyNumberFormat="0" applyBorder="0" applyAlignment="0" applyProtection="0"/>
    <xf numFmtId="0" fontId="3" fillId="15" borderId="1" applyNumberFormat="0" applyBorder="0" applyAlignment="0" applyProtection="0"/>
    <xf numFmtId="0" fontId="3" fillId="0" borderId="1"/>
    <xf numFmtId="164" fontId="3" fillId="0" borderId="1"/>
    <xf numFmtId="164" fontId="3" fillId="0" borderId="1"/>
    <xf numFmtId="0" fontId="3" fillId="24" borderId="1" applyNumberFormat="0" applyBorder="0" applyAlignment="0" applyProtection="0"/>
    <xf numFmtId="0" fontId="3" fillId="15" borderId="1" applyNumberFormat="0" applyBorder="0" applyAlignment="0" applyProtection="0"/>
    <xf numFmtId="0" fontId="3" fillId="15" borderId="1" applyNumberFormat="0" applyBorder="0" applyAlignment="0" applyProtection="0"/>
    <xf numFmtId="164" fontId="3" fillId="0" borderId="1"/>
    <xf numFmtId="164" fontId="3" fillId="0" borderId="1"/>
    <xf numFmtId="0" fontId="3" fillId="24"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15" borderId="1" applyNumberFormat="0" applyBorder="0" applyAlignment="0" applyProtection="0"/>
    <xf numFmtId="0" fontId="3" fillId="0" borderId="1"/>
    <xf numFmtId="0" fontId="3" fillId="0" borderId="1"/>
    <xf numFmtId="0" fontId="3" fillId="15" borderId="1" applyNumberFormat="0" applyBorder="0" applyAlignment="0" applyProtection="0"/>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43" fontId="3" fillId="0" borderId="1" applyFont="0" applyFill="0" applyBorder="0" applyAlignment="0" applyProtection="0"/>
    <xf numFmtId="0" fontId="3" fillId="0" borderId="1"/>
    <xf numFmtId="0" fontId="3" fillId="0" borderId="1"/>
    <xf numFmtId="0" fontId="3" fillId="15" borderId="1" applyNumberFormat="0" applyBorder="0" applyAlignment="0" applyProtection="0"/>
    <xf numFmtId="0" fontId="3" fillId="15" borderId="1" applyNumberFormat="0" applyBorder="0" applyAlignment="0" applyProtection="0"/>
    <xf numFmtId="0" fontId="3" fillId="0" borderId="1"/>
    <xf numFmtId="0" fontId="3" fillId="21" borderId="1" applyNumberFormat="0" applyBorder="0" applyAlignment="0" applyProtection="0"/>
    <xf numFmtId="0" fontId="3" fillId="0" borderId="1"/>
    <xf numFmtId="0" fontId="3" fillId="15" borderId="1" applyNumberFormat="0" applyBorder="0" applyAlignment="0" applyProtection="0"/>
    <xf numFmtId="0" fontId="3" fillId="0" borderId="1"/>
    <xf numFmtId="0" fontId="3" fillId="15" borderId="1" applyNumberFormat="0" applyBorder="0" applyAlignment="0" applyProtection="0"/>
    <xf numFmtId="0" fontId="3" fillId="0" borderId="1"/>
    <xf numFmtId="44" fontId="3" fillId="0" borderId="1" applyFont="0" applyFill="0" applyBorder="0" applyAlignment="0" applyProtection="0"/>
    <xf numFmtId="0" fontId="3" fillId="5" borderId="1" applyNumberFormat="0" applyBorder="0" applyAlignment="0" applyProtection="0"/>
    <xf numFmtId="0" fontId="3" fillId="0" borderId="1"/>
    <xf numFmtId="0" fontId="3" fillId="0" borderId="1"/>
    <xf numFmtId="0" fontId="3" fillId="15" borderId="1" applyNumberFormat="0" applyBorder="0" applyAlignment="0" applyProtection="0"/>
    <xf numFmtId="0" fontId="3" fillId="0" borderId="1"/>
    <xf numFmtId="0" fontId="3" fillId="5" borderId="1" applyNumberFormat="0" applyBorder="0" applyAlignment="0" applyProtection="0"/>
    <xf numFmtId="164" fontId="3" fillId="0" borderId="1"/>
    <xf numFmtId="0" fontId="3" fillId="15" borderId="1" applyNumberFormat="0" applyBorder="0" applyAlignment="0" applyProtection="0"/>
    <xf numFmtId="0" fontId="3" fillId="15" borderId="1" applyNumberFormat="0" applyBorder="0" applyAlignment="0" applyProtection="0"/>
    <xf numFmtId="164" fontId="3" fillId="0" borderId="1"/>
    <xf numFmtId="164" fontId="3" fillId="0" borderId="1"/>
    <xf numFmtId="0" fontId="33" fillId="20" borderId="26" applyNumberFormat="0" applyFont="0" applyAlignment="0" applyProtection="0"/>
    <xf numFmtId="0" fontId="3" fillId="15" borderId="1" applyNumberFormat="0" applyBorder="0" applyAlignment="0" applyProtection="0"/>
    <xf numFmtId="0" fontId="3" fillId="5" borderId="1" applyNumberFormat="0" applyBorder="0" applyAlignment="0" applyProtection="0"/>
    <xf numFmtId="0" fontId="3" fillId="24" borderId="1" applyNumberFormat="0" applyBorder="0" applyAlignment="0" applyProtection="0"/>
    <xf numFmtId="0" fontId="3" fillId="0" borderId="1"/>
    <xf numFmtId="0" fontId="3" fillId="15" borderId="1" applyNumberFormat="0" applyBorder="0" applyAlignment="0" applyProtection="0"/>
    <xf numFmtId="0" fontId="3" fillId="24" borderId="1" applyNumberFormat="0" applyBorder="0" applyAlignment="0" applyProtection="0"/>
    <xf numFmtId="0" fontId="3" fillId="15"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15" borderId="1" applyNumberFormat="0" applyBorder="0" applyAlignment="0" applyProtection="0"/>
    <xf numFmtId="0" fontId="3" fillId="0" borderId="1"/>
    <xf numFmtId="164" fontId="3" fillId="0" borderId="1"/>
    <xf numFmtId="0" fontId="3" fillId="1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164" fontId="3" fillId="0" borderId="1"/>
    <xf numFmtId="0" fontId="3" fillId="0" borderId="1"/>
    <xf numFmtId="0" fontId="3" fillId="0" borderId="1"/>
    <xf numFmtId="0" fontId="3" fillId="15" borderId="1" applyNumberFormat="0" applyBorder="0" applyAlignment="0" applyProtection="0"/>
    <xf numFmtId="164" fontId="3" fillId="0" borderId="1"/>
    <xf numFmtId="164" fontId="3" fillId="0" borderId="1"/>
    <xf numFmtId="164" fontId="3" fillId="0" borderId="1"/>
    <xf numFmtId="0" fontId="3" fillId="15" borderId="1" applyNumberFormat="0" applyBorder="0" applyAlignment="0" applyProtection="0"/>
    <xf numFmtId="164" fontId="3" fillId="0" borderId="1"/>
    <xf numFmtId="0" fontId="3" fillId="15"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0" fontId="3" fillId="0" borderId="1"/>
    <xf numFmtId="0" fontId="3" fillId="5" borderId="1" applyNumberFormat="0" applyBorder="0" applyAlignment="0" applyProtection="0"/>
    <xf numFmtId="164" fontId="3" fillId="0" borderId="1"/>
    <xf numFmtId="0" fontId="3" fillId="15" borderId="1" applyNumberFormat="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0" fontId="3" fillId="0" borderId="1"/>
    <xf numFmtId="0" fontId="3" fillId="15" borderId="1" applyNumberFormat="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15" borderId="1" applyNumberFormat="0" applyBorder="0" applyAlignment="0" applyProtection="0"/>
    <xf numFmtId="44" fontId="3" fillId="0" borderId="1" applyFont="0" applyFill="0" applyBorder="0" applyAlignment="0" applyProtection="0"/>
    <xf numFmtId="0" fontId="3" fillId="15" borderId="1" applyNumberFormat="0" applyBorder="0" applyAlignment="0" applyProtection="0"/>
    <xf numFmtId="0" fontId="3" fillId="0" borderId="1"/>
    <xf numFmtId="0"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15" borderId="1" applyNumberFormat="0" applyBorder="0" applyAlignment="0" applyProtection="0"/>
    <xf numFmtId="0" fontId="3" fillId="0" borderId="1"/>
    <xf numFmtId="0" fontId="3" fillId="0" borderId="1"/>
    <xf numFmtId="0" fontId="3" fillId="0" borderId="1"/>
    <xf numFmtId="0" fontId="34" fillId="37"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15"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15" borderId="1" applyNumberFormat="0" applyBorder="0" applyAlignment="0" applyProtection="0"/>
    <xf numFmtId="0" fontId="3" fillId="0" borderId="1"/>
    <xf numFmtId="0" fontId="3" fillId="1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15" borderId="1" applyNumberFormat="0" applyBorder="0" applyAlignment="0" applyProtection="0"/>
    <xf numFmtId="0" fontId="3" fillId="0" borderId="1"/>
    <xf numFmtId="0" fontId="3" fillId="15" borderId="1" applyNumberFormat="0" applyBorder="0" applyAlignment="0" applyProtection="0"/>
    <xf numFmtId="0" fontId="3" fillId="0" borderId="1"/>
    <xf numFmtId="0" fontId="3" fillId="15" borderId="1" applyNumberFormat="0" applyBorder="0" applyAlignment="0" applyProtection="0"/>
    <xf numFmtId="0" fontId="3" fillId="0" borderId="1"/>
    <xf numFmtId="0" fontId="3" fillId="15" borderId="1" applyNumberFormat="0" applyBorder="0" applyAlignment="0" applyProtection="0"/>
    <xf numFmtId="0" fontId="3" fillId="21" borderId="1" applyNumberFormat="0" applyBorder="0" applyAlignment="0" applyProtection="0"/>
    <xf numFmtId="0" fontId="3" fillId="1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0" borderId="1"/>
    <xf numFmtId="164" fontId="3" fillId="0" borderId="1"/>
    <xf numFmtId="0" fontId="3" fillId="15" borderId="1" applyNumberFormat="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15"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25" borderId="1" applyNumberFormat="0" applyBorder="0" applyAlignment="0" applyProtection="0"/>
    <xf numFmtId="0" fontId="3" fillId="0" borderId="1"/>
    <xf numFmtId="0" fontId="3" fillId="0" borderId="1"/>
    <xf numFmtId="0" fontId="3" fillId="15" borderId="1" applyNumberFormat="0" applyBorder="0" applyAlignment="0" applyProtection="0"/>
    <xf numFmtId="0" fontId="3" fillId="0" borderId="1"/>
    <xf numFmtId="0" fontId="3" fillId="15" borderId="1" applyNumberFormat="0" applyBorder="0" applyAlignment="0" applyProtection="0"/>
    <xf numFmtId="164" fontId="3" fillId="0" borderId="1"/>
    <xf numFmtId="0" fontId="50" fillId="41" borderId="32" applyNumberFormat="0" applyAlignment="0" applyProtection="0"/>
    <xf numFmtId="164" fontId="3" fillId="0" borderId="1"/>
    <xf numFmtId="44" fontId="3" fillId="0" borderId="1" applyFont="0" applyFill="0" applyBorder="0" applyAlignment="0" applyProtection="0"/>
    <xf numFmtId="0" fontId="3" fillId="0" borderId="1"/>
    <xf numFmtId="0" fontId="3" fillId="15" borderId="1" applyNumberFormat="0" applyBorder="0" applyAlignment="0" applyProtection="0"/>
    <xf numFmtId="0" fontId="3" fillId="0" borderId="1"/>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0" fontId="3" fillId="0" borderId="1"/>
    <xf numFmtId="0" fontId="3" fillId="1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0" borderId="1"/>
    <xf numFmtId="0" fontId="3" fillId="15" borderId="1" applyNumberFormat="0" applyBorder="0" applyAlignment="0" applyProtection="0"/>
    <xf numFmtId="164" fontId="3" fillId="0" borderId="1"/>
    <xf numFmtId="164" fontId="3" fillId="0" borderId="1"/>
    <xf numFmtId="0" fontId="3" fillId="15" borderId="1" applyNumberFormat="0" applyBorder="0" applyAlignment="0" applyProtection="0"/>
    <xf numFmtId="0" fontId="3" fillId="24" borderId="1" applyNumberFormat="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0" fontId="50" fillId="41" borderId="32" applyNumberFormat="0" applyAlignment="0" applyProtection="0"/>
    <xf numFmtId="0" fontId="3" fillId="0" borderId="1"/>
    <xf numFmtId="0" fontId="3" fillId="0" borderId="1"/>
    <xf numFmtId="0" fontId="3" fillId="0" borderId="1"/>
    <xf numFmtId="164" fontId="3" fillId="0" borderId="1"/>
    <xf numFmtId="0" fontId="3" fillId="15" borderId="1" applyNumberFormat="0" applyBorder="0" applyAlignment="0" applyProtection="0"/>
    <xf numFmtId="164" fontId="3" fillId="0" borderId="1"/>
    <xf numFmtId="0" fontId="3" fillId="0" borderId="1"/>
    <xf numFmtId="44" fontId="3" fillId="0" borderId="1" applyFont="0" applyFill="0" applyBorder="0" applyAlignment="0" applyProtection="0"/>
    <xf numFmtId="0" fontId="3" fillId="24" borderId="1" applyNumberFormat="0" applyBorder="0" applyAlignment="0" applyProtection="0"/>
    <xf numFmtId="164" fontId="3" fillId="0" borderId="1"/>
    <xf numFmtId="0" fontId="3" fillId="15" borderId="1" applyNumberFormat="0" applyBorder="0" applyAlignment="0" applyProtection="0"/>
    <xf numFmtId="164" fontId="3" fillId="0" borderId="1"/>
    <xf numFmtId="164" fontId="3" fillId="0" borderId="1"/>
    <xf numFmtId="0" fontId="3" fillId="24" borderId="1" applyNumberFormat="0" applyBorder="0" applyAlignment="0" applyProtection="0"/>
    <xf numFmtId="164"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15"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15" borderId="1" applyNumberFormat="0" applyBorder="0" applyAlignment="0" applyProtection="0"/>
    <xf numFmtId="0" fontId="3" fillId="24" borderId="1" applyNumberFormat="0" applyBorder="0" applyAlignment="0" applyProtection="0"/>
    <xf numFmtId="164" fontId="3" fillId="0" borderId="1"/>
    <xf numFmtId="0" fontId="3" fillId="0" borderId="1"/>
    <xf numFmtId="0" fontId="3" fillId="0" borderId="1"/>
    <xf numFmtId="0" fontId="3" fillId="0" borderId="1"/>
    <xf numFmtId="44" fontId="3" fillId="0" borderId="1" applyFont="0" applyFill="0" applyBorder="0" applyAlignment="0" applyProtection="0"/>
    <xf numFmtId="0" fontId="3" fillId="15"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15" borderId="1" applyNumberFormat="0" applyBorder="0" applyAlignment="0" applyProtection="0"/>
    <xf numFmtId="44" fontId="3" fillId="0" borderId="1" applyFont="0" applyFill="0" applyBorder="0" applyAlignment="0" applyProtection="0"/>
    <xf numFmtId="0" fontId="3" fillId="0" borderId="1"/>
    <xf numFmtId="0" fontId="3" fillId="15"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164" fontId="3" fillId="0" borderId="1"/>
    <xf numFmtId="164" fontId="3" fillId="0" borderId="1"/>
    <xf numFmtId="0" fontId="3" fillId="15" borderId="1" applyNumberFormat="0" applyBorder="0" applyAlignment="0" applyProtection="0"/>
    <xf numFmtId="164" fontId="3" fillId="0" borderId="1"/>
    <xf numFmtId="0" fontId="3" fillId="15" borderId="1" applyNumberFormat="0" applyBorder="0" applyAlignment="0" applyProtection="0"/>
    <xf numFmtId="0" fontId="3" fillId="0" borderId="1"/>
    <xf numFmtId="0" fontId="3" fillId="0" borderId="1"/>
    <xf numFmtId="0" fontId="3" fillId="0" borderId="1"/>
    <xf numFmtId="0" fontId="3" fillId="0" borderId="1"/>
    <xf numFmtId="164" fontId="3" fillId="0" borderId="1"/>
    <xf numFmtId="0" fontId="3" fillId="15" borderId="1" applyNumberFormat="0" applyBorder="0" applyAlignment="0" applyProtection="0"/>
    <xf numFmtId="0" fontId="3" fillId="0" borderId="1"/>
    <xf numFmtId="0" fontId="3" fillId="21" borderId="1" applyNumberFormat="0" applyBorder="0" applyAlignment="0" applyProtection="0"/>
    <xf numFmtId="0" fontId="3" fillId="0" borderId="1"/>
    <xf numFmtId="0" fontId="3" fillId="0" borderId="1"/>
    <xf numFmtId="164" fontId="3" fillId="0" borderId="1"/>
    <xf numFmtId="0" fontId="3" fillId="15" borderId="1" applyNumberFormat="0" applyBorder="0" applyAlignment="0" applyProtection="0"/>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164" fontId="3" fillId="0" borderId="1"/>
    <xf numFmtId="0" fontId="3" fillId="15" borderId="1" applyNumberFormat="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0" fontId="3" fillId="0" borderId="1"/>
    <xf numFmtId="164" fontId="3" fillId="0" borderId="1"/>
    <xf numFmtId="0" fontId="3" fillId="0" borderId="1"/>
    <xf numFmtId="44" fontId="3" fillId="0" borderId="1" applyFont="0" applyFill="0" applyBorder="0" applyAlignment="0" applyProtection="0"/>
    <xf numFmtId="0" fontId="3" fillId="0" borderId="1"/>
    <xf numFmtId="0" fontId="3" fillId="0" borderId="1"/>
    <xf numFmtId="164" fontId="3" fillId="0" borderId="1"/>
    <xf numFmtId="0" fontId="3" fillId="15" borderId="1" applyNumberFormat="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0" fontId="3" fillId="15" borderId="1" applyNumberFormat="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0" fontId="3" fillId="15"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0" borderId="1"/>
    <xf numFmtId="0" fontId="3" fillId="15" borderId="1" applyNumberFormat="0" applyBorder="0" applyAlignment="0" applyProtection="0"/>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0" fontId="3" fillId="15" borderId="1" applyNumberFormat="0" applyBorder="0" applyAlignment="0" applyProtection="0"/>
    <xf numFmtId="0" fontId="3" fillId="0" borderId="1"/>
    <xf numFmtId="0" fontId="3" fillId="15" borderId="1" applyNumberFormat="0" applyBorder="0" applyAlignment="0" applyProtection="0"/>
    <xf numFmtId="0" fontId="3" fillId="0" borderId="1"/>
    <xf numFmtId="0" fontId="3" fillId="25" borderId="1" applyNumberFormat="0" applyBorder="0" applyAlignment="0" applyProtection="0"/>
    <xf numFmtId="0" fontId="3" fillId="0" borderId="1"/>
    <xf numFmtId="0" fontId="3" fillId="5" borderId="1" applyNumberFormat="0" applyBorder="0" applyAlignment="0" applyProtection="0"/>
    <xf numFmtId="0" fontId="3" fillId="1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0" fontId="3" fillId="0" borderId="1"/>
    <xf numFmtId="0" fontId="3" fillId="15" borderId="1" applyNumberFormat="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0" fontId="3" fillId="15" borderId="1" applyNumberFormat="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15" borderId="1" applyNumberFormat="0" applyBorder="0" applyAlignment="0" applyProtection="0"/>
    <xf numFmtId="164" fontId="3" fillId="0" borderId="1"/>
    <xf numFmtId="164" fontId="3" fillId="0" borderId="1"/>
    <xf numFmtId="0" fontId="3" fillId="15"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0" fontId="3" fillId="15"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15" borderId="1" applyNumberFormat="0" applyBorder="0" applyAlignment="0" applyProtection="0"/>
    <xf numFmtId="44" fontId="3" fillId="0" borderId="1" applyFont="0" applyFill="0" applyBorder="0" applyAlignment="0" applyProtection="0"/>
    <xf numFmtId="164" fontId="3" fillId="0" borderId="1"/>
    <xf numFmtId="0" fontId="3" fillId="0" borderId="1"/>
    <xf numFmtId="0" fontId="3" fillId="15" borderId="1" applyNumberFormat="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15" borderId="1" applyNumberFormat="0" applyBorder="0" applyAlignment="0" applyProtection="0"/>
    <xf numFmtId="0" fontId="3" fillId="24" borderId="1" applyNumberFormat="0" applyBorder="0" applyAlignment="0" applyProtection="0"/>
    <xf numFmtId="0" fontId="3" fillId="0" borderId="1"/>
    <xf numFmtId="164" fontId="3" fillId="0" borderId="1"/>
    <xf numFmtId="164" fontId="3" fillId="0" borderId="1"/>
    <xf numFmtId="164" fontId="3" fillId="0" borderId="1"/>
    <xf numFmtId="0" fontId="3" fillId="0" borderId="1"/>
    <xf numFmtId="0" fontId="3" fillId="15"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15"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0" borderId="1"/>
    <xf numFmtId="0" fontId="3" fillId="0" borderId="1"/>
    <xf numFmtId="0" fontId="3" fillId="0" borderId="1"/>
    <xf numFmtId="0" fontId="3" fillId="15" borderId="1" applyNumberFormat="0" applyBorder="0" applyAlignment="0" applyProtection="0"/>
    <xf numFmtId="164" fontId="3" fillId="0" borderId="1"/>
    <xf numFmtId="0" fontId="3" fillId="16" borderId="1" applyNumberFormat="0" applyBorder="0" applyAlignment="0" applyProtection="0"/>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0" fontId="3" fillId="0" borderId="1"/>
    <xf numFmtId="0" fontId="3" fillId="15" borderId="1" applyNumberFormat="0" applyBorder="0" applyAlignment="0" applyProtection="0"/>
    <xf numFmtId="164" fontId="3" fillId="0" borderId="1"/>
    <xf numFmtId="0" fontId="3" fillId="0" borderId="1"/>
    <xf numFmtId="0" fontId="3" fillId="0" borderId="1"/>
    <xf numFmtId="0" fontId="3" fillId="0" borderId="1"/>
    <xf numFmtId="0" fontId="3" fillId="15" borderId="1" applyNumberFormat="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0" fontId="3" fillId="15" borderId="1" applyNumberFormat="0" applyBorder="0" applyAlignment="0" applyProtection="0"/>
    <xf numFmtId="164" fontId="3" fillId="0" borderId="1"/>
    <xf numFmtId="0" fontId="3" fillId="15" borderId="1" applyNumberFormat="0" applyBorder="0" applyAlignment="0" applyProtection="0"/>
    <xf numFmtId="44" fontId="3" fillId="0" borderId="1" applyFont="0" applyFill="0" applyBorder="0" applyAlignment="0" applyProtection="0"/>
    <xf numFmtId="164" fontId="3" fillId="0" borderId="1"/>
    <xf numFmtId="0" fontId="3" fillId="15" borderId="1" applyNumberFormat="0" applyBorder="0" applyAlignment="0" applyProtection="0"/>
    <xf numFmtId="0" fontId="3" fillId="0" borderId="1"/>
    <xf numFmtId="0" fontId="3" fillId="0" borderId="1"/>
    <xf numFmtId="0" fontId="3" fillId="15" borderId="1" applyNumberFormat="0" applyBorder="0" applyAlignment="0" applyProtection="0"/>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15" borderId="1" applyNumberFormat="0" applyBorder="0" applyAlignment="0" applyProtection="0"/>
    <xf numFmtId="164" fontId="3" fillId="0" borderId="1"/>
    <xf numFmtId="0" fontId="3" fillId="15" borderId="1" applyNumberFormat="0" applyBorder="0" applyAlignment="0" applyProtection="0"/>
    <xf numFmtId="164" fontId="3" fillId="0" borderId="1"/>
    <xf numFmtId="164" fontId="3" fillId="0" borderId="1"/>
    <xf numFmtId="0" fontId="3" fillId="0" borderId="1"/>
    <xf numFmtId="0" fontId="3" fillId="15" borderId="1" applyNumberFormat="0" applyBorder="0" applyAlignment="0" applyProtection="0"/>
    <xf numFmtId="0" fontId="3" fillId="0" borderId="1"/>
    <xf numFmtId="0" fontId="3" fillId="0" borderId="1"/>
    <xf numFmtId="0" fontId="3" fillId="0" borderId="1"/>
    <xf numFmtId="0" fontId="3" fillId="15" borderId="1" applyNumberFormat="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0" fontId="3" fillId="15" borderId="1" applyNumberFormat="0" applyBorder="0" applyAlignment="0" applyProtection="0"/>
    <xf numFmtId="164" fontId="3" fillId="0" borderId="1"/>
    <xf numFmtId="0" fontId="3" fillId="15" borderId="1" applyNumberFormat="0" applyBorder="0" applyAlignment="0" applyProtection="0"/>
    <xf numFmtId="0" fontId="3" fillId="0" borderId="1"/>
    <xf numFmtId="164" fontId="3" fillId="0" borderId="1"/>
    <xf numFmtId="0" fontId="3" fillId="15" borderId="1" applyNumberFormat="0" applyBorder="0" applyAlignment="0" applyProtection="0"/>
    <xf numFmtId="164" fontId="3" fillId="0" borderId="1"/>
    <xf numFmtId="0" fontId="3" fillId="23" borderId="25" applyNumberFormat="0" applyFont="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164" fontId="3" fillId="0" borderId="1"/>
    <xf numFmtId="0" fontId="3" fillId="15" borderId="1" applyNumberFormat="0" applyBorder="0" applyAlignment="0" applyProtection="0"/>
    <xf numFmtId="44" fontId="3" fillId="0" borderId="1" applyFont="0" applyFill="0" applyBorder="0" applyAlignment="0" applyProtection="0"/>
    <xf numFmtId="164" fontId="3" fillId="0" borderId="1"/>
    <xf numFmtId="0" fontId="3" fillId="21" borderId="1" applyNumberFormat="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0" fontId="3" fillId="15" borderId="1" applyNumberFormat="0" applyBorder="0" applyAlignment="0" applyProtection="0"/>
    <xf numFmtId="0" fontId="3" fillId="15" borderId="1" applyNumberFormat="0" applyBorder="0" applyAlignment="0" applyProtection="0"/>
    <xf numFmtId="0" fontId="3" fillId="0" borderId="1"/>
    <xf numFmtId="0" fontId="3" fillId="0" borderId="1"/>
    <xf numFmtId="164" fontId="3" fillId="0" borderId="1"/>
    <xf numFmtId="0" fontId="33" fillId="0" borderId="1"/>
    <xf numFmtId="0" fontId="33" fillId="0" borderId="1"/>
    <xf numFmtId="0" fontId="3" fillId="0" borderId="1"/>
    <xf numFmtId="0" fontId="3" fillId="0" borderId="1"/>
    <xf numFmtId="0" fontId="3" fillId="15" borderId="1" applyNumberFormat="0" applyBorder="0" applyAlignment="0" applyProtection="0"/>
    <xf numFmtId="0" fontId="3" fillId="0" borderId="1"/>
    <xf numFmtId="0" fontId="59" fillId="0" borderId="1" applyNumberFormat="0" applyFill="0" applyBorder="0" applyAlignment="0" applyProtection="0"/>
    <xf numFmtId="0" fontId="3" fillId="0" borderId="1"/>
    <xf numFmtId="0" fontId="3" fillId="15" borderId="1" applyNumberFormat="0" applyBorder="0" applyAlignment="0" applyProtection="0"/>
    <xf numFmtId="164" fontId="3" fillId="0" borderId="1"/>
    <xf numFmtId="164" fontId="3" fillId="0" borderId="1"/>
    <xf numFmtId="164" fontId="3" fillId="0" borderId="1"/>
    <xf numFmtId="0" fontId="3" fillId="15" borderId="1" applyNumberFormat="0" applyBorder="0" applyAlignment="0" applyProtection="0"/>
    <xf numFmtId="0" fontId="3" fillId="0" borderId="1"/>
    <xf numFmtId="0" fontId="3" fillId="0" borderId="1"/>
    <xf numFmtId="164" fontId="3" fillId="0" borderId="1"/>
    <xf numFmtId="0" fontId="3" fillId="0" borderId="1"/>
    <xf numFmtId="0" fontId="3" fillId="15" borderId="1" applyNumberFormat="0" applyBorder="0" applyAlignment="0" applyProtection="0"/>
    <xf numFmtId="0" fontId="3" fillId="25" borderId="1" applyNumberFormat="0" applyBorder="0" applyAlignment="0" applyProtection="0"/>
    <xf numFmtId="0" fontId="3" fillId="15" borderId="1" applyNumberFormat="0" applyBorder="0" applyAlignment="0" applyProtection="0"/>
    <xf numFmtId="0" fontId="3" fillId="15" borderId="1" applyNumberFormat="0" applyBorder="0" applyAlignment="0" applyProtection="0"/>
    <xf numFmtId="164" fontId="3" fillId="0" borderId="1"/>
    <xf numFmtId="164" fontId="3" fillId="0" borderId="1"/>
    <xf numFmtId="0" fontId="3" fillId="0" borderId="1"/>
    <xf numFmtId="0" fontId="3" fillId="0" borderId="1"/>
    <xf numFmtId="0" fontId="3" fillId="15" borderId="1" applyNumberFormat="0" applyBorder="0" applyAlignment="0" applyProtection="0"/>
    <xf numFmtId="0" fontId="3" fillId="15" borderId="1" applyNumberFormat="0" applyBorder="0" applyAlignment="0" applyProtection="0"/>
    <xf numFmtId="0" fontId="3" fillId="0" borderId="1"/>
    <xf numFmtId="0" fontId="3" fillId="0" borderId="1"/>
    <xf numFmtId="0" fontId="3" fillId="0" borderId="1"/>
    <xf numFmtId="0" fontId="3" fillId="16" borderId="1" applyNumberFormat="0" applyBorder="0" applyAlignment="0" applyProtection="0"/>
    <xf numFmtId="164" fontId="3" fillId="0" borderId="1"/>
    <xf numFmtId="0" fontId="3" fillId="15" borderId="1" applyNumberFormat="0" applyBorder="0" applyAlignment="0" applyProtection="0"/>
    <xf numFmtId="164" fontId="3" fillId="0" borderId="1"/>
    <xf numFmtId="164" fontId="3" fillId="0" borderId="1"/>
    <xf numFmtId="164" fontId="3" fillId="0" borderId="1"/>
    <xf numFmtId="0" fontId="3" fillId="15" borderId="1" applyNumberFormat="0" applyBorder="0" applyAlignment="0" applyProtection="0"/>
    <xf numFmtId="0" fontId="3" fillId="0" borderId="1"/>
    <xf numFmtId="0" fontId="3" fillId="15" borderId="1" applyNumberFormat="0" applyBorder="0" applyAlignment="0" applyProtection="0"/>
    <xf numFmtId="0" fontId="3" fillId="0" borderId="1"/>
    <xf numFmtId="0" fontId="33" fillId="0" borderId="1"/>
    <xf numFmtId="164" fontId="33" fillId="0" borderId="1"/>
    <xf numFmtId="0" fontId="3" fillId="0" borderId="1"/>
    <xf numFmtId="0" fontId="3" fillId="15" borderId="1" applyNumberFormat="0" applyBorder="0" applyAlignment="0" applyProtection="0"/>
    <xf numFmtId="0" fontId="3" fillId="0" borderId="1"/>
    <xf numFmtId="0" fontId="3" fillId="15" borderId="1" applyNumberFormat="0" applyBorder="0" applyAlignment="0" applyProtection="0"/>
    <xf numFmtId="0" fontId="3" fillId="15" borderId="1" applyNumberFormat="0" applyBorder="0" applyAlignment="0" applyProtection="0"/>
    <xf numFmtId="0" fontId="3" fillId="0" borderId="1"/>
    <xf numFmtId="0" fontId="3" fillId="15" borderId="1" applyNumberFormat="0" applyBorder="0" applyAlignment="0" applyProtection="0"/>
    <xf numFmtId="0" fontId="3" fillId="23" borderId="25" applyNumberFormat="0" applyFont="0" applyAlignment="0" applyProtection="0"/>
    <xf numFmtId="44" fontId="3" fillId="0" borderId="1" applyFont="0" applyFill="0" applyBorder="0" applyAlignment="0" applyProtection="0"/>
    <xf numFmtId="164" fontId="3" fillId="0" borderId="1"/>
    <xf numFmtId="0" fontId="3" fillId="15" borderId="1" applyNumberFormat="0" applyBorder="0" applyAlignment="0" applyProtection="0"/>
    <xf numFmtId="0" fontId="3" fillId="15" borderId="1" applyNumberFormat="0" applyBorder="0" applyAlignment="0" applyProtection="0"/>
    <xf numFmtId="0" fontId="3" fillId="15" borderId="1" applyNumberFormat="0" applyBorder="0" applyAlignment="0" applyProtection="0"/>
    <xf numFmtId="0" fontId="3" fillId="15" borderId="1" applyNumberFormat="0" applyBorder="0" applyAlignment="0" applyProtection="0"/>
    <xf numFmtId="0" fontId="3" fillId="15" borderId="1" applyNumberFormat="0" applyBorder="0" applyAlignment="0" applyProtection="0"/>
    <xf numFmtId="0" fontId="3" fillId="15" borderId="1" applyNumberFormat="0" applyBorder="0" applyAlignment="0" applyProtection="0"/>
    <xf numFmtId="44" fontId="3" fillId="0" borderId="1" applyFont="0" applyFill="0" applyBorder="0" applyAlignment="0" applyProtection="0"/>
    <xf numFmtId="0" fontId="3" fillId="15" borderId="1" applyNumberFormat="0" applyBorder="0" applyAlignment="0" applyProtection="0"/>
    <xf numFmtId="0" fontId="3" fillId="21" borderId="1" applyNumberFormat="0" applyBorder="0" applyAlignment="0" applyProtection="0"/>
    <xf numFmtId="164" fontId="3" fillId="0" borderId="1"/>
    <xf numFmtId="164" fontId="3" fillId="0" borderId="1"/>
    <xf numFmtId="164" fontId="41" fillId="0" borderId="1" applyNumberFormat="0" applyFill="0" applyBorder="0" applyAlignment="0" applyProtection="0">
      <alignment vertical="top"/>
      <protection locked="0"/>
    </xf>
    <xf numFmtId="0" fontId="3" fillId="0" borderId="1"/>
    <xf numFmtId="0" fontId="3" fillId="15" borderId="1" applyNumberFormat="0" applyBorder="0" applyAlignment="0" applyProtection="0"/>
    <xf numFmtId="0" fontId="3" fillId="21" borderId="1" applyNumberFormat="0" applyBorder="0" applyAlignment="0" applyProtection="0"/>
    <xf numFmtId="0" fontId="3" fillId="15" borderId="1" applyNumberFormat="0" applyBorder="0" applyAlignment="0" applyProtection="0"/>
    <xf numFmtId="0" fontId="3" fillId="21" borderId="1" applyNumberFormat="0" applyBorder="0" applyAlignment="0" applyProtection="0"/>
    <xf numFmtId="0" fontId="41" fillId="0" borderId="1" applyNumberFormat="0" applyFill="0" applyBorder="0" applyAlignment="0" applyProtection="0">
      <alignment vertical="top"/>
      <protection locked="0"/>
    </xf>
    <xf numFmtId="0" fontId="3" fillId="0" borderId="1"/>
    <xf numFmtId="0" fontId="3" fillId="0" borderId="1"/>
    <xf numFmtId="0" fontId="3" fillId="15"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15" borderId="1" applyNumberFormat="0" applyBorder="0" applyAlignment="0" applyProtection="0"/>
    <xf numFmtId="0" fontId="3" fillId="21" borderId="1" applyNumberFormat="0" applyBorder="0" applyAlignment="0" applyProtection="0"/>
    <xf numFmtId="0" fontId="3" fillId="0" borderId="1"/>
    <xf numFmtId="0" fontId="3" fillId="15" borderId="1" applyNumberFormat="0" applyBorder="0" applyAlignment="0" applyProtection="0"/>
    <xf numFmtId="0" fontId="3" fillId="0" borderId="1"/>
    <xf numFmtId="164" fontId="3" fillId="0" borderId="1"/>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15"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0" fontId="3" fillId="24" borderId="1" applyNumberFormat="0" applyBorder="0" applyAlignment="0" applyProtection="0"/>
    <xf numFmtId="0" fontId="3" fillId="0" borderId="1"/>
    <xf numFmtId="0" fontId="3" fillId="0" borderId="1"/>
    <xf numFmtId="0" fontId="3" fillId="15" borderId="1" applyNumberFormat="0" applyBorder="0" applyAlignment="0" applyProtection="0"/>
    <xf numFmtId="164" fontId="3" fillId="0" borderId="1"/>
    <xf numFmtId="0" fontId="3" fillId="0" borderId="1"/>
    <xf numFmtId="0" fontId="3" fillId="0" borderId="1"/>
    <xf numFmtId="164" fontId="3" fillId="0" borderId="1"/>
    <xf numFmtId="0" fontId="3" fillId="24" borderId="1" applyNumberFormat="0" applyBorder="0" applyAlignment="0" applyProtection="0"/>
    <xf numFmtId="44" fontId="3" fillId="0" borderId="1" applyFont="0" applyFill="0" applyBorder="0" applyAlignment="0" applyProtection="0"/>
    <xf numFmtId="0" fontId="3" fillId="15"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0" fontId="3" fillId="24" borderId="1" applyNumberFormat="0" applyBorder="0" applyAlignment="0" applyProtection="0"/>
    <xf numFmtId="0" fontId="3" fillId="0" borderId="1"/>
    <xf numFmtId="0" fontId="3" fillId="0" borderId="1"/>
    <xf numFmtId="0" fontId="3" fillId="15" borderId="1" applyNumberFormat="0" applyBorder="0" applyAlignment="0" applyProtection="0"/>
    <xf numFmtId="164" fontId="3" fillId="0" borderId="1"/>
    <xf numFmtId="0" fontId="3" fillId="21" borderId="1" applyNumberFormat="0" applyBorder="0" applyAlignment="0" applyProtection="0"/>
    <xf numFmtId="0" fontId="3" fillId="15" borderId="1" applyNumberFormat="0" applyBorder="0" applyAlignment="0" applyProtection="0"/>
    <xf numFmtId="164" fontId="3" fillId="0" borderId="1"/>
    <xf numFmtId="164" fontId="3" fillId="0" borderId="1"/>
    <xf numFmtId="0" fontId="3" fillId="24" borderId="1" applyNumberFormat="0" applyBorder="0" applyAlignment="0" applyProtection="0"/>
    <xf numFmtId="164" fontId="3" fillId="0" borderId="1"/>
    <xf numFmtId="164" fontId="3" fillId="0" borderId="1"/>
    <xf numFmtId="164" fontId="3" fillId="0" borderId="1"/>
    <xf numFmtId="164" fontId="3" fillId="0" borderId="1"/>
    <xf numFmtId="0" fontId="3" fillId="15" borderId="1" applyNumberFormat="0" applyBorder="0" applyAlignment="0" applyProtection="0"/>
    <xf numFmtId="164" fontId="3" fillId="0" borderId="1"/>
    <xf numFmtId="164" fontId="3" fillId="0" borderId="1"/>
    <xf numFmtId="0" fontId="3" fillId="0" borderId="1"/>
    <xf numFmtId="0" fontId="3" fillId="15" borderId="1" applyNumberFormat="0" applyBorder="0" applyAlignment="0" applyProtection="0"/>
    <xf numFmtId="0" fontId="3" fillId="0" borderId="1"/>
    <xf numFmtId="0" fontId="3" fillId="0" borderId="1"/>
    <xf numFmtId="0" fontId="3" fillId="15" borderId="1" applyNumberFormat="0" applyBorder="0" applyAlignment="0" applyProtection="0"/>
    <xf numFmtId="44" fontId="3" fillId="0" borderId="1" applyFont="0" applyFill="0" applyBorder="0" applyAlignment="0" applyProtection="0"/>
    <xf numFmtId="164" fontId="3" fillId="0" borderId="1"/>
    <xf numFmtId="0" fontId="3" fillId="15" borderId="1" applyNumberFormat="0" applyBorder="0" applyAlignment="0" applyProtection="0"/>
    <xf numFmtId="0" fontId="3" fillId="15" borderId="1" applyNumberFormat="0" applyBorder="0" applyAlignment="0" applyProtection="0"/>
    <xf numFmtId="0" fontId="3" fillId="15" borderId="1" applyNumberFormat="0" applyBorder="0" applyAlignment="0" applyProtection="0"/>
    <xf numFmtId="0" fontId="3" fillId="15" borderId="1" applyNumberFormat="0" applyBorder="0" applyAlignment="0" applyProtection="0"/>
    <xf numFmtId="0" fontId="3" fillId="0" borderId="1"/>
    <xf numFmtId="164" fontId="3" fillId="0" borderId="1"/>
    <xf numFmtId="164" fontId="3" fillId="0" borderId="1"/>
    <xf numFmtId="0" fontId="3" fillId="21" borderId="1" applyNumberFormat="0" applyBorder="0" applyAlignment="0" applyProtection="0"/>
    <xf numFmtId="164" fontId="33" fillId="0" borderId="1"/>
    <xf numFmtId="164" fontId="3" fillId="0" borderId="1"/>
    <xf numFmtId="164" fontId="3" fillId="0" borderId="1"/>
    <xf numFmtId="0" fontId="3" fillId="0" borderId="1"/>
    <xf numFmtId="164" fontId="3" fillId="0" borderId="1"/>
    <xf numFmtId="164" fontId="3" fillId="0" borderId="1"/>
    <xf numFmtId="0" fontId="3" fillId="15" borderId="1" applyNumberFormat="0" applyBorder="0" applyAlignment="0" applyProtection="0"/>
    <xf numFmtId="164" fontId="3" fillId="0" borderId="1"/>
    <xf numFmtId="164" fontId="3" fillId="0" borderId="1"/>
    <xf numFmtId="164" fontId="3" fillId="0" borderId="1"/>
    <xf numFmtId="0" fontId="3" fillId="21" borderId="1" applyNumberFormat="0" applyBorder="0" applyAlignment="0" applyProtection="0"/>
    <xf numFmtId="0" fontId="3" fillId="24" borderId="1" applyNumberFormat="0" applyBorder="0" applyAlignment="0" applyProtection="0"/>
    <xf numFmtId="0" fontId="3" fillId="0" borderId="1"/>
    <xf numFmtId="0" fontId="3" fillId="15" borderId="1" applyNumberFormat="0" applyBorder="0" applyAlignment="0" applyProtection="0"/>
    <xf numFmtId="164" fontId="3" fillId="0" borderId="1"/>
    <xf numFmtId="164" fontId="3" fillId="0" borderId="1"/>
    <xf numFmtId="164" fontId="3" fillId="0" borderId="1"/>
    <xf numFmtId="164" fontId="3" fillId="0" borderId="1"/>
    <xf numFmtId="0" fontId="3" fillId="21" borderId="1" applyNumberFormat="0" applyBorder="0" applyAlignment="0" applyProtection="0"/>
    <xf numFmtId="164" fontId="3" fillId="0" borderId="1"/>
    <xf numFmtId="0" fontId="3" fillId="0" borderId="1"/>
    <xf numFmtId="0" fontId="3" fillId="0" borderId="1"/>
    <xf numFmtId="0" fontId="3" fillId="15" borderId="1" applyNumberFormat="0" applyBorder="0" applyAlignment="0" applyProtection="0"/>
    <xf numFmtId="0" fontId="3" fillId="0" borderId="1"/>
    <xf numFmtId="164" fontId="3" fillId="0" borderId="1"/>
    <xf numFmtId="0" fontId="3" fillId="0" borderId="1"/>
    <xf numFmtId="0" fontId="3" fillId="0" borderId="1"/>
    <xf numFmtId="164" fontId="3" fillId="0" borderId="1"/>
    <xf numFmtId="0" fontId="3" fillId="15" borderId="1" applyNumberFormat="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0" fontId="3" fillId="21" borderId="1" applyNumberFormat="0" applyBorder="0" applyAlignment="0" applyProtection="0"/>
    <xf numFmtId="0" fontId="3" fillId="0" borderId="1"/>
    <xf numFmtId="0" fontId="3" fillId="0" borderId="1"/>
    <xf numFmtId="0" fontId="3" fillId="15" borderId="1" applyNumberFormat="0" applyBorder="0" applyAlignment="0" applyProtection="0"/>
    <xf numFmtId="164" fontId="3" fillId="0" borderId="1"/>
    <xf numFmtId="164" fontId="3" fillId="0" borderId="1"/>
    <xf numFmtId="0" fontId="3" fillId="0" borderId="1"/>
    <xf numFmtId="164" fontId="3" fillId="0" borderId="1"/>
    <xf numFmtId="0" fontId="3" fillId="24" borderId="1" applyNumberFormat="0" applyBorder="0" applyAlignment="0" applyProtection="0"/>
    <xf numFmtId="0" fontId="3" fillId="15" borderId="1" applyNumberFormat="0" applyBorder="0" applyAlignment="0" applyProtection="0"/>
    <xf numFmtId="0" fontId="3" fillId="0" borderId="1"/>
    <xf numFmtId="164" fontId="3" fillId="0" borderId="1"/>
    <xf numFmtId="164" fontId="3" fillId="0" borderId="1"/>
    <xf numFmtId="0" fontId="3" fillId="21" borderId="1" applyNumberFormat="0" applyBorder="0" applyAlignment="0" applyProtection="0"/>
    <xf numFmtId="0" fontId="3" fillId="0" borderId="1"/>
    <xf numFmtId="0" fontId="3" fillId="24" borderId="1" applyNumberFormat="0" applyBorder="0" applyAlignment="0" applyProtection="0"/>
    <xf numFmtId="0" fontId="3" fillId="0" borderId="1"/>
    <xf numFmtId="164" fontId="3" fillId="0" borderId="1"/>
    <xf numFmtId="0" fontId="3" fillId="0" borderId="1"/>
    <xf numFmtId="0" fontId="3" fillId="15" borderId="1" applyNumberFormat="0" applyBorder="0" applyAlignment="0" applyProtection="0"/>
    <xf numFmtId="0" fontId="3" fillId="24" borderId="1" applyNumberFormat="0" applyBorder="0" applyAlignment="0" applyProtection="0"/>
    <xf numFmtId="0" fontId="3" fillId="15" borderId="1" applyNumberFormat="0" applyBorder="0" applyAlignment="0" applyProtection="0"/>
    <xf numFmtId="0" fontId="3" fillId="0" borderId="1"/>
    <xf numFmtId="164" fontId="3" fillId="0" borderId="1"/>
    <xf numFmtId="164" fontId="3" fillId="0" borderId="1"/>
    <xf numFmtId="0" fontId="3" fillId="15" borderId="1" applyNumberFormat="0" applyBorder="0" applyAlignment="0" applyProtection="0"/>
    <xf numFmtId="164" fontId="3" fillId="0" borderId="1"/>
    <xf numFmtId="0" fontId="3" fillId="15" borderId="1" applyNumberFormat="0" applyBorder="0" applyAlignment="0" applyProtection="0"/>
    <xf numFmtId="0" fontId="3" fillId="16" borderId="1" applyNumberFormat="0" applyBorder="0" applyAlignment="0" applyProtection="0"/>
    <xf numFmtId="0" fontId="3" fillId="15" borderId="1" applyNumberFormat="0" applyBorder="0" applyAlignment="0" applyProtection="0"/>
    <xf numFmtId="0" fontId="3" fillId="15" borderId="1" applyNumberFormat="0" applyBorder="0" applyAlignment="0" applyProtection="0"/>
    <xf numFmtId="0" fontId="3" fillId="15" borderId="1" applyNumberFormat="0" applyBorder="0" applyAlignment="0" applyProtection="0"/>
    <xf numFmtId="164" fontId="3" fillId="0" borderId="1"/>
    <xf numFmtId="164" fontId="3" fillId="0" borderId="1"/>
    <xf numFmtId="164" fontId="3" fillId="0" borderId="1"/>
    <xf numFmtId="0" fontId="3" fillId="15" borderId="1" applyNumberFormat="0" applyBorder="0" applyAlignment="0" applyProtection="0"/>
    <xf numFmtId="164" fontId="3" fillId="0" borderId="1"/>
    <xf numFmtId="0" fontId="3" fillId="15" borderId="1" applyNumberFormat="0" applyBorder="0" applyAlignment="0" applyProtection="0"/>
    <xf numFmtId="0" fontId="3" fillId="0" borderId="1"/>
    <xf numFmtId="0" fontId="3" fillId="0" borderId="1"/>
    <xf numFmtId="0" fontId="3" fillId="15" borderId="1" applyNumberFormat="0" applyBorder="0" applyAlignment="0" applyProtection="0"/>
    <xf numFmtId="164" fontId="3" fillId="0" borderId="1"/>
    <xf numFmtId="0" fontId="3" fillId="15"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15" borderId="1" applyNumberFormat="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0" fontId="3" fillId="15" borderId="1" applyNumberFormat="0" applyBorder="0" applyAlignment="0" applyProtection="0"/>
    <xf numFmtId="164" fontId="3" fillId="0" borderId="1"/>
    <xf numFmtId="44" fontId="3" fillId="0" borderId="1" applyFont="0" applyFill="0" applyBorder="0" applyAlignment="0" applyProtection="0"/>
    <xf numFmtId="0" fontId="3" fillId="0" borderId="1"/>
    <xf numFmtId="164" fontId="3" fillId="0" borderId="1"/>
    <xf numFmtId="0" fontId="3" fillId="15" borderId="1" applyNumberFormat="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15" borderId="1" applyNumberFormat="0" applyBorder="0" applyAlignment="0" applyProtection="0"/>
    <xf numFmtId="44" fontId="3" fillId="0" borderId="1" applyFont="0" applyFill="0" applyBorder="0" applyAlignment="0" applyProtection="0"/>
    <xf numFmtId="0" fontId="3" fillId="0" borderId="1"/>
    <xf numFmtId="0" fontId="3" fillId="15"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25" borderId="1" applyNumberFormat="0" applyBorder="0" applyAlignment="0" applyProtection="0"/>
    <xf numFmtId="0" fontId="3" fillId="0" borderId="1"/>
    <xf numFmtId="0" fontId="3" fillId="0" borderId="1"/>
    <xf numFmtId="0" fontId="3" fillId="15" borderId="1" applyNumberFormat="0" applyBorder="0" applyAlignment="0" applyProtection="0"/>
    <xf numFmtId="0" fontId="3" fillId="25" borderId="1" applyNumberFormat="0" applyBorder="0" applyAlignment="0" applyProtection="0"/>
    <xf numFmtId="0" fontId="3" fillId="15" borderId="1" applyNumberFormat="0" applyBorder="0" applyAlignment="0" applyProtection="0"/>
    <xf numFmtId="164" fontId="3" fillId="0" borderId="1"/>
    <xf numFmtId="0" fontId="3" fillId="0" borderId="1"/>
    <xf numFmtId="0" fontId="3" fillId="15" borderId="1" applyNumberFormat="0" applyBorder="0" applyAlignment="0" applyProtection="0"/>
    <xf numFmtId="0" fontId="3" fillId="15" borderId="1" applyNumberFormat="0" applyBorder="0" applyAlignment="0" applyProtection="0"/>
    <xf numFmtId="0" fontId="3" fillId="0" borderId="1"/>
    <xf numFmtId="0" fontId="3" fillId="0" borderId="1"/>
    <xf numFmtId="0" fontId="3" fillId="15" borderId="1" applyNumberFormat="0" applyBorder="0" applyAlignment="0" applyProtection="0"/>
    <xf numFmtId="0" fontId="3" fillId="15" borderId="1" applyNumberFormat="0" applyBorder="0" applyAlignment="0" applyProtection="0"/>
    <xf numFmtId="0" fontId="3" fillId="0" borderId="1"/>
    <xf numFmtId="0" fontId="3" fillId="15" borderId="1" applyNumberFormat="0" applyBorder="0" applyAlignment="0" applyProtection="0"/>
    <xf numFmtId="164" fontId="3" fillId="0" borderId="1"/>
    <xf numFmtId="0" fontId="3" fillId="0" borderId="1"/>
    <xf numFmtId="0" fontId="3" fillId="15" borderId="1" applyNumberFormat="0" applyBorder="0" applyAlignment="0" applyProtection="0"/>
    <xf numFmtId="44" fontId="3" fillId="0" borderId="1" applyFont="0" applyFill="0" applyBorder="0" applyAlignment="0" applyProtection="0"/>
    <xf numFmtId="164" fontId="3" fillId="0" borderId="1"/>
    <xf numFmtId="0" fontId="3" fillId="15" borderId="1" applyNumberFormat="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164" fontId="3" fillId="0" borderId="1"/>
    <xf numFmtId="0" fontId="3" fillId="15" borderId="1" applyNumberFormat="0" applyBorder="0" applyAlignment="0" applyProtection="0"/>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44" fontId="3" fillId="0" borderId="1" applyFont="0" applyFill="0" applyBorder="0" applyAlignment="0" applyProtection="0"/>
    <xf numFmtId="0" fontId="3" fillId="15"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15" borderId="1" applyNumberFormat="0" applyBorder="0" applyAlignment="0" applyProtection="0"/>
    <xf numFmtId="0" fontId="3" fillId="0" borderId="1"/>
    <xf numFmtId="164" fontId="3" fillId="0" borderId="1"/>
    <xf numFmtId="0" fontId="3" fillId="0" borderId="1"/>
    <xf numFmtId="44" fontId="3" fillId="0" borderId="1" applyFont="0" applyFill="0" applyBorder="0" applyAlignment="0" applyProtection="0"/>
    <xf numFmtId="0" fontId="3" fillId="15" borderId="1" applyNumberFormat="0" applyBorder="0" applyAlignment="0" applyProtection="0"/>
    <xf numFmtId="164" fontId="3" fillId="0" borderId="1"/>
    <xf numFmtId="0" fontId="3" fillId="15" borderId="1" applyNumberFormat="0" applyBorder="0" applyAlignment="0" applyProtection="0"/>
    <xf numFmtId="164" fontId="3" fillId="0" borderId="1"/>
    <xf numFmtId="0" fontId="3" fillId="15" borderId="1" applyNumberFormat="0" applyBorder="0" applyAlignment="0" applyProtection="0"/>
    <xf numFmtId="164" fontId="3" fillId="0" borderId="1"/>
    <xf numFmtId="0" fontId="3" fillId="0" borderId="1"/>
    <xf numFmtId="0" fontId="3" fillId="0" borderId="1"/>
    <xf numFmtId="164" fontId="3" fillId="0" borderId="1"/>
    <xf numFmtId="44" fontId="3" fillId="0" borderId="1" applyFont="0" applyFill="0" applyBorder="0" applyAlignment="0" applyProtection="0"/>
    <xf numFmtId="164" fontId="3" fillId="0" borderId="1"/>
    <xf numFmtId="0" fontId="3" fillId="15" borderId="1" applyNumberFormat="0" applyBorder="0" applyAlignment="0" applyProtection="0"/>
    <xf numFmtId="164" fontId="3" fillId="0" borderId="1"/>
    <xf numFmtId="0" fontId="3" fillId="15" borderId="1" applyNumberFormat="0" applyBorder="0" applyAlignment="0" applyProtection="0"/>
    <xf numFmtId="0" fontId="3" fillId="15" borderId="1" applyNumberFormat="0" applyBorder="0" applyAlignment="0" applyProtection="0"/>
    <xf numFmtId="0" fontId="3" fillId="0" borderId="1"/>
    <xf numFmtId="0" fontId="3" fillId="0" borderId="1"/>
    <xf numFmtId="0" fontId="3" fillId="15" borderId="1" applyNumberFormat="0" applyBorder="0" applyAlignment="0" applyProtection="0"/>
    <xf numFmtId="44" fontId="3" fillId="0" borderId="1" applyFont="0" applyFill="0" applyBorder="0" applyAlignment="0" applyProtection="0"/>
    <xf numFmtId="0" fontId="3" fillId="15" borderId="1" applyNumberFormat="0" applyBorder="0" applyAlignment="0" applyProtection="0"/>
    <xf numFmtId="0" fontId="3" fillId="15" borderId="1" applyNumberFormat="0" applyBorder="0" applyAlignment="0" applyProtection="0"/>
    <xf numFmtId="0" fontId="3" fillId="0" borderId="1"/>
    <xf numFmtId="0" fontId="3" fillId="0" borderId="1"/>
    <xf numFmtId="0"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15"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15" borderId="1" applyNumberFormat="0" applyBorder="0" applyAlignment="0" applyProtection="0"/>
    <xf numFmtId="0" fontId="3" fillId="0" borderId="1"/>
    <xf numFmtId="0" fontId="3" fillId="0" borderId="1"/>
    <xf numFmtId="0"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15" borderId="1" applyNumberFormat="0" applyBorder="0" applyAlignment="0" applyProtection="0"/>
    <xf numFmtId="0" fontId="3" fillId="15" borderId="1" applyNumberFormat="0" applyBorder="0" applyAlignment="0" applyProtection="0"/>
    <xf numFmtId="0" fontId="3" fillId="0" borderId="1"/>
    <xf numFmtId="164" fontId="3" fillId="0" borderId="1"/>
    <xf numFmtId="0" fontId="3" fillId="0" borderId="1"/>
    <xf numFmtId="164" fontId="3" fillId="0" borderId="1"/>
    <xf numFmtId="44" fontId="3" fillId="0" borderId="1" applyFont="0" applyFill="0" applyBorder="0" applyAlignment="0" applyProtection="0"/>
    <xf numFmtId="164" fontId="3" fillId="0" borderId="1"/>
    <xf numFmtId="164" fontId="3" fillId="0" borderId="1"/>
    <xf numFmtId="0" fontId="3" fillId="15" borderId="1" applyNumberFormat="0" applyBorder="0" applyAlignment="0" applyProtection="0"/>
    <xf numFmtId="164" fontId="3" fillId="0" borderId="1"/>
    <xf numFmtId="164" fontId="3" fillId="0" borderId="1"/>
    <xf numFmtId="0" fontId="3" fillId="15" borderId="1" applyNumberFormat="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164" fontId="3" fillId="0" borderId="1"/>
    <xf numFmtId="164" fontId="3" fillId="0" borderId="1"/>
    <xf numFmtId="0" fontId="3" fillId="15" borderId="1" applyNumberFormat="0" applyBorder="0" applyAlignment="0" applyProtection="0"/>
    <xf numFmtId="164" fontId="3" fillId="0" borderId="1"/>
    <xf numFmtId="0" fontId="3" fillId="15" borderId="1" applyNumberFormat="0" applyBorder="0" applyAlignment="0" applyProtection="0"/>
    <xf numFmtId="164" fontId="3" fillId="0" borderId="1"/>
    <xf numFmtId="164" fontId="3" fillId="0" borderId="1"/>
    <xf numFmtId="0" fontId="3" fillId="15" borderId="1" applyNumberFormat="0" applyBorder="0" applyAlignment="0" applyProtection="0"/>
    <xf numFmtId="164" fontId="3" fillId="0" borderId="1"/>
    <xf numFmtId="0" fontId="3" fillId="15" borderId="1" applyNumberFormat="0" applyBorder="0" applyAlignment="0" applyProtection="0"/>
    <xf numFmtId="0" fontId="3" fillId="15" borderId="1" applyNumberFormat="0" applyBorder="0" applyAlignment="0" applyProtection="0"/>
    <xf numFmtId="0" fontId="3" fillId="15" borderId="1" applyNumberFormat="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15" borderId="1" applyNumberFormat="0" applyBorder="0" applyAlignment="0" applyProtection="0"/>
    <xf numFmtId="0" fontId="3" fillId="25" borderId="1" applyNumberFormat="0" applyBorder="0" applyAlignment="0" applyProtection="0"/>
    <xf numFmtId="0" fontId="3" fillId="15" borderId="1" applyNumberFormat="0" applyBorder="0" applyAlignment="0" applyProtection="0"/>
    <xf numFmtId="0" fontId="3" fillId="0" borderId="1"/>
    <xf numFmtId="0" fontId="3" fillId="24" borderId="1" applyNumberFormat="0" applyBorder="0" applyAlignment="0" applyProtection="0"/>
    <xf numFmtId="0" fontId="3" fillId="15" borderId="1" applyNumberFormat="0" applyBorder="0" applyAlignment="0" applyProtection="0"/>
    <xf numFmtId="164" fontId="3" fillId="0" borderId="1"/>
    <xf numFmtId="0" fontId="3" fillId="0" borderId="1"/>
    <xf numFmtId="44" fontId="3" fillId="0" borderId="1" applyFont="0" applyFill="0" applyBorder="0" applyAlignment="0" applyProtection="0"/>
    <xf numFmtId="0" fontId="3" fillId="0" borderId="1"/>
    <xf numFmtId="164" fontId="3" fillId="0" borderId="1"/>
    <xf numFmtId="9" fontId="3" fillId="0" borderId="1" applyFont="0" applyFill="0" applyBorder="0" applyAlignment="0" applyProtection="0"/>
    <xf numFmtId="0" fontId="3" fillId="0" borderId="1"/>
    <xf numFmtId="0" fontId="3" fillId="15" borderId="1" applyNumberFormat="0" applyBorder="0" applyAlignment="0" applyProtection="0"/>
    <xf numFmtId="0" fontId="3" fillId="0" borderId="1"/>
    <xf numFmtId="0" fontId="3" fillId="0" borderId="1"/>
    <xf numFmtId="0" fontId="3" fillId="0" borderId="1"/>
    <xf numFmtId="0" fontId="3" fillId="24" borderId="1" applyNumberFormat="0" applyBorder="0" applyAlignment="0" applyProtection="0"/>
    <xf numFmtId="164" fontId="33" fillId="0" borderId="1" applyFill="0" applyBorder="0" applyAlignment="0" applyProtection="0"/>
    <xf numFmtId="0" fontId="3" fillId="15" borderId="1" applyNumberFormat="0" applyBorder="0" applyAlignment="0" applyProtection="0"/>
    <xf numFmtId="164" fontId="3" fillId="0" borderId="1"/>
    <xf numFmtId="0" fontId="3" fillId="0" borderId="1"/>
    <xf numFmtId="0" fontId="3" fillId="0" borderId="1"/>
    <xf numFmtId="0" fontId="3" fillId="21" borderId="1" applyNumberFormat="0" applyBorder="0" applyAlignment="0" applyProtection="0"/>
    <xf numFmtId="164" fontId="3" fillId="0" borderId="1"/>
    <xf numFmtId="0" fontId="3" fillId="25" borderId="1" applyNumberFormat="0" applyBorder="0" applyAlignment="0" applyProtection="0"/>
    <xf numFmtId="164" fontId="3" fillId="0" borderId="1"/>
    <xf numFmtId="0" fontId="3" fillId="25" borderId="1" applyNumberFormat="0" applyBorder="0" applyAlignment="0" applyProtection="0"/>
    <xf numFmtId="0" fontId="3" fillId="15" borderId="1" applyNumberFormat="0" applyBorder="0" applyAlignment="0" applyProtection="0"/>
    <xf numFmtId="0" fontId="3" fillId="21" borderId="1" applyNumberFormat="0" applyBorder="0" applyAlignment="0" applyProtection="0"/>
    <xf numFmtId="0" fontId="3" fillId="24" borderId="1" applyNumberFormat="0" applyBorder="0" applyAlignment="0" applyProtection="0"/>
    <xf numFmtId="164" fontId="33" fillId="0" borderId="1" applyFont="0" applyFill="0" applyBorder="0" applyAlignment="0" applyProtection="0"/>
    <xf numFmtId="0" fontId="3" fillId="24" borderId="1" applyNumberFormat="0" applyBorder="0" applyAlignment="0" applyProtection="0"/>
    <xf numFmtId="0" fontId="3" fillId="0" borderId="1"/>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15" borderId="1" applyNumberFormat="0" applyBorder="0" applyAlignment="0" applyProtection="0"/>
    <xf numFmtId="164" fontId="3" fillId="0" borderId="1"/>
    <xf numFmtId="0" fontId="3" fillId="0" borderId="1"/>
    <xf numFmtId="164" fontId="3" fillId="0" borderId="1"/>
    <xf numFmtId="0" fontId="3" fillId="21" borderId="1" applyNumberFormat="0" applyBorder="0" applyAlignment="0" applyProtection="0"/>
    <xf numFmtId="164" fontId="3" fillId="0" borderId="1"/>
    <xf numFmtId="0" fontId="3" fillId="0" borderId="1"/>
    <xf numFmtId="0" fontId="3" fillId="15" borderId="1" applyNumberFormat="0" applyBorder="0" applyAlignment="0" applyProtection="0"/>
    <xf numFmtId="164" fontId="3" fillId="0" borderId="1"/>
    <xf numFmtId="0" fontId="3" fillId="21" borderId="1" applyNumberFormat="0" applyBorder="0" applyAlignment="0" applyProtection="0"/>
    <xf numFmtId="44" fontId="3" fillId="0" borderId="1" applyFont="0" applyFill="0" applyBorder="0" applyAlignment="0" applyProtection="0"/>
    <xf numFmtId="164" fontId="3" fillId="0" borderId="1"/>
    <xf numFmtId="0" fontId="3" fillId="15" borderId="1" applyNumberFormat="0" applyBorder="0" applyAlignment="0" applyProtection="0"/>
    <xf numFmtId="0" fontId="3" fillId="0" borderId="1"/>
    <xf numFmtId="0" fontId="3" fillId="0" borderId="1"/>
    <xf numFmtId="0" fontId="3" fillId="21" borderId="1" applyNumberFormat="0" applyBorder="0" applyAlignment="0" applyProtection="0"/>
    <xf numFmtId="0" fontId="3" fillId="15"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0" fontId="3" fillId="15" borderId="1" applyNumberFormat="0" applyBorder="0" applyAlignment="0" applyProtection="0"/>
    <xf numFmtId="0" fontId="3" fillId="24" borderId="1" applyNumberFormat="0" applyBorder="0" applyAlignment="0" applyProtection="0"/>
    <xf numFmtId="0" fontId="3" fillId="5" borderId="1" applyNumberFormat="0" applyBorder="0" applyAlignment="0" applyProtection="0"/>
    <xf numFmtId="0" fontId="3" fillId="0" borderId="1"/>
    <xf numFmtId="164" fontId="3" fillId="0" borderId="1"/>
    <xf numFmtId="164" fontId="3" fillId="0" borderId="1"/>
    <xf numFmtId="0" fontId="3" fillId="0" borderId="1"/>
    <xf numFmtId="0" fontId="3" fillId="15" borderId="1" applyNumberFormat="0" applyBorder="0" applyAlignment="0" applyProtection="0"/>
    <xf numFmtId="43" fontId="3" fillId="0" borderId="1" applyFont="0" applyFill="0" applyBorder="0" applyAlignment="0" applyProtection="0"/>
    <xf numFmtId="164" fontId="3" fillId="0" borderId="1"/>
    <xf numFmtId="0" fontId="3" fillId="0" borderId="1"/>
    <xf numFmtId="0" fontId="3" fillId="16" borderId="1" applyNumberFormat="0" applyBorder="0" applyAlignment="0" applyProtection="0"/>
    <xf numFmtId="0" fontId="3" fillId="21" borderId="1" applyNumberFormat="0" applyBorder="0" applyAlignment="0" applyProtection="0"/>
    <xf numFmtId="0" fontId="3" fillId="0" borderId="1"/>
    <xf numFmtId="0" fontId="3" fillId="0" borderId="1"/>
    <xf numFmtId="0" fontId="3" fillId="21" borderId="1" applyNumberFormat="0" applyBorder="0" applyAlignment="0" applyProtection="0"/>
    <xf numFmtId="0" fontId="3" fillId="16" borderId="1" applyNumberFormat="0" applyBorder="0" applyAlignment="0" applyProtection="0"/>
    <xf numFmtId="0" fontId="3" fillId="21" borderId="1" applyNumberFormat="0" applyBorder="0" applyAlignment="0" applyProtection="0"/>
    <xf numFmtId="0" fontId="3" fillId="15" borderId="1" applyNumberFormat="0" applyBorder="0" applyAlignment="0" applyProtection="0"/>
    <xf numFmtId="0" fontId="3" fillId="21" borderId="1" applyNumberFormat="0" applyBorder="0" applyAlignment="0" applyProtection="0"/>
    <xf numFmtId="0" fontId="3" fillId="15" borderId="1" applyNumberFormat="0" applyBorder="0" applyAlignment="0" applyProtection="0"/>
    <xf numFmtId="0" fontId="3" fillId="21" borderId="1" applyNumberFormat="0" applyBorder="0" applyAlignment="0" applyProtection="0"/>
    <xf numFmtId="0" fontId="3" fillId="15" borderId="1" applyNumberFormat="0" applyBorder="0" applyAlignment="0" applyProtection="0"/>
    <xf numFmtId="0" fontId="3" fillId="21" borderId="1" applyNumberFormat="0" applyBorder="0" applyAlignment="0" applyProtection="0"/>
    <xf numFmtId="44" fontId="3" fillId="0" borderId="1" applyFont="0" applyFill="0" applyBorder="0" applyAlignment="0" applyProtection="0"/>
    <xf numFmtId="0" fontId="3" fillId="15" borderId="1" applyNumberFormat="0" applyBorder="0" applyAlignment="0" applyProtection="0"/>
    <xf numFmtId="0" fontId="34" fillId="39" borderId="1" applyNumberFormat="0" applyBorder="0" applyAlignment="0" applyProtection="0"/>
    <xf numFmtId="0" fontId="3" fillId="0" borderId="1"/>
    <xf numFmtId="0" fontId="3" fillId="0" borderId="1"/>
    <xf numFmtId="0" fontId="34" fillId="39" borderId="1" applyNumberFormat="0" applyBorder="0" applyAlignment="0" applyProtection="0"/>
    <xf numFmtId="44" fontId="3" fillId="0" borderId="1" applyFont="0" applyFill="0" applyBorder="0" applyAlignment="0" applyProtection="0"/>
    <xf numFmtId="0" fontId="3" fillId="0" borderId="1"/>
    <xf numFmtId="0" fontId="3" fillId="25" borderId="1" applyNumberFormat="0" applyBorder="0" applyAlignment="0" applyProtection="0"/>
    <xf numFmtId="0" fontId="3" fillId="25" borderId="1" applyNumberFormat="0" applyBorder="0" applyAlignment="0" applyProtection="0"/>
    <xf numFmtId="0" fontId="3" fillId="0" borderId="1"/>
    <xf numFmtId="164" fontId="3" fillId="0" borderId="1"/>
    <xf numFmtId="164" fontId="3" fillId="0" borderId="1"/>
    <xf numFmtId="0" fontId="3" fillId="25" borderId="1" applyNumberFormat="0" applyBorder="0" applyAlignment="0" applyProtection="0"/>
    <xf numFmtId="164" fontId="3" fillId="0" borderId="1"/>
    <xf numFmtId="164" fontId="3" fillId="0" borderId="1"/>
    <xf numFmtId="0" fontId="3" fillId="25" borderId="1" applyNumberFormat="0" applyBorder="0" applyAlignment="0" applyProtection="0"/>
    <xf numFmtId="44" fontId="3" fillId="0" borderId="1" applyFont="0" applyFill="0" applyBorder="0" applyAlignment="0" applyProtection="0"/>
    <xf numFmtId="0" fontId="3" fillId="0" borderId="1"/>
    <xf numFmtId="0" fontId="3" fillId="25"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0" fontId="3" fillId="25" borderId="1" applyNumberFormat="0" applyBorder="0" applyAlignment="0" applyProtection="0"/>
    <xf numFmtId="164" fontId="3" fillId="0" borderId="1"/>
    <xf numFmtId="164" fontId="3" fillId="0" borderId="1"/>
    <xf numFmtId="0" fontId="3" fillId="5" borderId="1" applyNumberFormat="0" applyBorder="0" applyAlignment="0" applyProtection="0"/>
    <xf numFmtId="0" fontId="3" fillId="0" borderId="1"/>
    <xf numFmtId="164" fontId="3" fillId="0" borderId="1"/>
    <xf numFmtId="164" fontId="3" fillId="0" borderId="1"/>
    <xf numFmtId="0" fontId="3" fillId="21"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0" borderId="1"/>
    <xf numFmtId="0" fontId="3" fillId="25" borderId="1" applyNumberFormat="0" applyBorder="0" applyAlignment="0" applyProtection="0"/>
    <xf numFmtId="164" fontId="3" fillId="0" borderId="1"/>
    <xf numFmtId="0" fontId="3" fillId="16" borderId="1" applyNumberFormat="0" applyBorder="0" applyAlignment="0" applyProtection="0"/>
    <xf numFmtId="0" fontId="3" fillId="25" borderId="1" applyNumberFormat="0" applyBorder="0" applyAlignment="0" applyProtection="0"/>
    <xf numFmtId="164" fontId="3" fillId="0" borderId="1"/>
    <xf numFmtId="0" fontId="3" fillId="16"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16"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0" fontId="3" fillId="0" borderId="1"/>
    <xf numFmtId="0" fontId="3" fillId="21" borderId="1" applyNumberFormat="0" applyBorder="0" applyAlignment="0" applyProtection="0"/>
    <xf numFmtId="164" fontId="3" fillId="0" borderId="1"/>
    <xf numFmtId="164" fontId="3" fillId="0" borderId="1"/>
    <xf numFmtId="0" fontId="3" fillId="25"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0" borderId="1"/>
    <xf numFmtId="0" fontId="3" fillId="0" borderId="1"/>
    <xf numFmtId="0" fontId="3" fillId="16"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0" fontId="3" fillId="0" borderId="1"/>
    <xf numFmtId="0" fontId="3" fillId="21"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0" fontId="3" fillId="25" borderId="1" applyNumberFormat="0" applyBorder="0" applyAlignment="0" applyProtection="0"/>
    <xf numFmtId="164" fontId="3" fillId="0" borderId="1"/>
    <xf numFmtId="164" fontId="3" fillId="0" borderId="1"/>
    <xf numFmtId="0" fontId="3" fillId="16"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16" borderId="1" applyNumberFormat="0" applyBorder="0" applyAlignment="0" applyProtection="0"/>
    <xf numFmtId="0" fontId="3" fillId="25" borderId="1" applyNumberFormat="0" applyBorder="0" applyAlignment="0" applyProtection="0"/>
    <xf numFmtId="0" fontId="3" fillId="0" borderId="1"/>
    <xf numFmtId="0" fontId="3" fillId="0" borderId="1"/>
    <xf numFmtId="0" fontId="3" fillId="16"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164" fontId="3" fillId="0" borderId="1"/>
    <xf numFmtId="164" fontId="3" fillId="0" borderId="1"/>
    <xf numFmtId="0" fontId="3" fillId="16"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6"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25" borderId="1" applyNumberFormat="0" applyBorder="0" applyAlignment="0" applyProtection="0"/>
    <xf numFmtId="0" fontId="3" fillId="0" borderId="1"/>
    <xf numFmtId="0" fontId="3" fillId="16" borderId="1" applyNumberFormat="0" applyBorder="0" applyAlignment="0" applyProtection="0"/>
    <xf numFmtId="0" fontId="3" fillId="0" borderId="1"/>
    <xf numFmtId="0" fontId="3" fillId="16"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164" fontId="3" fillId="0" borderId="1"/>
    <xf numFmtId="0" fontId="3" fillId="16" borderId="1" applyNumberFormat="0" applyBorder="0" applyAlignment="0" applyProtection="0"/>
    <xf numFmtId="44" fontId="3" fillId="0" borderId="1" applyFont="0" applyFill="0" applyBorder="0" applyAlignment="0" applyProtection="0"/>
    <xf numFmtId="0" fontId="3" fillId="0" borderId="1"/>
    <xf numFmtId="0" fontId="3" fillId="16" borderId="1" applyNumberFormat="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24"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25" borderId="1" applyNumberFormat="0" applyBorder="0" applyAlignment="0" applyProtection="0"/>
    <xf numFmtId="0" fontId="3" fillId="24"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0" borderId="1"/>
    <xf numFmtId="44" fontId="3" fillId="0" borderId="1" applyFont="0" applyFill="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16" borderId="1" applyNumberFormat="0" applyBorder="0" applyAlignment="0" applyProtection="0"/>
    <xf numFmtId="0" fontId="3" fillId="25" borderId="1" applyNumberFormat="0" applyBorder="0" applyAlignment="0" applyProtection="0"/>
    <xf numFmtId="164" fontId="3" fillId="0" borderId="1"/>
    <xf numFmtId="164" fontId="3" fillId="0" borderId="1"/>
    <xf numFmtId="0" fontId="3" fillId="16"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16"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0" borderId="1"/>
    <xf numFmtId="44" fontId="3" fillId="0" borderId="1" applyFont="0" applyFill="0" applyBorder="0" applyAlignment="0" applyProtection="0"/>
    <xf numFmtId="0" fontId="3" fillId="21" borderId="1" applyNumberFormat="0" applyBorder="0" applyAlignment="0" applyProtection="0"/>
    <xf numFmtId="44" fontId="3" fillId="0" borderId="1" applyFont="0" applyFill="0" applyBorder="0" applyAlignment="0" applyProtection="0"/>
    <xf numFmtId="164" fontId="3" fillId="0" borderId="1"/>
    <xf numFmtId="0" fontId="3" fillId="25" borderId="1" applyNumberFormat="0" applyBorder="0" applyAlignment="0" applyProtection="0"/>
    <xf numFmtId="164" fontId="3" fillId="0" borderId="1"/>
    <xf numFmtId="0" fontId="3" fillId="25"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164" fontId="3" fillId="0" borderId="1"/>
    <xf numFmtId="0" fontId="3" fillId="25" borderId="1" applyNumberFormat="0" applyBorder="0" applyAlignment="0" applyProtection="0"/>
    <xf numFmtId="0" fontId="3" fillId="0" borderId="1"/>
    <xf numFmtId="0" fontId="3" fillId="25" borderId="1" applyNumberFormat="0" applyBorder="0" applyAlignment="0" applyProtection="0"/>
    <xf numFmtId="0" fontId="3" fillId="25" borderId="1" applyNumberFormat="0" applyBorder="0" applyAlignment="0" applyProtection="0"/>
    <xf numFmtId="0" fontId="3" fillId="0" borderId="1"/>
    <xf numFmtId="0" fontId="3" fillId="0" borderId="1"/>
    <xf numFmtId="0" fontId="34" fillId="39"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164" fontId="3" fillId="0" borderId="1"/>
    <xf numFmtId="0" fontId="3" fillId="24" borderId="1" applyNumberFormat="0" applyBorder="0" applyAlignment="0" applyProtection="0"/>
    <xf numFmtId="0" fontId="3" fillId="25" borderId="1" applyNumberFormat="0" applyBorder="0" applyAlignment="0" applyProtection="0"/>
    <xf numFmtId="0" fontId="3" fillId="0" borderId="1"/>
    <xf numFmtId="164" fontId="3" fillId="0" borderId="1"/>
    <xf numFmtId="43" fontId="34" fillId="0" borderId="1" applyFont="0" applyFill="0" applyBorder="0" applyAlignment="0" applyProtection="0"/>
    <xf numFmtId="164" fontId="3" fillId="0" borderId="1"/>
    <xf numFmtId="0" fontId="3" fillId="24" borderId="1" applyNumberFormat="0" applyBorder="0" applyAlignment="0" applyProtection="0"/>
    <xf numFmtId="164" fontId="3" fillId="0" borderId="1"/>
    <xf numFmtId="0" fontId="3" fillId="25" borderId="1" applyNumberFormat="0" applyBorder="0" applyAlignment="0" applyProtection="0"/>
    <xf numFmtId="164" fontId="3" fillId="0" borderId="1"/>
    <xf numFmtId="164" fontId="3" fillId="0" borderId="1"/>
    <xf numFmtId="164" fontId="3" fillId="0" borderId="1"/>
    <xf numFmtId="0" fontId="3" fillId="24" borderId="1" applyNumberFormat="0" applyBorder="0" applyAlignment="0" applyProtection="0"/>
    <xf numFmtId="0" fontId="3" fillId="25" borderId="1" applyNumberFormat="0" applyBorder="0" applyAlignment="0" applyProtection="0"/>
    <xf numFmtId="164" fontId="3" fillId="0" borderId="1"/>
    <xf numFmtId="0" fontId="3" fillId="24"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25" borderId="1" applyNumberFormat="0" applyBorder="0" applyAlignment="0" applyProtection="0"/>
    <xf numFmtId="0" fontId="3" fillId="23" borderId="25" applyNumberFormat="0" applyFont="0" applyAlignment="0" applyProtection="0"/>
    <xf numFmtId="44" fontId="3" fillId="0" borderId="1" applyFont="0" applyFill="0" applyBorder="0" applyAlignment="0" applyProtection="0"/>
    <xf numFmtId="164" fontId="3" fillId="0" borderId="1"/>
    <xf numFmtId="0" fontId="3" fillId="24" borderId="1" applyNumberFormat="0" applyBorder="0" applyAlignment="0" applyProtection="0"/>
    <xf numFmtId="0" fontId="3" fillId="25" borderId="1" applyNumberFormat="0" applyBorder="0" applyAlignment="0" applyProtection="0"/>
    <xf numFmtId="0" fontId="3" fillId="0" borderId="1"/>
    <xf numFmtId="0" fontId="3" fillId="0" borderId="1"/>
    <xf numFmtId="0" fontId="3" fillId="23" borderId="25" applyNumberFormat="0" applyFont="0" applyAlignment="0" applyProtection="0"/>
    <xf numFmtId="164" fontId="3" fillId="0" borderId="1"/>
    <xf numFmtId="0" fontId="3" fillId="21" borderId="1" applyNumberFormat="0" applyBorder="0" applyAlignment="0" applyProtection="0"/>
    <xf numFmtId="164" fontId="3" fillId="0" borderId="1"/>
    <xf numFmtId="0" fontId="3" fillId="24" borderId="1" applyNumberFormat="0" applyBorder="0" applyAlignment="0" applyProtection="0"/>
    <xf numFmtId="0" fontId="3" fillId="25" borderId="1" applyNumberFormat="0" applyBorder="0" applyAlignment="0" applyProtection="0"/>
    <xf numFmtId="164" fontId="3" fillId="0" borderId="1"/>
    <xf numFmtId="0" fontId="3" fillId="25" borderId="1" applyNumberFormat="0" applyBorder="0" applyAlignment="0" applyProtection="0"/>
    <xf numFmtId="0" fontId="3" fillId="25" borderId="1" applyNumberFormat="0" applyBorder="0" applyAlignment="0" applyProtection="0"/>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44" fontId="34" fillId="0" borderId="1" applyFont="0" applyFill="0" applyBorder="0" applyAlignment="0" applyProtection="0"/>
    <xf numFmtId="164" fontId="3" fillId="0" borderId="1"/>
    <xf numFmtId="164" fontId="3" fillId="0" borderId="1"/>
    <xf numFmtId="0" fontId="3" fillId="25" borderId="1" applyNumberFormat="0" applyBorder="0" applyAlignment="0" applyProtection="0"/>
    <xf numFmtId="164" fontId="3" fillId="0" borderId="1"/>
    <xf numFmtId="0" fontId="3" fillId="25" borderId="1" applyNumberFormat="0" applyBorder="0" applyAlignment="0" applyProtection="0"/>
    <xf numFmtId="164" fontId="3" fillId="0" borderId="1"/>
    <xf numFmtId="44" fontId="3" fillId="0" borderId="1" applyFont="0" applyFill="0" applyBorder="0" applyAlignment="0" applyProtection="0"/>
    <xf numFmtId="164" fontId="3" fillId="0" borderId="1"/>
    <xf numFmtId="0" fontId="3" fillId="25" borderId="1" applyNumberFormat="0" applyBorder="0" applyAlignment="0" applyProtection="0"/>
    <xf numFmtId="164" fontId="3" fillId="0" borderId="1"/>
    <xf numFmtId="164" fontId="3" fillId="0" borderId="1"/>
    <xf numFmtId="0" fontId="3" fillId="21" borderId="1" applyNumberFormat="0" applyBorder="0" applyAlignment="0" applyProtection="0"/>
    <xf numFmtId="164" fontId="3" fillId="0" borderId="1"/>
    <xf numFmtId="0" fontId="3" fillId="25" borderId="1" applyNumberFormat="0" applyBorder="0" applyAlignment="0" applyProtection="0"/>
    <xf numFmtId="0" fontId="3" fillId="0" borderId="1"/>
    <xf numFmtId="0" fontId="3" fillId="21" borderId="1" applyNumberFormat="0" applyBorder="0" applyAlignment="0" applyProtection="0"/>
    <xf numFmtId="164" fontId="3" fillId="0" borderId="1"/>
    <xf numFmtId="0" fontId="3" fillId="25" borderId="1" applyNumberFormat="0" applyBorder="0" applyAlignment="0" applyProtection="0"/>
    <xf numFmtId="164" fontId="3" fillId="0" borderId="1"/>
    <xf numFmtId="0" fontId="3" fillId="0" borderId="1"/>
    <xf numFmtId="0" fontId="3" fillId="21" borderId="1" applyNumberFormat="0" applyBorder="0" applyAlignment="0" applyProtection="0"/>
    <xf numFmtId="0" fontId="3" fillId="16" borderId="1" applyNumberFormat="0" applyBorder="0" applyAlignment="0" applyProtection="0"/>
    <xf numFmtId="164" fontId="3" fillId="0" borderId="1"/>
    <xf numFmtId="0" fontId="3" fillId="25" borderId="1" applyNumberFormat="0" applyBorder="0" applyAlignment="0" applyProtection="0"/>
    <xf numFmtId="164" fontId="3" fillId="0" borderId="1"/>
    <xf numFmtId="0" fontId="3" fillId="24" borderId="1" applyNumberFormat="0" applyBorder="0" applyAlignment="0" applyProtection="0"/>
    <xf numFmtId="164" fontId="3" fillId="0" borderId="1"/>
    <xf numFmtId="0" fontId="3" fillId="0" borderId="1"/>
    <xf numFmtId="0" fontId="3" fillId="21" borderId="1" applyNumberFormat="0" applyBorder="0" applyAlignment="0" applyProtection="0"/>
    <xf numFmtId="164" fontId="3" fillId="0" borderId="1"/>
    <xf numFmtId="0" fontId="3" fillId="25" borderId="1" applyNumberFormat="0" applyBorder="0" applyAlignment="0" applyProtection="0"/>
    <xf numFmtId="164" fontId="3" fillId="0" borderId="1"/>
    <xf numFmtId="0" fontId="3" fillId="21" borderId="1" applyNumberFormat="0" applyBorder="0" applyAlignment="0" applyProtection="0"/>
    <xf numFmtId="0" fontId="3" fillId="25" borderId="1" applyNumberFormat="0" applyBorder="0" applyAlignment="0" applyProtection="0"/>
    <xf numFmtId="0" fontId="3" fillId="0" borderId="1"/>
    <xf numFmtId="0" fontId="3" fillId="21" borderId="1" applyNumberFormat="0" applyBorder="0" applyAlignment="0" applyProtection="0"/>
    <xf numFmtId="164" fontId="3" fillId="0" borderId="1"/>
    <xf numFmtId="0" fontId="3" fillId="25" borderId="1" applyNumberFormat="0" applyBorder="0" applyAlignment="0" applyProtection="0"/>
    <xf numFmtId="164" fontId="3" fillId="0" borderId="1"/>
    <xf numFmtId="0" fontId="3" fillId="21" borderId="1" applyNumberFormat="0" applyBorder="0" applyAlignment="0" applyProtection="0"/>
    <xf numFmtId="0" fontId="3" fillId="25" borderId="1" applyNumberFormat="0" applyBorder="0" applyAlignment="0" applyProtection="0"/>
    <xf numFmtId="0" fontId="3" fillId="0" borderId="1"/>
    <xf numFmtId="0" fontId="3" fillId="21" borderId="1" applyNumberFormat="0" applyBorder="0" applyAlignment="0" applyProtection="0"/>
    <xf numFmtId="0" fontId="3" fillId="25" borderId="1" applyNumberFormat="0" applyBorder="0" applyAlignment="0" applyProtection="0"/>
    <xf numFmtId="164" fontId="3" fillId="0" borderId="1"/>
    <xf numFmtId="0" fontId="3" fillId="21" borderId="1" applyNumberFormat="0" applyBorder="0" applyAlignment="0" applyProtection="0"/>
    <xf numFmtId="0" fontId="3" fillId="25"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0" borderId="1"/>
    <xf numFmtId="164" fontId="3" fillId="0" borderId="1"/>
    <xf numFmtId="164" fontId="3" fillId="0" borderId="1"/>
    <xf numFmtId="164" fontId="3" fillId="0" borderId="1"/>
    <xf numFmtId="0" fontId="3" fillId="16" borderId="1" applyNumberFormat="0" applyBorder="0" applyAlignment="0" applyProtection="0"/>
    <xf numFmtId="164" fontId="3" fillId="0" borderId="1"/>
    <xf numFmtId="0" fontId="3" fillId="0" borderId="1"/>
    <xf numFmtId="164" fontId="3" fillId="0" borderId="1"/>
    <xf numFmtId="0" fontId="3" fillId="25" borderId="1" applyNumberFormat="0" applyBorder="0" applyAlignment="0" applyProtection="0"/>
    <xf numFmtId="164" fontId="3" fillId="0" borderId="1"/>
    <xf numFmtId="0" fontId="3" fillId="25"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23" borderId="25" applyNumberFormat="0" applyFont="0" applyAlignment="0" applyProtection="0"/>
    <xf numFmtId="164" fontId="3" fillId="0" borderId="1"/>
    <xf numFmtId="164" fontId="3" fillId="0" borderId="1"/>
    <xf numFmtId="44" fontId="3" fillId="0" borderId="1" applyFont="0" applyFill="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164" fontId="3" fillId="0" borderId="1"/>
    <xf numFmtId="0" fontId="3" fillId="25" borderId="1" applyNumberFormat="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25" borderId="1" applyNumberFormat="0" applyBorder="0" applyAlignment="0" applyProtection="0"/>
    <xf numFmtId="164" fontId="3" fillId="0" borderId="1"/>
    <xf numFmtId="0" fontId="3" fillId="25" borderId="1" applyNumberFormat="0" applyBorder="0" applyAlignment="0" applyProtection="0"/>
    <xf numFmtId="164" fontId="3" fillId="0" borderId="1"/>
    <xf numFmtId="164" fontId="3" fillId="0" borderId="1"/>
    <xf numFmtId="0" fontId="3" fillId="2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0" borderId="1"/>
    <xf numFmtId="0" fontId="3" fillId="5" borderId="1" applyNumberFormat="0" applyBorder="0" applyAlignment="0" applyProtection="0"/>
    <xf numFmtId="44" fontId="3" fillId="0" borderId="1" applyFont="0" applyFill="0" applyBorder="0" applyAlignment="0" applyProtection="0"/>
    <xf numFmtId="43" fontId="3" fillId="0" borderId="1" applyFont="0" applyFill="0" applyBorder="0" applyAlignment="0" applyProtection="0"/>
    <xf numFmtId="164" fontId="3" fillId="0" borderId="1"/>
    <xf numFmtId="0" fontId="3" fillId="0" borderId="1"/>
    <xf numFmtId="0" fontId="3" fillId="5" borderId="1" applyNumberFormat="0" applyBorder="0" applyAlignment="0" applyProtection="0"/>
    <xf numFmtId="164" fontId="3" fillId="0" borderId="1"/>
    <xf numFmtId="0" fontId="3" fillId="0" borderId="1"/>
    <xf numFmtId="0" fontId="3" fillId="0" borderId="1"/>
    <xf numFmtId="0" fontId="3" fillId="25" borderId="1" applyNumberFormat="0" applyBorder="0" applyAlignment="0" applyProtection="0"/>
    <xf numFmtId="0" fontId="3" fillId="0" borderId="1"/>
    <xf numFmtId="164" fontId="3" fillId="0" borderId="1"/>
    <xf numFmtId="0" fontId="3" fillId="5" borderId="1" applyNumberFormat="0" applyBorder="0" applyAlignment="0" applyProtection="0"/>
    <xf numFmtId="164" fontId="3" fillId="0" borderId="1"/>
    <xf numFmtId="0" fontId="3" fillId="0" borderId="1"/>
    <xf numFmtId="0" fontId="3" fillId="25" borderId="1" applyNumberFormat="0" applyBorder="0" applyAlignment="0" applyProtection="0"/>
    <xf numFmtId="0" fontId="3" fillId="21" borderId="1" applyNumberFormat="0" applyBorder="0" applyAlignment="0" applyProtection="0"/>
    <xf numFmtId="0" fontId="3" fillId="21" borderId="1" applyNumberFormat="0" applyBorder="0" applyAlignment="0" applyProtection="0"/>
    <xf numFmtId="0" fontId="3" fillId="5" borderId="1" applyNumberFormat="0" applyBorder="0" applyAlignment="0" applyProtection="0"/>
    <xf numFmtId="0" fontId="3" fillId="0" borderId="1"/>
    <xf numFmtId="0" fontId="3" fillId="25" borderId="1" applyNumberFormat="0" applyBorder="0" applyAlignment="0" applyProtection="0"/>
    <xf numFmtId="164" fontId="3" fillId="0" borderId="1"/>
    <xf numFmtId="0" fontId="3" fillId="0" borderId="1"/>
    <xf numFmtId="0" fontId="3" fillId="5" borderId="1" applyNumberFormat="0" applyBorder="0" applyAlignment="0" applyProtection="0"/>
    <xf numFmtId="164" fontId="3" fillId="0" borderId="1"/>
    <xf numFmtId="0" fontId="3" fillId="0" borderId="1"/>
    <xf numFmtId="0" fontId="3" fillId="0" borderId="1"/>
    <xf numFmtId="0" fontId="3" fillId="25" borderId="1" applyNumberFormat="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5" borderId="1" applyNumberFormat="0" applyBorder="0" applyAlignment="0" applyProtection="0"/>
    <xf numFmtId="0" fontId="3" fillId="0" borderId="1"/>
    <xf numFmtId="0" fontId="3" fillId="25" borderId="1" applyNumberFormat="0" applyBorder="0" applyAlignment="0" applyProtection="0"/>
    <xf numFmtId="164" fontId="3" fillId="0" borderId="1"/>
    <xf numFmtId="0" fontId="3" fillId="0" borderId="1"/>
    <xf numFmtId="0" fontId="3" fillId="5" borderId="1" applyNumberFormat="0" applyBorder="0" applyAlignment="0" applyProtection="0"/>
    <xf numFmtId="164" fontId="3" fillId="0" borderId="1"/>
    <xf numFmtId="0" fontId="3" fillId="25" borderId="1" applyNumberFormat="0" applyBorder="0" applyAlignment="0" applyProtection="0"/>
    <xf numFmtId="0" fontId="3" fillId="0" borderId="1"/>
    <xf numFmtId="0" fontId="3" fillId="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43" fontId="3" fillId="0" borderId="1" applyFont="0" applyFill="0" applyBorder="0" applyAlignment="0" applyProtection="0"/>
    <xf numFmtId="0" fontId="3" fillId="25" borderId="1" applyNumberFormat="0" applyBorder="0" applyAlignment="0" applyProtection="0"/>
    <xf numFmtId="0" fontId="3" fillId="5" borderId="1" applyNumberFormat="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5" borderId="1" applyNumberFormat="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16" borderId="1" applyNumberFormat="0" applyBorder="0" applyAlignment="0" applyProtection="0"/>
    <xf numFmtId="164" fontId="3" fillId="0" borderId="1"/>
    <xf numFmtId="0" fontId="3" fillId="5" borderId="1" applyNumberFormat="0" applyBorder="0" applyAlignment="0" applyProtection="0"/>
    <xf numFmtId="0" fontId="3" fillId="5"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164" fontId="3" fillId="0" borderId="1"/>
    <xf numFmtId="0" fontId="3" fillId="5" borderId="1" applyNumberFormat="0" applyBorder="0" applyAlignment="0" applyProtection="0"/>
    <xf numFmtId="0" fontId="3" fillId="5" borderId="1" applyNumberFormat="0" applyBorder="0" applyAlignment="0" applyProtection="0"/>
    <xf numFmtId="0" fontId="3" fillId="0" borderId="1"/>
    <xf numFmtId="0" fontId="3" fillId="25" borderId="1" applyNumberFormat="0" applyBorder="0" applyAlignment="0" applyProtection="0"/>
    <xf numFmtId="0" fontId="3" fillId="0" borderId="1"/>
    <xf numFmtId="0" fontId="3" fillId="16" borderId="1" applyNumberFormat="0" applyBorder="0" applyAlignment="0" applyProtection="0"/>
    <xf numFmtId="164" fontId="3" fillId="0" borderId="1"/>
    <xf numFmtId="0" fontId="3" fillId="5"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164" fontId="3" fillId="0" borderId="1"/>
    <xf numFmtId="0" fontId="3" fillId="25"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5" borderId="1" applyNumberFormat="0" applyBorder="0" applyAlignment="0" applyProtection="0"/>
    <xf numFmtId="0" fontId="3" fillId="0" borderId="1"/>
    <xf numFmtId="0" fontId="3" fillId="16" borderId="1" applyNumberFormat="0" applyBorder="0" applyAlignment="0" applyProtection="0"/>
    <xf numFmtId="164" fontId="33" fillId="0" borderId="1" applyFont="0" applyFill="0" applyBorder="0" applyAlignment="0" applyProtection="0"/>
    <xf numFmtId="0" fontId="3" fillId="25" borderId="1" applyNumberFormat="0" applyBorder="0" applyAlignment="0" applyProtection="0"/>
    <xf numFmtId="0" fontId="3" fillId="5" borderId="1" applyNumberFormat="0" applyBorder="0" applyAlignment="0" applyProtection="0"/>
    <xf numFmtId="0" fontId="3" fillId="0" borderId="1"/>
    <xf numFmtId="0" fontId="3" fillId="25" borderId="1" applyNumberFormat="0" applyBorder="0" applyAlignment="0" applyProtection="0"/>
    <xf numFmtId="0" fontId="3" fillId="0" borderId="1"/>
    <xf numFmtId="0" fontId="3" fillId="16" borderId="1" applyNumberFormat="0" applyBorder="0" applyAlignment="0" applyProtection="0"/>
    <xf numFmtId="0" fontId="3" fillId="5" borderId="1" applyNumberFormat="0" applyBorder="0" applyAlignment="0" applyProtection="0"/>
    <xf numFmtId="0" fontId="3" fillId="0" borderId="1"/>
    <xf numFmtId="0" fontId="3" fillId="24"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164" fontId="3" fillId="0" borderId="1"/>
    <xf numFmtId="164" fontId="3" fillId="0" borderId="1"/>
    <xf numFmtId="0" fontId="3" fillId="16" borderId="1" applyNumberFormat="0" applyBorder="0" applyAlignment="0" applyProtection="0"/>
    <xf numFmtId="0" fontId="3" fillId="5" borderId="1" applyNumberFormat="0" applyBorder="0" applyAlignment="0" applyProtection="0"/>
    <xf numFmtId="0" fontId="3" fillId="0" borderId="1"/>
    <xf numFmtId="0" fontId="3" fillId="24"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0" fontId="3" fillId="24" borderId="1" applyNumberFormat="0" applyBorder="0" applyAlignment="0" applyProtection="0"/>
    <xf numFmtId="0" fontId="3" fillId="0" borderId="1"/>
    <xf numFmtId="0" fontId="3" fillId="25" borderId="1" applyNumberFormat="0" applyBorder="0" applyAlignment="0" applyProtection="0"/>
    <xf numFmtId="0" fontId="3" fillId="16" borderId="1" applyNumberFormat="0" applyBorder="0" applyAlignment="0" applyProtection="0"/>
    <xf numFmtId="0" fontId="3" fillId="5" borderId="1" applyNumberFormat="0" applyBorder="0" applyAlignment="0" applyProtection="0"/>
    <xf numFmtId="164" fontId="3" fillId="0" borderId="1"/>
    <xf numFmtId="164" fontId="3" fillId="0" borderId="1"/>
    <xf numFmtId="43" fontId="3" fillId="0" borderId="1" applyFont="0" applyFill="0" applyBorder="0" applyAlignment="0" applyProtection="0"/>
    <xf numFmtId="0" fontId="3" fillId="24" borderId="1" applyNumberFormat="0" applyBorder="0" applyAlignment="0" applyProtection="0"/>
    <xf numFmtId="0" fontId="3" fillId="25" borderId="1" applyNumberFormat="0" applyBorder="0" applyAlignment="0" applyProtection="0"/>
    <xf numFmtId="0" fontId="3" fillId="16" borderId="1" applyNumberFormat="0" applyBorder="0" applyAlignment="0" applyProtection="0"/>
    <xf numFmtId="164" fontId="3" fillId="0" borderId="1"/>
    <xf numFmtId="0" fontId="3" fillId="2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2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0" borderId="1"/>
    <xf numFmtId="0" fontId="3" fillId="0" borderId="1"/>
    <xf numFmtId="0" fontId="3" fillId="16" borderId="1" applyNumberFormat="0" applyBorder="0" applyAlignment="0" applyProtection="0"/>
    <xf numFmtId="44" fontId="3" fillId="0" borderId="1" applyFont="0" applyFill="0" applyBorder="0" applyAlignment="0" applyProtection="0"/>
    <xf numFmtId="164" fontId="3" fillId="0" borderId="1"/>
    <xf numFmtId="0" fontId="3" fillId="5" borderId="1" applyNumberFormat="0" applyBorder="0" applyAlignment="0" applyProtection="0"/>
    <xf numFmtId="0" fontId="3" fillId="25" borderId="1" applyNumberFormat="0" applyBorder="0" applyAlignment="0" applyProtection="0"/>
    <xf numFmtId="0" fontId="3" fillId="0" borderId="1"/>
    <xf numFmtId="0" fontId="3" fillId="16" borderId="1" applyNumberFormat="0" applyBorder="0" applyAlignment="0" applyProtection="0"/>
    <xf numFmtId="0" fontId="3" fillId="5"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0" fontId="3" fillId="0" borderId="1"/>
    <xf numFmtId="0" fontId="3" fillId="16" borderId="1" applyNumberFormat="0" applyBorder="0" applyAlignment="0" applyProtection="0"/>
    <xf numFmtId="164" fontId="3" fillId="0" borderId="1"/>
    <xf numFmtId="0" fontId="3" fillId="5" borderId="1" applyNumberFormat="0" applyBorder="0" applyAlignment="0" applyProtection="0"/>
    <xf numFmtId="164" fontId="3" fillId="0" borderId="1"/>
    <xf numFmtId="0" fontId="3" fillId="0" borderId="1"/>
    <xf numFmtId="0" fontId="3" fillId="25" borderId="1" applyNumberFormat="0" applyBorder="0" applyAlignment="0" applyProtection="0"/>
    <xf numFmtId="0" fontId="3" fillId="0" borderId="1"/>
    <xf numFmtId="0" fontId="3" fillId="0" borderId="1"/>
    <xf numFmtId="0" fontId="3" fillId="16" borderId="1" applyNumberFormat="0" applyBorder="0" applyAlignment="0" applyProtection="0"/>
    <xf numFmtId="0" fontId="3" fillId="25" borderId="1" applyNumberFormat="0" applyBorder="0" applyAlignment="0" applyProtection="0"/>
    <xf numFmtId="0" fontId="3" fillId="0" borderId="1"/>
    <xf numFmtId="0" fontId="3" fillId="16"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0" fontId="3" fillId="25" borderId="1" applyNumberFormat="0" applyBorder="0" applyAlignment="0" applyProtection="0"/>
    <xf numFmtId="0" fontId="3" fillId="0" borderId="1"/>
    <xf numFmtId="0" fontId="3" fillId="16" borderId="1" applyNumberFormat="0" applyBorder="0" applyAlignment="0" applyProtection="0"/>
    <xf numFmtId="0" fontId="3" fillId="24" borderId="1" applyNumberFormat="0" applyBorder="0" applyAlignment="0" applyProtection="0"/>
    <xf numFmtId="0" fontId="3" fillId="25" borderId="1" applyNumberFormat="0" applyBorder="0" applyAlignment="0" applyProtection="0"/>
    <xf numFmtId="0" fontId="3" fillId="0" borderId="1"/>
    <xf numFmtId="0" fontId="3" fillId="16" borderId="1" applyNumberFormat="0" applyBorder="0" applyAlignment="0" applyProtection="0"/>
    <xf numFmtId="0" fontId="3" fillId="5" borderId="1" applyNumberFormat="0" applyBorder="0" applyAlignment="0" applyProtection="0"/>
    <xf numFmtId="164" fontId="3" fillId="0" borderId="1"/>
    <xf numFmtId="0" fontId="3" fillId="0" borderId="1"/>
    <xf numFmtId="164" fontId="3" fillId="0" borderId="1"/>
    <xf numFmtId="0" fontId="3" fillId="0" borderId="1"/>
    <xf numFmtId="0" fontId="3" fillId="0" borderId="1"/>
    <xf numFmtId="43" fontId="3" fillId="0" borderId="1" applyFont="0" applyFill="0" applyBorder="0" applyAlignment="0" applyProtection="0"/>
    <xf numFmtId="0" fontId="3" fillId="24" borderId="1" applyNumberFormat="0" applyBorder="0" applyAlignment="0" applyProtection="0"/>
    <xf numFmtId="0" fontId="3" fillId="25" borderId="1" applyNumberFormat="0" applyBorder="0" applyAlignment="0" applyProtection="0"/>
    <xf numFmtId="0" fontId="3" fillId="24" borderId="1" applyNumberFormat="0" applyBorder="0" applyAlignment="0" applyProtection="0"/>
    <xf numFmtId="0" fontId="3" fillId="25" borderId="1" applyNumberFormat="0" applyBorder="0" applyAlignment="0" applyProtection="0"/>
    <xf numFmtId="0" fontId="3" fillId="0" borderId="1"/>
    <xf numFmtId="44" fontId="3" fillId="0" borderId="1" applyFont="0" applyFill="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0" fontId="3" fillId="25" borderId="1" applyNumberFormat="0" applyBorder="0" applyAlignment="0" applyProtection="0"/>
    <xf numFmtId="164" fontId="3" fillId="0" borderId="1"/>
    <xf numFmtId="164" fontId="3" fillId="0" borderId="1"/>
    <xf numFmtId="0" fontId="3" fillId="25" borderId="1" applyNumberFormat="0" applyBorder="0" applyAlignment="0" applyProtection="0"/>
    <xf numFmtId="44" fontId="3" fillId="0" borderId="1" applyFont="0" applyFill="0" applyBorder="0" applyAlignment="0" applyProtection="0"/>
    <xf numFmtId="164" fontId="3" fillId="0" borderId="1"/>
    <xf numFmtId="0" fontId="3" fillId="25" borderId="1" applyNumberFormat="0" applyBorder="0" applyAlignment="0" applyProtection="0"/>
    <xf numFmtId="164" fontId="3" fillId="0" borderId="1"/>
    <xf numFmtId="0" fontId="3" fillId="0" borderId="1"/>
    <xf numFmtId="0" fontId="3" fillId="0" borderId="1"/>
    <xf numFmtId="0" fontId="3" fillId="0" borderId="1"/>
    <xf numFmtId="44" fontId="3" fillId="0" borderId="1" applyFont="0" applyFill="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164" fontId="3" fillId="0" borderId="1"/>
    <xf numFmtId="164" fontId="3" fillId="0" borderId="1"/>
    <xf numFmtId="0" fontId="3" fillId="25" borderId="1" applyNumberFormat="0" applyBorder="0" applyAlignment="0" applyProtection="0"/>
    <xf numFmtId="164" fontId="3" fillId="0" borderId="1"/>
    <xf numFmtId="0" fontId="3" fillId="25" borderId="1" applyNumberFormat="0" applyBorder="0" applyAlignment="0" applyProtection="0"/>
    <xf numFmtId="164" fontId="3" fillId="0" borderId="1"/>
    <xf numFmtId="164" fontId="3" fillId="0" borderId="1"/>
    <xf numFmtId="0" fontId="3" fillId="25" borderId="1" applyNumberFormat="0" applyBorder="0" applyAlignment="0" applyProtection="0"/>
    <xf numFmtId="164" fontId="3" fillId="0" borderId="1"/>
    <xf numFmtId="0" fontId="3" fillId="2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0" borderId="1"/>
    <xf numFmtId="0" fontId="3" fillId="0" borderId="1"/>
    <xf numFmtId="0" fontId="3" fillId="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164" fontId="3" fillId="0" borderId="1"/>
    <xf numFmtId="0" fontId="3" fillId="2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164" fontId="3" fillId="0" borderId="1"/>
    <xf numFmtId="0" fontId="3" fillId="25" borderId="1" applyNumberFormat="0" applyBorder="0" applyAlignment="0" applyProtection="0"/>
    <xf numFmtId="164" fontId="3" fillId="0" borderId="1"/>
    <xf numFmtId="164" fontId="3" fillId="0" borderId="1"/>
    <xf numFmtId="0" fontId="3" fillId="25" borderId="1" applyNumberFormat="0" applyBorder="0" applyAlignment="0" applyProtection="0"/>
    <xf numFmtId="0" fontId="3" fillId="23" borderId="25" applyNumberFormat="0" applyFont="0" applyAlignment="0" applyProtection="0"/>
    <xf numFmtId="44" fontId="3" fillId="0" borderId="1" applyFont="0" applyFill="0" applyBorder="0" applyAlignment="0" applyProtection="0"/>
    <xf numFmtId="164" fontId="3" fillId="0" borderId="1"/>
    <xf numFmtId="0" fontId="3" fillId="25" borderId="1" applyNumberFormat="0" applyBorder="0" applyAlignment="0" applyProtection="0"/>
    <xf numFmtId="0" fontId="3" fillId="25"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0" fontId="3" fillId="25" borderId="1" applyNumberFormat="0" applyBorder="0" applyAlignment="0" applyProtection="0"/>
    <xf numFmtId="0" fontId="3" fillId="0" borderId="1"/>
    <xf numFmtId="164" fontId="3" fillId="0" borderId="1"/>
    <xf numFmtId="164" fontId="3" fillId="0" borderId="1"/>
    <xf numFmtId="43" fontId="3" fillId="0" borderId="1" applyFont="0" applyFill="0" applyBorder="0" applyAlignment="0" applyProtection="0"/>
    <xf numFmtId="164" fontId="3" fillId="0" borderId="1"/>
    <xf numFmtId="0" fontId="3" fillId="0" borderId="1"/>
    <xf numFmtId="0" fontId="3" fillId="0" borderId="1"/>
    <xf numFmtId="0" fontId="3" fillId="21" borderId="1" applyNumberFormat="0" applyBorder="0" applyAlignment="0" applyProtection="0"/>
    <xf numFmtId="0" fontId="3" fillId="0" borderId="1"/>
    <xf numFmtId="0" fontId="3" fillId="25"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25" borderId="1" applyNumberFormat="0" applyBorder="0" applyAlignment="0" applyProtection="0"/>
    <xf numFmtId="0" fontId="3" fillId="21"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43" fontId="3" fillId="0" borderId="1" applyFont="0" applyFill="0" applyBorder="0" applyAlignment="0" applyProtection="0"/>
    <xf numFmtId="164" fontId="3" fillId="0" borderId="1"/>
    <xf numFmtId="0" fontId="3" fillId="0" borderId="1"/>
    <xf numFmtId="0" fontId="3" fillId="25" borderId="1" applyNumberFormat="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0" fontId="3" fillId="25"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25" borderId="1" applyNumberFormat="0" applyBorder="0" applyAlignment="0" applyProtection="0"/>
    <xf numFmtId="0" fontId="3" fillId="21" borderId="1" applyNumberFormat="0" applyBorder="0" applyAlignment="0" applyProtection="0"/>
    <xf numFmtId="0" fontId="31" fillId="38" borderId="1" applyNumberFormat="0" applyBorder="0" applyAlignment="0" applyProtection="0"/>
    <xf numFmtId="0" fontId="3" fillId="25" borderId="1" applyNumberFormat="0" applyBorder="0" applyAlignment="0" applyProtection="0"/>
    <xf numFmtId="0" fontId="3" fillId="0" borderId="1"/>
    <xf numFmtId="0" fontId="3" fillId="25" borderId="1" applyNumberFormat="0" applyBorder="0" applyAlignment="0" applyProtection="0"/>
    <xf numFmtId="0" fontId="3" fillId="21" borderId="1" applyNumberFormat="0" applyBorder="0" applyAlignment="0" applyProtection="0"/>
    <xf numFmtId="0" fontId="3" fillId="21" borderId="1" applyNumberFormat="0" applyBorder="0" applyAlignment="0" applyProtection="0"/>
    <xf numFmtId="0" fontId="3" fillId="25" borderId="1" applyNumberFormat="0" applyBorder="0" applyAlignment="0" applyProtection="0"/>
    <xf numFmtId="164" fontId="3" fillId="0" borderId="1"/>
    <xf numFmtId="0" fontId="3" fillId="21" borderId="1" applyNumberFormat="0" applyBorder="0" applyAlignment="0" applyProtection="0"/>
    <xf numFmtId="44" fontId="3" fillId="0" borderId="1" applyFont="0" applyFill="0" applyBorder="0" applyAlignment="0" applyProtection="0"/>
    <xf numFmtId="0" fontId="3" fillId="25" borderId="1" applyNumberFormat="0" applyBorder="0" applyAlignment="0" applyProtection="0"/>
    <xf numFmtId="164" fontId="3" fillId="0" borderId="1"/>
    <xf numFmtId="44" fontId="3" fillId="0" borderId="1" applyFont="0" applyFill="0" applyBorder="0" applyAlignment="0" applyProtection="0"/>
    <xf numFmtId="0" fontId="3" fillId="25" borderId="1" applyNumberFormat="0" applyBorder="0" applyAlignment="0" applyProtection="0"/>
    <xf numFmtId="0" fontId="3" fillId="0" borderId="1"/>
    <xf numFmtId="164" fontId="3" fillId="0" borderId="1"/>
    <xf numFmtId="164" fontId="3" fillId="0" borderId="1"/>
    <xf numFmtId="0" fontId="34" fillId="29" borderId="1" applyNumberFormat="0" applyBorder="0" applyAlignment="0" applyProtection="0"/>
    <xf numFmtId="0" fontId="3" fillId="0" borderId="1"/>
    <xf numFmtId="0" fontId="3" fillId="0" borderId="1"/>
    <xf numFmtId="0" fontId="34" fillId="29"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6" borderId="1" applyNumberFormat="0" applyBorder="0" applyAlignment="0" applyProtection="0"/>
    <xf numFmtId="0" fontId="3" fillId="0" borderId="1"/>
    <xf numFmtId="0" fontId="3" fillId="0" borderId="1"/>
    <xf numFmtId="0" fontId="3" fillId="0" borderId="1"/>
    <xf numFmtId="0" fontId="3" fillId="0" borderId="1"/>
    <xf numFmtId="0" fontId="3" fillId="0" borderId="1"/>
    <xf numFmtId="0" fontId="3" fillId="16"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16" borderId="1" applyNumberFormat="0" applyBorder="0" applyAlignment="0" applyProtection="0"/>
    <xf numFmtId="44" fontId="3" fillId="0" borderId="1" applyFont="0" applyFill="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0" borderId="1"/>
    <xf numFmtId="44" fontId="3" fillId="0" borderId="1" applyFont="0" applyFill="0" applyBorder="0" applyAlignment="0" applyProtection="0"/>
    <xf numFmtId="0" fontId="3" fillId="16" borderId="1" applyNumberFormat="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5" borderId="1" applyNumberFormat="0" applyBorder="0" applyAlignment="0" applyProtection="0"/>
    <xf numFmtId="164" fontId="3" fillId="0" borderId="1"/>
    <xf numFmtId="164" fontId="3" fillId="0" borderId="1"/>
    <xf numFmtId="0" fontId="3" fillId="16" borderId="1" applyNumberFormat="0" applyBorder="0" applyAlignment="0" applyProtection="0"/>
    <xf numFmtId="44" fontId="3" fillId="0" borderId="1" applyFont="0" applyFill="0" applyBorder="0" applyAlignment="0" applyProtection="0"/>
    <xf numFmtId="164" fontId="3" fillId="0" borderId="1"/>
    <xf numFmtId="0" fontId="3" fillId="5" borderId="1" applyNumberFormat="0" applyBorder="0" applyAlignment="0" applyProtection="0"/>
    <xf numFmtId="0" fontId="3" fillId="0" borderId="1"/>
    <xf numFmtId="0" fontId="3" fillId="0" borderId="1"/>
    <xf numFmtId="0" fontId="3" fillId="16" borderId="1" applyNumberFormat="0" applyBorder="0" applyAlignment="0" applyProtection="0"/>
    <xf numFmtId="0" fontId="3" fillId="0" borderId="1"/>
    <xf numFmtId="44" fontId="3" fillId="0" borderId="1" applyFont="0" applyFill="0" applyBorder="0" applyAlignment="0" applyProtection="0"/>
    <xf numFmtId="0" fontId="3" fillId="5" borderId="1" applyNumberFormat="0" applyBorder="0" applyAlignment="0" applyProtection="0"/>
    <xf numFmtId="0" fontId="3" fillId="0" borderId="1"/>
    <xf numFmtId="0" fontId="3" fillId="0" borderId="1"/>
    <xf numFmtId="0" fontId="3" fillId="24" borderId="1" applyNumberFormat="0" applyBorder="0" applyAlignment="0" applyProtection="0"/>
    <xf numFmtId="0" fontId="3" fillId="16" borderId="1" applyNumberFormat="0" applyBorder="0" applyAlignment="0" applyProtection="0"/>
    <xf numFmtId="0" fontId="3" fillId="5" borderId="1" applyNumberFormat="0" applyBorder="0" applyAlignment="0" applyProtection="0"/>
    <xf numFmtId="164" fontId="3" fillId="0" borderId="1"/>
    <xf numFmtId="0" fontId="3" fillId="24" borderId="1" applyNumberFormat="0" applyBorder="0" applyAlignment="0" applyProtection="0"/>
    <xf numFmtId="0" fontId="3" fillId="16" borderId="1" applyNumberFormat="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0" fontId="3" fillId="0" borderId="1"/>
    <xf numFmtId="0" fontId="3" fillId="16" borderId="1" applyNumberFormat="0" applyBorder="0" applyAlignment="0" applyProtection="0"/>
    <xf numFmtId="0" fontId="3" fillId="0" borderId="1"/>
    <xf numFmtId="0" fontId="3" fillId="0" borderId="1"/>
    <xf numFmtId="0" fontId="3" fillId="16" borderId="1" applyNumberFormat="0" applyBorder="0" applyAlignment="0" applyProtection="0"/>
    <xf numFmtId="164"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0" fontId="3" fillId="0" borderId="1"/>
    <xf numFmtId="0" fontId="3" fillId="16" borderId="1" applyNumberFormat="0" applyBorder="0" applyAlignment="0" applyProtection="0"/>
    <xf numFmtId="164"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0" fontId="3" fillId="0" borderId="1"/>
    <xf numFmtId="0" fontId="3" fillId="16" borderId="1" applyNumberFormat="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0" fontId="3" fillId="0" borderId="1"/>
    <xf numFmtId="0" fontId="3" fillId="16" borderId="1" applyNumberFormat="0" applyBorder="0" applyAlignment="0" applyProtection="0"/>
    <xf numFmtId="164" fontId="3" fillId="0" borderId="1"/>
    <xf numFmtId="0" fontId="3" fillId="0" borderId="1"/>
    <xf numFmtId="0" fontId="3" fillId="0" borderId="1"/>
    <xf numFmtId="0" fontId="3" fillId="0" borderId="1"/>
    <xf numFmtId="0" fontId="3" fillId="16" borderId="1" applyNumberFormat="0" applyBorder="0" applyAlignment="0" applyProtection="0"/>
    <xf numFmtId="0" fontId="34" fillId="0" borderId="1"/>
    <xf numFmtId="0" fontId="3" fillId="0" borderId="1"/>
    <xf numFmtId="0" fontId="3" fillId="0" borderId="1"/>
    <xf numFmtId="164" fontId="3" fillId="0" borderId="1"/>
    <xf numFmtId="0" fontId="3" fillId="5" borderId="1" applyNumberFormat="0" applyBorder="0" applyAlignment="0" applyProtection="0"/>
    <xf numFmtId="164" fontId="3" fillId="0" borderId="1"/>
    <xf numFmtId="164" fontId="3" fillId="0" borderId="1"/>
    <xf numFmtId="0" fontId="3" fillId="16" borderId="1" applyNumberFormat="0" applyBorder="0" applyAlignment="0" applyProtection="0"/>
    <xf numFmtId="164" fontId="3" fillId="0" borderId="1"/>
    <xf numFmtId="0" fontId="3" fillId="16" borderId="1" applyNumberFormat="0" applyBorder="0" applyAlignment="0" applyProtection="0"/>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5" borderId="1" applyNumberFormat="0" applyBorder="0" applyAlignment="0" applyProtection="0"/>
    <xf numFmtId="0" fontId="3" fillId="0" borderId="1"/>
    <xf numFmtId="0" fontId="3" fillId="0" borderId="1"/>
    <xf numFmtId="0" fontId="3" fillId="16" borderId="1" applyNumberFormat="0" applyBorder="0" applyAlignment="0" applyProtection="0"/>
    <xf numFmtId="164" fontId="3" fillId="0" borderId="1"/>
    <xf numFmtId="164" fontId="3" fillId="0" borderId="1"/>
    <xf numFmtId="0" fontId="3" fillId="16"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16"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16" borderId="1" applyNumberFormat="0" applyBorder="0" applyAlignment="0" applyProtection="0"/>
    <xf numFmtId="0" fontId="3" fillId="0" borderId="1"/>
    <xf numFmtId="0" fontId="3" fillId="0" borderId="1"/>
    <xf numFmtId="0" fontId="34" fillId="0" borderId="1"/>
    <xf numFmtId="0" fontId="3" fillId="5" borderId="1" applyNumberFormat="0" applyBorder="0" applyAlignment="0" applyProtection="0"/>
    <xf numFmtId="0" fontId="3" fillId="0" borderId="1"/>
    <xf numFmtId="164" fontId="3" fillId="0" borderId="1"/>
    <xf numFmtId="164" fontId="3" fillId="0" borderId="1"/>
    <xf numFmtId="0" fontId="3" fillId="16" borderId="1" applyNumberFormat="0" applyBorder="0" applyAlignment="0" applyProtection="0"/>
    <xf numFmtId="0" fontId="3" fillId="0" borderId="1"/>
    <xf numFmtId="0" fontId="3" fillId="16" borderId="1" applyNumberFormat="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164" fontId="3" fillId="0" borderId="1"/>
    <xf numFmtId="0" fontId="3" fillId="5" borderId="1" applyNumberFormat="0" applyBorder="0" applyAlignment="0" applyProtection="0"/>
    <xf numFmtId="0" fontId="3" fillId="5" borderId="1" applyNumberFormat="0" applyBorder="0" applyAlignment="0" applyProtection="0"/>
    <xf numFmtId="0" fontId="3" fillId="0" borderId="1"/>
    <xf numFmtId="0" fontId="3" fillId="0" borderId="1"/>
    <xf numFmtId="0" fontId="3" fillId="0" borderId="1"/>
    <xf numFmtId="0" fontId="3" fillId="16" borderId="1" applyNumberFormat="0" applyBorder="0" applyAlignment="0" applyProtection="0"/>
    <xf numFmtId="0" fontId="3" fillId="0" borderId="1"/>
    <xf numFmtId="164" fontId="3" fillId="0" borderId="1"/>
    <xf numFmtId="164" fontId="3" fillId="0" borderId="1"/>
    <xf numFmtId="0" fontId="3" fillId="16" borderId="1" applyNumberFormat="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0" fontId="3" fillId="16" borderId="1" applyNumberFormat="0" applyBorder="0" applyAlignment="0" applyProtection="0"/>
    <xf numFmtId="0" fontId="3" fillId="0" borderId="1"/>
    <xf numFmtId="164" fontId="3" fillId="0" borderId="1"/>
    <xf numFmtId="0" fontId="3" fillId="16" borderId="1" applyNumberFormat="0" applyBorder="0" applyAlignment="0" applyProtection="0"/>
    <xf numFmtId="164" fontId="3" fillId="0" borderId="1"/>
    <xf numFmtId="164" fontId="3" fillId="0" borderId="1"/>
    <xf numFmtId="164" fontId="3" fillId="0" borderId="1"/>
    <xf numFmtId="0" fontId="3" fillId="0" borderId="1"/>
    <xf numFmtId="0" fontId="3" fillId="0" borderId="1"/>
    <xf numFmtId="164" fontId="3" fillId="0" borderId="1"/>
    <xf numFmtId="0" fontId="3" fillId="16" borderId="1" applyNumberFormat="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0" fontId="3" fillId="16" borderId="1" applyNumberFormat="0" applyBorder="0" applyAlignment="0" applyProtection="0"/>
    <xf numFmtId="0" fontId="3" fillId="0" borderId="1"/>
    <xf numFmtId="164" fontId="3" fillId="0" borderId="1"/>
    <xf numFmtId="164" fontId="3" fillId="0" borderId="1"/>
    <xf numFmtId="0" fontId="3" fillId="16" borderId="1" applyNumberFormat="0" applyBorder="0" applyAlignment="0" applyProtection="0"/>
    <xf numFmtId="44" fontId="3" fillId="0" borderId="1" applyFont="0" applyFill="0" applyBorder="0" applyAlignment="0" applyProtection="0"/>
    <xf numFmtId="0" fontId="3" fillId="16" borderId="1" applyNumberFormat="0" applyBorder="0" applyAlignment="0" applyProtection="0"/>
    <xf numFmtId="44" fontId="3" fillId="0" borderId="1" applyFont="0" applyFill="0" applyBorder="0" applyAlignment="0" applyProtection="0"/>
    <xf numFmtId="0" fontId="3" fillId="16"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0" fontId="3" fillId="16" borderId="1" applyNumberFormat="0" applyBorder="0" applyAlignment="0" applyProtection="0"/>
    <xf numFmtId="44" fontId="3" fillId="0" borderId="1" applyFont="0" applyFill="0" applyBorder="0" applyAlignment="0" applyProtection="0"/>
    <xf numFmtId="0" fontId="3" fillId="0" borderId="1"/>
    <xf numFmtId="0" fontId="3" fillId="16" borderId="1" applyNumberFormat="0" applyBorder="0" applyAlignment="0" applyProtection="0"/>
    <xf numFmtId="44" fontId="3" fillId="0" borderId="1" applyFont="0" applyFill="0" applyBorder="0" applyAlignment="0" applyProtection="0"/>
    <xf numFmtId="0" fontId="3" fillId="0" borderId="1"/>
    <xf numFmtId="0" fontId="3" fillId="16" borderId="1" applyNumberFormat="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0" fontId="3" fillId="0" borderId="1"/>
    <xf numFmtId="164" fontId="3" fillId="0" borderId="1"/>
    <xf numFmtId="0" fontId="3" fillId="16" borderId="1" applyNumberFormat="0" applyBorder="0" applyAlignment="0" applyProtection="0"/>
    <xf numFmtId="164" fontId="3" fillId="0" borderId="1"/>
    <xf numFmtId="164" fontId="3" fillId="0" borderId="1"/>
    <xf numFmtId="164" fontId="3" fillId="0" borderId="1"/>
    <xf numFmtId="0" fontId="3" fillId="16" borderId="1" applyNumberFormat="0" applyBorder="0" applyAlignment="0" applyProtection="0"/>
    <xf numFmtId="0" fontId="3" fillId="0" borderId="1"/>
    <xf numFmtId="0" fontId="3" fillId="16" borderId="1" applyNumberFormat="0" applyBorder="0" applyAlignment="0" applyProtection="0"/>
    <xf numFmtId="0" fontId="3" fillId="16" borderId="1" applyNumberFormat="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16" borderId="1" applyNumberFormat="0" applyBorder="0" applyAlignment="0" applyProtection="0"/>
    <xf numFmtId="164" fontId="3" fillId="0" borderId="1"/>
    <xf numFmtId="164" fontId="3" fillId="0" borderId="1"/>
    <xf numFmtId="0" fontId="3" fillId="16"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16" borderId="1" applyNumberFormat="0" applyBorder="0" applyAlignment="0" applyProtection="0"/>
    <xf numFmtId="0" fontId="3" fillId="16" borderId="1" applyNumberFormat="0" applyBorder="0" applyAlignment="0" applyProtection="0"/>
    <xf numFmtId="0" fontId="34" fillId="29" borderId="1" applyNumberFormat="0" applyBorder="0" applyAlignment="0" applyProtection="0"/>
    <xf numFmtId="0" fontId="3" fillId="0" borderId="1"/>
    <xf numFmtId="44" fontId="3" fillId="0" borderId="1" applyFont="0" applyFill="0" applyBorder="0" applyAlignment="0" applyProtection="0"/>
    <xf numFmtId="0" fontId="3" fillId="16"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164" fontId="3" fillId="0" borderId="1"/>
    <xf numFmtId="164" fontId="3" fillId="0" borderId="1"/>
    <xf numFmtId="0" fontId="3" fillId="0" borderId="1"/>
    <xf numFmtId="164" fontId="3" fillId="0" borderId="1"/>
    <xf numFmtId="0" fontId="3" fillId="16" borderId="1" applyNumberFormat="0" applyBorder="0" applyAlignment="0" applyProtection="0"/>
    <xf numFmtId="0" fontId="3" fillId="0" borderId="1"/>
    <xf numFmtId="0" fontId="3" fillId="0" borderId="1"/>
    <xf numFmtId="0" fontId="3" fillId="16" borderId="1" applyNumberFormat="0" applyBorder="0" applyAlignment="0" applyProtection="0"/>
    <xf numFmtId="164" fontId="3" fillId="0" borderId="1"/>
    <xf numFmtId="0" fontId="3" fillId="16" borderId="1" applyNumberFormat="0" applyBorder="0" applyAlignment="0" applyProtection="0"/>
    <xf numFmtId="0" fontId="3" fillId="16" borderId="1" applyNumberFormat="0" applyBorder="0" applyAlignment="0" applyProtection="0"/>
    <xf numFmtId="164" fontId="3" fillId="0" borderId="1"/>
    <xf numFmtId="164"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16" borderId="1" applyNumberFormat="0" applyBorder="0" applyAlignment="0" applyProtection="0"/>
    <xf numFmtId="0" fontId="3" fillId="0" borderId="1"/>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16" borderId="1" applyNumberFormat="0" applyBorder="0" applyAlignment="0" applyProtection="0"/>
    <xf numFmtId="0" fontId="3" fillId="0" borderId="1"/>
    <xf numFmtId="0" fontId="3" fillId="0" borderId="1"/>
    <xf numFmtId="0" fontId="3" fillId="0" borderId="1"/>
    <xf numFmtId="0" fontId="3" fillId="16"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0" fontId="3" fillId="16"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164" fontId="3" fillId="0" borderId="1"/>
    <xf numFmtId="0" fontId="3" fillId="16" borderId="1" applyNumberFormat="0" applyBorder="0" applyAlignment="0" applyProtection="0"/>
    <xf numFmtId="0" fontId="3" fillId="0" borderId="1"/>
    <xf numFmtId="0" fontId="3" fillId="0" borderId="1"/>
    <xf numFmtId="164" fontId="3" fillId="0" borderId="1"/>
    <xf numFmtId="164" fontId="3" fillId="0" borderId="1"/>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164" fontId="3" fillId="0" borderId="1"/>
    <xf numFmtId="0" fontId="3" fillId="16" borderId="1" applyNumberFormat="0" applyBorder="0" applyAlignment="0" applyProtection="0"/>
    <xf numFmtId="164" fontId="3" fillId="0" borderId="1"/>
    <xf numFmtId="164" fontId="3" fillId="0" borderId="1"/>
    <xf numFmtId="164" fontId="3" fillId="0" borderId="1"/>
    <xf numFmtId="0" fontId="3" fillId="16" borderId="1" applyNumberFormat="0" applyBorder="0" applyAlignment="0" applyProtection="0"/>
    <xf numFmtId="164" fontId="3" fillId="0" borderId="1"/>
    <xf numFmtId="0" fontId="3" fillId="16" borderId="1" applyNumberFormat="0" applyBorder="0" applyAlignment="0" applyProtection="0"/>
    <xf numFmtId="0" fontId="3" fillId="16" borderId="1" applyNumberFormat="0" applyBorder="0" applyAlignment="0" applyProtection="0"/>
    <xf numFmtId="0" fontId="3" fillId="24" borderId="1" applyNumberFormat="0" applyBorder="0" applyAlignment="0" applyProtection="0"/>
    <xf numFmtId="0" fontId="3" fillId="16" borderId="1" applyNumberFormat="0" applyBorder="0" applyAlignment="0" applyProtection="0"/>
    <xf numFmtId="164" fontId="3" fillId="0" borderId="1"/>
    <xf numFmtId="0" fontId="3" fillId="0" borderId="1"/>
    <xf numFmtId="0" fontId="3" fillId="24"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16" borderId="1" applyNumberFormat="0" applyBorder="0" applyAlignment="0" applyProtection="0"/>
    <xf numFmtId="0" fontId="3" fillId="16" borderId="1" applyNumberFormat="0" applyBorder="0" applyAlignment="0" applyProtection="0"/>
    <xf numFmtId="0" fontId="3" fillId="24" borderId="1" applyNumberFormat="0" applyBorder="0" applyAlignment="0" applyProtection="0"/>
    <xf numFmtId="0" fontId="3" fillId="16" borderId="1" applyNumberFormat="0" applyBorder="0" applyAlignment="0" applyProtection="0"/>
    <xf numFmtId="0" fontId="3" fillId="24" borderId="1" applyNumberFormat="0" applyBorder="0" applyAlignment="0" applyProtection="0"/>
    <xf numFmtId="0" fontId="3" fillId="16" borderId="1" applyNumberFormat="0" applyBorder="0" applyAlignment="0" applyProtection="0"/>
    <xf numFmtId="0" fontId="3" fillId="0" borderId="1"/>
    <xf numFmtId="0" fontId="3" fillId="24" borderId="1" applyNumberFormat="0" applyBorder="0" applyAlignment="0" applyProtection="0"/>
    <xf numFmtId="0" fontId="3" fillId="16" borderId="1" applyNumberFormat="0" applyBorder="0" applyAlignment="0" applyProtection="0"/>
    <xf numFmtId="0" fontId="3" fillId="0" borderId="1"/>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0" fontId="3" fillId="0" borderId="1"/>
    <xf numFmtId="0" fontId="35" fillId="0" borderId="1" applyNumberFormat="0" applyFill="0" applyBorder="0" applyAlignment="0" applyProtection="0"/>
    <xf numFmtId="0" fontId="3" fillId="0" borderId="1"/>
    <xf numFmtId="0" fontId="3" fillId="0" borderId="1"/>
    <xf numFmtId="0" fontId="3" fillId="16" borderId="1" applyNumberFormat="0" applyBorder="0" applyAlignment="0" applyProtection="0"/>
    <xf numFmtId="0" fontId="35" fillId="0" borderId="1" applyNumberFormat="0" applyFill="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0" borderId="1"/>
    <xf numFmtId="0" fontId="3" fillId="16" borderId="1" applyNumberFormat="0" applyBorder="0" applyAlignment="0" applyProtection="0"/>
    <xf numFmtId="0" fontId="3" fillId="0" borderId="1"/>
    <xf numFmtId="0" fontId="3" fillId="0" borderId="1"/>
    <xf numFmtId="0" fontId="3" fillId="16" borderId="1" applyNumberFormat="0" applyBorder="0" applyAlignment="0" applyProtection="0"/>
    <xf numFmtId="0" fontId="3" fillId="16" borderId="1" applyNumberFormat="0" applyBorder="0" applyAlignment="0" applyProtection="0"/>
    <xf numFmtId="0" fontId="3" fillId="21" borderId="1" applyNumberFormat="0" applyBorder="0" applyAlignment="0" applyProtection="0"/>
    <xf numFmtId="0" fontId="3" fillId="16" borderId="1" applyNumberFormat="0" applyBorder="0" applyAlignment="0" applyProtection="0"/>
    <xf numFmtId="0" fontId="3" fillId="21" borderId="1" applyNumberFormat="0" applyBorder="0" applyAlignment="0" applyProtection="0"/>
    <xf numFmtId="0" fontId="3" fillId="0" borderId="1"/>
    <xf numFmtId="164" fontId="3" fillId="0" borderId="1"/>
    <xf numFmtId="43" fontId="34" fillId="0" borderId="1" applyFont="0" applyFill="0" applyBorder="0" applyAlignment="0" applyProtection="0"/>
    <xf numFmtId="164" fontId="3" fillId="0" borderId="1"/>
    <xf numFmtId="0" fontId="3" fillId="16" borderId="1" applyNumberFormat="0" applyBorder="0" applyAlignment="0" applyProtection="0"/>
    <xf numFmtId="0" fontId="3" fillId="21" borderId="1" applyNumberFormat="0" applyBorder="0" applyAlignment="0" applyProtection="0"/>
    <xf numFmtId="0" fontId="3" fillId="24" borderId="1" applyNumberFormat="0" applyBorder="0" applyAlignment="0" applyProtection="0"/>
    <xf numFmtId="0" fontId="3" fillId="16" borderId="1" applyNumberFormat="0" applyBorder="0" applyAlignment="0" applyProtection="0"/>
    <xf numFmtId="0" fontId="3" fillId="21" borderId="1" applyNumberFormat="0" applyBorder="0" applyAlignment="0" applyProtection="0"/>
    <xf numFmtId="0" fontId="3" fillId="0" borderId="1"/>
    <xf numFmtId="0" fontId="3" fillId="21" borderId="1" applyNumberFormat="0" applyBorder="0" applyAlignment="0" applyProtection="0"/>
    <xf numFmtId="0" fontId="3" fillId="16" borderId="1" applyNumberFormat="0" applyBorder="0" applyAlignment="0" applyProtection="0"/>
    <xf numFmtId="0" fontId="3" fillId="21"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0" fontId="3" fillId="16" borderId="1" applyNumberFormat="0" applyBorder="0" applyAlignment="0" applyProtection="0"/>
    <xf numFmtId="44" fontId="3" fillId="0" borderId="1" applyFont="0" applyFill="0" applyBorder="0" applyAlignment="0" applyProtection="0"/>
    <xf numFmtId="0" fontId="3" fillId="16" borderId="1" applyNumberFormat="0" applyBorder="0" applyAlignment="0" applyProtection="0"/>
    <xf numFmtId="44" fontId="3" fillId="0" borderId="1" applyFont="0" applyFill="0" applyBorder="0" applyAlignment="0" applyProtection="0"/>
    <xf numFmtId="0" fontId="3" fillId="16" borderId="1" applyNumberFormat="0" applyBorder="0" applyAlignment="0" applyProtection="0"/>
    <xf numFmtId="164" fontId="3" fillId="0" borderId="1"/>
    <xf numFmtId="164" fontId="3" fillId="0" borderId="1"/>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164" fontId="3" fillId="0" borderId="1"/>
    <xf numFmtId="164" fontId="3" fillId="0" borderId="1"/>
    <xf numFmtId="0" fontId="3" fillId="0" borderId="1"/>
    <xf numFmtId="0" fontId="3" fillId="16" borderId="1" applyNumberFormat="0" applyBorder="0" applyAlignment="0" applyProtection="0"/>
    <xf numFmtId="0" fontId="3" fillId="0" borderId="1"/>
    <xf numFmtId="0" fontId="3" fillId="0" borderId="1"/>
    <xf numFmtId="0" fontId="3" fillId="24" borderId="1" applyNumberFormat="0" applyBorder="0" applyAlignment="0" applyProtection="0"/>
    <xf numFmtId="164" fontId="3" fillId="0" borderId="1"/>
    <xf numFmtId="164" fontId="3" fillId="0" borderId="1"/>
    <xf numFmtId="0" fontId="3" fillId="0" borderId="1"/>
    <xf numFmtId="0" fontId="3" fillId="16" borderId="1" applyNumberFormat="0" applyBorder="0" applyAlignment="0" applyProtection="0"/>
    <xf numFmtId="44" fontId="3" fillId="0" borderId="1" applyFont="0" applyFill="0" applyBorder="0" applyAlignment="0" applyProtection="0"/>
    <xf numFmtId="164" fontId="3" fillId="0" borderId="1"/>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16" borderId="1" applyNumberFormat="0" applyBorder="0" applyAlignment="0" applyProtection="0"/>
    <xf numFmtId="0" fontId="3" fillId="0" borderId="1"/>
    <xf numFmtId="164" fontId="3" fillId="0" borderId="1"/>
    <xf numFmtId="164" fontId="3" fillId="0" borderId="1"/>
    <xf numFmtId="0" fontId="3" fillId="16" borderId="1" applyNumberFormat="0" applyBorder="0" applyAlignment="0" applyProtection="0"/>
    <xf numFmtId="164" fontId="3" fillId="0" borderId="1"/>
    <xf numFmtId="0" fontId="47" fillId="32" borderId="30" applyNumberFormat="0" applyAlignment="0" applyProtection="0"/>
    <xf numFmtId="164" fontId="3" fillId="0" borderId="1"/>
    <xf numFmtId="164" fontId="3" fillId="0" borderId="1"/>
    <xf numFmtId="0" fontId="3" fillId="16" borderId="1" applyNumberFormat="0" applyBorder="0" applyAlignment="0" applyProtection="0"/>
    <xf numFmtId="164" fontId="3" fillId="0" borderId="1"/>
    <xf numFmtId="164" fontId="3" fillId="0" borderId="1"/>
    <xf numFmtId="0" fontId="3" fillId="16" borderId="1" applyNumberFormat="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16"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16" borderId="1" applyNumberFormat="0" applyBorder="0" applyAlignment="0" applyProtection="0"/>
    <xf numFmtId="164" fontId="3" fillId="0" borderId="1"/>
    <xf numFmtId="0" fontId="3" fillId="16" borderId="1" applyNumberFormat="0" applyBorder="0" applyAlignment="0" applyProtection="0"/>
    <xf numFmtId="164" fontId="3" fillId="0" borderId="1"/>
    <xf numFmtId="0" fontId="3" fillId="16"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16" borderId="1" applyNumberFormat="0" applyBorder="0" applyAlignment="0" applyProtection="0"/>
    <xf numFmtId="0" fontId="3" fillId="0" borderId="1"/>
    <xf numFmtId="164" fontId="3" fillId="0" borderId="1"/>
    <xf numFmtId="164" fontId="3" fillId="0" borderId="1"/>
    <xf numFmtId="0" fontId="3" fillId="16" borderId="1" applyNumberFormat="0" applyBorder="0" applyAlignment="0" applyProtection="0"/>
    <xf numFmtId="0" fontId="3" fillId="0" borderId="1"/>
    <xf numFmtId="0" fontId="3" fillId="0" borderId="1"/>
    <xf numFmtId="164" fontId="3" fillId="0" borderId="1"/>
    <xf numFmtId="164" fontId="3" fillId="0" borderId="1"/>
    <xf numFmtId="0" fontId="3" fillId="16" borderId="1" applyNumberFormat="0" applyBorder="0" applyAlignment="0" applyProtection="0"/>
    <xf numFmtId="44" fontId="3" fillId="0" borderId="1" applyFont="0" applyFill="0" applyBorder="0" applyAlignment="0" applyProtection="0"/>
    <xf numFmtId="0" fontId="3" fillId="16" borderId="1" applyNumberFormat="0" applyBorder="0" applyAlignment="0" applyProtection="0"/>
    <xf numFmtId="0" fontId="3" fillId="21" borderId="1" applyNumberFormat="0" applyBorder="0" applyAlignment="0" applyProtection="0"/>
    <xf numFmtId="0" fontId="3" fillId="16" borderId="1" applyNumberFormat="0" applyBorder="0" applyAlignment="0" applyProtection="0"/>
    <xf numFmtId="164" fontId="3" fillId="0" borderId="1"/>
    <xf numFmtId="0" fontId="3" fillId="16" borderId="1" applyNumberFormat="0" applyBorder="0" applyAlignment="0" applyProtection="0"/>
    <xf numFmtId="0" fontId="3" fillId="0" borderId="1"/>
    <xf numFmtId="0" fontId="3" fillId="5" borderId="1" applyNumberFormat="0" applyBorder="0" applyAlignment="0" applyProtection="0"/>
    <xf numFmtId="164" fontId="3" fillId="0" borderId="1"/>
    <xf numFmtId="0" fontId="44" fillId="33" borderId="1" applyNumberFormat="0" applyBorder="0" applyAlignment="0" applyProtection="0"/>
    <xf numFmtId="0" fontId="3" fillId="16"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16" borderId="1" applyNumberFormat="0" applyBorder="0" applyAlignment="0" applyProtection="0"/>
    <xf numFmtId="0" fontId="33" fillId="0" borderId="1"/>
    <xf numFmtId="0" fontId="3" fillId="5" borderId="1" applyNumberFormat="0" applyBorder="0" applyAlignment="0" applyProtection="0"/>
    <xf numFmtId="164" fontId="3" fillId="0" borderId="1"/>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0" fontId="44" fillId="33" borderId="1" applyNumberFormat="0" applyBorder="0" applyAlignment="0" applyProtection="0"/>
    <xf numFmtId="0" fontId="3" fillId="0" borderId="1"/>
    <xf numFmtId="164" fontId="3" fillId="0" borderId="1"/>
    <xf numFmtId="164" fontId="3" fillId="0" borderId="1"/>
    <xf numFmtId="0" fontId="3" fillId="16" borderId="1" applyNumberFormat="0" applyBorder="0" applyAlignment="0" applyProtection="0"/>
    <xf numFmtId="164" fontId="3" fillId="0" borderId="1"/>
    <xf numFmtId="164" fontId="3" fillId="0" borderId="1"/>
    <xf numFmtId="0" fontId="3" fillId="16" borderId="1" applyNumberFormat="0" applyBorder="0" applyAlignment="0" applyProtection="0"/>
    <xf numFmtId="0" fontId="3" fillId="21" borderId="1" applyNumberFormat="0" applyBorder="0" applyAlignment="0" applyProtection="0"/>
    <xf numFmtId="0" fontId="3" fillId="16" borderId="1" applyNumberFormat="0" applyBorder="0" applyAlignment="0" applyProtection="0"/>
    <xf numFmtId="0" fontId="3" fillId="0" borderId="1"/>
    <xf numFmtId="0" fontId="3" fillId="0" borderId="1"/>
    <xf numFmtId="0" fontId="3" fillId="21" borderId="1" applyNumberFormat="0" applyBorder="0" applyAlignment="0" applyProtection="0"/>
    <xf numFmtId="0" fontId="3" fillId="16" borderId="1" applyNumberFormat="0" applyBorder="0" applyAlignment="0" applyProtection="0"/>
    <xf numFmtId="0" fontId="3" fillId="16" borderId="1" applyNumberFormat="0" applyBorder="0" applyAlignment="0" applyProtection="0"/>
    <xf numFmtId="0" fontId="3" fillId="0" borderId="1"/>
    <xf numFmtId="0" fontId="3" fillId="0" borderId="1"/>
    <xf numFmtId="0" fontId="34" fillId="34" borderId="1" applyNumberFormat="0" applyBorder="0" applyAlignment="0" applyProtection="0"/>
    <xf numFmtId="0" fontId="34" fillId="34" borderId="1" applyNumberFormat="0" applyBorder="0" applyAlignment="0" applyProtection="0"/>
    <xf numFmtId="0" fontId="3" fillId="24" borderId="1" applyNumberFormat="0" applyBorder="0" applyAlignment="0" applyProtection="0"/>
    <xf numFmtId="43" fontId="3" fillId="0" borderId="1" applyFont="0" applyFill="0" applyBorder="0" applyAlignment="0" applyProtection="0"/>
    <xf numFmtId="0" fontId="3" fillId="0" borderId="1"/>
    <xf numFmtId="0" fontId="3" fillId="0" borderId="1"/>
    <xf numFmtId="0" fontId="3" fillId="24" borderId="1" applyNumberFormat="0" applyBorder="0" applyAlignment="0" applyProtection="0"/>
    <xf numFmtId="0" fontId="3" fillId="0" borderId="1"/>
    <xf numFmtId="0" fontId="3" fillId="0" borderId="1"/>
    <xf numFmtId="43" fontId="3" fillId="0" borderId="1" applyFont="0" applyFill="0" applyBorder="0" applyAlignment="0" applyProtection="0"/>
    <xf numFmtId="0" fontId="3" fillId="24" borderId="1" applyNumberFormat="0" applyBorder="0" applyAlignment="0" applyProtection="0"/>
    <xf numFmtId="0" fontId="3" fillId="0" borderId="1"/>
    <xf numFmtId="0" fontId="3" fillId="0" borderId="1"/>
    <xf numFmtId="0" fontId="3" fillId="0" borderId="1"/>
    <xf numFmtId="0" fontId="3" fillId="0" borderId="1"/>
    <xf numFmtId="0" fontId="3" fillId="24" borderId="1" applyNumberFormat="0" applyBorder="0" applyAlignment="0" applyProtection="0"/>
    <xf numFmtId="0" fontId="3" fillId="0" borderId="1"/>
    <xf numFmtId="0" fontId="3" fillId="0" borderId="1"/>
    <xf numFmtId="0" fontId="3" fillId="24" borderId="1" applyNumberFormat="0" applyBorder="0" applyAlignment="0" applyProtection="0"/>
    <xf numFmtId="0" fontId="3" fillId="0" borderId="1"/>
    <xf numFmtId="0" fontId="3" fillId="0" borderId="1"/>
    <xf numFmtId="0" fontId="3" fillId="24" borderId="1" applyNumberFormat="0" applyBorder="0" applyAlignment="0" applyProtection="0"/>
    <xf numFmtId="0" fontId="3" fillId="0" borderId="1"/>
    <xf numFmtId="0" fontId="3" fillId="0" borderId="1"/>
    <xf numFmtId="0" fontId="3" fillId="24" borderId="1" applyNumberFormat="0" applyBorder="0" applyAlignment="0" applyProtection="0"/>
    <xf numFmtId="0" fontId="3" fillId="24" borderId="1" applyNumberFormat="0" applyBorder="0" applyAlignment="0" applyProtection="0"/>
    <xf numFmtId="0" fontId="3" fillId="0" borderId="1"/>
    <xf numFmtId="164" fontId="3" fillId="0" borderId="1"/>
    <xf numFmtId="164" fontId="3" fillId="0" borderId="1"/>
    <xf numFmtId="0" fontId="3" fillId="0" borderId="1"/>
    <xf numFmtId="0" fontId="3" fillId="24"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0" fontId="3" fillId="0" borderId="1"/>
    <xf numFmtId="0" fontId="3" fillId="24" borderId="1" applyNumberFormat="0" applyBorder="0" applyAlignment="0" applyProtection="0"/>
    <xf numFmtId="0" fontId="3" fillId="24"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21"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0" fontId="3" fillId="0" borderId="1"/>
    <xf numFmtId="0" fontId="3" fillId="0" borderId="1"/>
    <xf numFmtId="164" fontId="3" fillId="0" borderId="1"/>
    <xf numFmtId="0" fontId="3" fillId="21" borderId="1" applyNumberFormat="0" applyBorder="0" applyAlignment="0" applyProtection="0"/>
    <xf numFmtId="164" fontId="3" fillId="0" borderId="1"/>
    <xf numFmtId="164" fontId="3" fillId="0" borderId="1"/>
    <xf numFmtId="164" fontId="3" fillId="0" borderId="1"/>
    <xf numFmtId="0" fontId="3" fillId="24"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21" borderId="1" applyNumberFormat="0" applyBorder="0" applyAlignment="0" applyProtection="0"/>
    <xf numFmtId="164" fontId="3" fillId="0" borderId="1"/>
    <xf numFmtId="0" fontId="3" fillId="21" borderId="1" applyNumberFormat="0" applyBorder="0" applyAlignment="0" applyProtection="0"/>
    <xf numFmtId="0" fontId="3" fillId="24" borderId="1" applyNumberFormat="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164" fontId="3" fillId="0" borderId="1"/>
    <xf numFmtId="0" fontId="3" fillId="21" borderId="1" applyNumberFormat="0" applyBorder="0" applyAlignment="0" applyProtection="0"/>
    <xf numFmtId="164" fontId="3" fillId="0" borderId="1"/>
    <xf numFmtId="0" fontId="3" fillId="24" borderId="1" applyNumberFormat="0" applyBorder="0" applyAlignment="0" applyProtection="0"/>
    <xf numFmtId="164" fontId="3" fillId="0" borderId="1"/>
    <xf numFmtId="0" fontId="3" fillId="21" borderId="1" applyNumberFormat="0" applyBorder="0" applyAlignment="0" applyProtection="0"/>
    <xf numFmtId="0" fontId="3" fillId="24" borderId="1" applyNumberFormat="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24" borderId="1" applyNumberFormat="0" applyBorder="0" applyAlignment="0" applyProtection="0"/>
    <xf numFmtId="0" fontId="3" fillId="0" borderId="1"/>
    <xf numFmtId="0" fontId="3" fillId="5" borderId="1" applyNumberFormat="0" applyBorder="0" applyAlignment="0" applyProtection="0"/>
    <xf numFmtId="164" fontId="3" fillId="0" borderId="1"/>
    <xf numFmtId="164" fontId="3" fillId="0" borderId="1"/>
    <xf numFmtId="0" fontId="3" fillId="0" borderId="1"/>
    <xf numFmtId="0" fontId="3" fillId="24" borderId="1" applyNumberFormat="0" applyBorder="0" applyAlignment="0" applyProtection="0"/>
    <xf numFmtId="164" fontId="3" fillId="0" borderId="1"/>
    <xf numFmtId="164" fontId="3" fillId="0" borderId="1"/>
    <xf numFmtId="0" fontId="3" fillId="0" borderId="1"/>
    <xf numFmtId="0" fontId="3" fillId="24" borderId="1" applyNumberFormat="0" applyBorder="0" applyAlignment="0" applyProtection="0"/>
    <xf numFmtId="0" fontId="3" fillId="0" borderId="1"/>
    <xf numFmtId="0" fontId="3" fillId="24" borderId="1" applyNumberFormat="0" applyBorder="0" applyAlignment="0" applyProtection="0"/>
    <xf numFmtId="164" fontId="3" fillId="0" borderId="1"/>
    <xf numFmtId="0" fontId="3" fillId="21" borderId="1" applyNumberFormat="0" applyBorder="0" applyAlignment="0" applyProtection="0"/>
    <xf numFmtId="0" fontId="3" fillId="0" borderId="1"/>
    <xf numFmtId="0" fontId="3" fillId="24"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0" borderId="1"/>
    <xf numFmtId="0" fontId="3" fillId="0" borderId="1"/>
    <xf numFmtId="164" fontId="3" fillId="0" borderId="1"/>
    <xf numFmtId="164" fontId="3" fillId="0" borderId="1"/>
    <xf numFmtId="0" fontId="3" fillId="24" borderId="1" applyNumberFormat="0" applyBorder="0" applyAlignment="0" applyProtection="0"/>
    <xf numFmtId="0" fontId="3" fillId="0" borderId="1"/>
    <xf numFmtId="0" fontId="3" fillId="0" borderId="1"/>
    <xf numFmtId="0" fontId="3" fillId="0" borderId="1"/>
    <xf numFmtId="0" fontId="3" fillId="0" borderId="1"/>
    <xf numFmtId="0" fontId="3" fillId="24" borderId="1" applyNumberFormat="0" applyBorder="0" applyAlignment="0" applyProtection="0"/>
    <xf numFmtId="0" fontId="3" fillId="24" borderId="1" applyNumberFormat="0" applyBorder="0" applyAlignment="0" applyProtection="0"/>
    <xf numFmtId="164" fontId="3" fillId="0" borderId="1"/>
    <xf numFmtId="164" fontId="3" fillId="0" borderId="1"/>
    <xf numFmtId="0" fontId="3" fillId="24" borderId="1" applyNumberFormat="0" applyBorder="0" applyAlignment="0" applyProtection="0"/>
    <xf numFmtId="164" fontId="3" fillId="0" borderId="1"/>
    <xf numFmtId="164" fontId="3" fillId="0" borderId="1"/>
    <xf numFmtId="0" fontId="3" fillId="24" borderId="1" applyNumberFormat="0" applyBorder="0" applyAlignment="0" applyProtection="0"/>
    <xf numFmtId="44" fontId="3" fillId="0" borderId="1" applyFont="0" applyFill="0" applyBorder="0" applyAlignment="0" applyProtection="0"/>
    <xf numFmtId="0" fontId="3" fillId="0" borderId="1"/>
    <xf numFmtId="0" fontId="3" fillId="24" borderId="1" applyNumberFormat="0" applyBorder="0" applyAlignment="0" applyProtection="0"/>
    <xf numFmtId="43" fontId="3" fillId="0" borderId="1" applyFont="0" applyFill="0" applyBorder="0" applyAlignment="0" applyProtection="0"/>
    <xf numFmtId="164" fontId="3" fillId="0" borderId="1"/>
    <xf numFmtId="164" fontId="3" fillId="0" borderId="1"/>
    <xf numFmtId="0" fontId="3" fillId="24" borderId="1" applyNumberFormat="0" applyBorder="0" applyAlignment="0" applyProtection="0"/>
    <xf numFmtId="44" fontId="3" fillId="0" borderId="1" applyFont="0" applyFill="0" applyBorder="0" applyAlignment="0" applyProtection="0"/>
    <xf numFmtId="0" fontId="3" fillId="24"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164" fontId="3" fillId="0" borderId="1"/>
    <xf numFmtId="164" fontId="3" fillId="0" borderId="1"/>
    <xf numFmtId="164" fontId="3" fillId="0" borderId="1"/>
    <xf numFmtId="0" fontId="3" fillId="0" borderId="1"/>
    <xf numFmtId="0" fontId="3" fillId="24" borderId="1" applyNumberFormat="0" applyBorder="0" applyAlignment="0" applyProtection="0"/>
    <xf numFmtId="0" fontId="3" fillId="0" borderId="1"/>
    <xf numFmtId="0" fontId="3" fillId="0" borderId="1"/>
    <xf numFmtId="0" fontId="3" fillId="0" borderId="1"/>
    <xf numFmtId="0" fontId="33" fillId="0" borderId="1"/>
    <xf numFmtId="0" fontId="3" fillId="0" borderId="1"/>
    <xf numFmtId="0" fontId="3" fillId="24" borderId="1" applyNumberFormat="0" applyBorder="0" applyAlignment="0" applyProtection="0"/>
    <xf numFmtId="164" fontId="3" fillId="0" borderId="1"/>
    <xf numFmtId="164" fontId="3" fillId="0" borderId="1"/>
    <xf numFmtId="0" fontId="3" fillId="0" borderId="1"/>
    <xf numFmtId="0" fontId="3" fillId="24" borderId="1" applyNumberFormat="0" applyBorder="0" applyAlignment="0" applyProtection="0"/>
    <xf numFmtId="0" fontId="34" fillId="34"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0" fontId="3" fillId="0" borderId="1"/>
    <xf numFmtId="164" fontId="3" fillId="0" borderId="1"/>
    <xf numFmtId="164" fontId="3" fillId="0" borderId="1"/>
    <xf numFmtId="0" fontId="3" fillId="24"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24"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0" fontId="3" fillId="24" borderId="1" applyNumberFormat="0" applyBorder="0" applyAlignment="0" applyProtection="0"/>
    <xf numFmtId="164" fontId="3" fillId="0" borderId="1"/>
    <xf numFmtId="0" fontId="3" fillId="24" borderId="1" applyNumberFormat="0" applyBorder="0" applyAlignment="0" applyProtection="0"/>
    <xf numFmtId="0" fontId="3" fillId="0" borderId="1"/>
    <xf numFmtId="164" fontId="3" fillId="0" borderId="1"/>
    <xf numFmtId="0" fontId="3" fillId="24" borderId="1" applyNumberFormat="0" applyBorder="0" applyAlignment="0" applyProtection="0"/>
    <xf numFmtId="164" fontId="3" fillId="0" borderId="1"/>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24" borderId="1" applyNumberFormat="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24" borderId="1" applyNumberFormat="0" applyBorder="0" applyAlignment="0" applyProtection="0"/>
    <xf numFmtId="164" fontId="3" fillId="0" borderId="1"/>
    <xf numFmtId="164" fontId="3" fillId="0" borderId="1"/>
    <xf numFmtId="0" fontId="3" fillId="0" borderId="1"/>
    <xf numFmtId="0" fontId="3" fillId="24" borderId="1" applyNumberFormat="0" applyBorder="0" applyAlignment="0" applyProtection="0"/>
    <xf numFmtId="0" fontId="3" fillId="0" borderId="1"/>
    <xf numFmtId="0" fontId="3" fillId="24" borderId="1" applyNumberFormat="0" applyBorder="0" applyAlignment="0" applyProtection="0"/>
    <xf numFmtId="0" fontId="3" fillId="0" borderId="1"/>
    <xf numFmtId="0" fontId="3" fillId="24" borderId="1" applyNumberFormat="0" applyBorder="0" applyAlignment="0" applyProtection="0"/>
    <xf numFmtId="0" fontId="3" fillId="0" borderId="1"/>
    <xf numFmtId="0" fontId="3" fillId="24" borderId="1" applyNumberFormat="0" applyBorder="0" applyAlignment="0" applyProtection="0"/>
    <xf numFmtId="0" fontId="3" fillId="24" borderId="1" applyNumberFormat="0" applyBorder="0" applyAlignment="0" applyProtection="0"/>
    <xf numFmtId="0" fontId="3" fillId="0" borderId="1"/>
    <xf numFmtId="0" fontId="3" fillId="0" borderId="1"/>
    <xf numFmtId="0" fontId="3" fillId="24"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43" fontId="3" fillId="0" borderId="1" applyFont="0" applyFill="0" applyBorder="0" applyAlignment="0" applyProtection="0"/>
    <xf numFmtId="0" fontId="3" fillId="0" borderId="1"/>
    <xf numFmtId="0" fontId="3" fillId="0" borderId="1"/>
    <xf numFmtId="0" fontId="3" fillId="5" borderId="1" applyNumberFormat="0" applyBorder="0" applyAlignment="0" applyProtection="0"/>
    <xf numFmtId="0" fontId="3" fillId="24" borderId="1" applyNumberFormat="0" applyBorder="0" applyAlignment="0" applyProtection="0"/>
    <xf numFmtId="0" fontId="3" fillId="0" borderId="1"/>
    <xf numFmtId="0" fontId="3" fillId="0" borderId="1"/>
    <xf numFmtId="0" fontId="3" fillId="0" borderId="1"/>
    <xf numFmtId="0" fontId="3" fillId="21" borderId="1" applyNumberFormat="0" applyBorder="0" applyAlignment="0" applyProtection="0"/>
    <xf numFmtId="44" fontId="3" fillId="0" borderId="1" applyFont="0" applyFill="0" applyBorder="0" applyAlignment="0" applyProtection="0"/>
    <xf numFmtId="0" fontId="3" fillId="24" borderId="1" applyNumberFormat="0" applyBorder="0" applyAlignment="0" applyProtection="0"/>
    <xf numFmtId="0" fontId="3" fillId="24" borderId="1" applyNumberFormat="0" applyBorder="0" applyAlignment="0" applyProtection="0"/>
    <xf numFmtId="165" fontId="33" fillId="0" borderId="1" applyFont="0" applyFill="0" applyBorder="0" applyAlignment="0" applyProtection="0"/>
    <xf numFmtId="0" fontId="3" fillId="24" borderId="1" applyNumberFormat="0" applyBorder="0" applyAlignment="0" applyProtection="0"/>
    <xf numFmtId="165" fontId="33" fillId="0" borderId="1" applyFont="0" applyFill="0" applyBorder="0" applyAlignment="0" applyProtection="0"/>
    <xf numFmtId="0" fontId="3" fillId="0" borderId="1"/>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0" fontId="3" fillId="0" borderId="1"/>
    <xf numFmtId="165" fontId="33" fillId="0" borderId="1" applyFont="0" applyFill="0" applyBorder="0" applyAlignment="0" applyProtection="0"/>
    <xf numFmtId="0" fontId="3" fillId="24" borderId="1" applyNumberFormat="0" applyBorder="0" applyAlignment="0" applyProtection="0"/>
    <xf numFmtId="0" fontId="3" fillId="24" borderId="1" applyNumberFormat="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24" borderId="1" applyNumberFormat="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0" fontId="3" fillId="24" borderId="1" applyNumberFormat="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24" borderId="1" applyNumberFormat="0" applyBorder="0" applyAlignment="0" applyProtection="0"/>
    <xf numFmtId="164" fontId="3" fillId="0" borderId="1"/>
    <xf numFmtId="0" fontId="3" fillId="0" borderId="1"/>
    <xf numFmtId="0" fontId="35" fillId="0" borderId="1" applyNumberFormat="0" applyFill="0" applyBorder="0" applyAlignment="0" applyProtection="0"/>
    <xf numFmtId="164" fontId="3" fillId="0" borderId="1"/>
    <xf numFmtId="0" fontId="3" fillId="5" borderId="1" applyNumberFormat="0" applyBorder="0" applyAlignment="0" applyProtection="0"/>
    <xf numFmtId="0" fontId="3" fillId="24" borderId="1" applyNumberFormat="0" applyBorder="0" applyAlignment="0" applyProtection="0"/>
    <xf numFmtId="164" fontId="3" fillId="0" borderId="1"/>
    <xf numFmtId="164" fontId="3" fillId="0" borderId="1"/>
    <xf numFmtId="164" fontId="3" fillId="0" borderId="1"/>
    <xf numFmtId="0" fontId="3" fillId="24" borderId="1" applyNumberFormat="0" applyBorder="0" applyAlignment="0" applyProtection="0"/>
    <xf numFmtId="0" fontId="3" fillId="24" borderId="1" applyNumberFormat="0" applyBorder="0" applyAlignment="0" applyProtection="0"/>
    <xf numFmtId="164" fontId="3" fillId="0" borderId="1"/>
    <xf numFmtId="0" fontId="3" fillId="24" borderId="1" applyNumberFormat="0" applyBorder="0" applyAlignment="0" applyProtection="0"/>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21" borderId="1" applyNumberFormat="0" applyBorder="0" applyAlignment="0" applyProtection="0"/>
    <xf numFmtId="0" fontId="3" fillId="24" borderId="1" applyNumberFormat="0" applyBorder="0" applyAlignment="0" applyProtection="0"/>
    <xf numFmtId="0" fontId="3" fillId="21" borderId="1" applyNumberFormat="0" applyBorder="0" applyAlignment="0" applyProtection="0"/>
    <xf numFmtId="0" fontId="3" fillId="24" borderId="1" applyNumberFormat="0" applyBorder="0" applyAlignment="0" applyProtection="0"/>
    <xf numFmtId="164" fontId="3" fillId="0" borderId="1"/>
    <xf numFmtId="164" fontId="3" fillId="0" borderId="1"/>
    <xf numFmtId="0" fontId="3" fillId="0" borderId="1"/>
    <xf numFmtId="164" fontId="3" fillId="0" borderId="1"/>
    <xf numFmtId="43" fontId="3" fillId="0" borderId="1" applyFont="0" applyFill="0" applyBorder="0" applyAlignment="0" applyProtection="0"/>
    <xf numFmtId="164" fontId="3" fillId="0" borderId="1"/>
    <xf numFmtId="164" fontId="3" fillId="0" borderId="1"/>
    <xf numFmtId="164" fontId="3" fillId="0" borderId="1"/>
    <xf numFmtId="0" fontId="3" fillId="0" borderId="1"/>
    <xf numFmtId="0" fontId="3" fillId="0" borderId="1"/>
    <xf numFmtId="164" fontId="3" fillId="0" borderId="1"/>
    <xf numFmtId="0" fontId="3" fillId="24" borderId="1" applyNumberFormat="0" applyBorder="0" applyAlignment="0" applyProtection="0"/>
    <xf numFmtId="164" fontId="3" fillId="0" borderId="1"/>
    <xf numFmtId="164" fontId="3" fillId="0" borderId="1"/>
    <xf numFmtId="0" fontId="3" fillId="0" borderId="1"/>
    <xf numFmtId="164" fontId="3" fillId="0" borderId="1"/>
    <xf numFmtId="43" fontId="3" fillId="0" borderId="1" applyFont="0" applyFill="0" applyBorder="0" applyAlignment="0" applyProtection="0"/>
    <xf numFmtId="164" fontId="3" fillId="0" borderId="1"/>
    <xf numFmtId="0" fontId="3" fillId="0" borderId="1"/>
    <xf numFmtId="0" fontId="3" fillId="21"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0" fontId="3" fillId="24" borderId="1" applyNumberFormat="0" applyBorder="0" applyAlignment="0" applyProtection="0"/>
    <xf numFmtId="0" fontId="3" fillId="24" borderId="1" applyNumberFormat="0" applyBorder="0" applyAlignment="0" applyProtection="0"/>
    <xf numFmtId="0" fontId="3" fillId="0" borderId="1"/>
    <xf numFmtId="44" fontId="3" fillId="0" borderId="1" applyFont="0" applyFill="0" applyBorder="0" applyAlignment="0" applyProtection="0"/>
    <xf numFmtId="0" fontId="3" fillId="21"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0" fontId="3" fillId="24" borderId="1" applyNumberFormat="0" applyBorder="0" applyAlignment="0" applyProtection="0"/>
    <xf numFmtId="0" fontId="3" fillId="21" borderId="1" applyNumberFormat="0" applyBorder="0" applyAlignment="0" applyProtection="0"/>
    <xf numFmtId="0" fontId="3" fillId="0" borderId="1"/>
    <xf numFmtId="0" fontId="3" fillId="0" borderId="1"/>
    <xf numFmtId="0" fontId="3" fillId="0" borderId="1"/>
    <xf numFmtId="164" fontId="3" fillId="0" borderId="1"/>
    <xf numFmtId="0" fontId="3" fillId="24" borderId="1" applyNumberFormat="0" applyBorder="0" applyAlignment="0" applyProtection="0"/>
    <xf numFmtId="0" fontId="3" fillId="24"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164" fontId="3" fillId="0" borderId="1"/>
    <xf numFmtId="0" fontId="3" fillId="0" borderId="1"/>
    <xf numFmtId="0" fontId="3" fillId="5"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0" fontId="3" fillId="0" borderId="1"/>
    <xf numFmtId="0" fontId="3" fillId="24" borderId="1" applyNumberFormat="0" applyBorder="0" applyAlignment="0" applyProtection="0"/>
    <xf numFmtId="164" fontId="3" fillId="0" borderId="1"/>
    <xf numFmtId="164" fontId="3" fillId="0" borderId="1"/>
    <xf numFmtId="0" fontId="3" fillId="24" borderId="1" applyNumberFormat="0" applyBorder="0" applyAlignment="0" applyProtection="0"/>
    <xf numFmtId="164" fontId="3" fillId="0" borderId="1"/>
    <xf numFmtId="164" fontId="3" fillId="0" borderId="1"/>
    <xf numFmtId="0" fontId="3" fillId="24" borderId="1" applyNumberFormat="0" applyBorder="0" applyAlignment="0" applyProtection="0"/>
    <xf numFmtId="44" fontId="3" fillId="0" borderId="1" applyFont="0" applyFill="0" applyBorder="0" applyAlignment="0" applyProtection="0"/>
    <xf numFmtId="164" fontId="3" fillId="0" borderId="1"/>
    <xf numFmtId="164" fontId="3" fillId="0" borderId="1"/>
    <xf numFmtId="0" fontId="3" fillId="24" borderId="1" applyNumberFormat="0" applyBorder="0" applyAlignment="0" applyProtection="0"/>
    <xf numFmtId="164" fontId="3" fillId="0" borderId="1"/>
    <xf numFmtId="164" fontId="3" fillId="0" borderId="1"/>
    <xf numFmtId="0" fontId="3" fillId="24"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164" fontId="3" fillId="0" borderId="1"/>
    <xf numFmtId="164" fontId="3" fillId="0" borderId="1"/>
    <xf numFmtId="164" fontId="3" fillId="0" borderId="1"/>
    <xf numFmtId="0" fontId="3" fillId="0" borderId="1"/>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164" fontId="3" fillId="0" borderId="1"/>
    <xf numFmtId="164" fontId="3" fillId="0" borderId="1"/>
    <xf numFmtId="0" fontId="3" fillId="24" borderId="1" applyNumberFormat="0" applyBorder="0" applyAlignment="0" applyProtection="0"/>
    <xf numFmtId="164" fontId="3" fillId="0" borderId="1"/>
    <xf numFmtId="0" fontId="3" fillId="24" borderId="1" applyNumberFormat="0" applyBorder="0" applyAlignment="0" applyProtection="0"/>
    <xf numFmtId="164" fontId="3" fillId="0" borderId="1"/>
    <xf numFmtId="164" fontId="3" fillId="0" borderId="1"/>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164" fontId="3" fillId="0" borderId="1"/>
    <xf numFmtId="0" fontId="3" fillId="24" borderId="1" applyNumberFormat="0" applyBorder="0" applyAlignment="0" applyProtection="0"/>
    <xf numFmtId="0" fontId="3" fillId="24" borderId="1" applyNumberFormat="0" applyBorder="0" applyAlignment="0" applyProtection="0"/>
    <xf numFmtId="0" fontId="3" fillId="24" borderId="1" applyNumberFormat="0" applyBorder="0" applyAlignment="0" applyProtection="0"/>
    <xf numFmtId="0" fontId="3" fillId="21" borderId="1" applyNumberFormat="0" applyBorder="0" applyAlignment="0" applyProtection="0"/>
    <xf numFmtId="0" fontId="3" fillId="24"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0" fontId="3" fillId="0" borderId="1"/>
    <xf numFmtId="0" fontId="3" fillId="0" borderId="1"/>
    <xf numFmtId="0" fontId="3" fillId="24" borderId="1" applyNumberFormat="0" applyBorder="0" applyAlignment="0" applyProtection="0"/>
    <xf numFmtId="44" fontId="3" fillId="0" borderId="1" applyFont="0" applyFill="0" applyBorder="0" applyAlignment="0" applyProtection="0"/>
    <xf numFmtId="0" fontId="3" fillId="24" borderId="1" applyNumberFormat="0" applyBorder="0" applyAlignment="0" applyProtection="0"/>
    <xf numFmtId="44" fontId="3" fillId="0" borderId="1" applyFont="0" applyFill="0" applyBorder="0" applyAlignment="0" applyProtection="0"/>
    <xf numFmtId="0" fontId="34" fillId="37" borderId="1" applyNumberFormat="0" applyBorder="0" applyAlignment="0" applyProtection="0"/>
    <xf numFmtId="0" fontId="3" fillId="21" borderId="1" applyNumberFormat="0" applyBorder="0" applyAlignment="0" applyProtection="0"/>
    <xf numFmtId="0" fontId="3" fillId="21"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0" fontId="3" fillId="0" borderId="1"/>
    <xf numFmtId="0" fontId="3" fillId="21" borderId="1" applyNumberFormat="0" applyBorder="0" applyAlignment="0" applyProtection="0"/>
    <xf numFmtId="44" fontId="3" fillId="0" borderId="1" applyFont="0" applyFill="0" applyBorder="0" applyAlignment="0" applyProtection="0"/>
    <xf numFmtId="0" fontId="3" fillId="0" borderId="1"/>
    <xf numFmtId="0" fontId="3" fillId="21"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21" borderId="1" applyNumberFormat="0" applyBorder="0" applyAlignment="0" applyProtection="0"/>
    <xf numFmtId="0" fontId="3" fillId="0" borderId="1"/>
    <xf numFmtId="0" fontId="3" fillId="21" borderId="1" applyNumberFormat="0" applyBorder="0" applyAlignment="0" applyProtection="0"/>
    <xf numFmtId="44" fontId="3" fillId="0" borderId="1" applyFont="0" applyFill="0" applyBorder="0" applyAlignment="0" applyProtection="0"/>
    <xf numFmtId="164" fontId="3" fillId="0" borderId="1"/>
    <xf numFmtId="0" fontId="3" fillId="21" borderId="1" applyNumberFormat="0" applyBorder="0" applyAlignment="0" applyProtection="0"/>
    <xf numFmtId="0" fontId="3" fillId="21"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164" fontId="3" fillId="0" borderId="1"/>
    <xf numFmtId="164" fontId="3" fillId="0" borderId="1"/>
    <xf numFmtId="0" fontId="3" fillId="0" borderId="1"/>
    <xf numFmtId="0" fontId="3" fillId="21" borderId="1" applyNumberFormat="0" applyBorder="0" applyAlignment="0" applyProtection="0"/>
    <xf numFmtId="164" fontId="3" fillId="0" borderId="1"/>
    <xf numFmtId="0" fontId="34" fillId="37"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21" borderId="1" applyNumberFormat="0" applyBorder="0" applyAlignment="0" applyProtection="0"/>
    <xf numFmtId="0" fontId="3" fillId="0" borderId="1"/>
    <xf numFmtId="0" fontId="3" fillId="5" borderId="1" applyNumberFormat="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21" borderId="1" applyNumberFormat="0" applyBorder="0" applyAlignment="0" applyProtection="0"/>
    <xf numFmtId="0" fontId="3" fillId="5" borderId="1" applyNumberFormat="0" applyBorder="0" applyAlignment="0" applyProtection="0"/>
    <xf numFmtId="0" fontId="3" fillId="0" borderId="1"/>
    <xf numFmtId="164" fontId="3" fillId="0" borderId="1"/>
    <xf numFmtId="164" fontId="3" fillId="0" borderId="1"/>
    <xf numFmtId="0" fontId="3" fillId="21" borderId="1" applyNumberFormat="0" applyBorder="0" applyAlignment="0" applyProtection="0"/>
    <xf numFmtId="0" fontId="3" fillId="0" borderId="1"/>
    <xf numFmtId="0" fontId="3" fillId="5"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21" borderId="1" applyNumberFormat="0" applyBorder="0" applyAlignment="0" applyProtection="0"/>
    <xf numFmtId="0" fontId="3" fillId="5" borderId="1" applyNumberFormat="0" applyBorder="0" applyAlignment="0" applyProtection="0"/>
    <xf numFmtId="164" fontId="3" fillId="0" borderId="1"/>
    <xf numFmtId="164" fontId="3" fillId="0" borderId="1"/>
    <xf numFmtId="0" fontId="3" fillId="0" borderId="1"/>
    <xf numFmtId="164" fontId="3" fillId="0" borderId="1"/>
    <xf numFmtId="164" fontId="3" fillId="0" borderId="1"/>
    <xf numFmtId="0" fontId="3" fillId="21" borderId="1" applyNumberFormat="0" applyBorder="0" applyAlignment="0" applyProtection="0"/>
    <xf numFmtId="164" fontId="3" fillId="0" borderId="1"/>
    <xf numFmtId="164" fontId="3" fillId="0" borderId="1"/>
    <xf numFmtId="0" fontId="3" fillId="5" borderId="1" applyNumberFormat="0" applyBorder="0" applyAlignment="0" applyProtection="0"/>
    <xf numFmtId="164" fontId="3" fillId="0" borderId="1"/>
    <xf numFmtId="164" fontId="3" fillId="0" borderId="1"/>
    <xf numFmtId="0" fontId="3" fillId="21"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164" fontId="3" fillId="0" borderId="1"/>
    <xf numFmtId="164" fontId="3" fillId="0" borderId="1"/>
    <xf numFmtId="0" fontId="3" fillId="21"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0" borderId="1"/>
    <xf numFmtId="0" fontId="3" fillId="0" borderId="1"/>
    <xf numFmtId="0" fontId="3" fillId="21"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21" borderId="1" applyNumberFormat="0" applyBorder="0" applyAlignment="0" applyProtection="0"/>
    <xf numFmtId="0" fontId="3" fillId="0" borderId="1"/>
    <xf numFmtId="0" fontId="3" fillId="0" borderId="1"/>
    <xf numFmtId="0" fontId="3" fillId="21" borderId="1" applyNumberFormat="0" applyBorder="0" applyAlignment="0" applyProtection="0"/>
    <xf numFmtId="0" fontId="3" fillId="21" borderId="1" applyNumberFormat="0" applyBorder="0" applyAlignment="0" applyProtection="0"/>
    <xf numFmtId="0" fontId="3" fillId="21" borderId="1" applyNumberFormat="0" applyBorder="0" applyAlignment="0" applyProtection="0"/>
    <xf numFmtId="0" fontId="3" fillId="21" borderId="1" applyNumberFormat="0" applyBorder="0" applyAlignment="0" applyProtection="0"/>
    <xf numFmtId="164" fontId="3" fillId="0" borderId="1"/>
    <xf numFmtId="0" fontId="3" fillId="21" borderId="1" applyNumberFormat="0" applyBorder="0" applyAlignment="0" applyProtection="0"/>
    <xf numFmtId="164" fontId="3" fillId="0" borderId="1"/>
    <xf numFmtId="0" fontId="3" fillId="21" borderId="1" applyNumberFormat="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164" fontId="3" fillId="0" borderId="1"/>
    <xf numFmtId="0" fontId="3" fillId="21" borderId="1" applyNumberFormat="0" applyBorder="0" applyAlignment="0" applyProtection="0"/>
    <xf numFmtId="44" fontId="3" fillId="0" borderId="1" applyFont="0" applyFill="0" applyBorder="0" applyAlignment="0" applyProtection="0"/>
    <xf numFmtId="164" fontId="3" fillId="0" borderId="1"/>
    <xf numFmtId="0" fontId="3" fillId="21" borderId="1" applyNumberFormat="0" applyBorder="0" applyAlignment="0" applyProtection="0"/>
    <xf numFmtId="44" fontId="3" fillId="0" borderId="1" applyFont="0" applyFill="0" applyBorder="0" applyAlignment="0" applyProtection="0"/>
    <xf numFmtId="164" fontId="3" fillId="0" borderId="1"/>
    <xf numFmtId="0" fontId="3" fillId="21"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5" borderId="1" applyNumberFormat="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0" fontId="3" fillId="21" borderId="1" applyNumberFormat="0" applyBorder="0" applyAlignment="0" applyProtection="0"/>
    <xf numFmtId="0" fontId="3" fillId="5"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21"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21" borderId="1" applyNumberFormat="0" applyBorder="0" applyAlignment="0" applyProtection="0"/>
    <xf numFmtId="0" fontId="3" fillId="0" borderId="1"/>
    <xf numFmtId="0" fontId="3" fillId="0" borderId="1"/>
    <xf numFmtId="0" fontId="3" fillId="21" borderId="1" applyNumberFormat="0" applyBorder="0" applyAlignment="0" applyProtection="0"/>
    <xf numFmtId="0" fontId="3" fillId="21" borderId="1" applyNumberFormat="0" applyBorder="0" applyAlignment="0" applyProtection="0"/>
    <xf numFmtId="44" fontId="3" fillId="0" borderId="1" applyFont="0" applyFill="0" applyBorder="0" applyAlignment="0" applyProtection="0"/>
    <xf numFmtId="0" fontId="3" fillId="0" borderId="1"/>
    <xf numFmtId="0" fontId="3" fillId="21" borderId="1" applyNumberFormat="0" applyBorder="0" applyAlignment="0" applyProtection="0"/>
    <xf numFmtId="0" fontId="3" fillId="21" borderId="1" applyNumberFormat="0" applyBorder="0" applyAlignment="0" applyProtection="0"/>
    <xf numFmtId="0" fontId="3" fillId="0" borderId="1"/>
    <xf numFmtId="0" fontId="3" fillId="0" borderId="1"/>
    <xf numFmtId="164" fontId="3" fillId="0" borderId="1"/>
    <xf numFmtId="164" fontId="3" fillId="0" borderId="1"/>
    <xf numFmtId="0" fontId="3" fillId="21" borderId="1" applyNumberFormat="0" applyBorder="0" applyAlignment="0" applyProtection="0"/>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21" borderId="1" applyNumberFormat="0" applyBorder="0" applyAlignment="0" applyProtection="0"/>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21" borderId="1" applyNumberFormat="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43" fontId="3" fillId="0" borderId="1" applyFont="0" applyFill="0" applyBorder="0" applyAlignment="0" applyProtection="0"/>
    <xf numFmtId="164" fontId="3" fillId="0" borderId="1"/>
    <xf numFmtId="164" fontId="3" fillId="0" borderId="1"/>
    <xf numFmtId="164" fontId="3" fillId="0" borderId="1"/>
    <xf numFmtId="164" fontId="3" fillId="0" borderId="1"/>
    <xf numFmtId="0" fontId="3" fillId="21" borderId="1" applyNumberFormat="0" applyBorder="0" applyAlignment="0" applyProtection="0"/>
    <xf numFmtId="164" fontId="3" fillId="0" borderId="1"/>
    <xf numFmtId="44" fontId="3" fillId="0" borderId="1" applyFont="0" applyFill="0" applyBorder="0" applyAlignment="0" applyProtection="0"/>
    <xf numFmtId="0" fontId="3" fillId="21" borderId="1" applyNumberFormat="0" applyBorder="0" applyAlignment="0" applyProtection="0"/>
    <xf numFmtId="164" fontId="3" fillId="0" borderId="1"/>
    <xf numFmtId="0" fontId="3" fillId="21"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164" fontId="3" fillId="0" borderId="1"/>
    <xf numFmtId="164" fontId="3" fillId="0" borderId="1"/>
    <xf numFmtId="0" fontId="3" fillId="21" borderId="1" applyNumberFormat="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21"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21" borderId="1" applyNumberFormat="0" applyBorder="0" applyAlignment="0" applyProtection="0"/>
    <xf numFmtId="0" fontId="3" fillId="21" borderId="1" applyNumberFormat="0" applyBorder="0" applyAlignment="0" applyProtection="0"/>
    <xf numFmtId="0" fontId="3" fillId="0" borderId="1"/>
    <xf numFmtId="44" fontId="3" fillId="0" borderId="1" applyFont="0" applyFill="0" applyBorder="0" applyAlignment="0" applyProtection="0"/>
    <xf numFmtId="0" fontId="3" fillId="21"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0" fontId="3" fillId="21" borderId="1" applyNumberFormat="0" applyBorder="0" applyAlignment="0" applyProtection="0"/>
    <xf numFmtId="0" fontId="3" fillId="0" borderId="1"/>
    <xf numFmtId="0" fontId="3" fillId="0" borderId="1"/>
    <xf numFmtId="164" fontId="3" fillId="0" borderId="1"/>
    <xf numFmtId="0" fontId="3" fillId="21" borderId="1" applyNumberFormat="0" applyBorder="0" applyAlignment="0" applyProtection="0"/>
    <xf numFmtId="164" fontId="3" fillId="0" borderId="1"/>
    <xf numFmtId="164" fontId="3" fillId="0" borderId="1"/>
    <xf numFmtId="0" fontId="3" fillId="0" borderId="1"/>
    <xf numFmtId="164" fontId="3" fillId="0" borderId="1"/>
    <xf numFmtId="164" fontId="3" fillId="0" borderId="1"/>
    <xf numFmtId="0" fontId="3" fillId="21" borderId="1" applyNumberFormat="0" applyBorder="0" applyAlignment="0" applyProtection="0"/>
    <xf numFmtId="0" fontId="3" fillId="0" borderId="1"/>
    <xf numFmtId="164" fontId="3" fillId="0" borderId="1"/>
    <xf numFmtId="0" fontId="3" fillId="21" borderId="1" applyNumberFormat="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0" fontId="3" fillId="21" borderId="1" applyNumberFormat="0" applyBorder="0" applyAlignment="0" applyProtection="0"/>
    <xf numFmtId="164" fontId="3" fillId="0" borderId="1"/>
    <xf numFmtId="0" fontId="3" fillId="0" borderId="1"/>
    <xf numFmtId="44" fontId="3" fillId="0" borderId="1" applyFont="0" applyFill="0" applyBorder="0" applyAlignment="0" applyProtection="0"/>
    <xf numFmtId="0" fontId="3" fillId="0" borderId="1"/>
    <xf numFmtId="164" fontId="3" fillId="0" borderId="1"/>
    <xf numFmtId="0" fontId="3" fillId="21" borderId="1" applyNumberFormat="0" applyBorder="0" applyAlignment="0" applyProtection="0"/>
    <xf numFmtId="0" fontId="3" fillId="5" borderId="1" applyNumberFormat="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0" fontId="3" fillId="21" borderId="1" applyNumberFormat="0" applyBorder="0" applyAlignment="0" applyProtection="0"/>
    <xf numFmtId="0" fontId="3" fillId="21" borderId="1" applyNumberFormat="0" applyBorder="0" applyAlignment="0" applyProtection="0"/>
    <xf numFmtId="164" fontId="3" fillId="0" borderId="1"/>
    <xf numFmtId="0" fontId="3" fillId="21" borderId="1" applyNumberFormat="0" applyBorder="0" applyAlignment="0" applyProtection="0"/>
    <xf numFmtId="164" fontId="3" fillId="0" borderId="1"/>
    <xf numFmtId="164" fontId="3" fillId="0" borderId="1"/>
    <xf numFmtId="0" fontId="3" fillId="21" borderId="1" applyNumberFormat="0" applyBorder="0" applyAlignment="0" applyProtection="0"/>
    <xf numFmtId="164" fontId="3" fillId="0" borderId="1"/>
    <xf numFmtId="0" fontId="3" fillId="21" borderId="1" applyNumberFormat="0" applyBorder="0" applyAlignment="0" applyProtection="0"/>
    <xf numFmtId="164" fontId="3" fillId="0" borderId="1"/>
    <xf numFmtId="0" fontId="3" fillId="21" borderId="1" applyNumberFormat="0" applyBorder="0" applyAlignment="0" applyProtection="0"/>
    <xf numFmtId="164" fontId="3" fillId="0" borderId="1"/>
    <xf numFmtId="0" fontId="3" fillId="21" borderId="1" applyNumberFormat="0" applyBorder="0" applyAlignment="0" applyProtection="0"/>
    <xf numFmtId="164" fontId="3" fillId="0" borderId="1"/>
    <xf numFmtId="0" fontId="3" fillId="21" borderId="1" applyNumberFormat="0" applyBorder="0" applyAlignment="0" applyProtection="0"/>
    <xf numFmtId="0" fontId="3" fillId="21" borderId="1" applyNumberFormat="0" applyBorder="0" applyAlignment="0" applyProtection="0"/>
    <xf numFmtId="164" fontId="3" fillId="0" borderId="1"/>
    <xf numFmtId="0" fontId="3" fillId="21" borderId="1" applyNumberFormat="0" applyBorder="0" applyAlignment="0" applyProtection="0"/>
    <xf numFmtId="164" fontId="3" fillId="0" borderId="1"/>
    <xf numFmtId="0" fontId="3" fillId="21" borderId="1" applyNumberFormat="0" applyBorder="0" applyAlignment="0" applyProtection="0"/>
    <xf numFmtId="0" fontId="3" fillId="0" borderId="1"/>
    <xf numFmtId="0" fontId="3" fillId="0" borderId="1"/>
    <xf numFmtId="0" fontId="3" fillId="21" borderId="1" applyNumberFormat="0" applyBorder="0" applyAlignment="0" applyProtection="0"/>
    <xf numFmtId="0" fontId="3" fillId="0" borderId="1"/>
    <xf numFmtId="0" fontId="3" fillId="0" borderId="1"/>
    <xf numFmtId="164" fontId="3" fillId="0" borderId="1"/>
    <xf numFmtId="0" fontId="3" fillId="21" borderId="1" applyNumberFormat="0" applyBorder="0" applyAlignment="0" applyProtection="0"/>
    <xf numFmtId="0" fontId="3" fillId="0" borderId="1"/>
    <xf numFmtId="0" fontId="3" fillId="0" borderId="1"/>
    <xf numFmtId="0" fontId="3" fillId="21" borderId="1" applyNumberFormat="0" applyBorder="0" applyAlignment="0" applyProtection="0"/>
    <xf numFmtId="0" fontId="3" fillId="0" borderId="1"/>
    <xf numFmtId="0" fontId="3" fillId="0" borderId="1"/>
    <xf numFmtId="164" fontId="3" fillId="0" borderId="1"/>
    <xf numFmtId="0" fontId="3" fillId="21" borderId="1" applyNumberFormat="0" applyBorder="0" applyAlignment="0" applyProtection="0"/>
    <xf numFmtId="164" fontId="3" fillId="0" borderId="1"/>
    <xf numFmtId="0" fontId="3" fillId="21" borderId="1" applyNumberFormat="0" applyBorder="0" applyAlignment="0" applyProtection="0"/>
    <xf numFmtId="164" fontId="3" fillId="0" borderId="1"/>
    <xf numFmtId="0" fontId="35" fillId="0" borderId="1" applyNumberFormat="0" applyFill="0" applyBorder="0" applyAlignment="0" applyProtection="0"/>
    <xf numFmtId="0" fontId="3" fillId="21" borderId="1" applyNumberFormat="0" applyBorder="0" applyAlignment="0" applyProtection="0"/>
    <xf numFmtId="0" fontId="3" fillId="0" borderId="1"/>
    <xf numFmtId="0" fontId="3" fillId="21" borderId="1" applyNumberFormat="0" applyBorder="0" applyAlignment="0" applyProtection="0"/>
    <xf numFmtId="43" fontId="3" fillId="0" borderId="1" applyFont="0" applyFill="0" applyBorder="0" applyAlignment="0" applyProtection="0"/>
    <xf numFmtId="0" fontId="3" fillId="21"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21"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21"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21" borderId="1" applyNumberFormat="0" applyBorder="0" applyAlignment="0" applyProtection="0"/>
    <xf numFmtId="44" fontId="3" fillId="0" borderId="1" applyFont="0" applyFill="0" applyBorder="0" applyAlignment="0" applyProtection="0"/>
    <xf numFmtId="164" fontId="3" fillId="0" borderId="1"/>
    <xf numFmtId="0" fontId="3" fillId="21"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21" borderId="1" applyNumberFormat="0" applyBorder="0" applyAlignment="0" applyProtection="0"/>
    <xf numFmtId="0" fontId="3" fillId="21" borderId="1" applyNumberFormat="0" applyBorder="0" applyAlignment="0" applyProtection="0"/>
    <xf numFmtId="0" fontId="3" fillId="21" borderId="1" applyNumberFormat="0" applyBorder="0" applyAlignment="0" applyProtection="0"/>
    <xf numFmtId="0" fontId="3" fillId="0" borderId="1"/>
    <xf numFmtId="164" fontId="3" fillId="0" borderId="1"/>
    <xf numFmtId="43" fontId="34" fillId="0" borderId="1" applyFont="0" applyFill="0" applyBorder="0" applyAlignment="0" applyProtection="0"/>
    <xf numFmtId="164" fontId="3" fillId="0" borderId="1"/>
    <xf numFmtId="164" fontId="3" fillId="0" borderId="1"/>
    <xf numFmtId="0" fontId="3" fillId="21" borderId="1" applyNumberFormat="0" applyBorder="0" applyAlignment="0" applyProtection="0"/>
    <xf numFmtId="164" fontId="3" fillId="0" borderId="1"/>
    <xf numFmtId="0" fontId="3" fillId="0" borderId="1"/>
    <xf numFmtId="164" fontId="3" fillId="0" borderId="1"/>
    <xf numFmtId="164" fontId="3" fillId="0" borderId="1"/>
    <xf numFmtId="43" fontId="34" fillId="0" borderId="1" applyFont="0" applyFill="0" applyBorder="0" applyAlignment="0" applyProtection="0"/>
    <xf numFmtId="164" fontId="3" fillId="0" borderId="1"/>
    <xf numFmtId="164" fontId="3" fillId="0" borderId="1"/>
    <xf numFmtId="0" fontId="3" fillId="21" borderId="1" applyNumberFormat="0" applyBorder="0" applyAlignment="0" applyProtection="0"/>
    <xf numFmtId="0" fontId="3" fillId="21" borderId="1" applyNumberFormat="0" applyBorder="0" applyAlignment="0" applyProtection="0"/>
    <xf numFmtId="0" fontId="3" fillId="0" borderId="1"/>
    <xf numFmtId="0" fontId="3" fillId="0" borderId="1"/>
    <xf numFmtId="164" fontId="3" fillId="0" borderId="1"/>
    <xf numFmtId="43" fontId="33" fillId="0" borderId="1" applyFont="0" applyFill="0" applyBorder="0" applyAlignment="0" applyProtection="0"/>
    <xf numFmtId="164" fontId="3" fillId="0" borderId="1"/>
    <xf numFmtId="0" fontId="3" fillId="0" borderId="1"/>
    <xf numFmtId="0" fontId="3" fillId="21" borderId="1" applyNumberFormat="0" applyBorder="0" applyAlignment="0" applyProtection="0"/>
    <xf numFmtId="0" fontId="3" fillId="5" borderId="1" applyNumberFormat="0" applyBorder="0" applyAlignment="0" applyProtection="0"/>
    <xf numFmtId="0" fontId="3" fillId="21" borderId="1" applyNumberFormat="0" applyBorder="0" applyAlignment="0" applyProtection="0"/>
    <xf numFmtId="0" fontId="3" fillId="21" borderId="1" applyNumberFormat="0" applyBorder="0" applyAlignment="0" applyProtection="0"/>
    <xf numFmtId="0" fontId="3" fillId="21" borderId="1" applyNumberFormat="0" applyBorder="0" applyAlignment="0" applyProtection="0"/>
    <xf numFmtId="0" fontId="3" fillId="0" borderId="1"/>
    <xf numFmtId="0" fontId="33" fillId="20" borderId="26" applyNumberFormat="0" applyFont="0" applyAlignment="0" applyProtection="0"/>
    <xf numFmtId="0" fontId="3" fillId="21" borderId="1" applyNumberFormat="0" applyBorder="0" applyAlignment="0" applyProtection="0"/>
    <xf numFmtId="0" fontId="33" fillId="20" borderId="26" applyNumberFormat="0" applyFont="0" applyAlignment="0" applyProtection="0"/>
    <xf numFmtId="0" fontId="3" fillId="21" borderId="1" applyNumberFormat="0" applyBorder="0" applyAlignment="0" applyProtection="0"/>
    <xf numFmtId="0" fontId="3" fillId="0" borderId="1"/>
    <xf numFmtId="0" fontId="3" fillId="0" borderId="1"/>
    <xf numFmtId="164" fontId="3" fillId="0" borderId="1"/>
    <xf numFmtId="0" fontId="3" fillId="5" borderId="1" applyNumberFormat="0" applyBorder="0" applyAlignment="0" applyProtection="0"/>
    <xf numFmtId="0" fontId="33" fillId="20" borderId="26" applyNumberFormat="0" applyFont="0" applyAlignment="0" applyProtection="0"/>
    <xf numFmtId="0" fontId="3" fillId="21" borderId="1" applyNumberFormat="0" applyBorder="0" applyAlignment="0" applyProtection="0"/>
    <xf numFmtId="0" fontId="3" fillId="0" borderId="1"/>
    <xf numFmtId="164" fontId="3" fillId="0" borderId="1"/>
    <xf numFmtId="0" fontId="3" fillId="21" borderId="1" applyNumberFormat="0" applyBorder="0" applyAlignment="0" applyProtection="0"/>
    <xf numFmtId="0" fontId="3" fillId="21" borderId="1" applyNumberFormat="0" applyBorder="0" applyAlignment="0" applyProtection="0"/>
    <xf numFmtId="0" fontId="33" fillId="20" borderId="26" applyNumberFormat="0" applyFont="0" applyAlignment="0" applyProtection="0"/>
    <xf numFmtId="0" fontId="3" fillId="21" borderId="1" applyNumberFormat="0" applyBorder="0" applyAlignment="0" applyProtection="0"/>
    <xf numFmtId="164" fontId="3" fillId="0" borderId="1"/>
    <xf numFmtId="0" fontId="3" fillId="21" borderId="1" applyNumberFormat="0" applyBorder="0" applyAlignment="0" applyProtection="0"/>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0" fontId="3" fillId="21" borderId="1" applyNumberFormat="0" applyBorder="0" applyAlignment="0" applyProtection="0"/>
    <xf numFmtId="0" fontId="3" fillId="21" borderId="1" applyNumberFormat="0" applyBorder="0" applyAlignment="0" applyProtection="0"/>
    <xf numFmtId="0" fontId="3" fillId="0" borderId="1"/>
    <xf numFmtId="0" fontId="3" fillId="21" borderId="1" applyNumberFormat="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21" borderId="1" applyNumberFormat="0" applyBorder="0" applyAlignment="0" applyProtection="0"/>
    <xf numFmtId="0" fontId="3" fillId="21" borderId="1" applyNumberFormat="0" applyBorder="0" applyAlignment="0" applyProtection="0"/>
    <xf numFmtId="0" fontId="3" fillId="21" borderId="1" applyNumberFormat="0" applyBorder="0" applyAlignment="0" applyProtection="0"/>
    <xf numFmtId="0" fontId="3" fillId="0" borderId="1"/>
    <xf numFmtId="164" fontId="3" fillId="0" borderId="1"/>
    <xf numFmtId="0" fontId="3" fillId="21" borderId="1" applyNumberFormat="0" applyBorder="0" applyAlignment="0" applyProtection="0"/>
    <xf numFmtId="0" fontId="3" fillId="0" borderId="1"/>
    <xf numFmtId="0" fontId="3" fillId="0" borderId="1"/>
    <xf numFmtId="164" fontId="3" fillId="0" borderId="1"/>
    <xf numFmtId="0" fontId="3" fillId="21" borderId="1" applyNumberFormat="0" applyBorder="0" applyAlignment="0" applyProtection="0"/>
    <xf numFmtId="164" fontId="3" fillId="0" borderId="1"/>
    <xf numFmtId="164" fontId="3" fillId="0" borderId="1"/>
    <xf numFmtId="0" fontId="3" fillId="21"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0" fontId="3" fillId="21" borderId="1" applyNumberFormat="0" applyBorder="0" applyAlignment="0" applyProtection="0"/>
    <xf numFmtId="0" fontId="3" fillId="21" borderId="1" applyNumberFormat="0" applyBorder="0" applyAlignment="0" applyProtection="0"/>
    <xf numFmtId="165" fontId="33" fillId="0" borderId="1" applyFont="0" applyFill="0" applyBorder="0" applyAlignment="0" applyProtection="0"/>
    <xf numFmtId="0" fontId="3" fillId="21" borderId="1" applyNumberFormat="0" applyBorder="0" applyAlignment="0" applyProtection="0"/>
    <xf numFmtId="164" fontId="33" fillId="0" borderId="1" applyFill="0" applyBorder="0" applyAlignment="0" applyProtection="0"/>
    <xf numFmtId="164" fontId="33" fillId="0" borderId="1" applyFont="0" applyFill="0" applyBorder="0" applyAlignment="0" applyProtection="0"/>
    <xf numFmtId="0" fontId="3" fillId="21" borderId="1" applyNumberFormat="0" applyBorder="0" applyAlignment="0" applyProtection="0"/>
    <xf numFmtId="164" fontId="3" fillId="0" borderId="1"/>
    <xf numFmtId="43" fontId="3" fillId="0" borderId="1" applyFont="0" applyFill="0" applyBorder="0" applyAlignment="0" applyProtection="0"/>
    <xf numFmtId="164" fontId="3" fillId="0" borderId="1"/>
    <xf numFmtId="0" fontId="3" fillId="21" borderId="1" applyNumberFormat="0" applyBorder="0" applyAlignment="0" applyProtection="0"/>
    <xf numFmtId="164" fontId="3" fillId="0" borderId="1"/>
    <xf numFmtId="43" fontId="3" fillId="0" borderId="1" applyFont="0" applyFill="0" applyBorder="0" applyAlignment="0" applyProtection="0"/>
    <xf numFmtId="164" fontId="3" fillId="0" borderId="1"/>
    <xf numFmtId="0" fontId="3" fillId="0" borderId="1"/>
    <xf numFmtId="0" fontId="3" fillId="21" borderId="1" applyNumberFormat="0" applyBorder="0" applyAlignment="0" applyProtection="0"/>
    <xf numFmtId="0" fontId="3" fillId="0" borderId="1"/>
    <xf numFmtId="0" fontId="3" fillId="0" borderId="1"/>
    <xf numFmtId="164" fontId="3" fillId="0" borderId="1"/>
    <xf numFmtId="0" fontId="3" fillId="0" borderId="1"/>
    <xf numFmtId="164"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5"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0" fontId="3" fillId="0" borderId="1"/>
    <xf numFmtId="0" fontId="3" fillId="21" borderId="1" applyNumberFormat="0" applyBorder="0" applyAlignment="0" applyProtection="0"/>
    <xf numFmtId="0" fontId="43" fillId="30" borderId="30" applyNumberFormat="0" applyAlignment="0" applyProtection="0"/>
    <xf numFmtId="0" fontId="39" fillId="0" borderId="28" applyNumberFormat="0" applyFill="0" applyAlignment="0" applyProtection="0"/>
    <xf numFmtId="0" fontId="3" fillId="21" borderId="1" applyNumberFormat="0" applyBorder="0" applyAlignment="0" applyProtection="0"/>
    <xf numFmtId="0" fontId="43" fillId="30" borderId="30" applyNumberFormat="0" applyAlignment="0" applyProtection="0"/>
    <xf numFmtId="0" fontId="39" fillId="0" borderId="28" applyNumberFormat="0" applyFill="0" applyAlignment="0" applyProtection="0"/>
    <xf numFmtId="0" fontId="3" fillId="21" borderId="1" applyNumberFormat="0" applyBorder="0" applyAlignment="0" applyProtection="0"/>
    <xf numFmtId="0" fontId="3" fillId="0" borderId="1"/>
    <xf numFmtId="0" fontId="3" fillId="0" borderId="1"/>
    <xf numFmtId="0" fontId="3" fillId="21" borderId="1" applyNumberFormat="0" applyBorder="0" applyAlignment="0" applyProtection="0"/>
    <xf numFmtId="0" fontId="3" fillId="21"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21"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0" fontId="3" fillId="21" borderId="1" applyNumberFormat="0" applyBorder="0" applyAlignment="0" applyProtection="0"/>
    <xf numFmtId="0" fontId="3" fillId="0" borderId="1"/>
    <xf numFmtId="0" fontId="3" fillId="21" borderId="1" applyNumberFormat="0" applyBorder="0" applyAlignment="0" applyProtection="0"/>
    <xf numFmtId="44" fontId="3" fillId="0" borderId="1" applyFont="0" applyFill="0" applyBorder="0" applyAlignment="0" applyProtection="0"/>
    <xf numFmtId="0" fontId="3" fillId="0" borderId="1"/>
    <xf numFmtId="0" fontId="3" fillId="21" borderId="1" applyNumberFormat="0" applyBorder="0" applyAlignment="0" applyProtection="0"/>
    <xf numFmtId="0" fontId="3" fillId="21" borderId="1" applyNumberFormat="0" applyBorder="0" applyAlignment="0" applyProtection="0"/>
    <xf numFmtId="0" fontId="3" fillId="21" borderId="1" applyNumberFormat="0" applyBorder="0" applyAlignment="0" applyProtection="0"/>
    <xf numFmtId="164" fontId="3" fillId="0" borderId="1"/>
    <xf numFmtId="0" fontId="3" fillId="21" borderId="1" applyNumberFormat="0" applyBorder="0" applyAlignment="0" applyProtection="0"/>
    <xf numFmtId="0" fontId="3" fillId="0" borderId="1"/>
    <xf numFmtId="0" fontId="3" fillId="21" borderId="1" applyNumberFormat="0" applyBorder="0" applyAlignment="0" applyProtection="0"/>
    <xf numFmtId="164" fontId="3" fillId="0" borderId="1"/>
    <xf numFmtId="164" fontId="3" fillId="0" borderId="1"/>
    <xf numFmtId="164" fontId="3" fillId="0" borderId="1"/>
    <xf numFmtId="0" fontId="3" fillId="0" borderId="1"/>
    <xf numFmtId="0" fontId="3" fillId="0" borderId="1"/>
    <xf numFmtId="0" fontId="3" fillId="21" borderId="1" applyNumberFormat="0" applyBorder="0" applyAlignment="0" applyProtection="0"/>
    <xf numFmtId="0" fontId="3" fillId="21" borderId="1" applyNumberFormat="0" applyBorder="0" applyAlignment="0" applyProtection="0"/>
    <xf numFmtId="0" fontId="3" fillId="0" borderId="1"/>
    <xf numFmtId="0" fontId="3" fillId="21" borderId="1" applyNumberFormat="0" applyBorder="0" applyAlignment="0" applyProtection="0"/>
    <xf numFmtId="0" fontId="3" fillId="21" borderId="1" applyNumberFormat="0" applyBorder="0" applyAlignment="0" applyProtection="0"/>
    <xf numFmtId="44" fontId="3" fillId="0" borderId="1" applyFont="0" applyFill="0" applyBorder="0" applyAlignment="0" applyProtection="0"/>
    <xf numFmtId="0" fontId="3" fillId="0" borderId="1"/>
    <xf numFmtId="0" fontId="33" fillId="0" borderId="1"/>
    <xf numFmtId="164" fontId="3" fillId="0" borderId="1"/>
    <xf numFmtId="0" fontId="3" fillId="21"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44" fontId="3" fillId="0" borderId="1" applyFont="0" applyFill="0" applyBorder="0" applyAlignment="0" applyProtection="0"/>
    <xf numFmtId="0" fontId="3" fillId="21" borderId="1" applyNumberFormat="0" applyBorder="0" applyAlignment="0" applyProtection="0"/>
    <xf numFmtId="0" fontId="33" fillId="0" borderId="1"/>
    <xf numFmtId="0" fontId="3" fillId="21" borderId="1" applyNumberFormat="0" applyBorder="0" applyAlignment="0" applyProtection="0"/>
    <xf numFmtId="44" fontId="3" fillId="0" borderId="1" applyFont="0" applyFill="0" applyBorder="0" applyAlignment="0" applyProtection="0"/>
    <xf numFmtId="164" fontId="3" fillId="0" borderId="1"/>
    <xf numFmtId="0" fontId="3" fillId="21" borderId="1" applyNumberFormat="0" applyBorder="0" applyAlignment="0" applyProtection="0"/>
    <xf numFmtId="164" fontId="33" fillId="0" borderId="1"/>
    <xf numFmtId="0" fontId="3" fillId="21" borderId="1" applyNumberFormat="0" applyBorder="0" applyAlignment="0" applyProtection="0"/>
    <xf numFmtId="164" fontId="3" fillId="0" borderId="1"/>
    <xf numFmtId="164" fontId="3" fillId="0" borderId="1"/>
    <xf numFmtId="43" fontId="3" fillId="0" borderId="1" applyFont="0" applyFill="0" applyBorder="0" applyAlignment="0" applyProtection="0"/>
    <xf numFmtId="0" fontId="3" fillId="21" borderId="1" applyNumberFormat="0" applyBorder="0" applyAlignment="0" applyProtection="0"/>
    <xf numFmtId="164" fontId="3" fillId="0" borderId="1"/>
    <xf numFmtId="0" fontId="3" fillId="21" borderId="1" applyNumberFormat="0" applyBorder="0" applyAlignment="0" applyProtection="0"/>
    <xf numFmtId="44" fontId="3" fillId="0" borderId="1" applyFont="0" applyFill="0" applyBorder="0" applyAlignment="0" applyProtection="0"/>
    <xf numFmtId="0" fontId="3" fillId="0" borderId="1"/>
    <xf numFmtId="164" fontId="3" fillId="0" borderId="1"/>
    <xf numFmtId="0" fontId="43" fillId="30" borderId="30" applyNumberFormat="0" applyAlignment="0" applyProtection="0"/>
    <xf numFmtId="43" fontId="3" fillId="0" borderId="1" applyFont="0" applyFill="0" applyBorder="0" applyAlignment="0" applyProtection="0"/>
    <xf numFmtId="0" fontId="34" fillId="31"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0" fontId="3" fillId="5" borderId="1" applyNumberFormat="0" applyBorder="0" applyAlignment="0" applyProtection="0"/>
    <xf numFmtId="0" fontId="3" fillId="5"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5" borderId="1" applyNumberFormat="0" applyBorder="0" applyAlignment="0" applyProtection="0"/>
    <xf numFmtId="43" fontId="3" fillId="0" borderId="1" applyFont="0" applyFill="0" applyBorder="0" applyAlignment="0" applyProtection="0"/>
    <xf numFmtId="0" fontId="3" fillId="5" borderId="1" applyNumberFormat="0" applyBorder="0" applyAlignment="0" applyProtection="0"/>
    <xf numFmtId="43" fontId="3" fillId="0" borderId="1" applyFont="0" applyFill="0" applyBorder="0" applyAlignment="0" applyProtection="0"/>
    <xf numFmtId="0" fontId="3" fillId="5" borderId="1" applyNumberFormat="0" applyBorder="0" applyAlignment="0" applyProtection="0"/>
    <xf numFmtId="43" fontId="3" fillId="0" borderId="1" applyFont="0" applyFill="0" applyBorder="0" applyAlignment="0" applyProtection="0"/>
    <xf numFmtId="0" fontId="3" fillId="5" borderId="1" applyNumberFormat="0" applyBorder="0" applyAlignment="0" applyProtection="0"/>
    <xf numFmtId="43" fontId="3" fillId="0" borderId="1" applyFont="0" applyFill="0" applyBorder="0" applyAlignment="0" applyProtection="0"/>
    <xf numFmtId="164" fontId="3" fillId="0" borderId="1"/>
    <xf numFmtId="0" fontId="3" fillId="5" borderId="1" applyNumberFormat="0" applyBorder="0" applyAlignment="0" applyProtection="0"/>
    <xf numFmtId="0" fontId="3" fillId="5" borderId="1" applyNumberFormat="0" applyBorder="0" applyAlignment="0" applyProtection="0"/>
    <xf numFmtId="44" fontId="3" fillId="0" borderId="1" applyFont="0" applyFill="0" applyBorder="0" applyAlignment="0" applyProtection="0"/>
    <xf numFmtId="164" fontId="3" fillId="0" borderId="1"/>
    <xf numFmtId="0" fontId="3" fillId="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44" fontId="3" fillId="0" borderId="1" applyFont="0" applyFill="0" applyBorder="0" applyAlignment="0" applyProtection="0"/>
    <xf numFmtId="164" fontId="3" fillId="0" borderId="1"/>
    <xf numFmtId="0" fontId="3" fillId="5" borderId="1" applyNumberFormat="0" applyBorder="0" applyAlignment="0" applyProtection="0"/>
    <xf numFmtId="0" fontId="3" fillId="0" borderId="1"/>
    <xf numFmtId="164" fontId="3" fillId="0" borderId="1"/>
    <xf numFmtId="0" fontId="3" fillId="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5"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5" borderId="1" applyNumberFormat="0" applyBorder="0" applyAlignment="0" applyProtection="0"/>
    <xf numFmtId="164" fontId="3" fillId="0" borderId="1"/>
    <xf numFmtId="164" fontId="3" fillId="0" borderId="1"/>
    <xf numFmtId="0" fontId="3" fillId="0" borderId="1"/>
    <xf numFmtId="164" fontId="3" fillId="0" borderId="1"/>
    <xf numFmtId="0" fontId="3" fillId="5" borderId="1" applyNumberFormat="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0" fontId="3" fillId="5"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5" borderId="1" applyNumberFormat="0" applyBorder="0" applyAlignment="0" applyProtection="0"/>
    <xf numFmtId="164" fontId="3" fillId="0" borderId="1"/>
    <xf numFmtId="164" fontId="3" fillId="0" borderId="1"/>
    <xf numFmtId="0" fontId="3" fillId="0" borderId="1"/>
    <xf numFmtId="0" fontId="3" fillId="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164" fontId="3" fillId="0" borderId="1"/>
    <xf numFmtId="164" fontId="3" fillId="0" borderId="1"/>
    <xf numFmtId="0" fontId="3" fillId="5" borderId="1" applyNumberFormat="0" applyBorder="0" applyAlignment="0" applyProtection="0"/>
    <xf numFmtId="44" fontId="3" fillId="0" borderId="1" applyFont="0" applyFill="0" applyBorder="0" applyAlignment="0" applyProtection="0"/>
    <xf numFmtId="164" fontId="3" fillId="0" borderId="1"/>
    <xf numFmtId="0" fontId="3" fillId="0" borderId="1"/>
    <xf numFmtId="0" fontId="3" fillId="0" borderId="1"/>
    <xf numFmtId="0" fontId="3" fillId="5" borderId="1" applyNumberFormat="0" applyBorder="0" applyAlignment="0" applyProtection="0"/>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5" borderId="1" applyNumberFormat="0" applyBorder="0" applyAlignment="0" applyProtection="0"/>
    <xf numFmtId="0" fontId="3" fillId="0" borderId="1"/>
    <xf numFmtId="0" fontId="3" fillId="0" borderId="1"/>
    <xf numFmtId="0" fontId="3" fillId="0" borderId="1"/>
    <xf numFmtId="0" fontId="3" fillId="5" borderId="1" applyNumberFormat="0" applyBorder="0" applyAlignment="0" applyProtection="0"/>
    <xf numFmtId="0" fontId="3" fillId="0" borderId="1"/>
    <xf numFmtId="0" fontId="3" fillId="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5" borderId="1" applyNumberFormat="0" applyBorder="0" applyAlignment="0" applyProtection="0"/>
    <xf numFmtId="164" fontId="3" fillId="0" borderId="1"/>
    <xf numFmtId="164" fontId="3" fillId="0" borderId="1"/>
    <xf numFmtId="0" fontId="3" fillId="5" borderId="1" applyNumberFormat="0" applyBorder="0" applyAlignment="0" applyProtection="0"/>
    <xf numFmtId="164" fontId="3" fillId="0" borderId="1"/>
    <xf numFmtId="164" fontId="3" fillId="0" borderId="1"/>
    <xf numFmtId="0" fontId="3" fillId="0" borderId="1"/>
    <xf numFmtId="0" fontId="3" fillId="5"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5" borderId="1" applyNumberFormat="0" applyBorder="0" applyAlignment="0" applyProtection="0"/>
    <xf numFmtId="164" fontId="3" fillId="0" borderId="1"/>
    <xf numFmtId="164" fontId="3" fillId="0" borderId="1"/>
    <xf numFmtId="0" fontId="3" fillId="0" borderId="1"/>
    <xf numFmtId="0" fontId="3" fillId="5"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5" borderId="1" applyNumberFormat="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5"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0" fontId="3" fillId="5" borderId="1" applyNumberFormat="0" applyBorder="0" applyAlignment="0" applyProtection="0"/>
    <xf numFmtId="0" fontId="3" fillId="5" borderId="1" applyNumberFormat="0" applyBorder="0" applyAlignment="0" applyProtection="0"/>
    <xf numFmtId="0" fontId="3" fillId="0" borderId="1"/>
    <xf numFmtId="0" fontId="3" fillId="0" borderId="1"/>
    <xf numFmtId="164" fontId="3" fillId="0" borderId="1"/>
    <xf numFmtId="0" fontId="3" fillId="0" borderId="1"/>
    <xf numFmtId="0" fontId="3" fillId="5" borderId="1" applyNumberFormat="0" applyBorder="0" applyAlignment="0" applyProtection="0"/>
    <xf numFmtId="164" fontId="3" fillId="0" borderId="1"/>
    <xf numFmtId="0" fontId="3" fillId="0" borderId="1"/>
    <xf numFmtId="0" fontId="3" fillId="5" borderId="1" applyNumberFormat="0" applyBorder="0" applyAlignment="0" applyProtection="0"/>
    <xf numFmtId="0" fontId="3" fillId="0" borderId="1"/>
    <xf numFmtId="0" fontId="3" fillId="0" borderId="1"/>
    <xf numFmtId="0" fontId="3" fillId="0" borderId="1"/>
    <xf numFmtId="0" fontId="3" fillId="5" borderId="1" applyNumberFormat="0" applyBorder="0" applyAlignment="0" applyProtection="0"/>
    <xf numFmtId="164" fontId="3" fillId="0" borderId="1"/>
    <xf numFmtId="44" fontId="3" fillId="0" borderId="1" applyFont="0" applyFill="0" applyBorder="0" applyAlignment="0" applyProtection="0"/>
    <xf numFmtId="0" fontId="3" fillId="0" borderId="1"/>
    <xf numFmtId="43"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0" fontId="3" fillId="0" borderId="1"/>
    <xf numFmtId="0" fontId="3" fillId="5" borderId="1" applyNumberFormat="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0" borderId="1"/>
    <xf numFmtId="43" fontId="3" fillId="0" borderId="1" applyFont="0" applyFill="0" applyBorder="0" applyAlignment="0" applyProtection="0"/>
    <xf numFmtId="0" fontId="3" fillId="5" borderId="1" applyNumberFormat="0" applyBorder="0" applyAlignment="0" applyProtection="0"/>
    <xf numFmtId="164" fontId="3" fillId="0" borderId="1"/>
    <xf numFmtId="164" fontId="3" fillId="0" borderId="1"/>
    <xf numFmtId="0" fontId="3" fillId="5" borderId="1" applyNumberFormat="0" applyBorder="0" applyAlignment="0" applyProtection="0"/>
    <xf numFmtId="0" fontId="3" fillId="5" borderId="1" applyNumberFormat="0" applyBorder="0" applyAlignment="0" applyProtection="0"/>
    <xf numFmtId="164" fontId="3" fillId="0" borderId="1"/>
    <xf numFmtId="164" fontId="3" fillId="0" borderId="1"/>
    <xf numFmtId="164" fontId="3" fillId="0" borderId="1"/>
    <xf numFmtId="164" fontId="3" fillId="0" borderId="1"/>
    <xf numFmtId="164" fontId="3" fillId="0" borderId="1"/>
    <xf numFmtId="164" fontId="41" fillId="0" borderId="1" applyNumberFormat="0" applyFill="0" applyBorder="0" applyAlignment="0" applyProtection="0">
      <alignment vertical="top"/>
      <protection locked="0"/>
    </xf>
    <xf numFmtId="0" fontId="3" fillId="0" borderId="1"/>
    <xf numFmtId="43" fontId="3" fillId="0" borderId="1" applyFont="0" applyFill="0" applyBorder="0" applyAlignment="0" applyProtection="0"/>
    <xf numFmtId="0" fontId="3" fillId="5"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5" borderId="1" applyNumberFormat="0" applyBorder="0" applyAlignment="0" applyProtection="0"/>
    <xf numFmtId="0" fontId="3" fillId="5" borderId="1" applyNumberFormat="0" applyBorder="0" applyAlignment="0" applyProtection="0"/>
    <xf numFmtId="0" fontId="3" fillId="0" borderId="1"/>
    <xf numFmtId="0" fontId="3" fillId="5"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5" borderId="1" applyNumberFormat="0" applyBorder="0" applyAlignment="0" applyProtection="0"/>
    <xf numFmtId="0" fontId="3" fillId="5" borderId="1" applyNumberFormat="0" applyBorder="0" applyAlignment="0" applyProtection="0"/>
    <xf numFmtId="164" fontId="3" fillId="0" borderId="1"/>
    <xf numFmtId="44" fontId="3" fillId="0" borderId="1" applyFont="0" applyFill="0" applyBorder="0" applyAlignment="0" applyProtection="0"/>
    <xf numFmtId="0" fontId="3" fillId="5" borderId="1" applyNumberFormat="0" applyBorder="0" applyAlignment="0" applyProtection="0"/>
    <xf numFmtId="0" fontId="3" fillId="5"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0" fontId="3" fillId="0" borderId="1"/>
    <xf numFmtId="43" fontId="3" fillId="0" borderId="1" applyFont="0" applyFill="0" applyBorder="0" applyAlignment="0" applyProtection="0"/>
    <xf numFmtId="164" fontId="3" fillId="0" borderId="1"/>
    <xf numFmtId="0" fontId="3" fillId="5" borderId="1" applyNumberFormat="0" applyBorder="0" applyAlignment="0" applyProtection="0"/>
    <xf numFmtId="44" fontId="3" fillId="0" borderId="1" applyFont="0" applyFill="0" applyBorder="0" applyAlignment="0" applyProtection="0"/>
    <xf numFmtId="0" fontId="3" fillId="0" borderId="1"/>
    <xf numFmtId="43" fontId="3" fillId="0" borderId="1" applyFont="0" applyFill="0" applyBorder="0" applyAlignment="0" applyProtection="0"/>
    <xf numFmtId="0" fontId="3" fillId="5" borderId="1" applyNumberFormat="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5" borderId="1" applyNumberFormat="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0" fontId="3" fillId="0" borderId="1"/>
    <xf numFmtId="0" fontId="3" fillId="5"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5" borderId="1" applyNumberFormat="0" applyBorder="0" applyAlignment="0" applyProtection="0"/>
    <xf numFmtId="0" fontId="3" fillId="0" borderId="1"/>
    <xf numFmtId="0" fontId="3" fillId="5" borderId="1" applyNumberFormat="0" applyBorder="0" applyAlignment="0" applyProtection="0"/>
    <xf numFmtId="164" fontId="3" fillId="0" borderId="1"/>
    <xf numFmtId="164" fontId="3" fillId="0" borderId="1"/>
    <xf numFmtId="0" fontId="3" fillId="0" borderId="1"/>
    <xf numFmtId="164" fontId="3" fillId="0" borderId="1"/>
    <xf numFmtId="0" fontId="3" fillId="5" borderId="1" applyNumberFormat="0" applyBorder="0" applyAlignment="0" applyProtection="0"/>
    <xf numFmtId="0" fontId="3" fillId="5" borderId="1" applyNumberFormat="0" applyBorder="0" applyAlignment="0" applyProtection="0"/>
    <xf numFmtId="0"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0" fontId="3" fillId="5" borderId="1" applyNumberFormat="0" applyBorder="0" applyAlignment="0" applyProtection="0"/>
    <xf numFmtId="0" fontId="3" fillId="0" borderId="1"/>
    <xf numFmtId="0" fontId="3" fillId="0" borderId="1"/>
    <xf numFmtId="0" fontId="3" fillId="5" borderId="1" applyNumberFormat="0" applyBorder="0" applyAlignment="0" applyProtection="0"/>
    <xf numFmtId="0" fontId="3" fillId="0" borderId="1"/>
    <xf numFmtId="0" fontId="3" fillId="5" borderId="1" applyNumberFormat="0" applyBorder="0" applyAlignment="0" applyProtection="0"/>
    <xf numFmtId="0" fontId="3" fillId="0" borderId="1"/>
    <xf numFmtId="0" fontId="3" fillId="5" borderId="1" applyNumberFormat="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5" borderId="1" applyNumberFormat="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0" fontId="3" fillId="5" borderId="1" applyNumberFormat="0" applyBorder="0" applyAlignment="0" applyProtection="0"/>
    <xf numFmtId="0" fontId="3" fillId="5" borderId="1" applyNumberFormat="0" applyBorder="0" applyAlignment="0" applyProtection="0"/>
    <xf numFmtId="0" fontId="3" fillId="5" borderId="1" applyNumberFormat="0" applyBorder="0" applyAlignment="0" applyProtection="0"/>
    <xf numFmtId="0" fontId="3" fillId="5" borderId="1" applyNumberFormat="0" applyBorder="0" applyAlignment="0" applyProtection="0"/>
    <xf numFmtId="0" fontId="3" fillId="5" borderId="1" applyNumberFormat="0" applyBorder="0" applyAlignment="0" applyProtection="0"/>
    <xf numFmtId="0" fontId="3" fillId="5" borderId="1" applyNumberFormat="0" applyBorder="0" applyAlignment="0" applyProtection="0"/>
    <xf numFmtId="0" fontId="3" fillId="0" borderId="1"/>
    <xf numFmtId="0" fontId="3" fillId="0" borderId="1"/>
    <xf numFmtId="0" fontId="3" fillId="5" borderId="1" applyNumberFormat="0" applyBorder="0" applyAlignment="0" applyProtection="0"/>
    <xf numFmtId="0" fontId="3" fillId="0" borderId="1"/>
    <xf numFmtId="0" fontId="3" fillId="0" borderId="1"/>
    <xf numFmtId="0" fontId="3" fillId="0" borderId="1"/>
    <xf numFmtId="0" fontId="3" fillId="5" borderId="1" applyNumberFormat="0" applyBorder="0" applyAlignment="0" applyProtection="0"/>
    <xf numFmtId="43" fontId="3" fillId="0" borderId="1" applyFont="0" applyFill="0" applyBorder="0" applyAlignment="0" applyProtection="0"/>
    <xf numFmtId="0" fontId="3" fillId="0" borderId="1"/>
    <xf numFmtId="0" fontId="3" fillId="0" borderId="1"/>
    <xf numFmtId="0" fontId="3" fillId="5" borderId="1" applyNumberFormat="0" applyBorder="0" applyAlignment="0" applyProtection="0"/>
    <xf numFmtId="0" fontId="3" fillId="0" borderId="1"/>
    <xf numFmtId="0" fontId="3" fillId="0" borderId="1"/>
    <xf numFmtId="0" fontId="3" fillId="5" borderId="1" applyNumberFormat="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5" borderId="1" applyNumberFormat="0" applyBorder="0" applyAlignment="0" applyProtection="0"/>
    <xf numFmtId="164" fontId="3" fillId="0" borderId="1"/>
    <xf numFmtId="0" fontId="3" fillId="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5" borderId="1" applyNumberFormat="0" applyBorder="0" applyAlignment="0" applyProtection="0"/>
    <xf numFmtId="0" fontId="3" fillId="0" borderId="1"/>
    <xf numFmtId="0" fontId="3" fillId="0" borderId="1"/>
    <xf numFmtId="164" fontId="3" fillId="0" borderId="1"/>
    <xf numFmtId="0" fontId="3" fillId="0" borderId="1"/>
    <xf numFmtId="0" fontId="3" fillId="5" borderId="1" applyNumberFormat="0" applyBorder="0" applyAlignment="0" applyProtection="0"/>
    <xf numFmtId="164" fontId="3" fillId="0" borderId="1"/>
    <xf numFmtId="0" fontId="3" fillId="5" borderId="1" applyNumberFormat="0" applyBorder="0" applyAlignment="0" applyProtection="0"/>
    <xf numFmtId="0" fontId="3" fillId="0" borderId="1"/>
    <xf numFmtId="164" fontId="3" fillId="0" borderId="1"/>
    <xf numFmtId="0" fontId="3" fillId="5" borderId="1" applyNumberFormat="0" applyBorder="0" applyAlignment="0" applyProtection="0"/>
    <xf numFmtId="164" fontId="3" fillId="0" borderId="1"/>
    <xf numFmtId="0" fontId="3" fillId="5" borderId="1" applyNumberFormat="0" applyBorder="0" applyAlignment="0" applyProtection="0"/>
    <xf numFmtId="164" fontId="3" fillId="0" borderId="1"/>
    <xf numFmtId="0" fontId="3" fillId="5"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5" borderId="1" applyNumberFormat="0" applyBorder="0" applyAlignment="0" applyProtection="0"/>
    <xf numFmtId="0" fontId="3" fillId="0" borderId="1"/>
    <xf numFmtId="43" fontId="3" fillId="0" borderId="1" applyFont="0" applyFill="0" applyBorder="0" applyAlignment="0" applyProtection="0"/>
    <xf numFmtId="0" fontId="3" fillId="5" borderId="1" applyNumberFormat="0" applyBorder="0" applyAlignment="0" applyProtection="0"/>
    <xf numFmtId="43" fontId="3" fillId="0" borderId="1" applyFont="0" applyFill="0" applyBorder="0" applyAlignment="0" applyProtection="0"/>
    <xf numFmtId="0" fontId="3" fillId="5" borderId="1" applyNumberFormat="0" applyBorder="0" applyAlignment="0" applyProtection="0"/>
    <xf numFmtId="43" fontId="3" fillId="0" borderId="1" applyFont="0" applyFill="0" applyBorder="0" applyAlignment="0" applyProtection="0"/>
    <xf numFmtId="164" fontId="3" fillId="0" borderId="1"/>
    <xf numFmtId="0" fontId="3" fillId="5" borderId="1" applyNumberFormat="0" applyBorder="0" applyAlignment="0" applyProtection="0"/>
    <xf numFmtId="164" fontId="3" fillId="0" borderId="1"/>
    <xf numFmtId="0" fontId="3" fillId="5" borderId="1" applyNumberFormat="0" applyBorder="0" applyAlignment="0" applyProtection="0"/>
    <xf numFmtId="43" fontId="3" fillId="0" borderId="1" applyFont="0" applyFill="0" applyBorder="0" applyAlignment="0" applyProtection="0"/>
    <xf numFmtId="0" fontId="3" fillId="5" borderId="1" applyNumberFormat="0" applyBorder="0" applyAlignment="0" applyProtection="0"/>
    <xf numFmtId="0" fontId="3" fillId="5" borderId="1" applyNumberFormat="0" applyBorder="0" applyAlignment="0" applyProtection="0"/>
    <xf numFmtId="0" fontId="3" fillId="0" borderId="1"/>
    <xf numFmtId="0" fontId="3" fillId="5" borderId="1" applyNumberFormat="0" applyBorder="0" applyAlignment="0" applyProtection="0"/>
    <xf numFmtId="0" fontId="3" fillId="0" borderId="1"/>
    <xf numFmtId="0" fontId="3" fillId="0" borderId="1"/>
    <xf numFmtId="0" fontId="3" fillId="5" borderId="1" applyNumberFormat="0" applyBorder="0" applyAlignment="0" applyProtection="0"/>
    <xf numFmtId="0" fontId="3" fillId="0" borderId="1"/>
    <xf numFmtId="0" fontId="3" fillId="5" borderId="1" applyNumberFormat="0" applyBorder="0" applyAlignment="0" applyProtection="0"/>
    <xf numFmtId="43"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43"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43"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43"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164" fontId="3" fillId="0" borderId="1"/>
    <xf numFmtId="0" fontId="3" fillId="5" borderId="1" applyNumberFormat="0" applyBorder="0" applyAlignment="0" applyProtection="0"/>
    <xf numFmtId="0" fontId="3" fillId="5" borderId="1" applyNumberFormat="0" applyBorder="0" applyAlignment="0" applyProtection="0"/>
    <xf numFmtId="164" fontId="3" fillId="0" borderId="1"/>
    <xf numFmtId="164" fontId="3" fillId="0" borderId="1"/>
    <xf numFmtId="0" fontId="3" fillId="5" borderId="1" applyNumberFormat="0" applyBorder="0" applyAlignment="0" applyProtection="0"/>
    <xf numFmtId="43" fontId="3" fillId="0" borderId="1" applyFont="0" applyFill="0" applyBorder="0" applyAlignment="0" applyProtection="0"/>
    <xf numFmtId="0" fontId="3" fillId="5" borderId="1" applyNumberFormat="0" applyBorder="0" applyAlignment="0" applyProtection="0"/>
    <xf numFmtId="43" fontId="3" fillId="0" borderId="1" applyFont="0" applyFill="0" applyBorder="0" applyAlignment="0" applyProtection="0"/>
    <xf numFmtId="0" fontId="3" fillId="5" borderId="1" applyNumberFormat="0" applyBorder="0" applyAlignment="0" applyProtection="0"/>
    <xf numFmtId="0" fontId="3" fillId="5" borderId="1" applyNumberFormat="0" applyBorder="0" applyAlignment="0" applyProtection="0"/>
    <xf numFmtId="0" fontId="3" fillId="5" borderId="1" applyNumberFormat="0" applyBorder="0" applyAlignment="0" applyProtection="0"/>
    <xf numFmtId="43" fontId="3" fillId="0" borderId="1" applyFont="0" applyFill="0" applyBorder="0" applyAlignment="0" applyProtection="0"/>
    <xf numFmtId="0" fontId="3" fillId="5" borderId="1" applyNumberFormat="0" applyBorder="0" applyAlignment="0" applyProtection="0"/>
    <xf numFmtId="44" fontId="3" fillId="0" borderId="1" applyFont="0" applyFill="0" applyBorder="0" applyAlignment="0" applyProtection="0"/>
    <xf numFmtId="43" fontId="3" fillId="0" borderId="1" applyFont="0" applyFill="0" applyBorder="0" applyAlignment="0" applyProtection="0"/>
    <xf numFmtId="0" fontId="3" fillId="5" borderId="1" applyNumberFormat="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5" borderId="1" applyNumberFormat="0" applyBorder="0" applyAlignment="0" applyProtection="0"/>
    <xf numFmtId="44" fontId="3" fillId="0" borderId="1" applyFont="0" applyFill="0" applyBorder="0" applyAlignment="0" applyProtection="0"/>
    <xf numFmtId="0" fontId="3" fillId="5" borderId="1" applyNumberFormat="0" applyBorder="0" applyAlignment="0" applyProtection="0"/>
    <xf numFmtId="0" fontId="3" fillId="5" borderId="1" applyNumberFormat="0" applyBorder="0" applyAlignment="0" applyProtection="0"/>
    <xf numFmtId="0" fontId="3" fillId="5" borderId="1" applyNumberFormat="0" applyBorder="0" applyAlignment="0" applyProtection="0"/>
    <xf numFmtId="164" fontId="3" fillId="0" borderId="1"/>
    <xf numFmtId="164" fontId="3" fillId="0" borderId="1"/>
    <xf numFmtId="0" fontId="3" fillId="0" borderId="1"/>
    <xf numFmtId="0" fontId="3" fillId="5" borderId="1" applyNumberFormat="0" applyBorder="0" applyAlignment="0" applyProtection="0"/>
    <xf numFmtId="164" fontId="3" fillId="0" borderId="1"/>
    <xf numFmtId="164" fontId="3" fillId="0" borderId="1"/>
    <xf numFmtId="0" fontId="3" fillId="0" borderId="1"/>
    <xf numFmtId="0" fontId="3" fillId="5" borderId="1" applyNumberFormat="0" applyBorder="0" applyAlignment="0" applyProtection="0"/>
    <xf numFmtId="0" fontId="3" fillId="5" borderId="1" applyNumberFormat="0" applyBorder="0" applyAlignment="0" applyProtection="0"/>
    <xf numFmtId="0" fontId="3" fillId="5" borderId="1" applyNumberFormat="0" applyBorder="0" applyAlignment="0" applyProtection="0"/>
    <xf numFmtId="164" fontId="3" fillId="0" borderId="1"/>
    <xf numFmtId="0" fontId="3" fillId="5" borderId="1" applyNumberFormat="0" applyBorder="0" applyAlignment="0" applyProtection="0"/>
    <xf numFmtId="0" fontId="44" fillId="47" borderId="1" applyNumberFormat="0" applyBorder="0" applyAlignment="0" applyProtection="0"/>
    <xf numFmtId="164" fontId="3" fillId="0" borderId="1"/>
    <xf numFmtId="164" fontId="3" fillId="0" borderId="1"/>
    <xf numFmtId="0" fontId="38" fillId="0" borderId="1" applyNumberFormat="0" applyFill="0" applyBorder="0" applyAlignment="0" applyProtection="0"/>
    <xf numFmtId="0" fontId="3" fillId="0" borderId="1"/>
    <xf numFmtId="43" fontId="3" fillId="0" borderId="1" applyFont="0" applyFill="0" applyBorder="0" applyAlignment="0" applyProtection="0"/>
    <xf numFmtId="0" fontId="46" fillId="38" borderId="1" applyNumberFormat="0" applyBorder="0" applyAlignment="0" applyProtection="0"/>
    <xf numFmtId="0" fontId="43" fillId="30" borderId="30" applyNumberFormat="0" applyAlignment="0" applyProtection="0"/>
    <xf numFmtId="0" fontId="43" fillId="30" borderId="30" applyNumberFormat="0" applyAlignment="0" applyProtection="0"/>
    <xf numFmtId="0" fontId="43" fillId="30" borderId="30" applyNumberFormat="0" applyAlignment="0" applyProtection="0"/>
    <xf numFmtId="164" fontId="3" fillId="0" borderId="1"/>
    <xf numFmtId="0" fontId="3" fillId="0" borderId="1"/>
    <xf numFmtId="0" fontId="47" fillId="32" borderId="30" applyNumberFormat="0" applyAlignment="0" applyProtection="0"/>
    <xf numFmtId="0" fontId="3" fillId="0" borderId="1"/>
    <xf numFmtId="0" fontId="3" fillId="0" borderId="1"/>
    <xf numFmtId="0" fontId="43" fillId="27" borderId="30" applyNumberFormat="0" applyAlignment="0" applyProtection="0"/>
    <xf numFmtId="164" fontId="3" fillId="0" borderId="1"/>
    <xf numFmtId="164" fontId="3" fillId="0" borderId="1"/>
    <xf numFmtId="0" fontId="47" fillId="32" borderId="30" applyNumberFormat="0" applyAlignment="0" applyProtection="0"/>
    <xf numFmtId="0" fontId="43" fillId="27" borderId="30" applyNumberFormat="0" applyAlignment="0" applyProtection="0"/>
    <xf numFmtId="0" fontId="43" fillId="27" borderId="30" applyNumberFormat="0" applyAlignment="0" applyProtection="0"/>
    <xf numFmtId="0" fontId="3" fillId="0" borderId="1"/>
    <xf numFmtId="44" fontId="3" fillId="0" borderId="1" applyFont="0" applyFill="0" applyBorder="0" applyAlignment="0" applyProtection="0"/>
    <xf numFmtId="0" fontId="43" fillId="27" borderId="30" applyNumberFormat="0" applyAlignment="0" applyProtection="0"/>
    <xf numFmtId="44" fontId="3" fillId="0" borderId="1" applyFont="0" applyFill="0" applyBorder="0" applyAlignment="0" applyProtection="0"/>
    <xf numFmtId="164" fontId="3" fillId="0" borderId="1"/>
    <xf numFmtId="164" fontId="3" fillId="0" borderId="1"/>
    <xf numFmtId="0" fontId="3" fillId="0" borderId="1"/>
    <xf numFmtId="43" fontId="3" fillId="0" borderId="1" applyFont="0" applyFill="0" applyBorder="0" applyAlignment="0" applyProtection="0"/>
    <xf numFmtId="0" fontId="43" fillId="27" borderId="30" applyNumberFormat="0" applyAlignment="0" applyProtection="0"/>
    <xf numFmtId="0" fontId="43" fillId="27" borderId="30" applyNumberFormat="0" applyAlignment="0" applyProtection="0"/>
    <xf numFmtId="0" fontId="3" fillId="0" borderId="1"/>
    <xf numFmtId="44" fontId="3" fillId="0" borderId="1" applyFont="0" applyFill="0" applyBorder="0" applyAlignment="0" applyProtection="0"/>
    <xf numFmtId="0" fontId="3" fillId="0" borderId="1"/>
    <xf numFmtId="0" fontId="43" fillId="27" borderId="30" applyNumberFormat="0" applyAlignment="0" applyProtection="0"/>
    <xf numFmtId="0" fontId="3" fillId="0" borderId="1"/>
    <xf numFmtId="0" fontId="43" fillId="27" borderId="30" applyNumberFormat="0" applyAlignment="0" applyProtection="0"/>
    <xf numFmtId="44" fontId="3" fillId="0" borderId="1" applyFont="0" applyFill="0" applyBorder="0" applyAlignment="0" applyProtection="0"/>
    <xf numFmtId="0" fontId="3" fillId="0" borderId="1"/>
    <xf numFmtId="0" fontId="43" fillId="27" borderId="30" applyNumberFormat="0" applyAlignment="0" applyProtection="0"/>
    <xf numFmtId="44" fontId="3" fillId="0" borderId="1" applyFont="0" applyFill="0" applyBorder="0" applyAlignment="0" applyProtection="0"/>
    <xf numFmtId="0" fontId="43" fillId="27" borderId="30" applyNumberFormat="0" applyAlignment="0" applyProtection="0"/>
    <xf numFmtId="44" fontId="3" fillId="0" borderId="1" applyFont="0" applyFill="0" applyBorder="0" applyAlignment="0" applyProtection="0"/>
    <xf numFmtId="164" fontId="3" fillId="0" borderId="1"/>
    <xf numFmtId="164" fontId="3" fillId="0" borderId="1"/>
    <xf numFmtId="0" fontId="43" fillId="27" borderId="30" applyNumberFormat="0" applyAlignment="0" applyProtection="0"/>
    <xf numFmtId="0" fontId="43" fillId="27" borderId="30" applyNumberFormat="0" applyAlignment="0" applyProtection="0"/>
    <xf numFmtId="44" fontId="3" fillId="0" borderId="1" applyFont="0" applyFill="0" applyBorder="0" applyAlignment="0" applyProtection="0"/>
    <xf numFmtId="0" fontId="43" fillId="27" borderId="30" applyNumberFormat="0" applyAlignment="0" applyProtection="0"/>
    <xf numFmtId="0" fontId="3" fillId="0" borderId="1"/>
    <xf numFmtId="0" fontId="43" fillId="27" borderId="30" applyNumberFormat="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0" fontId="33" fillId="0" borderId="1"/>
    <xf numFmtId="165" fontId="33" fillId="0" borderId="1" applyFont="0" applyFill="0" applyBorder="0" applyAlignment="0" applyProtection="0"/>
    <xf numFmtId="0" fontId="43" fillId="27" borderId="30" applyNumberFormat="0" applyAlignment="0" applyProtection="0"/>
    <xf numFmtId="0" fontId="43" fillId="27" borderId="30" applyNumberFormat="0" applyAlignment="0" applyProtection="0"/>
    <xf numFmtId="0" fontId="33" fillId="0" borderId="1"/>
    <xf numFmtId="0" fontId="34" fillId="0" borderId="1"/>
    <xf numFmtId="0" fontId="43" fillId="27" borderId="30" applyNumberFormat="0" applyAlignment="0" applyProtection="0"/>
    <xf numFmtId="0" fontId="43" fillId="27" borderId="30" applyNumberFormat="0" applyAlignment="0" applyProtection="0"/>
    <xf numFmtId="44" fontId="3" fillId="0" borderId="1" applyFont="0" applyFill="0" applyBorder="0" applyAlignment="0" applyProtection="0"/>
    <xf numFmtId="0" fontId="43" fillId="27" borderId="30" applyNumberFormat="0" applyAlignment="0" applyProtection="0"/>
    <xf numFmtId="44" fontId="3" fillId="0" borderId="1" applyFont="0" applyFill="0" applyBorder="0" applyAlignment="0" applyProtection="0"/>
    <xf numFmtId="0" fontId="43" fillId="27" borderId="30" applyNumberFormat="0" applyAlignment="0" applyProtection="0"/>
    <xf numFmtId="44" fontId="3" fillId="0" borderId="1" applyFont="0" applyFill="0" applyBorder="0" applyAlignment="0" applyProtection="0"/>
    <xf numFmtId="0" fontId="43" fillId="27" borderId="30" applyNumberFormat="0" applyAlignment="0" applyProtection="0"/>
    <xf numFmtId="0" fontId="43" fillId="27" borderId="30" applyNumberFormat="0" applyAlignment="0" applyProtection="0"/>
    <xf numFmtId="0" fontId="43" fillId="27" borderId="30" applyNumberFormat="0" applyAlignment="0" applyProtection="0"/>
    <xf numFmtId="0" fontId="43" fillId="27" borderId="30" applyNumberFormat="0" applyAlignment="0" applyProtection="0"/>
    <xf numFmtId="0" fontId="43" fillId="27" borderId="30" applyNumberFormat="0" applyAlignment="0" applyProtection="0"/>
    <xf numFmtId="164" fontId="3" fillId="0" borderId="1"/>
    <xf numFmtId="0" fontId="3" fillId="0" borderId="1"/>
    <xf numFmtId="0" fontId="3" fillId="0" borderId="1"/>
    <xf numFmtId="0" fontId="43" fillId="27" borderId="30" applyNumberFormat="0" applyAlignment="0" applyProtection="0"/>
    <xf numFmtId="0" fontId="43" fillId="27" borderId="30" applyNumberFormat="0" applyAlignment="0" applyProtection="0"/>
    <xf numFmtId="0" fontId="3" fillId="0" borderId="1"/>
    <xf numFmtId="0" fontId="3" fillId="0" borderId="1"/>
    <xf numFmtId="44" fontId="3" fillId="0" borderId="1" applyFont="0" applyFill="0" applyBorder="0" applyAlignment="0" applyProtection="0"/>
    <xf numFmtId="0" fontId="47" fillId="32" borderId="30" applyNumberFormat="0" applyAlignment="0" applyProtection="0"/>
    <xf numFmtId="0" fontId="3" fillId="0" borderId="1"/>
    <xf numFmtId="0" fontId="43" fillId="27" borderId="30" applyNumberFormat="0" applyAlignment="0" applyProtection="0"/>
    <xf numFmtId="0" fontId="43" fillId="27" borderId="30" applyNumberFormat="0" applyAlignment="0" applyProtection="0"/>
    <xf numFmtId="0" fontId="3" fillId="0" borderId="1"/>
    <xf numFmtId="0" fontId="47" fillId="32" borderId="30" applyNumberFormat="0" applyAlignment="0" applyProtection="0"/>
    <xf numFmtId="0" fontId="3" fillId="0" borderId="1"/>
    <xf numFmtId="0" fontId="3" fillId="0" borderId="1"/>
    <xf numFmtId="164" fontId="3" fillId="0" borderId="1"/>
    <xf numFmtId="0" fontId="58" fillId="0" borderId="34" applyNumberFormat="0" applyFill="0" applyAlignment="0" applyProtection="0"/>
    <xf numFmtId="49" fontId="33" fillId="0" borderId="1"/>
    <xf numFmtId="0" fontId="3" fillId="0" borderId="1"/>
    <xf numFmtId="44" fontId="3" fillId="0" borderId="1" applyFont="0" applyFill="0" applyBorder="0" applyAlignment="0" applyProtection="0"/>
    <xf numFmtId="0" fontId="47" fillId="32" borderId="30" applyNumberFormat="0" applyAlignment="0" applyProtection="0"/>
    <xf numFmtId="164" fontId="3" fillId="0" borderId="1"/>
    <xf numFmtId="49" fontId="33" fillId="0" borderId="1"/>
    <xf numFmtId="44" fontId="3" fillId="0" borderId="1" applyFont="0" applyFill="0" applyBorder="0" applyAlignment="0" applyProtection="0"/>
    <xf numFmtId="49" fontId="33" fillId="0" borderId="1"/>
    <xf numFmtId="44" fontId="3" fillId="0" borderId="1" applyFont="0" applyFill="0" applyBorder="0" applyAlignment="0" applyProtection="0"/>
    <xf numFmtId="49" fontId="33" fillId="0" borderId="1"/>
    <xf numFmtId="164" fontId="3" fillId="0" borderId="1"/>
    <xf numFmtId="44" fontId="3" fillId="0" borderId="1" applyFont="0" applyFill="0" applyBorder="0" applyAlignment="0" applyProtection="0"/>
    <xf numFmtId="0" fontId="3" fillId="0" borderId="1"/>
    <xf numFmtId="49" fontId="33" fillId="0" borderId="1"/>
    <xf numFmtId="164" fontId="3" fillId="0" borderId="1"/>
    <xf numFmtId="164" fontId="3" fillId="0" borderId="1"/>
    <xf numFmtId="44" fontId="3" fillId="0" borderId="1" applyFont="0" applyFill="0" applyBorder="0" applyAlignment="0" applyProtection="0"/>
    <xf numFmtId="0" fontId="42" fillId="0" borderId="29" applyNumberFormat="0" applyFill="0" applyAlignment="0" applyProtection="0"/>
    <xf numFmtId="0" fontId="3" fillId="0" borderId="1"/>
    <xf numFmtId="0" fontId="3" fillId="0" borderId="1"/>
    <xf numFmtId="44" fontId="3" fillId="0" borderId="1" applyFont="0" applyFill="0" applyBorder="0" applyAlignment="0" applyProtection="0"/>
    <xf numFmtId="0" fontId="52" fillId="0" borderId="31" applyNumberFormat="0" applyFill="0" applyAlignment="0" applyProtection="0"/>
    <xf numFmtId="44" fontId="3" fillId="0" borderId="1" applyFont="0" applyFill="0" applyBorder="0" applyAlignment="0" applyProtection="0"/>
    <xf numFmtId="164" fontId="3" fillId="0" borderId="1"/>
    <xf numFmtId="0" fontId="52" fillId="0" borderId="31" applyNumberFormat="0" applyFill="0" applyAlignment="0" applyProtection="0"/>
    <xf numFmtId="164" fontId="3" fillId="0" borderId="1"/>
    <xf numFmtId="164" fontId="3" fillId="0" borderId="1"/>
    <xf numFmtId="0" fontId="53" fillId="0" borderId="33" applyNumberFormat="0" applyFill="0" applyAlignment="0" applyProtection="0"/>
    <xf numFmtId="0" fontId="3" fillId="0" borderId="1"/>
    <xf numFmtId="0" fontId="3" fillId="0" borderId="1"/>
    <xf numFmtId="0" fontId="47" fillId="32" borderId="30" applyNumberFormat="0" applyAlignment="0" applyProtection="0"/>
    <xf numFmtId="164" fontId="3" fillId="0" borderId="1"/>
    <xf numFmtId="164" fontId="3" fillId="0" borderId="1"/>
    <xf numFmtId="0" fontId="59" fillId="0" borderId="1" applyNumberFormat="0" applyFill="0" applyBorder="0" applyAlignment="0" applyProtection="0"/>
    <xf numFmtId="0" fontId="44" fillId="43" borderId="1" applyNumberFormat="0" applyBorder="0" applyAlignment="0" applyProtection="0"/>
    <xf numFmtId="0" fontId="44" fillId="46" borderId="1" applyNumberFormat="0" applyBorder="0" applyAlignment="0" applyProtection="0"/>
    <xf numFmtId="0" fontId="3" fillId="0" borderId="1"/>
    <xf numFmtId="0" fontId="3" fillId="0" borderId="1"/>
    <xf numFmtId="0" fontId="44" fillId="48" borderId="1" applyNumberFormat="0" applyBorder="0" applyAlignment="0" applyProtection="0"/>
    <xf numFmtId="0" fontId="44" fillId="45" borderId="1" applyNumberFormat="0" applyBorder="0" applyAlignment="0" applyProtection="0"/>
    <xf numFmtId="0" fontId="3" fillId="0" borderId="1"/>
    <xf numFmtId="0" fontId="44" fillId="45" borderId="1" applyNumberFormat="0" applyBorder="0" applyAlignment="0" applyProtection="0"/>
    <xf numFmtId="0" fontId="47" fillId="32" borderId="30" applyNumberFormat="0" applyAlignment="0" applyProtection="0"/>
    <xf numFmtId="164" fontId="3" fillId="0" borderId="1"/>
    <xf numFmtId="164" fontId="3" fillId="0" borderId="1"/>
    <xf numFmtId="0" fontId="47" fillId="32" borderId="30" applyNumberFormat="0" applyAlignment="0" applyProtection="0"/>
    <xf numFmtId="44" fontId="3" fillId="0" borderId="1" applyFont="0" applyFill="0" applyBorder="0" applyAlignment="0" applyProtection="0"/>
    <xf numFmtId="0" fontId="47" fillId="32" borderId="30" applyNumberFormat="0" applyAlignment="0" applyProtection="0"/>
    <xf numFmtId="0" fontId="47" fillId="32" borderId="30" applyNumberFormat="0" applyAlignment="0" applyProtection="0"/>
    <xf numFmtId="0" fontId="47" fillId="32" borderId="30" applyNumberFormat="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47" fillId="32" borderId="30" applyNumberFormat="0" applyAlignment="0" applyProtection="0"/>
    <xf numFmtId="0" fontId="3" fillId="0" borderId="1"/>
    <xf numFmtId="44" fontId="3" fillId="0" borderId="1" applyFont="0" applyFill="0" applyBorder="0" applyAlignment="0" applyProtection="0"/>
    <xf numFmtId="164" fontId="3" fillId="0" borderId="1"/>
    <xf numFmtId="0" fontId="3" fillId="0" borderId="1"/>
    <xf numFmtId="0" fontId="47" fillId="32" borderId="30" applyNumberFormat="0" applyAlignment="0" applyProtection="0"/>
    <xf numFmtId="164" fontId="3" fillId="0" borderId="1"/>
    <xf numFmtId="0" fontId="3" fillId="0" borderId="1"/>
    <xf numFmtId="0" fontId="3" fillId="0" borderId="1"/>
    <xf numFmtId="0" fontId="47" fillId="32" borderId="30" applyNumberFormat="0" applyAlignment="0" applyProtection="0"/>
    <xf numFmtId="164" fontId="3" fillId="0" borderId="1"/>
    <xf numFmtId="0" fontId="47" fillId="32" borderId="30" applyNumberFormat="0" applyAlignment="0" applyProtection="0"/>
    <xf numFmtId="0" fontId="3" fillId="0" borderId="1"/>
    <xf numFmtId="0" fontId="3" fillId="0" borderId="1"/>
    <xf numFmtId="0" fontId="3" fillId="0" borderId="1"/>
    <xf numFmtId="164" fontId="3" fillId="0" borderId="1"/>
    <xf numFmtId="0" fontId="47" fillId="32" borderId="30" applyNumberFormat="0" applyAlignment="0" applyProtection="0"/>
    <xf numFmtId="0" fontId="3" fillId="0" borderId="1"/>
    <xf numFmtId="0" fontId="3" fillId="0" borderId="1"/>
    <xf numFmtId="0" fontId="47" fillId="32" borderId="30" applyNumberFormat="0" applyAlignment="0" applyProtection="0"/>
    <xf numFmtId="0" fontId="47" fillId="32" borderId="30" applyNumberFormat="0" applyAlignment="0" applyProtection="0"/>
    <xf numFmtId="0" fontId="3" fillId="0" borderId="1"/>
    <xf numFmtId="0" fontId="3" fillId="0" borderId="1"/>
    <xf numFmtId="44" fontId="3" fillId="0" borderId="1" applyFont="0" applyFill="0" applyBorder="0" applyAlignment="0" applyProtection="0"/>
    <xf numFmtId="0" fontId="47" fillId="32" borderId="30" applyNumberFormat="0" applyAlignment="0" applyProtection="0"/>
    <xf numFmtId="0" fontId="3" fillId="0" borderId="1"/>
    <xf numFmtId="44" fontId="3" fillId="0" borderId="1" applyFont="0" applyFill="0" applyBorder="0" applyAlignment="0" applyProtection="0"/>
    <xf numFmtId="0" fontId="3" fillId="0" borderId="1"/>
    <xf numFmtId="0" fontId="3" fillId="0" borderId="1"/>
    <xf numFmtId="0" fontId="47" fillId="32" borderId="30" applyNumberFormat="0" applyAlignment="0" applyProtection="0"/>
    <xf numFmtId="0" fontId="3" fillId="0" borderId="1"/>
    <xf numFmtId="0" fontId="3" fillId="0" borderId="1"/>
    <xf numFmtId="0" fontId="3" fillId="0" borderId="1"/>
    <xf numFmtId="0" fontId="47" fillId="32" borderId="30" applyNumberFormat="0" applyAlignment="0" applyProtection="0"/>
    <xf numFmtId="164" fontId="3" fillId="0" borderId="1"/>
    <xf numFmtId="0" fontId="47" fillId="32" borderId="30" applyNumberFormat="0" applyAlignment="0" applyProtection="0"/>
    <xf numFmtId="0" fontId="3" fillId="0" borderId="1"/>
    <xf numFmtId="0" fontId="3" fillId="0" borderId="1"/>
    <xf numFmtId="0" fontId="3" fillId="0" borderId="1"/>
    <xf numFmtId="0" fontId="47" fillId="32" borderId="30" applyNumberFormat="0" applyAlignment="0" applyProtection="0"/>
    <xf numFmtId="0" fontId="3" fillId="0" borderId="1"/>
    <xf numFmtId="0" fontId="47" fillId="32" borderId="30" applyNumberFormat="0" applyAlignment="0" applyProtection="0"/>
    <xf numFmtId="0" fontId="3" fillId="0" borderId="1"/>
    <xf numFmtId="0" fontId="3" fillId="0" borderId="1"/>
    <xf numFmtId="0" fontId="47" fillId="32" borderId="30" applyNumberFormat="0" applyAlignment="0" applyProtection="0"/>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5" fontId="33" fillId="0" borderId="1" applyFont="0" applyFill="0" applyBorder="0" applyAlignment="0" applyProtection="0"/>
    <xf numFmtId="165" fontId="33" fillId="0" borderId="1" applyFont="0" applyFill="0" applyBorder="0" applyAlignment="0" applyProtection="0"/>
    <xf numFmtId="0" fontId="3" fillId="0" borderId="1"/>
    <xf numFmtId="165" fontId="33" fillId="0" borderId="1" applyFont="0" applyFill="0" applyBorder="0" applyAlignment="0" applyProtection="0"/>
    <xf numFmtId="165" fontId="33" fillId="0" borderId="1" applyFont="0" applyFill="0" applyBorder="0" applyAlignment="0" applyProtection="0"/>
    <xf numFmtId="0" fontId="3" fillId="0" borderId="1"/>
    <xf numFmtId="164" fontId="3" fillId="0" borderId="1"/>
    <xf numFmtId="164" fontId="3" fillId="0" borderId="1"/>
    <xf numFmtId="0" fontId="62" fillId="0" borderId="1" applyNumberFormat="0" applyFill="0" applyBorder="0" applyAlignment="0" applyProtection="0">
      <alignment vertical="top"/>
      <protection locked="0"/>
    </xf>
    <xf numFmtId="164" fontId="3" fillId="0" borderId="1"/>
    <xf numFmtId="0" fontId="33" fillId="0" borderId="1"/>
    <xf numFmtId="165" fontId="33" fillId="0" borderId="1" applyFont="0" applyFill="0" applyBorder="0" applyAlignment="0" applyProtection="0"/>
    <xf numFmtId="164" fontId="33" fillId="0" borderId="1" applyFill="0" applyBorder="0" applyAlignment="0" applyProtection="0"/>
    <xf numFmtId="164" fontId="33" fillId="0" borderId="1" applyFont="0" applyFill="0" applyBorder="0" applyAlignment="0" applyProtection="0"/>
    <xf numFmtId="165" fontId="33" fillId="0" borderId="1" applyFont="0" applyFill="0" applyBorder="0" applyAlignment="0" applyProtection="0"/>
    <xf numFmtId="0" fontId="3" fillId="0" borderId="1"/>
    <xf numFmtId="0" fontId="3" fillId="0" borderId="1"/>
    <xf numFmtId="165" fontId="33" fillId="0" borderId="1" applyFont="0" applyFill="0" applyBorder="0" applyAlignment="0" applyProtection="0"/>
    <xf numFmtId="164" fontId="33" fillId="0" borderId="1" applyFont="0" applyFill="0" applyBorder="0" applyAlignment="0" applyProtection="0"/>
    <xf numFmtId="164" fontId="33" fillId="0" borderId="1" applyFill="0" applyBorder="0" applyAlignment="0" applyProtection="0"/>
    <xf numFmtId="44" fontId="3" fillId="0" borderId="1" applyFont="0" applyFill="0" applyBorder="0" applyAlignment="0" applyProtection="0"/>
    <xf numFmtId="164" fontId="33" fillId="0" borderId="1" applyFont="0" applyFill="0" applyBorder="0" applyAlignment="0" applyProtection="0"/>
    <xf numFmtId="0" fontId="3" fillId="0" borderId="1"/>
    <xf numFmtId="0" fontId="3" fillId="0" borderId="1"/>
    <xf numFmtId="165" fontId="33" fillId="0" borderId="1" applyFont="0" applyFill="0" applyBorder="0" applyAlignment="0" applyProtection="0"/>
    <xf numFmtId="164"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3" fillId="0" borderId="1" applyFont="0" applyFill="0" applyBorder="0" applyAlignment="0" applyProtection="0"/>
    <xf numFmtId="164" fontId="33" fillId="0" borderId="1" applyFont="0" applyFill="0" applyBorder="0" applyAlignment="0" applyProtection="0"/>
    <xf numFmtId="164" fontId="3" fillId="0" borderId="1"/>
    <xf numFmtId="164" fontId="33" fillId="0" borderId="1" applyFill="0" applyBorder="0" applyAlignment="0" applyProtection="0"/>
    <xf numFmtId="164" fontId="3" fillId="0" borderId="1"/>
    <xf numFmtId="44" fontId="3" fillId="0" borderId="1" applyFont="0" applyFill="0" applyBorder="0" applyAlignment="0" applyProtection="0"/>
    <xf numFmtId="0"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164" fontId="3" fillId="0" borderId="1"/>
    <xf numFmtId="164"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44" fontId="3" fillId="0" borderId="1" applyFont="0" applyFill="0" applyBorder="0" applyAlignment="0" applyProtection="0"/>
    <xf numFmtId="164" fontId="33" fillId="0" borderId="1" applyFont="0" applyFill="0" applyBorder="0" applyAlignment="0" applyProtection="0"/>
    <xf numFmtId="164" fontId="33" fillId="0" borderId="1" applyFont="0" applyFill="0" applyBorder="0" applyAlignment="0" applyProtection="0"/>
    <xf numFmtId="164" fontId="3" fillId="0" borderId="1"/>
    <xf numFmtId="44" fontId="3" fillId="0" borderId="1" applyFont="0" applyFill="0" applyBorder="0" applyAlignment="0" applyProtection="0"/>
    <xf numFmtId="165" fontId="33" fillId="0" borderId="1" applyFont="0" applyFill="0" applyBorder="0" applyAlignment="0" applyProtection="0"/>
    <xf numFmtId="165" fontId="3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3" fillId="0" borderId="1" applyFill="0" applyBorder="0" applyAlignment="0" applyProtection="0"/>
    <xf numFmtId="164" fontId="33" fillId="0" borderId="1" applyFont="0" applyFill="0" applyBorder="0" applyAlignment="0" applyProtection="0"/>
    <xf numFmtId="164" fontId="3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3" fillId="0" borderId="1" applyFill="0" applyBorder="0" applyAlignment="0" applyProtection="0"/>
    <xf numFmtId="44" fontId="3" fillId="0" borderId="1" applyFont="0" applyFill="0" applyBorder="0" applyAlignment="0" applyProtection="0"/>
    <xf numFmtId="164"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164" fontId="33" fillId="0" borderId="1" applyFont="0" applyFill="0" applyBorder="0" applyAlignment="0" applyProtection="0"/>
    <xf numFmtId="164" fontId="33" fillId="0" borderId="1" applyFont="0" applyFill="0" applyBorder="0" applyAlignment="0" applyProtection="0"/>
    <xf numFmtId="164" fontId="3" fillId="0" borderId="1"/>
    <xf numFmtId="44" fontId="3" fillId="0" borderId="1" applyFont="0" applyFill="0" applyBorder="0" applyAlignment="0" applyProtection="0"/>
    <xf numFmtId="165" fontId="33" fillId="0" borderId="1" applyFont="0" applyFill="0" applyBorder="0" applyAlignment="0" applyProtection="0"/>
    <xf numFmtId="165" fontId="33" fillId="0" borderId="1" applyFont="0" applyFill="0" applyBorder="0" applyAlignment="0" applyProtection="0"/>
    <xf numFmtId="44" fontId="3" fillId="0" borderId="1" applyFont="0" applyFill="0" applyBorder="0" applyAlignment="0" applyProtection="0"/>
    <xf numFmtId="164" fontId="33" fillId="0" borderId="1" applyFont="0" applyFill="0" applyBorder="0" applyAlignment="0" applyProtection="0"/>
    <xf numFmtId="164" fontId="33" fillId="0" borderId="1" applyFont="0" applyFill="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5" fontId="33" fillId="0" borderId="1" applyFont="0" applyFill="0" applyBorder="0" applyAlignment="0" applyProtection="0"/>
    <xf numFmtId="165" fontId="33" fillId="0" borderId="1" applyFont="0" applyFill="0" applyBorder="0" applyAlignment="0" applyProtection="0"/>
    <xf numFmtId="0"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164"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164"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164" fontId="33" fillId="0" borderId="1" applyFont="0" applyFill="0" applyBorder="0" applyAlignment="0" applyProtection="0"/>
    <xf numFmtId="164" fontId="3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5" fontId="33" fillId="0" borderId="1" applyFont="0" applyFill="0" applyBorder="0" applyAlignment="0" applyProtection="0"/>
    <xf numFmtId="165" fontId="3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164" fontId="33" fillId="0" borderId="1" applyFont="0" applyFill="0" applyBorder="0" applyAlignment="0" applyProtection="0"/>
    <xf numFmtId="164" fontId="3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43" fontId="3" fillId="0" borderId="1" applyFont="0" applyFill="0" applyBorder="0" applyAlignment="0" applyProtection="0"/>
    <xf numFmtId="165" fontId="33" fillId="0" borderId="1" applyFont="0" applyFill="0" applyBorder="0" applyAlignment="0" applyProtection="0"/>
    <xf numFmtId="165" fontId="33" fillId="0" borderId="1" applyFont="0" applyFill="0" applyBorder="0" applyAlignment="0" applyProtection="0"/>
    <xf numFmtId="164" fontId="3" fillId="0" borderId="1"/>
    <xf numFmtId="164"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165" fontId="33" fillId="0" borderId="1" applyFont="0" applyFill="0" applyBorder="0" applyAlignment="0" applyProtection="0"/>
    <xf numFmtId="165" fontId="33" fillId="0" borderId="1" applyFont="0" applyFill="0" applyBorder="0" applyAlignment="0" applyProtection="0"/>
    <xf numFmtId="164" fontId="3" fillId="0" borderId="1"/>
    <xf numFmtId="164" fontId="33" fillId="0" borderId="1" applyFont="0" applyFill="0" applyBorder="0" applyAlignment="0" applyProtection="0"/>
    <xf numFmtId="164" fontId="3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5" fontId="33" fillId="0" borderId="1" applyFont="0" applyFill="0" applyBorder="0" applyAlignment="0" applyProtection="0"/>
    <xf numFmtId="165" fontId="33" fillId="0" borderId="1" applyFont="0" applyFill="0" applyBorder="0" applyAlignment="0" applyProtection="0"/>
    <xf numFmtId="164" fontId="33" fillId="0" borderId="1" applyFont="0" applyFill="0" applyBorder="0" applyAlignment="0" applyProtection="0"/>
    <xf numFmtId="164" fontId="33" fillId="0" borderId="1" applyFont="0" applyFill="0" applyBorder="0" applyAlignment="0" applyProtection="0"/>
    <xf numFmtId="43" fontId="3" fillId="0" borderId="1" applyFont="0" applyFill="0" applyBorder="0" applyAlignment="0" applyProtection="0"/>
    <xf numFmtId="164" fontId="33" fillId="0" borderId="1"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164" fontId="3" fillId="0" borderId="1"/>
    <xf numFmtId="0" fontId="33" fillId="0" borderId="1"/>
    <xf numFmtId="164" fontId="33" fillId="0" borderId="1" applyFill="0" applyBorder="0" applyAlignment="0" applyProtection="0"/>
    <xf numFmtId="164" fontId="3" fillId="0" borderId="1"/>
    <xf numFmtId="164" fontId="3" fillId="0" borderId="1"/>
    <xf numFmtId="0" fontId="3" fillId="0" borderId="1"/>
    <xf numFmtId="0" fontId="3" fillId="0" borderId="1"/>
    <xf numFmtId="164" fontId="3" fillId="0" borderId="1"/>
    <xf numFmtId="165" fontId="34"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5" fontId="34" fillId="0" borderId="1" applyFont="0" applyFill="0" applyBorder="0" applyAlignment="0" applyProtection="0"/>
    <xf numFmtId="0" fontId="3" fillId="0" borderId="1"/>
    <xf numFmtId="0" fontId="3" fillId="0" borderId="1"/>
    <xf numFmtId="164" fontId="33" fillId="0" borderId="1"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5" fontId="33" fillId="0" borderId="1" applyFont="0" applyFill="0" applyBorder="0" applyAlignment="0" applyProtection="0"/>
    <xf numFmtId="165" fontId="33" fillId="0" borderId="1" applyFont="0" applyFill="0" applyBorder="0" applyAlignment="0" applyProtection="0"/>
    <xf numFmtId="164" fontId="3" fillId="0" borderId="1"/>
    <xf numFmtId="164" fontId="3" fillId="0" borderId="1"/>
    <xf numFmtId="165" fontId="33" fillId="0" borderId="1" applyFont="0" applyFill="0" applyBorder="0" applyAlignment="0" applyProtection="0"/>
    <xf numFmtId="165" fontId="33" fillId="0" borderId="1" applyFont="0" applyFill="0" applyBorder="0" applyAlignment="0" applyProtection="0"/>
    <xf numFmtId="165" fontId="33" fillId="0" borderId="1" applyFont="0" applyFill="0" applyBorder="0" applyAlignment="0" applyProtection="0"/>
    <xf numFmtId="165" fontId="33" fillId="0" borderId="1" applyFont="0" applyFill="0" applyBorder="0" applyAlignment="0" applyProtection="0"/>
    <xf numFmtId="0" fontId="3" fillId="0" borderId="1"/>
    <xf numFmtId="164" fontId="3" fillId="0" borderId="1"/>
    <xf numFmtId="164" fontId="33" fillId="0" borderId="1" applyFont="0" applyFill="0" applyBorder="0" applyAlignment="0" applyProtection="0"/>
    <xf numFmtId="164" fontId="3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165" fontId="33" fillId="0" borderId="1" applyFont="0" applyFill="0" applyBorder="0" applyAlignment="0" applyProtection="0"/>
    <xf numFmtId="165" fontId="33" fillId="0" borderId="1" applyFont="0" applyFill="0" applyBorder="0" applyAlignment="0" applyProtection="0"/>
    <xf numFmtId="164" fontId="33" fillId="0" borderId="1" applyFont="0" applyFill="0" applyBorder="0" applyAlignment="0" applyProtection="0"/>
    <xf numFmtId="164" fontId="33" fillId="0" borderId="1" applyFont="0" applyFill="0" applyBorder="0" applyAlignment="0" applyProtection="0"/>
    <xf numFmtId="0" fontId="3" fillId="0" borderId="1"/>
    <xf numFmtId="0" fontId="3" fillId="0" borderId="1"/>
    <xf numFmtId="165" fontId="3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3" fillId="0" borderId="1">
      <alignment wrapText="1"/>
    </xf>
    <xf numFmtId="165" fontId="33" fillId="0" borderId="1" applyFont="0" applyFill="0" applyBorder="0" applyAlignment="0" applyProtection="0"/>
    <xf numFmtId="0" fontId="3" fillId="0" borderId="1"/>
    <xf numFmtId="0" fontId="3" fillId="0" borderId="1"/>
    <xf numFmtId="0" fontId="3" fillId="0" borderId="1"/>
    <xf numFmtId="0" fontId="3" fillId="0" borderId="1"/>
    <xf numFmtId="164" fontId="3" fillId="0" borderId="1"/>
    <xf numFmtId="164" fontId="3" fillId="0" borderId="1"/>
    <xf numFmtId="165" fontId="33" fillId="0" borderId="1" applyFont="0" applyFill="0" applyBorder="0" applyAlignment="0" applyProtection="0"/>
    <xf numFmtId="0" fontId="3" fillId="0" borderId="1"/>
    <xf numFmtId="0" fontId="3" fillId="0" borderId="1"/>
    <xf numFmtId="164" fontId="33" fillId="0" borderId="1" applyFont="0" applyFill="0" applyBorder="0" applyAlignment="0" applyProtection="0"/>
    <xf numFmtId="44" fontId="3" fillId="0" borderId="1" applyFont="0" applyFill="0" applyBorder="0" applyAlignment="0" applyProtection="0"/>
    <xf numFmtId="165" fontId="33" fillId="0" borderId="1" applyFont="0" applyFill="0" applyBorder="0" applyAlignment="0" applyProtection="0"/>
    <xf numFmtId="0" fontId="3" fillId="0" borderId="1"/>
    <xf numFmtId="0" fontId="3" fillId="0" borderId="1"/>
    <xf numFmtId="0" fontId="3" fillId="0" borderId="1"/>
    <xf numFmtId="164" fontId="33" fillId="0" borderId="1" applyFont="0" applyFill="0" applyBorder="0" applyAlignment="0" applyProtection="0"/>
    <xf numFmtId="165" fontId="33" fillId="0" borderId="1" applyFont="0" applyFill="0" applyBorder="0" applyAlignment="0" applyProtection="0"/>
    <xf numFmtId="164" fontId="33" fillId="0" borderId="1"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3" fillId="0" borderId="1"/>
    <xf numFmtId="164" fontId="33" fillId="0" borderId="1" applyFill="0" applyBorder="0" applyAlignment="0" applyProtection="0"/>
    <xf numFmtId="164" fontId="33" fillId="0" borderId="1"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3" fillId="0" borderId="1"/>
    <xf numFmtId="164" fontId="33" fillId="0" borderId="1" applyFill="0" applyBorder="0" applyAlignment="0" applyProtection="0"/>
    <xf numFmtId="164" fontId="33" fillId="0" borderId="1" applyFill="0" applyBorder="0" applyAlignment="0" applyProtection="0"/>
    <xf numFmtId="164" fontId="33" fillId="0" borderId="1" applyFill="0" applyBorder="0" applyAlignment="0" applyProtection="0"/>
    <xf numFmtId="164" fontId="33" fillId="0" borderId="1" applyFill="0" applyBorder="0" applyAlignment="0" applyProtection="0"/>
    <xf numFmtId="0" fontId="3" fillId="0" borderId="1"/>
    <xf numFmtId="164" fontId="3" fillId="0" borderId="1"/>
    <xf numFmtId="164" fontId="33" fillId="0" borderId="1" applyFill="0" applyBorder="0" applyAlignment="0" applyProtection="0"/>
    <xf numFmtId="164" fontId="33" fillId="0" borderId="1" applyFill="0" applyBorder="0" applyAlignment="0" applyProtection="0"/>
    <xf numFmtId="0" fontId="3" fillId="0" borderId="1"/>
    <xf numFmtId="164" fontId="33" fillId="0" borderId="1"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4" fontId="33" fillId="0" borderId="1" applyFill="0" applyBorder="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3" fillId="0" borderId="1" applyFill="0" applyBorder="0" applyAlignment="0" applyProtection="0"/>
    <xf numFmtId="44" fontId="3" fillId="0" borderId="1" applyFont="0" applyFill="0" applyBorder="0" applyAlignment="0" applyProtection="0"/>
    <xf numFmtId="0" fontId="3" fillId="0" borderId="1"/>
    <xf numFmtId="0" fontId="56" fillId="0" borderId="1" applyNumberFormat="0" applyFill="0" applyBorder="0" applyAlignment="0" applyProtection="0"/>
    <xf numFmtId="44" fontId="3" fillId="0" borderId="1" applyFont="0" applyFill="0" applyBorder="0" applyAlignment="0" applyProtection="0"/>
    <xf numFmtId="0" fontId="3" fillId="0" borderId="1"/>
    <xf numFmtId="164" fontId="3" fillId="0" borderId="1"/>
    <xf numFmtId="0" fontId="56" fillId="0" borderId="1" applyNumberFormat="0" applyFill="0" applyBorder="0" applyAlignment="0" applyProtection="0"/>
    <xf numFmtId="0" fontId="35" fillId="0" borderId="1" applyNumberFormat="0" applyFill="0" applyBorder="0" applyAlignment="0" applyProtection="0"/>
    <xf numFmtId="0" fontId="3" fillId="0" borderId="1"/>
    <xf numFmtId="0" fontId="3" fillId="0" borderId="1"/>
    <xf numFmtId="0" fontId="3" fillId="0" borderId="1"/>
    <xf numFmtId="0" fontId="3" fillId="0" borderId="1"/>
    <xf numFmtId="164" fontId="3" fillId="0" borderId="1"/>
    <xf numFmtId="164" fontId="3" fillId="0" borderId="1"/>
    <xf numFmtId="0" fontId="35" fillId="0" borderId="1" applyNumberFormat="0" applyFill="0" applyBorder="0" applyAlignment="0" applyProtection="0"/>
    <xf numFmtId="0" fontId="35" fillId="0" borderId="1" applyNumberFormat="0" applyFill="0" applyBorder="0" applyAlignment="0" applyProtection="0"/>
    <xf numFmtId="0" fontId="3" fillId="0" borderId="1"/>
    <xf numFmtId="164" fontId="3" fillId="0" borderId="1"/>
    <xf numFmtId="0" fontId="3" fillId="0" borderId="1"/>
    <xf numFmtId="164" fontId="3" fillId="0" borderId="1"/>
    <xf numFmtId="0" fontId="3" fillId="0" borderId="1"/>
    <xf numFmtId="164" fontId="62" fillId="0" borderId="1" applyNumberFormat="0" applyFill="0" applyBorder="0" applyAlignment="0" applyProtection="0">
      <alignment vertical="top"/>
      <protection locked="0"/>
    </xf>
    <xf numFmtId="0" fontId="3" fillId="0" borderId="1"/>
    <xf numFmtId="164" fontId="3" fillId="0" borderId="1"/>
    <xf numFmtId="164" fontId="3" fillId="0" borderId="1"/>
    <xf numFmtId="164" fontId="62" fillId="0" borderId="1" applyNumberFormat="0" applyFill="0" applyBorder="0" applyAlignment="0" applyProtection="0">
      <alignment vertical="top"/>
      <protection locked="0"/>
    </xf>
    <xf numFmtId="164" fontId="3" fillId="0" borderId="1"/>
    <xf numFmtId="164" fontId="3" fillId="0" borderId="1"/>
    <xf numFmtId="0" fontId="3" fillId="0" borderId="1"/>
    <xf numFmtId="0" fontId="3" fillId="0" borderId="1"/>
    <xf numFmtId="0" fontId="62" fillId="0" borderId="1" applyNumberFormat="0" applyFill="0" applyBorder="0" applyAlignment="0" applyProtection="0">
      <alignment vertical="top"/>
      <protection locked="0"/>
    </xf>
    <xf numFmtId="0" fontId="35" fillId="0" borderId="1" applyNumberFormat="0" applyFill="0" applyBorder="0" applyAlignment="0" applyProtection="0"/>
    <xf numFmtId="0" fontId="51" fillId="0" borderId="1" applyNumberFormat="0" applyFill="0" applyBorder="0" applyAlignment="0" applyProtection="0"/>
    <xf numFmtId="164" fontId="3" fillId="0" borderId="1"/>
    <xf numFmtId="164" fontId="3" fillId="0" borderId="1"/>
    <xf numFmtId="164" fontId="3" fillId="0" borderId="1"/>
    <xf numFmtId="164" fontId="3" fillId="0" borderId="1"/>
    <xf numFmtId="0" fontId="3" fillId="0" borderId="1"/>
    <xf numFmtId="0" fontId="3" fillId="0" borderId="1"/>
    <xf numFmtId="0" fontId="35" fillId="0" borderId="1" applyNumberFormat="0" applyFill="0" applyBorder="0" applyAlignment="0" applyProtection="0"/>
    <xf numFmtId="0" fontId="35" fillId="0" borderId="1" applyNumberFormat="0" applyFill="0" applyBorder="0" applyAlignment="0" applyProtection="0"/>
    <xf numFmtId="164" fontId="3" fillId="0" borderId="1"/>
    <xf numFmtId="164" fontId="3" fillId="0" borderId="1"/>
    <xf numFmtId="0" fontId="3" fillId="0" borderId="1"/>
    <xf numFmtId="0" fontId="3" fillId="0" borderId="1"/>
    <xf numFmtId="0" fontId="3" fillId="0" borderId="1"/>
    <xf numFmtId="0" fontId="3" fillId="0" borderId="1"/>
    <xf numFmtId="43" fontId="3" fillId="0" borderId="1" applyFont="0" applyFill="0" applyBorder="0" applyAlignment="0" applyProtection="0"/>
    <xf numFmtId="0" fontId="35" fillId="0" borderId="1" applyNumberFormat="0" applyFill="0" applyBorder="0" applyAlignment="0" applyProtection="0"/>
    <xf numFmtId="0" fontId="35" fillId="0" borderId="1" applyNumberFormat="0" applyFill="0" applyBorder="0" applyAlignment="0" applyProtection="0"/>
    <xf numFmtId="0" fontId="3" fillId="0" borderId="1"/>
    <xf numFmtId="0" fontId="35" fillId="0" borderId="1" applyNumberFormat="0" applyFill="0" applyBorder="0" applyAlignment="0" applyProtection="0"/>
    <xf numFmtId="0" fontId="35" fillId="0" borderId="1" applyNumberFormat="0" applyFill="0" applyBorder="0" applyAlignment="0" applyProtection="0"/>
    <xf numFmtId="0" fontId="35" fillId="0" borderId="1" applyNumberFormat="0" applyFill="0" applyBorder="0" applyAlignment="0" applyProtection="0"/>
    <xf numFmtId="0" fontId="35" fillId="0" borderId="1" applyNumberFormat="0" applyFill="0" applyBorder="0" applyAlignment="0" applyProtection="0"/>
    <xf numFmtId="0" fontId="35" fillId="0" borderId="1" applyNumberFormat="0" applyFill="0" applyBorder="0" applyAlignment="0" applyProtection="0"/>
    <xf numFmtId="0" fontId="35" fillId="0" borderId="1" applyNumberFormat="0" applyFill="0" applyBorder="0" applyAlignment="0" applyProtection="0"/>
    <xf numFmtId="0" fontId="3" fillId="0" borderId="1"/>
    <xf numFmtId="164" fontId="3" fillId="0" borderId="1"/>
    <xf numFmtId="0" fontId="3" fillId="0" borderId="1"/>
    <xf numFmtId="164" fontId="3" fillId="0" borderId="1"/>
    <xf numFmtId="164" fontId="62" fillId="0" borderId="1" applyNumberFormat="0" applyFill="0" applyBorder="0" applyAlignment="0" applyProtection="0">
      <alignment vertical="top"/>
      <protection locked="0"/>
    </xf>
    <xf numFmtId="0" fontId="3" fillId="0" borderId="1"/>
    <xf numFmtId="164" fontId="3" fillId="0" borderId="1"/>
    <xf numFmtId="164" fontId="3" fillId="0" borderId="1"/>
    <xf numFmtId="0" fontId="51" fillId="0" borderId="1" applyNumberFormat="0" applyFill="0" applyBorder="0" applyAlignment="0" applyProtection="0"/>
    <xf numFmtId="0" fontId="35" fillId="0" borderId="1" applyNumberFormat="0" applyFill="0" applyBorder="0" applyAlignment="0" applyProtection="0"/>
    <xf numFmtId="0" fontId="35" fillId="0" borderId="1" applyNumberFormat="0" applyFill="0" applyBorder="0" applyAlignment="0" applyProtection="0"/>
    <xf numFmtId="44" fontId="3" fillId="0" borderId="1" applyFont="0" applyFill="0" applyBorder="0" applyAlignment="0" applyProtection="0"/>
    <xf numFmtId="164" fontId="3" fillId="0" borderId="1"/>
    <xf numFmtId="0" fontId="35" fillId="0" borderId="1" applyNumberFormat="0" applyFill="0" applyBorder="0" applyAlignment="0" applyProtection="0"/>
    <xf numFmtId="0" fontId="35" fillId="0" borderId="1" applyNumberFormat="0" applyFill="0" applyBorder="0" applyAlignment="0" applyProtection="0"/>
    <xf numFmtId="164" fontId="3" fillId="0" borderId="1"/>
    <xf numFmtId="0" fontId="3" fillId="0" borderId="1"/>
    <xf numFmtId="164" fontId="3" fillId="0" borderId="1"/>
    <xf numFmtId="0" fontId="3" fillId="0" borderId="1"/>
    <xf numFmtId="164" fontId="3" fillId="0" borderId="1"/>
    <xf numFmtId="0" fontId="51" fillId="0" borderId="1" applyNumberFormat="0" applyFill="0" applyBorder="0" applyAlignment="0" applyProtection="0"/>
    <xf numFmtId="0" fontId="35" fillId="0" borderId="1" applyNumberFormat="0" applyFill="0" applyBorder="0" applyAlignment="0" applyProtection="0"/>
    <xf numFmtId="0" fontId="3" fillId="0" borderId="1"/>
    <xf numFmtId="0" fontId="3" fillId="0" borderId="1"/>
    <xf numFmtId="164" fontId="3" fillId="0" borderId="1"/>
    <xf numFmtId="164" fontId="3" fillId="0" borderId="1"/>
    <xf numFmtId="164" fontId="3" fillId="0" borderId="1"/>
    <xf numFmtId="164" fontId="3" fillId="0" borderId="1"/>
    <xf numFmtId="0" fontId="55" fillId="0" borderId="1" applyNumberFormat="0" applyFill="0" applyBorder="0" applyAlignment="0" applyProtection="0">
      <alignment vertical="top"/>
      <protection locked="0"/>
    </xf>
    <xf numFmtId="0" fontId="3" fillId="0" borderId="1"/>
    <xf numFmtId="0" fontId="3" fillId="0" borderId="1"/>
    <xf numFmtId="164" fontId="3" fillId="0" borderId="1"/>
    <xf numFmtId="0" fontId="3" fillId="0" borderId="1"/>
    <xf numFmtId="164" fontId="3" fillId="0" borderId="1"/>
    <xf numFmtId="0" fontId="3" fillId="0" borderId="1"/>
    <xf numFmtId="43" fontId="3" fillId="0" borderId="1" applyFont="0" applyFill="0" applyBorder="0" applyAlignment="0" applyProtection="0"/>
    <xf numFmtId="0" fontId="3" fillId="0" borderId="1"/>
    <xf numFmtId="164" fontId="3" fillId="0" borderId="1"/>
    <xf numFmtId="164" fontId="3" fillId="0" borderId="1"/>
    <xf numFmtId="164" fontId="3" fillId="0" borderId="1"/>
    <xf numFmtId="164" fontId="3" fillId="0" borderId="1"/>
    <xf numFmtId="0" fontId="41" fillId="0" borderId="1" applyNumberFormat="0" applyFill="0" applyBorder="0" applyAlignment="0" applyProtection="0">
      <alignment vertical="top"/>
      <protection locked="0"/>
    </xf>
    <xf numFmtId="43" fontId="3" fillId="0" borderId="1" applyFont="0" applyFill="0" applyBorder="0" applyAlignment="0" applyProtection="0"/>
    <xf numFmtId="164" fontId="3" fillId="0" borderId="1"/>
    <xf numFmtId="0" fontId="45" fillId="35" borderId="1" applyNumberFormat="0" applyBorder="0" applyAlignment="0" applyProtection="0"/>
    <xf numFmtId="0" fontId="3" fillId="0" borderId="1"/>
    <xf numFmtId="164" fontId="3" fillId="0" borderId="1"/>
    <xf numFmtId="43" fontId="3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43" fontId="3" fillId="0" borderId="1" applyFont="0" applyFill="0" applyBorder="0" applyAlignment="0" applyProtection="0"/>
    <xf numFmtId="44" fontId="3" fillId="0" borderId="1" applyFont="0" applyFill="0" applyBorder="0" applyAlignment="0" applyProtection="0"/>
    <xf numFmtId="0" fontId="3" fillId="0" borderId="1"/>
    <xf numFmtId="43" fontId="3" fillId="0" borderId="1" applyFont="0" applyFill="0" applyBorder="0" applyAlignment="0" applyProtection="0"/>
    <xf numFmtId="0" fontId="33" fillId="0" borderId="1"/>
    <xf numFmtId="44" fontId="3" fillId="0" borderId="1" applyFont="0" applyFill="0" applyBorder="0" applyAlignment="0" applyProtection="0"/>
    <xf numFmtId="0" fontId="33" fillId="0" borderId="1"/>
    <xf numFmtId="43"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43"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43"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4" fontId="3" fillId="0" borderId="1"/>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4" fontId="3" fillId="0" borderId="1" applyFont="0" applyFill="0" applyBorder="0" applyAlignment="0" applyProtection="0"/>
    <xf numFmtId="43" fontId="3" fillId="0" borderId="1" applyFont="0" applyFill="0" applyBorder="0" applyAlignment="0" applyProtection="0"/>
    <xf numFmtId="164" fontId="3" fillId="0" borderId="1"/>
    <xf numFmtId="164"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4" fontId="3" fillId="0" borderId="1"/>
    <xf numFmtId="43" fontId="3" fillId="0" borderId="1" applyFont="0" applyFill="0" applyBorder="0" applyAlignment="0" applyProtection="0"/>
    <xf numFmtId="0" fontId="3" fillId="0" borderId="1"/>
    <xf numFmtId="164" fontId="3" fillId="0" borderId="1"/>
    <xf numFmtId="164" fontId="3" fillId="0" borderId="1"/>
    <xf numFmtId="164" fontId="3" fillId="0" borderId="1"/>
    <xf numFmtId="43" fontId="3" fillId="0" borderId="1" applyFont="0" applyFill="0" applyBorder="0" applyAlignment="0" applyProtection="0"/>
    <xf numFmtId="164" fontId="3" fillId="0" borderId="1"/>
    <xf numFmtId="164" fontId="3" fillId="0" borderId="1"/>
    <xf numFmtId="43" fontId="3" fillId="0" borderId="1" applyFont="0" applyFill="0" applyBorder="0" applyAlignment="0" applyProtection="0"/>
    <xf numFmtId="44" fontId="3" fillId="0" borderId="1" applyFont="0" applyFill="0" applyBorder="0" applyAlignment="0" applyProtection="0"/>
    <xf numFmtId="164" fontId="3" fillId="0" borderId="1"/>
    <xf numFmtId="43"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43"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0" fontId="3" fillId="0" borderId="1"/>
    <xf numFmtId="43" fontId="3" fillId="0" borderId="1" applyFont="0" applyFill="0" applyBorder="0" applyAlignment="0" applyProtection="0"/>
    <xf numFmtId="43" fontId="3" fillId="0" borderId="1" applyFont="0" applyFill="0" applyBorder="0" applyAlignment="0" applyProtection="0"/>
    <xf numFmtId="0" fontId="3" fillId="0" borderId="1"/>
    <xf numFmtId="0" fontId="3" fillId="0" borderId="1"/>
    <xf numFmtId="0" fontId="3" fillId="0" borderId="1"/>
    <xf numFmtId="43" fontId="3" fillId="0" borderId="1" applyFont="0" applyFill="0" applyBorder="0" applyAlignment="0" applyProtection="0"/>
    <xf numFmtId="0" fontId="3" fillId="0" borderId="1"/>
    <xf numFmtId="0" fontId="3" fillId="0" borderId="1"/>
    <xf numFmtId="0" fontId="3" fillId="0" borderId="1"/>
    <xf numFmtId="0" fontId="3" fillId="0" borderId="1"/>
    <xf numFmtId="43" fontId="3" fillId="0" borderId="1" applyFont="0" applyFill="0" applyBorder="0" applyAlignment="0" applyProtection="0"/>
    <xf numFmtId="164" fontId="3" fillId="0" borderId="1"/>
    <xf numFmtId="164" fontId="3" fillId="0" borderId="1"/>
    <xf numFmtId="0" fontId="3" fillId="0" borderId="1"/>
    <xf numFmtId="164" fontId="3" fillId="0" borderId="1"/>
    <xf numFmtId="164" fontId="3" fillId="0" borderId="1"/>
    <xf numFmtId="43" fontId="3" fillId="0" borderId="1" applyFont="0" applyFill="0" applyBorder="0" applyAlignment="0" applyProtection="0"/>
    <xf numFmtId="43" fontId="3" fillId="0" borderId="1" applyFont="0" applyFill="0" applyBorder="0" applyAlignment="0" applyProtection="0"/>
    <xf numFmtId="0" fontId="3" fillId="0" borderId="1"/>
    <xf numFmtId="0" fontId="3" fillId="0" borderId="1"/>
    <xf numFmtId="164" fontId="3" fillId="0" borderId="1"/>
    <xf numFmtId="164"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3" fontId="3" fillId="0" borderId="1" applyFont="0" applyFill="0" applyBorder="0" applyAlignment="0" applyProtection="0"/>
    <xf numFmtId="43" fontId="3" fillId="0" borderId="1" applyFont="0" applyFill="0" applyBorder="0" applyAlignment="0" applyProtection="0"/>
    <xf numFmtId="0" fontId="3" fillId="0" borderId="1"/>
    <xf numFmtId="43" fontId="3" fillId="0" borderId="1" applyFont="0" applyFill="0" applyBorder="0" applyAlignment="0" applyProtection="0"/>
    <xf numFmtId="43" fontId="3" fillId="0" borderId="1" applyFont="0" applyFill="0" applyBorder="0" applyAlignment="0" applyProtection="0"/>
    <xf numFmtId="0" fontId="3" fillId="0" borderId="1"/>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43" fontId="3" fillId="0" borderId="1" applyFont="0" applyFill="0" applyBorder="0" applyAlignment="0" applyProtection="0"/>
    <xf numFmtId="43" fontId="3" fillId="0" borderId="1" applyFont="0" applyFill="0" applyBorder="0" applyAlignment="0" applyProtection="0"/>
    <xf numFmtId="0" fontId="3" fillId="0" borderId="1"/>
    <xf numFmtId="164" fontId="3" fillId="0" borderId="1"/>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0" fontId="3" fillId="0" borderId="1"/>
    <xf numFmtId="43" fontId="3" fillId="0" borderId="1" applyFont="0" applyFill="0" applyBorder="0" applyAlignment="0" applyProtection="0"/>
    <xf numFmtId="164" fontId="3" fillId="0" borderId="1"/>
    <xf numFmtId="164" fontId="3" fillId="0" borderId="1"/>
    <xf numFmtId="0" fontId="3" fillId="0" borderId="1"/>
    <xf numFmtId="164" fontId="3" fillId="0" borderId="1"/>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44"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0" fontId="3" fillId="0" borderId="1"/>
    <xf numFmtId="43"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4" fontId="3" fillId="0" borderId="1"/>
    <xf numFmtId="44" fontId="3" fillId="0" borderId="1" applyFont="0" applyFill="0" applyBorder="0" applyAlignment="0" applyProtection="0"/>
    <xf numFmtId="0" fontId="3" fillId="23" borderId="25" applyNumberFormat="0" applyFont="0" applyAlignment="0" applyProtection="0"/>
    <xf numFmtId="43" fontId="3" fillId="0" borderId="1" applyFont="0" applyFill="0" applyBorder="0" applyAlignment="0" applyProtection="0"/>
    <xf numFmtId="44" fontId="3" fillId="0" borderId="1" applyFont="0" applyFill="0" applyBorder="0" applyAlignment="0" applyProtection="0"/>
    <xf numFmtId="0" fontId="3" fillId="23" borderId="25" applyNumberFormat="0" applyFont="0" applyAlignment="0" applyProtection="0"/>
    <xf numFmtId="43"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43"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164" fontId="3" fillId="0" borderId="1"/>
    <xf numFmtId="43" fontId="3" fillId="0" borderId="1" applyFont="0" applyFill="0" applyBorder="0" applyAlignment="0" applyProtection="0"/>
    <xf numFmtId="164" fontId="3" fillId="0" borderId="1"/>
    <xf numFmtId="0" fontId="3" fillId="0" borderId="1"/>
    <xf numFmtId="0" fontId="3" fillId="0" borderId="1"/>
    <xf numFmtId="43" fontId="3" fillId="0" borderId="1" applyFont="0" applyFill="0" applyBorder="0" applyAlignment="0" applyProtection="0"/>
    <xf numFmtId="0" fontId="3" fillId="0" borderId="1"/>
    <xf numFmtId="164" fontId="3" fillId="0" borderId="1"/>
    <xf numFmtId="0" fontId="3" fillId="0" borderId="1"/>
    <xf numFmtId="0" fontId="3" fillId="0" borderId="1"/>
    <xf numFmtId="164" fontId="3" fillId="0" borderId="1"/>
    <xf numFmtId="43" fontId="3" fillId="0" borderId="1" applyFont="0" applyFill="0" applyBorder="0" applyAlignment="0" applyProtection="0"/>
    <xf numFmtId="164" fontId="3" fillId="0" borderId="1"/>
    <xf numFmtId="164" fontId="3" fillId="0" borderId="1"/>
    <xf numFmtId="164" fontId="3" fillId="0" borderId="1"/>
    <xf numFmtId="0" fontId="3" fillId="0" borderId="1"/>
    <xf numFmtId="43"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43" fontId="3" fillId="0" borderId="1" applyFont="0" applyFill="0" applyBorder="0" applyAlignment="0" applyProtection="0"/>
    <xf numFmtId="0" fontId="3" fillId="0" borderId="1"/>
    <xf numFmtId="164" fontId="3" fillId="0" borderId="1"/>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44" fontId="3" fillId="0" borderId="1" applyFont="0" applyFill="0" applyBorder="0" applyAlignment="0" applyProtection="0"/>
    <xf numFmtId="43"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43" fontId="3" fillId="0" borderId="1" applyFont="0" applyFill="0" applyBorder="0" applyAlignment="0" applyProtection="0"/>
    <xf numFmtId="43" fontId="3" fillId="0" borderId="1" applyFont="0" applyFill="0" applyBorder="0" applyAlignment="0" applyProtection="0"/>
    <xf numFmtId="164" fontId="3" fillId="0" borderId="1"/>
    <xf numFmtId="164" fontId="3" fillId="0" borderId="1"/>
    <xf numFmtId="43"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3" fontId="3" fillId="0" borderId="1" applyFont="0" applyFill="0" applyBorder="0" applyAlignment="0" applyProtection="0"/>
    <xf numFmtId="43"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43"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23" borderId="25" applyNumberFormat="0" applyFont="0" applyAlignment="0" applyProtection="0"/>
    <xf numFmtId="43"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43"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43" fontId="3" fillId="0" borderId="1" applyFont="0" applyFill="0" applyBorder="0" applyAlignment="0" applyProtection="0"/>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164" fontId="3" fillId="0" borderId="1"/>
    <xf numFmtId="164" fontId="3" fillId="0" borderId="1"/>
    <xf numFmtId="0" fontId="3" fillId="0" borderId="1"/>
    <xf numFmtId="0" fontId="3" fillId="0" borderId="1"/>
    <xf numFmtId="43" fontId="3" fillId="0" borderId="1" applyFont="0" applyFill="0" applyBorder="0" applyAlignment="0" applyProtection="0"/>
    <xf numFmtId="0" fontId="3" fillId="0" borderId="1"/>
    <xf numFmtId="164" fontId="3" fillId="0" borderId="1"/>
    <xf numFmtId="43" fontId="3" fillId="0" borderId="1" applyFont="0" applyFill="0" applyBorder="0" applyAlignment="0" applyProtection="0"/>
    <xf numFmtId="43"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0" fontId="3" fillId="0" borderId="1"/>
    <xf numFmtId="43"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164" fontId="3" fillId="0" borderId="1"/>
    <xf numFmtId="0" fontId="3" fillId="0" borderId="1"/>
    <xf numFmtId="0" fontId="3" fillId="0" borderId="1"/>
    <xf numFmtId="43" fontId="3" fillId="0" borderId="1" applyFont="0" applyFill="0" applyBorder="0" applyAlignment="0" applyProtection="0"/>
    <xf numFmtId="0" fontId="3" fillId="0" borderId="1"/>
    <xf numFmtId="164" fontId="3" fillId="0" borderId="1"/>
    <xf numFmtId="164" fontId="3" fillId="0" borderId="1"/>
    <xf numFmtId="0" fontId="3" fillId="0" borderId="1"/>
    <xf numFmtId="44" fontId="34" fillId="0" borderId="1" applyFont="0" applyFill="0" applyBorder="0" applyAlignment="0" applyProtection="0"/>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3" fillId="0" borderId="1"/>
    <xf numFmtId="0" fontId="3" fillId="0" borderId="1"/>
    <xf numFmtId="43" fontId="3" fillId="0" borderId="1" applyFont="0" applyFill="0" applyBorder="0" applyAlignment="0" applyProtection="0"/>
    <xf numFmtId="0" fontId="3" fillId="0" borderId="1"/>
    <xf numFmtId="44" fontId="34" fillId="0" borderId="1" applyFont="0" applyFill="0" applyBorder="0" applyAlignment="0" applyProtection="0"/>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3" fillId="0" borderId="1"/>
    <xf numFmtId="0" fontId="3" fillId="0" borderId="1"/>
    <xf numFmtId="43" fontId="3" fillId="0" borderId="1" applyFont="0" applyFill="0" applyBorder="0" applyAlignment="0" applyProtection="0"/>
    <xf numFmtId="0" fontId="3" fillId="0" borderId="1"/>
    <xf numFmtId="44" fontId="34" fillId="0" borderId="1" applyFont="0" applyFill="0" applyBorder="0" applyAlignment="0" applyProtection="0"/>
    <xf numFmtId="164" fontId="3" fillId="0" borderId="1"/>
    <xf numFmtId="0" fontId="3" fillId="0" borderId="1"/>
    <xf numFmtId="164" fontId="3" fillId="0" borderId="1"/>
    <xf numFmtId="0" fontId="3" fillId="0" borderId="1"/>
    <xf numFmtId="0" fontId="3" fillId="0" borderId="1"/>
    <xf numFmtId="164" fontId="3" fillId="0" borderId="1"/>
    <xf numFmtId="164" fontId="3" fillId="0" borderId="1"/>
    <xf numFmtId="43" fontId="3" fillId="0" borderId="1" applyFont="0" applyFill="0" applyBorder="0" applyAlignment="0" applyProtection="0"/>
    <xf numFmtId="164" fontId="3" fillId="0" borderId="1"/>
    <xf numFmtId="0" fontId="3" fillId="0" borderId="1"/>
    <xf numFmtId="0" fontId="3" fillId="0" borderId="1"/>
    <xf numFmtId="44" fontId="34" fillId="0" borderId="1" applyFont="0" applyFill="0" applyBorder="0" applyAlignment="0" applyProtection="0"/>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43" fontId="3" fillId="0" borderId="1" applyFont="0" applyFill="0" applyBorder="0" applyAlignment="0" applyProtection="0"/>
    <xf numFmtId="164" fontId="3" fillId="0" borderId="1"/>
    <xf numFmtId="164" fontId="3" fillId="0" borderId="1"/>
    <xf numFmtId="44" fontId="34" fillId="0" borderId="1" applyFont="0" applyFill="0" applyBorder="0" applyAlignment="0" applyProtection="0"/>
    <xf numFmtId="0" fontId="3" fillId="0" borderId="1"/>
    <xf numFmtId="0" fontId="3" fillId="0" borderId="1"/>
    <xf numFmtId="0" fontId="3" fillId="0" borderId="1"/>
    <xf numFmtId="164" fontId="3" fillId="0" borderId="1"/>
    <xf numFmtId="164" fontId="33" fillId="0" borderId="1"/>
    <xf numFmtId="0" fontId="3" fillId="0" borderId="1"/>
    <xf numFmtId="43" fontId="3" fillId="0" borderId="1" applyFont="0" applyFill="0" applyBorder="0" applyAlignment="0" applyProtection="0"/>
    <xf numFmtId="0" fontId="3" fillId="0" borderId="1"/>
    <xf numFmtId="0" fontId="3" fillId="0" borderId="1"/>
    <xf numFmtId="164" fontId="3" fillId="0" borderId="1"/>
    <xf numFmtId="164" fontId="3" fillId="0" borderId="1"/>
    <xf numFmtId="0" fontId="3" fillId="0" borderId="1"/>
    <xf numFmtId="44" fontId="34" fillId="0" borderId="1" applyFont="0" applyFill="0" applyBorder="0" applyAlignment="0" applyProtection="0"/>
    <xf numFmtId="43" fontId="3" fillId="0" borderId="1" applyFont="0" applyFill="0" applyBorder="0" applyAlignment="0" applyProtection="0"/>
    <xf numFmtId="0" fontId="3" fillId="0" borderId="1"/>
    <xf numFmtId="0" fontId="3" fillId="0" borderId="1"/>
    <xf numFmtId="0" fontId="3" fillId="0" borderId="1"/>
    <xf numFmtId="43" fontId="3" fillId="0" borderId="1" applyFont="0" applyFill="0" applyBorder="0" applyAlignment="0" applyProtection="0"/>
    <xf numFmtId="164" fontId="3" fillId="0" borderId="1"/>
    <xf numFmtId="0" fontId="3" fillId="0" borderId="1"/>
    <xf numFmtId="164" fontId="3" fillId="0" borderId="1"/>
    <xf numFmtId="0" fontId="3" fillId="0" borderId="1"/>
    <xf numFmtId="0" fontId="3" fillId="0" borderId="1"/>
    <xf numFmtId="164" fontId="3" fillId="0" borderId="1"/>
    <xf numFmtId="0" fontId="33" fillId="0" borderId="1"/>
    <xf numFmtId="164" fontId="34" fillId="0" borderId="1"/>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4" fontId="3" fillId="0" borderId="1"/>
    <xf numFmtId="0" fontId="34" fillId="0" borderId="1"/>
    <xf numFmtId="0" fontId="3" fillId="0" borderId="1"/>
    <xf numFmtId="164" fontId="3" fillId="0" borderId="1"/>
    <xf numFmtId="0" fontId="33" fillId="0" borderId="1"/>
    <xf numFmtId="164" fontId="34" fillId="0" borderId="1"/>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164" fontId="3" fillId="0" borderId="1"/>
    <xf numFmtId="0" fontId="3" fillId="0" borderId="1"/>
    <xf numFmtId="164" fontId="34" fillId="0" borderId="1"/>
    <xf numFmtId="0" fontId="3" fillId="0" borderId="1"/>
    <xf numFmtId="0" fontId="3" fillId="0" borderId="1"/>
    <xf numFmtId="43" fontId="3" fillId="0" borderId="1" applyFont="0" applyFill="0" applyBorder="0" applyAlignment="0" applyProtection="0"/>
    <xf numFmtId="0" fontId="3" fillId="0" borderId="1"/>
    <xf numFmtId="164" fontId="3" fillId="0" borderId="1"/>
    <xf numFmtId="0" fontId="3" fillId="0" borderId="1"/>
    <xf numFmtId="0" fontId="34" fillId="0" borderId="1"/>
    <xf numFmtId="0" fontId="3" fillId="0" borderId="1"/>
    <xf numFmtId="43" fontId="3" fillId="0" borderId="1" applyFont="0" applyFill="0" applyBorder="0" applyAlignment="0" applyProtection="0"/>
    <xf numFmtId="0" fontId="3" fillId="0" borderId="1"/>
    <xf numFmtId="164" fontId="3" fillId="0" borderId="1"/>
    <xf numFmtId="0" fontId="3" fillId="0" borderId="1"/>
    <xf numFmtId="164" fontId="34" fillId="0" borderId="1"/>
    <xf numFmtId="0" fontId="3" fillId="0" borderId="1"/>
    <xf numFmtId="43" fontId="3" fillId="0" borderId="1" applyFont="0" applyFill="0" applyBorder="0" applyAlignment="0" applyProtection="0"/>
    <xf numFmtId="0" fontId="3" fillId="0" borderId="1"/>
    <xf numFmtId="0" fontId="3" fillId="0" borderId="1"/>
    <xf numFmtId="0" fontId="3" fillId="0" borderId="1"/>
    <xf numFmtId="43" fontId="3" fillId="0" borderId="1" applyFont="0" applyFill="0" applyBorder="0" applyAlignment="0" applyProtection="0"/>
    <xf numFmtId="0" fontId="3" fillId="0" borderId="1"/>
    <xf numFmtId="0" fontId="3" fillId="0" borderId="1"/>
    <xf numFmtId="0" fontId="3" fillId="0" borderId="1"/>
    <xf numFmtId="164" fontId="3" fillId="0" borderId="1"/>
    <xf numFmtId="164" fontId="34" fillId="0" borderId="1"/>
    <xf numFmtId="164"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4"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43" fontId="3" fillId="0" borderId="1" applyFont="0" applyFill="0" applyBorder="0" applyAlignment="0" applyProtection="0"/>
    <xf numFmtId="0" fontId="3" fillId="0" borderId="1"/>
    <xf numFmtId="0" fontId="3" fillId="0" borderId="1"/>
    <xf numFmtId="0" fontId="3" fillId="0" borderId="1"/>
    <xf numFmtId="43"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3" fontId="3" fillId="0" borderId="1" applyFont="0" applyFill="0" applyBorder="0" applyAlignment="0" applyProtection="0"/>
    <xf numFmtId="44"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4" fontId="3" fillId="0" borderId="1"/>
    <xf numFmtId="0" fontId="3" fillId="0" borderId="1"/>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4"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4" fontId="3" fillId="0" borderId="1"/>
    <xf numFmtId="43"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43" fontId="3" fillId="0" borderId="1" applyFont="0" applyFill="0" applyBorder="0" applyAlignment="0" applyProtection="0"/>
    <xf numFmtId="43" fontId="3" fillId="0" borderId="1" applyFont="0" applyFill="0" applyBorder="0" applyAlignment="0" applyProtection="0"/>
    <xf numFmtId="44" fontId="3" fillId="0" borderId="1" applyFont="0" applyFill="0" applyBorder="0" applyAlignment="0" applyProtection="0"/>
    <xf numFmtId="43"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43"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0" fontId="3" fillId="0" borderId="1"/>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0" fontId="3" fillId="0" borderId="1"/>
    <xf numFmtId="43"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0" fontId="3" fillId="0" borderId="1"/>
    <xf numFmtId="164" fontId="3" fillId="0" borderId="1"/>
    <xf numFmtId="164" fontId="3" fillId="0" borderId="1"/>
    <xf numFmtId="43" fontId="3" fillId="0" borderId="1" applyFont="0" applyFill="0" applyBorder="0" applyAlignment="0" applyProtection="0"/>
    <xf numFmtId="0" fontId="3" fillId="0" borderId="1"/>
    <xf numFmtId="44"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164" fontId="3" fillId="0" borderId="1"/>
    <xf numFmtId="164" fontId="3" fillId="0" borderId="1"/>
    <xf numFmtId="43" fontId="3" fillId="0" borderId="1" applyFont="0" applyFill="0" applyBorder="0" applyAlignment="0" applyProtection="0"/>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164" fontId="3" fillId="0" borderId="1"/>
    <xf numFmtId="0" fontId="3" fillId="0" borderId="1"/>
    <xf numFmtId="0" fontId="3" fillId="0" borderId="1"/>
    <xf numFmtId="0" fontId="3" fillId="0" borderId="1"/>
    <xf numFmtId="44" fontId="3" fillId="0" borderId="1" applyFont="0" applyFill="0" applyBorder="0" applyAlignment="0" applyProtection="0"/>
    <xf numFmtId="43" fontId="3" fillId="0" borderId="1" applyFont="0" applyFill="0" applyBorder="0" applyAlignment="0" applyProtection="0"/>
    <xf numFmtId="164" fontId="3" fillId="0" borderId="1"/>
    <xf numFmtId="0" fontId="3" fillId="0" borderId="1"/>
    <xf numFmtId="0" fontId="3" fillId="0" borderId="1"/>
    <xf numFmtId="0" fontId="3" fillId="0" borderId="1"/>
    <xf numFmtId="44" fontId="3" fillId="0" borderId="1" applyFont="0" applyFill="0" applyBorder="0" applyAlignment="0" applyProtection="0"/>
    <xf numFmtId="43" fontId="3" fillId="0" borderId="1" applyFont="0" applyFill="0" applyBorder="0" applyAlignment="0" applyProtection="0"/>
    <xf numFmtId="44" fontId="3" fillId="0" borderId="1" applyFont="0" applyFill="0" applyBorder="0" applyAlignment="0" applyProtection="0"/>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4" fontId="3" fillId="0" borderId="1" applyFont="0" applyFill="0" applyBorder="0" applyAlignment="0" applyProtection="0"/>
    <xf numFmtId="43"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3"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3"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164" fontId="3" fillId="0" borderId="1"/>
    <xf numFmtId="164" fontId="3" fillId="0" borderId="1"/>
    <xf numFmtId="43"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3"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164" fontId="3" fillId="0" borderId="1"/>
    <xf numFmtId="164" fontId="3" fillId="0" borderId="1"/>
    <xf numFmtId="43" fontId="3" fillId="0" borderId="1" applyFont="0" applyFill="0" applyBorder="0" applyAlignment="0" applyProtection="0"/>
    <xf numFmtId="164" fontId="3" fillId="0" borderId="1"/>
    <xf numFmtId="0" fontId="3" fillId="0" borderId="1"/>
    <xf numFmtId="43"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3" fontId="3" fillId="0" borderId="1" applyFont="0" applyFill="0" applyBorder="0" applyAlignment="0" applyProtection="0"/>
    <xf numFmtId="43"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4" fontId="3" fillId="0" borderId="1"/>
    <xf numFmtId="44" fontId="3" fillId="0" borderId="1" applyFont="0" applyFill="0" applyBorder="0" applyAlignment="0" applyProtection="0"/>
    <xf numFmtId="43" fontId="3" fillId="0" borderId="1" applyFont="0" applyFill="0" applyBorder="0" applyAlignment="0" applyProtection="0"/>
    <xf numFmtId="44" fontId="3" fillId="0" borderId="1" applyFont="0" applyFill="0" applyBorder="0" applyAlignment="0" applyProtection="0"/>
    <xf numFmtId="43" fontId="3" fillId="0" borderId="1" applyFont="0" applyFill="0" applyBorder="0" applyAlignment="0" applyProtection="0"/>
    <xf numFmtId="44" fontId="3" fillId="0" borderId="1" applyFont="0" applyFill="0" applyBorder="0" applyAlignment="0" applyProtection="0"/>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4" fontId="3" fillId="0" borderId="1"/>
    <xf numFmtId="164"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164" fontId="3" fillId="0" borderId="1"/>
    <xf numFmtId="0" fontId="3" fillId="0" borderId="1"/>
    <xf numFmtId="43" fontId="3" fillId="0" borderId="1" applyFont="0" applyFill="0" applyBorder="0" applyAlignment="0" applyProtection="0"/>
    <xf numFmtId="0" fontId="3" fillId="0" borderId="1"/>
    <xf numFmtId="164" fontId="3" fillId="0" borderId="1"/>
    <xf numFmtId="0" fontId="3" fillId="0" borderId="1"/>
    <xf numFmtId="43" fontId="3" fillId="0" borderId="1" applyFont="0" applyFill="0" applyBorder="0" applyAlignment="0" applyProtection="0"/>
    <xf numFmtId="0" fontId="3" fillId="0" borderId="1"/>
    <xf numFmtId="0" fontId="3" fillId="0" borderId="1"/>
    <xf numFmtId="43"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0" fontId="3" fillId="0" borderId="1"/>
    <xf numFmtId="43"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3" fillId="0" borderId="1"/>
    <xf numFmtId="43" fontId="3" fillId="0" borderId="1" applyFont="0" applyFill="0" applyBorder="0" applyAlignment="0" applyProtection="0"/>
    <xf numFmtId="0" fontId="3" fillId="0" borderId="1"/>
    <xf numFmtId="0" fontId="3" fillId="0" borderId="1"/>
    <xf numFmtId="0" fontId="3" fillId="0" borderId="1"/>
    <xf numFmtId="43" fontId="3" fillId="0" borderId="1" applyFont="0" applyFill="0" applyBorder="0" applyAlignment="0" applyProtection="0"/>
    <xf numFmtId="164" fontId="3" fillId="0" borderId="1"/>
    <xf numFmtId="164" fontId="3" fillId="0" borderId="1"/>
    <xf numFmtId="0" fontId="3" fillId="0" borderId="1"/>
    <xf numFmtId="0" fontId="3" fillId="0" borderId="1"/>
    <xf numFmtId="43" fontId="3" fillId="0" borderId="1" applyFont="0" applyFill="0" applyBorder="0" applyAlignment="0" applyProtection="0"/>
    <xf numFmtId="44" fontId="3" fillId="0" borderId="1" applyFont="0" applyFill="0" applyBorder="0" applyAlignment="0" applyProtection="0"/>
    <xf numFmtId="0" fontId="3" fillId="0" borderId="1"/>
    <xf numFmtId="43"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43" fontId="3" fillId="0" borderId="1" applyFont="0" applyFill="0" applyBorder="0" applyAlignment="0" applyProtection="0"/>
    <xf numFmtId="44" fontId="3" fillId="0" borderId="1" applyFont="0" applyFill="0" applyBorder="0" applyAlignment="0" applyProtection="0"/>
    <xf numFmtId="0" fontId="3" fillId="0" borderId="1"/>
    <xf numFmtId="43" fontId="3" fillId="0" borderId="1" applyFont="0" applyFill="0" applyBorder="0" applyAlignment="0" applyProtection="0"/>
    <xf numFmtId="0" fontId="3" fillId="0" borderId="1"/>
    <xf numFmtId="164" fontId="3" fillId="0" borderId="1"/>
    <xf numFmtId="164" fontId="3" fillId="0" borderId="1"/>
    <xf numFmtId="0" fontId="3" fillId="0" borderId="1"/>
    <xf numFmtId="43" fontId="3" fillId="0" borderId="1" applyFont="0" applyFill="0" applyBorder="0" applyAlignment="0" applyProtection="0"/>
    <xf numFmtId="44" fontId="33" fillId="0" borderId="1" applyFont="0" applyFill="0" applyBorder="0" applyAlignment="0" applyProtection="0"/>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44" fontId="34" fillId="0" borderId="1" applyFont="0" applyFill="0" applyBorder="0" applyAlignment="0" applyProtection="0"/>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0" fontId="33" fillId="0" borderId="1"/>
    <xf numFmtId="164" fontId="3" fillId="0" borderId="1"/>
    <xf numFmtId="0" fontId="3" fillId="0" borderId="1"/>
    <xf numFmtId="164" fontId="3" fillId="0" borderId="1"/>
    <xf numFmtId="0" fontId="3" fillId="0" borderId="1"/>
    <xf numFmtId="0" fontId="3" fillId="0" borderId="1"/>
    <xf numFmtId="164"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23" borderId="25" applyNumberFormat="0" applyFont="0" applyAlignment="0" applyProtection="0"/>
    <xf numFmtId="44" fontId="3" fillId="0" borderId="1" applyFont="0" applyFill="0" applyBorder="0" applyAlignment="0" applyProtection="0"/>
    <xf numFmtId="164" fontId="3" fillId="0" borderId="1"/>
    <xf numFmtId="0"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164"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0" fontId="33" fillId="20" borderId="26" applyNumberFormat="0" applyFont="0" applyAlignment="0" applyProtection="0"/>
    <xf numFmtId="44" fontId="3" fillId="0" borderId="1" applyFont="0" applyFill="0" applyBorder="0" applyAlignment="0" applyProtection="0"/>
    <xf numFmtId="44" fontId="3" fillId="0" borderId="1" applyFont="0" applyFill="0" applyBorder="0" applyAlignment="0" applyProtection="0"/>
    <xf numFmtId="0" fontId="3" fillId="23" borderId="25" applyNumberFormat="0" applyFont="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23" borderId="25" applyNumberFormat="0" applyFont="0" applyAlignment="0" applyProtection="0"/>
    <xf numFmtId="44" fontId="3" fillId="0" borderId="1" applyFont="0" applyFill="0" applyBorder="0" applyAlignment="0" applyProtection="0"/>
    <xf numFmtId="44" fontId="3" fillId="0" borderId="1" applyFont="0" applyFill="0" applyBorder="0" applyAlignment="0" applyProtection="0"/>
    <xf numFmtId="0" fontId="3" fillId="23" borderId="25" applyNumberFormat="0" applyFont="0" applyAlignment="0" applyProtection="0"/>
    <xf numFmtId="44" fontId="3" fillId="0" borderId="1" applyFont="0" applyFill="0" applyBorder="0" applyAlignment="0" applyProtection="0"/>
    <xf numFmtId="0" fontId="3" fillId="23" borderId="25" applyNumberFormat="0" applyFont="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23" borderId="25" applyNumberFormat="0" applyFont="0" applyAlignment="0" applyProtection="0"/>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23" borderId="25" applyNumberFormat="0" applyFont="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23" borderId="25" applyNumberFormat="0" applyFont="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0" fontId="3" fillId="0" borderId="1"/>
    <xf numFmtId="44" fontId="3" fillId="0" borderId="1" applyFont="0" applyFill="0" applyBorder="0" applyAlignment="0" applyProtection="0"/>
    <xf numFmtId="0" fontId="34"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23" borderId="25" applyNumberFormat="0" applyFont="0" applyAlignment="0" applyProtection="0"/>
    <xf numFmtId="0" fontId="3" fillId="0" borderId="1"/>
    <xf numFmtId="164"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0" fontId="3" fillId="0" borderId="1"/>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0"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164" fontId="3" fillId="0" borderId="1"/>
    <xf numFmtId="0"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0"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23" borderId="25" applyNumberFormat="0" applyFont="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23" borderId="25" applyNumberFormat="0" applyFont="0" applyAlignment="0" applyProtection="0"/>
    <xf numFmtId="44" fontId="3" fillId="0" borderId="1" applyFont="0" applyFill="0" applyBorder="0" applyAlignment="0" applyProtection="0"/>
    <xf numFmtId="44" fontId="3" fillId="0" borderId="1" applyFont="0" applyFill="0" applyBorder="0" applyAlignment="0" applyProtection="0"/>
    <xf numFmtId="0" fontId="3" fillId="23" borderId="25" applyNumberFormat="0" applyFont="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0"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23" borderId="25" applyNumberFormat="0" applyFont="0" applyAlignment="0" applyProtection="0"/>
    <xf numFmtId="0" fontId="3" fillId="0" borderId="1"/>
    <xf numFmtId="44" fontId="3" fillId="0" borderId="1" applyFont="0" applyFill="0" applyBorder="0" applyAlignment="0" applyProtection="0"/>
    <xf numFmtId="0" fontId="3" fillId="23" borderId="25" applyNumberFormat="0" applyFont="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23" borderId="25" applyNumberFormat="0" applyFont="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0" fontId="3" fillId="0" borderId="1"/>
    <xf numFmtId="164"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0" fontId="37" fillId="27" borderId="27" applyNumberFormat="0" applyAlignment="0" applyProtection="0"/>
    <xf numFmtId="0"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9"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0"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0"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0"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44" fontId="3" fillId="0" borderId="1" applyFont="0" applyFill="0" applyBorder="0" applyAlignment="0" applyProtection="0"/>
    <xf numFmtId="164" fontId="33" fillId="0" borderId="1"/>
    <xf numFmtId="0" fontId="33" fillId="0" borderId="1"/>
    <xf numFmtId="44" fontId="3" fillId="0" borderId="1" applyFont="0" applyFill="0" applyBorder="0" applyAlignment="0" applyProtection="0"/>
    <xf numFmtId="0" fontId="3" fillId="0" borderId="1"/>
    <xf numFmtId="0" fontId="33" fillId="0" borderId="1"/>
    <xf numFmtId="164"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164" fontId="3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3" fillId="0" borderId="1"/>
    <xf numFmtId="164" fontId="3" fillId="0" borderId="1"/>
    <xf numFmtId="164" fontId="3" fillId="0" borderId="1"/>
    <xf numFmtId="9" fontId="34"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3" fillId="0" borderId="1"/>
    <xf numFmtId="0" fontId="3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3" fillId="0" borderId="1"/>
    <xf numFmtId="44" fontId="3" fillId="0" borderId="1" applyFont="0" applyFill="0" applyBorder="0" applyAlignment="0" applyProtection="0"/>
    <xf numFmtId="164" fontId="3" fillId="0" borderId="1"/>
    <xf numFmtId="0" fontId="3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164" fontId="33" fillId="0" borderId="1"/>
    <xf numFmtId="164" fontId="3" fillId="0" borderId="1"/>
    <xf numFmtId="0" fontId="3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3" fillId="0" borderId="1"/>
    <xf numFmtId="164"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3" fillId="0" borderId="1"/>
    <xf numFmtId="164"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164" fontId="3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3" fillId="0" borderId="1"/>
    <xf numFmtId="44" fontId="3" fillId="0" borderId="1" applyFont="0" applyFill="0" applyBorder="0" applyAlignment="0" applyProtection="0"/>
    <xf numFmtId="0" fontId="3" fillId="0" borderId="1"/>
    <xf numFmtId="0" fontId="3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164"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0" fontId="33" fillId="0" borderId="1"/>
    <xf numFmtId="164"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0" fontId="33" fillId="0" borderId="1"/>
    <xf numFmtId="0" fontId="3" fillId="0" borderId="1"/>
    <xf numFmtId="44" fontId="3" fillId="0" borderId="1" applyFont="0" applyFill="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164" fontId="33" fillId="0" borderId="1"/>
    <xf numFmtId="44" fontId="3" fillId="0" borderId="1" applyFont="0" applyFill="0" applyBorder="0" applyAlignment="0" applyProtection="0"/>
    <xf numFmtId="0" fontId="3" fillId="0" borderId="1"/>
    <xf numFmtId="164" fontId="3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0" fontId="33" fillId="0" borderId="1"/>
    <xf numFmtId="0" fontId="3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3" fillId="0" borderId="1"/>
    <xf numFmtId="0" fontId="3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164"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23" borderId="25" applyNumberFormat="0" applyFont="0" applyAlignment="0" applyProtection="0"/>
    <xf numFmtId="44" fontId="3" fillId="0" borderId="1" applyFont="0" applyFill="0" applyBorder="0" applyAlignment="0" applyProtection="0"/>
    <xf numFmtId="44" fontId="3" fillId="0" borderId="1" applyFont="0" applyFill="0" applyBorder="0" applyAlignment="0" applyProtection="0"/>
    <xf numFmtId="0" fontId="3" fillId="23" borderId="25" applyNumberFormat="0" applyFont="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23" borderId="25" applyNumberFormat="0" applyFont="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4" fillId="0" borderId="1"/>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49" fillId="40"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63" fillId="51"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64" fillId="51" borderId="1" applyNumberFormat="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164" fontId="34"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44" fontId="3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44" fontId="34" fillId="0" borderId="1" applyFont="0" applyFill="0" applyBorder="0" applyAlignment="0" applyProtection="0"/>
    <xf numFmtId="164" fontId="3" fillId="0" borderId="1"/>
    <xf numFmtId="164" fontId="3" fillId="0" borderId="1"/>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0" borderId="1"/>
    <xf numFmtId="44" fontId="34" fillId="0" borderId="1" applyFont="0" applyFill="0" applyBorder="0" applyAlignment="0" applyProtection="0"/>
    <xf numFmtId="164" fontId="3" fillId="0" borderId="1"/>
    <xf numFmtId="164" fontId="3" fillId="0" borderId="1"/>
    <xf numFmtId="0"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9" fontId="34"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0" fontId="3" fillId="23" borderId="25" applyNumberFormat="0" applyFont="0" applyAlignment="0" applyProtection="0"/>
    <xf numFmtId="44" fontId="3" fillId="0" borderId="1" applyFont="0" applyFill="0" applyBorder="0" applyAlignment="0" applyProtection="0"/>
    <xf numFmtId="164" fontId="3" fillId="0" borderId="1"/>
    <xf numFmtId="0" fontId="3" fillId="23" borderId="25" applyNumberFormat="0" applyFont="0" applyAlignment="0" applyProtection="0"/>
    <xf numFmtId="44" fontId="3" fillId="0" borderId="1" applyFont="0" applyFill="0" applyBorder="0" applyAlignment="0" applyProtection="0"/>
    <xf numFmtId="0" fontId="3" fillId="23" borderId="25" applyNumberFormat="0" applyFont="0" applyAlignment="0" applyProtection="0"/>
    <xf numFmtId="44" fontId="3" fillId="0" borderId="1" applyFont="0" applyFill="0" applyBorder="0" applyAlignment="0" applyProtection="0"/>
    <xf numFmtId="0" fontId="3" fillId="0" borderId="1"/>
    <xf numFmtId="0" fontId="3" fillId="0" borderId="1"/>
    <xf numFmtId="0" fontId="3" fillId="23" borderId="25" applyNumberFormat="0" applyFont="0" applyAlignment="0" applyProtection="0"/>
    <xf numFmtId="44" fontId="3" fillId="0" borderId="1" applyFont="0" applyFill="0" applyBorder="0" applyAlignment="0" applyProtection="0"/>
    <xf numFmtId="0" fontId="3" fillId="23" borderId="25" applyNumberFormat="0" applyFont="0" applyAlignment="0" applyProtection="0"/>
    <xf numFmtId="44" fontId="3" fillId="0" borderId="1" applyFont="0" applyFill="0" applyBorder="0" applyAlignment="0" applyProtection="0"/>
    <xf numFmtId="0" fontId="3" fillId="0" borderId="1"/>
    <xf numFmtId="0" fontId="3" fillId="0" borderId="1"/>
    <xf numFmtId="0" fontId="3" fillId="23" borderId="25" applyNumberFormat="0" applyFont="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164" fontId="3" fillId="0" borderId="1"/>
    <xf numFmtId="164" fontId="3" fillId="0" borderId="1"/>
    <xf numFmtId="44" fontId="3" fillId="0" borderId="1" applyFont="0" applyFill="0" applyBorder="0" applyAlignment="0" applyProtection="0"/>
    <xf numFmtId="0" fontId="33" fillId="0" borderId="1"/>
    <xf numFmtId="0" fontId="3" fillId="0" borderId="1"/>
    <xf numFmtId="0" fontId="3" fillId="0" borderId="1"/>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23" borderId="25" applyNumberFormat="0" applyFont="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23" borderId="25" applyNumberFormat="0" applyFont="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23" borderId="25" applyNumberFormat="0" applyFont="0" applyAlignment="0" applyProtection="0"/>
    <xf numFmtId="0"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23" borderId="25" applyNumberFormat="0" applyFont="0" applyAlignment="0" applyProtection="0"/>
    <xf numFmtId="164"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23" borderId="25" applyNumberFormat="0" applyFont="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23" borderId="25" applyNumberFormat="0" applyFont="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9" fontId="34"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164"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164"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0" fontId="3" fillId="0" borderId="1"/>
    <xf numFmtId="164"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164"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0" fontId="3" fillId="0" borderId="1"/>
    <xf numFmtId="164" fontId="3" fillId="0" borderId="1"/>
    <xf numFmtId="44" fontId="3" fillId="0" borderId="1" applyFont="0" applyFill="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164" fontId="3" fillId="0" borderId="1"/>
    <xf numFmtId="0"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164"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164"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23" borderId="25" applyNumberFormat="0" applyFont="0" applyAlignment="0" applyProtection="0"/>
    <xf numFmtId="164" fontId="3" fillId="0" borderId="1"/>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23" borderId="25" applyNumberFormat="0" applyFont="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 fillId="0" borderId="1"/>
    <xf numFmtId="0" fontId="3" fillId="0" borderId="1"/>
    <xf numFmtId="164" fontId="3" fillId="0" borderId="1"/>
    <xf numFmtId="164" fontId="3" fillId="0" borderId="1"/>
    <xf numFmtId="0"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23" borderId="25" applyNumberFormat="0" applyFont="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3" fillId="20" borderId="26" applyNumberFormat="0" applyFont="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0" fontId="3" fillId="0" borderId="1"/>
    <xf numFmtId="164" fontId="3" fillId="0" borderId="1"/>
    <xf numFmtId="0" fontId="3" fillId="0" borderId="1"/>
    <xf numFmtId="0" fontId="3" fillId="0" borderId="1"/>
    <xf numFmtId="164"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164" fontId="3" fillId="0" borderId="1"/>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44" fontId="3" fillId="0" borderId="1" applyFont="0" applyFill="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0" fontId="3" fillId="0" borderId="1"/>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49" fillId="40" borderId="1" applyNumberFormat="0" applyBorder="0" applyAlignment="0" applyProtection="0"/>
    <xf numFmtId="44" fontId="3" fillId="0" borderId="1" applyFont="0" applyFill="0" applyBorder="0" applyAlignment="0" applyProtection="0"/>
    <xf numFmtId="0" fontId="3" fillId="0" borderId="1"/>
    <xf numFmtId="164" fontId="3" fillId="0" borderId="1"/>
    <xf numFmtId="0" fontId="63" fillId="51" borderId="1" applyNumberFormat="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0"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164" fontId="3" fillId="0" borderId="1"/>
    <xf numFmtId="0" fontId="3" fillId="0" borderId="1"/>
    <xf numFmtId="0" fontId="3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0" fontId="33" fillId="0" borderId="1"/>
    <xf numFmtId="44" fontId="3" fillId="0" borderId="1" applyFont="0" applyFill="0" applyBorder="0" applyAlignment="0" applyProtection="0"/>
    <xf numFmtId="164" fontId="3" fillId="0" borderId="1"/>
    <xf numFmtId="164"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164"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0" fontId="3" fillId="0" borderId="1"/>
    <xf numFmtId="164" fontId="3" fillId="0" borderId="1"/>
    <xf numFmtId="44" fontId="3" fillId="0" borderId="1" applyFont="0" applyFill="0" applyBorder="0" applyAlignment="0" applyProtection="0"/>
    <xf numFmtId="164" fontId="3" fillId="0" borderId="1"/>
    <xf numFmtId="164" fontId="3" fillId="0" borderId="1"/>
    <xf numFmtId="164" fontId="3" fillId="0" borderId="1"/>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0"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0" fontId="3" fillId="0" borderId="1"/>
    <xf numFmtId="164" fontId="3" fillId="0" borderId="1"/>
    <xf numFmtId="164" fontId="3" fillId="0" borderId="1"/>
    <xf numFmtId="0" fontId="3" fillId="0" borderId="1"/>
    <xf numFmtId="0" fontId="3" fillId="0" borderId="1"/>
    <xf numFmtId="44" fontId="34" fillId="0" borderId="1" applyFont="0" applyFill="0" applyBorder="0" applyAlignment="0" applyProtection="0"/>
    <xf numFmtId="0" fontId="3" fillId="0" borderId="1"/>
    <xf numFmtId="44" fontId="34" fillId="0" borderId="1" applyFont="0" applyFill="0" applyBorder="0" applyAlignment="0" applyProtection="0"/>
    <xf numFmtId="0" fontId="3" fillId="0" borderId="1"/>
    <xf numFmtId="164" fontId="3" fillId="0" borderId="1"/>
    <xf numFmtId="164" fontId="3" fillId="0" borderId="1"/>
    <xf numFmtId="0" fontId="3" fillId="0" borderId="1"/>
    <xf numFmtId="0" fontId="3" fillId="0" borderId="1"/>
    <xf numFmtId="44" fontId="34" fillId="0" borderId="1" applyFont="0" applyFill="0" applyBorder="0" applyAlignment="0" applyProtection="0"/>
    <xf numFmtId="164" fontId="3" fillId="0" borderId="1"/>
    <xf numFmtId="164" fontId="3" fillId="0" borderId="1"/>
    <xf numFmtId="164" fontId="3" fillId="0" borderId="1"/>
    <xf numFmtId="164" fontId="3" fillId="0" borderId="1"/>
    <xf numFmtId="0" fontId="3" fillId="0" borderId="1"/>
    <xf numFmtId="164" fontId="3" fillId="0" borderId="1"/>
    <xf numFmtId="44" fontId="3" fillId="0" borderId="1" applyFont="0" applyFill="0" applyBorder="0" applyAlignment="0" applyProtection="0"/>
    <xf numFmtId="164"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0" fontId="3" fillId="0" borderId="1"/>
    <xf numFmtId="44" fontId="3" fillId="0" borderId="1" applyFont="0" applyFill="0" applyBorder="0" applyAlignment="0" applyProtection="0"/>
    <xf numFmtId="164" fontId="3" fillId="0" borderId="1"/>
    <xf numFmtId="0" fontId="3" fillId="0" borderId="1"/>
    <xf numFmtId="0" fontId="3" fillId="0" borderId="1"/>
    <xf numFmtId="0" fontId="3" fillId="0" borderId="1"/>
    <xf numFmtId="44" fontId="3" fillId="0" borderId="1" applyFont="0" applyFill="0" applyBorder="0" applyAlignment="0" applyProtection="0"/>
    <xf numFmtId="164" fontId="3" fillId="0" borderId="1"/>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164" fontId="3" fillId="0" borderId="1"/>
    <xf numFmtId="164" fontId="3" fillId="0" borderId="1"/>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0" fontId="3" fillId="0" borderId="1"/>
    <xf numFmtId="44" fontId="3" fillId="0" borderId="1" applyFont="0" applyFill="0" applyBorder="0" applyAlignment="0" applyProtection="0"/>
    <xf numFmtId="44" fontId="3" fillId="0" borderId="1" applyFont="0" applyFill="0" applyBorder="0" applyAlignment="0" applyProtection="0"/>
    <xf numFmtId="44" fontId="3" fillId="0" borderId="1" applyFont="0" applyFill="0" applyBorder="0" applyAlignment="0" applyProtection="0"/>
    <xf numFmtId="0" fontId="34" fillId="0" borderId="1"/>
    <xf numFmtId="164" fontId="34" fillId="0" borderId="1"/>
    <xf numFmtId="0" fontId="3" fillId="0" borderId="1"/>
    <xf numFmtId="0" fontId="34" fillId="0" borderId="1"/>
    <xf numFmtId="0" fontId="3" fillId="0" borderId="1"/>
    <xf numFmtId="0" fontId="34" fillId="0" borderId="1"/>
    <xf numFmtId="0" fontId="3" fillId="0" borderId="1"/>
    <xf numFmtId="164" fontId="33" fillId="0" borderId="1"/>
    <xf numFmtId="164" fontId="34" fillId="0" borderId="1"/>
    <xf numFmtId="0" fontId="3" fillId="0" borderId="1"/>
    <xf numFmtId="0" fontId="3" fillId="0" borderId="1"/>
    <xf numFmtId="0" fontId="3" fillId="0" borderId="1"/>
    <xf numFmtId="0" fontId="34" fillId="0" borderId="1"/>
    <xf numFmtId="164" fontId="33" fillId="0" borderId="1"/>
    <xf numFmtId="0" fontId="34" fillId="0" borderId="1"/>
    <xf numFmtId="0" fontId="34" fillId="0" borderId="1"/>
    <xf numFmtId="0" fontId="3" fillId="0" borderId="1"/>
    <xf numFmtId="0" fontId="3" fillId="0" borderId="1"/>
    <xf numFmtId="0" fontId="34" fillId="0" borderId="1"/>
    <xf numFmtId="164" fontId="3" fillId="0" borderId="1"/>
    <xf numFmtId="164" fontId="34" fillId="0" borderId="1"/>
    <xf numFmtId="164" fontId="3" fillId="0" borderId="1"/>
    <xf numFmtId="164" fontId="33" fillId="0" borderId="1"/>
    <xf numFmtId="0" fontId="34" fillId="0" borderId="1"/>
    <xf numFmtId="0" fontId="34" fillId="0" borderId="1"/>
    <xf numFmtId="0" fontId="33" fillId="0" borderId="1"/>
    <xf numFmtId="0" fontId="34" fillId="0" borderId="1"/>
    <xf numFmtId="0" fontId="33" fillId="0" borderId="1"/>
    <xf numFmtId="0" fontId="3" fillId="0" borderId="1"/>
    <xf numFmtId="0" fontId="33" fillId="0" borderId="1"/>
    <xf numFmtId="0" fontId="33" fillId="0" borderId="1"/>
    <xf numFmtId="0" fontId="3" fillId="0" borderId="1"/>
    <xf numFmtId="0" fontId="3" fillId="0" borderId="1"/>
    <xf numFmtId="0" fontId="3" fillId="0" borderId="1"/>
    <xf numFmtId="0" fontId="60"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164" fontId="33" fillId="0" borderId="1"/>
    <xf numFmtId="0" fontId="3" fillId="0" borderId="1"/>
    <xf numFmtId="0" fontId="33" fillId="0" borderId="1"/>
    <xf numFmtId="164" fontId="33" fillId="0" borderId="1"/>
    <xf numFmtId="0" fontId="3" fillId="0" borderId="1"/>
    <xf numFmtId="0" fontId="3" fillId="0" borderId="1"/>
    <xf numFmtId="0" fontId="3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3" fillId="0" borderId="1"/>
    <xf numFmtId="0" fontId="3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3" fillId="0" borderId="1"/>
    <xf numFmtId="0" fontId="3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3" fillId="0" borderId="1"/>
    <xf numFmtId="0" fontId="3" fillId="0" borderId="1"/>
    <xf numFmtId="164" fontId="3" fillId="0" borderId="1"/>
    <xf numFmtId="0" fontId="3" fillId="0" borderId="1"/>
    <xf numFmtId="164" fontId="33" fillId="0" borderId="1"/>
    <xf numFmtId="0" fontId="3" fillId="0" borderId="1"/>
    <xf numFmtId="164" fontId="3" fillId="0" borderId="1"/>
    <xf numFmtId="164" fontId="3" fillId="0" borderId="1"/>
    <xf numFmtId="164" fontId="3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3" fillId="0" borderId="1"/>
    <xf numFmtId="0" fontId="3" fillId="0" borderId="1"/>
    <xf numFmtId="164" fontId="3" fillId="0" borderId="1"/>
    <xf numFmtId="164" fontId="3" fillId="0" borderId="1"/>
    <xf numFmtId="0" fontId="3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 fillId="0" borderId="1"/>
    <xf numFmtId="0" fontId="33" fillId="0" borderId="1"/>
    <xf numFmtId="164" fontId="3" fillId="0" borderId="1"/>
    <xf numFmtId="0" fontId="3" fillId="0" borderId="1"/>
    <xf numFmtId="0" fontId="33" fillId="0" borderId="1"/>
    <xf numFmtId="0" fontId="33" fillId="0" borderId="1"/>
    <xf numFmtId="0" fontId="33" fillId="0" borderId="1"/>
    <xf numFmtId="164" fontId="3" fillId="0" borderId="1"/>
    <xf numFmtId="164" fontId="3" fillId="0" borderId="1"/>
    <xf numFmtId="0" fontId="3" fillId="0" borderId="1"/>
    <xf numFmtId="164" fontId="33" fillId="0" borderId="1"/>
    <xf numFmtId="164" fontId="33" fillId="0" borderId="1"/>
    <xf numFmtId="0" fontId="3" fillId="0" borderId="1"/>
    <xf numFmtId="164" fontId="33" fillId="0" borderId="1"/>
    <xf numFmtId="164" fontId="33" fillId="0" borderId="1"/>
    <xf numFmtId="0" fontId="3" fillId="0" borderId="1"/>
    <xf numFmtId="0" fontId="33" fillId="0" borderId="1"/>
    <xf numFmtId="0" fontId="33" fillId="0" borderId="1"/>
    <xf numFmtId="0" fontId="33" fillId="0" borderId="1"/>
    <xf numFmtId="0" fontId="34" fillId="0" borderId="1"/>
    <xf numFmtId="164" fontId="34" fillId="0" borderId="1"/>
    <xf numFmtId="164" fontId="34" fillId="0" borderId="1"/>
    <xf numFmtId="0" fontId="34" fillId="0" borderId="1"/>
    <xf numFmtId="0" fontId="3" fillId="0" borderId="1"/>
    <xf numFmtId="0" fontId="3" fillId="0" borderId="1"/>
    <xf numFmtId="0" fontId="3" fillId="0" borderId="1"/>
    <xf numFmtId="0" fontId="33" fillId="0" borderId="1"/>
    <xf numFmtId="164" fontId="3" fillId="0" borderId="1"/>
    <xf numFmtId="164" fontId="3" fillId="0" borderId="1"/>
    <xf numFmtId="0" fontId="3" fillId="0" borderId="1"/>
    <xf numFmtId="0" fontId="3" fillId="0" borderId="1"/>
    <xf numFmtId="0" fontId="3" fillId="0" borderId="1"/>
    <xf numFmtId="164" fontId="33" fillId="0" borderId="1"/>
    <xf numFmtId="0" fontId="33" fillId="0" borderId="1"/>
    <xf numFmtId="0" fontId="3" fillId="0" borderId="1"/>
    <xf numFmtId="0" fontId="33" fillId="0" borderId="1"/>
    <xf numFmtId="0" fontId="33" fillId="0" borderId="1"/>
    <xf numFmtId="0" fontId="3" fillId="0" borderId="1"/>
    <xf numFmtId="0" fontId="33" fillId="0" borderId="1"/>
    <xf numFmtId="164" fontId="3" fillId="0" borderId="1"/>
    <xf numFmtId="164" fontId="3" fillId="0" borderId="1"/>
    <xf numFmtId="0" fontId="3" fillId="0" borderId="1"/>
    <xf numFmtId="164" fontId="33" fillId="0" borderId="1"/>
    <xf numFmtId="0" fontId="33" fillId="0" borderId="1"/>
    <xf numFmtId="0" fontId="3" fillId="0" borderId="1"/>
    <xf numFmtId="0" fontId="33" fillId="0" borderId="1"/>
    <xf numFmtId="164" fontId="3" fillId="0" borderId="1"/>
    <xf numFmtId="0" fontId="33" fillId="0" borderId="1"/>
    <xf numFmtId="164" fontId="3" fillId="0" borderId="1"/>
    <xf numFmtId="0" fontId="3" fillId="0" borderId="1"/>
    <xf numFmtId="164" fontId="3" fillId="0" borderId="1"/>
    <xf numFmtId="164" fontId="3" fillId="0" borderId="1"/>
    <xf numFmtId="0" fontId="33" fillId="0" borderId="1"/>
    <xf numFmtId="0" fontId="33" fillId="0" borderId="1"/>
    <xf numFmtId="0" fontId="3" fillId="0" borderId="1"/>
    <xf numFmtId="0" fontId="33" fillId="0" borderId="1"/>
    <xf numFmtId="164" fontId="3" fillId="0" borderId="1"/>
    <xf numFmtId="0" fontId="33" fillId="0" borderId="1"/>
    <xf numFmtId="164" fontId="3" fillId="0" borderId="1"/>
    <xf numFmtId="0" fontId="3" fillId="0" borderId="1"/>
    <xf numFmtId="0" fontId="3" fillId="0" borderId="1"/>
    <xf numFmtId="0" fontId="33" fillId="0" borderId="1"/>
    <xf numFmtId="164" fontId="3" fillId="0" borderId="1"/>
    <xf numFmtId="0" fontId="3" fillId="0" borderId="1"/>
    <xf numFmtId="0" fontId="33" fillId="0" borderId="1"/>
    <xf numFmtId="0" fontId="3" fillId="0" borderId="1"/>
    <xf numFmtId="164" fontId="3" fillId="0" borderId="1"/>
    <xf numFmtId="0" fontId="33" fillId="0" borderId="1"/>
    <xf numFmtId="164" fontId="3" fillId="0" borderId="1"/>
    <xf numFmtId="0" fontId="3" fillId="0" borderId="1"/>
    <xf numFmtId="0" fontId="3" fillId="0" borderId="1"/>
    <xf numFmtId="0" fontId="3" fillId="0" borderId="1"/>
    <xf numFmtId="164" fontId="33" fillId="0" borderId="1"/>
    <xf numFmtId="0" fontId="33" fillId="0" borderId="1"/>
    <xf numFmtId="0" fontId="3" fillId="0" borderId="1"/>
    <xf numFmtId="0" fontId="34" fillId="0" borderId="1"/>
    <xf numFmtId="0" fontId="33" fillId="0" borderId="1"/>
    <xf numFmtId="0" fontId="33" fillId="0" borderId="1"/>
    <xf numFmtId="164" fontId="3" fillId="0" borderId="1"/>
    <xf numFmtId="164" fontId="3" fillId="0" borderId="1"/>
    <xf numFmtId="0" fontId="3" fillId="0" borderId="1"/>
    <xf numFmtId="0" fontId="3" fillId="0" borderId="1"/>
    <xf numFmtId="0" fontId="3" fillId="0" borderId="1"/>
    <xf numFmtId="0" fontId="33" fillId="0" borderId="1"/>
    <xf numFmtId="0" fontId="33" fillId="0" borderId="1"/>
    <xf numFmtId="0" fontId="3" fillId="0" borderId="1"/>
    <xf numFmtId="164" fontId="33" fillId="0" borderId="1"/>
    <xf numFmtId="164" fontId="33" fillId="0" borderId="1"/>
    <xf numFmtId="0" fontId="33" fillId="0" borderId="1"/>
    <xf numFmtId="0" fontId="33" fillId="0" borderId="1"/>
    <xf numFmtId="164" fontId="3" fillId="0" borderId="1"/>
    <xf numFmtId="164" fontId="33" fillId="0" borderId="1"/>
    <xf numFmtId="164" fontId="33" fillId="0" borderId="1"/>
    <xf numFmtId="0" fontId="3" fillId="0" borderId="1"/>
    <xf numFmtId="0" fontId="33" fillId="0" borderId="1"/>
    <xf numFmtId="0" fontId="33" fillId="0" borderId="1"/>
    <xf numFmtId="0" fontId="3" fillId="0" borderId="1"/>
    <xf numFmtId="0" fontId="3" fillId="0" borderId="1"/>
    <xf numFmtId="0" fontId="3" fillId="0" borderId="1"/>
    <xf numFmtId="0" fontId="33" fillId="0" borderId="1"/>
    <xf numFmtId="0" fontId="33" fillId="0" borderId="1"/>
    <xf numFmtId="0" fontId="3" fillId="0" borderId="1"/>
    <xf numFmtId="0" fontId="3" fillId="0" borderId="1"/>
    <xf numFmtId="0" fontId="3" fillId="0" borderId="1"/>
    <xf numFmtId="0" fontId="33" fillId="0" borderId="1"/>
    <xf numFmtId="0" fontId="33" fillId="0" borderId="1"/>
    <xf numFmtId="0" fontId="33" fillId="0" borderId="1"/>
    <xf numFmtId="164" fontId="33" fillId="0" borderId="1"/>
    <xf numFmtId="164" fontId="33" fillId="0" borderId="1"/>
    <xf numFmtId="0" fontId="33" fillId="0" borderId="1"/>
    <xf numFmtId="0" fontId="34" fillId="0" borderId="1"/>
    <xf numFmtId="0" fontId="3" fillId="0" borderId="1"/>
    <xf numFmtId="0" fontId="3" fillId="0" borderId="1"/>
    <xf numFmtId="0" fontId="33" fillId="0" borderId="1"/>
    <xf numFmtId="0" fontId="34" fillId="0" borderId="1"/>
    <xf numFmtId="0" fontId="3" fillId="0" borderId="1"/>
    <xf numFmtId="164" fontId="3" fillId="0" borderId="1"/>
    <xf numFmtId="164" fontId="33" fillId="0" borderId="1"/>
    <xf numFmtId="164" fontId="34" fillId="0" borderId="1"/>
    <xf numFmtId="0" fontId="3" fillId="0" borderId="1"/>
    <xf numFmtId="164" fontId="3" fillId="0" borderId="1"/>
    <xf numFmtId="0" fontId="33" fillId="0" borderId="1"/>
    <xf numFmtId="0" fontId="34" fillId="0" borderId="1"/>
    <xf numFmtId="0" fontId="3" fillId="0" borderId="1"/>
    <xf numFmtId="164" fontId="3" fillId="0" borderId="1"/>
    <xf numFmtId="164" fontId="33" fillId="0" borderId="1"/>
    <xf numFmtId="164" fontId="34" fillId="0" borderId="1"/>
    <xf numFmtId="0" fontId="33" fillId="0" borderId="1"/>
    <xf numFmtId="164" fontId="3" fillId="0" borderId="1"/>
    <xf numFmtId="0" fontId="33" fillId="0" borderId="1"/>
    <xf numFmtId="0" fontId="3" fillId="0" borderId="1"/>
    <xf numFmtId="164" fontId="3" fillId="0" borderId="1"/>
    <xf numFmtId="0" fontId="33" fillId="0" borderId="1"/>
    <xf numFmtId="164" fontId="3" fillId="0" borderId="1"/>
    <xf numFmtId="0" fontId="3" fillId="0" borderId="1"/>
    <xf numFmtId="164" fontId="3" fillId="0" borderId="1"/>
    <xf numFmtId="164" fontId="3" fillId="0" borderId="1"/>
    <xf numFmtId="164" fontId="33" fillId="0" borderId="1"/>
    <xf numFmtId="164" fontId="3" fillId="0" borderId="1"/>
    <xf numFmtId="0" fontId="3" fillId="0" borderId="1"/>
    <xf numFmtId="164" fontId="3" fillId="0" borderId="1"/>
    <xf numFmtId="164" fontId="3" fillId="0" borderId="1"/>
    <xf numFmtId="164" fontId="33" fillId="0" borderId="1"/>
    <xf numFmtId="164" fontId="3" fillId="0" borderId="1"/>
    <xf numFmtId="164" fontId="3" fillId="0" borderId="1"/>
    <xf numFmtId="0" fontId="33" fillId="0" borderId="1"/>
    <xf numFmtId="164" fontId="3" fillId="0" borderId="1"/>
    <xf numFmtId="0" fontId="33" fillId="0" borderId="1"/>
    <xf numFmtId="164" fontId="3" fillId="0" borderId="1"/>
    <xf numFmtId="0" fontId="33" fillId="0" borderId="1"/>
    <xf numFmtId="164" fontId="3" fillId="0" borderId="1"/>
    <xf numFmtId="0" fontId="3" fillId="0" borderId="1"/>
    <xf numFmtId="0" fontId="3" fillId="0" borderId="1"/>
    <xf numFmtId="164" fontId="3" fillId="0" borderId="1"/>
    <xf numFmtId="0" fontId="33" fillId="0" borderId="1"/>
    <xf numFmtId="164" fontId="3" fillId="0" borderId="1"/>
    <xf numFmtId="164" fontId="3" fillId="0" borderId="1"/>
    <xf numFmtId="164" fontId="33" fillId="0" borderId="1"/>
    <xf numFmtId="164" fontId="3" fillId="0" borderId="1"/>
    <xf numFmtId="0" fontId="3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3" fillId="0" borderId="1"/>
    <xf numFmtId="164" fontId="3" fillId="0" borderId="1"/>
    <xf numFmtId="0" fontId="33" fillId="0" borderId="1"/>
    <xf numFmtId="0" fontId="3" fillId="0" borderId="1"/>
    <xf numFmtId="164" fontId="3" fillId="0" borderId="1"/>
    <xf numFmtId="0" fontId="33" fillId="0" borderId="1"/>
    <xf numFmtId="164" fontId="3" fillId="0" borderId="1"/>
    <xf numFmtId="0" fontId="33" fillId="0" borderId="1"/>
    <xf numFmtId="164" fontId="33" fillId="0" borderId="1"/>
    <xf numFmtId="0" fontId="33" fillId="0" borderId="1"/>
    <xf numFmtId="164" fontId="3" fillId="0" borderId="1"/>
    <xf numFmtId="0" fontId="33" fillId="0" borderId="1"/>
    <xf numFmtId="0" fontId="3" fillId="0" borderId="1"/>
    <xf numFmtId="164" fontId="3" fillId="0" borderId="1"/>
    <xf numFmtId="164" fontId="3" fillId="0" borderId="1"/>
    <xf numFmtId="0" fontId="33" fillId="0" borderId="1"/>
    <xf numFmtId="164" fontId="3" fillId="0" borderId="1"/>
    <xf numFmtId="0" fontId="33" fillId="0" borderId="1"/>
    <xf numFmtId="0" fontId="33" fillId="0" borderId="1"/>
    <xf numFmtId="164" fontId="3" fillId="0" borderId="1"/>
    <xf numFmtId="164" fontId="3" fillId="0" borderId="1"/>
    <xf numFmtId="0" fontId="33" fillId="0" borderId="1"/>
    <xf numFmtId="164" fontId="3" fillId="0" borderId="1"/>
    <xf numFmtId="164" fontId="3" fillId="0" borderId="1"/>
    <xf numFmtId="0" fontId="33" fillId="0" borderId="1"/>
    <xf numFmtId="0" fontId="33" fillId="0" borderId="1"/>
    <xf numFmtId="0" fontId="33" fillId="0" borderId="1"/>
    <xf numFmtId="0" fontId="3" fillId="0" borderId="2"/>
    <xf numFmtId="0" fontId="33" fillId="0" borderId="1"/>
    <xf numFmtId="0" fontId="33" fillId="0" borderId="1"/>
    <xf numFmtId="164" fontId="3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3" fillId="0" borderId="1"/>
    <xf numFmtId="164" fontId="3" fillId="0" borderId="1"/>
    <xf numFmtId="164" fontId="3" fillId="0" borderId="1"/>
    <xf numFmtId="164" fontId="3" fillId="0" borderId="1"/>
    <xf numFmtId="164" fontId="3" fillId="0" borderId="1"/>
    <xf numFmtId="9" fontId="34" fillId="0" borderId="1" applyFont="0" applyFill="0" applyBorder="0" applyAlignment="0" applyProtection="0"/>
    <xf numFmtId="9" fontId="34" fillId="0" borderId="1" applyFont="0" applyFill="0" applyBorder="0" applyAlignment="0" applyProtection="0"/>
    <xf numFmtId="164" fontId="3" fillId="0" borderId="1"/>
    <xf numFmtId="0" fontId="3" fillId="0" borderId="1"/>
    <xf numFmtId="9" fontId="34" fillId="0" borderId="1" applyFont="0" applyFill="0" applyBorder="0" applyAlignment="0" applyProtection="0"/>
    <xf numFmtId="9" fontId="34" fillId="0" borderId="1" applyFont="0" applyFill="0" applyBorder="0" applyAlignment="0" applyProtection="0"/>
    <xf numFmtId="164" fontId="3" fillId="0" borderId="1"/>
    <xf numFmtId="0" fontId="3" fillId="0" borderId="1"/>
    <xf numFmtId="0" fontId="3" fillId="0" borderId="1"/>
    <xf numFmtId="9" fontId="34" fillId="0" borderId="1" applyFont="0" applyFill="0" applyBorder="0" applyAlignment="0" applyProtection="0"/>
    <xf numFmtId="9" fontId="34" fillId="0" borderId="1" applyFont="0" applyFill="0" applyBorder="0" applyAlignment="0" applyProtection="0"/>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9" fillId="0" borderId="28" applyNumberFormat="0" applyFill="0" applyAlignment="0" applyProtection="0"/>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3" fillId="0" borderId="1"/>
    <xf numFmtId="0" fontId="3" fillId="0" borderId="1"/>
    <xf numFmtId="164" fontId="3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9" fontId="34" fillId="0" borderId="1" applyFont="0" applyFill="0" applyBorder="0" applyAlignment="0" applyProtection="0"/>
    <xf numFmtId="9" fontId="34"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3" fillId="0" borderId="1"/>
    <xf numFmtId="0" fontId="3" fillId="0" borderId="1"/>
    <xf numFmtId="0" fontId="33" fillId="0" borderId="1">
      <alignment wrapText="1"/>
    </xf>
    <xf numFmtId="0" fontId="3" fillId="0" borderId="1"/>
    <xf numFmtId="0" fontId="3" fillId="0" borderId="1"/>
    <xf numFmtId="0" fontId="33" fillId="0" borderId="1">
      <alignment wrapText="1"/>
    </xf>
    <xf numFmtId="0" fontId="3" fillId="0" borderId="1"/>
    <xf numFmtId="164" fontId="3" fillId="0" borderId="1"/>
    <xf numFmtId="0" fontId="33" fillId="0" borderId="1">
      <alignment wrapText="1"/>
    </xf>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60"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18"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23" borderId="25" applyNumberFormat="0" applyFont="0" applyAlignment="0" applyProtection="0"/>
    <xf numFmtId="0" fontId="3" fillId="0" borderId="1"/>
    <xf numFmtId="9" fontId="3" fillId="0" borderId="1" applyFont="0" applyFill="0" applyBorder="0" applyAlignment="0" applyProtection="0"/>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3" fillId="0" borderId="1"/>
    <xf numFmtId="0" fontId="33" fillId="0" borderId="1"/>
    <xf numFmtId="0" fontId="33" fillId="0" borderId="1"/>
    <xf numFmtId="0" fontId="3" fillId="0" borderId="1"/>
    <xf numFmtId="164" fontId="33" fillId="0" borderId="1"/>
    <xf numFmtId="0" fontId="3" fillId="0" borderId="1"/>
    <xf numFmtId="0" fontId="33" fillId="0" borderId="1"/>
    <xf numFmtId="0" fontId="3" fillId="0" borderId="1"/>
    <xf numFmtId="0" fontId="3" fillId="0" borderId="1"/>
    <xf numFmtId="0" fontId="3" fillId="0" borderId="1"/>
    <xf numFmtId="0" fontId="33" fillId="0" borderId="1"/>
    <xf numFmtId="0" fontId="3" fillId="0" borderId="1"/>
    <xf numFmtId="0" fontId="3" fillId="0" borderId="1"/>
    <xf numFmtId="0" fontId="3" fillId="0" borderId="1"/>
    <xf numFmtId="0" fontId="33" fillId="0" borderId="1"/>
    <xf numFmtId="0" fontId="33" fillId="0" borderId="1"/>
    <xf numFmtId="0" fontId="3" fillId="0" borderId="1"/>
    <xf numFmtId="0" fontId="3" fillId="0" borderId="1"/>
    <xf numFmtId="164" fontId="3" fillId="0" borderId="1"/>
    <xf numFmtId="0" fontId="3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3" fillId="0" borderId="1"/>
    <xf numFmtId="164" fontId="3" fillId="0" borderId="1"/>
    <xf numFmtId="164" fontId="3" fillId="0" borderId="1"/>
    <xf numFmtId="164" fontId="3" fillId="0" borderId="1"/>
    <xf numFmtId="0" fontId="33" fillId="0" borderId="1"/>
    <xf numFmtId="0" fontId="3" fillId="0" borderId="1"/>
    <xf numFmtId="0" fontId="3" fillId="0" borderId="1"/>
    <xf numFmtId="0" fontId="34" fillId="0" borderId="1"/>
    <xf numFmtId="0" fontId="34" fillId="0" borderId="1"/>
    <xf numFmtId="0" fontId="3" fillId="0" borderId="1"/>
    <xf numFmtId="0" fontId="34" fillId="0" borderId="1"/>
    <xf numFmtId="0" fontId="34" fillId="0" borderId="1"/>
    <xf numFmtId="0" fontId="3" fillId="0" borderId="1"/>
    <xf numFmtId="0" fontId="34" fillId="0" borderId="1"/>
    <xf numFmtId="0" fontId="34" fillId="0" borderId="1"/>
    <xf numFmtId="0" fontId="3" fillId="0" borderId="1"/>
    <xf numFmtId="164" fontId="3" fillId="0" borderId="1"/>
    <xf numFmtId="164" fontId="34" fillId="0" borderId="1"/>
    <xf numFmtId="0" fontId="33" fillId="0" borderId="1"/>
    <xf numFmtId="0" fontId="3" fillId="0" borderId="1"/>
    <xf numFmtId="164" fontId="3" fillId="0" borderId="1"/>
    <xf numFmtId="0" fontId="34" fillId="0" borderId="1"/>
    <xf numFmtId="0" fontId="33" fillId="0" borderId="1"/>
    <xf numFmtId="0" fontId="3" fillId="0" borderId="1"/>
    <xf numFmtId="164" fontId="3" fillId="0" borderId="1"/>
    <xf numFmtId="0" fontId="33" fillId="0" borderId="1"/>
    <xf numFmtId="0" fontId="3" fillId="0" borderId="1"/>
    <xf numFmtId="164" fontId="3" fillId="0" borderId="1"/>
    <xf numFmtId="164" fontId="34" fillId="0" borderId="1"/>
    <xf numFmtId="164" fontId="34" fillId="0" borderId="1"/>
    <xf numFmtId="0" fontId="3" fillId="0" borderId="1"/>
    <xf numFmtId="0" fontId="3" fillId="0" borderId="1"/>
    <xf numFmtId="164" fontId="3" fillId="0" borderId="1"/>
    <xf numFmtId="0" fontId="3" fillId="0" borderId="1"/>
    <xf numFmtId="164" fontId="3" fillId="0" borderId="1"/>
    <xf numFmtId="0" fontId="34" fillId="0" borderId="1"/>
    <xf numFmtId="0" fontId="3" fillId="0" borderId="1"/>
    <xf numFmtId="0" fontId="3" fillId="0" borderId="1"/>
    <xf numFmtId="0" fontId="33" fillId="0" borderId="1"/>
    <xf numFmtId="0" fontId="33" fillId="0" borderId="1"/>
    <xf numFmtId="0" fontId="3" fillId="0" borderId="1"/>
    <xf numFmtId="0" fontId="3" fillId="0" borderId="1"/>
    <xf numFmtId="0" fontId="33" fillId="0" borderId="1"/>
    <xf numFmtId="0" fontId="33" fillId="0" borderId="1"/>
    <xf numFmtId="0" fontId="3" fillId="0" borderId="1"/>
    <xf numFmtId="0" fontId="3" fillId="0" borderId="1"/>
    <xf numFmtId="0" fontId="33" fillId="0" borderId="1"/>
    <xf numFmtId="0" fontId="3" fillId="0" borderId="1"/>
    <xf numFmtId="0" fontId="3" fillId="0" borderId="1"/>
    <xf numFmtId="0" fontId="34" fillId="0" borderId="1"/>
    <xf numFmtId="0" fontId="33" fillId="0" borderId="1"/>
    <xf numFmtId="0" fontId="34" fillId="0" borderId="1"/>
    <xf numFmtId="0" fontId="3" fillId="0" borderId="1"/>
    <xf numFmtId="0" fontId="3" fillId="0" borderId="1"/>
    <xf numFmtId="0" fontId="33" fillId="0" borderId="1"/>
    <xf numFmtId="0" fontId="34" fillId="0" borderId="1"/>
    <xf numFmtId="0" fontId="3" fillId="0" borderId="1"/>
    <xf numFmtId="0" fontId="3" fillId="0" borderId="1"/>
    <xf numFmtId="164" fontId="3" fillId="0" borderId="1"/>
    <xf numFmtId="0" fontId="34" fillId="0" borderId="1"/>
    <xf numFmtId="0" fontId="3" fillId="0" borderId="1"/>
    <xf numFmtId="0" fontId="3" fillId="0" borderId="1"/>
    <xf numFmtId="164" fontId="3" fillId="0" borderId="1"/>
    <xf numFmtId="0" fontId="34" fillId="0" borderId="1"/>
    <xf numFmtId="0" fontId="3" fillId="0" borderId="1"/>
    <xf numFmtId="0" fontId="3" fillId="0" borderId="1"/>
    <xf numFmtId="0" fontId="3" fillId="0" borderId="1"/>
    <xf numFmtId="0" fontId="34" fillId="0" borderId="1"/>
    <xf numFmtId="164" fontId="3" fillId="0" borderId="1"/>
    <xf numFmtId="0" fontId="3" fillId="0" borderId="1"/>
    <xf numFmtId="0" fontId="3" fillId="0" borderId="1"/>
    <xf numFmtId="164" fontId="34" fillId="0" borderId="1"/>
    <xf numFmtId="0" fontId="3" fillId="0" borderId="1"/>
    <xf numFmtId="0" fontId="14"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3" fillId="0" borderId="1"/>
    <xf numFmtId="0" fontId="3" fillId="0" borderId="1"/>
    <xf numFmtId="164" fontId="3" fillId="0" borderId="1"/>
    <xf numFmtId="0" fontId="3" fillId="0" borderId="1"/>
    <xf numFmtId="0" fontId="3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3" fillId="0" borderId="1"/>
    <xf numFmtId="0" fontId="3" fillId="0" borderId="1"/>
    <xf numFmtId="164" fontId="3" fillId="0" borderId="1"/>
    <xf numFmtId="0" fontId="3" fillId="0" borderId="1"/>
    <xf numFmtId="0" fontId="3" fillId="23" borderId="25" applyNumberFormat="0" applyFont="0" applyAlignment="0" applyProtection="0"/>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23" borderId="25" applyNumberFormat="0" applyFont="0" applyAlignment="0" applyProtection="0"/>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7" fillId="27" borderId="27" applyNumberFormat="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164" fontId="3" fillId="0" borderId="1"/>
    <xf numFmtId="164" fontId="3" fillId="0" borderId="1"/>
    <xf numFmtId="0" fontId="34" fillId="0" borderId="1"/>
    <xf numFmtId="164" fontId="3" fillId="0" borderId="1"/>
    <xf numFmtId="0" fontId="3" fillId="0" borderId="1"/>
    <xf numFmtId="0" fontId="34" fillId="0" borderId="1"/>
    <xf numFmtId="164" fontId="3" fillId="0" borderId="1"/>
    <xf numFmtId="0" fontId="3" fillId="0" borderId="1"/>
    <xf numFmtId="0" fontId="34"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3" fillId="0" borderId="1"/>
    <xf numFmtId="164" fontId="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7" fillId="27" borderId="27" applyNumberFormat="0" applyAlignment="0" applyProtection="0"/>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4"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9" fontId="33" fillId="0" borderId="1" applyFill="0" applyBorder="0" applyAlignment="0" applyProtection="0"/>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9" fontId="33" fillId="0" borderId="1" applyFill="0" applyBorder="0" applyAlignment="0" applyProtection="0"/>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3" fillId="0" borderId="1"/>
    <xf numFmtId="164" fontId="3" fillId="0" borderId="1"/>
    <xf numFmtId="164" fontId="3" fillId="0" borderId="1"/>
    <xf numFmtId="0" fontId="3" fillId="0" borderId="1"/>
    <xf numFmtId="164" fontId="3" fillId="0" borderId="1"/>
    <xf numFmtId="164" fontId="3" fillId="0" borderId="1"/>
    <xf numFmtId="0" fontId="3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7" fillId="27" borderId="27" applyNumberFormat="0" applyAlignment="0" applyProtection="0"/>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7" fillId="27" borderId="27" applyNumberForma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7" fillId="27" borderId="27" applyNumberFormat="0" applyAlignment="0" applyProtection="0"/>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54" fillId="44" borderId="24" applyNumberFormat="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 fillId="0" borderId="1"/>
    <xf numFmtId="0" fontId="3" fillId="0" borderId="1"/>
    <xf numFmtId="0" fontId="3" fillId="0" borderId="1"/>
    <xf numFmtId="0" fontId="65" fillId="0" borderId="1">
      <alignment vertical="top"/>
    </xf>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7" fillId="27" borderId="27" applyNumberForma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9" fontId="34" fillId="0" borderId="1" applyFont="0" applyFill="0" applyBorder="0" applyAlignment="0" applyProtection="0"/>
    <xf numFmtId="0" fontId="3" fillId="0" borderId="1"/>
    <xf numFmtId="164" fontId="3" fillId="0" borderId="1"/>
    <xf numFmtId="164" fontId="3" fillId="0" borderId="1"/>
    <xf numFmtId="9" fontId="34" fillId="0" borderId="1" applyFont="0" applyFill="0" applyBorder="0" applyAlignment="0" applyProtection="0"/>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9" fontId="34" fillId="0" borderId="1" applyFont="0" applyFill="0" applyBorder="0" applyAlignment="0" applyProtection="0"/>
    <xf numFmtId="164" fontId="3" fillId="0" borderId="1"/>
    <xf numFmtId="0" fontId="3" fillId="0" borderId="1"/>
    <xf numFmtId="164" fontId="3" fillId="0" borderId="1"/>
    <xf numFmtId="164" fontId="3" fillId="0" borderId="1"/>
    <xf numFmtId="9" fontId="34" fillId="0" borderId="1" applyFont="0" applyFill="0" applyBorder="0" applyAlignment="0" applyProtection="0"/>
    <xf numFmtId="164" fontId="3" fillId="0" borderId="1"/>
    <xf numFmtId="0" fontId="3" fillId="0" borderId="1"/>
    <xf numFmtId="9" fontId="34"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9" fontId="34" fillId="0" borderId="1" applyFont="0" applyFill="0" applyBorder="0" applyAlignment="0" applyProtection="0"/>
    <xf numFmtId="164" fontId="3" fillId="0" borderId="1"/>
    <xf numFmtId="0" fontId="3" fillId="0" borderId="1"/>
    <xf numFmtId="0" fontId="3" fillId="0" borderId="1"/>
    <xf numFmtId="0" fontId="3" fillId="0" borderId="1"/>
    <xf numFmtId="9" fontId="34" fillId="0" borderId="1" applyFont="0" applyFill="0" applyBorder="0" applyAlignment="0" applyProtection="0"/>
    <xf numFmtId="164" fontId="3" fillId="0" borderId="1"/>
    <xf numFmtId="0" fontId="3" fillId="0" borderId="1"/>
    <xf numFmtId="9" fontId="34" fillId="0" borderId="1" applyFont="0" applyFill="0" applyBorder="0" applyAlignment="0" applyProtection="0"/>
    <xf numFmtId="164" fontId="3" fillId="0" borderId="1"/>
    <xf numFmtId="0" fontId="3" fillId="0" borderId="1"/>
    <xf numFmtId="9" fontId="34" fillId="0" borderId="1" applyFont="0" applyFill="0" applyBorder="0" applyAlignment="0" applyProtection="0"/>
    <xf numFmtId="164" fontId="3" fillId="0" borderId="1"/>
    <xf numFmtId="0" fontId="3" fillId="0" borderId="1"/>
    <xf numFmtId="0" fontId="3" fillId="0" borderId="1"/>
    <xf numFmtId="9" fontId="34" fillId="0" borderId="1" applyFont="0" applyFill="0" applyBorder="0" applyAlignment="0" applyProtection="0"/>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9" fontId="34" fillId="0" borderId="1" applyFont="0" applyFill="0" applyBorder="0" applyAlignment="0" applyProtection="0"/>
    <xf numFmtId="9" fontId="34" fillId="0" borderId="1" applyFont="0" applyFill="0" applyBorder="0" applyAlignment="0" applyProtection="0"/>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9" fontId="34" fillId="0" borderId="1" applyFont="0" applyFill="0" applyBorder="0" applyAlignment="0" applyProtection="0"/>
    <xf numFmtId="9" fontId="34" fillId="0" borderId="1" applyFont="0" applyFill="0" applyBorder="0" applyAlignment="0" applyProtection="0"/>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9" fontId="3" fillId="0" borderId="1" applyFont="0" applyFill="0" applyBorder="0" applyAlignment="0" applyProtection="0"/>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9" fontId="34" fillId="0" borderId="1" applyFont="0" applyFill="0" applyBorder="0" applyAlignment="0" applyProtection="0"/>
    <xf numFmtId="9" fontId="34" fillId="0" borderId="1" applyFont="0" applyFill="0" applyBorder="0" applyAlignment="0" applyProtection="0"/>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9" fontId="3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9" fontId="33" fillId="0" borderId="1" applyFont="0" applyFill="0" applyBorder="0" applyAlignment="0" applyProtection="0"/>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7" fillId="27" borderId="27" applyNumberFormat="0" applyAlignment="0" applyProtection="0"/>
    <xf numFmtId="164" fontId="3" fillId="0" borderId="1"/>
    <xf numFmtId="0" fontId="3" fillId="0" borderId="1"/>
    <xf numFmtId="164" fontId="3" fillId="0" borderId="1"/>
    <xf numFmtId="0" fontId="3" fillId="0" borderId="1"/>
    <xf numFmtId="0" fontId="37" fillId="27" borderId="27" applyNumberForma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9" fontId="34" fillId="0" borderId="1" applyFont="0" applyFill="0" applyBorder="0" applyAlignment="0" applyProtection="0"/>
    <xf numFmtId="164" fontId="3" fillId="0" borderId="1"/>
    <xf numFmtId="0" fontId="3" fillId="0" borderId="1"/>
    <xf numFmtId="9" fontId="34" fillId="0" borderId="1" applyFont="0" applyFill="0" applyBorder="0" applyAlignment="0" applyProtection="0"/>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9" fontId="34" fillId="0" borderId="1" applyFont="0" applyFill="0" applyBorder="0" applyAlignment="0" applyProtection="0"/>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9" fontId="3" fillId="0" borderId="1" applyFont="0" applyFill="0" applyBorder="0" applyAlignment="0" applyProtection="0"/>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9" fontId="34" fillId="0" borderId="1" applyFont="0" applyFill="0" applyBorder="0" applyAlignment="0" applyProtection="0"/>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9" fontId="34" fillId="0" borderId="1" applyFont="0" applyFill="0" applyBorder="0" applyAlignment="0" applyProtection="0"/>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7" fillId="27" borderId="27" applyNumberFormat="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7" fillId="27" borderId="27" applyNumberFormat="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56" fillId="0" borderId="1" applyNumberForma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9"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20" borderId="26"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20" borderId="26"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9" fontId="34" fillId="0" borderId="1" applyFont="0" applyFill="0" applyBorder="0" applyAlignment="0" applyProtection="0"/>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9" fillId="0" borderId="28" applyNumberFormat="0" applyFill="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23" borderId="25" applyNumberFormat="0" applyFont="0" applyAlignment="0" applyProtection="0"/>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9" fontId="34" fillId="0" borderId="1" applyFont="0" applyFill="0" applyBorder="0" applyAlignment="0" applyProtection="0"/>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7" fillId="27" borderId="27" applyNumberFormat="0" applyAlignment="0" applyProtection="0"/>
    <xf numFmtId="0" fontId="3" fillId="0" borderId="1"/>
    <xf numFmtId="0" fontId="3" fillId="0" borderId="1"/>
    <xf numFmtId="0" fontId="3" fillId="0" borderId="1"/>
    <xf numFmtId="0" fontId="3" fillId="0" borderId="1"/>
    <xf numFmtId="0" fontId="37" fillId="27" borderId="27" applyNumberFormat="0" applyAlignment="0" applyProtection="0"/>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9" fontId="34" fillId="0" borderId="1" applyFont="0" applyFill="0" applyBorder="0" applyAlignment="0" applyProtection="0"/>
    <xf numFmtId="9" fontId="34" fillId="0" borderId="1" applyFont="0" applyFill="0" applyBorder="0" applyAlignment="0" applyProtection="0"/>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23" borderId="25" applyNumberFormat="0" applyFont="0" applyAlignment="0" applyProtection="0"/>
    <xf numFmtId="164" fontId="3" fillId="0" borderId="1"/>
    <xf numFmtId="164" fontId="3" fillId="0" borderId="1"/>
    <xf numFmtId="164" fontId="3" fillId="0" borderId="1"/>
    <xf numFmtId="164" fontId="3" fillId="0" borderId="1"/>
    <xf numFmtId="0" fontId="3" fillId="23" borderId="25" applyNumberFormat="0" applyFont="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9" fontId="34" fillId="0" borderId="1" applyFont="0" applyFill="0" applyBorder="0" applyAlignment="0" applyProtection="0"/>
    <xf numFmtId="9" fontId="34" fillId="0" borderId="1" applyFont="0" applyFill="0" applyBorder="0" applyAlignment="0" applyProtection="0"/>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8" fillId="0" borderId="1" applyNumberFormat="0" applyFill="0" applyBorder="0" applyAlignment="0" applyProtection="0"/>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9" fontId="34"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3" fillId="20" borderId="26" applyNumberFormat="0" applyFont="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9" fontId="34" fillId="0" borderId="1" applyFont="0" applyFill="0" applyBorder="0" applyAlignment="0" applyProtection="0"/>
    <xf numFmtId="9" fontId="34"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9" fontId="34" fillId="0" borderId="1" applyFont="0" applyFill="0" applyBorder="0" applyAlignment="0" applyProtection="0"/>
    <xf numFmtId="9" fontId="34" fillId="0" borderId="1" applyFont="0" applyFill="0" applyBorder="0" applyAlignment="0" applyProtection="0"/>
    <xf numFmtId="0" fontId="3" fillId="0" borderId="1"/>
    <xf numFmtId="0" fontId="3" fillId="0" borderId="1"/>
    <xf numFmtId="9" fontId="34" fillId="0" borderId="1" applyFont="0" applyFill="0" applyBorder="0" applyAlignment="0" applyProtection="0"/>
    <xf numFmtId="9" fontId="34" fillId="0" borderId="1" applyFont="0" applyFill="0" applyBorder="0" applyAlignment="0" applyProtection="0"/>
    <xf numFmtId="0" fontId="3" fillId="0" borderId="1"/>
    <xf numFmtId="0" fontId="3" fillId="0" borderId="1"/>
    <xf numFmtId="0" fontId="3" fillId="0" borderId="1"/>
    <xf numFmtId="0" fontId="3" fillId="0" borderId="1"/>
    <xf numFmtId="9" fontId="34" fillId="0" borderId="1" applyFont="0" applyFill="0" applyBorder="0" applyAlignment="0" applyProtection="0"/>
    <xf numFmtId="9" fontId="34"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9" fontId="3" fillId="0" borderId="1" applyFont="0" applyFill="0" applyBorder="0" applyAlignment="0" applyProtection="0"/>
    <xf numFmtId="0" fontId="3" fillId="0" borderId="1"/>
    <xf numFmtId="0" fontId="3" fillId="0" borderId="1"/>
    <xf numFmtId="9" fontId="3" fillId="0" borderId="1" applyFont="0" applyFill="0" applyBorder="0" applyAlignment="0" applyProtection="0"/>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9" fontId="33" fillId="0" borderId="1" applyFill="0" applyBorder="0" applyAlignment="0" applyProtection="0"/>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9" fillId="0" borderId="28" applyNumberFormat="0" applyFill="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23" borderId="25" applyNumberFormat="0" applyFont="0" applyAlignment="0" applyProtection="0"/>
    <xf numFmtId="164"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9" fontId="34"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164"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164" fontId="3" fillId="0" borderId="1"/>
    <xf numFmtId="0" fontId="3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7" fillId="27" borderId="27" applyNumberForma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20" borderId="26"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9"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9" fontId="34" fillId="0" borderId="1" applyFont="0" applyFill="0" applyBorder="0" applyAlignment="0" applyProtection="0"/>
    <xf numFmtId="164" fontId="3" fillId="0" borderId="1"/>
    <xf numFmtId="9" fontId="34"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9" fontId="34" fillId="0" borderId="1" applyFont="0" applyFill="0" applyBorder="0" applyAlignment="0" applyProtection="0"/>
    <xf numFmtId="164" fontId="3" fillId="0" borderId="1"/>
    <xf numFmtId="9" fontId="34"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9" fontId="3" fillId="0" borderId="1" applyFont="0" applyFill="0" applyBorder="0" applyAlignment="0" applyProtection="0"/>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23" borderId="25" applyNumberFormat="0" applyFont="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9" fontId="34" fillId="0" borderId="1" applyFont="0" applyFill="0" applyBorder="0" applyAlignment="0" applyProtection="0"/>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9"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23" borderId="25" applyNumberFormat="0" applyFont="0" applyAlignment="0" applyProtection="0"/>
    <xf numFmtId="164" fontId="3" fillId="0" borderId="1"/>
    <xf numFmtId="164" fontId="3" fillId="0" borderId="1"/>
    <xf numFmtId="0" fontId="33" fillId="20" borderId="26" applyNumberFormat="0" applyFont="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23" borderId="25" applyNumberFormat="0" applyFont="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0" fontId="33" fillId="20" borderId="26" applyNumberFormat="0" applyFont="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9" fontId="34"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23" borderId="25" applyNumberFormat="0" applyFont="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9" fontId="3" fillId="0" borderId="1" applyFont="0" applyFill="0" applyBorder="0" applyAlignment="0" applyProtection="0"/>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9" fontId="3" fillId="0" borderId="1" applyFont="0" applyFill="0" applyBorder="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7" fillId="27" borderId="27" applyNumberFormat="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9" fillId="0" borderId="28" applyNumberFormat="0" applyFill="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61" fillId="0" borderId="36" applyNumberFormat="0" applyFill="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23" borderId="25" applyNumberFormat="0" applyFont="0" applyAlignment="0" applyProtection="0"/>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164"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23" borderId="25" applyNumberFormat="0" applyFont="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3" fillId="0" borderId="1"/>
    <xf numFmtId="0" fontId="34" fillId="0" borderId="1"/>
    <xf numFmtId="0" fontId="34"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0"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164" fontId="3" fillId="0" borderId="1"/>
    <xf numFmtId="0" fontId="3" fillId="0" borderId="1"/>
    <xf numFmtId="0" fontId="33" fillId="0" borderId="1"/>
    <xf numFmtId="0" fontId="3" fillId="0" borderId="1"/>
    <xf numFmtId="0" fontId="33" fillId="0" borderId="1"/>
    <xf numFmtId="0" fontId="3" fillId="0" borderId="1"/>
    <xf numFmtId="0" fontId="33" fillId="0" borderId="1"/>
    <xf numFmtId="0" fontId="3" fillId="0" borderId="1"/>
    <xf numFmtId="0" fontId="3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9" fontId="3" fillId="0" borderId="1" applyFont="0" applyFill="0" applyBorder="0" applyAlignment="0" applyProtection="0"/>
    <xf numFmtId="0" fontId="3" fillId="0" borderId="1"/>
    <xf numFmtId="0" fontId="3" fillId="0" borderId="1"/>
    <xf numFmtId="9" fontId="3" fillId="0" borderId="1" applyFont="0" applyFill="0" applyBorder="0" applyAlignment="0" applyProtection="0"/>
    <xf numFmtId="0" fontId="3" fillId="0" borderId="1"/>
    <xf numFmtId="9" fontId="3" fillId="0" borderId="1" applyFont="0" applyFill="0" applyBorder="0" applyAlignment="0" applyProtection="0"/>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164" fontId="33" fillId="0" borderId="1"/>
    <xf numFmtId="0" fontId="3" fillId="0" borderId="1"/>
    <xf numFmtId="0" fontId="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3" fillId="0" borderId="1"/>
    <xf numFmtId="164" fontId="33" fillId="0" borderId="1"/>
    <xf numFmtId="0" fontId="33" fillId="0" borderId="1"/>
    <xf numFmtId="164" fontId="33" fillId="0" borderId="1"/>
    <xf numFmtId="0" fontId="3" fillId="0" borderId="1"/>
    <xf numFmtId="0" fontId="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0" borderId="1"/>
    <xf numFmtId="0" fontId="33" fillId="0" borderId="1"/>
    <xf numFmtId="164" fontId="33" fillId="0" borderId="1"/>
    <xf numFmtId="0" fontId="33" fillId="0" borderId="1"/>
    <xf numFmtId="164" fontId="3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 fillId="0" borderId="1"/>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3" fillId="20" borderId="26"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9" fontId="3" fillId="0" borderId="1" applyFont="0" applyFill="0" applyBorder="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9" fontId="3" fillId="0" borderId="1" applyFont="0" applyFill="0" applyBorder="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0" fontId="3" fillId="23" borderId="25" applyNumberFormat="0" applyFont="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3" fillId="0" borderId="1" applyFont="0" applyFill="0" applyBorder="0" applyAlignment="0" applyProtection="0"/>
    <xf numFmtId="9" fontId="33" fillId="0" borderId="1" applyFont="0" applyFill="0" applyBorder="0" applyAlignment="0" applyProtection="0"/>
    <xf numFmtId="9" fontId="34"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33" fillId="0" borderId="1" applyFont="0" applyFill="0" applyBorder="0" applyAlignment="0" applyProtection="0"/>
    <xf numFmtId="9" fontId="3" fillId="0" borderId="1" applyFont="0" applyFill="0" applyBorder="0" applyAlignment="0" applyProtection="0"/>
    <xf numFmtId="9" fontId="3" fillId="0" borderId="1" applyFont="0" applyFill="0" applyBorder="0" applyAlignment="0" applyProtection="0"/>
    <xf numFmtId="9" fontId="60"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3" fillId="0" borderId="1" applyFont="0" applyFill="0" applyBorder="0" applyAlignment="0" applyProtection="0"/>
    <xf numFmtId="9" fontId="33" fillId="0" borderId="1" applyFont="0" applyFill="0" applyBorder="0" applyAlignment="0" applyProtection="0"/>
    <xf numFmtId="9" fontId="34" fillId="0" borderId="1" applyFont="0" applyFill="0" applyBorder="0" applyAlignment="0" applyProtection="0"/>
    <xf numFmtId="9" fontId="33" fillId="0" borderId="1"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3" fillId="0" borderId="1" applyFont="0" applyFill="0" applyBorder="0" applyAlignment="0" applyProtection="0"/>
    <xf numFmtId="9" fontId="33" fillId="0" borderId="1" applyFont="0" applyFill="0" applyBorder="0" applyAlignment="0" applyProtection="0"/>
    <xf numFmtId="9" fontId="33" fillId="0" borderId="1" applyFill="0" applyBorder="0" applyAlignment="0" applyProtection="0"/>
    <xf numFmtId="9" fontId="33" fillId="0" borderId="1"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3" fillId="0" borderId="1" applyFill="0" applyBorder="0" applyAlignment="0" applyProtection="0"/>
    <xf numFmtId="9" fontId="34" fillId="0" borderId="1" applyFont="0" applyFill="0" applyBorder="0" applyAlignment="0" applyProtection="0"/>
    <xf numFmtId="9" fontId="33" fillId="0" borderId="1" applyFill="0" applyBorder="0" applyAlignment="0" applyProtection="0"/>
    <xf numFmtId="9" fontId="33" fillId="0" borderId="1" applyFill="0" applyBorder="0" applyAlignment="0" applyProtection="0"/>
    <xf numFmtId="9" fontId="33" fillId="0" borderId="1" applyFill="0" applyBorder="0" applyAlignment="0" applyProtection="0"/>
    <xf numFmtId="9" fontId="33" fillId="0" borderId="1" applyFill="0" applyBorder="0" applyAlignment="0" applyProtection="0"/>
    <xf numFmtId="9" fontId="33" fillId="0" borderId="1" applyFill="0" applyBorder="0" applyAlignment="0" applyProtection="0"/>
    <xf numFmtId="9" fontId="33" fillId="0" borderId="1"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9" fontId="34" fillId="0" borderId="1" applyFont="0" applyFill="0" applyBorder="0" applyAlignment="0" applyProtection="0"/>
    <xf numFmtId="0" fontId="37" fillId="27" borderId="27" applyNumberFormat="0" applyAlignment="0" applyProtection="0"/>
    <xf numFmtId="0" fontId="37" fillId="27" borderId="27" applyNumberFormat="0" applyAlignment="0" applyProtection="0"/>
    <xf numFmtId="0" fontId="37" fillId="27" borderId="27" applyNumberFormat="0" applyAlignment="0" applyProtection="0"/>
    <xf numFmtId="0" fontId="37" fillId="27" borderId="27" applyNumberFormat="0" applyAlignment="0" applyProtection="0"/>
    <xf numFmtId="0" fontId="37" fillId="27" borderId="27" applyNumberFormat="0" applyAlignment="0" applyProtection="0"/>
    <xf numFmtId="0" fontId="39" fillId="0" borderId="28" applyNumberFormat="0" applyFill="0" applyAlignment="0" applyProtection="0"/>
    <xf numFmtId="0" fontId="37" fillId="27" borderId="27" applyNumberFormat="0" applyAlignment="0" applyProtection="0"/>
    <xf numFmtId="0" fontId="37" fillId="27" borderId="27" applyNumberFormat="0" applyAlignment="0" applyProtection="0"/>
    <xf numFmtId="0" fontId="37" fillId="27" borderId="27" applyNumberFormat="0" applyAlignment="0" applyProtection="0"/>
    <xf numFmtId="0" fontId="37" fillId="27" borderId="27" applyNumberFormat="0" applyAlignment="0" applyProtection="0"/>
    <xf numFmtId="0" fontId="37" fillId="27" borderId="27" applyNumberFormat="0" applyAlignment="0" applyProtection="0"/>
    <xf numFmtId="0" fontId="37" fillId="27" borderId="27" applyNumberFormat="0" applyAlignment="0" applyProtection="0"/>
    <xf numFmtId="0" fontId="37" fillId="27" borderId="27" applyNumberFormat="0" applyAlignment="0" applyProtection="0"/>
    <xf numFmtId="0" fontId="37" fillId="27" borderId="27" applyNumberFormat="0" applyAlignment="0" applyProtection="0"/>
    <xf numFmtId="0" fontId="66" fillId="50" borderId="23" applyNumberFormat="0" applyAlignment="0" applyProtection="0"/>
    <xf numFmtId="0" fontId="38" fillId="0" borderId="1" applyNumberFormat="0" applyFill="0" applyBorder="0" applyAlignment="0" applyProtection="0"/>
    <xf numFmtId="0" fontId="56" fillId="0" borderId="1" applyNumberFormat="0" applyFill="0" applyBorder="0" applyAlignment="0" applyProtection="0"/>
    <xf numFmtId="0" fontId="61" fillId="0" borderId="36" applyNumberFormat="0" applyFill="0" applyAlignment="0" applyProtection="0"/>
    <xf numFmtId="0" fontId="48" fillId="0" borderId="31" applyNumberFormat="0" applyFill="0" applyAlignment="0" applyProtection="0"/>
    <xf numFmtId="0" fontId="48" fillId="0" borderId="31" applyNumberFormat="0" applyFill="0" applyAlignment="0" applyProtection="0"/>
    <xf numFmtId="0" fontId="59" fillId="0" borderId="35" applyNumberFormat="0" applyFill="0" applyAlignment="0" applyProtection="0"/>
    <xf numFmtId="0" fontId="59" fillId="0" borderId="35" applyNumberFormat="0" applyFill="0" applyAlignment="0" applyProtection="0"/>
    <xf numFmtId="0" fontId="40" fillId="0" borderId="1" applyNumberFormat="0" applyFill="0" applyBorder="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39" fillId="0" borderId="28" applyNumberFormat="0" applyFill="0" applyAlignment="0" applyProtection="0"/>
    <xf numFmtId="0" fontId="69" fillId="0" borderId="1"/>
    <xf numFmtId="0" fontId="14" fillId="0" borderId="1"/>
  </cellStyleXfs>
  <cellXfs count="348">
    <xf numFmtId="0" fontId="0" fillId="0" borderId="0" xfId="0"/>
    <xf numFmtId="0" fontId="6" fillId="0" borderId="0" xfId="0" applyFont="1" applyAlignment="1">
      <alignment horizontal="right"/>
    </xf>
    <xf numFmtId="0" fontId="7" fillId="0" borderId="0" xfId="0" applyFont="1" applyAlignment="1">
      <alignment vertical="center"/>
    </xf>
    <xf numFmtId="0" fontId="8" fillId="0" borderId="0" xfId="0" applyFont="1" applyAlignment="1">
      <alignment vertical="center"/>
    </xf>
    <xf numFmtId="0" fontId="9" fillId="0" borderId="0" xfId="0" applyFont="1"/>
    <xf numFmtId="0" fontId="10" fillId="2" borderId="1" xfId="0" applyFont="1" applyFill="1" applyBorder="1" applyAlignment="1">
      <alignment horizontal="center" vertical="center" wrapText="1"/>
    </xf>
    <xf numFmtId="17" fontId="11" fillId="2" borderId="1" xfId="0" applyNumberFormat="1" applyFont="1" applyFill="1" applyBorder="1" applyAlignment="1">
      <alignment horizontal="center" vertical="center" wrapText="1"/>
    </xf>
    <xf numFmtId="17" fontId="10" fillId="2" borderId="1" xfId="0" applyNumberFormat="1" applyFont="1" applyFill="1" applyBorder="1" applyAlignment="1">
      <alignment horizontal="center" vertical="center" wrapText="1"/>
    </xf>
    <xf numFmtId="0" fontId="12" fillId="0" borderId="0" xfId="0" applyFont="1" applyAlignment="1">
      <alignment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49" fontId="10" fillId="2" borderId="1" xfId="0" applyNumberFormat="1" applyFont="1" applyFill="1" applyBorder="1" applyAlignment="1">
      <alignment horizontal="center" vertical="center" wrapText="1"/>
    </xf>
    <xf numFmtId="0" fontId="0" fillId="0" borderId="2" xfId="0" applyBorder="1" applyAlignment="1">
      <alignment horizontal="center" vertical="center"/>
    </xf>
    <xf numFmtId="1" fontId="12" fillId="0" borderId="0" xfId="0" applyNumberFormat="1" applyFont="1" applyAlignment="1">
      <alignment horizontal="center" vertical="center" wrapText="1"/>
    </xf>
    <xf numFmtId="1" fontId="13" fillId="0" borderId="0" xfId="0" applyNumberFormat="1" applyFont="1" applyAlignment="1">
      <alignment horizontal="center" vertical="center" wrapText="1"/>
    </xf>
    <xf numFmtId="1" fontId="0" fillId="0" borderId="2" xfId="0" applyNumberFormat="1" applyBorder="1" applyAlignment="1">
      <alignment horizontal="center" vertical="center"/>
    </xf>
    <xf numFmtId="0" fontId="0" fillId="0" borderId="3" xfId="0" applyBorder="1" applyAlignment="1">
      <alignment horizontal="center" vertical="center"/>
    </xf>
    <xf numFmtId="0" fontId="0" fillId="0" borderId="0" xfId="0" applyAlignment="1">
      <alignment wrapText="1"/>
    </xf>
    <xf numFmtId="0" fontId="5" fillId="0" borderId="0" xfId="0" applyFont="1" applyAlignment="1">
      <alignment wrapText="1"/>
    </xf>
    <xf numFmtId="1" fontId="0" fillId="0" borderId="0" xfId="0" applyNumberFormat="1"/>
    <xf numFmtId="0" fontId="19" fillId="0" borderId="0" xfId="0" applyFont="1"/>
    <xf numFmtId="0" fontId="0" fillId="0" borderId="1" xfId="0" applyBorder="1" applyAlignment="1">
      <alignment horizontal="center" vertical="center"/>
    </xf>
    <xf numFmtId="1" fontId="0" fillId="0" borderId="1" xfId="0" applyNumberFormat="1" applyBorder="1" applyAlignment="1">
      <alignment horizontal="center" vertical="center"/>
    </xf>
    <xf numFmtId="0" fontId="17" fillId="0" borderId="1" xfId="0" applyFont="1" applyBorder="1" applyAlignment="1">
      <alignment horizontal="center" vertical="center"/>
    </xf>
    <xf numFmtId="49" fontId="10" fillId="2" borderId="4" xfId="0" applyNumberFormat="1" applyFont="1" applyFill="1" applyBorder="1" applyAlignment="1">
      <alignment horizontal="center" vertical="center" wrapText="1"/>
    </xf>
    <xf numFmtId="0" fontId="12" fillId="0" borderId="2" xfId="0" applyFont="1" applyBorder="1" applyAlignment="1">
      <alignment vertical="center" wrapText="1"/>
    </xf>
    <xf numFmtId="1" fontId="12" fillId="0" borderId="2" xfId="0" applyNumberFormat="1" applyFont="1" applyBorder="1" applyAlignment="1">
      <alignment horizontal="center" vertical="center" wrapText="1"/>
    </xf>
    <xf numFmtId="0" fontId="0" fillId="0" borderId="2" xfId="0" applyBorder="1"/>
    <xf numFmtId="0" fontId="12"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2" fillId="4" borderId="2" xfId="0" applyFont="1" applyFill="1" applyBorder="1" applyAlignment="1">
      <alignment vertical="center" wrapText="1"/>
    </xf>
    <xf numFmtId="49" fontId="10" fillId="2" borderId="8" xfId="0" applyNumberFormat="1" applyFont="1" applyFill="1" applyBorder="1" applyAlignment="1">
      <alignment horizontal="center" vertical="center" wrapText="1"/>
    </xf>
    <xf numFmtId="49" fontId="10" fillId="2" borderId="9"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1" fontId="12" fillId="0" borderId="10" xfId="0" applyNumberFormat="1" applyFont="1" applyBorder="1" applyAlignment="1">
      <alignment horizontal="center" vertical="center" wrapText="1"/>
    </xf>
    <xf numFmtId="1" fontId="12" fillId="4" borderId="10" xfId="0" applyNumberFormat="1" applyFont="1" applyFill="1" applyBorder="1" applyAlignment="1">
      <alignment horizontal="center" vertical="center" wrapText="1"/>
    </xf>
    <xf numFmtId="0" fontId="14" fillId="3" borderId="10" xfId="0" applyFont="1" applyFill="1" applyBorder="1" applyAlignment="1">
      <alignment horizontal="center"/>
    </xf>
    <xf numFmtId="0" fontId="15" fillId="3" borderId="10" xfId="0" applyFont="1" applyFill="1" applyBorder="1" applyAlignment="1">
      <alignment horizontal="center"/>
    </xf>
    <xf numFmtId="1" fontId="15" fillId="3" borderId="10" xfId="0" applyNumberFormat="1" applyFont="1" applyFill="1" applyBorder="1" applyAlignment="1">
      <alignment horizontal="center"/>
    </xf>
    <xf numFmtId="1" fontId="21" fillId="0" borderId="10" xfId="0" applyNumberFormat="1" applyFont="1" applyBorder="1" applyAlignment="1">
      <alignment horizontal="center" vertical="center" wrapText="1"/>
    </xf>
    <xf numFmtId="3" fontId="12" fillId="0" borderId="10" xfId="0" applyNumberFormat="1" applyFont="1" applyBorder="1" applyAlignment="1">
      <alignment horizontal="center" vertical="center" wrapText="1"/>
    </xf>
    <xf numFmtId="1" fontId="24" fillId="0" borderId="10" xfId="0" applyNumberFormat="1" applyFont="1" applyBorder="1" applyAlignment="1">
      <alignment horizontal="center" vertical="center" wrapText="1"/>
    </xf>
    <xf numFmtId="1" fontId="12" fillId="0" borderId="11" xfId="0" applyNumberFormat="1" applyFont="1" applyBorder="1" applyAlignment="1">
      <alignment horizontal="center" vertical="center" wrapText="1"/>
    </xf>
    <xf numFmtId="0" fontId="12" fillId="0" borderId="11" xfId="0" applyFont="1" applyBorder="1" applyAlignment="1">
      <alignment horizontal="center" vertical="center" wrapText="1"/>
    </xf>
    <xf numFmtId="1" fontId="24" fillId="0" borderId="11" xfId="0" applyNumberFormat="1" applyFont="1" applyBorder="1" applyAlignment="1">
      <alignment horizontal="center" vertical="center" wrapText="1"/>
    </xf>
    <xf numFmtId="0" fontId="0" fillId="0" borderId="12" xfId="0" applyBorder="1" applyAlignment="1">
      <alignment horizontal="center" vertical="center"/>
    </xf>
    <xf numFmtId="0" fontId="0" fillId="0" borderId="14" xfId="0" applyBorder="1" applyAlignment="1">
      <alignment horizontal="center" vertical="center"/>
    </xf>
    <xf numFmtId="1" fontId="13" fillId="0" borderId="4" xfId="0" applyNumberFormat="1" applyFont="1" applyBorder="1" applyAlignment="1">
      <alignment horizontal="center" vertical="center" wrapText="1"/>
    </xf>
    <xf numFmtId="49" fontId="10" fillId="2" borderId="15" xfId="0" applyNumberFormat="1" applyFont="1" applyFill="1" applyBorder="1" applyAlignment="1">
      <alignment horizontal="center" vertical="center" wrapText="1"/>
    </xf>
    <xf numFmtId="1" fontId="4" fillId="0" borderId="2" xfId="0" applyNumberFormat="1" applyFont="1" applyBorder="1" applyAlignment="1">
      <alignment horizontal="center" vertical="center"/>
    </xf>
    <xf numFmtId="1" fontId="13" fillId="0" borderId="13" xfId="0" applyNumberFormat="1" applyFont="1" applyBorder="1" applyAlignment="1">
      <alignment horizontal="center" vertical="center" wrapText="1"/>
    </xf>
    <xf numFmtId="0" fontId="12" fillId="4" borderId="10" xfId="0" applyFont="1" applyFill="1" applyBorder="1" applyAlignment="1">
      <alignment horizontal="center" vertical="center" wrapText="1"/>
    </xf>
    <xf numFmtId="1" fontId="12" fillId="7" borderId="10" xfId="0" applyNumberFormat="1" applyFont="1" applyFill="1" applyBorder="1" applyAlignment="1">
      <alignment horizontal="center" vertical="center" wrapText="1"/>
    </xf>
    <xf numFmtId="1" fontId="12" fillId="7" borderId="11" xfId="0" applyNumberFormat="1" applyFont="1" applyFill="1" applyBorder="1" applyAlignment="1">
      <alignment horizontal="center" vertical="center" wrapText="1"/>
    </xf>
    <xf numFmtId="1" fontId="12" fillId="8" borderId="10" xfId="0" applyNumberFormat="1" applyFont="1" applyFill="1" applyBorder="1" applyAlignment="1">
      <alignment horizontal="center" vertical="center" wrapText="1"/>
    </xf>
    <xf numFmtId="1" fontId="12" fillId="0" borderId="16" xfId="0" applyNumberFormat="1" applyFont="1" applyBorder="1" applyAlignment="1">
      <alignment horizontal="center" vertical="center" wrapText="1"/>
    </xf>
    <xf numFmtId="1" fontId="12" fillId="0" borderId="17" xfId="0" applyNumberFormat="1" applyFont="1" applyBorder="1" applyAlignment="1">
      <alignment horizontal="center" vertical="center" wrapText="1"/>
    </xf>
    <xf numFmtId="1" fontId="17" fillId="0" borderId="2" xfId="0" applyNumberFormat="1" applyFont="1" applyBorder="1" applyAlignment="1">
      <alignment horizontal="center" vertical="center"/>
    </xf>
    <xf numFmtId="0" fontId="12" fillId="0" borderId="19" xfId="0" applyFont="1" applyBorder="1" applyAlignment="1">
      <alignment horizontal="center" vertical="center" wrapText="1"/>
    </xf>
    <xf numFmtId="1" fontId="26" fillId="0" borderId="10" xfId="0" applyNumberFormat="1" applyFont="1" applyBorder="1" applyAlignment="1">
      <alignment horizontal="center" vertical="center" wrapText="1"/>
    </xf>
    <xf numFmtId="1" fontId="12" fillId="0" borderId="10" xfId="2" applyNumberFormat="1" applyFont="1" applyBorder="1" applyAlignment="1">
      <alignment horizontal="center" vertical="center" wrapText="1"/>
    </xf>
    <xf numFmtId="0" fontId="10" fillId="2" borderId="0" xfId="0" applyFont="1" applyFill="1" applyAlignment="1">
      <alignment horizontal="center" vertical="center" wrapText="1"/>
    </xf>
    <xf numFmtId="49" fontId="11" fillId="2" borderId="0" xfId="0" applyNumberFormat="1" applyFont="1" applyFill="1" applyAlignment="1">
      <alignment horizontal="center" vertical="center" wrapText="1"/>
    </xf>
    <xf numFmtId="1" fontId="12" fillId="0" borderId="10" xfId="4" applyNumberFormat="1" applyFont="1" applyBorder="1" applyAlignment="1">
      <alignment horizontal="center" vertical="center" wrapText="1"/>
    </xf>
    <xf numFmtId="1" fontId="12" fillId="0" borderId="11" xfId="4" applyNumberFormat="1" applyFont="1" applyBorder="1" applyAlignment="1">
      <alignment horizontal="center" vertical="center" wrapText="1"/>
    </xf>
    <xf numFmtId="1" fontId="12" fillId="4" borderId="10" xfId="4" applyNumberFormat="1" applyFont="1" applyFill="1" applyBorder="1" applyAlignment="1">
      <alignment horizontal="center" vertical="center" wrapText="1"/>
    </xf>
    <xf numFmtId="1" fontId="12" fillId="4" borderId="11" xfId="4" applyNumberFormat="1" applyFont="1" applyFill="1" applyBorder="1" applyAlignment="1">
      <alignment horizontal="center" vertical="center" wrapText="1"/>
    </xf>
    <xf numFmtId="1" fontId="13" fillId="0" borderId="10" xfId="4" applyNumberFormat="1" applyFont="1" applyBorder="1" applyAlignment="1">
      <alignment horizontal="center" vertical="center" wrapText="1"/>
    </xf>
    <xf numFmtId="1" fontId="26" fillId="7" borderId="10" xfId="0" applyNumberFormat="1" applyFont="1" applyFill="1" applyBorder="1" applyAlignment="1">
      <alignment horizontal="center" vertical="center" wrapText="1"/>
    </xf>
    <xf numFmtId="1" fontId="26" fillId="4" borderId="10" xfId="0" applyNumberFormat="1" applyFont="1" applyFill="1" applyBorder="1" applyAlignment="1">
      <alignment horizontal="center" vertical="center" wrapText="1"/>
    </xf>
    <xf numFmtId="1" fontId="21" fillId="4" borderId="10" xfId="0" applyNumberFormat="1" applyFont="1" applyFill="1" applyBorder="1" applyAlignment="1">
      <alignment horizontal="center" vertical="center" wrapText="1"/>
    </xf>
    <xf numFmtId="1" fontId="12" fillId="0" borderId="17" xfId="4" applyNumberFormat="1" applyFont="1" applyBorder="1" applyAlignment="1">
      <alignment horizontal="center" vertical="center" wrapText="1"/>
    </xf>
    <xf numFmtId="1" fontId="13" fillId="0" borderId="17" xfId="0" applyNumberFormat="1" applyFont="1" applyBorder="1" applyAlignment="1">
      <alignment horizontal="center" vertical="center" wrapText="1"/>
    </xf>
    <xf numFmtId="49" fontId="10" fillId="2" borderId="20" xfId="0" applyNumberFormat="1" applyFont="1" applyFill="1" applyBorder="1" applyAlignment="1">
      <alignment horizontal="center" vertical="center" wrapText="1"/>
    </xf>
    <xf numFmtId="1" fontId="20" fillId="0" borderId="2" xfId="0" applyNumberFormat="1" applyFont="1" applyBorder="1" applyAlignment="1">
      <alignment horizontal="center" vertical="center"/>
    </xf>
    <xf numFmtId="1" fontId="12" fillId="0" borderId="1" xfId="0" applyNumberFormat="1" applyFont="1" applyBorder="1" applyAlignment="1">
      <alignment horizontal="center" vertical="center" wrapText="1"/>
    </xf>
    <xf numFmtId="9" fontId="0" fillId="0" borderId="2" xfId="5" applyFont="1" applyBorder="1" applyAlignment="1">
      <alignment horizontal="center" vertical="center"/>
    </xf>
    <xf numFmtId="1" fontId="12" fillId="8" borderId="11" xfId="0" applyNumberFormat="1" applyFont="1" applyFill="1" applyBorder="1" applyAlignment="1">
      <alignment horizontal="center" vertical="center" wrapText="1"/>
    </xf>
    <xf numFmtId="0" fontId="0" fillId="12" borderId="0" xfId="0" applyFill="1"/>
    <xf numFmtId="0" fontId="0" fillId="12" borderId="1" xfId="0" applyFill="1" applyBorder="1"/>
    <xf numFmtId="0" fontId="0" fillId="12" borderId="10" xfId="0" applyFill="1" applyBorder="1"/>
    <xf numFmtId="17" fontId="21" fillId="11" borderId="10" xfId="0" applyNumberFormat="1" applyFont="1" applyFill="1" applyBorder="1" applyAlignment="1">
      <alignment horizontal="center" vertical="center" wrapText="1"/>
    </xf>
    <xf numFmtId="17" fontId="10" fillId="11" borderId="10" xfId="0" applyNumberFormat="1" applyFont="1" applyFill="1" applyBorder="1" applyAlignment="1">
      <alignment horizontal="center" vertical="center" wrapText="1"/>
    </xf>
    <xf numFmtId="0" fontId="12" fillId="0" borderId="10" xfId="0" applyFont="1" applyBorder="1" applyAlignment="1">
      <alignment vertical="center" wrapText="1"/>
    </xf>
    <xf numFmtId="0" fontId="21" fillId="0" borderId="10" xfId="0" applyFont="1" applyBorder="1" applyAlignment="1">
      <alignment horizontal="left" vertical="center" wrapText="1"/>
    </xf>
    <xf numFmtId="1" fontId="12" fillId="10" borderId="10" xfId="0" applyNumberFormat="1" applyFont="1" applyFill="1" applyBorder="1" applyAlignment="1">
      <alignment horizontal="center" vertical="center" wrapText="1"/>
    </xf>
    <xf numFmtId="1" fontId="25" fillId="0" borderId="10" xfId="0" applyNumberFormat="1" applyFont="1" applyBorder="1" applyAlignment="1">
      <alignment horizontal="center" vertical="center" wrapText="1"/>
    </xf>
    <xf numFmtId="49" fontId="10" fillId="2" borderId="21" xfId="0" applyNumberFormat="1" applyFont="1" applyFill="1" applyBorder="1" applyAlignment="1">
      <alignment horizontal="center" vertical="center" wrapText="1"/>
    </xf>
    <xf numFmtId="49" fontId="10" fillId="2" borderId="22" xfId="0" applyNumberFormat="1" applyFont="1" applyFill="1" applyBorder="1" applyAlignment="1">
      <alignment horizontal="center" vertical="center" wrapText="1"/>
    </xf>
    <xf numFmtId="1" fontId="13" fillId="0" borderId="2" xfId="0" applyNumberFormat="1" applyFont="1" applyBorder="1" applyAlignment="1">
      <alignment horizontal="center" vertical="center" wrapText="1"/>
    </xf>
    <xf numFmtId="10" fontId="0" fillId="0" borderId="0" xfId="5" applyNumberFormat="1" applyFont="1"/>
    <xf numFmtId="14" fontId="69" fillId="0" borderId="1" xfId="48898" applyNumberFormat="1"/>
    <xf numFmtId="0" fontId="2" fillId="0" borderId="1" xfId="48898" applyFont="1"/>
    <xf numFmtId="0" fontId="69" fillId="0" borderId="1" xfId="48898"/>
    <xf numFmtId="17" fontId="69" fillId="0" borderId="2" xfId="48898" applyNumberFormat="1" applyBorder="1" applyAlignment="1">
      <alignment horizontal="left"/>
    </xf>
    <xf numFmtId="0" fontId="69" fillId="0" borderId="2" xfId="48898" applyBorder="1" applyAlignment="1">
      <alignment horizontal="center" vertical="center"/>
    </xf>
    <xf numFmtId="17" fontId="69" fillId="0" borderId="2" xfId="48898" applyNumberFormat="1" applyBorder="1" applyAlignment="1">
      <alignment horizontal="center" vertical="center"/>
    </xf>
    <xf numFmtId="0" fontId="69" fillId="0" borderId="2" xfId="48898" applyBorder="1" applyAlignment="1">
      <alignment horizontal="center" vertical="center" wrapText="1"/>
    </xf>
    <xf numFmtId="49" fontId="2" fillId="0" borderId="2" xfId="48898" applyNumberFormat="1" applyFont="1" applyBorder="1" applyAlignment="1">
      <alignment horizontal="left"/>
    </xf>
    <xf numFmtId="0" fontId="69" fillId="0" borderId="2" xfId="48898" applyBorder="1"/>
    <xf numFmtId="0" fontId="69" fillId="0" borderId="14" xfId="48898" applyBorder="1" applyAlignment="1">
      <alignment vertical="center"/>
    </xf>
    <xf numFmtId="0" fontId="2" fillId="0" borderId="14" xfId="48898" applyFont="1" applyBorder="1" applyAlignment="1">
      <alignment vertical="center"/>
    </xf>
    <xf numFmtId="0" fontId="67" fillId="0" borderId="2" xfId="48898" applyFont="1" applyBorder="1" applyAlignment="1">
      <alignment horizontal="center" vertical="center" wrapText="1"/>
    </xf>
    <xf numFmtId="0" fontId="68" fillId="0" borderId="2" xfId="48898" applyFont="1" applyBorder="1" applyAlignment="1">
      <alignment horizontal="center" vertical="center"/>
    </xf>
    <xf numFmtId="49" fontId="67" fillId="0" borderId="2" xfId="48898" applyNumberFormat="1" applyFont="1" applyBorder="1" applyAlignment="1">
      <alignment horizontal="center" vertical="center" wrapText="1"/>
    </xf>
    <xf numFmtId="0" fontId="67" fillId="0" borderId="1" xfId="48898" applyFont="1" applyAlignment="1">
      <alignment wrapText="1"/>
    </xf>
    <xf numFmtId="49" fontId="2" fillId="0" borderId="2" xfId="48898" applyNumberFormat="1" applyFont="1" applyBorder="1" applyAlignment="1">
      <alignment horizontal="center" vertical="center"/>
    </xf>
    <xf numFmtId="0" fontId="1" fillId="0" borderId="1" xfId="48898" applyFont="1"/>
    <xf numFmtId="49" fontId="1" fillId="0" borderId="2" xfId="48898" applyNumberFormat="1" applyFont="1" applyBorder="1" applyAlignment="1">
      <alignment horizontal="left"/>
    </xf>
    <xf numFmtId="0" fontId="1" fillId="0" borderId="14" xfId="48898" applyFont="1" applyBorder="1" applyAlignment="1">
      <alignment vertical="center"/>
    </xf>
    <xf numFmtId="49" fontId="1" fillId="0" borderId="2" xfId="48898" applyNumberFormat="1" applyFont="1" applyBorder="1" applyAlignment="1">
      <alignment horizontal="center" vertical="center"/>
    </xf>
    <xf numFmtId="0" fontId="19" fillId="0" borderId="1" xfId="48898" applyFont="1" applyAlignment="1">
      <alignment wrapText="1"/>
    </xf>
    <xf numFmtId="0" fontId="69" fillId="0" borderId="2" xfId="48898" applyBorder="1" applyAlignment="1">
      <alignment horizontal="center"/>
    </xf>
    <xf numFmtId="0" fontId="69" fillId="0" borderId="1" xfId="48898" applyAlignment="1">
      <alignment horizontal="right"/>
    </xf>
    <xf numFmtId="0" fontId="69" fillId="52" borderId="2" xfId="48898" applyFill="1" applyBorder="1" applyAlignment="1">
      <alignment horizontal="center" vertical="center"/>
    </xf>
    <xf numFmtId="0" fontId="19" fillId="0" borderId="2" xfId="48898" applyFont="1" applyBorder="1" applyAlignment="1">
      <alignment horizontal="center" vertical="center"/>
    </xf>
    <xf numFmtId="49" fontId="69" fillId="0" borderId="1" xfId="48898" applyNumberFormat="1"/>
    <xf numFmtId="0" fontId="20" fillId="0" borderId="1" xfId="48898" applyFont="1"/>
    <xf numFmtId="1" fontId="12" fillId="12" borderId="10" xfId="0" applyNumberFormat="1"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2" fillId="0" borderId="2" xfId="0" applyFont="1" applyBorder="1" applyAlignment="1">
      <alignment horizontal="center" vertical="center"/>
    </xf>
    <xf numFmtId="0" fontId="12" fillId="0" borderId="41" xfId="0" applyFont="1" applyBorder="1" applyAlignment="1">
      <alignment horizontal="center" vertical="center" wrapText="1"/>
    </xf>
    <xf numFmtId="0" fontId="12" fillId="53" borderId="10" xfId="0" applyFont="1" applyFill="1" applyBorder="1" applyAlignment="1">
      <alignment horizontal="center" vertical="center" wrapText="1"/>
    </xf>
    <xf numFmtId="1" fontId="12" fillId="53" borderId="10" xfId="0" applyNumberFormat="1" applyFont="1" applyFill="1" applyBorder="1" applyAlignment="1">
      <alignment horizontal="center" vertical="center" wrapText="1"/>
    </xf>
    <xf numFmtId="1" fontId="12" fillId="53" borderId="1" xfId="0" applyNumberFormat="1" applyFont="1" applyFill="1" applyBorder="1" applyAlignment="1">
      <alignment horizontal="center" vertical="center" wrapText="1"/>
    </xf>
    <xf numFmtId="0" fontId="0" fillId="53" borderId="0" xfId="0" applyFill="1" applyAlignment="1">
      <alignment horizontal="center" vertical="center"/>
    </xf>
    <xf numFmtId="9" fontId="13" fillId="0" borderId="2" xfId="5" applyFont="1" applyBorder="1" applyAlignment="1">
      <alignment horizontal="center" vertical="center" wrapText="1"/>
    </xf>
    <xf numFmtId="0" fontId="19" fillId="0" borderId="2" xfId="0" applyFont="1" applyBorder="1" applyAlignment="1">
      <alignment horizontal="center" vertical="center"/>
    </xf>
    <xf numFmtId="0" fontId="70" fillId="54" borderId="42" xfId="0" applyFont="1" applyFill="1" applyBorder="1" applyAlignment="1">
      <alignment horizontal="left" wrapText="1" readingOrder="1"/>
    </xf>
    <xf numFmtId="0" fontId="70" fillId="55" borderId="42" xfId="0" applyFont="1" applyFill="1" applyBorder="1" applyAlignment="1">
      <alignment horizontal="left" wrapText="1" readingOrder="1"/>
    </xf>
    <xf numFmtId="0" fontId="19" fillId="0" borderId="3" xfId="0" applyFont="1" applyBorder="1" applyAlignment="1">
      <alignment horizontal="center" vertical="center"/>
    </xf>
    <xf numFmtId="0" fontId="0" fillId="24" borderId="0" xfId="0" applyFill="1" applyAlignment="1">
      <alignment horizontal="center" vertical="center"/>
    </xf>
    <xf numFmtId="1" fontId="0" fillId="24" borderId="0" xfId="0" applyNumberFormat="1" applyFill="1" applyAlignment="1">
      <alignment horizontal="center" vertical="center"/>
    </xf>
    <xf numFmtId="0" fontId="0" fillId="24" borderId="0" xfId="0" applyFill="1" applyAlignment="1">
      <alignment horizontal="center"/>
    </xf>
    <xf numFmtId="1" fontId="12" fillId="12" borderId="11" xfId="0" applyNumberFormat="1" applyFont="1" applyFill="1" applyBorder="1" applyAlignment="1">
      <alignment horizontal="center" vertical="center" wrapText="1"/>
    </xf>
    <xf numFmtId="10" fontId="13" fillId="0" borderId="2" xfId="5" applyNumberFormat="1" applyFont="1" applyBorder="1" applyAlignment="1">
      <alignment horizontal="center" vertical="center" wrapText="1"/>
    </xf>
    <xf numFmtId="0" fontId="12" fillId="0" borderId="10" xfId="0" applyFont="1" applyFill="1" applyBorder="1" applyAlignment="1">
      <alignment horizontal="center" vertical="center" wrapText="1"/>
    </xf>
    <xf numFmtId="1" fontId="12" fillId="0" borderId="10" xfId="0" applyNumberFormat="1" applyFont="1" applyFill="1" applyBorder="1" applyAlignment="1">
      <alignment horizontal="center" vertical="center" wrapText="1"/>
    </xf>
    <xf numFmtId="1" fontId="12" fillId="0" borderId="11" xfId="0" applyNumberFormat="1" applyFont="1" applyFill="1" applyBorder="1" applyAlignment="1">
      <alignment horizontal="center" vertical="center" wrapText="1"/>
    </xf>
    <xf numFmtId="1" fontId="12" fillId="0" borderId="16" xfId="0" applyNumberFormat="1" applyFont="1" applyFill="1" applyBorder="1" applyAlignment="1">
      <alignment horizontal="center" vertical="center" wrapText="1"/>
    </xf>
    <xf numFmtId="0" fontId="0" fillId="0" borderId="2" xfId="0" applyFill="1" applyBorder="1" applyAlignment="1">
      <alignment horizontal="center" vertical="center"/>
    </xf>
    <xf numFmtId="1" fontId="17" fillId="0" borderId="2" xfId="0" applyNumberFormat="1" applyFont="1" applyFill="1" applyBorder="1" applyAlignment="1">
      <alignment horizontal="center" vertical="center"/>
    </xf>
    <xf numFmtId="0" fontId="0" fillId="0" borderId="0" xfId="0" applyFill="1"/>
    <xf numFmtId="0" fontId="0" fillId="0" borderId="0" xfId="0" applyFill="1" applyAlignment="1">
      <alignment horizontal="center" vertical="center"/>
    </xf>
    <xf numFmtId="0" fontId="12" fillId="0" borderId="0" xfId="0" applyFont="1" applyFill="1" applyAlignment="1">
      <alignment vertical="center" wrapText="1"/>
    </xf>
    <xf numFmtId="0" fontId="12" fillId="12" borderId="0" xfId="0" applyFont="1" applyFill="1" applyAlignment="1">
      <alignment vertical="center" wrapText="1"/>
    </xf>
    <xf numFmtId="0" fontId="0" fillId="0" borderId="0" xfId="0"/>
    <xf numFmtId="49" fontId="72" fillId="2" borderId="15" xfId="0" applyNumberFormat="1" applyFont="1" applyFill="1" applyBorder="1" applyAlignment="1">
      <alignment horizontal="center" vertical="center" wrapText="1"/>
    </xf>
    <xf numFmtId="1" fontId="12" fillId="0" borderId="19" xfId="0" applyNumberFormat="1" applyFont="1" applyFill="1" applyBorder="1" applyAlignment="1">
      <alignment horizontal="center" vertical="center" wrapText="1"/>
    </xf>
    <xf numFmtId="1" fontId="24" fillId="0" borderId="10" xfId="0" applyNumberFormat="1" applyFont="1" applyFill="1" applyBorder="1" applyAlignment="1">
      <alignment horizontal="center" vertical="center" wrapText="1"/>
    </xf>
    <xf numFmtId="1" fontId="30" fillId="0" borderId="18" xfId="0" applyNumberFormat="1" applyFont="1" applyBorder="1" applyAlignment="1">
      <alignment horizontal="center" vertical="center" wrapText="1"/>
    </xf>
    <xf numFmtId="0" fontId="73" fillId="0" borderId="12" xfId="0" applyFont="1" applyBorder="1" applyAlignment="1">
      <alignment horizontal="center" vertical="center"/>
    </xf>
    <xf numFmtId="1" fontId="73" fillId="0" borderId="2" xfId="0" applyNumberFormat="1" applyFont="1" applyBorder="1" applyAlignment="1">
      <alignment horizontal="center" vertical="center"/>
    </xf>
    <xf numFmtId="0" fontId="73" fillId="0" borderId="2" xfId="0" applyFont="1" applyBorder="1" applyAlignment="1">
      <alignment horizontal="center" vertical="center"/>
    </xf>
    <xf numFmtId="0" fontId="73" fillId="6" borderId="12" xfId="0" applyFont="1" applyFill="1" applyBorder="1" applyAlignment="1">
      <alignment horizontal="center" vertical="center"/>
    </xf>
    <xf numFmtId="0" fontId="73" fillId="6" borderId="2" xfId="0" applyFont="1" applyFill="1" applyBorder="1" applyAlignment="1">
      <alignment horizontal="center" vertical="center"/>
    </xf>
    <xf numFmtId="1" fontId="73" fillId="6" borderId="2" xfId="0" applyNumberFormat="1" applyFont="1" applyFill="1" applyBorder="1" applyAlignment="1">
      <alignment horizontal="center" vertical="center"/>
    </xf>
    <xf numFmtId="0" fontId="73" fillId="0" borderId="12" xfId="0" applyFont="1" applyFill="1" applyBorder="1" applyAlignment="1">
      <alignment horizontal="center" vertical="center"/>
    </xf>
    <xf numFmtId="0" fontId="73" fillId="0" borderId="2" xfId="0" applyFont="1" applyFill="1" applyBorder="1" applyAlignment="1">
      <alignment horizontal="center" vertical="center"/>
    </xf>
    <xf numFmtId="1" fontId="73" fillId="0" borderId="2" xfId="0" applyNumberFormat="1" applyFont="1" applyFill="1" applyBorder="1" applyAlignment="1">
      <alignment horizontal="center" vertical="center"/>
    </xf>
    <xf numFmtId="9" fontId="74" fillId="56" borderId="9" xfId="5" applyFont="1" applyFill="1" applyBorder="1" applyAlignment="1">
      <alignment horizontal="center" vertical="center" wrapText="1"/>
    </xf>
    <xf numFmtId="1" fontId="13" fillId="0" borderId="2" xfId="0" applyNumberFormat="1" applyFont="1" applyFill="1" applyBorder="1" applyAlignment="1">
      <alignment horizontal="center" vertical="center" wrapText="1"/>
    </xf>
    <xf numFmtId="166" fontId="13" fillId="0" borderId="2" xfId="5" applyNumberFormat="1" applyFont="1" applyFill="1" applyBorder="1" applyAlignment="1">
      <alignment horizontal="center" vertical="center" wrapText="1"/>
    </xf>
    <xf numFmtId="166" fontId="13" fillId="0" borderId="2" xfId="0" applyNumberFormat="1" applyFont="1" applyFill="1" applyBorder="1" applyAlignment="1">
      <alignment horizontal="center" vertical="center" wrapText="1"/>
    </xf>
    <xf numFmtId="9" fontId="13" fillId="0" borderId="2" xfId="5" applyFont="1" applyFill="1" applyBorder="1" applyAlignment="1">
      <alignment horizontal="center" vertical="center" wrapText="1"/>
    </xf>
    <xf numFmtId="1" fontId="12" fillId="0" borderId="10" xfId="2" applyNumberFormat="1" applyFont="1" applyFill="1" applyBorder="1" applyAlignment="1">
      <alignment horizontal="center" vertical="center" wrapText="1"/>
    </xf>
    <xf numFmtId="17" fontId="21" fillId="0" borderId="10" xfId="0" applyNumberFormat="1" applyFont="1" applyFill="1" applyBorder="1" applyAlignment="1">
      <alignment horizontal="center" vertical="center" wrapText="1"/>
    </xf>
    <xf numFmtId="3" fontId="12" fillId="0" borderId="10" xfId="0" applyNumberFormat="1" applyFont="1" applyFill="1" applyBorder="1" applyAlignment="1">
      <alignment horizontal="center" vertical="center" wrapText="1"/>
    </xf>
    <xf numFmtId="1" fontId="21" fillId="0" borderId="10" xfId="0" applyNumberFormat="1" applyFont="1" applyFill="1" applyBorder="1" applyAlignment="1">
      <alignment horizontal="center" vertical="center" wrapText="1"/>
    </xf>
    <xf numFmtId="0" fontId="21" fillId="0" borderId="10" xfId="0" applyFont="1" applyBorder="1" applyAlignment="1">
      <alignment horizontal="center" vertical="center" wrapText="1"/>
    </xf>
    <xf numFmtId="0" fontId="21" fillId="0" borderId="10" xfId="0" applyFont="1" applyFill="1" applyBorder="1" applyAlignment="1">
      <alignment horizontal="center" vertical="center" wrapText="1"/>
    </xf>
    <xf numFmtId="1" fontId="21" fillId="0" borderId="11" xfId="0" applyNumberFormat="1" applyFont="1" applyBorder="1" applyAlignment="1">
      <alignment horizontal="center" vertical="center" wrapText="1"/>
    </xf>
    <xf numFmtId="0" fontId="75" fillId="0" borderId="10" xfId="0" applyFont="1" applyBorder="1" applyAlignment="1">
      <alignment horizontal="center" vertical="center" wrapText="1"/>
    </xf>
    <xf numFmtId="1" fontId="75" fillId="0" borderId="10" xfId="0" applyNumberFormat="1" applyFont="1" applyBorder="1" applyAlignment="1">
      <alignment horizontal="center" vertical="center" wrapText="1"/>
    </xf>
    <xf numFmtId="1" fontId="75" fillId="0" borderId="11" xfId="0" applyNumberFormat="1" applyFont="1" applyBorder="1" applyAlignment="1">
      <alignment horizontal="center" vertical="center" wrapText="1"/>
    </xf>
    <xf numFmtId="49" fontId="72" fillId="2" borderId="43" xfId="0" applyNumberFormat="1" applyFont="1" applyFill="1" applyBorder="1" applyAlignment="1">
      <alignment horizontal="center" vertical="center" wrapText="1"/>
    </xf>
    <xf numFmtId="1" fontId="26" fillId="0" borderId="10" xfId="0" applyNumberFormat="1" applyFont="1" applyFill="1" applyBorder="1" applyAlignment="1">
      <alignment horizontal="center" vertical="center" wrapText="1"/>
    </xf>
    <xf numFmtId="1" fontId="25" fillId="0" borderId="11" xfId="0" applyNumberFormat="1" applyFont="1" applyFill="1" applyBorder="1" applyAlignment="1">
      <alignment horizontal="center" vertical="center" wrapText="1"/>
    </xf>
    <xf numFmtId="1" fontId="75" fillId="0" borderId="10" xfId="0" applyNumberFormat="1" applyFont="1" applyFill="1" applyBorder="1" applyAlignment="1">
      <alignment horizontal="center" vertical="center" wrapText="1"/>
    </xf>
    <xf numFmtId="1" fontId="75" fillId="0" borderId="11" xfId="0" applyNumberFormat="1" applyFont="1" applyFill="1" applyBorder="1" applyAlignment="1">
      <alignment horizontal="center" vertical="center" wrapText="1"/>
    </xf>
    <xf numFmtId="1" fontId="24" fillId="0" borderId="11" xfId="0" applyNumberFormat="1" applyFont="1" applyFill="1" applyBorder="1" applyAlignment="1">
      <alignment horizontal="center" vertical="center" wrapText="1"/>
    </xf>
    <xf numFmtId="0" fontId="12" fillId="0" borderId="11" xfId="0" applyFont="1" applyFill="1" applyBorder="1" applyAlignment="1">
      <alignment horizontal="center" vertical="center" wrapText="1"/>
    </xf>
    <xf numFmtId="0" fontId="24" fillId="0" borderId="10" xfId="0" applyFont="1" applyBorder="1" applyAlignment="1">
      <alignment horizontal="center" vertical="center" wrapText="1"/>
    </xf>
    <xf numFmtId="0" fontId="24" fillId="0" borderId="19" xfId="0" applyFont="1" applyBorder="1" applyAlignment="1">
      <alignment horizontal="center" vertical="center" wrapText="1"/>
    </xf>
    <xf numFmtId="0" fontId="24" fillId="9" borderId="10" xfId="0" applyFont="1" applyFill="1" applyBorder="1" applyAlignment="1">
      <alignment horizontal="center" vertical="center" wrapText="1"/>
    </xf>
    <xf numFmtId="1" fontId="24" fillId="9" borderId="10" xfId="0" applyNumberFormat="1" applyFont="1" applyFill="1" applyBorder="1" applyAlignment="1">
      <alignment horizontal="center" vertical="center" wrapText="1"/>
    </xf>
    <xf numFmtId="1" fontId="24" fillId="0" borderId="16" xfId="0" applyNumberFormat="1" applyFont="1" applyFill="1" applyBorder="1" applyAlignment="1">
      <alignment horizontal="center" vertical="center" wrapText="1"/>
    </xf>
    <xf numFmtId="9" fontId="19" fillId="12" borderId="2" xfId="5" applyFont="1" applyFill="1" applyBorder="1" applyAlignment="1">
      <alignment horizontal="center" vertical="center"/>
    </xf>
    <xf numFmtId="0" fontId="14" fillId="3" borderId="44" xfId="0" applyFont="1" applyFill="1" applyBorder="1" applyAlignment="1">
      <alignment horizontal="center"/>
    </xf>
    <xf numFmtId="0" fontId="12" fillId="0" borderId="44" xfId="0" applyFont="1" applyBorder="1" applyAlignment="1">
      <alignment horizontal="center" vertical="center" wrapText="1"/>
    </xf>
    <xf numFmtId="1" fontId="12" fillId="0" borderId="44" xfId="0" applyNumberFormat="1" applyFont="1" applyBorder="1" applyAlignment="1">
      <alignment horizontal="center" vertical="center" wrapText="1"/>
    </xf>
    <xf numFmtId="0" fontId="12" fillId="0" borderId="45" xfId="0" applyFont="1" applyBorder="1" applyAlignment="1">
      <alignment vertical="center" wrapText="1"/>
    </xf>
    <xf numFmtId="0" fontId="12" fillId="12" borderId="45" xfId="0" applyFont="1" applyFill="1" applyBorder="1" applyAlignment="1">
      <alignment vertical="center" wrapText="1"/>
    </xf>
    <xf numFmtId="0" fontId="12" fillId="0" borderId="46" xfId="0" applyFont="1" applyBorder="1" applyAlignment="1">
      <alignment vertical="center" wrapText="1"/>
    </xf>
    <xf numFmtId="1" fontId="76" fillId="0" borderId="10" xfId="0" applyNumberFormat="1" applyFont="1" applyBorder="1" applyAlignment="1">
      <alignment horizontal="center" vertical="center" wrapText="1"/>
    </xf>
    <xf numFmtId="9" fontId="0" fillId="0" borderId="0" xfId="5" applyFont="1"/>
    <xf numFmtId="1" fontId="24" fillId="4" borderId="10" xfId="0" applyNumberFormat="1" applyFont="1" applyFill="1" applyBorder="1" applyAlignment="1">
      <alignment horizontal="center" vertical="center" wrapText="1"/>
    </xf>
    <xf numFmtId="0" fontId="0" fillId="0" borderId="0" xfId="0"/>
    <xf numFmtId="9" fontId="74" fillId="56" borderId="15" xfId="5" applyFont="1" applyFill="1" applyBorder="1" applyAlignment="1">
      <alignment horizontal="center" vertical="center" wrapText="1"/>
    </xf>
    <xf numFmtId="9" fontId="13" fillId="0" borderId="4" xfId="5" applyFont="1" applyBorder="1" applyAlignment="1">
      <alignment horizontal="center" vertical="center" wrapText="1"/>
    </xf>
    <xf numFmtId="9" fontId="13" fillId="0" borderId="4" xfId="5" applyFont="1" applyFill="1" applyBorder="1" applyAlignment="1">
      <alignment horizontal="center" vertical="center" wrapText="1"/>
    </xf>
    <xf numFmtId="166" fontId="13" fillId="0" borderId="4" xfId="5" applyNumberFormat="1" applyFont="1" applyBorder="1" applyAlignment="1">
      <alignment horizontal="center" vertical="center" wrapText="1"/>
    </xf>
    <xf numFmtId="166" fontId="13" fillId="0" borderId="4" xfId="0" applyNumberFormat="1" applyFont="1" applyBorder="1" applyAlignment="1">
      <alignment horizontal="center" vertical="center" wrapText="1"/>
    </xf>
    <xf numFmtId="166" fontId="13" fillId="0" borderId="4" xfId="0" applyNumberFormat="1" applyFont="1" applyFill="1" applyBorder="1" applyAlignment="1">
      <alignment horizontal="center" vertical="center" wrapText="1"/>
    </xf>
    <xf numFmtId="0" fontId="0" fillId="0" borderId="0" xfId="0" applyAlignment="1">
      <alignment horizontal="center" vertical="center"/>
    </xf>
    <xf numFmtId="1" fontId="12" fillId="58" borderId="10" xfId="0" applyNumberFormat="1" applyFont="1" applyFill="1" applyBorder="1" applyAlignment="1">
      <alignment horizontal="center" vertical="center" wrapText="1"/>
    </xf>
    <xf numFmtId="0" fontId="12" fillId="53" borderId="0" xfId="0" applyFont="1" applyFill="1" applyAlignment="1">
      <alignment vertical="center" wrapText="1"/>
    </xf>
    <xf numFmtId="0" fontId="0" fillId="0" borderId="0" xfId="0"/>
    <xf numFmtId="1" fontId="30" fillId="0" borderId="47" xfId="0" applyNumberFormat="1" applyFont="1" applyBorder="1" applyAlignment="1">
      <alignment horizontal="center" vertical="center" wrapText="1"/>
    </xf>
    <xf numFmtId="1" fontId="12" fillId="53" borderId="11" xfId="0" applyNumberFormat="1" applyFont="1" applyFill="1" applyBorder="1" applyAlignment="1">
      <alignment horizontal="center" vertical="center" wrapText="1"/>
    </xf>
    <xf numFmtId="17" fontId="72" fillId="2" borderId="48" xfId="0" applyNumberFormat="1" applyFont="1" applyFill="1" applyBorder="1" applyAlignment="1">
      <alignment horizontal="center" vertical="center" wrapText="1"/>
    </xf>
    <xf numFmtId="1" fontId="13" fillId="0" borderId="49" xfId="0" applyNumberFormat="1" applyFont="1" applyBorder="1" applyAlignment="1">
      <alignment horizontal="center" vertical="center" wrapText="1"/>
    </xf>
    <xf numFmtId="1" fontId="21" fillId="12" borderId="11" xfId="0" applyNumberFormat="1" applyFont="1" applyFill="1" applyBorder="1" applyAlignment="1">
      <alignment horizontal="center" vertical="center" wrapText="1"/>
    </xf>
    <xf numFmtId="1" fontId="12" fillId="57" borderId="50" xfId="0" applyNumberFormat="1" applyFont="1" applyFill="1" applyBorder="1" applyAlignment="1">
      <alignment horizontal="center" vertical="center" wrapText="1"/>
    </xf>
    <xf numFmtId="3" fontId="0" fillId="0" borderId="0" xfId="0" applyNumberFormat="1"/>
    <xf numFmtId="0" fontId="0" fillId="0" borderId="0" xfId="0"/>
    <xf numFmtId="0" fontId="0" fillId="0" borderId="0" xfId="0"/>
    <xf numFmtId="0" fontId="0" fillId="0" borderId="0" xfId="0"/>
    <xf numFmtId="1" fontId="12" fillId="57" borderId="51" xfId="0" applyNumberFormat="1" applyFont="1" applyFill="1" applyBorder="1" applyAlignment="1">
      <alignment horizontal="center" vertical="center" wrapText="1"/>
    </xf>
    <xf numFmtId="1" fontId="13" fillId="0" borderId="19" xfId="0" applyNumberFormat="1" applyFont="1" applyFill="1" applyBorder="1" applyAlignment="1">
      <alignment horizontal="center" vertical="center" wrapText="1"/>
    </xf>
    <xf numFmtId="0" fontId="24" fillId="0" borderId="44" xfId="0" applyFont="1" applyBorder="1" applyAlignment="1">
      <alignment horizontal="center" vertical="center" wrapText="1"/>
    </xf>
    <xf numFmtId="0" fontId="13" fillId="0" borderId="44" xfId="0" applyFont="1" applyBorder="1" applyAlignment="1">
      <alignment vertical="center" wrapText="1"/>
    </xf>
    <xf numFmtId="0" fontId="12" fillId="53" borderId="44" xfId="0" applyFont="1" applyFill="1" applyBorder="1" applyAlignment="1">
      <alignment vertical="center" wrapText="1"/>
    </xf>
    <xf numFmtId="0" fontId="12" fillId="5" borderId="44" xfId="0" applyFont="1" applyFill="1" applyBorder="1" applyAlignment="1">
      <alignment vertical="center" wrapText="1"/>
    </xf>
    <xf numFmtId="0" fontId="12" fillId="0" borderId="44" xfId="0" applyFont="1" applyBorder="1" applyAlignment="1">
      <alignment vertical="center" wrapText="1"/>
    </xf>
    <xf numFmtId="0" fontId="12" fillId="58" borderId="44" xfId="0" applyFont="1" applyFill="1" applyBorder="1" applyAlignment="1">
      <alignment vertical="center" wrapText="1"/>
    </xf>
    <xf numFmtId="0" fontId="12" fillId="60" borderId="44" xfId="0" applyFont="1" applyFill="1" applyBorder="1" applyAlignment="1">
      <alignment vertical="center" wrapText="1"/>
    </xf>
    <xf numFmtId="0" fontId="13" fillId="60" borderId="44" xfId="0" applyFont="1" applyFill="1" applyBorder="1" applyAlignment="1">
      <alignment vertical="center" wrapText="1"/>
    </xf>
    <xf numFmtId="0" fontId="12" fillId="0" borderId="1" xfId="0" applyFont="1" applyBorder="1" applyAlignment="1">
      <alignment vertical="center" wrapText="1"/>
    </xf>
    <xf numFmtId="0" fontId="0" fillId="0" borderId="0" xfId="0"/>
    <xf numFmtId="0" fontId="12" fillId="0" borderId="45" xfId="0" applyFont="1" applyFill="1" applyBorder="1" applyAlignment="1">
      <alignment vertical="center" wrapText="1"/>
    </xf>
    <xf numFmtId="0" fontId="12" fillId="57" borderId="0" xfId="0" applyFont="1" applyFill="1" applyAlignment="1">
      <alignment vertical="center" wrapText="1"/>
    </xf>
    <xf numFmtId="0" fontId="13" fillId="57" borderId="0" xfId="0" applyFont="1" applyFill="1" applyAlignment="1">
      <alignment vertical="center" wrapText="1"/>
    </xf>
    <xf numFmtId="0" fontId="12" fillId="0" borderId="44" xfId="0" applyFont="1" applyFill="1" applyBorder="1" applyAlignment="1">
      <alignment horizontal="center" vertical="center" wrapText="1"/>
    </xf>
    <xf numFmtId="0" fontId="13" fillId="6" borderId="10" xfId="0" applyFont="1" applyFill="1" applyBorder="1" applyAlignment="1">
      <alignment vertical="center" wrapText="1"/>
    </xf>
    <xf numFmtId="0" fontId="77" fillId="0" borderId="10" xfId="0" applyFont="1" applyBorder="1" applyAlignment="1">
      <alignment vertical="center" wrapText="1"/>
    </xf>
    <xf numFmtId="0" fontId="13" fillId="59" borderId="10" xfId="0" applyFont="1" applyFill="1" applyBorder="1" applyAlignment="1">
      <alignment vertical="center" wrapText="1"/>
    </xf>
    <xf numFmtId="0" fontId="12" fillId="0" borderId="10" xfId="0" applyFont="1" applyFill="1" applyBorder="1" applyAlignment="1">
      <alignment vertical="center" wrapText="1"/>
    </xf>
    <xf numFmtId="0" fontId="12" fillId="6" borderId="10" xfId="0" applyFont="1" applyFill="1" applyBorder="1" applyAlignment="1">
      <alignment vertical="center" wrapText="1"/>
    </xf>
    <xf numFmtId="0" fontId="12" fillId="53" borderId="10" xfId="0" applyFont="1" applyFill="1" applyBorder="1" applyAlignment="1">
      <alignment vertical="center" wrapText="1"/>
    </xf>
    <xf numFmtId="0" fontId="0" fillId="0" borderId="0" xfId="0"/>
    <xf numFmtId="0" fontId="0" fillId="0" borderId="0" xfId="0"/>
    <xf numFmtId="0" fontId="0" fillId="0" borderId="0" xfId="0"/>
    <xf numFmtId="0" fontId="12" fillId="12" borderId="46" xfId="0" applyFont="1" applyFill="1" applyBorder="1" applyAlignment="1">
      <alignment vertical="center" wrapText="1"/>
    </xf>
    <xf numFmtId="49" fontId="10" fillId="2" borderId="56" xfId="0" applyNumberFormat="1" applyFont="1" applyFill="1" applyBorder="1" applyAlignment="1">
      <alignment horizontal="center" vertical="center" wrapText="1"/>
    </xf>
    <xf numFmtId="1" fontId="0" fillId="0" borderId="0" xfId="0" applyNumberFormat="1" applyAlignment="1">
      <alignment horizontal="center" vertical="center"/>
    </xf>
    <xf numFmtId="9" fontId="0" fillId="0" borderId="0" xfId="5" applyNumberFormat="1" applyFont="1"/>
    <xf numFmtId="0" fontId="0" fillId="0" borderId="0" xfId="0"/>
    <xf numFmtId="0" fontId="0" fillId="0" borderId="0" xfId="0"/>
    <xf numFmtId="1" fontId="30" fillId="0" borderId="57" xfId="0" applyNumberFormat="1" applyFont="1" applyBorder="1" applyAlignment="1">
      <alignment horizontal="center" vertical="center" wrapText="1"/>
    </xf>
    <xf numFmtId="0" fontId="0" fillId="0" borderId="0" xfId="0"/>
    <xf numFmtId="0" fontId="13" fillId="0" borderId="0" xfId="0" applyFont="1" applyAlignment="1">
      <alignment vertical="center" wrapText="1"/>
    </xf>
    <xf numFmtId="1" fontId="12" fillId="58" borderId="11" xfId="0" applyNumberFormat="1" applyFont="1" applyFill="1" applyBorder="1" applyAlignment="1">
      <alignment horizontal="center" vertical="center" wrapText="1"/>
    </xf>
    <xf numFmtId="0" fontId="0" fillId="0" borderId="0" xfId="0"/>
    <xf numFmtId="0" fontId="0" fillId="0" borderId="0" xfId="0"/>
    <xf numFmtId="0" fontId="12" fillId="0" borderId="59" xfId="0" applyFont="1" applyFill="1" applyBorder="1" applyAlignment="1">
      <alignment vertical="center"/>
    </xf>
    <xf numFmtId="0" fontId="12" fillId="0" borderId="1" xfId="0" applyFont="1" applyFill="1" applyBorder="1" applyAlignment="1">
      <alignment vertical="center" wrapText="1"/>
    </xf>
    <xf numFmtId="0" fontId="12" fillId="61" borderId="11" xfId="0" applyFont="1" applyFill="1" applyBorder="1" applyAlignment="1">
      <alignment vertical="center" wrapText="1"/>
    </xf>
    <xf numFmtId="0" fontId="12" fillId="61" borderId="60" xfId="0" applyFont="1" applyFill="1" applyBorder="1" applyAlignment="1">
      <alignment vertical="center" wrapText="1"/>
    </xf>
    <xf numFmtId="49" fontId="10" fillId="0" borderId="1" xfId="0" applyNumberFormat="1" applyFont="1" applyFill="1" applyBorder="1" applyAlignment="1">
      <alignment horizontal="center" vertical="center" wrapText="1"/>
    </xf>
    <xf numFmtId="0" fontId="30" fillId="57" borderId="1" xfId="0" applyFont="1" applyFill="1" applyBorder="1" applyAlignment="1">
      <alignment horizontal="left" vertical="center"/>
    </xf>
    <xf numFmtId="0" fontId="10" fillId="57" borderId="1" xfId="0" applyFont="1" applyFill="1" applyBorder="1" applyAlignment="1">
      <alignment horizontal="center" vertical="center" wrapText="1"/>
    </xf>
    <xf numFmtId="17" fontId="11" fillId="57" borderId="1" xfId="0" applyNumberFormat="1" applyFont="1" applyFill="1" applyBorder="1" applyAlignment="1">
      <alignment horizontal="center" vertical="center" wrapText="1"/>
    </xf>
    <xf numFmtId="17" fontId="10" fillId="57" borderId="1" xfId="0" applyNumberFormat="1" applyFont="1" applyFill="1" applyBorder="1" applyAlignment="1">
      <alignment horizontal="center" vertical="center" wrapText="1"/>
    </xf>
    <xf numFmtId="49" fontId="10" fillId="57" borderId="61" xfId="0" applyNumberFormat="1" applyFont="1" applyFill="1" applyBorder="1" applyAlignment="1">
      <alignment horizontal="center" vertical="center" wrapText="1"/>
    </xf>
    <xf numFmtId="49" fontId="10" fillId="57" borderId="1" xfId="0" applyNumberFormat="1" applyFont="1" applyFill="1" applyBorder="1" applyAlignment="1">
      <alignment horizontal="center" vertical="center" wrapText="1"/>
    </xf>
    <xf numFmtId="0" fontId="0" fillId="57" borderId="0" xfId="0" applyFill="1"/>
    <xf numFmtId="49" fontId="10" fillId="62" borderId="1" xfId="0" applyNumberFormat="1" applyFont="1" applyFill="1" applyBorder="1" applyAlignment="1">
      <alignment horizontal="center" vertical="center" wrapText="1"/>
    </xf>
    <xf numFmtId="0" fontId="73" fillId="0" borderId="1" xfId="0" applyFont="1" applyFill="1" applyBorder="1" applyAlignment="1">
      <alignment horizontal="center" vertical="center"/>
    </xf>
    <xf numFmtId="1" fontId="73" fillId="0" borderId="1" xfId="0" applyNumberFormat="1" applyFont="1" applyFill="1" applyBorder="1" applyAlignment="1">
      <alignment horizontal="center" vertical="center"/>
    </xf>
    <xf numFmtId="0" fontId="0" fillId="0" borderId="1" xfId="0" applyFill="1" applyBorder="1" applyAlignment="1">
      <alignment horizontal="center" vertical="center"/>
    </xf>
    <xf numFmtId="0" fontId="9" fillId="0" borderId="0" xfId="0" applyFont="1" applyFill="1"/>
    <xf numFmtId="0" fontId="12" fillId="0" borderId="1" xfId="0" applyFont="1" applyFill="1" applyBorder="1" applyAlignment="1">
      <alignment horizontal="center" vertical="center" wrapText="1"/>
    </xf>
    <xf numFmtId="1" fontId="12" fillId="0" borderId="1" xfId="0" applyNumberFormat="1" applyFont="1" applyFill="1" applyBorder="1" applyAlignment="1">
      <alignment horizontal="center" vertical="center" wrapText="1"/>
    </xf>
    <xf numFmtId="0" fontId="0" fillId="0" borderId="3" xfId="0" applyFill="1" applyBorder="1"/>
    <xf numFmtId="0" fontId="0" fillId="0" borderId="1" xfId="0" applyFill="1" applyBorder="1"/>
    <xf numFmtId="0" fontId="12" fillId="0" borderId="62" xfId="0" applyFont="1" applyBorder="1" applyAlignment="1">
      <alignment horizontal="center" vertical="center" wrapText="1"/>
    </xf>
    <xf numFmtId="0" fontId="12" fillId="0" borderId="16" xfId="0" applyFont="1" applyBorder="1" applyAlignment="1">
      <alignment horizontal="center" vertical="center" wrapText="1"/>
    </xf>
    <xf numFmtId="1" fontId="13" fillId="0" borderId="16" xfId="0" applyNumberFormat="1" applyFont="1" applyBorder="1" applyAlignment="1">
      <alignment horizontal="center" vertical="center" wrapText="1"/>
    </xf>
    <xf numFmtId="1" fontId="13" fillId="0" borderId="16" xfId="0" applyNumberFormat="1" applyFont="1" applyFill="1" applyBorder="1" applyAlignment="1">
      <alignment horizontal="center" vertical="center" wrapText="1"/>
    </xf>
    <xf numFmtId="1" fontId="13" fillId="12" borderId="16" xfId="0" applyNumberFormat="1" applyFont="1" applyFill="1" applyBorder="1" applyAlignment="1">
      <alignment horizontal="center" vertical="center" wrapText="1"/>
    </xf>
    <xf numFmtId="17" fontId="11" fillId="0" borderId="10" xfId="0" applyNumberFormat="1" applyFont="1" applyFill="1" applyBorder="1" applyAlignment="1">
      <alignment horizontal="center" vertical="center" wrapText="1"/>
    </xf>
    <xf numFmtId="17" fontId="10" fillId="0" borderId="10" xfId="0" applyNumberFormat="1" applyFont="1" applyFill="1" applyBorder="1" applyAlignment="1">
      <alignment horizontal="center" vertical="center" wrapText="1"/>
    </xf>
    <xf numFmtId="0" fontId="0" fillId="0" borderId="0" xfId="0"/>
    <xf numFmtId="1" fontId="30" fillId="0" borderId="63" xfId="0" applyNumberFormat="1" applyFont="1" applyBorder="1" applyAlignment="1">
      <alignment horizontal="center" vertical="center" wrapText="1"/>
    </xf>
    <xf numFmtId="0" fontId="0" fillId="0" borderId="0" xfId="0"/>
    <xf numFmtId="1" fontId="30" fillId="0" borderId="65" xfId="0" applyNumberFormat="1" applyFont="1" applyBorder="1" applyAlignment="1">
      <alignment horizontal="center" vertical="center" wrapText="1"/>
    </xf>
    <xf numFmtId="0" fontId="73" fillId="0" borderId="58" xfId="0" applyFont="1" applyBorder="1" applyAlignment="1">
      <alignment horizontal="center" vertical="center"/>
    </xf>
    <xf numFmtId="0" fontId="73" fillId="0" borderId="58" xfId="0" applyFont="1" applyFill="1" applyBorder="1" applyAlignment="1">
      <alignment horizontal="center" vertical="center"/>
    </xf>
    <xf numFmtId="0" fontId="73" fillId="0" borderId="68" xfId="0" applyFont="1" applyBorder="1" applyAlignment="1">
      <alignment horizontal="center" vertical="center"/>
    </xf>
    <xf numFmtId="1" fontId="30" fillId="55" borderId="67" xfId="0" applyNumberFormat="1" applyFont="1" applyFill="1" applyBorder="1" applyAlignment="1">
      <alignment horizontal="center" vertical="center" wrapText="1"/>
    </xf>
    <xf numFmtId="1" fontId="30" fillId="55" borderId="66" xfId="0" applyNumberFormat="1" applyFont="1" applyFill="1" applyBorder="1" applyAlignment="1">
      <alignment horizontal="center" vertical="center" wrapText="1"/>
    </xf>
    <xf numFmtId="1" fontId="30" fillId="55" borderId="64" xfId="0" applyNumberFormat="1" applyFont="1" applyFill="1" applyBorder="1" applyAlignment="1">
      <alignment horizontal="center" vertical="center" wrapText="1"/>
    </xf>
    <xf numFmtId="0" fontId="12" fillId="0" borderId="63" xfId="0" applyFont="1" applyBorder="1" applyAlignment="1">
      <alignment horizontal="center" vertical="center" wrapText="1"/>
    </xf>
    <xf numFmtId="0" fontId="0" fillId="0" borderId="63" xfId="0" applyBorder="1"/>
    <xf numFmtId="0" fontId="0" fillId="0" borderId="0" xfId="0"/>
    <xf numFmtId="0" fontId="0" fillId="0" borderId="0" xfId="0"/>
    <xf numFmtId="1" fontId="24" fillId="12" borderId="11" xfId="0" applyNumberFormat="1" applyFont="1" applyFill="1" applyBorder="1" applyAlignment="1">
      <alignment horizontal="center" vertical="center" wrapText="1"/>
    </xf>
    <xf numFmtId="0" fontId="0" fillId="0" borderId="0" xfId="0"/>
    <xf numFmtId="0" fontId="0" fillId="0" borderId="0" xfId="0"/>
    <xf numFmtId="1" fontId="12" fillId="0" borderId="69" xfId="0" applyNumberFormat="1" applyFont="1" applyFill="1" applyBorder="1" applyAlignment="1">
      <alignment horizontal="center" vertical="center" wrapText="1"/>
    </xf>
    <xf numFmtId="0" fontId="0" fillId="0" borderId="0" xfId="0"/>
    <xf numFmtId="0" fontId="0" fillId="0" borderId="0" xfId="0"/>
    <xf numFmtId="0" fontId="0" fillId="0" borderId="0" xfId="0"/>
    <xf numFmtId="0" fontId="7" fillId="0" borderId="0" xfId="0" applyFont="1" applyAlignment="1">
      <alignment horizontal="center" vertical="center"/>
    </xf>
    <xf numFmtId="0" fontId="0" fillId="0" borderId="0" xfId="0"/>
    <xf numFmtId="0" fontId="13" fillId="55" borderId="1" xfId="0" applyFont="1" applyFill="1" applyBorder="1" applyAlignment="1">
      <alignment horizontal="center" vertical="center" wrapText="1"/>
    </xf>
    <xf numFmtId="0" fontId="13" fillId="55" borderId="59" xfId="0" applyFont="1" applyFill="1" applyBorder="1" applyAlignment="1">
      <alignment horizontal="center" vertical="center" wrapText="1"/>
    </xf>
    <xf numFmtId="0" fontId="13" fillId="0" borderId="52" xfId="0" applyFont="1" applyBorder="1" applyAlignment="1">
      <alignment horizontal="center" vertical="center" wrapText="1"/>
    </xf>
    <xf numFmtId="0" fontId="13" fillId="0" borderId="10" xfId="0" applyFont="1" applyBorder="1" applyAlignment="1">
      <alignment horizontal="center" vertical="center" wrapText="1"/>
    </xf>
    <xf numFmtId="0" fontId="13" fillId="53" borderId="53" xfId="0" applyFont="1" applyFill="1" applyBorder="1" applyAlignment="1">
      <alignment horizontal="center" vertical="center" wrapText="1"/>
    </xf>
    <xf numFmtId="0" fontId="13" fillId="53" borderId="54" xfId="0" applyFont="1" applyFill="1" applyBorder="1" applyAlignment="1">
      <alignment horizontal="center" vertical="center" wrapText="1"/>
    </xf>
    <xf numFmtId="0" fontId="13" fillId="53" borderId="55" xfId="0" applyFont="1" applyFill="1" applyBorder="1" applyAlignment="1">
      <alignment horizontal="center" vertical="center" wrapText="1"/>
    </xf>
    <xf numFmtId="0" fontId="30" fillId="0" borderId="16" xfId="0" applyFont="1" applyBorder="1" applyAlignment="1">
      <alignment horizontal="center" vertical="center" wrapText="1"/>
    </xf>
    <xf numFmtId="0" fontId="30" fillId="0" borderId="10" xfId="0" applyFont="1" applyBorder="1" applyAlignment="1">
      <alignment horizontal="center" vertical="center" wrapText="1"/>
    </xf>
    <xf numFmtId="0" fontId="30" fillId="0" borderId="52" xfId="0" applyFont="1" applyBorder="1" applyAlignment="1">
      <alignment horizontal="center" vertical="center" wrapText="1"/>
    </xf>
    <xf numFmtId="0" fontId="13" fillId="9" borderId="53" xfId="0" applyFont="1" applyFill="1" applyBorder="1" applyAlignment="1">
      <alignment horizontal="center" vertical="center" wrapText="1"/>
    </xf>
    <xf numFmtId="0" fontId="13" fillId="9" borderId="54" xfId="0" applyFont="1" applyFill="1" applyBorder="1" applyAlignment="1">
      <alignment horizontal="center" vertical="center" wrapText="1"/>
    </xf>
    <xf numFmtId="0" fontId="13" fillId="9" borderId="55" xfId="0" applyFont="1" applyFill="1" applyBorder="1" applyAlignment="1">
      <alignment horizontal="center" vertical="center" wrapText="1"/>
    </xf>
    <xf numFmtId="0" fontId="13" fillId="60" borderId="53" xfId="0" applyFont="1" applyFill="1" applyBorder="1" applyAlignment="1">
      <alignment horizontal="center" vertical="center" wrapText="1"/>
    </xf>
    <xf numFmtId="0" fontId="13" fillId="60" borderId="54" xfId="0" applyFont="1" applyFill="1" applyBorder="1" applyAlignment="1">
      <alignment horizontal="center" vertical="center" wrapText="1"/>
    </xf>
    <xf numFmtId="0" fontId="13" fillId="60" borderId="55" xfId="0" applyFont="1" applyFill="1" applyBorder="1" applyAlignment="1">
      <alignment horizontal="center" vertical="center" wrapText="1"/>
    </xf>
    <xf numFmtId="0" fontId="13" fillId="0" borderId="16" xfId="0" applyFont="1" applyBorder="1" applyAlignment="1">
      <alignment horizontal="center" vertical="center" wrapText="1"/>
    </xf>
    <xf numFmtId="0" fontId="13" fillId="59" borderId="10" xfId="0" applyFont="1" applyFill="1" applyBorder="1" applyAlignment="1">
      <alignment horizontal="center" vertical="center" wrapText="1"/>
    </xf>
    <xf numFmtId="0" fontId="13" fillId="6" borderId="10" xfId="0" applyFont="1" applyFill="1" applyBorder="1" applyAlignment="1">
      <alignment horizontal="center" vertical="center" wrapText="1"/>
    </xf>
    <xf numFmtId="0" fontId="21" fillId="0" borderId="10" xfId="0" applyFont="1" applyFill="1" applyBorder="1" applyAlignment="1">
      <alignment horizontal="left" vertical="center" wrapText="1"/>
    </xf>
    <xf numFmtId="0" fontId="12" fillId="12" borderId="11" xfId="0" applyFont="1" applyFill="1" applyBorder="1" applyAlignment="1">
      <alignment horizontal="left" vertical="center" wrapText="1"/>
    </xf>
    <xf numFmtId="0" fontId="12" fillId="12" borderId="44" xfId="0" applyFont="1" applyFill="1" applyBorder="1" applyAlignment="1">
      <alignment horizontal="left" vertical="center" wrapText="1"/>
    </xf>
    <xf numFmtId="0" fontId="67" fillId="0" borderId="2" xfId="48898" applyFont="1" applyBorder="1" applyAlignment="1">
      <alignment horizontal="center" vertical="center" wrapText="1"/>
    </xf>
    <xf numFmtId="0" fontId="2" fillId="0" borderId="1" xfId="48898" applyFont="1" applyAlignment="1">
      <alignment horizontal="center" vertical="center"/>
    </xf>
    <xf numFmtId="0" fontId="2" fillId="0" borderId="37" xfId="48898" applyFont="1" applyBorder="1" applyAlignment="1">
      <alignment horizontal="center" wrapText="1"/>
    </xf>
    <xf numFmtId="0" fontId="2" fillId="0" borderId="12" xfId="48898" applyFont="1" applyBorder="1" applyAlignment="1">
      <alignment horizontal="center" wrapText="1"/>
    </xf>
    <xf numFmtId="0" fontId="2" fillId="0" borderId="14" xfId="48898" applyFont="1" applyBorder="1" applyAlignment="1">
      <alignment horizontal="center"/>
    </xf>
    <xf numFmtId="0" fontId="69" fillId="0" borderId="14" xfId="48898" applyBorder="1" applyAlignment="1">
      <alignment horizontal="center"/>
    </xf>
    <xf numFmtId="0" fontId="19" fillId="0" borderId="38" xfId="48898" applyFont="1" applyBorder="1" applyAlignment="1">
      <alignment horizontal="center" vertical="center"/>
    </xf>
    <xf numFmtId="0" fontId="19" fillId="0" borderId="39" xfId="48898" applyFont="1" applyBorder="1" applyAlignment="1">
      <alignment horizontal="center" vertical="center"/>
    </xf>
    <xf numFmtId="0" fontId="19" fillId="0" borderId="40" xfId="48898" applyFont="1" applyBorder="1" applyAlignment="1">
      <alignment horizontal="center" vertical="center"/>
    </xf>
    <xf numFmtId="0" fontId="19" fillId="0" borderId="13" xfId="48898" applyFont="1" applyBorder="1" applyAlignment="1">
      <alignment horizontal="center" vertical="center"/>
    </xf>
    <xf numFmtId="0" fontId="1" fillId="0" borderId="1" xfId="48898" applyFont="1" applyAlignment="1">
      <alignment horizontal="center" vertical="center"/>
    </xf>
    <xf numFmtId="0" fontId="1" fillId="0" borderId="37" xfId="48898" applyFont="1" applyBorder="1" applyAlignment="1">
      <alignment horizontal="center" wrapText="1"/>
    </xf>
    <xf numFmtId="0" fontId="1" fillId="0" borderId="12" xfId="48898" applyFont="1" applyBorder="1" applyAlignment="1">
      <alignment horizontal="center" wrapText="1"/>
    </xf>
    <xf numFmtId="0" fontId="1" fillId="0" borderId="14" xfId="48898" applyFont="1" applyBorder="1" applyAlignment="1">
      <alignment horizontal="center"/>
    </xf>
    <xf numFmtId="0" fontId="19" fillId="0" borderId="5" xfId="0" applyFont="1" applyBorder="1" applyAlignment="1">
      <alignment horizontal="center" vertical="center"/>
    </xf>
    <xf numFmtId="0" fontId="19" fillId="0" borderId="6" xfId="0" applyFont="1" applyBorder="1" applyAlignment="1">
      <alignment horizontal="center" vertical="center"/>
    </xf>
    <xf numFmtId="0" fontId="12" fillId="0" borderId="7" xfId="0" applyFont="1" applyBorder="1" applyAlignment="1">
      <alignment horizontal="center" vertical="center" wrapText="1"/>
    </xf>
    <xf numFmtId="0" fontId="12" fillId="0" borderId="4" xfId="0" applyFont="1" applyBorder="1" applyAlignment="1">
      <alignment horizontal="center" vertical="center" wrapText="1"/>
    </xf>
    <xf numFmtId="49" fontId="72" fillId="2" borderId="21" xfId="0" applyNumberFormat="1" applyFont="1" applyFill="1" applyBorder="1" applyAlignment="1">
      <alignment horizontal="center" vertical="center" wrapText="1"/>
    </xf>
    <xf numFmtId="49" fontId="30" fillId="0" borderId="1" xfId="0" applyNumberFormat="1" applyFont="1" applyFill="1" applyBorder="1" applyAlignment="1">
      <alignment horizontal="center" vertical="center" wrapText="1"/>
    </xf>
  </cellXfs>
  <cellStyles count="48900">
    <cellStyle name="20% - Énfasis1 2" xfId="73" xr:uid="{00000000-0005-0000-0000-000000000000}"/>
    <cellStyle name="20% - Énfasis1 2 2" xfId="868" xr:uid="{00000000-0005-0000-0000-000001000000}"/>
    <cellStyle name="20% - Énfasis1 3" xfId="411" xr:uid="{00000000-0005-0000-0000-000002000000}"/>
    <cellStyle name="20% - Énfasis1 3 10" xfId="433" xr:uid="{00000000-0005-0000-0000-000003000000}"/>
    <cellStyle name="20% - Énfasis1 3 10 2" xfId="639" xr:uid="{00000000-0005-0000-0000-000004000000}"/>
    <cellStyle name="20% - Énfasis1 3 11" xfId="504" xr:uid="{00000000-0005-0000-0000-000005000000}"/>
    <cellStyle name="20% - Énfasis1 3 11 2" xfId="869" xr:uid="{00000000-0005-0000-0000-000006000000}"/>
    <cellStyle name="20% - Énfasis1 3 12" xfId="629" xr:uid="{00000000-0005-0000-0000-000007000000}"/>
    <cellStyle name="20% - Énfasis1 3 12 2" xfId="879" xr:uid="{00000000-0005-0000-0000-000008000000}"/>
    <cellStyle name="20% - Énfasis1 3 13" xfId="718" xr:uid="{00000000-0005-0000-0000-000009000000}"/>
    <cellStyle name="20% - Énfasis1 3 14" xfId="804" xr:uid="{00000000-0005-0000-0000-00000A000000}"/>
    <cellStyle name="20% - Énfasis1 3 2" xfId="131" xr:uid="{00000000-0005-0000-0000-00000B000000}"/>
    <cellStyle name="20% - Énfasis1 3 2 10" xfId="609" xr:uid="{00000000-0005-0000-0000-00000C000000}"/>
    <cellStyle name="20% - Énfasis1 3 2 2" xfId="215" xr:uid="{00000000-0005-0000-0000-00000D000000}"/>
    <cellStyle name="20% - Énfasis1 3 2 2 2" xfId="182" xr:uid="{00000000-0005-0000-0000-00000E000000}"/>
    <cellStyle name="20% - Énfasis1 3 2 2 2 2" xfId="564" xr:uid="{00000000-0005-0000-0000-00000F000000}"/>
    <cellStyle name="20% - Énfasis1 3 2 2 2 2 2" xfId="901" xr:uid="{00000000-0005-0000-0000-000010000000}"/>
    <cellStyle name="20% - Énfasis1 3 2 2 2 2 2 2" xfId="913" xr:uid="{00000000-0005-0000-0000-000011000000}"/>
    <cellStyle name="20% - Énfasis1 3 2 2 2 2 2 2 2" xfId="915" xr:uid="{00000000-0005-0000-0000-000012000000}"/>
    <cellStyle name="20% - Énfasis1 3 2 2 2 2 2 3" xfId="278" xr:uid="{00000000-0005-0000-0000-000013000000}"/>
    <cellStyle name="20% - Énfasis1 3 2 2 2 2 3" xfId="936" xr:uid="{00000000-0005-0000-0000-000014000000}"/>
    <cellStyle name="20% - Énfasis1 3 2 2 2 2 3 2" xfId="951" xr:uid="{00000000-0005-0000-0000-000015000000}"/>
    <cellStyle name="20% - Énfasis1 3 2 2 2 2 4" xfId="964" xr:uid="{00000000-0005-0000-0000-000016000000}"/>
    <cellStyle name="20% - Énfasis1 3 2 2 2 3" xfId="671" xr:uid="{00000000-0005-0000-0000-000017000000}"/>
    <cellStyle name="20% - Énfasis1 3 2 2 2 3 2" xfId="985" xr:uid="{00000000-0005-0000-0000-000018000000}"/>
    <cellStyle name="20% - Énfasis1 3 2 2 2 3 2 2" xfId="1001" xr:uid="{00000000-0005-0000-0000-000019000000}"/>
    <cellStyle name="20% - Énfasis1 3 2 2 2 3 3" xfId="1017" xr:uid="{00000000-0005-0000-0000-00001A000000}"/>
    <cellStyle name="20% - Énfasis1 3 2 2 2 4" xfId="758" xr:uid="{00000000-0005-0000-0000-00001B000000}"/>
    <cellStyle name="20% - Énfasis1 3 2 2 2 4 2" xfId="1022" xr:uid="{00000000-0005-0000-0000-00001C000000}"/>
    <cellStyle name="20% - Énfasis1 3 2 2 2 4 2 2" xfId="1055" xr:uid="{00000000-0005-0000-0000-00001D000000}"/>
    <cellStyle name="20% - Énfasis1 3 2 2 2 4 3" xfId="1075" xr:uid="{00000000-0005-0000-0000-00001E000000}"/>
    <cellStyle name="20% - Énfasis1 3 2 2 2 5" xfId="395" xr:uid="{00000000-0005-0000-0000-00001F000000}"/>
    <cellStyle name="20% - Énfasis1 3 2 2 2 5 2" xfId="1100" xr:uid="{00000000-0005-0000-0000-000020000000}"/>
    <cellStyle name="20% - Énfasis1 3 2 2 2 6" xfId="851" xr:uid="{00000000-0005-0000-0000-000021000000}"/>
    <cellStyle name="20% - Énfasis1 3 2 2 2 6 2" xfId="97" xr:uid="{00000000-0005-0000-0000-000022000000}"/>
    <cellStyle name="20% - Énfasis1 3 2 2 2 7" xfId="1114" xr:uid="{00000000-0005-0000-0000-000023000000}"/>
    <cellStyle name="20% - Énfasis1 3 2 2 3" xfId="1157" xr:uid="{00000000-0005-0000-0000-000024000000}"/>
    <cellStyle name="20% - Énfasis1 3 2 2 3 2" xfId="1175" xr:uid="{00000000-0005-0000-0000-000025000000}"/>
    <cellStyle name="20% - Énfasis1 3 2 2 3 2 2" xfId="1211" xr:uid="{00000000-0005-0000-0000-000026000000}"/>
    <cellStyle name="20% - Énfasis1 3 2 2 3 2 2 2" xfId="1224" xr:uid="{00000000-0005-0000-0000-000027000000}"/>
    <cellStyle name="20% - Énfasis1 3 2 2 3 2 3" xfId="1236" xr:uid="{00000000-0005-0000-0000-000028000000}"/>
    <cellStyle name="20% - Énfasis1 3 2 2 3 3" xfId="1261" xr:uid="{00000000-0005-0000-0000-000029000000}"/>
    <cellStyle name="20% - Énfasis1 3 2 2 3 3 2" xfId="1284" xr:uid="{00000000-0005-0000-0000-00002A000000}"/>
    <cellStyle name="20% - Énfasis1 3 2 2 3 4" xfId="608" xr:uid="{00000000-0005-0000-0000-00002B000000}"/>
    <cellStyle name="20% - Énfasis1 3 2 2 4" xfId="1308" xr:uid="{00000000-0005-0000-0000-00002C000000}"/>
    <cellStyle name="20% - Énfasis1 3 2 2 4 2" xfId="1330" xr:uid="{00000000-0005-0000-0000-00002D000000}"/>
    <cellStyle name="20% - Énfasis1 3 2 2 4 2 2" xfId="1352" xr:uid="{00000000-0005-0000-0000-00002E000000}"/>
    <cellStyle name="20% - Énfasis1 3 2 2 4 3" xfId="267" xr:uid="{00000000-0005-0000-0000-00002F000000}"/>
    <cellStyle name="20% - Énfasis1 3 2 2 5" xfId="1372" xr:uid="{00000000-0005-0000-0000-000030000000}"/>
    <cellStyle name="20% - Énfasis1 3 2 2 5 2" xfId="1379" xr:uid="{00000000-0005-0000-0000-000031000000}"/>
    <cellStyle name="20% - Énfasis1 3 2 2 5 2 2" xfId="1407" xr:uid="{00000000-0005-0000-0000-000032000000}"/>
    <cellStyle name="20% - Énfasis1 3 2 2 5 3" xfId="1450" xr:uid="{00000000-0005-0000-0000-000033000000}"/>
    <cellStyle name="20% - Énfasis1 3 2 2 6" xfId="1466" xr:uid="{00000000-0005-0000-0000-000034000000}"/>
    <cellStyle name="20% - Énfasis1 3 2 2 6 2" xfId="24" xr:uid="{00000000-0005-0000-0000-000035000000}"/>
    <cellStyle name="20% - Énfasis1 3 2 2 7" xfId="1467" xr:uid="{00000000-0005-0000-0000-000036000000}"/>
    <cellStyle name="20% - Énfasis1 3 2 2 7 2" xfId="1473" xr:uid="{00000000-0005-0000-0000-000037000000}"/>
    <cellStyle name="20% - Énfasis1 3 2 2 8" xfId="1487" xr:uid="{00000000-0005-0000-0000-000038000000}"/>
    <cellStyle name="20% - Énfasis1 3 2 2 9" xfId="1492" xr:uid="{00000000-0005-0000-0000-000039000000}"/>
    <cellStyle name="20% - Énfasis1 3 2 3" xfId="1517" xr:uid="{00000000-0005-0000-0000-00003A000000}"/>
    <cellStyle name="20% - Énfasis1 3 2 3 2" xfId="1538" xr:uid="{00000000-0005-0000-0000-00003B000000}"/>
    <cellStyle name="20% - Énfasis1 3 2 3 2 2" xfId="1563" xr:uid="{00000000-0005-0000-0000-00003C000000}"/>
    <cellStyle name="20% - Énfasis1 3 2 3 2 2 2" xfId="1571" xr:uid="{00000000-0005-0000-0000-00003D000000}"/>
    <cellStyle name="20% - Énfasis1 3 2 3 2 2 2 2" xfId="1586" xr:uid="{00000000-0005-0000-0000-00003E000000}"/>
    <cellStyle name="20% - Énfasis1 3 2 3 2 2 3" xfId="1607" xr:uid="{00000000-0005-0000-0000-00003F000000}"/>
    <cellStyle name="20% - Énfasis1 3 2 3 2 3" xfId="1629" xr:uid="{00000000-0005-0000-0000-000040000000}"/>
    <cellStyle name="20% - Énfasis1 3 2 3 2 3 2" xfId="1635" xr:uid="{00000000-0005-0000-0000-000041000000}"/>
    <cellStyle name="20% - Énfasis1 3 2 3 2 4" xfId="1652" xr:uid="{00000000-0005-0000-0000-000042000000}"/>
    <cellStyle name="20% - Énfasis1 3 2 3 3" xfId="1674" xr:uid="{00000000-0005-0000-0000-000043000000}"/>
    <cellStyle name="20% - Énfasis1 3 2 3 3 2" xfId="1462" xr:uid="{00000000-0005-0000-0000-000044000000}"/>
    <cellStyle name="20% - Énfasis1 3 2 3 3 2 2" xfId="22" xr:uid="{00000000-0005-0000-0000-000045000000}"/>
    <cellStyle name="20% - Énfasis1 3 2 3 3 3" xfId="1470" xr:uid="{00000000-0005-0000-0000-000046000000}"/>
    <cellStyle name="20% - Énfasis1 3 2 3 4" xfId="1682" xr:uid="{00000000-0005-0000-0000-000047000000}"/>
    <cellStyle name="20% - Énfasis1 3 2 3 4 2" xfId="1692" xr:uid="{00000000-0005-0000-0000-000048000000}"/>
    <cellStyle name="20% - Énfasis1 3 2 3 4 2 2" xfId="470" xr:uid="{00000000-0005-0000-0000-000049000000}"/>
    <cellStyle name="20% - Énfasis1 3 2 3 4 3" xfId="1699" xr:uid="{00000000-0005-0000-0000-00004A000000}"/>
    <cellStyle name="20% - Énfasis1 3 2 3 5" xfId="141" xr:uid="{00000000-0005-0000-0000-00004B000000}"/>
    <cellStyle name="20% - Énfasis1 3 2 3 5 2" xfId="1704" xr:uid="{00000000-0005-0000-0000-00004C000000}"/>
    <cellStyle name="20% - Énfasis1 3 2 3 6" xfId="1688" xr:uid="{00000000-0005-0000-0000-00004D000000}"/>
    <cellStyle name="20% - Énfasis1 3 2 3 6 2" xfId="464" xr:uid="{00000000-0005-0000-0000-00004E000000}"/>
    <cellStyle name="20% - Énfasis1 3 2 3 7" xfId="1695" xr:uid="{00000000-0005-0000-0000-00004F000000}"/>
    <cellStyle name="20% - Énfasis1 3 2 4" xfId="306" xr:uid="{00000000-0005-0000-0000-000050000000}"/>
    <cellStyle name="20% - Énfasis1 3 2 4 2" xfId="1724" xr:uid="{00000000-0005-0000-0000-000051000000}"/>
    <cellStyle name="20% - Énfasis1 3 2 4 2 2" xfId="1735" xr:uid="{00000000-0005-0000-0000-000052000000}"/>
    <cellStyle name="20% - Énfasis1 3 2 4 2 2 2" xfId="1748" xr:uid="{00000000-0005-0000-0000-000053000000}"/>
    <cellStyle name="20% - Énfasis1 3 2 4 2 3" xfId="1766" xr:uid="{00000000-0005-0000-0000-000054000000}"/>
    <cellStyle name="20% - Énfasis1 3 2 4 3" xfId="1770" xr:uid="{00000000-0005-0000-0000-000055000000}"/>
    <cellStyle name="20% - Énfasis1 3 2 4 3 2" xfId="1782" xr:uid="{00000000-0005-0000-0000-000056000000}"/>
    <cellStyle name="20% - Énfasis1 3 2 4 4" xfId="1793" xr:uid="{00000000-0005-0000-0000-000057000000}"/>
    <cellStyle name="20% - Énfasis1 3 2 5" xfId="69" xr:uid="{00000000-0005-0000-0000-000058000000}"/>
    <cellStyle name="20% - Énfasis1 3 2 5 2" xfId="1810" xr:uid="{00000000-0005-0000-0000-000059000000}"/>
    <cellStyle name="20% - Énfasis1 3 2 5 2 2" xfId="1817" xr:uid="{00000000-0005-0000-0000-00005A000000}"/>
    <cellStyle name="20% - Énfasis1 3 2 5 3" xfId="1839" xr:uid="{00000000-0005-0000-0000-00005B000000}"/>
    <cellStyle name="20% - Énfasis1 3 2 6" xfId="572" xr:uid="{00000000-0005-0000-0000-00005C000000}"/>
    <cellStyle name="20% - Énfasis1 3 2 6 2" xfId="888" xr:uid="{00000000-0005-0000-0000-00005D000000}"/>
    <cellStyle name="20% - Énfasis1 3 2 6 2 2" xfId="908" xr:uid="{00000000-0005-0000-0000-00005E000000}"/>
    <cellStyle name="20% - Énfasis1 3 2 6 3" xfId="924" xr:uid="{00000000-0005-0000-0000-00005F000000}"/>
    <cellStyle name="20% - Énfasis1 3 2 7" xfId="678" xr:uid="{00000000-0005-0000-0000-000060000000}"/>
    <cellStyle name="20% - Énfasis1 3 2 7 2" xfId="978" xr:uid="{00000000-0005-0000-0000-000061000000}"/>
    <cellStyle name="20% - Énfasis1 3 2 8" xfId="770" xr:uid="{00000000-0005-0000-0000-000062000000}"/>
    <cellStyle name="20% - Énfasis1 3 2 8 2" xfId="1038" xr:uid="{00000000-0005-0000-0000-000063000000}"/>
    <cellStyle name="20% - Énfasis1 3 2 9" xfId="407" xr:uid="{00000000-0005-0000-0000-000064000000}"/>
    <cellStyle name="20% - Énfasis1 3 3" xfId="1842" xr:uid="{00000000-0005-0000-0000-000065000000}"/>
    <cellStyle name="20% - Énfasis1 3 3 2" xfId="1859" xr:uid="{00000000-0005-0000-0000-000066000000}"/>
    <cellStyle name="20% - Énfasis1 3 3 2 2" xfId="1877" xr:uid="{00000000-0005-0000-0000-000067000000}"/>
    <cellStyle name="20% - Énfasis1 3 3 2 2 2" xfId="1899" xr:uid="{00000000-0005-0000-0000-000068000000}"/>
    <cellStyle name="20% - Énfasis1 3 3 2 2 2 2" xfId="1913" xr:uid="{00000000-0005-0000-0000-000069000000}"/>
    <cellStyle name="20% - Énfasis1 3 3 2 2 2 2 2" xfId="1934" xr:uid="{00000000-0005-0000-0000-00006A000000}"/>
    <cellStyle name="20% - Énfasis1 3 3 2 2 2 3" xfId="1945" xr:uid="{00000000-0005-0000-0000-00006B000000}"/>
    <cellStyle name="20% - Énfasis1 3 3 2 2 3" xfId="341" xr:uid="{00000000-0005-0000-0000-00006C000000}"/>
    <cellStyle name="20% - Énfasis1 3 3 2 2 3 2" xfId="1964" xr:uid="{00000000-0005-0000-0000-00006D000000}"/>
    <cellStyle name="20% - Énfasis1 3 3 2 2 4" xfId="386" xr:uid="{00000000-0005-0000-0000-00006E000000}"/>
    <cellStyle name="20% - Énfasis1 3 3 2 3" xfId="1984" xr:uid="{00000000-0005-0000-0000-00006F000000}"/>
    <cellStyle name="20% - Énfasis1 3 3 2 3 2" xfId="1990" xr:uid="{00000000-0005-0000-0000-000070000000}"/>
    <cellStyle name="20% - Énfasis1 3 3 2 3 2 2" xfId="235" xr:uid="{00000000-0005-0000-0000-000071000000}"/>
    <cellStyle name="20% - Énfasis1 3 3 2 3 3" xfId="1997" xr:uid="{00000000-0005-0000-0000-000072000000}"/>
    <cellStyle name="20% - Énfasis1 3 3 2 4" xfId="2010" xr:uid="{00000000-0005-0000-0000-000073000000}"/>
    <cellStyle name="20% - Énfasis1 3 3 2 4 2" xfId="2027" xr:uid="{00000000-0005-0000-0000-000074000000}"/>
    <cellStyle name="20% - Énfasis1 3 3 2 4 2 2" xfId="2060" xr:uid="{00000000-0005-0000-0000-000075000000}"/>
    <cellStyle name="20% - Énfasis1 3 3 2 4 3" xfId="230" xr:uid="{00000000-0005-0000-0000-000076000000}"/>
    <cellStyle name="20% - Énfasis1 3 3 2 5" xfId="2074" xr:uid="{00000000-0005-0000-0000-000077000000}"/>
    <cellStyle name="20% - Énfasis1 3 3 2 5 2" xfId="2085" xr:uid="{00000000-0005-0000-0000-000078000000}"/>
    <cellStyle name="20% - Énfasis1 3 3 2 6" xfId="1780" xr:uid="{00000000-0005-0000-0000-000079000000}"/>
    <cellStyle name="20% - Énfasis1 3 3 2 6 2" xfId="2103" xr:uid="{00000000-0005-0000-0000-00007A000000}"/>
    <cellStyle name="20% - Énfasis1 3 3 2 7" xfId="1754" xr:uid="{00000000-0005-0000-0000-00007B000000}"/>
    <cellStyle name="20% - Énfasis1 3 3 3" xfId="2128" xr:uid="{00000000-0005-0000-0000-00007C000000}"/>
    <cellStyle name="20% - Énfasis1 3 3 3 2" xfId="2155" xr:uid="{00000000-0005-0000-0000-00007D000000}"/>
    <cellStyle name="20% - Énfasis1 3 3 3 2 2" xfId="2158" xr:uid="{00000000-0005-0000-0000-00007E000000}"/>
    <cellStyle name="20% - Énfasis1 3 3 3 2 2 2" xfId="2168" xr:uid="{00000000-0005-0000-0000-00007F000000}"/>
    <cellStyle name="20% - Énfasis1 3 3 3 2 3" xfId="2170" xr:uid="{00000000-0005-0000-0000-000080000000}"/>
    <cellStyle name="20% - Énfasis1 3 3 3 3" xfId="2180" xr:uid="{00000000-0005-0000-0000-000081000000}"/>
    <cellStyle name="20% - Énfasis1 3 3 3 3 2" xfId="2182" xr:uid="{00000000-0005-0000-0000-000082000000}"/>
    <cellStyle name="20% - Énfasis1 3 3 3 4" xfId="2196" xr:uid="{00000000-0005-0000-0000-000083000000}"/>
    <cellStyle name="20% - Énfasis1 3 3 4" xfId="2205" xr:uid="{00000000-0005-0000-0000-000084000000}"/>
    <cellStyle name="20% - Énfasis1 3 3 4 2" xfId="493" xr:uid="{00000000-0005-0000-0000-000085000000}"/>
    <cellStyle name="20% - Énfasis1 3 3 4 2 2" xfId="2222" xr:uid="{00000000-0005-0000-0000-000086000000}"/>
    <cellStyle name="20% - Énfasis1 3 3 4 3" xfId="582" xr:uid="{00000000-0005-0000-0000-000087000000}"/>
    <cellStyle name="20% - Énfasis1 3 3 5" xfId="2254" xr:uid="{00000000-0005-0000-0000-000088000000}"/>
    <cellStyle name="20% - Énfasis1 3 3 5 2" xfId="2262" xr:uid="{00000000-0005-0000-0000-000089000000}"/>
    <cellStyle name="20% - Énfasis1 3 3 5 2 2" xfId="2268" xr:uid="{00000000-0005-0000-0000-00008A000000}"/>
    <cellStyle name="20% - Énfasis1 3 3 5 3" xfId="2278" xr:uid="{00000000-0005-0000-0000-00008B000000}"/>
    <cellStyle name="20% - Énfasis1 3 3 6" xfId="1178" xr:uid="{00000000-0005-0000-0000-00008C000000}"/>
    <cellStyle name="20% - Énfasis1 3 3 6 2" xfId="1193" xr:uid="{00000000-0005-0000-0000-00008D000000}"/>
    <cellStyle name="20% - Énfasis1 3 3 7" xfId="1253" xr:uid="{00000000-0005-0000-0000-00008E000000}"/>
    <cellStyle name="20% - Énfasis1 3 3 7 2" xfId="1272" xr:uid="{00000000-0005-0000-0000-00008F000000}"/>
    <cellStyle name="20% - Énfasis1 3 4" xfId="2296" xr:uid="{00000000-0005-0000-0000-000090000000}"/>
    <cellStyle name="20% - Énfasis1 3 4 2" xfId="2323" xr:uid="{00000000-0005-0000-0000-000091000000}"/>
    <cellStyle name="20% - Énfasis1 3 4 2 2" xfId="2355" xr:uid="{00000000-0005-0000-0000-000092000000}"/>
    <cellStyle name="20% - Énfasis1 3 4 2 2 2" xfId="2372" xr:uid="{00000000-0005-0000-0000-000093000000}"/>
    <cellStyle name="20% - Énfasis1 3 4 2 2 2 2" xfId="2390" xr:uid="{00000000-0005-0000-0000-000094000000}"/>
    <cellStyle name="20% - Énfasis1 3 4 2 2 2 2 2" xfId="2400" xr:uid="{00000000-0005-0000-0000-000095000000}"/>
    <cellStyle name="20% - Énfasis1 3 4 2 2 2 3" xfId="2414" xr:uid="{00000000-0005-0000-0000-000096000000}"/>
    <cellStyle name="20% - Énfasis1 3 4 2 2 3" xfId="357" xr:uid="{00000000-0005-0000-0000-000097000000}"/>
    <cellStyle name="20% - Énfasis1 3 4 2 2 3 2" xfId="2428" xr:uid="{00000000-0005-0000-0000-000098000000}"/>
    <cellStyle name="20% - Énfasis1 3 4 2 2 4" xfId="2447" xr:uid="{00000000-0005-0000-0000-000099000000}"/>
    <cellStyle name="20% - Énfasis1 3 4 2 3" xfId="2459" xr:uid="{00000000-0005-0000-0000-00009A000000}"/>
    <cellStyle name="20% - Énfasis1 3 4 2 3 2" xfId="2478" xr:uid="{00000000-0005-0000-0000-00009B000000}"/>
    <cellStyle name="20% - Énfasis1 3 4 2 3 2 2" xfId="1090" xr:uid="{00000000-0005-0000-0000-00009C000000}"/>
    <cellStyle name="20% - Énfasis1 3 4 2 3 3" xfId="2488" xr:uid="{00000000-0005-0000-0000-00009D000000}"/>
    <cellStyle name="20% - Énfasis1 3 4 2 4" xfId="2512" xr:uid="{00000000-0005-0000-0000-00009E000000}"/>
    <cellStyle name="20% - Énfasis1 3 4 2 4 2" xfId="2538" xr:uid="{00000000-0005-0000-0000-00009F000000}"/>
    <cellStyle name="20% - Énfasis1 3 4 2 4 2 2" xfId="2563" xr:uid="{00000000-0005-0000-0000-0000A0000000}"/>
    <cellStyle name="20% - Énfasis1 3 4 2 4 3" xfId="2580" xr:uid="{00000000-0005-0000-0000-0000A1000000}"/>
    <cellStyle name="20% - Énfasis1 3 4 2 5" xfId="2594" xr:uid="{00000000-0005-0000-0000-0000A2000000}"/>
    <cellStyle name="20% - Énfasis1 3 4 2 5 2" xfId="2618" xr:uid="{00000000-0005-0000-0000-0000A3000000}"/>
    <cellStyle name="20% - Énfasis1 3 4 2 6" xfId="2624" xr:uid="{00000000-0005-0000-0000-0000A4000000}"/>
    <cellStyle name="20% - Énfasis1 3 4 2 6 2" xfId="2638" xr:uid="{00000000-0005-0000-0000-0000A5000000}"/>
    <cellStyle name="20% - Énfasis1 3 4 2 7" xfId="2093" xr:uid="{00000000-0005-0000-0000-0000A6000000}"/>
    <cellStyle name="20% - Énfasis1 3 4 3" xfId="2668" xr:uid="{00000000-0005-0000-0000-0000A7000000}"/>
    <cellStyle name="20% - Énfasis1 3 4 3 2" xfId="2703" xr:uid="{00000000-0005-0000-0000-0000A8000000}"/>
    <cellStyle name="20% - Énfasis1 3 4 3 2 2" xfId="2708" xr:uid="{00000000-0005-0000-0000-0000A9000000}"/>
    <cellStyle name="20% - Énfasis1 3 4 3 2 2 2" xfId="2729" xr:uid="{00000000-0005-0000-0000-0000AA000000}"/>
    <cellStyle name="20% - Énfasis1 3 4 3 2 3" xfId="2734" xr:uid="{00000000-0005-0000-0000-0000AB000000}"/>
    <cellStyle name="20% - Énfasis1 3 4 3 3" xfId="2739" xr:uid="{00000000-0005-0000-0000-0000AC000000}"/>
    <cellStyle name="20% - Énfasis1 3 4 3 3 2" xfId="719" xr:uid="{00000000-0005-0000-0000-0000AD000000}"/>
    <cellStyle name="20% - Énfasis1 3 4 3 4" xfId="2757" xr:uid="{00000000-0005-0000-0000-0000AE000000}"/>
    <cellStyle name="20% - Énfasis1 3 4 4" xfId="2792" xr:uid="{00000000-0005-0000-0000-0000AF000000}"/>
    <cellStyle name="20% - Énfasis1 3 4 4 2" xfId="518" xr:uid="{00000000-0005-0000-0000-0000B0000000}"/>
    <cellStyle name="20% - Énfasis1 3 4 4 2 2" xfId="874" xr:uid="{00000000-0005-0000-0000-0000B1000000}"/>
    <cellStyle name="20% - Énfasis1 3 4 4 3" xfId="621" xr:uid="{00000000-0005-0000-0000-0000B2000000}"/>
    <cellStyle name="20% - Énfasis1 3 4 5" xfId="2820" xr:uid="{00000000-0005-0000-0000-0000B3000000}"/>
    <cellStyle name="20% - Énfasis1 3 4 5 2" xfId="2828" xr:uid="{00000000-0005-0000-0000-0000B4000000}"/>
    <cellStyle name="20% - Énfasis1 3 4 5 2 2" xfId="2837" xr:uid="{00000000-0005-0000-0000-0000B5000000}"/>
    <cellStyle name="20% - Énfasis1 3 4 5 3" xfId="2838" xr:uid="{00000000-0005-0000-0000-0000B6000000}"/>
    <cellStyle name="20% - Énfasis1 3 4 6" xfId="1312" xr:uid="{00000000-0005-0000-0000-0000B7000000}"/>
    <cellStyle name="20% - Énfasis1 3 4 6 2" xfId="1340" xr:uid="{00000000-0005-0000-0000-0000B8000000}"/>
    <cellStyle name="20% - Énfasis1 3 4 7" xfId="260" xr:uid="{00000000-0005-0000-0000-0000B9000000}"/>
    <cellStyle name="20% - Énfasis1 3 4 7 2" xfId="2852" xr:uid="{00000000-0005-0000-0000-0000BA000000}"/>
    <cellStyle name="20% - Énfasis1 3 4 8" xfId="2881" xr:uid="{00000000-0005-0000-0000-0000BB000000}"/>
    <cellStyle name="20% - Énfasis1 3 4 9" xfId="1005" xr:uid="{00000000-0005-0000-0000-0000BC000000}"/>
    <cellStyle name="20% - Énfasis1 3 5" xfId="2860" xr:uid="{00000000-0005-0000-0000-0000BD000000}"/>
    <cellStyle name="20% - Énfasis1 3 5 2" xfId="2913" xr:uid="{00000000-0005-0000-0000-0000BE000000}"/>
    <cellStyle name="20% - Énfasis1 3 5 2 2" xfId="2923" xr:uid="{00000000-0005-0000-0000-0000BF000000}"/>
    <cellStyle name="20% - Énfasis1 3 5 2 2 2" xfId="2928" xr:uid="{00000000-0005-0000-0000-0000C0000000}"/>
    <cellStyle name="20% - Énfasis1 3 5 2 2 2 2" xfId="1490" xr:uid="{00000000-0005-0000-0000-0000C1000000}"/>
    <cellStyle name="20% - Énfasis1 3 5 2 2 2 2 2" xfId="2932" xr:uid="{00000000-0005-0000-0000-0000C2000000}"/>
    <cellStyle name="20% - Énfasis1 3 5 2 2 2 3" xfId="2935" xr:uid="{00000000-0005-0000-0000-0000C3000000}"/>
    <cellStyle name="20% - Énfasis1 3 5 2 2 3" xfId="1049" xr:uid="{00000000-0005-0000-0000-0000C4000000}"/>
    <cellStyle name="20% - Énfasis1 3 5 2 2 3 2" xfId="1065" xr:uid="{00000000-0005-0000-0000-0000C5000000}"/>
    <cellStyle name="20% - Énfasis1 3 5 2 2 4" xfId="1084" xr:uid="{00000000-0005-0000-0000-0000C6000000}"/>
    <cellStyle name="20% - Énfasis1 3 5 2 3" xfId="2946" xr:uid="{00000000-0005-0000-0000-0000C7000000}"/>
    <cellStyle name="20% - Énfasis1 3 5 2 3 2" xfId="2948" xr:uid="{00000000-0005-0000-0000-0000C8000000}"/>
    <cellStyle name="20% - Énfasis1 3 5 2 3 2 2" xfId="2977" xr:uid="{00000000-0005-0000-0000-0000C9000000}"/>
    <cellStyle name="20% - Énfasis1 3 5 2 3 3" xfId="1107" xr:uid="{00000000-0005-0000-0000-0000CA000000}"/>
    <cellStyle name="20% - Énfasis1 3 5 2 4" xfId="2984" xr:uid="{00000000-0005-0000-0000-0000CB000000}"/>
    <cellStyle name="20% - Énfasis1 3 5 2 4 2" xfId="2992" xr:uid="{00000000-0005-0000-0000-0000CC000000}"/>
    <cellStyle name="20% - Énfasis1 3 5 2 4 2 2" xfId="3001" xr:uid="{00000000-0005-0000-0000-0000CD000000}"/>
    <cellStyle name="20% - Énfasis1 3 5 2 4 3" xfId="91" xr:uid="{00000000-0005-0000-0000-0000CE000000}"/>
    <cellStyle name="20% - Énfasis1 3 5 2 5" xfId="3005" xr:uid="{00000000-0005-0000-0000-0000CF000000}"/>
    <cellStyle name="20% - Énfasis1 3 5 2 5 2" xfId="3007" xr:uid="{00000000-0005-0000-0000-0000D0000000}"/>
    <cellStyle name="20% - Énfasis1 3 5 2 6" xfId="939" xr:uid="{00000000-0005-0000-0000-0000D1000000}"/>
    <cellStyle name="20% - Énfasis1 3 5 2 6 2" xfId="3008" xr:uid="{00000000-0005-0000-0000-0000D2000000}"/>
    <cellStyle name="20% - Énfasis1 3 5 2 7" xfId="3015" xr:uid="{00000000-0005-0000-0000-0000D3000000}"/>
    <cellStyle name="20% - Énfasis1 3 5 3" xfId="3029" xr:uid="{00000000-0005-0000-0000-0000D4000000}"/>
    <cellStyle name="20% - Énfasis1 3 5 3 2" xfId="3051" xr:uid="{00000000-0005-0000-0000-0000D5000000}"/>
    <cellStyle name="20% - Énfasis1 3 5 3 2 2" xfId="3070" xr:uid="{00000000-0005-0000-0000-0000D6000000}"/>
    <cellStyle name="20% - Énfasis1 3 5 3 2 2 2" xfId="3085" xr:uid="{00000000-0005-0000-0000-0000D7000000}"/>
    <cellStyle name="20% - Énfasis1 3 5 3 2 3" xfId="3112" xr:uid="{00000000-0005-0000-0000-0000D8000000}"/>
    <cellStyle name="20% - Énfasis1 3 5 3 3" xfId="1578" xr:uid="{00000000-0005-0000-0000-0000D9000000}"/>
    <cellStyle name="20% - Énfasis1 3 5 3 3 2" xfId="1592" xr:uid="{00000000-0005-0000-0000-0000DA000000}"/>
    <cellStyle name="20% - Énfasis1 3 5 3 4" xfId="1622" xr:uid="{00000000-0005-0000-0000-0000DB000000}"/>
    <cellStyle name="20% - Énfasis1 3 5 4" xfId="3123" xr:uid="{00000000-0005-0000-0000-0000DC000000}"/>
    <cellStyle name="20% - Énfasis1 3 5 4 2" xfId="3150" xr:uid="{00000000-0005-0000-0000-0000DD000000}"/>
    <cellStyle name="20% - Énfasis1 3 5 4 2 2" xfId="1499" xr:uid="{00000000-0005-0000-0000-0000DE000000}"/>
    <cellStyle name="20% - Énfasis1 3 5 4 3" xfId="1643" xr:uid="{00000000-0005-0000-0000-0000DF000000}"/>
    <cellStyle name="20% - Énfasis1 3 5 5" xfId="3177" xr:uid="{00000000-0005-0000-0000-0000E0000000}"/>
    <cellStyle name="20% - Énfasis1 3 5 5 2" xfId="3195" xr:uid="{00000000-0005-0000-0000-0000E1000000}"/>
    <cellStyle name="20% - Énfasis1 3 5 5 2 2" xfId="3238" xr:uid="{00000000-0005-0000-0000-0000E2000000}"/>
    <cellStyle name="20% - Énfasis1 3 5 5 3" xfId="3259" xr:uid="{00000000-0005-0000-0000-0000E3000000}"/>
    <cellStyle name="20% - Énfasis1 3 5 6" xfId="1398" xr:uid="{00000000-0005-0000-0000-0000E4000000}"/>
    <cellStyle name="20% - Énfasis1 3 5 6 2" xfId="1424" xr:uid="{00000000-0005-0000-0000-0000E5000000}"/>
    <cellStyle name="20% - Énfasis1 3 5 7" xfId="1441" xr:uid="{00000000-0005-0000-0000-0000E6000000}"/>
    <cellStyle name="20% - Énfasis1 3 5 7 2" xfId="3293" xr:uid="{00000000-0005-0000-0000-0000E7000000}"/>
    <cellStyle name="20% - Énfasis1 3 5 8" xfId="3313" xr:uid="{00000000-0005-0000-0000-0000E8000000}"/>
    <cellStyle name="20% - Énfasis1 3 6" xfId="3323" xr:uid="{00000000-0005-0000-0000-0000E9000000}"/>
    <cellStyle name="20% - Énfasis1 3 6 2" xfId="3328" xr:uid="{00000000-0005-0000-0000-0000EA000000}"/>
    <cellStyle name="20% - Énfasis1 3 6 2 2" xfId="3158" xr:uid="{00000000-0005-0000-0000-0000EB000000}"/>
    <cellStyle name="20% - Énfasis1 3 6 2 2 2" xfId="3181" xr:uid="{00000000-0005-0000-0000-0000EC000000}"/>
    <cellStyle name="20% - Énfasis1 3 6 2 2 2 2" xfId="3201" xr:uid="{00000000-0005-0000-0000-0000ED000000}"/>
    <cellStyle name="20% - Énfasis1 3 6 2 2 3" xfId="3271" xr:uid="{00000000-0005-0000-0000-0000EE000000}"/>
    <cellStyle name="20% - Énfasis1 3 6 2 3" xfId="1389" xr:uid="{00000000-0005-0000-0000-0000EF000000}"/>
    <cellStyle name="20% - Énfasis1 3 6 2 3 2" xfId="1413" xr:uid="{00000000-0005-0000-0000-0000F0000000}"/>
    <cellStyle name="20% - Énfasis1 3 6 2 4" xfId="1452" xr:uid="{00000000-0005-0000-0000-0000F1000000}"/>
    <cellStyle name="20% - Énfasis1 3 6 3" xfId="3351" xr:uid="{00000000-0005-0000-0000-0000F2000000}"/>
    <cellStyle name="20% - Énfasis1 3 6 3 2" xfId="3387" xr:uid="{00000000-0005-0000-0000-0000F3000000}"/>
    <cellStyle name="20% - Énfasis1 3 6 3 2 2" xfId="3404" xr:uid="{00000000-0005-0000-0000-0000F4000000}"/>
    <cellStyle name="20% - Énfasis1 3 6 3 3" xfId="32" xr:uid="{00000000-0005-0000-0000-0000F5000000}"/>
    <cellStyle name="20% - Énfasis1 3 6 4" xfId="3429" xr:uid="{00000000-0005-0000-0000-0000F6000000}"/>
    <cellStyle name="20% - Énfasis1 3 6 4 2" xfId="3435" xr:uid="{00000000-0005-0000-0000-0000F7000000}"/>
    <cellStyle name="20% - Énfasis1 3 6 4 2 2" xfId="3456" xr:uid="{00000000-0005-0000-0000-0000F8000000}"/>
    <cellStyle name="20% - Énfasis1 3 6 4 3" xfId="1479" xr:uid="{00000000-0005-0000-0000-0000F9000000}"/>
    <cellStyle name="20% - Énfasis1 3 6 5" xfId="3370" xr:uid="{00000000-0005-0000-0000-0000FA000000}"/>
    <cellStyle name="20% - Énfasis1 3 6 5 2" xfId="3395" xr:uid="{00000000-0005-0000-0000-0000FB000000}"/>
    <cellStyle name="20% - Énfasis1 3 6 6" xfId="18" xr:uid="{00000000-0005-0000-0000-0000FC000000}"/>
    <cellStyle name="20% - Énfasis1 3 6 6 2" xfId="3470" xr:uid="{00000000-0005-0000-0000-0000FD000000}"/>
    <cellStyle name="20% - Énfasis1 3 6 7" xfId="3484" xr:uid="{00000000-0005-0000-0000-0000FE000000}"/>
    <cellStyle name="20% - Énfasis1 3 7" xfId="3494" xr:uid="{00000000-0005-0000-0000-0000FF000000}"/>
    <cellStyle name="20% - Énfasis1 3 7 2" xfId="3511" xr:uid="{00000000-0005-0000-0000-000000010000}"/>
    <cellStyle name="20% - Énfasis1 3 7 2 2" xfId="3524" xr:uid="{00000000-0005-0000-0000-000001010000}"/>
    <cellStyle name="20% - Énfasis1 3 7 2 2 2" xfId="821" xr:uid="{00000000-0005-0000-0000-000002010000}"/>
    <cellStyle name="20% - Énfasis1 3 7 2 3" xfId="1712" xr:uid="{00000000-0005-0000-0000-000003010000}"/>
    <cellStyle name="20% - Énfasis1 3 7 3" xfId="3535" xr:uid="{00000000-0005-0000-0000-000004010000}"/>
    <cellStyle name="20% - Énfasis1 3 7 3 2" xfId="3540" xr:uid="{00000000-0005-0000-0000-000005010000}"/>
    <cellStyle name="20% - Énfasis1 3 7 4" xfId="3553" xr:uid="{00000000-0005-0000-0000-000006010000}"/>
    <cellStyle name="20% - Énfasis1 3 8" xfId="3564" xr:uid="{00000000-0005-0000-0000-000007010000}"/>
    <cellStyle name="20% - Énfasis1 3 8 2" xfId="3577" xr:uid="{00000000-0005-0000-0000-000008010000}"/>
    <cellStyle name="20% - Énfasis1 3 8 2 2" xfId="791" xr:uid="{00000000-0005-0000-0000-000009010000}"/>
    <cellStyle name="20% - Énfasis1 3 8 3" xfId="3587" xr:uid="{00000000-0005-0000-0000-00000A010000}"/>
    <cellStyle name="20% - Énfasis1 3 9" xfId="3595" xr:uid="{00000000-0005-0000-0000-00000B010000}"/>
    <cellStyle name="20% - Énfasis1 3 9 2" xfId="3607" xr:uid="{00000000-0005-0000-0000-00000C010000}"/>
    <cellStyle name="20% - Énfasis1 3 9 2 2" xfId="805" xr:uid="{00000000-0005-0000-0000-00000D010000}"/>
    <cellStyle name="20% - Énfasis1 3 9 3" xfId="2379" xr:uid="{00000000-0005-0000-0000-00000E010000}"/>
    <cellStyle name="20% - Énfasis1 4" xfId="3610" xr:uid="{00000000-0005-0000-0000-00000F010000}"/>
    <cellStyle name="20% - Énfasis1 4 2" xfId="123" xr:uid="{00000000-0005-0000-0000-000010010000}"/>
    <cellStyle name="20% - Énfasis1 4 2 2" xfId="3618" xr:uid="{00000000-0005-0000-0000-000011010000}"/>
    <cellStyle name="20% - Énfasis1 4 2 2 2" xfId="3625" xr:uid="{00000000-0005-0000-0000-000012010000}"/>
    <cellStyle name="20% - Énfasis1 4 2 2 2 2" xfId="3632" xr:uid="{00000000-0005-0000-0000-000013010000}"/>
    <cellStyle name="20% - Énfasis1 4 2 2 3" xfId="3633" xr:uid="{00000000-0005-0000-0000-000014010000}"/>
    <cellStyle name="20% - Énfasis1 4 2 2 4" xfId="3635" xr:uid="{00000000-0005-0000-0000-000015010000}"/>
    <cellStyle name="20% - Énfasis1 4 2 3" xfId="3211" xr:uid="{00000000-0005-0000-0000-000016010000}"/>
    <cellStyle name="20% - Énfasis1 4 2 3 2" xfId="3636" xr:uid="{00000000-0005-0000-0000-000017010000}"/>
    <cellStyle name="20% - Énfasis1 4 2 4" xfId="3653" xr:uid="{00000000-0005-0000-0000-000018010000}"/>
    <cellStyle name="20% - Énfasis1 4 2 4 2" xfId="3662" xr:uid="{00000000-0005-0000-0000-000019010000}"/>
    <cellStyle name="20% - Énfasis1 4 2 5" xfId="3671" xr:uid="{00000000-0005-0000-0000-00001A010000}"/>
    <cellStyle name="20% - Énfasis1 4 2 6" xfId="1550" xr:uid="{00000000-0005-0000-0000-00001B010000}"/>
    <cellStyle name="20% - Énfasis1 4 3" xfId="206" xr:uid="{00000000-0005-0000-0000-00001C010000}"/>
    <cellStyle name="20% - Énfasis1 4 3 2" xfId="169" xr:uid="{00000000-0005-0000-0000-00001D010000}"/>
    <cellStyle name="20% - Énfasis1 4 3 2 2" xfId="576" xr:uid="{00000000-0005-0000-0000-00001E010000}"/>
    <cellStyle name="20% - Énfasis1 4 3 3" xfId="1128" xr:uid="{00000000-0005-0000-0000-00001F010000}"/>
    <cellStyle name="20% - Énfasis1 4 3 4" xfId="1287" xr:uid="{00000000-0005-0000-0000-000020010000}"/>
    <cellStyle name="20% - Énfasis1 4 4" xfId="1511" xr:uid="{00000000-0005-0000-0000-000021010000}"/>
    <cellStyle name="20% - Énfasis1 4 4 2" xfId="1526" xr:uid="{00000000-0005-0000-0000-000022010000}"/>
    <cellStyle name="20% - Énfasis1 4 4 2 2" xfId="1553" xr:uid="{00000000-0005-0000-0000-000023010000}"/>
    <cellStyle name="20% - Énfasis1 4 4 3" xfId="1661" xr:uid="{00000000-0005-0000-0000-000024010000}"/>
    <cellStyle name="20% - Énfasis1 4 5" xfId="323" xr:uid="{00000000-0005-0000-0000-000025010000}"/>
    <cellStyle name="20% - Énfasis1 4 5 2" xfId="1716" xr:uid="{00000000-0005-0000-0000-000026010000}"/>
    <cellStyle name="20% - Énfasis1 4 6" xfId="64" xr:uid="{00000000-0005-0000-0000-000027010000}"/>
    <cellStyle name="20% - Énfasis1 4 6 2" xfId="1802" xr:uid="{00000000-0005-0000-0000-000028010000}"/>
    <cellStyle name="20% - Énfasis1 4 7" xfId="559" xr:uid="{00000000-0005-0000-0000-000029010000}"/>
    <cellStyle name="20% - Énfasis1 4 8" xfId="662" xr:uid="{00000000-0005-0000-0000-00002A010000}"/>
    <cellStyle name="20% - Énfasis1 5" xfId="3679" xr:uid="{00000000-0005-0000-0000-00002B010000}"/>
    <cellStyle name="20% - Énfasis1 5 2" xfId="2431" xr:uid="{00000000-0005-0000-0000-00002C010000}"/>
    <cellStyle name="20% - Énfasis1 5 2 2" xfId="3692" xr:uid="{00000000-0005-0000-0000-00002D010000}"/>
    <cellStyle name="20% - Énfasis1 5 2 2 2" xfId="3699" xr:uid="{00000000-0005-0000-0000-00002E010000}"/>
    <cellStyle name="20% - Énfasis1 5 2 3" xfId="3709" xr:uid="{00000000-0005-0000-0000-00002F010000}"/>
    <cellStyle name="20% - Énfasis1 5 2 4" xfId="3715" xr:uid="{00000000-0005-0000-0000-000030010000}"/>
    <cellStyle name="20% - Énfasis1 5 3" xfId="1847" xr:uid="{00000000-0005-0000-0000-000031010000}"/>
    <cellStyle name="20% - Énfasis1 5 3 2" xfId="1870" xr:uid="{00000000-0005-0000-0000-000032010000}"/>
    <cellStyle name="20% - Énfasis1 5 3 2 2" xfId="1896" xr:uid="{00000000-0005-0000-0000-000033010000}"/>
    <cellStyle name="20% - Énfasis1 5 3 3" xfId="1973" xr:uid="{00000000-0005-0000-0000-000034010000}"/>
    <cellStyle name="20% - Énfasis1 5 4" xfId="2117" xr:uid="{00000000-0005-0000-0000-000035010000}"/>
    <cellStyle name="20% - Énfasis1 5 4 2" xfId="2143" xr:uid="{00000000-0005-0000-0000-000036010000}"/>
    <cellStyle name="20% - Énfasis1 5 5" xfId="2201" xr:uid="{00000000-0005-0000-0000-000037010000}"/>
    <cellStyle name="20% - Énfasis1 5 5 2" xfId="484" xr:uid="{00000000-0005-0000-0000-000038010000}"/>
    <cellStyle name="20% - Énfasis1 5 6" xfId="2241" xr:uid="{00000000-0005-0000-0000-000039010000}"/>
    <cellStyle name="20% - Énfasis1 5 7" xfId="1165" xr:uid="{00000000-0005-0000-0000-00003A010000}"/>
    <cellStyle name="20% - Énfasis1 6" xfId="3722" xr:uid="{00000000-0005-0000-0000-00003B010000}"/>
    <cellStyle name="20% - Énfasis1 6 2" xfId="3724" xr:uid="{00000000-0005-0000-0000-00003C010000}"/>
    <cellStyle name="20% - Énfasis1 6 2 2" xfId="3740" xr:uid="{00000000-0005-0000-0000-00003D010000}"/>
    <cellStyle name="20% - Énfasis1 6 2 2 2" xfId="3756" xr:uid="{00000000-0005-0000-0000-00003E010000}"/>
    <cellStyle name="20% - Énfasis1 6 2 3" xfId="3764" xr:uid="{00000000-0005-0000-0000-00003F010000}"/>
    <cellStyle name="20% - Énfasis1 6 2 4" xfId="3783" xr:uid="{00000000-0005-0000-0000-000040010000}"/>
    <cellStyle name="20% - Énfasis1 6 3" xfId="2299" xr:uid="{00000000-0005-0000-0000-000041010000}"/>
    <cellStyle name="20% - Énfasis1 6 3 2" xfId="2342" xr:uid="{00000000-0005-0000-0000-000042010000}"/>
    <cellStyle name="20% - Énfasis1 6 4" xfId="2647" xr:uid="{00000000-0005-0000-0000-000043010000}"/>
    <cellStyle name="20% - Énfasis1 6 4 2" xfId="2688" xr:uid="{00000000-0005-0000-0000-000044010000}"/>
    <cellStyle name="20% - Énfasis1 6 5" xfId="2770" xr:uid="{00000000-0005-0000-0000-000045010000}"/>
    <cellStyle name="20% - Énfasis1 6 6" xfId="2808" xr:uid="{00000000-0005-0000-0000-000046010000}"/>
    <cellStyle name="20% - Énfasis1 7" xfId="3792" xr:uid="{00000000-0005-0000-0000-000047010000}"/>
    <cellStyle name="20% - Énfasis1 7 2" xfId="3794" xr:uid="{00000000-0005-0000-0000-000048010000}"/>
    <cellStyle name="20% - Énfasis1 7 2 2" xfId="3814" xr:uid="{00000000-0005-0000-0000-000049010000}"/>
    <cellStyle name="20% - Énfasis1 7 3" xfId="2885" xr:uid="{00000000-0005-0000-0000-00004A010000}"/>
    <cellStyle name="20% - Énfasis1 8" xfId="3823" xr:uid="{00000000-0005-0000-0000-00004B010000}"/>
    <cellStyle name="20% - Énfasis1 8 2" xfId="3825" xr:uid="{00000000-0005-0000-0000-00004C010000}"/>
    <cellStyle name="20% - Énfasis1 9" xfId="3840" xr:uid="{00000000-0005-0000-0000-00004D010000}"/>
    <cellStyle name="20% - Énfasis1 9 2" xfId="427" xr:uid="{00000000-0005-0000-0000-00004E010000}"/>
    <cellStyle name="20% - Énfasis2 2" xfId="3851" xr:uid="{00000000-0005-0000-0000-00004F010000}"/>
    <cellStyle name="20% - Énfasis2 2 2" xfId="3873" xr:uid="{00000000-0005-0000-0000-000050010000}"/>
    <cellStyle name="20% - Énfasis2 3" xfId="3884" xr:uid="{00000000-0005-0000-0000-000051010000}"/>
    <cellStyle name="20% - Énfasis2 3 10" xfId="3899" xr:uid="{00000000-0005-0000-0000-000052010000}"/>
    <cellStyle name="20% - Énfasis2 3 10 2" xfId="3903" xr:uid="{00000000-0005-0000-0000-000053010000}"/>
    <cellStyle name="20% - Énfasis2 3 11" xfId="3909" xr:uid="{00000000-0005-0000-0000-000054010000}"/>
    <cellStyle name="20% - Énfasis2 3 11 2" xfId="3919" xr:uid="{00000000-0005-0000-0000-000055010000}"/>
    <cellStyle name="20% - Énfasis2 3 12" xfId="3845" xr:uid="{00000000-0005-0000-0000-000056010000}"/>
    <cellStyle name="20% - Énfasis2 3 12 2" xfId="3858" xr:uid="{00000000-0005-0000-0000-000057010000}"/>
    <cellStyle name="20% - Énfasis2 3 13" xfId="3879" xr:uid="{00000000-0005-0000-0000-000058010000}"/>
    <cellStyle name="20% - Énfasis2 3 14" xfId="3924" xr:uid="{00000000-0005-0000-0000-000059010000}"/>
    <cellStyle name="20% - Énfasis2 3 2" xfId="3931" xr:uid="{00000000-0005-0000-0000-00005A010000}"/>
    <cellStyle name="20% - Énfasis2 3 2 10" xfId="3942" xr:uid="{00000000-0005-0000-0000-00005B010000}"/>
    <cellStyle name="20% - Énfasis2 3 2 2" xfId="3945" xr:uid="{00000000-0005-0000-0000-00005C010000}"/>
    <cellStyle name="20% - Énfasis2 3 2 2 2" xfId="3956" xr:uid="{00000000-0005-0000-0000-00005D010000}"/>
    <cellStyle name="20% - Énfasis2 3 2 2 2 2" xfId="2005" xr:uid="{00000000-0005-0000-0000-00005E010000}"/>
    <cellStyle name="20% - Énfasis2 3 2 2 2 2 2" xfId="2022" xr:uid="{00000000-0005-0000-0000-00005F010000}"/>
    <cellStyle name="20% - Énfasis2 3 2 2 2 2 2 2" xfId="2050" xr:uid="{00000000-0005-0000-0000-000060010000}"/>
    <cellStyle name="20% - Énfasis2 3 2 2 2 2 2 2 2" xfId="3973" xr:uid="{00000000-0005-0000-0000-000061010000}"/>
    <cellStyle name="20% - Énfasis2 3 2 2 2 2 2 3" xfId="3982" xr:uid="{00000000-0005-0000-0000-000062010000}"/>
    <cellStyle name="20% - Énfasis2 3 2 2 2 2 3" xfId="226" xr:uid="{00000000-0005-0000-0000-000063010000}"/>
    <cellStyle name="20% - Énfasis2 3 2 2 2 2 3 2" xfId="199" xr:uid="{00000000-0005-0000-0000-000064010000}"/>
    <cellStyle name="20% - Énfasis2 3 2 2 2 2 4" xfId="3993" xr:uid="{00000000-0005-0000-0000-000065010000}"/>
    <cellStyle name="20% - Énfasis2 3 2 2 2 3" xfId="2071" xr:uid="{00000000-0005-0000-0000-000066010000}"/>
    <cellStyle name="20% - Énfasis2 3 2 2 2 3 2" xfId="2082" xr:uid="{00000000-0005-0000-0000-000067010000}"/>
    <cellStyle name="20% - Énfasis2 3 2 2 2 3 2 2" xfId="4005" xr:uid="{00000000-0005-0000-0000-000068010000}"/>
    <cellStyle name="20% - Énfasis2 3 2 2 2 3 3" xfId="4013" xr:uid="{00000000-0005-0000-0000-000069010000}"/>
    <cellStyle name="20% - Énfasis2 3 2 2 2 4" xfId="1776" xr:uid="{00000000-0005-0000-0000-00006A010000}"/>
    <cellStyle name="20% - Énfasis2 3 2 2 2 4 2" xfId="2089" xr:uid="{00000000-0005-0000-0000-00006B010000}"/>
    <cellStyle name="20% - Énfasis2 3 2 2 2 4 2 2" xfId="4024" xr:uid="{00000000-0005-0000-0000-00006C010000}"/>
    <cellStyle name="20% - Énfasis2 3 2 2 2 4 3" xfId="4030" xr:uid="{00000000-0005-0000-0000-00006D010000}"/>
    <cellStyle name="20% - Énfasis2 3 2 2 2 5" xfId="1742" xr:uid="{00000000-0005-0000-0000-00006E010000}"/>
    <cellStyle name="20% - Énfasis2 3 2 2 2 5 2" xfId="4035" xr:uid="{00000000-0005-0000-0000-00006F010000}"/>
    <cellStyle name="20% - Énfasis2 3 2 2 2 6" xfId="4050" xr:uid="{00000000-0005-0000-0000-000070010000}"/>
    <cellStyle name="20% - Énfasis2 3 2 2 2 6 2" xfId="4062" xr:uid="{00000000-0005-0000-0000-000071010000}"/>
    <cellStyle name="20% - Énfasis2 3 2 2 2 7" xfId="2971" xr:uid="{00000000-0005-0000-0000-000072010000}"/>
    <cellStyle name="20% - Énfasis2 3 2 2 3" xfId="4074" xr:uid="{00000000-0005-0000-0000-000073010000}"/>
    <cellStyle name="20% - Énfasis2 3 2 2 3 2" xfId="2189" xr:uid="{00000000-0005-0000-0000-000074010000}"/>
    <cellStyle name="20% - Énfasis2 3 2 2 3 2 2" xfId="4084" xr:uid="{00000000-0005-0000-0000-000075010000}"/>
    <cellStyle name="20% - Énfasis2 3 2 2 3 2 2 2" xfId="4092" xr:uid="{00000000-0005-0000-0000-000076010000}"/>
    <cellStyle name="20% - Énfasis2 3 2 2 3 2 3" xfId="2046" xr:uid="{00000000-0005-0000-0000-000077010000}"/>
    <cellStyle name="20% - Énfasis2 3 2 2 3 3" xfId="4107" xr:uid="{00000000-0005-0000-0000-000078010000}"/>
    <cellStyle name="20% - Énfasis2 3 2 2 3 3 2" xfId="269" xr:uid="{00000000-0005-0000-0000-000079010000}"/>
    <cellStyle name="20% - Énfasis2 3 2 2 3 4" xfId="4115" xr:uid="{00000000-0005-0000-0000-00007A010000}"/>
    <cellStyle name="20% - Énfasis2 3 2 2 4" xfId="4119" xr:uid="{00000000-0005-0000-0000-00007B010000}"/>
    <cellStyle name="20% - Énfasis2 3 2 2 4 2" xfId="697" xr:uid="{00000000-0005-0000-0000-00007C010000}"/>
    <cellStyle name="20% - Énfasis2 3 2 2 4 2 2" xfId="4128" xr:uid="{00000000-0005-0000-0000-00007D010000}"/>
    <cellStyle name="20% - Énfasis2 3 2 2 4 3" xfId="773" xr:uid="{00000000-0005-0000-0000-00007E010000}"/>
    <cellStyle name="20% - Énfasis2 3 2 2 5" xfId="4144" xr:uid="{00000000-0005-0000-0000-00007F010000}"/>
    <cellStyle name="20% - Énfasis2 3 2 2 5 2" xfId="4160" xr:uid="{00000000-0005-0000-0000-000080010000}"/>
    <cellStyle name="20% - Énfasis2 3 2 2 5 2 2" xfId="2937" xr:uid="{00000000-0005-0000-0000-000081010000}"/>
    <cellStyle name="20% - Énfasis2 3 2 2 5 3" xfId="4172" xr:uid="{00000000-0005-0000-0000-000082010000}"/>
    <cellStyle name="20% - Énfasis2 3 2 2 6" xfId="4184" xr:uid="{00000000-0005-0000-0000-000083010000}"/>
    <cellStyle name="20% - Énfasis2 3 2 2 6 2" xfId="4194" xr:uid="{00000000-0005-0000-0000-000084010000}"/>
    <cellStyle name="20% - Énfasis2 3 2 2 7" xfId="4206" xr:uid="{00000000-0005-0000-0000-000085010000}"/>
    <cellStyle name="20% - Énfasis2 3 2 2 7 2" xfId="4216" xr:uid="{00000000-0005-0000-0000-000086010000}"/>
    <cellStyle name="20% - Énfasis2 3 2 2 8" xfId="3623" xr:uid="{00000000-0005-0000-0000-000087010000}"/>
    <cellStyle name="20% - Énfasis2 3 2 2 9" xfId="3203" xr:uid="{00000000-0005-0000-0000-000088010000}"/>
    <cellStyle name="20% - Énfasis2 3 2 3" xfId="3445" xr:uid="{00000000-0005-0000-0000-000089010000}"/>
    <cellStyle name="20% - Énfasis2 3 2 3 2" xfId="4223" xr:uid="{00000000-0005-0000-0000-00008A010000}"/>
    <cellStyle name="20% - Énfasis2 3 2 3 2 2" xfId="2503" xr:uid="{00000000-0005-0000-0000-00008B010000}"/>
    <cellStyle name="20% - Énfasis2 3 2 3 2 2 2" xfId="2537" xr:uid="{00000000-0005-0000-0000-00008C010000}"/>
    <cellStyle name="20% - Énfasis2 3 2 3 2 2 2 2" xfId="2557" xr:uid="{00000000-0005-0000-0000-00008D010000}"/>
    <cellStyle name="20% - Énfasis2 3 2 3 2 2 3" xfId="2578" xr:uid="{00000000-0005-0000-0000-00008E010000}"/>
    <cellStyle name="20% - Énfasis2 3 2 3 2 3" xfId="2593" xr:uid="{00000000-0005-0000-0000-00008F010000}"/>
    <cellStyle name="20% - Énfasis2 3 2 3 2 3 2" xfId="2606" xr:uid="{00000000-0005-0000-0000-000090010000}"/>
    <cellStyle name="20% - Énfasis2 3 2 3 2 4" xfId="2623" xr:uid="{00000000-0005-0000-0000-000091010000}"/>
    <cellStyle name="20% - Énfasis2 3 2 3 3" xfId="4253" xr:uid="{00000000-0005-0000-0000-000092010000}"/>
    <cellStyle name="20% - Énfasis2 3 2 3 3 2" xfId="2750" xr:uid="{00000000-0005-0000-0000-000093010000}"/>
    <cellStyle name="20% - Énfasis2 3 2 3 3 2 2" xfId="4255" xr:uid="{00000000-0005-0000-0000-000094010000}"/>
    <cellStyle name="20% - Énfasis2 3 2 3 3 3" xfId="4257" xr:uid="{00000000-0005-0000-0000-000095010000}"/>
    <cellStyle name="20% - Énfasis2 3 2 3 4" xfId="4259" xr:uid="{00000000-0005-0000-0000-000096010000}"/>
    <cellStyle name="20% - Énfasis2 3 2 3 4 2" xfId="707" xr:uid="{00000000-0005-0000-0000-000097010000}"/>
    <cellStyle name="20% - Énfasis2 3 2 3 4 2 2" xfId="4270" xr:uid="{00000000-0005-0000-0000-000098010000}"/>
    <cellStyle name="20% - Énfasis2 3 2 3 4 3" xfId="797" xr:uid="{00000000-0005-0000-0000-000099010000}"/>
    <cellStyle name="20% - Énfasis2 3 2 3 5" xfId="2721" xr:uid="{00000000-0005-0000-0000-00009A010000}"/>
    <cellStyle name="20% - Énfasis2 3 2 3 5 2" xfId="2728" xr:uid="{00000000-0005-0000-0000-00009B010000}"/>
    <cellStyle name="20% - Énfasis2 3 2 3 6" xfId="2736" xr:uid="{00000000-0005-0000-0000-00009C010000}"/>
    <cellStyle name="20% - Énfasis2 3 2 3 6 2" xfId="3894" xr:uid="{00000000-0005-0000-0000-00009D010000}"/>
    <cellStyle name="20% - Énfasis2 3 2 3 7" xfId="4278" xr:uid="{00000000-0005-0000-0000-00009E010000}"/>
    <cellStyle name="20% - Énfasis2 3 2 4" xfId="4280" xr:uid="{00000000-0005-0000-0000-00009F010000}"/>
    <cellStyle name="20% - Énfasis2 3 2 4 2" xfId="453" xr:uid="{00000000-0005-0000-0000-0000A0010000}"/>
    <cellStyle name="20% - Énfasis2 3 2 4 2 2" xfId="2982" xr:uid="{00000000-0005-0000-0000-0000A1010000}"/>
    <cellStyle name="20% - Énfasis2 3 2 4 2 2 2" xfId="2988" xr:uid="{00000000-0005-0000-0000-0000A2010000}"/>
    <cellStyle name="20% - Énfasis2 3 2 4 2 3" xfId="3004" xr:uid="{00000000-0005-0000-0000-0000A3010000}"/>
    <cellStyle name="20% - Énfasis2 3 2 4 3" xfId="542" xr:uid="{00000000-0005-0000-0000-0000A4010000}"/>
    <cellStyle name="20% - Énfasis2 3 2 4 3 2" xfId="1603" xr:uid="{00000000-0005-0000-0000-0000A5010000}"/>
    <cellStyle name="20% - Énfasis2 3 2 4 4" xfId="648" xr:uid="{00000000-0005-0000-0000-0000A6010000}"/>
    <cellStyle name="20% - Énfasis2 3 2 5" xfId="4286" xr:uid="{00000000-0005-0000-0000-0000A7010000}"/>
    <cellStyle name="20% - Énfasis2 3 2 5 2" xfId="4288" xr:uid="{00000000-0005-0000-0000-0000A8010000}"/>
    <cellStyle name="20% - Énfasis2 3 2 5 2 2" xfId="1436" xr:uid="{00000000-0005-0000-0000-0000A9010000}"/>
    <cellStyle name="20% - Énfasis2 3 2 5 3" xfId="4297" xr:uid="{00000000-0005-0000-0000-0000AA010000}"/>
    <cellStyle name="20% - Énfasis2 3 2 6" xfId="1892" xr:uid="{00000000-0005-0000-0000-0000AB010000}"/>
    <cellStyle name="20% - Énfasis2 3 2 6 2" xfId="1911" xr:uid="{00000000-0005-0000-0000-0000AC010000}"/>
    <cellStyle name="20% - Énfasis2 3 2 6 2 2" xfId="1922" xr:uid="{00000000-0005-0000-0000-0000AD010000}"/>
    <cellStyle name="20% - Énfasis2 3 2 6 3" xfId="1940" xr:uid="{00000000-0005-0000-0000-0000AE010000}"/>
    <cellStyle name="20% - Énfasis2 3 2 7" xfId="332" xr:uid="{00000000-0005-0000-0000-0000AF010000}"/>
    <cellStyle name="20% - Énfasis2 3 2 7 2" xfId="1960" xr:uid="{00000000-0005-0000-0000-0000B0010000}"/>
    <cellStyle name="20% - Énfasis2 3 2 8" xfId="378" xr:uid="{00000000-0005-0000-0000-0000B1010000}"/>
    <cellStyle name="20% - Énfasis2 3 2 8 2" xfId="4036" xr:uid="{00000000-0005-0000-0000-0000B2010000}"/>
    <cellStyle name="20% - Énfasis2 3 2 9" xfId="4301" xr:uid="{00000000-0005-0000-0000-0000B3010000}"/>
    <cellStyle name="20% - Énfasis2 3 3" xfId="4304" xr:uid="{00000000-0005-0000-0000-0000B4010000}"/>
    <cellStyle name="20% - Énfasis2 3 3 2" xfId="4319" xr:uid="{00000000-0005-0000-0000-0000B5010000}"/>
    <cellStyle name="20% - Énfasis2 3 3 2 2" xfId="737" xr:uid="{00000000-0005-0000-0000-0000B6010000}"/>
    <cellStyle name="20% - Énfasis2 3 3 2 2 2" xfId="757" xr:uid="{00000000-0005-0000-0000-0000B7010000}"/>
    <cellStyle name="20% - Énfasis2 3 3 2 2 2 2" xfId="1025" xr:uid="{00000000-0005-0000-0000-0000B8010000}"/>
    <cellStyle name="20% - Énfasis2 3 3 2 2 2 2 2" xfId="1059" xr:uid="{00000000-0005-0000-0000-0000B9010000}"/>
    <cellStyle name="20% - Énfasis2 3 3 2 2 2 3" xfId="1077" xr:uid="{00000000-0005-0000-0000-0000BA010000}"/>
    <cellStyle name="20% - Énfasis2 3 3 2 2 3" xfId="397" xr:uid="{00000000-0005-0000-0000-0000BB010000}"/>
    <cellStyle name="20% - Énfasis2 3 3 2 2 3 2" xfId="1102" xr:uid="{00000000-0005-0000-0000-0000BC010000}"/>
    <cellStyle name="20% - Énfasis2 3 3 2 2 4" xfId="850" xr:uid="{00000000-0005-0000-0000-0000BD010000}"/>
    <cellStyle name="20% - Énfasis2 3 3 2 3" xfId="443" xr:uid="{00000000-0005-0000-0000-0000BE010000}"/>
    <cellStyle name="20% - Énfasis2 3 3 2 3 2" xfId="607" xr:uid="{00000000-0005-0000-0000-0000BF010000}"/>
    <cellStyle name="20% - Énfasis2 3 3 2 3 2 2" xfId="3088" xr:uid="{00000000-0005-0000-0000-0000C0010000}"/>
    <cellStyle name="20% - Énfasis2 3 3 2 3 3" xfId="4330" xr:uid="{00000000-0005-0000-0000-0000C1010000}"/>
    <cellStyle name="20% - Énfasis2 3 3 2 4" xfId="523" xr:uid="{00000000-0005-0000-0000-0000C2010000}"/>
    <cellStyle name="20% - Énfasis2 3 3 2 4 2" xfId="2865" xr:uid="{00000000-0005-0000-0000-0000C3010000}"/>
    <cellStyle name="20% - Énfasis2 3 3 2 4 2 2" xfId="298" xr:uid="{00000000-0005-0000-0000-0000C4010000}"/>
    <cellStyle name="20% - Énfasis2 3 3 2 4 3" xfId="990" xr:uid="{00000000-0005-0000-0000-0000C5010000}"/>
    <cellStyle name="20% - Énfasis2 3 3 2 5" xfId="643" xr:uid="{00000000-0005-0000-0000-0000C6010000}"/>
    <cellStyle name="20% - Énfasis2 3 3 2 5 2" xfId="3305" xr:uid="{00000000-0005-0000-0000-0000C7010000}"/>
    <cellStyle name="20% - Énfasis2 3 3 2 6" xfId="4332" xr:uid="{00000000-0005-0000-0000-0000C8010000}"/>
    <cellStyle name="20% - Énfasis2 3 3 2 6 2" xfId="4340" xr:uid="{00000000-0005-0000-0000-0000C9010000}"/>
    <cellStyle name="20% - Énfasis2 3 3 2 7" xfId="4350" xr:uid="{00000000-0005-0000-0000-0000CA010000}"/>
    <cellStyle name="20% - Énfasis2 3 3 3" xfId="4352" xr:uid="{00000000-0005-0000-0000-0000CB010000}"/>
    <cellStyle name="20% - Énfasis2 3 3 3 2" xfId="4367" xr:uid="{00000000-0005-0000-0000-0000CC010000}"/>
    <cellStyle name="20% - Énfasis2 3 3 3 2 2" xfId="1654" xr:uid="{00000000-0005-0000-0000-0000CD010000}"/>
    <cellStyle name="20% - Énfasis2 3 3 3 2 2 2" xfId="3251" xr:uid="{00000000-0005-0000-0000-0000CE010000}"/>
    <cellStyle name="20% - Énfasis2 3 3 3 2 3" xfId="4369" xr:uid="{00000000-0005-0000-0000-0000CF010000}"/>
    <cellStyle name="20% - Énfasis2 3 3 3 3" xfId="4371" xr:uid="{00000000-0005-0000-0000-0000D0010000}"/>
    <cellStyle name="20% - Énfasis2 3 3 3 3 2" xfId="1489" xr:uid="{00000000-0005-0000-0000-0000D1010000}"/>
    <cellStyle name="20% - Énfasis2 3 3 3 4" xfId="4374" xr:uid="{00000000-0005-0000-0000-0000D2010000}"/>
    <cellStyle name="20% - Énfasis2 3 3 4" xfId="4376" xr:uid="{00000000-0005-0000-0000-0000D3010000}"/>
    <cellStyle name="20% - Énfasis2 3 3 4 2" xfId="326" xr:uid="{00000000-0005-0000-0000-0000D4010000}"/>
    <cellStyle name="20% - Énfasis2 3 3 4 2 2" xfId="1954" xr:uid="{00000000-0005-0000-0000-0000D5010000}"/>
    <cellStyle name="20% - Énfasis2 3 3 4 3" xfId="366" xr:uid="{00000000-0005-0000-0000-0000D6010000}"/>
    <cellStyle name="20% - Énfasis2 3 3 5" xfId="4381" xr:uid="{00000000-0005-0000-0000-0000D7010000}"/>
    <cellStyle name="20% - Énfasis2 3 3 5 2" xfId="4386" xr:uid="{00000000-0005-0000-0000-0000D8010000}"/>
    <cellStyle name="20% - Énfasis2 3 3 5 2 2" xfId="4007" xr:uid="{00000000-0005-0000-0000-0000D9010000}"/>
    <cellStyle name="20% - Énfasis2 3 3 5 3" xfId="4390" xr:uid="{00000000-0005-0000-0000-0000DA010000}"/>
    <cellStyle name="20% - Énfasis2 3 3 6" xfId="4397" xr:uid="{00000000-0005-0000-0000-0000DB010000}"/>
    <cellStyle name="20% - Énfasis2 3 3 6 2" xfId="223" xr:uid="{00000000-0005-0000-0000-0000DC010000}"/>
    <cellStyle name="20% - Énfasis2 3 3 7" xfId="4385" xr:uid="{00000000-0005-0000-0000-0000DD010000}"/>
    <cellStyle name="20% - Énfasis2 3 3 7 2" xfId="4014" xr:uid="{00000000-0005-0000-0000-0000DE010000}"/>
    <cellStyle name="20% - Énfasis2 3 4" xfId="4400" xr:uid="{00000000-0005-0000-0000-0000DF010000}"/>
    <cellStyle name="20% - Énfasis2 3 4 2" xfId="4418" xr:uid="{00000000-0005-0000-0000-0000E0010000}"/>
    <cellStyle name="20% - Énfasis2 3 4 2 2" xfId="4448" xr:uid="{00000000-0005-0000-0000-0000E1010000}"/>
    <cellStyle name="20% - Énfasis2 3 4 2 2 2" xfId="385" xr:uid="{00000000-0005-0000-0000-0000E2010000}"/>
    <cellStyle name="20% - Énfasis2 3 4 2 2 2 2" xfId="4054" xr:uid="{00000000-0005-0000-0000-0000E3010000}"/>
    <cellStyle name="20% - Énfasis2 3 4 2 2 2 2 2" xfId="4057" xr:uid="{00000000-0005-0000-0000-0000E4010000}"/>
    <cellStyle name="20% - Énfasis2 3 4 2 2 2 3" xfId="2963" xr:uid="{00000000-0005-0000-0000-0000E5010000}"/>
    <cellStyle name="20% - Énfasis2 3 4 2 2 3" xfId="4466" xr:uid="{00000000-0005-0000-0000-0000E6010000}"/>
    <cellStyle name="20% - Énfasis2 3 4 2 2 3 2" xfId="4467" xr:uid="{00000000-0005-0000-0000-0000E7010000}"/>
    <cellStyle name="20% - Énfasis2 3 4 2 2 4" xfId="4471" xr:uid="{00000000-0005-0000-0000-0000E8010000}"/>
    <cellStyle name="20% - Énfasis2 3 4 2 3" xfId="4497" xr:uid="{00000000-0005-0000-0000-0000E9010000}"/>
    <cellStyle name="20% - Énfasis2 3 4 2 3 2" xfId="4505" xr:uid="{00000000-0005-0000-0000-0000EA010000}"/>
    <cellStyle name="20% - Énfasis2 3 4 2 3 2 2" xfId="4506" xr:uid="{00000000-0005-0000-0000-0000EB010000}"/>
    <cellStyle name="20% - Énfasis2 3 4 2 3 3" xfId="4508" xr:uid="{00000000-0005-0000-0000-0000EC010000}"/>
    <cellStyle name="20% - Énfasis2 3 4 2 4" xfId="4518" xr:uid="{00000000-0005-0000-0000-0000ED010000}"/>
    <cellStyle name="20% - Énfasis2 3 4 2 4 2" xfId="4525" xr:uid="{00000000-0005-0000-0000-0000EE010000}"/>
    <cellStyle name="20% - Énfasis2 3 4 2 4 2 2" xfId="4533" xr:uid="{00000000-0005-0000-0000-0000EF010000}"/>
    <cellStyle name="20% - Énfasis2 3 4 2 4 3" xfId="4535" xr:uid="{00000000-0005-0000-0000-0000F0010000}"/>
    <cellStyle name="20% - Énfasis2 3 4 2 5" xfId="4537" xr:uid="{00000000-0005-0000-0000-0000F1010000}"/>
    <cellStyle name="20% - Énfasis2 3 4 2 5 2" xfId="4539" xr:uid="{00000000-0005-0000-0000-0000F2010000}"/>
    <cellStyle name="20% - Énfasis2 3 4 2 6" xfId="2990" xr:uid="{00000000-0005-0000-0000-0000F3010000}"/>
    <cellStyle name="20% - Énfasis2 3 4 2 6 2" xfId="4546" xr:uid="{00000000-0005-0000-0000-0000F4010000}"/>
    <cellStyle name="20% - Énfasis2 3 4 2 7" xfId="115" xr:uid="{00000000-0005-0000-0000-0000F5010000}"/>
    <cellStyle name="20% - Énfasis2 3 4 3" xfId="4551" xr:uid="{00000000-0005-0000-0000-0000F6010000}"/>
    <cellStyle name="20% - Énfasis2 3 4 3 2" xfId="4569" xr:uid="{00000000-0005-0000-0000-0000F7010000}"/>
    <cellStyle name="20% - Énfasis2 3 4 3 2 2" xfId="4572" xr:uid="{00000000-0005-0000-0000-0000F8010000}"/>
    <cellStyle name="20% - Énfasis2 3 4 3 2 2 2" xfId="4589" xr:uid="{00000000-0005-0000-0000-0000F9010000}"/>
    <cellStyle name="20% - Énfasis2 3 4 3 2 3" xfId="4594" xr:uid="{00000000-0005-0000-0000-0000FA010000}"/>
    <cellStyle name="20% - Énfasis2 3 4 3 3" xfId="4601" xr:uid="{00000000-0005-0000-0000-0000FB010000}"/>
    <cellStyle name="20% - Énfasis2 3 4 3 3 2" xfId="4603" xr:uid="{00000000-0005-0000-0000-0000FC010000}"/>
    <cellStyle name="20% - Énfasis2 3 4 3 4" xfId="4607" xr:uid="{00000000-0005-0000-0000-0000FD010000}"/>
    <cellStyle name="20% - Énfasis2 3 4 4" xfId="4610" xr:uid="{00000000-0005-0000-0000-0000FE010000}"/>
    <cellStyle name="20% - Énfasis2 3 4 4 2" xfId="4615" xr:uid="{00000000-0005-0000-0000-0000FF010000}"/>
    <cellStyle name="20% - Énfasis2 3 4 4 2 2" xfId="4623" xr:uid="{00000000-0005-0000-0000-000000020000}"/>
    <cellStyle name="20% - Énfasis2 3 4 4 3" xfId="4630" xr:uid="{00000000-0005-0000-0000-000001020000}"/>
    <cellStyle name="20% - Énfasis2 3 4 5" xfId="4640" xr:uid="{00000000-0005-0000-0000-000002020000}"/>
    <cellStyle name="20% - Énfasis2 3 4 5 2" xfId="4647" xr:uid="{00000000-0005-0000-0000-000003020000}"/>
    <cellStyle name="20% - Énfasis2 3 4 5 2 2" xfId="4649" xr:uid="{00000000-0005-0000-0000-000004020000}"/>
    <cellStyle name="20% - Énfasis2 3 4 5 3" xfId="4661" xr:uid="{00000000-0005-0000-0000-000005020000}"/>
    <cellStyle name="20% - Énfasis2 3 4 6" xfId="2019" xr:uid="{00000000-0005-0000-0000-000006020000}"/>
    <cellStyle name="20% - Énfasis2 3 4 6 2" xfId="2044" xr:uid="{00000000-0005-0000-0000-000007020000}"/>
    <cellStyle name="20% - Énfasis2 3 4 7" xfId="221" xr:uid="{00000000-0005-0000-0000-000008020000}"/>
    <cellStyle name="20% - Énfasis2 3 4 7 2" xfId="185" xr:uid="{00000000-0005-0000-0000-000009020000}"/>
    <cellStyle name="20% - Énfasis2 3 4 8" xfId="3988" xr:uid="{00000000-0005-0000-0000-00000A020000}"/>
    <cellStyle name="20% - Énfasis2 3 4 9" xfId="4669" xr:uid="{00000000-0005-0000-0000-00000B020000}"/>
    <cellStyle name="20% - Énfasis2 3 5" xfId="3273" xr:uid="{00000000-0005-0000-0000-00000C020000}"/>
    <cellStyle name="20% - Énfasis2 3 5 2" xfId="4673" xr:uid="{00000000-0005-0000-0000-00000D020000}"/>
    <cellStyle name="20% - Énfasis2 3 5 2 2" xfId="4690" xr:uid="{00000000-0005-0000-0000-00000E020000}"/>
    <cellStyle name="20% - Énfasis2 3 5 2 2 2" xfId="2446" xr:uid="{00000000-0005-0000-0000-00000F020000}"/>
    <cellStyle name="20% - Énfasis2 3 5 2 2 2 2" xfId="4705" xr:uid="{00000000-0005-0000-0000-000010020000}"/>
    <cellStyle name="20% - Énfasis2 3 5 2 2 2 2 2" xfId="4709" xr:uid="{00000000-0005-0000-0000-000011020000}"/>
    <cellStyle name="20% - Énfasis2 3 5 2 2 2 3" xfId="4721" xr:uid="{00000000-0005-0000-0000-000012020000}"/>
    <cellStyle name="20% - Énfasis2 3 5 2 2 3" xfId="1861" xr:uid="{00000000-0005-0000-0000-000013020000}"/>
    <cellStyle name="20% - Énfasis2 3 5 2 2 3 2" xfId="1881" xr:uid="{00000000-0005-0000-0000-000014020000}"/>
    <cellStyle name="20% - Énfasis2 3 5 2 2 4" xfId="2134" xr:uid="{00000000-0005-0000-0000-000015020000}"/>
    <cellStyle name="20% - Énfasis2 3 5 2 3" xfId="4730" xr:uid="{00000000-0005-0000-0000-000016020000}"/>
    <cellStyle name="20% - Énfasis2 3 5 2 3 2" xfId="4731" xr:uid="{00000000-0005-0000-0000-000017020000}"/>
    <cellStyle name="20% - Énfasis2 3 5 2 3 2 2" xfId="4738" xr:uid="{00000000-0005-0000-0000-000018020000}"/>
    <cellStyle name="20% - Énfasis2 3 5 2 3 3" xfId="2306" xr:uid="{00000000-0005-0000-0000-000019020000}"/>
    <cellStyle name="20% - Énfasis2 3 5 2 4" xfId="4741" xr:uid="{00000000-0005-0000-0000-00001A020000}"/>
    <cellStyle name="20% - Énfasis2 3 5 2 4 2" xfId="4743" xr:uid="{00000000-0005-0000-0000-00001B020000}"/>
    <cellStyle name="20% - Énfasis2 3 5 2 4 2 2" xfId="4745" xr:uid="{00000000-0005-0000-0000-00001C020000}"/>
    <cellStyle name="20% - Énfasis2 3 5 2 4 3" xfId="2901" xr:uid="{00000000-0005-0000-0000-00001D020000}"/>
    <cellStyle name="20% - Énfasis2 3 5 2 5" xfId="4748" xr:uid="{00000000-0005-0000-0000-00001E020000}"/>
    <cellStyle name="20% - Énfasis2 3 5 2 5 2" xfId="4760" xr:uid="{00000000-0005-0000-0000-00001F020000}"/>
    <cellStyle name="20% - Énfasis2 3 5 2 6" xfId="4763" xr:uid="{00000000-0005-0000-0000-000020020000}"/>
    <cellStyle name="20% - Énfasis2 3 5 2 6 2" xfId="4774" xr:uid="{00000000-0005-0000-0000-000021020000}"/>
    <cellStyle name="20% - Énfasis2 3 5 2 7" xfId="4784" xr:uid="{00000000-0005-0000-0000-000022020000}"/>
    <cellStyle name="20% - Énfasis2 3 5 3" xfId="4793" xr:uid="{00000000-0005-0000-0000-000023020000}"/>
    <cellStyle name="20% - Énfasis2 3 5 3 2" xfId="4802" xr:uid="{00000000-0005-0000-0000-000024020000}"/>
    <cellStyle name="20% - Énfasis2 3 5 3 2 2" xfId="4276" xr:uid="{00000000-0005-0000-0000-000025020000}"/>
    <cellStyle name="20% - Énfasis2 3 5 3 2 2 2" xfId="4811" xr:uid="{00000000-0005-0000-0000-000026020000}"/>
    <cellStyle name="20% - Énfasis2 3 5 3 2 3" xfId="173" xr:uid="{00000000-0005-0000-0000-000027020000}"/>
    <cellStyle name="20% - Énfasis2 3 5 3 3" xfId="2166" xr:uid="{00000000-0005-0000-0000-000028020000}"/>
    <cellStyle name="20% - Énfasis2 3 5 3 3 2" xfId="4812" xr:uid="{00000000-0005-0000-0000-000029020000}"/>
    <cellStyle name="20% - Énfasis2 3 5 3 4" xfId="4816" xr:uid="{00000000-0005-0000-0000-00002A020000}"/>
    <cellStyle name="20% - Énfasis2 3 5 4" xfId="4825" xr:uid="{00000000-0005-0000-0000-00002B020000}"/>
    <cellStyle name="20% - Énfasis2 3 5 4 2" xfId="4837" xr:uid="{00000000-0005-0000-0000-00002C020000}"/>
    <cellStyle name="20% - Énfasis2 3 5 4 2 2" xfId="4839" xr:uid="{00000000-0005-0000-0000-00002D020000}"/>
    <cellStyle name="20% - Énfasis2 3 5 4 3" xfId="4851" xr:uid="{00000000-0005-0000-0000-00002E020000}"/>
    <cellStyle name="20% - Énfasis2 3 5 5" xfId="1826" xr:uid="{00000000-0005-0000-0000-00002F020000}"/>
    <cellStyle name="20% - Énfasis2 3 5 5 2" xfId="1121" xr:uid="{00000000-0005-0000-0000-000030020000}"/>
    <cellStyle name="20% - Énfasis2 3 5 5 2 2" xfId="4855" xr:uid="{00000000-0005-0000-0000-000031020000}"/>
    <cellStyle name="20% - Énfasis2 3 5 5 3" xfId="4586" xr:uid="{00000000-0005-0000-0000-000032020000}"/>
    <cellStyle name="20% - Énfasis2 3 5 6" xfId="2080" xr:uid="{00000000-0005-0000-0000-000033020000}"/>
    <cellStyle name="20% - Énfasis2 3 5 6 2" xfId="3999" xr:uid="{00000000-0005-0000-0000-000034020000}"/>
    <cellStyle name="20% - Énfasis2 3 5 7" xfId="4011" xr:uid="{00000000-0005-0000-0000-000035020000}"/>
    <cellStyle name="20% - Énfasis2 3 5 7 2" xfId="4885" xr:uid="{00000000-0005-0000-0000-000036020000}"/>
    <cellStyle name="20% - Énfasis2 3 5 8" xfId="4888" xr:uid="{00000000-0005-0000-0000-000037020000}"/>
    <cellStyle name="20% - Énfasis2 3 6" xfId="4902" xr:uid="{00000000-0005-0000-0000-000038020000}"/>
    <cellStyle name="20% - Énfasis2 3 6 2" xfId="2465" xr:uid="{00000000-0005-0000-0000-000039020000}"/>
    <cellStyle name="20% - Énfasis2 3 6 2 2" xfId="2484" xr:uid="{00000000-0005-0000-0000-00003A020000}"/>
    <cellStyle name="20% - Énfasis2 3 6 2 2 2" xfId="1083" xr:uid="{00000000-0005-0000-0000-00003B020000}"/>
    <cellStyle name="20% - Énfasis2 3 6 2 2 2 2" xfId="4906" xr:uid="{00000000-0005-0000-0000-00003C020000}"/>
    <cellStyle name="20% - Énfasis2 3 6 2 2 3" xfId="4325" xr:uid="{00000000-0005-0000-0000-00003D020000}"/>
    <cellStyle name="20% - Énfasis2 3 6 2 3" xfId="2497" xr:uid="{00000000-0005-0000-0000-00003E020000}"/>
    <cellStyle name="20% - Énfasis2 3 6 2 3 2" xfId="4910" xr:uid="{00000000-0005-0000-0000-00003F020000}"/>
    <cellStyle name="20% - Énfasis2 3 6 2 4" xfId="4734" xr:uid="{00000000-0005-0000-0000-000040020000}"/>
    <cellStyle name="20% - Énfasis2 3 6 3" xfId="2516" xr:uid="{00000000-0005-0000-0000-000041020000}"/>
    <cellStyle name="20% - Énfasis2 3 6 3 2" xfId="2543" xr:uid="{00000000-0005-0000-0000-000042020000}"/>
    <cellStyle name="20% - Énfasis2 3 6 3 2 2" xfId="2567" xr:uid="{00000000-0005-0000-0000-000043020000}"/>
    <cellStyle name="20% - Énfasis2 3 6 3 3" xfId="2589" xr:uid="{00000000-0005-0000-0000-000044020000}"/>
    <cellStyle name="20% - Énfasis2 3 6 4" xfId="2598" xr:uid="{00000000-0005-0000-0000-000045020000}"/>
    <cellStyle name="20% - Énfasis2 3 6 4 2" xfId="2610" xr:uid="{00000000-0005-0000-0000-000046020000}"/>
    <cellStyle name="20% - Énfasis2 3 6 4 2 2" xfId="55" xr:uid="{00000000-0005-0000-0000-000047020000}"/>
    <cellStyle name="20% - Énfasis2 3 6 4 3" xfId="4924" xr:uid="{00000000-0005-0000-0000-000048020000}"/>
    <cellStyle name="20% - Énfasis2 3 6 5" xfId="2628" xr:uid="{00000000-0005-0000-0000-000049020000}"/>
    <cellStyle name="20% - Énfasis2 3 6 5 2" xfId="2631" xr:uid="{00000000-0005-0000-0000-00004A020000}"/>
    <cellStyle name="20% - Énfasis2 3 6 6" xfId="2097" xr:uid="{00000000-0005-0000-0000-00004B020000}"/>
    <cellStyle name="20% - Énfasis2 3 6 6 2" xfId="4025" xr:uid="{00000000-0005-0000-0000-00004C020000}"/>
    <cellStyle name="20% - Énfasis2 3 6 7" xfId="4033" xr:uid="{00000000-0005-0000-0000-00004D020000}"/>
    <cellStyle name="20% - Énfasis2 3 7" xfId="4937" xr:uid="{00000000-0005-0000-0000-00004E020000}"/>
    <cellStyle name="20% - Énfasis2 3 7 2" xfId="2744" xr:uid="{00000000-0005-0000-0000-00004F020000}"/>
    <cellStyle name="20% - Énfasis2 3 7 2 2" xfId="723" xr:uid="{00000000-0005-0000-0000-000050020000}"/>
    <cellStyle name="20% - Énfasis2 3 7 2 2 2" xfId="4952" xr:uid="{00000000-0005-0000-0000-000051020000}"/>
    <cellStyle name="20% - Énfasis2 3 7 2 3" xfId="4958" xr:uid="{00000000-0005-0000-0000-000052020000}"/>
    <cellStyle name="20% - Énfasis2 3 7 3" xfId="2761" xr:uid="{00000000-0005-0000-0000-000053020000}"/>
    <cellStyle name="20% - Énfasis2 3 7 3 2" xfId="4961" xr:uid="{00000000-0005-0000-0000-000054020000}"/>
    <cellStyle name="20% - Énfasis2 3 7 4" xfId="4964" xr:uid="{00000000-0005-0000-0000-000055020000}"/>
    <cellStyle name="20% - Énfasis2 3 8" xfId="4971" xr:uid="{00000000-0005-0000-0000-000056020000}"/>
    <cellStyle name="20% - Énfasis2 3 8 2" xfId="626" xr:uid="{00000000-0005-0000-0000-000057020000}"/>
    <cellStyle name="20% - Énfasis2 3 8 2 2" xfId="877" xr:uid="{00000000-0005-0000-0000-000058020000}"/>
    <cellStyle name="20% - Énfasis2 3 8 3" xfId="715" xr:uid="{00000000-0005-0000-0000-000059020000}"/>
    <cellStyle name="20% - Énfasis2 3 9" xfId="4982" xr:uid="{00000000-0005-0000-0000-00005A020000}"/>
    <cellStyle name="20% - Énfasis2 3 9 2" xfId="2847" xr:uid="{00000000-0005-0000-0000-00005B020000}"/>
    <cellStyle name="20% - Énfasis2 3 9 2 2" xfId="5002" xr:uid="{00000000-0005-0000-0000-00005C020000}"/>
    <cellStyle name="20% - Énfasis2 3 9 3" xfId="5010" xr:uid="{00000000-0005-0000-0000-00005D020000}"/>
    <cellStyle name="20% - Énfasis2 4" xfId="5015" xr:uid="{00000000-0005-0000-0000-00005E020000}"/>
    <cellStyle name="20% - Énfasis2 4 2" xfId="5028" xr:uid="{00000000-0005-0000-0000-00005F020000}"/>
    <cellStyle name="20% - Énfasis2 4 2 2" xfId="5031" xr:uid="{00000000-0005-0000-0000-000060020000}"/>
    <cellStyle name="20% - Énfasis2 4 2 2 2" xfId="5036" xr:uid="{00000000-0005-0000-0000-000061020000}"/>
    <cellStyle name="20% - Énfasis2 4 2 2 2 2" xfId="531" xr:uid="{00000000-0005-0000-0000-000062020000}"/>
    <cellStyle name="20% - Énfasis2 4 2 2 3" xfId="5047" xr:uid="{00000000-0005-0000-0000-000063020000}"/>
    <cellStyle name="20% - Énfasis2 4 2 2 4" xfId="5060" xr:uid="{00000000-0005-0000-0000-000064020000}"/>
    <cellStyle name="20% - Énfasis2 4 2 3" xfId="5066" xr:uid="{00000000-0005-0000-0000-000065020000}"/>
    <cellStyle name="20% - Énfasis2 4 2 3 2" xfId="5073" xr:uid="{00000000-0005-0000-0000-000066020000}"/>
    <cellStyle name="20% - Énfasis2 4 2 4" xfId="5080" xr:uid="{00000000-0005-0000-0000-000067020000}"/>
    <cellStyle name="20% - Énfasis2 4 2 4 2" xfId="5091" xr:uid="{00000000-0005-0000-0000-000068020000}"/>
    <cellStyle name="20% - Énfasis2 4 2 5" xfId="5092" xr:uid="{00000000-0005-0000-0000-000069020000}"/>
    <cellStyle name="20% - Énfasis2 4 2 6" xfId="5095" xr:uid="{00000000-0005-0000-0000-00006A020000}"/>
    <cellStyle name="20% - Énfasis2 4 3" xfId="5098" xr:uid="{00000000-0005-0000-0000-00006B020000}"/>
    <cellStyle name="20% - Énfasis2 4 3 2" xfId="5109" xr:uid="{00000000-0005-0000-0000-00006C020000}"/>
    <cellStyle name="20% - Énfasis2 4 3 2 2" xfId="5120" xr:uid="{00000000-0005-0000-0000-00006D020000}"/>
    <cellStyle name="20% - Énfasis2 4 3 3" xfId="5122" xr:uid="{00000000-0005-0000-0000-00006E020000}"/>
    <cellStyle name="20% - Énfasis2 4 3 4" xfId="5128" xr:uid="{00000000-0005-0000-0000-00006F020000}"/>
    <cellStyle name="20% - Énfasis2 4 4" xfId="3226" xr:uid="{00000000-0005-0000-0000-000070020000}"/>
    <cellStyle name="20% - Énfasis2 4 4 2" xfId="5133" xr:uid="{00000000-0005-0000-0000-000071020000}"/>
    <cellStyle name="20% - Énfasis2 4 4 2 2" xfId="5152" xr:uid="{00000000-0005-0000-0000-000072020000}"/>
    <cellStyle name="20% - Énfasis2 4 4 3" xfId="5157" xr:uid="{00000000-0005-0000-0000-000073020000}"/>
    <cellStyle name="20% - Énfasis2 4 5" xfId="5170" xr:uid="{00000000-0005-0000-0000-000074020000}"/>
    <cellStyle name="20% - Énfasis2 4 5 2" xfId="5178" xr:uid="{00000000-0005-0000-0000-000075020000}"/>
    <cellStyle name="20% - Énfasis2 4 6" xfId="5187" xr:uid="{00000000-0005-0000-0000-000076020000}"/>
    <cellStyle name="20% - Énfasis2 4 6 2" xfId="2941" xr:uid="{00000000-0005-0000-0000-000077020000}"/>
    <cellStyle name="20% - Énfasis2 4 7" xfId="1558" xr:uid="{00000000-0005-0000-0000-000078020000}"/>
    <cellStyle name="20% - Énfasis2 4 8" xfId="1626" xr:uid="{00000000-0005-0000-0000-000079020000}"/>
    <cellStyle name="20% - Énfasis2 5" xfId="5203" xr:uid="{00000000-0005-0000-0000-00007A020000}"/>
    <cellStyle name="20% - Énfasis2 5 2" xfId="5204" xr:uid="{00000000-0005-0000-0000-00007B020000}"/>
    <cellStyle name="20% - Énfasis2 5 2 2" xfId="3493" xr:uid="{00000000-0005-0000-0000-00007C020000}"/>
    <cellStyle name="20% - Énfasis2 5 2 2 2" xfId="3510" xr:uid="{00000000-0005-0000-0000-00007D020000}"/>
    <cellStyle name="20% - Énfasis2 5 2 3" xfId="3563" xr:uid="{00000000-0005-0000-0000-00007E020000}"/>
    <cellStyle name="20% - Énfasis2 5 2 4" xfId="3594" xr:uid="{00000000-0005-0000-0000-00007F020000}"/>
    <cellStyle name="20% - Énfasis2 5 3" xfId="176" xr:uid="{00000000-0005-0000-0000-000080020000}"/>
    <cellStyle name="20% - Énfasis2 5 3 2" xfId="558" xr:uid="{00000000-0005-0000-0000-000081020000}"/>
    <cellStyle name="20% - Énfasis2 5 3 2 2" xfId="896" xr:uid="{00000000-0005-0000-0000-000082020000}"/>
    <cellStyle name="20% - Énfasis2 5 3 3" xfId="661" xr:uid="{00000000-0005-0000-0000-000083020000}"/>
    <cellStyle name="20% - Énfasis2 5 4" xfId="1135" xr:uid="{00000000-0005-0000-0000-000084020000}"/>
    <cellStyle name="20% - Énfasis2 5 4 2" xfId="1164" xr:uid="{00000000-0005-0000-0000-000085020000}"/>
    <cellStyle name="20% - Énfasis2 5 5" xfId="1293" xr:uid="{00000000-0005-0000-0000-000086020000}"/>
    <cellStyle name="20% - Énfasis2 5 5 2" xfId="1321" xr:uid="{00000000-0005-0000-0000-000087020000}"/>
    <cellStyle name="20% - Énfasis2 5 6" xfId="1357" xr:uid="{00000000-0005-0000-0000-000088020000}"/>
    <cellStyle name="20% - Énfasis2 5 7" xfId="1461" xr:uid="{00000000-0005-0000-0000-000089020000}"/>
    <cellStyle name="20% - Énfasis2 6" xfId="5212" xr:uid="{00000000-0005-0000-0000-00008A020000}"/>
    <cellStyle name="20% - Énfasis2 6 2" xfId="834" xr:uid="{00000000-0005-0000-0000-00008B020000}"/>
    <cellStyle name="20% - Énfasis2 6 2 2" xfId="4936" xr:uid="{00000000-0005-0000-0000-00008C020000}"/>
    <cellStyle name="20% - Énfasis2 6 2 2 2" xfId="2743" xr:uid="{00000000-0005-0000-0000-00008D020000}"/>
    <cellStyle name="20% - Énfasis2 6 2 3" xfId="4970" xr:uid="{00000000-0005-0000-0000-00008E020000}"/>
    <cellStyle name="20% - Énfasis2 6 2 4" xfId="4981" xr:uid="{00000000-0005-0000-0000-00008F020000}"/>
    <cellStyle name="20% - Énfasis2 6 3" xfId="1530" xr:uid="{00000000-0005-0000-0000-000090020000}"/>
    <cellStyle name="20% - Énfasis2 6 3 2" xfId="1557" xr:uid="{00000000-0005-0000-0000-000091020000}"/>
    <cellStyle name="20% - Énfasis2 6 4" xfId="1665" xr:uid="{00000000-0005-0000-0000-000092020000}"/>
    <cellStyle name="20% - Énfasis2 6 4 2" xfId="1460" xr:uid="{00000000-0005-0000-0000-000093020000}"/>
    <cellStyle name="20% - Énfasis2 6 5" xfId="1681" xr:uid="{00000000-0005-0000-0000-000094020000}"/>
    <cellStyle name="20% - Énfasis2 6 6" xfId="138" xr:uid="{00000000-0005-0000-0000-000095020000}"/>
    <cellStyle name="20% - Énfasis2 7" xfId="5213" xr:uid="{00000000-0005-0000-0000-000096020000}"/>
    <cellStyle name="20% - Énfasis2 7 2" xfId="5215" xr:uid="{00000000-0005-0000-0000-000097020000}"/>
    <cellStyle name="20% - Énfasis2 7 2 2" xfId="5224" xr:uid="{00000000-0005-0000-0000-000098020000}"/>
    <cellStyle name="20% - Énfasis2 7 3" xfId="1719" xr:uid="{00000000-0005-0000-0000-000099020000}"/>
    <cellStyle name="20% - Énfasis2 8" xfId="5231" xr:uid="{00000000-0005-0000-0000-00009A020000}"/>
    <cellStyle name="20% - Énfasis2 8 2" xfId="5234" xr:uid="{00000000-0005-0000-0000-00009B020000}"/>
    <cellStyle name="20% - Énfasis2 9" xfId="5251" xr:uid="{00000000-0005-0000-0000-00009C020000}"/>
    <cellStyle name="20% - Énfasis2 9 2" xfId="5253" xr:uid="{00000000-0005-0000-0000-00009D020000}"/>
    <cellStyle name="20% - Énfasis3 2" xfId="5258" xr:uid="{00000000-0005-0000-0000-00009E020000}"/>
    <cellStyle name="20% - Énfasis3 2 2" xfId="5260" xr:uid="{00000000-0005-0000-0000-00009F020000}"/>
    <cellStyle name="20% - Énfasis3 3" xfId="5264" xr:uid="{00000000-0005-0000-0000-0000A0020000}"/>
    <cellStyle name="20% - Énfasis3 3 10" xfId="389" xr:uid="{00000000-0005-0000-0000-0000A1020000}"/>
    <cellStyle name="20% - Énfasis3 3 10 2" xfId="1093" xr:uid="{00000000-0005-0000-0000-0000A2020000}"/>
    <cellStyle name="20% - Énfasis3 3 11" xfId="856" xr:uid="{00000000-0005-0000-0000-0000A3020000}"/>
    <cellStyle name="20% - Énfasis3 3 11 2" xfId="117" xr:uid="{00000000-0005-0000-0000-0000A4020000}"/>
    <cellStyle name="20% - Énfasis3 3 12" xfId="1123" xr:uid="{00000000-0005-0000-0000-0000A5020000}"/>
    <cellStyle name="20% - Énfasis3 3 12 2" xfId="4874" xr:uid="{00000000-0005-0000-0000-0000A6020000}"/>
    <cellStyle name="20% - Énfasis3 3 13" xfId="4591" xr:uid="{00000000-0005-0000-0000-0000A7020000}"/>
    <cellStyle name="20% - Énfasis3 3 14" xfId="5269" xr:uid="{00000000-0005-0000-0000-0000A8020000}"/>
    <cellStyle name="20% - Énfasis3 3 2" xfId="5273" xr:uid="{00000000-0005-0000-0000-0000A9020000}"/>
    <cellStyle name="20% - Énfasis3 3 2 10" xfId="5294" xr:uid="{00000000-0005-0000-0000-0000AA020000}"/>
    <cellStyle name="20% - Énfasis3 3 2 2" xfId="5304" xr:uid="{00000000-0005-0000-0000-0000AB020000}"/>
    <cellStyle name="20% - Énfasis3 3 2 2 2" xfId="3017" xr:uid="{00000000-0005-0000-0000-0000AC020000}"/>
    <cellStyle name="20% - Énfasis3 3 2 2 2 2" xfId="3047" xr:uid="{00000000-0005-0000-0000-0000AD020000}"/>
    <cellStyle name="20% - Énfasis3 3 2 2 2 2 2" xfId="3065" xr:uid="{00000000-0005-0000-0000-0000AE020000}"/>
    <cellStyle name="20% - Énfasis3 3 2 2 2 2 2 2" xfId="3084" xr:uid="{00000000-0005-0000-0000-0000AF020000}"/>
    <cellStyle name="20% - Énfasis3 3 2 2 2 2 2 2 2" xfId="5317" xr:uid="{00000000-0005-0000-0000-0000B0020000}"/>
    <cellStyle name="20% - Énfasis3 3 2 2 2 2 2 3" xfId="5331" xr:uid="{00000000-0005-0000-0000-0000B1020000}"/>
    <cellStyle name="20% - Énfasis3 3 2 2 2 2 3" xfId="3109" xr:uid="{00000000-0005-0000-0000-0000B2020000}"/>
    <cellStyle name="20% - Énfasis3 3 2 2 2 2 3 2" xfId="5344" xr:uid="{00000000-0005-0000-0000-0000B3020000}"/>
    <cellStyle name="20% - Énfasis3 3 2 2 2 2 4" xfId="2560" xr:uid="{00000000-0005-0000-0000-0000B4020000}"/>
    <cellStyle name="20% - Énfasis3 3 2 2 2 3" xfId="1574" xr:uid="{00000000-0005-0000-0000-0000B5020000}"/>
    <cellStyle name="20% - Énfasis3 3 2 2 2 3 2" xfId="1587" xr:uid="{00000000-0005-0000-0000-0000B6020000}"/>
    <cellStyle name="20% - Énfasis3 3 2 2 2 3 2 2" xfId="5357" xr:uid="{00000000-0005-0000-0000-0000B7020000}"/>
    <cellStyle name="20% - Énfasis3 3 2 2 2 3 3" xfId="5368" xr:uid="{00000000-0005-0000-0000-0000B8020000}"/>
    <cellStyle name="20% - Énfasis3 3 2 2 2 4" xfId="1610" xr:uid="{00000000-0005-0000-0000-0000B9020000}"/>
    <cellStyle name="20% - Énfasis3 3 2 2 2 4 2" xfId="3838" xr:uid="{00000000-0005-0000-0000-0000BA020000}"/>
    <cellStyle name="20% - Énfasis3 3 2 2 2 4 2 2" xfId="417" xr:uid="{00000000-0005-0000-0000-0000BB020000}"/>
    <cellStyle name="20% - Énfasis3 3 2 2 2 4 3" xfId="5386" xr:uid="{00000000-0005-0000-0000-0000BC020000}"/>
    <cellStyle name="20% - Énfasis3 3 2 2 2 5" xfId="5399" xr:uid="{00000000-0005-0000-0000-0000BD020000}"/>
    <cellStyle name="20% - Énfasis3 3 2 2 2 5 2" xfId="5249" xr:uid="{00000000-0005-0000-0000-0000BE020000}"/>
    <cellStyle name="20% - Énfasis3 3 2 2 2 6" xfId="5411" xr:uid="{00000000-0005-0000-0000-0000BF020000}"/>
    <cellStyle name="20% - Énfasis3 3 2 2 2 6 2" xfId="5423" xr:uid="{00000000-0005-0000-0000-0000C0020000}"/>
    <cellStyle name="20% - Énfasis3 3 2 2 2 7" xfId="5433" xr:uid="{00000000-0005-0000-0000-0000C1020000}"/>
    <cellStyle name="20% - Énfasis3 3 2 2 3" xfId="3118" xr:uid="{00000000-0005-0000-0000-0000C2020000}"/>
    <cellStyle name="20% - Énfasis3 3 2 2 3 2" xfId="3137" xr:uid="{00000000-0005-0000-0000-0000C3020000}"/>
    <cellStyle name="20% - Énfasis3 3 2 2 3 2 2" xfId="1498" xr:uid="{00000000-0005-0000-0000-0000C4020000}"/>
    <cellStyle name="20% - Énfasis3 3 2 2 3 2 2 2" xfId="1520" xr:uid="{00000000-0005-0000-0000-0000C5020000}"/>
    <cellStyle name="20% - Énfasis3 3 2 2 3 2 3" xfId="318" xr:uid="{00000000-0005-0000-0000-0000C6020000}"/>
    <cellStyle name="20% - Énfasis3 3 2 2 3 3" xfId="1638" xr:uid="{00000000-0005-0000-0000-0000C7020000}"/>
    <cellStyle name="20% - Énfasis3 3 2 2 3 3 2" xfId="2110" xr:uid="{00000000-0005-0000-0000-0000C8020000}"/>
    <cellStyle name="20% - Énfasis3 3 2 2 3 4" xfId="5441" xr:uid="{00000000-0005-0000-0000-0000C9020000}"/>
    <cellStyle name="20% - Énfasis3 3 2 2 4" xfId="3172" xr:uid="{00000000-0005-0000-0000-0000CA020000}"/>
    <cellStyle name="20% - Énfasis3 3 2 2 4 2" xfId="3183" xr:uid="{00000000-0005-0000-0000-0000CB020000}"/>
    <cellStyle name="20% - Énfasis3 3 2 2 4 2 2" xfId="3219" xr:uid="{00000000-0005-0000-0000-0000CC020000}"/>
    <cellStyle name="20% - Énfasis3 3 2 2 4 3" xfId="3240" xr:uid="{00000000-0005-0000-0000-0000CD020000}"/>
    <cellStyle name="20% - Énfasis3 3 2 2 5" xfId="1393" xr:uid="{00000000-0005-0000-0000-0000CE020000}"/>
    <cellStyle name="20% - Énfasis3 3 2 2 5 2" xfId="1418" xr:uid="{00000000-0005-0000-0000-0000CF020000}"/>
    <cellStyle name="20% - Énfasis3 3 2 2 5 2 2" xfId="4718" xr:uid="{00000000-0005-0000-0000-0000D0020000}"/>
    <cellStyle name="20% - Énfasis3 3 2 2 5 3" xfId="5448" xr:uid="{00000000-0005-0000-0000-0000D1020000}"/>
    <cellStyle name="20% - Énfasis3 3 2 2 6" xfId="1432" xr:uid="{00000000-0005-0000-0000-0000D2020000}"/>
    <cellStyle name="20% - Énfasis3 3 2 2 6 2" xfId="3276" xr:uid="{00000000-0005-0000-0000-0000D3020000}"/>
    <cellStyle name="20% - Énfasis3 3 2 2 7" xfId="3307" xr:uid="{00000000-0005-0000-0000-0000D4020000}"/>
    <cellStyle name="20% - Énfasis3 3 2 2 7 2" xfId="5163" xr:uid="{00000000-0005-0000-0000-0000D5020000}"/>
    <cellStyle name="20% - Énfasis3 3 2 2 8" xfId="5461" xr:uid="{00000000-0005-0000-0000-0000D6020000}"/>
    <cellStyle name="20% - Énfasis3 3 2 2 9" xfId="5465" xr:uid="{00000000-0005-0000-0000-0000D7020000}"/>
    <cellStyle name="20% - Énfasis3 3 2 3" xfId="5467" xr:uid="{00000000-0005-0000-0000-0000D8020000}"/>
    <cellStyle name="20% - Énfasis3 3 2 3 2" xfId="3341" xr:uid="{00000000-0005-0000-0000-0000D9020000}"/>
    <cellStyle name="20% - Énfasis3 3 2 3 2 2" xfId="3383" xr:uid="{00000000-0005-0000-0000-0000DA020000}"/>
    <cellStyle name="20% - Énfasis3 3 2 3 2 2 2" xfId="3401" xr:uid="{00000000-0005-0000-0000-0000DB020000}"/>
    <cellStyle name="20% - Énfasis3 3 2 3 2 2 2 2" xfId="5065" xr:uid="{00000000-0005-0000-0000-0000DC020000}"/>
    <cellStyle name="20% - Énfasis3 3 2 3 2 2 3" xfId="5474" xr:uid="{00000000-0005-0000-0000-0000DD020000}"/>
    <cellStyle name="20% - Énfasis3 3 2 3 2 3" xfId="25" xr:uid="{00000000-0005-0000-0000-0000DE020000}"/>
    <cellStyle name="20% - Énfasis3 3 2 3 2 3 2" xfId="5479" xr:uid="{00000000-0005-0000-0000-0000DF020000}"/>
    <cellStyle name="20% - Énfasis3 3 2 3 2 4" xfId="5484" xr:uid="{00000000-0005-0000-0000-0000E0020000}"/>
    <cellStyle name="20% - Énfasis3 3 2 3 3" xfId="3416" xr:uid="{00000000-0005-0000-0000-0000E1020000}"/>
    <cellStyle name="20% - Énfasis3 3 2 3 3 2" xfId="3431" xr:uid="{00000000-0005-0000-0000-0000E2020000}"/>
    <cellStyle name="20% - Énfasis3 3 2 3 3 2 2" xfId="3455" xr:uid="{00000000-0005-0000-0000-0000E3020000}"/>
    <cellStyle name="20% - Énfasis3 3 2 3 3 3" xfId="1474" xr:uid="{00000000-0005-0000-0000-0000E4020000}"/>
    <cellStyle name="20% - Énfasis3 3 2 3 4" xfId="3365" xr:uid="{00000000-0005-0000-0000-0000E5020000}"/>
    <cellStyle name="20% - Énfasis3 3 2 3 4 2" xfId="3389" xr:uid="{00000000-0005-0000-0000-0000E6020000}"/>
    <cellStyle name="20% - Énfasis3 3 2 3 4 2 2" xfId="77" xr:uid="{00000000-0005-0000-0000-0000E7020000}"/>
    <cellStyle name="20% - Énfasis3 3 2 3 4 3" xfId="5487" xr:uid="{00000000-0005-0000-0000-0000E8020000}"/>
    <cellStyle name="20% - Énfasis3 3 2 3 5" xfId="7" xr:uid="{00000000-0005-0000-0000-0000E9020000}"/>
    <cellStyle name="20% - Énfasis3 3 2 3 5 2" xfId="3465" xr:uid="{00000000-0005-0000-0000-0000EA020000}"/>
    <cellStyle name="20% - Énfasis3 3 2 3 6" xfId="3474" xr:uid="{00000000-0005-0000-0000-0000EB020000}"/>
    <cellStyle name="20% - Énfasis3 3 2 3 6 2" xfId="5495" xr:uid="{00000000-0005-0000-0000-0000EC020000}"/>
    <cellStyle name="20% - Énfasis3 3 2 3 7" xfId="5497" xr:uid="{00000000-0005-0000-0000-0000ED020000}"/>
    <cellStyle name="20% - Énfasis3 3 2 4" xfId="5503" xr:uid="{00000000-0005-0000-0000-0000EE020000}"/>
    <cellStyle name="20% - Énfasis3 3 2 4 2" xfId="3526" xr:uid="{00000000-0005-0000-0000-0000EF020000}"/>
    <cellStyle name="20% - Énfasis3 3 2 4 2 2" xfId="3536" xr:uid="{00000000-0005-0000-0000-0000F0020000}"/>
    <cellStyle name="20% - Énfasis3 3 2 4 2 2 2" xfId="5506" xr:uid="{00000000-0005-0000-0000-0000F1020000}"/>
    <cellStyle name="20% - Énfasis3 3 2 4 2 3" xfId="471" xr:uid="{00000000-0005-0000-0000-0000F2020000}"/>
    <cellStyle name="20% - Énfasis3 3 2 4 3" xfId="3543" xr:uid="{00000000-0005-0000-0000-0000F3020000}"/>
    <cellStyle name="20% - Énfasis3 3 2 4 3 2" xfId="5507" xr:uid="{00000000-0005-0000-0000-0000F4020000}"/>
    <cellStyle name="20% - Énfasis3 3 2 4 4" xfId="5510" xr:uid="{00000000-0005-0000-0000-0000F5020000}"/>
    <cellStyle name="20% - Énfasis3 3 2 5" xfId="5514" xr:uid="{00000000-0005-0000-0000-0000F6020000}"/>
    <cellStyle name="20% - Énfasis3 3 2 5 2" xfId="3583" xr:uid="{00000000-0005-0000-0000-0000F7020000}"/>
    <cellStyle name="20% - Énfasis3 3 2 5 2 2" xfId="5521" xr:uid="{00000000-0005-0000-0000-0000F8020000}"/>
    <cellStyle name="20% - Énfasis3 3 2 5 3" xfId="5529" xr:uid="{00000000-0005-0000-0000-0000F9020000}"/>
    <cellStyle name="20% - Énfasis3 3 2 6" xfId="5538" xr:uid="{00000000-0005-0000-0000-0000FA020000}"/>
    <cellStyle name="20% - Énfasis3 3 2 6 2" xfId="2378" xr:uid="{00000000-0005-0000-0000-0000FB020000}"/>
    <cellStyle name="20% - Énfasis3 3 2 6 2 2" xfId="5543" xr:uid="{00000000-0005-0000-0000-0000FC020000}"/>
    <cellStyle name="20% - Énfasis3 3 2 6 3" xfId="5547" xr:uid="{00000000-0005-0000-0000-0000FD020000}"/>
    <cellStyle name="20% - Énfasis3 3 2 7" xfId="5556" xr:uid="{00000000-0005-0000-0000-0000FE020000}"/>
    <cellStyle name="20% - Énfasis3 3 2 7 2" xfId="5558" xr:uid="{00000000-0005-0000-0000-0000FF020000}"/>
    <cellStyle name="20% - Énfasis3 3 2 8" xfId="2439" xr:uid="{00000000-0005-0000-0000-000000030000}"/>
    <cellStyle name="20% - Énfasis3 3 2 8 2" xfId="3686" xr:uid="{00000000-0005-0000-0000-000001030000}"/>
    <cellStyle name="20% - Énfasis3 3 2 9" xfId="1851" xr:uid="{00000000-0005-0000-0000-000002030000}"/>
    <cellStyle name="20% - Énfasis3 3 3" xfId="2419" xr:uid="{00000000-0005-0000-0000-000003030000}"/>
    <cellStyle name="20% - Énfasis3 3 3 2" xfId="5560" xr:uid="{00000000-0005-0000-0000-000004030000}"/>
    <cellStyle name="20% - Énfasis3 3 3 2 2" xfId="5571" xr:uid="{00000000-0005-0000-0000-000005030000}"/>
    <cellStyle name="20% - Énfasis3 3 3 2 2 2" xfId="1773" xr:uid="{00000000-0005-0000-0000-000006030000}"/>
    <cellStyle name="20% - Énfasis3 3 3 2 2 2 2" xfId="2092" xr:uid="{00000000-0005-0000-0000-000007030000}"/>
    <cellStyle name="20% - Énfasis3 3 3 2 2 2 2 2" xfId="4023" xr:uid="{00000000-0005-0000-0000-000008030000}"/>
    <cellStyle name="20% - Énfasis3 3 3 2 2 2 3" xfId="4028" xr:uid="{00000000-0005-0000-0000-000009030000}"/>
    <cellStyle name="20% - Énfasis3 3 3 2 2 3" xfId="1745" xr:uid="{00000000-0005-0000-0000-00000A030000}"/>
    <cellStyle name="20% - Énfasis3 3 3 2 2 3 2" xfId="4034" xr:uid="{00000000-0005-0000-0000-00000B030000}"/>
    <cellStyle name="20% - Énfasis3 3 3 2 2 4" xfId="4046" xr:uid="{00000000-0005-0000-0000-00000C030000}"/>
    <cellStyle name="20% - Énfasis3 3 3 2 3" xfId="5578" xr:uid="{00000000-0005-0000-0000-00000D030000}"/>
    <cellStyle name="20% - Énfasis3 3 3 2 3 2" xfId="4112" xr:uid="{00000000-0005-0000-0000-00000E030000}"/>
    <cellStyle name="20% - Énfasis3 3 3 2 3 2 2" xfId="3013" xr:uid="{00000000-0005-0000-0000-00000F030000}"/>
    <cellStyle name="20% - Énfasis3 3 3 2 3 3" xfId="5587" xr:uid="{00000000-0005-0000-0000-000010030000}"/>
    <cellStyle name="20% - Énfasis3 3 3 2 4" xfId="5596" xr:uid="{00000000-0005-0000-0000-000011030000}"/>
    <cellStyle name="20% - Énfasis3 3 3 2 4 2" xfId="828" xr:uid="{00000000-0005-0000-0000-000012030000}"/>
    <cellStyle name="20% - Énfasis3 3 3 2 4 2 2" xfId="5602" xr:uid="{00000000-0005-0000-0000-000013030000}"/>
    <cellStyle name="20% - Énfasis3 3 3 2 4 3" xfId="865" xr:uid="{00000000-0005-0000-0000-000014030000}"/>
    <cellStyle name="20% - Énfasis3 3 3 2 5" xfId="5614" xr:uid="{00000000-0005-0000-0000-000015030000}"/>
    <cellStyle name="20% - Énfasis3 3 3 2 5 2" xfId="5621" xr:uid="{00000000-0005-0000-0000-000016030000}"/>
    <cellStyle name="20% - Énfasis3 3 3 2 6" xfId="1931" xr:uid="{00000000-0005-0000-0000-000017030000}"/>
    <cellStyle name="20% - Énfasis3 3 3 2 6 2" xfId="5630" xr:uid="{00000000-0005-0000-0000-000018030000}"/>
    <cellStyle name="20% - Énfasis3 3 3 2 7" xfId="5646" xr:uid="{00000000-0005-0000-0000-000019030000}"/>
    <cellStyle name="20% - Énfasis3 3 3 3" xfId="5650" xr:uid="{00000000-0005-0000-0000-00001A030000}"/>
    <cellStyle name="20% - Énfasis3 3 3 3 2" xfId="5654" xr:uid="{00000000-0005-0000-0000-00001B030000}"/>
    <cellStyle name="20% - Énfasis3 3 3 3 2 2" xfId="2621" xr:uid="{00000000-0005-0000-0000-00001C030000}"/>
    <cellStyle name="20% - Énfasis3 3 3 3 2 2 2" xfId="5660" xr:uid="{00000000-0005-0000-0000-00001D030000}"/>
    <cellStyle name="20% - Énfasis3 3 3 3 2 3" xfId="2108" xr:uid="{00000000-0005-0000-0000-00001E030000}"/>
    <cellStyle name="20% - Énfasis3 3 3 3 3" xfId="5662" xr:uid="{00000000-0005-0000-0000-00001F030000}"/>
    <cellStyle name="20% - Énfasis3 3 3 3 3 2" xfId="5665" xr:uid="{00000000-0005-0000-0000-000020030000}"/>
    <cellStyle name="20% - Énfasis3 3 3 3 4" xfId="5672" xr:uid="{00000000-0005-0000-0000-000021030000}"/>
    <cellStyle name="20% - Énfasis3 3 3 4" xfId="5687" xr:uid="{00000000-0005-0000-0000-000022030000}"/>
    <cellStyle name="20% - Énfasis3 3 3 4 2" xfId="935" xr:uid="{00000000-0005-0000-0000-000023030000}"/>
    <cellStyle name="20% - Énfasis3 3 3 4 2 2" xfId="948" xr:uid="{00000000-0005-0000-0000-000024030000}"/>
    <cellStyle name="20% - Énfasis3 3 3 4 3" xfId="962" xr:uid="{00000000-0005-0000-0000-000025030000}"/>
    <cellStyle name="20% - Énfasis3 3 3 5" xfId="5702" xr:uid="{00000000-0005-0000-0000-000026030000}"/>
    <cellStyle name="20% - Énfasis3 3 3 5 2" xfId="1016" xr:uid="{00000000-0005-0000-0000-000027030000}"/>
    <cellStyle name="20% - Énfasis3 3 3 5 2 2" xfId="5460" xr:uid="{00000000-0005-0000-0000-000028030000}"/>
    <cellStyle name="20% - Énfasis3 3 3 5 3" xfId="5715" xr:uid="{00000000-0005-0000-0000-000029030000}"/>
    <cellStyle name="20% - Énfasis3 3 3 6" xfId="5737" xr:uid="{00000000-0005-0000-0000-00002A030000}"/>
    <cellStyle name="20% - Énfasis3 3 3 6 2" xfId="1074" xr:uid="{00000000-0005-0000-0000-00002B030000}"/>
    <cellStyle name="20% - Énfasis3 3 3 7" xfId="5752" xr:uid="{00000000-0005-0000-0000-00002C030000}"/>
    <cellStyle name="20% - Énfasis3 3 3 7 2" xfId="5761" xr:uid="{00000000-0005-0000-0000-00002D030000}"/>
    <cellStyle name="20% - Énfasis3 3 4" xfId="5770" xr:uid="{00000000-0005-0000-0000-00002E030000}"/>
    <cellStyle name="20% - Énfasis3 3 4 2" xfId="5788" xr:uid="{00000000-0005-0000-0000-00002F030000}"/>
    <cellStyle name="20% - Énfasis3 3 4 2 2" xfId="591" xr:uid="{00000000-0005-0000-0000-000030030000}"/>
    <cellStyle name="20% - Énfasis3 3 4 2 2 2" xfId="854" xr:uid="{00000000-0005-0000-0000-000031030000}"/>
    <cellStyle name="20% - Énfasis3 3 4 2 2 2 2" xfId="102" xr:uid="{00000000-0005-0000-0000-000032030000}"/>
    <cellStyle name="20% - Énfasis3 3 4 2 2 2 2 2" xfId="5802" xr:uid="{00000000-0005-0000-0000-000033030000}"/>
    <cellStyle name="20% - Énfasis3 3 4 2 2 2 3" xfId="3729" xr:uid="{00000000-0005-0000-0000-000034030000}"/>
    <cellStyle name="20% - Énfasis3 3 4 2 2 3" xfId="1117" xr:uid="{00000000-0005-0000-0000-000035030000}"/>
    <cellStyle name="20% - Énfasis3 3 4 2 2 3 2" xfId="4857" xr:uid="{00000000-0005-0000-0000-000036030000}"/>
    <cellStyle name="20% - Énfasis3 3 4 2 2 4" xfId="4579" xr:uid="{00000000-0005-0000-0000-000037030000}"/>
    <cellStyle name="20% - Énfasis3 3 4 2 3" xfId="692" xr:uid="{00000000-0005-0000-0000-000038030000}"/>
    <cellStyle name="20% - Énfasis3 3 4 2 3 2" xfId="4136" xr:uid="{00000000-0005-0000-0000-000039030000}"/>
    <cellStyle name="20% - Énfasis3 3 4 2 3 2 2" xfId="4778" xr:uid="{00000000-0005-0000-0000-00003A030000}"/>
    <cellStyle name="20% - Énfasis3 3 4 2 3 3" xfId="4002" xr:uid="{00000000-0005-0000-0000-00003B030000}"/>
    <cellStyle name="20% - Énfasis3 3 4 2 4" xfId="787" xr:uid="{00000000-0005-0000-0000-00003C030000}"/>
    <cellStyle name="20% - Énfasis3 3 4 2 4 2" xfId="5811" xr:uid="{00000000-0005-0000-0000-00003D030000}"/>
    <cellStyle name="20% - Énfasis3 3 4 2 4 2 2" xfId="2774" xr:uid="{00000000-0005-0000-0000-00003E030000}"/>
    <cellStyle name="20% - Énfasis3 3 4 2 4 3" xfId="4886" xr:uid="{00000000-0005-0000-0000-00003F030000}"/>
    <cellStyle name="20% - Énfasis3 3 4 2 5" xfId="829" xr:uid="{00000000-0005-0000-0000-000040030000}"/>
    <cellStyle name="20% - Énfasis3 3 4 2 5 2" xfId="5604" xr:uid="{00000000-0005-0000-0000-000041030000}"/>
    <cellStyle name="20% - Énfasis3 3 4 2 6" xfId="862" xr:uid="{00000000-0005-0000-0000-000042030000}"/>
    <cellStyle name="20% - Énfasis3 3 4 2 6 2" xfId="4070" xr:uid="{00000000-0005-0000-0000-000043030000}"/>
    <cellStyle name="20% - Énfasis3 3 4 2 7" xfId="5816" xr:uid="{00000000-0005-0000-0000-000044030000}"/>
    <cellStyle name="20% - Énfasis3 3 4 3" xfId="5826" xr:uid="{00000000-0005-0000-0000-000045030000}"/>
    <cellStyle name="20% - Énfasis3 3 4 3 2" xfId="5832" xr:uid="{00000000-0005-0000-0000-000046030000}"/>
    <cellStyle name="20% - Énfasis3 3 4 3 2 2" xfId="5844" xr:uid="{00000000-0005-0000-0000-000047030000}"/>
    <cellStyle name="20% - Énfasis3 3 4 3 2 2 2" xfId="4889" xr:uid="{00000000-0005-0000-0000-000048030000}"/>
    <cellStyle name="20% - Énfasis3 3 4 3 2 3" xfId="2632" xr:uid="{00000000-0005-0000-0000-000049030000}"/>
    <cellStyle name="20% - Énfasis3 3 4 3 3" xfId="4157" xr:uid="{00000000-0005-0000-0000-00004A030000}"/>
    <cellStyle name="20% - Énfasis3 3 4 3 3 2" xfId="2934" xr:uid="{00000000-0005-0000-0000-00004B030000}"/>
    <cellStyle name="20% - Énfasis3 3 4 3 4" xfId="4175" xr:uid="{00000000-0005-0000-0000-00004C030000}"/>
    <cellStyle name="20% - Énfasis3 3 4 4" xfId="5858" xr:uid="{00000000-0005-0000-0000-00004D030000}"/>
    <cellStyle name="20% - Énfasis3 3 4 4 2" xfId="1228" xr:uid="{00000000-0005-0000-0000-00004E030000}"/>
    <cellStyle name="20% - Énfasis3 3 4 4 2 2" xfId="5863" xr:uid="{00000000-0005-0000-0000-00004F030000}"/>
    <cellStyle name="20% - Énfasis3 3 4 4 3" xfId="4189" xr:uid="{00000000-0005-0000-0000-000050030000}"/>
    <cellStyle name="20% - Énfasis3 3 4 5" xfId="5885" xr:uid="{00000000-0005-0000-0000-000051030000}"/>
    <cellStyle name="20% - Énfasis3 3 4 5 2" xfId="5890" xr:uid="{00000000-0005-0000-0000-000052030000}"/>
    <cellStyle name="20% - Énfasis3 3 4 5 2 2" xfId="5905" xr:uid="{00000000-0005-0000-0000-000053030000}"/>
    <cellStyle name="20% - Énfasis3 3 4 5 3" xfId="4209" xr:uid="{00000000-0005-0000-0000-000054030000}"/>
    <cellStyle name="20% - Énfasis3 3 4 6" xfId="2531" xr:uid="{00000000-0005-0000-0000-000055030000}"/>
    <cellStyle name="20% - Énfasis3 3 4 6 2" xfId="2547" xr:uid="{00000000-0005-0000-0000-000056030000}"/>
    <cellStyle name="20% - Énfasis3 3 4 7" xfId="2574" xr:uid="{00000000-0005-0000-0000-000057030000}"/>
    <cellStyle name="20% - Énfasis3 3 4 7 2" xfId="5918" xr:uid="{00000000-0005-0000-0000-000058030000}"/>
    <cellStyle name="20% - Énfasis3 3 4 8" xfId="3802" xr:uid="{00000000-0005-0000-0000-000059030000}"/>
    <cellStyle name="20% - Énfasis3 3 4 9" xfId="2896" xr:uid="{00000000-0005-0000-0000-00005A030000}"/>
    <cellStyle name="20% - Énfasis3 3 5" xfId="5491" xr:uid="{00000000-0005-0000-0000-00005B030000}"/>
    <cellStyle name="20% - Énfasis3 3 5 2" xfId="5935" xr:uid="{00000000-0005-0000-0000-00005C030000}"/>
    <cellStyle name="20% - Énfasis3 3 5 2 2" xfId="5940" xr:uid="{00000000-0005-0000-0000-00005D030000}"/>
    <cellStyle name="20% - Énfasis3 3 5 2 2 2" xfId="4470" xr:uid="{00000000-0005-0000-0000-00005E030000}"/>
    <cellStyle name="20% - Énfasis3 3 5 2 2 2 2" xfId="5814" xr:uid="{00000000-0005-0000-0000-00005F030000}"/>
    <cellStyle name="20% - Énfasis3 3 5 2 2 2 2 2" xfId="4229" xr:uid="{00000000-0005-0000-0000-000060030000}"/>
    <cellStyle name="20% - Énfasis3 3 5 2 2 2 3" xfId="5950" xr:uid="{00000000-0005-0000-0000-000061030000}"/>
    <cellStyle name="20% - Énfasis3 3 5 2 2 3" xfId="5963" xr:uid="{00000000-0005-0000-0000-000062030000}"/>
    <cellStyle name="20% - Énfasis3 3 5 2 2 3 2" xfId="3935" xr:uid="{00000000-0005-0000-0000-000063030000}"/>
    <cellStyle name="20% - Énfasis3 3 5 2 2 4" xfId="5973" xr:uid="{00000000-0005-0000-0000-000064030000}"/>
    <cellStyle name="20% - Énfasis3 3 5 2 3" xfId="705" xr:uid="{00000000-0005-0000-0000-000065030000}"/>
    <cellStyle name="20% - Énfasis3 3 5 2 3 2" xfId="4267" xr:uid="{00000000-0005-0000-0000-000066030000}"/>
    <cellStyle name="20% - Énfasis3 3 5 2 3 2 2" xfId="5985" xr:uid="{00000000-0005-0000-0000-000067030000}"/>
    <cellStyle name="20% - Énfasis3 3 5 2 3 3" xfId="5986" xr:uid="{00000000-0005-0000-0000-000068030000}"/>
    <cellStyle name="20% - Énfasis3 3 5 2 4" xfId="803" xr:uid="{00000000-0005-0000-0000-000069030000}"/>
    <cellStyle name="20% - Énfasis3 3 5 2 4 2" xfId="5992" xr:uid="{00000000-0005-0000-0000-00006A030000}"/>
    <cellStyle name="20% - Énfasis3 3 5 2 4 2 2" xfId="5518" xr:uid="{00000000-0005-0000-0000-00006B030000}"/>
    <cellStyle name="20% - Énfasis3 3 5 2 4 3" xfId="6000" xr:uid="{00000000-0005-0000-0000-00006C030000}"/>
    <cellStyle name="20% - Énfasis3 3 5 2 5" xfId="6007" xr:uid="{00000000-0005-0000-0000-00006D030000}"/>
    <cellStyle name="20% - Énfasis3 3 5 2 5 2" xfId="6012" xr:uid="{00000000-0005-0000-0000-00006E030000}"/>
    <cellStyle name="20% - Énfasis3 3 5 2 6" xfId="6015" xr:uid="{00000000-0005-0000-0000-00006F030000}"/>
    <cellStyle name="20% - Énfasis3 3 5 2 6 2" xfId="5057" xr:uid="{00000000-0005-0000-0000-000070030000}"/>
    <cellStyle name="20% - Énfasis3 3 5 2 7" xfId="5982" xr:uid="{00000000-0005-0000-0000-000071030000}"/>
    <cellStyle name="20% - Énfasis3 3 5 3" xfId="6030" xr:uid="{00000000-0005-0000-0000-000072030000}"/>
    <cellStyle name="20% - Énfasis3 3 5 3 2" xfId="6034" xr:uid="{00000000-0005-0000-0000-000073030000}"/>
    <cellStyle name="20% - Énfasis3 3 5 3 2 2" xfId="6041" xr:uid="{00000000-0005-0000-0000-000074030000}"/>
    <cellStyle name="20% - Énfasis3 3 5 3 2 2 2" xfId="6043" xr:uid="{00000000-0005-0000-0000-000075030000}"/>
    <cellStyle name="20% - Énfasis3 3 5 3 2 3" xfId="3010" xr:uid="{00000000-0005-0000-0000-000076030000}"/>
    <cellStyle name="20% - Énfasis3 3 5 3 3" xfId="2725" xr:uid="{00000000-0005-0000-0000-000077030000}"/>
    <cellStyle name="20% - Énfasis3 3 5 3 3 2" xfId="5319" xr:uid="{00000000-0005-0000-0000-000078030000}"/>
    <cellStyle name="20% - Énfasis3 3 5 3 4" xfId="2409" xr:uid="{00000000-0005-0000-0000-000079030000}"/>
    <cellStyle name="20% - Énfasis3 3 5 4" xfId="6051" xr:uid="{00000000-0005-0000-0000-00007A030000}"/>
    <cellStyle name="20% - Énfasis3 3 5 4 2" xfId="6056" xr:uid="{00000000-0005-0000-0000-00007B030000}"/>
    <cellStyle name="20% - Énfasis3 3 5 4 2 2" xfId="6075" xr:uid="{00000000-0005-0000-0000-00007C030000}"/>
    <cellStyle name="20% - Énfasis3 3 5 4 3" xfId="3892" xr:uid="{00000000-0005-0000-0000-00007D030000}"/>
    <cellStyle name="20% - Énfasis3 3 5 5" xfId="2273" xr:uid="{00000000-0005-0000-0000-00007E030000}"/>
    <cellStyle name="20% - Énfasis3 3 5 5 2" xfId="6082" xr:uid="{00000000-0005-0000-0000-00007F030000}"/>
    <cellStyle name="20% - Énfasis3 3 5 5 2 2" xfId="6085" xr:uid="{00000000-0005-0000-0000-000080030000}"/>
    <cellStyle name="20% - Énfasis3 3 5 5 3" xfId="4810" xr:uid="{00000000-0005-0000-0000-000081030000}"/>
    <cellStyle name="20% - Énfasis3 3 5 6" xfId="2603" xr:uid="{00000000-0005-0000-0000-000082030000}"/>
    <cellStyle name="20% - Énfasis3 3 5 6 2" xfId="66" xr:uid="{00000000-0005-0000-0000-000083030000}"/>
    <cellStyle name="20% - Énfasis3 3 5 7" xfId="4656" xr:uid="{00000000-0005-0000-0000-000084030000}"/>
    <cellStyle name="20% - Énfasis3 3 5 7 2" xfId="2246" xr:uid="{00000000-0005-0000-0000-000085030000}"/>
    <cellStyle name="20% - Énfasis3 3 5 8" xfId="3834" xr:uid="{00000000-0005-0000-0000-000086030000}"/>
    <cellStyle name="20% - Énfasis3 3 6" xfId="6093" xr:uid="{00000000-0005-0000-0000-000087030000}"/>
    <cellStyle name="20% - Énfasis3 3 6 2" xfId="6098" xr:uid="{00000000-0005-0000-0000-000088030000}"/>
    <cellStyle name="20% - Énfasis3 3 6 2 2" xfId="6103" xr:uid="{00000000-0005-0000-0000-000089030000}"/>
    <cellStyle name="20% - Énfasis3 3 6 2 2 2" xfId="2132" xr:uid="{00000000-0005-0000-0000-00008A030000}"/>
    <cellStyle name="20% - Énfasis3 3 6 2 2 2 2" xfId="2146" xr:uid="{00000000-0005-0000-0000-00008B030000}"/>
    <cellStyle name="20% - Énfasis3 3 6 2 2 3" xfId="2217" xr:uid="{00000000-0005-0000-0000-00008C030000}"/>
    <cellStyle name="20% - Énfasis3 3 6 2 3" xfId="6116" xr:uid="{00000000-0005-0000-0000-00008D030000}"/>
    <cellStyle name="20% - Énfasis3 3 6 2 3 2" xfId="2656" xr:uid="{00000000-0005-0000-0000-00008E030000}"/>
    <cellStyle name="20% - Énfasis3 3 6 2 4" xfId="5297" xr:uid="{00000000-0005-0000-0000-00008F030000}"/>
    <cellStyle name="20% - Énfasis3 3 6 3" xfId="6124" xr:uid="{00000000-0005-0000-0000-000090030000}"/>
    <cellStyle name="20% - Énfasis3 3 6 3 2" xfId="3265" xr:uid="{00000000-0005-0000-0000-000091030000}"/>
    <cellStyle name="20% - Énfasis3 3 6 3 2 2" xfId="1133" xr:uid="{00000000-0005-0000-0000-000092030000}"/>
    <cellStyle name="20% - Énfasis3 3 6 3 3" xfId="4949" xr:uid="{00000000-0005-0000-0000-000093030000}"/>
    <cellStyle name="20% - Énfasis3 3 6 4" xfId="6136" xr:uid="{00000000-0005-0000-0000-000094030000}"/>
    <cellStyle name="20% - Énfasis3 3 6 4 2" xfId="6146" xr:uid="{00000000-0005-0000-0000-000095030000}"/>
    <cellStyle name="20% - Énfasis3 3 6 4 2 2" xfId="1966" xr:uid="{00000000-0005-0000-0000-000096030000}"/>
    <cellStyle name="20% - Énfasis3 3 6 4 3" xfId="6151" xr:uid="{00000000-0005-0000-0000-000097030000}"/>
    <cellStyle name="20% - Énfasis3 3 6 5" xfId="5293" xr:uid="{00000000-0005-0000-0000-000098030000}"/>
    <cellStyle name="20% - Énfasis3 3 6 5 2" xfId="6156" xr:uid="{00000000-0005-0000-0000-000099030000}"/>
    <cellStyle name="20% - Énfasis3 3 6 6" xfId="5658" xr:uid="{00000000-0005-0000-0000-00009A030000}"/>
    <cellStyle name="20% - Énfasis3 3 6 6 2" xfId="3669" xr:uid="{00000000-0005-0000-0000-00009B030000}"/>
    <cellStyle name="20% - Énfasis3 3 6 7" xfId="6163" xr:uid="{00000000-0005-0000-0000-00009C030000}"/>
    <cellStyle name="20% - Énfasis3 3 7" xfId="5223" xr:uid="{00000000-0005-0000-0000-00009D030000}"/>
    <cellStyle name="20% - Énfasis3 3 7 2" xfId="6172" xr:uid="{00000000-0005-0000-0000-00009E030000}"/>
    <cellStyle name="20% - Énfasis3 3 7 2 2" xfId="6182" xr:uid="{00000000-0005-0000-0000-00009F030000}"/>
    <cellStyle name="20% - Énfasis3 3 7 2 2 2" xfId="4365" xr:uid="{00000000-0005-0000-0000-0000A0030000}"/>
    <cellStyle name="20% - Énfasis3 3 7 2 3" xfId="6192" xr:uid="{00000000-0005-0000-0000-0000A1030000}"/>
    <cellStyle name="20% - Énfasis3 3 7 3" xfId="6206" xr:uid="{00000000-0005-0000-0000-0000A2030000}"/>
    <cellStyle name="20% - Énfasis3 3 7 3 2" xfId="5478" xr:uid="{00000000-0005-0000-0000-0000A3030000}"/>
    <cellStyle name="20% - Énfasis3 3 7 4" xfId="6217" xr:uid="{00000000-0005-0000-0000-0000A4030000}"/>
    <cellStyle name="20% - Énfasis3 3 8" xfId="6219" xr:uid="{00000000-0005-0000-0000-0000A5030000}"/>
    <cellStyle name="20% - Énfasis3 3 8 2" xfId="6226" xr:uid="{00000000-0005-0000-0000-0000A6030000}"/>
    <cellStyle name="20% - Énfasis3 3 8 2 2" xfId="6231" xr:uid="{00000000-0005-0000-0000-0000A7030000}"/>
    <cellStyle name="20% - Énfasis3 3 8 3" xfId="6235" xr:uid="{00000000-0005-0000-0000-0000A8030000}"/>
    <cellStyle name="20% - Énfasis3 3 9" xfId="1910" xr:uid="{00000000-0005-0000-0000-0000A9030000}"/>
    <cellStyle name="20% - Énfasis3 3 9 2" xfId="1927" xr:uid="{00000000-0005-0000-0000-0000AA030000}"/>
    <cellStyle name="20% - Énfasis3 3 9 2 2" xfId="5626" xr:uid="{00000000-0005-0000-0000-0000AB030000}"/>
    <cellStyle name="20% - Énfasis3 3 9 3" xfId="5644" xr:uid="{00000000-0005-0000-0000-0000AC030000}"/>
    <cellStyle name="20% - Énfasis3 4" xfId="2230" xr:uid="{00000000-0005-0000-0000-0000AD030000}"/>
    <cellStyle name="20% - Énfasis3 4 2" xfId="6241" xr:uid="{00000000-0005-0000-0000-0000AE030000}"/>
    <cellStyle name="20% - Énfasis3 4 2 2" xfId="6245" xr:uid="{00000000-0005-0000-0000-0000AF030000}"/>
    <cellStyle name="20% - Énfasis3 4 2 2 2" xfId="4786" xr:uid="{00000000-0005-0000-0000-0000B0030000}"/>
    <cellStyle name="20% - Énfasis3 4 2 2 2 2" xfId="4794" xr:uid="{00000000-0005-0000-0000-0000B1030000}"/>
    <cellStyle name="20% - Énfasis3 4 2 2 3" xfId="4818" xr:uid="{00000000-0005-0000-0000-0000B2030000}"/>
    <cellStyle name="20% - Énfasis3 4 2 2 4" xfId="1812" xr:uid="{00000000-0005-0000-0000-0000B3030000}"/>
    <cellStyle name="20% - Énfasis3 4 2 3" xfId="6246" xr:uid="{00000000-0005-0000-0000-0000B4030000}"/>
    <cellStyle name="20% - Énfasis3 4 2 3 2" xfId="2505" xr:uid="{00000000-0005-0000-0000-0000B5030000}"/>
    <cellStyle name="20% - Énfasis3 4 2 4" xfId="6249" xr:uid="{00000000-0005-0000-0000-0000B6030000}"/>
    <cellStyle name="20% - Énfasis3 4 2 4 2" xfId="2752" xr:uid="{00000000-0005-0000-0000-0000B7030000}"/>
    <cellStyle name="20% - Énfasis3 4 2 5" xfId="6253" xr:uid="{00000000-0005-0000-0000-0000B8030000}"/>
    <cellStyle name="20% - Énfasis3 4 2 6" xfId="6258" xr:uid="{00000000-0005-0000-0000-0000B9030000}"/>
    <cellStyle name="20% - Énfasis3 4 3" xfId="4692" xr:uid="{00000000-0005-0000-0000-0000BA030000}"/>
    <cellStyle name="20% - Énfasis3 4 3 2" xfId="4708" xr:uid="{00000000-0005-0000-0000-0000BB030000}"/>
    <cellStyle name="20% - Énfasis3 4 3 2 2" xfId="6259" xr:uid="{00000000-0005-0000-0000-0000BC030000}"/>
    <cellStyle name="20% - Énfasis3 4 3 3" xfId="461" xr:uid="{00000000-0005-0000-0000-0000BD030000}"/>
    <cellStyle name="20% - Énfasis3 4 3 4" xfId="554" xr:uid="{00000000-0005-0000-0000-0000BE030000}"/>
    <cellStyle name="20% - Énfasis3 4 4" xfId="4715" xr:uid="{00000000-0005-0000-0000-0000BF030000}"/>
    <cellStyle name="20% - Énfasis3 4 4 2" xfId="6266" xr:uid="{00000000-0005-0000-0000-0000C0030000}"/>
    <cellStyle name="20% - Énfasis3 4 4 2 2" xfId="263" xr:uid="{00000000-0005-0000-0000-0000C1030000}"/>
    <cellStyle name="20% - Énfasis3 4 4 3" xfId="6269" xr:uid="{00000000-0005-0000-0000-0000C2030000}"/>
    <cellStyle name="20% - Énfasis3 4 5" xfId="6274" xr:uid="{00000000-0005-0000-0000-0000C3030000}"/>
    <cellStyle name="20% - Énfasis3 4 5 2" xfId="6278" xr:uid="{00000000-0005-0000-0000-0000C4030000}"/>
    <cellStyle name="20% - Énfasis3 4 6" xfId="346" xr:uid="{00000000-0005-0000-0000-0000C5030000}"/>
    <cellStyle name="20% - Énfasis3 4 6 2" xfId="6283" xr:uid="{00000000-0005-0000-0000-0000C6030000}"/>
    <cellStyle name="20% - Énfasis3 4 7" xfId="1732" xr:uid="{00000000-0005-0000-0000-0000C7030000}"/>
    <cellStyle name="20% - Énfasis3 4 8" xfId="1758" xr:uid="{00000000-0005-0000-0000-0000C8030000}"/>
    <cellStyle name="20% - Énfasis3 5" xfId="6288" xr:uid="{00000000-0005-0000-0000-0000C9030000}"/>
    <cellStyle name="20% - Énfasis3 5 2" xfId="6290" xr:uid="{00000000-0005-0000-0000-0000CA030000}"/>
    <cellStyle name="20% - Énfasis3 5 2 2" xfId="6299" xr:uid="{00000000-0005-0000-0000-0000CB030000}"/>
    <cellStyle name="20% - Énfasis3 5 2 2 2" xfId="6025" xr:uid="{00000000-0005-0000-0000-0000CC030000}"/>
    <cellStyle name="20% - Énfasis3 5 2 3" xfId="6305" xr:uid="{00000000-0005-0000-0000-0000CD030000}"/>
    <cellStyle name="20% - Énfasis3 5 2 4" xfId="6308" xr:uid="{00000000-0005-0000-0000-0000CE030000}"/>
    <cellStyle name="20% - Énfasis3 5 3" xfId="6311" xr:uid="{00000000-0005-0000-0000-0000CF030000}"/>
    <cellStyle name="20% - Énfasis3 5 3 2" xfId="6322" xr:uid="{00000000-0005-0000-0000-0000D0030000}"/>
    <cellStyle name="20% - Énfasis3 5 3 2 2" xfId="6328" xr:uid="{00000000-0005-0000-0000-0000D1030000}"/>
    <cellStyle name="20% - Énfasis3 5 3 3" xfId="6329" xr:uid="{00000000-0005-0000-0000-0000D2030000}"/>
    <cellStyle name="20% - Énfasis3 5 4" xfId="6332" xr:uid="{00000000-0005-0000-0000-0000D3030000}"/>
    <cellStyle name="20% - Énfasis3 5 4 2" xfId="6336" xr:uid="{00000000-0005-0000-0000-0000D4030000}"/>
    <cellStyle name="20% - Énfasis3 5 5" xfId="6342" xr:uid="{00000000-0005-0000-0000-0000D5030000}"/>
    <cellStyle name="20% - Énfasis3 5 5 2" xfId="6347" xr:uid="{00000000-0005-0000-0000-0000D6030000}"/>
    <cellStyle name="20% - Énfasis3 5 6" xfId="6350" xr:uid="{00000000-0005-0000-0000-0000D7030000}"/>
    <cellStyle name="20% - Énfasis3 5 7" xfId="6355" xr:uid="{00000000-0005-0000-0000-0000D8030000}"/>
    <cellStyle name="20% - Énfasis3 6" xfId="4620" xr:uid="{00000000-0005-0000-0000-0000D9030000}"/>
    <cellStyle name="20% - Énfasis3 6 2" xfId="6357" xr:uid="{00000000-0005-0000-0000-0000DA030000}"/>
    <cellStyle name="20% - Énfasis3 6 2 2" xfId="6361" xr:uid="{00000000-0005-0000-0000-0000DB030000}"/>
    <cellStyle name="20% - Énfasis3 6 2 2 2" xfId="4596" xr:uid="{00000000-0005-0000-0000-0000DC030000}"/>
    <cellStyle name="20% - Énfasis3 6 2 3" xfId="6384" xr:uid="{00000000-0005-0000-0000-0000DD030000}"/>
    <cellStyle name="20% - Énfasis3 6 2 4" xfId="6396" xr:uid="{00000000-0005-0000-0000-0000DE030000}"/>
    <cellStyle name="20% - Énfasis3 6 3" xfId="6406" xr:uid="{00000000-0005-0000-0000-0000DF030000}"/>
    <cellStyle name="20% - Énfasis3 6 3 2" xfId="6415" xr:uid="{00000000-0005-0000-0000-0000E0030000}"/>
    <cellStyle name="20% - Énfasis3 6 4" xfId="6426" xr:uid="{00000000-0005-0000-0000-0000E1030000}"/>
    <cellStyle name="20% - Énfasis3 6 4 2" xfId="6432" xr:uid="{00000000-0005-0000-0000-0000E2030000}"/>
    <cellStyle name="20% - Énfasis3 6 5" xfId="6438" xr:uid="{00000000-0005-0000-0000-0000E3030000}"/>
    <cellStyle name="20% - Énfasis3 6 6" xfId="6441" xr:uid="{00000000-0005-0000-0000-0000E4030000}"/>
    <cellStyle name="20% - Énfasis3 7" xfId="6445" xr:uid="{00000000-0005-0000-0000-0000E5030000}"/>
    <cellStyle name="20% - Énfasis3 7 2" xfId="6448" xr:uid="{00000000-0005-0000-0000-0000E6030000}"/>
    <cellStyle name="20% - Énfasis3 7 2 2" xfId="6455" xr:uid="{00000000-0005-0000-0000-0000E7030000}"/>
    <cellStyle name="20% - Énfasis3 7 3" xfId="6464" xr:uid="{00000000-0005-0000-0000-0000E8030000}"/>
    <cellStyle name="20% - Énfasis3 8" xfId="6068" xr:uid="{00000000-0005-0000-0000-0000E9030000}"/>
    <cellStyle name="20% - Énfasis3 8 2" xfId="6474" xr:uid="{00000000-0005-0000-0000-0000EA030000}"/>
    <cellStyle name="20% - Énfasis3 9" xfId="6489" xr:uid="{00000000-0005-0000-0000-0000EB030000}"/>
    <cellStyle name="20% - Énfasis3 9 2" xfId="6492" xr:uid="{00000000-0005-0000-0000-0000EC030000}"/>
    <cellStyle name="20% - Énfasis4 2" xfId="761" xr:uid="{00000000-0005-0000-0000-0000ED030000}"/>
    <cellStyle name="20% - Énfasis4 2 2" xfId="1029" xr:uid="{00000000-0005-0000-0000-0000EE030000}"/>
    <cellStyle name="20% - Énfasis4 3" xfId="400" xr:uid="{00000000-0005-0000-0000-0000EF030000}"/>
    <cellStyle name="20% - Énfasis4 3 10" xfId="6508" xr:uid="{00000000-0005-0000-0000-0000F0030000}"/>
    <cellStyle name="20% - Énfasis4 3 10 2" xfId="3424" xr:uid="{00000000-0005-0000-0000-0000F1030000}"/>
    <cellStyle name="20% - Énfasis4 3 11" xfId="6519" xr:uid="{00000000-0005-0000-0000-0000F2030000}"/>
    <cellStyle name="20% - Énfasis4 3 11 2" xfId="3547" xr:uid="{00000000-0005-0000-0000-0000F3030000}"/>
    <cellStyle name="20% - Énfasis4 3 12" xfId="6523" xr:uid="{00000000-0005-0000-0000-0000F4030000}"/>
    <cellStyle name="20% - Énfasis4 3 12 2" xfId="5532" xr:uid="{00000000-0005-0000-0000-0000F5030000}"/>
    <cellStyle name="20% - Énfasis4 3 13" xfId="6528" xr:uid="{00000000-0005-0000-0000-0000F6030000}"/>
    <cellStyle name="20% - Énfasis4 3 14" xfId="6534" xr:uid="{00000000-0005-0000-0000-0000F7030000}"/>
    <cellStyle name="20% - Énfasis4 3 2" xfId="6537" xr:uid="{00000000-0005-0000-0000-0000F8030000}"/>
    <cellStyle name="20% - Énfasis4 3 2 10" xfId="5088" xr:uid="{00000000-0005-0000-0000-0000F9030000}"/>
    <cellStyle name="20% - Énfasis4 3 2 2" xfId="6541" xr:uid="{00000000-0005-0000-0000-0000FA030000}"/>
    <cellStyle name="20% - Énfasis4 3 2 2 2" xfId="5676" xr:uid="{00000000-0005-0000-0000-0000FB030000}"/>
    <cellStyle name="20% - Énfasis4 3 2 2 2 2" xfId="929" xr:uid="{00000000-0005-0000-0000-0000FC030000}"/>
    <cellStyle name="20% - Énfasis4 3 2 2 2 2 2" xfId="946" xr:uid="{00000000-0005-0000-0000-0000FD030000}"/>
    <cellStyle name="20% - Énfasis4 3 2 2 2 2 2 2" xfId="6550" xr:uid="{00000000-0005-0000-0000-0000FE030000}"/>
    <cellStyle name="20% - Énfasis4 3 2 2 2 2 2 2 2" xfId="6554" xr:uid="{00000000-0005-0000-0000-0000FF030000}"/>
    <cellStyle name="20% - Énfasis4 3 2 2 2 2 2 3" xfId="6561" xr:uid="{00000000-0005-0000-0000-000000040000}"/>
    <cellStyle name="20% - Énfasis4 3 2 2 2 2 3" xfId="6564" xr:uid="{00000000-0005-0000-0000-000001040000}"/>
    <cellStyle name="20% - Énfasis4 3 2 2 2 2 3 2" xfId="6566" xr:uid="{00000000-0005-0000-0000-000002040000}"/>
    <cellStyle name="20% - Énfasis4 3 2 2 2 2 4" xfId="6572" xr:uid="{00000000-0005-0000-0000-000003040000}"/>
    <cellStyle name="20% - Énfasis4 3 2 2 2 3" xfId="959" xr:uid="{00000000-0005-0000-0000-000004040000}"/>
    <cellStyle name="20% - Énfasis4 3 2 2 2 3 2" xfId="6583" xr:uid="{00000000-0005-0000-0000-000005040000}"/>
    <cellStyle name="20% - Énfasis4 3 2 2 2 3 2 2" xfId="6585" xr:uid="{00000000-0005-0000-0000-000006040000}"/>
    <cellStyle name="20% - Énfasis4 3 2 2 2 3 3" xfId="6592" xr:uid="{00000000-0005-0000-0000-000007040000}"/>
    <cellStyle name="20% - Énfasis4 3 2 2 2 4" xfId="6602" xr:uid="{00000000-0005-0000-0000-000008040000}"/>
    <cellStyle name="20% - Énfasis4 3 2 2 2 4 2" xfId="6608" xr:uid="{00000000-0005-0000-0000-000009040000}"/>
    <cellStyle name="20% - Énfasis4 3 2 2 2 4 2 2" xfId="3354" xr:uid="{00000000-0005-0000-0000-00000A040000}"/>
    <cellStyle name="20% - Énfasis4 3 2 2 2 4 3" xfId="6612" xr:uid="{00000000-0005-0000-0000-00000B040000}"/>
    <cellStyle name="20% - Énfasis4 3 2 2 2 5" xfId="6617" xr:uid="{00000000-0005-0000-0000-00000C040000}"/>
    <cellStyle name="20% - Énfasis4 3 2 2 2 5 2" xfId="6619" xr:uid="{00000000-0005-0000-0000-00000D040000}"/>
    <cellStyle name="20% - Énfasis4 3 2 2 2 6" xfId="6629" xr:uid="{00000000-0005-0000-0000-00000E040000}"/>
    <cellStyle name="20% - Énfasis4 3 2 2 2 6 2" xfId="6637" xr:uid="{00000000-0005-0000-0000-00000F040000}"/>
    <cellStyle name="20% - Énfasis4 3 2 2 2 7" xfId="6295" xr:uid="{00000000-0005-0000-0000-000010040000}"/>
    <cellStyle name="20% - Énfasis4 3 2 2 3" xfId="5694" xr:uid="{00000000-0005-0000-0000-000011040000}"/>
    <cellStyle name="20% - Énfasis4 3 2 2 3 2" xfId="1012" xr:uid="{00000000-0005-0000-0000-000012040000}"/>
    <cellStyle name="20% - Énfasis4 3 2 2 3 2 2" xfId="5458" xr:uid="{00000000-0005-0000-0000-000013040000}"/>
    <cellStyle name="20% - Énfasis4 3 2 2 3 2 2 2" xfId="1307" xr:uid="{00000000-0005-0000-0000-000014040000}"/>
    <cellStyle name="20% - Énfasis4 3 2 2 3 2 3" xfId="6648" xr:uid="{00000000-0005-0000-0000-000015040000}"/>
    <cellStyle name="20% - Énfasis4 3 2 2 3 3" xfId="5712" xr:uid="{00000000-0005-0000-0000-000016040000}"/>
    <cellStyle name="20% - Énfasis4 3 2 2 3 3 2" xfId="6654" xr:uid="{00000000-0005-0000-0000-000017040000}"/>
    <cellStyle name="20% - Énfasis4 3 2 2 3 4" xfId="3463" xr:uid="{00000000-0005-0000-0000-000018040000}"/>
    <cellStyle name="20% - Énfasis4 3 2 2 4" xfId="5729" xr:uid="{00000000-0005-0000-0000-000019040000}"/>
    <cellStyle name="20% - Énfasis4 3 2 2 4 2" xfId="1072" xr:uid="{00000000-0005-0000-0000-00001A040000}"/>
    <cellStyle name="20% - Énfasis4 3 2 2 4 2 2" xfId="6661" xr:uid="{00000000-0005-0000-0000-00001B040000}"/>
    <cellStyle name="20% - Énfasis4 3 2 2 4 3" xfId="6669" xr:uid="{00000000-0005-0000-0000-00001C040000}"/>
    <cellStyle name="20% - Énfasis4 3 2 2 5" xfId="5746" xr:uid="{00000000-0005-0000-0000-00001D040000}"/>
    <cellStyle name="20% - Énfasis4 3 2 2 5 2" xfId="5757" xr:uid="{00000000-0005-0000-0000-00001E040000}"/>
    <cellStyle name="20% - Énfasis4 3 2 2 5 2 2" xfId="5962" xr:uid="{00000000-0005-0000-0000-00001F040000}"/>
    <cellStyle name="20% - Énfasis4 3 2 2 5 3" xfId="6674" xr:uid="{00000000-0005-0000-0000-000020040000}"/>
    <cellStyle name="20% - Énfasis4 3 2 2 6" xfId="3728" xr:uid="{00000000-0005-0000-0000-000021040000}"/>
    <cellStyle name="20% - Énfasis4 3 2 2 6 2" xfId="3747" xr:uid="{00000000-0005-0000-0000-000022040000}"/>
    <cellStyle name="20% - Énfasis4 3 2 2 7" xfId="2305" xr:uid="{00000000-0005-0000-0000-000023040000}"/>
    <cellStyle name="20% - Énfasis4 3 2 2 7 2" xfId="2337" xr:uid="{00000000-0005-0000-0000-000024040000}"/>
    <cellStyle name="20% - Énfasis4 3 2 2 8" xfId="2651" xr:uid="{00000000-0005-0000-0000-000025040000}"/>
    <cellStyle name="20% - Énfasis4 3 2 2 9" xfId="2773" xr:uid="{00000000-0005-0000-0000-000026040000}"/>
    <cellStyle name="20% - Énfasis4 3 2 3" xfId="6676" xr:uid="{00000000-0005-0000-0000-000027040000}"/>
    <cellStyle name="20% - Énfasis4 3 2 3 2" xfId="5851" xr:uid="{00000000-0005-0000-0000-000028040000}"/>
    <cellStyle name="20% - Énfasis4 3 2 3 2 2" xfId="1248" xr:uid="{00000000-0005-0000-0000-000029040000}"/>
    <cellStyle name="20% - Énfasis4 3 2 3 2 2 2" xfId="5868" xr:uid="{00000000-0005-0000-0000-00002A040000}"/>
    <cellStyle name="20% - Énfasis4 3 2 3 2 2 2 2" xfId="6682" xr:uid="{00000000-0005-0000-0000-00002B040000}"/>
    <cellStyle name="20% - Énfasis4 3 2 3 2 2 3" xfId="6700" xr:uid="{00000000-0005-0000-0000-00002C040000}"/>
    <cellStyle name="20% - Énfasis4 3 2 3 2 3" xfId="4200" xr:uid="{00000000-0005-0000-0000-00002D040000}"/>
    <cellStyle name="20% - Énfasis4 3 2 3 2 3 2" xfId="6719" xr:uid="{00000000-0005-0000-0000-00002E040000}"/>
    <cellStyle name="20% - Énfasis4 3 2 3 2 4" xfId="6736" xr:uid="{00000000-0005-0000-0000-00002F040000}"/>
    <cellStyle name="20% - Énfasis4 3 2 3 3" xfId="5874" xr:uid="{00000000-0005-0000-0000-000030040000}"/>
    <cellStyle name="20% - Énfasis4 3 2 3 3 2" xfId="5902" xr:uid="{00000000-0005-0000-0000-000031040000}"/>
    <cellStyle name="20% - Énfasis4 3 2 3 3 2 2" xfId="5913" xr:uid="{00000000-0005-0000-0000-000032040000}"/>
    <cellStyle name="20% - Énfasis4 3 2 3 3 3" xfId="4221" xr:uid="{00000000-0005-0000-0000-000033040000}"/>
    <cellStyle name="20% - Énfasis4 3 2 3 4" xfId="2523" xr:uid="{00000000-0005-0000-0000-000034040000}"/>
    <cellStyle name="20% - Énfasis4 3 2 3 4 2" xfId="2552" xr:uid="{00000000-0005-0000-0000-000035040000}"/>
    <cellStyle name="20% - Énfasis4 3 2 3 4 2 2" xfId="6745" xr:uid="{00000000-0005-0000-0000-000036040000}"/>
    <cellStyle name="20% - Énfasis4 3 2 3 4 3" xfId="6755" xr:uid="{00000000-0005-0000-0000-000037040000}"/>
    <cellStyle name="20% - Énfasis4 3 2 3 5" xfId="2569" xr:uid="{00000000-0005-0000-0000-000038040000}"/>
    <cellStyle name="20% - Énfasis4 3 2 3 5 2" xfId="5932" xr:uid="{00000000-0005-0000-0000-000039040000}"/>
    <cellStyle name="20% - Énfasis4 3 2 3 6" xfId="3798" xr:uid="{00000000-0005-0000-0000-00003A040000}"/>
    <cellStyle name="20% - Énfasis4 3 2 3 6 2" xfId="3821" xr:uid="{00000000-0005-0000-0000-00003B040000}"/>
    <cellStyle name="20% - Énfasis4 3 2 3 7" xfId="2891" xr:uid="{00000000-0005-0000-0000-00003C040000}"/>
    <cellStyle name="20% - Énfasis4 3 2 4" xfId="6758" xr:uid="{00000000-0005-0000-0000-00003D040000}"/>
    <cellStyle name="20% - Énfasis4 3 2 4 2" xfId="6047" xr:uid="{00000000-0005-0000-0000-00003E040000}"/>
    <cellStyle name="20% - Énfasis4 3 2 4 2 2" xfId="6063" xr:uid="{00000000-0005-0000-0000-00003F040000}"/>
    <cellStyle name="20% - Énfasis4 3 2 4 2 2 2" xfId="6072" xr:uid="{00000000-0005-0000-0000-000040040000}"/>
    <cellStyle name="20% - Énfasis4 3 2 4 2 3" xfId="3887" xr:uid="{00000000-0005-0000-0000-000041040000}"/>
    <cellStyle name="20% - Énfasis4 3 2 4 3" xfId="2267" xr:uid="{00000000-0005-0000-0000-000042040000}"/>
    <cellStyle name="20% - Énfasis4 3 2 4 3 2" xfId="6078" xr:uid="{00000000-0005-0000-0000-000043040000}"/>
    <cellStyle name="20% - Énfasis4 3 2 4 4" xfId="2600" xr:uid="{00000000-0005-0000-0000-000044040000}"/>
    <cellStyle name="20% - Énfasis4 3 2 5" xfId="6765" xr:uid="{00000000-0005-0000-0000-000045040000}"/>
    <cellStyle name="20% - Énfasis4 3 2 5 2" xfId="6133" xr:uid="{00000000-0005-0000-0000-000046040000}"/>
    <cellStyle name="20% - Énfasis4 3 2 5 2 2" xfId="6142" xr:uid="{00000000-0005-0000-0000-000047040000}"/>
    <cellStyle name="20% - Énfasis4 3 2 5 3" xfId="5286" xr:uid="{00000000-0005-0000-0000-000048040000}"/>
    <cellStyle name="20% - Énfasis4 3 2 6" xfId="6774" xr:uid="{00000000-0005-0000-0000-000049040000}"/>
    <cellStyle name="20% - Énfasis4 3 2 6 2" xfId="6210" xr:uid="{00000000-0005-0000-0000-00004A040000}"/>
    <cellStyle name="20% - Énfasis4 3 2 6 2 2" xfId="6776" xr:uid="{00000000-0005-0000-0000-00004B040000}"/>
    <cellStyle name="20% - Énfasis4 3 2 6 3" xfId="6780" xr:uid="{00000000-0005-0000-0000-00004C040000}"/>
    <cellStyle name="20% - Énfasis4 3 2 7" xfId="1021" xr:uid="{00000000-0005-0000-0000-00004D040000}"/>
    <cellStyle name="20% - Énfasis4 3 2 7 2" xfId="1052" xr:uid="{00000000-0005-0000-0000-00004E040000}"/>
    <cellStyle name="20% - Énfasis4 3 2 8" xfId="1073" xr:uid="{00000000-0005-0000-0000-00004F040000}"/>
    <cellStyle name="20% - Énfasis4 3 2 8 2" xfId="6662" xr:uid="{00000000-0005-0000-0000-000050040000}"/>
    <cellStyle name="20% - Énfasis4 3 2 9" xfId="6670" xr:uid="{00000000-0005-0000-0000-000051040000}"/>
    <cellStyle name="20% - Énfasis4 3 3" xfId="6783" xr:uid="{00000000-0005-0000-0000-000052040000}"/>
    <cellStyle name="20% - Énfasis4 3 3 2" xfId="6792" xr:uid="{00000000-0005-0000-0000-000053040000}"/>
    <cellStyle name="20% - Énfasis4 3 3 2 2" xfId="546" xr:uid="{00000000-0005-0000-0000-000054040000}"/>
    <cellStyle name="20% - Énfasis4 3 3 2 2 2" xfId="1611" xr:uid="{00000000-0005-0000-0000-000055040000}"/>
    <cellStyle name="20% - Énfasis4 3 3 2 2 2 2" xfId="3839" xr:uid="{00000000-0005-0000-0000-000056040000}"/>
    <cellStyle name="20% - Énfasis4 3 3 2 2 2 2 2" xfId="419" xr:uid="{00000000-0005-0000-0000-000057040000}"/>
    <cellStyle name="20% - Énfasis4 3 3 2 2 2 3" xfId="5387" xr:uid="{00000000-0005-0000-0000-000058040000}"/>
    <cellStyle name="20% - Énfasis4 3 3 2 2 3" xfId="5400" xr:uid="{00000000-0005-0000-0000-000059040000}"/>
    <cellStyle name="20% - Énfasis4 3 3 2 2 3 2" xfId="5250" xr:uid="{00000000-0005-0000-0000-00005A040000}"/>
    <cellStyle name="20% - Énfasis4 3 3 2 2 4" xfId="5412" xr:uid="{00000000-0005-0000-0000-00005B040000}"/>
    <cellStyle name="20% - Énfasis4 3 3 2 3" xfId="658" xr:uid="{00000000-0005-0000-0000-00005C040000}"/>
    <cellStyle name="20% - Énfasis4 3 3 2 3 2" xfId="5443" xr:uid="{00000000-0005-0000-0000-00005D040000}"/>
    <cellStyle name="20% - Énfasis4 3 3 2 3 2 2" xfId="6803" xr:uid="{00000000-0005-0000-0000-00005E040000}"/>
    <cellStyle name="20% - Énfasis4 3 3 2 3 3" xfId="6809" xr:uid="{00000000-0005-0000-0000-00005F040000}"/>
    <cellStyle name="20% - Énfasis4 3 3 2 4" xfId="731" xr:uid="{00000000-0005-0000-0000-000060040000}"/>
    <cellStyle name="20% - Énfasis4 3 3 2 4 2" xfId="6820" xr:uid="{00000000-0005-0000-0000-000061040000}"/>
    <cellStyle name="20% - Énfasis4 3 3 2 4 2 2" xfId="1672" xr:uid="{00000000-0005-0000-0000-000062040000}"/>
    <cellStyle name="20% - Énfasis4 3 3 2 4 3" xfId="6828" xr:uid="{00000000-0005-0000-0000-000063040000}"/>
    <cellStyle name="20% - Énfasis4 3 3 2 5" xfId="813" xr:uid="{00000000-0005-0000-0000-000064040000}"/>
    <cellStyle name="20% - Énfasis4 3 3 2 5 2" xfId="6834" xr:uid="{00000000-0005-0000-0000-000065040000}"/>
    <cellStyle name="20% - Énfasis4 3 3 2 6" xfId="839" xr:uid="{00000000-0005-0000-0000-000066040000}"/>
    <cellStyle name="20% - Énfasis4 3 3 2 6 2" xfId="4943" xr:uid="{00000000-0005-0000-0000-000067040000}"/>
    <cellStyle name="20% - Énfasis4 3 3 2 7" xfId="1537" xr:uid="{00000000-0005-0000-0000-000068040000}"/>
    <cellStyle name="20% - Énfasis4 3 3 3" xfId="6836" xr:uid="{00000000-0005-0000-0000-000069040000}"/>
    <cellStyle name="20% - Énfasis4 3 3 3 2" xfId="6846" xr:uid="{00000000-0005-0000-0000-00006A040000}"/>
    <cellStyle name="20% - Énfasis4 3 3 3 2 2" xfId="5485" xr:uid="{00000000-0005-0000-0000-00006B040000}"/>
    <cellStyle name="20% - Énfasis4 3 3 3 2 2 2" xfId="6850" xr:uid="{00000000-0005-0000-0000-00006C040000}"/>
    <cellStyle name="20% - Énfasis4 3 3 3 2 3" xfId="4339" xr:uid="{00000000-0005-0000-0000-00006D040000}"/>
    <cellStyle name="20% - Énfasis4 3 3 3 3" xfId="6859" xr:uid="{00000000-0005-0000-0000-00006E040000}"/>
    <cellStyle name="20% - Énfasis4 3 3 3 3 2" xfId="6865" xr:uid="{00000000-0005-0000-0000-00006F040000}"/>
    <cellStyle name="20% - Énfasis4 3 3 3 4" xfId="6874" xr:uid="{00000000-0005-0000-0000-000070040000}"/>
    <cellStyle name="20% - Énfasis4 3 3 4" xfId="6878" xr:uid="{00000000-0005-0000-0000-000071040000}"/>
    <cellStyle name="20% - Énfasis4 3 3 4 2" xfId="1953" xr:uid="{00000000-0005-0000-0000-000072040000}"/>
    <cellStyle name="20% - Énfasis4 3 3 4 2 2" xfId="6884" xr:uid="{00000000-0005-0000-0000-000073040000}"/>
    <cellStyle name="20% - Énfasis4 3 3 4 3" xfId="6889" xr:uid="{00000000-0005-0000-0000-000074040000}"/>
    <cellStyle name="20% - Énfasis4 3 3 5" xfId="6897" xr:uid="{00000000-0005-0000-0000-000075040000}"/>
    <cellStyle name="20% - Énfasis4 3 3 5 2" xfId="6902" xr:uid="{00000000-0005-0000-0000-000076040000}"/>
    <cellStyle name="20% - Énfasis4 3 3 5 2 2" xfId="6905" xr:uid="{00000000-0005-0000-0000-000077040000}"/>
    <cellStyle name="20% - Énfasis4 3 3 5 3" xfId="6910" xr:uid="{00000000-0005-0000-0000-000078040000}"/>
    <cellStyle name="20% - Énfasis4 3 3 6" xfId="6931" xr:uid="{00000000-0005-0000-0000-000079040000}"/>
    <cellStyle name="20% - Énfasis4 3 3 6 2" xfId="2959" xr:uid="{00000000-0005-0000-0000-00007A040000}"/>
    <cellStyle name="20% - Énfasis4 3 3 7" xfId="1098" xr:uid="{00000000-0005-0000-0000-00007B040000}"/>
    <cellStyle name="20% - Énfasis4 3 3 7 2" xfId="6944" xr:uid="{00000000-0005-0000-0000-00007C040000}"/>
    <cellStyle name="20% - Énfasis4 3 4" xfId="6951" xr:uid="{00000000-0005-0000-0000-00007D040000}"/>
    <cellStyle name="20% - Énfasis4 3 4 2" xfId="6957" xr:uid="{00000000-0005-0000-0000-00007E040000}"/>
    <cellStyle name="20% - Énfasis4 3 4 2 2" xfId="6964" xr:uid="{00000000-0005-0000-0000-00007F040000}"/>
    <cellStyle name="20% - Énfasis4 3 4 2 2 2" xfId="4049" xr:uid="{00000000-0005-0000-0000-000080040000}"/>
    <cellStyle name="20% - Énfasis4 3 4 2 2 2 2" xfId="4061" xr:uid="{00000000-0005-0000-0000-000081040000}"/>
    <cellStyle name="20% - Énfasis4 3 4 2 2 2 2 2" xfId="6974" xr:uid="{00000000-0005-0000-0000-000082040000}"/>
    <cellStyle name="20% - Énfasis4 3 4 2 2 2 3" xfId="6976" xr:uid="{00000000-0005-0000-0000-000083040000}"/>
    <cellStyle name="20% - Énfasis4 3 4 2 2 3" xfId="2970" xr:uid="{00000000-0005-0000-0000-000084040000}"/>
    <cellStyle name="20% - Énfasis4 3 4 2 2 3 2" xfId="6982" xr:uid="{00000000-0005-0000-0000-000085040000}"/>
    <cellStyle name="20% - Énfasis4 3 4 2 2 4" xfId="6990" xr:uid="{00000000-0005-0000-0000-000086040000}"/>
    <cellStyle name="20% - Énfasis4 3 4 2 3" xfId="6998" xr:uid="{00000000-0005-0000-0000-000087040000}"/>
    <cellStyle name="20% - Énfasis4 3 4 2 3 2" xfId="7004" xr:uid="{00000000-0005-0000-0000-000088040000}"/>
    <cellStyle name="20% - Énfasis4 3 4 2 3 2 2" xfId="7017" xr:uid="{00000000-0005-0000-0000-000089040000}"/>
    <cellStyle name="20% - Énfasis4 3 4 2 3 3" xfId="7022" xr:uid="{00000000-0005-0000-0000-00008A040000}"/>
    <cellStyle name="20% - Énfasis4 3 4 2 4" xfId="7031" xr:uid="{00000000-0005-0000-0000-00008B040000}"/>
    <cellStyle name="20% - Énfasis4 3 4 2 4 2" xfId="5821" xr:uid="{00000000-0005-0000-0000-00008C040000}"/>
    <cellStyle name="20% - Énfasis4 3 4 2 4 2 2" xfId="4246" xr:uid="{00000000-0005-0000-0000-00008D040000}"/>
    <cellStyle name="20% - Énfasis4 3 4 2 4 3" xfId="7035" xr:uid="{00000000-0005-0000-0000-00008E040000}"/>
    <cellStyle name="20% - Énfasis4 3 4 2 5" xfId="7042" xr:uid="{00000000-0005-0000-0000-00008F040000}"/>
    <cellStyle name="20% - Énfasis4 3 4 2 5 2" xfId="3940" xr:uid="{00000000-0005-0000-0000-000090040000}"/>
    <cellStyle name="20% - Énfasis4 3 4 2 6" xfId="6360" xr:uid="{00000000-0005-0000-0000-000091040000}"/>
    <cellStyle name="20% - Énfasis4 3 4 2 6 2" xfId="6371" xr:uid="{00000000-0005-0000-0000-000092040000}"/>
    <cellStyle name="20% - Énfasis4 3 4 2 7" xfId="6410" xr:uid="{00000000-0005-0000-0000-000093040000}"/>
    <cellStyle name="20% - Énfasis4 3 4 3" xfId="7046" xr:uid="{00000000-0005-0000-0000-000094040000}"/>
    <cellStyle name="20% - Énfasis4 3 4 3 2" xfId="7056" xr:uid="{00000000-0005-0000-0000-000095040000}"/>
    <cellStyle name="20% - Énfasis4 3 4 3 2 2" xfId="7063" xr:uid="{00000000-0005-0000-0000-000096040000}"/>
    <cellStyle name="20% - Énfasis4 3 4 3 2 2 2" xfId="7066" xr:uid="{00000000-0005-0000-0000-000097040000}"/>
    <cellStyle name="20% - Énfasis4 3 4 3 2 3" xfId="4545" xr:uid="{00000000-0005-0000-0000-000098040000}"/>
    <cellStyle name="20% - Énfasis4 3 4 3 3" xfId="7078" xr:uid="{00000000-0005-0000-0000-000099040000}"/>
    <cellStyle name="20% - Énfasis4 3 4 3 3 2" xfId="7083" xr:uid="{00000000-0005-0000-0000-00009A040000}"/>
    <cellStyle name="20% - Énfasis4 3 4 3 4" xfId="7091" xr:uid="{00000000-0005-0000-0000-00009B040000}"/>
    <cellStyle name="20% - Énfasis4 3 4 4" xfId="7101" xr:uid="{00000000-0005-0000-0000-00009C040000}"/>
    <cellStyle name="20% - Énfasis4 3 4 4 2" xfId="7106" xr:uid="{00000000-0005-0000-0000-00009D040000}"/>
    <cellStyle name="20% - Énfasis4 3 4 4 2 2" xfId="6570" xr:uid="{00000000-0005-0000-0000-00009E040000}"/>
    <cellStyle name="20% - Énfasis4 3 4 4 3" xfId="7115" xr:uid="{00000000-0005-0000-0000-00009F040000}"/>
    <cellStyle name="20% - Énfasis4 3 4 5" xfId="7122" xr:uid="{00000000-0005-0000-0000-0000A0040000}"/>
    <cellStyle name="20% - Énfasis4 3 4 5 2" xfId="7135" xr:uid="{00000000-0005-0000-0000-0000A1040000}"/>
    <cellStyle name="20% - Énfasis4 3 4 5 2 2" xfId="7138" xr:uid="{00000000-0005-0000-0000-0000A2040000}"/>
    <cellStyle name="20% - Énfasis4 3 4 5 3" xfId="7143" xr:uid="{00000000-0005-0000-0000-0000A3040000}"/>
    <cellStyle name="20% - Énfasis4 3 4 6" xfId="7152" xr:uid="{00000000-0005-0000-0000-0000A4040000}"/>
    <cellStyle name="20% - Énfasis4 3 4 6 2" xfId="7163" xr:uid="{00000000-0005-0000-0000-0000A5040000}"/>
    <cellStyle name="20% - Énfasis4 3 4 7" xfId="111" xr:uid="{00000000-0005-0000-0000-0000A6040000}"/>
    <cellStyle name="20% - Énfasis4 3 4 7 2" xfId="5804" xr:uid="{00000000-0005-0000-0000-0000A7040000}"/>
    <cellStyle name="20% - Énfasis4 3 4 8" xfId="3748" xr:uid="{00000000-0005-0000-0000-0000A8040000}"/>
    <cellStyle name="20% - Énfasis4 3 4 9" xfId="3767" xr:uid="{00000000-0005-0000-0000-0000A9040000}"/>
    <cellStyle name="20% - Énfasis4 3 5" xfId="7165" xr:uid="{00000000-0005-0000-0000-0000AA040000}"/>
    <cellStyle name="20% - Énfasis4 3 5 2" xfId="7176" xr:uid="{00000000-0005-0000-0000-0000AB040000}"/>
    <cellStyle name="20% - Énfasis4 3 5 2 2" xfId="7181" xr:uid="{00000000-0005-0000-0000-0000AC040000}"/>
    <cellStyle name="20% - Énfasis4 3 5 2 2 2" xfId="4582" xr:uid="{00000000-0005-0000-0000-0000AD040000}"/>
    <cellStyle name="20% - Énfasis4 3 5 2 2 2 2" xfId="7186" xr:uid="{00000000-0005-0000-0000-0000AE040000}"/>
    <cellStyle name="20% - Énfasis4 3 5 2 2 2 2 2" xfId="7203" xr:uid="{00000000-0005-0000-0000-0000AF040000}"/>
    <cellStyle name="20% - Énfasis4 3 5 2 2 2 3" xfId="2682" xr:uid="{00000000-0005-0000-0000-0000B0040000}"/>
    <cellStyle name="20% - Énfasis4 3 5 2 2 3" xfId="7207" xr:uid="{00000000-0005-0000-0000-0000B1040000}"/>
    <cellStyle name="20% - Énfasis4 3 5 2 2 3 2" xfId="7214" xr:uid="{00000000-0005-0000-0000-0000B2040000}"/>
    <cellStyle name="20% - Énfasis4 3 5 2 2 4" xfId="7219" xr:uid="{00000000-0005-0000-0000-0000B3040000}"/>
    <cellStyle name="20% - Énfasis4 3 5 2 3" xfId="7227" xr:uid="{00000000-0005-0000-0000-0000B4040000}"/>
    <cellStyle name="20% - Énfasis4 3 5 2 3 2" xfId="7233" xr:uid="{00000000-0005-0000-0000-0000B5040000}"/>
    <cellStyle name="20% - Énfasis4 3 5 2 3 2 2" xfId="7239" xr:uid="{00000000-0005-0000-0000-0000B6040000}"/>
    <cellStyle name="20% - Énfasis4 3 5 2 3 3" xfId="7242" xr:uid="{00000000-0005-0000-0000-0000B7040000}"/>
    <cellStyle name="20% - Énfasis4 3 5 2 4" xfId="7248" xr:uid="{00000000-0005-0000-0000-0000B8040000}"/>
    <cellStyle name="20% - Énfasis4 3 5 2 4 2" xfId="6502" xr:uid="{00000000-0005-0000-0000-0000B9040000}"/>
    <cellStyle name="20% - Énfasis4 3 5 2 4 2 2" xfId="3414" xr:uid="{00000000-0005-0000-0000-0000BA040000}"/>
    <cellStyle name="20% - Énfasis4 3 5 2 4 3" xfId="6514" xr:uid="{00000000-0005-0000-0000-0000BB040000}"/>
    <cellStyle name="20% - Énfasis4 3 5 2 5" xfId="7252" xr:uid="{00000000-0005-0000-0000-0000BC040000}"/>
    <cellStyle name="20% - Énfasis4 3 5 2 5 2" xfId="7254" xr:uid="{00000000-0005-0000-0000-0000BD040000}"/>
    <cellStyle name="20% - Énfasis4 3 5 2 6" xfId="7258" xr:uid="{00000000-0005-0000-0000-0000BE040000}"/>
    <cellStyle name="20% - Énfasis4 3 5 2 6 2" xfId="4148" xr:uid="{00000000-0005-0000-0000-0000BF040000}"/>
    <cellStyle name="20% - Énfasis4 3 5 2 7" xfId="7263" xr:uid="{00000000-0005-0000-0000-0000C0040000}"/>
    <cellStyle name="20% - Énfasis4 3 5 3" xfId="7271" xr:uid="{00000000-0005-0000-0000-0000C1040000}"/>
    <cellStyle name="20% - Énfasis4 3 5 3 2" xfId="7277" xr:uid="{00000000-0005-0000-0000-0000C2040000}"/>
    <cellStyle name="20% - Énfasis4 3 5 3 2 2" xfId="7287" xr:uid="{00000000-0005-0000-0000-0000C3040000}"/>
    <cellStyle name="20% - Énfasis4 3 5 3 2 2 2" xfId="1364" xr:uid="{00000000-0005-0000-0000-0000C4040000}"/>
    <cellStyle name="20% - Énfasis4 3 5 3 2 3" xfId="4771" xr:uid="{00000000-0005-0000-0000-0000C5040000}"/>
    <cellStyle name="20% - Énfasis4 3 5 3 3" xfId="3078" xr:uid="{00000000-0005-0000-0000-0000C6040000}"/>
    <cellStyle name="20% - Énfasis4 3 5 3 3 2" xfId="5311" xr:uid="{00000000-0005-0000-0000-0000C7040000}"/>
    <cellStyle name="20% - Énfasis4 3 5 3 4" xfId="5324" xr:uid="{00000000-0005-0000-0000-0000C8040000}"/>
    <cellStyle name="20% - Énfasis4 3 5 4" xfId="7298" xr:uid="{00000000-0005-0000-0000-0000C9040000}"/>
    <cellStyle name="20% - Énfasis4 3 5 4 2" xfId="7304" xr:uid="{00000000-0005-0000-0000-0000CA040000}"/>
    <cellStyle name="20% - Énfasis4 3 5 4 2 2" xfId="7312" xr:uid="{00000000-0005-0000-0000-0000CB040000}"/>
    <cellStyle name="20% - Énfasis4 3 5 4 3" xfId="5339" xr:uid="{00000000-0005-0000-0000-0000CC040000}"/>
    <cellStyle name="20% - Énfasis4 3 5 5" xfId="2835" xr:uid="{00000000-0005-0000-0000-0000CD040000}"/>
    <cellStyle name="20% - Énfasis4 3 5 5 2" xfId="41" xr:uid="{00000000-0005-0000-0000-0000CE040000}"/>
    <cellStyle name="20% - Énfasis4 3 5 5 2 2" xfId="7325" xr:uid="{00000000-0005-0000-0000-0000CF040000}"/>
    <cellStyle name="20% - Énfasis4 3 5 5 3" xfId="288" xr:uid="{00000000-0005-0000-0000-0000D0040000}"/>
    <cellStyle name="20% - Énfasis4 3 5 6" xfId="7340" xr:uid="{00000000-0005-0000-0000-0000D1040000}"/>
    <cellStyle name="20% - Énfasis4 3 5 6 2" xfId="7348" xr:uid="{00000000-0005-0000-0000-0000D2040000}"/>
    <cellStyle name="20% - Énfasis4 3 5 7" xfId="4865" xr:uid="{00000000-0005-0000-0000-0000D3040000}"/>
    <cellStyle name="20% - Énfasis4 3 5 7 2" xfId="7364" xr:uid="{00000000-0005-0000-0000-0000D4040000}"/>
    <cellStyle name="20% - Énfasis4 3 5 8" xfId="2338" xr:uid="{00000000-0005-0000-0000-0000D5040000}"/>
    <cellStyle name="20% - Énfasis4 3 6" xfId="7377" xr:uid="{00000000-0005-0000-0000-0000D6040000}"/>
    <cellStyle name="20% - Énfasis4 3 6 2" xfId="7384" xr:uid="{00000000-0005-0000-0000-0000D7040000}"/>
    <cellStyle name="20% - Énfasis4 3 6 2 2" xfId="7389" xr:uid="{00000000-0005-0000-0000-0000D8040000}"/>
    <cellStyle name="20% - Énfasis4 3 6 2 2 2" xfId="5976" xr:uid="{00000000-0005-0000-0000-0000D9040000}"/>
    <cellStyle name="20% - Énfasis4 3 6 2 2 2 2" xfId="7391" xr:uid="{00000000-0005-0000-0000-0000DA040000}"/>
    <cellStyle name="20% - Énfasis4 3 6 2 2 3" xfId="2152" xr:uid="{00000000-0005-0000-0000-0000DB040000}"/>
    <cellStyle name="20% - Énfasis4 3 6 2 3" xfId="7397" xr:uid="{00000000-0005-0000-0000-0000DC040000}"/>
    <cellStyle name="20% - Énfasis4 3 6 2 3 2" xfId="7409" xr:uid="{00000000-0005-0000-0000-0000DD040000}"/>
    <cellStyle name="20% - Énfasis4 3 6 2 4" xfId="7415" xr:uid="{00000000-0005-0000-0000-0000DE040000}"/>
    <cellStyle name="20% - Énfasis4 3 6 3" xfId="7421" xr:uid="{00000000-0005-0000-0000-0000DF040000}"/>
    <cellStyle name="20% - Énfasis4 3 6 3 2" xfId="7426" xr:uid="{00000000-0005-0000-0000-0000E0040000}"/>
    <cellStyle name="20% - Énfasis4 3 6 3 2 2" xfId="7434" xr:uid="{00000000-0005-0000-0000-0000E1040000}"/>
    <cellStyle name="20% - Énfasis4 3 6 3 3" xfId="5355" xr:uid="{00000000-0005-0000-0000-0000E2040000}"/>
    <cellStyle name="20% - Énfasis4 3 6 4" xfId="7438" xr:uid="{00000000-0005-0000-0000-0000E3040000}"/>
    <cellStyle name="20% - Énfasis4 3 6 4 2" xfId="7442" xr:uid="{00000000-0005-0000-0000-0000E4040000}"/>
    <cellStyle name="20% - Énfasis4 3 6 4 2 2" xfId="7447" xr:uid="{00000000-0005-0000-0000-0000E5040000}"/>
    <cellStyle name="20% - Énfasis4 3 6 4 3" xfId="7460" xr:uid="{00000000-0005-0000-0000-0000E6040000}"/>
    <cellStyle name="20% - Énfasis4 3 6 5" xfId="4999" xr:uid="{00000000-0005-0000-0000-0000E7040000}"/>
    <cellStyle name="20% - Énfasis4 3 6 5 2" xfId="7465" xr:uid="{00000000-0005-0000-0000-0000E8040000}"/>
    <cellStyle name="20% - Énfasis4 3 6 6" xfId="7470" xr:uid="{00000000-0005-0000-0000-0000E9040000}"/>
    <cellStyle name="20% - Énfasis4 3 6 6 2" xfId="7480" xr:uid="{00000000-0005-0000-0000-0000EA040000}"/>
    <cellStyle name="20% - Énfasis4 3 6 7" xfId="7190" xr:uid="{00000000-0005-0000-0000-0000EB040000}"/>
    <cellStyle name="20% - Énfasis4 3 7" xfId="7485" xr:uid="{00000000-0005-0000-0000-0000EC040000}"/>
    <cellStyle name="20% - Énfasis4 3 7 2" xfId="7499" xr:uid="{00000000-0005-0000-0000-0000ED040000}"/>
    <cellStyle name="20% - Énfasis4 3 7 2 2" xfId="7504" xr:uid="{00000000-0005-0000-0000-0000EE040000}"/>
    <cellStyle name="20% - Énfasis4 3 7 2 2 2" xfId="2251" xr:uid="{00000000-0005-0000-0000-0000EF040000}"/>
    <cellStyle name="20% - Énfasis4 3 7 2 3" xfId="7511" xr:uid="{00000000-0005-0000-0000-0000F0040000}"/>
    <cellStyle name="20% - Énfasis4 3 7 3" xfId="7519" xr:uid="{00000000-0005-0000-0000-0000F1040000}"/>
    <cellStyle name="20% - Énfasis4 3 7 3 2" xfId="7533" xr:uid="{00000000-0005-0000-0000-0000F2040000}"/>
    <cellStyle name="20% - Énfasis4 3 7 4" xfId="7538" xr:uid="{00000000-0005-0000-0000-0000F3040000}"/>
    <cellStyle name="20% - Énfasis4 3 8" xfId="2024" xr:uid="{00000000-0005-0000-0000-0000F4040000}"/>
    <cellStyle name="20% - Énfasis4 3 8 2" xfId="2055" xr:uid="{00000000-0005-0000-0000-0000F5040000}"/>
    <cellStyle name="20% - Énfasis4 3 8 2 2" xfId="3978" xr:uid="{00000000-0005-0000-0000-0000F6040000}"/>
    <cellStyle name="20% - Énfasis4 3 8 3" xfId="3987" xr:uid="{00000000-0005-0000-0000-0000F7040000}"/>
    <cellStyle name="20% - Énfasis4 3 9" xfId="225" xr:uid="{00000000-0005-0000-0000-0000F8040000}"/>
    <cellStyle name="20% - Énfasis4 3 9 2" xfId="192" xr:uid="{00000000-0005-0000-0000-0000F9040000}"/>
    <cellStyle name="20% - Énfasis4 3 9 2 2" xfId="5999" xr:uid="{00000000-0005-0000-0000-0000FA040000}"/>
    <cellStyle name="20% - Énfasis4 3 9 3" xfId="7543" xr:uid="{00000000-0005-0000-0000-0000FB040000}"/>
    <cellStyle name="20% - Énfasis4 4" xfId="7548" xr:uid="{00000000-0005-0000-0000-0000FC040000}"/>
    <cellStyle name="20% - Énfasis4 4 2" xfId="7551" xr:uid="{00000000-0005-0000-0000-0000FD040000}"/>
    <cellStyle name="20% - Énfasis4 4 2 2" xfId="7555" xr:uid="{00000000-0005-0000-0000-0000FE040000}"/>
    <cellStyle name="20% - Énfasis4 4 2 2 2" xfId="6876" xr:uid="{00000000-0005-0000-0000-0000FF040000}"/>
    <cellStyle name="20% - Énfasis4 4 2 2 2 2" xfId="1943" xr:uid="{00000000-0005-0000-0000-000000050000}"/>
    <cellStyle name="20% - Énfasis4 4 2 2 3" xfId="6893" xr:uid="{00000000-0005-0000-0000-000001050000}"/>
    <cellStyle name="20% - Énfasis4 4 2 2 4" xfId="6922" xr:uid="{00000000-0005-0000-0000-000002050000}"/>
    <cellStyle name="20% - Énfasis4 4 2 3" xfId="7557" xr:uid="{00000000-0005-0000-0000-000003050000}"/>
    <cellStyle name="20% - Énfasis4 4 2 3 2" xfId="7097" xr:uid="{00000000-0005-0000-0000-000004050000}"/>
    <cellStyle name="20% - Énfasis4 4 2 4" xfId="7560" xr:uid="{00000000-0005-0000-0000-000005050000}"/>
    <cellStyle name="20% - Énfasis4 4 2 4 2" xfId="7294" xr:uid="{00000000-0005-0000-0000-000006050000}"/>
    <cellStyle name="20% - Énfasis4 4 2 5" xfId="7564" xr:uid="{00000000-0005-0000-0000-000007050000}"/>
    <cellStyle name="20% - Énfasis4 4 2 6" xfId="7568" xr:uid="{00000000-0005-0000-0000-000008050000}"/>
    <cellStyle name="20% - Énfasis4 4 3" xfId="7571" xr:uid="{00000000-0005-0000-0000-000009050000}"/>
    <cellStyle name="20% - Énfasis4 4 3 2" xfId="7577" xr:uid="{00000000-0005-0000-0000-00000A050000}"/>
    <cellStyle name="20% - Énfasis4 4 3 2 2" xfId="7588" xr:uid="{00000000-0005-0000-0000-00000B050000}"/>
    <cellStyle name="20% - Énfasis4 4 3 3" xfId="7596" xr:uid="{00000000-0005-0000-0000-00000C050000}"/>
    <cellStyle name="20% - Énfasis4 4 3 4" xfId="7583" xr:uid="{00000000-0005-0000-0000-00000D050000}"/>
    <cellStyle name="20% - Énfasis4 4 4" xfId="7604" xr:uid="{00000000-0005-0000-0000-00000E050000}"/>
    <cellStyle name="20% - Énfasis4 4 4 2" xfId="7610" xr:uid="{00000000-0005-0000-0000-00000F050000}"/>
    <cellStyle name="20% - Énfasis4 4 4 2 2" xfId="7615" xr:uid="{00000000-0005-0000-0000-000010050000}"/>
    <cellStyle name="20% - Énfasis4 4 4 3" xfId="7620" xr:uid="{00000000-0005-0000-0000-000011050000}"/>
    <cellStyle name="20% - Énfasis4 4 5" xfId="4790" xr:uid="{00000000-0005-0000-0000-000012050000}"/>
    <cellStyle name="20% - Énfasis4 4 5 2" xfId="4799" xr:uid="{00000000-0005-0000-0000-000013050000}"/>
    <cellStyle name="20% - Énfasis4 4 6" xfId="4822" xr:uid="{00000000-0005-0000-0000-000014050000}"/>
    <cellStyle name="20% - Énfasis4 4 6 2" xfId="7627" xr:uid="{00000000-0005-0000-0000-000015050000}"/>
    <cellStyle name="20% - Énfasis4 4 7" xfId="1814" xr:uid="{00000000-0005-0000-0000-000016050000}"/>
    <cellStyle name="20% - Énfasis4 4 8" xfId="2084" xr:uid="{00000000-0005-0000-0000-000017050000}"/>
    <cellStyle name="20% - Énfasis4 5" xfId="7632" xr:uid="{00000000-0005-0000-0000-000018050000}"/>
    <cellStyle name="20% - Énfasis4 5 2" xfId="7634" xr:uid="{00000000-0005-0000-0000-000019050000}"/>
    <cellStyle name="20% - Énfasis4 5 2 2" xfId="7640" xr:uid="{00000000-0005-0000-0000-00001A050000}"/>
    <cellStyle name="20% - Énfasis4 5 2 2 2" xfId="7646" xr:uid="{00000000-0005-0000-0000-00001B050000}"/>
    <cellStyle name="20% - Énfasis4 5 2 3" xfId="7652" xr:uid="{00000000-0005-0000-0000-00001C050000}"/>
    <cellStyle name="20% - Énfasis4 5 2 4" xfId="7653" xr:uid="{00000000-0005-0000-0000-00001D050000}"/>
    <cellStyle name="20% - Énfasis4 5 3" xfId="7654" xr:uid="{00000000-0005-0000-0000-00001E050000}"/>
    <cellStyle name="20% - Énfasis4 5 3 2" xfId="7659" xr:uid="{00000000-0005-0000-0000-00001F050000}"/>
    <cellStyle name="20% - Énfasis4 5 3 2 2" xfId="7661" xr:uid="{00000000-0005-0000-0000-000020050000}"/>
    <cellStyle name="20% - Énfasis4 5 3 3" xfId="7662" xr:uid="{00000000-0005-0000-0000-000021050000}"/>
    <cellStyle name="20% - Énfasis4 5 4" xfId="7663" xr:uid="{00000000-0005-0000-0000-000022050000}"/>
    <cellStyle name="20% - Énfasis4 5 4 2" xfId="7669" xr:uid="{00000000-0005-0000-0000-000023050000}"/>
    <cellStyle name="20% - Énfasis4 5 5" xfId="2508" xr:uid="{00000000-0005-0000-0000-000024050000}"/>
    <cellStyle name="20% - Énfasis4 5 5 2" xfId="7674" xr:uid="{00000000-0005-0000-0000-000025050000}"/>
    <cellStyle name="20% - Énfasis4 5 6" xfId="7677" xr:uid="{00000000-0005-0000-0000-000026050000}"/>
    <cellStyle name="20% - Énfasis4 5 7" xfId="7680" xr:uid="{00000000-0005-0000-0000-000027050000}"/>
    <cellStyle name="20% - Énfasis4 6" xfId="7682" xr:uid="{00000000-0005-0000-0000-000028050000}"/>
    <cellStyle name="20% - Énfasis4 6 2" xfId="7260" xr:uid="{00000000-0005-0000-0000-000029050000}"/>
    <cellStyle name="20% - Énfasis4 6 2 2" xfId="4153" xr:uid="{00000000-0005-0000-0000-00002A050000}"/>
    <cellStyle name="20% - Énfasis4 6 2 2 2" xfId="4165" xr:uid="{00000000-0005-0000-0000-00002B050000}"/>
    <cellStyle name="20% - Énfasis4 6 2 3" xfId="4181" xr:uid="{00000000-0005-0000-0000-00002C050000}"/>
    <cellStyle name="20% - Énfasis4 6 2 4" xfId="4204" xr:uid="{00000000-0005-0000-0000-00002D050000}"/>
    <cellStyle name="20% - Énfasis4 6 3" xfId="7267" xr:uid="{00000000-0005-0000-0000-00002E050000}"/>
    <cellStyle name="20% - Énfasis4 6 3 2" xfId="2715" xr:uid="{00000000-0005-0000-0000-00002F050000}"/>
    <cellStyle name="20% - Énfasis4 6 4" xfId="7687" xr:uid="{00000000-0005-0000-0000-000030050000}"/>
    <cellStyle name="20% - Énfasis4 6 4 2" xfId="7693" xr:uid="{00000000-0005-0000-0000-000031050000}"/>
    <cellStyle name="20% - Énfasis4 6 5" xfId="2756" xr:uid="{00000000-0005-0000-0000-000032050000}"/>
    <cellStyle name="20% - Énfasis4 6 6" xfId="7697" xr:uid="{00000000-0005-0000-0000-000033050000}"/>
    <cellStyle name="20% - Énfasis4 7" xfId="7701" xr:uid="{00000000-0005-0000-0000-000034050000}"/>
    <cellStyle name="20% - Énfasis4 7 2" xfId="431" xr:uid="{00000000-0005-0000-0000-000035050000}"/>
    <cellStyle name="20% - Énfasis4 7 2 2" xfId="633" xr:uid="{00000000-0005-0000-0000-000036050000}"/>
    <cellStyle name="20% - Énfasis4 7 3" xfId="500" xr:uid="{00000000-0005-0000-0000-000037050000}"/>
    <cellStyle name="20% - Énfasis4 8" xfId="7708" xr:uid="{00000000-0005-0000-0000-000038050000}"/>
    <cellStyle name="20% - Énfasis4 8 2" xfId="7716" xr:uid="{00000000-0005-0000-0000-000039050000}"/>
    <cellStyle name="20% - Énfasis4 9" xfId="7727" xr:uid="{00000000-0005-0000-0000-00003A050000}"/>
    <cellStyle name="20% - Énfasis4 9 2" xfId="7735" xr:uid="{00000000-0005-0000-0000-00003B050000}"/>
    <cellStyle name="20% - Énfasis5 2" xfId="615" xr:uid="{00000000-0005-0000-0000-00003C050000}"/>
    <cellStyle name="20% - Énfasis5 2 2" xfId="3108" xr:uid="{00000000-0005-0000-0000-00003D050000}"/>
    <cellStyle name="20% - Énfasis5 3" xfId="7743" xr:uid="{00000000-0005-0000-0000-00003E050000}"/>
    <cellStyle name="20% - Énfasis5 3 10" xfId="3621" xr:uid="{00000000-0005-0000-0000-00003F050000}"/>
    <cellStyle name="20% - Énfasis5 3 10 2" xfId="3629" xr:uid="{00000000-0005-0000-0000-000040050000}"/>
    <cellStyle name="20% - Énfasis5 3 11" xfId="3216" xr:uid="{00000000-0005-0000-0000-000041050000}"/>
    <cellStyle name="20% - Énfasis5 3 11 2" xfId="3649" xr:uid="{00000000-0005-0000-0000-000042050000}"/>
    <cellStyle name="20% - Énfasis5 3 12" xfId="3659" xr:uid="{00000000-0005-0000-0000-000043050000}"/>
    <cellStyle name="20% - Énfasis5 3 12 2" xfId="3666" xr:uid="{00000000-0005-0000-0000-000044050000}"/>
    <cellStyle name="20% - Énfasis5 3 13" xfId="3677" xr:uid="{00000000-0005-0000-0000-000045050000}"/>
    <cellStyle name="20% - Énfasis5 3 14" xfId="1555" xr:uid="{00000000-0005-0000-0000-000046050000}"/>
    <cellStyle name="20% - Énfasis5 3 2" xfId="5364" xr:uid="{00000000-0005-0000-0000-000047050000}"/>
    <cellStyle name="20% - Énfasis5 3 2 10" xfId="7749" xr:uid="{00000000-0005-0000-0000-000048050000}"/>
    <cellStyle name="20% - Énfasis5 3 2 2" xfId="7451" xr:uid="{00000000-0005-0000-0000-000049050000}"/>
    <cellStyle name="20% - Énfasis5 3 2 2 2" xfId="7753" xr:uid="{00000000-0005-0000-0000-00004A050000}"/>
    <cellStyle name="20% - Énfasis5 3 2 2 2 2" xfId="2291" xr:uid="{00000000-0005-0000-0000-00004B050000}"/>
    <cellStyle name="20% - Énfasis5 3 2 2 2 2 2" xfId="2311" xr:uid="{00000000-0005-0000-0000-00004C050000}"/>
    <cellStyle name="20% - Énfasis5 3 2 2 2 2 2 2" xfId="2345" xr:uid="{00000000-0005-0000-0000-00004D050000}"/>
    <cellStyle name="20% - Énfasis5 3 2 2 2 2 2 2 2" xfId="2363" xr:uid="{00000000-0005-0000-0000-00004E050000}"/>
    <cellStyle name="20% - Énfasis5 3 2 2 2 2 2 3" xfId="2469" xr:uid="{00000000-0005-0000-0000-00004F050000}"/>
    <cellStyle name="20% - Énfasis5 3 2 2 2 2 3" xfId="2657" xr:uid="{00000000-0005-0000-0000-000050050000}"/>
    <cellStyle name="20% - Énfasis5 3 2 2 2 2 3 2" xfId="2695" xr:uid="{00000000-0005-0000-0000-000051050000}"/>
    <cellStyle name="20% - Énfasis5 3 2 2 2 2 4" xfId="2780" xr:uid="{00000000-0005-0000-0000-000052050000}"/>
    <cellStyle name="20% - Énfasis5 3 2 2 2 3" xfId="2856" xr:uid="{00000000-0005-0000-0000-000053050000}"/>
    <cellStyle name="20% - Énfasis5 3 2 2 2 3 2" xfId="2903" xr:uid="{00000000-0005-0000-0000-000054050000}"/>
    <cellStyle name="20% - Énfasis5 3 2 2 2 3 2 2" xfId="2916" xr:uid="{00000000-0005-0000-0000-000055050000}"/>
    <cellStyle name="20% - Énfasis5 3 2 2 2 3 3" xfId="3022" xr:uid="{00000000-0005-0000-0000-000056050000}"/>
    <cellStyle name="20% - Énfasis5 3 2 2 2 4" xfId="3314" xr:uid="{00000000-0005-0000-0000-000057050000}"/>
    <cellStyle name="20% - Énfasis5 3 2 2 2 4 2" xfId="3333" xr:uid="{00000000-0005-0000-0000-000058050000}"/>
    <cellStyle name="20% - Énfasis5 3 2 2 2 4 2 2" xfId="3162" xr:uid="{00000000-0005-0000-0000-000059050000}"/>
    <cellStyle name="20% - Énfasis5 3 2 2 2 4 3" xfId="3360" xr:uid="{00000000-0005-0000-0000-00005A050000}"/>
    <cellStyle name="20% - Énfasis5 3 2 2 2 5" xfId="3489" xr:uid="{00000000-0005-0000-0000-00005B050000}"/>
    <cellStyle name="20% - Énfasis5 3 2 2 2 5 2" xfId="3499" xr:uid="{00000000-0005-0000-0000-00005C050000}"/>
    <cellStyle name="20% - Énfasis5 3 2 2 2 6" xfId="3558" xr:uid="{00000000-0005-0000-0000-00005D050000}"/>
    <cellStyle name="20% - Énfasis5 3 2 2 2 6 2" xfId="3573" xr:uid="{00000000-0005-0000-0000-00005E050000}"/>
    <cellStyle name="20% - Énfasis5 3 2 2 2 7" xfId="3591" xr:uid="{00000000-0005-0000-0000-00005F050000}"/>
    <cellStyle name="20% - Énfasis5 3 2 2 3" xfId="3141" xr:uid="{00000000-0005-0000-0000-000060050000}"/>
    <cellStyle name="20% - Énfasis5 3 2 2 3 2" xfId="1507" xr:uid="{00000000-0005-0000-0000-000061050000}"/>
    <cellStyle name="20% - Énfasis5 3 2 2 3 2 2" xfId="1521" xr:uid="{00000000-0005-0000-0000-000062050000}"/>
    <cellStyle name="20% - Énfasis5 3 2 2 3 2 2 2" xfId="1542" xr:uid="{00000000-0005-0000-0000-000063050000}"/>
    <cellStyle name="20% - Énfasis5 3 2 2 3 2 3" xfId="1658" xr:uid="{00000000-0005-0000-0000-000064050000}"/>
    <cellStyle name="20% - Énfasis5 3 2 2 3 3" xfId="319" xr:uid="{00000000-0005-0000-0000-000065050000}"/>
    <cellStyle name="20% - Énfasis5 3 2 2 3 3 2" xfId="1713" xr:uid="{00000000-0005-0000-0000-000066050000}"/>
    <cellStyle name="20% - Énfasis5 3 2 2 3 4" xfId="59" xr:uid="{00000000-0005-0000-0000-000067050000}"/>
    <cellStyle name="20% - Énfasis5 3 2 2 4" xfId="1648" xr:uid="{00000000-0005-0000-0000-000068050000}"/>
    <cellStyle name="20% - Énfasis5 3 2 2 4 2" xfId="2113" xr:uid="{00000000-0005-0000-0000-000069050000}"/>
    <cellStyle name="20% - Énfasis5 3 2 2 4 2 2" xfId="2135" xr:uid="{00000000-0005-0000-0000-00006A050000}"/>
    <cellStyle name="20% - Énfasis5 3 2 2 4 3" xfId="2197" xr:uid="{00000000-0005-0000-0000-00006B050000}"/>
    <cellStyle name="20% - Énfasis5 3 2 2 5" xfId="7765" xr:uid="{00000000-0005-0000-0000-00006C050000}"/>
    <cellStyle name="20% - Énfasis5 3 2 2 5 2" xfId="2639" xr:uid="{00000000-0005-0000-0000-00006D050000}"/>
    <cellStyle name="20% - Énfasis5 3 2 2 5 2 2" xfId="2671" xr:uid="{00000000-0005-0000-0000-00006E050000}"/>
    <cellStyle name="20% - Énfasis5 3 2 2 5 3" xfId="2762" xr:uid="{00000000-0005-0000-0000-00006F050000}"/>
    <cellStyle name="20% - Énfasis5 3 2 2 6" xfId="7770" xr:uid="{00000000-0005-0000-0000-000070050000}"/>
    <cellStyle name="20% - Énfasis5 3 2 2 6 2" xfId="7776" xr:uid="{00000000-0005-0000-0000-000071050000}"/>
    <cellStyle name="20% - Énfasis5 3 2 2 7" xfId="7782" xr:uid="{00000000-0005-0000-0000-000072050000}"/>
    <cellStyle name="20% - Énfasis5 3 2 2 7 2" xfId="7787" xr:uid="{00000000-0005-0000-0000-000073050000}"/>
    <cellStyle name="20% - Énfasis5 3 2 2 8" xfId="7799" xr:uid="{00000000-0005-0000-0000-000074050000}"/>
    <cellStyle name="20% - Énfasis5 3 2 2 9" xfId="7809" xr:uid="{00000000-0005-0000-0000-000075050000}"/>
    <cellStyle name="20% - Énfasis5 3 2 3" xfId="7816" xr:uid="{00000000-0005-0000-0000-000076050000}"/>
    <cellStyle name="20% - Énfasis5 3 2 3 2" xfId="7821" xr:uid="{00000000-0005-0000-0000-000077050000}"/>
    <cellStyle name="20% - Énfasis5 3 2 3 2 2" xfId="4414" xr:uid="{00000000-0005-0000-0000-000078050000}"/>
    <cellStyle name="20% - Énfasis5 3 2 3 2 2 2" xfId="4442" xr:uid="{00000000-0005-0000-0000-000079050000}"/>
    <cellStyle name="20% - Énfasis5 3 2 3 2 2 2 2" xfId="4462" xr:uid="{00000000-0005-0000-0000-00007A050000}"/>
    <cellStyle name="20% - Énfasis5 3 2 3 2 2 3" xfId="4565" xr:uid="{00000000-0005-0000-0000-00007B050000}"/>
    <cellStyle name="20% - Énfasis5 3 2 3 2 3" xfId="3286" xr:uid="{00000000-0005-0000-0000-00007C050000}"/>
    <cellStyle name="20% - Énfasis5 3 2 3 2 3 2" xfId="4686" xr:uid="{00000000-0005-0000-0000-00007D050000}"/>
    <cellStyle name="20% - Énfasis5 3 2 3 2 4" xfId="4894" xr:uid="{00000000-0005-0000-0000-00007E050000}"/>
    <cellStyle name="20% - Énfasis5 3 2 3 3" xfId="3200" xr:uid="{00000000-0005-0000-0000-00007F050000}"/>
    <cellStyle name="20% - Énfasis5 3 2 3 3 2" xfId="3239" xr:uid="{00000000-0005-0000-0000-000080050000}"/>
    <cellStyle name="20% - Énfasis5 3 2 3 3 2 2" xfId="5147" xr:uid="{00000000-0005-0000-0000-000081050000}"/>
    <cellStyle name="20% - Énfasis5 3 2 3 3 3" xfId="5175" xr:uid="{00000000-0005-0000-0000-000082050000}"/>
    <cellStyle name="20% - Énfasis5 3 2 3 4" xfId="3261" xr:uid="{00000000-0005-0000-0000-000083050000}"/>
    <cellStyle name="20% - Énfasis5 3 2 3 4 2" xfId="1146" xr:uid="{00000000-0005-0000-0000-000084050000}"/>
    <cellStyle name="20% - Énfasis5 3 2 3 4 2 2" xfId="1160" xr:uid="{00000000-0005-0000-0000-000085050000}"/>
    <cellStyle name="20% - Énfasis5 3 2 3 4 3" xfId="1300" xr:uid="{00000000-0005-0000-0000-000086050000}"/>
    <cellStyle name="20% - Énfasis5 3 2 3 5" xfId="7827" xr:uid="{00000000-0005-0000-0000-000087050000}"/>
    <cellStyle name="20% - Énfasis5 3 2 3 5 2" xfId="1662" xr:uid="{00000000-0005-0000-0000-000088050000}"/>
    <cellStyle name="20% - Énfasis5 3 2 3 6" xfId="7830" xr:uid="{00000000-0005-0000-0000-000089050000}"/>
    <cellStyle name="20% - Énfasis5 3 2 3 6 2" xfId="7833" xr:uid="{00000000-0005-0000-0000-00008A050000}"/>
    <cellStyle name="20% - Énfasis5 3 2 3 7" xfId="7838" xr:uid="{00000000-0005-0000-0000-00008B050000}"/>
    <cellStyle name="20% - Énfasis5 3 2 4" xfId="7844" xr:uid="{00000000-0005-0000-0000-00008C050000}"/>
    <cellStyle name="20% - Énfasis5 3 2 4 2" xfId="7856" xr:uid="{00000000-0005-0000-0000-00008D050000}"/>
    <cellStyle name="20% - Énfasis5 3 2 4 2 2" xfId="5768" xr:uid="{00000000-0005-0000-0000-00008E050000}"/>
    <cellStyle name="20% - Énfasis5 3 2 4 2 2 2" xfId="5780" xr:uid="{00000000-0005-0000-0000-00008F050000}"/>
    <cellStyle name="20% - Énfasis5 3 2 4 2 3" xfId="5489" xr:uid="{00000000-0005-0000-0000-000090050000}"/>
    <cellStyle name="20% - Énfasis5 3 2 4 3" xfId="1427" xr:uid="{00000000-0005-0000-0000-000091050000}"/>
    <cellStyle name="20% - Énfasis5 3 2 4 3 2" xfId="4712" xr:uid="{00000000-0005-0000-0000-000092050000}"/>
    <cellStyle name="20% - Énfasis5 3 2 4 4" xfId="7859" xr:uid="{00000000-0005-0000-0000-000093050000}"/>
    <cellStyle name="20% - Énfasis5 3 2 5" xfId="7868" xr:uid="{00000000-0005-0000-0000-000094050000}"/>
    <cellStyle name="20% - Énfasis5 3 2 5 2" xfId="7890" xr:uid="{00000000-0005-0000-0000-000095050000}"/>
    <cellStyle name="20% - Énfasis5 3 2 5 2 2" xfId="6949" xr:uid="{00000000-0005-0000-0000-000096050000}"/>
    <cellStyle name="20% - Énfasis5 3 2 5 3" xfId="3300" xr:uid="{00000000-0005-0000-0000-000097050000}"/>
    <cellStyle name="20% - Énfasis5 3 2 6" xfId="3190" xr:uid="{00000000-0005-0000-0000-000098050000}"/>
    <cellStyle name="20% - Énfasis5 3 2 6 2" xfId="3224" xr:uid="{00000000-0005-0000-0000-000099050000}"/>
    <cellStyle name="20% - Énfasis5 3 2 6 2 2" xfId="7903" xr:uid="{00000000-0005-0000-0000-00009A050000}"/>
    <cellStyle name="20% - Énfasis5 3 2 6 3" xfId="7905" xr:uid="{00000000-0005-0000-0000-00009B050000}"/>
    <cellStyle name="20% - Énfasis5 3 2 7" xfId="3248" xr:uid="{00000000-0005-0000-0000-00009C050000}"/>
    <cellStyle name="20% - Énfasis5 3 2 7 2" xfId="1154" xr:uid="{00000000-0005-0000-0000-00009D050000}"/>
    <cellStyle name="20% - Énfasis5 3 2 8" xfId="6821" xr:uid="{00000000-0005-0000-0000-00009E050000}"/>
    <cellStyle name="20% - Énfasis5 3 2 8 2" xfId="1673" xr:uid="{00000000-0005-0000-0000-00009F050000}"/>
    <cellStyle name="20% - Énfasis5 3 2 9" xfId="6829" xr:uid="{00000000-0005-0000-0000-0000A0050000}"/>
    <cellStyle name="20% - Énfasis5 3 3" xfId="7909" xr:uid="{00000000-0005-0000-0000-0000A1050000}"/>
    <cellStyle name="20% - Énfasis5 3 3 2" xfId="7916" xr:uid="{00000000-0005-0000-0000-0000A2050000}"/>
    <cellStyle name="20% - Énfasis5 3 3 2 2" xfId="7922" xr:uid="{00000000-0005-0000-0000-0000A3050000}"/>
    <cellStyle name="20% - Énfasis5 3 3 2 2 2" xfId="6597" xr:uid="{00000000-0005-0000-0000-0000A4050000}"/>
    <cellStyle name="20% - Énfasis5 3 3 2 2 2 2" xfId="6606" xr:uid="{00000000-0005-0000-0000-0000A5050000}"/>
    <cellStyle name="20% - Énfasis5 3 3 2 2 2 2 2" xfId="3352" xr:uid="{00000000-0005-0000-0000-0000A6050000}"/>
    <cellStyle name="20% - Énfasis5 3 3 2 2 2 3" xfId="6610" xr:uid="{00000000-0005-0000-0000-0000A7050000}"/>
    <cellStyle name="20% - Énfasis5 3 3 2 2 3" xfId="6615" xr:uid="{00000000-0005-0000-0000-0000A8050000}"/>
    <cellStyle name="20% - Énfasis5 3 3 2 2 3 2" xfId="6622" xr:uid="{00000000-0005-0000-0000-0000A9050000}"/>
    <cellStyle name="20% - Énfasis5 3 3 2 2 4" xfId="6628" xr:uid="{00000000-0005-0000-0000-0000AA050000}"/>
    <cellStyle name="20% - Énfasis5 3 3 2 3" xfId="3440" xr:uid="{00000000-0005-0000-0000-0000AB050000}"/>
    <cellStyle name="20% - Énfasis5 3 3 2 3 2" xfId="3458" xr:uid="{00000000-0005-0000-0000-0000AC050000}"/>
    <cellStyle name="20% - Énfasis5 3 3 2 3 2 2" xfId="7930" xr:uid="{00000000-0005-0000-0000-0000AD050000}"/>
    <cellStyle name="20% - Énfasis5 3 3 2 3 3" xfId="7933" xr:uid="{00000000-0005-0000-0000-0000AE050000}"/>
    <cellStyle name="20% - Énfasis5 3 3 2 4" xfId="1483" xr:uid="{00000000-0005-0000-0000-0000AF050000}"/>
    <cellStyle name="20% - Énfasis5 3 3 2 4 2" xfId="7941" xr:uid="{00000000-0005-0000-0000-0000B0050000}"/>
    <cellStyle name="20% - Énfasis5 3 3 2 4 2 2" xfId="7943" xr:uid="{00000000-0005-0000-0000-0000B1050000}"/>
    <cellStyle name="20% - Énfasis5 3 3 2 4 3" xfId="7944" xr:uid="{00000000-0005-0000-0000-0000B2050000}"/>
    <cellStyle name="20% - Énfasis5 3 3 2 5" xfId="7951" xr:uid="{00000000-0005-0000-0000-0000B3050000}"/>
    <cellStyle name="20% - Énfasis5 3 3 2 5 2" xfId="7956" xr:uid="{00000000-0005-0000-0000-0000B4050000}"/>
    <cellStyle name="20% - Énfasis5 3 3 2 6" xfId="7965" xr:uid="{00000000-0005-0000-0000-0000B5050000}"/>
    <cellStyle name="20% - Énfasis5 3 3 2 6 2" xfId="3787" xr:uid="{00000000-0005-0000-0000-0000B6050000}"/>
    <cellStyle name="20% - Énfasis5 3 3 2 7" xfId="7971" xr:uid="{00000000-0005-0000-0000-0000B7050000}"/>
    <cellStyle name="20% - Énfasis5 3 3 3" xfId="3868" xr:uid="{00000000-0005-0000-0000-0000B8050000}"/>
    <cellStyle name="20% - Énfasis5 3 3 3 2" xfId="7978" xr:uid="{00000000-0005-0000-0000-0000B9050000}"/>
    <cellStyle name="20% - Énfasis5 3 3 3 2 2" xfId="6734" xr:uid="{00000000-0005-0000-0000-0000BA050000}"/>
    <cellStyle name="20% - Énfasis5 3 3 3 2 2 2" xfId="7988" xr:uid="{00000000-0005-0000-0000-0000BB050000}"/>
    <cellStyle name="20% - Énfasis5 3 3 3 2 3" xfId="5635" xr:uid="{00000000-0005-0000-0000-0000BC050000}"/>
    <cellStyle name="20% - Énfasis5 3 3 3 3" xfId="3396" xr:uid="{00000000-0005-0000-0000-0000BD050000}"/>
    <cellStyle name="20% - Énfasis5 3 3 3 3 2" xfId="7993" xr:uid="{00000000-0005-0000-0000-0000BE050000}"/>
    <cellStyle name="20% - Énfasis5 3 3 3 4" xfId="7998" xr:uid="{00000000-0005-0000-0000-0000BF050000}"/>
    <cellStyle name="20% - Énfasis5 3 3 4" xfId="7643" xr:uid="{00000000-0005-0000-0000-0000C0050000}"/>
    <cellStyle name="20% - Énfasis5 3 3 4 2" xfId="2417" xr:uid="{00000000-0005-0000-0000-0000C1050000}"/>
    <cellStyle name="20% - Énfasis5 3 3 4 2 2" xfId="7999" xr:uid="{00000000-0005-0000-0000-0000C2050000}"/>
    <cellStyle name="20% - Énfasis5 3 3 4 3" xfId="3472" xr:uid="{00000000-0005-0000-0000-0000C3050000}"/>
    <cellStyle name="20% - Énfasis5 3 3 5" xfId="8010" xr:uid="{00000000-0005-0000-0000-0000C4050000}"/>
    <cellStyle name="20% - Énfasis5 3 3 5 2" xfId="8013" xr:uid="{00000000-0005-0000-0000-0000C5050000}"/>
    <cellStyle name="20% - Énfasis5 3 3 5 2 2" xfId="8015" xr:uid="{00000000-0005-0000-0000-0000C6050000}"/>
    <cellStyle name="20% - Énfasis5 3 3 5 3" xfId="8017" xr:uid="{00000000-0005-0000-0000-0000C7050000}"/>
    <cellStyle name="20% - Énfasis5 3 3 6" xfId="1417" xr:uid="{00000000-0005-0000-0000-0000C8050000}"/>
    <cellStyle name="20% - Énfasis5 3 3 6 2" xfId="4720" xr:uid="{00000000-0005-0000-0000-0000C9050000}"/>
    <cellStyle name="20% - Énfasis5 3 3 7" xfId="5450" xr:uid="{00000000-0005-0000-0000-0000CA050000}"/>
    <cellStyle name="20% - Énfasis5 3 3 7 2" xfId="1979" xr:uid="{00000000-0005-0000-0000-0000CB050000}"/>
    <cellStyle name="20% - Énfasis5 3 4" xfId="7893" xr:uid="{00000000-0005-0000-0000-0000CC050000}"/>
    <cellStyle name="20% - Énfasis5 3 4 2" xfId="8024" xr:uid="{00000000-0005-0000-0000-0000CD050000}"/>
    <cellStyle name="20% - Énfasis5 3 4 2 2" xfId="8039" xr:uid="{00000000-0005-0000-0000-0000CE050000}"/>
    <cellStyle name="20% - Énfasis5 3 4 2 2 2" xfId="5409" xr:uid="{00000000-0005-0000-0000-0000CF050000}"/>
    <cellStyle name="20% - Énfasis5 3 4 2 2 2 2" xfId="5421" xr:uid="{00000000-0005-0000-0000-0000D0050000}"/>
    <cellStyle name="20% - Énfasis5 3 4 2 2 2 2 2" xfId="8053" xr:uid="{00000000-0005-0000-0000-0000D1050000}"/>
    <cellStyle name="20% - Énfasis5 3 4 2 2 2 3" xfId="157" xr:uid="{00000000-0005-0000-0000-0000D2050000}"/>
    <cellStyle name="20% - Énfasis5 3 4 2 2 3" xfId="5430" xr:uid="{00000000-0005-0000-0000-0000D3050000}"/>
    <cellStyle name="20% - Énfasis5 3 4 2 2 3 2" xfId="8059" xr:uid="{00000000-0005-0000-0000-0000D4050000}"/>
    <cellStyle name="20% - Énfasis5 3 4 2 2 4" xfId="8066" xr:uid="{00000000-0005-0000-0000-0000D5050000}"/>
    <cellStyle name="20% - Énfasis5 3 4 2 3" xfId="8076" xr:uid="{00000000-0005-0000-0000-0000D6050000}"/>
    <cellStyle name="20% - Énfasis5 3 4 2 3 2" xfId="8082" xr:uid="{00000000-0005-0000-0000-0000D7050000}"/>
    <cellStyle name="20% - Énfasis5 3 4 2 3 2 2" xfId="8085" xr:uid="{00000000-0005-0000-0000-0000D8050000}"/>
    <cellStyle name="20% - Énfasis5 3 4 2 3 3" xfId="7007" xr:uid="{00000000-0005-0000-0000-0000D9050000}"/>
    <cellStyle name="20% - Énfasis5 3 4 2 4" xfId="8093" xr:uid="{00000000-0005-0000-0000-0000DA050000}"/>
    <cellStyle name="20% - Énfasis5 3 4 2 4 2" xfId="8098" xr:uid="{00000000-0005-0000-0000-0000DB050000}"/>
    <cellStyle name="20% - Énfasis5 3 4 2 4 2 2" xfId="1832" xr:uid="{00000000-0005-0000-0000-0000DC050000}"/>
    <cellStyle name="20% - Énfasis5 3 4 2 4 3" xfId="8103" xr:uid="{00000000-0005-0000-0000-0000DD050000}"/>
    <cellStyle name="20% - Énfasis5 3 4 2 5" xfId="8107" xr:uid="{00000000-0005-0000-0000-0000DE050000}"/>
    <cellStyle name="20% - Énfasis5 3 4 2 5 2" xfId="8111" xr:uid="{00000000-0005-0000-0000-0000DF050000}"/>
    <cellStyle name="20% - Énfasis5 3 4 2 6" xfId="8124" xr:uid="{00000000-0005-0000-0000-0000E0050000}"/>
    <cellStyle name="20% - Énfasis5 3 4 2 6 2" xfId="4991" xr:uid="{00000000-0005-0000-0000-0000E1050000}"/>
    <cellStyle name="20% - Énfasis5 3 4 2 7" xfId="8134" xr:uid="{00000000-0005-0000-0000-0000E2050000}"/>
    <cellStyle name="20% - Énfasis5 3 4 3" xfId="3928" xr:uid="{00000000-0005-0000-0000-0000E3050000}"/>
    <cellStyle name="20% - Énfasis5 3 4 3 2" xfId="3952" xr:uid="{00000000-0005-0000-0000-0000E4050000}"/>
    <cellStyle name="20% - Énfasis5 3 4 3 2 2" xfId="3968" xr:uid="{00000000-0005-0000-0000-0000E5050000}"/>
    <cellStyle name="20% - Énfasis5 3 4 3 2 2 2" xfId="2006" xr:uid="{00000000-0005-0000-0000-0000E6050000}"/>
    <cellStyle name="20% - Énfasis5 3 4 3 2 3" xfId="4082" xr:uid="{00000000-0005-0000-0000-0000E7050000}"/>
    <cellStyle name="20% - Énfasis5 3 4 3 3" xfId="3451" xr:uid="{00000000-0005-0000-0000-0000E8050000}"/>
    <cellStyle name="20% - Énfasis5 3 4 3 3 2" xfId="4228" xr:uid="{00000000-0005-0000-0000-0000E9050000}"/>
    <cellStyle name="20% - Énfasis5 3 4 3 4" xfId="4284" xr:uid="{00000000-0005-0000-0000-0000EA050000}"/>
    <cellStyle name="20% - Énfasis5 3 4 4" xfId="4312" xr:uid="{00000000-0005-0000-0000-0000EB050000}"/>
    <cellStyle name="20% - Énfasis5 3 4 4 2" xfId="4314" xr:uid="{00000000-0005-0000-0000-0000EC050000}"/>
    <cellStyle name="20% - Énfasis5 3 4 4 2 2" xfId="746" xr:uid="{00000000-0005-0000-0000-0000ED050000}"/>
    <cellStyle name="20% - Énfasis5 3 4 4 3" xfId="4360" xr:uid="{00000000-0005-0000-0000-0000EE050000}"/>
    <cellStyle name="20% - Énfasis5 3 4 5" xfId="4408" xr:uid="{00000000-0005-0000-0000-0000EF050000}"/>
    <cellStyle name="20% - Énfasis5 3 4 5 2" xfId="4432" xr:uid="{00000000-0005-0000-0000-0000F0050000}"/>
    <cellStyle name="20% - Énfasis5 3 4 5 2 2" xfId="4458" xr:uid="{00000000-0005-0000-0000-0000F1050000}"/>
    <cellStyle name="20% - Énfasis5 3 4 5 3" xfId="4559" xr:uid="{00000000-0005-0000-0000-0000F2050000}"/>
    <cellStyle name="20% - Énfasis5 3 4 6" xfId="3281" xr:uid="{00000000-0005-0000-0000-0000F3050000}"/>
    <cellStyle name="20% - Énfasis5 3 4 6 2" xfId="4681" xr:uid="{00000000-0005-0000-0000-0000F4050000}"/>
    <cellStyle name="20% - Énfasis5 3 4 7" xfId="4905" xr:uid="{00000000-0005-0000-0000-0000F5050000}"/>
    <cellStyle name="20% - Énfasis5 3 4 7 2" xfId="2475" xr:uid="{00000000-0005-0000-0000-0000F6050000}"/>
    <cellStyle name="20% - Énfasis5 3 4 8" xfId="4944" xr:uid="{00000000-0005-0000-0000-0000F7050000}"/>
    <cellStyle name="20% - Énfasis5 3 4 9" xfId="4972" xr:uid="{00000000-0005-0000-0000-0000F8050000}"/>
    <cellStyle name="20% - Énfasis5 3 5" xfId="8138" xr:uid="{00000000-0005-0000-0000-0000F9050000}"/>
    <cellStyle name="20% - Énfasis5 3 5 2" xfId="8146" xr:uid="{00000000-0005-0000-0000-0000FA050000}"/>
    <cellStyle name="20% - Énfasis5 3 5 2 2" xfId="8152" xr:uid="{00000000-0005-0000-0000-0000FB050000}"/>
    <cellStyle name="20% - Énfasis5 3 5 2 2 2" xfId="6988" xr:uid="{00000000-0005-0000-0000-0000FC050000}"/>
    <cellStyle name="20% - Énfasis5 3 5 2 2 2 2" xfId="8154" xr:uid="{00000000-0005-0000-0000-0000FD050000}"/>
    <cellStyle name="20% - Énfasis5 3 5 2 2 2 2 2" xfId="8156" xr:uid="{00000000-0005-0000-0000-0000FE050000}"/>
    <cellStyle name="20% - Énfasis5 3 5 2 2 2 3" xfId="8158" xr:uid="{00000000-0005-0000-0000-0000FF050000}"/>
    <cellStyle name="20% - Énfasis5 3 5 2 2 3" xfId="8163" xr:uid="{00000000-0005-0000-0000-000000060000}"/>
    <cellStyle name="20% - Énfasis5 3 5 2 2 3 2" xfId="8169" xr:uid="{00000000-0005-0000-0000-000001060000}"/>
    <cellStyle name="20% - Énfasis5 3 5 2 2 4" xfId="8185" xr:uid="{00000000-0005-0000-0000-000002060000}"/>
    <cellStyle name="20% - Énfasis5 3 5 2 3" xfId="8191" xr:uid="{00000000-0005-0000-0000-000003060000}"/>
    <cellStyle name="20% - Énfasis5 3 5 2 3 2" xfId="8192" xr:uid="{00000000-0005-0000-0000-000004060000}"/>
    <cellStyle name="20% - Énfasis5 3 5 2 3 2 2" xfId="8194" xr:uid="{00000000-0005-0000-0000-000005060000}"/>
    <cellStyle name="20% - Énfasis5 3 5 2 3 3" xfId="8200" xr:uid="{00000000-0005-0000-0000-000006060000}"/>
    <cellStyle name="20% - Énfasis5 3 5 2 4" xfId="8204" xr:uid="{00000000-0005-0000-0000-000007060000}"/>
    <cellStyle name="20% - Énfasis5 3 5 2 4 2" xfId="8207" xr:uid="{00000000-0005-0000-0000-000008060000}"/>
    <cellStyle name="20% - Énfasis5 3 5 2 4 2 2" xfId="4289" xr:uid="{00000000-0005-0000-0000-000009060000}"/>
    <cellStyle name="20% - Énfasis5 3 5 2 4 3" xfId="8210" xr:uid="{00000000-0005-0000-0000-00000A060000}"/>
    <cellStyle name="20% - Énfasis5 3 5 2 5" xfId="8213" xr:uid="{00000000-0005-0000-0000-00000B060000}"/>
    <cellStyle name="20% - Énfasis5 3 5 2 5 2" xfId="8218" xr:uid="{00000000-0005-0000-0000-00000C060000}"/>
    <cellStyle name="20% - Énfasis5 3 5 2 6" xfId="8233" xr:uid="{00000000-0005-0000-0000-00000D060000}"/>
    <cellStyle name="20% - Énfasis5 3 5 2 6 2" xfId="6401" xr:uid="{00000000-0005-0000-0000-00000E060000}"/>
    <cellStyle name="20% - Énfasis5 3 5 2 7" xfId="7169" xr:uid="{00000000-0005-0000-0000-00000F060000}"/>
    <cellStyle name="20% - Énfasis5 3 5 3" xfId="5023" xr:uid="{00000000-0005-0000-0000-000010060000}"/>
    <cellStyle name="20% - Énfasis5 3 5 3 2" xfId="5034" xr:uid="{00000000-0005-0000-0000-000011060000}"/>
    <cellStyle name="20% - Énfasis5 3 5 3 2 2" xfId="5043" xr:uid="{00000000-0005-0000-0000-000012060000}"/>
    <cellStyle name="20% - Énfasis5 3 5 3 2 2 2" xfId="533" xr:uid="{00000000-0005-0000-0000-000013060000}"/>
    <cellStyle name="20% - Énfasis5 3 5 3 2 3" xfId="5052" xr:uid="{00000000-0005-0000-0000-000014060000}"/>
    <cellStyle name="20% - Énfasis5 3 5 3 3" xfId="5071" xr:uid="{00000000-0005-0000-0000-000015060000}"/>
    <cellStyle name="20% - Énfasis5 3 5 3 3 2" xfId="5077" xr:uid="{00000000-0005-0000-0000-000016060000}"/>
    <cellStyle name="20% - Énfasis5 3 5 3 4" xfId="5084" xr:uid="{00000000-0005-0000-0000-000017060000}"/>
    <cellStyle name="20% - Énfasis5 3 5 4" xfId="5107" xr:uid="{00000000-0005-0000-0000-000018060000}"/>
    <cellStyle name="20% - Énfasis5 3 5 4 2" xfId="5116" xr:uid="{00000000-0005-0000-0000-000019060000}"/>
    <cellStyle name="20% - Énfasis5 3 5 4 2 2" xfId="5121" xr:uid="{00000000-0005-0000-0000-00001A060000}"/>
    <cellStyle name="20% - Énfasis5 3 5 4 3" xfId="5125" xr:uid="{00000000-0005-0000-0000-00001B060000}"/>
    <cellStyle name="20% - Énfasis5 3 5 5" xfId="3233" xr:uid="{00000000-0005-0000-0000-00001C060000}"/>
    <cellStyle name="20% - Énfasis5 3 5 5 2" xfId="5139" xr:uid="{00000000-0005-0000-0000-00001D060000}"/>
    <cellStyle name="20% - Énfasis5 3 5 5 2 2" xfId="5154" xr:uid="{00000000-0005-0000-0000-00001E060000}"/>
    <cellStyle name="20% - Énfasis5 3 5 5 3" xfId="5162" xr:uid="{00000000-0005-0000-0000-00001F060000}"/>
    <cellStyle name="20% - Énfasis5 3 5 6" xfId="5166" xr:uid="{00000000-0005-0000-0000-000020060000}"/>
    <cellStyle name="20% - Énfasis5 3 5 6 2" xfId="5180" xr:uid="{00000000-0005-0000-0000-000021060000}"/>
    <cellStyle name="20% - Énfasis5 3 5 7" xfId="5189" xr:uid="{00000000-0005-0000-0000-000022060000}"/>
    <cellStyle name="20% - Énfasis5 3 5 7 2" xfId="2943" xr:uid="{00000000-0005-0000-0000-000023060000}"/>
    <cellStyle name="20% - Énfasis5 3 5 8" xfId="1562" xr:uid="{00000000-0005-0000-0000-000024060000}"/>
    <cellStyle name="20% - Énfasis5 3 6" xfId="8237" xr:uid="{00000000-0005-0000-0000-000025060000}"/>
    <cellStyle name="20% - Énfasis5 3 6 2" xfId="8247" xr:uid="{00000000-0005-0000-0000-000026060000}"/>
    <cellStyle name="20% - Énfasis5 3 6 2 2" xfId="8250" xr:uid="{00000000-0005-0000-0000-000027060000}"/>
    <cellStyle name="20% - Énfasis5 3 6 2 2 2" xfId="7217" xr:uid="{00000000-0005-0000-0000-000028060000}"/>
    <cellStyle name="20% - Énfasis5 3 6 2 2 2 2" xfId="8254" xr:uid="{00000000-0005-0000-0000-000029060000}"/>
    <cellStyle name="20% - Énfasis5 3 6 2 2 3" xfId="8258" xr:uid="{00000000-0005-0000-0000-00002A060000}"/>
    <cellStyle name="20% - Énfasis5 3 6 2 3" xfId="8266" xr:uid="{00000000-0005-0000-0000-00002B060000}"/>
    <cellStyle name="20% - Énfasis5 3 6 2 3 2" xfId="8267" xr:uid="{00000000-0005-0000-0000-00002C060000}"/>
    <cellStyle name="20% - Énfasis5 3 6 2 4" xfId="8271" xr:uid="{00000000-0005-0000-0000-00002D060000}"/>
    <cellStyle name="20% - Énfasis5 3 6 3" xfId="5210" xr:uid="{00000000-0005-0000-0000-00002E060000}"/>
    <cellStyle name="20% - Énfasis5 3 6 3 2" xfId="3497" xr:uid="{00000000-0005-0000-0000-00002F060000}"/>
    <cellStyle name="20% - Énfasis5 3 6 3 2 2" xfId="3518" xr:uid="{00000000-0005-0000-0000-000030060000}"/>
    <cellStyle name="20% - Énfasis5 3 6 3 3" xfId="3569" xr:uid="{00000000-0005-0000-0000-000031060000}"/>
    <cellStyle name="20% - Énfasis5 3 6 4" xfId="181" xr:uid="{00000000-0005-0000-0000-000032060000}"/>
    <cellStyle name="20% - Énfasis5 3 6 4 2" xfId="563" xr:uid="{00000000-0005-0000-0000-000033060000}"/>
    <cellStyle name="20% - Énfasis5 3 6 4 2 2" xfId="900" xr:uid="{00000000-0005-0000-0000-000034060000}"/>
    <cellStyle name="20% - Énfasis5 3 6 4 3" xfId="666" xr:uid="{00000000-0005-0000-0000-000035060000}"/>
    <cellStyle name="20% - Énfasis5 3 6 5" xfId="1143" xr:uid="{00000000-0005-0000-0000-000036060000}"/>
    <cellStyle name="20% - Énfasis5 3 6 5 2" xfId="1172" xr:uid="{00000000-0005-0000-0000-000037060000}"/>
    <cellStyle name="20% - Énfasis5 3 6 6" xfId="1298" xr:uid="{00000000-0005-0000-0000-000038060000}"/>
    <cellStyle name="20% - Énfasis5 3 6 6 2" xfId="1325" xr:uid="{00000000-0005-0000-0000-000039060000}"/>
    <cellStyle name="20% - Énfasis5 3 6 7" xfId="1361" xr:uid="{00000000-0005-0000-0000-00003A060000}"/>
    <cellStyle name="20% - Énfasis5 3 7" xfId="8274" xr:uid="{00000000-0005-0000-0000-00003B060000}"/>
    <cellStyle name="20% - Énfasis5 3 7 2" xfId="817" xr:uid="{00000000-0005-0000-0000-00003C060000}"/>
    <cellStyle name="20% - Énfasis5 3 7 2 2" xfId="6833" xr:uid="{00000000-0005-0000-0000-00003D060000}"/>
    <cellStyle name="20% - Énfasis5 3 7 2 2 2" xfId="2174" xr:uid="{00000000-0005-0000-0000-00003E060000}"/>
    <cellStyle name="20% - Énfasis5 3 7 2 3" xfId="8282" xr:uid="{00000000-0005-0000-0000-00003F060000}"/>
    <cellStyle name="20% - Énfasis5 3 7 3" xfId="838" xr:uid="{00000000-0005-0000-0000-000040060000}"/>
    <cellStyle name="20% - Énfasis5 3 7 3 2" xfId="4942" xr:uid="{00000000-0005-0000-0000-000041060000}"/>
    <cellStyle name="20% - Énfasis5 3 7 4" xfId="1536" xr:uid="{00000000-0005-0000-0000-000042060000}"/>
    <cellStyle name="20% - Énfasis5 3 8" xfId="4089" xr:uid="{00000000-0005-0000-0000-000043060000}"/>
    <cellStyle name="20% - Énfasis5 3 8 2" xfId="4105" xr:uid="{00000000-0005-0000-0000-000044060000}"/>
    <cellStyle name="20% - Énfasis5 3 8 2 2" xfId="8287" xr:uid="{00000000-0005-0000-0000-000045060000}"/>
    <cellStyle name="20% - Énfasis5 3 8 3" xfId="5221" xr:uid="{00000000-0005-0000-0000-000046060000}"/>
    <cellStyle name="20% - Énfasis5 3 9" xfId="2045" xr:uid="{00000000-0005-0000-0000-000047060000}"/>
    <cellStyle name="20% - Énfasis5 3 9 2" xfId="7748" xr:uid="{00000000-0005-0000-0000-000048060000}"/>
    <cellStyle name="20% - Énfasis5 3 9 2 2" xfId="8290" xr:uid="{00000000-0005-0000-0000-000049060000}"/>
    <cellStyle name="20% - Énfasis5 3 9 3" xfId="5240" xr:uid="{00000000-0005-0000-0000-00004A060000}"/>
    <cellStyle name="20% - Énfasis5 4" xfId="8296" xr:uid="{00000000-0005-0000-0000-00004B060000}"/>
    <cellStyle name="20% - Énfasis5 4 2" xfId="5372" xr:uid="{00000000-0005-0000-0000-00004C060000}"/>
    <cellStyle name="20% - Énfasis5 4 2 2" xfId="8303" xr:uid="{00000000-0005-0000-0000-00004D060000}"/>
    <cellStyle name="20% - Énfasis5 4 2 2 2" xfId="8305" xr:uid="{00000000-0005-0000-0000-00004E060000}"/>
    <cellStyle name="20% - Énfasis5 4 2 2 2 2" xfId="8307" xr:uid="{00000000-0005-0000-0000-00004F060000}"/>
    <cellStyle name="20% - Énfasis5 4 2 2 3" xfId="8310" xr:uid="{00000000-0005-0000-0000-000050060000}"/>
    <cellStyle name="20% - Énfasis5 4 2 2 4" xfId="8311" xr:uid="{00000000-0005-0000-0000-000051060000}"/>
    <cellStyle name="20% - Énfasis5 4 2 3" xfId="8313" xr:uid="{00000000-0005-0000-0000-000052060000}"/>
    <cellStyle name="20% - Énfasis5 4 2 3 2" xfId="8316" xr:uid="{00000000-0005-0000-0000-000053060000}"/>
    <cellStyle name="20% - Énfasis5 4 2 4" xfId="8320" xr:uid="{00000000-0005-0000-0000-000054060000}"/>
    <cellStyle name="20% - Énfasis5 4 2 4 2" xfId="8326" xr:uid="{00000000-0005-0000-0000-000055060000}"/>
    <cellStyle name="20% - Énfasis5 4 2 5" xfId="8331" xr:uid="{00000000-0005-0000-0000-000056060000}"/>
    <cellStyle name="20% - Énfasis5 4 2 6" xfId="3392" xr:uid="{00000000-0005-0000-0000-000057060000}"/>
    <cellStyle name="20% - Énfasis5 4 3" xfId="8338" xr:uid="{00000000-0005-0000-0000-000058060000}"/>
    <cellStyle name="20% - Énfasis5 4 3 2" xfId="8346" xr:uid="{00000000-0005-0000-0000-000059060000}"/>
    <cellStyle name="20% - Énfasis5 4 3 2 2" xfId="8348" xr:uid="{00000000-0005-0000-0000-00005A060000}"/>
    <cellStyle name="20% - Énfasis5 4 3 3" xfId="5262" xr:uid="{00000000-0005-0000-0000-00005B060000}"/>
    <cellStyle name="20% - Énfasis5 4 3 4" xfId="7660" xr:uid="{00000000-0005-0000-0000-00005C060000}"/>
    <cellStyle name="20% - Énfasis5 4 4" xfId="8354" xr:uid="{00000000-0005-0000-0000-00005D060000}"/>
    <cellStyle name="20% - Énfasis5 4 4 2" xfId="8360" xr:uid="{00000000-0005-0000-0000-00005E060000}"/>
    <cellStyle name="20% - Énfasis5 4 4 2 2" xfId="8366" xr:uid="{00000000-0005-0000-0000-00005F060000}"/>
    <cellStyle name="20% - Énfasis5 4 4 3" xfId="5280" xr:uid="{00000000-0005-0000-0000-000060060000}"/>
    <cellStyle name="20% - Énfasis5 4 5" xfId="6263" xr:uid="{00000000-0005-0000-0000-000061060000}"/>
    <cellStyle name="20% - Énfasis5 4 5 2" xfId="8375" xr:uid="{00000000-0005-0000-0000-000062060000}"/>
    <cellStyle name="20% - Énfasis5 4 6" xfId="8377" xr:uid="{00000000-0005-0000-0000-000063060000}"/>
    <cellStyle name="20% - Énfasis5 4 6 2" xfId="8386" xr:uid="{00000000-0005-0000-0000-000064060000}"/>
    <cellStyle name="20% - Énfasis5 4 7" xfId="8389" xr:uid="{00000000-0005-0000-0000-000065060000}"/>
    <cellStyle name="20% - Énfasis5 4 8" xfId="272" xr:uid="{00000000-0005-0000-0000-000066060000}"/>
    <cellStyle name="20% - Énfasis5 5" xfId="8393" xr:uid="{00000000-0005-0000-0000-000067060000}"/>
    <cellStyle name="20% - Énfasis5 5 2" xfId="8397" xr:uid="{00000000-0005-0000-0000-000068060000}"/>
    <cellStyle name="20% - Énfasis5 5 2 2" xfId="8415" xr:uid="{00000000-0005-0000-0000-000069060000}"/>
    <cellStyle name="20% - Énfasis5 5 2 2 2" xfId="8420" xr:uid="{00000000-0005-0000-0000-00006A060000}"/>
    <cellStyle name="20% - Énfasis5 5 2 3" xfId="970" xr:uid="{00000000-0005-0000-0000-00006B060000}"/>
    <cellStyle name="20% - Énfasis5 5 2 4" xfId="8421" xr:uid="{00000000-0005-0000-0000-00006C060000}"/>
    <cellStyle name="20% - Énfasis5 5 3" xfId="8431" xr:uid="{00000000-0005-0000-0000-00006D060000}"/>
    <cellStyle name="20% - Énfasis5 5 3 2" xfId="8437" xr:uid="{00000000-0005-0000-0000-00006E060000}"/>
    <cellStyle name="20% - Énfasis5 5 3 2 2" xfId="8438" xr:uid="{00000000-0005-0000-0000-00006F060000}"/>
    <cellStyle name="20% - Énfasis5 5 3 3" xfId="1030" xr:uid="{00000000-0005-0000-0000-000070060000}"/>
    <cellStyle name="20% - Énfasis5 5 4" xfId="8444" xr:uid="{00000000-0005-0000-0000-000071060000}"/>
    <cellStyle name="20% - Énfasis5 5 4 2" xfId="8450" xr:uid="{00000000-0005-0000-0000-000072060000}"/>
    <cellStyle name="20% - Énfasis5 5 5" xfId="8455" xr:uid="{00000000-0005-0000-0000-000073060000}"/>
    <cellStyle name="20% - Énfasis5 5 5 2" xfId="8461" xr:uid="{00000000-0005-0000-0000-000074060000}"/>
    <cellStyle name="20% - Énfasis5 5 6" xfId="8466" xr:uid="{00000000-0005-0000-0000-000075060000}"/>
    <cellStyle name="20% - Énfasis5 5 7" xfId="8469" xr:uid="{00000000-0005-0000-0000-000076060000}"/>
    <cellStyle name="20% - Énfasis5 6" xfId="8471" xr:uid="{00000000-0005-0000-0000-000077060000}"/>
    <cellStyle name="20% - Énfasis5 6 2" xfId="149" xr:uid="{00000000-0005-0000-0000-000078060000}"/>
    <cellStyle name="20% - Énfasis5 6 2 2" xfId="8482" xr:uid="{00000000-0005-0000-0000-000079060000}"/>
    <cellStyle name="20% - Énfasis5 6 2 2 2" xfId="7069" xr:uid="{00000000-0005-0000-0000-00007A060000}"/>
    <cellStyle name="20% - Énfasis5 6 2 3" xfId="1266" xr:uid="{00000000-0005-0000-0000-00007B060000}"/>
    <cellStyle name="20% - Énfasis5 6 2 4" xfId="8486" xr:uid="{00000000-0005-0000-0000-00007C060000}"/>
    <cellStyle name="20% - Énfasis5 6 3" xfId="3039" xr:uid="{00000000-0005-0000-0000-00007D060000}"/>
    <cellStyle name="20% - Énfasis5 6 3 2" xfId="3061" xr:uid="{00000000-0005-0000-0000-00007E060000}"/>
    <cellStyle name="20% - Énfasis5 6 4" xfId="1570" xr:uid="{00000000-0005-0000-0000-00007F060000}"/>
    <cellStyle name="20% - Énfasis5 6 4 2" xfId="1585" xr:uid="{00000000-0005-0000-0000-000080060000}"/>
    <cellStyle name="20% - Énfasis5 6 5" xfId="1606" xr:uid="{00000000-0005-0000-0000-000081060000}"/>
    <cellStyle name="20% - Énfasis5 6 6" xfId="5391" xr:uid="{00000000-0005-0000-0000-000082060000}"/>
    <cellStyle name="20% - Énfasis5 7" xfId="8491" xr:uid="{00000000-0005-0000-0000-000083060000}"/>
    <cellStyle name="20% - Énfasis5 7 2" xfId="8495" xr:uid="{00000000-0005-0000-0000-000084060000}"/>
    <cellStyle name="20% - Énfasis5 7 2 2" xfId="8500" xr:uid="{00000000-0005-0000-0000-000085060000}"/>
    <cellStyle name="20% - Énfasis5 7 3" xfId="3129" xr:uid="{00000000-0005-0000-0000-000086060000}"/>
    <cellStyle name="20% - Énfasis5 8" xfId="8510" xr:uid="{00000000-0005-0000-0000-000087060000}"/>
    <cellStyle name="20% - Énfasis5 8 2" xfId="7876" xr:uid="{00000000-0005-0000-0000-000088060000}"/>
    <cellStyle name="20% - Énfasis5 9" xfId="8515" xr:uid="{00000000-0005-0000-0000-000089060000}"/>
    <cellStyle name="20% - Énfasis5 9 2" xfId="8001" xr:uid="{00000000-0005-0000-0000-00008A060000}"/>
    <cellStyle name="20% - Énfasis6 2" xfId="2874" xr:uid="{00000000-0005-0000-0000-00008B060000}"/>
    <cellStyle name="20% - Énfasis6 2 2" xfId="314" xr:uid="{00000000-0005-0000-0000-00008C060000}"/>
    <cellStyle name="20% - Énfasis6 3" xfId="995" xr:uid="{00000000-0005-0000-0000-00008D060000}"/>
    <cellStyle name="20% - Énfasis6 3 10" xfId="8522" xr:uid="{00000000-0005-0000-0000-00008E060000}"/>
    <cellStyle name="20% - Énfasis6 3 10 2" xfId="5605" xr:uid="{00000000-0005-0000-0000-00008F060000}"/>
    <cellStyle name="20% - Énfasis6 3 11" xfId="8527" xr:uid="{00000000-0005-0000-0000-000090060000}"/>
    <cellStyle name="20% - Énfasis6 3 11 2" xfId="8528" xr:uid="{00000000-0005-0000-0000-000091060000}"/>
    <cellStyle name="20% - Énfasis6 3 12" xfId="8535" xr:uid="{00000000-0005-0000-0000-000092060000}"/>
    <cellStyle name="20% - Énfasis6 3 12 2" xfId="6614" xr:uid="{00000000-0005-0000-0000-000093060000}"/>
    <cellStyle name="20% - Énfasis6 3 13" xfId="8542" xr:uid="{00000000-0005-0000-0000-000094060000}"/>
    <cellStyle name="20% - Énfasis6 3 14" xfId="8543" xr:uid="{00000000-0005-0000-0000-000095060000}"/>
    <cellStyle name="20% - Énfasis6 3 2" xfId="8550" xr:uid="{00000000-0005-0000-0000-000096060000}"/>
    <cellStyle name="20% - Énfasis6 3 2 10" xfId="8554" xr:uid="{00000000-0005-0000-0000-000097060000}"/>
    <cellStyle name="20% - Énfasis6 3 2 2" xfId="477" xr:uid="{00000000-0005-0000-0000-000098060000}"/>
    <cellStyle name="20% - Énfasis6 3 2 2 2" xfId="8560" xr:uid="{00000000-0005-0000-0000-000099060000}"/>
    <cellStyle name="20% - Énfasis6 3 2 2 2 2" xfId="8567" xr:uid="{00000000-0005-0000-0000-00009A060000}"/>
    <cellStyle name="20% - Énfasis6 3 2 2 2 2 2" xfId="7961" xr:uid="{00000000-0005-0000-0000-00009B060000}"/>
    <cellStyle name="20% - Énfasis6 3 2 2 2 2 2 2" xfId="3774" xr:uid="{00000000-0005-0000-0000-00009C060000}"/>
    <cellStyle name="20% - Énfasis6 3 2 2 2 2 2 2 2" xfId="5195" xr:uid="{00000000-0005-0000-0000-00009D060000}"/>
    <cellStyle name="20% - Énfasis6 3 2 2 2 2 2 3" xfId="8569" xr:uid="{00000000-0005-0000-0000-00009E060000}"/>
    <cellStyle name="20% - Énfasis6 3 2 2 2 2 3" xfId="7970" xr:uid="{00000000-0005-0000-0000-00009F060000}"/>
    <cellStyle name="20% - Énfasis6 3 2 2 2 2 3 2" xfId="8576" xr:uid="{00000000-0005-0000-0000-0000A0060000}"/>
    <cellStyle name="20% - Énfasis6 3 2 2 2 2 4" xfId="4240" xr:uid="{00000000-0005-0000-0000-0000A1060000}"/>
    <cellStyle name="20% - Énfasis6 3 2 2 2 3" xfId="3689" xr:uid="{00000000-0005-0000-0000-0000A2060000}"/>
    <cellStyle name="20% - Énfasis6 3 2 2 2 3 2" xfId="3696" xr:uid="{00000000-0005-0000-0000-0000A3060000}"/>
    <cellStyle name="20% - Énfasis6 3 2 2 2 3 2 2" xfId="8581" xr:uid="{00000000-0005-0000-0000-0000A4060000}"/>
    <cellStyle name="20% - Énfasis6 3 2 2 2 3 3" xfId="8588" xr:uid="{00000000-0005-0000-0000-0000A5060000}"/>
    <cellStyle name="20% - Énfasis6 3 2 2 2 4" xfId="3707" xr:uid="{00000000-0005-0000-0000-0000A6060000}"/>
    <cellStyle name="20% - Énfasis6 3 2 2 2 4 2" xfId="8590" xr:uid="{00000000-0005-0000-0000-0000A7060000}"/>
    <cellStyle name="20% - Énfasis6 3 2 2 2 4 2 2" xfId="246" xr:uid="{00000000-0005-0000-0000-0000A8060000}"/>
    <cellStyle name="20% - Énfasis6 3 2 2 2 4 3" xfId="8591" xr:uid="{00000000-0005-0000-0000-0000A9060000}"/>
    <cellStyle name="20% - Énfasis6 3 2 2 2 5" xfId="3712" xr:uid="{00000000-0005-0000-0000-0000AA060000}"/>
    <cellStyle name="20% - Énfasis6 3 2 2 2 5 2" xfId="8593" xr:uid="{00000000-0005-0000-0000-0000AB060000}"/>
    <cellStyle name="20% - Énfasis6 3 2 2 2 6" xfId="8600" xr:uid="{00000000-0005-0000-0000-0000AC060000}"/>
    <cellStyle name="20% - Énfasis6 3 2 2 2 6 2" xfId="1759" xr:uid="{00000000-0005-0000-0000-0000AD060000}"/>
    <cellStyle name="20% - Énfasis6 3 2 2 2 7" xfId="8604" xr:uid="{00000000-0005-0000-0000-0000AE060000}"/>
    <cellStyle name="20% - Énfasis6 3 2 2 3" xfId="4832" xr:uid="{00000000-0005-0000-0000-0000AF060000}"/>
    <cellStyle name="20% - Énfasis6 3 2 2 3 2" xfId="4844" xr:uid="{00000000-0005-0000-0000-0000B0060000}"/>
    <cellStyle name="20% - Énfasis6 3 2 2 3 2 2" xfId="8117" xr:uid="{00000000-0005-0000-0000-0000B1060000}"/>
    <cellStyle name="20% - Énfasis6 3 2 2 3 2 2 2" xfId="4979" xr:uid="{00000000-0005-0000-0000-0000B2060000}"/>
    <cellStyle name="20% - Énfasis6 3 2 2 3 2 3" xfId="8125" xr:uid="{00000000-0005-0000-0000-0000B3060000}"/>
    <cellStyle name="20% - Énfasis6 3 2 2 3 3" xfId="1864" xr:uid="{00000000-0005-0000-0000-0000B4060000}"/>
    <cellStyle name="20% - Énfasis6 3 2 2 3 3 2" xfId="1888" xr:uid="{00000000-0005-0000-0000-0000B5060000}"/>
    <cellStyle name="20% - Énfasis6 3 2 2 3 4" xfId="1968" xr:uid="{00000000-0005-0000-0000-0000B6060000}"/>
    <cellStyle name="20% - Énfasis6 3 2 2 4" xfId="4849" xr:uid="{00000000-0005-0000-0000-0000B7060000}"/>
    <cellStyle name="20% - Énfasis6 3 2 2 4 2" xfId="8610" xr:uid="{00000000-0005-0000-0000-0000B8060000}"/>
    <cellStyle name="20% - Énfasis6 3 2 2 4 2 2" xfId="8223" xr:uid="{00000000-0005-0000-0000-0000B9060000}"/>
    <cellStyle name="20% - Énfasis6 3 2 2 4 3" xfId="2136" xr:uid="{00000000-0005-0000-0000-0000BA060000}"/>
    <cellStyle name="20% - Énfasis6 3 2 2 5" xfId="8614" xr:uid="{00000000-0005-0000-0000-0000BB060000}"/>
    <cellStyle name="20% - Énfasis6 3 2 2 5 2" xfId="8615" xr:uid="{00000000-0005-0000-0000-0000BC060000}"/>
    <cellStyle name="20% - Énfasis6 3 2 2 5 2 2" xfId="8159" xr:uid="{00000000-0005-0000-0000-0000BD060000}"/>
    <cellStyle name="20% - Énfasis6 3 2 2 5 3" xfId="478" xr:uid="{00000000-0005-0000-0000-0000BE060000}"/>
    <cellStyle name="20% - Énfasis6 3 2 2 6" xfId="8620" xr:uid="{00000000-0005-0000-0000-0000BF060000}"/>
    <cellStyle name="20% - Énfasis6 3 2 2 6 2" xfId="8626" xr:uid="{00000000-0005-0000-0000-0000C0060000}"/>
    <cellStyle name="20% - Énfasis6 3 2 2 7" xfId="6588" xr:uid="{00000000-0005-0000-0000-0000C1060000}"/>
    <cellStyle name="20% - Énfasis6 3 2 2 7 2" xfId="8628" xr:uid="{00000000-0005-0000-0000-0000C2060000}"/>
    <cellStyle name="20% - Énfasis6 3 2 2 8" xfId="8629" xr:uid="{00000000-0005-0000-0000-0000C3060000}"/>
    <cellStyle name="20% - Énfasis6 3 2 2 9" xfId="8631" xr:uid="{00000000-0005-0000-0000-0000C4060000}"/>
    <cellStyle name="20% - Énfasis6 3 2 3" xfId="600" xr:uid="{00000000-0005-0000-0000-0000C5060000}"/>
    <cellStyle name="20% - Énfasis6 3 2 3 2" xfId="846" xr:uid="{00000000-0005-0000-0000-0000C6060000}"/>
    <cellStyle name="20% - Énfasis6 3 2 3 2 2" xfId="106" xr:uid="{00000000-0005-0000-0000-0000C7060000}"/>
    <cellStyle name="20% - Énfasis6 3 2 3 2 2 2" xfId="5792" xr:uid="{00000000-0005-0000-0000-0000C8060000}"/>
    <cellStyle name="20% - Énfasis6 3 2 3 2 2 2 2" xfId="8632" xr:uid="{00000000-0005-0000-0000-0000C9060000}"/>
    <cellStyle name="20% - Énfasis6 3 2 3 2 2 3" xfId="8637" xr:uid="{00000000-0005-0000-0000-0000CA060000}"/>
    <cellStyle name="20% - Énfasis6 3 2 3 2 3" xfId="3736" xr:uid="{00000000-0005-0000-0000-0000CB060000}"/>
    <cellStyle name="20% - Énfasis6 3 2 3 2 3 2" xfId="3749" xr:uid="{00000000-0005-0000-0000-0000CC060000}"/>
    <cellStyle name="20% - Énfasis6 3 2 3 2 4" xfId="3759" xr:uid="{00000000-0005-0000-0000-0000CD060000}"/>
    <cellStyle name="20% - Énfasis6 3 2 3 3" xfId="1108" xr:uid="{00000000-0005-0000-0000-0000CE060000}"/>
    <cellStyle name="20% - Énfasis6 3 2 3 3 2" xfId="4858" xr:uid="{00000000-0005-0000-0000-0000CF060000}"/>
    <cellStyle name="20% - Énfasis6 3 2 3 3 2 2" xfId="7358" xr:uid="{00000000-0005-0000-0000-0000D0060000}"/>
    <cellStyle name="20% - Énfasis6 3 2 3 3 3" xfId="2329" xr:uid="{00000000-0005-0000-0000-0000D1060000}"/>
    <cellStyle name="20% - Énfasis6 3 2 3 4" xfId="4577" xr:uid="{00000000-0005-0000-0000-0000D2060000}"/>
    <cellStyle name="20% - Énfasis6 3 2 3 4 2" xfId="7182" xr:uid="{00000000-0005-0000-0000-0000D3060000}"/>
    <cellStyle name="20% - Énfasis6 3 2 3 4 2 2" xfId="7195" xr:uid="{00000000-0005-0000-0000-0000D4060000}"/>
    <cellStyle name="20% - Énfasis6 3 2 3 4 3" xfId="2672" xr:uid="{00000000-0005-0000-0000-0000D5060000}"/>
    <cellStyle name="20% - Énfasis6 3 2 3 5" xfId="7208" xr:uid="{00000000-0005-0000-0000-0000D6060000}"/>
    <cellStyle name="20% - Énfasis6 3 2 3 5 2" xfId="7209" xr:uid="{00000000-0005-0000-0000-0000D7060000}"/>
    <cellStyle name="20% - Énfasis6 3 2 3 6" xfId="7221" xr:uid="{00000000-0005-0000-0000-0000D8060000}"/>
    <cellStyle name="20% - Énfasis6 3 2 3 6 2" xfId="8251" xr:uid="{00000000-0005-0000-0000-0000D9060000}"/>
    <cellStyle name="20% - Énfasis6 3 2 3 7" xfId="8262" xr:uid="{00000000-0005-0000-0000-0000DA060000}"/>
    <cellStyle name="20% - Énfasis6 3 2 4" xfId="695" xr:uid="{00000000-0005-0000-0000-0000DB060000}"/>
    <cellStyle name="20% - Énfasis6 3 2 4 2" xfId="4126" xr:uid="{00000000-0005-0000-0000-0000DC060000}"/>
    <cellStyle name="20% - Énfasis6 3 2 4 2 2" xfId="4779" xr:uid="{00000000-0005-0000-0000-0000DD060000}"/>
    <cellStyle name="20% - Énfasis6 3 2 4 2 2 2" xfId="8642" xr:uid="{00000000-0005-0000-0000-0000DE060000}"/>
    <cellStyle name="20% - Énfasis6 3 2 4 2 3" xfId="3803" xr:uid="{00000000-0005-0000-0000-0000DF060000}"/>
    <cellStyle name="20% - Énfasis6 3 2 4 3" xfId="3998" xr:uid="{00000000-0005-0000-0000-0000E0060000}"/>
    <cellStyle name="20% - Énfasis6 3 2 4 3 2" xfId="8650" xr:uid="{00000000-0005-0000-0000-0000E1060000}"/>
    <cellStyle name="20% - Énfasis6 3 2 4 4" xfId="7231" xr:uid="{00000000-0005-0000-0000-0000E2060000}"/>
    <cellStyle name="20% - Énfasis6 3 2 5" xfId="778" xr:uid="{00000000-0005-0000-0000-0000E3060000}"/>
    <cellStyle name="20% - Énfasis6 3 2 5 2" xfId="5809" xr:uid="{00000000-0005-0000-0000-0000E4060000}"/>
    <cellStyle name="20% - Énfasis6 3 2 5 2 2" xfId="2776" xr:uid="{00000000-0005-0000-0000-0000E5060000}"/>
    <cellStyle name="20% - Énfasis6 3 2 5 3" xfId="4884" xr:uid="{00000000-0005-0000-0000-0000E6060000}"/>
    <cellStyle name="20% - Énfasis6 3 2 6" xfId="823" xr:uid="{00000000-0005-0000-0000-0000E7060000}"/>
    <cellStyle name="20% - Énfasis6 3 2 6 2" xfId="5603" xr:uid="{00000000-0005-0000-0000-0000E8060000}"/>
    <cellStyle name="20% - Énfasis6 3 2 6 2 2" xfId="8658" xr:uid="{00000000-0005-0000-0000-0000E9060000}"/>
    <cellStyle name="20% - Énfasis6 3 2 6 3" xfId="8663" xr:uid="{00000000-0005-0000-0000-0000EA060000}"/>
    <cellStyle name="20% - Énfasis6 3 2 7" xfId="866" xr:uid="{00000000-0005-0000-0000-0000EB060000}"/>
    <cellStyle name="20% - Énfasis6 3 2 7 2" xfId="4066" xr:uid="{00000000-0005-0000-0000-0000EC060000}"/>
    <cellStyle name="20% - Énfasis6 3 2 8" xfId="5822" xr:uid="{00000000-0005-0000-0000-0000ED060000}"/>
    <cellStyle name="20% - Énfasis6 3 2 8 2" xfId="4247" xr:uid="{00000000-0005-0000-0000-0000EE060000}"/>
    <cellStyle name="20% - Énfasis6 3 2 9" xfId="7036" xr:uid="{00000000-0005-0000-0000-0000EF060000}"/>
    <cellStyle name="20% - Énfasis6 3 3" xfId="8666" xr:uid="{00000000-0005-0000-0000-0000F0060000}"/>
    <cellStyle name="20% - Énfasis6 3 3 2" xfId="8672" xr:uid="{00000000-0005-0000-0000-0000F1060000}"/>
    <cellStyle name="20% - Énfasis6 3 3 2 2" xfId="8677" xr:uid="{00000000-0005-0000-0000-0000F2060000}"/>
    <cellStyle name="20% - Énfasis6 3 3 2 2 2" xfId="3318" xr:uid="{00000000-0005-0000-0000-0000F3060000}"/>
    <cellStyle name="20% - Énfasis6 3 3 2 2 2 2" xfId="3338" xr:uid="{00000000-0005-0000-0000-0000F4060000}"/>
    <cellStyle name="20% - Énfasis6 3 3 2 2 2 2 2" xfId="3168" xr:uid="{00000000-0005-0000-0000-0000F5060000}"/>
    <cellStyle name="20% - Énfasis6 3 3 2 2 2 3" xfId="3362" xr:uid="{00000000-0005-0000-0000-0000F6060000}"/>
    <cellStyle name="20% - Énfasis6 3 3 2 2 3" xfId="3491" xr:uid="{00000000-0005-0000-0000-0000F7060000}"/>
    <cellStyle name="20% - Énfasis6 3 3 2 2 3 2" xfId="3504" xr:uid="{00000000-0005-0000-0000-0000F8060000}"/>
    <cellStyle name="20% - Énfasis6 3 3 2 2 4" xfId="3561" xr:uid="{00000000-0005-0000-0000-0000F9060000}"/>
    <cellStyle name="20% - Énfasis6 3 3 2 3" xfId="2611" xr:uid="{00000000-0005-0000-0000-0000FA060000}"/>
    <cellStyle name="20% - Énfasis6 3 3 2 3 2" xfId="60" xr:uid="{00000000-0005-0000-0000-0000FB060000}"/>
    <cellStyle name="20% - Énfasis6 3 3 2 3 2 2" xfId="1804" xr:uid="{00000000-0005-0000-0000-0000FC060000}"/>
    <cellStyle name="20% - Énfasis6 3 3 2 3 3" xfId="556" xr:uid="{00000000-0005-0000-0000-0000FD060000}"/>
    <cellStyle name="20% - Énfasis6 3 3 2 4" xfId="4916" xr:uid="{00000000-0005-0000-0000-0000FE060000}"/>
    <cellStyle name="20% - Énfasis6 3 3 2 4 2" xfId="2237" xr:uid="{00000000-0005-0000-0000-0000FF060000}"/>
    <cellStyle name="20% - Énfasis6 3 3 2 4 2 2" xfId="8685" xr:uid="{00000000-0005-0000-0000-000000070000}"/>
    <cellStyle name="20% - Énfasis6 3 3 2 4 3" xfId="1161" xr:uid="{00000000-0005-0000-0000-000001070000}"/>
    <cellStyle name="20% - Énfasis6 3 3 2 5" xfId="4757" xr:uid="{00000000-0005-0000-0000-000002070000}"/>
    <cellStyle name="20% - Énfasis6 3 3 2 5 2" xfId="2800" xr:uid="{00000000-0005-0000-0000-000003070000}"/>
    <cellStyle name="20% - Énfasis6 3 3 2 6" xfId="3332" xr:uid="{00000000-0005-0000-0000-000004070000}"/>
    <cellStyle name="20% - Énfasis6 3 3 2 6 2" xfId="3161" xr:uid="{00000000-0005-0000-0000-000005070000}"/>
    <cellStyle name="20% - Énfasis6 3 3 2 7" xfId="3348" xr:uid="{00000000-0005-0000-0000-000006070000}"/>
    <cellStyle name="20% - Énfasis6 3 3 3" xfId="5841" xr:uid="{00000000-0005-0000-0000-000007070000}"/>
    <cellStyle name="20% - Énfasis6 3 3 3 2" xfId="5845" xr:uid="{00000000-0005-0000-0000-000008070000}"/>
    <cellStyle name="20% - Énfasis6 3 3 3 2 2" xfId="4900" xr:uid="{00000000-0005-0000-0000-000009070000}"/>
    <cellStyle name="20% - Énfasis6 3 3 3 2 2 2" xfId="2455" xr:uid="{00000000-0005-0000-0000-00000A070000}"/>
    <cellStyle name="20% - Énfasis6 3 3 3 2 3" xfId="4933" xr:uid="{00000000-0005-0000-0000-00000B070000}"/>
    <cellStyle name="20% - Énfasis6 3 3 3 3" xfId="2633" xr:uid="{00000000-0005-0000-0000-00000C070000}"/>
    <cellStyle name="20% - Énfasis6 3 3 3 3 2" xfId="5185" xr:uid="{00000000-0005-0000-0000-00000D070000}"/>
    <cellStyle name="20% - Énfasis6 3 3 3 4" xfId="7292" xr:uid="{00000000-0005-0000-0000-00000E070000}"/>
    <cellStyle name="20% - Énfasis6 3 3 4" xfId="4158" xr:uid="{00000000-0005-0000-0000-00000F070000}"/>
    <cellStyle name="20% - Énfasis6 3 3 4 2" xfId="2936" xr:uid="{00000000-0005-0000-0000-000010070000}"/>
    <cellStyle name="20% - Énfasis6 3 3 4 2 2" xfId="6090" xr:uid="{00000000-0005-0000-0000-000011070000}"/>
    <cellStyle name="20% - Énfasis6 3 3 4 3" xfId="4027" xr:uid="{00000000-0005-0000-0000-000012070000}"/>
    <cellStyle name="20% - Énfasis6 3 3 5" xfId="4171" xr:uid="{00000000-0005-0000-0000-000013070000}"/>
    <cellStyle name="20% - Énfasis6 3 3 5 2" xfId="8686" xr:uid="{00000000-0005-0000-0000-000014070000}"/>
    <cellStyle name="20% - Énfasis6 3 3 5 2 2" xfId="7374" xr:uid="{00000000-0005-0000-0000-000015070000}"/>
    <cellStyle name="20% - Énfasis6 3 3 5 3" xfId="8690" xr:uid="{00000000-0005-0000-0000-000016070000}"/>
    <cellStyle name="20% - Énfasis6 3 3 6" xfId="5616" xr:uid="{00000000-0005-0000-0000-000017070000}"/>
    <cellStyle name="20% - Énfasis6 3 3 6 2" xfId="8691" xr:uid="{00000000-0005-0000-0000-000018070000}"/>
    <cellStyle name="20% - Énfasis6 3 3 7" xfId="8695" xr:uid="{00000000-0005-0000-0000-000019070000}"/>
    <cellStyle name="20% - Énfasis6 3 3 7 2" xfId="434" xr:uid="{00000000-0005-0000-0000-00001A070000}"/>
    <cellStyle name="20% - Énfasis6 3 4" xfId="1174" xr:uid="{00000000-0005-0000-0000-00001B070000}"/>
    <cellStyle name="20% - Énfasis6 3 4 2" xfId="1206" xr:uid="{00000000-0005-0000-0000-00001C070000}"/>
    <cellStyle name="20% - Énfasis6 3 4 2 2" xfId="1218" xr:uid="{00000000-0005-0000-0000-00001D070000}"/>
    <cellStyle name="20% - Énfasis6 3 4 2 2 2" xfId="6633" xr:uid="{00000000-0005-0000-0000-00001E070000}"/>
    <cellStyle name="20% - Énfasis6 3 4 2 2 2 2" xfId="6635" xr:uid="{00000000-0005-0000-0000-00001F070000}"/>
    <cellStyle name="20% - Énfasis6 3 4 2 2 2 2 2" xfId="8697" xr:uid="{00000000-0005-0000-0000-000020070000}"/>
    <cellStyle name="20% - Énfasis6 3 4 2 2 2 3" xfId="8707" xr:uid="{00000000-0005-0000-0000-000021070000}"/>
    <cellStyle name="20% - Énfasis6 3 4 2 2 3" xfId="6297" xr:uid="{00000000-0005-0000-0000-000022070000}"/>
    <cellStyle name="20% - Énfasis6 3 4 2 2 3 2" xfId="6019" xr:uid="{00000000-0005-0000-0000-000023070000}"/>
    <cellStyle name="20% - Énfasis6 3 4 2 2 4" xfId="6304" xr:uid="{00000000-0005-0000-0000-000024070000}"/>
    <cellStyle name="20% - Énfasis6 3 4 2 3" xfId="8719" xr:uid="{00000000-0005-0000-0000-000025070000}"/>
    <cellStyle name="20% - Énfasis6 3 4 2 3 2" xfId="8724" xr:uid="{00000000-0005-0000-0000-000026070000}"/>
    <cellStyle name="20% - Énfasis6 3 4 2 3 2 2" xfId="8726" xr:uid="{00000000-0005-0000-0000-000027070000}"/>
    <cellStyle name="20% - Énfasis6 3 4 2 3 3" xfId="6319" xr:uid="{00000000-0005-0000-0000-000028070000}"/>
    <cellStyle name="20% - Énfasis6 3 4 2 4" xfId="8739" xr:uid="{00000000-0005-0000-0000-000029070000}"/>
    <cellStyle name="20% - Énfasis6 3 4 2 4 2" xfId="8742" xr:uid="{00000000-0005-0000-0000-00002A070000}"/>
    <cellStyle name="20% - Énfasis6 3 4 2 4 2 2" xfId="1992" xr:uid="{00000000-0005-0000-0000-00002B070000}"/>
    <cellStyle name="20% - Énfasis6 3 4 2 4 3" xfId="6333" xr:uid="{00000000-0005-0000-0000-00002C070000}"/>
    <cellStyle name="20% - Énfasis6 3 4 2 5" xfId="8745" xr:uid="{00000000-0005-0000-0000-00002D070000}"/>
    <cellStyle name="20% - Énfasis6 3 4 2 5 2" xfId="8746" xr:uid="{00000000-0005-0000-0000-00002E070000}"/>
    <cellStyle name="20% - Énfasis6 3 4 2 6" xfId="1799" xr:uid="{00000000-0005-0000-0000-00002F070000}"/>
    <cellStyle name="20% - Énfasis6 3 4 2 6 2" xfId="8752" xr:uid="{00000000-0005-0000-0000-000030070000}"/>
    <cellStyle name="20% - Énfasis6 3 4 2 7" xfId="8757" xr:uid="{00000000-0005-0000-0000-000031070000}"/>
    <cellStyle name="20% - Énfasis6 3 4 3" xfId="1244" xr:uid="{00000000-0005-0000-0000-000032070000}"/>
    <cellStyle name="20% - Énfasis6 3 4 3 2" xfId="5866" xr:uid="{00000000-0005-0000-0000-000033070000}"/>
    <cellStyle name="20% - Énfasis6 3 4 3 2 2" xfId="6695" xr:uid="{00000000-0005-0000-0000-000034070000}"/>
    <cellStyle name="20% - Énfasis6 3 4 3 2 2 2" xfId="4492" xr:uid="{00000000-0005-0000-0000-000035070000}"/>
    <cellStyle name="20% - Énfasis6 3 4 3 2 3" xfId="6379" xr:uid="{00000000-0005-0000-0000-000036070000}"/>
    <cellStyle name="20% - Énfasis6 3 4 3 3" xfId="6698" xr:uid="{00000000-0005-0000-0000-000037070000}"/>
    <cellStyle name="20% - Énfasis6 3 4 3 3 2" xfId="8767" xr:uid="{00000000-0005-0000-0000-000038070000}"/>
    <cellStyle name="20% - Énfasis6 3 4 3 4" xfId="7322" xr:uid="{00000000-0005-0000-0000-000039070000}"/>
    <cellStyle name="20% - Énfasis6 3 4 4" xfId="4193" xr:uid="{00000000-0005-0000-0000-00003A070000}"/>
    <cellStyle name="20% - Énfasis6 3 4 4 2" xfId="6712" xr:uid="{00000000-0005-0000-0000-00003B070000}"/>
    <cellStyle name="20% - Énfasis6 3 4 4 2 2" xfId="8773" xr:uid="{00000000-0005-0000-0000-00003C070000}"/>
    <cellStyle name="20% - Énfasis6 3 4 4 3" xfId="8776" xr:uid="{00000000-0005-0000-0000-00003D070000}"/>
    <cellStyle name="20% - Énfasis6 3 4 5" xfId="6727" xr:uid="{00000000-0005-0000-0000-00003E070000}"/>
    <cellStyle name="20% - Énfasis6 3 4 5 2" xfId="7986" xr:uid="{00000000-0005-0000-0000-00003F070000}"/>
    <cellStyle name="20% - Énfasis6 3 4 5 2 2" xfId="8716" xr:uid="{00000000-0005-0000-0000-000040070000}"/>
    <cellStyle name="20% - Énfasis6 3 4 5 3" xfId="8783" xr:uid="{00000000-0005-0000-0000-000041070000}"/>
    <cellStyle name="20% - Énfasis6 3 4 6" xfId="5633" xr:uid="{00000000-0005-0000-0000-000042070000}"/>
    <cellStyle name="20% - Énfasis6 3 4 6 2" xfId="8786" xr:uid="{00000000-0005-0000-0000-000043070000}"/>
    <cellStyle name="20% - Énfasis6 3 4 7" xfId="6686" xr:uid="{00000000-0005-0000-0000-000044070000}"/>
    <cellStyle name="20% - Énfasis6 3 4 7 2" xfId="4480" xr:uid="{00000000-0005-0000-0000-000045070000}"/>
    <cellStyle name="20% - Énfasis6 3 4 8" xfId="6372" xr:uid="{00000000-0005-0000-0000-000046070000}"/>
    <cellStyle name="20% - Énfasis6 3 4 9" xfId="6385" xr:uid="{00000000-0005-0000-0000-000047070000}"/>
    <cellStyle name="20% - Énfasis6 3 5" xfId="1259" xr:uid="{00000000-0005-0000-0000-000048070000}"/>
    <cellStyle name="20% - Énfasis6 3 5 2" xfId="1277" xr:uid="{00000000-0005-0000-0000-000049070000}"/>
    <cellStyle name="20% - Énfasis6 3 5 2 2" xfId="4668" xr:uid="{00000000-0005-0000-0000-00004A070000}"/>
    <cellStyle name="20% - Énfasis6 3 5 2 2 2" xfId="8070" xr:uid="{00000000-0005-0000-0000-00004B070000}"/>
    <cellStyle name="20% - Énfasis6 3 5 2 2 2 2" xfId="7852" xr:uid="{00000000-0005-0000-0000-00004C070000}"/>
    <cellStyle name="20% - Énfasis6 3 5 2 2 2 2 2" xfId="7857" xr:uid="{00000000-0005-0000-0000-00004D070000}"/>
    <cellStyle name="20% - Énfasis6 3 5 2 2 2 3" xfId="7869" xr:uid="{00000000-0005-0000-0000-00004E070000}"/>
    <cellStyle name="20% - Énfasis6 3 5 2 2 3" xfId="7639" xr:uid="{00000000-0005-0000-0000-00004F070000}"/>
    <cellStyle name="20% - Énfasis6 3 5 2 2 3 2" xfId="7644" xr:uid="{00000000-0005-0000-0000-000050070000}"/>
    <cellStyle name="20% - Énfasis6 3 5 2 2 4" xfId="7650" xr:uid="{00000000-0005-0000-0000-000051070000}"/>
    <cellStyle name="20% - Énfasis6 3 5 2 3" xfId="8795" xr:uid="{00000000-0005-0000-0000-000052070000}"/>
    <cellStyle name="20% - Énfasis6 3 5 2 3 2" xfId="8797" xr:uid="{00000000-0005-0000-0000-000053070000}"/>
    <cellStyle name="20% - Énfasis6 3 5 2 3 2 2" xfId="8323" xr:uid="{00000000-0005-0000-0000-000054070000}"/>
    <cellStyle name="20% - Énfasis6 3 5 2 3 3" xfId="7657" xr:uid="{00000000-0005-0000-0000-000055070000}"/>
    <cellStyle name="20% - Énfasis6 3 5 2 4" xfId="8800" xr:uid="{00000000-0005-0000-0000-000056070000}"/>
    <cellStyle name="20% - Énfasis6 3 5 2 4 2" xfId="8802" xr:uid="{00000000-0005-0000-0000-000057070000}"/>
    <cellStyle name="20% - Énfasis6 3 5 2 4 2 2" xfId="8422" xr:uid="{00000000-0005-0000-0000-000058070000}"/>
    <cellStyle name="20% - Énfasis6 3 5 2 4 3" xfId="7666" xr:uid="{00000000-0005-0000-0000-000059070000}"/>
    <cellStyle name="20% - Énfasis6 3 5 2 5" xfId="8625" xr:uid="{00000000-0005-0000-0000-00005A070000}"/>
    <cellStyle name="20% - Énfasis6 3 5 2 5 2" xfId="8803" xr:uid="{00000000-0005-0000-0000-00005B070000}"/>
    <cellStyle name="20% - Énfasis6 3 5 2 6" xfId="8684" xr:uid="{00000000-0005-0000-0000-00005C070000}"/>
    <cellStyle name="20% - Énfasis6 3 5 2 6 2" xfId="8808" xr:uid="{00000000-0005-0000-0000-00005D070000}"/>
    <cellStyle name="20% - Énfasis6 3 5 2 7" xfId="8705" xr:uid="{00000000-0005-0000-0000-00005E070000}"/>
    <cellStyle name="20% - Énfasis6 3 5 3" xfId="5893" xr:uid="{00000000-0005-0000-0000-00005F070000}"/>
    <cellStyle name="20% - Énfasis6 3 5 3 2" xfId="5908" xr:uid="{00000000-0005-0000-0000-000060070000}"/>
    <cellStyle name="20% - Énfasis6 3 5 3 2 2" xfId="4125" xr:uid="{00000000-0005-0000-0000-000061070000}"/>
    <cellStyle name="20% - Énfasis6 3 5 3 2 2 2" xfId="686" xr:uid="{00000000-0005-0000-0000-000062070000}"/>
    <cellStyle name="20% - Énfasis6 3 5 3 2 3" xfId="4141" xr:uid="{00000000-0005-0000-0000-000063070000}"/>
    <cellStyle name="20% - Énfasis6 3 5 3 3" xfId="8810" xr:uid="{00000000-0005-0000-0000-000064070000}"/>
    <cellStyle name="20% - Énfasis6 3 5 3 3 2" xfId="4262" xr:uid="{00000000-0005-0000-0000-000065070000}"/>
    <cellStyle name="20% - Énfasis6 3 5 3 4" xfId="7331" xr:uid="{00000000-0005-0000-0000-000066070000}"/>
    <cellStyle name="20% - Énfasis6 3 5 4" xfId="4215" xr:uid="{00000000-0005-0000-0000-000067070000}"/>
    <cellStyle name="20% - Énfasis6 3 5 4 2" xfId="8813" xr:uid="{00000000-0005-0000-0000-000068070000}"/>
    <cellStyle name="20% - Énfasis6 3 5 4 2 2" xfId="528" xr:uid="{00000000-0005-0000-0000-000069070000}"/>
    <cellStyle name="20% - Énfasis6 3 5 4 3" xfId="8816" xr:uid="{00000000-0005-0000-0000-00006A070000}"/>
    <cellStyle name="20% - Énfasis6 3 5 5" xfId="7992" xr:uid="{00000000-0005-0000-0000-00006B070000}"/>
    <cellStyle name="20% - Énfasis6 3 5 5 2" xfId="8821" xr:uid="{00000000-0005-0000-0000-00006C070000}"/>
    <cellStyle name="20% - Énfasis6 3 5 5 2 2" xfId="4523" xr:uid="{00000000-0005-0000-0000-00006D070000}"/>
    <cellStyle name="20% - Énfasis6 3 5 5 3" xfId="8825" xr:uid="{00000000-0005-0000-0000-00006E070000}"/>
    <cellStyle name="20% - Énfasis6 3 5 6" xfId="8828" xr:uid="{00000000-0005-0000-0000-00006F070000}"/>
    <cellStyle name="20% - Énfasis6 3 5 6 2" xfId="8829" xr:uid="{00000000-0005-0000-0000-000070070000}"/>
    <cellStyle name="20% - Énfasis6 3 5 7" xfId="8758" xr:uid="{00000000-0005-0000-0000-000071070000}"/>
    <cellStyle name="20% - Énfasis6 3 5 7 2" xfId="4722" xr:uid="{00000000-0005-0000-0000-000072070000}"/>
    <cellStyle name="20% - Énfasis6 3 5 8" xfId="6416" xr:uid="{00000000-0005-0000-0000-000073070000}"/>
    <cellStyle name="20% - Énfasis6 3 6" xfId="603" xr:uid="{00000000-0005-0000-0000-000074070000}"/>
    <cellStyle name="20% - Énfasis6 3 6 2" xfId="3102" xr:uid="{00000000-0005-0000-0000-000075070000}"/>
    <cellStyle name="20% - Énfasis6 3 6 2 2" xfId="87" xr:uid="{00000000-0005-0000-0000-000076070000}"/>
    <cellStyle name="20% - Énfasis6 3 6 2 2 2" xfId="8187" xr:uid="{00000000-0005-0000-0000-000077070000}"/>
    <cellStyle name="20% - Énfasis6 3 6 2 2 2 2" xfId="393" xr:uid="{00000000-0005-0000-0000-000078070000}"/>
    <cellStyle name="20% - Énfasis6 3 6 2 2 3" xfId="8410" xr:uid="{00000000-0005-0000-0000-000079070000}"/>
    <cellStyle name="20% - Énfasis6 3 6 2 3" xfId="8839" xr:uid="{00000000-0005-0000-0000-00007A070000}"/>
    <cellStyle name="20% - Énfasis6 3 6 2 3 2" xfId="8854" xr:uid="{00000000-0005-0000-0000-00007B070000}"/>
    <cellStyle name="20% - Énfasis6 3 6 2 4" xfId="8866" xr:uid="{00000000-0005-0000-0000-00007C070000}"/>
    <cellStyle name="20% - Énfasis6 3 6 3" xfId="2548" xr:uid="{00000000-0005-0000-0000-00007D070000}"/>
    <cellStyle name="20% - Énfasis6 3 6 3 2" xfId="6738" xr:uid="{00000000-0005-0000-0000-00007E070000}"/>
    <cellStyle name="20% - Énfasis6 3 6 3 2 2" xfId="5064" xr:uid="{00000000-0005-0000-0000-00007F070000}"/>
    <cellStyle name="20% - Énfasis6 3 6 3 3" xfId="8869" xr:uid="{00000000-0005-0000-0000-000080070000}"/>
    <cellStyle name="20% - Énfasis6 3 6 4" xfId="6748" xr:uid="{00000000-0005-0000-0000-000081070000}"/>
    <cellStyle name="20% - Énfasis6 3 6 4 2" xfId="8880" xr:uid="{00000000-0005-0000-0000-000082070000}"/>
    <cellStyle name="20% - Énfasis6 3 6 4 2 2" xfId="8887" xr:uid="{00000000-0005-0000-0000-000083070000}"/>
    <cellStyle name="20% - Énfasis6 3 6 4 3" xfId="8894" xr:uid="{00000000-0005-0000-0000-000084070000}"/>
    <cellStyle name="20% - Énfasis6 3 6 5" xfId="8904" xr:uid="{00000000-0005-0000-0000-000085070000}"/>
    <cellStyle name="20% - Énfasis6 3 6 5 2" xfId="8917" xr:uid="{00000000-0005-0000-0000-000086070000}"/>
    <cellStyle name="20% - Énfasis6 3 6 6" xfId="8924" xr:uid="{00000000-0005-0000-0000-000087070000}"/>
    <cellStyle name="20% - Énfasis6 3 6 6 2" xfId="358" xr:uid="{00000000-0005-0000-0000-000088070000}"/>
    <cellStyle name="20% - Énfasis6 3 6 7" xfId="8925" xr:uid="{00000000-0005-0000-0000-000089070000}"/>
    <cellStyle name="20% - Énfasis6 3 7" xfId="4327" xr:uid="{00000000-0005-0000-0000-00008A070000}"/>
    <cellStyle name="20% - Énfasis6 3 7 2" xfId="8936" xr:uid="{00000000-0005-0000-0000-00008B070000}"/>
    <cellStyle name="20% - Énfasis6 3 7 2 2" xfId="8940" xr:uid="{00000000-0005-0000-0000-00008C070000}"/>
    <cellStyle name="20% - Énfasis6 3 7 2 2 2" xfId="8941" xr:uid="{00000000-0005-0000-0000-00008D070000}"/>
    <cellStyle name="20% - Énfasis6 3 7 2 3" xfId="3911" xr:uid="{00000000-0005-0000-0000-00008E070000}"/>
    <cellStyle name="20% - Énfasis6 3 7 3" xfId="5924" xr:uid="{00000000-0005-0000-0000-00008F070000}"/>
    <cellStyle name="20% - Énfasis6 3 7 3 2" xfId="8951" xr:uid="{00000000-0005-0000-0000-000090070000}"/>
    <cellStyle name="20% - Énfasis6 3 7 4" xfId="8960" xr:uid="{00000000-0005-0000-0000-000091070000}"/>
    <cellStyle name="20% - Énfasis6 3 8" xfId="4132" xr:uid="{00000000-0005-0000-0000-000092070000}"/>
    <cellStyle name="20% - Énfasis6 3 8 2" xfId="4777" xr:uid="{00000000-0005-0000-0000-000093070000}"/>
    <cellStyle name="20% - Énfasis6 3 8 2 2" xfId="8649" xr:uid="{00000000-0005-0000-0000-000094070000}"/>
    <cellStyle name="20% - Énfasis6 3 8 3" xfId="3810" xr:uid="{00000000-0005-0000-0000-000095070000}"/>
    <cellStyle name="20% - Énfasis6 3 9" xfId="4000" xr:uid="{00000000-0005-0000-0000-000096070000}"/>
    <cellStyle name="20% - Énfasis6 3 9 2" xfId="8654" xr:uid="{00000000-0005-0000-0000-000097070000}"/>
    <cellStyle name="20% - Énfasis6 3 9 2 2" xfId="8961" xr:uid="{00000000-0005-0000-0000-000098070000}"/>
    <cellStyle name="20% - Énfasis6 3 9 3" xfId="8963" xr:uid="{00000000-0005-0000-0000-000099070000}"/>
    <cellStyle name="20% - Énfasis6 4" xfId="8966" xr:uid="{00000000-0005-0000-0000-00009A070000}"/>
    <cellStyle name="20% - Énfasis6 4 2" xfId="8969" xr:uid="{00000000-0005-0000-0000-00009B070000}"/>
    <cellStyle name="20% - Énfasis6 4 2 2" xfId="8977" xr:uid="{00000000-0005-0000-0000-00009C070000}"/>
    <cellStyle name="20% - Énfasis6 4 2 2 2" xfId="8985" xr:uid="{00000000-0005-0000-0000-00009D070000}"/>
    <cellStyle name="20% - Énfasis6 4 2 2 2 2" xfId="5639" xr:uid="{00000000-0005-0000-0000-00009E070000}"/>
    <cellStyle name="20% - Énfasis6 4 2 2 3" xfId="8990" xr:uid="{00000000-0005-0000-0000-00009F070000}"/>
    <cellStyle name="20% - Énfasis6 4 2 2 4" xfId="8998" xr:uid="{00000000-0005-0000-0000-0000A0070000}"/>
    <cellStyle name="20% - Énfasis6 4 2 3" xfId="5948" xr:uid="{00000000-0005-0000-0000-0000A1070000}"/>
    <cellStyle name="20% - Énfasis6 4 2 3 2" xfId="4479" xr:uid="{00000000-0005-0000-0000-0000A2070000}"/>
    <cellStyle name="20% - Énfasis6 4 2 4" xfId="711" xr:uid="{00000000-0005-0000-0000-0000A3070000}"/>
    <cellStyle name="20% - Énfasis6 4 2 4 2" xfId="4273" xr:uid="{00000000-0005-0000-0000-0000A4070000}"/>
    <cellStyle name="20% - Énfasis6 4 2 5" xfId="801" xr:uid="{00000000-0005-0000-0000-0000A5070000}"/>
    <cellStyle name="20% - Énfasis6 4 2 6" xfId="6006" xr:uid="{00000000-0005-0000-0000-0000A6070000}"/>
    <cellStyle name="20% - Énfasis6 4 3" xfId="9002" xr:uid="{00000000-0005-0000-0000-0000A7070000}"/>
    <cellStyle name="20% - Énfasis6 4 3 2" xfId="9007" xr:uid="{00000000-0005-0000-0000-0000A8070000}"/>
    <cellStyle name="20% - Énfasis6 4 3 2 2" xfId="9009" xr:uid="{00000000-0005-0000-0000-0000A9070000}"/>
    <cellStyle name="20% - Énfasis6 4 3 3" xfId="6037" xr:uid="{00000000-0005-0000-0000-0000AA070000}"/>
    <cellStyle name="20% - Énfasis6 4 3 4" xfId="2727" xr:uid="{00000000-0005-0000-0000-0000AB070000}"/>
    <cellStyle name="20% - Énfasis6 4 4" xfId="1327" xr:uid="{00000000-0005-0000-0000-0000AC070000}"/>
    <cellStyle name="20% - Énfasis6 4 4 2" xfId="1346" xr:uid="{00000000-0005-0000-0000-0000AD070000}"/>
    <cellStyle name="20% - Énfasis6 4 4 2 2" xfId="5230" xr:uid="{00000000-0005-0000-0000-0000AE070000}"/>
    <cellStyle name="20% - Énfasis6 4 4 3" xfId="6061" xr:uid="{00000000-0005-0000-0000-0000AF070000}"/>
    <cellStyle name="20% - Énfasis6 4 5" xfId="264" xr:uid="{00000000-0005-0000-0000-0000B0070000}"/>
    <cellStyle name="20% - Énfasis6 4 5 2" xfId="9016" xr:uid="{00000000-0005-0000-0000-0000B1070000}"/>
    <cellStyle name="20% - Énfasis6 4 6" xfId="2862" xr:uid="{00000000-0005-0000-0000-0000B2070000}"/>
    <cellStyle name="20% - Énfasis6 4 6 2" xfId="296" xr:uid="{00000000-0005-0000-0000-0000B3070000}"/>
    <cellStyle name="20% - Énfasis6 4 7" xfId="986" xr:uid="{00000000-0005-0000-0000-0000B4070000}"/>
    <cellStyle name="20% - Énfasis6 4 8" xfId="5810" xr:uid="{00000000-0005-0000-0000-0000B5070000}"/>
    <cellStyle name="20% - Énfasis6 5" xfId="9018" xr:uid="{00000000-0005-0000-0000-0000B6070000}"/>
    <cellStyle name="20% - Énfasis6 5 2" xfId="9023" xr:uid="{00000000-0005-0000-0000-0000B7070000}"/>
    <cellStyle name="20% - Énfasis6 5 2 2" xfId="9028" xr:uid="{00000000-0005-0000-0000-0000B8070000}"/>
    <cellStyle name="20% - Énfasis6 5 2 2 2" xfId="1514" xr:uid="{00000000-0005-0000-0000-0000B9070000}"/>
    <cellStyle name="20% - Énfasis6 5 2 3" xfId="6107" xr:uid="{00000000-0005-0000-0000-0000BA070000}"/>
    <cellStyle name="20% - Énfasis6 5 2 4" xfId="6118" xr:uid="{00000000-0005-0000-0000-0000BB070000}"/>
    <cellStyle name="20% - Énfasis6 5 3" xfId="9039" xr:uid="{00000000-0005-0000-0000-0000BC070000}"/>
    <cellStyle name="20% - Énfasis6 5 3 2" xfId="9043" xr:uid="{00000000-0005-0000-0000-0000BD070000}"/>
    <cellStyle name="20% - Énfasis6 5 3 2 2" xfId="3210" xr:uid="{00000000-0005-0000-0000-0000BE070000}"/>
    <cellStyle name="20% - Énfasis6 5 3 3" xfId="3268" xr:uid="{00000000-0005-0000-0000-0000BF070000}"/>
    <cellStyle name="20% - Énfasis6 5 4" xfId="1376" xr:uid="{00000000-0005-0000-0000-0000C0070000}"/>
    <cellStyle name="20% - Énfasis6 5 4 2" xfId="1401" xr:uid="{00000000-0005-0000-0000-0000C1070000}"/>
    <cellStyle name="20% - Énfasis6 5 5" xfId="1445" xr:uid="{00000000-0005-0000-0000-0000C2070000}"/>
    <cellStyle name="20% - Énfasis6 5 5 2" xfId="9048" xr:uid="{00000000-0005-0000-0000-0000C3070000}"/>
    <cellStyle name="20% - Énfasis6 5 6" xfId="3303" xr:uid="{00000000-0005-0000-0000-0000C4070000}"/>
    <cellStyle name="20% - Énfasis6 5 7" xfId="9049" xr:uid="{00000000-0005-0000-0000-0000C5070000}"/>
    <cellStyle name="20% - Énfasis6 6" xfId="9050" xr:uid="{00000000-0005-0000-0000-0000C6070000}"/>
    <cellStyle name="20% - Énfasis6 6 2" xfId="9052" xr:uid="{00000000-0005-0000-0000-0000C7070000}"/>
    <cellStyle name="20% - Énfasis6 6 2 2" xfId="9053" xr:uid="{00000000-0005-0000-0000-0000C8070000}"/>
    <cellStyle name="20% - Énfasis6 6 2 2 2" xfId="3443" xr:uid="{00000000-0005-0000-0000-0000C9070000}"/>
    <cellStyle name="20% - Énfasis6 6 2 3" xfId="6187" xr:uid="{00000000-0005-0000-0000-0000CA070000}"/>
    <cellStyle name="20% - Énfasis6 6 2 4" xfId="6194" xr:uid="{00000000-0005-0000-0000-0000CB070000}"/>
    <cellStyle name="20% - Énfasis6 6 3" xfId="3378" xr:uid="{00000000-0005-0000-0000-0000CC070000}"/>
    <cellStyle name="20% - Énfasis6 6 3 2" xfId="3397" xr:uid="{00000000-0005-0000-0000-0000CD070000}"/>
    <cellStyle name="20% - Énfasis6 6 4" xfId="19" xr:uid="{00000000-0005-0000-0000-0000CE070000}"/>
    <cellStyle name="20% - Énfasis6 6 4 2" xfId="9057" xr:uid="{00000000-0005-0000-0000-0000CF070000}"/>
    <cellStyle name="20% - Énfasis6 6 5" xfId="9063" xr:uid="{00000000-0005-0000-0000-0000D0070000}"/>
    <cellStyle name="20% - Énfasis6 6 6" xfId="4341" xr:uid="{00000000-0005-0000-0000-0000D1070000}"/>
    <cellStyle name="20% - Énfasis6 7" xfId="9067" xr:uid="{00000000-0005-0000-0000-0000D2070000}"/>
    <cellStyle name="20% - Énfasis6 7 2" xfId="9070" xr:uid="{00000000-0005-0000-0000-0000D3070000}"/>
    <cellStyle name="20% - Énfasis6 7 2 2" xfId="9078" xr:uid="{00000000-0005-0000-0000-0000D4070000}"/>
    <cellStyle name="20% - Énfasis6 7 3" xfId="9079" xr:uid="{00000000-0005-0000-0000-0000D5070000}"/>
    <cellStyle name="20% - Énfasis6 8" xfId="9087" xr:uid="{00000000-0005-0000-0000-0000D6070000}"/>
    <cellStyle name="20% - Énfasis6 8 2" xfId="9092" xr:uid="{00000000-0005-0000-0000-0000D7070000}"/>
    <cellStyle name="20% - Énfasis6 9" xfId="9102" xr:uid="{00000000-0005-0000-0000-0000D8070000}"/>
    <cellStyle name="20% - Énfasis6 9 2" xfId="9105" xr:uid="{00000000-0005-0000-0000-0000D9070000}"/>
    <cellStyle name="40% - Énfasis1 2" xfId="1803" xr:uid="{00000000-0005-0000-0000-0000DA070000}"/>
    <cellStyle name="40% - Énfasis1 2 2" xfId="9109" xr:uid="{00000000-0005-0000-0000-0000DB070000}"/>
    <cellStyle name="40% - Énfasis1 2 3" xfId="9112" xr:uid="{00000000-0005-0000-0000-0000DC070000}"/>
    <cellStyle name="40% - Énfasis1 3" xfId="9116" xr:uid="{00000000-0005-0000-0000-0000DD070000}"/>
    <cellStyle name="40% - Énfasis1 3 10" xfId="9119" xr:uid="{00000000-0005-0000-0000-0000DE070000}"/>
    <cellStyle name="40% - Énfasis1 3 10 2" xfId="9121" xr:uid="{00000000-0005-0000-0000-0000DF070000}"/>
    <cellStyle name="40% - Énfasis1 3 11" xfId="9123" xr:uid="{00000000-0005-0000-0000-0000E0070000}"/>
    <cellStyle name="40% - Énfasis1 3 11 2" xfId="9127" xr:uid="{00000000-0005-0000-0000-0000E1070000}"/>
    <cellStyle name="40% - Énfasis1 3 12" xfId="2991" xr:uid="{00000000-0005-0000-0000-0000E2070000}"/>
    <cellStyle name="40% - Énfasis1 3 12 2" xfId="2997" xr:uid="{00000000-0005-0000-0000-0000E3070000}"/>
    <cellStyle name="40% - Énfasis1 3 13" xfId="89" xr:uid="{00000000-0005-0000-0000-0000E4070000}"/>
    <cellStyle name="40% - Énfasis1 3 14" xfId="9132" xr:uid="{00000000-0005-0000-0000-0000E5070000}"/>
    <cellStyle name="40% - Énfasis1 3 2" xfId="9138" xr:uid="{00000000-0005-0000-0000-0000E6070000}"/>
    <cellStyle name="40% - Énfasis1 3 2 10" xfId="9139" xr:uid="{00000000-0005-0000-0000-0000E7070000}"/>
    <cellStyle name="40% - Énfasis1 3 2 2" xfId="9141" xr:uid="{00000000-0005-0000-0000-0000E8070000}"/>
    <cellStyle name="40% - Énfasis1 3 2 2 2" xfId="9143" xr:uid="{00000000-0005-0000-0000-0000E9070000}"/>
    <cellStyle name="40% - Énfasis1 3 2 2 2 2" xfId="9144" xr:uid="{00000000-0005-0000-0000-0000EA070000}"/>
    <cellStyle name="40% - Énfasis1 3 2 2 2 2 2" xfId="6932" xr:uid="{00000000-0005-0000-0000-0000EB070000}"/>
    <cellStyle name="40% - Énfasis1 3 2 2 2 2 2 2" xfId="2950" xr:uid="{00000000-0005-0000-0000-0000EC070000}"/>
    <cellStyle name="40% - Énfasis1 3 2 2 2 2 2 2 2" xfId="9158" xr:uid="{00000000-0005-0000-0000-0000ED070000}"/>
    <cellStyle name="40% - Énfasis1 3 2 2 2 2 2 3" xfId="9159" xr:uid="{00000000-0005-0000-0000-0000EE070000}"/>
    <cellStyle name="40% - Énfasis1 3 2 2 2 2 3" xfId="1099" xr:uid="{00000000-0005-0000-0000-0000EF070000}"/>
    <cellStyle name="40% - Énfasis1 3 2 2 2 2 3 2" xfId="6933" xr:uid="{00000000-0005-0000-0000-0000F0070000}"/>
    <cellStyle name="40% - Énfasis1 3 2 2 2 2 4" xfId="5758" xr:uid="{00000000-0005-0000-0000-0000F1070000}"/>
    <cellStyle name="40% - Énfasis1 3 2 2 2 3" xfId="9167" xr:uid="{00000000-0005-0000-0000-0000F2070000}"/>
    <cellStyle name="40% - Énfasis1 3 2 2 2 3 2" xfId="7153" xr:uid="{00000000-0005-0000-0000-0000F3070000}"/>
    <cellStyle name="40% - Énfasis1 3 2 2 2 3 2 2" xfId="7158" xr:uid="{00000000-0005-0000-0000-0000F4070000}"/>
    <cellStyle name="40% - Énfasis1 3 2 2 2 3 3" xfId="113" xr:uid="{00000000-0005-0000-0000-0000F5070000}"/>
    <cellStyle name="40% - Énfasis1 3 2 2 2 4" xfId="9172" xr:uid="{00000000-0005-0000-0000-0000F6070000}"/>
    <cellStyle name="40% - Énfasis1 3 2 2 2 4 2" xfId="7343" xr:uid="{00000000-0005-0000-0000-0000F7070000}"/>
    <cellStyle name="40% - Énfasis1 3 2 2 2 4 2 2" xfId="7357" xr:uid="{00000000-0005-0000-0000-0000F8070000}"/>
    <cellStyle name="40% - Énfasis1 3 2 2 2 4 3" xfId="4869" xr:uid="{00000000-0005-0000-0000-0000F9070000}"/>
    <cellStyle name="40% - Énfasis1 3 2 2 2 5" xfId="9177" xr:uid="{00000000-0005-0000-0000-0000FA070000}"/>
    <cellStyle name="40% - Énfasis1 3 2 2 2 5 2" xfId="7475" xr:uid="{00000000-0005-0000-0000-0000FB070000}"/>
    <cellStyle name="40% - Énfasis1 3 2 2 2 6" xfId="9182" xr:uid="{00000000-0005-0000-0000-0000FC070000}"/>
    <cellStyle name="40% - Énfasis1 3 2 2 2 6 2" xfId="9186" xr:uid="{00000000-0005-0000-0000-0000FD070000}"/>
    <cellStyle name="40% - Énfasis1 3 2 2 2 7" xfId="4531" xr:uid="{00000000-0005-0000-0000-0000FE070000}"/>
    <cellStyle name="40% - Énfasis1 3 2 2 3" xfId="9189" xr:uid="{00000000-0005-0000-0000-0000FF070000}"/>
    <cellStyle name="40% - Énfasis1 3 2 2 3 2" xfId="9192" xr:uid="{00000000-0005-0000-0000-000000080000}"/>
    <cellStyle name="40% - Énfasis1 3 2 2 3 2 2" xfId="9194" xr:uid="{00000000-0005-0000-0000-000001080000}"/>
    <cellStyle name="40% - Énfasis1 3 2 2 3 2 2 2" xfId="9196" xr:uid="{00000000-0005-0000-0000-000002080000}"/>
    <cellStyle name="40% - Énfasis1 3 2 2 3 2 3" xfId="9199" xr:uid="{00000000-0005-0000-0000-000003080000}"/>
    <cellStyle name="40% - Énfasis1 3 2 2 3 3" xfId="9200" xr:uid="{00000000-0005-0000-0000-000004080000}"/>
    <cellStyle name="40% - Énfasis1 3 2 2 3 3 2" xfId="9201" xr:uid="{00000000-0005-0000-0000-000005080000}"/>
    <cellStyle name="40% - Énfasis1 3 2 2 3 4" xfId="8362" xr:uid="{00000000-0005-0000-0000-000006080000}"/>
    <cellStyle name="40% - Énfasis1 3 2 2 4" xfId="9203" xr:uid="{00000000-0005-0000-0000-000007080000}"/>
    <cellStyle name="40% - Énfasis1 3 2 2 4 2" xfId="9205" xr:uid="{00000000-0005-0000-0000-000008080000}"/>
    <cellStyle name="40% - Énfasis1 3 2 2 4 2 2" xfId="9207" xr:uid="{00000000-0005-0000-0000-000009080000}"/>
    <cellStyle name="40% - Énfasis1 3 2 2 4 3" xfId="9210" xr:uid="{00000000-0005-0000-0000-00000A080000}"/>
    <cellStyle name="40% - Énfasis1 3 2 2 5" xfId="9213" xr:uid="{00000000-0005-0000-0000-00000B080000}"/>
    <cellStyle name="40% - Énfasis1 3 2 2 5 2" xfId="9215" xr:uid="{00000000-0005-0000-0000-00000C080000}"/>
    <cellStyle name="40% - Énfasis1 3 2 2 5 2 2" xfId="9216" xr:uid="{00000000-0005-0000-0000-00000D080000}"/>
    <cellStyle name="40% - Énfasis1 3 2 2 5 3" xfId="9217" xr:uid="{00000000-0005-0000-0000-00000E080000}"/>
    <cellStyle name="40% - Énfasis1 3 2 2 6" xfId="9222" xr:uid="{00000000-0005-0000-0000-00000F080000}"/>
    <cellStyle name="40% - Énfasis1 3 2 2 6 2" xfId="9223" xr:uid="{00000000-0005-0000-0000-000010080000}"/>
    <cellStyle name="40% - Énfasis1 3 2 2 7" xfId="9231" xr:uid="{00000000-0005-0000-0000-000011080000}"/>
    <cellStyle name="40% - Énfasis1 3 2 2 7 2" xfId="9234" xr:uid="{00000000-0005-0000-0000-000012080000}"/>
    <cellStyle name="40% - Énfasis1 3 2 2 8" xfId="9245" xr:uid="{00000000-0005-0000-0000-000013080000}"/>
    <cellStyle name="40% - Énfasis1 3 2 2 9" xfId="7528" xr:uid="{00000000-0005-0000-0000-000014080000}"/>
    <cellStyle name="40% - Énfasis1 3 2 3" xfId="9246" xr:uid="{00000000-0005-0000-0000-000015080000}"/>
    <cellStyle name="40% - Énfasis1 3 2 3 2" xfId="9250" xr:uid="{00000000-0005-0000-0000-000016080000}"/>
    <cellStyle name="40% - Énfasis1 3 2 3 2 2" xfId="1390" xr:uid="{00000000-0005-0000-0000-000017080000}"/>
    <cellStyle name="40% - Énfasis1 3 2 3 2 2 2" xfId="1420" xr:uid="{00000000-0005-0000-0000-000018080000}"/>
    <cellStyle name="40% - Énfasis1 3 2 3 2 2 2 2" xfId="4716" xr:uid="{00000000-0005-0000-0000-000019080000}"/>
    <cellStyle name="40% - Énfasis1 3 2 3 2 2 3" xfId="5451" xr:uid="{00000000-0005-0000-0000-00001A080000}"/>
    <cellStyle name="40% - Énfasis1 3 2 3 2 3" xfId="1428" xr:uid="{00000000-0005-0000-0000-00001B080000}"/>
    <cellStyle name="40% - Énfasis1 3 2 3 2 3 2" xfId="3283" xr:uid="{00000000-0005-0000-0000-00001C080000}"/>
    <cellStyle name="40% - Énfasis1 3 2 3 2 4" xfId="3309" xr:uid="{00000000-0005-0000-0000-00001D080000}"/>
    <cellStyle name="40% - Énfasis1 3 2 3 3" xfId="9252" xr:uid="{00000000-0005-0000-0000-00001E080000}"/>
    <cellStyle name="40% - Énfasis1 3 2 3 3 2" xfId="11" xr:uid="{00000000-0005-0000-0000-00001F080000}"/>
    <cellStyle name="40% - Énfasis1 3 2 3 3 2 2" xfId="3466" xr:uid="{00000000-0005-0000-0000-000020080000}"/>
    <cellStyle name="40% - Énfasis1 3 2 3 3 3" xfId="3479" xr:uid="{00000000-0005-0000-0000-000021080000}"/>
    <cellStyle name="40% - Énfasis1 3 2 3 4" xfId="9258" xr:uid="{00000000-0005-0000-0000-000022080000}"/>
    <cellStyle name="40% - Énfasis1 3 2 3 4 2" xfId="9262" xr:uid="{00000000-0005-0000-0000-000023080000}"/>
    <cellStyle name="40% - Énfasis1 3 2 3 4 2 2" xfId="9263" xr:uid="{00000000-0005-0000-0000-000024080000}"/>
    <cellStyle name="40% - Énfasis1 3 2 3 4 3" xfId="9267" xr:uid="{00000000-0005-0000-0000-000025080000}"/>
    <cellStyle name="40% - Énfasis1 3 2 3 5" xfId="9271" xr:uid="{00000000-0005-0000-0000-000026080000}"/>
    <cellStyle name="40% - Énfasis1 3 2 3 5 2" xfId="9273" xr:uid="{00000000-0005-0000-0000-000027080000}"/>
    <cellStyle name="40% - Énfasis1 3 2 3 6" xfId="9277" xr:uid="{00000000-0005-0000-0000-000028080000}"/>
    <cellStyle name="40% - Énfasis1 3 2 3 6 2" xfId="9280" xr:uid="{00000000-0005-0000-0000-000029080000}"/>
    <cellStyle name="40% - Énfasis1 3 2 3 7" xfId="9286" xr:uid="{00000000-0005-0000-0000-00002A080000}"/>
    <cellStyle name="40% - Énfasis1 3 2 4" xfId="428" xr:uid="{00000000-0005-0000-0000-00002B080000}"/>
    <cellStyle name="40% - Énfasis1 3 2 4 2" xfId="8521" xr:uid="{00000000-0005-0000-0000-00002C080000}"/>
    <cellStyle name="40% - Énfasis1 3 2 4 2 2" xfId="5611" xr:uid="{00000000-0005-0000-0000-00002D080000}"/>
    <cellStyle name="40% - Énfasis1 3 2 4 2 2 2" xfId="5622" xr:uid="{00000000-0005-0000-0000-00002E080000}"/>
    <cellStyle name="40% - Énfasis1 3 2 4 2 3" xfId="1928" xr:uid="{00000000-0005-0000-0000-00002F080000}"/>
    <cellStyle name="40% - Énfasis1 3 2 4 3" xfId="8524" xr:uid="{00000000-0005-0000-0000-000030080000}"/>
    <cellStyle name="40% - Énfasis1 3 2 4 3 2" xfId="8533" xr:uid="{00000000-0005-0000-0000-000031080000}"/>
    <cellStyle name="40% - Énfasis1 3 2 4 4" xfId="8538" xr:uid="{00000000-0005-0000-0000-000032080000}"/>
    <cellStyle name="40% - Énfasis1 3 2 5" xfId="9290" xr:uid="{00000000-0005-0000-0000-000033080000}"/>
    <cellStyle name="40% - Énfasis1 3 2 5 2" xfId="5591" xr:uid="{00000000-0005-0000-0000-000034080000}"/>
    <cellStyle name="40% - Énfasis1 3 2 5 2 2" xfId="833" xr:uid="{00000000-0005-0000-0000-000035080000}"/>
    <cellStyle name="40% - Énfasis1 3 2 5 3" xfId="5607" xr:uid="{00000000-0005-0000-0000-000036080000}"/>
    <cellStyle name="40% - Énfasis1 3 2 6" xfId="9292" xr:uid="{00000000-0005-0000-0000-000037080000}"/>
    <cellStyle name="40% - Énfasis1 3 2 6 2" xfId="5667" xr:uid="{00000000-0005-0000-0000-000038080000}"/>
    <cellStyle name="40% - Énfasis1 3 2 6 2 2" xfId="6009" xr:uid="{00000000-0005-0000-0000-000039080000}"/>
    <cellStyle name="40% - Énfasis1 3 2 6 3" xfId="8529" xr:uid="{00000000-0005-0000-0000-00003A080000}"/>
    <cellStyle name="40% - Énfasis1 3 2 7" xfId="9300" xr:uid="{00000000-0005-0000-0000-00003B080000}"/>
    <cellStyle name="40% - Énfasis1 3 2 7 2" xfId="9306" xr:uid="{00000000-0005-0000-0000-00003C080000}"/>
    <cellStyle name="40% - Énfasis1 3 2 8" xfId="9312" xr:uid="{00000000-0005-0000-0000-00003D080000}"/>
    <cellStyle name="40% - Énfasis1 3 2 8 2" xfId="9314" xr:uid="{00000000-0005-0000-0000-00003E080000}"/>
    <cellStyle name="40% - Énfasis1 3 2 9" xfId="9321" xr:uid="{00000000-0005-0000-0000-00003F080000}"/>
    <cellStyle name="40% - Énfasis1 3 3" xfId="9325" xr:uid="{00000000-0005-0000-0000-000040080000}"/>
    <cellStyle name="40% - Énfasis1 3 3 2" xfId="9330" xr:uid="{00000000-0005-0000-0000-000041080000}"/>
    <cellStyle name="40% - Énfasis1 3 3 2 2" xfId="9337" xr:uid="{00000000-0005-0000-0000-000042080000}"/>
    <cellStyle name="40% - Énfasis1 3 3 2 2 2" xfId="1757" xr:uid="{00000000-0005-0000-0000-000043080000}"/>
    <cellStyle name="40% - Énfasis1 3 3 2 2 2 2" xfId="9339" xr:uid="{00000000-0005-0000-0000-000044080000}"/>
    <cellStyle name="40% - Énfasis1 3 3 2 2 2 2 2" xfId="9346" xr:uid="{00000000-0005-0000-0000-000045080000}"/>
    <cellStyle name="40% - Énfasis1 3 3 2 2 2 3" xfId="9350" xr:uid="{00000000-0005-0000-0000-000046080000}"/>
    <cellStyle name="40% - Énfasis1 3 3 2 2 3" xfId="1956" xr:uid="{00000000-0005-0000-0000-000047080000}"/>
    <cellStyle name="40% - Énfasis1 3 3 2 2 3 2" xfId="9352" xr:uid="{00000000-0005-0000-0000-000048080000}"/>
    <cellStyle name="40% - Énfasis1 3 3 2 2 4" xfId="9354" xr:uid="{00000000-0005-0000-0000-000049080000}"/>
    <cellStyle name="40% - Énfasis1 3 3 2 3" xfId="9359" xr:uid="{00000000-0005-0000-0000-00004A080000}"/>
    <cellStyle name="40% - Énfasis1 3 3 2 3 2" xfId="9365" xr:uid="{00000000-0005-0000-0000-00004B080000}"/>
    <cellStyle name="40% - Énfasis1 3 3 2 3 2 2" xfId="9374" xr:uid="{00000000-0005-0000-0000-00004C080000}"/>
    <cellStyle name="40% - Énfasis1 3 3 2 3 3" xfId="4042" xr:uid="{00000000-0005-0000-0000-00004D080000}"/>
    <cellStyle name="40% - Énfasis1 3 3 2 4" xfId="9380" xr:uid="{00000000-0005-0000-0000-00004E080000}"/>
    <cellStyle name="40% - Énfasis1 3 3 2 4 2" xfId="9389" xr:uid="{00000000-0005-0000-0000-00004F080000}"/>
    <cellStyle name="40% - Énfasis1 3 3 2 4 2 2" xfId="9393" xr:uid="{00000000-0005-0000-0000-000050080000}"/>
    <cellStyle name="40% - Énfasis1 3 3 2 4 3" xfId="9396" xr:uid="{00000000-0005-0000-0000-000051080000}"/>
    <cellStyle name="40% - Énfasis1 3 3 2 5" xfId="9408" xr:uid="{00000000-0005-0000-0000-000052080000}"/>
    <cellStyle name="40% - Énfasis1 3 3 2 5 2" xfId="9414" xr:uid="{00000000-0005-0000-0000-000053080000}"/>
    <cellStyle name="40% - Énfasis1 3 3 2 6" xfId="9424" xr:uid="{00000000-0005-0000-0000-000054080000}"/>
    <cellStyle name="40% - Énfasis1 3 3 2 6 2" xfId="9428" xr:uid="{00000000-0005-0000-0000-000055080000}"/>
    <cellStyle name="40% - Énfasis1 3 3 2 7" xfId="9435" xr:uid="{00000000-0005-0000-0000-000056080000}"/>
    <cellStyle name="40% - Énfasis1 3 3 3" xfId="9439" xr:uid="{00000000-0005-0000-0000-000057080000}"/>
    <cellStyle name="40% - Énfasis1 3 3 3 2" xfId="2069" xr:uid="{00000000-0005-0000-0000-000058080000}"/>
    <cellStyle name="40% - Énfasis1 3 3 3 2 2" xfId="2081" xr:uid="{00000000-0005-0000-0000-000059080000}"/>
    <cellStyle name="40% - Énfasis1 3 3 3 2 2 2" xfId="4004" xr:uid="{00000000-0005-0000-0000-00005A080000}"/>
    <cellStyle name="40% - Énfasis1 3 3 3 2 3" xfId="4012" xr:uid="{00000000-0005-0000-0000-00005B080000}"/>
    <cellStyle name="40% - Énfasis1 3 3 3 3" xfId="1772" xr:uid="{00000000-0005-0000-0000-00005C080000}"/>
    <cellStyle name="40% - Énfasis1 3 3 3 3 2" xfId="2091" xr:uid="{00000000-0005-0000-0000-00005D080000}"/>
    <cellStyle name="40% - Énfasis1 3 3 3 4" xfId="1744" xr:uid="{00000000-0005-0000-0000-00005E080000}"/>
    <cellStyle name="40% - Énfasis1 3 3 4" xfId="9442" xr:uid="{00000000-0005-0000-0000-00005F080000}"/>
    <cellStyle name="40% - Énfasis1 3 3 4 2" xfId="4109" xr:uid="{00000000-0005-0000-0000-000060080000}"/>
    <cellStyle name="40% - Énfasis1 3 3 4 2 2" xfId="271" xr:uid="{00000000-0005-0000-0000-000061080000}"/>
    <cellStyle name="40% - Énfasis1 3 3 4 3" xfId="4111" xr:uid="{00000000-0005-0000-0000-000062080000}"/>
    <cellStyle name="40% - Énfasis1 3 3 5" xfId="9449" xr:uid="{00000000-0005-0000-0000-000063080000}"/>
    <cellStyle name="40% - Énfasis1 3 3 5 2" xfId="782" xr:uid="{00000000-0005-0000-0000-000064080000}"/>
    <cellStyle name="40% - Énfasis1 3 3 5 2 2" xfId="5808" xr:uid="{00000000-0005-0000-0000-000065080000}"/>
    <cellStyle name="40% - Énfasis1 3 3 5 3" xfId="827" xr:uid="{00000000-0005-0000-0000-000066080000}"/>
    <cellStyle name="40% - Énfasis1 3 3 6" xfId="9451" xr:uid="{00000000-0005-0000-0000-000067080000}"/>
    <cellStyle name="40% - Énfasis1 3 3 6 2" xfId="4170" xr:uid="{00000000-0005-0000-0000-000068080000}"/>
    <cellStyle name="40% - Énfasis1 3 3 7" xfId="9457" xr:uid="{00000000-0005-0000-0000-000069080000}"/>
    <cellStyle name="40% - Énfasis1 3 3 7 2" xfId="6724" xr:uid="{00000000-0005-0000-0000-00006A080000}"/>
    <cellStyle name="40% - Énfasis1 3 4" xfId="9463" xr:uid="{00000000-0005-0000-0000-00006B080000}"/>
    <cellStyle name="40% - Énfasis1 3 4 2" xfId="9471" xr:uid="{00000000-0005-0000-0000-00006C080000}"/>
    <cellStyle name="40% - Énfasis1 3 4 2 2" xfId="9483" xr:uid="{00000000-0005-0000-0000-00006D080000}"/>
    <cellStyle name="40% - Énfasis1 3 4 2 2 2" xfId="9488" xr:uid="{00000000-0005-0000-0000-00006E080000}"/>
    <cellStyle name="40% - Énfasis1 3 4 2 2 2 2" xfId="9493" xr:uid="{00000000-0005-0000-0000-00006F080000}"/>
    <cellStyle name="40% - Énfasis1 3 4 2 2 2 2 2" xfId="9497" xr:uid="{00000000-0005-0000-0000-000070080000}"/>
    <cellStyle name="40% - Énfasis1 3 4 2 2 2 3" xfId="1874" xr:uid="{00000000-0005-0000-0000-000071080000}"/>
    <cellStyle name="40% - Énfasis1 3 4 2 2 3" xfId="9503" xr:uid="{00000000-0005-0000-0000-000072080000}"/>
    <cellStyle name="40% - Énfasis1 3 4 2 2 3 2" xfId="9505" xr:uid="{00000000-0005-0000-0000-000073080000}"/>
    <cellStyle name="40% - Énfasis1 3 4 2 2 4" xfId="9510" xr:uid="{00000000-0005-0000-0000-000074080000}"/>
    <cellStyle name="40% - Énfasis1 3 4 2 3" xfId="9517" xr:uid="{00000000-0005-0000-0000-000075080000}"/>
    <cellStyle name="40% - Énfasis1 3 4 2 3 2" xfId="9522" xr:uid="{00000000-0005-0000-0000-000076080000}"/>
    <cellStyle name="40% - Énfasis1 3 4 2 3 2 2" xfId="9531" xr:uid="{00000000-0005-0000-0000-000077080000}"/>
    <cellStyle name="40% - Énfasis1 3 4 2 3 3" xfId="9534" xr:uid="{00000000-0005-0000-0000-000078080000}"/>
    <cellStyle name="40% - Énfasis1 3 4 2 4" xfId="9541" xr:uid="{00000000-0005-0000-0000-000079080000}"/>
    <cellStyle name="40% - Énfasis1 3 4 2 4 2" xfId="9545" xr:uid="{00000000-0005-0000-0000-00007A080000}"/>
    <cellStyle name="40% - Énfasis1 3 4 2 4 2 2" xfId="9549" xr:uid="{00000000-0005-0000-0000-00007B080000}"/>
    <cellStyle name="40% - Énfasis1 3 4 2 4 3" xfId="9555" xr:uid="{00000000-0005-0000-0000-00007C080000}"/>
    <cellStyle name="40% - Énfasis1 3 4 2 5" xfId="9562" xr:uid="{00000000-0005-0000-0000-00007D080000}"/>
    <cellStyle name="40% - Énfasis1 3 4 2 5 2" xfId="9574" xr:uid="{00000000-0005-0000-0000-00007E080000}"/>
    <cellStyle name="40% - Énfasis1 3 4 2 6" xfId="9584" xr:uid="{00000000-0005-0000-0000-00007F080000}"/>
    <cellStyle name="40% - Énfasis1 3 4 2 6 2" xfId="9593" xr:uid="{00000000-0005-0000-0000-000080080000}"/>
    <cellStyle name="40% - Énfasis1 3 4 2 7" xfId="9598" xr:uid="{00000000-0005-0000-0000-000081080000}"/>
    <cellStyle name="40% - Énfasis1 3 4 3" xfId="9603" xr:uid="{00000000-0005-0000-0000-000082080000}"/>
    <cellStyle name="40% - Énfasis1 3 4 3 2" xfId="2591" xr:uid="{00000000-0005-0000-0000-000083080000}"/>
    <cellStyle name="40% - Énfasis1 3 4 3 2 2" xfId="2605" xr:uid="{00000000-0005-0000-0000-000084080000}"/>
    <cellStyle name="40% - Énfasis1 3 4 3 2 2 2" xfId="68" xr:uid="{00000000-0005-0000-0000-000085080000}"/>
    <cellStyle name="40% - Énfasis1 3 4 3 2 3" xfId="9605" xr:uid="{00000000-0005-0000-0000-000086080000}"/>
    <cellStyle name="40% - Énfasis1 3 4 3 3" xfId="2620" xr:uid="{00000000-0005-0000-0000-000087080000}"/>
    <cellStyle name="40% - Énfasis1 3 4 3 3 2" xfId="5659" xr:uid="{00000000-0005-0000-0000-000088080000}"/>
    <cellStyle name="40% - Énfasis1 3 4 3 4" xfId="2107" xr:uid="{00000000-0005-0000-0000-000089080000}"/>
    <cellStyle name="40% - Énfasis1 3 4 4" xfId="9608" xr:uid="{00000000-0005-0000-0000-00008A080000}"/>
    <cellStyle name="40% - Énfasis1 3 4 4 2" xfId="4256" xr:uid="{00000000-0005-0000-0000-00008B080000}"/>
    <cellStyle name="40% - Énfasis1 3 4 4 2 2" xfId="9611" xr:uid="{00000000-0005-0000-0000-00008C080000}"/>
    <cellStyle name="40% - Énfasis1 3 4 4 3" xfId="5664" xr:uid="{00000000-0005-0000-0000-00008D080000}"/>
    <cellStyle name="40% - Énfasis1 3 4 5" xfId="9619" xr:uid="{00000000-0005-0000-0000-00008E080000}"/>
    <cellStyle name="40% - Énfasis1 3 4 5 2" xfId="796" xr:uid="{00000000-0005-0000-0000-00008F080000}"/>
    <cellStyle name="40% - Énfasis1 3 4 5 2 2" xfId="5990" xr:uid="{00000000-0005-0000-0000-000090080000}"/>
    <cellStyle name="40% - Énfasis1 3 4 5 3" xfId="6004" xr:uid="{00000000-0005-0000-0000-000091080000}"/>
    <cellStyle name="40% - Énfasis1 3 4 6" xfId="9621" xr:uid="{00000000-0005-0000-0000-000092080000}"/>
    <cellStyle name="40% - Énfasis1 3 4 6 2" xfId="2406" xr:uid="{00000000-0005-0000-0000-000093080000}"/>
    <cellStyle name="40% - Énfasis1 3 4 7" xfId="9625" xr:uid="{00000000-0005-0000-0000-000094080000}"/>
    <cellStyle name="40% - Énfasis1 3 4 7 2" xfId="9629" xr:uid="{00000000-0005-0000-0000-000095080000}"/>
    <cellStyle name="40% - Énfasis1 3 4 8" xfId="9634" xr:uid="{00000000-0005-0000-0000-000096080000}"/>
    <cellStyle name="40% - Énfasis1 3 4 9" xfId="9636" xr:uid="{00000000-0005-0000-0000-000097080000}"/>
    <cellStyle name="40% - Énfasis1 3 5" xfId="9639" xr:uid="{00000000-0005-0000-0000-000098080000}"/>
    <cellStyle name="40% - Énfasis1 3 5 2" xfId="9648" xr:uid="{00000000-0005-0000-0000-000099080000}"/>
    <cellStyle name="40% - Énfasis1 3 5 2 2" xfId="9656" xr:uid="{00000000-0005-0000-0000-00009A080000}"/>
    <cellStyle name="40% - Énfasis1 3 5 2 2 2" xfId="9657" xr:uid="{00000000-0005-0000-0000-00009B080000}"/>
    <cellStyle name="40% - Énfasis1 3 5 2 2 2 2" xfId="9665" xr:uid="{00000000-0005-0000-0000-00009C080000}"/>
    <cellStyle name="40% - Énfasis1 3 5 2 2 2 2 2" xfId="9669" xr:uid="{00000000-0005-0000-0000-00009D080000}"/>
    <cellStyle name="40% - Énfasis1 3 5 2 2 2 3" xfId="747" xr:uid="{00000000-0005-0000-0000-00009E080000}"/>
    <cellStyle name="40% - Énfasis1 3 5 2 2 3" xfId="9673" xr:uid="{00000000-0005-0000-0000-00009F080000}"/>
    <cellStyle name="40% - Énfasis1 3 5 2 2 3 2" xfId="9678" xr:uid="{00000000-0005-0000-0000-0000A0080000}"/>
    <cellStyle name="40% - Énfasis1 3 5 2 2 4" xfId="9680" xr:uid="{00000000-0005-0000-0000-0000A1080000}"/>
    <cellStyle name="40% - Énfasis1 3 5 2 3" xfId="912" xr:uid="{00000000-0005-0000-0000-0000A2080000}"/>
    <cellStyle name="40% - Énfasis1 3 5 2 3 2" xfId="914" xr:uid="{00000000-0005-0000-0000-0000A3080000}"/>
    <cellStyle name="40% - Énfasis1 3 5 2 3 2 2" xfId="9681" xr:uid="{00000000-0005-0000-0000-0000A4080000}"/>
    <cellStyle name="40% - Énfasis1 3 5 2 3 3" xfId="9686" xr:uid="{00000000-0005-0000-0000-0000A5080000}"/>
    <cellStyle name="40% - Énfasis1 3 5 2 4" xfId="277" xr:uid="{00000000-0005-0000-0000-0000A6080000}"/>
    <cellStyle name="40% - Énfasis1 3 5 2 4 2" xfId="9687" xr:uid="{00000000-0005-0000-0000-0000A7080000}"/>
    <cellStyle name="40% - Énfasis1 3 5 2 4 2 2" xfId="9693" xr:uid="{00000000-0005-0000-0000-0000A8080000}"/>
    <cellStyle name="40% - Énfasis1 3 5 2 4 3" xfId="9697" xr:uid="{00000000-0005-0000-0000-0000A9080000}"/>
    <cellStyle name="40% - Énfasis1 3 5 2 5" xfId="9699" xr:uid="{00000000-0005-0000-0000-0000AA080000}"/>
    <cellStyle name="40% - Énfasis1 3 5 2 5 2" xfId="9704" xr:uid="{00000000-0005-0000-0000-0000AB080000}"/>
    <cellStyle name="40% - Énfasis1 3 5 2 6" xfId="9706" xr:uid="{00000000-0005-0000-0000-0000AC080000}"/>
    <cellStyle name="40% - Énfasis1 3 5 2 6 2" xfId="9707" xr:uid="{00000000-0005-0000-0000-0000AD080000}"/>
    <cellStyle name="40% - Énfasis1 3 5 2 7" xfId="9709" xr:uid="{00000000-0005-0000-0000-0000AE080000}"/>
    <cellStyle name="40% - Énfasis1 3 5 3" xfId="9713" xr:uid="{00000000-0005-0000-0000-0000AF080000}"/>
    <cellStyle name="40% - Énfasis1 3 5 3 2" xfId="3003" xr:uid="{00000000-0005-0000-0000-0000B0080000}"/>
    <cellStyle name="40% - Énfasis1 3 5 3 2 2" xfId="9714" xr:uid="{00000000-0005-0000-0000-0000B1080000}"/>
    <cellStyle name="40% - Énfasis1 3 5 3 2 2 2" xfId="9715" xr:uid="{00000000-0005-0000-0000-0000B2080000}"/>
    <cellStyle name="40% - Énfasis1 3 5 3 2 3" xfId="9716" xr:uid="{00000000-0005-0000-0000-0000B3080000}"/>
    <cellStyle name="40% - Énfasis1 3 5 3 3" xfId="947" xr:uid="{00000000-0005-0000-0000-0000B4080000}"/>
    <cellStyle name="40% - Énfasis1 3 5 3 3 2" xfId="9717" xr:uid="{00000000-0005-0000-0000-0000B5080000}"/>
    <cellStyle name="40% - Énfasis1 3 5 3 4" xfId="9718" xr:uid="{00000000-0005-0000-0000-0000B6080000}"/>
    <cellStyle name="40% - Énfasis1 3 5 4" xfId="9720" xr:uid="{00000000-0005-0000-0000-0000B7080000}"/>
    <cellStyle name="40% - Énfasis1 3 5 4 2" xfId="9726" xr:uid="{00000000-0005-0000-0000-0000B8080000}"/>
    <cellStyle name="40% - Énfasis1 3 5 4 2 2" xfId="9728" xr:uid="{00000000-0005-0000-0000-0000B9080000}"/>
    <cellStyle name="40% - Énfasis1 3 5 4 3" xfId="9733" xr:uid="{00000000-0005-0000-0000-0000BA080000}"/>
    <cellStyle name="40% - Énfasis1 3 5 5" xfId="9737" xr:uid="{00000000-0005-0000-0000-0000BB080000}"/>
    <cellStyle name="40% - Énfasis1 3 5 5 2" xfId="5302" xr:uid="{00000000-0005-0000-0000-0000BC080000}"/>
    <cellStyle name="40% - Énfasis1 3 5 5 2 2" xfId="3025" xr:uid="{00000000-0005-0000-0000-0000BD080000}"/>
    <cellStyle name="40% - Énfasis1 3 5 5 3" xfId="9740" xr:uid="{00000000-0005-0000-0000-0000BE080000}"/>
    <cellStyle name="40% - Énfasis1 3 5 6" xfId="9748" xr:uid="{00000000-0005-0000-0000-0000BF080000}"/>
    <cellStyle name="40% - Énfasis1 3 5 6 2" xfId="9755" xr:uid="{00000000-0005-0000-0000-0000C0080000}"/>
    <cellStyle name="40% - Énfasis1 3 5 7" xfId="9762" xr:uid="{00000000-0005-0000-0000-0000C1080000}"/>
    <cellStyle name="40% - Énfasis1 3 5 7 2" xfId="9768" xr:uid="{00000000-0005-0000-0000-0000C2080000}"/>
    <cellStyle name="40% - Énfasis1 3 5 8" xfId="9771" xr:uid="{00000000-0005-0000-0000-0000C3080000}"/>
    <cellStyle name="40% - Énfasis1 3 6" xfId="9779" xr:uid="{00000000-0005-0000-0000-0000C4080000}"/>
    <cellStyle name="40% - Énfasis1 3 6 2" xfId="540" xr:uid="{00000000-0005-0000-0000-0000C5080000}"/>
    <cellStyle name="40% - Énfasis1 3 6 2 2" xfId="2876" xr:uid="{00000000-0005-0000-0000-0000C6080000}"/>
    <cellStyle name="40% - Énfasis1 3 6 2 2 2" xfId="315" xr:uid="{00000000-0005-0000-0000-0000C7080000}"/>
    <cellStyle name="40% - Énfasis1 3 6 2 2 2 2" xfId="9783" xr:uid="{00000000-0005-0000-0000-0000C8080000}"/>
    <cellStyle name="40% - Énfasis1 3 6 2 2 3" xfId="9786" xr:uid="{00000000-0005-0000-0000-0000C9080000}"/>
    <cellStyle name="40% - Énfasis1 3 6 2 3" xfId="996" xr:uid="{00000000-0005-0000-0000-0000CA080000}"/>
    <cellStyle name="40% - Énfasis1 3 6 2 3 2" xfId="8551" xr:uid="{00000000-0005-0000-0000-0000CB080000}"/>
    <cellStyle name="40% - Énfasis1 3 6 2 4" xfId="8967" xr:uid="{00000000-0005-0000-0000-0000CC080000}"/>
    <cellStyle name="40% - Énfasis1 3 6 3" xfId="9789" xr:uid="{00000000-0005-0000-0000-0000CD080000}"/>
    <cellStyle name="40% - Énfasis1 3 6 3 2" xfId="9790" xr:uid="{00000000-0005-0000-0000-0000CE080000}"/>
    <cellStyle name="40% - Énfasis1 3 6 3 2 2" xfId="9791" xr:uid="{00000000-0005-0000-0000-0000CF080000}"/>
    <cellStyle name="40% - Énfasis1 3 6 3 3" xfId="5459" xr:uid="{00000000-0005-0000-0000-0000D0080000}"/>
    <cellStyle name="40% - Énfasis1 3 6 4" xfId="9792" xr:uid="{00000000-0005-0000-0000-0000D1080000}"/>
    <cellStyle name="40% - Énfasis1 3 6 4 2" xfId="9803" xr:uid="{00000000-0005-0000-0000-0000D2080000}"/>
    <cellStyle name="40% - Énfasis1 3 6 4 2 2" xfId="9810" xr:uid="{00000000-0005-0000-0000-0000D3080000}"/>
    <cellStyle name="40% - Énfasis1 3 6 4 3" xfId="9819" xr:uid="{00000000-0005-0000-0000-0000D4080000}"/>
    <cellStyle name="40% - Énfasis1 3 6 5" xfId="9825" xr:uid="{00000000-0005-0000-0000-0000D5080000}"/>
    <cellStyle name="40% - Énfasis1 3 6 5 2" xfId="9833" xr:uid="{00000000-0005-0000-0000-0000D6080000}"/>
    <cellStyle name="40% - Énfasis1 3 6 6" xfId="9839" xr:uid="{00000000-0005-0000-0000-0000D7080000}"/>
    <cellStyle name="40% - Énfasis1 3 6 6 2" xfId="9849" xr:uid="{00000000-0005-0000-0000-0000D8080000}"/>
    <cellStyle name="40% - Énfasis1 3 6 7" xfId="9851" xr:uid="{00000000-0005-0000-0000-0000D9080000}"/>
    <cellStyle name="40% - Énfasis1 3 7" xfId="9855" xr:uid="{00000000-0005-0000-0000-0000DA080000}"/>
    <cellStyle name="40% - Énfasis1 3 7 2" xfId="9857" xr:uid="{00000000-0005-0000-0000-0000DB080000}"/>
    <cellStyle name="40% - Énfasis1 3 7 2 2" xfId="6236" xr:uid="{00000000-0005-0000-0000-0000DC080000}"/>
    <cellStyle name="40% - Énfasis1 3 7 2 2 2" xfId="9859" xr:uid="{00000000-0005-0000-0000-0000DD080000}"/>
    <cellStyle name="40% - Énfasis1 3 7 2 3" xfId="1053" xr:uid="{00000000-0005-0000-0000-0000DE080000}"/>
    <cellStyle name="40% - Énfasis1 3 7 3" xfId="9860" xr:uid="{00000000-0005-0000-0000-0000DF080000}"/>
    <cellStyle name="40% - Énfasis1 3 7 3 2" xfId="5642" xr:uid="{00000000-0005-0000-0000-0000E0080000}"/>
    <cellStyle name="40% - Énfasis1 3 7 4" xfId="9861" xr:uid="{00000000-0005-0000-0000-0000E1080000}"/>
    <cellStyle name="40% - Énfasis1 3 8" xfId="9865" xr:uid="{00000000-0005-0000-0000-0000E2080000}"/>
    <cellStyle name="40% - Énfasis1 3 8 2" xfId="9867" xr:uid="{00000000-0005-0000-0000-0000E3080000}"/>
    <cellStyle name="40% - Énfasis1 3 8 2 2" xfId="9348" xr:uid="{00000000-0005-0000-0000-0000E4080000}"/>
    <cellStyle name="40% - Énfasis1 3 8 3" xfId="9870" xr:uid="{00000000-0005-0000-0000-0000E5080000}"/>
    <cellStyle name="40% - Énfasis1 3 9" xfId="9872" xr:uid="{00000000-0005-0000-0000-0000E6080000}"/>
    <cellStyle name="40% - Énfasis1 3 9 2" xfId="9876" xr:uid="{00000000-0005-0000-0000-0000E7080000}"/>
    <cellStyle name="40% - Énfasis1 3 9 2 2" xfId="9887" xr:uid="{00000000-0005-0000-0000-0000E8080000}"/>
    <cellStyle name="40% - Énfasis1 3 9 3" xfId="9894" xr:uid="{00000000-0005-0000-0000-0000E9080000}"/>
    <cellStyle name="40% - Énfasis1 4" xfId="9897" xr:uid="{00000000-0005-0000-0000-0000EA080000}"/>
    <cellStyle name="40% - Énfasis1 4 2" xfId="9906" xr:uid="{00000000-0005-0000-0000-0000EB080000}"/>
    <cellStyle name="40% - Énfasis1 4 2 2" xfId="9908" xr:uid="{00000000-0005-0000-0000-0000EC080000}"/>
    <cellStyle name="40% - Énfasis1 4 2 2 2" xfId="9911" xr:uid="{00000000-0005-0000-0000-0000ED080000}"/>
    <cellStyle name="40% - Énfasis1 4 2 2 2 2" xfId="9915" xr:uid="{00000000-0005-0000-0000-0000EE080000}"/>
    <cellStyle name="40% - Énfasis1 4 2 2 3" xfId="9916" xr:uid="{00000000-0005-0000-0000-0000EF080000}"/>
    <cellStyle name="40% - Énfasis1 4 2 2 4" xfId="4616" xr:uid="{00000000-0005-0000-0000-0000F0080000}"/>
    <cellStyle name="40% - Énfasis1 4 2 3" xfId="9918" xr:uid="{00000000-0005-0000-0000-0000F1080000}"/>
    <cellStyle name="40% - Énfasis1 4 2 3 2" xfId="9921" xr:uid="{00000000-0005-0000-0000-0000F2080000}"/>
    <cellStyle name="40% - Énfasis1 4 2 4" xfId="5256" xr:uid="{00000000-0005-0000-0000-0000F3080000}"/>
    <cellStyle name="40% - Énfasis1 4 2 4 2" xfId="8277" xr:uid="{00000000-0005-0000-0000-0000F4080000}"/>
    <cellStyle name="40% - Énfasis1 4 2 5" xfId="9924" xr:uid="{00000000-0005-0000-0000-0000F5080000}"/>
    <cellStyle name="40% - Énfasis1 4 2 6" xfId="9930" xr:uid="{00000000-0005-0000-0000-0000F6080000}"/>
    <cellStyle name="40% - Énfasis1 4 3" xfId="9372" xr:uid="{00000000-0005-0000-0000-0000F7080000}"/>
    <cellStyle name="40% - Énfasis1 4 3 2" xfId="9941" xr:uid="{00000000-0005-0000-0000-0000F8080000}"/>
    <cellStyle name="40% - Énfasis1 4 3 2 2" xfId="9951" xr:uid="{00000000-0005-0000-0000-0000F9080000}"/>
    <cellStyle name="40% - Énfasis1 4 3 3" xfId="9956" xr:uid="{00000000-0005-0000-0000-0000FA080000}"/>
    <cellStyle name="40% - Énfasis1 4 3 4" xfId="9958" xr:uid="{00000000-0005-0000-0000-0000FB080000}"/>
    <cellStyle name="40% - Énfasis1 4 4" xfId="9882" xr:uid="{00000000-0005-0000-0000-0000FC080000}"/>
    <cellStyle name="40% - Énfasis1 4 4 2" xfId="9960" xr:uid="{00000000-0005-0000-0000-0000FD080000}"/>
    <cellStyle name="40% - Énfasis1 4 4 2 2" xfId="9967" xr:uid="{00000000-0005-0000-0000-0000FE080000}"/>
    <cellStyle name="40% - Énfasis1 4 4 3" xfId="9969" xr:uid="{00000000-0005-0000-0000-0000FF080000}"/>
    <cellStyle name="40% - Énfasis1 4 5" xfId="5797" xr:uid="{00000000-0005-0000-0000-000000090000}"/>
    <cellStyle name="40% - Énfasis1 4 5 2" xfId="8635" xr:uid="{00000000-0005-0000-0000-000001090000}"/>
    <cellStyle name="40% - Énfasis1 4 6" xfId="8640" xr:uid="{00000000-0005-0000-0000-000002090000}"/>
    <cellStyle name="40% - Énfasis1 4 6 2" xfId="9117" xr:uid="{00000000-0005-0000-0000-000003090000}"/>
    <cellStyle name="40% - Énfasis1 4 7" xfId="9970" xr:uid="{00000000-0005-0000-0000-000004090000}"/>
    <cellStyle name="40% - Énfasis1 4 8" xfId="9973" xr:uid="{00000000-0005-0000-0000-000005090000}"/>
    <cellStyle name="40% - Énfasis1 5" xfId="9975" xr:uid="{00000000-0005-0000-0000-000006090000}"/>
    <cellStyle name="40% - Énfasis1 5 2" xfId="9976" xr:uid="{00000000-0005-0000-0000-000007090000}"/>
    <cellStyle name="40% - Énfasis1 5 2 2" xfId="9984" xr:uid="{00000000-0005-0000-0000-000008090000}"/>
    <cellStyle name="40% - Énfasis1 5 2 2 2" xfId="9994" xr:uid="{00000000-0005-0000-0000-000009090000}"/>
    <cellStyle name="40% - Énfasis1 5 2 3" xfId="10002" xr:uid="{00000000-0005-0000-0000-00000A090000}"/>
    <cellStyle name="40% - Énfasis1 5 2 4" xfId="6498" xr:uid="{00000000-0005-0000-0000-00000B090000}"/>
    <cellStyle name="40% - Énfasis1 5 3" xfId="10003" xr:uid="{00000000-0005-0000-0000-00000C090000}"/>
    <cellStyle name="40% - Énfasis1 5 3 2" xfId="10011" xr:uid="{00000000-0005-0000-0000-00000D090000}"/>
    <cellStyle name="40% - Énfasis1 5 3 2 2" xfId="10014" xr:uid="{00000000-0005-0000-0000-00000E090000}"/>
    <cellStyle name="40% - Énfasis1 5 3 3" xfId="10021" xr:uid="{00000000-0005-0000-0000-00000F090000}"/>
    <cellStyle name="40% - Énfasis1 5 4" xfId="10023" xr:uid="{00000000-0005-0000-0000-000010090000}"/>
    <cellStyle name="40% - Énfasis1 5 4 2" xfId="10026" xr:uid="{00000000-0005-0000-0000-000011090000}"/>
    <cellStyle name="40% - Énfasis1 5 5" xfId="3752" xr:uid="{00000000-0005-0000-0000-000012090000}"/>
    <cellStyle name="40% - Énfasis1 5 5 2" xfId="10028" xr:uid="{00000000-0005-0000-0000-000013090000}"/>
    <cellStyle name="40% - Énfasis1 5 6" xfId="10029" xr:uid="{00000000-0005-0000-0000-000014090000}"/>
    <cellStyle name="40% - Énfasis1 5 7" xfId="10030" xr:uid="{00000000-0005-0000-0000-000015090000}"/>
    <cellStyle name="40% - Énfasis1 6" xfId="10036" xr:uid="{00000000-0005-0000-0000-000016090000}"/>
    <cellStyle name="40% - Énfasis1 6 2" xfId="10038" xr:uid="{00000000-0005-0000-0000-000017090000}"/>
    <cellStyle name="40% - Énfasis1 6 2 2" xfId="10041" xr:uid="{00000000-0005-0000-0000-000018090000}"/>
    <cellStyle name="40% - Énfasis1 6 2 2 2" xfId="10049" xr:uid="{00000000-0005-0000-0000-000019090000}"/>
    <cellStyle name="40% - Énfasis1 6 2 3" xfId="10055" xr:uid="{00000000-0005-0000-0000-00001A090000}"/>
    <cellStyle name="40% - Énfasis1 6 2 4" xfId="7728" xr:uid="{00000000-0005-0000-0000-00001B090000}"/>
    <cellStyle name="40% - Énfasis1 6 3" xfId="10064" xr:uid="{00000000-0005-0000-0000-00001C090000}"/>
    <cellStyle name="40% - Énfasis1 6 3 2" xfId="10075" xr:uid="{00000000-0005-0000-0000-00001D090000}"/>
    <cellStyle name="40% - Énfasis1 6 4" xfId="10082" xr:uid="{00000000-0005-0000-0000-00001E090000}"/>
    <cellStyle name="40% - Énfasis1 6 4 2" xfId="130" xr:uid="{00000000-0005-0000-0000-00001F090000}"/>
    <cellStyle name="40% - Énfasis1 6 5" xfId="10087" xr:uid="{00000000-0005-0000-0000-000020090000}"/>
    <cellStyle name="40% - Énfasis1 6 6" xfId="9912" xr:uid="{00000000-0005-0000-0000-000021090000}"/>
    <cellStyle name="40% - Énfasis1 7" xfId="10091" xr:uid="{00000000-0005-0000-0000-000022090000}"/>
    <cellStyle name="40% - Énfasis1 7 2" xfId="10095" xr:uid="{00000000-0005-0000-0000-000023090000}"/>
    <cellStyle name="40% - Énfasis1 7 2 2" xfId="10102" xr:uid="{00000000-0005-0000-0000-000024090000}"/>
    <cellStyle name="40% - Énfasis1 7 3" xfId="10113" xr:uid="{00000000-0005-0000-0000-000025090000}"/>
    <cellStyle name="40% - Énfasis1 8" xfId="10115" xr:uid="{00000000-0005-0000-0000-000026090000}"/>
    <cellStyle name="40% - Énfasis1 8 2" xfId="10117" xr:uid="{00000000-0005-0000-0000-000027090000}"/>
    <cellStyle name="40% - Énfasis1 9" xfId="10120" xr:uid="{00000000-0005-0000-0000-000028090000}"/>
    <cellStyle name="40% - Énfasis1 9 2" xfId="764" xr:uid="{00000000-0005-0000-0000-000029090000}"/>
    <cellStyle name="40% - Énfasis2 2" xfId="10121" xr:uid="{00000000-0005-0000-0000-00002A090000}"/>
    <cellStyle name="40% - Énfasis2 2 2" xfId="10124" xr:uid="{00000000-0005-0000-0000-00002B090000}"/>
    <cellStyle name="40% - Énfasis2 3" xfId="10127" xr:uid="{00000000-0005-0000-0000-00002C090000}"/>
    <cellStyle name="40% - Énfasis2 3 10" xfId="10128" xr:uid="{00000000-0005-0000-0000-00002D090000}"/>
    <cellStyle name="40% - Énfasis2 3 10 2" xfId="4142" xr:uid="{00000000-0005-0000-0000-00002E090000}"/>
    <cellStyle name="40% - Énfasis2 3 11" xfId="10132" xr:uid="{00000000-0005-0000-0000-00002F090000}"/>
    <cellStyle name="40% - Énfasis2 3 11 2" xfId="2719" xr:uid="{00000000-0005-0000-0000-000030090000}"/>
    <cellStyle name="40% - Énfasis2 3 12" xfId="10135" xr:uid="{00000000-0005-0000-0000-000031090000}"/>
    <cellStyle name="40% - Énfasis2 3 12 2" xfId="10138" xr:uid="{00000000-0005-0000-0000-000032090000}"/>
    <cellStyle name="40% - Énfasis2 3 13" xfId="10140" xr:uid="{00000000-0005-0000-0000-000033090000}"/>
    <cellStyle name="40% - Énfasis2 3 14" xfId="10142" xr:uid="{00000000-0005-0000-0000-000034090000}"/>
    <cellStyle name="40% - Énfasis2 3 2" xfId="10152" xr:uid="{00000000-0005-0000-0000-000035090000}"/>
    <cellStyle name="40% - Énfasis2 3 2 10" xfId="10159" xr:uid="{00000000-0005-0000-0000-000036090000}"/>
    <cellStyle name="40% - Énfasis2 3 2 2" xfId="10162" xr:uid="{00000000-0005-0000-0000-000037090000}"/>
    <cellStyle name="40% - Énfasis2 3 2 2 2" xfId="10165" xr:uid="{00000000-0005-0000-0000-000038090000}"/>
    <cellStyle name="40% - Énfasis2 3 2 2 2 2" xfId="10169" xr:uid="{00000000-0005-0000-0000-000039090000}"/>
    <cellStyle name="40% - Énfasis2 3 2 2 2 2 2" xfId="10172" xr:uid="{00000000-0005-0000-0000-00003A090000}"/>
    <cellStyle name="40% - Énfasis2 3 2 2 2 2 2 2" xfId="10175" xr:uid="{00000000-0005-0000-0000-00003B090000}"/>
    <cellStyle name="40% - Énfasis2 3 2 2 2 2 2 2 2" xfId="10182" xr:uid="{00000000-0005-0000-0000-00003C090000}"/>
    <cellStyle name="40% - Énfasis2 3 2 2 2 2 2 3" xfId="10186" xr:uid="{00000000-0005-0000-0000-00003D090000}"/>
    <cellStyle name="40% - Énfasis2 3 2 2 2 2 3" xfId="10190" xr:uid="{00000000-0005-0000-0000-00003E090000}"/>
    <cellStyle name="40% - Énfasis2 3 2 2 2 2 3 2" xfId="10194" xr:uid="{00000000-0005-0000-0000-00003F090000}"/>
    <cellStyle name="40% - Énfasis2 3 2 2 2 2 4" xfId="10196" xr:uid="{00000000-0005-0000-0000-000040090000}"/>
    <cellStyle name="40% - Énfasis2 3 2 2 2 3" xfId="3542" xr:uid="{00000000-0005-0000-0000-000041090000}"/>
    <cellStyle name="40% - Énfasis2 3 2 2 2 3 2" xfId="10201" xr:uid="{00000000-0005-0000-0000-000042090000}"/>
    <cellStyle name="40% - Énfasis2 3 2 2 2 3 2 2" xfId="10203" xr:uid="{00000000-0005-0000-0000-000043090000}"/>
    <cellStyle name="40% - Énfasis2 3 2 2 2 3 3" xfId="10207" xr:uid="{00000000-0005-0000-0000-000044090000}"/>
    <cellStyle name="40% - Énfasis2 3 2 2 2 4" xfId="10216" xr:uid="{00000000-0005-0000-0000-000045090000}"/>
    <cellStyle name="40% - Énfasis2 3 2 2 2 4 2" xfId="10220" xr:uid="{00000000-0005-0000-0000-000046090000}"/>
    <cellStyle name="40% - Énfasis2 3 2 2 2 4 2 2" xfId="10223" xr:uid="{00000000-0005-0000-0000-000047090000}"/>
    <cellStyle name="40% - Énfasis2 3 2 2 2 4 3" xfId="10228" xr:uid="{00000000-0005-0000-0000-000048090000}"/>
    <cellStyle name="40% - Énfasis2 3 2 2 2 5" xfId="10236" xr:uid="{00000000-0005-0000-0000-000049090000}"/>
    <cellStyle name="40% - Énfasis2 3 2 2 2 5 2" xfId="8270" xr:uid="{00000000-0005-0000-0000-00004A090000}"/>
    <cellStyle name="40% - Énfasis2 3 2 2 2 6" xfId="10237" xr:uid="{00000000-0005-0000-0000-00004B090000}"/>
    <cellStyle name="40% - Énfasis2 3 2 2 2 6 2" xfId="3599" xr:uid="{00000000-0005-0000-0000-00004C090000}"/>
    <cellStyle name="40% - Énfasis2 3 2 2 2 7" xfId="10241" xr:uid="{00000000-0005-0000-0000-00004D090000}"/>
    <cellStyle name="40% - Énfasis2 3 2 2 3" xfId="8030" xr:uid="{00000000-0005-0000-0000-00004E090000}"/>
    <cellStyle name="40% - Énfasis2 3 2 2 3 2" xfId="8043" xr:uid="{00000000-0005-0000-0000-00004F090000}"/>
    <cellStyle name="40% - Énfasis2 3 2 2 3 2 2" xfId="5403" xr:uid="{00000000-0005-0000-0000-000050090000}"/>
    <cellStyle name="40% - Énfasis2 3 2 2 3 2 2 2" xfId="5419" xr:uid="{00000000-0005-0000-0000-000051090000}"/>
    <cellStyle name="40% - Énfasis2 3 2 2 3 2 3" xfId="5428" xr:uid="{00000000-0005-0000-0000-000052090000}"/>
    <cellStyle name="40% - Énfasis2 3 2 2 3 3" xfId="8074" xr:uid="{00000000-0005-0000-0000-000053090000}"/>
    <cellStyle name="40% - Énfasis2 3 2 2 3 3 2" xfId="8080" xr:uid="{00000000-0005-0000-0000-000054090000}"/>
    <cellStyle name="40% - Énfasis2 3 2 2 3 4" xfId="8088" xr:uid="{00000000-0005-0000-0000-000055090000}"/>
    <cellStyle name="40% - Énfasis2 3 2 2 4" xfId="3933" xr:uid="{00000000-0005-0000-0000-000056090000}"/>
    <cellStyle name="40% - Énfasis2 3 2 2 4 2" xfId="3947" xr:uid="{00000000-0005-0000-0000-000057090000}"/>
    <cellStyle name="40% - Énfasis2 3 2 2 4 2 2" xfId="3959" xr:uid="{00000000-0005-0000-0000-000058090000}"/>
    <cellStyle name="40% - Énfasis2 3 2 2 4 3" xfId="3449" xr:uid="{00000000-0005-0000-0000-000059090000}"/>
    <cellStyle name="40% - Énfasis2 3 2 2 5" xfId="4310" xr:uid="{00000000-0005-0000-0000-00005A090000}"/>
    <cellStyle name="40% - Énfasis2 3 2 2 5 2" xfId="4324" xr:uid="{00000000-0005-0000-0000-00005B090000}"/>
    <cellStyle name="40% - Énfasis2 3 2 2 5 2 2" xfId="742" xr:uid="{00000000-0005-0000-0000-00005C090000}"/>
    <cellStyle name="40% - Énfasis2 3 2 2 5 3" xfId="4358" xr:uid="{00000000-0005-0000-0000-00005D090000}"/>
    <cellStyle name="40% - Énfasis2 3 2 2 6" xfId="4404" xr:uid="{00000000-0005-0000-0000-00005E090000}"/>
    <cellStyle name="40% - Énfasis2 3 2 2 6 2" xfId="4423" xr:uid="{00000000-0005-0000-0000-00005F090000}"/>
    <cellStyle name="40% - Énfasis2 3 2 2 7" xfId="3275" xr:uid="{00000000-0005-0000-0000-000060090000}"/>
    <cellStyle name="40% - Énfasis2 3 2 2 7 2" xfId="4674" xr:uid="{00000000-0005-0000-0000-000061090000}"/>
    <cellStyle name="40% - Énfasis2 3 2 2 8" xfId="4903" xr:uid="{00000000-0005-0000-0000-000062090000}"/>
    <cellStyle name="40% - Énfasis2 3 2 2 9" xfId="4938" xr:uid="{00000000-0005-0000-0000-000063090000}"/>
    <cellStyle name="40% - Énfasis2 3 2 3" xfId="7184" xr:uid="{00000000-0005-0000-0000-000064090000}"/>
    <cellStyle name="40% - Énfasis2 3 2 3 2" xfId="7199" xr:uid="{00000000-0005-0000-0000-000065090000}"/>
    <cellStyle name="40% - Énfasis2 3 2 3 2 2" xfId="10246" xr:uid="{00000000-0005-0000-0000-000066090000}"/>
    <cellStyle name="40% - Énfasis2 3 2 3 2 2 2" xfId="9282" xr:uid="{00000000-0005-0000-0000-000067090000}"/>
    <cellStyle name="40% - Énfasis2 3 2 3 2 2 2 2" xfId="10247" xr:uid="{00000000-0005-0000-0000-000068090000}"/>
    <cellStyle name="40% - Énfasis2 3 2 3 2 2 3" xfId="10249" xr:uid="{00000000-0005-0000-0000-000069090000}"/>
    <cellStyle name="40% - Énfasis2 3 2 3 2 3" xfId="10252" xr:uid="{00000000-0005-0000-0000-00006A090000}"/>
    <cellStyle name="40% - Énfasis2 3 2 3 2 3 2" xfId="10254" xr:uid="{00000000-0005-0000-0000-00006B090000}"/>
    <cellStyle name="40% - Énfasis2 3 2 3 2 4" xfId="10257" xr:uid="{00000000-0005-0000-0000-00006C090000}"/>
    <cellStyle name="40% - Énfasis2 3 2 3 3" xfId="8141" xr:uid="{00000000-0005-0000-0000-00006D090000}"/>
    <cellStyle name="40% - Énfasis2 3 2 3 3 2" xfId="8148" xr:uid="{00000000-0005-0000-0000-00006E090000}"/>
    <cellStyle name="40% - Énfasis2 3 2 3 3 2 2" xfId="6984" xr:uid="{00000000-0005-0000-0000-00006F090000}"/>
    <cellStyle name="40% - Énfasis2 3 2 3 3 3" xfId="8188" xr:uid="{00000000-0005-0000-0000-000070090000}"/>
    <cellStyle name="40% - Énfasis2 3 2 3 4" xfId="5030" xr:uid="{00000000-0005-0000-0000-000071090000}"/>
    <cellStyle name="40% - Énfasis2 3 2 3 4 2" xfId="5032" xr:uid="{00000000-0005-0000-0000-000072090000}"/>
    <cellStyle name="40% - Énfasis2 3 2 3 4 2 2" xfId="5040" xr:uid="{00000000-0005-0000-0000-000073090000}"/>
    <cellStyle name="40% - Énfasis2 3 2 3 4 3" xfId="5067" xr:uid="{00000000-0005-0000-0000-000074090000}"/>
    <cellStyle name="40% - Énfasis2 3 2 3 5" xfId="5105" xr:uid="{00000000-0005-0000-0000-000075090000}"/>
    <cellStyle name="40% - Énfasis2 3 2 3 5 2" xfId="5114" xr:uid="{00000000-0005-0000-0000-000076090000}"/>
    <cellStyle name="40% - Énfasis2 3 2 3 6" xfId="3229" xr:uid="{00000000-0005-0000-0000-000077090000}"/>
    <cellStyle name="40% - Énfasis2 3 2 3 6 2" xfId="5134" xr:uid="{00000000-0005-0000-0000-000078090000}"/>
    <cellStyle name="40% - Énfasis2 3 2 3 7" xfId="5173" xr:uid="{00000000-0005-0000-0000-000079090000}"/>
    <cellStyle name="40% - Énfasis2 3 2 4" xfId="2678" xr:uid="{00000000-0005-0000-0000-00007A090000}"/>
    <cellStyle name="40% - Énfasis2 3 2 4 2" xfId="10265" xr:uid="{00000000-0005-0000-0000-00007B090000}"/>
    <cellStyle name="40% - Énfasis2 3 2 4 2 2" xfId="10268" xr:uid="{00000000-0005-0000-0000-00007C090000}"/>
    <cellStyle name="40% - Énfasis2 3 2 4 2 2 2" xfId="10269" xr:uid="{00000000-0005-0000-0000-00007D090000}"/>
    <cellStyle name="40% - Énfasis2 3 2 4 2 3" xfId="10270" xr:uid="{00000000-0005-0000-0000-00007E090000}"/>
    <cellStyle name="40% - Énfasis2 3 2 4 3" xfId="8239" xr:uid="{00000000-0005-0000-0000-00007F090000}"/>
    <cellStyle name="40% - Énfasis2 3 2 4 3 2" xfId="8248" xr:uid="{00000000-0005-0000-0000-000080090000}"/>
    <cellStyle name="40% - Énfasis2 3 2 4 4" xfId="5206" xr:uid="{00000000-0005-0000-0000-000081090000}"/>
    <cellStyle name="40% - Énfasis2 3 2 5" xfId="10276" xr:uid="{00000000-0005-0000-0000-000082090000}"/>
    <cellStyle name="40% - Énfasis2 3 2 5 2" xfId="725" xr:uid="{00000000-0005-0000-0000-000083090000}"/>
    <cellStyle name="40% - Énfasis2 3 2 5 2 2" xfId="6812" xr:uid="{00000000-0005-0000-0000-000084090000}"/>
    <cellStyle name="40% - Énfasis2 3 2 5 3" xfId="809" xr:uid="{00000000-0005-0000-0000-000085090000}"/>
    <cellStyle name="40% - Énfasis2 3 2 6" xfId="10278" xr:uid="{00000000-0005-0000-0000-000086090000}"/>
    <cellStyle name="40% - Énfasis2 3 2 6 2" xfId="6866" xr:uid="{00000000-0005-0000-0000-000087090000}"/>
    <cellStyle name="40% - Énfasis2 3 2 6 2 2" xfId="10286" xr:uid="{00000000-0005-0000-0000-000088090000}"/>
    <cellStyle name="40% - Énfasis2 3 2 6 3" xfId="4095" xr:uid="{00000000-0005-0000-0000-000089090000}"/>
    <cellStyle name="40% - Énfasis2 3 2 7" xfId="10288" xr:uid="{00000000-0005-0000-0000-00008A090000}"/>
    <cellStyle name="40% - Énfasis2 3 2 7 2" xfId="10289" xr:uid="{00000000-0005-0000-0000-00008B090000}"/>
    <cellStyle name="40% - Énfasis2 3 2 8" xfId="9903" xr:uid="{00000000-0005-0000-0000-00008C090000}"/>
    <cellStyle name="40% - Énfasis2 3 2 8 2" xfId="9907" xr:uid="{00000000-0005-0000-0000-00008D090000}"/>
    <cellStyle name="40% - Énfasis2 3 2 9" xfId="9369" xr:uid="{00000000-0005-0000-0000-00008E090000}"/>
    <cellStyle name="40% - Énfasis2 3 3" xfId="10292" xr:uid="{00000000-0005-0000-0000-00008F090000}"/>
    <cellStyle name="40% - Énfasis2 3 3 2" xfId="10294" xr:uid="{00000000-0005-0000-0000-000090090000}"/>
    <cellStyle name="40% - Énfasis2 3 3 2 2" xfId="10297" xr:uid="{00000000-0005-0000-0000-000091090000}"/>
    <cellStyle name="40% - Énfasis2 3 3 2 2 2" xfId="9173" xr:uid="{00000000-0005-0000-0000-000092090000}"/>
    <cellStyle name="40% - Énfasis2 3 3 2 2 2 2" xfId="7345" xr:uid="{00000000-0005-0000-0000-000093090000}"/>
    <cellStyle name="40% - Énfasis2 3 3 2 2 2 2 2" xfId="7353" xr:uid="{00000000-0005-0000-0000-000094090000}"/>
    <cellStyle name="40% - Énfasis2 3 3 2 2 2 3" xfId="4871" xr:uid="{00000000-0005-0000-0000-000095090000}"/>
    <cellStyle name="40% - Énfasis2 3 3 2 2 3" xfId="9178" xr:uid="{00000000-0005-0000-0000-000096090000}"/>
    <cellStyle name="40% - Énfasis2 3 3 2 2 3 2" xfId="7477" xr:uid="{00000000-0005-0000-0000-000097090000}"/>
    <cellStyle name="40% - Énfasis2 3 3 2 2 4" xfId="9184" xr:uid="{00000000-0005-0000-0000-000098090000}"/>
    <cellStyle name="40% - Énfasis2 3 3 2 3" xfId="8357" xr:uid="{00000000-0005-0000-0000-000099090000}"/>
    <cellStyle name="40% - Énfasis2 3 3 2 3 2" xfId="8363" xr:uid="{00000000-0005-0000-0000-00009A090000}"/>
    <cellStyle name="40% - Énfasis2 3 3 2 3 2 2" xfId="10304" xr:uid="{00000000-0005-0000-0000-00009B090000}"/>
    <cellStyle name="40% - Énfasis2 3 3 2 3 3" xfId="10309" xr:uid="{00000000-0005-0000-0000-00009C090000}"/>
    <cellStyle name="40% - Énfasis2 3 3 2 4" xfId="5275" xr:uid="{00000000-0005-0000-0000-00009D090000}"/>
    <cellStyle name="40% - Énfasis2 3 3 2 4 2" xfId="5306" xr:uid="{00000000-0005-0000-0000-00009E090000}"/>
    <cellStyle name="40% - Énfasis2 3 3 2 4 2 2" xfId="3020" xr:uid="{00000000-0005-0000-0000-00009F090000}"/>
    <cellStyle name="40% - Énfasis2 3 3 2 4 3" xfId="5471" xr:uid="{00000000-0005-0000-0000-0000A0090000}"/>
    <cellStyle name="40% - Énfasis2 3 3 2 5" xfId="2424" xr:uid="{00000000-0005-0000-0000-0000A1090000}"/>
    <cellStyle name="40% - Énfasis2 3 3 2 5 2" xfId="5567" xr:uid="{00000000-0005-0000-0000-0000A2090000}"/>
    <cellStyle name="40% - Énfasis2 3 3 2 6" xfId="5775" xr:uid="{00000000-0005-0000-0000-0000A3090000}"/>
    <cellStyle name="40% - Énfasis2 3 3 2 6 2" xfId="5790" xr:uid="{00000000-0005-0000-0000-0000A4090000}"/>
    <cellStyle name="40% - Énfasis2 3 3 2 7" xfId="5494" xr:uid="{00000000-0005-0000-0000-0000A5090000}"/>
    <cellStyle name="40% - Énfasis2 3 3 3" xfId="7211" xr:uid="{00000000-0005-0000-0000-0000A6090000}"/>
    <cellStyle name="40% - Énfasis2 3 3 3 2" xfId="10312" xr:uid="{00000000-0005-0000-0000-0000A7090000}"/>
    <cellStyle name="40% - Énfasis2 3 3 3 2 2" xfId="3310" xr:uid="{00000000-0005-0000-0000-0000A8090000}"/>
    <cellStyle name="40% - Énfasis2 3 3 3 2 2 2" xfId="5168" xr:uid="{00000000-0005-0000-0000-0000A9090000}"/>
    <cellStyle name="40% - Énfasis2 3 3 3 2 3" xfId="5464" xr:uid="{00000000-0005-0000-0000-0000AA090000}"/>
    <cellStyle name="40% - Énfasis2 3 3 3 3" xfId="8369" xr:uid="{00000000-0005-0000-0000-0000AB090000}"/>
    <cellStyle name="40% - Énfasis2 3 3 3 3 2" xfId="5501" xr:uid="{00000000-0005-0000-0000-0000AC090000}"/>
    <cellStyle name="40% - Énfasis2 3 3 3 4" xfId="6243" xr:uid="{00000000-0005-0000-0000-0000AD090000}"/>
    <cellStyle name="40% - Énfasis2 3 3 4" xfId="10316" xr:uid="{00000000-0005-0000-0000-0000AE090000}"/>
    <cellStyle name="40% - Énfasis2 3 3 4 2" xfId="10321" xr:uid="{00000000-0005-0000-0000-0000AF090000}"/>
    <cellStyle name="40% - Énfasis2 3 3 4 2 2" xfId="5648" xr:uid="{00000000-0005-0000-0000-0000B0090000}"/>
    <cellStyle name="40% - Énfasis2 3 3 4 3" xfId="8379" xr:uid="{00000000-0005-0000-0000-0000B1090000}"/>
    <cellStyle name="40% - Énfasis2 3 3 5" xfId="10329" xr:uid="{00000000-0005-0000-0000-0000B2090000}"/>
    <cellStyle name="40% - Énfasis2 3 3 5 2" xfId="7024" xr:uid="{00000000-0005-0000-0000-0000B3090000}"/>
    <cellStyle name="40% - Énfasis2 3 3 5 2 2" xfId="5817" xr:uid="{00000000-0005-0000-0000-0000B4090000}"/>
    <cellStyle name="40% - Énfasis2 3 3 5 3" xfId="7039" xr:uid="{00000000-0005-0000-0000-0000B5090000}"/>
    <cellStyle name="40% - Énfasis2 3 3 6" xfId="10331" xr:uid="{00000000-0005-0000-0000-0000B6090000}"/>
    <cellStyle name="40% - Énfasis2 3 3 6 2" xfId="7084" xr:uid="{00000000-0005-0000-0000-0000B7090000}"/>
    <cellStyle name="40% - Énfasis2 3 3 7" xfId="10332" xr:uid="{00000000-0005-0000-0000-0000B8090000}"/>
    <cellStyle name="40% - Énfasis2 3 3 7 2" xfId="10345" xr:uid="{00000000-0005-0000-0000-0000B9090000}"/>
    <cellStyle name="40% - Énfasis2 3 4" xfId="10347" xr:uid="{00000000-0005-0000-0000-0000BA090000}"/>
    <cellStyle name="40% - Énfasis2 3 4 2" xfId="10351" xr:uid="{00000000-0005-0000-0000-0000BB090000}"/>
    <cellStyle name="40% - Énfasis2 3 4 2 2" xfId="10356" xr:uid="{00000000-0005-0000-0000-0000BC090000}"/>
    <cellStyle name="40% - Énfasis2 3 4 2 2 2" xfId="9355" xr:uid="{00000000-0005-0000-0000-0000BD090000}"/>
    <cellStyle name="40% - Énfasis2 3 4 2 2 2 2" xfId="10360" xr:uid="{00000000-0005-0000-0000-0000BE090000}"/>
    <cellStyle name="40% - Énfasis2 3 4 2 2 2 2 2" xfId="10366" xr:uid="{00000000-0005-0000-0000-0000BF090000}"/>
    <cellStyle name="40% - Énfasis2 3 4 2 2 2 3" xfId="10373" xr:uid="{00000000-0005-0000-0000-0000C0090000}"/>
    <cellStyle name="40% - Énfasis2 3 4 2 2 3" xfId="10376" xr:uid="{00000000-0005-0000-0000-0000C1090000}"/>
    <cellStyle name="40% - Énfasis2 3 4 2 2 3 2" xfId="10380" xr:uid="{00000000-0005-0000-0000-0000C2090000}"/>
    <cellStyle name="40% - Énfasis2 3 4 2 2 4" xfId="10176" xr:uid="{00000000-0005-0000-0000-0000C3090000}"/>
    <cellStyle name="40% - Énfasis2 3 4 2 3" xfId="8447" xr:uid="{00000000-0005-0000-0000-0000C4090000}"/>
    <cellStyle name="40% - Énfasis2 3 4 2 3 2" xfId="10383" xr:uid="{00000000-0005-0000-0000-0000C5090000}"/>
    <cellStyle name="40% - Énfasis2 3 4 2 3 2 2" xfId="10061" xr:uid="{00000000-0005-0000-0000-0000C6090000}"/>
    <cellStyle name="40% - Énfasis2 3 4 2 3 3" xfId="10386" xr:uid="{00000000-0005-0000-0000-0000C7090000}"/>
    <cellStyle name="40% - Énfasis2 3 4 2 4" xfId="6539" xr:uid="{00000000-0005-0000-0000-0000C8090000}"/>
    <cellStyle name="40% - Énfasis2 3 4 2 4 2" xfId="6543" xr:uid="{00000000-0005-0000-0000-0000C9090000}"/>
    <cellStyle name="40% - Énfasis2 3 4 2 4 2 2" xfId="5683" xr:uid="{00000000-0005-0000-0000-0000CA090000}"/>
    <cellStyle name="40% - Énfasis2 3 4 2 4 3" xfId="6679" xr:uid="{00000000-0005-0000-0000-0000CB090000}"/>
    <cellStyle name="40% - Énfasis2 3 4 2 5" xfId="6787" xr:uid="{00000000-0005-0000-0000-0000CC090000}"/>
    <cellStyle name="40% - Énfasis2 3 4 2 5 2" xfId="6794" xr:uid="{00000000-0005-0000-0000-0000CD090000}"/>
    <cellStyle name="40% - Énfasis2 3 4 2 6" xfId="6953" xr:uid="{00000000-0005-0000-0000-0000CE090000}"/>
    <cellStyle name="40% - Énfasis2 3 4 2 6 2" xfId="6959" xr:uid="{00000000-0005-0000-0000-0000CF090000}"/>
    <cellStyle name="40% - Énfasis2 3 4 2 7" xfId="7167" xr:uid="{00000000-0005-0000-0000-0000D0090000}"/>
    <cellStyle name="40% - Énfasis2 3 4 3" xfId="8253" xr:uid="{00000000-0005-0000-0000-0000D1090000}"/>
    <cellStyle name="40% - Énfasis2 3 4 3 2" xfId="10389" xr:uid="{00000000-0005-0000-0000-0000D2090000}"/>
    <cellStyle name="40% - Énfasis2 3 4 3 2 2" xfId="10391" xr:uid="{00000000-0005-0000-0000-0000D3090000}"/>
    <cellStyle name="40% - Énfasis2 3 4 3 2 2 2" xfId="10400" xr:uid="{00000000-0005-0000-0000-0000D4090000}"/>
    <cellStyle name="40% - Énfasis2 3 4 3 2 3" xfId="10402" xr:uid="{00000000-0005-0000-0000-0000D5090000}"/>
    <cellStyle name="40% - Énfasis2 3 4 3 3" xfId="8457" xr:uid="{00000000-0005-0000-0000-0000D6090000}"/>
    <cellStyle name="40% - Énfasis2 3 4 3 3 2" xfId="10405" xr:uid="{00000000-0005-0000-0000-0000D7090000}"/>
    <cellStyle name="40% - Énfasis2 3 4 3 4" xfId="7553" xr:uid="{00000000-0005-0000-0000-0000D8090000}"/>
    <cellStyle name="40% - Énfasis2 3 4 4" xfId="10406" xr:uid="{00000000-0005-0000-0000-0000D9090000}"/>
    <cellStyle name="40% - Énfasis2 3 4 4 2" xfId="10412" xr:uid="{00000000-0005-0000-0000-0000DA090000}"/>
    <cellStyle name="40% - Énfasis2 3 4 4 2 2" xfId="36" xr:uid="{00000000-0005-0000-0000-0000DB090000}"/>
    <cellStyle name="40% - Énfasis2 3 4 4 3" xfId="10414" xr:uid="{00000000-0005-0000-0000-0000DC090000}"/>
    <cellStyle name="40% - Énfasis2 3 4 5" xfId="10416" xr:uid="{00000000-0005-0000-0000-0000DD090000}"/>
    <cellStyle name="40% - Énfasis2 3 4 5 2" xfId="7244" xr:uid="{00000000-0005-0000-0000-0000DE090000}"/>
    <cellStyle name="40% - Énfasis2 3 4 5 2 2" xfId="6500" xr:uid="{00000000-0005-0000-0000-0000DF090000}"/>
    <cellStyle name="40% - Énfasis2 3 4 5 3" xfId="7250" xr:uid="{00000000-0005-0000-0000-0000E0090000}"/>
    <cellStyle name="40% - Énfasis2 3 4 6" xfId="10417" xr:uid="{00000000-0005-0000-0000-0000E1090000}"/>
    <cellStyle name="40% - Énfasis2 3 4 6 2" xfId="5332" xr:uid="{00000000-0005-0000-0000-0000E2090000}"/>
    <cellStyle name="40% - Énfasis2 3 4 7" xfId="10418" xr:uid="{00000000-0005-0000-0000-0000E3090000}"/>
    <cellStyle name="40% - Énfasis2 3 4 7 2" xfId="10419" xr:uid="{00000000-0005-0000-0000-0000E4090000}"/>
    <cellStyle name="40% - Énfasis2 3 4 8" xfId="10037" xr:uid="{00000000-0005-0000-0000-0000E5090000}"/>
    <cellStyle name="40% - Énfasis2 3 4 9" xfId="10063" xr:uid="{00000000-0005-0000-0000-0000E6090000}"/>
    <cellStyle name="40% - Énfasis2 3 5" xfId="10421" xr:uid="{00000000-0005-0000-0000-0000E7090000}"/>
    <cellStyle name="40% - Énfasis2 3 5 2" xfId="10424" xr:uid="{00000000-0005-0000-0000-0000E8090000}"/>
    <cellStyle name="40% - Énfasis2 3 5 2 2" xfId="10426" xr:uid="{00000000-0005-0000-0000-0000E9090000}"/>
    <cellStyle name="40% - Énfasis2 3 5 2 2 2" xfId="9507" xr:uid="{00000000-0005-0000-0000-0000EA090000}"/>
    <cellStyle name="40% - Énfasis2 3 5 2 2 2 2" xfId="10437" xr:uid="{00000000-0005-0000-0000-0000EB090000}"/>
    <cellStyle name="40% - Énfasis2 3 5 2 2 2 2 2" xfId="10443" xr:uid="{00000000-0005-0000-0000-0000EC090000}"/>
    <cellStyle name="40% - Énfasis2 3 5 2 2 2 3" xfId="490" xr:uid="{00000000-0005-0000-0000-0000ED090000}"/>
    <cellStyle name="40% - Énfasis2 3 5 2 2 3" xfId="10448" xr:uid="{00000000-0005-0000-0000-0000EE090000}"/>
    <cellStyle name="40% - Énfasis2 3 5 2 2 3 2" xfId="10455" xr:uid="{00000000-0005-0000-0000-0000EF090000}"/>
    <cellStyle name="40% - Énfasis2 3 5 2 2 4" xfId="5417" xr:uid="{00000000-0005-0000-0000-0000F0090000}"/>
    <cellStyle name="40% - Énfasis2 3 5 2 3" xfId="1580" xr:uid="{00000000-0005-0000-0000-0000F1090000}"/>
    <cellStyle name="40% - Énfasis2 3 5 2 3 2" xfId="10462" xr:uid="{00000000-0005-0000-0000-0000F2090000}"/>
    <cellStyle name="40% - Énfasis2 3 5 2 3 2 2" xfId="10467" xr:uid="{00000000-0005-0000-0000-0000F3090000}"/>
    <cellStyle name="40% - Énfasis2 3 5 2 3 3" xfId="10470" xr:uid="{00000000-0005-0000-0000-0000F4090000}"/>
    <cellStyle name="40% - Énfasis2 3 5 2 4" xfId="5358" xr:uid="{00000000-0005-0000-0000-0000F5090000}"/>
    <cellStyle name="40% - Énfasis2 3 5 2 4 2" xfId="7453" xr:uid="{00000000-0005-0000-0000-0000F6090000}"/>
    <cellStyle name="40% - Énfasis2 3 5 2 4 2 2" xfId="7764" xr:uid="{00000000-0005-0000-0000-0000F7090000}"/>
    <cellStyle name="40% - Énfasis2 3 5 2 4 3" xfId="7818" xr:uid="{00000000-0005-0000-0000-0000F8090000}"/>
    <cellStyle name="40% - Énfasis2 3 5 2 5" xfId="7912" xr:uid="{00000000-0005-0000-0000-0000F9090000}"/>
    <cellStyle name="40% - Énfasis2 3 5 2 5 2" xfId="7918" xr:uid="{00000000-0005-0000-0000-0000FA090000}"/>
    <cellStyle name="40% - Énfasis2 3 5 2 6" xfId="7895" xr:uid="{00000000-0005-0000-0000-0000FB090000}"/>
    <cellStyle name="40% - Énfasis2 3 5 2 6 2" xfId="8027" xr:uid="{00000000-0005-0000-0000-0000FC090000}"/>
    <cellStyle name="40% - Énfasis2 3 5 2 7" xfId="8139" xr:uid="{00000000-0005-0000-0000-0000FD090000}"/>
    <cellStyle name="40% - Énfasis2 3 5 3" xfId="10472" xr:uid="{00000000-0005-0000-0000-0000FE090000}"/>
    <cellStyle name="40% - Énfasis2 3 5 3 2" xfId="10477" xr:uid="{00000000-0005-0000-0000-0000FF090000}"/>
    <cellStyle name="40% - Énfasis2 3 5 3 2 2" xfId="10479" xr:uid="{00000000-0005-0000-0000-0000000A0000}"/>
    <cellStyle name="40% - Énfasis2 3 5 3 2 2 2" xfId="2821" xr:uid="{00000000-0005-0000-0000-0000010A0000}"/>
    <cellStyle name="40% - Énfasis2 3 5 3 2 3" xfId="10480" xr:uid="{00000000-0005-0000-0000-0000020A0000}"/>
    <cellStyle name="40% - Énfasis2 3 5 3 3" xfId="10482" xr:uid="{00000000-0005-0000-0000-0000030A0000}"/>
    <cellStyle name="40% - Énfasis2 3 5 3 3 2" xfId="425" xr:uid="{00000000-0005-0000-0000-0000040A0000}"/>
    <cellStyle name="40% - Énfasis2 3 5 3 4" xfId="5374" xr:uid="{00000000-0005-0000-0000-0000050A0000}"/>
    <cellStyle name="40% - Énfasis2 3 5 4" xfId="10483" xr:uid="{00000000-0005-0000-0000-0000060A0000}"/>
    <cellStyle name="40% - Énfasis2 3 5 4 2" xfId="10488" xr:uid="{00000000-0005-0000-0000-0000070A0000}"/>
    <cellStyle name="40% - Énfasis2 3 5 4 2 2" xfId="10493" xr:uid="{00000000-0005-0000-0000-0000080A0000}"/>
    <cellStyle name="40% - Énfasis2 3 5 4 3" xfId="10500" xr:uid="{00000000-0005-0000-0000-0000090A0000}"/>
    <cellStyle name="40% - Énfasis2 3 5 5" xfId="10508" xr:uid="{00000000-0005-0000-0000-00000A0A0000}"/>
    <cellStyle name="40% - Énfasis2 3 5 5 2" xfId="7411" xr:uid="{00000000-0005-0000-0000-00000B0A0000}"/>
    <cellStyle name="40% - Énfasis2 3 5 5 2 2" xfId="10516" xr:uid="{00000000-0005-0000-0000-00000C0A0000}"/>
    <cellStyle name="40% - Énfasis2 3 5 5 3" xfId="10519" xr:uid="{00000000-0005-0000-0000-00000D0A0000}"/>
    <cellStyle name="40% - Énfasis2 3 5 6" xfId="10526" xr:uid="{00000000-0005-0000-0000-00000E0A0000}"/>
    <cellStyle name="40% - Énfasis2 3 5 6 2" xfId="10533" xr:uid="{00000000-0005-0000-0000-00000F0A0000}"/>
    <cellStyle name="40% - Énfasis2 3 5 7" xfId="10537" xr:uid="{00000000-0005-0000-0000-0000100A0000}"/>
    <cellStyle name="40% - Énfasis2 3 5 7 2" xfId="10544" xr:uid="{00000000-0005-0000-0000-0000110A0000}"/>
    <cellStyle name="40% - Énfasis2 3 5 8" xfId="10093" xr:uid="{00000000-0005-0000-0000-0000120A0000}"/>
    <cellStyle name="40% - Énfasis2 3 6" xfId="10547" xr:uid="{00000000-0005-0000-0000-0000130A0000}"/>
    <cellStyle name="40% - Énfasis2 3 6 2" xfId="10548" xr:uid="{00000000-0005-0000-0000-0000140A0000}"/>
    <cellStyle name="40% - Énfasis2 3 6 2 2" xfId="10550" xr:uid="{00000000-0005-0000-0000-0000150A0000}"/>
    <cellStyle name="40% - Énfasis2 3 6 2 2 2" xfId="9679" xr:uid="{00000000-0005-0000-0000-0000160A0000}"/>
    <cellStyle name="40% - Énfasis2 3 6 2 2 2 2" xfId="10554" xr:uid="{00000000-0005-0000-0000-0000170A0000}"/>
    <cellStyle name="40% - Énfasis2 3 6 2 2 3" xfId="10555" xr:uid="{00000000-0005-0000-0000-0000180A0000}"/>
    <cellStyle name="40% - Énfasis2 3 6 2 3" xfId="10557" xr:uid="{00000000-0005-0000-0000-0000190A0000}"/>
    <cellStyle name="40% - Énfasis2 3 6 2 3 2" xfId="10558" xr:uid="{00000000-0005-0000-0000-00001A0A0000}"/>
    <cellStyle name="40% - Énfasis2 3 6 2 4" xfId="8552" xr:uid="{00000000-0005-0000-0000-00001B0A0000}"/>
    <cellStyle name="40% - Énfasis2 3 6 3" xfId="10559" xr:uid="{00000000-0005-0000-0000-00001C0A0000}"/>
    <cellStyle name="40% - Énfasis2 3 6 3 2" xfId="10561" xr:uid="{00000000-0005-0000-0000-00001D0A0000}"/>
    <cellStyle name="40% - Énfasis2 3 6 3 2 2" xfId="10563" xr:uid="{00000000-0005-0000-0000-00001E0A0000}"/>
    <cellStyle name="40% - Énfasis2 3 6 3 3" xfId="10564" xr:uid="{00000000-0005-0000-0000-00001F0A0000}"/>
    <cellStyle name="40% - Énfasis2 3 6 4" xfId="10565" xr:uid="{00000000-0005-0000-0000-0000200A0000}"/>
    <cellStyle name="40% - Énfasis2 3 6 4 2" xfId="10572" xr:uid="{00000000-0005-0000-0000-0000210A0000}"/>
    <cellStyle name="40% - Énfasis2 3 6 4 2 2" xfId="10577" xr:uid="{00000000-0005-0000-0000-0000220A0000}"/>
    <cellStyle name="40% - Énfasis2 3 6 4 3" xfId="10584" xr:uid="{00000000-0005-0000-0000-0000230A0000}"/>
    <cellStyle name="40% - Énfasis2 3 6 5" xfId="10588" xr:uid="{00000000-0005-0000-0000-0000240A0000}"/>
    <cellStyle name="40% - Énfasis2 3 6 5 2" xfId="10594" xr:uid="{00000000-0005-0000-0000-0000250A0000}"/>
    <cellStyle name="40% - Énfasis2 3 6 6" xfId="10598" xr:uid="{00000000-0005-0000-0000-0000260A0000}"/>
    <cellStyle name="40% - Énfasis2 3 6 6 2" xfId="10609" xr:uid="{00000000-0005-0000-0000-0000270A0000}"/>
    <cellStyle name="40% - Énfasis2 3 6 7" xfId="10611" xr:uid="{00000000-0005-0000-0000-0000280A0000}"/>
    <cellStyle name="40% - Énfasis2 3 7" xfId="134" xr:uid="{00000000-0005-0000-0000-0000290A0000}"/>
    <cellStyle name="40% - Énfasis2 3 7 2" xfId="213" xr:uid="{00000000-0005-0000-0000-00002A0A0000}"/>
    <cellStyle name="40% - Énfasis2 3 7 2 2" xfId="184" xr:uid="{00000000-0005-0000-0000-00002B0A0000}"/>
    <cellStyle name="40% - Énfasis2 3 7 2 2 2" xfId="566" xr:uid="{00000000-0005-0000-0000-00002C0A0000}"/>
    <cellStyle name="40% - Énfasis2 3 7 2 3" xfId="1159" xr:uid="{00000000-0005-0000-0000-00002D0A0000}"/>
    <cellStyle name="40% - Énfasis2 3 7 3" xfId="1515" xr:uid="{00000000-0005-0000-0000-00002E0A0000}"/>
    <cellStyle name="40% - Énfasis2 3 7 3 2" xfId="1540" xr:uid="{00000000-0005-0000-0000-00002F0A0000}"/>
    <cellStyle name="40% - Énfasis2 3 7 4" xfId="307" xr:uid="{00000000-0005-0000-0000-0000300A0000}"/>
    <cellStyle name="40% - Énfasis2 3 8" xfId="1845" xr:uid="{00000000-0005-0000-0000-0000310A0000}"/>
    <cellStyle name="40% - Énfasis2 3 8 2" xfId="1856" xr:uid="{00000000-0005-0000-0000-0000320A0000}"/>
    <cellStyle name="40% - Énfasis2 3 8 2 2" xfId="1880" xr:uid="{00000000-0005-0000-0000-0000330A0000}"/>
    <cellStyle name="40% - Énfasis2 3 8 3" xfId="2123" xr:uid="{00000000-0005-0000-0000-0000340A0000}"/>
    <cellStyle name="40% - Énfasis2 3 9" xfId="2293" xr:uid="{00000000-0005-0000-0000-0000350A0000}"/>
    <cellStyle name="40% - Énfasis2 3 9 2" xfId="2317" xr:uid="{00000000-0005-0000-0000-0000360A0000}"/>
    <cellStyle name="40% - Énfasis2 3 9 2 2" xfId="2361" xr:uid="{00000000-0005-0000-0000-0000370A0000}"/>
    <cellStyle name="40% - Énfasis2 3 9 3" xfId="2663" xr:uid="{00000000-0005-0000-0000-0000380A0000}"/>
    <cellStyle name="40% - Énfasis2 4" xfId="10614" xr:uid="{00000000-0005-0000-0000-0000390A0000}"/>
    <cellStyle name="40% - Énfasis2 4 2" xfId="10616" xr:uid="{00000000-0005-0000-0000-00003A0A0000}"/>
    <cellStyle name="40% - Énfasis2 4 2 2" xfId="10617" xr:uid="{00000000-0005-0000-0000-00003B0A0000}"/>
    <cellStyle name="40% - Énfasis2 4 2 2 2" xfId="10618" xr:uid="{00000000-0005-0000-0000-00003C0A0000}"/>
    <cellStyle name="40% - Énfasis2 4 2 2 2 2" xfId="10619" xr:uid="{00000000-0005-0000-0000-00003D0A0000}"/>
    <cellStyle name="40% - Énfasis2 4 2 2 3" xfId="1197" xr:uid="{00000000-0005-0000-0000-00003E0A0000}"/>
    <cellStyle name="40% - Énfasis2 4 2 2 4" xfId="1229" xr:uid="{00000000-0005-0000-0000-00003F0A0000}"/>
    <cellStyle name="40% - Énfasis2 4 2 3" xfId="7234" xr:uid="{00000000-0005-0000-0000-0000400A0000}"/>
    <cellStyle name="40% - Énfasis2 4 2 3 2" xfId="10620" xr:uid="{00000000-0005-0000-0000-0000410A0000}"/>
    <cellStyle name="40% - Énfasis2 4 2 4" xfId="10627" xr:uid="{00000000-0005-0000-0000-0000420A0000}"/>
    <cellStyle name="40% - Énfasis2 4 2 4 2" xfId="10630" xr:uid="{00000000-0005-0000-0000-0000430A0000}"/>
    <cellStyle name="40% - Énfasis2 4 2 5" xfId="10633" xr:uid="{00000000-0005-0000-0000-0000440A0000}"/>
    <cellStyle name="40% - Énfasis2 4 2 6" xfId="10639" xr:uid="{00000000-0005-0000-0000-0000450A0000}"/>
    <cellStyle name="40% - Énfasis2 4 3" xfId="9390" xr:uid="{00000000-0005-0000-0000-0000460A0000}"/>
    <cellStyle name="40% - Énfasis2 4 3 2" xfId="10640" xr:uid="{00000000-0005-0000-0000-0000470A0000}"/>
    <cellStyle name="40% - Énfasis2 4 3 2 2" xfId="10641" xr:uid="{00000000-0005-0000-0000-0000480A0000}"/>
    <cellStyle name="40% - Énfasis2 4 3 3" xfId="10643" xr:uid="{00000000-0005-0000-0000-0000490A0000}"/>
    <cellStyle name="40% - Énfasis2 4 3 4" xfId="10646" xr:uid="{00000000-0005-0000-0000-00004A0A0000}"/>
    <cellStyle name="40% - Énfasis2 4 4" xfId="10648" xr:uid="{00000000-0005-0000-0000-00004B0A0000}"/>
    <cellStyle name="40% - Énfasis2 4 4 2" xfId="10651" xr:uid="{00000000-0005-0000-0000-00004C0A0000}"/>
    <cellStyle name="40% - Énfasis2 4 4 2 2" xfId="6531" xr:uid="{00000000-0005-0000-0000-00004D0A0000}"/>
    <cellStyle name="40% - Énfasis2 4 4 3" xfId="10653" xr:uid="{00000000-0005-0000-0000-00004E0A0000}"/>
    <cellStyle name="40% - Énfasis2 4 5" xfId="7361" xr:uid="{00000000-0005-0000-0000-00004F0A0000}"/>
    <cellStyle name="40% - Énfasis2 4 5 2" xfId="10654" xr:uid="{00000000-0005-0000-0000-0000500A0000}"/>
    <cellStyle name="40% - Énfasis2 4 6" xfId="10656" xr:uid="{00000000-0005-0000-0000-0000510A0000}"/>
    <cellStyle name="40% - Énfasis2 4 6 2" xfId="10660" xr:uid="{00000000-0005-0000-0000-0000520A0000}"/>
    <cellStyle name="40% - Énfasis2 4 7" xfId="124" xr:uid="{00000000-0005-0000-0000-0000530A0000}"/>
    <cellStyle name="40% - Énfasis2 4 8" xfId="212" xr:uid="{00000000-0005-0000-0000-0000540A0000}"/>
    <cellStyle name="40% - Énfasis2 5" xfId="9071" xr:uid="{00000000-0005-0000-0000-0000550A0000}"/>
    <cellStyle name="40% - Énfasis2 5 2" xfId="10662" xr:uid="{00000000-0005-0000-0000-0000560A0000}"/>
    <cellStyle name="40% - Énfasis2 5 2 2" xfId="10663" xr:uid="{00000000-0005-0000-0000-0000570A0000}"/>
    <cellStyle name="40% - Énfasis2 5 2 2 2" xfId="3371" xr:uid="{00000000-0005-0000-0000-0000580A0000}"/>
    <cellStyle name="40% - Énfasis2 5 2 3" xfId="3406" xr:uid="{00000000-0005-0000-0000-0000590A0000}"/>
    <cellStyle name="40% - Énfasis2 5 2 4" xfId="10671" xr:uid="{00000000-0005-0000-0000-00005A0A0000}"/>
    <cellStyle name="40% - Énfasis2 5 3" xfId="10674" xr:uid="{00000000-0005-0000-0000-00005B0A0000}"/>
    <cellStyle name="40% - Énfasis2 5 3 2" xfId="10675" xr:uid="{00000000-0005-0000-0000-00005C0A0000}"/>
    <cellStyle name="40% - Énfasis2 5 3 2 2" xfId="10676" xr:uid="{00000000-0005-0000-0000-00005D0A0000}"/>
    <cellStyle name="40% - Énfasis2 5 3 3" xfId="10678" xr:uid="{00000000-0005-0000-0000-00005E0A0000}"/>
    <cellStyle name="40% - Énfasis2 5 4" xfId="10680" xr:uid="{00000000-0005-0000-0000-00005F0A0000}"/>
    <cellStyle name="40% - Énfasis2 5 4 2" xfId="10683" xr:uid="{00000000-0005-0000-0000-0000600A0000}"/>
    <cellStyle name="40% - Énfasis2 5 5" xfId="10687" xr:uid="{00000000-0005-0000-0000-0000610A0000}"/>
    <cellStyle name="40% - Énfasis2 5 5 2" xfId="10688" xr:uid="{00000000-0005-0000-0000-0000620A0000}"/>
    <cellStyle name="40% - Énfasis2 5 6" xfId="10690" xr:uid="{00000000-0005-0000-0000-0000630A0000}"/>
    <cellStyle name="40% - Énfasis2 5 7" xfId="2432" xr:uid="{00000000-0005-0000-0000-0000640A0000}"/>
    <cellStyle name="40% - Énfasis2 6" xfId="6232" xr:uid="{00000000-0005-0000-0000-0000650A0000}"/>
    <cellStyle name="40% - Énfasis2 6 2" xfId="10691" xr:uid="{00000000-0005-0000-0000-0000660A0000}"/>
    <cellStyle name="40% - Énfasis2 6 2 2" xfId="10701" xr:uid="{00000000-0005-0000-0000-0000670A0000}"/>
    <cellStyle name="40% - Énfasis2 6 2 2 2" xfId="10706" xr:uid="{00000000-0005-0000-0000-0000680A0000}"/>
    <cellStyle name="40% - Énfasis2 6 2 3" xfId="10716" xr:uid="{00000000-0005-0000-0000-0000690A0000}"/>
    <cellStyle name="40% - Énfasis2 6 2 4" xfId="10721" xr:uid="{00000000-0005-0000-0000-00006A0A0000}"/>
    <cellStyle name="40% - Énfasis2 6 3" xfId="5684" xr:uid="{00000000-0005-0000-0000-00006B0A0000}"/>
    <cellStyle name="40% - Énfasis2 6 3 2" xfId="933" xr:uid="{00000000-0005-0000-0000-00006C0A0000}"/>
    <cellStyle name="40% - Énfasis2 6 4" xfId="5698" xr:uid="{00000000-0005-0000-0000-00006D0A0000}"/>
    <cellStyle name="40% - Énfasis2 6 4 2" xfId="1007" xr:uid="{00000000-0005-0000-0000-00006E0A0000}"/>
    <cellStyle name="40% - Énfasis2 6 5" xfId="5720" xr:uid="{00000000-0005-0000-0000-00006F0A0000}"/>
    <cellStyle name="40% - Énfasis2 6 6" xfId="5739" xr:uid="{00000000-0005-0000-0000-0000700A0000}"/>
    <cellStyle name="40% - Énfasis2 7" xfId="10725" xr:uid="{00000000-0005-0000-0000-0000710A0000}"/>
    <cellStyle name="40% - Énfasis2 7 2" xfId="10728" xr:uid="{00000000-0005-0000-0000-0000720A0000}"/>
    <cellStyle name="40% - Énfasis2 7 2 2" xfId="10730" xr:uid="{00000000-0005-0000-0000-0000730A0000}"/>
    <cellStyle name="40% - Énfasis2 7 3" xfId="5848" xr:uid="{00000000-0005-0000-0000-0000740A0000}"/>
    <cellStyle name="40% - Énfasis2 8" xfId="9495" xr:uid="{00000000-0005-0000-0000-0000750A0000}"/>
    <cellStyle name="40% - Énfasis2 8 2" xfId="10733" xr:uid="{00000000-0005-0000-0000-0000760A0000}"/>
    <cellStyle name="40% - Énfasis2 9" xfId="10737" xr:uid="{00000000-0005-0000-0000-0000770A0000}"/>
    <cellStyle name="40% - Énfasis2 9 2" xfId="10740" xr:uid="{00000000-0005-0000-0000-0000780A0000}"/>
    <cellStyle name="40% - Énfasis3 2" xfId="10744" xr:uid="{00000000-0005-0000-0000-0000790A0000}"/>
    <cellStyle name="40% - Énfasis3 2 2" xfId="10747" xr:uid="{00000000-0005-0000-0000-00007A0A0000}"/>
    <cellStyle name="40% - Énfasis3 3" xfId="10751" xr:uid="{00000000-0005-0000-0000-00007B0A0000}"/>
    <cellStyle name="40% - Énfasis3 3 10" xfId="5006" xr:uid="{00000000-0005-0000-0000-00007C0A0000}"/>
    <cellStyle name="40% - Énfasis3 3 10 2" xfId="10757" xr:uid="{00000000-0005-0000-0000-00007D0A0000}"/>
    <cellStyle name="40% - Énfasis3 3 11" xfId="5540" xr:uid="{00000000-0005-0000-0000-00007E0A0000}"/>
    <cellStyle name="40% - Énfasis3 3 11 2" xfId="8843" xr:uid="{00000000-0005-0000-0000-00007F0A0000}"/>
    <cellStyle name="40% - Énfasis3 3 12" xfId="10761" xr:uid="{00000000-0005-0000-0000-0000800A0000}"/>
    <cellStyle name="40% - Énfasis3 3 12 2" xfId="8873" xr:uid="{00000000-0005-0000-0000-0000810A0000}"/>
    <cellStyle name="40% - Énfasis3 3 13" xfId="9151" xr:uid="{00000000-0005-0000-0000-0000820A0000}"/>
    <cellStyle name="40% - Énfasis3 3 14" xfId="9691" xr:uid="{00000000-0005-0000-0000-0000830A0000}"/>
    <cellStyle name="40% - Énfasis3 3 2" xfId="10763" xr:uid="{00000000-0005-0000-0000-0000840A0000}"/>
    <cellStyle name="40% - Énfasis3 3 2 10" xfId="10764" xr:uid="{00000000-0005-0000-0000-0000850A0000}"/>
    <cellStyle name="40% - Énfasis3 3 2 2" xfId="1301" xr:uid="{00000000-0005-0000-0000-0000860A0000}"/>
    <cellStyle name="40% - Énfasis3 3 2 2 2" xfId="10767" xr:uid="{00000000-0005-0000-0000-0000870A0000}"/>
    <cellStyle name="40% - Énfasis3 3 2 2 2 2" xfId="10484" xr:uid="{00000000-0005-0000-0000-0000880A0000}"/>
    <cellStyle name="40% - Énfasis3 3 2 2 2 2 2" xfId="10489" xr:uid="{00000000-0005-0000-0000-0000890A0000}"/>
    <cellStyle name="40% - Énfasis3 3 2 2 2 2 2 2" xfId="10494" xr:uid="{00000000-0005-0000-0000-00008A0A0000}"/>
    <cellStyle name="40% - Énfasis3 3 2 2 2 2 2 2 2" xfId="4637" xr:uid="{00000000-0005-0000-0000-00008B0A0000}"/>
    <cellStyle name="40% - Énfasis3 3 2 2 2 2 2 3" xfId="10775" xr:uid="{00000000-0005-0000-0000-00008C0A0000}"/>
    <cellStyle name="40% - Énfasis3 3 2 2 2 2 3" xfId="10502" xr:uid="{00000000-0005-0000-0000-00008D0A0000}"/>
    <cellStyle name="40% - Énfasis3 3 2 2 2 2 3 2" xfId="10781" xr:uid="{00000000-0005-0000-0000-00008E0A0000}"/>
    <cellStyle name="40% - Énfasis3 3 2 2 2 2 4" xfId="8401" xr:uid="{00000000-0005-0000-0000-00008F0A0000}"/>
    <cellStyle name="40% - Énfasis3 3 2 2 2 3" xfId="10505" xr:uid="{00000000-0005-0000-0000-0000900A0000}"/>
    <cellStyle name="40% - Énfasis3 3 2 2 2 3 2" xfId="7412" xr:uid="{00000000-0005-0000-0000-0000910A0000}"/>
    <cellStyle name="40% - Énfasis3 3 2 2 2 3 2 2" xfId="10514" xr:uid="{00000000-0005-0000-0000-0000920A0000}"/>
    <cellStyle name="40% - Énfasis3 3 2 2 2 3 3" xfId="10521" xr:uid="{00000000-0005-0000-0000-0000930A0000}"/>
    <cellStyle name="40% - Énfasis3 3 2 2 2 4" xfId="10529" xr:uid="{00000000-0005-0000-0000-0000940A0000}"/>
    <cellStyle name="40% - Énfasis3 3 2 2 2 4 2" xfId="10534" xr:uid="{00000000-0005-0000-0000-0000950A0000}"/>
    <cellStyle name="40% - Énfasis3 3 2 2 2 4 2 2" xfId="10788" xr:uid="{00000000-0005-0000-0000-0000960A0000}"/>
    <cellStyle name="40% - Énfasis3 3 2 2 2 4 3" xfId="10792" xr:uid="{00000000-0005-0000-0000-0000970A0000}"/>
    <cellStyle name="40% - Énfasis3 3 2 2 2 5" xfId="10538" xr:uid="{00000000-0005-0000-0000-0000980A0000}"/>
    <cellStyle name="40% - Énfasis3 3 2 2 2 5 2" xfId="10545" xr:uid="{00000000-0005-0000-0000-0000990A0000}"/>
    <cellStyle name="40% - Énfasis3 3 2 2 2 6" xfId="10094" xr:uid="{00000000-0005-0000-0000-00009A0A0000}"/>
    <cellStyle name="40% - Énfasis3 3 2 2 2 6 2" xfId="10106" xr:uid="{00000000-0005-0000-0000-00009B0A0000}"/>
    <cellStyle name="40% - Énfasis3 3 2 2 2 7" xfId="10111" xr:uid="{00000000-0005-0000-0000-00009C0A0000}"/>
    <cellStyle name="40% - Énfasis3 3 2 2 3" xfId="10799" xr:uid="{00000000-0005-0000-0000-00009D0A0000}"/>
    <cellStyle name="40% - Énfasis3 3 2 2 3 2" xfId="10568" xr:uid="{00000000-0005-0000-0000-00009E0A0000}"/>
    <cellStyle name="40% - Énfasis3 3 2 2 3 2 2" xfId="10574" xr:uid="{00000000-0005-0000-0000-00009F0A0000}"/>
    <cellStyle name="40% - Énfasis3 3 2 2 3 2 2 2" xfId="10579" xr:uid="{00000000-0005-0000-0000-0000A00A0000}"/>
    <cellStyle name="40% - Énfasis3 3 2 2 3 2 3" xfId="10587" xr:uid="{00000000-0005-0000-0000-0000A10A0000}"/>
    <cellStyle name="40% - Énfasis3 3 2 2 3 3" xfId="10590" xr:uid="{00000000-0005-0000-0000-0000A20A0000}"/>
    <cellStyle name="40% - Énfasis3 3 2 2 3 3 2" xfId="10596" xr:uid="{00000000-0005-0000-0000-0000A30A0000}"/>
    <cellStyle name="40% - Énfasis3 3 2 2 3 4" xfId="10600" xr:uid="{00000000-0005-0000-0000-0000A40A0000}"/>
    <cellStyle name="40% - Énfasis3 3 2 2 4" xfId="10802" xr:uid="{00000000-0005-0000-0000-0000A50A0000}"/>
    <cellStyle name="40% - Énfasis3 3 2 2 4 2" xfId="309" xr:uid="{00000000-0005-0000-0000-0000A60A0000}"/>
    <cellStyle name="40% - Énfasis3 3 2 2 4 2 2" xfId="1730" xr:uid="{00000000-0005-0000-0000-0000A70A0000}"/>
    <cellStyle name="40% - Énfasis3 3 2 2 4 3" xfId="71" xr:uid="{00000000-0005-0000-0000-0000A80A0000}"/>
    <cellStyle name="40% - Énfasis3 3 2 2 5" xfId="10811" xr:uid="{00000000-0005-0000-0000-0000A90A0000}"/>
    <cellStyle name="40% - Énfasis3 3 2 2 5 2" xfId="2214" xr:uid="{00000000-0005-0000-0000-0000AA0A0000}"/>
    <cellStyle name="40% - Énfasis3 3 2 2 5 2 2" xfId="496" xr:uid="{00000000-0005-0000-0000-0000AB0A0000}"/>
    <cellStyle name="40% - Énfasis3 3 2 2 5 3" xfId="2256" xr:uid="{00000000-0005-0000-0000-0000AC0A0000}"/>
    <cellStyle name="40% - Énfasis3 3 2 2 6" xfId="10820" xr:uid="{00000000-0005-0000-0000-0000AD0A0000}"/>
    <cellStyle name="40% - Énfasis3 3 2 2 6 2" xfId="2799" xr:uid="{00000000-0005-0000-0000-0000AE0A0000}"/>
    <cellStyle name="40% - Énfasis3 3 2 2 7" xfId="10830" xr:uid="{00000000-0005-0000-0000-0000AF0A0000}"/>
    <cellStyle name="40% - Énfasis3 3 2 2 7 2" xfId="3128" xr:uid="{00000000-0005-0000-0000-0000B00A0000}"/>
    <cellStyle name="40% - Énfasis3 3 2 2 8" xfId="10835" xr:uid="{00000000-0005-0000-0000-0000B10A0000}"/>
    <cellStyle name="40% - Énfasis3 3 2 2 9" xfId="8945" xr:uid="{00000000-0005-0000-0000-0000B20A0000}"/>
    <cellStyle name="40% - Énfasis3 3 2 3" xfId="1370" xr:uid="{00000000-0005-0000-0000-0000B30A0000}"/>
    <cellStyle name="40% - Énfasis3 3 2 3 2" xfId="1383" xr:uid="{00000000-0005-0000-0000-0000B40A0000}"/>
    <cellStyle name="40% - Énfasis3 3 2 3 2 2" xfId="1411" xr:uid="{00000000-0005-0000-0000-0000B50A0000}"/>
    <cellStyle name="40% - Énfasis3 3 2 3 2 2 2" xfId="10843" xr:uid="{00000000-0005-0000-0000-0000B60A0000}"/>
    <cellStyle name="40% - Énfasis3 3 2 3 2 2 2 2" xfId="10845" xr:uid="{00000000-0005-0000-0000-0000B70A0000}"/>
    <cellStyle name="40% - Énfasis3 3 2 3 2 2 3" xfId="10856" xr:uid="{00000000-0005-0000-0000-0000B80A0000}"/>
    <cellStyle name="40% - Énfasis3 3 2 3 2 3" xfId="10859" xr:uid="{00000000-0005-0000-0000-0000B90A0000}"/>
    <cellStyle name="40% - Énfasis3 3 2 3 2 3 2" xfId="10862" xr:uid="{00000000-0005-0000-0000-0000BA0A0000}"/>
    <cellStyle name="40% - Énfasis3 3 2 3 2 4" xfId="10866" xr:uid="{00000000-0005-0000-0000-0000BB0A0000}"/>
    <cellStyle name="40% - Énfasis3 3 2 3 3" xfId="1457" xr:uid="{00000000-0005-0000-0000-0000BC0A0000}"/>
    <cellStyle name="40% - Énfasis3 3 2 3 3 2" xfId="10874" xr:uid="{00000000-0005-0000-0000-0000BD0A0000}"/>
    <cellStyle name="40% - Énfasis3 3 2 3 3 2 2" xfId="10876" xr:uid="{00000000-0005-0000-0000-0000BE0A0000}"/>
    <cellStyle name="40% - Énfasis3 3 2 3 3 3" xfId="10889" xr:uid="{00000000-0005-0000-0000-0000BF0A0000}"/>
    <cellStyle name="40% - Énfasis3 3 2 3 4" xfId="10893" xr:uid="{00000000-0005-0000-0000-0000C00A0000}"/>
    <cellStyle name="40% - Énfasis3 3 2 3 4 2" xfId="3655" xr:uid="{00000000-0005-0000-0000-0000C10A0000}"/>
    <cellStyle name="40% - Énfasis3 3 2 3 4 2 2" xfId="3664" xr:uid="{00000000-0005-0000-0000-0000C20A0000}"/>
    <cellStyle name="40% - Énfasis3 3 2 3 4 3" xfId="3672" xr:uid="{00000000-0005-0000-0000-0000C30A0000}"/>
    <cellStyle name="40% - Énfasis3 3 2 3 5" xfId="10901" xr:uid="{00000000-0005-0000-0000-0000C40A0000}"/>
    <cellStyle name="40% - Énfasis3 3 2 3 5 2" xfId="1290" xr:uid="{00000000-0005-0000-0000-0000C50A0000}"/>
    <cellStyle name="40% - Énfasis3 3 2 3 6" xfId="10904" xr:uid="{00000000-0005-0000-0000-0000C60A0000}"/>
    <cellStyle name="40% - Énfasis3 3 2 3 6 2" xfId="10911" xr:uid="{00000000-0005-0000-0000-0000C70A0000}"/>
    <cellStyle name="40% - Énfasis3 3 2 3 7" xfId="10396" xr:uid="{00000000-0005-0000-0000-0000C80A0000}"/>
    <cellStyle name="40% - Énfasis3 3 2 4" xfId="10918" xr:uid="{00000000-0005-0000-0000-0000C90A0000}"/>
    <cellStyle name="40% - Énfasis3 3 2 4 2" xfId="29" xr:uid="{00000000-0005-0000-0000-0000CA0A0000}"/>
    <cellStyle name="40% - Énfasis3 3 2 4 2 2" xfId="10922" xr:uid="{00000000-0005-0000-0000-0000CB0A0000}"/>
    <cellStyle name="40% - Énfasis3 3 2 4 2 2 2" xfId="10924" xr:uid="{00000000-0005-0000-0000-0000CC0A0000}"/>
    <cellStyle name="40% - Énfasis3 3 2 4 2 3" xfId="10926" xr:uid="{00000000-0005-0000-0000-0000CD0A0000}"/>
    <cellStyle name="40% - Énfasis3 3 2 4 3" xfId="10933" xr:uid="{00000000-0005-0000-0000-0000CE0A0000}"/>
    <cellStyle name="40% - Énfasis3 3 2 4 3 2" xfId="10936" xr:uid="{00000000-0005-0000-0000-0000CF0A0000}"/>
    <cellStyle name="40% - Énfasis3 3 2 4 4" xfId="10939" xr:uid="{00000000-0005-0000-0000-0000D00A0000}"/>
    <cellStyle name="40% - Énfasis3 3 2 5" xfId="10947" xr:uid="{00000000-0005-0000-0000-0000D10A0000}"/>
    <cellStyle name="40% - Énfasis3 3 2 5 2" xfId="1478" xr:uid="{00000000-0005-0000-0000-0000D20A0000}"/>
    <cellStyle name="40% - Énfasis3 3 2 5 2 2" xfId="7936" xr:uid="{00000000-0005-0000-0000-0000D30A0000}"/>
    <cellStyle name="40% - Énfasis3 3 2 5 3" xfId="7948" xr:uid="{00000000-0005-0000-0000-0000D40A0000}"/>
    <cellStyle name="40% - Énfasis3 3 2 6" xfId="10951" xr:uid="{00000000-0005-0000-0000-0000D50A0000}"/>
    <cellStyle name="40% - Énfasis3 3 2 6 2" xfId="7997" xr:uid="{00000000-0005-0000-0000-0000D60A0000}"/>
    <cellStyle name="40% - Énfasis3 3 2 6 2 2" xfId="10953" xr:uid="{00000000-0005-0000-0000-0000D70A0000}"/>
    <cellStyle name="40% - Énfasis3 3 2 6 3" xfId="10954" xr:uid="{00000000-0005-0000-0000-0000D80A0000}"/>
    <cellStyle name="40% - Énfasis3 3 2 7" xfId="10960" xr:uid="{00000000-0005-0000-0000-0000D90A0000}"/>
    <cellStyle name="40% - Énfasis3 3 2 7 2" xfId="10963" xr:uid="{00000000-0005-0000-0000-0000DA0A0000}"/>
    <cellStyle name="40% - Énfasis3 3 2 8" xfId="10971" xr:uid="{00000000-0005-0000-0000-0000DB0A0000}"/>
    <cellStyle name="40% - Énfasis3 3 2 8 2" xfId="10972" xr:uid="{00000000-0005-0000-0000-0000DC0A0000}"/>
    <cellStyle name="40% - Énfasis3 3 2 9" xfId="4021" xr:uid="{00000000-0005-0000-0000-0000DD0A0000}"/>
    <cellStyle name="40% - Énfasis3 3 3" xfId="10973" xr:uid="{00000000-0005-0000-0000-0000DE0A0000}"/>
    <cellStyle name="40% - Énfasis3 3 3 2" xfId="10976" xr:uid="{00000000-0005-0000-0000-0000DF0A0000}"/>
    <cellStyle name="40% - Énfasis3 3 3 2 2" xfId="10981" xr:uid="{00000000-0005-0000-0000-0000E00A0000}"/>
    <cellStyle name="40% - Énfasis3 3 3 2 2 2" xfId="10208" xr:uid="{00000000-0005-0000-0000-0000E10A0000}"/>
    <cellStyle name="40% - Énfasis3 3 3 2 2 2 2" xfId="10217" xr:uid="{00000000-0005-0000-0000-0000E20A0000}"/>
    <cellStyle name="40% - Énfasis3 3 3 2 2 2 2 2" xfId="10221" xr:uid="{00000000-0005-0000-0000-0000E30A0000}"/>
    <cellStyle name="40% - Énfasis3 3 3 2 2 2 3" xfId="10227" xr:uid="{00000000-0005-0000-0000-0000E40A0000}"/>
    <cellStyle name="40% - Énfasis3 3 3 2 2 3" xfId="10229" xr:uid="{00000000-0005-0000-0000-0000E50A0000}"/>
    <cellStyle name="40% - Énfasis3 3 3 2 2 3 2" xfId="8268" xr:uid="{00000000-0005-0000-0000-0000E60A0000}"/>
    <cellStyle name="40% - Énfasis3 3 3 2 2 4" xfId="10239" xr:uid="{00000000-0005-0000-0000-0000E70A0000}"/>
    <cellStyle name="40% - Énfasis3 3 3 2 3" xfId="10989" xr:uid="{00000000-0005-0000-0000-0000E80A0000}"/>
    <cellStyle name="40% - Énfasis3 3 3 2 3 2" xfId="8091" xr:uid="{00000000-0005-0000-0000-0000E90A0000}"/>
    <cellStyle name="40% - Énfasis3 3 3 2 3 2 2" xfId="8094" xr:uid="{00000000-0005-0000-0000-0000EA0A0000}"/>
    <cellStyle name="40% - Énfasis3 3 3 2 3 3" xfId="8104" xr:uid="{00000000-0005-0000-0000-0000EB0A0000}"/>
    <cellStyle name="40% - Énfasis3 3 3 2 4" xfId="10992" xr:uid="{00000000-0005-0000-0000-0000EC0A0000}"/>
    <cellStyle name="40% - Énfasis3 3 3 2 4 2" xfId="4281" xr:uid="{00000000-0005-0000-0000-0000ED0A0000}"/>
    <cellStyle name="40% - Énfasis3 3 3 2 4 2 2" xfId="458" xr:uid="{00000000-0005-0000-0000-0000EE0A0000}"/>
    <cellStyle name="40% - Énfasis3 3 3 2 4 3" xfId="4287" xr:uid="{00000000-0005-0000-0000-0000EF0A0000}"/>
    <cellStyle name="40% - Énfasis3 3 3 2 5" xfId="11002" xr:uid="{00000000-0005-0000-0000-0000F00A0000}"/>
    <cellStyle name="40% - Énfasis3 3 3 2 5 2" xfId="4379" xr:uid="{00000000-0005-0000-0000-0000F10A0000}"/>
    <cellStyle name="40% - Énfasis3 3 3 2 6" xfId="11003" xr:uid="{00000000-0005-0000-0000-0000F20A0000}"/>
    <cellStyle name="40% - Énfasis3 3 3 2 6 2" xfId="4611" xr:uid="{00000000-0005-0000-0000-0000F30A0000}"/>
    <cellStyle name="40% - Énfasis3 3 3 2 7" xfId="11004" xr:uid="{00000000-0005-0000-0000-0000F40A0000}"/>
    <cellStyle name="40% - Énfasis3 3 3 3" xfId="11008" xr:uid="{00000000-0005-0000-0000-0000F50A0000}"/>
    <cellStyle name="40% - Énfasis3 3 3 3 2" xfId="1708" xr:uid="{00000000-0005-0000-0000-0000F60A0000}"/>
    <cellStyle name="40% - Énfasis3 3 3 3 2 2" xfId="10260" xr:uid="{00000000-0005-0000-0000-0000F70A0000}"/>
    <cellStyle name="40% - Énfasis3 3 3 3 2 2 2" xfId="11013" xr:uid="{00000000-0005-0000-0000-0000F80A0000}"/>
    <cellStyle name="40% - Énfasis3 3 3 3 2 3" xfId="11016" xr:uid="{00000000-0005-0000-0000-0000F90A0000}"/>
    <cellStyle name="40% - Énfasis3 3 3 3 3" xfId="11024" xr:uid="{00000000-0005-0000-0000-0000FA0A0000}"/>
    <cellStyle name="40% - Énfasis3 3 3 3 3 2" xfId="8203" xr:uid="{00000000-0005-0000-0000-0000FB0A0000}"/>
    <cellStyle name="40% - Énfasis3 3 3 3 4" xfId="11026" xr:uid="{00000000-0005-0000-0000-0000FC0A0000}"/>
    <cellStyle name="40% - Énfasis3 3 3 4" xfId="10980" xr:uid="{00000000-0005-0000-0000-0000FD0A0000}"/>
    <cellStyle name="40% - Énfasis3 3 3 4 2" xfId="10215" xr:uid="{00000000-0005-0000-0000-0000FE0A0000}"/>
    <cellStyle name="40% - Énfasis3 3 3 4 2 2" xfId="10219" xr:uid="{00000000-0005-0000-0000-0000FF0A0000}"/>
    <cellStyle name="40% - Énfasis3 3 3 4 3" xfId="10235" xr:uid="{00000000-0005-0000-0000-0000000B0000}"/>
    <cellStyle name="40% - Énfasis3 3 3 5" xfId="10986" xr:uid="{00000000-0005-0000-0000-0000010B0000}"/>
    <cellStyle name="40% - Énfasis3 3 3 5 2" xfId="8087" xr:uid="{00000000-0005-0000-0000-0000020B0000}"/>
    <cellStyle name="40% - Énfasis3 3 3 5 2 2" xfId="8097" xr:uid="{00000000-0005-0000-0000-0000030B0000}"/>
    <cellStyle name="40% - Énfasis3 3 3 5 3" xfId="8106" xr:uid="{00000000-0005-0000-0000-0000040B0000}"/>
    <cellStyle name="40% - Énfasis3 3 3 6" xfId="10991" xr:uid="{00000000-0005-0000-0000-0000050B0000}"/>
    <cellStyle name="40% - Énfasis3 3 3 6 2" xfId="4283" xr:uid="{00000000-0005-0000-0000-0000060B0000}"/>
    <cellStyle name="40% - Énfasis3 3 3 7" xfId="11000" xr:uid="{00000000-0005-0000-0000-0000070B0000}"/>
    <cellStyle name="40% - Énfasis3 3 3 7 2" xfId="4377" xr:uid="{00000000-0005-0000-0000-0000080B0000}"/>
    <cellStyle name="40% - Énfasis3 3 4" xfId="9586" xr:uid="{00000000-0005-0000-0000-0000090B0000}"/>
    <cellStyle name="40% - Énfasis3 3 4 2" xfId="11028" xr:uid="{00000000-0005-0000-0000-00000A0B0000}"/>
    <cellStyle name="40% - Énfasis3 3 4 2 2" xfId="11034" xr:uid="{00000000-0005-0000-0000-00000B0B0000}"/>
    <cellStyle name="40% - Énfasis3 3 4 2 2 2" xfId="9183" xr:uid="{00000000-0005-0000-0000-00000C0B0000}"/>
    <cellStyle name="40% - Énfasis3 3 4 2 2 2 2" xfId="9187" xr:uid="{00000000-0005-0000-0000-00000D0B0000}"/>
    <cellStyle name="40% - Énfasis3 3 4 2 2 2 2 2" xfId="11035" xr:uid="{00000000-0005-0000-0000-00000E0B0000}"/>
    <cellStyle name="40% - Énfasis3 3 4 2 2 2 3" xfId="11037" xr:uid="{00000000-0005-0000-0000-00000F0B0000}"/>
    <cellStyle name="40% - Énfasis3 3 4 2 2 3" xfId="4526" xr:uid="{00000000-0005-0000-0000-0000100B0000}"/>
    <cellStyle name="40% - Énfasis3 3 4 2 2 3 2" xfId="8855" xr:uid="{00000000-0005-0000-0000-0000110B0000}"/>
    <cellStyle name="40% - Énfasis3 3 4 2 2 4" xfId="7355" xr:uid="{00000000-0005-0000-0000-0000120B0000}"/>
    <cellStyle name="40% - Énfasis3 3 4 2 3" xfId="11045" xr:uid="{00000000-0005-0000-0000-0000130B0000}"/>
    <cellStyle name="40% - Énfasis3 3 4 2 3 2" xfId="11046" xr:uid="{00000000-0005-0000-0000-0000140B0000}"/>
    <cellStyle name="40% - Énfasis3 3 4 2 3 2 2" xfId="11048" xr:uid="{00000000-0005-0000-0000-0000150B0000}"/>
    <cellStyle name="40% - Énfasis3 3 4 2 3 3" xfId="11050" xr:uid="{00000000-0005-0000-0000-0000160B0000}"/>
    <cellStyle name="40% - Énfasis3 3 4 2 4" xfId="11053" xr:uid="{00000000-0005-0000-0000-0000170B0000}"/>
    <cellStyle name="40% - Énfasis3 3 4 2 4 2" xfId="5504" xr:uid="{00000000-0005-0000-0000-0000180B0000}"/>
    <cellStyle name="40% - Énfasis3 3 4 2 4 2 2" xfId="3530" xr:uid="{00000000-0005-0000-0000-0000190B0000}"/>
    <cellStyle name="40% - Énfasis3 3 4 2 4 3" xfId="5516" xr:uid="{00000000-0005-0000-0000-00001A0B0000}"/>
    <cellStyle name="40% - Énfasis3 3 4 2 5" xfId="11055" xr:uid="{00000000-0005-0000-0000-00001B0B0000}"/>
    <cellStyle name="40% - Énfasis3 3 4 2 5 2" xfId="5688" xr:uid="{00000000-0005-0000-0000-00001C0B0000}"/>
    <cellStyle name="40% - Énfasis3 3 4 2 6" xfId="11056" xr:uid="{00000000-0005-0000-0000-00001D0B0000}"/>
    <cellStyle name="40% - Énfasis3 3 4 2 6 2" xfId="5859" xr:uid="{00000000-0005-0000-0000-00001E0B0000}"/>
    <cellStyle name="40% - Énfasis3 3 4 2 7" xfId="11057" xr:uid="{00000000-0005-0000-0000-00001F0B0000}"/>
    <cellStyle name="40% - Énfasis3 3 4 3" xfId="3523" xr:uid="{00000000-0005-0000-0000-0000200B0000}"/>
    <cellStyle name="40% - Énfasis3 3 4 3 2" xfId="820" xr:uid="{00000000-0005-0000-0000-0000210B0000}"/>
    <cellStyle name="40% - Énfasis3 3 4 3 2 2" xfId="5466" xr:uid="{00000000-0005-0000-0000-0000220B0000}"/>
    <cellStyle name="40% - Énfasis3 3 4 3 2 2 2" xfId="1676" xr:uid="{00000000-0005-0000-0000-0000230B0000}"/>
    <cellStyle name="40% - Énfasis3 3 4 3 2 3" xfId="11058" xr:uid="{00000000-0005-0000-0000-0000240B0000}"/>
    <cellStyle name="40% - Énfasis3 3 4 3 3" xfId="11064" xr:uid="{00000000-0005-0000-0000-0000250B0000}"/>
    <cellStyle name="40% - Énfasis3 3 4 3 3 2" xfId="11066" xr:uid="{00000000-0005-0000-0000-0000260B0000}"/>
    <cellStyle name="40% - Énfasis3 3 4 3 4" xfId="11067" xr:uid="{00000000-0005-0000-0000-0000270B0000}"/>
    <cellStyle name="40% - Énfasis3 3 4 4" xfId="1711" xr:uid="{00000000-0005-0000-0000-0000280B0000}"/>
    <cellStyle name="40% - Énfasis3 3 4 4 2" xfId="10256" xr:uid="{00000000-0005-0000-0000-0000290B0000}"/>
    <cellStyle name="40% - Énfasis3 3 4 4 2 2" xfId="11012" xr:uid="{00000000-0005-0000-0000-00002A0B0000}"/>
    <cellStyle name="40% - Énfasis3 3 4 4 3" xfId="11015" xr:uid="{00000000-0005-0000-0000-00002B0B0000}"/>
    <cellStyle name="40% - Énfasis3 3 4 5" xfId="11019" xr:uid="{00000000-0005-0000-0000-00002C0B0000}"/>
    <cellStyle name="40% - Énfasis3 3 4 5 2" xfId="8202" xr:uid="{00000000-0005-0000-0000-00002D0B0000}"/>
    <cellStyle name="40% - Énfasis3 3 4 5 2 2" xfId="8205" xr:uid="{00000000-0005-0000-0000-00002E0B0000}"/>
    <cellStyle name="40% - Énfasis3 3 4 5 3" xfId="8211" xr:uid="{00000000-0005-0000-0000-00002F0B0000}"/>
    <cellStyle name="40% - Énfasis3 3 4 6" xfId="11025" xr:uid="{00000000-0005-0000-0000-0000300B0000}"/>
    <cellStyle name="40% - Énfasis3 3 4 6 2" xfId="5081" xr:uid="{00000000-0005-0000-0000-0000310B0000}"/>
    <cellStyle name="40% - Énfasis3 3 4 7" xfId="11068" xr:uid="{00000000-0005-0000-0000-0000320B0000}"/>
    <cellStyle name="40% - Énfasis3 3 4 7 2" xfId="5129" xr:uid="{00000000-0005-0000-0000-0000330B0000}"/>
    <cellStyle name="40% - Énfasis3 3 4 8" xfId="11070" xr:uid="{00000000-0005-0000-0000-0000340B0000}"/>
    <cellStyle name="40% - Énfasis3 3 4 9" xfId="11073" xr:uid="{00000000-0005-0000-0000-0000350B0000}"/>
    <cellStyle name="40% - Énfasis3 3 5" xfId="10164" xr:uid="{00000000-0005-0000-0000-0000360B0000}"/>
    <cellStyle name="40% - Énfasis3 3 5 2" xfId="10167" xr:uid="{00000000-0005-0000-0000-0000370B0000}"/>
    <cellStyle name="40% - Énfasis3 3 5 2 2" xfId="10170" xr:uid="{00000000-0005-0000-0000-0000380B0000}"/>
    <cellStyle name="40% - Énfasis3 3 5 2 2 2" xfId="10173" xr:uid="{00000000-0005-0000-0000-0000390B0000}"/>
    <cellStyle name="40% - Énfasis3 3 5 2 2 2 2" xfId="10177" xr:uid="{00000000-0005-0000-0000-00003A0B0000}"/>
    <cellStyle name="40% - Énfasis3 3 5 2 2 2 2 2" xfId="11074" xr:uid="{00000000-0005-0000-0000-00003B0B0000}"/>
    <cellStyle name="40% - Énfasis3 3 5 2 2 2 3" xfId="2159" xr:uid="{00000000-0005-0000-0000-00003C0B0000}"/>
    <cellStyle name="40% - Énfasis3 3 5 2 2 3" xfId="10183" xr:uid="{00000000-0005-0000-0000-00003D0B0000}"/>
    <cellStyle name="40% - Énfasis3 3 5 2 2 3 2" xfId="11076" xr:uid="{00000000-0005-0000-0000-00003E0B0000}"/>
    <cellStyle name="40% - Énfasis3 3 5 2 2 4" xfId="11082" xr:uid="{00000000-0005-0000-0000-00003F0B0000}"/>
    <cellStyle name="40% - Énfasis3 3 5 2 3" xfId="10189" xr:uid="{00000000-0005-0000-0000-0000400B0000}"/>
    <cellStyle name="40% - Énfasis3 3 5 2 3 2" xfId="10191" xr:uid="{00000000-0005-0000-0000-0000410B0000}"/>
    <cellStyle name="40% - Énfasis3 3 5 2 3 2 2" xfId="11085" xr:uid="{00000000-0005-0000-0000-0000420B0000}"/>
    <cellStyle name="40% - Énfasis3 3 5 2 3 3" xfId="11089" xr:uid="{00000000-0005-0000-0000-0000430B0000}"/>
    <cellStyle name="40% - Énfasis3 3 5 2 4" xfId="10195" xr:uid="{00000000-0005-0000-0000-0000440B0000}"/>
    <cellStyle name="40% - Énfasis3 3 5 2 4 2" xfId="6759" xr:uid="{00000000-0005-0000-0000-0000450B0000}"/>
    <cellStyle name="40% - Énfasis3 3 5 2 4 2 2" xfId="6048" xr:uid="{00000000-0005-0000-0000-0000460B0000}"/>
    <cellStyle name="40% - Énfasis3 3 5 2 4 3" xfId="6766" xr:uid="{00000000-0005-0000-0000-0000470B0000}"/>
    <cellStyle name="40% - Énfasis3 3 5 2 5" xfId="11091" xr:uid="{00000000-0005-0000-0000-0000480B0000}"/>
    <cellStyle name="40% - Énfasis3 3 5 2 5 2" xfId="6880" xr:uid="{00000000-0005-0000-0000-0000490B0000}"/>
    <cellStyle name="40% - Énfasis3 3 5 2 6" xfId="11092" xr:uid="{00000000-0005-0000-0000-00004A0B0000}"/>
    <cellStyle name="40% - Énfasis3 3 5 2 6 2" xfId="7102" xr:uid="{00000000-0005-0000-0000-00004B0B0000}"/>
    <cellStyle name="40% - Énfasis3 3 5 2 7" xfId="11094" xr:uid="{00000000-0005-0000-0000-00004C0B0000}"/>
    <cellStyle name="40% - Énfasis3 3 5 3" xfId="3539" xr:uid="{00000000-0005-0000-0000-00004D0B0000}"/>
    <cellStyle name="40% - Énfasis3 3 5 3 2" xfId="10199" xr:uid="{00000000-0005-0000-0000-00004E0B0000}"/>
    <cellStyle name="40% - Énfasis3 3 5 3 2 2" xfId="10202" xr:uid="{00000000-0005-0000-0000-00004F0B0000}"/>
    <cellStyle name="40% - Énfasis3 3 5 3 2 2 2" xfId="11096" xr:uid="{00000000-0005-0000-0000-0000500B0000}"/>
    <cellStyle name="40% - Énfasis3 3 5 3 2 3" xfId="11098" xr:uid="{00000000-0005-0000-0000-0000510B0000}"/>
    <cellStyle name="40% - Énfasis3 3 5 3 3" xfId="10206" xr:uid="{00000000-0005-0000-0000-0000520B0000}"/>
    <cellStyle name="40% - Énfasis3 3 5 3 3 2" xfId="11101" xr:uid="{00000000-0005-0000-0000-0000530B0000}"/>
    <cellStyle name="40% - Énfasis3 3 5 3 4" xfId="11102" xr:uid="{00000000-0005-0000-0000-0000540B0000}"/>
    <cellStyle name="40% - Énfasis3 3 5 4" xfId="10211" xr:uid="{00000000-0005-0000-0000-0000550B0000}"/>
    <cellStyle name="40% - Énfasis3 3 5 4 2" xfId="10218" xr:uid="{00000000-0005-0000-0000-0000560B0000}"/>
    <cellStyle name="40% - Énfasis3 3 5 4 2 2" xfId="10222" xr:uid="{00000000-0005-0000-0000-0000570B0000}"/>
    <cellStyle name="40% - Énfasis3 3 5 4 3" xfId="10225" xr:uid="{00000000-0005-0000-0000-0000580B0000}"/>
    <cellStyle name="40% - Énfasis3 3 5 5" xfId="10232" xr:uid="{00000000-0005-0000-0000-0000590B0000}"/>
    <cellStyle name="40% - Énfasis3 3 5 5 2" xfId="8269" xr:uid="{00000000-0005-0000-0000-00005A0B0000}"/>
    <cellStyle name="40% - Énfasis3 3 5 5 2 2" xfId="11103" xr:uid="{00000000-0005-0000-0000-00005B0B0000}"/>
    <cellStyle name="40% - Énfasis3 3 5 5 3" xfId="11107" xr:uid="{00000000-0005-0000-0000-00005C0B0000}"/>
    <cellStyle name="40% - Énfasis3 3 5 6" xfId="10240" xr:uid="{00000000-0005-0000-0000-00005D0B0000}"/>
    <cellStyle name="40% - Énfasis3 3 5 6 2" xfId="3601" xr:uid="{00000000-0005-0000-0000-00005E0B0000}"/>
    <cellStyle name="40% - Énfasis3 3 5 7" xfId="10243" xr:uid="{00000000-0005-0000-0000-00005F0B0000}"/>
    <cellStyle name="40% - Énfasis3 3 5 7 2" xfId="11114" xr:uid="{00000000-0005-0000-0000-0000600B0000}"/>
    <cellStyle name="40% - Énfasis3 3 5 8" xfId="10364" xr:uid="{00000000-0005-0000-0000-0000610B0000}"/>
    <cellStyle name="40% - Énfasis3 3 6" xfId="8029" xr:uid="{00000000-0005-0000-0000-0000620B0000}"/>
    <cellStyle name="40% - Énfasis3 3 6 2" xfId="8042" xr:uid="{00000000-0005-0000-0000-0000630B0000}"/>
    <cellStyle name="40% - Énfasis3 3 6 2 2" xfId="5401" xr:uid="{00000000-0005-0000-0000-0000640B0000}"/>
    <cellStyle name="40% - Énfasis3 3 6 2 2 2" xfId="5414" xr:uid="{00000000-0005-0000-0000-0000650B0000}"/>
    <cellStyle name="40% - Énfasis3 3 6 2 2 2 2" xfId="8045" xr:uid="{00000000-0005-0000-0000-0000660B0000}"/>
    <cellStyle name="40% - Énfasis3 3 6 2 2 3" xfId="151" xr:uid="{00000000-0005-0000-0000-0000670B0000}"/>
    <cellStyle name="40% - Énfasis3 3 6 2 3" xfId="5426" xr:uid="{00000000-0005-0000-0000-0000680B0000}"/>
    <cellStyle name="40% - Énfasis3 3 6 2 3 2" xfId="8055" xr:uid="{00000000-0005-0000-0000-0000690B0000}"/>
    <cellStyle name="40% - Énfasis3 3 6 2 4" xfId="8060" xr:uid="{00000000-0005-0000-0000-00006A0B0000}"/>
    <cellStyle name="40% - Énfasis3 3 6 3" xfId="8073" xr:uid="{00000000-0005-0000-0000-00006B0B0000}"/>
    <cellStyle name="40% - Énfasis3 3 6 3 2" xfId="8078" xr:uid="{00000000-0005-0000-0000-00006C0B0000}"/>
    <cellStyle name="40% - Énfasis3 3 6 3 2 2" xfId="8084" xr:uid="{00000000-0005-0000-0000-00006D0B0000}"/>
    <cellStyle name="40% - Énfasis3 3 6 3 3" xfId="7006" xr:uid="{00000000-0005-0000-0000-00006E0B0000}"/>
    <cellStyle name="40% - Énfasis3 3 6 4" xfId="8089" xr:uid="{00000000-0005-0000-0000-00006F0B0000}"/>
    <cellStyle name="40% - Énfasis3 3 6 4 2" xfId="8095" xr:uid="{00000000-0005-0000-0000-0000700B0000}"/>
    <cellStyle name="40% - Énfasis3 3 6 4 2 2" xfId="1833" xr:uid="{00000000-0005-0000-0000-0000710B0000}"/>
    <cellStyle name="40% - Énfasis3 3 6 4 3" xfId="8100" xr:uid="{00000000-0005-0000-0000-0000720B0000}"/>
    <cellStyle name="40% - Énfasis3 3 6 5" xfId="8105" xr:uid="{00000000-0005-0000-0000-0000730B0000}"/>
    <cellStyle name="40% - Énfasis3 3 6 5 2" xfId="8110" xr:uid="{00000000-0005-0000-0000-0000740B0000}"/>
    <cellStyle name="40% - Énfasis3 3 6 6" xfId="8119" xr:uid="{00000000-0005-0000-0000-0000750B0000}"/>
    <cellStyle name="40% - Énfasis3 3 6 6 2" xfId="4986" xr:uid="{00000000-0005-0000-0000-0000760B0000}"/>
    <cellStyle name="40% - Énfasis3 3 6 7" xfId="8128" xr:uid="{00000000-0005-0000-0000-0000770B0000}"/>
    <cellStyle name="40% - Énfasis3 3 7" xfId="3932" xr:uid="{00000000-0005-0000-0000-0000780B0000}"/>
    <cellStyle name="40% - Énfasis3 3 7 2" xfId="3946" xr:uid="{00000000-0005-0000-0000-0000790B0000}"/>
    <cellStyle name="40% - Énfasis3 3 7 2 2" xfId="3960" xr:uid="{00000000-0005-0000-0000-00007A0B0000}"/>
    <cellStyle name="40% - Énfasis3 3 7 2 2 2" xfId="2001" xr:uid="{00000000-0005-0000-0000-00007B0B0000}"/>
    <cellStyle name="40% - Énfasis3 3 7 2 3" xfId="4079" xr:uid="{00000000-0005-0000-0000-00007C0B0000}"/>
    <cellStyle name="40% - Énfasis3 3 7 3" xfId="3448" xr:uid="{00000000-0005-0000-0000-00007D0B0000}"/>
    <cellStyle name="40% - Énfasis3 3 7 3 2" xfId="4227" xr:uid="{00000000-0005-0000-0000-00007E0B0000}"/>
    <cellStyle name="40% - Énfasis3 3 7 4" xfId="4282" xr:uid="{00000000-0005-0000-0000-00007F0B0000}"/>
    <cellStyle name="40% - Énfasis3 3 8" xfId="4309" xr:uid="{00000000-0005-0000-0000-0000800B0000}"/>
    <cellStyle name="40% - Énfasis3 3 8 2" xfId="4323" xr:uid="{00000000-0005-0000-0000-0000810B0000}"/>
    <cellStyle name="40% - Énfasis3 3 8 2 2" xfId="744" xr:uid="{00000000-0005-0000-0000-0000820B0000}"/>
    <cellStyle name="40% - Énfasis3 3 8 3" xfId="4357" xr:uid="{00000000-0005-0000-0000-0000830B0000}"/>
    <cellStyle name="40% - Énfasis3 3 9" xfId="4403" xr:uid="{00000000-0005-0000-0000-0000840B0000}"/>
    <cellStyle name="40% - Énfasis3 3 9 2" xfId="4422" xr:uid="{00000000-0005-0000-0000-0000850B0000}"/>
    <cellStyle name="40% - Énfasis3 3 9 2 2" xfId="4451" xr:uid="{00000000-0005-0000-0000-0000860B0000}"/>
    <cellStyle name="40% - Énfasis3 3 9 3" xfId="4555" xr:uid="{00000000-0005-0000-0000-0000870B0000}"/>
    <cellStyle name="40% - Énfasis3 4" xfId="11117" xr:uid="{00000000-0005-0000-0000-0000880B0000}"/>
    <cellStyle name="40% - Énfasis3 4 2" xfId="11118" xr:uid="{00000000-0005-0000-0000-0000890B0000}"/>
    <cellStyle name="40% - Énfasis3 4 2 2" xfId="11119" xr:uid="{00000000-0005-0000-0000-00008A0B0000}"/>
    <cellStyle name="40% - Énfasis3 4 2 2 2" xfId="11120" xr:uid="{00000000-0005-0000-0000-00008B0B0000}"/>
    <cellStyle name="40% - Énfasis3 4 2 2 2 2" xfId="11121" xr:uid="{00000000-0005-0000-0000-00008C0B0000}"/>
    <cellStyle name="40% - Énfasis3 4 2 2 3" xfId="245" xr:uid="{00000000-0005-0000-0000-00008D0B0000}"/>
    <cellStyle name="40% - Énfasis3 4 2 2 4" xfId="7110" xr:uid="{00000000-0005-0000-0000-00008E0B0000}"/>
    <cellStyle name="40% - Énfasis3 4 2 3" xfId="11125" xr:uid="{00000000-0005-0000-0000-00008F0B0000}"/>
    <cellStyle name="40% - Énfasis3 4 2 3 2" xfId="11129" xr:uid="{00000000-0005-0000-0000-0000900B0000}"/>
    <cellStyle name="40% - Énfasis3 4 2 4" xfId="11134" xr:uid="{00000000-0005-0000-0000-0000910B0000}"/>
    <cellStyle name="40% - Énfasis3 4 2 4 2" xfId="11137" xr:uid="{00000000-0005-0000-0000-0000920B0000}"/>
    <cellStyle name="40% - Énfasis3 4 2 5" xfId="11143" xr:uid="{00000000-0005-0000-0000-0000930B0000}"/>
    <cellStyle name="40% - Énfasis3 4 2 6" xfId="11144" xr:uid="{00000000-0005-0000-0000-0000940B0000}"/>
    <cellStyle name="40% - Énfasis3 4 3" xfId="11145" xr:uid="{00000000-0005-0000-0000-0000950B0000}"/>
    <cellStyle name="40% - Énfasis3 4 3 2" xfId="11146" xr:uid="{00000000-0005-0000-0000-0000960B0000}"/>
    <cellStyle name="40% - Énfasis3 4 3 2 2" xfId="11150" xr:uid="{00000000-0005-0000-0000-0000970B0000}"/>
    <cellStyle name="40% - Énfasis3 4 3 3" xfId="11154" xr:uid="{00000000-0005-0000-0000-0000980B0000}"/>
    <cellStyle name="40% - Énfasis3 4 3 4" xfId="11032" xr:uid="{00000000-0005-0000-0000-0000990B0000}"/>
    <cellStyle name="40% - Énfasis3 4 4" xfId="11156" xr:uid="{00000000-0005-0000-0000-00009A0B0000}"/>
    <cellStyle name="40% - Énfasis3 4 4 2" xfId="11158" xr:uid="{00000000-0005-0000-0000-00009B0B0000}"/>
    <cellStyle name="40% - Énfasis3 4 4 2 2" xfId="11162" xr:uid="{00000000-0005-0000-0000-00009C0B0000}"/>
    <cellStyle name="40% - Énfasis3 4 4 3" xfId="790" xr:uid="{00000000-0005-0000-0000-00009D0B0000}"/>
    <cellStyle name="40% - Énfasis3 4 5" xfId="7198" xr:uid="{00000000-0005-0000-0000-00009E0B0000}"/>
    <cellStyle name="40% - Énfasis3 4 5 2" xfId="10244" xr:uid="{00000000-0005-0000-0000-00009F0B0000}"/>
    <cellStyle name="40% - Énfasis3 4 6" xfId="8140" xr:uid="{00000000-0005-0000-0000-0000A00B0000}"/>
    <cellStyle name="40% - Énfasis3 4 6 2" xfId="8147" xr:uid="{00000000-0005-0000-0000-0000A10B0000}"/>
    <cellStyle name="40% - Énfasis3 4 7" xfId="5029" xr:uid="{00000000-0005-0000-0000-0000A20B0000}"/>
    <cellStyle name="40% - Énfasis3 4 8" xfId="5103" xr:uid="{00000000-0005-0000-0000-0000A30B0000}"/>
    <cellStyle name="40% - Énfasis3 5" xfId="11163" xr:uid="{00000000-0005-0000-0000-0000A40B0000}"/>
    <cellStyle name="40% - Énfasis3 5 2" xfId="11164" xr:uid="{00000000-0005-0000-0000-0000A50B0000}"/>
    <cellStyle name="40% - Énfasis3 5 2 2" xfId="11165" xr:uid="{00000000-0005-0000-0000-0000A60B0000}"/>
    <cellStyle name="40% - Énfasis3 5 2 2 2" xfId="11168" xr:uid="{00000000-0005-0000-0000-0000A70B0000}"/>
    <cellStyle name="40% - Énfasis3 5 2 3" xfId="11172" xr:uid="{00000000-0005-0000-0000-0000A80B0000}"/>
    <cellStyle name="40% - Énfasis3 5 2 4" xfId="11177" xr:uid="{00000000-0005-0000-0000-0000A90B0000}"/>
    <cellStyle name="40% - Énfasis3 5 3" xfId="11179" xr:uid="{00000000-0005-0000-0000-0000AA0B0000}"/>
    <cellStyle name="40% - Énfasis3 5 3 2" xfId="10141" xr:uid="{00000000-0005-0000-0000-0000AB0B0000}"/>
    <cellStyle name="40% - Énfasis3 5 3 2 2" xfId="11181" xr:uid="{00000000-0005-0000-0000-0000AC0B0000}"/>
    <cellStyle name="40% - Énfasis3 5 3 3" xfId="10150" xr:uid="{00000000-0005-0000-0000-0000AD0B0000}"/>
    <cellStyle name="40% - Énfasis3 5 4" xfId="11183" xr:uid="{00000000-0005-0000-0000-0000AE0B0000}"/>
    <cellStyle name="40% - Énfasis3 5 4 2" xfId="717" xr:uid="{00000000-0005-0000-0000-0000AF0B0000}"/>
    <cellStyle name="40% - Énfasis3 5 5" xfId="10264" xr:uid="{00000000-0005-0000-0000-0000B00B0000}"/>
    <cellStyle name="40% - Énfasis3 5 5 2" xfId="10266" xr:uid="{00000000-0005-0000-0000-0000B10B0000}"/>
    <cellStyle name="40% - Énfasis3 5 6" xfId="8238" xr:uid="{00000000-0005-0000-0000-0000B20B0000}"/>
    <cellStyle name="40% - Énfasis3 5 7" xfId="5205" xr:uid="{00000000-0005-0000-0000-0000B30B0000}"/>
    <cellStyle name="40% - Énfasis3 6" xfId="9858" xr:uid="{00000000-0005-0000-0000-0000B40B0000}"/>
    <cellStyle name="40% - Énfasis3 6 2" xfId="460" xr:uid="{00000000-0005-0000-0000-0000B50B0000}"/>
    <cellStyle name="40% - Énfasis3 6 2 2" xfId="11188" xr:uid="{00000000-0005-0000-0000-0000B60B0000}"/>
    <cellStyle name="40% - Énfasis3 6 2 2 2" xfId="11193" xr:uid="{00000000-0005-0000-0000-0000B70B0000}"/>
    <cellStyle name="40% - Énfasis3 6 2 3" xfId="11206" xr:uid="{00000000-0005-0000-0000-0000B80B0000}"/>
    <cellStyle name="40% - Énfasis3 6 2 4" xfId="11209" xr:uid="{00000000-0005-0000-0000-0000B90B0000}"/>
    <cellStyle name="40% - Énfasis3 6 3" xfId="552" xr:uid="{00000000-0005-0000-0000-0000BA0B0000}"/>
    <cellStyle name="40% - Énfasis3 6 3 2" xfId="1616" xr:uid="{00000000-0005-0000-0000-0000BB0B0000}"/>
    <cellStyle name="40% - Énfasis3 6 4" xfId="652" xr:uid="{00000000-0005-0000-0000-0000BC0B0000}"/>
    <cellStyle name="40% - Énfasis3 6 4 2" xfId="5438" xr:uid="{00000000-0005-0000-0000-0000BD0B0000}"/>
    <cellStyle name="40% - Énfasis3 6 5" xfId="726" xr:uid="{00000000-0005-0000-0000-0000BE0B0000}"/>
    <cellStyle name="40% - Énfasis3 6 6" xfId="806" xr:uid="{00000000-0005-0000-0000-0000BF0B0000}"/>
    <cellStyle name="40% - Énfasis3 7" xfId="11211" xr:uid="{00000000-0005-0000-0000-0000C00B0000}"/>
    <cellStyle name="40% - Énfasis3 7 2" xfId="11215" xr:uid="{00000000-0005-0000-0000-0000C10B0000}"/>
    <cellStyle name="40% - Énfasis3 7 2 2" xfId="11216" xr:uid="{00000000-0005-0000-0000-0000C20B0000}"/>
    <cellStyle name="40% - Énfasis3 7 3" xfId="6839" xr:uid="{00000000-0005-0000-0000-0000C30B0000}"/>
    <cellStyle name="40% - Énfasis3 8" xfId="1904" xr:uid="{00000000-0005-0000-0000-0000C40B0000}"/>
    <cellStyle name="40% - Énfasis3 8 2" xfId="1915" xr:uid="{00000000-0005-0000-0000-0000C50B0000}"/>
    <cellStyle name="40% - Énfasis3 9" xfId="340" xr:uid="{00000000-0005-0000-0000-0000C60B0000}"/>
    <cellStyle name="40% - Énfasis3 9 2" xfId="1962" xr:uid="{00000000-0005-0000-0000-0000C70B0000}"/>
    <cellStyle name="40% - Énfasis4 2" xfId="11219" xr:uid="{00000000-0005-0000-0000-0000C80B0000}"/>
    <cellStyle name="40% - Énfasis4 2 2" xfId="11220" xr:uid="{00000000-0005-0000-0000-0000C90B0000}"/>
    <cellStyle name="40% - Énfasis4 3" xfId="11221" xr:uid="{00000000-0005-0000-0000-0000CA0B0000}"/>
    <cellStyle name="40% - Énfasis4 3 10" xfId="8170" xr:uid="{00000000-0005-0000-0000-0000CB0B0000}"/>
    <cellStyle name="40% - Énfasis4 3 10 2" xfId="11225" xr:uid="{00000000-0005-0000-0000-0000CC0B0000}"/>
    <cellStyle name="40% - Énfasis4 3 11" xfId="11229" xr:uid="{00000000-0005-0000-0000-0000CD0B0000}"/>
    <cellStyle name="40% - Énfasis4 3 11 2" xfId="4346" xr:uid="{00000000-0005-0000-0000-0000CE0B0000}"/>
    <cellStyle name="40% - Énfasis4 3 12" xfId="7628" xr:uid="{00000000-0005-0000-0000-0000CF0B0000}"/>
    <cellStyle name="40% - Énfasis4 3 12 2" xfId="11234" xr:uid="{00000000-0005-0000-0000-0000D00B0000}"/>
    <cellStyle name="40% - Énfasis4 3 13" xfId="11237" xr:uid="{00000000-0005-0000-0000-0000D10B0000}"/>
    <cellStyle name="40% - Énfasis4 3 14" xfId="11240" xr:uid="{00000000-0005-0000-0000-0000D20B0000}"/>
    <cellStyle name="40% - Énfasis4 3 2" xfId="11243" xr:uid="{00000000-0005-0000-0000-0000D30B0000}"/>
    <cellStyle name="40% - Énfasis4 3 2 10" xfId="7549" xr:uid="{00000000-0005-0000-0000-0000D40B0000}"/>
    <cellStyle name="40% - Énfasis4 3 2 2" xfId="11244" xr:uid="{00000000-0005-0000-0000-0000D50B0000}"/>
    <cellStyle name="40% - Énfasis4 3 2 2 2" xfId="11249" xr:uid="{00000000-0005-0000-0000-0000D60B0000}"/>
    <cellStyle name="40% - Énfasis4 3 2 2 2 2" xfId="9749" xr:uid="{00000000-0005-0000-0000-0000D70B0000}"/>
    <cellStyle name="40% - Énfasis4 3 2 2 2 2 2" xfId="9752" xr:uid="{00000000-0005-0000-0000-0000D80B0000}"/>
    <cellStyle name="40% - Énfasis4 3 2 2 2 2 2 2" xfId="11252" xr:uid="{00000000-0005-0000-0000-0000D90B0000}"/>
    <cellStyle name="40% - Énfasis4 3 2 2 2 2 2 2 2" xfId="11255" xr:uid="{00000000-0005-0000-0000-0000DA0B0000}"/>
    <cellStyle name="40% - Énfasis4 3 2 2 2 2 2 3" xfId="11256" xr:uid="{00000000-0005-0000-0000-0000DB0B0000}"/>
    <cellStyle name="40% - Énfasis4 3 2 2 2 2 3" xfId="11261" xr:uid="{00000000-0005-0000-0000-0000DC0B0000}"/>
    <cellStyle name="40% - Énfasis4 3 2 2 2 2 3 2" xfId="9113" xr:uid="{00000000-0005-0000-0000-0000DD0B0000}"/>
    <cellStyle name="40% - Énfasis4 3 2 2 2 2 4" xfId="11263" xr:uid="{00000000-0005-0000-0000-0000DE0B0000}"/>
    <cellStyle name="40% - Énfasis4 3 2 2 2 3" xfId="9760" xr:uid="{00000000-0005-0000-0000-0000DF0B0000}"/>
    <cellStyle name="40% - Énfasis4 3 2 2 2 3 2" xfId="9765" xr:uid="{00000000-0005-0000-0000-0000E00B0000}"/>
    <cellStyle name="40% - Énfasis4 3 2 2 2 3 2 2" xfId="11264" xr:uid="{00000000-0005-0000-0000-0000E10B0000}"/>
    <cellStyle name="40% - Énfasis4 3 2 2 2 3 3" xfId="11265" xr:uid="{00000000-0005-0000-0000-0000E20B0000}"/>
    <cellStyle name="40% - Énfasis4 3 2 2 2 4" xfId="9774" xr:uid="{00000000-0005-0000-0000-0000E30B0000}"/>
    <cellStyle name="40% - Énfasis4 3 2 2 2 4 2" xfId="11273" xr:uid="{00000000-0005-0000-0000-0000E40B0000}"/>
    <cellStyle name="40% - Énfasis4 3 2 2 2 4 2 2" xfId="10328" xr:uid="{00000000-0005-0000-0000-0000E50B0000}"/>
    <cellStyle name="40% - Énfasis4 3 2 2 2 4 3" xfId="6027" xr:uid="{00000000-0005-0000-0000-0000E60B0000}"/>
    <cellStyle name="40% - Énfasis4 3 2 2 2 5" xfId="11280" xr:uid="{00000000-0005-0000-0000-0000E70B0000}"/>
    <cellStyle name="40% - Énfasis4 3 2 2 2 5 2" xfId="11290" xr:uid="{00000000-0005-0000-0000-0000E80B0000}"/>
    <cellStyle name="40% - Énfasis4 3 2 2 2 6" xfId="11293" xr:uid="{00000000-0005-0000-0000-0000E90B0000}"/>
    <cellStyle name="40% - Énfasis4 3 2 2 2 6 2" xfId="11296" xr:uid="{00000000-0005-0000-0000-0000EA0B0000}"/>
    <cellStyle name="40% - Énfasis4 3 2 2 2 7" xfId="8597" xr:uid="{00000000-0005-0000-0000-0000EB0B0000}"/>
    <cellStyle name="40% - Énfasis4 3 2 2 3" xfId="11302" xr:uid="{00000000-0005-0000-0000-0000EC0B0000}"/>
    <cellStyle name="40% - Énfasis4 3 2 2 3 2" xfId="9838" xr:uid="{00000000-0005-0000-0000-0000ED0B0000}"/>
    <cellStyle name="40% - Énfasis4 3 2 2 3 2 2" xfId="9845" xr:uid="{00000000-0005-0000-0000-0000EE0B0000}"/>
    <cellStyle name="40% - Énfasis4 3 2 2 3 2 2 2" xfId="11306" xr:uid="{00000000-0005-0000-0000-0000EF0B0000}"/>
    <cellStyle name="40% - Énfasis4 3 2 2 3 2 3" xfId="11308" xr:uid="{00000000-0005-0000-0000-0000F00B0000}"/>
    <cellStyle name="40% - Énfasis4 3 2 2 3 3" xfId="9850" xr:uid="{00000000-0005-0000-0000-0000F10B0000}"/>
    <cellStyle name="40% - Énfasis4 3 2 2 3 3 2" xfId="11312" xr:uid="{00000000-0005-0000-0000-0000F20B0000}"/>
    <cellStyle name="40% - Énfasis4 3 2 2 3 4" xfId="9808" xr:uid="{00000000-0005-0000-0000-0000F30B0000}"/>
    <cellStyle name="40% - Énfasis4 3 2 2 4" xfId="1855" xr:uid="{00000000-0005-0000-0000-0000F40B0000}"/>
    <cellStyle name="40% - Énfasis4 3 2 2 4 2" xfId="1875" xr:uid="{00000000-0005-0000-0000-0000F50B0000}"/>
    <cellStyle name="40% - Énfasis4 3 2 2 4 2 2" xfId="1906" xr:uid="{00000000-0005-0000-0000-0000F60B0000}"/>
    <cellStyle name="40% - Énfasis4 3 2 2 4 3" xfId="1980" xr:uid="{00000000-0005-0000-0000-0000F70B0000}"/>
    <cellStyle name="40% - Énfasis4 3 2 2 5" xfId="2119" xr:uid="{00000000-0005-0000-0000-0000F80B0000}"/>
    <cellStyle name="40% - Énfasis4 3 2 2 5 2" xfId="2153" xr:uid="{00000000-0005-0000-0000-0000F90B0000}"/>
    <cellStyle name="40% - Énfasis4 3 2 2 5 2 2" xfId="2163" xr:uid="{00000000-0005-0000-0000-0000FA0B0000}"/>
    <cellStyle name="40% - Énfasis4 3 2 2 5 3" xfId="2179" xr:uid="{00000000-0005-0000-0000-0000FB0B0000}"/>
    <cellStyle name="40% - Énfasis4 3 2 2 6" xfId="2202" xr:uid="{00000000-0005-0000-0000-0000FC0B0000}"/>
    <cellStyle name="40% - Énfasis4 3 2 2 6 2" xfId="491" xr:uid="{00000000-0005-0000-0000-0000FD0B0000}"/>
    <cellStyle name="40% - Énfasis4 3 2 2 7" xfId="2252" xr:uid="{00000000-0005-0000-0000-0000FE0B0000}"/>
    <cellStyle name="40% - Énfasis4 3 2 2 7 2" xfId="2257" xr:uid="{00000000-0005-0000-0000-0000FF0B0000}"/>
    <cellStyle name="40% - Énfasis4 3 2 2 8" xfId="1186" xr:uid="{00000000-0005-0000-0000-0000000C0000}"/>
    <cellStyle name="40% - Énfasis4 3 2 2 9" xfId="1249" xr:uid="{00000000-0005-0000-0000-0000010C0000}"/>
    <cellStyle name="40% - Énfasis4 3 2 3" xfId="11315" xr:uid="{00000000-0005-0000-0000-0000020C0000}"/>
    <cellStyle name="40% - Énfasis4 3 2 3 2" xfId="2492" xr:uid="{00000000-0005-0000-0000-0000030C0000}"/>
    <cellStyle name="40% - Énfasis4 3 2 3 2 2" xfId="4909" xr:uid="{00000000-0005-0000-0000-0000040C0000}"/>
    <cellStyle name="40% - Énfasis4 3 2 3 2 2 2" xfId="11320" xr:uid="{00000000-0005-0000-0000-0000050C0000}"/>
    <cellStyle name="40% - Énfasis4 3 2 3 2 2 2 2" xfId="11325" xr:uid="{00000000-0005-0000-0000-0000060C0000}"/>
    <cellStyle name="40% - Énfasis4 3 2 3 2 2 3" xfId="8785" xr:uid="{00000000-0005-0000-0000-0000070C0000}"/>
    <cellStyle name="40% - Énfasis4 3 2 3 2 3" xfId="4439" xr:uid="{00000000-0005-0000-0000-0000080C0000}"/>
    <cellStyle name="40% - Énfasis4 3 2 3 2 3 2" xfId="4459" xr:uid="{00000000-0005-0000-0000-0000090C0000}"/>
    <cellStyle name="40% - Énfasis4 3 2 3 2 4" xfId="4563" xr:uid="{00000000-0005-0000-0000-00000A0C0000}"/>
    <cellStyle name="40% - Énfasis4 3 2 3 3" xfId="4737" xr:uid="{00000000-0005-0000-0000-00000B0C0000}"/>
    <cellStyle name="40% - Énfasis4 3 2 3 3 2" xfId="9130" xr:uid="{00000000-0005-0000-0000-00000C0C0000}"/>
    <cellStyle name="40% - Énfasis4 3 2 3 3 2 2" xfId="11326" xr:uid="{00000000-0005-0000-0000-00000D0C0000}"/>
    <cellStyle name="40% - Énfasis4 3 2 3 3 3" xfId="4682" xr:uid="{00000000-0005-0000-0000-00000E0C0000}"/>
    <cellStyle name="40% - Énfasis4 3 2 3 4" xfId="2316" xr:uid="{00000000-0005-0000-0000-00000F0C0000}"/>
    <cellStyle name="40% - Énfasis4 3 2 3 4 2" xfId="2351" xr:uid="{00000000-0005-0000-0000-0000100C0000}"/>
    <cellStyle name="40% - Énfasis4 3 2 3 4 2 2" xfId="2367" xr:uid="{00000000-0005-0000-0000-0000110C0000}"/>
    <cellStyle name="40% - Énfasis4 3 2 3 4 3" xfId="2448" xr:uid="{00000000-0005-0000-0000-0000120C0000}"/>
    <cellStyle name="40% - Énfasis4 3 2 3 5" xfId="2660" xr:uid="{00000000-0005-0000-0000-0000130C0000}"/>
    <cellStyle name="40% - Énfasis4 3 2 3 5 2" xfId="2700" xr:uid="{00000000-0005-0000-0000-0000140C0000}"/>
    <cellStyle name="40% - Énfasis4 3 2 3 6" xfId="2787" xr:uid="{00000000-0005-0000-0000-0000150C0000}"/>
    <cellStyle name="40% - Énfasis4 3 2 3 6 2" xfId="509" xr:uid="{00000000-0005-0000-0000-0000160C0000}"/>
    <cellStyle name="40% - Énfasis4 3 2 3 7" xfId="2815" xr:uid="{00000000-0005-0000-0000-0000170C0000}"/>
    <cellStyle name="40% - Énfasis4 3 2 4" xfId="11329" xr:uid="{00000000-0005-0000-0000-0000180C0000}"/>
    <cellStyle name="40% - Énfasis4 3 2 4 2" xfId="2586" xr:uid="{00000000-0005-0000-0000-0000190C0000}"/>
    <cellStyle name="40% - Énfasis4 3 2 4 2 2" xfId="11332" xr:uid="{00000000-0005-0000-0000-00001A0C0000}"/>
    <cellStyle name="40% - Énfasis4 3 2 4 2 2 2" xfId="11335" xr:uid="{00000000-0005-0000-0000-00001B0C0000}"/>
    <cellStyle name="40% - Énfasis4 3 2 4 2 3" xfId="5144" xr:uid="{00000000-0005-0000-0000-00001C0C0000}"/>
    <cellStyle name="40% - Énfasis4 3 2 4 3" xfId="11339" xr:uid="{00000000-0005-0000-0000-00001D0C0000}"/>
    <cellStyle name="40% - Énfasis4 3 2 4 3 2" xfId="11341" xr:uid="{00000000-0005-0000-0000-00001E0C0000}"/>
    <cellStyle name="40% - Énfasis4 3 2 4 4" xfId="2906" xr:uid="{00000000-0005-0000-0000-00001F0C0000}"/>
    <cellStyle name="40% - Énfasis4 3 2 5" xfId="11348" xr:uid="{00000000-0005-0000-0000-0000200C0000}"/>
    <cellStyle name="40% - Énfasis4 3 2 5 2" xfId="4923" xr:uid="{00000000-0005-0000-0000-0000210C0000}"/>
    <cellStyle name="40% - Énfasis4 3 2 5 2 2" xfId="2234" xr:uid="{00000000-0005-0000-0000-0000220C0000}"/>
    <cellStyle name="40% - Énfasis4 3 2 5 3" xfId="4752" xr:uid="{00000000-0005-0000-0000-0000230C0000}"/>
    <cellStyle name="40% - Énfasis4 3 2 6" xfId="7282" xr:uid="{00000000-0005-0000-0000-0000240C0000}"/>
    <cellStyle name="40% - Énfasis4 3 2 6 2" xfId="7291" xr:uid="{00000000-0005-0000-0000-0000250C0000}"/>
    <cellStyle name="40% - Énfasis4 3 2 6 2 2" xfId="1367" xr:uid="{00000000-0005-0000-0000-0000260C0000}"/>
    <cellStyle name="40% - Énfasis4 3 2 6 3" xfId="4773" xr:uid="{00000000-0005-0000-0000-0000270C0000}"/>
    <cellStyle name="40% - Énfasis4 3 2 7" xfId="3082" xr:uid="{00000000-0005-0000-0000-0000280C0000}"/>
    <cellStyle name="40% - Énfasis4 3 2 7 2" xfId="5315" xr:uid="{00000000-0005-0000-0000-0000290C0000}"/>
    <cellStyle name="40% - Énfasis4 3 2 8" xfId="5328" xr:uid="{00000000-0005-0000-0000-00002A0C0000}"/>
    <cellStyle name="40% - Énfasis4 3 2 8 2" xfId="11354" xr:uid="{00000000-0005-0000-0000-00002B0C0000}"/>
    <cellStyle name="40% - Énfasis4 3 2 9" xfId="11358" xr:uid="{00000000-0005-0000-0000-00002C0C0000}"/>
    <cellStyle name="40% - Énfasis4 3 3" xfId="11359" xr:uid="{00000000-0005-0000-0000-00002D0C0000}"/>
    <cellStyle name="40% - Énfasis4 3 3 2" xfId="11364" xr:uid="{00000000-0005-0000-0000-00002E0C0000}"/>
    <cellStyle name="40% - Énfasis4 3 3 2 2" xfId="11365" xr:uid="{00000000-0005-0000-0000-00002F0C0000}"/>
    <cellStyle name="40% - Énfasis4 3 3 2 2 2" xfId="10524" xr:uid="{00000000-0005-0000-0000-0000300C0000}"/>
    <cellStyle name="40% - Énfasis4 3 3 2 2 2 2" xfId="10532" xr:uid="{00000000-0005-0000-0000-0000310C0000}"/>
    <cellStyle name="40% - Énfasis4 3 3 2 2 2 2 2" xfId="10787" xr:uid="{00000000-0005-0000-0000-0000320C0000}"/>
    <cellStyle name="40% - Énfasis4 3 3 2 2 2 3" xfId="10791" xr:uid="{00000000-0005-0000-0000-0000330C0000}"/>
    <cellStyle name="40% - Énfasis4 3 3 2 2 3" xfId="10535" xr:uid="{00000000-0005-0000-0000-0000340C0000}"/>
    <cellStyle name="40% - Énfasis4 3 3 2 2 3 2" xfId="10543" xr:uid="{00000000-0005-0000-0000-0000350C0000}"/>
    <cellStyle name="40% - Énfasis4 3 3 2 2 4" xfId="10096" xr:uid="{00000000-0005-0000-0000-0000360C0000}"/>
    <cellStyle name="40% - Énfasis4 3 3 2 3" xfId="11366" xr:uid="{00000000-0005-0000-0000-0000370C0000}"/>
    <cellStyle name="40% - Énfasis4 3 3 2 3 2" xfId="10597" xr:uid="{00000000-0005-0000-0000-0000380C0000}"/>
    <cellStyle name="40% - Énfasis4 3 3 2 3 2 2" xfId="10608" xr:uid="{00000000-0005-0000-0000-0000390C0000}"/>
    <cellStyle name="40% - Énfasis4 3 3 2 3 3" xfId="10610" xr:uid="{00000000-0005-0000-0000-00003A0C0000}"/>
    <cellStyle name="40% - Énfasis4 3 3 2 4" xfId="164" xr:uid="{00000000-0005-0000-0000-00003B0C0000}"/>
    <cellStyle name="40% - Énfasis4 3 3 2 4 2" xfId="574" xr:uid="{00000000-0005-0000-0000-00003C0C0000}"/>
    <cellStyle name="40% - Énfasis4 3 3 2 4 2 2" xfId="892" xr:uid="{00000000-0005-0000-0000-00003D0C0000}"/>
    <cellStyle name="40% - Énfasis4 3 3 2 4 3" xfId="681" xr:uid="{00000000-0005-0000-0000-00003E0C0000}"/>
    <cellStyle name="40% - Énfasis4 3 3 2 5" xfId="1126" xr:uid="{00000000-0005-0000-0000-00003F0C0000}"/>
    <cellStyle name="40% - Énfasis4 3 3 2 5 2" xfId="1185" xr:uid="{00000000-0005-0000-0000-0000400C0000}"/>
    <cellStyle name="40% - Énfasis4 3 3 2 6" xfId="1285" xr:uid="{00000000-0005-0000-0000-0000410C0000}"/>
    <cellStyle name="40% - Énfasis4 3 3 2 6 2" xfId="1316" xr:uid="{00000000-0005-0000-0000-0000420C0000}"/>
    <cellStyle name="40% - Énfasis4 3 3 2 7" xfId="11367" xr:uid="{00000000-0005-0000-0000-0000430C0000}"/>
    <cellStyle name="40% - Énfasis4 3 3 3" xfId="11371" xr:uid="{00000000-0005-0000-0000-0000440C0000}"/>
    <cellStyle name="40% - Énfasis4 3 3 3 2" xfId="4955" xr:uid="{00000000-0005-0000-0000-0000450C0000}"/>
    <cellStyle name="40% - Énfasis4 3 3 3 2 2" xfId="10865" xr:uid="{00000000-0005-0000-0000-0000460C0000}"/>
    <cellStyle name="40% - Énfasis4 3 3 3 2 2 2" xfId="11372" xr:uid="{00000000-0005-0000-0000-0000470C0000}"/>
    <cellStyle name="40% - Énfasis4 3 3 3 2 3" xfId="5777" xr:uid="{00000000-0005-0000-0000-0000480C0000}"/>
    <cellStyle name="40% - Énfasis4 3 3 3 3" xfId="11376" xr:uid="{00000000-0005-0000-0000-0000490C0000}"/>
    <cellStyle name="40% - Énfasis4 3 3 3 3 2" xfId="11379" xr:uid="{00000000-0005-0000-0000-00004A0C0000}"/>
    <cellStyle name="40% - Énfasis4 3 3 3 4" xfId="1522" xr:uid="{00000000-0005-0000-0000-00004B0C0000}"/>
    <cellStyle name="40% - Énfasis4 3 3 4" xfId="11149" xr:uid="{00000000-0005-0000-0000-00004C0C0000}"/>
    <cellStyle name="40% - Énfasis4 3 3 4 2" xfId="11382" xr:uid="{00000000-0005-0000-0000-00004D0C0000}"/>
    <cellStyle name="40% - Énfasis4 3 3 4 2 2" xfId="11383" xr:uid="{00000000-0005-0000-0000-00004E0C0000}"/>
    <cellStyle name="40% - Énfasis4 3 3 4 3" xfId="11384" xr:uid="{00000000-0005-0000-0000-00004F0C0000}"/>
    <cellStyle name="40% - Énfasis4 3 3 5" xfId="2066" xr:uid="{00000000-0005-0000-0000-0000500C0000}"/>
    <cellStyle name="40% - Énfasis4 3 3 5 2" xfId="8738" xr:uid="{00000000-0005-0000-0000-0000510C0000}"/>
    <cellStyle name="40% - Énfasis4 3 3 5 2 2" xfId="8741" xr:uid="{00000000-0005-0000-0000-0000520C0000}"/>
    <cellStyle name="40% - Énfasis4 3 3 5 3" xfId="8744" xr:uid="{00000000-0005-0000-0000-0000530C0000}"/>
    <cellStyle name="40% - Énfasis4 3 3 6" xfId="7307" xr:uid="{00000000-0005-0000-0000-0000540C0000}"/>
    <cellStyle name="40% - Énfasis4 3 3 6 2" xfId="7314" xr:uid="{00000000-0005-0000-0000-0000550C0000}"/>
    <cellStyle name="40% - Énfasis4 3 3 7" xfId="5342" xr:uid="{00000000-0005-0000-0000-0000560C0000}"/>
    <cellStyle name="40% - Énfasis4 3 3 7 2" xfId="11386" xr:uid="{00000000-0005-0000-0000-0000570C0000}"/>
    <cellStyle name="40% - Énfasis4 3 4" xfId="11388" xr:uid="{00000000-0005-0000-0000-0000580C0000}"/>
    <cellStyle name="40% - Énfasis4 3 4 2" xfId="11391" xr:uid="{00000000-0005-0000-0000-0000590C0000}"/>
    <cellStyle name="40% - Énfasis4 3 4 2 2" xfId="11393" xr:uid="{00000000-0005-0000-0000-00005A0C0000}"/>
    <cellStyle name="40% - Énfasis4 3 4 2 2 2" xfId="10238" xr:uid="{00000000-0005-0000-0000-00005B0C0000}"/>
    <cellStyle name="40% - Énfasis4 3 4 2 2 2 2" xfId="3600" xr:uid="{00000000-0005-0000-0000-00005C0C0000}"/>
    <cellStyle name="40% - Énfasis4 3 4 2 2 2 2 2" xfId="3608" xr:uid="{00000000-0005-0000-0000-00005D0C0000}"/>
    <cellStyle name="40% - Énfasis4 3 4 2 2 2 3" xfId="11394" xr:uid="{00000000-0005-0000-0000-00005E0C0000}"/>
    <cellStyle name="40% - Énfasis4 3 4 2 2 3" xfId="10242" xr:uid="{00000000-0005-0000-0000-00005F0C0000}"/>
    <cellStyle name="40% - Énfasis4 3 4 2 2 3 2" xfId="11110" xr:uid="{00000000-0005-0000-0000-0000600C0000}"/>
    <cellStyle name="40% - Énfasis4 3 4 2 2 4" xfId="10368" xr:uid="{00000000-0005-0000-0000-0000610C0000}"/>
    <cellStyle name="40% - Énfasis4 3 4 2 3" xfId="11395" xr:uid="{00000000-0005-0000-0000-0000620C0000}"/>
    <cellStyle name="40% - Énfasis4 3 4 2 3 2" xfId="8118" xr:uid="{00000000-0005-0000-0000-0000630C0000}"/>
    <cellStyle name="40% - Énfasis4 3 4 2 3 2 2" xfId="4984" xr:uid="{00000000-0005-0000-0000-0000640C0000}"/>
    <cellStyle name="40% - Énfasis4 3 4 2 3 3" xfId="8126" xr:uid="{00000000-0005-0000-0000-0000650C0000}"/>
    <cellStyle name="40% - Énfasis4 3 4 2 4" xfId="1866" xr:uid="{00000000-0005-0000-0000-0000660C0000}"/>
    <cellStyle name="40% - Énfasis4 3 4 2 4 2" xfId="1889" xr:uid="{00000000-0005-0000-0000-0000670C0000}"/>
    <cellStyle name="40% - Énfasis4 3 4 2 4 2 2" xfId="1908" xr:uid="{00000000-0005-0000-0000-0000680C0000}"/>
    <cellStyle name="40% - Énfasis4 3 4 2 4 3" xfId="328" xr:uid="{00000000-0005-0000-0000-0000690C0000}"/>
    <cellStyle name="40% - Énfasis4 3 4 2 5" xfId="1969" xr:uid="{00000000-0005-0000-0000-00006A0C0000}"/>
    <cellStyle name="40% - Énfasis4 3 4 2 5 2" xfId="4395" xr:uid="{00000000-0005-0000-0000-00006B0C0000}"/>
    <cellStyle name="40% - Énfasis4 3 4 2 6" xfId="11396" xr:uid="{00000000-0005-0000-0000-00006C0C0000}"/>
    <cellStyle name="40% - Énfasis4 3 4 2 6 2" xfId="2014" xr:uid="{00000000-0005-0000-0000-00006D0C0000}"/>
    <cellStyle name="40% - Énfasis4 3 4 2 7" xfId="11399" xr:uid="{00000000-0005-0000-0000-00006E0C0000}"/>
    <cellStyle name="40% - Énfasis4 3 4 3" xfId="11406" xr:uid="{00000000-0005-0000-0000-00006F0C0000}"/>
    <cellStyle name="40% - Énfasis4 3 4 3 2" xfId="11410" xr:uid="{00000000-0005-0000-0000-0000700C0000}"/>
    <cellStyle name="40% - Énfasis4 3 4 3 2 2" xfId="11412" xr:uid="{00000000-0005-0000-0000-0000710C0000}"/>
    <cellStyle name="40% - Énfasis4 3 4 3 2 2 2" xfId="6310" xr:uid="{00000000-0005-0000-0000-0000720C0000}"/>
    <cellStyle name="40% - Énfasis4 3 4 3 2 3" xfId="11414" xr:uid="{00000000-0005-0000-0000-0000730C0000}"/>
    <cellStyle name="40% - Énfasis4 3 4 3 3" xfId="11416" xr:uid="{00000000-0005-0000-0000-0000740C0000}"/>
    <cellStyle name="40% - Énfasis4 3 4 3 3 2" xfId="8225" xr:uid="{00000000-0005-0000-0000-0000750C0000}"/>
    <cellStyle name="40% - Énfasis4 3 4 3 4" xfId="2138" xr:uid="{00000000-0005-0000-0000-0000760C0000}"/>
    <cellStyle name="40% - Énfasis4 3 4 4" xfId="276" xr:uid="{00000000-0005-0000-0000-0000770C0000}"/>
    <cellStyle name="40% - Énfasis4 3 4 4 2" xfId="11417" xr:uid="{00000000-0005-0000-0000-0000780C0000}"/>
    <cellStyle name="40% - Énfasis4 3 4 4 2 2" xfId="11420" xr:uid="{00000000-0005-0000-0000-0000790C0000}"/>
    <cellStyle name="40% - Énfasis4 3 4 4 3" xfId="11421" xr:uid="{00000000-0005-0000-0000-00007A0C0000}"/>
    <cellStyle name="40% - Énfasis4 3 4 5" xfId="204" xr:uid="{00000000-0005-0000-0000-00007B0C0000}"/>
    <cellStyle name="40% - Énfasis4 3 4 5 2" xfId="8799" xr:uid="{00000000-0005-0000-0000-00007C0C0000}"/>
    <cellStyle name="40% - Énfasis4 3 4 5 2 2" xfId="8801" xr:uid="{00000000-0005-0000-0000-00007D0C0000}"/>
    <cellStyle name="40% - Énfasis4 3 4 5 3" xfId="8621" xr:uid="{00000000-0005-0000-0000-00007E0C0000}"/>
    <cellStyle name="40% - Énfasis4 3 4 6" xfId="45" xr:uid="{00000000-0005-0000-0000-00007F0C0000}"/>
    <cellStyle name="40% - Énfasis4 3 4 6 2" xfId="7328" xr:uid="{00000000-0005-0000-0000-0000800C0000}"/>
    <cellStyle name="40% - Énfasis4 3 4 7" xfId="290" xr:uid="{00000000-0005-0000-0000-0000810C0000}"/>
    <cellStyle name="40% - Énfasis4 3 4 7 2" xfId="11423" xr:uid="{00000000-0005-0000-0000-0000820C0000}"/>
    <cellStyle name="40% - Énfasis4 3 4 8" xfId="10040" xr:uid="{00000000-0005-0000-0000-0000830C0000}"/>
    <cellStyle name="40% - Énfasis4 3 4 9" xfId="10053" xr:uid="{00000000-0005-0000-0000-0000840C0000}"/>
    <cellStyle name="40% - Énfasis4 3 5" xfId="10296" xr:uid="{00000000-0005-0000-0000-0000850C0000}"/>
    <cellStyle name="40% - Énfasis4 3 5 2" xfId="9171" xr:uid="{00000000-0005-0000-0000-0000860C0000}"/>
    <cellStyle name="40% - Énfasis4 3 5 2 2" xfId="7342" xr:uid="{00000000-0005-0000-0000-0000870C0000}"/>
    <cellStyle name="40% - Énfasis4 3 5 2 2 2" xfId="7356" xr:uid="{00000000-0005-0000-0000-0000880C0000}"/>
    <cellStyle name="40% - Énfasis4 3 5 2 2 2 2" xfId="11425" xr:uid="{00000000-0005-0000-0000-0000890C0000}"/>
    <cellStyle name="40% - Énfasis4 3 5 2 2 2 2 2" xfId="11430" xr:uid="{00000000-0005-0000-0000-00008A0C0000}"/>
    <cellStyle name="40% - Énfasis4 3 5 2 2 2 3" xfId="11436" xr:uid="{00000000-0005-0000-0000-00008B0C0000}"/>
    <cellStyle name="40% - Énfasis4 3 5 2 2 3" xfId="11439" xr:uid="{00000000-0005-0000-0000-00008C0C0000}"/>
    <cellStyle name="40% - Énfasis4 3 5 2 2 3 2" xfId="11442" xr:uid="{00000000-0005-0000-0000-00008D0C0000}"/>
    <cellStyle name="40% - Énfasis4 3 5 2 2 4" xfId="10068" xr:uid="{00000000-0005-0000-0000-00008E0C0000}"/>
    <cellStyle name="40% - Énfasis4 3 5 2 3" xfId="4868" xr:uid="{00000000-0005-0000-0000-00008F0C0000}"/>
    <cellStyle name="40% - Énfasis4 3 5 2 3 2" xfId="7368" xr:uid="{00000000-0005-0000-0000-0000900C0000}"/>
    <cellStyle name="40% - Énfasis4 3 5 2 3 2 2" xfId="11445" xr:uid="{00000000-0005-0000-0000-0000910C0000}"/>
    <cellStyle name="40% - Énfasis4 3 5 2 3 3" xfId="11449" xr:uid="{00000000-0005-0000-0000-0000920C0000}"/>
    <cellStyle name="40% - Énfasis4 3 5 2 4" xfId="2332" xr:uid="{00000000-0005-0000-0000-0000930C0000}"/>
    <cellStyle name="40% - Énfasis4 3 5 2 4 2" xfId="5533" xr:uid="{00000000-0005-0000-0000-0000940C0000}"/>
    <cellStyle name="40% - Énfasis4 3 5 2 4 2 2" xfId="2373" xr:uid="{00000000-0005-0000-0000-0000950C0000}"/>
    <cellStyle name="40% - Énfasis4 3 5 2 4 3" xfId="5549" xr:uid="{00000000-0005-0000-0000-0000960C0000}"/>
    <cellStyle name="40% - Énfasis4 3 5 2 5" xfId="11450" xr:uid="{00000000-0005-0000-0000-0000970C0000}"/>
    <cellStyle name="40% - Énfasis4 3 5 2 5 2" xfId="5731" xr:uid="{00000000-0005-0000-0000-0000980C0000}"/>
    <cellStyle name="40% - Énfasis4 3 5 2 6" xfId="11455" xr:uid="{00000000-0005-0000-0000-0000990C0000}"/>
    <cellStyle name="40% - Énfasis4 3 5 2 6 2" xfId="2532" xr:uid="{00000000-0005-0000-0000-00009A0C0000}"/>
    <cellStyle name="40% - Énfasis4 3 5 2 7" xfId="11462" xr:uid="{00000000-0005-0000-0000-00009B0C0000}"/>
    <cellStyle name="40% - Énfasis4 3 5 3" xfId="9176" xr:uid="{00000000-0005-0000-0000-00009C0C0000}"/>
    <cellStyle name="40% - Énfasis4 3 5 3 2" xfId="7474" xr:uid="{00000000-0005-0000-0000-00009D0C0000}"/>
    <cellStyle name="40% - Énfasis4 3 5 3 2 2" xfId="7484" xr:uid="{00000000-0005-0000-0000-00009E0C0000}"/>
    <cellStyle name="40% - Énfasis4 3 5 3 2 2 2" xfId="11466" xr:uid="{00000000-0005-0000-0000-00009F0C0000}"/>
    <cellStyle name="40% - Énfasis4 3 5 3 2 3" xfId="11472" xr:uid="{00000000-0005-0000-0000-0000A00C0000}"/>
    <cellStyle name="40% - Énfasis4 3 5 3 3" xfId="7193" xr:uid="{00000000-0005-0000-0000-0000A10C0000}"/>
    <cellStyle name="40% - Énfasis4 3 5 3 3 2" xfId="11476" xr:uid="{00000000-0005-0000-0000-0000A20C0000}"/>
    <cellStyle name="40% - Énfasis4 3 5 3 4" xfId="2684" xr:uid="{00000000-0005-0000-0000-0000A30C0000}"/>
    <cellStyle name="40% - Énfasis4 3 5 4" xfId="9181" xr:uid="{00000000-0005-0000-0000-0000A40C0000}"/>
    <cellStyle name="40% - Énfasis4 3 5 4 2" xfId="9185" xr:uid="{00000000-0005-0000-0000-0000A50C0000}"/>
    <cellStyle name="40% - Énfasis4 3 5 4 2 2" xfId="11036" xr:uid="{00000000-0005-0000-0000-0000A60C0000}"/>
    <cellStyle name="40% - Énfasis4 3 5 4 3" xfId="11040" xr:uid="{00000000-0005-0000-0000-0000A70C0000}"/>
    <cellStyle name="40% - Énfasis4 3 5 5" xfId="4530" xr:uid="{00000000-0005-0000-0000-0000A80C0000}"/>
    <cellStyle name="40% - Énfasis4 3 5 5 2" xfId="8857" xr:uid="{00000000-0005-0000-0000-0000A90C0000}"/>
    <cellStyle name="40% - Énfasis4 3 5 5 2 2" xfId="11477" xr:uid="{00000000-0005-0000-0000-0000AA0C0000}"/>
    <cellStyle name="40% - Énfasis4 3 5 5 3" xfId="11479" xr:uid="{00000000-0005-0000-0000-0000AB0C0000}"/>
    <cellStyle name="40% - Énfasis4 3 5 6" xfId="7352" xr:uid="{00000000-0005-0000-0000-0000AC0C0000}"/>
    <cellStyle name="40% - Énfasis4 3 5 6 2" xfId="11424" xr:uid="{00000000-0005-0000-0000-0000AD0C0000}"/>
    <cellStyle name="40% - Énfasis4 3 5 7" xfId="11437" xr:uid="{00000000-0005-0000-0000-0000AE0C0000}"/>
    <cellStyle name="40% - Énfasis4 3 5 7 2" xfId="11443" xr:uid="{00000000-0005-0000-0000-0000AF0C0000}"/>
    <cellStyle name="40% - Énfasis4 3 5 8" xfId="10066" xr:uid="{00000000-0005-0000-0000-0000B00C0000}"/>
    <cellStyle name="40% - Énfasis4 3 6" xfId="8356" xr:uid="{00000000-0005-0000-0000-0000B10C0000}"/>
    <cellStyle name="40% - Énfasis4 3 6 2" xfId="8361" xr:uid="{00000000-0005-0000-0000-0000B20C0000}"/>
    <cellStyle name="40% - Énfasis4 3 6 2 2" xfId="10302" xr:uid="{00000000-0005-0000-0000-0000B30C0000}"/>
    <cellStyle name="40% - Énfasis4 3 6 2 2 2" xfId="11084" xr:uid="{00000000-0005-0000-0000-0000B40C0000}"/>
    <cellStyle name="40% - Énfasis4 3 6 2 2 2 2" xfId="11486" xr:uid="{00000000-0005-0000-0000-0000B50C0000}"/>
    <cellStyle name="40% - Énfasis4 3 6 2 2 3" xfId="11488" xr:uid="{00000000-0005-0000-0000-0000B60C0000}"/>
    <cellStyle name="40% - Énfasis4 3 6 2 3" xfId="11500" xr:uid="{00000000-0005-0000-0000-0000B70C0000}"/>
    <cellStyle name="40% - Énfasis4 3 6 2 3 2" xfId="11509" xr:uid="{00000000-0005-0000-0000-0000B80C0000}"/>
    <cellStyle name="40% - Énfasis4 3 6 2 4" xfId="11510" xr:uid="{00000000-0005-0000-0000-0000B90C0000}"/>
    <cellStyle name="40% - Énfasis4 3 6 3" xfId="10308" xr:uid="{00000000-0005-0000-0000-0000BA0C0000}"/>
    <cellStyle name="40% - Énfasis4 3 6 3 2" xfId="11512" xr:uid="{00000000-0005-0000-0000-0000BB0C0000}"/>
    <cellStyle name="40% - Énfasis4 3 6 3 2 2" xfId="11513" xr:uid="{00000000-0005-0000-0000-0000BC0C0000}"/>
    <cellStyle name="40% - Énfasis4 3 6 3 3" xfId="11517" xr:uid="{00000000-0005-0000-0000-0000BD0C0000}"/>
    <cellStyle name="40% - Énfasis4 3 6 4" xfId="11047" xr:uid="{00000000-0005-0000-0000-0000BE0C0000}"/>
    <cellStyle name="40% - Énfasis4 3 6 4 2" xfId="11049" xr:uid="{00000000-0005-0000-0000-0000BF0C0000}"/>
    <cellStyle name="40% - Énfasis4 3 6 4 2 2" xfId="11519" xr:uid="{00000000-0005-0000-0000-0000C00C0000}"/>
    <cellStyle name="40% - Énfasis4 3 6 4 3" xfId="11525" xr:uid="{00000000-0005-0000-0000-0000C10C0000}"/>
    <cellStyle name="40% - Énfasis4 3 6 5" xfId="11052" xr:uid="{00000000-0005-0000-0000-0000C20C0000}"/>
    <cellStyle name="40% - Énfasis4 3 6 5 2" xfId="11526" xr:uid="{00000000-0005-0000-0000-0000C30C0000}"/>
    <cellStyle name="40% - Énfasis4 3 6 6" xfId="7366" xr:uid="{00000000-0005-0000-0000-0000C40C0000}"/>
    <cellStyle name="40% - Énfasis4 3 6 6 2" xfId="11444" xr:uid="{00000000-0005-0000-0000-0000C50C0000}"/>
    <cellStyle name="40% - Énfasis4 3 6 7" xfId="11446" xr:uid="{00000000-0005-0000-0000-0000C60C0000}"/>
    <cellStyle name="40% - Énfasis4 3 7" xfId="5274" xr:uid="{00000000-0005-0000-0000-0000C70C0000}"/>
    <cellStyle name="40% - Énfasis4 3 7 2" xfId="5305" xr:uid="{00000000-0005-0000-0000-0000C80C0000}"/>
    <cellStyle name="40% - Énfasis4 3 7 2 2" xfId="3019" xr:uid="{00000000-0005-0000-0000-0000C90C0000}"/>
    <cellStyle name="40% - Énfasis4 3 7 2 2 2" xfId="3044" xr:uid="{00000000-0005-0000-0000-0000CA0C0000}"/>
    <cellStyle name="40% - Énfasis4 3 7 2 3" xfId="3119" xr:uid="{00000000-0005-0000-0000-0000CB0C0000}"/>
    <cellStyle name="40% - Énfasis4 3 7 3" xfId="5470" xr:uid="{00000000-0005-0000-0000-0000CC0C0000}"/>
    <cellStyle name="40% - Énfasis4 3 7 3 2" xfId="3346" xr:uid="{00000000-0005-0000-0000-0000CD0C0000}"/>
    <cellStyle name="40% - Énfasis4 3 7 4" xfId="5505" xr:uid="{00000000-0005-0000-0000-0000CE0C0000}"/>
    <cellStyle name="40% - Énfasis4 3 8" xfId="2423" xr:uid="{00000000-0005-0000-0000-0000CF0C0000}"/>
    <cellStyle name="40% - Énfasis4 3 8 2" xfId="5566" xr:uid="{00000000-0005-0000-0000-0000D00C0000}"/>
    <cellStyle name="40% - Énfasis4 3 8 2 2" xfId="5574" xr:uid="{00000000-0005-0000-0000-0000D10C0000}"/>
    <cellStyle name="40% - Énfasis4 3 8 3" xfId="5652" xr:uid="{00000000-0005-0000-0000-0000D20C0000}"/>
    <cellStyle name="40% - Énfasis4 3 9" xfId="5774" xr:uid="{00000000-0005-0000-0000-0000D30C0000}"/>
    <cellStyle name="40% - Énfasis4 3 9 2" xfId="5789" xr:uid="{00000000-0005-0000-0000-0000D40C0000}"/>
    <cellStyle name="40% - Énfasis4 3 9 2 2" xfId="593" xr:uid="{00000000-0005-0000-0000-0000D50C0000}"/>
    <cellStyle name="40% - Énfasis4 3 9 3" xfId="5828" xr:uid="{00000000-0005-0000-0000-0000D60C0000}"/>
    <cellStyle name="40% - Énfasis4 4" xfId="11540" xr:uid="{00000000-0005-0000-0000-0000D70C0000}"/>
    <cellStyle name="40% - Énfasis4 4 2" xfId="11541" xr:uid="{00000000-0005-0000-0000-0000D80C0000}"/>
    <cellStyle name="40% - Énfasis4 4 2 2" xfId="11542" xr:uid="{00000000-0005-0000-0000-0000D90C0000}"/>
    <cellStyle name="40% - Énfasis4 4 2 2 2" xfId="11543" xr:uid="{00000000-0005-0000-0000-0000DA0C0000}"/>
    <cellStyle name="40% - Énfasis4 4 2 2 2 2" xfId="11545" xr:uid="{00000000-0005-0000-0000-0000DB0C0000}"/>
    <cellStyle name="40% - Énfasis4 4 2 2 3" xfId="1086" xr:uid="{00000000-0005-0000-0000-0000DC0C0000}"/>
    <cellStyle name="40% - Énfasis4 4 2 2 4" xfId="4317" xr:uid="{00000000-0005-0000-0000-0000DD0C0000}"/>
    <cellStyle name="40% - Énfasis4 4 2 3" xfId="11548" xr:uid="{00000000-0005-0000-0000-0000DE0C0000}"/>
    <cellStyle name="40% - Énfasis4 4 2 3 2" xfId="11551" xr:uid="{00000000-0005-0000-0000-0000DF0C0000}"/>
    <cellStyle name="40% - Énfasis4 4 2 4" xfId="11555" xr:uid="{00000000-0005-0000-0000-0000E00C0000}"/>
    <cellStyle name="40% - Énfasis4 4 2 4 2" xfId="11558" xr:uid="{00000000-0005-0000-0000-0000E10C0000}"/>
    <cellStyle name="40% - Énfasis4 4 2 5" xfId="11565" xr:uid="{00000000-0005-0000-0000-0000E20C0000}"/>
    <cellStyle name="40% - Énfasis4 4 2 6" xfId="7428" xr:uid="{00000000-0005-0000-0000-0000E30C0000}"/>
    <cellStyle name="40% - Énfasis4 4 3" xfId="11566" xr:uid="{00000000-0005-0000-0000-0000E40C0000}"/>
    <cellStyle name="40% - Énfasis4 4 3 2" xfId="11567" xr:uid="{00000000-0005-0000-0000-0000E50C0000}"/>
    <cellStyle name="40% - Énfasis4 4 3 2 2" xfId="11568" xr:uid="{00000000-0005-0000-0000-0000E60C0000}"/>
    <cellStyle name="40% - Énfasis4 4 3 3" xfId="11571" xr:uid="{00000000-0005-0000-0000-0000E70C0000}"/>
    <cellStyle name="40% - Énfasis4 4 3 4" xfId="11161" xr:uid="{00000000-0005-0000-0000-0000E80C0000}"/>
    <cellStyle name="40% - Énfasis4 4 4" xfId="530" xr:uid="{00000000-0005-0000-0000-0000E90C0000}"/>
    <cellStyle name="40% - Énfasis4 4 4 2" xfId="11573" xr:uid="{00000000-0005-0000-0000-0000EA0C0000}"/>
    <cellStyle name="40% - Énfasis4 4 4 2 2" xfId="321" xr:uid="{00000000-0005-0000-0000-0000EB0C0000}"/>
    <cellStyle name="40% - Énfasis4 4 4 3" xfId="11576" xr:uid="{00000000-0005-0000-0000-0000EC0C0000}"/>
    <cellStyle name="40% - Énfasis4 4 5" xfId="10311" xr:uid="{00000000-0005-0000-0000-0000ED0C0000}"/>
    <cellStyle name="40% - Énfasis4 4 5 2" xfId="3308" xr:uid="{00000000-0005-0000-0000-0000EE0C0000}"/>
    <cellStyle name="40% - Énfasis4 4 6" xfId="8368" xr:uid="{00000000-0005-0000-0000-0000EF0C0000}"/>
    <cellStyle name="40% - Énfasis4 4 6 2" xfId="5500" xr:uid="{00000000-0005-0000-0000-0000F00C0000}"/>
    <cellStyle name="40% - Énfasis4 4 7" xfId="6242" xr:uid="{00000000-0005-0000-0000-0000F10C0000}"/>
    <cellStyle name="40% - Énfasis4 4 8" xfId="4702" xr:uid="{00000000-0005-0000-0000-0000F20C0000}"/>
    <cellStyle name="40% - Énfasis4 5" xfId="11577" xr:uid="{00000000-0005-0000-0000-0000F30C0000}"/>
    <cellStyle name="40% - Énfasis4 5 2" xfId="6300" xr:uid="{00000000-0005-0000-0000-0000F40C0000}"/>
    <cellStyle name="40% - Énfasis4 5 2 2" xfId="9211" xr:uid="{00000000-0005-0000-0000-0000F50C0000}"/>
    <cellStyle name="40% - Énfasis4 5 2 2 2" xfId="9214" xr:uid="{00000000-0005-0000-0000-0000F60C0000}"/>
    <cellStyle name="40% - Énfasis4 5 2 3" xfId="9221" xr:uid="{00000000-0005-0000-0000-0000F70C0000}"/>
    <cellStyle name="40% - Énfasis4 5 2 4" xfId="9226" xr:uid="{00000000-0005-0000-0000-0000F80C0000}"/>
    <cellStyle name="40% - Énfasis4 5 3" xfId="11578" xr:uid="{00000000-0005-0000-0000-0000F90C0000}"/>
    <cellStyle name="40% - Énfasis4 5 3 2" xfId="9269" xr:uid="{00000000-0005-0000-0000-0000FA0C0000}"/>
    <cellStyle name="40% - Énfasis4 5 3 2 2" xfId="9272" xr:uid="{00000000-0005-0000-0000-0000FB0C0000}"/>
    <cellStyle name="40% - Énfasis4 5 3 3" xfId="9276" xr:uid="{00000000-0005-0000-0000-0000FC0C0000}"/>
    <cellStyle name="40% - Énfasis4 5 4" xfId="11580" xr:uid="{00000000-0005-0000-0000-0000FD0C0000}"/>
    <cellStyle name="40% - Énfasis4 5 4 2" xfId="8541" xr:uid="{00000000-0005-0000-0000-0000FE0C0000}"/>
    <cellStyle name="40% - Énfasis4 5 5" xfId="10320" xr:uid="{00000000-0005-0000-0000-0000FF0C0000}"/>
    <cellStyle name="40% - Énfasis4 5 5 2" xfId="5647" xr:uid="{00000000-0005-0000-0000-0000000D0000}"/>
    <cellStyle name="40% - Énfasis4 5 6" xfId="8378" xr:uid="{00000000-0005-0000-0000-0000010D0000}"/>
    <cellStyle name="40% - Énfasis4 5 7" xfId="6291" xr:uid="{00000000-0005-0000-0000-0000020D0000}"/>
    <cellStyle name="40% - Énfasis4 6" xfId="11581" xr:uid="{00000000-0005-0000-0000-0000030D0000}"/>
    <cellStyle name="40% - Énfasis4 6 2" xfId="11582" xr:uid="{00000000-0005-0000-0000-0000040D0000}"/>
    <cellStyle name="40% - Énfasis4 6 2 2" xfId="9397" xr:uid="{00000000-0005-0000-0000-0000050D0000}"/>
    <cellStyle name="40% - Énfasis4 6 2 2 2" xfId="9412" xr:uid="{00000000-0005-0000-0000-0000060D0000}"/>
    <cellStyle name="40% - Énfasis4 6 2 3" xfId="9417" xr:uid="{00000000-0005-0000-0000-0000070D0000}"/>
    <cellStyle name="40% - Énfasis4 6 2 4" xfId="9429" xr:uid="{00000000-0005-0000-0000-0000080D0000}"/>
    <cellStyle name="40% - Énfasis4 6 3" xfId="6969" xr:uid="{00000000-0005-0000-0000-0000090D0000}"/>
    <cellStyle name="40% - Énfasis4 6 3 2" xfId="4043" xr:uid="{00000000-0005-0000-0000-00000A0D0000}"/>
    <cellStyle name="40% - Énfasis4 6 4" xfId="6993" xr:uid="{00000000-0005-0000-0000-00000B0D0000}"/>
    <cellStyle name="40% - Énfasis4 6 4 2" xfId="7000" xr:uid="{00000000-0005-0000-0000-00000C0D0000}"/>
    <cellStyle name="40% - Énfasis4 6 5" xfId="7025" xr:uid="{00000000-0005-0000-0000-00000D0D0000}"/>
    <cellStyle name="40% - Énfasis4 6 6" xfId="7038" xr:uid="{00000000-0005-0000-0000-00000E0D0000}"/>
    <cellStyle name="40% - Énfasis4 7" xfId="11584" xr:uid="{00000000-0005-0000-0000-00000F0D0000}"/>
    <cellStyle name="40% - Énfasis4 7 2" xfId="11589" xr:uid="{00000000-0005-0000-0000-0000100D0000}"/>
    <cellStyle name="40% - Énfasis4 7 2 2" xfId="9556" xr:uid="{00000000-0005-0000-0000-0000110D0000}"/>
    <cellStyle name="40% - Énfasis4 7 3" xfId="7048" xr:uid="{00000000-0005-0000-0000-0000120D0000}"/>
    <cellStyle name="40% - Énfasis4 8" xfId="1988" xr:uid="{00000000-0005-0000-0000-0000130D0000}"/>
    <cellStyle name="40% - Énfasis4 8 2" xfId="231" xr:uid="{00000000-0005-0000-0000-0000140D0000}"/>
    <cellStyle name="40% - Énfasis4 9" xfId="1993" xr:uid="{00000000-0005-0000-0000-0000150D0000}"/>
    <cellStyle name="40% - Énfasis4 9 2" xfId="11591" xr:uid="{00000000-0005-0000-0000-0000160D0000}"/>
    <cellStyle name="40% - Énfasis5 2" xfId="1091" xr:uid="{00000000-0005-0000-0000-0000170D0000}"/>
    <cellStyle name="40% - Énfasis5 2 2" xfId="11593" xr:uid="{00000000-0005-0000-0000-0000180D0000}"/>
    <cellStyle name="40% - Énfasis5 3" xfId="11594" xr:uid="{00000000-0005-0000-0000-0000190D0000}"/>
    <cellStyle name="40% - Énfasis5 3 10" xfId="11595" xr:uid="{00000000-0005-0000-0000-00001A0D0000}"/>
    <cellStyle name="40% - Énfasis5 3 10 2" xfId="11516" xr:uid="{00000000-0005-0000-0000-00001B0D0000}"/>
    <cellStyle name="40% - Énfasis5 3 11" xfId="11602" xr:uid="{00000000-0005-0000-0000-00001C0D0000}"/>
    <cellStyle name="40% - Énfasis5 3 11 2" xfId="11520" xr:uid="{00000000-0005-0000-0000-00001D0D0000}"/>
    <cellStyle name="40% - Énfasis5 3 12" xfId="11605" xr:uid="{00000000-0005-0000-0000-00001E0D0000}"/>
    <cellStyle name="40% - Énfasis5 3 12 2" xfId="11609" xr:uid="{00000000-0005-0000-0000-00001F0D0000}"/>
    <cellStyle name="40% - Énfasis5 3 13" xfId="11611" xr:uid="{00000000-0005-0000-0000-0000200D0000}"/>
    <cellStyle name="40% - Énfasis5 3 14" xfId="11615" xr:uid="{00000000-0005-0000-0000-0000210D0000}"/>
    <cellStyle name="40% - Énfasis5 3 2" xfId="11617" xr:uid="{00000000-0005-0000-0000-0000220D0000}"/>
    <cellStyle name="40% - Énfasis5 3 2 10" xfId="11621" xr:uid="{00000000-0005-0000-0000-0000230D0000}"/>
    <cellStyle name="40% - Énfasis5 3 2 2" xfId="541" xr:uid="{00000000-0005-0000-0000-0000240D0000}"/>
    <cellStyle name="40% - Énfasis5 3 2 2 2" xfId="1594" xr:uid="{00000000-0005-0000-0000-0000250D0000}"/>
    <cellStyle name="40% - Énfasis5 3 2 2 2 2" xfId="11625" xr:uid="{00000000-0005-0000-0000-0000260D0000}"/>
    <cellStyle name="40% - Énfasis5 3 2 2 2 2 2" xfId="4768" xr:uid="{00000000-0005-0000-0000-0000270D0000}"/>
    <cellStyle name="40% - Énfasis5 3 2 2 2 2 2 2" xfId="11007" xr:uid="{00000000-0005-0000-0000-0000280D0000}"/>
    <cellStyle name="40% - Énfasis5 3 2 2 2 2 2 2 2" xfId="1707" xr:uid="{00000000-0005-0000-0000-0000290D0000}"/>
    <cellStyle name="40% - Énfasis5 3 2 2 2 2 2 3" xfId="10979" xr:uid="{00000000-0005-0000-0000-00002A0D0000}"/>
    <cellStyle name="40% - Énfasis5 3 2 2 2 2 3" xfId="3509" xr:uid="{00000000-0005-0000-0000-00002B0D0000}"/>
    <cellStyle name="40% - Énfasis5 3 2 2 2 2 3 2" xfId="3522" xr:uid="{00000000-0005-0000-0000-00002C0D0000}"/>
    <cellStyle name="40% - Énfasis5 3 2 2 2 2 4" xfId="3534" xr:uid="{00000000-0005-0000-0000-00002D0D0000}"/>
    <cellStyle name="40% - Énfasis5 3 2 2 2 3" xfId="11627" xr:uid="{00000000-0005-0000-0000-00002E0D0000}"/>
    <cellStyle name="40% - Énfasis5 3 2 2 2 3 2" xfId="11632" xr:uid="{00000000-0005-0000-0000-00002F0D0000}"/>
    <cellStyle name="40% - Énfasis5 3 2 2 2 3 2 2" xfId="11153" xr:uid="{00000000-0005-0000-0000-0000300D0000}"/>
    <cellStyle name="40% - Énfasis5 3 2 2 2 3 3" xfId="3576" xr:uid="{00000000-0005-0000-0000-0000310D0000}"/>
    <cellStyle name="40% - Énfasis5 3 2 2 2 4" xfId="11639" xr:uid="{00000000-0005-0000-0000-0000320D0000}"/>
    <cellStyle name="40% - Énfasis5 3 2 2 2 4 2" xfId="11644" xr:uid="{00000000-0005-0000-0000-0000330D0000}"/>
    <cellStyle name="40% - Énfasis5 3 2 2 2 4 2 2" xfId="10149" xr:uid="{00000000-0005-0000-0000-0000340D0000}"/>
    <cellStyle name="40% - Énfasis5 3 2 2 2 4 3" xfId="3606" xr:uid="{00000000-0005-0000-0000-0000350D0000}"/>
    <cellStyle name="40% - Énfasis5 3 2 2 2 5" xfId="11650" xr:uid="{00000000-0005-0000-0000-0000360D0000}"/>
    <cellStyle name="40% - Énfasis5 3 2 2 2 5 2" xfId="11657" xr:uid="{00000000-0005-0000-0000-0000370D0000}"/>
    <cellStyle name="40% - Énfasis5 3 2 2 2 6" xfId="11663" xr:uid="{00000000-0005-0000-0000-0000380D0000}"/>
    <cellStyle name="40% - Énfasis5 3 2 2 2 6 2" xfId="11671" xr:uid="{00000000-0005-0000-0000-0000390D0000}"/>
    <cellStyle name="40% - Énfasis5 3 2 2 2 7" xfId="9651" xr:uid="{00000000-0005-0000-0000-00003A0D0000}"/>
    <cellStyle name="40% - Énfasis5 3 2 2 3" xfId="9721" xr:uid="{00000000-0005-0000-0000-00003B0D0000}"/>
    <cellStyle name="40% - Énfasis5 3 2 2 3 2" xfId="9727" xr:uid="{00000000-0005-0000-0000-00003C0D0000}"/>
    <cellStyle name="40% - Énfasis5 3 2 2 3 2 2" xfId="11674" xr:uid="{00000000-0005-0000-0000-00003D0D0000}"/>
    <cellStyle name="40% - Énfasis5 3 2 2 3 2 2 2" xfId="11370" xr:uid="{00000000-0005-0000-0000-00003E0D0000}"/>
    <cellStyle name="40% - Énfasis5 3 2 2 3 2 3" xfId="895" xr:uid="{00000000-0005-0000-0000-00003F0D0000}"/>
    <cellStyle name="40% - Énfasis5 3 2 2 3 3" xfId="11677" xr:uid="{00000000-0005-0000-0000-0000400D0000}"/>
    <cellStyle name="40% - Énfasis5 3 2 2 3 3 2" xfId="11680" xr:uid="{00000000-0005-0000-0000-0000410D0000}"/>
    <cellStyle name="40% - Énfasis5 3 2 2 3 4" xfId="10576" xr:uid="{00000000-0005-0000-0000-0000420D0000}"/>
    <cellStyle name="40% - Énfasis5 3 2 2 4" xfId="9729" xr:uid="{00000000-0005-0000-0000-0000430D0000}"/>
    <cellStyle name="40% - Énfasis5 3 2 2 4 2" xfId="11681" xr:uid="{00000000-0005-0000-0000-0000440D0000}"/>
    <cellStyle name="40% - Énfasis5 3 2 2 4 2 2" xfId="11684" xr:uid="{00000000-0005-0000-0000-0000450D0000}"/>
    <cellStyle name="40% - Énfasis5 3 2 2 4 3" xfId="11685" xr:uid="{00000000-0005-0000-0000-0000460D0000}"/>
    <cellStyle name="40% - Énfasis5 3 2 2 5" xfId="11686" xr:uid="{00000000-0005-0000-0000-0000470D0000}"/>
    <cellStyle name="40% - Énfasis5 3 2 2 5 2" xfId="11687" xr:uid="{00000000-0005-0000-0000-0000480D0000}"/>
    <cellStyle name="40% - Énfasis5 3 2 2 5 2 2" xfId="11434" xr:uid="{00000000-0005-0000-0000-0000490D0000}"/>
    <cellStyle name="40% - Énfasis5 3 2 2 5 3" xfId="11689" xr:uid="{00000000-0005-0000-0000-00004A0D0000}"/>
    <cellStyle name="40% - Énfasis5 3 2 2 6" xfId="11691" xr:uid="{00000000-0005-0000-0000-00004B0D0000}"/>
    <cellStyle name="40% - Énfasis5 3 2 2 6 2" xfId="11614" xr:uid="{00000000-0005-0000-0000-00004C0D0000}"/>
    <cellStyle name="40% - Énfasis5 3 2 2 7" xfId="11703" xr:uid="{00000000-0005-0000-0000-00004D0D0000}"/>
    <cellStyle name="40% - Énfasis5 3 2 2 7 2" xfId="6526" xr:uid="{00000000-0005-0000-0000-00004E0D0000}"/>
    <cellStyle name="40% - Énfasis5 3 2 2 8" xfId="11706" xr:uid="{00000000-0005-0000-0000-00004F0D0000}"/>
    <cellStyle name="40% - Énfasis5 3 2 2 9" xfId="11709" xr:uid="{00000000-0005-0000-0000-0000500D0000}"/>
    <cellStyle name="40% - Énfasis5 3 2 3" xfId="646" xr:uid="{00000000-0005-0000-0000-0000510D0000}"/>
    <cellStyle name="40% - Énfasis5 3 2 3 2" xfId="6112" xr:uid="{00000000-0005-0000-0000-0000520D0000}"/>
    <cellStyle name="40% - Énfasis5 3 2 3 2 2" xfId="2655" xr:uid="{00000000-0005-0000-0000-0000530D0000}"/>
    <cellStyle name="40% - Énfasis5 3 2 3 2 2 2" xfId="2694" xr:uid="{00000000-0005-0000-0000-0000540D0000}"/>
    <cellStyle name="40% - Énfasis5 3 2 3 2 2 2 2" xfId="11712" xr:uid="{00000000-0005-0000-0000-0000550D0000}"/>
    <cellStyle name="40% - Énfasis5 3 2 3 2 2 3" xfId="2742" xr:uid="{00000000-0005-0000-0000-0000560D0000}"/>
    <cellStyle name="40% - Énfasis5 3 2 3 2 3" xfId="2778" xr:uid="{00000000-0005-0000-0000-0000570D0000}"/>
    <cellStyle name="40% - Énfasis5 3 2 3 2 3 2" xfId="11725" xr:uid="{00000000-0005-0000-0000-0000580D0000}"/>
    <cellStyle name="40% - Énfasis5 3 2 3 2 4" xfId="11730" xr:uid="{00000000-0005-0000-0000-0000590D0000}"/>
    <cellStyle name="40% - Énfasis5 3 2 3 3" xfId="5296" xr:uid="{00000000-0005-0000-0000-00005A0D0000}"/>
    <cellStyle name="40% - Énfasis5 3 2 3 3 2" xfId="3021" xr:uid="{00000000-0005-0000-0000-00005B0D0000}"/>
    <cellStyle name="40% - Énfasis5 3 2 3 3 2 2" xfId="11733" xr:uid="{00000000-0005-0000-0000-00005C0D0000}"/>
    <cellStyle name="40% - Énfasis5 3 2 3 3 3" xfId="11734" xr:uid="{00000000-0005-0000-0000-00005D0D0000}"/>
    <cellStyle name="40% - Énfasis5 3 2 3 4" xfId="9738" xr:uid="{00000000-0005-0000-0000-00005E0D0000}"/>
    <cellStyle name="40% - Énfasis5 3 2 3 4 2" xfId="3356" xr:uid="{00000000-0005-0000-0000-00005F0D0000}"/>
    <cellStyle name="40% - Énfasis5 3 2 3 4 2 2" xfId="11737" xr:uid="{00000000-0005-0000-0000-0000600D0000}"/>
    <cellStyle name="40% - Énfasis5 3 2 3 4 3" xfId="11738" xr:uid="{00000000-0005-0000-0000-0000610D0000}"/>
    <cellStyle name="40% - Énfasis5 3 2 3 5" xfId="11741" xr:uid="{00000000-0005-0000-0000-0000620D0000}"/>
    <cellStyle name="40% - Énfasis5 3 2 3 5 2" xfId="11742" xr:uid="{00000000-0005-0000-0000-0000630D0000}"/>
    <cellStyle name="40% - Énfasis5 3 2 3 6" xfId="11747" xr:uid="{00000000-0005-0000-0000-0000640D0000}"/>
    <cellStyle name="40% - Énfasis5 3 2 3 6 2" xfId="11756" xr:uid="{00000000-0005-0000-0000-0000650D0000}"/>
    <cellStyle name="40% - Énfasis5 3 2 3 7" xfId="11765" xr:uid="{00000000-0005-0000-0000-0000660D0000}"/>
    <cellStyle name="40% - Énfasis5 3 2 4" xfId="10139" xr:uid="{00000000-0005-0000-0000-0000670D0000}"/>
    <cellStyle name="40% - Énfasis5 3 2 4 2" xfId="4946" xr:uid="{00000000-0005-0000-0000-0000680D0000}"/>
    <cellStyle name="40% - Énfasis5 3 2 4 2 2" xfId="1657" xr:uid="{00000000-0005-0000-0000-0000690D0000}"/>
    <cellStyle name="40% - Énfasis5 3 2 4 2 2 2" xfId="11776" xr:uid="{00000000-0005-0000-0000-00006A0D0000}"/>
    <cellStyle name="40% - Énfasis5 3 2 4 2 3" xfId="11779" xr:uid="{00000000-0005-0000-0000-00006B0D0000}"/>
    <cellStyle name="40% - Énfasis5 3 2 4 3" xfId="9751" xr:uid="{00000000-0005-0000-0000-00006C0D0000}"/>
    <cellStyle name="40% - Énfasis5 3 2 4 3 2" xfId="11251" xr:uid="{00000000-0005-0000-0000-00006D0D0000}"/>
    <cellStyle name="40% - Énfasis5 3 2 4 4" xfId="11260" xr:uid="{00000000-0005-0000-0000-00006E0D0000}"/>
    <cellStyle name="40% - Énfasis5 3 2 5" xfId="11781" xr:uid="{00000000-0005-0000-0000-00006F0D0000}"/>
    <cellStyle name="40% - Énfasis5 3 2 5 2" xfId="6149" xr:uid="{00000000-0005-0000-0000-0000700D0000}"/>
    <cellStyle name="40% - Énfasis5 3 2 5 2 2" xfId="11783" xr:uid="{00000000-0005-0000-0000-0000710D0000}"/>
    <cellStyle name="40% - Énfasis5 3 2 5 3" xfId="9764" xr:uid="{00000000-0005-0000-0000-0000720D0000}"/>
    <cellStyle name="40% - Énfasis5 3 2 6" xfId="11786" xr:uid="{00000000-0005-0000-0000-0000730D0000}"/>
    <cellStyle name="40% - Énfasis5 3 2 6 2" xfId="11791" xr:uid="{00000000-0005-0000-0000-0000740D0000}"/>
    <cellStyle name="40% - Énfasis5 3 2 6 2 2" xfId="10273" xr:uid="{00000000-0005-0000-0000-0000750D0000}"/>
    <cellStyle name="40% - Énfasis5 3 2 6 3" xfId="11277" xr:uid="{00000000-0005-0000-0000-0000760D0000}"/>
    <cellStyle name="40% - Énfasis5 3 2 7" xfId="1518" xr:uid="{00000000-0005-0000-0000-0000770D0000}"/>
    <cellStyle name="40% - Énfasis5 3 2 7 2" xfId="11795" xr:uid="{00000000-0005-0000-0000-0000780D0000}"/>
    <cellStyle name="40% - Énfasis5 3 2 8" xfId="11796" xr:uid="{00000000-0005-0000-0000-0000790D0000}"/>
    <cellStyle name="40% - Énfasis5 3 2 8 2" xfId="11799" xr:uid="{00000000-0005-0000-0000-00007A0D0000}"/>
    <cellStyle name="40% - Énfasis5 3 2 9" xfId="8656" xr:uid="{00000000-0005-0000-0000-00007B0D0000}"/>
    <cellStyle name="40% - Énfasis5 3 3" xfId="11623" xr:uid="{00000000-0005-0000-0000-00007C0D0000}"/>
    <cellStyle name="40% - Énfasis5 3 3 2" xfId="4292" xr:uid="{00000000-0005-0000-0000-00007D0D0000}"/>
    <cellStyle name="40% - Énfasis5 3 3 2 2" xfId="11805" xr:uid="{00000000-0005-0000-0000-00007E0D0000}"/>
    <cellStyle name="40% - Énfasis5 3 3 2 2 2" xfId="9770" xr:uid="{00000000-0005-0000-0000-00007F0D0000}"/>
    <cellStyle name="40% - Énfasis5 3 3 2 2 2 2" xfId="11269" xr:uid="{00000000-0005-0000-0000-0000800D0000}"/>
    <cellStyle name="40% - Énfasis5 3 3 2 2 2 2 2" xfId="10326" xr:uid="{00000000-0005-0000-0000-0000810D0000}"/>
    <cellStyle name="40% - Énfasis5 3 3 2 2 2 3" xfId="6024" xr:uid="{00000000-0005-0000-0000-0000820D0000}"/>
    <cellStyle name="40% - Énfasis5 3 3 2 2 3" xfId="11279" xr:uid="{00000000-0005-0000-0000-0000830D0000}"/>
    <cellStyle name="40% - Énfasis5 3 3 2 2 3 2" xfId="11288" xr:uid="{00000000-0005-0000-0000-0000840D0000}"/>
    <cellStyle name="40% - Énfasis5 3 3 2 2 4" xfId="11292" xr:uid="{00000000-0005-0000-0000-0000850D0000}"/>
    <cellStyle name="40% - Énfasis5 3 3 2 3" xfId="9796" xr:uid="{00000000-0005-0000-0000-0000860D0000}"/>
    <cellStyle name="40% - Énfasis5 3 3 2 3 2" xfId="9807" xr:uid="{00000000-0005-0000-0000-0000870D0000}"/>
    <cellStyle name="40% - Énfasis5 3 3 2 3 2 2" xfId="11809" xr:uid="{00000000-0005-0000-0000-0000880D0000}"/>
    <cellStyle name="40% - Énfasis5 3 3 2 3 3" xfId="11815" xr:uid="{00000000-0005-0000-0000-0000890D0000}"/>
    <cellStyle name="40% - Énfasis5 3 3 2 4" xfId="9815" xr:uid="{00000000-0005-0000-0000-00008A0D0000}"/>
    <cellStyle name="40% - Énfasis5 3 3 2 4 2" xfId="2008" xr:uid="{00000000-0005-0000-0000-00008B0D0000}"/>
    <cellStyle name="40% - Énfasis5 3 3 2 4 2 2" xfId="2033" xr:uid="{00000000-0005-0000-0000-00008C0D0000}"/>
    <cellStyle name="40% - Énfasis5 3 3 2 4 3" xfId="2073" xr:uid="{00000000-0005-0000-0000-00008D0D0000}"/>
    <cellStyle name="40% - Énfasis5 3 3 2 5" xfId="11818" xr:uid="{00000000-0005-0000-0000-00008E0D0000}"/>
    <cellStyle name="40% - Énfasis5 3 3 2 5 2" xfId="2194" xr:uid="{00000000-0005-0000-0000-00008F0D0000}"/>
    <cellStyle name="40% - Énfasis5 3 3 2 6" xfId="11823" xr:uid="{00000000-0005-0000-0000-0000900D0000}"/>
    <cellStyle name="40% - Énfasis5 3 3 2 6 2" xfId="11829" xr:uid="{00000000-0005-0000-0000-0000910D0000}"/>
    <cellStyle name="40% - Énfasis5 3 3 2 7" xfId="11835" xr:uid="{00000000-0005-0000-0000-0000920D0000}"/>
    <cellStyle name="40% - Énfasis5 3 3 3" xfId="11836" xr:uid="{00000000-0005-0000-0000-0000930D0000}"/>
    <cellStyle name="40% - Énfasis5 3 3 3 2" xfId="6189" xr:uid="{00000000-0005-0000-0000-0000940D0000}"/>
    <cellStyle name="40% - Énfasis5 3 3 3 2 2" xfId="4562" xr:uid="{00000000-0005-0000-0000-0000950D0000}"/>
    <cellStyle name="40% - Énfasis5 3 3 3 2 2 2" xfId="11838" xr:uid="{00000000-0005-0000-0000-0000960D0000}"/>
    <cellStyle name="40% - Énfasis5 3 3 3 2 3" xfId="11841" xr:uid="{00000000-0005-0000-0000-0000970D0000}"/>
    <cellStyle name="40% - Énfasis5 3 3 3 3" xfId="9830" xr:uid="{00000000-0005-0000-0000-0000980D0000}"/>
    <cellStyle name="40% - Énfasis5 3 3 3 3 2" xfId="11843" xr:uid="{00000000-0005-0000-0000-0000990D0000}"/>
    <cellStyle name="40% - Énfasis5 3 3 3 4" xfId="11845" xr:uid="{00000000-0005-0000-0000-00009A0D0000}"/>
    <cellStyle name="40% - Énfasis5 3 3 4" xfId="11180" xr:uid="{00000000-0005-0000-0000-00009B0D0000}"/>
    <cellStyle name="40% - Énfasis5 3 3 4 2" xfId="11847" xr:uid="{00000000-0005-0000-0000-00009C0D0000}"/>
    <cellStyle name="40% - Énfasis5 3 3 4 2 2" xfId="11849" xr:uid="{00000000-0005-0000-0000-00009D0D0000}"/>
    <cellStyle name="40% - Énfasis5 3 3 4 3" xfId="9843" xr:uid="{00000000-0005-0000-0000-00009E0D0000}"/>
    <cellStyle name="40% - Énfasis5 3 3 5" xfId="11850" xr:uid="{00000000-0005-0000-0000-00009F0D0000}"/>
    <cellStyle name="40% - Énfasis5 3 3 5 2" xfId="11852" xr:uid="{00000000-0005-0000-0000-0000A00D0000}"/>
    <cellStyle name="40% - Énfasis5 3 3 5 2 2" xfId="11854" xr:uid="{00000000-0005-0000-0000-0000A10D0000}"/>
    <cellStyle name="40% - Énfasis5 3 3 5 3" xfId="11310" xr:uid="{00000000-0005-0000-0000-0000A20D0000}"/>
    <cellStyle name="40% - Énfasis5 3 3 6" xfId="11857" xr:uid="{00000000-0005-0000-0000-0000A30D0000}"/>
    <cellStyle name="40% - Énfasis5 3 3 6 2" xfId="11861" xr:uid="{00000000-0005-0000-0000-0000A40D0000}"/>
    <cellStyle name="40% - Énfasis5 3 3 7" xfId="11864" xr:uid="{00000000-0005-0000-0000-0000A50D0000}"/>
    <cellStyle name="40% - Énfasis5 3 3 7 2" xfId="11868" xr:uid="{00000000-0005-0000-0000-0000A60D0000}"/>
    <cellStyle name="40% - Énfasis5 3 4" xfId="11870" xr:uid="{00000000-0005-0000-0000-0000A70D0000}"/>
    <cellStyle name="40% - Énfasis5 3 4 2" xfId="1936" xr:uid="{00000000-0005-0000-0000-0000A80D0000}"/>
    <cellStyle name="40% - Énfasis5 3 4 2 2" xfId="10090" xr:uid="{00000000-0005-0000-0000-0000A90D0000}"/>
    <cellStyle name="40% - Énfasis5 3 4 2 2 2" xfId="10092" xr:uid="{00000000-0005-0000-0000-0000AA0D0000}"/>
    <cellStyle name="40% - Énfasis5 3 4 2 2 2 2" xfId="10107" xr:uid="{00000000-0005-0000-0000-0000AB0D0000}"/>
    <cellStyle name="40% - Énfasis5 3 4 2 2 2 2 2" xfId="9459" xr:uid="{00000000-0005-0000-0000-0000AC0D0000}"/>
    <cellStyle name="40% - Énfasis5 3 4 2 2 2 3" xfId="7645" xr:uid="{00000000-0005-0000-0000-0000AD0D0000}"/>
    <cellStyle name="40% - Énfasis5 3 4 2 2 3" xfId="10112" xr:uid="{00000000-0005-0000-0000-0000AE0D0000}"/>
    <cellStyle name="40% - Énfasis5 3 4 2 2 3 2" xfId="11875" xr:uid="{00000000-0005-0000-0000-0000AF0D0000}"/>
    <cellStyle name="40% - Énfasis5 3 4 2 2 4" xfId="10444" xr:uid="{00000000-0005-0000-0000-0000B00D0000}"/>
    <cellStyle name="40% - Énfasis5 3 4 2 3" xfId="10114" xr:uid="{00000000-0005-0000-0000-0000B10D0000}"/>
    <cellStyle name="40% - Énfasis5 3 4 2 3 2" xfId="10116" xr:uid="{00000000-0005-0000-0000-0000B20D0000}"/>
    <cellStyle name="40% - Énfasis5 3 4 2 3 2 2" xfId="11877" xr:uid="{00000000-0005-0000-0000-0000B30D0000}"/>
    <cellStyle name="40% - Énfasis5 3 4 2 3 3" xfId="11088" xr:uid="{00000000-0005-0000-0000-0000B40D0000}"/>
    <cellStyle name="40% - Énfasis5 3 4 2 4" xfId="10118" xr:uid="{00000000-0005-0000-0000-0000B50D0000}"/>
    <cellStyle name="40% - Énfasis5 3 4 2 4 2" xfId="762" xr:uid="{00000000-0005-0000-0000-0000B60D0000}"/>
    <cellStyle name="40% - Énfasis5 3 4 2 4 2 2" xfId="1040" xr:uid="{00000000-0005-0000-0000-0000B70D0000}"/>
    <cellStyle name="40% - Énfasis5 3 4 2 4 3" xfId="402" xr:uid="{00000000-0005-0000-0000-0000B80D0000}"/>
    <cellStyle name="40% - Énfasis5 3 4 2 5" xfId="11881" xr:uid="{00000000-0005-0000-0000-0000B90D0000}"/>
    <cellStyle name="40% - Énfasis5 3 4 2 5 2" xfId="11885" xr:uid="{00000000-0005-0000-0000-0000BA0D0000}"/>
    <cellStyle name="40% - Énfasis5 3 4 2 6" xfId="11890" xr:uid="{00000000-0005-0000-0000-0000BB0D0000}"/>
    <cellStyle name="40% - Énfasis5 3 4 2 6 2" xfId="2882" xr:uid="{00000000-0005-0000-0000-0000BC0D0000}"/>
    <cellStyle name="40% - Énfasis5 3 4 2 7" xfId="11893" xr:uid="{00000000-0005-0000-0000-0000BD0D0000}"/>
    <cellStyle name="40% - Énfasis5 3 4 3" xfId="11897" xr:uid="{00000000-0005-0000-0000-0000BE0D0000}"/>
    <cellStyle name="40% - Énfasis5 3 4 3 2" xfId="10724" xr:uid="{00000000-0005-0000-0000-0000BF0D0000}"/>
    <cellStyle name="40% - Énfasis5 3 4 3 2 2" xfId="10726" xr:uid="{00000000-0005-0000-0000-0000C00D0000}"/>
    <cellStyle name="40% - Énfasis5 3 4 3 2 2 2" xfId="10731" xr:uid="{00000000-0005-0000-0000-0000C10D0000}"/>
    <cellStyle name="40% - Énfasis5 3 4 3 2 3" xfId="5846" xr:uid="{00000000-0005-0000-0000-0000C20D0000}"/>
    <cellStyle name="40% - Énfasis5 3 4 3 3" xfId="9494" xr:uid="{00000000-0005-0000-0000-0000C30D0000}"/>
    <cellStyle name="40% - Énfasis5 3 4 3 3 2" xfId="10732" xr:uid="{00000000-0005-0000-0000-0000C40D0000}"/>
    <cellStyle name="40% - Énfasis5 3 4 3 4" xfId="10735" xr:uid="{00000000-0005-0000-0000-0000C50D0000}"/>
    <cellStyle name="40% - Énfasis5 3 4 4" xfId="11898" xr:uid="{00000000-0005-0000-0000-0000C60D0000}"/>
    <cellStyle name="40% - Énfasis5 3 4 4 2" xfId="11210" xr:uid="{00000000-0005-0000-0000-0000C70D0000}"/>
    <cellStyle name="40% - Énfasis5 3 4 4 2 2" xfId="11214" xr:uid="{00000000-0005-0000-0000-0000C80D0000}"/>
    <cellStyle name="40% - Énfasis5 3 4 4 3" xfId="1903" xr:uid="{00000000-0005-0000-0000-0000C90D0000}"/>
    <cellStyle name="40% - Énfasis5 3 4 5" xfId="11899" xr:uid="{00000000-0005-0000-0000-0000CA0D0000}"/>
    <cellStyle name="40% - Énfasis5 3 4 5 2" xfId="11583" xr:uid="{00000000-0005-0000-0000-0000CB0D0000}"/>
    <cellStyle name="40% - Énfasis5 3 4 5 2 2" xfId="11586" xr:uid="{00000000-0005-0000-0000-0000CC0D0000}"/>
    <cellStyle name="40% - Énfasis5 3 4 5 3" xfId="1987" xr:uid="{00000000-0005-0000-0000-0000CD0D0000}"/>
    <cellStyle name="40% - Énfasis5 3 4 6" xfId="11905" xr:uid="{00000000-0005-0000-0000-0000CE0D0000}"/>
    <cellStyle name="40% - Énfasis5 3 4 6 2" xfId="11914" xr:uid="{00000000-0005-0000-0000-0000CF0D0000}"/>
    <cellStyle name="40% - Énfasis5 3 4 7" xfId="11921" xr:uid="{00000000-0005-0000-0000-0000D00D0000}"/>
    <cellStyle name="40% - Énfasis5 3 4 7 2" xfId="11923" xr:uid="{00000000-0005-0000-0000-0000D10D0000}"/>
    <cellStyle name="40% - Énfasis5 3 4 8" xfId="10699" xr:uid="{00000000-0005-0000-0000-0000D20D0000}"/>
    <cellStyle name="40% - Énfasis5 3 4 9" xfId="10707" xr:uid="{00000000-0005-0000-0000-0000D30D0000}"/>
    <cellStyle name="40% - Énfasis5 3 5" xfId="10354" xr:uid="{00000000-0005-0000-0000-0000D40D0000}"/>
    <cellStyle name="40% - Énfasis5 3 5 2" xfId="9353" xr:uid="{00000000-0005-0000-0000-0000D50D0000}"/>
    <cellStyle name="40% - Énfasis5 3 5 2 2" xfId="10358" xr:uid="{00000000-0005-0000-0000-0000D60D0000}"/>
    <cellStyle name="40% - Énfasis5 3 5 2 2 2" xfId="10363" xr:uid="{00000000-0005-0000-0000-0000D70D0000}"/>
    <cellStyle name="40% - Énfasis5 3 5 2 2 2 2" xfId="11924" xr:uid="{00000000-0005-0000-0000-0000D80D0000}"/>
    <cellStyle name="40% - Énfasis5 3 5 2 2 2 2 2" xfId="11925" xr:uid="{00000000-0005-0000-0000-0000D90D0000}"/>
    <cellStyle name="40% - Énfasis5 3 5 2 2 2 3" xfId="8419" xr:uid="{00000000-0005-0000-0000-0000DA0D0000}"/>
    <cellStyle name="40% - Énfasis5 3 5 2 2 3" xfId="11928" xr:uid="{00000000-0005-0000-0000-0000DB0D0000}"/>
    <cellStyle name="40% - Énfasis5 3 5 2 2 3 2" xfId="11930" xr:uid="{00000000-0005-0000-0000-0000DC0D0000}"/>
    <cellStyle name="40% - Énfasis5 3 5 2 2 4" xfId="11936" xr:uid="{00000000-0005-0000-0000-0000DD0D0000}"/>
    <cellStyle name="40% - Énfasis5 3 5 2 3" xfId="10371" xr:uid="{00000000-0005-0000-0000-0000DE0D0000}"/>
    <cellStyle name="40% - Énfasis5 3 5 2 3 2" xfId="11939" xr:uid="{00000000-0005-0000-0000-0000DF0D0000}"/>
    <cellStyle name="40% - Énfasis5 3 5 2 3 2 2" xfId="11940" xr:uid="{00000000-0005-0000-0000-0000E00D0000}"/>
    <cellStyle name="40% - Énfasis5 3 5 2 3 3" xfId="11942" xr:uid="{00000000-0005-0000-0000-0000E10D0000}"/>
    <cellStyle name="40% - Énfasis5 3 5 2 4" xfId="11944" xr:uid="{00000000-0005-0000-0000-0000E20D0000}"/>
    <cellStyle name="40% - Énfasis5 3 5 2 4 2" xfId="374" xr:uid="{00000000-0005-0000-0000-0000E30D0000}"/>
    <cellStyle name="40% - Énfasis5 3 5 2 4 2 2" xfId="4039" xr:uid="{00000000-0005-0000-0000-0000E40D0000}"/>
    <cellStyle name="40% - Énfasis5 3 5 2 4 3" xfId="4300" xr:uid="{00000000-0005-0000-0000-0000E50D0000}"/>
    <cellStyle name="40% - Énfasis5 3 5 2 5" xfId="11949" xr:uid="{00000000-0005-0000-0000-0000E60D0000}"/>
    <cellStyle name="40% - Énfasis5 3 5 2 5 2" xfId="11950" xr:uid="{00000000-0005-0000-0000-0000E70D0000}"/>
    <cellStyle name="40% - Énfasis5 3 5 2 6" xfId="11952" xr:uid="{00000000-0005-0000-0000-0000E80D0000}"/>
    <cellStyle name="40% - Énfasis5 3 5 2 6 2" xfId="3989" xr:uid="{00000000-0005-0000-0000-0000E90D0000}"/>
    <cellStyle name="40% - Énfasis5 3 5 2 7" xfId="11958" xr:uid="{00000000-0005-0000-0000-0000EA0D0000}"/>
    <cellStyle name="40% - Énfasis5 3 5 3" xfId="10375" xr:uid="{00000000-0005-0000-0000-0000EB0D0000}"/>
    <cellStyle name="40% - Énfasis5 3 5 3 2" xfId="10378" xr:uid="{00000000-0005-0000-0000-0000EC0D0000}"/>
    <cellStyle name="40% - Énfasis5 3 5 3 2 2" xfId="11959" xr:uid="{00000000-0005-0000-0000-0000ED0D0000}"/>
    <cellStyle name="40% - Énfasis5 3 5 3 2 2 2" xfId="11960" xr:uid="{00000000-0005-0000-0000-0000EE0D0000}"/>
    <cellStyle name="40% - Énfasis5 3 5 3 2 3" xfId="7095" xr:uid="{00000000-0005-0000-0000-0000EF0D0000}"/>
    <cellStyle name="40% - Énfasis5 3 5 3 3" xfId="11963" xr:uid="{00000000-0005-0000-0000-0000F00D0000}"/>
    <cellStyle name="40% - Énfasis5 3 5 3 3 2" xfId="11967" xr:uid="{00000000-0005-0000-0000-0000F10D0000}"/>
    <cellStyle name="40% - Énfasis5 3 5 3 4" xfId="11970" xr:uid="{00000000-0005-0000-0000-0000F20D0000}"/>
    <cellStyle name="40% - Énfasis5 3 5 4" xfId="10174" xr:uid="{00000000-0005-0000-0000-0000F30D0000}"/>
    <cellStyle name="40% - Énfasis5 3 5 4 2" xfId="10179" xr:uid="{00000000-0005-0000-0000-0000F40D0000}"/>
    <cellStyle name="40% - Énfasis5 3 5 4 2 2" xfId="11075" xr:uid="{00000000-0005-0000-0000-0000F50D0000}"/>
    <cellStyle name="40% - Énfasis5 3 5 4 3" xfId="2161" xr:uid="{00000000-0005-0000-0000-0000F60D0000}"/>
    <cellStyle name="40% - Énfasis5 3 5 5" xfId="10185" xr:uid="{00000000-0005-0000-0000-0000F70D0000}"/>
    <cellStyle name="40% - Énfasis5 3 5 5 2" xfId="11077" xr:uid="{00000000-0005-0000-0000-0000F80D0000}"/>
    <cellStyle name="40% - Énfasis5 3 5 5 2 2" xfId="11972" xr:uid="{00000000-0005-0000-0000-0000F90D0000}"/>
    <cellStyle name="40% - Énfasis5 3 5 5 3" xfId="2184" xr:uid="{00000000-0005-0000-0000-0000FA0D0000}"/>
    <cellStyle name="40% - Énfasis5 3 5 6" xfId="11083" xr:uid="{00000000-0005-0000-0000-0000FB0D0000}"/>
    <cellStyle name="40% - Énfasis5 3 5 6 2" xfId="11485" xr:uid="{00000000-0005-0000-0000-0000FC0D0000}"/>
    <cellStyle name="40% - Énfasis5 3 5 7" xfId="11487" xr:uid="{00000000-0005-0000-0000-0000FD0D0000}"/>
    <cellStyle name="40% - Énfasis5 3 5 7 2" xfId="11973" xr:uid="{00000000-0005-0000-0000-0000FE0D0000}"/>
    <cellStyle name="40% - Énfasis5 3 5 8" xfId="931" xr:uid="{00000000-0005-0000-0000-0000FF0D0000}"/>
    <cellStyle name="40% - Énfasis5 3 6" xfId="8448" xr:uid="{00000000-0005-0000-0000-0000000E0000}"/>
    <cellStyle name="40% - Énfasis5 3 6 2" xfId="10382" xr:uid="{00000000-0005-0000-0000-0000010E0000}"/>
    <cellStyle name="40% - Énfasis5 3 6 2 2" xfId="10059" xr:uid="{00000000-0005-0000-0000-0000020E0000}"/>
    <cellStyle name="40% - Énfasis5 3 6 2 2 2" xfId="10065" xr:uid="{00000000-0005-0000-0000-0000030E0000}"/>
    <cellStyle name="40% - Énfasis5 3 6 2 2 2 2" xfId="11974" xr:uid="{00000000-0005-0000-0000-0000040E0000}"/>
    <cellStyle name="40% - Énfasis5 3 6 2 2 3" xfId="11976" xr:uid="{00000000-0005-0000-0000-0000050E0000}"/>
    <cellStyle name="40% - Énfasis5 3 6 2 3" xfId="10079" xr:uid="{00000000-0005-0000-0000-0000060E0000}"/>
    <cellStyle name="40% - Énfasis5 3 6 2 3 2" xfId="125" xr:uid="{00000000-0005-0000-0000-0000070E0000}"/>
    <cellStyle name="40% - Énfasis5 3 6 2 4" xfId="10084" xr:uid="{00000000-0005-0000-0000-0000080E0000}"/>
    <cellStyle name="40% - Énfasis5 3 6 3" xfId="10385" xr:uid="{00000000-0005-0000-0000-0000090E0000}"/>
    <cellStyle name="40% - Énfasis5 3 6 3 2" xfId="10110" xr:uid="{00000000-0005-0000-0000-00000A0E0000}"/>
    <cellStyle name="40% - Énfasis5 3 6 3 2 2" xfId="11873" xr:uid="{00000000-0005-0000-0000-00000B0E0000}"/>
    <cellStyle name="40% - Énfasis5 3 6 3 3" xfId="10445" xr:uid="{00000000-0005-0000-0000-00000C0E0000}"/>
    <cellStyle name="40% - Énfasis5 3 6 4" xfId="10193" xr:uid="{00000000-0005-0000-0000-00000D0E0000}"/>
    <cellStyle name="40% - Énfasis5 3 6 4 2" xfId="11086" xr:uid="{00000000-0005-0000-0000-00000E0E0000}"/>
    <cellStyle name="40% - Énfasis5 3 6 4 2 2" xfId="11979" xr:uid="{00000000-0005-0000-0000-00000F0E0000}"/>
    <cellStyle name="40% - Énfasis5 3 6 4 3" xfId="2223" xr:uid="{00000000-0005-0000-0000-0000100E0000}"/>
    <cellStyle name="40% - Énfasis5 3 6 5" xfId="11090" xr:uid="{00000000-0005-0000-0000-0000110E0000}"/>
    <cellStyle name="40% - Énfasis5 3 6 5 2" xfId="401" xr:uid="{00000000-0005-0000-0000-0000120E0000}"/>
    <cellStyle name="40% - Énfasis5 3 6 6" xfId="11508" xr:uid="{00000000-0005-0000-0000-0000130E0000}"/>
    <cellStyle name="40% - Énfasis5 3 6 6 2" xfId="11983" xr:uid="{00000000-0005-0000-0000-0000140E0000}"/>
    <cellStyle name="40% - Énfasis5 3 6 7" xfId="11988" xr:uid="{00000000-0005-0000-0000-0000150E0000}"/>
    <cellStyle name="40% - Énfasis5 3 7" xfId="6538" xr:uid="{00000000-0005-0000-0000-0000160E0000}"/>
    <cellStyle name="40% - Énfasis5 3 7 2" xfId="6542" xr:uid="{00000000-0005-0000-0000-0000170E0000}"/>
    <cellStyle name="40% - Énfasis5 3 7 2 2" xfId="5678" xr:uid="{00000000-0005-0000-0000-0000180E0000}"/>
    <cellStyle name="40% - Énfasis5 3 7 2 2 2" xfId="930" xr:uid="{00000000-0005-0000-0000-0000190E0000}"/>
    <cellStyle name="40% - Énfasis5 3 7 2 3" xfId="5695" xr:uid="{00000000-0005-0000-0000-00001A0E0000}"/>
    <cellStyle name="40% - Énfasis5 3 7 3" xfId="6678" xr:uid="{00000000-0005-0000-0000-00001B0E0000}"/>
    <cellStyle name="40% - Énfasis5 3 7 3 2" xfId="5855" xr:uid="{00000000-0005-0000-0000-00001C0E0000}"/>
    <cellStyle name="40% - Énfasis5 3 7 4" xfId="6760" xr:uid="{00000000-0005-0000-0000-00001D0E0000}"/>
    <cellStyle name="40% - Énfasis5 3 8" xfId="6786" xr:uid="{00000000-0005-0000-0000-00001E0E0000}"/>
    <cellStyle name="40% - Énfasis5 3 8 2" xfId="6793" xr:uid="{00000000-0005-0000-0000-00001F0E0000}"/>
    <cellStyle name="40% - Énfasis5 3 8 2 2" xfId="550" xr:uid="{00000000-0005-0000-0000-0000200E0000}"/>
    <cellStyle name="40% - Énfasis5 3 8 3" xfId="6837" xr:uid="{00000000-0005-0000-0000-0000210E0000}"/>
    <cellStyle name="40% - Énfasis5 3 9" xfId="6952" xr:uid="{00000000-0005-0000-0000-0000220E0000}"/>
    <cellStyle name="40% - Énfasis5 3 9 2" xfId="6958" xr:uid="{00000000-0005-0000-0000-0000230E0000}"/>
    <cellStyle name="40% - Énfasis5 3 9 2 2" xfId="6968" xr:uid="{00000000-0005-0000-0000-0000240E0000}"/>
    <cellStyle name="40% - Énfasis5 3 9 3" xfId="7047" xr:uid="{00000000-0005-0000-0000-0000250E0000}"/>
    <cellStyle name="40% - Énfasis5 4" xfId="12000" xr:uid="{00000000-0005-0000-0000-0000260E0000}"/>
    <cellStyle name="40% - Énfasis5 4 2" xfId="12002" xr:uid="{00000000-0005-0000-0000-0000270E0000}"/>
    <cellStyle name="40% - Énfasis5 4 2 2" xfId="365" xr:uid="{00000000-0005-0000-0000-0000280E0000}"/>
    <cellStyle name="40% - Énfasis5 4 2 2 2" xfId="12005" xr:uid="{00000000-0005-0000-0000-0000290E0000}"/>
    <cellStyle name="40% - Énfasis5 4 2 2 2 2" xfId="12008" xr:uid="{00000000-0005-0000-0000-00002A0E0000}"/>
    <cellStyle name="40% - Énfasis5 4 2 2 3" xfId="2974" xr:uid="{00000000-0005-0000-0000-00002B0E0000}"/>
    <cellStyle name="40% - Énfasis5 4 2 2 4" xfId="6709" xr:uid="{00000000-0005-0000-0000-00002C0E0000}"/>
    <cellStyle name="40% - Énfasis5 4 2 3" xfId="12011" xr:uid="{00000000-0005-0000-0000-00002D0E0000}"/>
    <cellStyle name="40% - Énfasis5 4 2 3 2" xfId="12012" xr:uid="{00000000-0005-0000-0000-00002E0E0000}"/>
    <cellStyle name="40% - Énfasis5 4 2 4" xfId="878" xr:uid="{00000000-0005-0000-0000-00002F0E0000}"/>
    <cellStyle name="40% - Énfasis5 4 2 4 2" xfId="12015" xr:uid="{00000000-0005-0000-0000-0000300E0000}"/>
    <cellStyle name="40% - Énfasis5 4 2 5" xfId="12017" xr:uid="{00000000-0005-0000-0000-0000310E0000}"/>
    <cellStyle name="40% - Énfasis5 4 2 6" xfId="12018" xr:uid="{00000000-0005-0000-0000-0000320E0000}"/>
    <cellStyle name="40% - Énfasis5 4 3" xfId="12020" xr:uid="{00000000-0005-0000-0000-0000330E0000}"/>
    <cellStyle name="40% - Énfasis5 4 3 2" xfId="4388" xr:uid="{00000000-0005-0000-0000-0000340E0000}"/>
    <cellStyle name="40% - Énfasis5 4 3 2 2" xfId="12023" xr:uid="{00000000-0005-0000-0000-0000350E0000}"/>
    <cellStyle name="40% - Énfasis5 4 3 3" xfId="12024" xr:uid="{00000000-0005-0000-0000-0000360E0000}"/>
    <cellStyle name="40% - Énfasis5 4 3 4" xfId="12025" xr:uid="{00000000-0005-0000-0000-0000370E0000}"/>
    <cellStyle name="40% - Énfasis5 4 4" xfId="12027" xr:uid="{00000000-0005-0000-0000-0000380E0000}"/>
    <cellStyle name="40% - Énfasis5 4 4 2" xfId="3991" xr:uid="{00000000-0005-0000-0000-0000390E0000}"/>
    <cellStyle name="40% - Énfasis5 4 4 2 2" xfId="12029" xr:uid="{00000000-0005-0000-0000-00003A0E0000}"/>
    <cellStyle name="40% - Énfasis5 4 4 3" xfId="12035" xr:uid="{00000000-0005-0000-0000-00003B0E0000}"/>
    <cellStyle name="40% - Énfasis5 4 5" xfId="10388" xr:uid="{00000000-0005-0000-0000-00003C0E0000}"/>
    <cellStyle name="40% - Énfasis5 4 5 2" xfId="10390" xr:uid="{00000000-0005-0000-0000-00003D0E0000}"/>
    <cellStyle name="40% - Énfasis5 4 6" xfId="8456" xr:uid="{00000000-0005-0000-0000-00003E0E0000}"/>
    <cellStyle name="40% - Énfasis5 4 6 2" xfId="10404" xr:uid="{00000000-0005-0000-0000-00003F0E0000}"/>
    <cellStyle name="40% - Énfasis5 4 7" xfId="7552" xr:uid="{00000000-0005-0000-0000-0000400E0000}"/>
    <cellStyle name="40% - Énfasis5 4 8" xfId="7576" xr:uid="{00000000-0005-0000-0000-0000410E0000}"/>
    <cellStyle name="40% - Énfasis5 5" xfId="12036" xr:uid="{00000000-0005-0000-0000-0000420E0000}"/>
    <cellStyle name="40% - Énfasis5 5 2" xfId="12038" xr:uid="{00000000-0005-0000-0000-0000430E0000}"/>
    <cellStyle name="40% - Énfasis5 5 2 2" xfId="4625" xr:uid="{00000000-0005-0000-0000-0000440E0000}"/>
    <cellStyle name="40% - Énfasis5 5 2 2 2" xfId="12039" xr:uid="{00000000-0005-0000-0000-0000450E0000}"/>
    <cellStyle name="40% - Énfasis5 5 2 3" xfId="12044" xr:uid="{00000000-0005-0000-0000-0000460E0000}"/>
    <cellStyle name="40% - Énfasis5 5 2 4" xfId="12046" xr:uid="{00000000-0005-0000-0000-0000470E0000}"/>
    <cellStyle name="40% - Énfasis5 5 3" xfId="12048" xr:uid="{00000000-0005-0000-0000-0000480E0000}"/>
    <cellStyle name="40% - Énfasis5 5 3 2" xfId="4658" xr:uid="{00000000-0005-0000-0000-0000490E0000}"/>
    <cellStyle name="40% - Énfasis5 5 3 2 2" xfId="9248" xr:uid="{00000000-0005-0000-0000-00004A0E0000}"/>
    <cellStyle name="40% - Énfasis5 5 3 3" xfId="12050" xr:uid="{00000000-0005-0000-0000-00004B0E0000}"/>
    <cellStyle name="40% - Énfasis5 5 4" xfId="12053" xr:uid="{00000000-0005-0000-0000-00004C0E0000}"/>
    <cellStyle name="40% - Énfasis5 5 4 2" xfId="12055" xr:uid="{00000000-0005-0000-0000-00004D0E0000}"/>
    <cellStyle name="40% - Énfasis5 5 5" xfId="10411" xr:uid="{00000000-0005-0000-0000-00004E0E0000}"/>
    <cellStyle name="40% - Énfasis5 5 5 2" xfId="37" xr:uid="{00000000-0005-0000-0000-00004F0E0000}"/>
    <cellStyle name="40% - Énfasis5 5 6" xfId="10413" xr:uid="{00000000-0005-0000-0000-0000500E0000}"/>
    <cellStyle name="40% - Énfasis5 5 7" xfId="7635" xr:uid="{00000000-0005-0000-0000-0000510E0000}"/>
    <cellStyle name="40% - Énfasis5 6" xfId="12059" xr:uid="{00000000-0005-0000-0000-0000520E0000}"/>
    <cellStyle name="40% - Énfasis5 6 2" xfId="12061" xr:uid="{00000000-0005-0000-0000-0000530E0000}"/>
    <cellStyle name="40% - Énfasis5 6 2 2" xfId="4847" xr:uid="{00000000-0005-0000-0000-0000540E0000}"/>
    <cellStyle name="40% - Énfasis5 6 2 2 2" xfId="8609" xr:uid="{00000000-0005-0000-0000-0000550E0000}"/>
    <cellStyle name="40% - Énfasis5 6 2 3" xfId="8613" xr:uid="{00000000-0005-0000-0000-0000560E0000}"/>
    <cellStyle name="40% - Énfasis5 6 2 4" xfId="8619" xr:uid="{00000000-0005-0000-0000-0000570E0000}"/>
    <cellStyle name="40% - Énfasis5 6 3" xfId="7177" xr:uid="{00000000-0005-0000-0000-0000580E0000}"/>
    <cellStyle name="40% - Énfasis5 6 3 2" xfId="4575" xr:uid="{00000000-0005-0000-0000-0000590E0000}"/>
    <cellStyle name="40% - Énfasis5 6 4" xfId="7223" xr:uid="{00000000-0005-0000-0000-00005A0E0000}"/>
    <cellStyle name="40% - Énfasis5 6 4 2" xfId="7230" xr:uid="{00000000-0005-0000-0000-00005B0E0000}"/>
    <cellStyle name="40% - Énfasis5 6 5" xfId="7243" xr:uid="{00000000-0005-0000-0000-00005C0E0000}"/>
    <cellStyle name="40% - Énfasis5 6 6" xfId="7249" xr:uid="{00000000-0005-0000-0000-00005D0E0000}"/>
    <cellStyle name="40% - Énfasis5 7" xfId="11913" xr:uid="{00000000-0005-0000-0000-00005E0E0000}"/>
    <cellStyle name="40% - Énfasis5 7 2" xfId="11343" xr:uid="{00000000-0005-0000-0000-00005F0E0000}"/>
    <cellStyle name="40% - Énfasis5 7 2 2" xfId="4915" xr:uid="{00000000-0005-0000-0000-0000600E0000}"/>
    <cellStyle name="40% - Énfasis5 7 3" xfId="7272" xr:uid="{00000000-0005-0000-0000-0000610E0000}"/>
    <cellStyle name="40% - Énfasis5 8" xfId="2029" xr:uid="{00000000-0005-0000-0000-0000620E0000}"/>
    <cellStyle name="40% - Énfasis5 8 2" xfId="2061" xr:uid="{00000000-0005-0000-0000-0000630E0000}"/>
    <cellStyle name="40% - Énfasis5 9" xfId="228" xr:uid="{00000000-0005-0000-0000-0000640E0000}"/>
    <cellStyle name="40% - Énfasis5 9 2" xfId="201" xr:uid="{00000000-0005-0000-0000-0000650E0000}"/>
    <cellStyle name="40% - Énfasis6 2" xfId="116" xr:uid="{00000000-0005-0000-0000-0000660E0000}"/>
    <cellStyle name="40% - Énfasis6 2 2" xfId="12067" xr:uid="{00000000-0005-0000-0000-0000670E0000}"/>
    <cellStyle name="40% - Énfasis6 3" xfId="12075" xr:uid="{00000000-0005-0000-0000-0000680E0000}"/>
    <cellStyle name="40% - Énfasis6 3 10" xfId="10659" xr:uid="{00000000-0005-0000-0000-0000690E0000}"/>
    <cellStyle name="40% - Énfasis6 3 10 2" xfId="11539" xr:uid="{00000000-0005-0000-0000-00006A0E0000}"/>
    <cellStyle name="40% - Énfasis6 3 11" xfId="12081" xr:uid="{00000000-0005-0000-0000-00006B0E0000}"/>
    <cellStyle name="40% - Énfasis6 3 11 2" xfId="11998" xr:uid="{00000000-0005-0000-0000-00006C0E0000}"/>
    <cellStyle name="40% - Énfasis6 3 12" xfId="10870" xr:uid="{00000000-0005-0000-0000-00006D0E0000}"/>
    <cellStyle name="40% - Énfasis6 3 12 2" xfId="10884" xr:uid="{00000000-0005-0000-0000-00006E0E0000}"/>
    <cellStyle name="40% - Énfasis6 3 13" xfId="10885" xr:uid="{00000000-0005-0000-0000-00006F0E0000}"/>
    <cellStyle name="40% - Énfasis6 3 14" xfId="11378" xr:uid="{00000000-0005-0000-0000-0000700E0000}"/>
    <cellStyle name="40% - Énfasis6 3 2" xfId="12083" xr:uid="{00000000-0005-0000-0000-0000710E0000}"/>
    <cellStyle name="40% - Énfasis6 3 2 10" xfId="4653" xr:uid="{00000000-0005-0000-0000-0000720E0000}"/>
    <cellStyle name="40% - Énfasis6 3 2 2" xfId="12085" xr:uid="{00000000-0005-0000-0000-0000730E0000}"/>
    <cellStyle name="40% - Énfasis6 3 2 2 2" xfId="12090" xr:uid="{00000000-0005-0000-0000-0000740E0000}"/>
    <cellStyle name="40% - Énfasis6 3 2 2 2 2" xfId="12094" xr:uid="{00000000-0005-0000-0000-0000750E0000}"/>
    <cellStyle name="40% - Énfasis6 3 2 2 2 2 2" xfId="12096" xr:uid="{00000000-0005-0000-0000-0000760E0000}"/>
    <cellStyle name="40% - Énfasis6 3 2 2 2 2 2 2" xfId="9255" xr:uid="{00000000-0005-0000-0000-0000770E0000}"/>
    <cellStyle name="40% - Énfasis6 3 2 2 2 2 2 2 2" xfId="9260" xr:uid="{00000000-0005-0000-0000-0000780E0000}"/>
    <cellStyle name="40% - Énfasis6 3 2 2 2 2 2 3" xfId="9268" xr:uid="{00000000-0005-0000-0000-0000790E0000}"/>
    <cellStyle name="40% - Énfasis6 3 2 2 2 2 3" xfId="12100" xr:uid="{00000000-0005-0000-0000-00007A0E0000}"/>
    <cellStyle name="40% - Énfasis6 3 2 2 2 2 3 2" xfId="8537" xr:uid="{00000000-0005-0000-0000-00007B0E0000}"/>
    <cellStyle name="40% - Énfasis6 3 2 2 2 2 4" xfId="12103" xr:uid="{00000000-0005-0000-0000-00007C0E0000}"/>
    <cellStyle name="40% - Énfasis6 3 2 2 2 3" xfId="12107" xr:uid="{00000000-0005-0000-0000-00007D0E0000}"/>
    <cellStyle name="40% - Énfasis6 3 2 2 2 3 2" xfId="12111" xr:uid="{00000000-0005-0000-0000-00007E0E0000}"/>
    <cellStyle name="40% - Énfasis6 3 2 2 2 3 2 2" xfId="1736" xr:uid="{00000000-0005-0000-0000-00007F0E0000}"/>
    <cellStyle name="40% - Énfasis6 3 2 2 2 3 3" xfId="12116" xr:uid="{00000000-0005-0000-0000-0000800E0000}"/>
    <cellStyle name="40% - Énfasis6 3 2 2 2 4" xfId="12121" xr:uid="{00000000-0005-0000-0000-0000810E0000}"/>
    <cellStyle name="40% - Énfasis6 3 2 2 2 4 2" xfId="12125" xr:uid="{00000000-0005-0000-0000-0000820E0000}"/>
    <cellStyle name="40% - Énfasis6 3 2 2 2 4 2 2" xfId="2104" xr:uid="{00000000-0005-0000-0000-0000830E0000}"/>
    <cellStyle name="40% - Énfasis6 3 2 2 2 4 3" xfId="12129" xr:uid="{00000000-0005-0000-0000-0000840E0000}"/>
    <cellStyle name="40% - Énfasis6 3 2 2 2 5" xfId="12131" xr:uid="{00000000-0005-0000-0000-0000850E0000}"/>
    <cellStyle name="40% - Énfasis6 3 2 2 2 5 2" xfId="12134" xr:uid="{00000000-0005-0000-0000-0000860E0000}"/>
    <cellStyle name="40% - Énfasis6 3 2 2 2 6" xfId="12139" xr:uid="{00000000-0005-0000-0000-0000870E0000}"/>
    <cellStyle name="40% - Énfasis6 3 2 2 2 6 2" xfId="12147" xr:uid="{00000000-0005-0000-0000-0000880E0000}"/>
    <cellStyle name="40% - Énfasis6 3 2 2 2 7" xfId="12151" xr:uid="{00000000-0005-0000-0000-0000890E0000}"/>
    <cellStyle name="40% - Énfasis6 3 2 2 3" xfId="10491" xr:uid="{00000000-0005-0000-0000-00008A0E0000}"/>
    <cellStyle name="40% - Énfasis6 3 2 2 3 2" xfId="10497" xr:uid="{00000000-0005-0000-0000-00008B0E0000}"/>
    <cellStyle name="40% - Énfasis6 3 2 2 3 2 2" xfId="4634" xr:uid="{00000000-0005-0000-0000-00008C0E0000}"/>
    <cellStyle name="40% - Énfasis6 3 2 2 3 2 2 2" xfId="4642" xr:uid="{00000000-0005-0000-0000-00008D0E0000}"/>
    <cellStyle name="40% - Énfasis6 3 2 2 3 2 3" xfId="2013" xr:uid="{00000000-0005-0000-0000-00008E0E0000}"/>
    <cellStyle name="40% - Énfasis6 3 2 2 3 3" xfId="10772" xr:uid="{00000000-0005-0000-0000-00008F0E0000}"/>
    <cellStyle name="40% - Énfasis6 3 2 2 3 3 2" xfId="1820" xr:uid="{00000000-0005-0000-0000-0000900E0000}"/>
    <cellStyle name="40% - Énfasis6 3 2 2 3 4" xfId="1828" xr:uid="{00000000-0005-0000-0000-0000910E0000}"/>
    <cellStyle name="40% - Énfasis6 3 2 2 4" xfId="10504" xr:uid="{00000000-0005-0000-0000-0000920E0000}"/>
    <cellStyle name="40% - Énfasis6 3 2 2 4 2" xfId="10778" xr:uid="{00000000-0005-0000-0000-0000930E0000}"/>
    <cellStyle name="40% - Énfasis6 3 2 2 4 2 2" xfId="12153" xr:uid="{00000000-0005-0000-0000-0000940E0000}"/>
    <cellStyle name="40% - Énfasis6 3 2 2 4 3" xfId="12157" xr:uid="{00000000-0005-0000-0000-0000950E0000}"/>
    <cellStyle name="40% - Énfasis6 3 2 2 5" xfId="8403" xr:uid="{00000000-0005-0000-0000-0000960E0000}"/>
    <cellStyle name="40% - Énfasis6 3 2 2 5 2" xfId="8411" xr:uid="{00000000-0005-0000-0000-0000970E0000}"/>
    <cellStyle name="40% - Énfasis6 3 2 2 5 2 2" xfId="8416" xr:uid="{00000000-0005-0000-0000-0000980E0000}"/>
    <cellStyle name="40% - Énfasis6 3 2 2 5 3" xfId="966" xr:uid="{00000000-0005-0000-0000-0000990E0000}"/>
    <cellStyle name="40% - Énfasis6 3 2 2 6" xfId="8424" xr:uid="{00000000-0005-0000-0000-00009A0E0000}"/>
    <cellStyle name="40% - Énfasis6 3 2 2 6 2" xfId="8433" xr:uid="{00000000-0005-0000-0000-00009B0E0000}"/>
    <cellStyle name="40% - Énfasis6 3 2 2 7" xfId="8440" xr:uid="{00000000-0005-0000-0000-00009C0E0000}"/>
    <cellStyle name="40% - Énfasis6 3 2 2 7 2" xfId="8446" xr:uid="{00000000-0005-0000-0000-00009D0E0000}"/>
    <cellStyle name="40% - Énfasis6 3 2 2 8" xfId="8452" xr:uid="{00000000-0005-0000-0000-00009E0E0000}"/>
    <cellStyle name="40% - Énfasis6 3 2 2 9" xfId="8463" xr:uid="{00000000-0005-0000-0000-00009F0E0000}"/>
    <cellStyle name="40% - Énfasis6 3 2 3" xfId="11429" xr:uid="{00000000-0005-0000-0000-0000A00E0000}"/>
    <cellStyle name="40% - Énfasis6 3 2 3 2" xfId="7393" xr:uid="{00000000-0005-0000-0000-0000A10E0000}"/>
    <cellStyle name="40% - Énfasis6 3 2 3 2 2" xfId="7407" xr:uid="{00000000-0005-0000-0000-0000A20E0000}"/>
    <cellStyle name="40% - Énfasis6 3 2 3 2 2 2" xfId="5012" xr:uid="{00000000-0005-0000-0000-0000A30E0000}"/>
    <cellStyle name="40% - Énfasis6 3 2 3 2 2 2 2" xfId="5025" xr:uid="{00000000-0005-0000-0000-0000A40E0000}"/>
    <cellStyle name="40% - Énfasis6 3 2 3 2 2 3" xfId="5199" xr:uid="{00000000-0005-0000-0000-0000A50E0000}"/>
    <cellStyle name="40% - Énfasis6 3 2 3 2 3" xfId="12160" xr:uid="{00000000-0005-0000-0000-0000A60E0000}"/>
    <cellStyle name="40% - Énfasis6 3 2 3 2 3 2" xfId="2224" xr:uid="{00000000-0005-0000-0000-0000A70E0000}"/>
    <cellStyle name="40% - Énfasis6 3 2 3 2 4" xfId="12164" xr:uid="{00000000-0005-0000-0000-0000A80E0000}"/>
    <cellStyle name="40% - Énfasis6 3 2 3 3" xfId="7413" xr:uid="{00000000-0005-0000-0000-0000A90E0000}"/>
    <cellStyle name="40% - Énfasis6 3 2 3 3 2" xfId="10512" xr:uid="{00000000-0005-0000-0000-0000AA0E0000}"/>
    <cellStyle name="40% - Énfasis6 3 2 3 3 2 2" xfId="5877" xr:uid="{00000000-0005-0000-0000-0000AB0E0000}"/>
    <cellStyle name="40% - Énfasis6 3 2 3 3 3" xfId="12168" xr:uid="{00000000-0005-0000-0000-0000AC0E0000}"/>
    <cellStyle name="40% - Énfasis6 3 2 3 4" xfId="10522" xr:uid="{00000000-0005-0000-0000-0000AD0E0000}"/>
    <cellStyle name="40% - Énfasis6 3 2 3 4 2" xfId="12172" xr:uid="{00000000-0005-0000-0000-0000AE0E0000}"/>
    <cellStyle name="40% - Énfasis6 3 2 3 4 2 2" xfId="12177" xr:uid="{00000000-0005-0000-0000-0000AF0E0000}"/>
    <cellStyle name="40% - Énfasis6 3 2 3 4 3" xfId="12182" xr:uid="{00000000-0005-0000-0000-0000B00E0000}"/>
    <cellStyle name="40% - Énfasis6 3 2 3 5" xfId="146" xr:uid="{00000000-0005-0000-0000-0000B10E0000}"/>
    <cellStyle name="40% - Énfasis6 3 2 3 5 2" xfId="8476" xr:uid="{00000000-0005-0000-0000-0000B20E0000}"/>
    <cellStyle name="40% - Énfasis6 3 2 3 6" xfId="3033" xr:uid="{00000000-0005-0000-0000-0000B30E0000}"/>
    <cellStyle name="40% - Énfasis6 3 2 3 6 2" xfId="3058" xr:uid="{00000000-0005-0000-0000-0000B40E0000}"/>
    <cellStyle name="40% - Énfasis6 3 2 3 7" xfId="1567" xr:uid="{00000000-0005-0000-0000-0000B50E0000}"/>
    <cellStyle name="40% - Énfasis6 3 2 4" xfId="1589" xr:uid="{00000000-0005-0000-0000-0000B60E0000}"/>
    <cellStyle name="40% - Énfasis6 3 2 4 2" xfId="5349" xr:uid="{00000000-0005-0000-0000-0000B70E0000}"/>
    <cellStyle name="40% - Énfasis6 3 2 4 2 2" xfId="12193" xr:uid="{00000000-0005-0000-0000-0000B80E0000}"/>
    <cellStyle name="40% - Énfasis6 3 2 4 2 2 2" xfId="12197" xr:uid="{00000000-0005-0000-0000-0000B90E0000}"/>
    <cellStyle name="40% - Énfasis6 3 2 4 2 3" xfId="11719" xr:uid="{00000000-0005-0000-0000-0000BA0E0000}"/>
    <cellStyle name="40% - Énfasis6 3 2 4 3" xfId="10530" xr:uid="{00000000-0005-0000-0000-0000BB0E0000}"/>
    <cellStyle name="40% - Énfasis6 3 2 4 3 2" xfId="10784" xr:uid="{00000000-0005-0000-0000-0000BC0E0000}"/>
    <cellStyle name="40% - Énfasis6 3 2 4 4" xfId="10789" xr:uid="{00000000-0005-0000-0000-0000BD0E0000}"/>
    <cellStyle name="40% - Énfasis6 3 2 5" xfId="5366" xr:uid="{00000000-0005-0000-0000-0000BE0E0000}"/>
    <cellStyle name="40% - Énfasis6 3 2 5 2" xfId="7455" xr:uid="{00000000-0005-0000-0000-0000BF0E0000}"/>
    <cellStyle name="40% - Énfasis6 3 2 5 2 2" xfId="12199" xr:uid="{00000000-0005-0000-0000-0000C00E0000}"/>
    <cellStyle name="40% - Énfasis6 3 2 5 3" xfId="10539" xr:uid="{00000000-0005-0000-0000-0000C10E0000}"/>
    <cellStyle name="40% - Énfasis6 3 2 6" xfId="12201" xr:uid="{00000000-0005-0000-0000-0000C20E0000}"/>
    <cellStyle name="40% - Énfasis6 3 2 6 2" xfId="12202" xr:uid="{00000000-0005-0000-0000-0000C30E0000}"/>
    <cellStyle name="40% - Énfasis6 3 2 6 2 2" xfId="9298" xr:uid="{00000000-0005-0000-0000-0000C40E0000}"/>
    <cellStyle name="40% - Énfasis6 3 2 6 3" xfId="10097" xr:uid="{00000000-0005-0000-0000-0000C50E0000}"/>
    <cellStyle name="40% - Énfasis6 3 2 7" xfId="7900" xr:uid="{00000000-0005-0000-0000-0000C60E0000}"/>
    <cellStyle name="40% - Énfasis6 3 2 7 2" xfId="11471" xr:uid="{00000000-0005-0000-0000-0000C70E0000}"/>
    <cellStyle name="40% - Énfasis6 3 2 8" xfId="12207" xr:uid="{00000000-0005-0000-0000-0000C80E0000}"/>
    <cellStyle name="40% - Énfasis6 3 2 8 2" xfId="12210" xr:uid="{00000000-0005-0000-0000-0000C90E0000}"/>
    <cellStyle name="40% - Énfasis6 3 2 9" xfId="12214" xr:uid="{00000000-0005-0000-0000-0000CA0E0000}"/>
    <cellStyle name="40% - Énfasis6 3 3" xfId="5087" xr:uid="{00000000-0005-0000-0000-0000CB0E0000}"/>
    <cellStyle name="40% - Énfasis6 3 3 2" xfId="12219" xr:uid="{00000000-0005-0000-0000-0000CC0E0000}"/>
    <cellStyle name="40% - Énfasis6 3 3 2 2" xfId="12226" xr:uid="{00000000-0005-0000-0000-0000CD0E0000}"/>
    <cellStyle name="40% - Énfasis6 3 3 2 2 2" xfId="11634" xr:uid="{00000000-0005-0000-0000-0000CE0E0000}"/>
    <cellStyle name="40% - Énfasis6 3 3 2 2 2 2" xfId="11640" xr:uid="{00000000-0005-0000-0000-0000CF0E0000}"/>
    <cellStyle name="40% - Énfasis6 3 3 2 2 2 2 2" xfId="10145" xr:uid="{00000000-0005-0000-0000-0000D00E0000}"/>
    <cellStyle name="40% - Énfasis6 3 3 2 2 2 3" xfId="3602" xr:uid="{00000000-0005-0000-0000-0000D10E0000}"/>
    <cellStyle name="40% - Énfasis6 3 3 2 2 3" xfId="11646" xr:uid="{00000000-0005-0000-0000-0000D20E0000}"/>
    <cellStyle name="40% - Énfasis6 3 3 2 2 3 2" xfId="11651" xr:uid="{00000000-0005-0000-0000-0000D30E0000}"/>
    <cellStyle name="40% - Énfasis6 3 3 2 2 4" xfId="11660" xr:uid="{00000000-0005-0000-0000-0000D40E0000}"/>
    <cellStyle name="40% - Énfasis6 3 3 2 3" xfId="10571" xr:uid="{00000000-0005-0000-0000-0000D50E0000}"/>
    <cellStyle name="40% - Énfasis6 3 3 2 3 2" xfId="10575" xr:uid="{00000000-0005-0000-0000-0000D60E0000}"/>
    <cellStyle name="40% - Énfasis6 3 3 2 3 2 2" xfId="12227" xr:uid="{00000000-0005-0000-0000-0000D70E0000}"/>
    <cellStyle name="40% - Énfasis6 3 3 2 3 3" xfId="12231" xr:uid="{00000000-0005-0000-0000-0000D80E0000}"/>
    <cellStyle name="40% - Énfasis6 3 3 2 4" xfId="10581" xr:uid="{00000000-0005-0000-0000-0000D90E0000}"/>
    <cellStyle name="40% - Énfasis6 3 3 2 4 2" xfId="12234" xr:uid="{00000000-0005-0000-0000-0000DA0E0000}"/>
    <cellStyle name="40% - Énfasis6 3 3 2 4 2 2" xfId="12235" xr:uid="{00000000-0005-0000-0000-0000DB0E0000}"/>
    <cellStyle name="40% - Énfasis6 3 3 2 4 3" xfId="12244" xr:uid="{00000000-0005-0000-0000-0000DC0E0000}"/>
    <cellStyle name="40% - Énfasis6 3 3 2 5" xfId="9020" xr:uid="{00000000-0005-0000-0000-0000DD0E0000}"/>
    <cellStyle name="40% - Énfasis6 3 3 2 5 2" xfId="9025" xr:uid="{00000000-0005-0000-0000-0000DE0E0000}"/>
    <cellStyle name="40% - Énfasis6 3 3 2 6" xfId="9036" xr:uid="{00000000-0005-0000-0000-0000DF0E0000}"/>
    <cellStyle name="40% - Énfasis6 3 3 2 6 2" xfId="9040" xr:uid="{00000000-0005-0000-0000-0000E00E0000}"/>
    <cellStyle name="40% - Énfasis6 3 3 2 7" xfId="1375" xr:uid="{00000000-0005-0000-0000-0000E10E0000}"/>
    <cellStyle name="40% - Énfasis6 3 3 3" xfId="12248" xr:uid="{00000000-0005-0000-0000-0000E20E0000}"/>
    <cellStyle name="40% - Énfasis6 3 3 3 2" xfId="7507" xr:uid="{00000000-0005-0000-0000-0000E30E0000}"/>
    <cellStyle name="40% - Énfasis6 3 3 3 2 2" xfId="11726" xr:uid="{00000000-0005-0000-0000-0000E40E0000}"/>
    <cellStyle name="40% - Énfasis6 3 3 3 2 2 2" xfId="12249" xr:uid="{00000000-0005-0000-0000-0000E50E0000}"/>
    <cellStyle name="40% - Énfasis6 3 3 3 2 3" xfId="12251" xr:uid="{00000000-0005-0000-0000-0000E60E0000}"/>
    <cellStyle name="40% - Énfasis6 3 3 3 3" xfId="10592" xr:uid="{00000000-0005-0000-0000-0000E70E0000}"/>
    <cellStyle name="40% - Énfasis6 3 3 3 3 2" xfId="12255" xr:uid="{00000000-0005-0000-0000-0000E80E0000}"/>
    <cellStyle name="40% - Énfasis6 3 3 3 4" xfId="12256" xr:uid="{00000000-0005-0000-0000-0000E90E0000}"/>
    <cellStyle name="40% - Énfasis6 3 3 4" xfId="3836" xr:uid="{00000000-0005-0000-0000-0000EA0E0000}"/>
    <cellStyle name="40% - Énfasis6 3 3 4 2" xfId="413" xr:uid="{00000000-0005-0000-0000-0000EB0E0000}"/>
    <cellStyle name="40% - Énfasis6 3 3 4 2 2" xfId="12259" xr:uid="{00000000-0005-0000-0000-0000EC0E0000}"/>
    <cellStyle name="40% - Énfasis6 3 3 4 3" xfId="10601" xr:uid="{00000000-0005-0000-0000-0000ED0E0000}"/>
    <cellStyle name="40% - Énfasis6 3 3 5" xfId="5377" xr:uid="{00000000-0005-0000-0000-0000EE0E0000}"/>
    <cellStyle name="40% - Énfasis6 3 3 5 2" xfId="12260" xr:uid="{00000000-0005-0000-0000-0000EF0E0000}"/>
    <cellStyle name="40% - Énfasis6 3 3 5 2 2" xfId="12265" xr:uid="{00000000-0005-0000-0000-0000F00E0000}"/>
    <cellStyle name="40% - Énfasis6 3 3 5 3" xfId="12268" xr:uid="{00000000-0005-0000-0000-0000F10E0000}"/>
    <cellStyle name="40% - Énfasis6 3 3 6" xfId="12270" xr:uid="{00000000-0005-0000-0000-0000F20E0000}"/>
    <cellStyle name="40% - Énfasis6 3 3 6 2" xfId="12276" xr:uid="{00000000-0005-0000-0000-0000F30E0000}"/>
    <cellStyle name="40% - Énfasis6 3 3 7" xfId="12278" xr:uid="{00000000-0005-0000-0000-0000F40E0000}"/>
    <cellStyle name="40% - Énfasis6 3 3 7 2" xfId="12280" xr:uid="{00000000-0005-0000-0000-0000F50E0000}"/>
    <cellStyle name="40% - Énfasis6 3 4" xfId="12285" xr:uid="{00000000-0005-0000-0000-0000F60E0000}"/>
    <cellStyle name="40% - Énfasis6 3 4 2" xfId="12289" xr:uid="{00000000-0005-0000-0000-0000F70E0000}"/>
    <cellStyle name="40% - Énfasis6 3 4 2 2" xfId="12295" xr:uid="{00000000-0005-0000-0000-0000F80E0000}"/>
    <cellStyle name="40% - Énfasis6 3 4 2 2 2" xfId="11294" xr:uid="{00000000-0005-0000-0000-0000F90E0000}"/>
    <cellStyle name="40% - Énfasis6 3 4 2 2 2 2" xfId="11298" xr:uid="{00000000-0005-0000-0000-0000FA0E0000}"/>
    <cellStyle name="40% - Énfasis6 3 4 2 2 2 2 2" xfId="9140" xr:uid="{00000000-0005-0000-0000-0000FB0E0000}"/>
    <cellStyle name="40% - Énfasis6 3 4 2 2 2 3" xfId="12296" xr:uid="{00000000-0005-0000-0000-0000FC0E0000}"/>
    <cellStyle name="40% - Énfasis6 3 4 2 2 3" xfId="8594" xr:uid="{00000000-0005-0000-0000-0000FD0E0000}"/>
    <cellStyle name="40% - Énfasis6 3 4 2 2 3 2" xfId="12298" xr:uid="{00000000-0005-0000-0000-0000FE0E0000}"/>
    <cellStyle name="40% - Énfasis6 3 4 2 2 4" xfId="12301" xr:uid="{00000000-0005-0000-0000-0000FF0E0000}"/>
    <cellStyle name="40% - Énfasis6 3 4 2 3" xfId="1722" xr:uid="{00000000-0005-0000-0000-0000000F0000}"/>
    <cellStyle name="40% - Énfasis6 3 4 2 3 2" xfId="1733" xr:uid="{00000000-0005-0000-0000-0000010F0000}"/>
    <cellStyle name="40% - Énfasis6 3 4 2 3 2 2" xfId="1746" xr:uid="{00000000-0005-0000-0000-0000020F0000}"/>
    <cellStyle name="40% - Énfasis6 3 4 2 3 3" xfId="1761" xr:uid="{00000000-0005-0000-0000-0000030F0000}"/>
    <cellStyle name="40% - Énfasis6 3 4 2 4" xfId="1768" xr:uid="{00000000-0005-0000-0000-0000040F0000}"/>
    <cellStyle name="40% - Énfasis6 3 4 2 4 2" xfId="1777" xr:uid="{00000000-0005-0000-0000-0000050F0000}"/>
    <cellStyle name="40% - Énfasis6 3 4 2 4 2 2" xfId="2098" xr:uid="{00000000-0005-0000-0000-0000060F0000}"/>
    <cellStyle name="40% - Énfasis6 3 4 2 4 3" xfId="1751" xr:uid="{00000000-0005-0000-0000-0000070F0000}"/>
    <cellStyle name="40% - Énfasis6 3 4 2 5" xfId="1790" xr:uid="{00000000-0005-0000-0000-0000080F0000}"/>
    <cellStyle name="40% - Énfasis6 3 4 2 5 2" xfId="12305" xr:uid="{00000000-0005-0000-0000-0000090F0000}"/>
    <cellStyle name="40% - Énfasis6 3 4 2 6" xfId="12307" xr:uid="{00000000-0005-0000-0000-00000A0F0000}"/>
    <cellStyle name="40% - Énfasis6 3 4 2 6 2" xfId="12308" xr:uid="{00000000-0005-0000-0000-00000B0F0000}"/>
    <cellStyle name="40% - Énfasis6 3 4 2 7" xfId="1701" xr:uid="{00000000-0005-0000-0000-00000C0F0000}"/>
    <cellStyle name="40% - Énfasis6 3 4 3" xfId="12317" xr:uid="{00000000-0005-0000-0000-00000D0F0000}"/>
    <cellStyle name="40% - Énfasis6 3 4 3 2" xfId="12319" xr:uid="{00000000-0005-0000-0000-00000E0F0000}"/>
    <cellStyle name="40% - Énfasis6 3 4 3 2 2" xfId="12324" xr:uid="{00000000-0005-0000-0000-00000F0F0000}"/>
    <cellStyle name="40% - Énfasis6 3 4 3 2 2 2" xfId="12325" xr:uid="{00000000-0005-0000-0000-0000100F0000}"/>
    <cellStyle name="40% - Énfasis6 3 4 3 2 3" xfId="12330" xr:uid="{00000000-0005-0000-0000-0000110F0000}"/>
    <cellStyle name="40% - Énfasis6 3 4 3 3" xfId="1808" xr:uid="{00000000-0005-0000-0000-0000120F0000}"/>
    <cellStyle name="40% - Énfasis6 3 4 3 3 2" xfId="1815" xr:uid="{00000000-0005-0000-0000-0000130F0000}"/>
    <cellStyle name="40% - Énfasis6 3 4 3 4" xfId="1835" xr:uid="{00000000-0005-0000-0000-0000140F0000}"/>
    <cellStyle name="40% - Énfasis6 3 4 4" xfId="5242" xr:uid="{00000000-0005-0000-0000-0000150F0000}"/>
    <cellStyle name="40% - Énfasis6 3 4 4 2" xfId="12333" xr:uid="{00000000-0005-0000-0000-0000160F0000}"/>
    <cellStyle name="40% - Énfasis6 3 4 4 2 2" xfId="12335" xr:uid="{00000000-0005-0000-0000-0000170F0000}"/>
    <cellStyle name="40% - Énfasis6 3 4 4 3" xfId="882" xr:uid="{00000000-0005-0000-0000-0000180F0000}"/>
    <cellStyle name="40% - Énfasis6 3 4 5" xfId="12337" xr:uid="{00000000-0005-0000-0000-0000190F0000}"/>
    <cellStyle name="40% - Énfasis6 3 4 5 2" xfId="8405" xr:uid="{00000000-0005-0000-0000-00001A0F0000}"/>
    <cellStyle name="40% - Énfasis6 3 4 5 2 2" xfId="12343" xr:uid="{00000000-0005-0000-0000-00001B0F0000}"/>
    <cellStyle name="40% - Énfasis6 3 4 5 3" xfId="971" xr:uid="{00000000-0005-0000-0000-00001C0F0000}"/>
    <cellStyle name="40% - Énfasis6 3 4 6" xfId="12344" xr:uid="{00000000-0005-0000-0000-00001D0F0000}"/>
    <cellStyle name="40% - Énfasis6 3 4 6 2" xfId="12346" xr:uid="{00000000-0005-0000-0000-00001E0F0000}"/>
    <cellStyle name="40% - Énfasis6 3 4 7" xfId="12348" xr:uid="{00000000-0005-0000-0000-00001F0F0000}"/>
    <cellStyle name="40% - Énfasis6 3 4 7 2" xfId="12349" xr:uid="{00000000-0005-0000-0000-0000200F0000}"/>
    <cellStyle name="40% - Énfasis6 3 4 8" xfId="11185" xr:uid="{00000000-0005-0000-0000-0000210F0000}"/>
    <cellStyle name="40% - Énfasis6 3 4 9" xfId="11195" xr:uid="{00000000-0005-0000-0000-0000220F0000}"/>
    <cellStyle name="40% - Énfasis6 3 5" xfId="10428" xr:uid="{00000000-0005-0000-0000-0000230F0000}"/>
    <cellStyle name="40% - Énfasis6 3 5 2" xfId="9509" xr:uid="{00000000-0005-0000-0000-0000240F0000}"/>
    <cellStyle name="40% - Énfasis6 3 5 2 2" xfId="10433" xr:uid="{00000000-0005-0000-0000-0000250F0000}"/>
    <cellStyle name="40% - Énfasis6 3 5 2 2 2" xfId="10440" xr:uid="{00000000-0005-0000-0000-0000260F0000}"/>
    <cellStyle name="40% - Énfasis6 3 5 2 2 2 2" xfId="12350" xr:uid="{00000000-0005-0000-0000-0000270F0000}"/>
    <cellStyle name="40% - Énfasis6 3 5 2 2 2 2 2" xfId="12351" xr:uid="{00000000-0005-0000-0000-0000280F0000}"/>
    <cellStyle name="40% - Énfasis6 3 5 2 2 2 3" xfId="12352" xr:uid="{00000000-0005-0000-0000-0000290F0000}"/>
    <cellStyle name="40% - Énfasis6 3 5 2 2 3" xfId="5191" xr:uid="{00000000-0005-0000-0000-00002A0F0000}"/>
    <cellStyle name="40% - Énfasis6 3 5 2 2 3 2" xfId="12353" xr:uid="{00000000-0005-0000-0000-00002B0F0000}"/>
    <cellStyle name="40% - Énfasis6 3 5 2 2 4" xfId="12356" xr:uid="{00000000-0005-0000-0000-00002C0F0000}"/>
    <cellStyle name="40% - Énfasis6 3 5 2 3" xfId="486" xr:uid="{00000000-0005-0000-0000-00002D0F0000}"/>
    <cellStyle name="40% - Énfasis6 3 5 2 3 2" xfId="2220" xr:uid="{00000000-0005-0000-0000-00002E0F0000}"/>
    <cellStyle name="40% - Énfasis6 3 5 2 3 2 2" xfId="12360" xr:uid="{00000000-0005-0000-0000-00002F0F0000}"/>
    <cellStyle name="40% - Énfasis6 3 5 2 3 3" xfId="12364" xr:uid="{00000000-0005-0000-0000-0000300F0000}"/>
    <cellStyle name="40% - Énfasis6 3 5 2 4" xfId="579" xr:uid="{00000000-0005-0000-0000-0000310F0000}"/>
    <cellStyle name="40% - Énfasis6 3 5 2 4 2" xfId="12367" xr:uid="{00000000-0005-0000-0000-0000320F0000}"/>
    <cellStyle name="40% - Énfasis6 3 5 2 4 2 2" xfId="12368" xr:uid="{00000000-0005-0000-0000-0000330F0000}"/>
    <cellStyle name="40% - Énfasis6 3 5 2 4 3" xfId="12370" xr:uid="{00000000-0005-0000-0000-0000340F0000}"/>
    <cellStyle name="40% - Énfasis6 3 5 2 5" xfId="11830" xr:uid="{00000000-0005-0000-0000-0000350F0000}"/>
    <cellStyle name="40% - Énfasis6 3 5 2 5 2" xfId="12377" xr:uid="{00000000-0005-0000-0000-0000360F0000}"/>
    <cellStyle name="40% - Énfasis6 3 5 2 6" xfId="12379" xr:uid="{00000000-0005-0000-0000-0000370F0000}"/>
    <cellStyle name="40% - Énfasis6 3 5 2 6 2" xfId="12384" xr:uid="{00000000-0005-0000-0000-0000380F0000}"/>
    <cellStyle name="40% - Énfasis6 3 5 2 7" xfId="12311" xr:uid="{00000000-0005-0000-0000-0000390F0000}"/>
    <cellStyle name="40% - Énfasis6 3 5 3" xfId="10446" xr:uid="{00000000-0005-0000-0000-00003A0F0000}"/>
    <cellStyle name="40% - Énfasis6 3 5 3 2" xfId="10451" xr:uid="{00000000-0005-0000-0000-00003B0F0000}"/>
    <cellStyle name="40% - Énfasis6 3 5 3 2 2" xfId="5871" xr:uid="{00000000-0005-0000-0000-00003C0F0000}"/>
    <cellStyle name="40% - Énfasis6 3 5 3 2 2 2" xfId="5899" xr:uid="{00000000-0005-0000-0000-00003D0F0000}"/>
    <cellStyle name="40% - Énfasis6 3 5 3 2 3" xfId="2519" xr:uid="{00000000-0005-0000-0000-00003E0F0000}"/>
    <cellStyle name="40% - Énfasis6 3 5 3 3" xfId="2259" xr:uid="{00000000-0005-0000-0000-00003F0F0000}"/>
    <cellStyle name="40% - Énfasis6 3 5 3 3 2" xfId="2265" xr:uid="{00000000-0005-0000-0000-0000400F0000}"/>
    <cellStyle name="40% - Énfasis6 3 5 3 4" xfId="2275" xr:uid="{00000000-0005-0000-0000-0000410F0000}"/>
    <cellStyle name="40% - Énfasis6 3 5 4" xfId="5415" xr:uid="{00000000-0005-0000-0000-0000420F0000}"/>
    <cellStyle name="40% - Énfasis6 3 5 4 2" xfId="8047" xr:uid="{00000000-0005-0000-0000-0000430F0000}"/>
    <cellStyle name="40% - Énfasis6 3 5 4 2 2" xfId="6853" xr:uid="{00000000-0005-0000-0000-0000440F0000}"/>
    <cellStyle name="40% - Énfasis6 3 5 4 3" xfId="1188" xr:uid="{00000000-0005-0000-0000-0000450F0000}"/>
    <cellStyle name="40% - Énfasis6 3 5 5" xfId="152" xr:uid="{00000000-0005-0000-0000-0000460F0000}"/>
    <cellStyle name="40% - Énfasis6 3 5 5 2" xfId="12386" xr:uid="{00000000-0005-0000-0000-0000470F0000}"/>
    <cellStyle name="40% - Énfasis6 3 5 5 2 2" xfId="7071" xr:uid="{00000000-0005-0000-0000-0000480F0000}"/>
    <cellStyle name="40% - Énfasis6 3 5 5 3" xfId="1268" xr:uid="{00000000-0005-0000-0000-0000490F0000}"/>
    <cellStyle name="40% - Énfasis6 3 5 6" xfId="3043" xr:uid="{00000000-0005-0000-0000-00004A0F0000}"/>
    <cellStyle name="40% - Énfasis6 3 5 6 2" xfId="3067" xr:uid="{00000000-0005-0000-0000-00004B0F0000}"/>
    <cellStyle name="40% - Énfasis6 3 5 7" xfId="1575" xr:uid="{00000000-0005-0000-0000-00004C0F0000}"/>
    <cellStyle name="40% - Énfasis6 3 5 7 2" xfId="1588" xr:uid="{00000000-0005-0000-0000-00004D0F0000}"/>
    <cellStyle name="40% - Énfasis6 3 5 8" xfId="1614" xr:uid="{00000000-0005-0000-0000-00004E0F0000}"/>
    <cellStyle name="40% - Énfasis6 3 6" xfId="1582" xr:uid="{00000000-0005-0000-0000-00004F0F0000}"/>
    <cellStyle name="40% - Énfasis6 3 6 2" xfId="10460" xr:uid="{00000000-0005-0000-0000-0000500F0000}"/>
    <cellStyle name="40% - Énfasis6 3 6 2 2" xfId="10465" xr:uid="{00000000-0005-0000-0000-0000510F0000}"/>
    <cellStyle name="40% - Énfasis6 3 6 2 2 2" xfId="11934" xr:uid="{00000000-0005-0000-0000-0000520F0000}"/>
    <cellStyle name="40% - Énfasis6 3 6 2 2 2 2" xfId="12388" xr:uid="{00000000-0005-0000-0000-0000530F0000}"/>
    <cellStyle name="40% - Énfasis6 3 6 2 2 3" xfId="12389" xr:uid="{00000000-0005-0000-0000-0000540F0000}"/>
    <cellStyle name="40% - Énfasis6 3 6 2 3" xfId="513" xr:uid="{00000000-0005-0000-0000-0000550F0000}"/>
    <cellStyle name="40% - Énfasis6 3 6 2 3 2" xfId="871" xr:uid="{00000000-0005-0000-0000-0000560F0000}"/>
    <cellStyle name="40% - Énfasis6 3 6 2 4" xfId="617" xr:uid="{00000000-0005-0000-0000-0000570F0000}"/>
    <cellStyle name="40% - Énfasis6 3 6 3" xfId="10469" xr:uid="{00000000-0005-0000-0000-0000580F0000}"/>
    <cellStyle name="40% - Énfasis6 3 6 3 2" xfId="12394" xr:uid="{00000000-0005-0000-0000-0000590F0000}"/>
    <cellStyle name="40% - Énfasis6 3 6 3 2 2" xfId="12396" xr:uid="{00000000-0005-0000-0000-00005A0F0000}"/>
    <cellStyle name="40% - Énfasis6 3 6 3 3" xfId="2825" xr:uid="{00000000-0005-0000-0000-00005B0F0000}"/>
    <cellStyle name="40% - Énfasis6 3 6 4" xfId="8056" xr:uid="{00000000-0005-0000-0000-00005C0F0000}"/>
    <cellStyle name="40% - Énfasis6 3 6 4 2" xfId="12399" xr:uid="{00000000-0005-0000-0000-00005D0F0000}"/>
    <cellStyle name="40% - Énfasis6 3 6 4 2 2" xfId="12401" xr:uid="{00000000-0005-0000-0000-00005E0F0000}"/>
    <cellStyle name="40% - Énfasis6 3 6 4 3" xfId="1333" xr:uid="{00000000-0005-0000-0000-00005F0F0000}"/>
    <cellStyle name="40% - Énfasis6 3 6 5" xfId="12403" xr:uid="{00000000-0005-0000-0000-0000600F0000}"/>
    <cellStyle name="40% - Énfasis6 3 6 5 2" xfId="12407" xr:uid="{00000000-0005-0000-0000-0000610F0000}"/>
    <cellStyle name="40% - Énfasis6 3 6 6" xfId="3138" xr:uid="{00000000-0005-0000-0000-0000620F0000}"/>
    <cellStyle name="40% - Énfasis6 3 6 6 2" xfId="1495" xr:uid="{00000000-0005-0000-0000-0000630F0000}"/>
    <cellStyle name="40% - Énfasis6 3 6 7" xfId="1639" xr:uid="{00000000-0005-0000-0000-0000640F0000}"/>
    <cellStyle name="40% - Énfasis6 3 7" xfId="5361" xr:uid="{00000000-0005-0000-0000-0000650F0000}"/>
    <cellStyle name="40% - Énfasis6 3 7 2" xfId="7452" xr:uid="{00000000-0005-0000-0000-0000660F0000}"/>
    <cellStyle name="40% - Énfasis6 3 7 2 2" xfId="7761" xr:uid="{00000000-0005-0000-0000-0000670F0000}"/>
    <cellStyle name="40% - Énfasis6 3 7 2 2 2" xfId="2287" xr:uid="{00000000-0005-0000-0000-0000680F0000}"/>
    <cellStyle name="40% - Énfasis6 3 7 2 3" xfId="3145" xr:uid="{00000000-0005-0000-0000-0000690F0000}"/>
    <cellStyle name="40% - Énfasis6 3 7 3" xfId="7817" xr:uid="{00000000-0005-0000-0000-00006A0F0000}"/>
    <cellStyle name="40% - Énfasis6 3 7 3 2" xfId="7826" xr:uid="{00000000-0005-0000-0000-00006B0F0000}"/>
    <cellStyle name="40% - Énfasis6 3 7 4" xfId="7847" xr:uid="{00000000-0005-0000-0000-00006C0F0000}"/>
    <cellStyle name="40% - Énfasis6 3 8" xfId="7911" xr:uid="{00000000-0005-0000-0000-00006D0F0000}"/>
    <cellStyle name="40% - Énfasis6 3 8 2" xfId="7917" xr:uid="{00000000-0005-0000-0000-00006E0F0000}"/>
    <cellStyle name="40% - Énfasis6 3 8 2 2" xfId="7926" xr:uid="{00000000-0005-0000-0000-00006F0F0000}"/>
    <cellStyle name="40% - Énfasis6 3 8 3" xfId="3872" xr:uid="{00000000-0005-0000-0000-0000700F0000}"/>
    <cellStyle name="40% - Énfasis6 3 9" xfId="7894" xr:uid="{00000000-0005-0000-0000-0000710F0000}"/>
    <cellStyle name="40% - Énfasis6 3 9 2" xfId="8026" xr:uid="{00000000-0005-0000-0000-0000720F0000}"/>
    <cellStyle name="40% - Énfasis6 3 9 2 2" xfId="8033" xr:uid="{00000000-0005-0000-0000-0000730F0000}"/>
    <cellStyle name="40% - Énfasis6 3 9 3" xfId="3930" xr:uid="{00000000-0005-0000-0000-0000740F0000}"/>
    <cellStyle name="40% - Énfasis6 4" xfId="10877" xr:uid="{00000000-0005-0000-0000-0000750F0000}"/>
    <cellStyle name="40% - Énfasis6 4 2" xfId="12410" xr:uid="{00000000-0005-0000-0000-0000760F0000}"/>
    <cellStyle name="40% - Énfasis6 4 2 2" xfId="12412" xr:uid="{00000000-0005-0000-0000-0000770F0000}"/>
    <cellStyle name="40% - Énfasis6 4 2 2 2" xfId="12415" xr:uid="{00000000-0005-0000-0000-0000780F0000}"/>
    <cellStyle name="40% - Énfasis6 4 2 2 2 2" xfId="12417" xr:uid="{00000000-0005-0000-0000-0000790F0000}"/>
    <cellStyle name="40% - Énfasis6 4 2 2 3" xfId="10840" xr:uid="{00000000-0005-0000-0000-00007A0F0000}"/>
    <cellStyle name="40% - Énfasis6 4 2 2 4" xfId="10853" xr:uid="{00000000-0005-0000-0000-00007B0F0000}"/>
    <cellStyle name="40% - Énfasis6 4 2 3" xfId="12419" xr:uid="{00000000-0005-0000-0000-00007C0F0000}"/>
    <cellStyle name="40% - Énfasis6 4 2 3 2" xfId="12420" xr:uid="{00000000-0005-0000-0000-00007D0F0000}"/>
    <cellStyle name="40% - Énfasis6 4 2 4" xfId="2109" xr:uid="{00000000-0005-0000-0000-00007E0F0000}"/>
    <cellStyle name="40% - Énfasis6 4 2 4 2" xfId="12422" xr:uid="{00000000-0005-0000-0000-00007F0F0000}"/>
    <cellStyle name="40% - Énfasis6 4 2 5" xfId="12425" xr:uid="{00000000-0005-0000-0000-0000800F0000}"/>
    <cellStyle name="40% - Énfasis6 4 2 6" xfId="12427" xr:uid="{00000000-0005-0000-0000-0000810F0000}"/>
    <cellStyle name="40% - Énfasis6 4 3" xfId="12429" xr:uid="{00000000-0005-0000-0000-0000820F0000}"/>
    <cellStyle name="40% - Énfasis6 4 3 2" xfId="12432" xr:uid="{00000000-0005-0000-0000-0000830F0000}"/>
    <cellStyle name="40% - Énfasis6 4 3 2 2" xfId="12074" xr:uid="{00000000-0005-0000-0000-0000840F0000}"/>
    <cellStyle name="40% - Énfasis6 4 3 3" xfId="12434" xr:uid="{00000000-0005-0000-0000-0000850F0000}"/>
    <cellStyle name="40% - Énfasis6 4 3 4" xfId="6796" xr:uid="{00000000-0005-0000-0000-0000860F0000}"/>
    <cellStyle name="40% - Énfasis6 4 4" xfId="12436" xr:uid="{00000000-0005-0000-0000-0000870F0000}"/>
    <cellStyle name="40% - Énfasis6 4 4 2" xfId="12439" xr:uid="{00000000-0005-0000-0000-0000880F0000}"/>
    <cellStyle name="40% - Énfasis6 4 4 2 2" xfId="12442" xr:uid="{00000000-0005-0000-0000-0000890F0000}"/>
    <cellStyle name="40% - Énfasis6 4 4 3" xfId="12443" xr:uid="{00000000-0005-0000-0000-00008A0F0000}"/>
    <cellStyle name="40% - Énfasis6 4 5" xfId="10474" xr:uid="{00000000-0005-0000-0000-00008B0F0000}"/>
    <cellStyle name="40% - Énfasis6 4 5 2" xfId="10478" xr:uid="{00000000-0005-0000-0000-00008C0F0000}"/>
    <cellStyle name="40% - Énfasis6 4 6" xfId="10481" xr:uid="{00000000-0005-0000-0000-00008D0F0000}"/>
    <cellStyle name="40% - Énfasis6 4 6 2" xfId="424" xr:uid="{00000000-0005-0000-0000-00008E0F0000}"/>
    <cellStyle name="40% - Énfasis6 4 7" xfId="5373" xr:uid="{00000000-0005-0000-0000-00008F0F0000}"/>
    <cellStyle name="40% - Énfasis6 4 8" xfId="8342" xr:uid="{00000000-0005-0000-0000-0000900F0000}"/>
    <cellStyle name="40% - Énfasis6 5" xfId="12446" xr:uid="{00000000-0005-0000-0000-0000910F0000}"/>
    <cellStyle name="40% - Énfasis6 5 2" xfId="12448" xr:uid="{00000000-0005-0000-0000-0000920F0000}"/>
    <cellStyle name="40% - Énfasis6 5 2 2" xfId="12450" xr:uid="{00000000-0005-0000-0000-0000930F0000}"/>
    <cellStyle name="40% - Énfasis6 5 2 2 2" xfId="12451" xr:uid="{00000000-0005-0000-0000-0000940F0000}"/>
    <cellStyle name="40% - Énfasis6 5 2 3" xfId="12452" xr:uid="{00000000-0005-0000-0000-0000950F0000}"/>
    <cellStyle name="40% - Énfasis6 5 2 4" xfId="1149" xr:uid="{00000000-0005-0000-0000-0000960F0000}"/>
    <cellStyle name="40% - Énfasis6 5 3" xfId="12454" xr:uid="{00000000-0005-0000-0000-0000970F0000}"/>
    <cellStyle name="40% - Énfasis6 5 3 2" xfId="12457" xr:uid="{00000000-0005-0000-0000-0000980F0000}"/>
    <cellStyle name="40% - Énfasis6 5 3 2 2" xfId="12462" xr:uid="{00000000-0005-0000-0000-0000990F0000}"/>
    <cellStyle name="40% - Énfasis6 5 3 3" xfId="12464" xr:uid="{00000000-0005-0000-0000-00009A0F0000}"/>
    <cellStyle name="40% - Énfasis6 5 4" xfId="12087" xr:uid="{00000000-0005-0000-0000-00009B0F0000}"/>
    <cellStyle name="40% - Énfasis6 5 4 2" xfId="12091" xr:uid="{00000000-0005-0000-0000-00009C0F0000}"/>
    <cellStyle name="40% - Énfasis6 5 5" xfId="10486" xr:uid="{00000000-0005-0000-0000-00009D0F0000}"/>
    <cellStyle name="40% - Énfasis6 5 5 2" xfId="10492" xr:uid="{00000000-0005-0000-0000-00009E0F0000}"/>
    <cellStyle name="40% - Énfasis6 5 6" xfId="10498" xr:uid="{00000000-0005-0000-0000-00009F0F0000}"/>
    <cellStyle name="40% - Énfasis6 5 7" xfId="8398" xr:uid="{00000000-0005-0000-0000-0000A00F0000}"/>
    <cellStyle name="40% - Énfasis6 6" xfId="12465" xr:uid="{00000000-0005-0000-0000-0000A10F0000}"/>
    <cellStyle name="40% - Énfasis6 6 2" xfId="12466" xr:uid="{00000000-0005-0000-0000-0000A20F0000}"/>
    <cellStyle name="40% - Énfasis6 6 2 2" xfId="8995" xr:uid="{00000000-0005-0000-0000-0000A30F0000}"/>
    <cellStyle name="40% - Énfasis6 6 2 2 2" xfId="12470" xr:uid="{00000000-0005-0000-0000-0000A40F0000}"/>
    <cellStyle name="40% - Énfasis6 6 2 3" xfId="1886" xr:uid="{00000000-0005-0000-0000-0000A50F0000}"/>
    <cellStyle name="40% - Énfasis6 6 2 4" xfId="1978" xr:uid="{00000000-0005-0000-0000-0000A60F0000}"/>
    <cellStyle name="40% - Énfasis6 6 3" xfId="7385" xr:uid="{00000000-0005-0000-0000-0000A70F0000}"/>
    <cellStyle name="40% - Énfasis6 6 3 2" xfId="5970" xr:uid="{00000000-0005-0000-0000-0000A80F0000}"/>
    <cellStyle name="40% - Énfasis6 6 4" xfId="7392" xr:uid="{00000000-0005-0000-0000-0000A90F0000}"/>
    <cellStyle name="40% - Énfasis6 6 4 2" xfId="7399" xr:uid="{00000000-0005-0000-0000-0000AA0F0000}"/>
    <cellStyle name="40% - Énfasis6 6 5" xfId="7410" xr:uid="{00000000-0005-0000-0000-0000AB0F0000}"/>
    <cellStyle name="40% - Énfasis6 6 6" xfId="10517" xr:uid="{00000000-0005-0000-0000-0000AC0F0000}"/>
    <cellStyle name="40% - Énfasis6 7" xfId="11922" xr:uid="{00000000-0005-0000-0000-0000AD0F0000}"/>
    <cellStyle name="40% - Énfasis6 7 2" xfId="11560" xr:uid="{00000000-0005-0000-0000-0000AE0F0000}"/>
    <cellStyle name="40% - Énfasis6 7 2 2" xfId="12474" xr:uid="{00000000-0005-0000-0000-0000AF0F0000}"/>
    <cellStyle name="40% - Énfasis6 7 3" xfId="7422" xr:uid="{00000000-0005-0000-0000-0000B00F0000}"/>
    <cellStyle name="40% - Énfasis6 8" xfId="2086" xr:uid="{00000000-0005-0000-0000-0000B10F0000}"/>
    <cellStyle name="40% - Énfasis6 8 2" xfId="12475" xr:uid="{00000000-0005-0000-0000-0000B20F0000}"/>
    <cellStyle name="40% - Énfasis6 9" xfId="12476" xr:uid="{00000000-0005-0000-0000-0000B30F0000}"/>
    <cellStyle name="40% - Énfasis6 9 2" xfId="12478" xr:uid="{00000000-0005-0000-0000-0000B40F0000}"/>
    <cellStyle name="60% - Énfasis1 2" xfId="8556" xr:uid="{00000000-0005-0000-0000-0000B50F0000}"/>
    <cellStyle name="60% - Énfasis1 3" xfId="4828" xr:uid="{00000000-0005-0000-0000-0000B60F0000}"/>
    <cellStyle name="60% - Énfasis2 2" xfId="842" xr:uid="{00000000-0005-0000-0000-0000B70F0000}"/>
    <cellStyle name="60% - Énfasis2 3" xfId="1110" xr:uid="{00000000-0005-0000-0000-0000B80F0000}"/>
    <cellStyle name="60% - Énfasis3 2" xfId="4129" xr:uid="{00000000-0005-0000-0000-0000B90F0000}"/>
    <cellStyle name="60% - Énfasis3 3" xfId="3995" xr:uid="{00000000-0005-0000-0000-0000BA0F0000}"/>
    <cellStyle name="60% - Énfasis4 2" xfId="5805" xr:uid="{00000000-0005-0000-0000-0000BB0F0000}"/>
    <cellStyle name="60% - Énfasis4 3" xfId="4879" xr:uid="{00000000-0005-0000-0000-0000BC0F0000}"/>
    <cellStyle name="60% - Énfasis5 2" xfId="5599" xr:uid="{00000000-0005-0000-0000-0000BD0F0000}"/>
    <cellStyle name="60% - Énfasis5 3" xfId="8660" xr:uid="{00000000-0005-0000-0000-0000BE0F0000}"/>
    <cellStyle name="60% - Énfasis6 2" xfId="4063" xr:uid="{00000000-0005-0000-0000-0000BF0F0000}"/>
    <cellStyle name="60% - Énfasis6 3" xfId="12479" xr:uid="{00000000-0005-0000-0000-0000C00F0000}"/>
    <cellStyle name="Advertencia" xfId="12482" xr:uid="{00000000-0005-0000-0000-0000C10F0000}"/>
    <cellStyle name="Advertencia 2" xfId="8263" xr:uid="{00000000-0005-0000-0000-0000C20F0000}"/>
    <cellStyle name="Buena 2" xfId="5776" xr:uid="{00000000-0005-0000-0000-0000C30F0000}"/>
    <cellStyle name="Buena 2 2" xfId="12485" xr:uid="{00000000-0005-0000-0000-0000C40F0000}"/>
    <cellStyle name="Buena 3" xfId="10727" xr:uid="{00000000-0005-0000-0000-0000C50F0000}"/>
    <cellStyle name="Buena 4" xfId="5847" xr:uid="{00000000-0005-0000-0000-0000C60F0000}"/>
    <cellStyle name="Calcular" xfId="8602" xr:uid="{00000000-0005-0000-0000-0000C70F0000}"/>
    <cellStyle name="Calcular 2" xfId="1750" xr:uid="{00000000-0005-0000-0000-0000C80F0000}"/>
    <cellStyle name="Calcular 2 2" xfId="12486" xr:uid="{00000000-0005-0000-0000-0000C90F0000}"/>
    <cellStyle name="Calcular 2 2 2" xfId="8160" xr:uid="{00000000-0005-0000-0000-0000CA0F0000}"/>
    <cellStyle name="Calcular 2 2 2 2" xfId="8164" xr:uid="{00000000-0005-0000-0000-0000CB0F0000}"/>
    <cellStyle name="Calcular 2 3" xfId="12487" xr:uid="{00000000-0005-0000-0000-0000CC0F0000}"/>
    <cellStyle name="Calcular 2 3 2" xfId="8196" xr:uid="{00000000-0005-0000-0000-0000CD0F0000}"/>
    <cellStyle name="Calcular 2 4" xfId="12065" xr:uid="{00000000-0005-0000-0000-0000CE0F0000}"/>
    <cellStyle name="Calcular 3" xfId="12003" xr:uid="{00000000-0005-0000-0000-0000CF0F0000}"/>
    <cellStyle name="Calcular 3 2" xfId="12006" xr:uid="{00000000-0005-0000-0000-0000D00F0000}"/>
    <cellStyle name="Calcular 3 2 2" xfId="5048" xr:uid="{00000000-0005-0000-0000-0000D10F0000}"/>
    <cellStyle name="Calcular 4" xfId="2972" xr:uid="{00000000-0005-0000-0000-0000D20F0000}"/>
    <cellStyle name="Calcular 4 2" xfId="12488" xr:uid="{00000000-0005-0000-0000-0000D30F0000}"/>
    <cellStyle name="Calcular 5" xfId="6707" xr:uid="{00000000-0005-0000-0000-0000D40F0000}"/>
    <cellStyle name="Cálculo 2" xfId="12494" xr:uid="{00000000-0005-0000-0000-0000D50F0000}"/>
    <cellStyle name="Cálculo 2 2" xfId="12498" xr:uid="{00000000-0005-0000-0000-0000D60F0000}"/>
    <cellStyle name="Cálculo 2 2 2" xfId="12499" xr:uid="{00000000-0005-0000-0000-0000D70F0000}"/>
    <cellStyle name="Cálculo 2 2 2 2" xfId="12502" xr:uid="{00000000-0005-0000-0000-0000D80F0000}"/>
    <cellStyle name="Cálculo 2 2 2 2 2" xfId="12508" xr:uid="{00000000-0005-0000-0000-0000D90F0000}"/>
    <cellStyle name="Cálculo 2 2 3" xfId="12509" xr:uid="{00000000-0005-0000-0000-0000DA0F0000}"/>
    <cellStyle name="Cálculo 2 2 3 2" xfId="12513" xr:uid="{00000000-0005-0000-0000-0000DB0F0000}"/>
    <cellStyle name="Cálculo 2 2 4" xfId="12515" xr:uid="{00000000-0005-0000-0000-0000DC0F0000}"/>
    <cellStyle name="Cálculo 2 2 4 2" xfId="12518" xr:uid="{00000000-0005-0000-0000-0000DD0F0000}"/>
    <cellStyle name="Cálculo 2 2 5" xfId="12520" xr:uid="{00000000-0005-0000-0000-0000DE0F0000}"/>
    <cellStyle name="Cálculo 2 2 5 2" xfId="12524" xr:uid="{00000000-0005-0000-0000-0000DF0F0000}"/>
    <cellStyle name="Cálculo 2 2 6" xfId="12525" xr:uid="{00000000-0005-0000-0000-0000E00F0000}"/>
    <cellStyle name="Cálculo 2 2 6 2" xfId="12527" xr:uid="{00000000-0005-0000-0000-0000E10F0000}"/>
    <cellStyle name="Cálculo 2 3" xfId="12529" xr:uid="{00000000-0005-0000-0000-0000E20F0000}"/>
    <cellStyle name="Cálculo 2 3 2" xfId="4233" xr:uid="{00000000-0005-0000-0000-0000E30F0000}"/>
    <cellStyle name="Cálculo 2 3 2 2" xfId="12537" xr:uid="{00000000-0005-0000-0000-0000E40F0000}"/>
    <cellStyle name="Cálculo 2 3 3" xfId="12538" xr:uid="{00000000-0005-0000-0000-0000E50F0000}"/>
    <cellStyle name="Cálculo 2 3 3 2" xfId="12541" xr:uid="{00000000-0005-0000-0000-0000E60F0000}"/>
    <cellStyle name="Cálculo 2 3 4" xfId="12542" xr:uid="{00000000-0005-0000-0000-0000E70F0000}"/>
    <cellStyle name="Cálculo 2 3 4 2" xfId="12544" xr:uid="{00000000-0005-0000-0000-0000E80F0000}"/>
    <cellStyle name="Cálculo 2 3 5" xfId="12546" xr:uid="{00000000-0005-0000-0000-0000E90F0000}"/>
    <cellStyle name="Cálculo 2 3 5 2" xfId="12548" xr:uid="{00000000-0005-0000-0000-0000EA0F0000}"/>
    <cellStyle name="Cálculo 2 3 6" xfId="12549" xr:uid="{00000000-0005-0000-0000-0000EB0F0000}"/>
    <cellStyle name="Cálculo 2 3 6 2" xfId="12550" xr:uid="{00000000-0005-0000-0000-0000EC0F0000}"/>
    <cellStyle name="Cálculo 2 4" xfId="5953" xr:uid="{00000000-0005-0000-0000-0000ED0F0000}"/>
    <cellStyle name="Cálculo 2 4 2" xfId="12551" xr:uid="{00000000-0005-0000-0000-0000EE0F0000}"/>
    <cellStyle name="Cálculo 2 5" xfId="12552" xr:uid="{00000000-0005-0000-0000-0000EF0F0000}"/>
    <cellStyle name="Cálculo 2 5 2" xfId="12556" xr:uid="{00000000-0005-0000-0000-0000F00F0000}"/>
    <cellStyle name="Cálculo 2 6" xfId="12557" xr:uid="{00000000-0005-0000-0000-0000F10F0000}"/>
    <cellStyle name="Cálculo 3" xfId="12563" xr:uid="{00000000-0005-0000-0000-0000F20F0000}"/>
    <cellStyle name="Cálculo 3 2" xfId="12564" xr:uid="{00000000-0005-0000-0000-0000F30F0000}"/>
    <cellStyle name="Celda comprob." xfId="3331" xr:uid="{00000000-0005-0000-0000-0000F40F0000}"/>
    <cellStyle name="Celda comprob. 2" xfId="3160" xr:uid="{00000000-0005-0000-0000-0000F50F0000}"/>
    <cellStyle name="Celda de comprobación 2" xfId="9376" xr:uid="{00000000-0005-0000-0000-0000F60F0000}"/>
    <cellStyle name="Celda de comprobación 3" xfId="9403" xr:uid="{00000000-0005-0000-0000-0000F70F0000}"/>
    <cellStyle name="Celda vinculada 2" xfId="12570" xr:uid="{00000000-0005-0000-0000-0000F80F0000}"/>
    <cellStyle name="Celda vinculada 3" xfId="8014" xr:uid="{00000000-0005-0000-0000-0000F90F0000}"/>
    <cellStyle name="Diseño" xfId="12571" xr:uid="{00000000-0005-0000-0000-0000FA0F0000}"/>
    <cellStyle name="Diseño 2" xfId="301" xr:uid="{00000000-0005-0000-0000-0000FB0F0000}"/>
    <cellStyle name="Diseño 2 2" xfId="12576" xr:uid="{00000000-0005-0000-0000-0000FC0F0000}"/>
    <cellStyle name="Diseño 3" xfId="12578" xr:uid="{00000000-0005-0000-0000-0000FD0F0000}"/>
    <cellStyle name="Diseño 3 2" xfId="12580" xr:uid="{00000000-0005-0000-0000-0000FE0F0000}"/>
    <cellStyle name="Diseño 4" xfId="12584" xr:uid="{00000000-0005-0000-0000-0000FF0F0000}"/>
    <cellStyle name="Encabez. 1" xfId="12588" xr:uid="{00000000-0005-0000-0000-000000100000}"/>
    <cellStyle name="Encabez. 1 2" xfId="2140" xr:uid="{00000000-0005-0000-0000-000001100000}"/>
    <cellStyle name="Encabez. 2" xfId="12592" xr:uid="{00000000-0005-0000-0000-000002100000}"/>
    <cellStyle name="Encabez. 2 2" xfId="12595" xr:uid="{00000000-0005-0000-0000-000003100000}"/>
    <cellStyle name="Encabezado 3" xfId="6881" xr:uid="{00000000-0005-0000-0000-000004100000}"/>
    <cellStyle name="Encabezado 3 2" xfId="12598" xr:uid="{00000000-0005-0000-0000-000005100000}"/>
    <cellStyle name="Encabezado 4 2" xfId="9667" xr:uid="{00000000-0005-0000-0000-000006100000}"/>
    <cellStyle name="Encabezado 4 3" xfId="12604" xr:uid="{00000000-0005-0000-0000-000007100000}"/>
    <cellStyle name="Énfasis1 2" xfId="11187" xr:uid="{00000000-0005-0000-0000-000008100000}"/>
    <cellStyle name="Énfasis1 3" xfId="11202" xr:uid="{00000000-0005-0000-0000-000009100000}"/>
    <cellStyle name="Énfasis2 2" xfId="1615" xr:uid="{00000000-0005-0000-0000-00000A100000}"/>
    <cellStyle name="Énfasis2 3" xfId="12605" xr:uid="{00000000-0005-0000-0000-00000B100000}"/>
    <cellStyle name="Énfasis3 2" xfId="5437" xr:uid="{00000000-0005-0000-0000-00000C100000}"/>
    <cellStyle name="Énfasis3 3" xfId="12606" xr:uid="{00000000-0005-0000-0000-00000D100000}"/>
    <cellStyle name="Énfasis4 2" xfId="6811" xr:uid="{00000000-0005-0000-0000-00000E100000}"/>
    <cellStyle name="Énfasis4 3" xfId="12609" xr:uid="{00000000-0005-0000-0000-00000F100000}"/>
    <cellStyle name="Énfasis5 2" xfId="12610" xr:uid="{00000000-0005-0000-0000-000010100000}"/>
    <cellStyle name="Énfasis5 3" xfId="12612" xr:uid="{00000000-0005-0000-0000-000011100000}"/>
    <cellStyle name="Énfasis6 2" xfId="4934" xr:uid="{00000000-0005-0000-0000-000012100000}"/>
    <cellStyle name="Énfasis6 3" xfId="4969" xr:uid="{00000000-0005-0000-0000-000013100000}"/>
    <cellStyle name="Entrada 2" xfId="12574" xr:uid="{00000000-0005-0000-0000-000014100000}"/>
    <cellStyle name="Entrada 2 2" xfId="12613" xr:uid="{00000000-0005-0000-0000-000015100000}"/>
    <cellStyle name="Entrada 2 2 2" xfId="12616" xr:uid="{00000000-0005-0000-0000-000016100000}"/>
    <cellStyle name="Entrada 2 2 2 2" xfId="12618" xr:uid="{00000000-0005-0000-0000-000017100000}"/>
    <cellStyle name="Entrada 2 2 2 2 2" xfId="12619" xr:uid="{00000000-0005-0000-0000-000018100000}"/>
    <cellStyle name="Entrada 2 2 3" xfId="12620" xr:uid="{00000000-0005-0000-0000-000019100000}"/>
    <cellStyle name="Entrada 2 2 3 2" xfId="12626" xr:uid="{00000000-0005-0000-0000-00001A100000}"/>
    <cellStyle name="Entrada 2 2 4" xfId="2955" xr:uid="{00000000-0005-0000-0000-00001B100000}"/>
    <cellStyle name="Entrada 2 2 4 2" xfId="9157" xr:uid="{00000000-0005-0000-0000-00001C100000}"/>
    <cellStyle name="Entrada 2 2 5" xfId="9166" xr:uid="{00000000-0005-0000-0000-00001D100000}"/>
    <cellStyle name="Entrada 2 2 5 2" xfId="12631" xr:uid="{00000000-0005-0000-0000-00001E100000}"/>
    <cellStyle name="Entrada 2 2 6" xfId="12635" xr:uid="{00000000-0005-0000-0000-00001F100000}"/>
    <cellStyle name="Entrada 2 2 6 2" xfId="12601" xr:uid="{00000000-0005-0000-0000-000020100000}"/>
    <cellStyle name="Entrada 2 3" xfId="12637" xr:uid="{00000000-0005-0000-0000-000021100000}"/>
    <cellStyle name="Entrada 2 3 2" xfId="12642" xr:uid="{00000000-0005-0000-0000-000022100000}"/>
    <cellStyle name="Entrada 2 3 2 2" xfId="12645" xr:uid="{00000000-0005-0000-0000-000023100000}"/>
    <cellStyle name="Entrada 2 3 3" xfId="12646" xr:uid="{00000000-0005-0000-0000-000024100000}"/>
    <cellStyle name="Entrada 2 3 3 2" xfId="12650" xr:uid="{00000000-0005-0000-0000-000025100000}"/>
    <cellStyle name="Entrada 2 3 4" xfId="6941" xr:uid="{00000000-0005-0000-0000-000026100000}"/>
    <cellStyle name="Entrada 2 3 4 2" xfId="12655" xr:uid="{00000000-0005-0000-0000-000027100000}"/>
    <cellStyle name="Entrada 2 3 5" xfId="12659" xr:uid="{00000000-0005-0000-0000-000028100000}"/>
    <cellStyle name="Entrada 2 3 5 2" xfId="12661" xr:uid="{00000000-0005-0000-0000-000029100000}"/>
    <cellStyle name="Entrada 2 3 6" xfId="12665" xr:uid="{00000000-0005-0000-0000-00002A100000}"/>
    <cellStyle name="Entrada 2 3 6 2" xfId="12667" xr:uid="{00000000-0005-0000-0000-00002B100000}"/>
    <cellStyle name="Entrada 2 4" xfId="12491" xr:uid="{00000000-0005-0000-0000-00002C100000}"/>
    <cellStyle name="Entrada 2 4 2" xfId="12497" xr:uid="{00000000-0005-0000-0000-00002D100000}"/>
    <cellStyle name="Entrada 2 5" xfId="12561" xr:uid="{00000000-0005-0000-0000-00002E100000}"/>
    <cellStyle name="Entrada 2 5 2" xfId="12566" xr:uid="{00000000-0005-0000-0000-00002F100000}"/>
    <cellStyle name="Entrada 2 6" xfId="12670" xr:uid="{00000000-0005-0000-0000-000030100000}"/>
    <cellStyle name="Entrada 3" xfId="7837" xr:uid="{00000000-0005-0000-0000-000031100000}"/>
    <cellStyle name="Entrada 3 2" xfId="11131" xr:uid="{00000000-0005-0000-0000-000032100000}"/>
    <cellStyle name="Euro" xfId="12678" xr:uid="{00000000-0005-0000-0000-000033100000}"/>
    <cellStyle name="Euro 10" xfId="12679" xr:uid="{00000000-0005-0000-0000-000034100000}"/>
    <cellStyle name="Euro 10 2" xfId="11438" xr:uid="{00000000-0005-0000-0000-000035100000}"/>
    <cellStyle name="Euro 10 2 2" xfId="11440" xr:uid="{00000000-0005-0000-0000-000036100000}"/>
    <cellStyle name="Euro 10 3" xfId="10067" xr:uid="{00000000-0005-0000-0000-000037100000}"/>
    <cellStyle name="Euro 10 3 2" xfId="11975" xr:uid="{00000000-0005-0000-0000-000038100000}"/>
    <cellStyle name="Euro 10 4" xfId="11978" xr:uid="{00000000-0005-0000-0000-000039100000}"/>
    <cellStyle name="Euro 10 5" xfId="2288" xr:uid="{00000000-0005-0000-0000-00003A100000}"/>
    <cellStyle name="Euro 11" xfId="12681" xr:uid="{00000000-0005-0000-0000-00003B100000}"/>
    <cellStyle name="Euro 11 2" xfId="11448" xr:uid="{00000000-0005-0000-0000-00003C100000}"/>
    <cellStyle name="Euro 11 2 2" xfId="12682" xr:uid="{00000000-0005-0000-0000-00003D100000}"/>
    <cellStyle name="Euro 11 3" xfId="126" xr:uid="{00000000-0005-0000-0000-00003E100000}"/>
    <cellStyle name="Euro 11 3 2" xfId="12689" xr:uid="{00000000-0005-0000-0000-00003F100000}"/>
    <cellStyle name="Euro 11 4" xfId="12691" xr:uid="{00000000-0005-0000-0000-000040100000}"/>
    <cellStyle name="Euro 11 5" xfId="1504" xr:uid="{00000000-0005-0000-0000-000041100000}"/>
    <cellStyle name="Euro 12" xfId="12692" xr:uid="{00000000-0005-0000-0000-000042100000}"/>
    <cellStyle name="Euro 12 2" xfId="5548" xr:uid="{00000000-0005-0000-0000-000043100000}"/>
    <cellStyle name="Euro 12 2 2" xfId="5557" xr:uid="{00000000-0005-0000-0000-000044100000}"/>
    <cellStyle name="Euro 12 3" xfId="2433" xr:uid="{00000000-0005-0000-0000-000045100000}"/>
    <cellStyle name="Euro 12 3 2" xfId="3690" xr:uid="{00000000-0005-0000-0000-000046100000}"/>
    <cellStyle name="Euro 12 4" xfId="1853" xr:uid="{00000000-0005-0000-0000-000047100000}"/>
    <cellStyle name="Euro 12 5" xfId="2112" xr:uid="{00000000-0005-0000-0000-000048100000}"/>
    <cellStyle name="Euro 13" xfId="12695" xr:uid="{00000000-0005-0000-0000-000049100000}"/>
    <cellStyle name="Euro 13 2" xfId="5751" xr:uid="{00000000-0005-0000-0000-00004A100000}"/>
    <cellStyle name="Euro 13 2 2" xfId="5765" xr:uid="{00000000-0005-0000-0000-00004B100000}"/>
    <cellStyle name="Euro 13 3" xfId="12696" xr:uid="{00000000-0005-0000-0000-00004C100000}"/>
    <cellStyle name="Euro 13 3 2" xfId="3732" xr:uid="{00000000-0005-0000-0000-00004D100000}"/>
    <cellStyle name="Euro 13 4" xfId="12699" xr:uid="{00000000-0005-0000-0000-00004E100000}"/>
    <cellStyle name="Euro 13 5" xfId="2645" xr:uid="{00000000-0005-0000-0000-00004F100000}"/>
    <cellStyle name="Euro 14" xfId="12702" xr:uid="{00000000-0005-0000-0000-000050100000}"/>
    <cellStyle name="Euro 14 2" xfId="2570" xr:uid="{00000000-0005-0000-0000-000051100000}"/>
    <cellStyle name="Euro 14 2 2" xfId="5916" xr:uid="{00000000-0005-0000-0000-000052100000}"/>
    <cellStyle name="Euro 14 3" xfId="3799" xr:uid="{00000000-0005-0000-0000-000053100000}"/>
    <cellStyle name="Euro 14 3 2" xfId="3808" xr:uid="{00000000-0005-0000-0000-000054100000}"/>
    <cellStyle name="Euro 14 4" xfId="2893" xr:uid="{00000000-0005-0000-0000-000055100000}"/>
    <cellStyle name="Euro 14 5" xfId="7779" xr:uid="{00000000-0005-0000-0000-000056100000}"/>
    <cellStyle name="Euro 15" xfId="12327" xr:uid="{00000000-0005-0000-0000-000057100000}"/>
    <cellStyle name="Euro 15 2" xfId="4650" xr:uid="{00000000-0005-0000-0000-000058100000}"/>
    <cellStyle name="Euro 15 2 2" xfId="2242" xr:uid="{00000000-0005-0000-0000-000059100000}"/>
    <cellStyle name="Euro 15 3" xfId="3829" xr:uid="{00000000-0005-0000-0000-00005A100000}"/>
    <cellStyle name="Euro 15 3 2" xfId="12704" xr:uid="{00000000-0005-0000-0000-00005B100000}"/>
    <cellStyle name="Euro 15 4" xfId="12709" xr:uid="{00000000-0005-0000-0000-00005C100000}"/>
    <cellStyle name="Euro 15 5" xfId="7795" xr:uid="{00000000-0005-0000-0000-00005D100000}"/>
    <cellStyle name="Euro 16" xfId="12716" xr:uid="{00000000-0005-0000-0000-00005E100000}"/>
    <cellStyle name="Euro 16 2" xfId="6158" xr:uid="{00000000-0005-0000-0000-00005F100000}"/>
    <cellStyle name="Euro 16 2 2" xfId="12721" xr:uid="{00000000-0005-0000-0000-000060100000}"/>
    <cellStyle name="Euro 16 3" xfId="12725" xr:uid="{00000000-0005-0000-0000-000061100000}"/>
    <cellStyle name="Euro 16 3 2" xfId="12729" xr:uid="{00000000-0005-0000-0000-000062100000}"/>
    <cellStyle name="Euro 16 4" xfId="12735" xr:uid="{00000000-0005-0000-0000-000063100000}"/>
    <cellStyle name="Euro 16 5" xfId="12744" xr:uid="{00000000-0005-0000-0000-000064100000}"/>
    <cellStyle name="Euro 17" xfId="12750" xr:uid="{00000000-0005-0000-0000-000065100000}"/>
    <cellStyle name="Euro 17 2" xfId="12753" xr:uid="{00000000-0005-0000-0000-000066100000}"/>
    <cellStyle name="Euro 17 2 2" xfId="12756" xr:uid="{00000000-0005-0000-0000-000067100000}"/>
    <cellStyle name="Euro 17 3" xfId="12759" xr:uid="{00000000-0005-0000-0000-000068100000}"/>
    <cellStyle name="Euro 17 3 2" xfId="12763" xr:uid="{00000000-0005-0000-0000-000069100000}"/>
    <cellStyle name="Euro 17 4" xfId="12766" xr:uid="{00000000-0005-0000-0000-00006A100000}"/>
    <cellStyle name="Euro 17 5" xfId="12775" xr:uid="{00000000-0005-0000-0000-00006B100000}"/>
    <cellStyle name="Euro 18" xfId="12778" xr:uid="{00000000-0005-0000-0000-00006C100000}"/>
    <cellStyle name="Euro 18 2" xfId="12782" xr:uid="{00000000-0005-0000-0000-00006D100000}"/>
    <cellStyle name="Euro 18 2 2" xfId="12786" xr:uid="{00000000-0005-0000-0000-00006E100000}"/>
    <cellStyle name="Euro 18 3" xfId="12789" xr:uid="{00000000-0005-0000-0000-00006F100000}"/>
    <cellStyle name="Euro 18 3 2" xfId="12794" xr:uid="{00000000-0005-0000-0000-000070100000}"/>
    <cellStyle name="Euro 18 4" xfId="12801" xr:uid="{00000000-0005-0000-0000-000071100000}"/>
    <cellStyle name="Euro 18 5" xfId="2383" xr:uid="{00000000-0005-0000-0000-000072100000}"/>
    <cellStyle name="Euro 19" xfId="12808" xr:uid="{00000000-0005-0000-0000-000073100000}"/>
    <cellStyle name="Euro 19 2" xfId="12812" xr:uid="{00000000-0005-0000-0000-000074100000}"/>
    <cellStyle name="Euro 19 2 2" xfId="12815" xr:uid="{00000000-0005-0000-0000-000075100000}"/>
    <cellStyle name="Euro 19 3" xfId="12818" xr:uid="{00000000-0005-0000-0000-000076100000}"/>
    <cellStyle name="Euro 19 3 2" xfId="12823" xr:uid="{00000000-0005-0000-0000-000077100000}"/>
    <cellStyle name="Euro 19 4" xfId="12825" xr:uid="{00000000-0005-0000-0000-000078100000}"/>
    <cellStyle name="Euro 19 5" xfId="2425" xr:uid="{00000000-0005-0000-0000-000079100000}"/>
    <cellStyle name="Euro 2" xfId="12828" xr:uid="{00000000-0005-0000-0000-00007A100000}"/>
    <cellStyle name="Euro 2 2" xfId="10054" xr:uid="{00000000-0005-0000-0000-00007B100000}"/>
    <cellStyle name="Euro 2 2 2" xfId="12835" xr:uid="{00000000-0005-0000-0000-00007C100000}"/>
    <cellStyle name="Euro 2 3" xfId="12841" xr:uid="{00000000-0005-0000-0000-00007D100000}"/>
    <cellStyle name="Euro 2 3 2" xfId="12845" xr:uid="{00000000-0005-0000-0000-00007E100000}"/>
    <cellStyle name="Euro 2 4" xfId="12848" xr:uid="{00000000-0005-0000-0000-00007F100000}"/>
    <cellStyle name="Euro 20" xfId="12328" xr:uid="{00000000-0005-0000-0000-000080100000}"/>
    <cellStyle name="Euro 20 2" xfId="4651" xr:uid="{00000000-0005-0000-0000-000081100000}"/>
    <cellStyle name="Euro 20 2 2" xfId="2243" xr:uid="{00000000-0005-0000-0000-000082100000}"/>
    <cellStyle name="Euro 20 3" xfId="3830" xr:uid="{00000000-0005-0000-0000-000083100000}"/>
    <cellStyle name="Euro 20 3 2" xfId="12705" xr:uid="{00000000-0005-0000-0000-000084100000}"/>
    <cellStyle name="Euro 20 4" xfId="12710" xr:uid="{00000000-0005-0000-0000-000085100000}"/>
    <cellStyle name="Euro 20 5" xfId="7796" xr:uid="{00000000-0005-0000-0000-000086100000}"/>
    <cellStyle name="Euro 21" xfId="12717" xr:uid="{00000000-0005-0000-0000-000087100000}"/>
    <cellStyle name="Euro 21 2" xfId="6159" xr:uid="{00000000-0005-0000-0000-000088100000}"/>
    <cellStyle name="Euro 21 2 2" xfId="12722" xr:uid="{00000000-0005-0000-0000-000089100000}"/>
    <cellStyle name="Euro 21 3" xfId="12726" xr:uid="{00000000-0005-0000-0000-00008A100000}"/>
    <cellStyle name="Euro 21 3 2" xfId="12730" xr:uid="{00000000-0005-0000-0000-00008B100000}"/>
    <cellStyle name="Euro 21 4" xfId="12736" xr:uid="{00000000-0005-0000-0000-00008C100000}"/>
    <cellStyle name="Euro 21 5" xfId="12745" xr:uid="{00000000-0005-0000-0000-00008D100000}"/>
    <cellStyle name="Euro 22" xfId="12751" xr:uid="{00000000-0005-0000-0000-00008E100000}"/>
    <cellStyle name="Euro 22 2" xfId="12754" xr:uid="{00000000-0005-0000-0000-00008F100000}"/>
    <cellStyle name="Euro 22 2 2" xfId="12757" xr:uid="{00000000-0005-0000-0000-000090100000}"/>
    <cellStyle name="Euro 22 3" xfId="12760" xr:uid="{00000000-0005-0000-0000-000091100000}"/>
    <cellStyle name="Euro 22 3 2" xfId="12764" xr:uid="{00000000-0005-0000-0000-000092100000}"/>
    <cellStyle name="Euro 22 4" xfId="12767" xr:uid="{00000000-0005-0000-0000-000093100000}"/>
    <cellStyle name="Euro 22 5" xfId="12776" xr:uid="{00000000-0005-0000-0000-000094100000}"/>
    <cellStyle name="Euro 23" xfId="12779" xr:uid="{00000000-0005-0000-0000-000095100000}"/>
    <cellStyle name="Euro 23 2" xfId="12783" xr:uid="{00000000-0005-0000-0000-000096100000}"/>
    <cellStyle name="Euro 23 2 2" xfId="12787" xr:uid="{00000000-0005-0000-0000-000097100000}"/>
    <cellStyle name="Euro 23 3" xfId="12790" xr:uid="{00000000-0005-0000-0000-000098100000}"/>
    <cellStyle name="Euro 23 3 2" xfId="12795" xr:uid="{00000000-0005-0000-0000-000099100000}"/>
    <cellStyle name="Euro 23 4" xfId="12802" xr:uid="{00000000-0005-0000-0000-00009A100000}"/>
    <cellStyle name="Euro 23 5" xfId="2384" xr:uid="{00000000-0005-0000-0000-00009B100000}"/>
    <cellStyle name="Euro 24" xfId="12809" xr:uid="{00000000-0005-0000-0000-00009C100000}"/>
    <cellStyle name="Euro 24 2" xfId="12813" xr:uid="{00000000-0005-0000-0000-00009D100000}"/>
    <cellStyle name="Euro 24 2 2" xfId="12816" xr:uid="{00000000-0005-0000-0000-00009E100000}"/>
    <cellStyle name="Euro 24 3" xfId="12819" xr:uid="{00000000-0005-0000-0000-00009F100000}"/>
    <cellStyle name="Euro 24 3 2" xfId="12824" xr:uid="{00000000-0005-0000-0000-0000A0100000}"/>
    <cellStyle name="Euro 24 4" xfId="12826" xr:uid="{00000000-0005-0000-0000-0000A1100000}"/>
    <cellStyle name="Euro 24 5" xfId="2426" xr:uid="{00000000-0005-0000-0000-0000A2100000}"/>
    <cellStyle name="Euro 25" xfId="12851" xr:uid="{00000000-0005-0000-0000-0000A3100000}"/>
    <cellStyle name="Euro 25 2" xfId="12855" xr:uid="{00000000-0005-0000-0000-0000A4100000}"/>
    <cellStyle name="Euro 25 2 2" xfId="12857" xr:uid="{00000000-0005-0000-0000-0000A5100000}"/>
    <cellStyle name="Euro 25 3" xfId="12861" xr:uid="{00000000-0005-0000-0000-0000A6100000}"/>
    <cellStyle name="Euro 25 3 2" xfId="12868" xr:uid="{00000000-0005-0000-0000-0000A7100000}"/>
    <cellStyle name="Euro 25 4" xfId="12870" xr:uid="{00000000-0005-0000-0000-0000A8100000}"/>
    <cellStyle name="Euro 25 5" xfId="4703" xr:uid="{00000000-0005-0000-0000-0000A9100000}"/>
    <cellStyle name="Euro 26" xfId="8973" xr:uid="{00000000-0005-0000-0000-0000AA100000}"/>
    <cellStyle name="Euro 26 2" xfId="8982" xr:uid="{00000000-0005-0000-0000-0000AB100000}"/>
    <cellStyle name="Euro 26 2 2" xfId="5637" xr:uid="{00000000-0005-0000-0000-0000AC100000}"/>
    <cellStyle name="Euro 26 3" xfId="8988" xr:uid="{00000000-0005-0000-0000-0000AD100000}"/>
    <cellStyle name="Euro 26 3 2" xfId="12874" xr:uid="{00000000-0005-0000-0000-0000AE100000}"/>
    <cellStyle name="Euro 26 4" xfId="8996" xr:uid="{00000000-0005-0000-0000-0000AF100000}"/>
    <cellStyle name="Euro 26 5" xfId="1887" xr:uid="{00000000-0005-0000-0000-0000B0100000}"/>
    <cellStyle name="Euro 27" xfId="5945" xr:uid="{00000000-0005-0000-0000-0000B1100000}"/>
    <cellStyle name="Euro 27 2" xfId="4476" xr:uid="{00000000-0005-0000-0000-0000B2100000}"/>
    <cellStyle name="Euro 27 2 2" xfId="12536" xr:uid="{00000000-0005-0000-0000-0000B3100000}"/>
    <cellStyle name="Euro 27 3" xfId="12878" xr:uid="{00000000-0005-0000-0000-0000B4100000}"/>
    <cellStyle name="Euro 27 3 2" xfId="12888" xr:uid="{00000000-0005-0000-0000-0000B5100000}"/>
    <cellStyle name="Euro 27 4" xfId="5971" xr:uid="{00000000-0005-0000-0000-0000B6100000}"/>
    <cellStyle name="Euro 27 5" xfId="2148" xr:uid="{00000000-0005-0000-0000-0000B7100000}"/>
    <cellStyle name="Euro 28" xfId="708" xr:uid="{00000000-0005-0000-0000-0000B8100000}"/>
    <cellStyle name="Euro 28 2" xfId="4271" xr:uid="{00000000-0005-0000-0000-0000B9100000}"/>
    <cellStyle name="Euro 28 2 2" xfId="12895" xr:uid="{00000000-0005-0000-0000-0000BA100000}"/>
    <cellStyle name="Euro 28 3" xfId="12898" xr:uid="{00000000-0005-0000-0000-0000BB100000}"/>
    <cellStyle name="Euro 28 3 2" xfId="3615" xr:uid="{00000000-0005-0000-0000-0000BC100000}"/>
    <cellStyle name="Euro 28 4" xfId="7406" xr:uid="{00000000-0005-0000-0000-0000BD100000}"/>
    <cellStyle name="Euro 28 5" xfId="12900" xr:uid="{00000000-0005-0000-0000-0000BE100000}"/>
    <cellStyle name="Euro 29" xfId="798" xr:uid="{00000000-0005-0000-0000-0000BF100000}"/>
    <cellStyle name="Euro 29 2" xfId="5991" xr:uid="{00000000-0005-0000-0000-0000C0100000}"/>
    <cellStyle name="Euro 29 2 2" xfId="5515" xr:uid="{00000000-0005-0000-0000-0000C1100000}"/>
    <cellStyle name="Euro 29 3" xfId="12904" xr:uid="{00000000-0005-0000-0000-0000C2100000}"/>
    <cellStyle name="Euro 29 3 2" xfId="5703" xr:uid="{00000000-0005-0000-0000-0000C3100000}"/>
    <cellStyle name="Euro 29 4" xfId="10515" xr:uid="{00000000-0005-0000-0000-0000C4100000}"/>
    <cellStyle name="Euro 29 5" xfId="12905" xr:uid="{00000000-0005-0000-0000-0000C5100000}"/>
    <cellStyle name="Euro 3" xfId="12906" xr:uid="{00000000-0005-0000-0000-0000C6100000}"/>
    <cellStyle name="Euro 3 2" xfId="11977" xr:uid="{00000000-0005-0000-0000-0000C7100000}"/>
    <cellStyle name="Euro 3 2 2" xfId="12912" xr:uid="{00000000-0005-0000-0000-0000C8100000}"/>
    <cellStyle name="Euro 3 3" xfId="2283" xr:uid="{00000000-0005-0000-0000-0000C9100000}"/>
    <cellStyle name="Euro 30" xfId="12852" xr:uid="{00000000-0005-0000-0000-0000CA100000}"/>
    <cellStyle name="Euro 30 2" xfId="12856" xr:uid="{00000000-0005-0000-0000-0000CB100000}"/>
    <cellStyle name="Euro 30 2 2" xfId="12858" xr:uid="{00000000-0005-0000-0000-0000CC100000}"/>
    <cellStyle name="Euro 30 3" xfId="12862" xr:uid="{00000000-0005-0000-0000-0000CD100000}"/>
    <cellStyle name="Euro 30 3 2" xfId="12869" xr:uid="{00000000-0005-0000-0000-0000CE100000}"/>
    <cellStyle name="Euro 30 4" xfId="12871" xr:uid="{00000000-0005-0000-0000-0000CF100000}"/>
    <cellStyle name="Euro 30 5" xfId="4704" xr:uid="{00000000-0005-0000-0000-0000D0100000}"/>
    <cellStyle name="Euro 31" xfId="8974" xr:uid="{00000000-0005-0000-0000-0000D1100000}"/>
    <cellStyle name="Euro 31 2" xfId="8983" xr:uid="{00000000-0005-0000-0000-0000D2100000}"/>
    <cellStyle name="Euro 32" xfId="5946" xr:uid="{00000000-0005-0000-0000-0000D3100000}"/>
    <cellStyle name="Euro 32 2" xfId="4477" xr:uid="{00000000-0005-0000-0000-0000D4100000}"/>
    <cellStyle name="Euro 33" xfId="709" xr:uid="{00000000-0005-0000-0000-0000D5100000}"/>
    <cellStyle name="Euro 34" xfId="799" xr:uid="{00000000-0005-0000-0000-0000D6100000}"/>
    <cellStyle name="Euro 4" xfId="12913" xr:uid="{00000000-0005-0000-0000-0000D7100000}"/>
    <cellStyle name="Euro 4 2" xfId="12690" xr:uid="{00000000-0005-0000-0000-0000D8100000}"/>
    <cellStyle name="Euro 4 2 2" xfId="12919" xr:uid="{00000000-0005-0000-0000-0000D9100000}"/>
    <cellStyle name="Euro 4 3" xfId="1501" xr:uid="{00000000-0005-0000-0000-0000DA100000}"/>
    <cellStyle name="Euro 5" xfId="12920" xr:uid="{00000000-0005-0000-0000-0000DB100000}"/>
    <cellStyle name="Euro 5 2" xfId="1852" xr:uid="{00000000-0005-0000-0000-0000DC100000}"/>
    <cellStyle name="Euro 5 2 2" xfId="1863" xr:uid="{00000000-0005-0000-0000-0000DD100000}"/>
    <cellStyle name="Euro 5 3" xfId="2111" xr:uid="{00000000-0005-0000-0000-0000DE100000}"/>
    <cellStyle name="Euro 6" xfId="12921" xr:uid="{00000000-0005-0000-0000-0000DF100000}"/>
    <cellStyle name="Euro 6 2" xfId="12697" xr:uid="{00000000-0005-0000-0000-0000E0100000}"/>
    <cellStyle name="Euro 6 2 2" xfId="2327" xr:uid="{00000000-0005-0000-0000-0000E1100000}"/>
    <cellStyle name="Euro 6 3" xfId="2643" xr:uid="{00000000-0005-0000-0000-0000E2100000}"/>
    <cellStyle name="Euro 7" xfId="12922" xr:uid="{00000000-0005-0000-0000-0000E3100000}"/>
    <cellStyle name="Euro 7 2" xfId="2895" xr:uid="{00000000-0005-0000-0000-0000E4100000}"/>
    <cellStyle name="Euro 7 2 2" xfId="12925" xr:uid="{00000000-0005-0000-0000-0000E5100000}"/>
    <cellStyle name="Euro 7 3" xfId="7781" xr:uid="{00000000-0005-0000-0000-0000E6100000}"/>
    <cellStyle name="Euro 8" xfId="12926" xr:uid="{00000000-0005-0000-0000-0000E7100000}"/>
    <cellStyle name="Euro 8 2" xfId="12712" xr:uid="{00000000-0005-0000-0000-0000E8100000}"/>
    <cellStyle name="Euro 8 2 2" xfId="12928" xr:uid="{00000000-0005-0000-0000-0000E9100000}"/>
    <cellStyle name="Euro 8 3" xfId="7792" xr:uid="{00000000-0005-0000-0000-0000EA100000}"/>
    <cellStyle name="Euro 9" xfId="12933" xr:uid="{00000000-0005-0000-0000-0000EB100000}"/>
    <cellStyle name="Euro 9 2" xfId="12734" xr:uid="{00000000-0005-0000-0000-0000EC100000}"/>
    <cellStyle name="Euro 9 2 2" xfId="12940" xr:uid="{00000000-0005-0000-0000-0000ED100000}"/>
    <cellStyle name="Euro 9 3" xfId="12741" xr:uid="{00000000-0005-0000-0000-0000EE100000}"/>
    <cellStyle name="Euro_Copia de INDICADORES GCIE SEPTIEMBRE  2010(1)" xfId="8955" xr:uid="{00000000-0005-0000-0000-0000EF100000}"/>
    <cellStyle name="Excel Built-in Normal" xfId="1850" xr:uid="{00000000-0005-0000-0000-0000F0100000}"/>
    <cellStyle name="Explicación" xfId="12943" xr:uid="{00000000-0005-0000-0000-0000F1100000}"/>
    <cellStyle name="Explicación 2" xfId="12947" xr:uid="{00000000-0005-0000-0000-0000F2100000}"/>
    <cellStyle name="Hipervínculo 10" xfId="11061" xr:uid="{00000000-0005-0000-0000-0000F3100000}"/>
    <cellStyle name="Hipervínculo 11" xfId="7481" xr:uid="{00000000-0005-0000-0000-0000F4100000}"/>
    <cellStyle name="Hipervínculo 12" xfId="11469" xr:uid="{00000000-0005-0000-0000-0000F5100000}"/>
    <cellStyle name="Hipervínculo 13" xfId="11872" xr:uid="{00000000-0005-0000-0000-0000F6100000}"/>
    <cellStyle name="Hipervínculo 14" xfId="12948" xr:uid="{00000000-0005-0000-0000-0000F7100000}"/>
    <cellStyle name="Hipervínculo 15" xfId="4409" xr:uid="{00000000-0005-0000-0000-0000F8100000}"/>
    <cellStyle name="Hipervínculo 16" xfId="3287" xr:uid="{00000000-0005-0000-0000-0000F9100000}"/>
    <cellStyle name="Hipervínculo 17" xfId="4897" xr:uid="{00000000-0005-0000-0000-0000FA100000}"/>
    <cellStyle name="Hipervínculo 18" xfId="4931" xr:uid="{00000000-0005-0000-0000-0000FB100000}"/>
    <cellStyle name="Hipervínculo 19" xfId="12955" xr:uid="{00000000-0005-0000-0000-0000FC100000}"/>
    <cellStyle name="Hipervínculo 2" xfId="12686" xr:uid="{00000000-0005-0000-0000-0000FD100000}"/>
    <cellStyle name="Hipervínculo 2 2" xfId="12962" xr:uid="{00000000-0005-0000-0000-0000FE100000}"/>
    <cellStyle name="Hipervínculo 2 3" xfId="12966" xr:uid="{00000000-0005-0000-0000-0000FF100000}"/>
    <cellStyle name="Hipervínculo 2 4" xfId="12971" xr:uid="{00000000-0005-0000-0000-000000110000}"/>
    <cellStyle name="Hipervínculo 2 5" xfId="12972" xr:uid="{00000000-0005-0000-0000-000001110000}"/>
    <cellStyle name="Hipervínculo 2 6" xfId="12973" xr:uid="{00000000-0005-0000-0000-000002110000}"/>
    <cellStyle name="Hipervínculo 20" xfId="4410" xr:uid="{00000000-0005-0000-0000-000003110000}"/>
    <cellStyle name="Hipervínculo 21" xfId="3288" xr:uid="{00000000-0005-0000-0000-000004110000}"/>
    <cellStyle name="Hipervínculo 22" xfId="4898" xr:uid="{00000000-0005-0000-0000-000005110000}"/>
    <cellStyle name="Hipervínculo 23" xfId="4932" xr:uid="{00000000-0005-0000-0000-000006110000}"/>
    <cellStyle name="Hipervínculo 24" xfId="12956" xr:uid="{00000000-0005-0000-0000-000007110000}"/>
    <cellStyle name="Hipervínculo 25" xfId="12980" xr:uid="{00000000-0005-0000-0000-000008110000}"/>
    <cellStyle name="Hipervínculo 26" xfId="12989" xr:uid="{00000000-0005-0000-0000-000009110000}"/>
    <cellStyle name="Hipervínculo 27" xfId="12992" xr:uid="{00000000-0005-0000-0000-00000A110000}"/>
    <cellStyle name="Hipervínculo 28" xfId="12994" xr:uid="{00000000-0005-0000-0000-00000B110000}"/>
    <cellStyle name="Hipervínculo 29" xfId="12996" xr:uid="{00000000-0005-0000-0000-00000C110000}"/>
    <cellStyle name="Hipervínculo 3" xfId="3209" xr:uid="{00000000-0005-0000-0000-00000D110000}"/>
    <cellStyle name="Hipervínculo 3 2" xfId="13002" xr:uid="{00000000-0005-0000-0000-00000E110000}"/>
    <cellStyle name="Hipervínculo 3 3" xfId="13006" xr:uid="{00000000-0005-0000-0000-00000F110000}"/>
    <cellStyle name="Hipervínculo 30" xfId="12981" xr:uid="{00000000-0005-0000-0000-000010110000}"/>
    <cellStyle name="Hipervínculo 31" xfId="12990" xr:uid="{00000000-0005-0000-0000-000011110000}"/>
    <cellStyle name="Hipervínculo 32" xfId="12993" xr:uid="{00000000-0005-0000-0000-000012110000}"/>
    <cellStyle name="Hipervínculo 33" xfId="12995" xr:uid="{00000000-0005-0000-0000-000013110000}"/>
    <cellStyle name="Hipervínculo 34" xfId="12997" xr:uid="{00000000-0005-0000-0000-000014110000}"/>
    <cellStyle name="Hipervínculo 35" xfId="13007" xr:uid="{00000000-0005-0000-0000-000015110000}"/>
    <cellStyle name="Hipervínculo 36" xfId="13011" xr:uid="{00000000-0005-0000-0000-000016110000}"/>
    <cellStyle name="Hipervínculo 37" xfId="3342" xr:uid="{00000000-0005-0000-0000-000017110000}"/>
    <cellStyle name="Hipervínculo 38" xfId="3417" xr:uid="{00000000-0005-0000-0000-000018110000}"/>
    <cellStyle name="Hipervínculo 39" xfId="3366" xr:uid="{00000000-0005-0000-0000-000019110000}"/>
    <cellStyle name="Hipervínculo 4" xfId="13018" xr:uid="{00000000-0005-0000-0000-00001A110000}"/>
    <cellStyle name="Hipervínculo 40" xfId="13008" xr:uid="{00000000-0005-0000-0000-00001B110000}"/>
    <cellStyle name="Hipervínculo 41" xfId="13012" xr:uid="{00000000-0005-0000-0000-00001C110000}"/>
    <cellStyle name="Hipervínculo 42" xfId="3343" xr:uid="{00000000-0005-0000-0000-00001D110000}"/>
    <cellStyle name="Hipervínculo 43" xfId="3418" xr:uid="{00000000-0005-0000-0000-00001E110000}"/>
    <cellStyle name="Hipervínculo 44" xfId="3367" xr:uid="{00000000-0005-0000-0000-00001F110000}"/>
    <cellStyle name="Hipervínculo 45" xfId="8" xr:uid="{00000000-0005-0000-0000-000020110000}"/>
    <cellStyle name="Hipervínculo 46" xfId="3475" xr:uid="{00000000-0005-0000-0000-000021110000}"/>
    <cellStyle name="Hipervínculo 47" xfId="5498" xr:uid="{00000000-0005-0000-0000-000022110000}"/>
    <cellStyle name="Hipervínculo 48" xfId="13019" xr:uid="{00000000-0005-0000-0000-000023110000}"/>
    <cellStyle name="Hipervínculo 49" xfId="11065" xr:uid="{00000000-0005-0000-0000-000024110000}"/>
    <cellStyle name="Hipervínculo 5" xfId="13026" xr:uid="{00000000-0005-0000-0000-000025110000}"/>
    <cellStyle name="Hipervínculo 50" xfId="9" xr:uid="{00000000-0005-0000-0000-000026110000}"/>
    <cellStyle name="Hipervínculo 51" xfId="3476" xr:uid="{00000000-0005-0000-0000-000027110000}"/>
    <cellStyle name="Hipervínculo 6" xfId="13039" xr:uid="{00000000-0005-0000-0000-000028110000}"/>
    <cellStyle name="Hipervínculo 6 2" xfId="12241" xr:uid="{00000000-0005-0000-0000-000029110000}"/>
    <cellStyle name="Hipervínculo 6 3" xfId="1599" xr:uid="{00000000-0005-0000-0000-00002A110000}"/>
    <cellStyle name="Hipervínculo 6 4" xfId="9724" xr:uid="{00000000-0005-0000-0000-00002B110000}"/>
    <cellStyle name="Hipervínculo 6 5" xfId="9730" xr:uid="{00000000-0005-0000-0000-00002C110000}"/>
    <cellStyle name="Hipervínculo 7" xfId="6099" xr:uid="{00000000-0005-0000-0000-00002D110000}"/>
    <cellStyle name="Hipervínculo 8" xfId="6125" xr:uid="{00000000-0005-0000-0000-00002E110000}"/>
    <cellStyle name="Hipervínculo 9" xfId="6137" xr:uid="{00000000-0005-0000-0000-00002F110000}"/>
    <cellStyle name="Incorrecto 2" xfId="13042" xr:uid="{00000000-0005-0000-0000-000030110000}"/>
    <cellStyle name="Incorrecto 3" xfId="5762" xr:uid="{00000000-0005-0000-0000-000031110000}"/>
    <cellStyle name="Millares 2" xfId="13045" xr:uid="{00000000-0005-0000-0000-000032110000}"/>
    <cellStyle name="Millares 2 10" xfId="13049" xr:uid="{00000000-0005-0000-0000-000033110000}"/>
    <cellStyle name="Millares 2 10 2" xfId="13052" xr:uid="{00000000-0005-0000-0000-000034110000}"/>
    <cellStyle name="Millares 2 10 2 2" xfId="13056" xr:uid="{00000000-0005-0000-0000-000035110000}"/>
    <cellStyle name="Millares 2 10 3" xfId="2191" xr:uid="{00000000-0005-0000-0000-000036110000}"/>
    <cellStyle name="Millares 2 11" xfId="13061" xr:uid="{00000000-0005-0000-0000-000037110000}"/>
    <cellStyle name="Millares 2 11 2" xfId="599" xr:uid="{00000000-0005-0000-0000-000038110000}"/>
    <cellStyle name="Millares 2 11 2 2" xfId="845" xr:uid="{00000000-0005-0000-0000-000039110000}"/>
    <cellStyle name="Millares 2 11 3" xfId="701" xr:uid="{00000000-0005-0000-0000-00003A110000}"/>
    <cellStyle name="Millares 2 12" xfId="13066" xr:uid="{00000000-0005-0000-0000-00003B110000}"/>
    <cellStyle name="Millares 2 12 2" xfId="5840" xr:uid="{00000000-0005-0000-0000-00003C110000}"/>
    <cellStyle name="Millares 2 13" xfId="13071" xr:uid="{00000000-0005-0000-0000-00003D110000}"/>
    <cellStyle name="Millares 2 13 2" xfId="1241" xr:uid="{00000000-0005-0000-0000-00003E110000}"/>
    <cellStyle name="Millares 2 14" xfId="5880" xr:uid="{00000000-0005-0000-0000-00003F110000}"/>
    <cellStyle name="Millares 2 14 2" xfId="5897" xr:uid="{00000000-0005-0000-0000-000040110000}"/>
    <cellStyle name="Millares 2 2" xfId="11902" xr:uid="{00000000-0005-0000-0000-000041110000}"/>
    <cellStyle name="Millares 2 2 2" xfId="11910" xr:uid="{00000000-0005-0000-0000-000042110000}"/>
    <cellStyle name="Millares 2 3" xfId="11918" xr:uid="{00000000-0005-0000-0000-000043110000}"/>
    <cellStyle name="Millares 2 4" xfId="10695" xr:uid="{00000000-0005-0000-0000-000044110000}"/>
    <cellStyle name="Millares 2 4 2" xfId="13074" xr:uid="{00000000-0005-0000-0000-000045110000}"/>
    <cellStyle name="Millares 2 4 2 2" xfId="9242" xr:uid="{00000000-0005-0000-0000-000046110000}"/>
    <cellStyle name="Millares 2 4 2 2 2" xfId="13033" xr:uid="{00000000-0005-0000-0000-000047110000}"/>
    <cellStyle name="Millares 2 4 2 2 2 2" xfId="12230" xr:uid="{00000000-0005-0000-0000-000048110000}"/>
    <cellStyle name="Millares 2 4 2 2 2 2 2" xfId="13075" xr:uid="{00000000-0005-0000-0000-000049110000}"/>
    <cellStyle name="Millares 2 4 2 2 2 2 2 2" xfId="13076" xr:uid="{00000000-0005-0000-0000-00004A110000}"/>
    <cellStyle name="Millares 2 4 2 2 2 2 3" xfId="13077" xr:uid="{00000000-0005-0000-0000-00004B110000}"/>
    <cellStyle name="Millares 2 4 2 2 2 3" xfId="13078" xr:uid="{00000000-0005-0000-0000-00004C110000}"/>
    <cellStyle name="Millares 2 4 2 2 2 3 2" xfId="13080" xr:uid="{00000000-0005-0000-0000-00004D110000}"/>
    <cellStyle name="Millares 2 4 2 2 2 4" xfId="13084" xr:uid="{00000000-0005-0000-0000-00004E110000}"/>
    <cellStyle name="Millares 2 4 2 2 3" xfId="13040" xr:uid="{00000000-0005-0000-0000-00004F110000}"/>
    <cellStyle name="Millares 2 4 2 2 3 2" xfId="12243" xr:uid="{00000000-0005-0000-0000-000050110000}"/>
    <cellStyle name="Millares 2 4 2 2 3 2 2" xfId="13086" xr:uid="{00000000-0005-0000-0000-000051110000}"/>
    <cellStyle name="Millares 2 4 2 2 3 3" xfId="1595" xr:uid="{00000000-0005-0000-0000-000052110000}"/>
    <cellStyle name="Millares 2 4 2 2 4" xfId="6100" xr:uid="{00000000-0005-0000-0000-000053110000}"/>
    <cellStyle name="Millares 2 4 2 2 4 2" xfId="6104" xr:uid="{00000000-0005-0000-0000-000054110000}"/>
    <cellStyle name="Millares 2 4 2 2 4 2 2" xfId="2133" xr:uid="{00000000-0005-0000-0000-000055110000}"/>
    <cellStyle name="Millares 2 4 2 2 4 3" xfId="6113" xr:uid="{00000000-0005-0000-0000-000056110000}"/>
    <cellStyle name="Millares 2 4 2 2 5" xfId="6126" xr:uid="{00000000-0005-0000-0000-000057110000}"/>
    <cellStyle name="Millares 2 4 2 2 5 2" xfId="3266" xr:uid="{00000000-0005-0000-0000-000058110000}"/>
    <cellStyle name="Millares 2 4 2 2 6" xfId="6138" xr:uid="{00000000-0005-0000-0000-000059110000}"/>
    <cellStyle name="Millares 2 4 2 2 6 2" xfId="6147" xr:uid="{00000000-0005-0000-0000-00005A110000}"/>
    <cellStyle name="Millares 2 4 2 2 7" xfId="5295" xr:uid="{00000000-0005-0000-0000-00005B110000}"/>
    <cellStyle name="Millares 2 4 2 3" xfId="7526" xr:uid="{00000000-0005-0000-0000-00005C110000}"/>
    <cellStyle name="Millares 2 4 2 3 2" xfId="13089" xr:uid="{00000000-0005-0000-0000-00005D110000}"/>
    <cellStyle name="Millares 2 4 2 3 2 2" xfId="13094" xr:uid="{00000000-0005-0000-0000-00005E110000}"/>
    <cellStyle name="Millares 2 4 2 3 2 2 2" xfId="13097" xr:uid="{00000000-0005-0000-0000-00005F110000}"/>
    <cellStyle name="Millares 2 4 2 3 2 3" xfId="13100" xr:uid="{00000000-0005-0000-0000-000060110000}"/>
    <cellStyle name="Millares 2 4 2 3 3" xfId="11771" xr:uid="{00000000-0005-0000-0000-000061110000}"/>
    <cellStyle name="Millares 2 4 2 3 3 2" xfId="13106" xr:uid="{00000000-0005-0000-0000-000062110000}"/>
    <cellStyle name="Millares 2 4 2 3 4" xfId="6175" xr:uid="{00000000-0005-0000-0000-000063110000}"/>
    <cellStyle name="Millares 2 4 2 4" xfId="423" xr:uid="{00000000-0005-0000-0000-000064110000}"/>
    <cellStyle name="Millares 2 4 2 4 2" xfId="13108" xr:uid="{00000000-0005-0000-0000-000065110000}"/>
    <cellStyle name="Millares 2 4 2 4 2 2" xfId="13109" xr:uid="{00000000-0005-0000-0000-000066110000}"/>
    <cellStyle name="Millares 2 4 2 4 3" xfId="13117" xr:uid="{00000000-0005-0000-0000-000067110000}"/>
    <cellStyle name="Millares 2 4 2 5" xfId="10607" xr:uid="{00000000-0005-0000-0000-000068110000}"/>
    <cellStyle name="Millares 2 4 2 5 2" xfId="13119" xr:uid="{00000000-0005-0000-0000-000069110000}"/>
    <cellStyle name="Millares 2 4 2 5 2 2" xfId="13122" xr:uid="{00000000-0005-0000-0000-00006A110000}"/>
    <cellStyle name="Millares 2 4 2 5 3" xfId="13128" xr:uid="{00000000-0005-0000-0000-00006B110000}"/>
    <cellStyle name="Millares 2 4 2 6" xfId="13129" xr:uid="{00000000-0005-0000-0000-00006C110000}"/>
    <cellStyle name="Millares 2 4 2 6 2" xfId="13133" xr:uid="{00000000-0005-0000-0000-00006D110000}"/>
    <cellStyle name="Millares 2 4 2 7" xfId="9069" xr:uid="{00000000-0005-0000-0000-00006E110000}"/>
    <cellStyle name="Millares 2 4 2 7 2" xfId="9077" xr:uid="{00000000-0005-0000-0000-00006F110000}"/>
    <cellStyle name="Millares 2 4 2 8" xfId="9082" xr:uid="{00000000-0005-0000-0000-000070110000}"/>
    <cellStyle name="Millares 2 4 3" xfId="2102" xr:uid="{00000000-0005-0000-0000-000071110000}"/>
    <cellStyle name="Millares 2 4 3 2" xfId="13138" xr:uid="{00000000-0005-0000-0000-000072110000}"/>
    <cellStyle name="Millares 2 4 3 2 2" xfId="8601" xr:uid="{00000000-0005-0000-0000-000073110000}"/>
    <cellStyle name="Millares 2 4 3 2 2 2" xfId="1760" xr:uid="{00000000-0005-0000-0000-000074110000}"/>
    <cellStyle name="Millares 2 4 3 2 2 2 2" xfId="13144" xr:uid="{00000000-0005-0000-0000-000075110000}"/>
    <cellStyle name="Millares 2 4 3 2 2 3" xfId="13145" xr:uid="{00000000-0005-0000-0000-000076110000}"/>
    <cellStyle name="Millares 2 4 3 2 3" xfId="8605" xr:uid="{00000000-0005-0000-0000-000077110000}"/>
    <cellStyle name="Millares 2 4 3 2 3 2" xfId="1749" xr:uid="{00000000-0005-0000-0000-000078110000}"/>
    <cellStyle name="Millares 2 4 3 2 4" xfId="6284" xr:uid="{00000000-0005-0000-0000-000079110000}"/>
    <cellStyle name="Millares 2 4 3 3" xfId="13150" xr:uid="{00000000-0005-0000-0000-00007A110000}"/>
    <cellStyle name="Millares 2 4 3 3 2" xfId="13152" xr:uid="{00000000-0005-0000-0000-00007B110000}"/>
    <cellStyle name="Millares 2 4 3 3 2 2" xfId="13154" xr:uid="{00000000-0005-0000-0000-00007C110000}"/>
    <cellStyle name="Millares 2 4 3 3 3" xfId="13159" xr:uid="{00000000-0005-0000-0000-00007D110000}"/>
    <cellStyle name="Millares 2 4 3 4" xfId="13162" xr:uid="{00000000-0005-0000-0000-00007E110000}"/>
    <cellStyle name="Millares 2 4 3 4 2" xfId="13167" xr:uid="{00000000-0005-0000-0000-00007F110000}"/>
    <cellStyle name="Millares 2 4 3 4 2 2" xfId="13169" xr:uid="{00000000-0005-0000-0000-000080110000}"/>
    <cellStyle name="Millares 2 4 3 4 3" xfId="13177" xr:uid="{00000000-0005-0000-0000-000081110000}"/>
    <cellStyle name="Millares 2 4 3 5" xfId="13178" xr:uid="{00000000-0005-0000-0000-000082110000}"/>
    <cellStyle name="Millares 2 4 3 5 2" xfId="13189" xr:uid="{00000000-0005-0000-0000-000083110000}"/>
    <cellStyle name="Millares 2 4 3 6" xfId="13190" xr:uid="{00000000-0005-0000-0000-000084110000}"/>
    <cellStyle name="Millares 2 4 3 6 2" xfId="13192" xr:uid="{00000000-0005-0000-0000-000085110000}"/>
    <cellStyle name="Millares 2 4 3 7" xfId="9090" xr:uid="{00000000-0005-0000-0000-000086110000}"/>
    <cellStyle name="Millares 2 4 4" xfId="13194" xr:uid="{00000000-0005-0000-0000-000087110000}"/>
    <cellStyle name="Millares 2 4 4 2" xfId="13195" xr:uid="{00000000-0005-0000-0000-000088110000}"/>
    <cellStyle name="Millares 2 4 4 2 2" xfId="13196" xr:uid="{00000000-0005-0000-0000-000089110000}"/>
    <cellStyle name="Millares 2 4 4 2 2 2" xfId="12361" xr:uid="{00000000-0005-0000-0000-00008A110000}"/>
    <cellStyle name="Millares 2 4 4 2 3" xfId="9106" xr:uid="{00000000-0005-0000-0000-00008B110000}"/>
    <cellStyle name="Millares 2 4 4 3" xfId="13197" xr:uid="{00000000-0005-0000-0000-00008C110000}"/>
    <cellStyle name="Millares 2 4 4 3 2" xfId="13199" xr:uid="{00000000-0005-0000-0000-00008D110000}"/>
    <cellStyle name="Millares 2 4 4 4" xfId="13205" xr:uid="{00000000-0005-0000-0000-00008E110000}"/>
    <cellStyle name="Millares 2 4 5" xfId="4547" xr:uid="{00000000-0005-0000-0000-00008F110000}"/>
    <cellStyle name="Millares 2 4 5 2" xfId="13206" xr:uid="{00000000-0005-0000-0000-000090110000}"/>
    <cellStyle name="Millares 2 4 5 2 2" xfId="13207" xr:uid="{00000000-0005-0000-0000-000091110000}"/>
    <cellStyle name="Millares 2 4 5 3" xfId="13216" xr:uid="{00000000-0005-0000-0000-000092110000}"/>
    <cellStyle name="Millares 2 4 6" xfId="13217" xr:uid="{00000000-0005-0000-0000-000093110000}"/>
    <cellStyle name="Millares 2 4 6 2" xfId="13219" xr:uid="{00000000-0005-0000-0000-000094110000}"/>
    <cellStyle name="Millares 2 4 6 2 2" xfId="13222" xr:uid="{00000000-0005-0000-0000-000095110000}"/>
    <cellStyle name="Millares 2 4 6 3" xfId="13223" xr:uid="{00000000-0005-0000-0000-000096110000}"/>
    <cellStyle name="Millares 2 4 7" xfId="5054" xr:uid="{00000000-0005-0000-0000-000097110000}"/>
    <cellStyle name="Millares 2 4 7 2" xfId="13226" xr:uid="{00000000-0005-0000-0000-000098110000}"/>
    <cellStyle name="Millares 2 4 8" xfId="13230" xr:uid="{00000000-0005-0000-0000-000099110000}"/>
    <cellStyle name="Millares 2 4 8 2" xfId="13233" xr:uid="{00000000-0005-0000-0000-00009A110000}"/>
    <cellStyle name="Millares 2 4 9" xfId="8481" xr:uid="{00000000-0005-0000-0000-00009B110000}"/>
    <cellStyle name="Millares 2 5" xfId="10713" xr:uid="{00000000-0005-0000-0000-00009C110000}"/>
    <cellStyle name="Millares 2 5 2" xfId="13242" xr:uid="{00000000-0005-0000-0000-00009D110000}"/>
    <cellStyle name="Millares 2 5 2 2" xfId="13249" xr:uid="{00000000-0005-0000-0000-00009E110000}"/>
    <cellStyle name="Millares 2 5 2 2 2" xfId="13251" xr:uid="{00000000-0005-0000-0000-00009F110000}"/>
    <cellStyle name="Millares 2 5 2 2 2 2" xfId="13252" xr:uid="{00000000-0005-0000-0000-0000A0110000}"/>
    <cellStyle name="Millares 2 5 2 2 2 2 2" xfId="13253" xr:uid="{00000000-0005-0000-0000-0000A1110000}"/>
    <cellStyle name="Millares 2 5 2 2 2 3" xfId="13254" xr:uid="{00000000-0005-0000-0000-0000A2110000}"/>
    <cellStyle name="Millares 2 5 2 2 3" xfId="13255" xr:uid="{00000000-0005-0000-0000-0000A3110000}"/>
    <cellStyle name="Millares 2 5 2 2 3 2" xfId="13257" xr:uid="{00000000-0005-0000-0000-0000A4110000}"/>
    <cellStyle name="Millares 2 5 2 2 4" xfId="7378" xr:uid="{00000000-0005-0000-0000-0000A5110000}"/>
    <cellStyle name="Millares 2 5 2 3" xfId="13261" xr:uid="{00000000-0005-0000-0000-0000A6110000}"/>
    <cellStyle name="Millares 2 5 2 3 2" xfId="13267" xr:uid="{00000000-0005-0000-0000-0000A7110000}"/>
    <cellStyle name="Millares 2 5 2 3 2 2" xfId="13272" xr:uid="{00000000-0005-0000-0000-0000A8110000}"/>
    <cellStyle name="Millares 2 5 2 3 3" xfId="13277" xr:uid="{00000000-0005-0000-0000-0000A9110000}"/>
    <cellStyle name="Millares 2 5 2 4" xfId="13282" xr:uid="{00000000-0005-0000-0000-0000AA110000}"/>
    <cellStyle name="Millares 2 5 2 4 2" xfId="13284" xr:uid="{00000000-0005-0000-0000-0000AB110000}"/>
    <cellStyle name="Millares 2 5 2 4 2 2" xfId="13286" xr:uid="{00000000-0005-0000-0000-0000AC110000}"/>
    <cellStyle name="Millares 2 5 2 4 3" xfId="12507" xr:uid="{00000000-0005-0000-0000-0000AD110000}"/>
    <cellStyle name="Millares 2 5 2 5" xfId="891" xr:uid="{00000000-0005-0000-0000-0000AE110000}"/>
    <cellStyle name="Millares 2 5 2 5 2" xfId="910" xr:uid="{00000000-0005-0000-0000-0000AF110000}"/>
    <cellStyle name="Millares 2 5 2 6" xfId="925" xr:uid="{00000000-0005-0000-0000-0000B0110000}"/>
    <cellStyle name="Millares 2 5 2 6 2" xfId="938" xr:uid="{00000000-0005-0000-0000-0000B1110000}"/>
    <cellStyle name="Millares 2 5 2 7" xfId="13288" xr:uid="{00000000-0005-0000-0000-0000B2110000}"/>
    <cellStyle name="Millares 2 5 3" xfId="13293" xr:uid="{00000000-0005-0000-0000-0000B3110000}"/>
    <cellStyle name="Millares 2 5 3 2" xfId="8161" xr:uid="{00000000-0005-0000-0000-0000B4110000}"/>
    <cellStyle name="Millares 2 5 3 2 2" xfId="8166" xr:uid="{00000000-0005-0000-0000-0000B5110000}"/>
    <cellStyle name="Millares 2 5 3 2 2 2" xfId="11222" xr:uid="{00000000-0005-0000-0000-0000B6110000}"/>
    <cellStyle name="Millares 2 5 3 2 3" xfId="11228" xr:uid="{00000000-0005-0000-0000-0000B7110000}"/>
    <cellStyle name="Millares 2 5 3 3" xfId="8179" xr:uid="{00000000-0005-0000-0000-0000B8110000}"/>
    <cellStyle name="Millares 2 5 3 3 2" xfId="388" xr:uid="{00000000-0005-0000-0000-0000B9110000}"/>
    <cellStyle name="Millares 2 5 3 4" xfId="8407" xr:uid="{00000000-0005-0000-0000-0000BA110000}"/>
    <cellStyle name="Millares 2 5 4" xfId="13294" xr:uid="{00000000-0005-0000-0000-0000BB110000}"/>
    <cellStyle name="Millares 2 5 4 2" xfId="8197" xr:uid="{00000000-0005-0000-0000-0000BC110000}"/>
    <cellStyle name="Millares 2 5 4 2 2" xfId="12988" xr:uid="{00000000-0005-0000-0000-0000BD110000}"/>
    <cellStyle name="Millares 2 5 4 3" xfId="8849" xr:uid="{00000000-0005-0000-0000-0000BE110000}"/>
    <cellStyle name="Millares 2 5 5" xfId="12066" xr:uid="{00000000-0005-0000-0000-0000BF110000}"/>
    <cellStyle name="Millares 2 5 5 2" xfId="8208" xr:uid="{00000000-0005-0000-0000-0000C0110000}"/>
    <cellStyle name="Millares 2 5 5 2 2" xfId="13297" xr:uid="{00000000-0005-0000-0000-0000C1110000}"/>
    <cellStyle name="Millares 2 5 5 3" xfId="13302" xr:uid="{00000000-0005-0000-0000-0000C2110000}"/>
    <cellStyle name="Millares 2 5 6" xfId="13303" xr:uid="{00000000-0005-0000-0000-0000C3110000}"/>
    <cellStyle name="Millares 2 5 6 2" xfId="13306" xr:uid="{00000000-0005-0000-0000-0000C4110000}"/>
    <cellStyle name="Millares 2 5 7" xfId="13309" xr:uid="{00000000-0005-0000-0000-0000C5110000}"/>
    <cellStyle name="Millares 2 5 7 2" xfId="13315" xr:uid="{00000000-0005-0000-0000-0000C6110000}"/>
    <cellStyle name="Millares 2 5 8" xfId="13320" xr:uid="{00000000-0005-0000-0000-0000C7110000}"/>
    <cellStyle name="Millares 2 6" xfId="13331" xr:uid="{00000000-0005-0000-0000-0000C8110000}"/>
    <cellStyle name="Millares 2 6 2" xfId="13341" xr:uid="{00000000-0005-0000-0000-0000C9110000}"/>
    <cellStyle name="Millares 2 6 2 2" xfId="13349" xr:uid="{00000000-0005-0000-0000-0000CA110000}"/>
    <cellStyle name="Millares 2 6 2 2 2" xfId="13351" xr:uid="{00000000-0005-0000-0000-0000CB110000}"/>
    <cellStyle name="Millares 2 6 2 2 2 2" xfId="13352" xr:uid="{00000000-0005-0000-0000-0000CC110000}"/>
    <cellStyle name="Millares 2 6 2 2 2 2 2" xfId="13353" xr:uid="{00000000-0005-0000-0000-0000CD110000}"/>
    <cellStyle name="Millares 2 6 2 2 2 3" xfId="13354" xr:uid="{00000000-0005-0000-0000-0000CE110000}"/>
    <cellStyle name="Millares 2 6 2 2 3" xfId="13355" xr:uid="{00000000-0005-0000-0000-0000CF110000}"/>
    <cellStyle name="Millares 2 6 2 2 3 2" xfId="13356" xr:uid="{00000000-0005-0000-0000-0000D0110000}"/>
    <cellStyle name="Millares 2 6 2 2 4" xfId="8243" xr:uid="{00000000-0005-0000-0000-0000D1110000}"/>
    <cellStyle name="Millares 2 6 2 3" xfId="13361" xr:uid="{00000000-0005-0000-0000-0000D2110000}"/>
    <cellStyle name="Millares 2 6 2 3 2" xfId="657" xr:uid="{00000000-0005-0000-0000-0000D3110000}"/>
    <cellStyle name="Millares 2 6 2 3 2 2" xfId="5442" xr:uid="{00000000-0005-0000-0000-0000D4110000}"/>
    <cellStyle name="Millares 2 6 2 3 3" xfId="730" xr:uid="{00000000-0005-0000-0000-0000D5110000}"/>
    <cellStyle name="Millares 2 6 2 4" xfId="8051" xr:uid="{00000000-0005-0000-0000-0000D6110000}"/>
    <cellStyle name="Millares 2 6 2 4 2" xfId="6858" xr:uid="{00000000-0005-0000-0000-0000D7110000}"/>
    <cellStyle name="Millares 2 6 2 4 2 2" xfId="6864" xr:uid="{00000000-0005-0000-0000-0000D8110000}"/>
    <cellStyle name="Millares 2 6 2 4 3" xfId="6873" xr:uid="{00000000-0005-0000-0000-0000D9110000}"/>
    <cellStyle name="Millares 2 6 2 5" xfId="1191" xr:uid="{00000000-0005-0000-0000-0000DA110000}"/>
    <cellStyle name="Millares 2 6 2 5 2" xfId="6887" xr:uid="{00000000-0005-0000-0000-0000DB110000}"/>
    <cellStyle name="Millares 2 6 2 6" xfId="13364" xr:uid="{00000000-0005-0000-0000-0000DC110000}"/>
    <cellStyle name="Millares 2 6 2 6 2" xfId="6908" xr:uid="{00000000-0005-0000-0000-0000DD110000}"/>
    <cellStyle name="Millares 2 6 2 7" xfId="13365" xr:uid="{00000000-0005-0000-0000-0000DE110000}"/>
    <cellStyle name="Millares 2 6 3" xfId="13371" xr:uid="{00000000-0005-0000-0000-0000DF110000}"/>
    <cellStyle name="Millares 2 6 3 2" xfId="5049" xr:uid="{00000000-0005-0000-0000-0000E0110000}"/>
    <cellStyle name="Millares 2 6 3 2 2" xfId="13372" xr:uid="{00000000-0005-0000-0000-0000E1110000}"/>
    <cellStyle name="Millares 2 6 3 2 2 2" xfId="13373" xr:uid="{00000000-0005-0000-0000-0000E2110000}"/>
    <cellStyle name="Millares 2 6 3 2 3" xfId="13374" xr:uid="{00000000-0005-0000-0000-0000E3110000}"/>
    <cellStyle name="Millares 2 6 3 3" xfId="5062" xr:uid="{00000000-0005-0000-0000-0000E4110000}"/>
    <cellStyle name="Millares 2 6 3 3 2" xfId="6995" xr:uid="{00000000-0005-0000-0000-0000E5110000}"/>
    <cellStyle name="Millares 2 6 3 4" xfId="13376" xr:uid="{00000000-0005-0000-0000-0000E6110000}"/>
    <cellStyle name="Millares 2 6 4" xfId="13377" xr:uid="{00000000-0005-0000-0000-0000E7110000}"/>
    <cellStyle name="Millares 2 6 4 2" xfId="13378" xr:uid="{00000000-0005-0000-0000-0000E8110000}"/>
    <cellStyle name="Millares 2 6 4 2 2" xfId="13379" xr:uid="{00000000-0005-0000-0000-0000E9110000}"/>
    <cellStyle name="Millares 2 6 4 3" xfId="13381" xr:uid="{00000000-0005-0000-0000-0000EA110000}"/>
    <cellStyle name="Millares 2 6 5" xfId="12082" xr:uid="{00000000-0005-0000-0000-0000EB110000}"/>
    <cellStyle name="Millares 2 6 5 2" xfId="12084" xr:uid="{00000000-0005-0000-0000-0000EC110000}"/>
    <cellStyle name="Millares 2 6 5 2 2" xfId="12088" xr:uid="{00000000-0005-0000-0000-0000ED110000}"/>
    <cellStyle name="Millares 2 6 5 3" xfId="11426" xr:uid="{00000000-0005-0000-0000-0000EE110000}"/>
    <cellStyle name="Millares 2 6 6" xfId="5086" xr:uid="{00000000-0005-0000-0000-0000EF110000}"/>
    <cellStyle name="Millares 2 6 6 2" xfId="12218" xr:uid="{00000000-0005-0000-0000-0000F0110000}"/>
    <cellStyle name="Millares 2 6 7" xfId="12283" xr:uid="{00000000-0005-0000-0000-0000F1110000}"/>
    <cellStyle name="Millares 2 6 7 2" xfId="12288" xr:uid="{00000000-0005-0000-0000-0000F2110000}"/>
    <cellStyle name="Millares 2 6 8" xfId="10430" xr:uid="{00000000-0005-0000-0000-0000F3110000}"/>
    <cellStyle name="Millares 2 7" xfId="13391" xr:uid="{00000000-0005-0000-0000-0000F4110000}"/>
    <cellStyle name="Millares 2 7 2" xfId="13394" xr:uid="{00000000-0005-0000-0000-0000F5110000}"/>
    <cellStyle name="Millares 2 7 2 2" xfId="13399" xr:uid="{00000000-0005-0000-0000-0000F6110000}"/>
    <cellStyle name="Millares 2 7 2 2 2" xfId="13414" xr:uid="{00000000-0005-0000-0000-0000F7110000}"/>
    <cellStyle name="Millares 2 7 2 2 2 2" xfId="13427" xr:uid="{00000000-0005-0000-0000-0000F8110000}"/>
    <cellStyle name="Millares 2 7 2 2 2 2 2" xfId="13437" xr:uid="{00000000-0005-0000-0000-0000F9110000}"/>
    <cellStyle name="Millares 2 7 2 2 2 3" xfId="13450" xr:uid="{00000000-0005-0000-0000-0000FA110000}"/>
    <cellStyle name="Millares 2 7 2 2 3" xfId="13460" xr:uid="{00000000-0005-0000-0000-0000FB110000}"/>
    <cellStyle name="Millares 2 7 2 2 3 2" xfId="13467" xr:uid="{00000000-0005-0000-0000-0000FC110000}"/>
    <cellStyle name="Millares 2 7 2 2 4" xfId="3094" xr:uid="{00000000-0005-0000-0000-0000FD110000}"/>
    <cellStyle name="Millares 2 7 2 3" xfId="13471" xr:uid="{00000000-0005-0000-0000-0000FE110000}"/>
    <cellStyle name="Millares 2 7 2 3 2" xfId="13482" xr:uid="{00000000-0005-0000-0000-0000FF110000}"/>
    <cellStyle name="Millares 2 7 2 3 2 2" xfId="13484" xr:uid="{00000000-0005-0000-0000-000000120000}"/>
    <cellStyle name="Millares 2 7 2 3 3" xfId="13493" xr:uid="{00000000-0005-0000-0000-000001120000}"/>
    <cellStyle name="Millares 2 7 2 4" xfId="13496" xr:uid="{00000000-0005-0000-0000-000002120000}"/>
    <cellStyle name="Millares 2 7 2 4 2" xfId="13503" xr:uid="{00000000-0005-0000-0000-000003120000}"/>
    <cellStyle name="Millares 2 7 2 4 2 2" xfId="13509" xr:uid="{00000000-0005-0000-0000-000004120000}"/>
    <cellStyle name="Millares 2 7 2 4 3" xfId="13515" xr:uid="{00000000-0005-0000-0000-000005120000}"/>
    <cellStyle name="Millares 2 7 2 5" xfId="1341" xr:uid="{00000000-0005-0000-0000-000006120000}"/>
    <cellStyle name="Millares 2 7 2 5 2" xfId="13519" xr:uid="{00000000-0005-0000-0000-000007120000}"/>
    <cellStyle name="Millares 2 7 2 6" xfId="13526" xr:uid="{00000000-0005-0000-0000-000008120000}"/>
    <cellStyle name="Millares 2 7 2 6 2" xfId="13528" xr:uid="{00000000-0005-0000-0000-000009120000}"/>
    <cellStyle name="Millares 2 7 2 7" xfId="13529" xr:uid="{00000000-0005-0000-0000-00000A120000}"/>
    <cellStyle name="Millares 2 7 3" xfId="13531" xr:uid="{00000000-0005-0000-0000-00000B120000}"/>
    <cellStyle name="Millares 2 7 3 2" xfId="13535" xr:uid="{00000000-0005-0000-0000-00000C120000}"/>
    <cellStyle name="Millares 2 7 3 2 2" xfId="13537" xr:uid="{00000000-0005-0000-0000-00000D120000}"/>
    <cellStyle name="Millares 2 7 3 2 2 2" xfId="174" xr:uid="{00000000-0005-0000-0000-00000E120000}"/>
    <cellStyle name="Millares 2 7 3 2 3" xfId="13538" xr:uid="{00000000-0005-0000-0000-00000F120000}"/>
    <cellStyle name="Millares 2 7 3 3" xfId="8883" xr:uid="{00000000-0005-0000-0000-000010120000}"/>
    <cellStyle name="Millares 2 7 3 3 2" xfId="13542" xr:uid="{00000000-0005-0000-0000-000011120000}"/>
    <cellStyle name="Millares 2 7 3 4" xfId="13546" xr:uid="{00000000-0005-0000-0000-000012120000}"/>
    <cellStyle name="Millares 2 7 4" xfId="13549" xr:uid="{00000000-0005-0000-0000-000013120000}"/>
    <cellStyle name="Millares 2 7 4 2" xfId="13553" xr:uid="{00000000-0005-0000-0000-000014120000}"/>
    <cellStyle name="Millares 2 7 4 2 2" xfId="13554" xr:uid="{00000000-0005-0000-0000-000015120000}"/>
    <cellStyle name="Millares 2 7 4 3" xfId="13555" xr:uid="{00000000-0005-0000-0000-000016120000}"/>
    <cellStyle name="Millares 2 7 5" xfId="12409" xr:uid="{00000000-0005-0000-0000-000017120000}"/>
    <cellStyle name="Millares 2 7 5 2" xfId="12411" xr:uid="{00000000-0005-0000-0000-000018120000}"/>
    <cellStyle name="Millares 2 7 5 2 2" xfId="12413" xr:uid="{00000000-0005-0000-0000-000019120000}"/>
    <cellStyle name="Millares 2 7 5 3" xfId="12418" xr:uid="{00000000-0005-0000-0000-00001A120000}"/>
    <cellStyle name="Millares 2 7 6" xfId="12428" xr:uid="{00000000-0005-0000-0000-00001B120000}"/>
    <cellStyle name="Millares 2 7 6 2" xfId="12431" xr:uid="{00000000-0005-0000-0000-00001C120000}"/>
    <cellStyle name="Millares 2 7 7" xfId="12435" xr:uid="{00000000-0005-0000-0000-00001D120000}"/>
    <cellStyle name="Millares 2 7 7 2" xfId="12438" xr:uid="{00000000-0005-0000-0000-00001E120000}"/>
    <cellStyle name="Millares 2 7 8" xfId="10476" xr:uid="{00000000-0005-0000-0000-00001F120000}"/>
    <cellStyle name="Millares 2 8" xfId="13558" xr:uid="{00000000-0005-0000-0000-000020120000}"/>
    <cellStyle name="Millares 2 8 2" xfId="13561" xr:uid="{00000000-0005-0000-0000-000021120000}"/>
    <cellStyle name="Millares 2 8 2 2" xfId="9084" xr:uid="{00000000-0005-0000-0000-000022120000}"/>
    <cellStyle name="Millares 2 8 2 2 2" xfId="9089" xr:uid="{00000000-0005-0000-0000-000023120000}"/>
    <cellStyle name="Millares 2 8 2 2 2 2" xfId="13563" xr:uid="{00000000-0005-0000-0000-000024120000}"/>
    <cellStyle name="Millares 2 8 2 2 3" xfId="13568" xr:uid="{00000000-0005-0000-0000-000025120000}"/>
    <cellStyle name="Millares 2 8 2 3" xfId="9094" xr:uid="{00000000-0005-0000-0000-000026120000}"/>
    <cellStyle name="Millares 2 8 2 3 2" xfId="9103" xr:uid="{00000000-0005-0000-0000-000027120000}"/>
    <cellStyle name="Millares 2 8 2 4" xfId="7858" xr:uid="{00000000-0005-0000-0000-000028120000}"/>
    <cellStyle name="Millares 2 8 3" xfId="13569" xr:uid="{00000000-0005-0000-0000-000029120000}"/>
    <cellStyle name="Millares 2 8 3 2" xfId="13571" xr:uid="{00000000-0005-0000-0000-00002A120000}"/>
    <cellStyle name="Millares 2 8 3 2 2" xfId="13578" xr:uid="{00000000-0005-0000-0000-00002B120000}"/>
    <cellStyle name="Millares 2 8 3 3" xfId="13583" xr:uid="{00000000-0005-0000-0000-00002C120000}"/>
    <cellStyle name="Millares 2 8 4" xfId="13584" xr:uid="{00000000-0005-0000-0000-00002D120000}"/>
    <cellStyle name="Millares 2 8 4 2" xfId="13586" xr:uid="{00000000-0005-0000-0000-00002E120000}"/>
    <cellStyle name="Millares 2 8 4 2 2" xfId="13587" xr:uid="{00000000-0005-0000-0000-00002F120000}"/>
    <cellStyle name="Millares 2 8 4 3" xfId="13588" xr:uid="{00000000-0005-0000-0000-000030120000}"/>
    <cellStyle name="Millares 2 8 5" xfId="12447" xr:uid="{00000000-0005-0000-0000-000031120000}"/>
    <cellStyle name="Millares 2 8 5 2" xfId="12449" xr:uid="{00000000-0005-0000-0000-000032120000}"/>
    <cellStyle name="Millares 2 8 6" xfId="12453" xr:uid="{00000000-0005-0000-0000-000033120000}"/>
    <cellStyle name="Millares 2 8 6 2" xfId="12456" xr:uid="{00000000-0005-0000-0000-000034120000}"/>
    <cellStyle name="Millares 2 8 7" xfId="12086" xr:uid="{00000000-0005-0000-0000-000035120000}"/>
    <cellStyle name="Millares 2 9" xfId="13590" xr:uid="{00000000-0005-0000-0000-000036120000}"/>
    <cellStyle name="Millares 2 9 2" xfId="13594" xr:uid="{00000000-0005-0000-0000-000037120000}"/>
    <cellStyle name="Millares 2 9 2 2" xfId="12807" xr:uid="{00000000-0005-0000-0000-000038120000}"/>
    <cellStyle name="Millares 2 9 2 2 2" xfId="13599" xr:uid="{00000000-0005-0000-0000-000039120000}"/>
    <cellStyle name="Millares 2 9 2 3" xfId="2387" xr:uid="{00000000-0005-0000-0000-00003A120000}"/>
    <cellStyle name="Millares 2 9 3" xfId="13602" xr:uid="{00000000-0005-0000-0000-00003B120000}"/>
    <cellStyle name="Millares 2 9 3 2" xfId="12827" xr:uid="{00000000-0005-0000-0000-00003C120000}"/>
    <cellStyle name="Millares 2 9 4" xfId="13603" xr:uid="{00000000-0005-0000-0000-00003D120000}"/>
    <cellStyle name="Millares 3" xfId="10300" xr:uid="{00000000-0005-0000-0000-00003E120000}"/>
    <cellStyle name="Millares 3 2" xfId="11080" xr:uid="{00000000-0005-0000-0000-00003F120000}"/>
    <cellStyle name="Millares 4" xfId="11493" xr:uid="{00000000-0005-0000-0000-000040120000}"/>
    <cellStyle name="Millares 4 10" xfId="12058" xr:uid="{00000000-0005-0000-0000-000041120000}"/>
    <cellStyle name="Millares 4 2" xfId="11505" xr:uid="{00000000-0005-0000-0000-000042120000}"/>
    <cellStyle name="Millares 4 2 2" xfId="11981" xr:uid="{00000000-0005-0000-0000-000043120000}"/>
    <cellStyle name="Millares 4 2 2 2" xfId="5367" xr:uid="{00000000-0005-0000-0000-000044120000}"/>
    <cellStyle name="Millares 4 2 2 2 2" xfId="13606" xr:uid="{00000000-0005-0000-0000-000045120000}"/>
    <cellStyle name="Millares 4 2 2 2 2 2" xfId="13607" xr:uid="{00000000-0005-0000-0000-000046120000}"/>
    <cellStyle name="Millares 4 2 2 2 2 2 2" xfId="13610" xr:uid="{00000000-0005-0000-0000-000047120000}"/>
    <cellStyle name="Millares 4 2 2 2 2 3" xfId="13613" xr:uid="{00000000-0005-0000-0000-000048120000}"/>
    <cellStyle name="Millares 4 2 2 2 3" xfId="10542" xr:uid="{00000000-0005-0000-0000-000049120000}"/>
    <cellStyle name="Millares 4 2 2 2 3 2" xfId="13618" xr:uid="{00000000-0005-0000-0000-00004A120000}"/>
    <cellStyle name="Millares 4 2 2 2 4" xfId="13621" xr:uid="{00000000-0005-0000-0000-00004B120000}"/>
    <cellStyle name="Millares 4 2 2 3" xfId="13622" xr:uid="{00000000-0005-0000-0000-00004C120000}"/>
    <cellStyle name="Millares 4 2 2 3 2" xfId="13623" xr:uid="{00000000-0005-0000-0000-00004D120000}"/>
    <cellStyle name="Millares 4 2 2 3 2 2" xfId="9302" xr:uid="{00000000-0005-0000-0000-00004E120000}"/>
    <cellStyle name="Millares 4 2 2 3 3" xfId="10103" xr:uid="{00000000-0005-0000-0000-00004F120000}"/>
    <cellStyle name="Millares 4 2 2 4" xfId="7902" xr:uid="{00000000-0005-0000-0000-000050120000}"/>
    <cellStyle name="Millares 4 2 2 4 2" xfId="13629" xr:uid="{00000000-0005-0000-0000-000051120000}"/>
    <cellStyle name="Millares 4 2 2 4 2 2" xfId="13635" xr:uid="{00000000-0005-0000-0000-000052120000}"/>
    <cellStyle name="Millares 4 2 2 4 3" xfId="11876" xr:uid="{00000000-0005-0000-0000-000053120000}"/>
    <cellStyle name="Millares 4 2 2 5" xfId="13637" xr:uid="{00000000-0005-0000-0000-000054120000}"/>
    <cellStyle name="Millares 4 2 2 5 2" xfId="13639" xr:uid="{00000000-0005-0000-0000-000055120000}"/>
    <cellStyle name="Millares 4 2 2 6" xfId="13642" xr:uid="{00000000-0005-0000-0000-000056120000}"/>
    <cellStyle name="Millares 4 2 2 6 2" xfId="13646" xr:uid="{00000000-0005-0000-0000-000057120000}"/>
    <cellStyle name="Millares 4 2 2 7" xfId="13650" xr:uid="{00000000-0005-0000-0000-000058120000}"/>
    <cellStyle name="Millares 4 2 2 8" xfId="13654" xr:uid="{00000000-0005-0000-0000-000059120000}"/>
    <cellStyle name="Millares 4 2 3" xfId="13655" xr:uid="{00000000-0005-0000-0000-00005A120000}"/>
    <cellStyle name="Millares 4 2 3 2" xfId="5384" xr:uid="{00000000-0005-0000-0000-00005B120000}"/>
    <cellStyle name="Millares 4 2 3 2 2" xfId="13160" xr:uid="{00000000-0005-0000-0000-00005C120000}"/>
    <cellStyle name="Millares 4 2 3 2 2 2" xfId="13163" xr:uid="{00000000-0005-0000-0000-00005D120000}"/>
    <cellStyle name="Millares 4 2 3 2 3" xfId="13187" xr:uid="{00000000-0005-0000-0000-00005E120000}"/>
    <cellStyle name="Millares 4 2 3 3" xfId="13658" xr:uid="{00000000-0005-0000-0000-00005F120000}"/>
    <cellStyle name="Millares 4 2 3 3 2" xfId="13204" xr:uid="{00000000-0005-0000-0000-000060120000}"/>
    <cellStyle name="Millares 4 2 3 4" xfId="13662" xr:uid="{00000000-0005-0000-0000-000061120000}"/>
    <cellStyle name="Millares 4 2 4" xfId="13663" xr:uid="{00000000-0005-0000-0000-000062120000}"/>
    <cellStyle name="Millares 4 2 4 2" xfId="13664" xr:uid="{00000000-0005-0000-0000-000063120000}"/>
    <cellStyle name="Millares 4 2 4 2 2" xfId="8409" xr:uid="{00000000-0005-0000-0000-000064120000}"/>
    <cellStyle name="Millares 4 2 4 3" xfId="13667" xr:uid="{00000000-0005-0000-0000-000065120000}"/>
    <cellStyle name="Millares 4 2 5" xfId="13670" xr:uid="{00000000-0005-0000-0000-000066120000}"/>
    <cellStyle name="Millares 4 2 5 2" xfId="156" xr:uid="{00000000-0005-0000-0000-000067120000}"/>
    <cellStyle name="Millares 4 2 5 2 2" xfId="13375" xr:uid="{00000000-0005-0000-0000-000068120000}"/>
    <cellStyle name="Millares 4 2 5 3" xfId="13675" xr:uid="{00000000-0005-0000-0000-000069120000}"/>
    <cellStyle name="Millares 4 2 6" xfId="13676" xr:uid="{00000000-0005-0000-0000-00006A120000}"/>
    <cellStyle name="Millares 4 2 6 2" xfId="13680" xr:uid="{00000000-0005-0000-0000-00006B120000}"/>
    <cellStyle name="Millares 4 2 7" xfId="13683" xr:uid="{00000000-0005-0000-0000-00006C120000}"/>
    <cellStyle name="Millares 4 2 7 2" xfId="7873" xr:uid="{00000000-0005-0000-0000-00006D120000}"/>
    <cellStyle name="Millares 4 2 8" xfId="13685" xr:uid="{00000000-0005-0000-0000-00006E120000}"/>
    <cellStyle name="Millares 4 2 9" xfId="13687" xr:uid="{00000000-0005-0000-0000-00006F120000}"/>
    <cellStyle name="Millares 4 3" xfId="11985" xr:uid="{00000000-0005-0000-0000-000070120000}"/>
    <cellStyle name="Millares 4 3 2" xfId="13689" xr:uid="{00000000-0005-0000-0000-000071120000}"/>
    <cellStyle name="Millares 4 3 2 2" xfId="13692" xr:uid="{00000000-0005-0000-0000-000072120000}"/>
    <cellStyle name="Millares 4 3 2 2 2" xfId="13694" xr:uid="{00000000-0005-0000-0000-000073120000}"/>
    <cellStyle name="Millares 4 3 2 2 2 2" xfId="13696" xr:uid="{00000000-0005-0000-0000-000074120000}"/>
    <cellStyle name="Millares 4 3 2 2 3" xfId="12484" xr:uid="{00000000-0005-0000-0000-000075120000}"/>
    <cellStyle name="Millares 4 3 2 3" xfId="13698" xr:uid="{00000000-0005-0000-0000-000076120000}"/>
    <cellStyle name="Millares 4 3 2 3 2" xfId="13700" xr:uid="{00000000-0005-0000-0000-000077120000}"/>
    <cellStyle name="Millares 4 3 2 4" xfId="13704" xr:uid="{00000000-0005-0000-0000-000078120000}"/>
    <cellStyle name="Millares 4 3 3" xfId="13706" xr:uid="{00000000-0005-0000-0000-000079120000}"/>
    <cellStyle name="Millares 4 3 3 2" xfId="13708" xr:uid="{00000000-0005-0000-0000-00007A120000}"/>
    <cellStyle name="Millares 4 3 3 2 2" xfId="13711" xr:uid="{00000000-0005-0000-0000-00007B120000}"/>
    <cellStyle name="Millares 4 3 3 3" xfId="13715" xr:uid="{00000000-0005-0000-0000-00007C120000}"/>
    <cellStyle name="Millares 4 3 4" xfId="13717" xr:uid="{00000000-0005-0000-0000-00007D120000}"/>
    <cellStyle name="Millares 4 3 4 2" xfId="13719" xr:uid="{00000000-0005-0000-0000-00007E120000}"/>
    <cellStyle name="Millares 4 3 4 2 2" xfId="13721" xr:uid="{00000000-0005-0000-0000-00007F120000}"/>
    <cellStyle name="Millares 4 3 4 3" xfId="13723" xr:uid="{00000000-0005-0000-0000-000080120000}"/>
    <cellStyle name="Millares 4 3 5" xfId="13726" xr:uid="{00000000-0005-0000-0000-000081120000}"/>
    <cellStyle name="Millares 4 3 5 2" xfId="13730" xr:uid="{00000000-0005-0000-0000-000082120000}"/>
    <cellStyle name="Millares 4 3 6" xfId="11336" xr:uid="{00000000-0005-0000-0000-000083120000}"/>
    <cellStyle name="Millares 4 3 6 2" xfId="13733" xr:uid="{00000000-0005-0000-0000-000084120000}"/>
    <cellStyle name="Millares 4 3 7" xfId="13738" xr:uid="{00000000-0005-0000-0000-000085120000}"/>
    <cellStyle name="Millares 4 3 8" xfId="13742" xr:uid="{00000000-0005-0000-0000-000086120000}"/>
    <cellStyle name="Millares 4 4" xfId="1011" xr:uid="{00000000-0005-0000-0000-000087120000}"/>
    <cellStyle name="Millares 4 4 2" xfId="5455" xr:uid="{00000000-0005-0000-0000-000088120000}"/>
    <cellStyle name="Millares 4 4 2 2" xfId="1303" xr:uid="{00000000-0005-0000-0000-000089120000}"/>
    <cellStyle name="Millares 4 4 2 2 2" xfId="13746" xr:uid="{00000000-0005-0000-0000-00008A120000}"/>
    <cellStyle name="Millares 4 4 2 3" xfId="13751" xr:uid="{00000000-0005-0000-0000-00008B120000}"/>
    <cellStyle name="Millares 4 4 3" xfId="6643" xr:uid="{00000000-0005-0000-0000-00008C120000}"/>
    <cellStyle name="Millares 4 4 3 2" xfId="13754" xr:uid="{00000000-0005-0000-0000-00008D120000}"/>
    <cellStyle name="Millares 4 4 4" xfId="13761" xr:uid="{00000000-0005-0000-0000-00008E120000}"/>
    <cellStyle name="Millares 4 5" xfId="5711" xr:uid="{00000000-0005-0000-0000-00008F120000}"/>
    <cellStyle name="Millares 4 5 2" xfId="6651" xr:uid="{00000000-0005-0000-0000-000090120000}"/>
    <cellStyle name="Millares 4 5 2 2" xfId="13763" xr:uid="{00000000-0005-0000-0000-000091120000}"/>
    <cellStyle name="Millares 4 5 3" xfId="13765" xr:uid="{00000000-0005-0000-0000-000092120000}"/>
    <cellStyle name="Millares 4 6" xfId="3462" xr:uid="{00000000-0005-0000-0000-000093120000}"/>
    <cellStyle name="Millares 4 6 2" xfId="7929" xr:uid="{00000000-0005-0000-0000-000094120000}"/>
    <cellStyle name="Millares 4 6 2 2" xfId="13767" xr:uid="{00000000-0005-0000-0000-000095120000}"/>
    <cellStyle name="Millares 4 6 3" xfId="13770" xr:uid="{00000000-0005-0000-0000-000096120000}"/>
    <cellStyle name="Millares 4 7" xfId="7932" xr:uid="{00000000-0005-0000-0000-000097120000}"/>
    <cellStyle name="Millares 4 7 2" xfId="13775" xr:uid="{00000000-0005-0000-0000-000098120000}"/>
    <cellStyle name="Millares 4 8" xfId="8721" xr:uid="{00000000-0005-0000-0000-000099120000}"/>
    <cellStyle name="Millares 4 8 2" xfId="8733" xr:uid="{00000000-0005-0000-0000-00009A120000}"/>
    <cellStyle name="Millares 4 9" xfId="6316" xr:uid="{00000000-0005-0000-0000-00009B120000}"/>
    <cellStyle name="Moneda 2" xfId="13776" xr:uid="{00000000-0005-0000-0000-00009C120000}"/>
    <cellStyle name="Moneda 2 2" xfId="13786" xr:uid="{00000000-0005-0000-0000-00009D120000}"/>
    <cellStyle name="Moneda 2 2 2" xfId="13795" xr:uid="{00000000-0005-0000-0000-00009E120000}"/>
    <cellStyle name="Moneda 2 2 2 10" xfId="13801" xr:uid="{00000000-0005-0000-0000-00009F120000}"/>
    <cellStyle name="Moneda 2 2 2 10 2" xfId="4604" xr:uid="{00000000-0005-0000-0000-0000A0120000}"/>
    <cellStyle name="Moneda 2 2 2 10 2 2" xfId="13803" xr:uid="{00000000-0005-0000-0000-0000A1120000}"/>
    <cellStyle name="Moneda 2 2 2 10 3" xfId="13805" xr:uid="{00000000-0005-0000-0000-0000A2120000}"/>
    <cellStyle name="Moneda 2 2 2 10 4" xfId="13807" xr:uid="{00000000-0005-0000-0000-0000A3120000}"/>
    <cellStyle name="Moneda 2 2 2 11" xfId="13808" xr:uid="{00000000-0005-0000-0000-0000A4120000}"/>
    <cellStyle name="Moneda 2 2 2 11 2" xfId="13819" xr:uid="{00000000-0005-0000-0000-0000A5120000}"/>
    <cellStyle name="Moneda 2 2 2 11 2 2" xfId="13674" xr:uid="{00000000-0005-0000-0000-0000A6120000}"/>
    <cellStyle name="Moneda 2 2 2 11 3" xfId="13825" xr:uid="{00000000-0005-0000-0000-0000A7120000}"/>
    <cellStyle name="Moneda 2 2 2 12" xfId="13826" xr:uid="{00000000-0005-0000-0000-0000A8120000}"/>
    <cellStyle name="Moneda 2 2 2 12 2" xfId="13832" xr:uid="{00000000-0005-0000-0000-0000A9120000}"/>
    <cellStyle name="Moneda 2 2 2 13" xfId="13833" xr:uid="{00000000-0005-0000-0000-0000AA120000}"/>
    <cellStyle name="Moneda 2 2 2 13 2" xfId="13837" xr:uid="{00000000-0005-0000-0000-0000AB120000}"/>
    <cellStyle name="Moneda 2 2 2 14" xfId="13838" xr:uid="{00000000-0005-0000-0000-0000AC120000}"/>
    <cellStyle name="Moneda 2 2 2 14 2" xfId="13842" xr:uid="{00000000-0005-0000-0000-0000AD120000}"/>
    <cellStyle name="Moneda 2 2 2 15" xfId="13843" xr:uid="{00000000-0005-0000-0000-0000AE120000}"/>
    <cellStyle name="Moneda 2 2 2 16" xfId="13849" xr:uid="{00000000-0005-0000-0000-0000AF120000}"/>
    <cellStyle name="Moneda 2 2 2 2" xfId="13853" xr:uid="{00000000-0005-0000-0000-0000B0120000}"/>
    <cellStyle name="Moneda 2 2 2 2 10" xfId="13864" xr:uid="{00000000-0005-0000-0000-0000B1120000}"/>
    <cellStyle name="Moneda 2 2 2 2 10 2" xfId="13869" xr:uid="{00000000-0005-0000-0000-0000B2120000}"/>
    <cellStyle name="Moneda 2 2 2 2 10 2 2" xfId="13874" xr:uid="{00000000-0005-0000-0000-0000B3120000}"/>
    <cellStyle name="Moneda 2 2 2 2 10 3" xfId="13877" xr:uid="{00000000-0005-0000-0000-0000B4120000}"/>
    <cellStyle name="Moneda 2 2 2 2 10 4" xfId="9498" xr:uid="{00000000-0005-0000-0000-0000B5120000}"/>
    <cellStyle name="Moneda 2 2 2 2 11" xfId="13882" xr:uid="{00000000-0005-0000-0000-0000B6120000}"/>
    <cellStyle name="Moneda 2 2 2 2 11 2" xfId="13883" xr:uid="{00000000-0005-0000-0000-0000B7120000}"/>
    <cellStyle name="Moneda 2 2 2 2 11 2 2" xfId="13885" xr:uid="{00000000-0005-0000-0000-0000B8120000}"/>
    <cellStyle name="Moneda 2 2 2 2 11 3" xfId="13889" xr:uid="{00000000-0005-0000-0000-0000B9120000}"/>
    <cellStyle name="Moneda 2 2 2 2 12" xfId="1057" xr:uid="{00000000-0005-0000-0000-0000BA120000}"/>
    <cellStyle name="Moneda 2 2 2 2 12 2" xfId="13892" xr:uid="{00000000-0005-0000-0000-0000BB120000}"/>
    <cellStyle name="Moneda 2 2 2 2 13" xfId="13895" xr:uid="{00000000-0005-0000-0000-0000BC120000}"/>
    <cellStyle name="Moneda 2 2 2 2 13 2" xfId="13897" xr:uid="{00000000-0005-0000-0000-0000BD120000}"/>
    <cellStyle name="Moneda 2 2 2 2 14" xfId="13899" xr:uid="{00000000-0005-0000-0000-0000BE120000}"/>
    <cellStyle name="Moneda 2 2 2 2 14 2" xfId="13901" xr:uid="{00000000-0005-0000-0000-0000BF120000}"/>
    <cellStyle name="Moneda 2 2 2 2 15" xfId="13903" xr:uid="{00000000-0005-0000-0000-0000C0120000}"/>
    <cellStyle name="Moneda 2 2 2 2 16" xfId="13904" xr:uid="{00000000-0005-0000-0000-0000C1120000}"/>
    <cellStyle name="Moneda 2 2 2 2 2" xfId="13908" xr:uid="{00000000-0005-0000-0000-0000C2120000}"/>
    <cellStyle name="Moneda 2 2 2 2 2 10" xfId="12698" xr:uid="{00000000-0005-0000-0000-0000C3120000}"/>
    <cellStyle name="Moneda 2 2 2 2 2 10 2" xfId="2328" xr:uid="{00000000-0005-0000-0000-0000C4120000}"/>
    <cellStyle name="Moneda 2 2 2 2 2 10 2 2" xfId="10685" xr:uid="{00000000-0005-0000-0000-0000C5120000}"/>
    <cellStyle name="Moneda 2 2 2 2 2 10 3" xfId="13920" xr:uid="{00000000-0005-0000-0000-0000C6120000}"/>
    <cellStyle name="Moneda 2 2 2 2 2 11" xfId="2644" xr:uid="{00000000-0005-0000-0000-0000C7120000}"/>
    <cellStyle name="Moneda 2 2 2 2 2 11 2" xfId="2680" xr:uid="{00000000-0005-0000-0000-0000C8120000}"/>
    <cellStyle name="Moneda 2 2 2 2 2 12" xfId="2767" xr:uid="{00000000-0005-0000-0000-0000C9120000}"/>
    <cellStyle name="Moneda 2 2 2 2 2 12 2" xfId="10318" xr:uid="{00000000-0005-0000-0000-0000CA120000}"/>
    <cellStyle name="Moneda 2 2 2 2 2 13" xfId="2805" xr:uid="{00000000-0005-0000-0000-0000CB120000}"/>
    <cellStyle name="Moneda 2 2 2 2 2 13 2" xfId="10410" xr:uid="{00000000-0005-0000-0000-0000CC120000}"/>
    <cellStyle name="Moneda 2 2 2 2 2 14" xfId="10770" xr:uid="{00000000-0005-0000-0000-0000CD120000}"/>
    <cellStyle name="Moneda 2 2 2 2 2 15" xfId="10796" xr:uid="{00000000-0005-0000-0000-0000CE120000}"/>
    <cellStyle name="Moneda 2 2 2 2 2 2" xfId="13924" xr:uid="{00000000-0005-0000-0000-0000CF120000}"/>
    <cellStyle name="Moneda 2 2 2 2 2 2 10" xfId="13926" xr:uid="{00000000-0005-0000-0000-0000D0120000}"/>
    <cellStyle name="Moneda 2 2 2 2 2 2 10 2" xfId="8571" xr:uid="{00000000-0005-0000-0000-0000D1120000}"/>
    <cellStyle name="Moneda 2 2 2 2 2 2 11" xfId="13932" xr:uid="{00000000-0005-0000-0000-0000D2120000}"/>
    <cellStyle name="Moneda 2 2 2 2 2 2 11 2" xfId="13933" xr:uid="{00000000-0005-0000-0000-0000D3120000}"/>
    <cellStyle name="Moneda 2 2 2 2 2 2 12" xfId="12277" xr:uid="{00000000-0005-0000-0000-0000D4120000}"/>
    <cellStyle name="Moneda 2 2 2 2 2 2 12 2" xfId="13934" xr:uid="{00000000-0005-0000-0000-0000D5120000}"/>
    <cellStyle name="Moneda 2 2 2 2 2 2 13" xfId="13935" xr:uid="{00000000-0005-0000-0000-0000D6120000}"/>
    <cellStyle name="Moneda 2 2 2 2 2 2 14" xfId="13937" xr:uid="{00000000-0005-0000-0000-0000D7120000}"/>
    <cellStyle name="Moneda 2 2 2 2 2 2 2" xfId="13938" xr:uid="{00000000-0005-0000-0000-0000D8120000}"/>
    <cellStyle name="Moneda 2 2 2 2 2 2 2 10" xfId="13185" xr:uid="{00000000-0005-0000-0000-0000D9120000}"/>
    <cellStyle name="Moneda 2 2 2 2 2 2 2 2" xfId="8696" xr:uid="{00000000-0005-0000-0000-0000DA120000}"/>
    <cellStyle name="Moneda 2 2 2 2 2 2 2 2 2" xfId="435" xr:uid="{00000000-0005-0000-0000-0000DB120000}"/>
    <cellStyle name="Moneda 2 2 2 2 2 2 2 2 2 2" xfId="13942" xr:uid="{00000000-0005-0000-0000-0000DC120000}"/>
    <cellStyle name="Moneda 2 2 2 2 2 2 2 2 2 2 2" xfId="13945" xr:uid="{00000000-0005-0000-0000-0000DD120000}"/>
    <cellStyle name="Moneda 2 2 2 2 2 2 2 2 2 2 2 2" xfId="13948" xr:uid="{00000000-0005-0000-0000-0000DE120000}"/>
    <cellStyle name="Moneda 2 2 2 2 2 2 2 2 2 2 2 2 2" xfId="13952" xr:uid="{00000000-0005-0000-0000-0000DF120000}"/>
    <cellStyle name="Moneda 2 2 2 2 2 2 2 2 2 2 2 3" xfId="13955" xr:uid="{00000000-0005-0000-0000-0000E0120000}"/>
    <cellStyle name="Moneda 2 2 2 2 2 2 2 2 2 2 3" xfId="13957" xr:uid="{00000000-0005-0000-0000-0000E1120000}"/>
    <cellStyle name="Moneda 2 2 2 2 2 2 2 2 2 2 3 2" xfId="13962" xr:uid="{00000000-0005-0000-0000-0000E2120000}"/>
    <cellStyle name="Moneda 2 2 2 2 2 2 2 2 2 2 4" xfId="13968" xr:uid="{00000000-0005-0000-0000-0000E3120000}"/>
    <cellStyle name="Moneda 2 2 2 2 2 2 2 2 2 3" xfId="13971" xr:uid="{00000000-0005-0000-0000-0000E4120000}"/>
    <cellStyle name="Moneda 2 2 2 2 2 2 2 2 2 3 2" xfId="13975" xr:uid="{00000000-0005-0000-0000-0000E5120000}"/>
    <cellStyle name="Moneda 2 2 2 2 2 2 2 2 2 3 2 2" xfId="13976" xr:uid="{00000000-0005-0000-0000-0000E6120000}"/>
    <cellStyle name="Moneda 2 2 2 2 2 2 2 2 2 3 3" xfId="13977" xr:uid="{00000000-0005-0000-0000-0000E7120000}"/>
    <cellStyle name="Moneda 2 2 2 2 2 2 2 2 2 4" xfId="13982" xr:uid="{00000000-0005-0000-0000-0000E8120000}"/>
    <cellStyle name="Moneda 2 2 2 2 2 2 2 2 2 4 2" xfId="13983" xr:uid="{00000000-0005-0000-0000-0000E9120000}"/>
    <cellStyle name="Moneda 2 2 2 2 2 2 2 2 2 4 2 2" xfId="13985" xr:uid="{00000000-0005-0000-0000-0000EA120000}"/>
    <cellStyle name="Moneda 2 2 2 2 2 2 2 2 2 4 3" xfId="3811" xr:uid="{00000000-0005-0000-0000-0000EB120000}"/>
    <cellStyle name="Moneda 2 2 2 2 2 2 2 2 2 5" xfId="13986" xr:uid="{00000000-0005-0000-0000-0000EC120000}"/>
    <cellStyle name="Moneda 2 2 2 2 2 2 2 2 2 5 2" xfId="13991" xr:uid="{00000000-0005-0000-0000-0000ED120000}"/>
    <cellStyle name="Moneda 2 2 2 2 2 2 2 2 2 6" xfId="11597" xr:uid="{00000000-0005-0000-0000-0000EE120000}"/>
    <cellStyle name="Moneda 2 2 2 2 2 2 2 2 2 6 2" xfId="11515" xr:uid="{00000000-0005-0000-0000-0000EF120000}"/>
    <cellStyle name="Moneda 2 2 2 2 2 2 2 2 2 7" xfId="11600" xr:uid="{00000000-0005-0000-0000-0000F0120000}"/>
    <cellStyle name="Moneda 2 2 2 2 2 2 2 2 2 8" xfId="11603" xr:uid="{00000000-0005-0000-0000-0000F1120000}"/>
    <cellStyle name="Moneda 2 2 2 2 2 2 2 2 3" xfId="13996" xr:uid="{00000000-0005-0000-0000-0000F2120000}"/>
    <cellStyle name="Moneda 2 2 2 2 2 2 2 2 3 2" xfId="12573" xr:uid="{00000000-0005-0000-0000-0000F3120000}"/>
    <cellStyle name="Moneda 2 2 2 2 2 2 2 2 3 2 2" xfId="303" xr:uid="{00000000-0005-0000-0000-0000F4120000}"/>
    <cellStyle name="Moneda 2 2 2 2 2 2 2 2 3 2 2 2" xfId="12577" xr:uid="{00000000-0005-0000-0000-0000F5120000}"/>
    <cellStyle name="Moneda 2 2 2 2 2 2 2 2 3 2 3" xfId="12579" xr:uid="{00000000-0005-0000-0000-0000F6120000}"/>
    <cellStyle name="Moneda 2 2 2 2 2 2 2 2 3 3" xfId="14002" xr:uid="{00000000-0005-0000-0000-0000F7120000}"/>
    <cellStyle name="Moneda 2 2 2 2 2 2 2 2 3 3 2" xfId="14004" xr:uid="{00000000-0005-0000-0000-0000F8120000}"/>
    <cellStyle name="Moneda 2 2 2 2 2 2 2 2 3 4" xfId="14009" xr:uid="{00000000-0005-0000-0000-0000F9120000}"/>
    <cellStyle name="Moneda 2 2 2 2 2 2 2 2 4" xfId="630" xr:uid="{00000000-0005-0000-0000-0000FA120000}"/>
    <cellStyle name="Moneda 2 2 2 2 2 2 2 2 4 2" xfId="14012" xr:uid="{00000000-0005-0000-0000-0000FB120000}"/>
    <cellStyle name="Moneda 2 2 2 2 2 2 2 2 4 2 2" xfId="14015" xr:uid="{00000000-0005-0000-0000-0000FC120000}"/>
    <cellStyle name="Moneda 2 2 2 2 2 2 2 2 4 3" xfId="14017" xr:uid="{00000000-0005-0000-0000-0000FD120000}"/>
    <cellStyle name="Moneda 2 2 2 2 2 2 2 2 5" xfId="11664" xr:uid="{00000000-0005-0000-0000-0000FE120000}"/>
    <cellStyle name="Moneda 2 2 2 2 2 2 2 2 5 2" xfId="14020" xr:uid="{00000000-0005-0000-0000-0000FF120000}"/>
    <cellStyle name="Moneda 2 2 2 2 2 2 2 2 5 2 2" xfId="14026" xr:uid="{00000000-0005-0000-0000-000000130000}"/>
    <cellStyle name="Moneda 2 2 2 2 2 2 2 2 5 3" xfId="3954" xr:uid="{00000000-0005-0000-0000-000001130000}"/>
    <cellStyle name="Moneda 2 2 2 2 2 2 2 2 6" xfId="14027" xr:uid="{00000000-0005-0000-0000-000002130000}"/>
    <cellStyle name="Moneda 2 2 2 2 2 2 2 2 6 2" xfId="14029" xr:uid="{00000000-0005-0000-0000-000003130000}"/>
    <cellStyle name="Moneda 2 2 2 2 2 2 2 2 7" xfId="14035" xr:uid="{00000000-0005-0000-0000-000004130000}"/>
    <cellStyle name="Moneda 2 2 2 2 2 2 2 2 7 2" xfId="14040" xr:uid="{00000000-0005-0000-0000-000005130000}"/>
    <cellStyle name="Moneda 2 2 2 2 2 2 2 2 8" xfId="14043" xr:uid="{00000000-0005-0000-0000-000006130000}"/>
    <cellStyle name="Moneda 2 2 2 2 2 2 2 2 9" xfId="14050" xr:uid="{00000000-0005-0000-0000-000007130000}"/>
    <cellStyle name="Moneda 2 2 2 2 2 2 2 3" xfId="3941" xr:uid="{00000000-0005-0000-0000-000008130000}"/>
    <cellStyle name="Moneda 2 2 2 2 2 2 2 3 2" xfId="14058" xr:uid="{00000000-0005-0000-0000-000009130000}"/>
    <cellStyle name="Moneda 2 2 2 2 2 2 2 3 2 2" xfId="14067" xr:uid="{00000000-0005-0000-0000-00000A130000}"/>
    <cellStyle name="Moneda 2 2 2 2 2 2 2 3 2 2 2" xfId="14074" xr:uid="{00000000-0005-0000-0000-00000B130000}"/>
    <cellStyle name="Moneda 2 2 2 2 2 2 2 3 2 2 2 2" xfId="13848" xr:uid="{00000000-0005-0000-0000-00000C130000}"/>
    <cellStyle name="Moneda 2 2 2 2 2 2 2 3 2 2 3" xfId="10284" xr:uid="{00000000-0005-0000-0000-00000D130000}"/>
    <cellStyle name="Moneda 2 2 2 2 2 2 2 3 2 3" xfId="14079" xr:uid="{00000000-0005-0000-0000-00000E130000}"/>
    <cellStyle name="Moneda 2 2 2 2 2 2 2 3 2 3 2" xfId="14082" xr:uid="{00000000-0005-0000-0000-00000F130000}"/>
    <cellStyle name="Moneda 2 2 2 2 2 2 2 3 2 4" xfId="14083" xr:uid="{00000000-0005-0000-0000-000010130000}"/>
    <cellStyle name="Moneda 2 2 2 2 2 2 2 3 3" xfId="14092" xr:uid="{00000000-0005-0000-0000-000011130000}"/>
    <cellStyle name="Moneda 2 2 2 2 2 2 2 3 3 2" xfId="14099" xr:uid="{00000000-0005-0000-0000-000012130000}"/>
    <cellStyle name="Moneda 2 2 2 2 2 2 2 3 3 2 2" xfId="14104" xr:uid="{00000000-0005-0000-0000-000013130000}"/>
    <cellStyle name="Moneda 2 2 2 2 2 2 2 3 3 3" xfId="14108" xr:uid="{00000000-0005-0000-0000-000014130000}"/>
    <cellStyle name="Moneda 2 2 2 2 2 2 2 3 4" xfId="14113" xr:uid="{00000000-0005-0000-0000-000015130000}"/>
    <cellStyle name="Moneda 2 2 2 2 2 2 2 3 4 2" xfId="14121" xr:uid="{00000000-0005-0000-0000-000016130000}"/>
    <cellStyle name="Moneda 2 2 2 2 2 2 2 3 4 2 2" xfId="14124" xr:uid="{00000000-0005-0000-0000-000017130000}"/>
    <cellStyle name="Moneda 2 2 2 2 2 2 2 3 4 3" xfId="14127" xr:uid="{00000000-0005-0000-0000-000018130000}"/>
    <cellStyle name="Moneda 2 2 2 2 2 2 2 3 5" xfId="14133" xr:uid="{00000000-0005-0000-0000-000019130000}"/>
    <cellStyle name="Moneda 2 2 2 2 2 2 2 3 5 2" xfId="14141" xr:uid="{00000000-0005-0000-0000-00001A130000}"/>
    <cellStyle name="Moneda 2 2 2 2 2 2 2 3 6" xfId="14145" xr:uid="{00000000-0005-0000-0000-00001B130000}"/>
    <cellStyle name="Moneda 2 2 2 2 2 2 2 3 6 2" xfId="14146" xr:uid="{00000000-0005-0000-0000-00001C130000}"/>
    <cellStyle name="Moneda 2 2 2 2 2 2 2 3 7" xfId="14154" xr:uid="{00000000-0005-0000-0000-00001D130000}"/>
    <cellStyle name="Moneda 2 2 2 2 2 2 2 3 8" xfId="14157" xr:uid="{00000000-0005-0000-0000-00001E130000}"/>
    <cellStyle name="Moneda 2 2 2 2 2 2 2 4" xfId="14158" xr:uid="{00000000-0005-0000-0000-00001F130000}"/>
    <cellStyle name="Moneda 2 2 2 2 2 2 2 4 2" xfId="14162" xr:uid="{00000000-0005-0000-0000-000020130000}"/>
    <cellStyle name="Moneda 2 2 2 2 2 2 2 4 2 2" xfId="14168" xr:uid="{00000000-0005-0000-0000-000021130000}"/>
    <cellStyle name="Moneda 2 2 2 2 2 2 2 4 2 2 2" xfId="6013" xr:uid="{00000000-0005-0000-0000-000022130000}"/>
    <cellStyle name="Moneda 2 2 2 2 2 2 2 4 2 3" xfId="14170" xr:uid="{00000000-0005-0000-0000-000023130000}"/>
    <cellStyle name="Moneda 2 2 2 2 2 2 2 4 3" xfId="14173" xr:uid="{00000000-0005-0000-0000-000024130000}"/>
    <cellStyle name="Moneda 2 2 2 2 2 2 2 4 3 2" xfId="14176" xr:uid="{00000000-0005-0000-0000-000025130000}"/>
    <cellStyle name="Moneda 2 2 2 2 2 2 2 4 4" xfId="14177" xr:uid="{00000000-0005-0000-0000-000026130000}"/>
    <cellStyle name="Moneda 2 2 2 2 2 2 2 5" xfId="8220" xr:uid="{00000000-0005-0000-0000-000027130000}"/>
    <cellStyle name="Moneda 2 2 2 2 2 2 2 5 2" xfId="14180" xr:uid="{00000000-0005-0000-0000-000028130000}"/>
    <cellStyle name="Moneda 2 2 2 2 2 2 2 5 2 2" xfId="14187" xr:uid="{00000000-0005-0000-0000-000029130000}"/>
    <cellStyle name="Moneda 2 2 2 2 2 2 2 5 3" xfId="14190" xr:uid="{00000000-0005-0000-0000-00002A130000}"/>
    <cellStyle name="Moneda 2 2 2 2 2 2 2 6" xfId="13304" xr:uid="{00000000-0005-0000-0000-00002B130000}"/>
    <cellStyle name="Moneda 2 2 2 2 2 2 2 6 2" xfId="14193" xr:uid="{00000000-0005-0000-0000-00002C130000}"/>
    <cellStyle name="Moneda 2 2 2 2 2 2 2 6 2 2" xfId="14198" xr:uid="{00000000-0005-0000-0000-00002D130000}"/>
    <cellStyle name="Moneda 2 2 2 2 2 2 2 6 3" xfId="14199" xr:uid="{00000000-0005-0000-0000-00002E130000}"/>
    <cellStyle name="Moneda 2 2 2 2 2 2 2 7" xfId="14202" xr:uid="{00000000-0005-0000-0000-00002F130000}"/>
    <cellStyle name="Moneda 2 2 2 2 2 2 2 7 2" xfId="14205" xr:uid="{00000000-0005-0000-0000-000030130000}"/>
    <cellStyle name="Moneda 2 2 2 2 2 2 2 8" xfId="11190" xr:uid="{00000000-0005-0000-0000-000031130000}"/>
    <cellStyle name="Moneda 2 2 2 2 2 2 2 8 2" xfId="14206" xr:uid="{00000000-0005-0000-0000-000032130000}"/>
    <cellStyle name="Moneda 2 2 2 2 2 2 2 9" xfId="12369" xr:uid="{00000000-0005-0000-0000-000033130000}"/>
    <cellStyle name="Moneda 2 2 2 2 2 2 3" xfId="14207" xr:uid="{00000000-0005-0000-0000-000034130000}"/>
    <cellStyle name="Moneda 2 2 2 2 2 2 3 2" xfId="6687" xr:uid="{00000000-0005-0000-0000-000035130000}"/>
    <cellStyle name="Moneda 2 2 2 2 2 2 3 2 2" xfId="4481" xr:uid="{00000000-0005-0000-0000-000036130000}"/>
    <cellStyle name="Moneda 2 2 2 2 2 2 3 2 2 2" xfId="14210" xr:uid="{00000000-0005-0000-0000-000037130000}"/>
    <cellStyle name="Moneda 2 2 2 2 2 2 3 2 2 2 2" xfId="9465" xr:uid="{00000000-0005-0000-0000-000038130000}"/>
    <cellStyle name="Moneda 2 2 2 2 2 2 3 2 2 2 2 2" xfId="9473" xr:uid="{00000000-0005-0000-0000-000039130000}"/>
    <cellStyle name="Moneda 2 2 2 2 2 2 3 2 2 2 3" xfId="9642" xr:uid="{00000000-0005-0000-0000-00003A130000}"/>
    <cellStyle name="Moneda 2 2 2 2 2 2 3 2 2 3" xfId="9880" xr:uid="{00000000-0005-0000-0000-00003B130000}"/>
    <cellStyle name="Moneda 2 2 2 2 2 2 3 2 2 3 2" xfId="9884" xr:uid="{00000000-0005-0000-0000-00003C130000}"/>
    <cellStyle name="Moneda 2 2 2 2 2 2 3 2 2 4" xfId="9890" xr:uid="{00000000-0005-0000-0000-00003D130000}"/>
    <cellStyle name="Moneda 2 2 2 2 2 2 3 2 2 5" xfId="14214" xr:uid="{00000000-0005-0000-0000-00003E130000}"/>
    <cellStyle name="Moneda 2 2 2 2 2 2 3 2 3" xfId="14217" xr:uid="{00000000-0005-0000-0000-00003F130000}"/>
    <cellStyle name="Moneda 2 2 2 2 2 2 3 2 3 2" xfId="14222" xr:uid="{00000000-0005-0000-0000-000040130000}"/>
    <cellStyle name="Moneda 2 2 2 2 2 2 3 2 3 2 2" xfId="10349" xr:uid="{00000000-0005-0000-0000-000041130000}"/>
    <cellStyle name="Moneda 2 2 2 2 2 2 3 2 3 3" xfId="14225" xr:uid="{00000000-0005-0000-0000-000042130000}"/>
    <cellStyle name="Moneda 2 2 2 2 2 2 3 2 4" xfId="14228" xr:uid="{00000000-0005-0000-0000-000043130000}"/>
    <cellStyle name="Moneda 2 2 2 2 2 2 3 2 4 2" xfId="14232" xr:uid="{00000000-0005-0000-0000-000044130000}"/>
    <cellStyle name="Moneda 2 2 2 2 2 2 3 2 4 2 2" xfId="9588" xr:uid="{00000000-0005-0000-0000-000045130000}"/>
    <cellStyle name="Moneda 2 2 2 2 2 2 3 2 4 3" xfId="14235" xr:uid="{00000000-0005-0000-0000-000046130000}"/>
    <cellStyle name="Moneda 2 2 2 2 2 2 3 2 5" xfId="13079" xr:uid="{00000000-0005-0000-0000-000047130000}"/>
    <cellStyle name="Moneda 2 2 2 2 2 2 3 2 5 2" xfId="14239" xr:uid="{00000000-0005-0000-0000-000048130000}"/>
    <cellStyle name="Moneda 2 2 2 2 2 2 3 2 6" xfId="14240" xr:uid="{00000000-0005-0000-0000-000049130000}"/>
    <cellStyle name="Moneda 2 2 2 2 2 2 3 2 6 2" xfId="14244" xr:uid="{00000000-0005-0000-0000-00004A130000}"/>
    <cellStyle name="Moneda 2 2 2 2 2 2 3 2 7" xfId="14251" xr:uid="{00000000-0005-0000-0000-00004B130000}"/>
    <cellStyle name="Moneda 2 2 2 2 2 2 3 2 8" xfId="14256" xr:uid="{00000000-0005-0000-0000-00004C130000}"/>
    <cellStyle name="Moneda 2 2 2 2 2 2 3 3" xfId="6373" xr:uid="{00000000-0005-0000-0000-00004D130000}"/>
    <cellStyle name="Moneda 2 2 2 2 2 2 3 3 2" xfId="14260" xr:uid="{00000000-0005-0000-0000-00004E130000}"/>
    <cellStyle name="Moneda 2 2 2 2 2 2 3 3 2 2" xfId="14265" xr:uid="{00000000-0005-0000-0000-00004F130000}"/>
    <cellStyle name="Moneda 2 2 2 2 2 2 3 3 2 2 2" xfId="14270" xr:uid="{00000000-0005-0000-0000-000050130000}"/>
    <cellStyle name="Moneda 2 2 2 2 2 2 3 3 2 3" xfId="14276" xr:uid="{00000000-0005-0000-0000-000051130000}"/>
    <cellStyle name="Moneda 2 2 2 2 2 2 3 3 3" xfId="14281" xr:uid="{00000000-0005-0000-0000-000052130000}"/>
    <cellStyle name="Moneda 2 2 2 2 2 2 3 3 3 2" xfId="14288" xr:uid="{00000000-0005-0000-0000-000053130000}"/>
    <cellStyle name="Moneda 2 2 2 2 2 2 3 3 4" xfId="14297" xr:uid="{00000000-0005-0000-0000-000054130000}"/>
    <cellStyle name="Moneda 2 2 2 2 2 2 3 3 5" xfId="14304" xr:uid="{00000000-0005-0000-0000-000055130000}"/>
    <cellStyle name="Moneda 2 2 2 2 2 2 3 4" xfId="6386" xr:uid="{00000000-0005-0000-0000-000056130000}"/>
    <cellStyle name="Moneda 2 2 2 2 2 2 3 4 2" xfId="14308" xr:uid="{00000000-0005-0000-0000-000057130000}"/>
    <cellStyle name="Moneda 2 2 2 2 2 2 3 4 2 2" xfId="14316" xr:uid="{00000000-0005-0000-0000-000058130000}"/>
    <cellStyle name="Moneda 2 2 2 2 2 2 3 4 3" xfId="14323" xr:uid="{00000000-0005-0000-0000-000059130000}"/>
    <cellStyle name="Moneda 2 2 2 2 2 2 3 5" xfId="6397" xr:uid="{00000000-0005-0000-0000-00005A130000}"/>
    <cellStyle name="Moneda 2 2 2 2 2 2 3 5 2" xfId="14324" xr:uid="{00000000-0005-0000-0000-00005B130000}"/>
    <cellStyle name="Moneda 2 2 2 2 2 2 3 5 2 2" xfId="14332" xr:uid="{00000000-0005-0000-0000-00005C130000}"/>
    <cellStyle name="Moneda 2 2 2 2 2 2 3 5 3" xfId="14336" xr:uid="{00000000-0005-0000-0000-00005D130000}"/>
    <cellStyle name="Moneda 2 2 2 2 2 2 3 6" xfId="13310" xr:uid="{00000000-0005-0000-0000-00005E130000}"/>
    <cellStyle name="Moneda 2 2 2 2 2 2 3 6 2" xfId="14340" xr:uid="{00000000-0005-0000-0000-00005F130000}"/>
    <cellStyle name="Moneda 2 2 2 2 2 2 3 7" xfId="14343" xr:uid="{00000000-0005-0000-0000-000060130000}"/>
    <cellStyle name="Moneda 2 2 2 2 2 2 3 7 2" xfId="14344" xr:uid="{00000000-0005-0000-0000-000061130000}"/>
    <cellStyle name="Moneda 2 2 2 2 2 2 3 8" xfId="14345" xr:uid="{00000000-0005-0000-0000-000062130000}"/>
    <cellStyle name="Moneda 2 2 2 2 2 2 3 9" xfId="14346" xr:uid="{00000000-0005-0000-0000-000063130000}"/>
    <cellStyle name="Moneda 2 2 2 2 2 2 4" xfId="14347" xr:uid="{00000000-0005-0000-0000-000064130000}"/>
    <cellStyle name="Moneda 2 2 2 2 2 2 4 2" xfId="8759" xr:uid="{00000000-0005-0000-0000-000065130000}"/>
    <cellStyle name="Moneda 2 2 2 2 2 2 4 2 2" xfId="4723" xr:uid="{00000000-0005-0000-0000-000066130000}"/>
    <cellStyle name="Moneda 2 2 2 2 2 2 4 2 2 2" xfId="14350" xr:uid="{00000000-0005-0000-0000-000067130000}"/>
    <cellStyle name="Moneda 2 2 2 2 2 2 4 2 2 2 2" xfId="9133" xr:uid="{00000000-0005-0000-0000-000068130000}"/>
    <cellStyle name="Moneda 2 2 2 2 2 2 4 2 2 2 2 2" xfId="14351" xr:uid="{00000000-0005-0000-0000-000069130000}"/>
    <cellStyle name="Moneda 2 2 2 2 2 2 4 2 2 2 3" xfId="4683" xr:uid="{00000000-0005-0000-0000-00006A130000}"/>
    <cellStyle name="Moneda 2 2 2 2 2 2 4 2 2 3" xfId="2325" xr:uid="{00000000-0005-0000-0000-00006B130000}"/>
    <cellStyle name="Moneda 2 2 2 2 2 2 4 2 2 3 2" xfId="2358" xr:uid="{00000000-0005-0000-0000-00006C130000}"/>
    <cellStyle name="Moneda 2 2 2 2 2 2 4 2 2 4" xfId="2670" xr:uid="{00000000-0005-0000-0000-00006D130000}"/>
    <cellStyle name="Moneda 2 2 2 2 2 2 4 2 3" xfId="14358" xr:uid="{00000000-0005-0000-0000-00006E130000}"/>
    <cellStyle name="Moneda 2 2 2 2 2 2 4 2 3 2" xfId="14365" xr:uid="{00000000-0005-0000-0000-00006F130000}"/>
    <cellStyle name="Moneda 2 2 2 2 2 2 4 2 3 2 2" xfId="14366" xr:uid="{00000000-0005-0000-0000-000070130000}"/>
    <cellStyle name="Moneda 2 2 2 2 2 2 4 2 3 3" xfId="2915" xr:uid="{00000000-0005-0000-0000-000071130000}"/>
    <cellStyle name="Moneda 2 2 2 2 2 2 4 2 4" xfId="14369" xr:uid="{00000000-0005-0000-0000-000072130000}"/>
    <cellStyle name="Moneda 2 2 2 2 2 2 4 2 4 2" xfId="4755" xr:uid="{00000000-0005-0000-0000-000073130000}"/>
    <cellStyle name="Moneda 2 2 2 2 2 2 4 2 4 2 2" xfId="2802" xr:uid="{00000000-0005-0000-0000-000074130000}"/>
    <cellStyle name="Moneda 2 2 2 2 2 2 4 2 4 3" xfId="3330" xr:uid="{00000000-0005-0000-0000-000075130000}"/>
    <cellStyle name="Moneda 2 2 2 2 2 2 4 2 5" xfId="11624" xr:uid="{00000000-0005-0000-0000-000076130000}"/>
    <cellStyle name="Moneda 2 2 2 2 2 2 4 2 5 2" xfId="4765" xr:uid="{00000000-0005-0000-0000-000077130000}"/>
    <cellStyle name="Moneda 2 2 2 2 2 2 4 2 6" xfId="11626" xr:uid="{00000000-0005-0000-0000-000078130000}"/>
    <cellStyle name="Moneda 2 2 2 2 2 2 4 2 6 2" xfId="11629" xr:uid="{00000000-0005-0000-0000-000079130000}"/>
    <cellStyle name="Moneda 2 2 2 2 2 2 4 2 7" xfId="11636" xr:uid="{00000000-0005-0000-0000-00007A130000}"/>
    <cellStyle name="Moneda 2 2 2 2 2 2 4 2 8" xfId="11649" xr:uid="{00000000-0005-0000-0000-00007B130000}"/>
    <cellStyle name="Moneda 2 2 2 2 2 2 4 3" xfId="6417" xr:uid="{00000000-0005-0000-0000-00007C130000}"/>
    <cellStyle name="Moneda 2 2 2 2 2 2 4 3 2" xfId="14373" xr:uid="{00000000-0005-0000-0000-00007D130000}"/>
    <cellStyle name="Moneda 2 2 2 2 2 2 4 3 2 2" xfId="14378" xr:uid="{00000000-0005-0000-0000-00007E130000}"/>
    <cellStyle name="Moneda 2 2 2 2 2 2 4 3 2 2 2" xfId="11377" xr:uid="{00000000-0005-0000-0000-00007F130000}"/>
    <cellStyle name="Moneda 2 2 2 2 2 2 4 3 2 3" xfId="1528" xr:uid="{00000000-0005-0000-0000-000080130000}"/>
    <cellStyle name="Moneda 2 2 2 2 2 2 4 3 3" xfId="14381" xr:uid="{00000000-0005-0000-0000-000081130000}"/>
    <cellStyle name="Moneda 2 2 2 2 2 2 4 3 3 2" xfId="14382" xr:uid="{00000000-0005-0000-0000-000082130000}"/>
    <cellStyle name="Moneda 2 2 2 2 2 2 4 3 4" xfId="14385" xr:uid="{00000000-0005-0000-0000-000083130000}"/>
    <cellStyle name="Moneda 2 2 2 2 2 2 4 4" xfId="14391" xr:uid="{00000000-0005-0000-0000-000084130000}"/>
    <cellStyle name="Moneda 2 2 2 2 2 2 4 4 2" xfId="14400" xr:uid="{00000000-0005-0000-0000-000085130000}"/>
    <cellStyle name="Moneda 2 2 2 2 2 2 4 4 2 2" xfId="14402" xr:uid="{00000000-0005-0000-0000-000086130000}"/>
    <cellStyle name="Moneda 2 2 2 2 2 2 4 4 3" xfId="14403" xr:uid="{00000000-0005-0000-0000-000087130000}"/>
    <cellStyle name="Moneda 2 2 2 2 2 2 4 5" xfId="14404" xr:uid="{00000000-0005-0000-0000-000088130000}"/>
    <cellStyle name="Moneda 2 2 2 2 2 2 4 5 2" xfId="14409" xr:uid="{00000000-0005-0000-0000-000089130000}"/>
    <cellStyle name="Moneda 2 2 2 2 2 2 4 5 2 2" xfId="14413" xr:uid="{00000000-0005-0000-0000-00008A130000}"/>
    <cellStyle name="Moneda 2 2 2 2 2 2 4 5 3" xfId="14414" xr:uid="{00000000-0005-0000-0000-00008B130000}"/>
    <cellStyle name="Moneda 2 2 2 2 2 2 4 6" xfId="14417" xr:uid="{00000000-0005-0000-0000-00008C130000}"/>
    <cellStyle name="Moneda 2 2 2 2 2 2 4 6 2" xfId="11596" xr:uid="{00000000-0005-0000-0000-00008D130000}"/>
    <cellStyle name="Moneda 2 2 2 2 2 2 4 7" xfId="14418" xr:uid="{00000000-0005-0000-0000-00008E130000}"/>
    <cellStyle name="Moneda 2 2 2 2 2 2 4 7 2" xfId="6504" xr:uid="{00000000-0005-0000-0000-00008F130000}"/>
    <cellStyle name="Moneda 2 2 2 2 2 2 4 8" xfId="14419" xr:uid="{00000000-0005-0000-0000-000090130000}"/>
    <cellStyle name="Moneda 2 2 2 2 2 2 4 9" xfId="14420" xr:uid="{00000000-0005-0000-0000-000091130000}"/>
    <cellStyle name="Moneda 2 2 2 2 2 2 5" xfId="14421" xr:uid="{00000000-0005-0000-0000-000092130000}"/>
    <cellStyle name="Moneda 2 2 2 2 2 2 5 2" xfId="8926" xr:uid="{00000000-0005-0000-0000-000093130000}"/>
    <cellStyle name="Moneda 2 2 2 2 2 2 5 2 2" xfId="2489" xr:uid="{00000000-0005-0000-0000-000094130000}"/>
    <cellStyle name="Moneda 2 2 2 2 2 2 5 2 2 2" xfId="14423" xr:uid="{00000000-0005-0000-0000-000095130000}"/>
    <cellStyle name="Moneda 2 2 2 2 2 2 5 2 2 2 2" xfId="14424" xr:uid="{00000000-0005-0000-0000-000096130000}"/>
    <cellStyle name="Moneda 2 2 2 2 2 2 5 2 2 2 2 2" xfId="14429" xr:uid="{00000000-0005-0000-0000-000097130000}"/>
    <cellStyle name="Moneda 2 2 2 2 2 2 5 2 2 2 3" xfId="14433" xr:uid="{00000000-0005-0000-0000-000098130000}"/>
    <cellStyle name="Moneda 2 2 2 2 2 2 5 2 2 3" xfId="4420" xr:uid="{00000000-0005-0000-0000-000099130000}"/>
    <cellStyle name="Moneda 2 2 2 2 2 2 5 2 2 3 2" xfId="4443" xr:uid="{00000000-0005-0000-0000-00009A130000}"/>
    <cellStyle name="Moneda 2 2 2 2 2 2 5 2 2 4" xfId="4548" xr:uid="{00000000-0005-0000-0000-00009B130000}"/>
    <cellStyle name="Moneda 2 2 2 2 2 2 5 2 3" xfId="4732" xr:uid="{00000000-0005-0000-0000-00009C130000}"/>
    <cellStyle name="Moneda 2 2 2 2 2 2 5 2 3 2" xfId="4739" xr:uid="{00000000-0005-0000-0000-00009D130000}"/>
    <cellStyle name="Moneda 2 2 2 2 2 2 5 2 3 2 2" xfId="14438" xr:uid="{00000000-0005-0000-0000-00009E130000}"/>
    <cellStyle name="Moneda 2 2 2 2 2 2 5 2 3 3" xfId="4670" xr:uid="{00000000-0005-0000-0000-00009F130000}"/>
    <cellStyle name="Moneda 2 2 2 2 2 2 5 2 4" xfId="2307" xr:uid="{00000000-0005-0000-0000-0000A0130000}"/>
    <cellStyle name="Moneda 2 2 2 2 2 2 5 2 4 2" xfId="14442" xr:uid="{00000000-0005-0000-0000-0000A1130000}"/>
    <cellStyle name="Moneda 2 2 2 2 2 2 5 2 4 2 2" xfId="14443" xr:uid="{00000000-0005-0000-0000-0000A2130000}"/>
    <cellStyle name="Moneda 2 2 2 2 2 2 5 2 4 3" xfId="2461" xr:uid="{00000000-0005-0000-0000-0000A3130000}"/>
    <cellStyle name="Moneda 2 2 2 2 2 2 5 2 5" xfId="2654" xr:uid="{00000000-0005-0000-0000-0000A4130000}"/>
    <cellStyle name="Moneda 2 2 2 2 2 2 5 2 5 2" xfId="2691" xr:uid="{00000000-0005-0000-0000-0000A5130000}"/>
    <cellStyle name="Moneda 2 2 2 2 2 2 5 2 6" xfId="2777" xr:uid="{00000000-0005-0000-0000-0000A6130000}"/>
    <cellStyle name="Moneda 2 2 2 2 2 2 5 2 6 2" xfId="11722" xr:uid="{00000000-0005-0000-0000-0000A7130000}"/>
    <cellStyle name="Moneda 2 2 2 2 2 2 5 2 7" xfId="11729" xr:uid="{00000000-0005-0000-0000-0000A8130000}"/>
    <cellStyle name="Moneda 2 2 2 2 2 2 5 2 8" xfId="12254" xr:uid="{00000000-0005-0000-0000-0000A9130000}"/>
    <cellStyle name="Moneda 2 2 2 2 2 2 5 3" xfId="14452" xr:uid="{00000000-0005-0000-0000-0000AA130000}"/>
    <cellStyle name="Moneda 2 2 2 2 2 2 5 3 2" xfId="2583" xr:uid="{00000000-0005-0000-0000-0000AB130000}"/>
    <cellStyle name="Moneda 2 2 2 2 2 2 5 3 2 2" xfId="14453" xr:uid="{00000000-0005-0000-0000-0000AC130000}"/>
    <cellStyle name="Moneda 2 2 2 2 2 2 5 3 2 2 2" xfId="14454" xr:uid="{00000000-0005-0000-0000-0000AD130000}"/>
    <cellStyle name="Moneda 2 2 2 2 2 2 5 3 2 3" xfId="5130" xr:uid="{00000000-0005-0000-0000-0000AE130000}"/>
    <cellStyle name="Moneda 2 2 2 2 2 2 5 3 3" xfId="4744" xr:uid="{00000000-0005-0000-0000-0000AF130000}"/>
    <cellStyle name="Moneda 2 2 2 2 2 2 5 3 3 2" xfId="4746" xr:uid="{00000000-0005-0000-0000-0000B0130000}"/>
    <cellStyle name="Moneda 2 2 2 2 2 2 5 3 4" xfId="2902" xr:uid="{00000000-0005-0000-0000-0000B1130000}"/>
    <cellStyle name="Moneda 2 2 2 2 2 2 5 4" xfId="14464" xr:uid="{00000000-0005-0000-0000-0000B2130000}"/>
    <cellStyle name="Moneda 2 2 2 2 2 2 5 4 2" xfId="14468" xr:uid="{00000000-0005-0000-0000-0000B3130000}"/>
    <cellStyle name="Moneda 2 2 2 2 2 2 5 4 2 2" xfId="2238" xr:uid="{00000000-0005-0000-0000-0000B4130000}"/>
    <cellStyle name="Moneda 2 2 2 2 2 2 5 4 3" xfId="4761" xr:uid="{00000000-0005-0000-0000-0000B5130000}"/>
    <cellStyle name="Moneda 2 2 2 2 2 2 5 5" xfId="14473" xr:uid="{00000000-0005-0000-0000-0000B6130000}"/>
    <cellStyle name="Moneda 2 2 2 2 2 2 5 5 2" xfId="14475" xr:uid="{00000000-0005-0000-0000-0000B7130000}"/>
    <cellStyle name="Moneda 2 2 2 2 2 2 5 5 2 2" xfId="1353" xr:uid="{00000000-0005-0000-0000-0000B8130000}"/>
    <cellStyle name="Moneda 2 2 2 2 2 2 5 5 3" xfId="4775" xr:uid="{00000000-0005-0000-0000-0000B9130000}"/>
    <cellStyle name="Moneda 2 2 2 2 2 2 5 6" xfId="14476" xr:uid="{00000000-0005-0000-0000-0000BA130000}"/>
    <cellStyle name="Moneda 2 2 2 2 2 2 5 6 2" xfId="14477" xr:uid="{00000000-0005-0000-0000-0000BB130000}"/>
    <cellStyle name="Moneda 2 2 2 2 2 2 5 7" xfId="14478" xr:uid="{00000000-0005-0000-0000-0000BC130000}"/>
    <cellStyle name="Moneda 2 2 2 2 2 2 5 7 2" xfId="14480" xr:uid="{00000000-0005-0000-0000-0000BD130000}"/>
    <cellStyle name="Moneda 2 2 2 2 2 2 5 8" xfId="14481" xr:uid="{00000000-0005-0000-0000-0000BE130000}"/>
    <cellStyle name="Moneda 2 2 2 2 2 2 5 9" xfId="14482" xr:uid="{00000000-0005-0000-0000-0000BF130000}"/>
    <cellStyle name="Moneda 2 2 2 2 2 2 6" xfId="14483" xr:uid="{00000000-0005-0000-0000-0000C0130000}"/>
    <cellStyle name="Moneda 2 2 2 2 2 2 6 2" xfId="14487" xr:uid="{00000000-0005-0000-0000-0000C1130000}"/>
    <cellStyle name="Moneda 2 2 2 2 2 2 6 2 2" xfId="14488" xr:uid="{00000000-0005-0000-0000-0000C2130000}"/>
    <cellStyle name="Moneda 2 2 2 2 2 2 6 2 2 2" xfId="14491" xr:uid="{00000000-0005-0000-0000-0000C3130000}"/>
    <cellStyle name="Moneda 2 2 2 2 2 2 6 2 2 2 2" xfId="14496" xr:uid="{00000000-0005-0000-0000-0000C4130000}"/>
    <cellStyle name="Moneda 2 2 2 2 2 2 6 2 2 3" xfId="5785" xr:uid="{00000000-0005-0000-0000-0000C5130000}"/>
    <cellStyle name="Moneda 2 2 2 2 2 2 6 2 3" xfId="4813" xr:uid="{00000000-0005-0000-0000-0000C6130000}"/>
    <cellStyle name="Moneda 2 2 2 2 2 2 6 2 3 2" xfId="14497" xr:uid="{00000000-0005-0000-0000-0000C7130000}"/>
    <cellStyle name="Moneda 2 2 2 2 2 2 6 2 4" xfId="14498" xr:uid="{00000000-0005-0000-0000-0000C8130000}"/>
    <cellStyle name="Moneda 2 2 2 2 2 2 6 2 5" xfId="1656" xr:uid="{00000000-0005-0000-0000-0000C9130000}"/>
    <cellStyle name="Moneda 2 2 2 2 2 2 6 3" xfId="14500" xr:uid="{00000000-0005-0000-0000-0000CA130000}"/>
    <cellStyle name="Moneda 2 2 2 2 2 2 6 3 2" xfId="14502" xr:uid="{00000000-0005-0000-0000-0000CB130000}"/>
    <cellStyle name="Moneda 2 2 2 2 2 2 6 3 2 2" xfId="14504" xr:uid="{00000000-0005-0000-0000-0000CC130000}"/>
    <cellStyle name="Moneda 2 2 2 2 2 2 6 3 3" xfId="14507" xr:uid="{00000000-0005-0000-0000-0000CD130000}"/>
    <cellStyle name="Moneda 2 2 2 2 2 2 6 4" xfId="14509" xr:uid="{00000000-0005-0000-0000-0000CE130000}"/>
    <cellStyle name="Moneda 2 2 2 2 2 2 6 4 2" xfId="14513" xr:uid="{00000000-0005-0000-0000-0000CF130000}"/>
    <cellStyle name="Moneda 2 2 2 2 2 2 6 4 2 2" xfId="14515" xr:uid="{00000000-0005-0000-0000-0000D0130000}"/>
    <cellStyle name="Moneda 2 2 2 2 2 2 6 4 3" xfId="14518" xr:uid="{00000000-0005-0000-0000-0000D1130000}"/>
    <cellStyle name="Moneda 2 2 2 2 2 2 6 5" xfId="14521" xr:uid="{00000000-0005-0000-0000-0000D2130000}"/>
    <cellStyle name="Moneda 2 2 2 2 2 2 6 5 2" xfId="14526" xr:uid="{00000000-0005-0000-0000-0000D3130000}"/>
    <cellStyle name="Moneda 2 2 2 2 2 2 6 6" xfId="14531" xr:uid="{00000000-0005-0000-0000-0000D4130000}"/>
    <cellStyle name="Moneda 2 2 2 2 2 2 6 6 2" xfId="14534" xr:uid="{00000000-0005-0000-0000-0000D5130000}"/>
    <cellStyle name="Moneda 2 2 2 2 2 2 6 7" xfId="14537" xr:uid="{00000000-0005-0000-0000-0000D6130000}"/>
    <cellStyle name="Moneda 2 2 2 2 2 2 6 8" xfId="14541" xr:uid="{00000000-0005-0000-0000-0000D7130000}"/>
    <cellStyle name="Moneda 2 2 2 2 2 2 7" xfId="14542" xr:uid="{00000000-0005-0000-0000-0000D8130000}"/>
    <cellStyle name="Moneda 2 2 2 2 2 2 7 2" xfId="14544" xr:uid="{00000000-0005-0000-0000-0000D9130000}"/>
    <cellStyle name="Moneda 2 2 2 2 2 2 7 2 2" xfId="14547" xr:uid="{00000000-0005-0000-0000-0000DA130000}"/>
    <cellStyle name="Moneda 2 2 2 2 2 2 7 2 2 2" xfId="14548" xr:uid="{00000000-0005-0000-0000-0000DB130000}"/>
    <cellStyle name="Moneda 2 2 2 2 2 2 7 2 3" xfId="14551" xr:uid="{00000000-0005-0000-0000-0000DC130000}"/>
    <cellStyle name="Moneda 2 2 2 2 2 2 7 3" xfId="14553" xr:uid="{00000000-0005-0000-0000-0000DD130000}"/>
    <cellStyle name="Moneda 2 2 2 2 2 2 7 3 2" xfId="14554" xr:uid="{00000000-0005-0000-0000-0000DE130000}"/>
    <cellStyle name="Moneda 2 2 2 2 2 2 7 4" xfId="14555" xr:uid="{00000000-0005-0000-0000-0000DF130000}"/>
    <cellStyle name="Moneda 2 2 2 2 2 2 7 5" xfId="14558" xr:uid="{00000000-0005-0000-0000-0000E0130000}"/>
    <cellStyle name="Moneda 2 2 2 2 2 2 8" xfId="14559" xr:uid="{00000000-0005-0000-0000-0000E1130000}"/>
    <cellStyle name="Moneda 2 2 2 2 2 2 8 2" xfId="14564" xr:uid="{00000000-0005-0000-0000-0000E2130000}"/>
    <cellStyle name="Moneda 2 2 2 2 2 2 8 2 2" xfId="14570" xr:uid="{00000000-0005-0000-0000-0000E3130000}"/>
    <cellStyle name="Moneda 2 2 2 2 2 2 8 3" xfId="14572" xr:uid="{00000000-0005-0000-0000-0000E4130000}"/>
    <cellStyle name="Moneda 2 2 2 2 2 2 9" xfId="14574" xr:uid="{00000000-0005-0000-0000-0000E5130000}"/>
    <cellStyle name="Moneda 2 2 2 2 2 2 9 2" xfId="14581" xr:uid="{00000000-0005-0000-0000-0000E6130000}"/>
    <cellStyle name="Moneda 2 2 2 2 2 2 9 2 2" xfId="14585" xr:uid="{00000000-0005-0000-0000-0000E7130000}"/>
    <cellStyle name="Moneda 2 2 2 2 2 2 9 3" xfId="9391" xr:uid="{00000000-0005-0000-0000-0000E8130000}"/>
    <cellStyle name="Moneda 2 2 2 2 2 3" xfId="14586" xr:uid="{00000000-0005-0000-0000-0000E9130000}"/>
    <cellStyle name="Moneda 2 2 2 2 2 3 10" xfId="7068" xr:uid="{00000000-0005-0000-0000-0000EA130000}"/>
    <cellStyle name="Moneda 2 2 2 2 2 3 11" xfId="14587" xr:uid="{00000000-0005-0000-0000-0000EB130000}"/>
    <cellStyle name="Moneda 2 2 2 2 2 3 2" xfId="14589" xr:uid="{00000000-0005-0000-0000-0000EC130000}"/>
    <cellStyle name="Moneda 2 2 2 2 2 3 2 2" xfId="14591" xr:uid="{00000000-0005-0000-0000-0000ED130000}"/>
    <cellStyle name="Moneda 2 2 2 2 2 3 2 2 2" xfId="14594" xr:uid="{00000000-0005-0000-0000-0000EE130000}"/>
    <cellStyle name="Moneda 2 2 2 2 2 3 2 2 2 2" xfId="14597" xr:uid="{00000000-0005-0000-0000-0000EF130000}"/>
    <cellStyle name="Moneda 2 2 2 2 2 3 2 2 2 2 2" xfId="14598" xr:uid="{00000000-0005-0000-0000-0000F0130000}"/>
    <cellStyle name="Moneda 2 2 2 2 2 3 2 2 2 2 2 2" xfId="555" xr:uid="{00000000-0005-0000-0000-0000F1130000}"/>
    <cellStyle name="Moneda 2 2 2 2 2 3 2 2 2 2 3" xfId="14604" xr:uid="{00000000-0005-0000-0000-0000F2130000}"/>
    <cellStyle name="Moneda 2 2 2 2 2 3 2 2 2 3" xfId="14605" xr:uid="{00000000-0005-0000-0000-0000F3130000}"/>
    <cellStyle name="Moneda 2 2 2 2 2 3 2 2 2 3 2" xfId="14606" xr:uid="{00000000-0005-0000-0000-0000F4130000}"/>
    <cellStyle name="Moneda 2 2 2 2 2 3 2 2 2 4" xfId="14609" xr:uid="{00000000-0005-0000-0000-0000F5130000}"/>
    <cellStyle name="Moneda 2 2 2 2 2 3 2 2 2 5" xfId="14610" xr:uid="{00000000-0005-0000-0000-0000F6130000}"/>
    <cellStyle name="Moneda 2 2 2 2 2 3 2 2 3" xfId="14616" xr:uid="{00000000-0005-0000-0000-0000F7130000}"/>
    <cellStyle name="Moneda 2 2 2 2 2 3 2 2 3 2" xfId="14618" xr:uid="{00000000-0005-0000-0000-0000F8130000}"/>
    <cellStyle name="Moneda 2 2 2 2 2 3 2 2 3 2 2" xfId="14619" xr:uid="{00000000-0005-0000-0000-0000F9130000}"/>
    <cellStyle name="Moneda 2 2 2 2 2 3 2 2 3 3" xfId="9206" xr:uid="{00000000-0005-0000-0000-0000FA130000}"/>
    <cellStyle name="Moneda 2 2 2 2 2 3 2 2 4" xfId="8506" xr:uid="{00000000-0005-0000-0000-0000FB130000}"/>
    <cellStyle name="Moneda 2 2 2 2 2 3 2 2 4 2" xfId="14620" xr:uid="{00000000-0005-0000-0000-0000FC130000}"/>
    <cellStyle name="Moneda 2 2 2 2 2 3 2 2 4 2 2" xfId="14621" xr:uid="{00000000-0005-0000-0000-0000FD130000}"/>
    <cellStyle name="Moneda 2 2 2 2 2 3 2 2 4 3" xfId="14622" xr:uid="{00000000-0005-0000-0000-0000FE130000}"/>
    <cellStyle name="Moneda 2 2 2 2 2 3 2 2 5" xfId="14629" xr:uid="{00000000-0005-0000-0000-0000FF130000}"/>
    <cellStyle name="Moneda 2 2 2 2 2 3 2 2 5 2" xfId="14632" xr:uid="{00000000-0005-0000-0000-000000140000}"/>
    <cellStyle name="Moneda 2 2 2 2 2 3 2 2 6" xfId="14635" xr:uid="{00000000-0005-0000-0000-000001140000}"/>
    <cellStyle name="Moneda 2 2 2 2 2 3 2 2 6 2" xfId="13009" xr:uid="{00000000-0005-0000-0000-000002140000}"/>
    <cellStyle name="Moneda 2 2 2 2 2 3 2 2 7" xfId="14644" xr:uid="{00000000-0005-0000-0000-000003140000}"/>
    <cellStyle name="Moneda 2 2 2 2 2 3 2 2 8" xfId="14649" xr:uid="{00000000-0005-0000-0000-000004140000}"/>
    <cellStyle name="Moneda 2 2 2 2 2 3 2 3" xfId="14657" xr:uid="{00000000-0005-0000-0000-000005140000}"/>
    <cellStyle name="Moneda 2 2 2 2 2 3 2 3 2" xfId="14661" xr:uid="{00000000-0005-0000-0000-000006140000}"/>
    <cellStyle name="Moneda 2 2 2 2 2 3 2 3 2 2" xfId="14665" xr:uid="{00000000-0005-0000-0000-000007140000}"/>
    <cellStyle name="Moneda 2 2 2 2 2 3 2 3 2 2 2" xfId="13966" xr:uid="{00000000-0005-0000-0000-000008140000}"/>
    <cellStyle name="Moneda 2 2 2 2 2 3 2 3 2 3" xfId="14666" xr:uid="{00000000-0005-0000-0000-000009140000}"/>
    <cellStyle name="Moneda 2 2 2 2 2 3 2 3 3" xfId="14675" xr:uid="{00000000-0005-0000-0000-00000A140000}"/>
    <cellStyle name="Moneda 2 2 2 2 2 3 2 3 3 2" xfId="14679" xr:uid="{00000000-0005-0000-0000-00000B140000}"/>
    <cellStyle name="Moneda 2 2 2 2 2 3 2 3 4" xfId="14682" xr:uid="{00000000-0005-0000-0000-00000C140000}"/>
    <cellStyle name="Moneda 2 2 2 2 2 3 2 3 5" xfId="14688" xr:uid="{00000000-0005-0000-0000-00000D140000}"/>
    <cellStyle name="Moneda 2 2 2 2 2 3 2 4" xfId="14690" xr:uid="{00000000-0005-0000-0000-00000E140000}"/>
    <cellStyle name="Moneda 2 2 2 2 2 3 2 4 2" xfId="14696" xr:uid="{00000000-0005-0000-0000-00000F140000}"/>
    <cellStyle name="Moneda 2 2 2 2 2 3 2 4 2 2" xfId="14032" xr:uid="{00000000-0005-0000-0000-000010140000}"/>
    <cellStyle name="Moneda 2 2 2 2 2 3 2 4 3" xfId="14700" xr:uid="{00000000-0005-0000-0000-000011140000}"/>
    <cellStyle name="Moneda 2 2 2 2 2 3 2 5" xfId="14702" xr:uid="{00000000-0005-0000-0000-000012140000}"/>
    <cellStyle name="Moneda 2 2 2 2 2 3 2 5 2" xfId="14705" xr:uid="{00000000-0005-0000-0000-000013140000}"/>
    <cellStyle name="Moneda 2 2 2 2 2 3 2 5 2 2" xfId="14245" xr:uid="{00000000-0005-0000-0000-000014140000}"/>
    <cellStyle name="Moneda 2 2 2 2 2 3 2 5 3" xfId="14711" xr:uid="{00000000-0005-0000-0000-000015140000}"/>
    <cellStyle name="Moneda 2 2 2 2 2 3 2 6" xfId="12216" xr:uid="{00000000-0005-0000-0000-000016140000}"/>
    <cellStyle name="Moneda 2 2 2 2 2 3 2 6 2" xfId="12220" xr:uid="{00000000-0005-0000-0000-000017140000}"/>
    <cellStyle name="Moneda 2 2 2 2 2 3 2 7" xfId="12247" xr:uid="{00000000-0005-0000-0000-000018140000}"/>
    <cellStyle name="Moneda 2 2 2 2 2 3 2 7 2" xfId="7505" xr:uid="{00000000-0005-0000-0000-000019140000}"/>
    <cellStyle name="Moneda 2 2 2 2 2 3 2 8" xfId="3835" xr:uid="{00000000-0005-0000-0000-00001A140000}"/>
    <cellStyle name="Moneda 2 2 2 2 2 3 2 9" xfId="5383" xr:uid="{00000000-0005-0000-0000-00001B140000}"/>
    <cellStyle name="Moneda 2 2 2 2 2 3 3" xfId="14716" xr:uid="{00000000-0005-0000-0000-00001C140000}"/>
    <cellStyle name="Moneda 2 2 2 2 2 3 3 2" xfId="14720" xr:uid="{00000000-0005-0000-0000-00001D140000}"/>
    <cellStyle name="Moneda 2 2 2 2 2 3 3 2 2" xfId="14724" xr:uid="{00000000-0005-0000-0000-00001E140000}"/>
    <cellStyle name="Moneda 2 2 2 2 2 3 3 2 2 2" xfId="14725" xr:uid="{00000000-0005-0000-0000-00001F140000}"/>
    <cellStyle name="Moneda 2 2 2 2 2 3 3 2 2 2 2" xfId="14726" xr:uid="{00000000-0005-0000-0000-000020140000}"/>
    <cellStyle name="Moneda 2 2 2 2 2 3 3 2 2 3" xfId="14727" xr:uid="{00000000-0005-0000-0000-000021140000}"/>
    <cellStyle name="Moneda 2 2 2 2 2 3 3 2 2 4" xfId="14729" xr:uid="{00000000-0005-0000-0000-000022140000}"/>
    <cellStyle name="Moneda 2 2 2 2 2 3 3 2 3" xfId="14732" xr:uid="{00000000-0005-0000-0000-000023140000}"/>
    <cellStyle name="Moneda 2 2 2 2 2 3 3 2 3 2" xfId="14735" xr:uid="{00000000-0005-0000-0000-000024140000}"/>
    <cellStyle name="Moneda 2 2 2 2 2 3 3 2 4" xfId="14741" xr:uid="{00000000-0005-0000-0000-000025140000}"/>
    <cellStyle name="Moneda 2 2 2 2 2 3 3 2 4 2" xfId="14742" xr:uid="{00000000-0005-0000-0000-000026140000}"/>
    <cellStyle name="Moneda 2 2 2 2 2 3 3 2 5" xfId="14743" xr:uid="{00000000-0005-0000-0000-000027140000}"/>
    <cellStyle name="Moneda 2 2 2 2 2 3 3 2 6" xfId="14745" xr:uid="{00000000-0005-0000-0000-000028140000}"/>
    <cellStyle name="Moneda 2 2 2 2 2 3 3 3" xfId="14753" xr:uid="{00000000-0005-0000-0000-000029140000}"/>
    <cellStyle name="Moneda 2 2 2 2 2 3 3 3 2" xfId="14758" xr:uid="{00000000-0005-0000-0000-00002A140000}"/>
    <cellStyle name="Moneda 2 2 2 2 2 3 3 3 2 2" xfId="14761" xr:uid="{00000000-0005-0000-0000-00002B140000}"/>
    <cellStyle name="Moneda 2 2 2 2 2 3 3 3 3" xfId="14766" xr:uid="{00000000-0005-0000-0000-00002C140000}"/>
    <cellStyle name="Moneda 2 2 2 2 2 3 3 3 4" xfId="14773" xr:uid="{00000000-0005-0000-0000-00002D140000}"/>
    <cellStyle name="Moneda 2 2 2 2 2 3 3 4" xfId="14777" xr:uid="{00000000-0005-0000-0000-00002E140000}"/>
    <cellStyle name="Moneda 2 2 2 2 2 3 3 4 2" xfId="14785" xr:uid="{00000000-0005-0000-0000-00002F140000}"/>
    <cellStyle name="Moneda 2 2 2 2 2 3 3 4 2 2" xfId="14640" xr:uid="{00000000-0005-0000-0000-000030140000}"/>
    <cellStyle name="Moneda 2 2 2 2 2 3 3 4 3" xfId="14790" xr:uid="{00000000-0005-0000-0000-000031140000}"/>
    <cellStyle name="Moneda 2 2 2 2 2 3 3 5" xfId="14792" xr:uid="{00000000-0005-0000-0000-000032140000}"/>
    <cellStyle name="Moneda 2 2 2 2 2 3 3 5 2" xfId="14793" xr:uid="{00000000-0005-0000-0000-000033140000}"/>
    <cellStyle name="Moneda 2 2 2 2 2 3 3 6" xfId="12286" xr:uid="{00000000-0005-0000-0000-000034140000}"/>
    <cellStyle name="Moneda 2 2 2 2 2 3 3 6 2" xfId="12292" xr:uid="{00000000-0005-0000-0000-000035140000}"/>
    <cellStyle name="Moneda 2 2 2 2 2 3 3 7" xfId="12312" xr:uid="{00000000-0005-0000-0000-000036140000}"/>
    <cellStyle name="Moneda 2 2 2 2 2 3 3 8" xfId="5241" xr:uid="{00000000-0005-0000-0000-000037140000}"/>
    <cellStyle name="Moneda 2 2 2 2 2 3 4" xfId="14802" xr:uid="{00000000-0005-0000-0000-000038140000}"/>
    <cellStyle name="Moneda 2 2 2 2 2 3 4 2" xfId="14809" xr:uid="{00000000-0005-0000-0000-000039140000}"/>
    <cellStyle name="Moneda 2 2 2 2 2 3 4 2 2" xfId="9735" xr:uid="{00000000-0005-0000-0000-00003A140000}"/>
    <cellStyle name="Moneda 2 2 2 2 2 3 4 2 2 2" xfId="5299" xr:uid="{00000000-0005-0000-0000-00003B140000}"/>
    <cellStyle name="Moneda 2 2 2 2 2 3 4 2 3" xfId="9747" xr:uid="{00000000-0005-0000-0000-00003C140000}"/>
    <cellStyle name="Moneda 2 2 2 2 2 3 4 2 4" xfId="9761" xr:uid="{00000000-0005-0000-0000-00003D140000}"/>
    <cellStyle name="Moneda 2 2 2 2 2 3 4 3" xfId="14813" xr:uid="{00000000-0005-0000-0000-00003E140000}"/>
    <cellStyle name="Moneda 2 2 2 2 2 3 4 3 2" xfId="9828" xr:uid="{00000000-0005-0000-0000-00003F140000}"/>
    <cellStyle name="Moneda 2 2 2 2 2 3 4 4" xfId="9485" xr:uid="{00000000-0005-0000-0000-000040140000}"/>
    <cellStyle name="Moneda 2 2 2 2 2 3 4 4 2" xfId="9491" xr:uid="{00000000-0005-0000-0000-000041140000}"/>
    <cellStyle name="Moneda 2 2 2 2 2 3 4 5" xfId="9501" xr:uid="{00000000-0005-0000-0000-000042140000}"/>
    <cellStyle name="Moneda 2 2 2 2 2 3 4 6" xfId="9512" xr:uid="{00000000-0005-0000-0000-000043140000}"/>
    <cellStyle name="Moneda 2 2 2 2 2 3 5" xfId="14818" xr:uid="{00000000-0005-0000-0000-000044140000}"/>
    <cellStyle name="Moneda 2 2 2 2 2 3 5 2" xfId="14821" xr:uid="{00000000-0005-0000-0000-000045140000}"/>
    <cellStyle name="Moneda 2 2 2 2 2 3 5 2 2" xfId="1105" xr:uid="{00000000-0005-0000-0000-000046140000}"/>
    <cellStyle name="Moneda 2 2 2 2 2 3 5 2 2 2" xfId="14824" xr:uid="{00000000-0005-0000-0000-000047140000}"/>
    <cellStyle name="Moneda 2 2 2 2 2 3 5 2 3" xfId="4911" xr:uid="{00000000-0005-0000-0000-000048140000}"/>
    <cellStyle name="Moneda 2 2 2 2 2 3 5 2 4" xfId="4440" xr:uid="{00000000-0005-0000-0000-000049140000}"/>
    <cellStyle name="Moneda 2 2 2 2 2 3 5 3" xfId="14829" xr:uid="{00000000-0005-0000-0000-00004A140000}"/>
    <cellStyle name="Moneda 2 2 2 2 2 3 5 3 2" xfId="96" xr:uid="{00000000-0005-0000-0000-00004B140000}"/>
    <cellStyle name="Moneda 2 2 2 2 2 3 5 4" xfId="9526" xr:uid="{00000000-0005-0000-0000-00004C140000}"/>
    <cellStyle name="Moneda 2 2 2 2 2 3 5 4 2" xfId="9529" xr:uid="{00000000-0005-0000-0000-00004D140000}"/>
    <cellStyle name="Moneda 2 2 2 2 2 3 5 5" xfId="9539" xr:uid="{00000000-0005-0000-0000-00004E140000}"/>
    <cellStyle name="Moneda 2 2 2 2 2 3 5 6" xfId="10457" xr:uid="{00000000-0005-0000-0000-00004F140000}"/>
    <cellStyle name="Moneda 2 2 2 2 2 3 6" xfId="14833" xr:uid="{00000000-0005-0000-0000-000050140000}"/>
    <cellStyle name="Moneda 2 2 2 2 2 3 6 2" xfId="14834" xr:uid="{00000000-0005-0000-0000-000051140000}"/>
    <cellStyle name="Moneda 2 2 2 2 2 3 6 2 2" xfId="14835" xr:uid="{00000000-0005-0000-0000-000052140000}"/>
    <cellStyle name="Moneda 2 2 2 2 2 3 6 2 2 2" xfId="13677" xr:uid="{00000000-0005-0000-0000-000053140000}"/>
    <cellStyle name="Moneda 2 2 2 2 2 3 6 2 3" xfId="11333" xr:uid="{00000000-0005-0000-0000-000054140000}"/>
    <cellStyle name="Moneda 2 2 2 2 2 3 6 2 4" xfId="5145" xr:uid="{00000000-0005-0000-0000-000055140000}"/>
    <cellStyle name="Moneda 2 2 2 2 2 3 6 3" xfId="14838" xr:uid="{00000000-0005-0000-0000-000056140000}"/>
    <cellStyle name="Moneda 2 2 2 2 2 3 6 3 2" xfId="14841" xr:uid="{00000000-0005-0000-0000-000057140000}"/>
    <cellStyle name="Moneda 2 2 2 2 2 3 6 4" xfId="9544" xr:uid="{00000000-0005-0000-0000-000058140000}"/>
    <cellStyle name="Moneda 2 2 2 2 2 3 6 4 2" xfId="9546" xr:uid="{00000000-0005-0000-0000-000059140000}"/>
    <cellStyle name="Moneda 2 2 2 2 2 3 6 5" xfId="9552" xr:uid="{00000000-0005-0000-0000-00005A140000}"/>
    <cellStyle name="Moneda 2 2 2 2 2 3 6 6" xfId="7450" xr:uid="{00000000-0005-0000-0000-00005B140000}"/>
    <cellStyle name="Moneda 2 2 2 2 2 3 7" xfId="14843" xr:uid="{00000000-0005-0000-0000-00005C140000}"/>
    <cellStyle name="Moneda 2 2 2 2 2 3 7 2" xfId="14845" xr:uid="{00000000-0005-0000-0000-00005D140000}"/>
    <cellStyle name="Moneda 2 2 2 2 2 3 7 2 2" xfId="14848" xr:uid="{00000000-0005-0000-0000-00005E140000}"/>
    <cellStyle name="Moneda 2 2 2 2 2 3 7 3" xfId="14849" xr:uid="{00000000-0005-0000-0000-00005F140000}"/>
    <cellStyle name="Moneda 2 2 2 2 2 3 7 4" xfId="9566" xr:uid="{00000000-0005-0000-0000-000060140000}"/>
    <cellStyle name="Moneda 2 2 2 2 2 3 8" xfId="14854" xr:uid="{00000000-0005-0000-0000-000061140000}"/>
    <cellStyle name="Moneda 2 2 2 2 2 3 8 2" xfId="14860" xr:uid="{00000000-0005-0000-0000-000062140000}"/>
    <cellStyle name="Moneda 2 2 2 2 2 3 9" xfId="14867" xr:uid="{00000000-0005-0000-0000-000063140000}"/>
    <cellStyle name="Moneda 2 2 2 2 2 3 9 2" xfId="14875" xr:uid="{00000000-0005-0000-0000-000064140000}"/>
    <cellStyle name="Moneda 2 2 2 2 2 4" xfId="11552" xr:uid="{00000000-0005-0000-0000-000065140000}"/>
    <cellStyle name="Moneda 2 2 2 2 2 4 2" xfId="14877" xr:uid="{00000000-0005-0000-0000-000066140000}"/>
    <cellStyle name="Moneda 2 2 2 2 2 4 2 2" xfId="11262" xr:uid="{00000000-0005-0000-0000-000067140000}"/>
    <cellStyle name="Moneda 2 2 2 2 2 4 2 2 2" xfId="14563" xr:uid="{00000000-0005-0000-0000-000068140000}"/>
    <cellStyle name="Moneda 2 2 2 2 2 4 2 2 2 2" xfId="14569" xr:uid="{00000000-0005-0000-0000-000069140000}"/>
    <cellStyle name="Moneda 2 2 2 2 2 4 2 2 2 2 2" xfId="14571" xr:uid="{00000000-0005-0000-0000-00006A140000}"/>
    <cellStyle name="Moneda 2 2 2 2 2 4 2 2 2 3" xfId="14573" xr:uid="{00000000-0005-0000-0000-00006B140000}"/>
    <cellStyle name="Moneda 2 2 2 2 2 4 2 2 3" xfId="14580" xr:uid="{00000000-0005-0000-0000-00006C140000}"/>
    <cellStyle name="Moneda 2 2 2 2 2 4 2 2 3 2" xfId="14584" xr:uid="{00000000-0005-0000-0000-00006D140000}"/>
    <cellStyle name="Moneda 2 2 2 2 2 4 2 2 4" xfId="9075" xr:uid="{00000000-0005-0000-0000-00006E140000}"/>
    <cellStyle name="Moneda 2 2 2 2 2 4 2 2 5" xfId="13873" xr:uid="{00000000-0005-0000-0000-00006F140000}"/>
    <cellStyle name="Moneda 2 2 2 2 2 4 2 3" xfId="14878" xr:uid="{00000000-0005-0000-0000-000070140000}"/>
    <cellStyle name="Moneda 2 2 2 2 2 4 2 3 2" xfId="14859" xr:uid="{00000000-0005-0000-0000-000071140000}"/>
    <cellStyle name="Moneda 2 2 2 2 2 4 2 3 2 2" xfId="14866" xr:uid="{00000000-0005-0000-0000-000072140000}"/>
    <cellStyle name="Moneda 2 2 2 2 2 4 2 3 3" xfId="14874" xr:uid="{00000000-0005-0000-0000-000073140000}"/>
    <cellStyle name="Moneda 2 2 2 2 2 4 2 4" xfId="14879" xr:uid="{00000000-0005-0000-0000-000074140000}"/>
    <cellStyle name="Moneda 2 2 2 2 2 4 2 4 2" xfId="14882" xr:uid="{00000000-0005-0000-0000-000075140000}"/>
    <cellStyle name="Moneda 2 2 2 2 2 4 2 4 2 2" xfId="14892" xr:uid="{00000000-0005-0000-0000-000076140000}"/>
    <cellStyle name="Moneda 2 2 2 2 2 4 2 4 3" xfId="11530" xr:uid="{00000000-0005-0000-0000-000077140000}"/>
    <cellStyle name="Moneda 2 2 2 2 2 4 2 5" xfId="14894" xr:uid="{00000000-0005-0000-0000-000078140000}"/>
    <cellStyle name="Moneda 2 2 2 2 2 4 2 5 2" xfId="14900" xr:uid="{00000000-0005-0000-0000-000079140000}"/>
    <cellStyle name="Moneda 2 2 2 2 2 4 2 6" xfId="12430" xr:uid="{00000000-0005-0000-0000-00007A140000}"/>
    <cellStyle name="Moneda 2 2 2 2 2 4 2 6 2" xfId="12069" xr:uid="{00000000-0005-0000-0000-00007B140000}"/>
    <cellStyle name="Moneda 2 2 2 2 2 4 2 7" xfId="12433" xr:uid="{00000000-0005-0000-0000-00007C140000}"/>
    <cellStyle name="Moneda 2 2 2 2 2 4 2 8" xfId="6795" xr:uid="{00000000-0005-0000-0000-00007D140000}"/>
    <cellStyle name="Moneda 2 2 2 2 2 4 3" xfId="14905" xr:uid="{00000000-0005-0000-0000-00007E140000}"/>
    <cellStyle name="Moneda 2 2 2 2 2 4 3 2" xfId="14909" xr:uid="{00000000-0005-0000-0000-00007F140000}"/>
    <cellStyle name="Moneda 2 2 2 2 2 4 3 2 2" xfId="14910" xr:uid="{00000000-0005-0000-0000-000080140000}"/>
    <cellStyle name="Moneda 2 2 2 2 2 4 3 2 2 2" xfId="14914" xr:uid="{00000000-0005-0000-0000-000081140000}"/>
    <cellStyle name="Moneda 2 2 2 2 2 4 3 2 3" xfId="14920" xr:uid="{00000000-0005-0000-0000-000082140000}"/>
    <cellStyle name="Moneda 2 2 2 2 2 4 3 2 4" xfId="13566" xr:uid="{00000000-0005-0000-0000-000083140000}"/>
    <cellStyle name="Moneda 2 2 2 2 2 4 3 3" xfId="14925" xr:uid="{00000000-0005-0000-0000-000084140000}"/>
    <cellStyle name="Moneda 2 2 2 2 2 4 3 3 2" xfId="14928" xr:uid="{00000000-0005-0000-0000-000085140000}"/>
    <cellStyle name="Moneda 2 2 2 2 2 4 3 4" xfId="2535" xr:uid="{00000000-0005-0000-0000-000086140000}"/>
    <cellStyle name="Moneda 2 2 2 2 2 4 3 4 2" xfId="2554" xr:uid="{00000000-0005-0000-0000-000087140000}"/>
    <cellStyle name="Moneda 2 2 2 2 2 4 3 5" xfId="2575" xr:uid="{00000000-0005-0000-0000-000088140000}"/>
    <cellStyle name="Moneda 2 2 2 2 2 4 3 6" xfId="12437" xr:uid="{00000000-0005-0000-0000-000089140000}"/>
    <cellStyle name="Moneda 2 2 2 2 2 4 4" xfId="14934" xr:uid="{00000000-0005-0000-0000-00008A140000}"/>
    <cellStyle name="Moneda 2 2 2 2 2 4 4 2" xfId="14935" xr:uid="{00000000-0005-0000-0000-00008B140000}"/>
    <cellStyle name="Moneda 2 2 2 2 2 4 4 2 2" xfId="10506" xr:uid="{00000000-0005-0000-0000-00008C140000}"/>
    <cellStyle name="Moneda 2 2 2 2 2 4 4 3" xfId="14941" xr:uid="{00000000-0005-0000-0000-00008D140000}"/>
    <cellStyle name="Moneda 2 2 2 2 2 4 4 4" xfId="2604" xr:uid="{00000000-0005-0000-0000-00008E140000}"/>
    <cellStyle name="Moneda 2 2 2 2 2 4 5" xfId="14943" xr:uid="{00000000-0005-0000-0000-00008F140000}"/>
    <cellStyle name="Moneda 2 2 2 2 2 4 5 2" xfId="14946" xr:uid="{00000000-0005-0000-0000-000090140000}"/>
    <cellStyle name="Moneda 2 2 2 2 2 4 5 2 2" xfId="10860" xr:uid="{00000000-0005-0000-0000-000091140000}"/>
    <cellStyle name="Moneda 2 2 2 2 2 4 5 3" xfId="14949" xr:uid="{00000000-0005-0000-0000-000092140000}"/>
    <cellStyle name="Moneda 2 2 2 2 2 4 6" xfId="14950" xr:uid="{00000000-0005-0000-0000-000093140000}"/>
    <cellStyle name="Moneda 2 2 2 2 2 4 6 2" xfId="14951" xr:uid="{00000000-0005-0000-0000-000094140000}"/>
    <cellStyle name="Moneda 2 2 2 2 2 4 7" xfId="14953" xr:uid="{00000000-0005-0000-0000-000095140000}"/>
    <cellStyle name="Moneda 2 2 2 2 2 4 7 2" xfId="14955" xr:uid="{00000000-0005-0000-0000-000096140000}"/>
    <cellStyle name="Moneda 2 2 2 2 2 4 8" xfId="14884" xr:uid="{00000000-0005-0000-0000-000097140000}"/>
    <cellStyle name="Moneda 2 2 2 2 2 4 9" xfId="11532" xr:uid="{00000000-0005-0000-0000-000098140000}"/>
    <cellStyle name="Moneda 2 2 2 2 2 5" xfId="14956" xr:uid="{00000000-0005-0000-0000-000099140000}"/>
    <cellStyle name="Moneda 2 2 2 2 2 5 2" xfId="14965" xr:uid="{00000000-0005-0000-0000-00009A140000}"/>
    <cellStyle name="Moneda 2 2 2 2 2 5 2 2" xfId="14968" xr:uid="{00000000-0005-0000-0000-00009B140000}"/>
    <cellStyle name="Moneda 2 2 2 2 2 5 2 2 2" xfId="1621" xr:uid="{00000000-0005-0000-0000-00009C140000}"/>
    <cellStyle name="Moneda 2 2 2 2 2 5 2 2 2 2" xfId="14973" xr:uid="{00000000-0005-0000-0000-00009D140000}"/>
    <cellStyle name="Moneda 2 2 2 2 2 5 2 2 2 2 2" xfId="14975" xr:uid="{00000000-0005-0000-0000-00009E140000}"/>
    <cellStyle name="Moneda 2 2 2 2 2 5 2 2 2 3" xfId="14842" xr:uid="{00000000-0005-0000-0000-00009F140000}"/>
    <cellStyle name="Moneda 2 2 2 2 2 5 2 2 3" xfId="14978" xr:uid="{00000000-0005-0000-0000-0000A0140000}"/>
    <cellStyle name="Moneda 2 2 2 2 2 5 2 2 3 2" xfId="14984" xr:uid="{00000000-0005-0000-0000-0000A1140000}"/>
    <cellStyle name="Moneda 2 2 2 2 2 5 2 2 4" xfId="14990" xr:uid="{00000000-0005-0000-0000-0000A2140000}"/>
    <cellStyle name="Moneda 2 2 2 2 2 5 2 2 5" xfId="9344" xr:uid="{00000000-0005-0000-0000-0000A3140000}"/>
    <cellStyle name="Moneda 2 2 2 2 2 5 2 3" xfId="14991" xr:uid="{00000000-0005-0000-0000-0000A4140000}"/>
    <cellStyle name="Moneda 2 2 2 2 2 5 2 3 2" xfId="14997" xr:uid="{00000000-0005-0000-0000-0000A5140000}"/>
    <cellStyle name="Moneda 2 2 2 2 2 5 2 3 2 2" xfId="14998" xr:uid="{00000000-0005-0000-0000-0000A6140000}"/>
    <cellStyle name="Moneda 2 2 2 2 2 5 2 3 3" xfId="15002" xr:uid="{00000000-0005-0000-0000-0000A7140000}"/>
    <cellStyle name="Moneda 2 2 2 2 2 5 2 4" xfId="15003" xr:uid="{00000000-0005-0000-0000-0000A8140000}"/>
    <cellStyle name="Moneda 2 2 2 2 2 5 2 4 2" xfId="15008" xr:uid="{00000000-0005-0000-0000-0000A9140000}"/>
    <cellStyle name="Moneda 2 2 2 2 2 5 2 4 2 2" xfId="15012" xr:uid="{00000000-0005-0000-0000-0000AA140000}"/>
    <cellStyle name="Moneda 2 2 2 2 2 5 2 4 3" xfId="15019" xr:uid="{00000000-0005-0000-0000-0000AB140000}"/>
    <cellStyle name="Moneda 2 2 2 2 2 5 2 5" xfId="15021" xr:uid="{00000000-0005-0000-0000-0000AC140000}"/>
    <cellStyle name="Moneda 2 2 2 2 2 5 2 5 2" xfId="15023" xr:uid="{00000000-0005-0000-0000-0000AD140000}"/>
    <cellStyle name="Moneda 2 2 2 2 2 5 2 6" xfId="12455" xr:uid="{00000000-0005-0000-0000-0000AE140000}"/>
    <cellStyle name="Moneda 2 2 2 2 2 5 2 6 2" xfId="12459" xr:uid="{00000000-0005-0000-0000-0000AF140000}"/>
    <cellStyle name="Moneda 2 2 2 2 2 5 2 7" xfId="12463" xr:uid="{00000000-0005-0000-0000-0000B0140000}"/>
    <cellStyle name="Moneda 2 2 2 2 2 5 2 8" xfId="15025" xr:uid="{00000000-0005-0000-0000-0000B1140000}"/>
    <cellStyle name="Moneda 2 2 2 2 2 5 3" xfId="15029" xr:uid="{00000000-0005-0000-0000-0000B2140000}"/>
    <cellStyle name="Moneda 2 2 2 2 2 5 3 2" xfId="15033" xr:uid="{00000000-0005-0000-0000-0000B3140000}"/>
    <cellStyle name="Moneda 2 2 2 2 2 5 3 2 2" xfId="10934" xr:uid="{00000000-0005-0000-0000-0000B4140000}"/>
    <cellStyle name="Moneda 2 2 2 2 2 5 3 2 2 2" xfId="10937" xr:uid="{00000000-0005-0000-0000-0000B5140000}"/>
    <cellStyle name="Moneda 2 2 2 2 2 5 3 2 3" xfId="10942" xr:uid="{00000000-0005-0000-0000-0000B6140000}"/>
    <cellStyle name="Moneda 2 2 2 2 2 5 3 3" xfId="15036" xr:uid="{00000000-0005-0000-0000-0000B7140000}"/>
    <cellStyle name="Moneda 2 2 2 2 2 5 3 3 2" xfId="7950" xr:uid="{00000000-0005-0000-0000-0000B8140000}"/>
    <cellStyle name="Moneda 2 2 2 2 2 5 3 4" xfId="4254" xr:uid="{00000000-0005-0000-0000-0000B9140000}"/>
    <cellStyle name="Moneda 2 2 2 2 2 5 3 5" xfId="15037" xr:uid="{00000000-0005-0000-0000-0000BA140000}"/>
    <cellStyle name="Moneda 2 2 2 2 2 5 4" xfId="15041" xr:uid="{00000000-0005-0000-0000-0000BB140000}"/>
    <cellStyle name="Moneda 2 2 2 2 2 5 4 2" xfId="15043" xr:uid="{00000000-0005-0000-0000-0000BC140000}"/>
    <cellStyle name="Moneda 2 2 2 2 2 5 4 2 2" xfId="10230" xr:uid="{00000000-0005-0000-0000-0000BD140000}"/>
    <cellStyle name="Moneda 2 2 2 2 2 5 4 3" xfId="15045" xr:uid="{00000000-0005-0000-0000-0000BE140000}"/>
    <cellStyle name="Moneda 2 2 2 2 2 5 5" xfId="15047" xr:uid="{00000000-0005-0000-0000-0000BF140000}"/>
    <cellStyle name="Moneda 2 2 2 2 2 5 5 2" xfId="15048" xr:uid="{00000000-0005-0000-0000-0000C0140000}"/>
    <cellStyle name="Moneda 2 2 2 2 2 5 5 2 2" xfId="11017" xr:uid="{00000000-0005-0000-0000-0000C1140000}"/>
    <cellStyle name="Moneda 2 2 2 2 2 5 5 3" xfId="15051" xr:uid="{00000000-0005-0000-0000-0000C2140000}"/>
    <cellStyle name="Moneda 2 2 2 2 2 5 6" xfId="15052" xr:uid="{00000000-0005-0000-0000-0000C3140000}"/>
    <cellStyle name="Moneda 2 2 2 2 2 5 6 2" xfId="15054" xr:uid="{00000000-0005-0000-0000-0000C4140000}"/>
    <cellStyle name="Moneda 2 2 2 2 2 5 7" xfId="1096" xr:uid="{00000000-0005-0000-0000-0000C5140000}"/>
    <cellStyle name="Moneda 2 2 2 2 2 5 7 2" xfId="15059" xr:uid="{00000000-0005-0000-0000-0000C6140000}"/>
    <cellStyle name="Moneda 2 2 2 2 2 5 8" xfId="14903" xr:uid="{00000000-0005-0000-0000-0000C7140000}"/>
    <cellStyle name="Moneda 2 2 2 2 2 5 9" xfId="11999" xr:uid="{00000000-0005-0000-0000-0000C8140000}"/>
    <cellStyle name="Moneda 2 2 2 2 2 6" xfId="4428" xr:uid="{00000000-0005-0000-0000-0000C9140000}"/>
    <cellStyle name="Moneda 2 2 2 2 2 6 2" xfId="4457" xr:uid="{00000000-0005-0000-0000-0000CA140000}"/>
    <cellStyle name="Moneda 2 2 2 2 2 6 2 2" xfId="15062" xr:uid="{00000000-0005-0000-0000-0000CB140000}"/>
    <cellStyle name="Moneda 2 2 2 2 2 6 2 2 2" xfId="12622" xr:uid="{00000000-0005-0000-0000-0000CC140000}"/>
    <cellStyle name="Moneda 2 2 2 2 2 6 2 2 2 2" xfId="12628" xr:uid="{00000000-0005-0000-0000-0000CD140000}"/>
    <cellStyle name="Moneda 2 2 2 2 2 6 2 2 2 2 2" xfId="15068" xr:uid="{00000000-0005-0000-0000-0000CE140000}"/>
    <cellStyle name="Moneda 2 2 2 2 2 6 2 2 2 3" xfId="15069" xr:uid="{00000000-0005-0000-0000-0000CF140000}"/>
    <cellStyle name="Moneda 2 2 2 2 2 6 2 2 3" xfId="2957" xr:uid="{00000000-0005-0000-0000-0000D0140000}"/>
    <cellStyle name="Moneda 2 2 2 2 2 6 2 2 3 2" xfId="9154" xr:uid="{00000000-0005-0000-0000-0000D1140000}"/>
    <cellStyle name="Moneda 2 2 2 2 2 6 2 2 4" xfId="9162" xr:uid="{00000000-0005-0000-0000-0000D2140000}"/>
    <cellStyle name="Moneda 2 2 2 2 2 6 2 3" xfId="15074" xr:uid="{00000000-0005-0000-0000-0000D3140000}"/>
    <cellStyle name="Moneda 2 2 2 2 2 6 2 3 2" xfId="12649" xr:uid="{00000000-0005-0000-0000-0000D4140000}"/>
    <cellStyle name="Moneda 2 2 2 2 2 6 2 3 2 2" xfId="12652" xr:uid="{00000000-0005-0000-0000-0000D5140000}"/>
    <cellStyle name="Moneda 2 2 2 2 2 6 2 3 3" xfId="6937" xr:uid="{00000000-0005-0000-0000-0000D6140000}"/>
    <cellStyle name="Moneda 2 2 2 2 2 6 2 4" xfId="4474" xr:uid="{00000000-0005-0000-0000-0000D7140000}"/>
    <cellStyle name="Moneda 2 2 2 2 2 6 2 4 2" xfId="12530" xr:uid="{00000000-0005-0000-0000-0000D8140000}"/>
    <cellStyle name="Moneda 2 2 2 2 2 6 2 4 2 2" xfId="4234" xr:uid="{00000000-0005-0000-0000-0000D9140000}"/>
    <cellStyle name="Moneda 2 2 2 2 2 6 2 4 3" xfId="5954" xr:uid="{00000000-0005-0000-0000-0000DA140000}"/>
    <cellStyle name="Moneda 2 2 2 2 2 6 2 5" xfId="12877" xr:uid="{00000000-0005-0000-0000-0000DB140000}"/>
    <cellStyle name="Moneda 2 2 2 2 2 6 2 5 2" xfId="12879" xr:uid="{00000000-0005-0000-0000-0000DC140000}"/>
    <cellStyle name="Moneda 2 2 2 2 2 6 2 6" xfId="5966" xr:uid="{00000000-0005-0000-0000-0000DD140000}"/>
    <cellStyle name="Moneda 2 2 2 2 2 6 2 6 2" xfId="15075" xr:uid="{00000000-0005-0000-0000-0000DE140000}"/>
    <cellStyle name="Moneda 2 2 2 2 2 6 2 7" xfId="2147" xr:uid="{00000000-0005-0000-0000-0000DF140000}"/>
    <cellStyle name="Moneda 2 2 2 2 2 6 2 8" xfId="15078" xr:uid="{00000000-0005-0000-0000-0000E0140000}"/>
    <cellStyle name="Moneda 2 2 2 2 2 6 3" xfId="15081" xr:uid="{00000000-0005-0000-0000-0000E1140000}"/>
    <cellStyle name="Moneda 2 2 2 2 2 6 3 2" xfId="15082" xr:uid="{00000000-0005-0000-0000-0000E2140000}"/>
    <cellStyle name="Moneda 2 2 2 2 2 6 3 2 2" xfId="15084" xr:uid="{00000000-0005-0000-0000-0000E3140000}"/>
    <cellStyle name="Moneda 2 2 2 2 2 6 3 2 2 2" xfId="15087" xr:uid="{00000000-0005-0000-0000-0000E4140000}"/>
    <cellStyle name="Moneda 2 2 2 2 2 6 3 2 3" xfId="7157" xr:uid="{00000000-0005-0000-0000-0000E5140000}"/>
    <cellStyle name="Moneda 2 2 2 2 2 6 3 3" xfId="15090" xr:uid="{00000000-0005-0000-0000-0000E6140000}"/>
    <cellStyle name="Moneda 2 2 2 2 2 6 3 3 2" xfId="15092" xr:uid="{00000000-0005-0000-0000-0000E7140000}"/>
    <cellStyle name="Moneda 2 2 2 2 2 6 3 4" xfId="4268" xr:uid="{00000000-0005-0000-0000-0000E8140000}"/>
    <cellStyle name="Moneda 2 2 2 2 2 6 4" xfId="4521" xr:uid="{00000000-0005-0000-0000-0000E9140000}"/>
    <cellStyle name="Moneda 2 2 2 2 2 6 4 2" xfId="15094" xr:uid="{00000000-0005-0000-0000-0000EA140000}"/>
    <cellStyle name="Moneda 2 2 2 2 2 6 4 2 2" xfId="4527" xr:uid="{00000000-0005-0000-0000-0000EB140000}"/>
    <cellStyle name="Moneda 2 2 2 2 2 6 4 3" xfId="15098" xr:uid="{00000000-0005-0000-0000-0000EC140000}"/>
    <cellStyle name="Moneda 2 2 2 2 2 6 5" xfId="15101" xr:uid="{00000000-0005-0000-0000-0000ED140000}"/>
    <cellStyle name="Moneda 2 2 2 2 2 6 5 2" xfId="15103" xr:uid="{00000000-0005-0000-0000-0000EE140000}"/>
    <cellStyle name="Moneda 2 2 2 2 2 6 5 2 2" xfId="11059" xr:uid="{00000000-0005-0000-0000-0000EF140000}"/>
    <cellStyle name="Moneda 2 2 2 2 2 6 5 3" xfId="15109" xr:uid="{00000000-0005-0000-0000-0000F0140000}"/>
    <cellStyle name="Moneda 2 2 2 2 2 6 6" xfId="15110" xr:uid="{00000000-0005-0000-0000-0000F1140000}"/>
    <cellStyle name="Moneda 2 2 2 2 2 6 6 2" xfId="15112" xr:uid="{00000000-0005-0000-0000-0000F2140000}"/>
    <cellStyle name="Moneda 2 2 2 2 2 6 7" xfId="120" xr:uid="{00000000-0005-0000-0000-0000F3140000}"/>
    <cellStyle name="Moneda 2 2 2 2 2 6 7 2" xfId="12062" xr:uid="{00000000-0005-0000-0000-0000F4140000}"/>
    <cellStyle name="Moneda 2 2 2 2 2 6 8" xfId="12072" xr:uid="{00000000-0005-0000-0000-0000F5140000}"/>
    <cellStyle name="Moneda 2 2 2 2 2 6 9" xfId="10878" xr:uid="{00000000-0005-0000-0000-0000F6140000}"/>
    <cellStyle name="Moneda 2 2 2 2 2 7" xfId="4558" xr:uid="{00000000-0005-0000-0000-0000F7140000}"/>
    <cellStyle name="Moneda 2 2 2 2 2 7 2" xfId="15115" xr:uid="{00000000-0005-0000-0000-0000F8140000}"/>
    <cellStyle name="Moneda 2 2 2 2 2 7 2 2" xfId="15119" xr:uid="{00000000-0005-0000-0000-0000F9140000}"/>
    <cellStyle name="Moneda 2 2 2 2 2 7 2 2 2" xfId="15121" xr:uid="{00000000-0005-0000-0000-0000FA140000}"/>
    <cellStyle name="Moneda 2 2 2 2 2 7 2 2 2 2" xfId="15122" xr:uid="{00000000-0005-0000-0000-0000FB140000}"/>
    <cellStyle name="Moneda 2 2 2 2 2 7 2 2 3" xfId="9198" xr:uid="{00000000-0005-0000-0000-0000FC140000}"/>
    <cellStyle name="Moneda 2 2 2 2 2 7 2 3" xfId="15123" xr:uid="{00000000-0005-0000-0000-0000FD140000}"/>
    <cellStyle name="Moneda 2 2 2 2 2 7 2 3 2" xfId="15125" xr:uid="{00000000-0005-0000-0000-0000FE140000}"/>
    <cellStyle name="Moneda 2 2 2 2 2 7 2 4" xfId="15126" xr:uid="{00000000-0005-0000-0000-0000FF140000}"/>
    <cellStyle name="Moneda 2 2 2 2 2 7 2 5" xfId="15127" xr:uid="{00000000-0005-0000-0000-000000150000}"/>
    <cellStyle name="Moneda 2 2 2 2 2 7 3" xfId="15130" xr:uid="{00000000-0005-0000-0000-000001150000}"/>
    <cellStyle name="Moneda 2 2 2 2 2 7 3 2" xfId="15131" xr:uid="{00000000-0005-0000-0000-000002150000}"/>
    <cellStyle name="Moneda 2 2 2 2 2 7 3 2 2" xfId="15132" xr:uid="{00000000-0005-0000-0000-000003150000}"/>
    <cellStyle name="Moneda 2 2 2 2 2 7 3 3" xfId="15133" xr:uid="{00000000-0005-0000-0000-000004150000}"/>
    <cellStyle name="Moneda 2 2 2 2 2 7 4" xfId="15135" xr:uid="{00000000-0005-0000-0000-000005150000}"/>
    <cellStyle name="Moneda 2 2 2 2 2 7 4 2" xfId="15136" xr:uid="{00000000-0005-0000-0000-000006150000}"/>
    <cellStyle name="Moneda 2 2 2 2 2 7 4 2 2" xfId="10184" xr:uid="{00000000-0005-0000-0000-000007150000}"/>
    <cellStyle name="Moneda 2 2 2 2 2 7 4 3" xfId="15139" xr:uid="{00000000-0005-0000-0000-000008150000}"/>
    <cellStyle name="Moneda 2 2 2 2 2 7 5" xfId="15140" xr:uid="{00000000-0005-0000-0000-000009150000}"/>
    <cellStyle name="Moneda 2 2 2 2 2 7 5 2" xfId="15142" xr:uid="{00000000-0005-0000-0000-00000A150000}"/>
    <cellStyle name="Moneda 2 2 2 2 2 7 6" xfId="15144" xr:uid="{00000000-0005-0000-0000-00000B150000}"/>
    <cellStyle name="Moneda 2 2 2 2 2 7 6 2" xfId="15146" xr:uid="{00000000-0005-0000-0000-00000C150000}"/>
    <cellStyle name="Moneda 2 2 2 2 2 7 7" xfId="4877" xr:uid="{00000000-0005-0000-0000-00000D150000}"/>
    <cellStyle name="Moneda 2 2 2 2 2 7 8" xfId="15147" xr:uid="{00000000-0005-0000-0000-00000E150000}"/>
    <cellStyle name="Moneda 2 2 2 2 2 8" xfId="15148" xr:uid="{00000000-0005-0000-0000-00000F150000}"/>
    <cellStyle name="Moneda 2 2 2 2 2 8 2" xfId="15150" xr:uid="{00000000-0005-0000-0000-000010150000}"/>
    <cellStyle name="Moneda 2 2 2 2 2 8 2 2" xfId="15156" xr:uid="{00000000-0005-0000-0000-000011150000}"/>
    <cellStyle name="Moneda 2 2 2 2 2 8 2 2 2" xfId="15158" xr:uid="{00000000-0005-0000-0000-000012150000}"/>
    <cellStyle name="Moneda 2 2 2 2 2 8 2 3" xfId="15163" xr:uid="{00000000-0005-0000-0000-000013150000}"/>
    <cellStyle name="Moneda 2 2 2 2 2 8 2 4" xfId="15167" xr:uid="{00000000-0005-0000-0000-000014150000}"/>
    <cellStyle name="Moneda 2 2 2 2 2 8 3" xfId="4626" xr:uid="{00000000-0005-0000-0000-000015150000}"/>
    <cellStyle name="Moneda 2 2 2 2 2 8 3 2" xfId="12040" xr:uid="{00000000-0005-0000-0000-000016150000}"/>
    <cellStyle name="Moneda 2 2 2 2 2 8 4" xfId="12045" xr:uid="{00000000-0005-0000-0000-000017150000}"/>
    <cellStyle name="Moneda 2 2 2 2 2 8 4 2" xfId="15168" xr:uid="{00000000-0005-0000-0000-000018150000}"/>
    <cellStyle name="Moneda 2 2 2 2 2 8 5" xfId="12047" xr:uid="{00000000-0005-0000-0000-000019150000}"/>
    <cellStyle name="Moneda 2 2 2 2 2 8 6" xfId="15173" xr:uid="{00000000-0005-0000-0000-00001A150000}"/>
    <cellStyle name="Moneda 2 2 2 2 2 9" xfId="4635" xr:uid="{00000000-0005-0000-0000-00001B150000}"/>
    <cellStyle name="Moneda 2 2 2 2 2 9 2" xfId="4643" xr:uid="{00000000-0005-0000-0000-00001C150000}"/>
    <cellStyle name="Moneda 2 2 2 2 2 9 2 2" xfId="15175" xr:uid="{00000000-0005-0000-0000-00001D150000}"/>
    <cellStyle name="Moneda 2 2 2 2 2 9 3" xfId="4659" xr:uid="{00000000-0005-0000-0000-00001E150000}"/>
    <cellStyle name="Moneda 2 2 2 2 2 9 4" xfId="12051" xr:uid="{00000000-0005-0000-0000-00001F150000}"/>
    <cellStyle name="Moneda 2 2 2 2 3" xfId="15181" xr:uid="{00000000-0005-0000-0000-000020150000}"/>
    <cellStyle name="Moneda 2 2 2 2 3 10" xfId="12800" xr:uid="{00000000-0005-0000-0000-000021150000}"/>
    <cellStyle name="Moneda 2 2 2 2 3 10 2" xfId="13601" xr:uid="{00000000-0005-0000-0000-000022150000}"/>
    <cellStyle name="Moneda 2 2 2 2 3 11" xfId="2381" xr:uid="{00000000-0005-0000-0000-000023150000}"/>
    <cellStyle name="Moneda 2 2 2 2 3 11 2" xfId="2394" xr:uid="{00000000-0005-0000-0000-000024150000}"/>
    <cellStyle name="Moneda 2 2 2 2 3 12" xfId="2412" xr:uid="{00000000-0005-0000-0000-000025150000}"/>
    <cellStyle name="Moneda 2 2 2 2 3 12 2" xfId="15184" xr:uid="{00000000-0005-0000-0000-000026150000}"/>
    <cellStyle name="Moneda 2 2 2 2 3 13" xfId="3471" xr:uid="{00000000-0005-0000-0000-000027150000}"/>
    <cellStyle name="Moneda 2 2 2 2 3 14" xfId="10967" xr:uid="{00000000-0005-0000-0000-000028150000}"/>
    <cellStyle name="Moneda 2 2 2 2 3 2" xfId="11956" xr:uid="{00000000-0005-0000-0000-000029150000}"/>
    <cellStyle name="Moneda 2 2 2 2 3 2 10" xfId="15185" xr:uid="{00000000-0005-0000-0000-00002A150000}"/>
    <cellStyle name="Moneda 2 2 2 2 3 2 2" xfId="4887" xr:uid="{00000000-0005-0000-0000-00002B150000}"/>
    <cellStyle name="Moneda 2 2 2 2 3 2 2 2" xfId="15188" xr:uid="{00000000-0005-0000-0000-00002C150000}"/>
    <cellStyle name="Moneda 2 2 2 2 3 2 2 2 2" xfId="15189" xr:uid="{00000000-0005-0000-0000-00002D150000}"/>
    <cellStyle name="Moneda 2 2 2 2 3 2 2 2 2 2" xfId="15190" xr:uid="{00000000-0005-0000-0000-00002E150000}"/>
    <cellStyle name="Moneda 2 2 2 2 3 2 2 2 2 2 2" xfId="15191" xr:uid="{00000000-0005-0000-0000-00002F150000}"/>
    <cellStyle name="Moneda 2 2 2 2 3 2 2 2 2 2 2 2" xfId="15192" xr:uid="{00000000-0005-0000-0000-000030150000}"/>
    <cellStyle name="Moneda 2 2 2 2 3 2 2 2 2 2 3" xfId="15193" xr:uid="{00000000-0005-0000-0000-000031150000}"/>
    <cellStyle name="Moneda 2 2 2 2 3 2 2 2 2 3" xfId="15194" xr:uid="{00000000-0005-0000-0000-000032150000}"/>
    <cellStyle name="Moneda 2 2 2 2 3 2 2 2 2 3 2" xfId="5436" xr:uid="{00000000-0005-0000-0000-000033150000}"/>
    <cellStyle name="Moneda 2 2 2 2 3 2 2 2 2 4" xfId="15195" xr:uid="{00000000-0005-0000-0000-000034150000}"/>
    <cellStyle name="Moneda 2 2 2 2 3 2 2 2 3" xfId="15200" xr:uid="{00000000-0005-0000-0000-000035150000}"/>
    <cellStyle name="Moneda 2 2 2 2 3 2 2 2 3 2" xfId="15202" xr:uid="{00000000-0005-0000-0000-000036150000}"/>
    <cellStyle name="Moneda 2 2 2 2 3 2 2 2 3 2 2" xfId="15205" xr:uid="{00000000-0005-0000-0000-000037150000}"/>
    <cellStyle name="Moneda 2 2 2 2 3 2 2 2 3 3" xfId="15208" xr:uid="{00000000-0005-0000-0000-000038150000}"/>
    <cellStyle name="Moneda 2 2 2 2 3 2 2 2 4" xfId="15209" xr:uid="{00000000-0005-0000-0000-000039150000}"/>
    <cellStyle name="Moneda 2 2 2 2 3 2 2 2 4 2" xfId="15212" xr:uid="{00000000-0005-0000-0000-00003A150000}"/>
    <cellStyle name="Moneda 2 2 2 2 3 2 2 2 4 2 2" xfId="15213" xr:uid="{00000000-0005-0000-0000-00003B150000}"/>
    <cellStyle name="Moneda 2 2 2 2 3 2 2 2 4 3" xfId="15216" xr:uid="{00000000-0005-0000-0000-00003C150000}"/>
    <cellStyle name="Moneda 2 2 2 2 3 2 2 2 5" xfId="15217" xr:uid="{00000000-0005-0000-0000-00003D150000}"/>
    <cellStyle name="Moneda 2 2 2 2 3 2 2 2 5 2" xfId="15220" xr:uid="{00000000-0005-0000-0000-00003E150000}"/>
    <cellStyle name="Moneda 2 2 2 2 3 2 2 2 6" xfId="15221" xr:uid="{00000000-0005-0000-0000-00003F150000}"/>
    <cellStyle name="Moneda 2 2 2 2 3 2 2 2 6 2" xfId="15222" xr:uid="{00000000-0005-0000-0000-000040150000}"/>
    <cellStyle name="Moneda 2 2 2 2 3 2 2 2 7" xfId="14888" xr:uid="{00000000-0005-0000-0000-000041150000}"/>
    <cellStyle name="Moneda 2 2 2 2 3 2 2 2 8" xfId="15226" xr:uid="{00000000-0005-0000-0000-000042150000}"/>
    <cellStyle name="Moneda 2 2 2 2 3 2 2 3" xfId="7255" xr:uid="{00000000-0005-0000-0000-000043150000}"/>
    <cellStyle name="Moneda 2 2 2 2 3 2 2 3 2" xfId="10710" xr:uid="{00000000-0005-0000-0000-000044150000}"/>
    <cellStyle name="Moneda 2 2 2 2 3 2 2 3 2 2" xfId="13239" xr:uid="{00000000-0005-0000-0000-000045150000}"/>
    <cellStyle name="Moneda 2 2 2 2 3 2 2 3 2 2 2" xfId="13245" xr:uid="{00000000-0005-0000-0000-000046150000}"/>
    <cellStyle name="Moneda 2 2 2 2 3 2 2 3 2 3" xfId="13291" xr:uid="{00000000-0005-0000-0000-000047150000}"/>
    <cellStyle name="Moneda 2 2 2 2 3 2 2 3 3" xfId="13322" xr:uid="{00000000-0005-0000-0000-000048150000}"/>
    <cellStyle name="Moneda 2 2 2 2 3 2 2 3 3 2" xfId="13334" xr:uid="{00000000-0005-0000-0000-000049150000}"/>
    <cellStyle name="Moneda 2 2 2 2 3 2 2 3 4" xfId="13384" xr:uid="{00000000-0005-0000-0000-00004A150000}"/>
    <cellStyle name="Moneda 2 2 2 2 3 2 2 4" xfId="15227" xr:uid="{00000000-0005-0000-0000-00004B150000}"/>
    <cellStyle name="Moneda 2 2 2 2 3 2 2 4 2" xfId="954" xr:uid="{00000000-0005-0000-0000-00004C150000}"/>
    <cellStyle name="Moneda 2 2 2 2 3 2 2 4 2 2" xfId="6576" xr:uid="{00000000-0005-0000-0000-00004D150000}"/>
    <cellStyle name="Moneda 2 2 2 2 3 2 2 4 3" xfId="6595" xr:uid="{00000000-0005-0000-0000-00004E150000}"/>
    <cellStyle name="Moneda 2 2 2 2 3 2 2 5" xfId="15229" xr:uid="{00000000-0005-0000-0000-00004F150000}"/>
    <cellStyle name="Moneda 2 2 2 2 3 2 2 5 2" xfId="5706" xr:uid="{00000000-0005-0000-0000-000050150000}"/>
    <cellStyle name="Moneda 2 2 2 2 3 2 2 5 2 2" xfId="6649" xr:uid="{00000000-0005-0000-0000-000051150000}"/>
    <cellStyle name="Moneda 2 2 2 2 3 2 2 5 3" xfId="3457" xr:uid="{00000000-0005-0000-0000-000052150000}"/>
    <cellStyle name="Moneda 2 2 2 2 3 2 2 6" xfId="15231" xr:uid="{00000000-0005-0000-0000-000053150000}"/>
    <cellStyle name="Moneda 2 2 2 2 3 2 2 6 2" xfId="6665" xr:uid="{00000000-0005-0000-0000-000054150000}"/>
    <cellStyle name="Moneda 2 2 2 2 3 2 2 7" xfId="15233" xr:uid="{00000000-0005-0000-0000-000055150000}"/>
    <cellStyle name="Moneda 2 2 2 2 3 2 2 7 2" xfId="6671" xr:uid="{00000000-0005-0000-0000-000056150000}"/>
    <cellStyle name="Moneda 2 2 2 2 3 2 2 8" xfId="15235" xr:uid="{00000000-0005-0000-0000-000057150000}"/>
    <cellStyle name="Moneda 2 2 2 2 3 2 2 9" xfId="15236" xr:uid="{00000000-0005-0000-0000-000058150000}"/>
    <cellStyle name="Moneda 2 2 2 2 3 2 3" xfId="15239" xr:uid="{00000000-0005-0000-0000-000059150000}"/>
    <cellStyle name="Moneda 2 2 2 2 3 2 3 2" xfId="15242" xr:uid="{00000000-0005-0000-0000-00005A150000}"/>
    <cellStyle name="Moneda 2 2 2 2 3 2 3 2 2" xfId="15244" xr:uid="{00000000-0005-0000-0000-00005B150000}"/>
    <cellStyle name="Moneda 2 2 2 2 3 2 3 2 2 2" xfId="13979" xr:uid="{00000000-0005-0000-0000-00005C150000}"/>
    <cellStyle name="Moneda 2 2 2 2 3 2 3 2 2 2 2" xfId="13984" xr:uid="{00000000-0005-0000-0000-00005D150000}"/>
    <cellStyle name="Moneda 2 2 2 2 3 2 3 2 2 3" xfId="13989" xr:uid="{00000000-0005-0000-0000-00005E150000}"/>
    <cellStyle name="Moneda 2 2 2 2 3 2 3 2 3" xfId="15247" xr:uid="{00000000-0005-0000-0000-00005F150000}"/>
    <cellStyle name="Moneda 2 2 2 2 3 2 3 2 3 2" xfId="14008" xr:uid="{00000000-0005-0000-0000-000060150000}"/>
    <cellStyle name="Moneda 2 2 2 2 3 2 3 2 4" xfId="15253" xr:uid="{00000000-0005-0000-0000-000061150000}"/>
    <cellStyle name="Moneda 2 2 2 2 3 2 3 3" xfId="4149" xr:uid="{00000000-0005-0000-0000-000062150000}"/>
    <cellStyle name="Moneda 2 2 2 2 3 2 3 3 2" xfId="15256" xr:uid="{00000000-0005-0000-0000-000063150000}"/>
    <cellStyle name="Moneda 2 2 2 2 3 2 3 3 2 2" xfId="14086" xr:uid="{00000000-0005-0000-0000-000064150000}"/>
    <cellStyle name="Moneda 2 2 2 2 3 2 3 3 3" xfId="15261" xr:uid="{00000000-0005-0000-0000-000065150000}"/>
    <cellStyle name="Moneda 2 2 2 2 3 2 3 4" xfId="15262" xr:uid="{00000000-0005-0000-0000-000066150000}"/>
    <cellStyle name="Moneda 2 2 2 2 3 2 3 4 2" xfId="4197" xr:uid="{00000000-0005-0000-0000-000067150000}"/>
    <cellStyle name="Moneda 2 2 2 2 3 2 3 4 2 2" xfId="6715" xr:uid="{00000000-0005-0000-0000-000068150000}"/>
    <cellStyle name="Moneda 2 2 2 2 3 2 3 4 3" xfId="6732" xr:uid="{00000000-0005-0000-0000-000069150000}"/>
    <cellStyle name="Moneda 2 2 2 2 3 2 3 5" xfId="15269" xr:uid="{00000000-0005-0000-0000-00006A150000}"/>
    <cellStyle name="Moneda 2 2 2 2 3 2 3 5 2" xfId="4219" xr:uid="{00000000-0005-0000-0000-00006B150000}"/>
    <cellStyle name="Moneda 2 2 2 2 3 2 3 6" xfId="15271" xr:uid="{00000000-0005-0000-0000-00006C150000}"/>
    <cellStyle name="Moneda 2 2 2 2 3 2 3 6 2" xfId="6751" xr:uid="{00000000-0005-0000-0000-00006D150000}"/>
    <cellStyle name="Moneda 2 2 2 2 3 2 3 7" xfId="15272" xr:uid="{00000000-0005-0000-0000-00006E150000}"/>
    <cellStyle name="Moneda 2 2 2 2 3 2 3 8" xfId="14014" xr:uid="{00000000-0005-0000-0000-00006F150000}"/>
    <cellStyle name="Moneda 2 2 2 2 3 2 4" xfId="15277" xr:uid="{00000000-0005-0000-0000-000070150000}"/>
    <cellStyle name="Moneda 2 2 2 2 3 2 4 2" xfId="15283" xr:uid="{00000000-0005-0000-0000-000071150000}"/>
    <cellStyle name="Moneda 2 2 2 2 3 2 4 2 2" xfId="15285" xr:uid="{00000000-0005-0000-0000-000072150000}"/>
    <cellStyle name="Moneda 2 2 2 2 3 2 4 2 2 2" xfId="9891" xr:uid="{00000000-0005-0000-0000-000073150000}"/>
    <cellStyle name="Moneda 2 2 2 2 3 2 4 2 3" xfId="15288" xr:uid="{00000000-0005-0000-0000-000074150000}"/>
    <cellStyle name="Moneda 2 2 2 2 3 2 4 3" xfId="15290" xr:uid="{00000000-0005-0000-0000-000075150000}"/>
    <cellStyle name="Moneda 2 2 2 2 3 2 4 3 2" xfId="15294" xr:uid="{00000000-0005-0000-0000-000076150000}"/>
    <cellStyle name="Moneda 2 2 2 2 3 2 4 4" xfId="15295" xr:uid="{00000000-0005-0000-0000-000077150000}"/>
    <cellStyle name="Moneda 2 2 2 2 3 2 5" xfId="15301" xr:uid="{00000000-0005-0000-0000-000078150000}"/>
    <cellStyle name="Moneda 2 2 2 2 3 2 5 2" xfId="15305" xr:uid="{00000000-0005-0000-0000-000079150000}"/>
    <cellStyle name="Moneda 2 2 2 2 3 2 5 2 2" xfId="15306" xr:uid="{00000000-0005-0000-0000-00007A150000}"/>
    <cellStyle name="Moneda 2 2 2 2 3 2 5 3" xfId="15308" xr:uid="{00000000-0005-0000-0000-00007B150000}"/>
    <cellStyle name="Moneda 2 2 2 2 3 2 6" xfId="8627" xr:uid="{00000000-0005-0000-0000-00007C150000}"/>
    <cellStyle name="Moneda 2 2 2 2 3 2 6 2" xfId="15309" xr:uid="{00000000-0005-0000-0000-00007D150000}"/>
    <cellStyle name="Moneda 2 2 2 2 3 2 6 2 2" xfId="15310" xr:uid="{00000000-0005-0000-0000-00007E150000}"/>
    <cellStyle name="Moneda 2 2 2 2 3 2 6 3" xfId="15311" xr:uid="{00000000-0005-0000-0000-00007F150000}"/>
    <cellStyle name="Moneda 2 2 2 2 3 2 7" xfId="15312" xr:uid="{00000000-0005-0000-0000-000080150000}"/>
    <cellStyle name="Moneda 2 2 2 2 3 2 7 2" xfId="15313" xr:uid="{00000000-0005-0000-0000-000081150000}"/>
    <cellStyle name="Moneda 2 2 2 2 3 2 8" xfId="14911" xr:uid="{00000000-0005-0000-0000-000082150000}"/>
    <cellStyle name="Moneda 2 2 2 2 3 2 8 2" xfId="14915" xr:uid="{00000000-0005-0000-0000-000083150000}"/>
    <cellStyle name="Moneda 2 2 2 2 3 2 9" xfId="14921" xr:uid="{00000000-0005-0000-0000-000084150000}"/>
    <cellStyle name="Moneda 2 2 2 2 3 3" xfId="15314" xr:uid="{00000000-0005-0000-0000-000085150000}"/>
    <cellStyle name="Moneda 2 2 2 2 3 3 2" xfId="15316" xr:uid="{00000000-0005-0000-0000-000086150000}"/>
    <cellStyle name="Moneda 2 2 2 2 3 3 2 2" xfId="15317" xr:uid="{00000000-0005-0000-0000-000087150000}"/>
    <cellStyle name="Moneda 2 2 2 2 3 3 2 2 2" xfId="15319" xr:uid="{00000000-0005-0000-0000-000088150000}"/>
    <cellStyle name="Moneda 2 2 2 2 3 3 2 2 2 2" xfId="15321" xr:uid="{00000000-0005-0000-0000-000089150000}"/>
    <cellStyle name="Moneda 2 2 2 2 3 3 2 2 2 2 2" xfId="13591" xr:uid="{00000000-0005-0000-0000-00008A150000}"/>
    <cellStyle name="Moneda 2 2 2 2 3 3 2 2 2 3" xfId="15323" xr:uid="{00000000-0005-0000-0000-00008B150000}"/>
    <cellStyle name="Moneda 2 2 2 2 3 3 2 2 3" xfId="15326" xr:uid="{00000000-0005-0000-0000-00008C150000}"/>
    <cellStyle name="Moneda 2 2 2 2 3 3 2 2 3 2" xfId="15328" xr:uid="{00000000-0005-0000-0000-00008D150000}"/>
    <cellStyle name="Moneda 2 2 2 2 3 3 2 2 4" xfId="15330" xr:uid="{00000000-0005-0000-0000-00008E150000}"/>
    <cellStyle name="Moneda 2 2 2 2 3 3 2 2 5" xfId="15332" xr:uid="{00000000-0005-0000-0000-00008F150000}"/>
    <cellStyle name="Moneda 2 2 2 2 3 3 2 3" xfId="15339" xr:uid="{00000000-0005-0000-0000-000090150000}"/>
    <cellStyle name="Moneda 2 2 2 2 3 3 2 3 2" xfId="11201" xr:uid="{00000000-0005-0000-0000-000091150000}"/>
    <cellStyle name="Moneda 2 2 2 2 3 3 2 3 2 2" xfId="15343" xr:uid="{00000000-0005-0000-0000-000092150000}"/>
    <cellStyle name="Moneda 2 2 2 2 3 3 2 3 3" xfId="15348" xr:uid="{00000000-0005-0000-0000-000093150000}"/>
    <cellStyle name="Moneda 2 2 2 2 3 3 2 4" xfId="15356" xr:uid="{00000000-0005-0000-0000-000094150000}"/>
    <cellStyle name="Moneda 2 2 2 2 3 3 2 4 2" xfId="5395" xr:uid="{00000000-0005-0000-0000-000095150000}"/>
    <cellStyle name="Moneda 2 2 2 2 3 3 2 4 2 2" xfId="5246" xr:uid="{00000000-0005-0000-0000-000096150000}"/>
    <cellStyle name="Moneda 2 2 2 2 3 3 2 4 3" xfId="5407" xr:uid="{00000000-0005-0000-0000-000097150000}"/>
    <cellStyle name="Moneda 2 2 2 2 3 3 2 5" xfId="15359" xr:uid="{00000000-0005-0000-0000-000098150000}"/>
    <cellStyle name="Moneda 2 2 2 2 3 3 2 5 2" xfId="6807" xr:uid="{00000000-0005-0000-0000-000099150000}"/>
    <cellStyle name="Moneda 2 2 2 2 3 3 2 6" xfId="15363" xr:uid="{00000000-0005-0000-0000-00009A150000}"/>
    <cellStyle name="Moneda 2 2 2 2 3 3 2 6 2" xfId="6825" xr:uid="{00000000-0005-0000-0000-00009B150000}"/>
    <cellStyle name="Moneda 2 2 2 2 3 3 2 7" xfId="15367" xr:uid="{00000000-0005-0000-0000-00009C150000}"/>
    <cellStyle name="Moneda 2 2 2 2 3 3 2 8" xfId="15373" xr:uid="{00000000-0005-0000-0000-00009D150000}"/>
    <cellStyle name="Moneda 2 2 2 2 3 3 3" xfId="15378" xr:uid="{00000000-0005-0000-0000-00009E150000}"/>
    <cellStyle name="Moneda 2 2 2 2 3 3 3 2" xfId="15381" xr:uid="{00000000-0005-0000-0000-00009F150000}"/>
    <cellStyle name="Moneda 2 2 2 2 3 3 3 2 2" xfId="15383" xr:uid="{00000000-0005-0000-0000-0000A0150000}"/>
    <cellStyle name="Moneda 2 2 2 2 3 3 3 2 2 2" xfId="14607" xr:uid="{00000000-0005-0000-0000-0000A1150000}"/>
    <cellStyle name="Moneda 2 2 2 2 3 3 3 2 3" xfId="15387" xr:uid="{00000000-0005-0000-0000-0000A2150000}"/>
    <cellStyle name="Moneda 2 2 2 2 3 3 3 3" xfId="15394" xr:uid="{00000000-0005-0000-0000-0000A3150000}"/>
    <cellStyle name="Moneda 2 2 2 2 3 3 3 3 2" xfId="15398" xr:uid="{00000000-0005-0000-0000-0000A4150000}"/>
    <cellStyle name="Moneda 2 2 2 2 3 3 3 4" xfId="15403" xr:uid="{00000000-0005-0000-0000-0000A5150000}"/>
    <cellStyle name="Moneda 2 2 2 2 3 3 3 5" xfId="15409" xr:uid="{00000000-0005-0000-0000-0000A6150000}"/>
    <cellStyle name="Moneda 2 2 2 2 3 3 4" xfId="15418" xr:uid="{00000000-0005-0000-0000-0000A7150000}"/>
    <cellStyle name="Moneda 2 2 2 2 3 3 4 2" xfId="15420" xr:uid="{00000000-0005-0000-0000-0000A8150000}"/>
    <cellStyle name="Moneda 2 2 2 2 3 3 4 2 2" xfId="15423" xr:uid="{00000000-0005-0000-0000-0000A9150000}"/>
    <cellStyle name="Moneda 2 2 2 2 3 3 4 3" xfId="15432" xr:uid="{00000000-0005-0000-0000-0000AA150000}"/>
    <cellStyle name="Moneda 2 2 2 2 3 3 5" xfId="15435" xr:uid="{00000000-0005-0000-0000-0000AB150000}"/>
    <cellStyle name="Moneda 2 2 2 2 3 3 5 2" xfId="15436" xr:uid="{00000000-0005-0000-0000-0000AC150000}"/>
    <cellStyle name="Moneda 2 2 2 2 3 3 5 2 2" xfId="15438" xr:uid="{00000000-0005-0000-0000-0000AD150000}"/>
    <cellStyle name="Moneda 2 2 2 2 3 3 5 3" xfId="15443" xr:uid="{00000000-0005-0000-0000-0000AE150000}"/>
    <cellStyle name="Moneda 2 2 2 2 3 3 6" xfId="15448" xr:uid="{00000000-0005-0000-0000-0000AF150000}"/>
    <cellStyle name="Moneda 2 2 2 2 3 3 6 2" xfId="15449" xr:uid="{00000000-0005-0000-0000-0000B0150000}"/>
    <cellStyle name="Moneda 2 2 2 2 3 3 7" xfId="15452" xr:uid="{00000000-0005-0000-0000-0000B1150000}"/>
    <cellStyle name="Moneda 2 2 2 2 3 3 7 2" xfId="15464" xr:uid="{00000000-0005-0000-0000-0000B2150000}"/>
    <cellStyle name="Moneda 2 2 2 2 3 3 8" xfId="14929" xr:uid="{00000000-0005-0000-0000-0000B3150000}"/>
    <cellStyle name="Moneda 2 2 2 2 3 3 9" xfId="15467" xr:uid="{00000000-0005-0000-0000-0000B4150000}"/>
    <cellStyle name="Moneda 2 2 2 2 3 4" xfId="11559" xr:uid="{00000000-0005-0000-0000-0000B5150000}"/>
    <cellStyle name="Moneda 2 2 2 2 3 4 2" xfId="15470" xr:uid="{00000000-0005-0000-0000-0000B6150000}"/>
    <cellStyle name="Moneda 2 2 2 2 3 4 2 2" xfId="15471" xr:uid="{00000000-0005-0000-0000-0000B7150000}"/>
    <cellStyle name="Moneda 2 2 2 2 3 4 2 2 2" xfId="15473" xr:uid="{00000000-0005-0000-0000-0000B8150000}"/>
    <cellStyle name="Moneda 2 2 2 2 3 4 2 2 2 2" xfId="15476" xr:uid="{00000000-0005-0000-0000-0000B9150000}"/>
    <cellStyle name="Moneda 2 2 2 2 3 4 2 2 2 2 2" xfId="15478" xr:uid="{00000000-0005-0000-0000-0000BA150000}"/>
    <cellStyle name="Moneda 2 2 2 2 3 4 2 2 2 3" xfId="15479" xr:uid="{00000000-0005-0000-0000-0000BB150000}"/>
    <cellStyle name="Moneda 2 2 2 2 3 4 2 2 3" xfId="15481" xr:uid="{00000000-0005-0000-0000-0000BC150000}"/>
    <cellStyle name="Moneda 2 2 2 2 3 4 2 2 3 2" xfId="15484" xr:uid="{00000000-0005-0000-0000-0000BD150000}"/>
    <cellStyle name="Moneda 2 2 2 2 3 4 2 2 4" xfId="15485" xr:uid="{00000000-0005-0000-0000-0000BE150000}"/>
    <cellStyle name="Moneda 2 2 2 2 3 4 2 3" xfId="15488" xr:uid="{00000000-0005-0000-0000-0000BF150000}"/>
    <cellStyle name="Moneda 2 2 2 2 3 4 2 3 2" xfId="9422" xr:uid="{00000000-0005-0000-0000-0000C0150000}"/>
    <cellStyle name="Moneda 2 2 2 2 3 4 2 3 2 2" xfId="9427" xr:uid="{00000000-0005-0000-0000-0000C1150000}"/>
    <cellStyle name="Moneda 2 2 2 2 3 4 2 3 3" xfId="9434" xr:uid="{00000000-0005-0000-0000-0000C2150000}"/>
    <cellStyle name="Moneda 2 2 2 2 3 4 2 4" xfId="15490" xr:uid="{00000000-0005-0000-0000-0000C3150000}"/>
    <cellStyle name="Moneda 2 2 2 2 3 4 2 4 2" xfId="2966" xr:uid="{00000000-0005-0000-0000-0000C4150000}"/>
    <cellStyle name="Moneda 2 2 2 2 3 4 2 4 2 2" xfId="6978" xr:uid="{00000000-0005-0000-0000-0000C5150000}"/>
    <cellStyle name="Moneda 2 2 2 2 3 4 2 4 3" xfId="6986" xr:uid="{00000000-0005-0000-0000-0000C6150000}"/>
    <cellStyle name="Moneda 2 2 2 2 3 4 2 5" xfId="15493" xr:uid="{00000000-0005-0000-0000-0000C7150000}"/>
    <cellStyle name="Moneda 2 2 2 2 3 4 2 5 2" xfId="7020" xr:uid="{00000000-0005-0000-0000-0000C8150000}"/>
    <cellStyle name="Moneda 2 2 2 2 3 4 2 6" xfId="15495" xr:uid="{00000000-0005-0000-0000-0000C9150000}"/>
    <cellStyle name="Moneda 2 2 2 2 3 4 2 6 2" xfId="7033" xr:uid="{00000000-0005-0000-0000-0000CA150000}"/>
    <cellStyle name="Moneda 2 2 2 2 3 4 2 7" xfId="15498" xr:uid="{00000000-0005-0000-0000-0000CB150000}"/>
    <cellStyle name="Moneda 2 2 2 2 3 4 2 8" xfId="15508" xr:uid="{00000000-0005-0000-0000-0000CC150000}"/>
    <cellStyle name="Moneda 2 2 2 2 3 4 3" xfId="15511" xr:uid="{00000000-0005-0000-0000-0000CD150000}"/>
    <cellStyle name="Moneda 2 2 2 2 3 4 3 2" xfId="15513" xr:uid="{00000000-0005-0000-0000-0000CE150000}"/>
    <cellStyle name="Moneda 2 2 2 2 3 4 3 2 2" xfId="15515" xr:uid="{00000000-0005-0000-0000-0000CF150000}"/>
    <cellStyle name="Moneda 2 2 2 2 3 4 3 2 2 2" xfId="15519" xr:uid="{00000000-0005-0000-0000-0000D0150000}"/>
    <cellStyle name="Moneda 2 2 2 2 3 4 3 2 3" xfId="15523" xr:uid="{00000000-0005-0000-0000-0000D1150000}"/>
    <cellStyle name="Moneda 2 2 2 2 3 4 3 3" xfId="15524" xr:uid="{00000000-0005-0000-0000-0000D2150000}"/>
    <cellStyle name="Moneda 2 2 2 2 3 4 3 3 2" xfId="9577" xr:uid="{00000000-0005-0000-0000-0000D3150000}"/>
    <cellStyle name="Moneda 2 2 2 2 3 4 3 4" xfId="2986" xr:uid="{00000000-0005-0000-0000-0000D4150000}"/>
    <cellStyle name="Moneda 2 2 2 2 3 4 4" xfId="15529" xr:uid="{00000000-0005-0000-0000-0000D5150000}"/>
    <cellStyle name="Moneda 2 2 2 2 3 4 4 2" xfId="15530" xr:uid="{00000000-0005-0000-0000-0000D6150000}"/>
    <cellStyle name="Moneda 2 2 2 2 3 4 4 2 2" xfId="15532" xr:uid="{00000000-0005-0000-0000-0000D7150000}"/>
    <cellStyle name="Moneda 2 2 2 2 3 4 4 3" xfId="15537" xr:uid="{00000000-0005-0000-0000-0000D8150000}"/>
    <cellStyle name="Moneda 2 2 2 2 3 4 5" xfId="15539" xr:uid="{00000000-0005-0000-0000-0000D9150000}"/>
    <cellStyle name="Moneda 2 2 2 2 3 4 5 2" xfId="15540" xr:uid="{00000000-0005-0000-0000-0000DA150000}"/>
    <cellStyle name="Moneda 2 2 2 2 3 4 5 2 2" xfId="8473" xr:uid="{00000000-0005-0000-0000-0000DB150000}"/>
    <cellStyle name="Moneda 2 2 2 2 3 4 5 3" xfId="15545" xr:uid="{00000000-0005-0000-0000-0000DC150000}"/>
    <cellStyle name="Moneda 2 2 2 2 3 4 6" xfId="15546" xr:uid="{00000000-0005-0000-0000-0000DD150000}"/>
    <cellStyle name="Moneda 2 2 2 2 3 4 6 2" xfId="12748" xr:uid="{00000000-0005-0000-0000-0000DE150000}"/>
    <cellStyle name="Moneda 2 2 2 2 3 4 7" xfId="15547" xr:uid="{00000000-0005-0000-0000-0000DF150000}"/>
    <cellStyle name="Moneda 2 2 2 2 3 4 7 2" xfId="15548" xr:uid="{00000000-0005-0000-0000-0000E0150000}"/>
    <cellStyle name="Moneda 2 2 2 2 3 4 8" xfId="2555" xr:uid="{00000000-0005-0000-0000-0000E1150000}"/>
    <cellStyle name="Moneda 2 2 2 2 3 4 9" xfId="3631" xr:uid="{00000000-0005-0000-0000-0000E2150000}"/>
    <cellStyle name="Moneda 2 2 2 2 3 5" xfId="15550" xr:uid="{00000000-0005-0000-0000-0000E3150000}"/>
    <cellStyle name="Moneda 2 2 2 2 3 5 2" xfId="15552" xr:uid="{00000000-0005-0000-0000-0000E4150000}"/>
    <cellStyle name="Moneda 2 2 2 2 3 5 2 2" xfId="15553" xr:uid="{00000000-0005-0000-0000-0000E5150000}"/>
    <cellStyle name="Moneda 2 2 2 2 3 5 2 2 2" xfId="4814" xr:uid="{00000000-0005-0000-0000-0000E6150000}"/>
    <cellStyle name="Moneda 2 2 2 2 3 5 2 2 2 2" xfId="14505" xr:uid="{00000000-0005-0000-0000-0000E7150000}"/>
    <cellStyle name="Moneda 2 2 2 2 3 5 2 2 2 2 2" xfId="15557" xr:uid="{00000000-0005-0000-0000-0000E8150000}"/>
    <cellStyle name="Moneda 2 2 2 2 3 5 2 2 2 3" xfId="15558" xr:uid="{00000000-0005-0000-0000-0000E9150000}"/>
    <cellStyle name="Moneda 2 2 2 2 3 5 2 2 3" xfId="15559" xr:uid="{00000000-0005-0000-0000-0000EA150000}"/>
    <cellStyle name="Moneda 2 2 2 2 3 5 2 2 3 2" xfId="14516" xr:uid="{00000000-0005-0000-0000-0000EB150000}"/>
    <cellStyle name="Moneda 2 2 2 2 3 5 2 2 4" xfId="15562" xr:uid="{00000000-0005-0000-0000-0000EC150000}"/>
    <cellStyle name="Moneda 2 2 2 2 3 5 2 3" xfId="12829" xr:uid="{00000000-0005-0000-0000-0000ED150000}"/>
    <cellStyle name="Moneda 2 2 2 2 3 5 2 3 2" xfId="15566" xr:uid="{00000000-0005-0000-0000-0000EE150000}"/>
    <cellStyle name="Moneda 2 2 2 2 3 5 2 3 2 2" xfId="15569" xr:uid="{00000000-0005-0000-0000-0000EF150000}"/>
    <cellStyle name="Moneda 2 2 2 2 3 5 2 3 3" xfId="15571" xr:uid="{00000000-0005-0000-0000-0000F0150000}"/>
    <cellStyle name="Moneda 2 2 2 2 3 5 2 4" xfId="15572" xr:uid="{00000000-0005-0000-0000-0000F1150000}"/>
    <cellStyle name="Moneda 2 2 2 2 3 5 2 4 2" xfId="7205" xr:uid="{00000000-0005-0000-0000-0000F2150000}"/>
    <cellStyle name="Moneda 2 2 2 2 3 5 2 4 2 2" xfId="7212" xr:uid="{00000000-0005-0000-0000-0000F3150000}"/>
    <cellStyle name="Moneda 2 2 2 2 3 5 2 4 3" xfId="7215" xr:uid="{00000000-0005-0000-0000-0000F4150000}"/>
    <cellStyle name="Moneda 2 2 2 2 3 5 2 5" xfId="15575" xr:uid="{00000000-0005-0000-0000-0000F5150000}"/>
    <cellStyle name="Moneda 2 2 2 2 3 5 2 5 2" xfId="7240" xr:uid="{00000000-0005-0000-0000-0000F6150000}"/>
    <cellStyle name="Moneda 2 2 2 2 3 5 2 6" xfId="15578" xr:uid="{00000000-0005-0000-0000-0000F7150000}"/>
    <cellStyle name="Moneda 2 2 2 2 3 5 2 6 2" xfId="6510" xr:uid="{00000000-0005-0000-0000-0000F8150000}"/>
    <cellStyle name="Moneda 2 2 2 2 3 5 2 7" xfId="15582" xr:uid="{00000000-0005-0000-0000-0000F9150000}"/>
    <cellStyle name="Moneda 2 2 2 2 3 5 2 8" xfId="15588" xr:uid="{00000000-0005-0000-0000-0000FA150000}"/>
    <cellStyle name="Moneda 2 2 2 2 3 5 3" xfId="15591" xr:uid="{00000000-0005-0000-0000-0000FB150000}"/>
    <cellStyle name="Moneda 2 2 2 2 3 5 3 2" xfId="15592" xr:uid="{00000000-0005-0000-0000-0000FC150000}"/>
    <cellStyle name="Moneda 2 2 2 2 3 5 3 2 2" xfId="11340" xr:uid="{00000000-0005-0000-0000-0000FD150000}"/>
    <cellStyle name="Moneda 2 2 2 2 3 5 3 2 2 2" xfId="11342" xr:uid="{00000000-0005-0000-0000-0000FE150000}"/>
    <cellStyle name="Moneda 2 2 2 2 3 5 3 2 3" xfId="2909" xr:uid="{00000000-0005-0000-0000-0000FF150000}"/>
    <cellStyle name="Moneda 2 2 2 2 3 5 3 3" xfId="12842" xr:uid="{00000000-0005-0000-0000-000000160000}"/>
    <cellStyle name="Moneda 2 2 2 2 3 5 3 3 2" xfId="4754" xr:uid="{00000000-0005-0000-0000-000001160000}"/>
    <cellStyle name="Moneda 2 2 2 2 3 5 3 4" xfId="15594" xr:uid="{00000000-0005-0000-0000-000002160000}"/>
    <cellStyle name="Moneda 2 2 2 2 3 5 4" xfId="15595" xr:uid="{00000000-0005-0000-0000-000003160000}"/>
    <cellStyle name="Moneda 2 2 2 2 3 5 4 2" xfId="15596" xr:uid="{00000000-0005-0000-0000-000004160000}"/>
    <cellStyle name="Moneda 2 2 2 2 3 5 4 2 2" xfId="11385" xr:uid="{00000000-0005-0000-0000-000005160000}"/>
    <cellStyle name="Moneda 2 2 2 2 3 5 4 3" xfId="15598" xr:uid="{00000000-0005-0000-0000-000006160000}"/>
    <cellStyle name="Moneda 2 2 2 2 3 5 5" xfId="15599" xr:uid="{00000000-0005-0000-0000-000007160000}"/>
    <cellStyle name="Moneda 2 2 2 2 3 5 5 2" xfId="15600" xr:uid="{00000000-0005-0000-0000-000008160000}"/>
    <cellStyle name="Moneda 2 2 2 2 3 5 5 2 2" xfId="11422" xr:uid="{00000000-0005-0000-0000-000009160000}"/>
    <cellStyle name="Moneda 2 2 2 2 3 5 5 3" xfId="15603" xr:uid="{00000000-0005-0000-0000-00000A160000}"/>
    <cellStyle name="Moneda 2 2 2 2 3 5 6" xfId="15604" xr:uid="{00000000-0005-0000-0000-00000B160000}"/>
    <cellStyle name="Moneda 2 2 2 2 3 5 6 2" xfId="15605" xr:uid="{00000000-0005-0000-0000-00000C160000}"/>
    <cellStyle name="Moneda 2 2 2 2 3 5 7" xfId="15609" xr:uid="{00000000-0005-0000-0000-00000D160000}"/>
    <cellStyle name="Moneda 2 2 2 2 3 5 7 2" xfId="15616" xr:uid="{00000000-0005-0000-0000-00000E160000}"/>
    <cellStyle name="Moneda 2 2 2 2 3 5 8" xfId="15621" xr:uid="{00000000-0005-0000-0000-00000F160000}"/>
    <cellStyle name="Moneda 2 2 2 2 3 5 9" xfId="3651" xr:uid="{00000000-0005-0000-0000-000010160000}"/>
    <cellStyle name="Moneda 2 2 2 2 3 6" xfId="4679" xr:uid="{00000000-0005-0000-0000-000011160000}"/>
    <cellStyle name="Moneda 2 2 2 2 3 6 2" xfId="15623" xr:uid="{00000000-0005-0000-0000-000012160000}"/>
    <cellStyle name="Moneda 2 2 2 2 3 6 2 2" xfId="15624" xr:uid="{00000000-0005-0000-0000-000013160000}"/>
    <cellStyle name="Moneda 2 2 2 2 3 6 2 2 2" xfId="15626" xr:uid="{00000000-0005-0000-0000-000014160000}"/>
    <cellStyle name="Moneda 2 2 2 2 3 6 2 2 2 2" xfId="15628" xr:uid="{00000000-0005-0000-0000-000015160000}"/>
    <cellStyle name="Moneda 2 2 2 2 3 6 2 2 3" xfId="4717" xr:uid="{00000000-0005-0000-0000-000016160000}"/>
    <cellStyle name="Moneda 2 2 2 2 3 6 2 3" xfId="12907" xr:uid="{00000000-0005-0000-0000-000017160000}"/>
    <cellStyle name="Moneda 2 2 2 2 3 6 2 3 2" xfId="15629" xr:uid="{00000000-0005-0000-0000-000018160000}"/>
    <cellStyle name="Moneda 2 2 2 2 3 6 2 4" xfId="15630" xr:uid="{00000000-0005-0000-0000-000019160000}"/>
    <cellStyle name="Moneda 2 2 2 2 3 6 2 5" xfId="15633" xr:uid="{00000000-0005-0000-0000-00001A160000}"/>
    <cellStyle name="Moneda 2 2 2 2 3 6 3" xfId="15635" xr:uid="{00000000-0005-0000-0000-00001B160000}"/>
    <cellStyle name="Moneda 2 2 2 2 3 6 3 2" xfId="15636" xr:uid="{00000000-0005-0000-0000-00001C160000}"/>
    <cellStyle name="Moneda 2 2 2 2 3 6 3 2 2" xfId="15551" xr:uid="{00000000-0005-0000-0000-00001D160000}"/>
    <cellStyle name="Moneda 2 2 2 2 3 6 3 3" xfId="2308" xr:uid="{00000000-0005-0000-0000-00001E160000}"/>
    <cellStyle name="Moneda 2 2 2 2 3 6 4" xfId="15642" xr:uid="{00000000-0005-0000-0000-00001F160000}"/>
    <cellStyle name="Moneda 2 2 2 2 3 6 4 2" xfId="15643" xr:uid="{00000000-0005-0000-0000-000020160000}"/>
    <cellStyle name="Moneda 2 2 2 2 3 6 4 2 2" xfId="15645" xr:uid="{00000000-0005-0000-0000-000021160000}"/>
    <cellStyle name="Moneda 2 2 2 2 3 6 4 3" xfId="2904" xr:uid="{00000000-0005-0000-0000-000022160000}"/>
    <cellStyle name="Moneda 2 2 2 2 3 6 5" xfId="15647" xr:uid="{00000000-0005-0000-0000-000023160000}"/>
    <cellStyle name="Moneda 2 2 2 2 3 6 5 2" xfId="15650" xr:uid="{00000000-0005-0000-0000-000024160000}"/>
    <cellStyle name="Moneda 2 2 2 2 3 6 6" xfId="15651" xr:uid="{00000000-0005-0000-0000-000025160000}"/>
    <cellStyle name="Moneda 2 2 2 2 3 6 6 2" xfId="15653" xr:uid="{00000000-0005-0000-0000-000026160000}"/>
    <cellStyle name="Moneda 2 2 2 2 3 6 7" xfId="15656" xr:uid="{00000000-0005-0000-0000-000027160000}"/>
    <cellStyle name="Moneda 2 2 2 2 3 6 8" xfId="12440" xr:uid="{00000000-0005-0000-0000-000028160000}"/>
    <cellStyle name="Moneda 2 2 2 2 3 7" xfId="15657" xr:uid="{00000000-0005-0000-0000-000029160000}"/>
    <cellStyle name="Moneda 2 2 2 2 3 7 2" xfId="15661" xr:uid="{00000000-0005-0000-0000-00002A160000}"/>
    <cellStyle name="Moneda 2 2 2 2 3 7 2 2" xfId="15668" xr:uid="{00000000-0005-0000-0000-00002B160000}"/>
    <cellStyle name="Moneda 2 2 2 2 3 7 2 2 2" xfId="15672" xr:uid="{00000000-0005-0000-0000-00002C160000}"/>
    <cellStyle name="Moneda 2 2 2 2 3 7 2 3" xfId="12917" xr:uid="{00000000-0005-0000-0000-00002D160000}"/>
    <cellStyle name="Moneda 2 2 2 2 3 7 3" xfId="15675" xr:uid="{00000000-0005-0000-0000-00002E160000}"/>
    <cellStyle name="Moneda 2 2 2 2 3 7 3 2" xfId="15679" xr:uid="{00000000-0005-0000-0000-00002F160000}"/>
    <cellStyle name="Moneda 2 2 2 2 3 7 4" xfId="15682" xr:uid="{00000000-0005-0000-0000-000030160000}"/>
    <cellStyle name="Moneda 2 2 2 2 3 7 5" xfId="15685" xr:uid="{00000000-0005-0000-0000-000031160000}"/>
    <cellStyle name="Moneda 2 2 2 2 3 8" xfId="15686" xr:uid="{00000000-0005-0000-0000-000032160000}"/>
    <cellStyle name="Moneda 2 2 2 2 3 8 2" xfId="4831" xr:uid="{00000000-0005-0000-0000-000033160000}"/>
    <cellStyle name="Moneda 2 2 2 2 3 8 2 2" xfId="4843" xr:uid="{00000000-0005-0000-0000-000034160000}"/>
    <cellStyle name="Moneda 2 2 2 2 3 8 3" xfId="4848" xr:uid="{00000000-0005-0000-0000-000035160000}"/>
    <cellStyle name="Moneda 2 2 2 2 3 9" xfId="1821" xr:uid="{00000000-0005-0000-0000-000036160000}"/>
    <cellStyle name="Moneda 2 2 2 2 3 9 2" xfId="1113" xr:uid="{00000000-0005-0000-0000-000037160000}"/>
    <cellStyle name="Moneda 2 2 2 2 3 9 2 2" xfId="4861" xr:uid="{00000000-0005-0000-0000-000038160000}"/>
    <cellStyle name="Moneda 2 2 2 2 3 9 3" xfId="4576" xr:uid="{00000000-0005-0000-0000-000039160000}"/>
    <cellStyle name="Moneda 2 2 2 2 4" xfId="15688" xr:uid="{00000000-0005-0000-0000-00003A160000}"/>
    <cellStyle name="Moneda 2 2 2 2 4 10" xfId="7405" xr:uid="{00000000-0005-0000-0000-00003B160000}"/>
    <cellStyle name="Moneda 2 2 2 2 4 11" xfId="12899" xr:uid="{00000000-0005-0000-0000-00003C160000}"/>
    <cellStyle name="Moneda 2 2 2 2 4 2" xfId="15689" xr:uid="{00000000-0005-0000-0000-00003D160000}"/>
    <cellStyle name="Moneda 2 2 2 2 4 2 2" xfId="15693" xr:uid="{00000000-0005-0000-0000-00003E160000}"/>
    <cellStyle name="Moneda 2 2 2 2 4 2 2 2" xfId="15694" xr:uid="{00000000-0005-0000-0000-00003F160000}"/>
    <cellStyle name="Moneda 2 2 2 2 4 2 2 2 2" xfId="15695" xr:uid="{00000000-0005-0000-0000-000040160000}"/>
    <cellStyle name="Moneda 2 2 2 2 4 2 2 2 2 2" xfId="15697" xr:uid="{00000000-0005-0000-0000-000041160000}"/>
    <cellStyle name="Moneda 2 2 2 2 4 2 2 2 2 2 2" xfId="15701" xr:uid="{00000000-0005-0000-0000-000042160000}"/>
    <cellStyle name="Moneda 2 2 2 2 4 2 2 2 2 3" xfId="15704" xr:uid="{00000000-0005-0000-0000-000043160000}"/>
    <cellStyle name="Moneda 2 2 2 2 4 2 2 2 3" xfId="15708" xr:uid="{00000000-0005-0000-0000-000044160000}"/>
    <cellStyle name="Moneda 2 2 2 2 4 2 2 2 3 2" xfId="15710" xr:uid="{00000000-0005-0000-0000-000045160000}"/>
    <cellStyle name="Moneda 2 2 2 2 4 2 2 2 4" xfId="15712" xr:uid="{00000000-0005-0000-0000-000046160000}"/>
    <cellStyle name="Moneda 2 2 2 2 4 2 2 2 5" xfId="15716" xr:uid="{00000000-0005-0000-0000-000047160000}"/>
    <cellStyle name="Moneda 2 2 2 2 4 2 2 3" xfId="12174" xr:uid="{00000000-0005-0000-0000-000048160000}"/>
    <cellStyle name="Moneda 2 2 2 2 4 2 2 3 2" xfId="12181" xr:uid="{00000000-0005-0000-0000-000049160000}"/>
    <cellStyle name="Moneda 2 2 2 2 4 2 2 3 2 2" xfId="15719" xr:uid="{00000000-0005-0000-0000-00004A160000}"/>
    <cellStyle name="Moneda 2 2 2 2 4 2 2 3 3" xfId="15727" xr:uid="{00000000-0005-0000-0000-00004B160000}"/>
    <cellStyle name="Moneda 2 2 2 2 4 2 2 4" xfId="12186" xr:uid="{00000000-0005-0000-0000-00004C160000}"/>
    <cellStyle name="Moneda 2 2 2 2 4 2 2 4 2" xfId="15730" xr:uid="{00000000-0005-0000-0000-00004D160000}"/>
    <cellStyle name="Moneda 2 2 2 2 4 2 2 4 2 2" xfId="15736" xr:uid="{00000000-0005-0000-0000-00004E160000}"/>
    <cellStyle name="Moneda 2 2 2 2 4 2 2 4 3" xfId="15746" xr:uid="{00000000-0005-0000-0000-00004F160000}"/>
    <cellStyle name="Moneda 2 2 2 2 4 2 2 5" xfId="15748" xr:uid="{00000000-0005-0000-0000-000050160000}"/>
    <cellStyle name="Moneda 2 2 2 2 4 2 2 5 2" xfId="15755" xr:uid="{00000000-0005-0000-0000-000051160000}"/>
    <cellStyle name="Moneda 2 2 2 2 4 2 2 6" xfId="15758" xr:uid="{00000000-0005-0000-0000-000052160000}"/>
    <cellStyle name="Moneda 2 2 2 2 4 2 2 6 2" xfId="15763" xr:uid="{00000000-0005-0000-0000-000053160000}"/>
    <cellStyle name="Moneda 2 2 2 2 4 2 2 7" xfId="15764" xr:uid="{00000000-0005-0000-0000-000054160000}"/>
    <cellStyle name="Moneda 2 2 2 2 4 2 2 8" xfId="15768" xr:uid="{00000000-0005-0000-0000-000055160000}"/>
    <cellStyle name="Moneda 2 2 2 2 4 2 3" xfId="13960" xr:uid="{00000000-0005-0000-0000-000056160000}"/>
    <cellStyle name="Moneda 2 2 2 2 4 2 3 2" xfId="13228" xr:uid="{00000000-0005-0000-0000-000057160000}"/>
    <cellStyle name="Moneda 2 2 2 2 4 2 3 2 2" xfId="13231" xr:uid="{00000000-0005-0000-0000-000058160000}"/>
    <cellStyle name="Moneda 2 2 2 2 4 2 3 2 2 2" xfId="15197" xr:uid="{00000000-0005-0000-0000-000059160000}"/>
    <cellStyle name="Moneda 2 2 2 2 4 2 3 2 3" xfId="15772" xr:uid="{00000000-0005-0000-0000-00005A160000}"/>
    <cellStyle name="Moneda 2 2 2 2 4 2 3 3" xfId="8479" xr:uid="{00000000-0005-0000-0000-00005B160000}"/>
    <cellStyle name="Moneda 2 2 2 2 4 2 3 3 2" xfId="15775" xr:uid="{00000000-0005-0000-0000-00005C160000}"/>
    <cellStyle name="Moneda 2 2 2 2 4 2 3 4" xfId="15776" xr:uid="{00000000-0005-0000-0000-00005D160000}"/>
    <cellStyle name="Moneda 2 2 2 2 4 2 3 5" xfId="15781" xr:uid="{00000000-0005-0000-0000-00005E160000}"/>
    <cellStyle name="Moneda 2 2 2 2 4 2 4" xfId="15789" xr:uid="{00000000-0005-0000-0000-00005F160000}"/>
    <cellStyle name="Moneda 2 2 2 2 4 2 4 2" xfId="13318" xr:uid="{00000000-0005-0000-0000-000060160000}"/>
    <cellStyle name="Moneda 2 2 2 2 4 2 4 2 2" xfId="14416" xr:uid="{00000000-0005-0000-0000-000061160000}"/>
    <cellStyle name="Moneda 2 2 2 2 4 2 4 3" xfId="3060" xr:uid="{00000000-0005-0000-0000-000062160000}"/>
    <cellStyle name="Moneda 2 2 2 2 4 2 5" xfId="10425" xr:uid="{00000000-0005-0000-0000-000063160000}"/>
    <cellStyle name="Moneda 2 2 2 2 4 2 5 2" xfId="10429" xr:uid="{00000000-0005-0000-0000-000064160000}"/>
    <cellStyle name="Moneda 2 2 2 2 4 2 5 2 2" xfId="9511" xr:uid="{00000000-0005-0000-0000-000065160000}"/>
    <cellStyle name="Moneda 2 2 2 2 4 2 5 3" xfId="1583" xr:uid="{00000000-0005-0000-0000-000066160000}"/>
    <cellStyle name="Moneda 2 2 2 2 4 2 6" xfId="10473" xr:uid="{00000000-0005-0000-0000-000067160000}"/>
    <cellStyle name="Moneda 2 2 2 2 4 2 6 2" xfId="10475" xr:uid="{00000000-0005-0000-0000-000068160000}"/>
    <cellStyle name="Moneda 2 2 2 2 4 2 7" xfId="10485" xr:uid="{00000000-0005-0000-0000-000069160000}"/>
    <cellStyle name="Moneda 2 2 2 2 4 2 7 2" xfId="10487" xr:uid="{00000000-0005-0000-0000-00006A160000}"/>
    <cellStyle name="Moneda 2 2 2 2 4 2 8" xfId="10509" xr:uid="{00000000-0005-0000-0000-00006B160000}"/>
    <cellStyle name="Moneda 2 2 2 2 4 2 9" xfId="10525" xr:uid="{00000000-0005-0000-0000-00006C160000}"/>
    <cellStyle name="Moneda 2 2 2 2 4 3" xfId="15791" xr:uid="{00000000-0005-0000-0000-00006D160000}"/>
    <cellStyle name="Moneda 2 2 2 2 4 3 2" xfId="15792" xr:uid="{00000000-0005-0000-0000-00006E160000}"/>
    <cellStyle name="Moneda 2 2 2 2 4 3 2 2" xfId="15795" xr:uid="{00000000-0005-0000-0000-00006F160000}"/>
    <cellStyle name="Moneda 2 2 2 2 4 3 2 2 2" xfId="15798" xr:uid="{00000000-0005-0000-0000-000070160000}"/>
    <cellStyle name="Moneda 2 2 2 2 4 3 2 2 2 2" xfId="15802" xr:uid="{00000000-0005-0000-0000-000071160000}"/>
    <cellStyle name="Moneda 2 2 2 2 4 3 2 2 3" xfId="15807" xr:uid="{00000000-0005-0000-0000-000072160000}"/>
    <cellStyle name="Moneda 2 2 2 2 4 3 2 2 4" xfId="13972" xr:uid="{00000000-0005-0000-0000-000073160000}"/>
    <cellStyle name="Moneda 2 2 2 2 4 3 2 3" xfId="15810" xr:uid="{00000000-0005-0000-0000-000074160000}"/>
    <cellStyle name="Moneda 2 2 2 2 4 3 2 3 2" xfId="15814" xr:uid="{00000000-0005-0000-0000-000075160000}"/>
    <cellStyle name="Moneda 2 2 2 2 4 3 2 4" xfId="15815" xr:uid="{00000000-0005-0000-0000-000076160000}"/>
    <cellStyle name="Moneda 2 2 2 2 4 3 2 4 2" xfId="15825" xr:uid="{00000000-0005-0000-0000-000077160000}"/>
    <cellStyle name="Moneda 2 2 2 2 4 3 2 5" xfId="15832" xr:uid="{00000000-0005-0000-0000-000078160000}"/>
    <cellStyle name="Moneda 2 2 2 2 4 3 2 6" xfId="3897" xr:uid="{00000000-0005-0000-0000-000079160000}"/>
    <cellStyle name="Moneda 2 2 2 2 4 3 3" xfId="15841" xr:uid="{00000000-0005-0000-0000-00007A160000}"/>
    <cellStyle name="Moneda 2 2 2 2 4 3 3 2" xfId="15845" xr:uid="{00000000-0005-0000-0000-00007B160000}"/>
    <cellStyle name="Moneda 2 2 2 2 4 3 3 2 2" xfId="15847" xr:uid="{00000000-0005-0000-0000-00007C160000}"/>
    <cellStyle name="Moneda 2 2 2 2 4 3 3 3" xfId="15852" xr:uid="{00000000-0005-0000-0000-00007D160000}"/>
    <cellStyle name="Moneda 2 2 2 2 4 3 3 4" xfId="15853" xr:uid="{00000000-0005-0000-0000-00007E160000}"/>
    <cellStyle name="Moneda 2 2 2 2 4 3 4" xfId="15863" xr:uid="{00000000-0005-0000-0000-00007F160000}"/>
    <cellStyle name="Moneda 2 2 2 2 4 3 4 2" xfId="8553" xr:uid="{00000000-0005-0000-0000-000080160000}"/>
    <cellStyle name="Moneda 2 2 2 2 4 3 4 2 2" xfId="15864" xr:uid="{00000000-0005-0000-0000-000081160000}"/>
    <cellStyle name="Moneda 2 2 2 2 4 3 4 3" xfId="15866" xr:uid="{00000000-0005-0000-0000-000082160000}"/>
    <cellStyle name="Moneda 2 2 2 2 4 3 5" xfId="10549" xr:uid="{00000000-0005-0000-0000-000083160000}"/>
    <cellStyle name="Moneda 2 2 2 2 4 3 5 2" xfId="10553" xr:uid="{00000000-0005-0000-0000-000084160000}"/>
    <cellStyle name="Moneda 2 2 2 2 4 3 6" xfId="10560" xr:uid="{00000000-0005-0000-0000-000085160000}"/>
    <cellStyle name="Moneda 2 2 2 2 4 3 6 2" xfId="10562" xr:uid="{00000000-0005-0000-0000-000086160000}"/>
    <cellStyle name="Moneda 2 2 2 2 4 3 7" xfId="10569" xr:uid="{00000000-0005-0000-0000-000087160000}"/>
    <cellStyle name="Moneda 2 2 2 2 4 3 8" xfId="10591" xr:uid="{00000000-0005-0000-0000-000088160000}"/>
    <cellStyle name="Moneda 2 2 2 2 4 4" xfId="15870" xr:uid="{00000000-0005-0000-0000-000089160000}"/>
    <cellStyle name="Moneda 2 2 2 2 4 4 2" xfId="15873" xr:uid="{00000000-0005-0000-0000-00008A160000}"/>
    <cellStyle name="Moneda 2 2 2 2 4 4 2 2" xfId="13740" xr:uid="{00000000-0005-0000-0000-00008B160000}"/>
    <cellStyle name="Moneda 2 2 2 2 4 4 2 2 2" xfId="15875" xr:uid="{00000000-0005-0000-0000-00008C160000}"/>
    <cellStyle name="Moneda 2 2 2 2 4 4 2 3" xfId="15877" xr:uid="{00000000-0005-0000-0000-00008D160000}"/>
    <cellStyle name="Moneda 2 2 2 2 4 4 2 4" xfId="15878" xr:uid="{00000000-0005-0000-0000-00008E160000}"/>
    <cellStyle name="Moneda 2 2 2 2 4 4 3" xfId="15884" xr:uid="{00000000-0005-0000-0000-00008F160000}"/>
    <cellStyle name="Moneda 2 2 2 2 4 4 3 2" xfId="15887" xr:uid="{00000000-0005-0000-0000-000090160000}"/>
    <cellStyle name="Moneda 2 2 2 2 4 4 4" xfId="15888" xr:uid="{00000000-0005-0000-0000-000091160000}"/>
    <cellStyle name="Moneda 2 2 2 2 4 4 4 2" xfId="15890" xr:uid="{00000000-0005-0000-0000-000092160000}"/>
    <cellStyle name="Moneda 2 2 2 2 4 4 5" xfId="214" xr:uid="{00000000-0005-0000-0000-000093160000}"/>
    <cellStyle name="Moneda 2 2 2 2 4 4 6" xfId="1516" xr:uid="{00000000-0005-0000-0000-000094160000}"/>
    <cellStyle name="Moneda 2 2 2 2 4 5" xfId="2349" xr:uid="{00000000-0005-0000-0000-000095160000}"/>
    <cellStyle name="Moneda 2 2 2 2 4 5 2" xfId="2365" xr:uid="{00000000-0005-0000-0000-000096160000}"/>
    <cellStyle name="Moneda 2 2 2 2 4 5 2 2" xfId="15891" xr:uid="{00000000-0005-0000-0000-000097160000}"/>
    <cellStyle name="Moneda 2 2 2 2 4 5 2 2 2" xfId="2408" xr:uid="{00000000-0005-0000-0000-000098160000}"/>
    <cellStyle name="Moneda 2 2 2 2 4 5 2 3" xfId="15892" xr:uid="{00000000-0005-0000-0000-000099160000}"/>
    <cellStyle name="Moneda 2 2 2 2 4 5 2 4" xfId="15893" xr:uid="{00000000-0005-0000-0000-00009A160000}"/>
    <cellStyle name="Moneda 2 2 2 2 4 5 3" xfId="15896" xr:uid="{00000000-0005-0000-0000-00009B160000}"/>
    <cellStyle name="Moneda 2 2 2 2 4 5 3 2" xfId="15897" xr:uid="{00000000-0005-0000-0000-00009C160000}"/>
    <cellStyle name="Moneda 2 2 2 2 4 5 4" xfId="15898" xr:uid="{00000000-0005-0000-0000-00009D160000}"/>
    <cellStyle name="Moneda 2 2 2 2 4 5 4 2" xfId="15900" xr:uid="{00000000-0005-0000-0000-00009E160000}"/>
    <cellStyle name="Moneda 2 2 2 2 4 5 5" xfId="1857" xr:uid="{00000000-0005-0000-0000-00009F160000}"/>
    <cellStyle name="Moneda 2 2 2 2 4 5 6" xfId="2126" xr:uid="{00000000-0005-0000-0000-0000A0160000}"/>
    <cellStyle name="Moneda 2 2 2 2 4 6" xfId="2471" xr:uid="{00000000-0005-0000-0000-0000A1160000}"/>
    <cellStyle name="Moneda 2 2 2 2 4 6 2" xfId="15903" xr:uid="{00000000-0005-0000-0000-0000A2160000}"/>
    <cellStyle name="Moneda 2 2 2 2 4 6 2 2" xfId="15904" xr:uid="{00000000-0005-0000-0000-0000A3160000}"/>
    <cellStyle name="Moneda 2 2 2 2 4 6 2 2 2" xfId="15906" xr:uid="{00000000-0005-0000-0000-0000A4160000}"/>
    <cellStyle name="Moneda 2 2 2 2 4 6 2 3" xfId="15907" xr:uid="{00000000-0005-0000-0000-0000A5160000}"/>
    <cellStyle name="Moneda 2 2 2 2 4 6 2 4" xfId="15908" xr:uid="{00000000-0005-0000-0000-0000A6160000}"/>
    <cellStyle name="Moneda 2 2 2 2 4 6 3" xfId="15909" xr:uid="{00000000-0005-0000-0000-0000A7160000}"/>
    <cellStyle name="Moneda 2 2 2 2 4 6 3 2" xfId="15910" xr:uid="{00000000-0005-0000-0000-0000A8160000}"/>
    <cellStyle name="Moneda 2 2 2 2 4 6 4" xfId="14349" xr:uid="{00000000-0005-0000-0000-0000A9160000}"/>
    <cellStyle name="Moneda 2 2 2 2 4 6 4 2" xfId="9131" xr:uid="{00000000-0005-0000-0000-0000AA160000}"/>
    <cellStyle name="Moneda 2 2 2 2 4 6 5" xfId="2318" xr:uid="{00000000-0005-0000-0000-0000AB160000}"/>
    <cellStyle name="Moneda 2 2 2 2 4 6 6" xfId="2664" xr:uid="{00000000-0005-0000-0000-0000AC160000}"/>
    <cellStyle name="Moneda 2 2 2 2 4 7" xfId="13768" xr:uid="{00000000-0005-0000-0000-0000AD160000}"/>
    <cellStyle name="Moneda 2 2 2 2 4 7 2" xfId="15913" xr:uid="{00000000-0005-0000-0000-0000AE160000}"/>
    <cellStyle name="Moneda 2 2 2 2 4 7 2 2" xfId="15916" xr:uid="{00000000-0005-0000-0000-0000AF160000}"/>
    <cellStyle name="Moneda 2 2 2 2 4 7 3" xfId="15919" xr:uid="{00000000-0005-0000-0000-0000B0160000}"/>
    <cellStyle name="Moneda 2 2 2 2 4 7 4" xfId="14364" xr:uid="{00000000-0005-0000-0000-0000B1160000}"/>
    <cellStyle name="Moneda 2 2 2 2 4 8" xfId="15920" xr:uid="{00000000-0005-0000-0000-0000B2160000}"/>
    <cellStyle name="Moneda 2 2 2 2 4 8 2" xfId="2617" xr:uid="{00000000-0005-0000-0000-0000B3160000}"/>
    <cellStyle name="Moneda 2 2 2 2 4 9" xfId="15922" xr:uid="{00000000-0005-0000-0000-0000B4160000}"/>
    <cellStyle name="Moneda 2 2 2 2 4 9 2" xfId="2637" xr:uid="{00000000-0005-0000-0000-0000B5160000}"/>
    <cellStyle name="Moneda 2 2 2 2 5" xfId="6031" xr:uid="{00000000-0005-0000-0000-0000B6160000}"/>
    <cellStyle name="Moneda 2 2 2 2 5 2" xfId="6038" xr:uid="{00000000-0005-0000-0000-0000B7160000}"/>
    <cellStyle name="Moneda 2 2 2 2 5 2 2" xfId="6042" xr:uid="{00000000-0005-0000-0000-0000B8160000}"/>
    <cellStyle name="Moneda 2 2 2 2 5 2 2 2" xfId="11739" xr:uid="{00000000-0005-0000-0000-0000B9160000}"/>
    <cellStyle name="Moneda 2 2 2 2 5 2 2 2 2" xfId="9311" xr:uid="{00000000-0005-0000-0000-0000BA160000}"/>
    <cellStyle name="Moneda 2 2 2 2 5 2 2 2 2 2" xfId="9313" xr:uid="{00000000-0005-0000-0000-0000BB160000}"/>
    <cellStyle name="Moneda 2 2 2 2 5 2 2 2 3" xfId="9320" xr:uid="{00000000-0005-0000-0000-0000BC160000}"/>
    <cellStyle name="Moneda 2 2 2 2 5 2 2 3" xfId="15923" xr:uid="{00000000-0005-0000-0000-0000BD160000}"/>
    <cellStyle name="Moneda 2 2 2 2 5 2 2 3 2" xfId="15926" xr:uid="{00000000-0005-0000-0000-0000BE160000}"/>
    <cellStyle name="Moneda 2 2 2 2 5 2 2 4" xfId="13101" xr:uid="{00000000-0005-0000-0000-0000BF160000}"/>
    <cellStyle name="Moneda 2 2 2 2 5 2 2 5" xfId="11800" xr:uid="{00000000-0005-0000-0000-0000C0160000}"/>
    <cellStyle name="Moneda 2 2 2 2 5 2 3" xfId="15928" xr:uid="{00000000-0005-0000-0000-0000C1160000}"/>
    <cellStyle name="Moneda 2 2 2 2 5 2 3 2" xfId="15929" xr:uid="{00000000-0005-0000-0000-0000C2160000}"/>
    <cellStyle name="Moneda 2 2 2 2 5 2 3 2 2" xfId="15930" xr:uid="{00000000-0005-0000-0000-0000C3160000}"/>
    <cellStyle name="Moneda 2 2 2 2 5 2 3 3" xfId="15931" xr:uid="{00000000-0005-0000-0000-0000C4160000}"/>
    <cellStyle name="Moneda 2 2 2 2 5 2 4" xfId="15932" xr:uid="{00000000-0005-0000-0000-0000C5160000}"/>
    <cellStyle name="Moneda 2 2 2 2 5 2 4 2" xfId="15935" xr:uid="{00000000-0005-0000-0000-0000C6160000}"/>
    <cellStyle name="Moneda 2 2 2 2 5 2 4 2 2" xfId="15936" xr:uid="{00000000-0005-0000-0000-0000C7160000}"/>
    <cellStyle name="Moneda 2 2 2 2 5 2 4 3" xfId="15937" xr:uid="{00000000-0005-0000-0000-0000C8160000}"/>
    <cellStyle name="Moneda 2 2 2 2 5 2 5" xfId="10655" xr:uid="{00000000-0005-0000-0000-0000C9160000}"/>
    <cellStyle name="Moneda 2 2 2 2 5 2 5 2" xfId="15938" xr:uid="{00000000-0005-0000-0000-0000CA160000}"/>
    <cellStyle name="Moneda 2 2 2 2 5 2 6" xfId="15942" xr:uid="{00000000-0005-0000-0000-0000CB160000}"/>
    <cellStyle name="Moneda 2 2 2 2 5 2 6 2" xfId="15943" xr:uid="{00000000-0005-0000-0000-0000CC160000}"/>
    <cellStyle name="Moneda 2 2 2 2 5 2 7" xfId="1412" xr:uid="{00000000-0005-0000-0000-0000CD160000}"/>
    <cellStyle name="Moneda 2 2 2 2 5 2 8" xfId="10861" xr:uid="{00000000-0005-0000-0000-0000CE160000}"/>
    <cellStyle name="Moneda 2 2 2 2 5 3" xfId="3009" xr:uid="{00000000-0005-0000-0000-0000CF160000}"/>
    <cellStyle name="Moneda 2 2 2 2 5 3 2" xfId="15944" xr:uid="{00000000-0005-0000-0000-0000D0160000}"/>
    <cellStyle name="Moneda 2 2 2 2 5 3 2 2" xfId="9898" xr:uid="{00000000-0005-0000-0000-0000D1160000}"/>
    <cellStyle name="Moneda 2 2 2 2 5 3 2 2 2" xfId="9902" xr:uid="{00000000-0005-0000-0000-0000D2160000}"/>
    <cellStyle name="Moneda 2 2 2 2 5 3 2 3" xfId="9974" xr:uid="{00000000-0005-0000-0000-0000D3160000}"/>
    <cellStyle name="Moneda 2 2 2 2 5 3 2 4" xfId="10035" xr:uid="{00000000-0005-0000-0000-0000D4160000}"/>
    <cellStyle name="Moneda 2 2 2 2 5 3 3" xfId="15946" xr:uid="{00000000-0005-0000-0000-0000D5160000}"/>
    <cellStyle name="Moneda 2 2 2 2 5 3 3 2" xfId="10615" xr:uid="{00000000-0005-0000-0000-0000D6160000}"/>
    <cellStyle name="Moneda 2 2 2 2 5 3 4" xfId="15947" xr:uid="{00000000-0005-0000-0000-0000D7160000}"/>
    <cellStyle name="Moneda 2 2 2 2 5 3 4 2" xfId="11115" xr:uid="{00000000-0005-0000-0000-0000D8160000}"/>
    <cellStyle name="Moneda 2 2 2 2 5 3 5" xfId="10661" xr:uid="{00000000-0005-0000-0000-0000D9160000}"/>
    <cellStyle name="Moneda 2 2 2 2 5 3 6" xfId="15948" xr:uid="{00000000-0005-0000-0000-0000DA160000}"/>
    <cellStyle name="Moneda 2 2 2 2 5 4" xfId="7430" xr:uid="{00000000-0005-0000-0000-0000DB160000}"/>
    <cellStyle name="Moneda 2 2 2 2 5 4 2" xfId="12516" xr:uid="{00000000-0005-0000-0000-0000DC160000}"/>
    <cellStyle name="Moneda 2 2 2 2 5 4 2 2" xfId="12519" xr:uid="{00000000-0005-0000-0000-0000DD160000}"/>
    <cellStyle name="Moneda 2 2 2 2 5 4 3" xfId="12521" xr:uid="{00000000-0005-0000-0000-0000DE160000}"/>
    <cellStyle name="Moneda 2 2 2 2 5 4 4" xfId="12526" xr:uid="{00000000-0005-0000-0000-0000DF160000}"/>
    <cellStyle name="Moneda 2 2 2 2 5 5" xfId="2698" xr:uid="{00000000-0005-0000-0000-0000E0160000}"/>
    <cellStyle name="Moneda 2 2 2 2 5 5 2" xfId="12543" xr:uid="{00000000-0005-0000-0000-0000E1160000}"/>
    <cellStyle name="Moneda 2 2 2 2 5 5 2 2" xfId="12545" xr:uid="{00000000-0005-0000-0000-0000E2160000}"/>
    <cellStyle name="Moneda 2 2 2 2 5 5 3" xfId="12547" xr:uid="{00000000-0005-0000-0000-0000E3160000}"/>
    <cellStyle name="Moneda 2 2 2 2 5 6" xfId="15949" xr:uid="{00000000-0005-0000-0000-0000E4160000}"/>
    <cellStyle name="Moneda 2 2 2 2 5 6 2" xfId="15950" xr:uid="{00000000-0005-0000-0000-0000E5160000}"/>
    <cellStyle name="Moneda 2 2 2 2 5 7" xfId="15951" xr:uid="{00000000-0005-0000-0000-0000E6160000}"/>
    <cellStyle name="Moneda 2 2 2 2 5 7 2" xfId="15954" xr:uid="{00000000-0005-0000-0000-0000E7160000}"/>
    <cellStyle name="Moneda 2 2 2 2 5 8" xfId="15955" xr:uid="{00000000-0005-0000-0000-0000E8160000}"/>
    <cellStyle name="Moneda 2 2 2 2 5 9" xfId="15956" xr:uid="{00000000-0005-0000-0000-0000E9160000}"/>
    <cellStyle name="Moneda 2 2 2 2 6" xfId="2722" xr:uid="{00000000-0005-0000-0000-0000EA160000}"/>
    <cellStyle name="Moneda 2 2 2 2 6 2" xfId="5318" xr:uid="{00000000-0005-0000-0000-0000EB160000}"/>
    <cellStyle name="Moneda 2 2 2 2 6 2 2" xfId="15957" xr:uid="{00000000-0005-0000-0000-0000EC160000}"/>
    <cellStyle name="Moneda 2 2 2 2 6 2 2 2" xfId="15959" xr:uid="{00000000-0005-0000-0000-0000ED160000}"/>
    <cellStyle name="Moneda 2 2 2 2 6 2 2 2 2" xfId="15960" xr:uid="{00000000-0005-0000-0000-0000EE160000}"/>
    <cellStyle name="Moneda 2 2 2 2 6 2 2 2 2 2" xfId="15961" xr:uid="{00000000-0005-0000-0000-0000EF160000}"/>
    <cellStyle name="Moneda 2 2 2 2 6 2 2 2 3" xfId="15968" xr:uid="{00000000-0005-0000-0000-0000F0160000}"/>
    <cellStyle name="Moneda 2 2 2 2 6 2 2 3" xfId="15969" xr:uid="{00000000-0005-0000-0000-0000F1160000}"/>
    <cellStyle name="Moneda 2 2 2 2 6 2 2 3 2" xfId="15971" xr:uid="{00000000-0005-0000-0000-0000F2160000}"/>
    <cellStyle name="Moneda 2 2 2 2 6 2 2 4" xfId="15972" xr:uid="{00000000-0005-0000-0000-0000F3160000}"/>
    <cellStyle name="Moneda 2 2 2 2 6 2 2 5" xfId="12021" xr:uid="{00000000-0005-0000-0000-0000F4160000}"/>
    <cellStyle name="Moneda 2 2 2 2 6 2 3" xfId="15976" xr:uid="{00000000-0005-0000-0000-0000F5160000}"/>
    <cellStyle name="Moneda 2 2 2 2 6 2 3 2" xfId="15978" xr:uid="{00000000-0005-0000-0000-0000F6160000}"/>
    <cellStyle name="Moneda 2 2 2 2 6 2 3 2 2" xfId="15979" xr:uid="{00000000-0005-0000-0000-0000F7160000}"/>
    <cellStyle name="Moneda 2 2 2 2 6 2 3 3" xfId="15981" xr:uid="{00000000-0005-0000-0000-0000F8160000}"/>
    <cellStyle name="Moneda 2 2 2 2 6 2 4" xfId="15982" xr:uid="{00000000-0005-0000-0000-0000F9160000}"/>
    <cellStyle name="Moneda 2 2 2 2 6 2 4 2" xfId="15985" xr:uid="{00000000-0005-0000-0000-0000FA160000}"/>
    <cellStyle name="Moneda 2 2 2 2 6 2 4 2 2" xfId="15988" xr:uid="{00000000-0005-0000-0000-0000FB160000}"/>
    <cellStyle name="Moneda 2 2 2 2 6 2 4 3" xfId="15992" xr:uid="{00000000-0005-0000-0000-0000FC160000}"/>
    <cellStyle name="Moneda 2 2 2 2 6 2 5" xfId="10689" xr:uid="{00000000-0005-0000-0000-0000FD160000}"/>
    <cellStyle name="Moneda 2 2 2 2 6 2 5 2" xfId="15994" xr:uid="{00000000-0005-0000-0000-0000FE160000}"/>
    <cellStyle name="Moneda 2 2 2 2 6 2 6" xfId="15995" xr:uid="{00000000-0005-0000-0000-0000FF160000}"/>
    <cellStyle name="Moneda 2 2 2 2 6 2 6 2" xfId="15997" xr:uid="{00000000-0005-0000-0000-000000170000}"/>
    <cellStyle name="Moneda 2 2 2 2 6 2 7" xfId="10923" xr:uid="{00000000-0005-0000-0000-000001170000}"/>
    <cellStyle name="Moneda 2 2 2 2 6 2 8" xfId="10927" xr:uid="{00000000-0005-0000-0000-000002170000}"/>
    <cellStyle name="Moneda 2 2 2 2 6 3" xfId="15998" xr:uid="{00000000-0005-0000-0000-000003170000}"/>
    <cellStyle name="Moneda 2 2 2 2 6 3 2" xfId="15999" xr:uid="{00000000-0005-0000-0000-000004170000}"/>
    <cellStyle name="Moneda 2 2 2 2 6 3 2 2" xfId="16000" xr:uid="{00000000-0005-0000-0000-000005170000}"/>
    <cellStyle name="Moneda 2 2 2 2 6 3 2 2 2" xfId="16001" xr:uid="{00000000-0005-0000-0000-000006170000}"/>
    <cellStyle name="Moneda 2 2 2 2 6 3 2 3" xfId="16003" xr:uid="{00000000-0005-0000-0000-000007170000}"/>
    <cellStyle name="Moneda 2 2 2 2 6 3 3" xfId="16004" xr:uid="{00000000-0005-0000-0000-000008170000}"/>
    <cellStyle name="Moneda 2 2 2 2 6 3 3 2" xfId="16005" xr:uid="{00000000-0005-0000-0000-000009170000}"/>
    <cellStyle name="Moneda 2 2 2 2 6 3 4" xfId="16006" xr:uid="{00000000-0005-0000-0000-00000A170000}"/>
    <cellStyle name="Moneda 2 2 2 2 6 3 5" xfId="16007" xr:uid="{00000000-0005-0000-0000-00000B170000}"/>
    <cellStyle name="Moneda 2 2 2 2 6 4" xfId="12192" xr:uid="{00000000-0005-0000-0000-00000C170000}"/>
    <cellStyle name="Moneda 2 2 2 2 6 4 2" xfId="12196" xr:uid="{00000000-0005-0000-0000-00000D170000}"/>
    <cellStyle name="Moneda 2 2 2 2 6 4 2 2" xfId="16008" xr:uid="{00000000-0005-0000-0000-00000E170000}"/>
    <cellStyle name="Moneda 2 2 2 2 6 4 3" xfId="16009" xr:uid="{00000000-0005-0000-0000-00000F170000}"/>
    <cellStyle name="Moneda 2 2 2 2 6 5" xfId="11716" xr:uid="{00000000-0005-0000-0000-000010170000}"/>
    <cellStyle name="Moneda 2 2 2 2 6 5 2" xfId="16010" xr:uid="{00000000-0005-0000-0000-000011170000}"/>
    <cellStyle name="Moneda 2 2 2 2 6 5 2 2" xfId="16011" xr:uid="{00000000-0005-0000-0000-000012170000}"/>
    <cellStyle name="Moneda 2 2 2 2 6 5 3" xfId="16013" xr:uid="{00000000-0005-0000-0000-000013170000}"/>
    <cellStyle name="Moneda 2 2 2 2 6 6" xfId="16016" xr:uid="{00000000-0005-0000-0000-000014170000}"/>
    <cellStyle name="Moneda 2 2 2 2 6 6 2" xfId="16024" xr:uid="{00000000-0005-0000-0000-000015170000}"/>
    <cellStyle name="Moneda 2 2 2 2 6 7" xfId="16027" xr:uid="{00000000-0005-0000-0000-000016170000}"/>
    <cellStyle name="Moneda 2 2 2 2 6 7 2" xfId="16030" xr:uid="{00000000-0005-0000-0000-000017170000}"/>
    <cellStyle name="Moneda 2 2 2 2 6 8" xfId="16031" xr:uid="{00000000-0005-0000-0000-000018170000}"/>
    <cellStyle name="Moneda 2 2 2 2 6 9" xfId="16035" xr:uid="{00000000-0005-0000-0000-000019170000}"/>
    <cellStyle name="Moneda 2 2 2 2 7" xfId="2407" xr:uid="{00000000-0005-0000-0000-00001A170000}"/>
    <cellStyle name="Moneda 2 2 2 2 7 2" xfId="16036" xr:uid="{00000000-0005-0000-0000-00001B170000}"/>
    <cellStyle name="Moneda 2 2 2 2 7 2 2" xfId="16037" xr:uid="{00000000-0005-0000-0000-00001C170000}"/>
    <cellStyle name="Moneda 2 2 2 2 7 2 2 2" xfId="16038" xr:uid="{00000000-0005-0000-0000-00001D170000}"/>
    <cellStyle name="Moneda 2 2 2 2 7 2 2 2 2" xfId="16040" xr:uid="{00000000-0005-0000-0000-00001E170000}"/>
    <cellStyle name="Moneda 2 2 2 2 7 2 2 2 2 2" xfId="1971" xr:uid="{00000000-0005-0000-0000-00001F170000}"/>
    <cellStyle name="Moneda 2 2 2 2 7 2 2 2 3" xfId="16045" xr:uid="{00000000-0005-0000-0000-000020170000}"/>
    <cellStyle name="Moneda 2 2 2 2 7 2 2 3" xfId="16046" xr:uid="{00000000-0005-0000-0000-000021170000}"/>
    <cellStyle name="Moneda 2 2 2 2 7 2 2 3 2" xfId="15237" xr:uid="{00000000-0005-0000-0000-000022170000}"/>
    <cellStyle name="Moneda 2 2 2 2 7 2 2 4" xfId="9142" xr:uid="{00000000-0005-0000-0000-000023170000}"/>
    <cellStyle name="Moneda 2 2 2 2 7 2 3" xfId="16050" xr:uid="{00000000-0005-0000-0000-000024170000}"/>
    <cellStyle name="Moneda 2 2 2 2 7 2 3 2" xfId="16053" xr:uid="{00000000-0005-0000-0000-000025170000}"/>
    <cellStyle name="Moneda 2 2 2 2 7 2 3 2 2" xfId="16056" xr:uid="{00000000-0005-0000-0000-000026170000}"/>
    <cellStyle name="Moneda 2 2 2 2 7 2 3 3" xfId="16061" xr:uid="{00000000-0005-0000-0000-000027170000}"/>
    <cellStyle name="Moneda 2 2 2 2 7 2 4" xfId="16065" xr:uid="{00000000-0005-0000-0000-000028170000}"/>
    <cellStyle name="Moneda 2 2 2 2 7 2 4 2" xfId="16068" xr:uid="{00000000-0005-0000-0000-000029170000}"/>
    <cellStyle name="Moneda 2 2 2 2 7 2 4 2 2" xfId="16071" xr:uid="{00000000-0005-0000-0000-00002A170000}"/>
    <cellStyle name="Moneda 2 2 2 2 7 2 4 3" xfId="16076" xr:uid="{00000000-0005-0000-0000-00002B170000}"/>
    <cellStyle name="Moneda 2 2 2 2 7 2 5" xfId="16077" xr:uid="{00000000-0005-0000-0000-00002C170000}"/>
    <cellStyle name="Moneda 2 2 2 2 7 2 5 2" xfId="16081" xr:uid="{00000000-0005-0000-0000-00002D170000}"/>
    <cellStyle name="Moneda 2 2 2 2 7 2 6" xfId="16082" xr:uid="{00000000-0005-0000-0000-00002E170000}"/>
    <cellStyle name="Moneda 2 2 2 2 7 2 6 2" xfId="750" xr:uid="{00000000-0005-0000-0000-00002F170000}"/>
    <cellStyle name="Moneda 2 2 2 2 7 2 7" xfId="7940" xr:uid="{00000000-0005-0000-0000-000030170000}"/>
    <cellStyle name="Moneda 2 2 2 2 7 2 8" xfId="16083" xr:uid="{00000000-0005-0000-0000-000031170000}"/>
    <cellStyle name="Moneda 2 2 2 2 7 3" xfId="16085" xr:uid="{00000000-0005-0000-0000-000032170000}"/>
    <cellStyle name="Moneda 2 2 2 2 7 3 2" xfId="16086" xr:uid="{00000000-0005-0000-0000-000033170000}"/>
    <cellStyle name="Moneda 2 2 2 2 7 3 2 2" xfId="16087" xr:uid="{00000000-0005-0000-0000-000034170000}"/>
    <cellStyle name="Moneda 2 2 2 2 7 3 2 2 2" xfId="16088" xr:uid="{00000000-0005-0000-0000-000035170000}"/>
    <cellStyle name="Moneda 2 2 2 2 7 3 2 3" xfId="16090" xr:uid="{00000000-0005-0000-0000-000036170000}"/>
    <cellStyle name="Moneda 2 2 2 2 7 3 3" xfId="16092" xr:uid="{00000000-0005-0000-0000-000037170000}"/>
    <cellStyle name="Moneda 2 2 2 2 7 3 3 2" xfId="2960" xr:uid="{00000000-0005-0000-0000-000038170000}"/>
    <cellStyle name="Moneda 2 2 2 2 7 3 4" xfId="16096" xr:uid="{00000000-0005-0000-0000-000039170000}"/>
    <cellStyle name="Moneda 2 2 2 2 7 4" xfId="10783" xr:uid="{00000000-0005-0000-0000-00003A170000}"/>
    <cellStyle name="Moneda 2 2 2 2 7 4 2" xfId="16102" xr:uid="{00000000-0005-0000-0000-00003B170000}"/>
    <cellStyle name="Moneda 2 2 2 2 7 4 2 2" xfId="16112" xr:uid="{00000000-0005-0000-0000-00003C170000}"/>
    <cellStyle name="Moneda 2 2 2 2 7 4 3" xfId="16118" xr:uid="{00000000-0005-0000-0000-00003D170000}"/>
    <cellStyle name="Moneda 2 2 2 2 7 5" xfId="16122" xr:uid="{00000000-0005-0000-0000-00003E170000}"/>
    <cellStyle name="Moneda 2 2 2 2 7 5 2" xfId="16131" xr:uid="{00000000-0005-0000-0000-00003F170000}"/>
    <cellStyle name="Moneda 2 2 2 2 7 5 2 2" xfId="54" xr:uid="{00000000-0005-0000-0000-000040170000}"/>
    <cellStyle name="Moneda 2 2 2 2 7 5 3" xfId="16139" xr:uid="{00000000-0005-0000-0000-000041170000}"/>
    <cellStyle name="Moneda 2 2 2 2 7 6" xfId="16143" xr:uid="{00000000-0005-0000-0000-000042170000}"/>
    <cellStyle name="Moneda 2 2 2 2 7 6 2" xfId="13449" xr:uid="{00000000-0005-0000-0000-000043170000}"/>
    <cellStyle name="Moneda 2 2 2 2 7 7" xfId="5007" xr:uid="{00000000-0005-0000-0000-000044170000}"/>
    <cellStyle name="Moneda 2 2 2 2 7 7 2" xfId="10758" xr:uid="{00000000-0005-0000-0000-000045170000}"/>
    <cellStyle name="Moneda 2 2 2 2 7 8" xfId="5541" xr:uid="{00000000-0005-0000-0000-000046170000}"/>
    <cellStyle name="Moneda 2 2 2 2 7 9" xfId="10762" xr:uid="{00000000-0005-0000-0000-000047170000}"/>
    <cellStyle name="Moneda 2 2 2 2 8" xfId="16147" xr:uid="{00000000-0005-0000-0000-000048170000}"/>
    <cellStyle name="Moneda 2 2 2 2 8 2" xfId="16150" xr:uid="{00000000-0005-0000-0000-000049170000}"/>
    <cellStyle name="Moneda 2 2 2 2 8 2 2" xfId="16153" xr:uid="{00000000-0005-0000-0000-00004A170000}"/>
    <cellStyle name="Moneda 2 2 2 2 8 2 2 2" xfId="16156" xr:uid="{00000000-0005-0000-0000-00004B170000}"/>
    <cellStyle name="Moneda 2 2 2 2 8 2 2 2 2" xfId="16158" xr:uid="{00000000-0005-0000-0000-00004C170000}"/>
    <cellStyle name="Moneda 2 2 2 2 8 2 2 3" xfId="16162" xr:uid="{00000000-0005-0000-0000-00004D170000}"/>
    <cellStyle name="Moneda 2 2 2 2 8 2 3" xfId="16164" xr:uid="{00000000-0005-0000-0000-00004E170000}"/>
    <cellStyle name="Moneda 2 2 2 2 8 2 3 2" xfId="16168" xr:uid="{00000000-0005-0000-0000-00004F170000}"/>
    <cellStyle name="Moneda 2 2 2 2 8 2 4" xfId="13946" xr:uid="{00000000-0005-0000-0000-000050170000}"/>
    <cellStyle name="Moneda 2 2 2 2 8 2 5" xfId="13958" xr:uid="{00000000-0005-0000-0000-000051170000}"/>
    <cellStyle name="Moneda 2 2 2 2 8 3" xfId="15793" xr:uid="{00000000-0005-0000-0000-000052170000}"/>
    <cellStyle name="Moneda 2 2 2 2 8 3 2" xfId="15797" xr:uid="{00000000-0005-0000-0000-000053170000}"/>
    <cellStyle name="Moneda 2 2 2 2 8 3 2 2" xfId="15800" xr:uid="{00000000-0005-0000-0000-000054170000}"/>
    <cellStyle name="Moneda 2 2 2 2 8 3 3" xfId="15804" xr:uid="{00000000-0005-0000-0000-000055170000}"/>
    <cellStyle name="Moneda 2 2 2 2 8 4" xfId="15809" xr:uid="{00000000-0005-0000-0000-000056170000}"/>
    <cellStyle name="Moneda 2 2 2 2 8 4 2" xfId="15811" xr:uid="{00000000-0005-0000-0000-000057170000}"/>
    <cellStyle name="Moneda 2 2 2 2 8 4 2 2" xfId="16169" xr:uid="{00000000-0005-0000-0000-000058170000}"/>
    <cellStyle name="Moneda 2 2 2 2 8 4 3" xfId="16170" xr:uid="{00000000-0005-0000-0000-000059170000}"/>
    <cellStyle name="Moneda 2 2 2 2 8 5" xfId="15822" xr:uid="{00000000-0005-0000-0000-00005A170000}"/>
    <cellStyle name="Moneda 2 2 2 2 8 5 2" xfId="15829" xr:uid="{00000000-0005-0000-0000-00005B170000}"/>
    <cellStyle name="Moneda 2 2 2 2 8 6" xfId="15838" xr:uid="{00000000-0005-0000-0000-00005C170000}"/>
    <cellStyle name="Moneda 2 2 2 2 8 6 2" xfId="16171" xr:uid="{00000000-0005-0000-0000-00005D170000}"/>
    <cellStyle name="Moneda 2 2 2 2 8 7" xfId="3896" xr:uid="{00000000-0005-0000-0000-00005E170000}"/>
    <cellStyle name="Moneda 2 2 2 2 8 8" xfId="3905" xr:uid="{00000000-0005-0000-0000-00005F170000}"/>
    <cellStyle name="Moneda 2 2 2 2 9" xfId="16175" xr:uid="{00000000-0005-0000-0000-000060170000}"/>
    <cellStyle name="Moneda 2 2 2 2 9 2" xfId="16177" xr:uid="{00000000-0005-0000-0000-000061170000}"/>
    <cellStyle name="Moneda 2 2 2 2 9 2 2" xfId="16179" xr:uid="{00000000-0005-0000-0000-000062170000}"/>
    <cellStyle name="Moneda 2 2 2 2 9 2 2 2" xfId="16180" xr:uid="{00000000-0005-0000-0000-000063170000}"/>
    <cellStyle name="Moneda 2 2 2 2 9 2 3" xfId="16181" xr:uid="{00000000-0005-0000-0000-000064170000}"/>
    <cellStyle name="Moneda 2 2 2 2 9 2 4" xfId="304" xr:uid="{00000000-0005-0000-0000-000065170000}"/>
    <cellStyle name="Moneda 2 2 2 2 9 3" xfId="15843" xr:uid="{00000000-0005-0000-0000-000066170000}"/>
    <cellStyle name="Moneda 2 2 2 2 9 3 2" xfId="15846" xr:uid="{00000000-0005-0000-0000-000067170000}"/>
    <cellStyle name="Moneda 2 2 2 2 9 4" xfId="15851" xr:uid="{00000000-0005-0000-0000-000068170000}"/>
    <cellStyle name="Moneda 2 2 2 2 9 4 2" xfId="16188" xr:uid="{00000000-0005-0000-0000-000069170000}"/>
    <cellStyle name="Moneda 2 2 2 2 9 5" xfId="15861" xr:uid="{00000000-0005-0000-0000-00006A170000}"/>
    <cellStyle name="Moneda 2 2 2 2 9 6" xfId="16195" xr:uid="{00000000-0005-0000-0000-00006B170000}"/>
    <cellStyle name="Moneda 2 2 2 3" xfId="16201" xr:uid="{00000000-0005-0000-0000-00006C170000}"/>
    <cellStyle name="Moneda 2 2 2 3 10" xfId="11585" xr:uid="{00000000-0005-0000-0000-00006D170000}"/>
    <cellStyle name="Moneda 2 2 2 3 10 2" xfId="11590" xr:uid="{00000000-0005-0000-0000-00006E170000}"/>
    <cellStyle name="Moneda 2 2 2 3 11" xfId="1989" xr:uid="{00000000-0005-0000-0000-00006F170000}"/>
    <cellStyle name="Moneda 2 2 2 3 11 2" xfId="232" xr:uid="{00000000-0005-0000-0000-000070170000}"/>
    <cellStyle name="Moneda 2 2 2 3 12" xfId="1994" xr:uid="{00000000-0005-0000-0000-000071170000}"/>
    <cellStyle name="Moneda 2 2 2 3 12 2" xfId="11592" xr:uid="{00000000-0005-0000-0000-000072170000}"/>
    <cellStyle name="Moneda 2 2 2 3 13" xfId="4498" xr:uid="{00000000-0005-0000-0000-000073170000}"/>
    <cellStyle name="Moneda 2 2 2 3 14" xfId="4510" xr:uid="{00000000-0005-0000-0000-000074170000}"/>
    <cellStyle name="Moneda 2 2 2 3 2" xfId="16212" xr:uid="{00000000-0005-0000-0000-000075170000}"/>
    <cellStyle name="Moneda 2 2 2 3 2 10" xfId="16213" xr:uid="{00000000-0005-0000-0000-000076170000}"/>
    <cellStyle name="Moneda 2 2 2 3 2 2" xfId="16217" xr:uid="{00000000-0005-0000-0000-000077170000}"/>
    <cellStyle name="Moneda 2 2 2 3 2 2 2" xfId="6443" xr:uid="{00000000-0005-0000-0000-000078170000}"/>
    <cellStyle name="Moneda 2 2 2 3 2 2 2 2" xfId="6446" xr:uid="{00000000-0005-0000-0000-000079170000}"/>
    <cellStyle name="Moneda 2 2 2 3 2 2 2 2 2" xfId="6453" xr:uid="{00000000-0005-0000-0000-00007A170000}"/>
    <cellStyle name="Moneda 2 2 2 3 2 2 2 2 2 2" xfId="16218" xr:uid="{00000000-0005-0000-0000-00007B170000}"/>
    <cellStyle name="Moneda 2 2 2 3 2 2 2 2 2 2 2" xfId="16219" xr:uid="{00000000-0005-0000-0000-00007C170000}"/>
    <cellStyle name="Moneda 2 2 2 3 2 2 2 2 2 3" xfId="15889" xr:uid="{00000000-0005-0000-0000-00007D170000}"/>
    <cellStyle name="Moneda 2 2 2 3 2 2 2 2 3" xfId="16221" xr:uid="{00000000-0005-0000-0000-00007E170000}"/>
    <cellStyle name="Moneda 2 2 2 3 2 2 2 2 3 2" xfId="16223" xr:uid="{00000000-0005-0000-0000-00007F170000}"/>
    <cellStyle name="Moneda 2 2 2 3 2 2 2 2 4" xfId="16224" xr:uid="{00000000-0005-0000-0000-000080170000}"/>
    <cellStyle name="Moneda 2 2 2 3 2 2 2 3" xfId="6461" xr:uid="{00000000-0005-0000-0000-000081170000}"/>
    <cellStyle name="Moneda 2 2 2 3 2 2 2 3 2" xfId="16226" xr:uid="{00000000-0005-0000-0000-000082170000}"/>
    <cellStyle name="Moneda 2 2 2 3 2 2 2 3 2 2" xfId="16227" xr:uid="{00000000-0005-0000-0000-000083170000}"/>
    <cellStyle name="Moneda 2 2 2 3 2 2 2 3 3" xfId="16229" xr:uid="{00000000-0005-0000-0000-000084170000}"/>
    <cellStyle name="Moneda 2 2 2 3 2 2 2 4" xfId="16230" xr:uid="{00000000-0005-0000-0000-000085170000}"/>
    <cellStyle name="Moneda 2 2 2 3 2 2 2 4 2" xfId="16236" xr:uid="{00000000-0005-0000-0000-000086170000}"/>
    <cellStyle name="Moneda 2 2 2 3 2 2 2 4 2 2" xfId="88" xr:uid="{00000000-0005-0000-0000-000087170000}"/>
    <cellStyle name="Moneda 2 2 2 3 2 2 2 4 3" xfId="16240" xr:uid="{00000000-0005-0000-0000-000088170000}"/>
    <cellStyle name="Moneda 2 2 2 3 2 2 2 5" xfId="16241" xr:uid="{00000000-0005-0000-0000-000089170000}"/>
    <cellStyle name="Moneda 2 2 2 3 2 2 2 5 2" xfId="16246" xr:uid="{00000000-0005-0000-0000-00008A170000}"/>
    <cellStyle name="Moneda 2 2 2 3 2 2 2 6" xfId="16247" xr:uid="{00000000-0005-0000-0000-00008B170000}"/>
    <cellStyle name="Moneda 2 2 2 3 2 2 2 6 2" xfId="16251" xr:uid="{00000000-0005-0000-0000-00008C170000}"/>
    <cellStyle name="Moneda 2 2 2 3 2 2 2 7" xfId="16252" xr:uid="{00000000-0005-0000-0000-00008D170000}"/>
    <cellStyle name="Moneda 2 2 2 3 2 2 2 8" xfId="9411" xr:uid="{00000000-0005-0000-0000-00008E170000}"/>
    <cellStyle name="Moneda 2 2 2 3 2 2 3" xfId="6064" xr:uid="{00000000-0005-0000-0000-00008F170000}"/>
    <cellStyle name="Moneda 2 2 2 3 2 2 3 2" xfId="6468" xr:uid="{00000000-0005-0000-0000-000090170000}"/>
    <cellStyle name="Moneda 2 2 2 3 2 2 3 2 2" xfId="16253" xr:uid="{00000000-0005-0000-0000-000091170000}"/>
    <cellStyle name="Moneda 2 2 2 3 2 2 3 2 2 2" xfId="16254" xr:uid="{00000000-0005-0000-0000-000092170000}"/>
    <cellStyle name="Moneda 2 2 2 3 2 2 3 2 3" xfId="16257" xr:uid="{00000000-0005-0000-0000-000093170000}"/>
    <cellStyle name="Moneda 2 2 2 3 2 2 3 3" xfId="16262" xr:uid="{00000000-0005-0000-0000-000094170000}"/>
    <cellStyle name="Moneda 2 2 2 3 2 2 3 3 2" xfId="16264" xr:uid="{00000000-0005-0000-0000-000095170000}"/>
    <cellStyle name="Moneda 2 2 2 3 2 2 3 4" xfId="16266" xr:uid="{00000000-0005-0000-0000-000096170000}"/>
    <cellStyle name="Moneda 2 2 2 3 2 2 4" xfId="6485" xr:uid="{00000000-0005-0000-0000-000097170000}"/>
    <cellStyle name="Moneda 2 2 2 3 2 2 4 2" xfId="6499" xr:uid="{00000000-0005-0000-0000-000098170000}"/>
    <cellStyle name="Moneda 2 2 2 3 2 2 4 2 2" xfId="16279" xr:uid="{00000000-0005-0000-0000-000099170000}"/>
    <cellStyle name="Moneda 2 2 2 3 2 2 4 3" xfId="16284" xr:uid="{00000000-0005-0000-0000-00009A170000}"/>
    <cellStyle name="Moneda 2 2 2 3 2 2 5" xfId="16294" xr:uid="{00000000-0005-0000-0000-00009B170000}"/>
    <cellStyle name="Moneda 2 2 2 3 2 2 5 2" xfId="16298" xr:uid="{00000000-0005-0000-0000-00009C170000}"/>
    <cellStyle name="Moneda 2 2 2 3 2 2 5 2 2" xfId="4509" xr:uid="{00000000-0005-0000-0000-00009D170000}"/>
    <cellStyle name="Moneda 2 2 2 3 2 2 5 3" xfId="16304" xr:uid="{00000000-0005-0000-0000-00009E170000}"/>
    <cellStyle name="Moneda 2 2 2 3 2 2 6" xfId="3055" xr:uid="{00000000-0005-0000-0000-00009F170000}"/>
    <cellStyle name="Moneda 2 2 2 3 2 2 6 2" xfId="3071" xr:uid="{00000000-0005-0000-0000-0000A0170000}"/>
    <cellStyle name="Moneda 2 2 2 3 2 2 7" xfId="1579" xr:uid="{00000000-0005-0000-0000-0000A1170000}"/>
    <cellStyle name="Moneda 2 2 2 3 2 2 7 2" xfId="1593" xr:uid="{00000000-0005-0000-0000-0000A2170000}"/>
    <cellStyle name="Moneda 2 2 2 3 2 2 8" xfId="1623" xr:uid="{00000000-0005-0000-0000-0000A3170000}"/>
    <cellStyle name="Moneda 2 2 2 3 2 2 9" xfId="14979" xr:uid="{00000000-0005-0000-0000-0000A4170000}"/>
    <cellStyle name="Moneda 2 2 2 3 2 3" xfId="16305" xr:uid="{00000000-0005-0000-0000-0000A5170000}"/>
    <cellStyle name="Moneda 2 2 2 3 2 3 2" xfId="7699" xr:uid="{00000000-0005-0000-0000-0000A6170000}"/>
    <cellStyle name="Moneda 2 2 2 3 2 3 2 2" xfId="429" xr:uid="{00000000-0005-0000-0000-0000A7170000}"/>
    <cellStyle name="Moneda 2 2 2 3 2 3 2 2 2" xfId="631" xr:uid="{00000000-0005-0000-0000-0000A8170000}"/>
    <cellStyle name="Moneda 2 2 2 3 2 3 2 2 2 2" xfId="14011" xr:uid="{00000000-0005-0000-0000-0000A9170000}"/>
    <cellStyle name="Moneda 2 2 2 3 2 3 2 2 3" xfId="11665" xr:uid="{00000000-0005-0000-0000-0000AA170000}"/>
    <cellStyle name="Moneda 2 2 2 3 2 3 2 3" xfId="497" xr:uid="{00000000-0005-0000-0000-0000AB170000}"/>
    <cellStyle name="Moneda 2 2 2 3 2 3 2 3 2" xfId="14116" xr:uid="{00000000-0005-0000-0000-0000AC170000}"/>
    <cellStyle name="Moneda 2 2 2 3 2 3 2 4" xfId="16306" xr:uid="{00000000-0005-0000-0000-0000AD170000}"/>
    <cellStyle name="Moneda 2 2 2 3 2 3 3" xfId="7704" xr:uid="{00000000-0005-0000-0000-0000AE170000}"/>
    <cellStyle name="Moneda 2 2 2 3 2 3 3 2" xfId="7712" xr:uid="{00000000-0005-0000-0000-0000AF170000}"/>
    <cellStyle name="Moneda 2 2 2 3 2 3 3 2 2" xfId="14229" xr:uid="{00000000-0005-0000-0000-0000B0170000}"/>
    <cellStyle name="Moneda 2 2 2 3 2 3 3 3" xfId="16312" xr:uid="{00000000-0005-0000-0000-0000B1170000}"/>
    <cellStyle name="Moneda 2 2 2 3 2 3 4" xfId="7724" xr:uid="{00000000-0005-0000-0000-0000B2170000}"/>
    <cellStyle name="Moneda 2 2 2 3 2 3 4 2" xfId="7729" xr:uid="{00000000-0005-0000-0000-0000B3170000}"/>
    <cellStyle name="Moneda 2 2 2 3 2 3 4 2 2" xfId="14367" xr:uid="{00000000-0005-0000-0000-0000B4170000}"/>
    <cellStyle name="Moneda 2 2 2 3 2 3 4 3" xfId="16316" xr:uid="{00000000-0005-0000-0000-0000B5170000}"/>
    <cellStyle name="Moneda 2 2 2 3 2 3 5" xfId="16324" xr:uid="{00000000-0005-0000-0000-0000B6170000}"/>
    <cellStyle name="Moneda 2 2 2 3 2 3 5 2" xfId="16326" xr:uid="{00000000-0005-0000-0000-0000B7170000}"/>
    <cellStyle name="Moneda 2 2 2 3 2 3 6" xfId="3152" xr:uid="{00000000-0005-0000-0000-0000B8170000}"/>
    <cellStyle name="Moneda 2 2 2 3 2 3 6 2" xfId="1500" xr:uid="{00000000-0005-0000-0000-0000B9170000}"/>
    <cellStyle name="Moneda 2 2 2 3 2 3 7" xfId="1640" xr:uid="{00000000-0005-0000-0000-0000BA170000}"/>
    <cellStyle name="Moneda 2 2 2 3 2 3 8" xfId="14992" xr:uid="{00000000-0005-0000-0000-0000BB170000}"/>
    <cellStyle name="Moneda 2 2 2 3 2 4" xfId="16327" xr:uid="{00000000-0005-0000-0000-0000BC170000}"/>
    <cellStyle name="Moneda 2 2 2 3 2 4 2" xfId="8493" xr:uid="{00000000-0005-0000-0000-0000BD170000}"/>
    <cellStyle name="Moneda 2 2 2 3 2 4 2 2" xfId="8499" xr:uid="{00000000-0005-0000-0000-0000BE170000}"/>
    <cellStyle name="Moneda 2 2 2 3 2 4 2 2 2" xfId="8507" xr:uid="{00000000-0005-0000-0000-0000BF170000}"/>
    <cellStyle name="Moneda 2 2 2 3 2 4 2 3" xfId="3135" xr:uid="{00000000-0005-0000-0000-0000C0170000}"/>
    <cellStyle name="Moneda 2 2 2 3 2 4 3" xfId="8513" xr:uid="{00000000-0005-0000-0000-0000C1170000}"/>
    <cellStyle name="Moneda 2 2 2 3 2 4 3 2" xfId="7880" xr:uid="{00000000-0005-0000-0000-0000C2170000}"/>
    <cellStyle name="Moneda 2 2 2 3 2 4 4" xfId="8520" xr:uid="{00000000-0005-0000-0000-0000C3170000}"/>
    <cellStyle name="Moneda 2 2 2 3 2 5" xfId="16328" xr:uid="{00000000-0005-0000-0000-0000C4170000}"/>
    <cellStyle name="Moneda 2 2 2 3 2 5 2" xfId="9066" xr:uid="{00000000-0005-0000-0000-0000C5170000}"/>
    <cellStyle name="Moneda 2 2 2 3 2 5 2 2" xfId="9068" xr:uid="{00000000-0005-0000-0000-0000C6170000}"/>
    <cellStyle name="Moneda 2 2 2 3 2 5 3" xfId="9083" xr:uid="{00000000-0005-0000-0000-0000C7170000}"/>
    <cellStyle name="Moneda 2 2 2 3 2 6" xfId="5137" xr:uid="{00000000-0005-0000-0000-0000C8170000}"/>
    <cellStyle name="Moneda 2 2 2 3 2 6 2" xfId="5153" xr:uid="{00000000-0005-0000-0000-0000C9170000}"/>
    <cellStyle name="Moneda 2 2 2 3 2 6 2 2" xfId="13287" xr:uid="{00000000-0005-0000-0000-0000CA170000}"/>
    <cellStyle name="Moneda 2 2 2 3 2 6 3" xfId="13570" xr:uid="{00000000-0005-0000-0000-0000CB170000}"/>
    <cellStyle name="Moneda 2 2 2 3 2 7" xfId="5159" xr:uid="{00000000-0005-0000-0000-0000CC170000}"/>
    <cellStyle name="Moneda 2 2 2 3 2 7 2" xfId="16331" xr:uid="{00000000-0005-0000-0000-0000CD170000}"/>
    <cellStyle name="Moneda 2 2 2 3 2 8" xfId="16333" xr:uid="{00000000-0005-0000-0000-0000CE170000}"/>
    <cellStyle name="Moneda 2 2 2 3 2 8 2" xfId="16336" xr:uid="{00000000-0005-0000-0000-0000CF170000}"/>
    <cellStyle name="Moneda 2 2 2 3 2 9" xfId="12154" xr:uid="{00000000-0005-0000-0000-0000D0170000}"/>
    <cellStyle name="Moneda 2 2 2 3 3" xfId="10642" xr:uid="{00000000-0005-0000-0000-0000D1170000}"/>
    <cellStyle name="Moneda 2 2 2 3 3 2" xfId="16337" xr:uid="{00000000-0005-0000-0000-0000D2170000}"/>
    <cellStyle name="Moneda 2 2 2 3 3 2 2" xfId="3832" xr:uid="{00000000-0005-0000-0000-0000D3170000}"/>
    <cellStyle name="Moneda 2 2 2 3 3 2 2 2" xfId="12707" xr:uid="{00000000-0005-0000-0000-0000D4170000}"/>
    <cellStyle name="Moneda 2 2 2 3 3 2 2 2 2" xfId="16338" xr:uid="{00000000-0005-0000-0000-0000D5170000}"/>
    <cellStyle name="Moneda 2 2 2 3 3 2 2 2 2 2" xfId="15535" xr:uid="{00000000-0005-0000-0000-0000D6170000}"/>
    <cellStyle name="Moneda 2 2 2 3 3 2 2 2 3" xfId="16340" xr:uid="{00000000-0005-0000-0000-0000D7170000}"/>
    <cellStyle name="Moneda 2 2 2 3 3 2 2 3" xfId="16342" xr:uid="{00000000-0005-0000-0000-0000D8170000}"/>
    <cellStyle name="Moneda 2 2 2 3 3 2 2 3 2" xfId="12849" xr:uid="{00000000-0005-0000-0000-0000D9170000}"/>
    <cellStyle name="Moneda 2 2 2 3 3 2 2 4" xfId="16348" xr:uid="{00000000-0005-0000-0000-0000DA170000}"/>
    <cellStyle name="Moneda 2 2 2 3 3 2 2 5" xfId="13220" xr:uid="{00000000-0005-0000-0000-0000DB170000}"/>
    <cellStyle name="Moneda 2 2 2 3 3 2 3" xfId="12714" xr:uid="{00000000-0005-0000-0000-0000DC170000}"/>
    <cellStyle name="Moneda 2 2 2 3 3 2 3 2" xfId="12930" xr:uid="{00000000-0005-0000-0000-0000DD170000}"/>
    <cellStyle name="Moneda 2 2 2 3 3 2 3 2 2" xfId="16353" xr:uid="{00000000-0005-0000-0000-0000DE170000}"/>
    <cellStyle name="Moneda 2 2 2 3 3 2 3 3" xfId="16356" xr:uid="{00000000-0005-0000-0000-0000DF170000}"/>
    <cellStyle name="Moneda 2 2 2 3 3 2 4" xfId="7798" xr:uid="{00000000-0005-0000-0000-0000E0170000}"/>
    <cellStyle name="Moneda 2 2 2 3 3 2 4 2" xfId="10672" xr:uid="{00000000-0005-0000-0000-0000E1170000}"/>
    <cellStyle name="Moneda 2 2 2 3 3 2 4 2 2" xfId="16362" xr:uid="{00000000-0005-0000-0000-0000E2170000}"/>
    <cellStyle name="Moneda 2 2 2 3 3 2 4 3" xfId="16364" xr:uid="{00000000-0005-0000-0000-0000E3170000}"/>
    <cellStyle name="Moneda 2 2 2 3 3 2 5" xfId="16373" xr:uid="{00000000-0005-0000-0000-0000E4170000}"/>
    <cellStyle name="Moneda 2 2 2 3 3 2 5 2" xfId="16374" xr:uid="{00000000-0005-0000-0000-0000E5170000}"/>
    <cellStyle name="Moneda 2 2 2 3 3 2 6" xfId="3388" xr:uid="{00000000-0005-0000-0000-0000E6170000}"/>
    <cellStyle name="Moneda 2 2 2 3 3 2 6 2" xfId="3405" xr:uid="{00000000-0005-0000-0000-0000E7170000}"/>
    <cellStyle name="Moneda 2 2 2 3 3 2 7" xfId="26" xr:uid="{00000000-0005-0000-0000-0000E8170000}"/>
    <cellStyle name="Moneda 2 2 2 3 3 2 8" xfId="10928" xr:uid="{00000000-0005-0000-0000-0000E9170000}"/>
    <cellStyle name="Moneda 2 2 2 3 3 3" xfId="16375" xr:uid="{00000000-0005-0000-0000-0000EA170000}"/>
    <cellStyle name="Moneda 2 2 2 3 3 3 2" xfId="12728" xr:uid="{00000000-0005-0000-0000-0000EB170000}"/>
    <cellStyle name="Moneda 2 2 2 3 3 3 2 2" xfId="12731" xr:uid="{00000000-0005-0000-0000-0000EC170000}"/>
    <cellStyle name="Moneda 2 2 2 3 3 3 2 2 2" xfId="15210" xr:uid="{00000000-0005-0000-0000-0000ED170000}"/>
    <cellStyle name="Moneda 2 2 2 3 3 3 2 3" xfId="16376" xr:uid="{00000000-0005-0000-0000-0000EE170000}"/>
    <cellStyle name="Moneda 2 2 2 3 3 3 3" xfId="12738" xr:uid="{00000000-0005-0000-0000-0000EF170000}"/>
    <cellStyle name="Moneda 2 2 2 3 3 3 3 2" xfId="12936" xr:uid="{00000000-0005-0000-0000-0000F0170000}"/>
    <cellStyle name="Moneda 2 2 2 3 3 3 4" xfId="12747" xr:uid="{00000000-0005-0000-0000-0000F1170000}"/>
    <cellStyle name="Moneda 2 2 2 3 3 3 5" xfId="16381" xr:uid="{00000000-0005-0000-0000-0000F2170000}"/>
    <cellStyle name="Moneda 2 2 2 3 3 4" xfId="16382" xr:uid="{00000000-0005-0000-0000-0000F3170000}"/>
    <cellStyle name="Moneda 2 2 2 3 3 4 2" xfId="12762" xr:uid="{00000000-0005-0000-0000-0000F4170000}"/>
    <cellStyle name="Moneda 2 2 2 3 3 4 2 2" xfId="12765" xr:uid="{00000000-0005-0000-0000-0000F5170000}"/>
    <cellStyle name="Moneda 2 2 2 3 3 4 3" xfId="12771" xr:uid="{00000000-0005-0000-0000-0000F6170000}"/>
    <cellStyle name="Moneda 2 2 2 3 3 5" xfId="15646" xr:uid="{00000000-0005-0000-0000-0000F7170000}"/>
    <cellStyle name="Moneda 2 2 2 3 3 5 2" xfId="12791" xr:uid="{00000000-0005-0000-0000-0000F8170000}"/>
    <cellStyle name="Moneda 2 2 2 3 3 5 2 2" xfId="12796" xr:uid="{00000000-0005-0000-0000-0000F9170000}"/>
    <cellStyle name="Moneda 2 2 2 3 3 5 3" xfId="12804" xr:uid="{00000000-0005-0000-0000-0000FA170000}"/>
    <cellStyle name="Moneda 2 2 2 3 3 6" xfId="5179" xr:uid="{00000000-0005-0000-0000-0000FB170000}"/>
    <cellStyle name="Moneda 2 2 2 3 3 6 2" xfId="12820" xr:uid="{00000000-0005-0000-0000-0000FC170000}"/>
    <cellStyle name="Moneda 2 2 2 3 3 7" xfId="16386" xr:uid="{00000000-0005-0000-0000-0000FD170000}"/>
    <cellStyle name="Moneda 2 2 2 3 3 7 2" xfId="12865" xr:uid="{00000000-0005-0000-0000-0000FE170000}"/>
    <cellStyle name="Moneda 2 2 2 3 3 8" xfId="16389" xr:uid="{00000000-0005-0000-0000-0000FF170000}"/>
    <cellStyle name="Moneda 2 2 2 3 3 9" xfId="16392" xr:uid="{00000000-0005-0000-0000-000000180000}"/>
    <cellStyle name="Moneda 2 2 2 3 4" xfId="16395" xr:uid="{00000000-0005-0000-0000-000001180000}"/>
    <cellStyle name="Moneda 2 2 2 3 4 2" xfId="16396" xr:uid="{00000000-0005-0000-0000-000002180000}"/>
    <cellStyle name="Moneda 2 2 2 3 4 2 2" xfId="16397" xr:uid="{00000000-0005-0000-0000-000003180000}"/>
    <cellStyle name="Moneda 2 2 2 3 4 2 2 2" xfId="16398" xr:uid="{00000000-0005-0000-0000-000004180000}"/>
    <cellStyle name="Moneda 2 2 2 3 4 2 2 2 2" xfId="16400" xr:uid="{00000000-0005-0000-0000-000005180000}"/>
    <cellStyle name="Moneda 2 2 2 3 4 2 2 2 2 2" xfId="9606" xr:uid="{00000000-0005-0000-0000-000006180000}"/>
    <cellStyle name="Moneda 2 2 2 3 4 2 2 2 3" xfId="16403" xr:uid="{00000000-0005-0000-0000-000007180000}"/>
    <cellStyle name="Moneda 2 2 2 3 4 2 2 3" xfId="16405" xr:uid="{00000000-0005-0000-0000-000008180000}"/>
    <cellStyle name="Moneda 2 2 2 3 4 2 2 3 2" xfId="16407" xr:uid="{00000000-0005-0000-0000-000009180000}"/>
    <cellStyle name="Moneda 2 2 2 3 4 2 2 4" xfId="16408" xr:uid="{00000000-0005-0000-0000-00000A180000}"/>
    <cellStyle name="Moneda 2 2 2 3 4 2 3" xfId="12582" xr:uid="{00000000-0005-0000-0000-00000B180000}"/>
    <cellStyle name="Moneda 2 2 2 3 4 2 3 2" xfId="16414" xr:uid="{00000000-0005-0000-0000-00000C180000}"/>
    <cellStyle name="Moneda 2 2 2 3 4 2 3 2 2" xfId="16415" xr:uid="{00000000-0005-0000-0000-00000D180000}"/>
    <cellStyle name="Moneda 2 2 2 3 4 2 3 3" xfId="16417" xr:uid="{00000000-0005-0000-0000-00000E180000}"/>
    <cellStyle name="Moneda 2 2 2 3 4 2 4" xfId="16420" xr:uid="{00000000-0005-0000-0000-00000F180000}"/>
    <cellStyle name="Moneda 2 2 2 3 4 2 4 2" xfId="11178" xr:uid="{00000000-0005-0000-0000-000010180000}"/>
    <cellStyle name="Moneda 2 2 2 3 4 2 4 2 2" xfId="16421" xr:uid="{00000000-0005-0000-0000-000011180000}"/>
    <cellStyle name="Moneda 2 2 2 3 4 2 4 3" xfId="16422" xr:uid="{00000000-0005-0000-0000-000012180000}"/>
    <cellStyle name="Moneda 2 2 2 3 4 2 5" xfId="10168" xr:uid="{00000000-0005-0000-0000-000013180000}"/>
    <cellStyle name="Moneda 2 2 2 3 4 2 5 2" xfId="10171" xr:uid="{00000000-0005-0000-0000-000014180000}"/>
    <cellStyle name="Moneda 2 2 2 3 4 2 6" xfId="3541" xr:uid="{00000000-0005-0000-0000-000015180000}"/>
    <cellStyle name="Moneda 2 2 2 3 4 2 6 2" xfId="10200" xr:uid="{00000000-0005-0000-0000-000016180000}"/>
    <cellStyle name="Moneda 2 2 2 3 4 2 7" xfId="10212" xr:uid="{00000000-0005-0000-0000-000017180000}"/>
    <cellStyle name="Moneda 2 2 2 3 4 2 8" xfId="10233" xr:uid="{00000000-0005-0000-0000-000018180000}"/>
    <cellStyle name="Moneda 2 2 2 3 4 3" xfId="16423" xr:uid="{00000000-0005-0000-0000-000019180000}"/>
    <cellStyle name="Moneda 2 2 2 3 4 3 2" xfId="16424" xr:uid="{00000000-0005-0000-0000-00001A180000}"/>
    <cellStyle name="Moneda 2 2 2 3 4 3 2 2" xfId="13649" xr:uid="{00000000-0005-0000-0000-00001B180000}"/>
    <cellStyle name="Moneda 2 2 2 3 4 3 2 2 2" xfId="15715" xr:uid="{00000000-0005-0000-0000-00001C180000}"/>
    <cellStyle name="Moneda 2 2 2 3 4 3 2 3" xfId="13653" xr:uid="{00000000-0005-0000-0000-00001D180000}"/>
    <cellStyle name="Moneda 2 2 2 3 4 3 3" xfId="16426" xr:uid="{00000000-0005-0000-0000-00001E180000}"/>
    <cellStyle name="Moneda 2 2 2 3 4 3 3 2" xfId="16427" xr:uid="{00000000-0005-0000-0000-00001F180000}"/>
    <cellStyle name="Moneda 2 2 2 3 4 3 4" xfId="16430" xr:uid="{00000000-0005-0000-0000-000020180000}"/>
    <cellStyle name="Moneda 2 2 2 3 4 4" xfId="16432" xr:uid="{00000000-0005-0000-0000-000021180000}"/>
    <cellStyle name="Moneda 2 2 2 3 4 4 2" xfId="16434" xr:uid="{00000000-0005-0000-0000-000022180000}"/>
    <cellStyle name="Moneda 2 2 2 3 4 4 2 2" xfId="13969" xr:uid="{00000000-0005-0000-0000-000023180000}"/>
    <cellStyle name="Moneda 2 2 2 3 4 4 3" xfId="16435" xr:uid="{00000000-0005-0000-0000-000024180000}"/>
    <cellStyle name="Moneda 2 2 2 3 4 5" xfId="2918" xr:uid="{00000000-0005-0000-0000-000025180000}"/>
    <cellStyle name="Moneda 2 2 2 3 4 5 2" xfId="16436" xr:uid="{00000000-0005-0000-0000-000026180000}"/>
    <cellStyle name="Moneda 2 2 2 3 4 5 2 2" xfId="14075" xr:uid="{00000000-0005-0000-0000-000027180000}"/>
    <cellStyle name="Moneda 2 2 2 3 4 5 3" xfId="16437" xr:uid="{00000000-0005-0000-0000-000028180000}"/>
    <cellStyle name="Moneda 2 2 2 3 4 6" xfId="2942" xr:uid="{00000000-0005-0000-0000-000029180000}"/>
    <cellStyle name="Moneda 2 2 2 3 4 6 2" xfId="16438" xr:uid="{00000000-0005-0000-0000-00002A180000}"/>
    <cellStyle name="Moneda 2 2 2 3 4 7" xfId="16440" xr:uid="{00000000-0005-0000-0000-00002B180000}"/>
    <cellStyle name="Moneda 2 2 2 3 4 7 2" xfId="16448" xr:uid="{00000000-0005-0000-0000-00002C180000}"/>
    <cellStyle name="Moneda 2 2 2 3 4 8" xfId="16450" xr:uid="{00000000-0005-0000-0000-00002D180000}"/>
    <cellStyle name="Moneda 2 2 2 3 4 9" xfId="16451" xr:uid="{00000000-0005-0000-0000-00002E180000}"/>
    <cellStyle name="Moneda 2 2 2 3 5" xfId="6053" xr:uid="{00000000-0005-0000-0000-00002F180000}"/>
    <cellStyle name="Moneda 2 2 2 3 5 2" xfId="6074" xr:uid="{00000000-0005-0000-0000-000030180000}"/>
    <cellStyle name="Moneda 2 2 2 3 5 2 2" xfId="16452" xr:uid="{00000000-0005-0000-0000-000031180000}"/>
    <cellStyle name="Moneda 2 2 2 3 5 2 2 2" xfId="16453" xr:uid="{00000000-0005-0000-0000-000032180000}"/>
    <cellStyle name="Moneda 2 2 2 3 5 2 2 2 2" xfId="16454" xr:uid="{00000000-0005-0000-0000-000033180000}"/>
    <cellStyle name="Moneda 2 2 2 3 5 2 2 2 2 2" xfId="10403" xr:uid="{00000000-0005-0000-0000-000034180000}"/>
    <cellStyle name="Moneda 2 2 2 3 5 2 2 2 3" xfId="16458" xr:uid="{00000000-0005-0000-0000-000035180000}"/>
    <cellStyle name="Moneda 2 2 2 3 5 2 2 3" xfId="16459" xr:uid="{00000000-0005-0000-0000-000036180000}"/>
    <cellStyle name="Moneda 2 2 2 3 5 2 2 3 2" xfId="16460" xr:uid="{00000000-0005-0000-0000-000037180000}"/>
    <cellStyle name="Moneda 2 2 2 3 5 2 2 4" xfId="16461" xr:uid="{00000000-0005-0000-0000-000038180000}"/>
    <cellStyle name="Moneda 2 2 2 3 5 2 3" xfId="16467" xr:uid="{00000000-0005-0000-0000-000039180000}"/>
    <cellStyle name="Moneda 2 2 2 3 5 2 3 2" xfId="16468" xr:uid="{00000000-0005-0000-0000-00003A180000}"/>
    <cellStyle name="Moneda 2 2 2 3 5 2 3 2 2" xfId="16469" xr:uid="{00000000-0005-0000-0000-00003B180000}"/>
    <cellStyle name="Moneda 2 2 2 3 5 2 3 3" xfId="16471" xr:uid="{00000000-0005-0000-0000-00003C180000}"/>
    <cellStyle name="Moneda 2 2 2 3 5 2 4" xfId="16472" xr:uid="{00000000-0005-0000-0000-00003D180000}"/>
    <cellStyle name="Moneda 2 2 2 3 5 2 4 2" xfId="9227" xr:uid="{00000000-0005-0000-0000-00003E180000}"/>
    <cellStyle name="Moneda 2 2 2 3 5 2 4 2 2" xfId="16474" xr:uid="{00000000-0005-0000-0000-00003F180000}"/>
    <cellStyle name="Moneda 2 2 2 3 5 2 4 3" xfId="16479" xr:uid="{00000000-0005-0000-0000-000040180000}"/>
    <cellStyle name="Moneda 2 2 2 3 5 2 5" xfId="10245" xr:uid="{00000000-0005-0000-0000-000041180000}"/>
    <cellStyle name="Moneda 2 2 2 3 5 2 5 2" xfId="9281" xr:uid="{00000000-0005-0000-0000-000042180000}"/>
    <cellStyle name="Moneda 2 2 2 3 5 2 6" xfId="10251" xr:uid="{00000000-0005-0000-0000-000043180000}"/>
    <cellStyle name="Moneda 2 2 2 3 5 2 6 2" xfId="10253" xr:uid="{00000000-0005-0000-0000-000044180000}"/>
    <cellStyle name="Moneda 2 2 2 3 5 2 7" xfId="10255" xr:uid="{00000000-0005-0000-0000-000045180000}"/>
    <cellStyle name="Moneda 2 2 2 3 5 2 8" xfId="11014" xr:uid="{00000000-0005-0000-0000-000046180000}"/>
    <cellStyle name="Moneda 2 2 2 3 5 3" xfId="16480" xr:uid="{00000000-0005-0000-0000-000047180000}"/>
    <cellStyle name="Moneda 2 2 2 3 5 3 2" xfId="16481" xr:uid="{00000000-0005-0000-0000-000048180000}"/>
    <cellStyle name="Moneda 2 2 2 3 5 3 2 2" xfId="16482" xr:uid="{00000000-0005-0000-0000-000049180000}"/>
    <cellStyle name="Moneda 2 2 2 3 5 3 2 2 2" xfId="16483" xr:uid="{00000000-0005-0000-0000-00004A180000}"/>
    <cellStyle name="Moneda 2 2 2 3 5 3 2 3" xfId="16485" xr:uid="{00000000-0005-0000-0000-00004B180000}"/>
    <cellStyle name="Moneda 2 2 2 3 5 3 3" xfId="16486" xr:uid="{00000000-0005-0000-0000-00004C180000}"/>
    <cellStyle name="Moneda 2 2 2 3 5 3 3 2" xfId="16487" xr:uid="{00000000-0005-0000-0000-00004D180000}"/>
    <cellStyle name="Moneda 2 2 2 3 5 3 4" xfId="16489" xr:uid="{00000000-0005-0000-0000-00004E180000}"/>
    <cellStyle name="Moneda 2 2 2 3 5 4" xfId="7444" xr:uid="{00000000-0005-0000-0000-00004F180000}"/>
    <cellStyle name="Moneda 2 2 2 3 5 4 2" xfId="9873" xr:uid="{00000000-0005-0000-0000-000050180000}"/>
    <cellStyle name="Moneda 2 2 2 3 5 4 2 2" xfId="9877" xr:uid="{00000000-0005-0000-0000-000051180000}"/>
    <cellStyle name="Moneda 2 2 2 3 5 4 3" xfId="16490" xr:uid="{00000000-0005-0000-0000-000052180000}"/>
    <cellStyle name="Moneda 2 2 2 3 5 5" xfId="16491" xr:uid="{00000000-0005-0000-0000-000053180000}"/>
    <cellStyle name="Moneda 2 2 2 3 5 5 2" xfId="16492" xr:uid="{00000000-0005-0000-0000-000054180000}"/>
    <cellStyle name="Moneda 2 2 2 3 5 5 2 2" xfId="14271" xr:uid="{00000000-0005-0000-0000-000055180000}"/>
    <cellStyle name="Moneda 2 2 2 3 5 5 3" xfId="16493" xr:uid="{00000000-0005-0000-0000-000056180000}"/>
    <cellStyle name="Moneda 2 2 2 3 5 6" xfId="16494" xr:uid="{00000000-0005-0000-0000-000057180000}"/>
    <cellStyle name="Moneda 2 2 2 3 5 6 2" xfId="16496" xr:uid="{00000000-0005-0000-0000-000058180000}"/>
    <cellStyle name="Moneda 2 2 2 3 5 7" xfId="16498" xr:uid="{00000000-0005-0000-0000-000059180000}"/>
    <cellStyle name="Moneda 2 2 2 3 5 7 2" xfId="16501" xr:uid="{00000000-0005-0000-0000-00005A180000}"/>
    <cellStyle name="Moneda 2 2 2 3 5 8" xfId="16502" xr:uid="{00000000-0005-0000-0000-00005B180000}"/>
    <cellStyle name="Moneda 2 2 2 3 5 9" xfId="16503" xr:uid="{00000000-0005-0000-0000-00005C180000}"/>
    <cellStyle name="Moneda 2 2 2 3 6" xfId="3888" xr:uid="{00000000-0005-0000-0000-00005D180000}"/>
    <cellStyle name="Moneda 2 2 2 3 6 2" xfId="16504" xr:uid="{00000000-0005-0000-0000-00005E180000}"/>
    <cellStyle name="Moneda 2 2 2 3 6 2 2" xfId="16505" xr:uid="{00000000-0005-0000-0000-00005F180000}"/>
    <cellStyle name="Moneda 2 2 2 3 6 2 2 2" xfId="15102" xr:uid="{00000000-0005-0000-0000-000060180000}"/>
    <cellStyle name="Moneda 2 2 2 3 6 2 2 2 2" xfId="15104" xr:uid="{00000000-0005-0000-0000-000061180000}"/>
    <cellStyle name="Moneda 2 2 2 3 6 2 2 3" xfId="15111" xr:uid="{00000000-0005-0000-0000-000062180000}"/>
    <cellStyle name="Moneda 2 2 2 3 6 2 3" xfId="16506" xr:uid="{00000000-0005-0000-0000-000063180000}"/>
    <cellStyle name="Moneda 2 2 2 3 6 2 3 2" xfId="15141" xr:uid="{00000000-0005-0000-0000-000064180000}"/>
    <cellStyle name="Moneda 2 2 2 3 6 2 4" xfId="16507" xr:uid="{00000000-0005-0000-0000-000065180000}"/>
    <cellStyle name="Moneda 2 2 2 3 6 2 5" xfId="10267" xr:uid="{00000000-0005-0000-0000-000066180000}"/>
    <cellStyle name="Moneda 2 2 2 3 6 3" xfId="16508" xr:uid="{00000000-0005-0000-0000-000067180000}"/>
    <cellStyle name="Moneda 2 2 2 3 6 3 2" xfId="16509" xr:uid="{00000000-0005-0000-0000-000068180000}"/>
    <cellStyle name="Moneda 2 2 2 3 6 3 2 2" xfId="15648" xr:uid="{00000000-0005-0000-0000-000069180000}"/>
    <cellStyle name="Moneda 2 2 2 3 6 3 3" xfId="16510" xr:uid="{00000000-0005-0000-0000-00006A180000}"/>
    <cellStyle name="Moneda 2 2 2 3 6 4" xfId="12198" xr:uid="{00000000-0005-0000-0000-00006B180000}"/>
    <cellStyle name="Moneda 2 2 2 3 6 4 2" xfId="2294" xr:uid="{00000000-0005-0000-0000-00006C180000}"/>
    <cellStyle name="Moneda 2 2 2 3 6 4 2 2" xfId="2319" xr:uid="{00000000-0005-0000-0000-00006D180000}"/>
    <cellStyle name="Moneda 2 2 2 3 6 4 3" xfId="2858" xr:uid="{00000000-0005-0000-0000-00006E180000}"/>
    <cellStyle name="Moneda 2 2 2 3 6 5" xfId="16511" xr:uid="{00000000-0005-0000-0000-00006F180000}"/>
    <cellStyle name="Moneda 2 2 2 3 6 5 2" xfId="1509" xr:uid="{00000000-0005-0000-0000-000070180000}"/>
    <cellStyle name="Moneda 2 2 2 3 6 6" xfId="16515" xr:uid="{00000000-0005-0000-0000-000071180000}"/>
    <cellStyle name="Moneda 2 2 2 3 6 6 2" xfId="2115" xr:uid="{00000000-0005-0000-0000-000072180000}"/>
    <cellStyle name="Moneda 2 2 2 3 6 7" xfId="16517" xr:uid="{00000000-0005-0000-0000-000073180000}"/>
    <cellStyle name="Moneda 2 2 2 3 6 8" xfId="16518" xr:uid="{00000000-0005-0000-0000-000074180000}"/>
    <cellStyle name="Moneda 2 2 2 3 7" xfId="16519" xr:uid="{00000000-0005-0000-0000-000075180000}"/>
    <cellStyle name="Moneda 2 2 2 3 7 2" xfId="13682" xr:uid="{00000000-0005-0000-0000-000076180000}"/>
    <cellStyle name="Moneda 2 2 2 3 7 2 2" xfId="7871" xr:uid="{00000000-0005-0000-0000-000077180000}"/>
    <cellStyle name="Moneda 2 2 2 3 7 2 2 2" xfId="16520" xr:uid="{00000000-0005-0000-0000-000078180000}"/>
    <cellStyle name="Moneda 2 2 2 3 7 2 3" xfId="16527" xr:uid="{00000000-0005-0000-0000-000079180000}"/>
    <cellStyle name="Moneda 2 2 2 3 7 3" xfId="13684" xr:uid="{00000000-0005-0000-0000-00007A180000}"/>
    <cellStyle name="Moneda 2 2 2 3 7 3 2" xfId="16530" xr:uid="{00000000-0005-0000-0000-00007B180000}"/>
    <cellStyle name="Moneda 2 2 2 3 7 4" xfId="13686" xr:uid="{00000000-0005-0000-0000-00007C180000}"/>
    <cellStyle name="Moneda 2 2 2 3 7 5" xfId="16531" xr:uid="{00000000-0005-0000-0000-00007D180000}"/>
    <cellStyle name="Moneda 2 2 2 3 8" xfId="16534" xr:uid="{00000000-0005-0000-0000-00007E180000}"/>
    <cellStyle name="Moneda 2 2 2 3 8 2" xfId="13735" xr:uid="{00000000-0005-0000-0000-00007F180000}"/>
    <cellStyle name="Moneda 2 2 2 3 8 2 2" xfId="16536" xr:uid="{00000000-0005-0000-0000-000080180000}"/>
    <cellStyle name="Moneda 2 2 2 3 8 3" xfId="13739" xr:uid="{00000000-0005-0000-0000-000081180000}"/>
    <cellStyle name="Moneda 2 2 2 3 9" xfId="16537" xr:uid="{00000000-0005-0000-0000-000082180000}"/>
    <cellStyle name="Moneda 2 2 2 3 9 2" xfId="16539" xr:uid="{00000000-0005-0000-0000-000083180000}"/>
    <cellStyle name="Moneda 2 2 2 3 9 2 2" xfId="16540" xr:uid="{00000000-0005-0000-0000-000084180000}"/>
    <cellStyle name="Moneda 2 2 2 3 9 3" xfId="15886" xr:uid="{00000000-0005-0000-0000-000085180000}"/>
    <cellStyle name="Moneda 2 2 2 4" xfId="5118" xr:uid="{00000000-0005-0000-0000-000086180000}"/>
    <cellStyle name="Moneda 2 2 2 4 10" xfId="13335" xr:uid="{00000000-0005-0000-0000-000087180000}"/>
    <cellStyle name="Moneda 2 2 2 4 11" xfId="13368" xr:uid="{00000000-0005-0000-0000-000088180000}"/>
    <cellStyle name="Moneda 2 2 2 4 2" xfId="16541" xr:uid="{00000000-0005-0000-0000-000089180000}"/>
    <cellStyle name="Moneda 2 2 2 4 2 2" xfId="16542" xr:uid="{00000000-0005-0000-0000-00008A180000}"/>
    <cellStyle name="Moneda 2 2 2 4 2 2 2" xfId="1867" xr:uid="{00000000-0005-0000-0000-00008B180000}"/>
    <cellStyle name="Moneda 2 2 2 4 2 2 2 2" xfId="1890" xr:uid="{00000000-0005-0000-0000-00008C180000}"/>
    <cellStyle name="Moneda 2 2 2 4 2 2 2 2 2" xfId="1909" xr:uid="{00000000-0005-0000-0000-00008D180000}"/>
    <cellStyle name="Moneda 2 2 2 4 2 2 2 2 2 2" xfId="1920" xr:uid="{00000000-0005-0000-0000-00008E180000}"/>
    <cellStyle name="Moneda 2 2 2 4 2 2 2 2 3" xfId="1937" xr:uid="{00000000-0005-0000-0000-00008F180000}"/>
    <cellStyle name="Moneda 2 2 2 4 2 2 2 3" xfId="330" xr:uid="{00000000-0005-0000-0000-000090180000}"/>
    <cellStyle name="Moneda 2 2 2 4 2 2 2 3 2" xfId="1959" xr:uid="{00000000-0005-0000-0000-000091180000}"/>
    <cellStyle name="Moneda 2 2 2 4 2 2 2 4" xfId="373" xr:uid="{00000000-0005-0000-0000-000092180000}"/>
    <cellStyle name="Moneda 2 2 2 4 2 2 2 5" xfId="4298" xr:uid="{00000000-0005-0000-0000-000093180000}"/>
    <cellStyle name="Moneda 2 2 2 4 2 2 3" xfId="1970" xr:uid="{00000000-0005-0000-0000-000094180000}"/>
    <cellStyle name="Moneda 2 2 2 4 2 2 3 2" xfId="4396" xr:uid="{00000000-0005-0000-0000-000095180000}"/>
    <cellStyle name="Moneda 2 2 2 4 2 2 3 2 2" xfId="222" xr:uid="{00000000-0005-0000-0000-000096180000}"/>
    <cellStyle name="Moneda 2 2 2 4 2 2 3 3" xfId="4384" xr:uid="{00000000-0005-0000-0000-000097180000}"/>
    <cellStyle name="Moneda 2 2 2 4 2 2 4" xfId="11398" xr:uid="{00000000-0005-0000-0000-000098180000}"/>
    <cellStyle name="Moneda 2 2 2 4 2 2 4 2" xfId="2016" xr:uid="{00000000-0005-0000-0000-000099180000}"/>
    <cellStyle name="Moneda 2 2 2 4 2 2 4 2 2" xfId="2038" xr:uid="{00000000-0005-0000-0000-00009A180000}"/>
    <cellStyle name="Moneda 2 2 2 4 2 2 4 3" xfId="218" xr:uid="{00000000-0005-0000-0000-00009B180000}"/>
    <cellStyle name="Moneda 2 2 2 4 2 2 5" xfId="11402" xr:uid="{00000000-0005-0000-0000-00009C180000}"/>
    <cellStyle name="Moneda 2 2 2 4 2 2 5 2" xfId="2076" xr:uid="{00000000-0005-0000-0000-00009D180000}"/>
    <cellStyle name="Moneda 2 2 2 4 2 2 6" xfId="16543" xr:uid="{00000000-0005-0000-0000-00009E180000}"/>
    <cellStyle name="Moneda 2 2 2 4 2 2 6 2" xfId="2094" xr:uid="{00000000-0005-0000-0000-00009F180000}"/>
    <cellStyle name="Moneda 2 2 2 4 2 2 7" xfId="12617" xr:uid="{00000000-0005-0000-0000-0000A0180000}"/>
    <cellStyle name="Moneda 2 2 2 4 2 2 8" xfId="12623" xr:uid="{00000000-0005-0000-0000-0000A1180000}"/>
    <cellStyle name="Moneda 2 2 2 4 2 3" xfId="12587" xr:uid="{00000000-0005-0000-0000-0000A2180000}"/>
    <cellStyle name="Moneda 2 2 2 4 2 3 2" xfId="2139" xr:uid="{00000000-0005-0000-0000-0000A3180000}"/>
    <cellStyle name="Moneda 2 2 2 4 2 3 2 2" xfId="5094" xr:uid="{00000000-0005-0000-0000-0000A4180000}"/>
    <cellStyle name="Moneda 2 2 2 4 2 3 2 2 2" xfId="16225" xr:uid="{00000000-0005-0000-0000-0000A5180000}"/>
    <cellStyle name="Moneda 2 2 2 4 2 3 2 3" xfId="16547" xr:uid="{00000000-0005-0000-0000-0000A6180000}"/>
    <cellStyle name="Moneda 2 2 2 4 2 3 3" xfId="16553" xr:uid="{00000000-0005-0000-0000-0000A7180000}"/>
    <cellStyle name="Moneda 2 2 2 4 2 3 3 2" xfId="16557" xr:uid="{00000000-0005-0000-0000-0000A8180000}"/>
    <cellStyle name="Moneda 2 2 2 4 2 3 4" xfId="16565" xr:uid="{00000000-0005-0000-0000-0000A9180000}"/>
    <cellStyle name="Moneda 2 2 2 4 2 3 5" xfId="16570" xr:uid="{00000000-0005-0000-0000-0000AA180000}"/>
    <cellStyle name="Moneda 2 2 2 4 2 4" xfId="12591" xr:uid="{00000000-0005-0000-0000-0000AB180000}"/>
    <cellStyle name="Moneda 2 2 2 4 2 4 2" xfId="12593" xr:uid="{00000000-0005-0000-0000-0000AC180000}"/>
    <cellStyle name="Moneda 2 2 2 4 2 4 2 2" xfId="16571" xr:uid="{00000000-0005-0000-0000-0000AD180000}"/>
    <cellStyle name="Moneda 2 2 2 4 2 4 3" xfId="16574" xr:uid="{00000000-0005-0000-0000-0000AE180000}"/>
    <cellStyle name="Moneda 2 2 2 4 2 5" xfId="16576" xr:uid="{00000000-0005-0000-0000-0000AF180000}"/>
    <cellStyle name="Moneda 2 2 2 4 2 5 2" xfId="16579" xr:uid="{00000000-0005-0000-0000-0000B0180000}"/>
    <cellStyle name="Moneda 2 2 2 4 2 5 2 2" xfId="16582" xr:uid="{00000000-0005-0000-0000-0000B1180000}"/>
    <cellStyle name="Moneda 2 2 2 4 2 5 3" xfId="8704" xr:uid="{00000000-0005-0000-0000-0000B2180000}"/>
    <cellStyle name="Moneda 2 2 2 4 2 6" xfId="1170" xr:uid="{00000000-0005-0000-0000-0000B3180000}"/>
    <cellStyle name="Moneda 2 2 2 4 2 6 2" xfId="16585" xr:uid="{00000000-0005-0000-0000-0000B4180000}"/>
    <cellStyle name="Moneda 2 2 2 4 2 7" xfId="16590" xr:uid="{00000000-0005-0000-0000-0000B5180000}"/>
    <cellStyle name="Moneda 2 2 2 4 2 7 2" xfId="16593" xr:uid="{00000000-0005-0000-0000-0000B6180000}"/>
    <cellStyle name="Moneda 2 2 2 4 2 8" xfId="16597" xr:uid="{00000000-0005-0000-0000-0000B7180000}"/>
    <cellStyle name="Moneda 2 2 2 4 2 9" xfId="8417" xr:uid="{00000000-0005-0000-0000-0000B8180000}"/>
    <cellStyle name="Moneda 2 2 2 4 3" xfId="16599" xr:uid="{00000000-0005-0000-0000-0000B9180000}"/>
    <cellStyle name="Moneda 2 2 2 4 3 2" xfId="2301" xr:uid="{00000000-0005-0000-0000-0000BA180000}"/>
    <cellStyle name="Moneda 2 2 2 4 3 2 2" xfId="2333" xr:uid="{00000000-0005-0000-0000-0000BB180000}"/>
    <cellStyle name="Moneda 2 2 2 4 3 2 2 2" xfId="5534" xr:uid="{00000000-0005-0000-0000-0000BC180000}"/>
    <cellStyle name="Moneda 2 2 2 4 3 2 2 2 2" xfId="2374" xr:uid="{00000000-0005-0000-0000-0000BD180000}"/>
    <cellStyle name="Moneda 2 2 2 4 3 2 2 3" xfId="5551" xr:uid="{00000000-0005-0000-0000-0000BE180000}"/>
    <cellStyle name="Moneda 2 2 2 4 3 2 2 4" xfId="2434" xr:uid="{00000000-0005-0000-0000-0000BF180000}"/>
    <cellStyle name="Moneda 2 2 2 4 3 2 3" xfId="11452" xr:uid="{00000000-0005-0000-0000-0000C0180000}"/>
    <cellStyle name="Moneda 2 2 2 4 3 2 3 2" xfId="5733" xr:uid="{00000000-0005-0000-0000-0000C1180000}"/>
    <cellStyle name="Moneda 2 2 2 4 3 2 4" xfId="11458" xr:uid="{00000000-0005-0000-0000-0000C2180000}"/>
    <cellStyle name="Moneda 2 2 2 4 3 2 4 2" xfId="2534" xr:uid="{00000000-0005-0000-0000-0000C3180000}"/>
    <cellStyle name="Moneda 2 2 2 4 3 2 5" xfId="11465" xr:uid="{00000000-0005-0000-0000-0000C4180000}"/>
    <cellStyle name="Moneda 2 2 2 4 3 2 6" xfId="16600" xr:uid="{00000000-0005-0000-0000-0000C5180000}"/>
    <cellStyle name="Moneda 2 2 2 4 3 3" xfId="2649" xr:uid="{00000000-0005-0000-0000-0000C6180000}"/>
    <cellStyle name="Moneda 2 2 2 4 3 3 2" xfId="2685" xr:uid="{00000000-0005-0000-0000-0000C7180000}"/>
    <cellStyle name="Moneda 2 2 2 4 3 3 2 2" xfId="6254" xr:uid="{00000000-0005-0000-0000-0000C8180000}"/>
    <cellStyle name="Moneda 2 2 2 4 3 3 3" xfId="16604" xr:uid="{00000000-0005-0000-0000-0000C9180000}"/>
    <cellStyle name="Moneda 2 2 2 4 3 3 4" xfId="16608" xr:uid="{00000000-0005-0000-0000-0000CA180000}"/>
    <cellStyle name="Moneda 2 2 2 4 3 4" xfId="2771" xr:uid="{00000000-0005-0000-0000-0000CB180000}"/>
    <cellStyle name="Moneda 2 2 2 4 3 4 2" xfId="16612" xr:uid="{00000000-0005-0000-0000-0000CC180000}"/>
    <cellStyle name="Moneda 2 2 2 4 3 4 2 2" xfId="16613" xr:uid="{00000000-0005-0000-0000-0000CD180000}"/>
    <cellStyle name="Moneda 2 2 2 4 3 4 3" xfId="16615" xr:uid="{00000000-0005-0000-0000-0000CE180000}"/>
    <cellStyle name="Moneda 2 2 2 4 3 5" xfId="16617" xr:uid="{00000000-0005-0000-0000-0000CF180000}"/>
    <cellStyle name="Moneda 2 2 2 4 3 5 2" xfId="16619" xr:uid="{00000000-0005-0000-0000-0000D0180000}"/>
    <cellStyle name="Moneda 2 2 2 4 3 6" xfId="1324" xr:uid="{00000000-0005-0000-0000-0000D1180000}"/>
    <cellStyle name="Moneda 2 2 2 4 3 6 2" xfId="16625" xr:uid="{00000000-0005-0000-0000-0000D2180000}"/>
    <cellStyle name="Moneda 2 2 2 4 3 7" xfId="16632" xr:uid="{00000000-0005-0000-0000-0000D3180000}"/>
    <cellStyle name="Moneda 2 2 2 4 3 8" xfId="16636" xr:uid="{00000000-0005-0000-0000-0000D4180000}"/>
    <cellStyle name="Moneda 2 2 2 4 4" xfId="16637" xr:uid="{00000000-0005-0000-0000-0000D5180000}"/>
    <cellStyle name="Moneda 2 2 2 4 4 2" xfId="2889" xr:uid="{00000000-0005-0000-0000-0000D6180000}"/>
    <cellStyle name="Moneda 2 2 2 4 4 2 2" xfId="11511" xr:uid="{00000000-0005-0000-0000-0000D7180000}"/>
    <cellStyle name="Moneda 2 2 2 4 4 2 2 2" xfId="6768" xr:uid="{00000000-0005-0000-0000-0000D8180000}"/>
    <cellStyle name="Moneda 2 2 2 4 4 2 3" xfId="9146" xr:uid="{00000000-0005-0000-0000-0000D9180000}"/>
    <cellStyle name="Moneda 2 2 2 4 4 2 4" xfId="9169" xr:uid="{00000000-0005-0000-0000-0000DA180000}"/>
    <cellStyle name="Moneda 2 2 2 4 4 3" xfId="16638" xr:uid="{00000000-0005-0000-0000-0000DB180000}"/>
    <cellStyle name="Moneda 2 2 2 4 4 3 2" xfId="16639" xr:uid="{00000000-0005-0000-0000-0000DC180000}"/>
    <cellStyle name="Moneda 2 2 2 4 4 4" xfId="16641" xr:uid="{00000000-0005-0000-0000-0000DD180000}"/>
    <cellStyle name="Moneda 2 2 2 4 4 4 2" xfId="16642" xr:uid="{00000000-0005-0000-0000-0000DE180000}"/>
    <cellStyle name="Moneda 2 2 2 4 4 5" xfId="3166" xr:uid="{00000000-0005-0000-0000-0000DF180000}"/>
    <cellStyle name="Moneda 2 2 2 4 4 6" xfId="16643" xr:uid="{00000000-0005-0000-0000-0000E0180000}"/>
    <cellStyle name="Moneda 2 2 2 4 5" xfId="6079" xr:uid="{00000000-0005-0000-0000-0000E1180000}"/>
    <cellStyle name="Moneda 2 2 2 4 5 2" xfId="6083" xr:uid="{00000000-0005-0000-0000-0000E2180000}"/>
    <cellStyle name="Moneda 2 2 2 4 5 2 2" xfId="3170" xr:uid="{00000000-0005-0000-0000-0000E3180000}"/>
    <cellStyle name="Moneda 2 2 2 4 5 2 2 2" xfId="3182" xr:uid="{00000000-0005-0000-0000-0000E4180000}"/>
    <cellStyle name="Moneda 2 2 2 4 5 2 3" xfId="1391" xr:uid="{00000000-0005-0000-0000-0000E5180000}"/>
    <cellStyle name="Moneda 2 2 2 4 5 2 4" xfId="1430" xr:uid="{00000000-0005-0000-0000-0000E6180000}"/>
    <cellStyle name="Moneda 2 2 2 4 5 3" xfId="16647" xr:uid="{00000000-0005-0000-0000-0000E7180000}"/>
    <cellStyle name="Moneda 2 2 2 4 5 3 2" xfId="3364" xr:uid="{00000000-0005-0000-0000-0000E8180000}"/>
    <cellStyle name="Moneda 2 2 2 4 5 4" xfId="16648" xr:uid="{00000000-0005-0000-0000-0000E9180000}"/>
    <cellStyle name="Moneda 2 2 2 4 5 4 2" xfId="5508" xr:uid="{00000000-0005-0000-0000-0000EA180000}"/>
    <cellStyle name="Moneda 2 2 2 4 5 5" xfId="16650" xr:uid="{00000000-0005-0000-0000-0000EB180000}"/>
    <cellStyle name="Moneda 2 2 2 4 5 6" xfId="16652" xr:uid="{00000000-0005-0000-0000-0000EC180000}"/>
    <cellStyle name="Moneda 2 2 2 4 6" xfId="4808" xr:uid="{00000000-0005-0000-0000-0000ED180000}"/>
    <cellStyle name="Moneda 2 2 2 4 6 2" xfId="16655" xr:uid="{00000000-0005-0000-0000-0000EE180000}"/>
    <cellStyle name="Moneda 2 2 2 4 6 2 2" xfId="5593" xr:uid="{00000000-0005-0000-0000-0000EF180000}"/>
    <cellStyle name="Moneda 2 2 2 4 6 2 2 2" xfId="822" xr:uid="{00000000-0005-0000-0000-0000F0180000}"/>
    <cellStyle name="Moneda 2 2 2 4 6 2 3" xfId="5612" xr:uid="{00000000-0005-0000-0000-0000F1180000}"/>
    <cellStyle name="Moneda 2 2 2 4 6 2 4" xfId="1929" xr:uid="{00000000-0005-0000-0000-0000F2180000}"/>
    <cellStyle name="Moneda 2 2 2 4 6 3" xfId="16657" xr:uid="{00000000-0005-0000-0000-0000F3180000}"/>
    <cellStyle name="Moneda 2 2 2 4 6 3 2" xfId="5671" xr:uid="{00000000-0005-0000-0000-0000F4180000}"/>
    <cellStyle name="Moneda 2 2 2 4 6 4" xfId="9295" xr:uid="{00000000-0005-0000-0000-0000F5180000}"/>
    <cellStyle name="Moneda 2 2 2 4 6 4 2" xfId="16658" xr:uid="{00000000-0005-0000-0000-0000F6180000}"/>
    <cellStyle name="Moneda 2 2 2 4 6 5" xfId="16660" xr:uid="{00000000-0005-0000-0000-0000F7180000}"/>
    <cellStyle name="Moneda 2 2 2 4 6 6" xfId="16667" xr:uid="{00000000-0005-0000-0000-0000F8180000}"/>
    <cellStyle name="Moneda 2 2 2 4 7" xfId="16675" xr:uid="{00000000-0005-0000-0000-0000F9180000}"/>
    <cellStyle name="Moneda 2 2 2 4 7 2" xfId="16678" xr:uid="{00000000-0005-0000-0000-0000FA180000}"/>
    <cellStyle name="Moneda 2 2 2 4 7 2 2" xfId="783" xr:uid="{00000000-0005-0000-0000-0000FB180000}"/>
    <cellStyle name="Moneda 2 2 2 4 7 3" xfId="16680" xr:uid="{00000000-0005-0000-0000-0000FC180000}"/>
    <cellStyle name="Moneda 2 2 2 4 7 4" xfId="16681" xr:uid="{00000000-0005-0000-0000-0000FD180000}"/>
    <cellStyle name="Moneda 2 2 2 4 8" xfId="16687" xr:uid="{00000000-0005-0000-0000-0000FE180000}"/>
    <cellStyle name="Moneda 2 2 2 4 8 2" xfId="16689" xr:uid="{00000000-0005-0000-0000-0000FF180000}"/>
    <cellStyle name="Moneda 2 2 2 4 9" xfId="16697" xr:uid="{00000000-0005-0000-0000-000000190000}"/>
    <cellStyle name="Moneda 2 2 2 4 9 2" xfId="16699" xr:uid="{00000000-0005-0000-0000-000001190000}"/>
    <cellStyle name="Moneda 2 2 2 5" xfId="16700" xr:uid="{00000000-0005-0000-0000-000002190000}"/>
    <cellStyle name="Moneda 2 2 2 5 2" xfId="16701" xr:uid="{00000000-0005-0000-0000-000003190000}"/>
    <cellStyle name="Moneda 2 2 2 5 2 2" xfId="179" xr:uid="{00000000-0005-0000-0000-000004190000}"/>
    <cellStyle name="Moneda 2 2 2 5 2 2 2" xfId="561" xr:uid="{00000000-0005-0000-0000-000005190000}"/>
    <cellStyle name="Moneda 2 2 2 5 2 2 2 2" xfId="897" xr:uid="{00000000-0005-0000-0000-000006190000}"/>
    <cellStyle name="Moneda 2 2 2 5 2 2 2 2 2" xfId="16702" xr:uid="{00000000-0005-0000-0000-000007190000}"/>
    <cellStyle name="Moneda 2 2 2 5 2 2 2 3" xfId="16704" xr:uid="{00000000-0005-0000-0000-000008190000}"/>
    <cellStyle name="Moneda 2 2 2 5 2 2 3" xfId="663" xr:uid="{00000000-0005-0000-0000-000009190000}"/>
    <cellStyle name="Moneda 2 2 2 5 2 2 3 2" xfId="16705" xr:uid="{00000000-0005-0000-0000-00000A190000}"/>
    <cellStyle name="Moneda 2 2 2 5 2 2 4" xfId="16706" xr:uid="{00000000-0005-0000-0000-00000B190000}"/>
    <cellStyle name="Moneda 2 2 2 5 2 2 5" xfId="16709" xr:uid="{00000000-0005-0000-0000-00000C190000}"/>
    <cellStyle name="Moneda 2 2 2 5 2 3" xfId="1138" xr:uid="{00000000-0005-0000-0000-00000D190000}"/>
    <cellStyle name="Moneda 2 2 2 5 2 3 2" xfId="1167" xr:uid="{00000000-0005-0000-0000-00000E190000}"/>
    <cellStyle name="Moneda 2 2 2 5 2 3 2 2" xfId="16583" xr:uid="{00000000-0005-0000-0000-00000F190000}"/>
    <cellStyle name="Moneda 2 2 2 5 2 3 3" xfId="16588" xr:uid="{00000000-0005-0000-0000-000010190000}"/>
    <cellStyle name="Moneda 2 2 2 5 2 4" xfId="1295" xr:uid="{00000000-0005-0000-0000-000011190000}"/>
    <cellStyle name="Moneda 2 2 2 5 2 4 2" xfId="1322" xr:uid="{00000000-0005-0000-0000-000012190000}"/>
    <cellStyle name="Moneda 2 2 2 5 2 4 2 2" xfId="16624" xr:uid="{00000000-0005-0000-0000-000013190000}"/>
    <cellStyle name="Moneda 2 2 2 5 2 4 3" xfId="16630" xr:uid="{00000000-0005-0000-0000-000014190000}"/>
    <cellStyle name="Moneda 2 2 2 5 2 5" xfId="1359" xr:uid="{00000000-0005-0000-0000-000015190000}"/>
    <cellStyle name="Moneda 2 2 2 5 2 5 2" xfId="16645" xr:uid="{00000000-0005-0000-0000-000016190000}"/>
    <cellStyle name="Moneda 2 2 2 5 2 6" xfId="16712" xr:uid="{00000000-0005-0000-0000-000017190000}"/>
    <cellStyle name="Moneda 2 2 2 5 2 6 2" xfId="16651" xr:uid="{00000000-0005-0000-0000-000018190000}"/>
    <cellStyle name="Moneda 2 2 2 5 2 7" xfId="16719" xr:uid="{00000000-0005-0000-0000-000019190000}"/>
    <cellStyle name="Moneda 2 2 2 5 2 8" xfId="16721" xr:uid="{00000000-0005-0000-0000-00001A190000}"/>
    <cellStyle name="Moneda 2 2 2 5 3" xfId="16723" xr:uid="{00000000-0005-0000-0000-00001B190000}"/>
    <cellStyle name="Moneda 2 2 2 5 3 2" xfId="1533" xr:uid="{00000000-0005-0000-0000-00001C190000}"/>
    <cellStyle name="Moneda 2 2 2 5 3 2 2" xfId="1559" xr:uid="{00000000-0005-0000-0000-00001D190000}"/>
    <cellStyle name="Moneda 2 2 2 5 3 2 2 2" xfId="16495" xr:uid="{00000000-0005-0000-0000-00001E190000}"/>
    <cellStyle name="Moneda 2 2 2 5 3 2 3" xfId="16728" xr:uid="{00000000-0005-0000-0000-00001F190000}"/>
    <cellStyle name="Moneda 2 2 2 5 3 2 4" xfId="16730" xr:uid="{00000000-0005-0000-0000-000020190000}"/>
    <cellStyle name="Moneda 2 2 2 5 3 3" xfId="16735" xr:uid="{00000000-0005-0000-0000-000021190000}"/>
    <cellStyle name="Moneda 2 2 2 5 3 3 2" xfId="16714" xr:uid="{00000000-0005-0000-0000-000022190000}"/>
    <cellStyle name="Moneda 2 2 2 5 3 4" xfId="1678" xr:uid="{00000000-0005-0000-0000-000023190000}"/>
    <cellStyle name="Moneda 2 2 2 5 3 4 2" xfId="16740" xr:uid="{00000000-0005-0000-0000-000024190000}"/>
    <cellStyle name="Moneda 2 2 2 5 3 5" xfId="140" xr:uid="{00000000-0005-0000-0000-000025190000}"/>
    <cellStyle name="Moneda 2 2 2 5 3 6" xfId="16739" xr:uid="{00000000-0005-0000-0000-000026190000}"/>
    <cellStyle name="Moneda 2 2 2 5 4" xfId="16741" xr:uid="{00000000-0005-0000-0000-000027190000}"/>
    <cellStyle name="Moneda 2 2 2 5 4 2" xfId="16743" xr:uid="{00000000-0005-0000-0000-000028190000}"/>
    <cellStyle name="Moneda 2 2 2 5 4 2 2" xfId="16744" xr:uid="{00000000-0005-0000-0000-000029190000}"/>
    <cellStyle name="Moneda 2 2 2 5 4 3" xfId="16746" xr:uid="{00000000-0005-0000-0000-00002A190000}"/>
    <cellStyle name="Moneda 2 2 2 5 4 4" xfId="16751" xr:uid="{00000000-0005-0000-0000-00002B190000}"/>
    <cellStyle name="Moneda 2 2 2 5 5" xfId="65" xr:uid="{00000000-0005-0000-0000-00002C190000}"/>
    <cellStyle name="Moneda 2 2 2 5 5 2" xfId="16753" xr:uid="{00000000-0005-0000-0000-00002D190000}"/>
    <cellStyle name="Moneda 2 2 2 5 5 2 2" xfId="1811" xr:uid="{00000000-0005-0000-0000-00002E190000}"/>
    <cellStyle name="Moneda 2 2 2 5 5 3" xfId="16754" xr:uid="{00000000-0005-0000-0000-00002F190000}"/>
    <cellStyle name="Moneda 2 2 2 5 6" xfId="16756" xr:uid="{00000000-0005-0000-0000-000030190000}"/>
    <cellStyle name="Moneda 2 2 2 5 6 2" xfId="16759" xr:uid="{00000000-0005-0000-0000-000031190000}"/>
    <cellStyle name="Moneda 2 2 2 5 7" xfId="16761" xr:uid="{00000000-0005-0000-0000-000032190000}"/>
    <cellStyle name="Moneda 2 2 2 5 7 2" xfId="16763" xr:uid="{00000000-0005-0000-0000-000033190000}"/>
    <cellStyle name="Moneda 2 2 2 5 8" xfId="16764" xr:uid="{00000000-0005-0000-0000-000034190000}"/>
    <cellStyle name="Moneda 2 2 2 5 9" xfId="16765" xr:uid="{00000000-0005-0000-0000-000035190000}"/>
    <cellStyle name="Moneda 2 2 2 6" xfId="16766" xr:uid="{00000000-0005-0000-0000-000036190000}"/>
    <cellStyle name="Moneda 2 2 2 6 2" xfId="16769" xr:uid="{00000000-0005-0000-0000-000037190000}"/>
    <cellStyle name="Moneda 2 2 2 6 2 2" xfId="16770" xr:uid="{00000000-0005-0000-0000-000038190000}"/>
    <cellStyle name="Moneda 2 2 2 6 2 2 2" xfId="16771" xr:uid="{00000000-0005-0000-0000-000039190000}"/>
    <cellStyle name="Moneda 2 2 2 6 2 2 2 2" xfId="16772" xr:uid="{00000000-0005-0000-0000-00003A190000}"/>
    <cellStyle name="Moneda 2 2 2 6 2 2 2 2 2" xfId="16774" xr:uid="{00000000-0005-0000-0000-00003B190000}"/>
    <cellStyle name="Moneda 2 2 2 6 2 2 2 3" xfId="16775" xr:uid="{00000000-0005-0000-0000-00003C190000}"/>
    <cellStyle name="Moneda 2 2 2 6 2 2 3" xfId="16776" xr:uid="{00000000-0005-0000-0000-00003D190000}"/>
    <cellStyle name="Moneda 2 2 2 6 2 2 3 2" xfId="16777" xr:uid="{00000000-0005-0000-0000-00003E190000}"/>
    <cellStyle name="Moneda 2 2 2 6 2 2 4" xfId="16780" xr:uid="{00000000-0005-0000-0000-00003F190000}"/>
    <cellStyle name="Moneda 2 2 2 6 2 2 5" xfId="13236" xr:uid="{00000000-0005-0000-0000-000040190000}"/>
    <cellStyle name="Moneda 2 2 2 6 2 3" xfId="16782" xr:uid="{00000000-0005-0000-0000-000041190000}"/>
    <cellStyle name="Moneda 2 2 2 6 2 3 2" xfId="16783" xr:uid="{00000000-0005-0000-0000-000042190000}"/>
    <cellStyle name="Moneda 2 2 2 6 2 3 2 2" xfId="229" xr:uid="{00000000-0005-0000-0000-000043190000}"/>
    <cellStyle name="Moneda 2 2 2 6 2 3 3" xfId="16791" xr:uid="{00000000-0005-0000-0000-000044190000}"/>
    <cellStyle name="Moneda 2 2 2 6 2 4" xfId="16792" xr:uid="{00000000-0005-0000-0000-000045190000}"/>
    <cellStyle name="Moneda 2 2 2 6 2 4 2" xfId="16794" xr:uid="{00000000-0005-0000-0000-000046190000}"/>
    <cellStyle name="Moneda 2 2 2 6 2 4 2 2" xfId="16795" xr:uid="{00000000-0005-0000-0000-000047190000}"/>
    <cellStyle name="Moneda 2 2 2 6 2 4 3" xfId="16797" xr:uid="{00000000-0005-0000-0000-000048190000}"/>
    <cellStyle name="Moneda 2 2 2 6 2 5" xfId="16800" xr:uid="{00000000-0005-0000-0000-000049190000}"/>
    <cellStyle name="Moneda 2 2 2 6 2 5 2" xfId="16801" xr:uid="{00000000-0005-0000-0000-00004A190000}"/>
    <cellStyle name="Moneda 2 2 2 6 2 6" xfId="16802" xr:uid="{00000000-0005-0000-0000-00004B190000}"/>
    <cellStyle name="Moneda 2 2 2 6 2 6 2" xfId="16803" xr:uid="{00000000-0005-0000-0000-00004C190000}"/>
    <cellStyle name="Moneda 2 2 2 6 2 7" xfId="9367" xr:uid="{00000000-0005-0000-0000-00004D190000}"/>
    <cellStyle name="Moneda 2 2 2 6 2 8" xfId="4040" xr:uid="{00000000-0005-0000-0000-00004E190000}"/>
    <cellStyle name="Moneda 2 2 2 6 3" xfId="16804" xr:uid="{00000000-0005-0000-0000-00004F190000}"/>
    <cellStyle name="Moneda 2 2 2 6 3 2" xfId="6407" xr:uid="{00000000-0005-0000-0000-000050190000}"/>
    <cellStyle name="Moneda 2 2 2 6 3 2 2" xfId="6421" xr:uid="{00000000-0005-0000-0000-000051190000}"/>
    <cellStyle name="Moneda 2 2 2 6 3 2 2 2" xfId="14370" xr:uid="{00000000-0005-0000-0000-000052190000}"/>
    <cellStyle name="Moneda 2 2 2 6 3 2 3" xfId="14396" xr:uid="{00000000-0005-0000-0000-000053190000}"/>
    <cellStyle name="Moneda 2 2 2 6 3 3" xfId="16806" xr:uid="{00000000-0005-0000-0000-000054190000}"/>
    <cellStyle name="Moneda 2 2 2 6 3 3 2" xfId="14448" xr:uid="{00000000-0005-0000-0000-000055190000}"/>
    <cellStyle name="Moneda 2 2 2 6 3 4" xfId="16807" xr:uid="{00000000-0005-0000-0000-000056190000}"/>
    <cellStyle name="Moneda 2 2 2 6 3 5" xfId="16808" xr:uid="{00000000-0005-0000-0000-000057190000}"/>
    <cellStyle name="Moneda 2 2 2 6 4" xfId="16809" xr:uid="{00000000-0005-0000-0000-000058190000}"/>
    <cellStyle name="Moneda 2 2 2 6 4 2" xfId="16811" xr:uid="{00000000-0005-0000-0000-000059190000}"/>
    <cellStyle name="Moneda 2 2 2 6 4 2 2" xfId="14811" xr:uid="{00000000-0005-0000-0000-00005A190000}"/>
    <cellStyle name="Moneda 2 2 2 6 4 3" xfId="16812" xr:uid="{00000000-0005-0000-0000-00005B190000}"/>
    <cellStyle name="Moneda 2 2 2 6 5" xfId="2245" xr:uid="{00000000-0005-0000-0000-00005C190000}"/>
    <cellStyle name="Moneda 2 2 2 6 5 2" xfId="16813" xr:uid="{00000000-0005-0000-0000-00005D190000}"/>
    <cellStyle name="Moneda 2 2 2 6 5 2 2" xfId="14940" xr:uid="{00000000-0005-0000-0000-00005E190000}"/>
    <cellStyle name="Moneda 2 2 2 6 5 3" xfId="16814" xr:uid="{00000000-0005-0000-0000-00005F190000}"/>
    <cellStyle name="Moneda 2 2 2 6 6" xfId="16815" xr:uid="{00000000-0005-0000-0000-000060190000}"/>
    <cellStyle name="Moneda 2 2 2 6 6 2" xfId="16825" xr:uid="{00000000-0005-0000-0000-000061190000}"/>
    <cellStyle name="Moneda 2 2 2 6 7" xfId="16829" xr:uid="{00000000-0005-0000-0000-000062190000}"/>
    <cellStyle name="Moneda 2 2 2 6 7 2" xfId="16831" xr:uid="{00000000-0005-0000-0000-000063190000}"/>
    <cellStyle name="Moneda 2 2 2 6 8" xfId="16833" xr:uid="{00000000-0005-0000-0000-000064190000}"/>
    <cellStyle name="Moneda 2 2 2 6 9" xfId="16834" xr:uid="{00000000-0005-0000-0000-000065190000}"/>
    <cellStyle name="Moneda 2 2 2 7" xfId="12405" xr:uid="{00000000-0005-0000-0000-000066190000}"/>
    <cellStyle name="Moneda 2 2 2 7 2" xfId="16835" xr:uid="{00000000-0005-0000-0000-000067190000}"/>
    <cellStyle name="Moneda 2 2 2 7 2 2" xfId="16836" xr:uid="{00000000-0005-0000-0000-000068190000}"/>
    <cellStyle name="Moneda 2 2 2 7 2 2 2" xfId="16837" xr:uid="{00000000-0005-0000-0000-000069190000}"/>
    <cellStyle name="Moneda 2 2 2 7 2 2 2 2" xfId="13936" xr:uid="{00000000-0005-0000-0000-00006A190000}"/>
    <cellStyle name="Moneda 2 2 2 7 2 2 2 2 2" xfId="16838" xr:uid="{00000000-0005-0000-0000-00006B190000}"/>
    <cellStyle name="Moneda 2 2 2 7 2 2 2 3" xfId="16839" xr:uid="{00000000-0005-0000-0000-00006C190000}"/>
    <cellStyle name="Moneda 2 2 2 7 2 2 3" xfId="16840" xr:uid="{00000000-0005-0000-0000-00006D190000}"/>
    <cellStyle name="Moneda 2 2 2 7 2 2 3 2" xfId="16841" xr:uid="{00000000-0005-0000-0000-00006E190000}"/>
    <cellStyle name="Moneda 2 2 2 7 2 2 4" xfId="16844" xr:uid="{00000000-0005-0000-0000-00006F190000}"/>
    <cellStyle name="Moneda 2 2 2 7 2 3" xfId="16845" xr:uid="{00000000-0005-0000-0000-000070190000}"/>
    <cellStyle name="Moneda 2 2 2 7 2 3 2" xfId="16846" xr:uid="{00000000-0005-0000-0000-000071190000}"/>
    <cellStyle name="Moneda 2 2 2 7 2 3 2 2" xfId="16847" xr:uid="{00000000-0005-0000-0000-000072190000}"/>
    <cellStyle name="Moneda 2 2 2 7 2 3 3" xfId="16848" xr:uid="{00000000-0005-0000-0000-000073190000}"/>
    <cellStyle name="Moneda 2 2 2 7 2 4" xfId="2504" xr:uid="{00000000-0005-0000-0000-000074190000}"/>
    <cellStyle name="Moneda 2 2 2 7 2 4 2" xfId="16850" xr:uid="{00000000-0005-0000-0000-000075190000}"/>
    <cellStyle name="Moneda 2 2 2 7 2 4 2 2" xfId="2559" xr:uid="{00000000-0005-0000-0000-000076190000}"/>
    <cellStyle name="Moneda 2 2 2 7 2 4 3" xfId="16851" xr:uid="{00000000-0005-0000-0000-000077190000}"/>
    <cellStyle name="Moneda 2 2 2 7 2 5" xfId="16854" xr:uid="{00000000-0005-0000-0000-000078190000}"/>
    <cellStyle name="Moneda 2 2 2 7 2 5 2" xfId="16855" xr:uid="{00000000-0005-0000-0000-000079190000}"/>
    <cellStyle name="Moneda 2 2 2 7 2 6" xfId="16856" xr:uid="{00000000-0005-0000-0000-00007A190000}"/>
    <cellStyle name="Moneda 2 2 2 7 2 6 2" xfId="16857" xr:uid="{00000000-0005-0000-0000-00007B190000}"/>
    <cellStyle name="Moneda 2 2 2 7 2 7" xfId="2087" xr:uid="{00000000-0005-0000-0000-00007C190000}"/>
    <cellStyle name="Moneda 2 2 2 7 2 8" xfId="4029" xr:uid="{00000000-0005-0000-0000-00007D190000}"/>
    <cellStyle name="Moneda 2 2 2 7 3" xfId="16858" xr:uid="{00000000-0005-0000-0000-00007E190000}"/>
    <cellStyle name="Moneda 2 2 2 7 3 2" xfId="7261" xr:uid="{00000000-0005-0000-0000-00007F190000}"/>
    <cellStyle name="Moneda 2 2 2 7 3 2 2" xfId="15289" xr:uid="{00000000-0005-0000-0000-000080190000}"/>
    <cellStyle name="Moneda 2 2 2 7 3 2 2 2" xfId="15291" xr:uid="{00000000-0005-0000-0000-000081190000}"/>
    <cellStyle name="Moneda 2 2 2 7 3 2 3" xfId="15297" xr:uid="{00000000-0005-0000-0000-000082190000}"/>
    <cellStyle name="Moneda 2 2 2 7 3 3" xfId="16860" xr:uid="{00000000-0005-0000-0000-000083190000}"/>
    <cellStyle name="Moneda 2 2 2 7 3 3 2" xfId="15307" xr:uid="{00000000-0005-0000-0000-000084190000}"/>
    <cellStyle name="Moneda 2 2 2 7 3 4" xfId="2751" xr:uid="{00000000-0005-0000-0000-000085190000}"/>
    <cellStyle name="Moneda 2 2 2 7 4" xfId="2775" xr:uid="{00000000-0005-0000-0000-000086190000}"/>
    <cellStyle name="Moneda 2 2 2 7 4 2" xfId="16861" xr:uid="{00000000-0005-0000-0000-000087190000}"/>
    <cellStyle name="Moneda 2 2 2 7 4 2 2" xfId="15426" xr:uid="{00000000-0005-0000-0000-000088190000}"/>
    <cellStyle name="Moneda 2 2 2 7 4 3" xfId="16863" xr:uid="{00000000-0005-0000-0000-000089190000}"/>
    <cellStyle name="Moneda 2 2 2 7 5" xfId="12708" xr:uid="{00000000-0005-0000-0000-00008A190000}"/>
    <cellStyle name="Moneda 2 2 2 7 5 2" xfId="16339" xr:uid="{00000000-0005-0000-0000-00008B190000}"/>
    <cellStyle name="Moneda 2 2 2 7 5 2 2" xfId="15536" xr:uid="{00000000-0005-0000-0000-00008C190000}"/>
    <cellStyle name="Moneda 2 2 2 7 5 3" xfId="16341" xr:uid="{00000000-0005-0000-0000-00008D190000}"/>
    <cellStyle name="Moneda 2 2 2 7 6" xfId="16343" xr:uid="{00000000-0005-0000-0000-00008E190000}"/>
    <cellStyle name="Moneda 2 2 2 7 6 2" xfId="12850" xr:uid="{00000000-0005-0000-0000-00008F190000}"/>
    <cellStyle name="Moneda 2 2 2 7 7" xfId="16349" xr:uid="{00000000-0005-0000-0000-000090190000}"/>
    <cellStyle name="Moneda 2 2 2 7 7 2" xfId="2853" xr:uid="{00000000-0005-0000-0000-000091190000}"/>
    <cellStyle name="Moneda 2 2 2 7 8" xfId="13221" xr:uid="{00000000-0005-0000-0000-000092190000}"/>
    <cellStyle name="Moneda 2 2 2 7 9" xfId="10748" xr:uid="{00000000-0005-0000-0000-000093190000}"/>
    <cellStyle name="Moneda 2 2 2 8" xfId="16864" xr:uid="{00000000-0005-0000-0000-000094190000}"/>
    <cellStyle name="Moneda 2 2 2 8 2" xfId="16865" xr:uid="{00000000-0005-0000-0000-000095190000}"/>
    <cellStyle name="Moneda 2 2 2 8 2 2" xfId="8423" xr:uid="{00000000-0005-0000-0000-000096190000}"/>
    <cellStyle name="Moneda 2 2 2 8 2 2 2" xfId="8432" xr:uid="{00000000-0005-0000-0000-000097190000}"/>
    <cellStyle name="Moneda 2 2 2 8 2 2 2 2" xfId="16866" xr:uid="{00000000-0005-0000-0000-000098190000}"/>
    <cellStyle name="Moneda 2 2 2 8 2 2 3" xfId="1027" xr:uid="{00000000-0005-0000-0000-000099190000}"/>
    <cellStyle name="Moneda 2 2 2 8 2 3" xfId="8439" xr:uid="{00000000-0005-0000-0000-00009A190000}"/>
    <cellStyle name="Moneda 2 2 2 8 2 3 2" xfId="8445" xr:uid="{00000000-0005-0000-0000-00009B190000}"/>
    <cellStyle name="Moneda 2 2 2 8 2 4" xfId="8451" xr:uid="{00000000-0005-0000-0000-00009C190000}"/>
    <cellStyle name="Moneda 2 2 2 8 2 5" xfId="8462" xr:uid="{00000000-0005-0000-0000-00009D190000}"/>
    <cellStyle name="Moneda 2 2 2 8 3" xfId="16867" xr:uid="{00000000-0005-0000-0000-00009E190000}"/>
    <cellStyle name="Moneda 2 2 2 8 3 2" xfId="3031" xr:uid="{00000000-0005-0000-0000-00009F190000}"/>
    <cellStyle name="Moneda 2 2 2 8 3 2 2" xfId="3056" xr:uid="{00000000-0005-0000-0000-0000A0190000}"/>
    <cellStyle name="Moneda 2 2 2 8 3 3" xfId="1565" xr:uid="{00000000-0005-0000-0000-0000A1190000}"/>
    <cellStyle name="Moneda 2 2 2 8 4" xfId="16869" xr:uid="{00000000-0005-0000-0000-0000A2190000}"/>
    <cellStyle name="Moneda 2 2 2 8 4 2" xfId="16870" xr:uid="{00000000-0005-0000-0000-0000A3190000}"/>
    <cellStyle name="Moneda 2 2 2 8 4 2 2" xfId="15865" xr:uid="{00000000-0005-0000-0000-0000A4190000}"/>
    <cellStyle name="Moneda 2 2 2 8 4 3" xfId="16874" xr:uid="{00000000-0005-0000-0000-0000A5190000}"/>
    <cellStyle name="Moneda 2 2 2 8 5" xfId="12931" xr:uid="{00000000-0005-0000-0000-0000A6190000}"/>
    <cellStyle name="Moneda 2 2 2 8 5 2" xfId="16354" xr:uid="{00000000-0005-0000-0000-0000A7190000}"/>
    <cellStyle name="Moneda 2 2 2 8 6" xfId="16357" xr:uid="{00000000-0005-0000-0000-0000A8190000}"/>
    <cellStyle name="Moneda 2 2 2 8 6 2" xfId="16875" xr:uid="{00000000-0005-0000-0000-0000A9190000}"/>
    <cellStyle name="Moneda 2 2 2 8 7" xfId="16876" xr:uid="{00000000-0005-0000-0000-0000AA190000}"/>
    <cellStyle name="Moneda 2 2 2 8 8" xfId="16878" xr:uid="{00000000-0005-0000-0000-0000AB190000}"/>
    <cellStyle name="Moneda 2 2 2 9" xfId="16879" xr:uid="{00000000-0005-0000-0000-0000AC190000}"/>
    <cellStyle name="Moneda 2 2 2 9 2" xfId="16880" xr:uid="{00000000-0005-0000-0000-0000AD190000}"/>
    <cellStyle name="Moneda 2 2 2 9 2 2" xfId="9033" xr:uid="{00000000-0005-0000-0000-0000AE190000}"/>
    <cellStyle name="Moneda 2 2 2 9 2 2 2" xfId="9042" xr:uid="{00000000-0005-0000-0000-0000AF190000}"/>
    <cellStyle name="Moneda 2 2 2 9 2 3" xfId="1374" xr:uid="{00000000-0005-0000-0000-0000B0190000}"/>
    <cellStyle name="Moneda 2 2 2 9 2 4" xfId="16881" xr:uid="{00000000-0005-0000-0000-0000B1190000}"/>
    <cellStyle name="Moneda 2 2 2 9 3" xfId="10664" xr:uid="{00000000-0005-0000-0000-0000B2190000}"/>
    <cellStyle name="Moneda 2 2 2 9 3 2" xfId="3372" xr:uid="{00000000-0005-0000-0000-0000B3190000}"/>
    <cellStyle name="Moneda 2 2 2 9 4" xfId="3407" xr:uid="{00000000-0005-0000-0000-0000B4190000}"/>
    <cellStyle name="Moneda 2 2 2 9 4 2" xfId="16882" xr:uid="{00000000-0005-0000-0000-0000B5190000}"/>
    <cellStyle name="Moneda 2 2 2 9 5" xfId="10673" xr:uid="{00000000-0005-0000-0000-0000B6190000}"/>
    <cellStyle name="Moneda 2 2 2 9 6" xfId="16365" xr:uid="{00000000-0005-0000-0000-0000B7190000}"/>
    <cellStyle name="Moneda 2 2 3" xfId="16886" xr:uid="{00000000-0005-0000-0000-0000B8190000}"/>
    <cellStyle name="Moneda 2 2 3 10" xfId="15606" xr:uid="{00000000-0005-0000-0000-0000B9190000}"/>
    <cellStyle name="Moneda 2 2 3 10 2" xfId="11042" xr:uid="{00000000-0005-0000-0000-0000BA190000}"/>
    <cellStyle name="Moneda 2 2 3 10 2 2" xfId="16892" xr:uid="{00000000-0005-0000-0000-0000BB190000}"/>
    <cellStyle name="Moneda 2 2 3 10 3" xfId="16611" xr:uid="{00000000-0005-0000-0000-0000BC190000}"/>
    <cellStyle name="Moneda 2 2 3 11" xfId="16897" xr:uid="{00000000-0005-0000-0000-0000BD190000}"/>
    <cellStyle name="Moneda 2 2 3 11 2" xfId="11484" xr:uid="{00000000-0005-0000-0000-0000BE190000}"/>
    <cellStyle name="Moneda 2 2 3 12" xfId="16898" xr:uid="{00000000-0005-0000-0000-0000BF190000}"/>
    <cellStyle name="Moneda 2 2 3 12 2" xfId="11435" xr:uid="{00000000-0005-0000-0000-0000C0190000}"/>
    <cellStyle name="Moneda 2 2 3 13" xfId="16901" xr:uid="{00000000-0005-0000-0000-0000C1190000}"/>
    <cellStyle name="Moneda 2 2 3 13 2" xfId="16905" xr:uid="{00000000-0005-0000-0000-0000C2190000}"/>
    <cellStyle name="Moneda 2 2 3 14" xfId="9030" xr:uid="{00000000-0005-0000-0000-0000C3190000}"/>
    <cellStyle name="Moneda 2 2 3 15" xfId="6109" xr:uid="{00000000-0005-0000-0000-0000C4190000}"/>
    <cellStyle name="Moneda 2 2 3 2" xfId="11694" xr:uid="{00000000-0005-0000-0000-0000C5190000}"/>
    <cellStyle name="Moneda 2 2 3 2 10" xfId="16911" xr:uid="{00000000-0005-0000-0000-0000C6190000}"/>
    <cellStyle name="Moneda 2 2 3 2 10 2" xfId="16916" xr:uid="{00000000-0005-0000-0000-0000C7190000}"/>
    <cellStyle name="Moneda 2 2 3 2 11" xfId="537" xr:uid="{00000000-0005-0000-0000-0000C8190000}"/>
    <cellStyle name="Moneda 2 2 3 2 11 2" xfId="16919" xr:uid="{00000000-0005-0000-0000-0000C9190000}"/>
    <cellStyle name="Moneda 2 2 3 2 12" xfId="16922" xr:uid="{00000000-0005-0000-0000-0000CA190000}"/>
    <cellStyle name="Moneda 2 2 3 2 12 2" xfId="16925" xr:uid="{00000000-0005-0000-0000-0000CB190000}"/>
    <cellStyle name="Moneda 2 2 3 2 13" xfId="8372" xr:uid="{00000000-0005-0000-0000-0000CC190000}"/>
    <cellStyle name="Moneda 2 2 3 2 14" xfId="16927" xr:uid="{00000000-0005-0000-0000-0000CD190000}"/>
    <cellStyle name="Moneda 2 2 3 2 2" xfId="11612" xr:uid="{00000000-0005-0000-0000-0000CE190000}"/>
    <cellStyle name="Moneda 2 2 3 2 2 10" xfId="12190" xr:uid="{00000000-0005-0000-0000-0000CF190000}"/>
    <cellStyle name="Moneda 2 2 3 2 2 2" xfId="16931" xr:uid="{00000000-0005-0000-0000-0000D0190000}"/>
    <cellStyle name="Moneda 2 2 3 2 2 2 2" xfId="15366" xr:uid="{00000000-0005-0000-0000-0000D1190000}"/>
    <cellStyle name="Moneda 2 2 3 2 2 2 2 2" xfId="8280" xr:uid="{00000000-0005-0000-0000-0000D2190000}"/>
    <cellStyle name="Moneda 2 2 3 2 2 2 2 2 2" xfId="12167" xr:uid="{00000000-0005-0000-0000-0000D3190000}"/>
    <cellStyle name="Moneda 2 2 3 2 2 2 2 2 2 2" xfId="16934" xr:uid="{00000000-0005-0000-0000-0000D4190000}"/>
    <cellStyle name="Moneda 2 2 3 2 2 2 2 2 2 2 2" xfId="16937" xr:uid="{00000000-0005-0000-0000-0000D5190000}"/>
    <cellStyle name="Moneda 2 2 3 2 2 2 2 2 2 3" xfId="16944" xr:uid="{00000000-0005-0000-0000-0000D6190000}"/>
    <cellStyle name="Moneda 2 2 3 2 2 2 2 2 3" xfId="16945" xr:uid="{00000000-0005-0000-0000-0000D7190000}"/>
    <cellStyle name="Moneda 2 2 3 2 2 2 2 2 3 2" xfId="16948" xr:uid="{00000000-0005-0000-0000-0000D8190000}"/>
    <cellStyle name="Moneda 2 2 3 2 2 2 2 2 4" xfId="16949" xr:uid="{00000000-0005-0000-0000-0000D9190000}"/>
    <cellStyle name="Moneda 2 2 3 2 2 2 2 3" xfId="8112" xr:uid="{00000000-0005-0000-0000-0000DA190000}"/>
    <cellStyle name="Moneda 2 2 3 2 2 2 2 3 2" xfId="16955" xr:uid="{00000000-0005-0000-0000-0000DB190000}"/>
    <cellStyle name="Moneda 2 2 3 2 2 2 2 3 2 2" xfId="16961" xr:uid="{00000000-0005-0000-0000-0000DC190000}"/>
    <cellStyle name="Moneda 2 2 3 2 2 2 2 3 3" xfId="16963" xr:uid="{00000000-0005-0000-0000-0000DD190000}"/>
    <cellStyle name="Moneda 2 2 3 2 2 2 2 4" xfId="16964" xr:uid="{00000000-0005-0000-0000-0000DE190000}"/>
    <cellStyle name="Moneda 2 2 3 2 2 2 2 4 2" xfId="15749" xr:uid="{00000000-0005-0000-0000-0000DF190000}"/>
    <cellStyle name="Moneda 2 2 3 2 2 2 2 4 2 2" xfId="15756" xr:uid="{00000000-0005-0000-0000-0000E0190000}"/>
    <cellStyle name="Moneda 2 2 3 2 2 2 2 4 3" xfId="15759" xr:uid="{00000000-0005-0000-0000-0000E1190000}"/>
    <cellStyle name="Moneda 2 2 3 2 2 2 2 5" xfId="8807" xr:uid="{00000000-0005-0000-0000-0000E2190000}"/>
    <cellStyle name="Moneda 2 2 3 2 2 2 2 5 2" xfId="15782" xr:uid="{00000000-0005-0000-0000-0000E3190000}"/>
    <cellStyle name="Moneda 2 2 3 2 2 2 2 6" xfId="11167" xr:uid="{00000000-0005-0000-0000-0000E4190000}"/>
    <cellStyle name="Moneda 2 2 3 2 2 2 2 6 2" xfId="16966" xr:uid="{00000000-0005-0000-0000-0000E5190000}"/>
    <cellStyle name="Moneda 2 2 3 2 2 2 2 7" xfId="16968" xr:uid="{00000000-0005-0000-0000-0000E6190000}"/>
    <cellStyle name="Moneda 2 2 3 2 2 2 2 8" xfId="16972" xr:uid="{00000000-0005-0000-0000-0000E7190000}"/>
    <cellStyle name="Moneda 2 2 3 2 2 2 3" xfId="15371" xr:uid="{00000000-0005-0000-0000-0000E8190000}"/>
    <cellStyle name="Moneda 2 2 3 2 2 2 3 2" xfId="4977" xr:uid="{00000000-0005-0000-0000-0000E9190000}"/>
    <cellStyle name="Moneda 2 2 3 2 2 2 3 2 2" xfId="16014" xr:uid="{00000000-0005-0000-0000-0000EA190000}"/>
    <cellStyle name="Moneda 2 2 3 2 2 2 3 2 2 2" xfId="16019" xr:uid="{00000000-0005-0000-0000-0000EB190000}"/>
    <cellStyle name="Moneda 2 2 3 2 2 2 3 2 3" xfId="16025" xr:uid="{00000000-0005-0000-0000-0000EC190000}"/>
    <cellStyle name="Moneda 2 2 3 2 2 2 3 3" xfId="4992" xr:uid="{00000000-0005-0000-0000-0000ED190000}"/>
    <cellStyle name="Moneda 2 2 3 2 2 2 3 3 2" xfId="16140" xr:uid="{00000000-0005-0000-0000-0000EE190000}"/>
    <cellStyle name="Moneda 2 2 3 2 2 2 3 4" xfId="16974" xr:uid="{00000000-0005-0000-0000-0000EF190000}"/>
    <cellStyle name="Moneda 2 2 3 2 2 2 4" xfId="16979" xr:uid="{00000000-0005-0000-0000-0000F0190000}"/>
    <cellStyle name="Moneda 2 2 3 2 2 2 4 2" xfId="16725" xr:uid="{00000000-0005-0000-0000-0000F1190000}"/>
    <cellStyle name="Moneda 2 2 3 2 2 2 4 2 2" xfId="16513" xr:uid="{00000000-0005-0000-0000-0000F2190000}"/>
    <cellStyle name="Moneda 2 2 3 2 2 2 4 3" xfId="16733" xr:uid="{00000000-0005-0000-0000-0000F3190000}"/>
    <cellStyle name="Moneda 2 2 3 2 2 2 5" xfId="16980" xr:uid="{00000000-0005-0000-0000-0000F4190000}"/>
    <cellStyle name="Moneda 2 2 3 2 2 2 5 2" xfId="16716" xr:uid="{00000000-0005-0000-0000-0000F5190000}"/>
    <cellStyle name="Moneda 2 2 3 2 2 2 5 2 2" xfId="16664" xr:uid="{00000000-0005-0000-0000-0000F6190000}"/>
    <cellStyle name="Moneda 2 2 3 2 2 2 5 3" xfId="16720" xr:uid="{00000000-0005-0000-0000-0000F7190000}"/>
    <cellStyle name="Moneda 2 2 3 2 2 2 6" xfId="16982" xr:uid="{00000000-0005-0000-0000-0000F8190000}"/>
    <cellStyle name="Moneda 2 2 3 2 2 2 6 2" xfId="16984" xr:uid="{00000000-0005-0000-0000-0000F9190000}"/>
    <cellStyle name="Moneda 2 2 3 2 2 2 7" xfId="16985" xr:uid="{00000000-0005-0000-0000-0000FA190000}"/>
    <cellStyle name="Moneda 2 2 3 2 2 2 7 2" xfId="16986" xr:uid="{00000000-0005-0000-0000-0000FB190000}"/>
    <cellStyle name="Moneda 2 2 3 2 2 2 8" xfId="15475" xr:uid="{00000000-0005-0000-0000-0000FC190000}"/>
    <cellStyle name="Moneda 2 2 3 2 2 2 9" xfId="15483" xr:uid="{00000000-0005-0000-0000-0000FD190000}"/>
    <cellStyle name="Moneda 2 2 3 2 2 3" xfId="16987" xr:uid="{00000000-0005-0000-0000-0000FE190000}"/>
    <cellStyle name="Moneda 2 2 3 2 2 3 2" xfId="16988" xr:uid="{00000000-0005-0000-0000-0000FF190000}"/>
    <cellStyle name="Moneda 2 2 3 2 2 3 2 2" xfId="16989" xr:uid="{00000000-0005-0000-0000-0000001A0000}"/>
    <cellStyle name="Moneda 2 2 3 2 2 3 2 2 2" xfId="16991" xr:uid="{00000000-0005-0000-0000-0000011A0000}"/>
    <cellStyle name="Moneda 2 2 3 2 2 3 2 2 2 2" xfId="14627" xr:uid="{00000000-0005-0000-0000-0000021A0000}"/>
    <cellStyle name="Moneda 2 2 3 2 2 3 2 2 3" xfId="16992" xr:uid="{00000000-0005-0000-0000-0000031A0000}"/>
    <cellStyle name="Moneda 2 2 3 2 2 3 2 3" xfId="16993" xr:uid="{00000000-0005-0000-0000-0000041A0000}"/>
    <cellStyle name="Moneda 2 2 3 2 2 3 2 3 2" xfId="13098" xr:uid="{00000000-0005-0000-0000-0000051A0000}"/>
    <cellStyle name="Moneda 2 2 3 2 2 3 2 4" xfId="4291" xr:uid="{00000000-0005-0000-0000-0000061A0000}"/>
    <cellStyle name="Moneda 2 2 3 2 2 3 3" xfId="14023" xr:uid="{00000000-0005-0000-0000-0000071A0000}"/>
    <cellStyle name="Moneda 2 2 3 2 2 3 3 2" xfId="16998" xr:uid="{00000000-0005-0000-0000-0000081A0000}"/>
    <cellStyle name="Moneda 2 2 3 2 2 3 3 2 2" xfId="13866" xr:uid="{00000000-0005-0000-0000-0000091A0000}"/>
    <cellStyle name="Moneda 2 2 3 2 2 3 3 3" xfId="17001" xr:uid="{00000000-0005-0000-0000-00000A1A0000}"/>
    <cellStyle name="Moneda 2 2 3 2 2 3 4" xfId="9336" xr:uid="{00000000-0005-0000-0000-00000B1A0000}"/>
    <cellStyle name="Moneda 2 2 3 2 2 3 4 2" xfId="1756" xr:uid="{00000000-0005-0000-0000-00000C1A0000}"/>
    <cellStyle name="Moneda 2 2 3 2 2 3 4 2 2" xfId="9341" xr:uid="{00000000-0005-0000-0000-00000D1A0000}"/>
    <cellStyle name="Moneda 2 2 3 2 2 3 4 3" xfId="1958" xr:uid="{00000000-0005-0000-0000-00000E1A0000}"/>
    <cellStyle name="Moneda 2 2 3 2 2 3 5" xfId="9356" xr:uid="{00000000-0005-0000-0000-00000F1A0000}"/>
    <cellStyle name="Moneda 2 2 3 2 2 3 5 2" xfId="9363" xr:uid="{00000000-0005-0000-0000-0000101A0000}"/>
    <cellStyle name="Moneda 2 2 3 2 2 3 6" xfId="9378" xr:uid="{00000000-0005-0000-0000-0000111A0000}"/>
    <cellStyle name="Moneda 2 2 3 2 2 3 6 2" xfId="9386" xr:uid="{00000000-0005-0000-0000-0000121A0000}"/>
    <cellStyle name="Moneda 2 2 3 2 2 3 7" xfId="9401" xr:uid="{00000000-0005-0000-0000-0000131A0000}"/>
    <cellStyle name="Moneda 2 2 3 2 2 3 8" xfId="9423" xr:uid="{00000000-0005-0000-0000-0000141A0000}"/>
    <cellStyle name="Moneda 2 2 3 2 2 4" xfId="17002" xr:uid="{00000000-0005-0000-0000-0000151A0000}"/>
    <cellStyle name="Moneda 2 2 3 2 2 4 2" xfId="10556" xr:uid="{00000000-0005-0000-0000-0000161A0000}"/>
    <cellStyle name="Moneda 2 2 3 2 2 4 2 2" xfId="17003" xr:uid="{00000000-0005-0000-0000-0000171A0000}"/>
    <cellStyle name="Moneda 2 2 3 2 2 4 2 2 2" xfId="17004" xr:uid="{00000000-0005-0000-0000-0000181A0000}"/>
    <cellStyle name="Moneda 2 2 3 2 2 4 2 3" xfId="17005" xr:uid="{00000000-0005-0000-0000-0000191A0000}"/>
    <cellStyle name="Moneda 2 2 3 2 2 4 3" xfId="2002" xr:uid="{00000000-0005-0000-0000-00001A1A0000}"/>
    <cellStyle name="Moneda 2 2 3 2 2 4 3 2" xfId="2020" xr:uid="{00000000-0005-0000-0000-00001B1A0000}"/>
    <cellStyle name="Moneda 2 2 3 2 2 4 4" xfId="2067" xr:uid="{00000000-0005-0000-0000-00001C1A0000}"/>
    <cellStyle name="Moneda 2 2 3 2 2 5" xfId="13047" xr:uid="{00000000-0005-0000-0000-00001D1A0000}"/>
    <cellStyle name="Moneda 2 2 3 2 2 5 2" xfId="13050" xr:uid="{00000000-0005-0000-0000-00001E1A0000}"/>
    <cellStyle name="Moneda 2 2 3 2 2 5 2 2" xfId="13054" xr:uid="{00000000-0005-0000-0000-00001F1A0000}"/>
    <cellStyle name="Moneda 2 2 3 2 2 5 3" xfId="2187" xr:uid="{00000000-0005-0000-0000-0000201A0000}"/>
    <cellStyle name="Moneda 2 2 3 2 2 6" xfId="13060" xr:uid="{00000000-0005-0000-0000-0000211A0000}"/>
    <cellStyle name="Moneda 2 2 3 2 2 6 2" xfId="595" xr:uid="{00000000-0005-0000-0000-0000221A0000}"/>
    <cellStyle name="Moneda 2 2 3 2 2 6 2 2" xfId="840" xr:uid="{00000000-0005-0000-0000-0000231A0000}"/>
    <cellStyle name="Moneda 2 2 3 2 2 6 3" xfId="693" xr:uid="{00000000-0005-0000-0000-0000241A0000}"/>
    <cellStyle name="Moneda 2 2 3 2 2 7" xfId="13065" xr:uid="{00000000-0005-0000-0000-0000251A0000}"/>
    <cellStyle name="Moneda 2 2 3 2 2 7 2" xfId="5835" xr:uid="{00000000-0005-0000-0000-0000261A0000}"/>
    <cellStyle name="Moneda 2 2 3 2 2 8" xfId="13069" xr:uid="{00000000-0005-0000-0000-0000271A0000}"/>
    <cellStyle name="Moneda 2 2 3 2 2 8 2" xfId="1233" xr:uid="{00000000-0005-0000-0000-0000281A0000}"/>
    <cellStyle name="Moneda 2 2 3 2 2 9" xfId="5878" xr:uid="{00000000-0005-0000-0000-0000291A0000}"/>
    <cellStyle name="Moneda 2 2 3 2 3" xfId="11616" xr:uid="{00000000-0005-0000-0000-00002A1A0000}"/>
    <cellStyle name="Moneda 2 2 3 2 3 2" xfId="17007" xr:uid="{00000000-0005-0000-0000-00002B1A0000}"/>
    <cellStyle name="Moneda 2 2 3 2 3 2 2" xfId="15497" xr:uid="{00000000-0005-0000-0000-00002C1A0000}"/>
    <cellStyle name="Moneda 2 2 3 2 3 2 2 2" xfId="14159" xr:uid="{00000000-0005-0000-0000-00002D1A0000}"/>
    <cellStyle name="Moneda 2 2 3 2 3 2 2 2 2" xfId="14163" xr:uid="{00000000-0005-0000-0000-00002E1A0000}"/>
    <cellStyle name="Moneda 2 2 3 2 3 2 2 2 2 2" xfId="14169" xr:uid="{00000000-0005-0000-0000-00002F1A0000}"/>
    <cellStyle name="Moneda 2 2 3 2 3 2 2 2 3" xfId="14174" xr:uid="{00000000-0005-0000-0000-0000301A0000}"/>
    <cellStyle name="Moneda 2 2 3 2 3 2 2 3" xfId="8219" xr:uid="{00000000-0005-0000-0000-0000311A0000}"/>
    <cellStyle name="Moneda 2 2 3 2 3 2 2 3 2" xfId="14185" xr:uid="{00000000-0005-0000-0000-0000321A0000}"/>
    <cellStyle name="Moneda 2 2 3 2 3 2 2 4" xfId="13305" xr:uid="{00000000-0005-0000-0000-0000331A0000}"/>
    <cellStyle name="Moneda 2 2 3 2 3 2 2 5" xfId="14204" xr:uid="{00000000-0005-0000-0000-0000341A0000}"/>
    <cellStyle name="Moneda 2 2 3 2 3 2 3" xfId="15504" xr:uid="{00000000-0005-0000-0000-0000351A0000}"/>
    <cellStyle name="Moneda 2 2 3 2 3 2 3 2" xfId="6392" xr:uid="{00000000-0005-0000-0000-0000361A0000}"/>
    <cellStyle name="Moneda 2 2 3 2 3 2 3 2 2" xfId="14310" xr:uid="{00000000-0005-0000-0000-0000371A0000}"/>
    <cellStyle name="Moneda 2 2 3 2 3 2 3 3" xfId="6402" xr:uid="{00000000-0005-0000-0000-0000381A0000}"/>
    <cellStyle name="Moneda 2 2 3 2 3 2 4" xfId="17014" xr:uid="{00000000-0005-0000-0000-0000391A0000}"/>
    <cellStyle name="Moneda 2 2 3 2 3 2 4 2" xfId="14394" xr:uid="{00000000-0005-0000-0000-00003A1A0000}"/>
    <cellStyle name="Moneda 2 2 3 2 3 2 4 2 2" xfId="14401" xr:uid="{00000000-0005-0000-0000-00003B1A0000}"/>
    <cellStyle name="Moneda 2 2 3 2 3 2 4 3" xfId="14406" xr:uid="{00000000-0005-0000-0000-00003C1A0000}"/>
    <cellStyle name="Moneda 2 2 3 2 3 2 5" xfId="17018" xr:uid="{00000000-0005-0000-0000-00003D1A0000}"/>
    <cellStyle name="Moneda 2 2 3 2 3 2 5 2" xfId="14467" xr:uid="{00000000-0005-0000-0000-00003E1A0000}"/>
    <cellStyle name="Moneda 2 2 3 2 3 2 6" xfId="17021" xr:uid="{00000000-0005-0000-0000-00003F1A0000}"/>
    <cellStyle name="Moneda 2 2 3 2 3 2 6 2" xfId="14511" xr:uid="{00000000-0005-0000-0000-0000401A0000}"/>
    <cellStyle name="Moneda 2 2 3 2 3 2 7" xfId="17023" xr:uid="{00000000-0005-0000-0000-0000411A0000}"/>
    <cellStyle name="Moneda 2 2 3 2 3 2 8" xfId="15518" xr:uid="{00000000-0005-0000-0000-0000421A0000}"/>
    <cellStyle name="Moneda 2 2 3 2 3 3" xfId="17024" xr:uid="{00000000-0005-0000-0000-0000431A0000}"/>
    <cellStyle name="Moneda 2 2 3 2 3 3 2" xfId="17025" xr:uid="{00000000-0005-0000-0000-0000441A0000}"/>
    <cellStyle name="Moneda 2 2 3 2 3 3 2 2" xfId="14691" xr:uid="{00000000-0005-0000-0000-0000451A0000}"/>
    <cellStyle name="Moneda 2 2 3 2 3 3 2 2 2" xfId="14697" xr:uid="{00000000-0005-0000-0000-0000461A0000}"/>
    <cellStyle name="Moneda 2 2 3 2 3 3 2 3" xfId="14704" xr:uid="{00000000-0005-0000-0000-0000471A0000}"/>
    <cellStyle name="Moneda 2 2 3 2 3 3 3" xfId="17031" xr:uid="{00000000-0005-0000-0000-0000481A0000}"/>
    <cellStyle name="Moneda 2 2 3 2 3 3 3 2" xfId="14781" xr:uid="{00000000-0005-0000-0000-0000491A0000}"/>
    <cellStyle name="Moneda 2 2 3 2 3 3 4" xfId="9479" xr:uid="{00000000-0005-0000-0000-00004A1A0000}"/>
    <cellStyle name="Moneda 2 2 3 2 3 3 5" xfId="9513" xr:uid="{00000000-0005-0000-0000-00004B1A0000}"/>
    <cellStyle name="Moneda 2 2 3 2 3 4" xfId="16475" xr:uid="{00000000-0005-0000-0000-00004C1A0000}"/>
    <cellStyle name="Moneda 2 2 3 2 3 4 2" xfId="17034" xr:uid="{00000000-0005-0000-0000-00004D1A0000}"/>
    <cellStyle name="Moneda 2 2 3 2 3 4 2 2" xfId="14880" xr:uid="{00000000-0005-0000-0000-00004E1A0000}"/>
    <cellStyle name="Moneda 2 2 3 2 3 4 3" xfId="2501" xr:uid="{00000000-0005-0000-0000-00004F1A0000}"/>
    <cellStyle name="Moneda 2 2 3 2 3 5" xfId="17037" xr:uid="{00000000-0005-0000-0000-0000501A0000}"/>
    <cellStyle name="Moneda 2 2 3 2 3 5 2" xfId="17040" xr:uid="{00000000-0005-0000-0000-0000511A0000}"/>
    <cellStyle name="Moneda 2 2 3 2 3 5 2 2" xfId="15004" xr:uid="{00000000-0005-0000-0000-0000521A0000}"/>
    <cellStyle name="Moneda 2 2 3 2 3 5 3" xfId="2748" xr:uid="{00000000-0005-0000-0000-0000531A0000}"/>
    <cellStyle name="Moneda 2 2 3 2 3 6" xfId="17044" xr:uid="{00000000-0005-0000-0000-0000541A0000}"/>
    <cellStyle name="Moneda 2 2 3 2 3 6 2" xfId="5941" xr:uid="{00000000-0005-0000-0000-0000551A0000}"/>
    <cellStyle name="Moneda 2 2 3 2 3 7" xfId="17045" xr:uid="{00000000-0005-0000-0000-0000561A0000}"/>
    <cellStyle name="Moneda 2 2 3 2 3 7 2" xfId="6035" xr:uid="{00000000-0005-0000-0000-0000571A0000}"/>
    <cellStyle name="Moneda 2 2 3 2 3 8" xfId="17046" xr:uid="{00000000-0005-0000-0000-0000581A0000}"/>
    <cellStyle name="Moneda 2 2 3 2 3 9" xfId="17047" xr:uid="{00000000-0005-0000-0000-0000591A0000}"/>
    <cellStyle name="Moneda 2 2 3 2 4" xfId="9041" xr:uid="{00000000-0005-0000-0000-00005A1A0000}"/>
    <cellStyle name="Moneda 2 2 3 2 4 2" xfId="17050" xr:uid="{00000000-0005-0000-0000-00005B1A0000}"/>
    <cellStyle name="Moneda 2 2 3 2 4 2 2" xfId="15581" xr:uid="{00000000-0005-0000-0000-00005C1A0000}"/>
    <cellStyle name="Moneda 2 2 3 2 4 2 2 2" xfId="15228" xr:uid="{00000000-0005-0000-0000-00005D1A0000}"/>
    <cellStyle name="Moneda 2 2 3 2 4 2 2 2 2" xfId="955" xr:uid="{00000000-0005-0000-0000-00005E1A0000}"/>
    <cellStyle name="Moneda 2 2 3 2 4 2 2 2 2 2" xfId="6577" xr:uid="{00000000-0005-0000-0000-00005F1A0000}"/>
    <cellStyle name="Moneda 2 2 3 2 4 2 2 2 3" xfId="6596" xr:uid="{00000000-0005-0000-0000-0000601A0000}"/>
    <cellStyle name="Moneda 2 2 3 2 4 2 2 3" xfId="15230" xr:uid="{00000000-0005-0000-0000-0000611A0000}"/>
    <cellStyle name="Moneda 2 2 3 2 4 2 2 3 2" xfId="5707" xr:uid="{00000000-0005-0000-0000-0000621A0000}"/>
    <cellStyle name="Moneda 2 2 3 2 4 2 2 4" xfId="15232" xr:uid="{00000000-0005-0000-0000-0000631A0000}"/>
    <cellStyle name="Moneda 2 2 3 2 4 2 3" xfId="15586" xr:uid="{00000000-0005-0000-0000-0000641A0000}"/>
    <cellStyle name="Moneda 2 2 3 2 4 2 3 2" xfId="15266" xr:uid="{00000000-0005-0000-0000-0000651A0000}"/>
    <cellStyle name="Moneda 2 2 3 2 4 2 3 2 2" xfId="4198" xr:uid="{00000000-0005-0000-0000-0000661A0000}"/>
    <cellStyle name="Moneda 2 2 3 2 4 2 3 3" xfId="15270" xr:uid="{00000000-0005-0000-0000-0000671A0000}"/>
    <cellStyle name="Moneda 2 2 3 2 4 2 4" xfId="10158" xr:uid="{00000000-0005-0000-0000-0000681A0000}"/>
    <cellStyle name="Moneda 2 2 3 2 4 2 4 2" xfId="15296" xr:uid="{00000000-0005-0000-0000-0000691A0000}"/>
    <cellStyle name="Moneda 2 2 3 2 4 2 4 2 2" xfId="3885" xr:uid="{00000000-0005-0000-0000-00006A1A0000}"/>
    <cellStyle name="Moneda 2 2 3 2 4 2 4 3" xfId="17051" xr:uid="{00000000-0005-0000-0000-00006B1A0000}"/>
    <cellStyle name="Moneda 2 2 3 2 4 2 5" xfId="17052" xr:uid="{00000000-0005-0000-0000-00006C1A0000}"/>
    <cellStyle name="Moneda 2 2 3 2 4 2 5 2" xfId="17053" xr:uid="{00000000-0005-0000-0000-00006D1A0000}"/>
    <cellStyle name="Moneda 2 2 3 2 4 2 6" xfId="17054" xr:uid="{00000000-0005-0000-0000-00006E1A0000}"/>
    <cellStyle name="Moneda 2 2 3 2 4 2 6 2" xfId="17055" xr:uid="{00000000-0005-0000-0000-00006F1A0000}"/>
    <cellStyle name="Moneda 2 2 3 2 4 2 7" xfId="11122" xr:uid="{00000000-0005-0000-0000-0000701A0000}"/>
    <cellStyle name="Moneda 2 2 3 2 4 2 8" xfId="15534" xr:uid="{00000000-0005-0000-0000-0000711A0000}"/>
    <cellStyle name="Moneda 2 2 3 2 4 3" xfId="17056" xr:uid="{00000000-0005-0000-0000-0000721A0000}"/>
    <cellStyle name="Moneda 2 2 3 2 4 3 2" xfId="17058" xr:uid="{00000000-0005-0000-0000-0000731A0000}"/>
    <cellStyle name="Moneda 2 2 3 2 4 3 2 2" xfId="15352" xr:uid="{00000000-0005-0000-0000-0000741A0000}"/>
    <cellStyle name="Moneda 2 2 3 2 4 3 2 2 2" xfId="5396" xr:uid="{00000000-0005-0000-0000-0000751A0000}"/>
    <cellStyle name="Moneda 2 2 3 2 4 3 2 3" xfId="15361" xr:uid="{00000000-0005-0000-0000-0000761A0000}"/>
    <cellStyle name="Moneda 2 2 3 2 4 3 3" xfId="17063" xr:uid="{00000000-0005-0000-0000-0000771A0000}"/>
    <cellStyle name="Moneda 2 2 3 2 4 3 3 2" xfId="15407" xr:uid="{00000000-0005-0000-0000-0000781A0000}"/>
    <cellStyle name="Moneda 2 2 3 2 4 3 4" xfId="9654" xr:uid="{00000000-0005-0000-0000-0000791A0000}"/>
    <cellStyle name="Moneda 2 2 3 2 4 4" xfId="17067" xr:uid="{00000000-0005-0000-0000-00007A1A0000}"/>
    <cellStyle name="Moneda 2 2 3 2 4 4 2" xfId="17069" xr:uid="{00000000-0005-0000-0000-00007B1A0000}"/>
    <cellStyle name="Moneda 2 2 3 2 4 4 2 2" xfId="15492" xr:uid="{00000000-0005-0000-0000-00007C1A0000}"/>
    <cellStyle name="Moneda 2 2 3 2 4 4 3" xfId="2981" xr:uid="{00000000-0005-0000-0000-00007D1A0000}"/>
    <cellStyle name="Moneda 2 2 3 2 4 5" xfId="1546" xr:uid="{00000000-0005-0000-0000-00007E1A0000}"/>
    <cellStyle name="Moneda 2 2 3 2 4 5 2" xfId="17070" xr:uid="{00000000-0005-0000-0000-00007F1A0000}"/>
    <cellStyle name="Moneda 2 2 3 2 4 5 2 2" xfId="15574" xr:uid="{00000000-0005-0000-0000-0000801A0000}"/>
    <cellStyle name="Moneda 2 2 3 2 4 5 3" xfId="1602" xr:uid="{00000000-0005-0000-0000-0000811A0000}"/>
    <cellStyle name="Moneda 2 2 3 2 4 6" xfId="17072" xr:uid="{00000000-0005-0000-0000-0000821A0000}"/>
    <cellStyle name="Moneda 2 2 3 2 4 6 2" xfId="6105" xr:uid="{00000000-0005-0000-0000-0000831A0000}"/>
    <cellStyle name="Moneda 2 2 3 2 4 7" xfId="17073" xr:uid="{00000000-0005-0000-0000-0000841A0000}"/>
    <cellStyle name="Moneda 2 2 3 2 4 7 2" xfId="3267" xr:uid="{00000000-0005-0000-0000-0000851A0000}"/>
    <cellStyle name="Moneda 2 2 3 2 4 8" xfId="17074" xr:uid="{00000000-0005-0000-0000-0000861A0000}"/>
    <cellStyle name="Moneda 2 2 3 2 4 9" xfId="16962" xr:uid="{00000000-0005-0000-0000-0000871A0000}"/>
    <cellStyle name="Moneda 2 2 3 2 5" xfId="3262" xr:uid="{00000000-0005-0000-0000-0000881A0000}"/>
    <cellStyle name="Moneda 2 2 3 2 5 2" xfId="1130" xr:uid="{00000000-0005-0000-0000-0000891A0000}"/>
    <cellStyle name="Moneda 2 2 3 2 5 2 2" xfId="17075" xr:uid="{00000000-0005-0000-0000-00008A1A0000}"/>
    <cellStyle name="Moneda 2 2 3 2 5 2 2 2" xfId="12183" xr:uid="{00000000-0005-0000-0000-00008B1A0000}"/>
    <cellStyle name="Moneda 2 2 3 2 5 2 2 2 2" xfId="15731" xr:uid="{00000000-0005-0000-0000-00008C1A0000}"/>
    <cellStyle name="Moneda 2 2 3 2 5 2 2 2 2 2" xfId="15741" xr:uid="{00000000-0005-0000-0000-00008D1A0000}"/>
    <cellStyle name="Moneda 2 2 3 2 5 2 2 2 3" xfId="15747" xr:uid="{00000000-0005-0000-0000-00008E1A0000}"/>
    <cellStyle name="Moneda 2 2 3 2 5 2 2 3" xfId="15750" xr:uid="{00000000-0005-0000-0000-00008F1A0000}"/>
    <cellStyle name="Moneda 2 2 3 2 5 2 2 3 2" xfId="15757" xr:uid="{00000000-0005-0000-0000-0000901A0000}"/>
    <cellStyle name="Moneda 2 2 3 2 5 2 2 4" xfId="15760" xr:uid="{00000000-0005-0000-0000-0000911A0000}"/>
    <cellStyle name="Moneda 2 2 3 2 5 2 3" xfId="17079" xr:uid="{00000000-0005-0000-0000-0000921A0000}"/>
    <cellStyle name="Moneda 2 2 3 2 5 2 3 2" xfId="15778" xr:uid="{00000000-0005-0000-0000-0000931A0000}"/>
    <cellStyle name="Moneda 2 2 3 2 5 2 3 2 2" xfId="17082" xr:uid="{00000000-0005-0000-0000-0000941A0000}"/>
    <cellStyle name="Moneda 2 2 3 2 5 2 3 3" xfId="15783" xr:uid="{00000000-0005-0000-0000-0000951A0000}"/>
    <cellStyle name="Moneda 2 2 3 2 5 2 4" xfId="610" xr:uid="{00000000-0005-0000-0000-0000961A0000}"/>
    <cellStyle name="Moneda 2 2 3 2 5 2 4 2" xfId="3103" xr:uid="{00000000-0005-0000-0000-0000971A0000}"/>
    <cellStyle name="Moneda 2 2 3 2 5 2 4 2 2" xfId="14527" xr:uid="{00000000-0005-0000-0000-0000981A0000}"/>
    <cellStyle name="Moneda 2 2 3 2 5 2 4 3" xfId="16967" xr:uid="{00000000-0005-0000-0000-0000991A0000}"/>
    <cellStyle name="Moneda 2 2 3 2 5 2 5" xfId="7736" xr:uid="{00000000-0005-0000-0000-00009A1A0000}"/>
    <cellStyle name="Moneda 2 2 3 2 5 2 5 2" xfId="5359" xr:uid="{00000000-0005-0000-0000-00009B1A0000}"/>
    <cellStyle name="Moneda 2 2 3 2 5 2 6" xfId="8297" xr:uid="{00000000-0005-0000-0000-00009C1A0000}"/>
    <cellStyle name="Moneda 2 2 3 2 5 2 6 2" xfId="5375" xr:uid="{00000000-0005-0000-0000-00009D1A0000}"/>
    <cellStyle name="Moneda 2 2 3 2 5 2 7" xfId="8394" xr:uid="{00000000-0005-0000-0000-00009E1A0000}"/>
    <cellStyle name="Moneda 2 2 3 2 5 2 8" xfId="8475" xr:uid="{00000000-0005-0000-0000-00009F1A0000}"/>
    <cellStyle name="Moneda 2 2 3 2 5 3" xfId="17083" xr:uid="{00000000-0005-0000-0000-0000A01A0000}"/>
    <cellStyle name="Moneda 2 2 3 2 5 3 2" xfId="17086" xr:uid="{00000000-0005-0000-0000-0000A11A0000}"/>
    <cellStyle name="Moneda 2 2 3 2 5 3 2 2" xfId="15818" xr:uid="{00000000-0005-0000-0000-0000A21A0000}"/>
    <cellStyle name="Moneda 2 2 3 2 5 3 2 2 2" xfId="15826" xr:uid="{00000000-0005-0000-0000-0000A31A0000}"/>
    <cellStyle name="Moneda 2 2 3 2 5 3 2 3" xfId="15833" xr:uid="{00000000-0005-0000-0000-0000A41A0000}"/>
    <cellStyle name="Moneda 2 2 3 2 5 3 3" xfId="17091" xr:uid="{00000000-0005-0000-0000-0000A51A0000}"/>
    <cellStyle name="Moneda 2 2 3 2 5 3 3 2" xfId="15854" xr:uid="{00000000-0005-0000-0000-0000A61A0000}"/>
    <cellStyle name="Moneda 2 2 3 2 5 3 4" xfId="2868" xr:uid="{00000000-0005-0000-0000-0000A71A0000}"/>
    <cellStyle name="Moneda 2 2 3 2 5 4" xfId="17095" xr:uid="{00000000-0005-0000-0000-0000A81A0000}"/>
    <cellStyle name="Moneda 2 2 3 2 5 4 2" xfId="17096" xr:uid="{00000000-0005-0000-0000-0000A91A0000}"/>
    <cellStyle name="Moneda 2 2 3 2 5 4 2 2" xfId="15879" xr:uid="{00000000-0005-0000-0000-0000AA1A0000}"/>
    <cellStyle name="Moneda 2 2 3 2 5 4 3" xfId="1433" xr:uid="{00000000-0005-0000-0000-0000AB1A0000}"/>
    <cellStyle name="Moneda 2 2 3 2 5 5" xfId="17099" xr:uid="{00000000-0005-0000-0000-0000AC1A0000}"/>
    <cellStyle name="Moneda 2 2 3 2 5 5 2" xfId="17100" xr:uid="{00000000-0005-0000-0000-0000AD1A0000}"/>
    <cellStyle name="Moneda 2 2 3 2 5 5 2 2" xfId="15894" xr:uid="{00000000-0005-0000-0000-0000AE1A0000}"/>
    <cellStyle name="Moneda 2 2 3 2 5 5 3" xfId="17103" xr:uid="{00000000-0005-0000-0000-0000AF1A0000}"/>
    <cellStyle name="Moneda 2 2 3 2 5 6" xfId="17104" xr:uid="{00000000-0005-0000-0000-0000B01A0000}"/>
    <cellStyle name="Moneda 2 2 3 2 5 6 2" xfId="6183" xr:uid="{00000000-0005-0000-0000-0000B11A0000}"/>
    <cellStyle name="Moneda 2 2 3 2 5 7" xfId="17105" xr:uid="{00000000-0005-0000-0000-0000B21A0000}"/>
    <cellStyle name="Moneda 2 2 3 2 5 7 2" xfId="17106" xr:uid="{00000000-0005-0000-0000-0000B31A0000}"/>
    <cellStyle name="Moneda 2 2 3 2 5 8" xfId="17107" xr:uid="{00000000-0005-0000-0000-0000B41A0000}"/>
    <cellStyle name="Moneda 2 2 3 2 5 9" xfId="17108" xr:uid="{00000000-0005-0000-0000-0000B51A0000}"/>
    <cellStyle name="Moneda 2 2 3 2 6" xfId="4945" xr:uid="{00000000-0005-0000-0000-0000B61A0000}"/>
    <cellStyle name="Moneda 2 2 3 2 6 2" xfId="1655" xr:uid="{00000000-0005-0000-0000-0000B71A0000}"/>
    <cellStyle name="Moneda 2 2 3 2 6 2 2" xfId="11767" xr:uid="{00000000-0005-0000-0000-0000B81A0000}"/>
    <cellStyle name="Moneda 2 2 3 2 6 2 2 2" xfId="13102" xr:uid="{00000000-0005-0000-0000-0000B91A0000}"/>
    <cellStyle name="Moneda 2 2 3 2 6 2 2 2 2" xfId="9630" xr:uid="{00000000-0005-0000-0000-0000BA1A0000}"/>
    <cellStyle name="Moneda 2 2 3 2 6 2 2 3" xfId="11801" xr:uid="{00000000-0005-0000-0000-0000BB1A0000}"/>
    <cellStyle name="Moneda 2 2 3 2 6 2 3" xfId="6164" xr:uid="{00000000-0005-0000-0000-0000BC1A0000}"/>
    <cellStyle name="Moneda 2 2 3 2 6 2 3 2" xfId="6176" xr:uid="{00000000-0005-0000-0000-0000BD1A0000}"/>
    <cellStyle name="Moneda 2 2 3 2 6 2 4" xfId="6200" xr:uid="{00000000-0005-0000-0000-0000BE1A0000}"/>
    <cellStyle name="Moneda 2 2 3 2 6 2 5" xfId="6211" xr:uid="{00000000-0005-0000-0000-0000BF1A0000}"/>
    <cellStyle name="Moneda 2 2 3 2 6 3" xfId="11778" xr:uid="{00000000-0005-0000-0000-0000C01A0000}"/>
    <cellStyle name="Moneda 2 2 3 2 6 3 2" xfId="13114" xr:uid="{00000000-0005-0000-0000-0000C11A0000}"/>
    <cellStyle name="Moneda 2 2 3 2 6 3 2 2" xfId="10032" xr:uid="{00000000-0005-0000-0000-0000C21A0000}"/>
    <cellStyle name="Moneda 2 2 3 2 6 3 3" xfId="6221" xr:uid="{00000000-0005-0000-0000-0000C31A0000}"/>
    <cellStyle name="Moneda 2 2 3 2 6 4" xfId="12258" xr:uid="{00000000-0005-0000-0000-0000C41A0000}"/>
    <cellStyle name="Moneda 2 2 3 2 6 4 2" xfId="13124" xr:uid="{00000000-0005-0000-0000-0000C51A0000}"/>
    <cellStyle name="Moneda 2 2 3 2 6 4 2 2" xfId="17110" xr:uid="{00000000-0005-0000-0000-0000C61A0000}"/>
    <cellStyle name="Moneda 2 2 3 2 6 4 3" xfId="1917" xr:uid="{00000000-0005-0000-0000-0000C71A0000}"/>
    <cellStyle name="Moneda 2 2 3 2 6 5" xfId="17114" xr:uid="{00000000-0005-0000-0000-0000C81A0000}"/>
    <cellStyle name="Moneda 2 2 3 2 6 5 2" xfId="17116" xr:uid="{00000000-0005-0000-0000-0000C91A0000}"/>
    <cellStyle name="Moneda 2 2 3 2 6 6" xfId="13863" xr:uid="{00000000-0005-0000-0000-0000CA1A0000}"/>
    <cellStyle name="Moneda 2 2 3 2 6 6 2" xfId="13868" xr:uid="{00000000-0005-0000-0000-0000CB1A0000}"/>
    <cellStyle name="Moneda 2 2 3 2 6 7" xfId="13881" xr:uid="{00000000-0005-0000-0000-0000CC1A0000}"/>
    <cellStyle name="Moneda 2 2 3 2 6 8" xfId="1056" xr:uid="{00000000-0005-0000-0000-0000CD1A0000}"/>
    <cellStyle name="Moneda 2 2 3 2 7" xfId="9750" xr:uid="{00000000-0005-0000-0000-0000CE1A0000}"/>
    <cellStyle name="Moneda 2 2 3 2 7 2" xfId="11250" xr:uid="{00000000-0005-0000-0000-0000CF1A0000}"/>
    <cellStyle name="Moneda 2 2 3 2 7 2 2" xfId="13155" xr:uid="{00000000-0005-0000-0000-0000D01A0000}"/>
    <cellStyle name="Moneda 2 2 3 2 7 2 2 2" xfId="15973" xr:uid="{00000000-0005-0000-0000-0000D11A0000}"/>
    <cellStyle name="Moneda 2 2 3 2 7 2 3" xfId="17119" xr:uid="{00000000-0005-0000-0000-0000D21A0000}"/>
    <cellStyle name="Moneda 2 2 3 2 7 3" xfId="17124" xr:uid="{00000000-0005-0000-0000-0000D31A0000}"/>
    <cellStyle name="Moneda 2 2 3 2 7 3 2" xfId="13173" xr:uid="{00000000-0005-0000-0000-0000D41A0000}"/>
    <cellStyle name="Moneda 2 2 3 2 7 4" xfId="17125" xr:uid="{00000000-0005-0000-0000-0000D51A0000}"/>
    <cellStyle name="Moneda 2 2 3 2 7 5" xfId="13112" xr:uid="{00000000-0005-0000-0000-0000D61A0000}"/>
    <cellStyle name="Moneda 2 2 3 2 8" xfId="11258" xr:uid="{00000000-0005-0000-0000-0000D71A0000}"/>
    <cellStyle name="Moneda 2 2 3 2 8 2" xfId="9114" xr:uid="{00000000-0005-0000-0000-0000D81A0000}"/>
    <cellStyle name="Moneda 2 2 3 2 8 2 2" xfId="9134" xr:uid="{00000000-0005-0000-0000-0000D91A0000}"/>
    <cellStyle name="Moneda 2 2 3 2 8 3" xfId="9895" xr:uid="{00000000-0005-0000-0000-0000DA1A0000}"/>
    <cellStyle name="Moneda 2 2 3 2 9" xfId="17127" xr:uid="{00000000-0005-0000-0000-0000DB1A0000}"/>
    <cellStyle name="Moneda 2 2 3 2 9 2" xfId="10125" xr:uid="{00000000-0005-0000-0000-0000DC1A0000}"/>
    <cellStyle name="Moneda 2 2 3 2 9 2 2" xfId="10151" xr:uid="{00000000-0005-0000-0000-0000DD1A0000}"/>
    <cellStyle name="Moneda 2 2 3 2 9 3" xfId="10613" xr:uid="{00000000-0005-0000-0000-0000DE1A0000}"/>
    <cellStyle name="Moneda 2 2 3 3" xfId="11701" xr:uid="{00000000-0005-0000-0000-0000DF1A0000}"/>
    <cellStyle name="Moneda 2 2 3 3 10" xfId="7129" xr:uid="{00000000-0005-0000-0000-0000E01A0000}"/>
    <cellStyle name="Moneda 2 2 3 3 11" xfId="7140" xr:uid="{00000000-0005-0000-0000-0000E11A0000}"/>
    <cellStyle name="Moneda 2 2 3 3 2" xfId="6524" xr:uid="{00000000-0005-0000-0000-0000E21A0000}"/>
    <cellStyle name="Moneda 2 2 3 3 2 2" xfId="17129" xr:uid="{00000000-0005-0000-0000-0000E31A0000}"/>
    <cellStyle name="Moneda 2 2 3 3 2 2 2" xfId="3906" xr:uid="{00000000-0005-0000-0000-0000E41A0000}"/>
    <cellStyle name="Moneda 2 2 3 3 2 2 2 2" xfId="3915" xr:uid="{00000000-0005-0000-0000-0000E51A0000}"/>
    <cellStyle name="Moneda 2 2 3 3 2 2 2 2 2" xfId="17134" xr:uid="{00000000-0005-0000-0000-0000E61A0000}"/>
    <cellStyle name="Moneda 2 2 3 3 2 2 2 2 2 2" xfId="12079" xr:uid="{00000000-0005-0000-0000-0000E71A0000}"/>
    <cellStyle name="Moneda 2 2 3 3 2 2 2 2 3" xfId="17136" xr:uid="{00000000-0005-0000-0000-0000E81A0000}"/>
    <cellStyle name="Moneda 2 2 3 3 2 2 2 3" xfId="17141" xr:uid="{00000000-0005-0000-0000-0000E91A0000}"/>
    <cellStyle name="Moneda 2 2 3 3 2 2 2 3 2" xfId="17142" xr:uid="{00000000-0005-0000-0000-0000EA1A0000}"/>
    <cellStyle name="Moneda 2 2 3 3 2 2 2 4" xfId="11608" xr:uid="{00000000-0005-0000-0000-0000EB1A0000}"/>
    <cellStyle name="Moneda 2 2 3 3 2 2 2 5" xfId="17146" xr:uid="{00000000-0005-0000-0000-0000EC1A0000}"/>
    <cellStyle name="Moneda 2 2 3 3 2 2 3" xfId="3843" xr:uid="{00000000-0005-0000-0000-0000ED1A0000}"/>
    <cellStyle name="Moneda 2 2 3 3 2 2 3 2" xfId="3857" xr:uid="{00000000-0005-0000-0000-0000EE1A0000}"/>
    <cellStyle name="Moneda 2 2 3 3 2 2 3 2 2" xfId="17147" xr:uid="{00000000-0005-0000-0000-0000EF1A0000}"/>
    <cellStyle name="Moneda 2 2 3 3 2 2 3 3" xfId="17149" xr:uid="{00000000-0005-0000-0000-0000F01A0000}"/>
    <cellStyle name="Moneda 2 2 3 3 2 2 4" xfId="3878" xr:uid="{00000000-0005-0000-0000-0000F11A0000}"/>
    <cellStyle name="Moneda 2 2 3 3 2 2 4 2" xfId="17157" xr:uid="{00000000-0005-0000-0000-0000F21A0000}"/>
    <cellStyle name="Moneda 2 2 3 3 2 2 4 2 2" xfId="17158" xr:uid="{00000000-0005-0000-0000-0000F31A0000}"/>
    <cellStyle name="Moneda 2 2 3 3 2 2 4 3" xfId="17159" xr:uid="{00000000-0005-0000-0000-0000F41A0000}"/>
    <cellStyle name="Moneda 2 2 3 3 2 2 5" xfId="3921" xr:uid="{00000000-0005-0000-0000-0000F51A0000}"/>
    <cellStyle name="Moneda 2 2 3 3 2 2 5 2" xfId="17162" xr:uid="{00000000-0005-0000-0000-0000F61A0000}"/>
    <cellStyle name="Moneda 2 2 3 3 2 2 6" xfId="4803" xr:uid="{00000000-0005-0000-0000-0000F71A0000}"/>
    <cellStyle name="Moneda 2 2 3 3 2 2 6 2" xfId="4277" xr:uid="{00000000-0005-0000-0000-0000F81A0000}"/>
    <cellStyle name="Moneda 2 2 3 3 2 2 7" xfId="2167" xr:uid="{00000000-0005-0000-0000-0000F91A0000}"/>
    <cellStyle name="Moneda 2 2 3 3 2 2 8" xfId="4817" xr:uid="{00000000-0005-0000-0000-0000FA1A0000}"/>
    <cellStyle name="Moneda 2 2 3 3 2 3" xfId="17163" xr:uid="{00000000-0005-0000-0000-0000FB1A0000}"/>
    <cellStyle name="Moneda 2 2 3 3 2 3 2" xfId="17166" xr:uid="{00000000-0005-0000-0000-0000FC1A0000}"/>
    <cellStyle name="Moneda 2 2 3 3 2 3 2 2" xfId="17174" xr:uid="{00000000-0005-0000-0000-0000FD1A0000}"/>
    <cellStyle name="Moneda 2 2 3 3 2 3 2 2 2" xfId="16954" xr:uid="{00000000-0005-0000-0000-0000FE1A0000}"/>
    <cellStyle name="Moneda 2 2 3 3 2 3 2 3" xfId="17179" xr:uid="{00000000-0005-0000-0000-0000FF1A0000}"/>
    <cellStyle name="Moneda 2 2 3 3 2 3 3" xfId="17183" xr:uid="{00000000-0005-0000-0000-0000001B0000}"/>
    <cellStyle name="Moneda 2 2 3 3 2 3 3 2" xfId="17191" xr:uid="{00000000-0005-0000-0000-0000011B0000}"/>
    <cellStyle name="Moneda 2 2 3 3 2 3 4" xfId="9943" xr:uid="{00000000-0005-0000-0000-0000021B0000}"/>
    <cellStyle name="Moneda 2 2 3 3 2 3 5" xfId="17194" xr:uid="{00000000-0005-0000-0000-0000031B0000}"/>
    <cellStyle name="Moneda 2 2 3 3 2 4" xfId="17197" xr:uid="{00000000-0005-0000-0000-0000041B0000}"/>
    <cellStyle name="Moneda 2 2 3 3 2 4 2" xfId="670" xr:uid="{00000000-0005-0000-0000-0000051B0000}"/>
    <cellStyle name="Moneda 2 2 3 3 2 4 2 2" xfId="984" xr:uid="{00000000-0005-0000-0000-0000061B0000}"/>
    <cellStyle name="Moneda 2 2 3 3 2 4 3" xfId="754" xr:uid="{00000000-0005-0000-0000-0000071B0000}"/>
    <cellStyle name="Moneda 2 2 3 3 2 5" xfId="17198" xr:uid="{00000000-0005-0000-0000-0000081B0000}"/>
    <cellStyle name="Moneda 2 2 3 3 2 5 2" xfId="1260" xr:uid="{00000000-0005-0000-0000-0000091B0000}"/>
    <cellStyle name="Moneda 2 2 3 3 2 5 2 2" xfId="1278" xr:uid="{00000000-0005-0000-0000-00000A1B0000}"/>
    <cellStyle name="Moneda 2 2 3 3 2 5 3" xfId="604" xr:uid="{00000000-0005-0000-0000-00000B1B0000}"/>
    <cellStyle name="Moneda 2 2 3 3 2 6" xfId="17201" xr:uid="{00000000-0005-0000-0000-00000C1B0000}"/>
    <cellStyle name="Moneda 2 2 3 3 2 6 2" xfId="265" xr:uid="{00000000-0005-0000-0000-00000D1B0000}"/>
    <cellStyle name="Moneda 2 2 3 3 2 7" xfId="17205" xr:uid="{00000000-0005-0000-0000-00000E1B0000}"/>
    <cellStyle name="Moneda 2 2 3 3 2 7 2" xfId="1446" xr:uid="{00000000-0005-0000-0000-00000F1B0000}"/>
    <cellStyle name="Moneda 2 2 3 3 2 8" xfId="17213" xr:uid="{00000000-0005-0000-0000-0000101B0000}"/>
    <cellStyle name="Moneda 2 2 3 3 2 9" xfId="12178" xr:uid="{00000000-0005-0000-0000-0000111B0000}"/>
    <cellStyle name="Moneda 2 2 3 3 3" xfId="6532" xr:uid="{00000000-0005-0000-0000-0000121B0000}"/>
    <cellStyle name="Moneda 2 2 3 3 3 2" xfId="12941" xr:uid="{00000000-0005-0000-0000-0000131B0000}"/>
    <cellStyle name="Moneda 2 2 3 3 3 2 2" xfId="12944" xr:uid="{00000000-0005-0000-0000-0000141B0000}"/>
    <cellStyle name="Moneda 2 2 3 3 3 2 2 2" xfId="16235" xr:uid="{00000000-0005-0000-0000-0000151B0000}"/>
    <cellStyle name="Moneda 2 2 3 3 3 2 2 2 2" xfId="16239" xr:uid="{00000000-0005-0000-0000-0000161B0000}"/>
    <cellStyle name="Moneda 2 2 3 3 3 2 2 3" xfId="16245" xr:uid="{00000000-0005-0000-0000-0000171B0000}"/>
    <cellStyle name="Moneda 2 2 3 3 3 2 2 4" xfId="16250" xr:uid="{00000000-0005-0000-0000-0000181B0000}"/>
    <cellStyle name="Moneda 2 2 3 3 3 2 3" xfId="17218" xr:uid="{00000000-0005-0000-0000-0000191B0000}"/>
    <cellStyle name="Moneda 2 2 3 3 3 2 3 2" xfId="16272" xr:uid="{00000000-0005-0000-0000-00001A1B0000}"/>
    <cellStyle name="Moneda 2 2 3 3 3 2 4" xfId="17222" xr:uid="{00000000-0005-0000-0000-00001B1B0000}"/>
    <cellStyle name="Moneda 2 2 3 3 3 2 4 2" xfId="17226" xr:uid="{00000000-0005-0000-0000-00001C1B0000}"/>
    <cellStyle name="Moneda 2 2 3 3 3 2 5" xfId="17231" xr:uid="{00000000-0005-0000-0000-00001D1B0000}"/>
    <cellStyle name="Moneda 2 2 3 3 3 2 6" xfId="2544" xr:uid="{00000000-0005-0000-0000-00001E1B0000}"/>
    <cellStyle name="Moneda 2 2 3 3 3 3" xfId="17232" xr:uid="{00000000-0005-0000-0000-00001F1B0000}"/>
    <cellStyle name="Moneda 2 2 3 3 3 3 2" xfId="17233" xr:uid="{00000000-0005-0000-0000-0000201B0000}"/>
    <cellStyle name="Moneda 2 2 3 3 3 3 2 2" xfId="16309" xr:uid="{00000000-0005-0000-0000-0000211B0000}"/>
    <cellStyle name="Moneda 2 2 3 3 3 3 3" xfId="17236" xr:uid="{00000000-0005-0000-0000-0000221B0000}"/>
    <cellStyle name="Moneda 2 2 3 3 3 3 4" xfId="9965" xr:uid="{00000000-0005-0000-0000-0000231B0000}"/>
    <cellStyle name="Moneda 2 2 3 3 3 4" xfId="10248" xr:uid="{00000000-0005-0000-0000-0000241B0000}"/>
    <cellStyle name="Moneda 2 2 3 3 3 4 2" xfId="1628" xr:uid="{00000000-0005-0000-0000-0000251B0000}"/>
    <cellStyle name="Moneda 2 2 3 3 3 4 2 2" xfId="1634" xr:uid="{00000000-0005-0000-0000-0000261B0000}"/>
    <cellStyle name="Moneda 2 2 3 3 3 4 3" xfId="1651" xr:uid="{00000000-0005-0000-0000-0000271B0000}"/>
    <cellStyle name="Moneda 2 2 3 3 3 5" xfId="17239" xr:uid="{00000000-0005-0000-0000-0000281B0000}"/>
    <cellStyle name="Moneda 2 2 3 3 3 5 2" xfId="1469" xr:uid="{00000000-0005-0000-0000-0000291B0000}"/>
    <cellStyle name="Moneda 2 2 3 3 3 6" xfId="17241" xr:uid="{00000000-0005-0000-0000-00002A1B0000}"/>
    <cellStyle name="Moneda 2 2 3 3 3 6 2" xfId="1696" xr:uid="{00000000-0005-0000-0000-00002B1B0000}"/>
    <cellStyle name="Moneda 2 2 3 3 3 7" xfId="17245" xr:uid="{00000000-0005-0000-0000-00002C1B0000}"/>
    <cellStyle name="Moneda 2 2 3 3 3 8" xfId="1941" xr:uid="{00000000-0005-0000-0000-00002D1B0000}"/>
    <cellStyle name="Moneda 2 2 3 3 4" xfId="17246" xr:uid="{00000000-0005-0000-0000-00002E1B0000}"/>
    <cellStyle name="Moneda 2 2 3 3 4 2" xfId="17247" xr:uid="{00000000-0005-0000-0000-00002F1B0000}"/>
    <cellStyle name="Moneda 2 2 3 3 4 2 2" xfId="17248" xr:uid="{00000000-0005-0000-0000-0000301B0000}"/>
    <cellStyle name="Moneda 2 2 3 3 4 2 2 2" xfId="16352" xr:uid="{00000000-0005-0000-0000-0000311B0000}"/>
    <cellStyle name="Moneda 2 2 3 3 4 2 3" xfId="17251" xr:uid="{00000000-0005-0000-0000-0000321B0000}"/>
    <cellStyle name="Moneda 2 2 3 3 4 2 4" xfId="17254" xr:uid="{00000000-0005-0000-0000-0000331B0000}"/>
    <cellStyle name="Moneda 2 2 3 3 4 3" xfId="17255" xr:uid="{00000000-0005-0000-0000-0000341B0000}"/>
    <cellStyle name="Moneda 2 2 3 3 4 3 2" xfId="17257" xr:uid="{00000000-0005-0000-0000-0000351B0000}"/>
    <cellStyle name="Moneda 2 2 3 3 4 4" xfId="17259" xr:uid="{00000000-0005-0000-0000-0000361B0000}"/>
    <cellStyle name="Moneda 2 2 3 3 4 4 2" xfId="1764" xr:uid="{00000000-0005-0000-0000-0000371B0000}"/>
    <cellStyle name="Moneda 2 2 3 3 4 5" xfId="17260" xr:uid="{00000000-0005-0000-0000-0000381B0000}"/>
    <cellStyle name="Moneda 2 2 3 3 4 6" xfId="17261" xr:uid="{00000000-0005-0000-0000-0000391B0000}"/>
    <cellStyle name="Moneda 2 2 3 3 5" xfId="6143" xr:uid="{00000000-0005-0000-0000-00003A1B0000}"/>
    <cellStyle name="Moneda 2 2 3 3 5 2" xfId="1965" xr:uid="{00000000-0005-0000-0000-00003B1B0000}"/>
    <cellStyle name="Moneda 2 2 3 3 5 2 2" xfId="17262" xr:uid="{00000000-0005-0000-0000-00003C1B0000}"/>
    <cellStyle name="Moneda 2 2 3 3 5 2 2 2" xfId="16411" xr:uid="{00000000-0005-0000-0000-00003D1B0000}"/>
    <cellStyle name="Moneda 2 2 3 3 5 2 3" xfId="17265" xr:uid="{00000000-0005-0000-0000-00003E1B0000}"/>
    <cellStyle name="Moneda 2 2 3 3 5 2 4" xfId="17268" xr:uid="{00000000-0005-0000-0000-00003F1B0000}"/>
    <cellStyle name="Moneda 2 2 3 3 5 3" xfId="17271" xr:uid="{00000000-0005-0000-0000-0000401B0000}"/>
    <cellStyle name="Moneda 2 2 3 3 5 3 2" xfId="17272" xr:uid="{00000000-0005-0000-0000-0000411B0000}"/>
    <cellStyle name="Moneda 2 2 3 3 5 4" xfId="17275" xr:uid="{00000000-0005-0000-0000-0000421B0000}"/>
    <cellStyle name="Moneda 2 2 3 3 5 4 2" xfId="17276" xr:uid="{00000000-0005-0000-0000-0000431B0000}"/>
    <cellStyle name="Moneda 2 2 3 3 5 5" xfId="11253" xr:uid="{00000000-0005-0000-0000-0000441B0000}"/>
    <cellStyle name="Moneda 2 2 3 3 5 6" xfId="17279" xr:uid="{00000000-0005-0000-0000-0000451B0000}"/>
    <cellStyle name="Moneda 2 2 3 3 6" xfId="6148" xr:uid="{00000000-0005-0000-0000-0000461B0000}"/>
    <cellStyle name="Moneda 2 2 3 3 6 2" xfId="11782" xr:uid="{00000000-0005-0000-0000-0000471B0000}"/>
    <cellStyle name="Moneda 2 2 3 3 6 2 2" xfId="13273" xr:uid="{00000000-0005-0000-0000-0000481B0000}"/>
    <cellStyle name="Moneda 2 2 3 3 6 2 2 2" xfId="16464" xr:uid="{00000000-0005-0000-0000-0000491B0000}"/>
    <cellStyle name="Moneda 2 2 3 3 6 2 3" xfId="7489" xr:uid="{00000000-0005-0000-0000-00004A1B0000}"/>
    <cellStyle name="Moneda 2 2 3 3 6 2 4" xfId="7512" xr:uid="{00000000-0005-0000-0000-00004B1B0000}"/>
    <cellStyle name="Moneda 2 2 3 3 6 3" xfId="12501" xr:uid="{00000000-0005-0000-0000-00004C1B0000}"/>
    <cellStyle name="Moneda 2 2 3 3 6 3 2" xfId="12503" xr:uid="{00000000-0005-0000-0000-00004D1B0000}"/>
    <cellStyle name="Moneda 2 2 3 3 6 4" xfId="12267" xr:uid="{00000000-0005-0000-0000-00004E1B0000}"/>
    <cellStyle name="Moneda 2 2 3 3 6 4 2" xfId="17280" xr:uid="{00000000-0005-0000-0000-00004F1B0000}"/>
    <cellStyle name="Moneda 2 2 3 3 6 5" xfId="17284" xr:uid="{00000000-0005-0000-0000-0000501B0000}"/>
    <cellStyle name="Moneda 2 2 3 3 6 6" xfId="9340" xr:uid="{00000000-0005-0000-0000-0000511B0000}"/>
    <cellStyle name="Moneda 2 2 3 3 7" xfId="9763" xr:uid="{00000000-0005-0000-0000-0000521B0000}"/>
    <cellStyle name="Moneda 2 2 3 3 7 2" xfId="17285" xr:uid="{00000000-0005-0000-0000-0000531B0000}"/>
    <cellStyle name="Moneda 2 2 3 3 7 2 2" xfId="859" xr:uid="{00000000-0005-0000-0000-0000541B0000}"/>
    <cellStyle name="Moneda 2 2 3 3 7 3" xfId="12511" xr:uid="{00000000-0005-0000-0000-0000551B0000}"/>
    <cellStyle name="Moneda 2 2 3 3 7 4" xfId="17286" xr:uid="{00000000-0005-0000-0000-0000561B0000}"/>
    <cellStyle name="Moneda 2 2 3 3 8" xfId="17288" xr:uid="{00000000-0005-0000-0000-0000571B0000}"/>
    <cellStyle name="Moneda 2 2 3 3 8 2" xfId="17290" xr:uid="{00000000-0005-0000-0000-0000581B0000}"/>
    <cellStyle name="Moneda 2 2 3 3 9" xfId="17292" xr:uid="{00000000-0005-0000-0000-0000591B0000}"/>
    <cellStyle name="Moneda 2 2 3 3 9 2" xfId="17294" xr:uid="{00000000-0005-0000-0000-00005A1B0000}"/>
    <cellStyle name="Moneda 2 2 3 4" xfId="11704" xr:uid="{00000000-0005-0000-0000-00005B1B0000}"/>
    <cellStyle name="Moneda 2 2 3 4 2" xfId="17295" xr:uid="{00000000-0005-0000-0000-00005C1B0000}"/>
    <cellStyle name="Moneda 2 2 3 4 2 2" xfId="17296" xr:uid="{00000000-0005-0000-0000-00005D1B0000}"/>
    <cellStyle name="Moneda 2 2 3 4 2 2 2" xfId="10119" xr:uid="{00000000-0005-0000-0000-00005E1B0000}"/>
    <cellStyle name="Moneda 2 2 3 4 2 2 2 2" xfId="763" xr:uid="{00000000-0005-0000-0000-00005F1B0000}"/>
    <cellStyle name="Moneda 2 2 3 4 2 2 2 2 2" xfId="1042" xr:uid="{00000000-0005-0000-0000-0000601B0000}"/>
    <cellStyle name="Moneda 2 2 3 4 2 2 2 3" xfId="403" xr:uid="{00000000-0005-0000-0000-0000611B0000}"/>
    <cellStyle name="Moneda 2 2 3 4 2 2 3" xfId="11879" xr:uid="{00000000-0005-0000-0000-0000621B0000}"/>
    <cellStyle name="Moneda 2 2 3 4 2 2 3 2" xfId="11883" xr:uid="{00000000-0005-0000-0000-0000631B0000}"/>
    <cellStyle name="Moneda 2 2 3 4 2 2 4" xfId="11887" xr:uid="{00000000-0005-0000-0000-0000641B0000}"/>
    <cellStyle name="Moneda 2 2 3 4 2 2 5" xfId="11894" xr:uid="{00000000-0005-0000-0000-0000651B0000}"/>
    <cellStyle name="Moneda 2 2 3 4 2 3" xfId="17300" xr:uid="{00000000-0005-0000-0000-0000661B0000}"/>
    <cellStyle name="Moneda 2 2 3 4 2 3 2" xfId="10736" xr:uid="{00000000-0005-0000-0000-0000671B0000}"/>
    <cellStyle name="Moneda 2 2 3 4 2 3 2 2" xfId="10739" xr:uid="{00000000-0005-0000-0000-0000681B0000}"/>
    <cellStyle name="Moneda 2 2 3 4 2 3 3" xfId="17306" xr:uid="{00000000-0005-0000-0000-0000691B0000}"/>
    <cellStyle name="Moneda 2 2 3 4 2 4" xfId="17308" xr:uid="{00000000-0005-0000-0000-00006A1B0000}"/>
    <cellStyle name="Moneda 2 2 3 4 2 4 2" xfId="339" xr:uid="{00000000-0005-0000-0000-00006B1B0000}"/>
    <cellStyle name="Moneda 2 2 3 4 2 4 2 2" xfId="1961" xr:uid="{00000000-0005-0000-0000-00006C1B0000}"/>
    <cellStyle name="Moneda 2 2 3 4 2 4 3" xfId="381" xr:uid="{00000000-0005-0000-0000-00006D1B0000}"/>
    <cellStyle name="Moneda 2 2 3 4 2 5" xfId="17311" xr:uid="{00000000-0005-0000-0000-00006E1B0000}"/>
    <cellStyle name="Moneda 2 2 3 4 2 5 2" xfId="1996" xr:uid="{00000000-0005-0000-0000-00006F1B0000}"/>
    <cellStyle name="Moneda 2 2 3 4 2 6" xfId="16785" xr:uid="{00000000-0005-0000-0000-0000701B0000}"/>
    <cellStyle name="Moneda 2 2 3 4 2 6 2" xfId="227" xr:uid="{00000000-0005-0000-0000-0000711B0000}"/>
    <cellStyle name="Moneda 2 2 3 4 2 7" xfId="16790" xr:uid="{00000000-0005-0000-0000-0000721B0000}"/>
    <cellStyle name="Moneda 2 2 3 4 2 8" xfId="17314" xr:uid="{00000000-0005-0000-0000-0000731B0000}"/>
    <cellStyle name="Moneda 2 2 3 4 3" xfId="17315" xr:uid="{00000000-0005-0000-0000-0000741B0000}"/>
    <cellStyle name="Moneda 2 2 3 4 3 2" xfId="17316" xr:uid="{00000000-0005-0000-0000-0000751B0000}"/>
    <cellStyle name="Moneda 2 2 3 4 3 2 2" xfId="11945" xr:uid="{00000000-0005-0000-0000-0000761B0000}"/>
    <cellStyle name="Moneda 2 2 3 4 3 2 2 2" xfId="375" xr:uid="{00000000-0005-0000-0000-0000771B0000}"/>
    <cellStyle name="Moneda 2 2 3 4 3 2 3" xfId="11948" xr:uid="{00000000-0005-0000-0000-0000781B0000}"/>
    <cellStyle name="Moneda 2 2 3 4 3 2 4" xfId="11955" xr:uid="{00000000-0005-0000-0000-0000791B0000}"/>
    <cellStyle name="Moneda 2 2 3 4 3 3" xfId="17320" xr:uid="{00000000-0005-0000-0000-00007A1B0000}"/>
    <cellStyle name="Moneda 2 2 3 4 3 3 2" xfId="11971" xr:uid="{00000000-0005-0000-0000-00007B1B0000}"/>
    <cellStyle name="Moneda 2 2 3 4 3 4" xfId="17322" xr:uid="{00000000-0005-0000-0000-00007C1B0000}"/>
    <cellStyle name="Moneda 2 2 3 4 3 4 2" xfId="2169" xr:uid="{00000000-0005-0000-0000-00007D1B0000}"/>
    <cellStyle name="Moneda 2 2 3 4 3 5" xfId="17326" xr:uid="{00000000-0005-0000-0000-00007E1B0000}"/>
    <cellStyle name="Moneda 2 2 3 4 3 6" xfId="16793" xr:uid="{00000000-0005-0000-0000-00007F1B0000}"/>
    <cellStyle name="Moneda 2 2 3 4 4" xfId="17327" xr:uid="{00000000-0005-0000-0000-0000801B0000}"/>
    <cellStyle name="Moneda 2 2 3 4 4 2" xfId="17328" xr:uid="{00000000-0005-0000-0000-0000811B0000}"/>
    <cellStyle name="Moneda 2 2 3 4 4 2 2" xfId="10085" xr:uid="{00000000-0005-0000-0000-0000821B0000}"/>
    <cellStyle name="Moneda 2 2 3 4 4 3" xfId="3779" xr:uid="{00000000-0005-0000-0000-0000831B0000}"/>
    <cellStyle name="Moneda 2 2 3 4 4 4" xfId="8574" xr:uid="{00000000-0005-0000-0000-0000841B0000}"/>
    <cellStyle name="Moneda 2 2 3 4 5" xfId="6153" xr:uid="{00000000-0005-0000-0000-0000851B0000}"/>
    <cellStyle name="Moneda 2 2 3 4 5 2" xfId="17329" xr:uid="{00000000-0005-0000-0000-0000861B0000}"/>
    <cellStyle name="Moneda 2 2 3 4 5 2 2" xfId="5723" xr:uid="{00000000-0005-0000-0000-0000871B0000}"/>
    <cellStyle name="Moneda 2 2 3 4 5 3" xfId="8579" xr:uid="{00000000-0005-0000-0000-0000881B0000}"/>
    <cellStyle name="Moneda 2 2 3 4 6" xfId="11790" xr:uid="{00000000-0005-0000-0000-0000891B0000}"/>
    <cellStyle name="Moneda 2 2 3 4 6 2" xfId="10272" xr:uid="{00000000-0005-0000-0000-00008A1B0000}"/>
    <cellStyle name="Moneda 2 2 3 4 7" xfId="11275" xr:uid="{00000000-0005-0000-0000-00008B1B0000}"/>
    <cellStyle name="Moneda 2 2 3 4 7 2" xfId="17330" xr:uid="{00000000-0005-0000-0000-00008C1B0000}"/>
    <cellStyle name="Moneda 2 2 3 4 8" xfId="17331" xr:uid="{00000000-0005-0000-0000-00008D1B0000}"/>
    <cellStyle name="Moneda 2 2 3 4 9" xfId="17334" xr:uid="{00000000-0005-0000-0000-00008E1B0000}"/>
    <cellStyle name="Moneda 2 2 3 5" xfId="11707" xr:uid="{00000000-0005-0000-0000-00008F1B0000}"/>
    <cellStyle name="Moneda 2 2 3 5 2" xfId="3622" xr:uid="{00000000-0005-0000-0000-0000901B0000}"/>
    <cellStyle name="Moneda 2 2 3 5 2 2" xfId="6747" xr:uid="{00000000-0005-0000-0000-0000911B0000}"/>
    <cellStyle name="Moneda 2 2 3 5 2 2 2" xfId="8876" xr:uid="{00000000-0005-0000-0000-0000921B0000}"/>
    <cellStyle name="Moneda 2 2 3 5 2 2 2 2" xfId="8882" xr:uid="{00000000-0005-0000-0000-0000931B0000}"/>
    <cellStyle name="Moneda 2 2 3 5 2 2 2 2 2" xfId="13545" xr:uid="{00000000-0005-0000-0000-0000941B0000}"/>
    <cellStyle name="Moneda 2 2 3 5 2 2 2 3" xfId="13547" xr:uid="{00000000-0005-0000-0000-0000951B0000}"/>
    <cellStyle name="Moneda 2 2 3 5 2 2 3" xfId="8890" xr:uid="{00000000-0005-0000-0000-0000961B0000}"/>
    <cellStyle name="Moneda 2 2 3 5 2 2 3 2" xfId="13556" xr:uid="{00000000-0005-0000-0000-0000971B0000}"/>
    <cellStyle name="Moneda 2 2 3 5 2 2 4" xfId="17337" xr:uid="{00000000-0005-0000-0000-0000981B0000}"/>
    <cellStyle name="Moneda 2 2 3 5 2 2 5" xfId="17341" xr:uid="{00000000-0005-0000-0000-0000991B0000}"/>
    <cellStyle name="Moneda 2 2 3 5 2 3" xfId="8902" xr:uid="{00000000-0005-0000-0000-00009A1B0000}"/>
    <cellStyle name="Moneda 2 2 3 5 2 3 2" xfId="8911" xr:uid="{00000000-0005-0000-0000-00009B1B0000}"/>
    <cellStyle name="Moneda 2 2 3 5 2 3 2 2" xfId="13582" xr:uid="{00000000-0005-0000-0000-00009C1B0000}"/>
    <cellStyle name="Moneda 2 2 3 5 2 3 3" xfId="17344" xr:uid="{00000000-0005-0000-0000-00009D1B0000}"/>
    <cellStyle name="Moneda 2 2 3 5 2 4" xfId="8922" xr:uid="{00000000-0005-0000-0000-00009E1B0000}"/>
    <cellStyle name="Moneda 2 2 3 5 2 4 2" xfId="360" xr:uid="{00000000-0005-0000-0000-00009F1B0000}"/>
    <cellStyle name="Moneda 2 2 3 5 2 4 2 2" xfId="2427" xr:uid="{00000000-0005-0000-0000-0000A01B0000}"/>
    <cellStyle name="Moneda 2 2 3 5 2 4 3" xfId="2442" xr:uid="{00000000-0005-0000-0000-0000A11B0000}"/>
    <cellStyle name="Moneda 2 2 3 5 2 5" xfId="8931" xr:uid="{00000000-0005-0000-0000-0000A21B0000}"/>
    <cellStyle name="Moneda 2 2 3 5 2 5 2" xfId="2485" xr:uid="{00000000-0005-0000-0000-0000A31B0000}"/>
    <cellStyle name="Moneda 2 2 3 5 2 6" xfId="14447" xr:uid="{00000000-0005-0000-0000-0000A41B0000}"/>
    <cellStyle name="Moneda 2 2 3 5 2 6 2" xfId="2579" xr:uid="{00000000-0005-0000-0000-0000A51B0000}"/>
    <cellStyle name="Moneda 2 2 3 5 2 7" xfId="14463" xr:uid="{00000000-0005-0000-0000-0000A61B0000}"/>
    <cellStyle name="Moneda 2 2 3 5 2 8" xfId="14472" xr:uid="{00000000-0005-0000-0000-0000A71B0000}"/>
    <cellStyle name="Moneda 2 2 3 5 3" xfId="3202" xr:uid="{00000000-0005-0000-0000-0000A81B0000}"/>
    <cellStyle name="Moneda 2 2 3 5 3 2" xfId="8956" xr:uid="{00000000-0005-0000-0000-0000A91B0000}"/>
    <cellStyle name="Moneda 2 2 3 5 3 2 2" xfId="17345" xr:uid="{00000000-0005-0000-0000-0000AA1B0000}"/>
    <cellStyle name="Moneda 2 2 3 5 3 2 2 2" xfId="17346" xr:uid="{00000000-0005-0000-0000-0000AB1B0000}"/>
    <cellStyle name="Moneda 2 2 3 5 3 2 3" xfId="17152" xr:uid="{00000000-0005-0000-0000-0000AC1B0000}"/>
    <cellStyle name="Moneda 2 2 3 5 3 3" xfId="17351" xr:uid="{00000000-0005-0000-0000-0000AD1B0000}"/>
    <cellStyle name="Moneda 2 2 3 5 3 3 2" xfId="17355" xr:uid="{00000000-0005-0000-0000-0000AE1B0000}"/>
    <cellStyle name="Moneda 2 2 3 5 3 4" xfId="17356" xr:uid="{00000000-0005-0000-0000-0000AF1B0000}"/>
    <cellStyle name="Moneda 2 2 3 5 3 5" xfId="14485" xr:uid="{00000000-0005-0000-0000-0000B01B0000}"/>
    <cellStyle name="Moneda 2 2 3 5 4" xfId="17357" xr:uid="{00000000-0005-0000-0000-0000B11B0000}"/>
    <cellStyle name="Moneda 2 2 3 5 4 2" xfId="17358" xr:uid="{00000000-0005-0000-0000-0000B21B0000}"/>
    <cellStyle name="Moneda 2 2 3 5 4 2 2" xfId="17359" xr:uid="{00000000-0005-0000-0000-0000B31B0000}"/>
    <cellStyle name="Moneda 2 2 3 5 4 3" xfId="8584" xr:uid="{00000000-0005-0000-0000-0000B41B0000}"/>
    <cellStyle name="Moneda 2 2 3 5 5" xfId="3668" xr:uid="{00000000-0005-0000-0000-0000B51B0000}"/>
    <cellStyle name="Moneda 2 2 3 5 5 2" xfId="17362" xr:uid="{00000000-0005-0000-0000-0000B61B0000}"/>
    <cellStyle name="Moneda 2 2 3 5 5 2 2" xfId="6916" xr:uid="{00000000-0005-0000-0000-0000B71B0000}"/>
    <cellStyle name="Moneda 2 2 3 5 5 3" xfId="17365" xr:uid="{00000000-0005-0000-0000-0000B81B0000}"/>
    <cellStyle name="Moneda 2 2 3 5 6" xfId="11794" xr:uid="{00000000-0005-0000-0000-0000B91B0000}"/>
    <cellStyle name="Moneda 2 2 3 5 6 2" xfId="17367" xr:uid="{00000000-0005-0000-0000-0000BA1B0000}"/>
    <cellStyle name="Moneda 2 2 3 5 7" xfId="17370" xr:uid="{00000000-0005-0000-0000-0000BB1B0000}"/>
    <cellStyle name="Moneda 2 2 3 5 7 2" xfId="17372" xr:uid="{00000000-0005-0000-0000-0000BC1B0000}"/>
    <cellStyle name="Moneda 2 2 3 5 8" xfId="17377" xr:uid="{00000000-0005-0000-0000-0000BD1B0000}"/>
    <cellStyle name="Moneda 2 2 3 5 9" xfId="17380" xr:uid="{00000000-0005-0000-0000-0000BE1B0000}"/>
    <cellStyle name="Moneda 2 2 3 6" xfId="17381" xr:uid="{00000000-0005-0000-0000-0000BF1B0000}"/>
    <cellStyle name="Moneda 2 2 3 6 2" xfId="17382" xr:uid="{00000000-0005-0000-0000-0000C01B0000}"/>
    <cellStyle name="Moneda 2 2 3 6 2 2" xfId="17383" xr:uid="{00000000-0005-0000-0000-0000C11B0000}"/>
    <cellStyle name="Moneda 2 2 3 6 2 2 2" xfId="9922" xr:uid="{00000000-0005-0000-0000-0000C21B0000}"/>
    <cellStyle name="Moneda 2 2 3 6 2 2 2 2" xfId="8387" xr:uid="{00000000-0005-0000-0000-0000C31B0000}"/>
    <cellStyle name="Moneda 2 2 3 6 2 2 2 2 2" xfId="7040" xr:uid="{00000000-0005-0000-0000-0000C41B0000}"/>
    <cellStyle name="Moneda 2 2 3 6 2 2 2 3" xfId="273" xr:uid="{00000000-0005-0000-0000-0000C51B0000}"/>
    <cellStyle name="Moneda 2 2 3 6 2 2 3" xfId="9928" xr:uid="{00000000-0005-0000-0000-0000C61B0000}"/>
    <cellStyle name="Moneda 2 2 3 6 2 2 3 2" xfId="8470" xr:uid="{00000000-0005-0000-0000-0000C71B0000}"/>
    <cellStyle name="Moneda 2 2 3 6 2 2 4" xfId="13634" xr:uid="{00000000-0005-0000-0000-0000C81B0000}"/>
    <cellStyle name="Moneda 2 2 3 6 2 3" xfId="17385" xr:uid="{00000000-0005-0000-0000-0000C91B0000}"/>
    <cellStyle name="Moneda 2 2 3 6 2 3 2" xfId="17386" xr:uid="{00000000-0005-0000-0000-0000CA1B0000}"/>
    <cellStyle name="Moneda 2 2 3 6 2 3 2 2" xfId="988" xr:uid="{00000000-0005-0000-0000-0000CB1B0000}"/>
    <cellStyle name="Moneda 2 2 3 6 2 3 3" xfId="17387" xr:uid="{00000000-0005-0000-0000-0000CC1B0000}"/>
    <cellStyle name="Moneda 2 2 3 6 2 4" xfId="17388" xr:uid="{00000000-0005-0000-0000-0000CD1B0000}"/>
    <cellStyle name="Moneda 2 2 3 6 2 4 2" xfId="1043" xr:uid="{00000000-0005-0000-0000-0000CE1B0000}"/>
    <cellStyle name="Moneda 2 2 3 6 2 4 2 2" xfId="1062" xr:uid="{00000000-0005-0000-0000-0000CF1B0000}"/>
    <cellStyle name="Moneda 2 2 3 6 2 4 3" xfId="1079" xr:uid="{00000000-0005-0000-0000-0000D01B0000}"/>
    <cellStyle name="Moneda 2 2 3 6 2 5" xfId="14820" xr:uid="{00000000-0005-0000-0000-0000D11B0000}"/>
    <cellStyle name="Moneda 2 2 3 6 2 5 2" xfId="1104" xr:uid="{00000000-0005-0000-0000-0000D21B0000}"/>
    <cellStyle name="Moneda 2 2 3 6 2 6" xfId="14825" xr:uid="{00000000-0005-0000-0000-0000D31B0000}"/>
    <cellStyle name="Moneda 2 2 3 6 2 6 2" xfId="90" xr:uid="{00000000-0005-0000-0000-0000D41B0000}"/>
    <cellStyle name="Moneda 2 2 3 6 2 7" xfId="9520" xr:uid="{00000000-0005-0000-0000-0000D51B0000}"/>
    <cellStyle name="Moneda 2 2 3 6 2 8" xfId="9536" xr:uid="{00000000-0005-0000-0000-0000D61B0000}"/>
    <cellStyle name="Moneda 2 2 3 6 3" xfId="17389" xr:uid="{00000000-0005-0000-0000-0000D71B0000}"/>
    <cellStyle name="Moneda 2 2 3 6 3 2" xfId="17391" xr:uid="{00000000-0005-0000-0000-0000D81B0000}"/>
    <cellStyle name="Moneda 2 2 3 6 3 2 2" xfId="16281" xr:uid="{00000000-0005-0000-0000-0000D91B0000}"/>
    <cellStyle name="Moneda 2 2 3 6 3 2 2 2" xfId="17392" xr:uid="{00000000-0005-0000-0000-0000DA1B0000}"/>
    <cellStyle name="Moneda 2 2 3 6 3 2 3" xfId="17224" xr:uid="{00000000-0005-0000-0000-0000DB1B0000}"/>
    <cellStyle name="Moneda 2 2 3 6 3 3" xfId="17395" xr:uid="{00000000-0005-0000-0000-0000DC1B0000}"/>
    <cellStyle name="Moneda 2 2 3 6 3 3 2" xfId="16299" xr:uid="{00000000-0005-0000-0000-0000DD1B0000}"/>
    <cellStyle name="Moneda 2 2 3 6 3 4" xfId="17396" xr:uid="{00000000-0005-0000-0000-0000DE1B0000}"/>
    <cellStyle name="Moneda 2 2 3 6 4" xfId="17397" xr:uid="{00000000-0005-0000-0000-0000DF1B0000}"/>
    <cellStyle name="Moneda 2 2 3 6 4 2" xfId="17400" xr:uid="{00000000-0005-0000-0000-0000E01B0000}"/>
    <cellStyle name="Moneda 2 2 3 6 4 2 2" xfId="16314" xr:uid="{00000000-0005-0000-0000-0000E11B0000}"/>
    <cellStyle name="Moneda 2 2 3 6 4 3" xfId="250" xr:uid="{00000000-0005-0000-0000-0000E21B0000}"/>
    <cellStyle name="Moneda 2 2 3 6 5" xfId="12724" xr:uid="{00000000-0005-0000-0000-0000E31B0000}"/>
    <cellStyle name="Moneda 2 2 3 6 5 2" xfId="17403" xr:uid="{00000000-0005-0000-0000-0000E41B0000}"/>
    <cellStyle name="Moneda 2 2 3 6 5 2 2" xfId="17405" xr:uid="{00000000-0005-0000-0000-0000E51B0000}"/>
    <cellStyle name="Moneda 2 2 3 6 5 3" xfId="17411" xr:uid="{00000000-0005-0000-0000-0000E61B0000}"/>
    <cellStyle name="Moneda 2 2 3 6 6" xfId="11798" xr:uid="{00000000-0005-0000-0000-0000E71B0000}"/>
    <cellStyle name="Moneda 2 2 3 6 6 2" xfId="17412" xr:uid="{00000000-0005-0000-0000-0000E81B0000}"/>
    <cellStyle name="Moneda 2 2 3 6 7" xfId="17414" xr:uid="{00000000-0005-0000-0000-0000E91B0000}"/>
    <cellStyle name="Moneda 2 2 3 6 7 2" xfId="17417" xr:uid="{00000000-0005-0000-0000-0000EA1B0000}"/>
    <cellStyle name="Moneda 2 2 3 6 8" xfId="17420" xr:uid="{00000000-0005-0000-0000-0000EB1B0000}"/>
    <cellStyle name="Moneda 2 2 3 6 9" xfId="17422" xr:uid="{00000000-0005-0000-0000-0000EC1B0000}"/>
    <cellStyle name="Moneda 2 2 3 7" xfId="1493" xr:uid="{00000000-0005-0000-0000-0000ED1B0000}"/>
    <cellStyle name="Moneda 2 2 3 7 2" xfId="1519" xr:uid="{00000000-0005-0000-0000-0000EE1B0000}"/>
    <cellStyle name="Moneda 2 2 3 7 2 2" xfId="17423" xr:uid="{00000000-0005-0000-0000-0000EF1B0000}"/>
    <cellStyle name="Moneda 2 2 3 7 2 2 2" xfId="10631" xr:uid="{00000000-0005-0000-0000-0000F01B0000}"/>
    <cellStyle name="Moneda 2 2 3 7 2 2 2 2" xfId="17424" xr:uid="{00000000-0005-0000-0000-0000F11B0000}"/>
    <cellStyle name="Moneda 2 2 3 7 2 2 3" xfId="10638" xr:uid="{00000000-0005-0000-0000-0000F21B0000}"/>
    <cellStyle name="Moneda 2 2 3 7 2 3" xfId="11284" xr:uid="{00000000-0005-0000-0000-0000F31B0000}"/>
    <cellStyle name="Moneda 2 2 3 7 2 3 2" xfId="17425" xr:uid="{00000000-0005-0000-0000-0000F41B0000}"/>
    <cellStyle name="Moneda 2 2 3 7 2 4" xfId="17426" xr:uid="{00000000-0005-0000-0000-0000F51B0000}"/>
    <cellStyle name="Moneda 2 2 3 7 2 5" xfId="14945" xr:uid="{00000000-0005-0000-0000-0000F61B0000}"/>
    <cellStyle name="Moneda 2 2 3 7 3" xfId="17427" xr:uid="{00000000-0005-0000-0000-0000F71B0000}"/>
    <cellStyle name="Moneda 2 2 3 7 3 2" xfId="17428" xr:uid="{00000000-0005-0000-0000-0000F81B0000}"/>
    <cellStyle name="Moneda 2 2 3 7 3 2 2" xfId="16363" xr:uid="{00000000-0005-0000-0000-0000F91B0000}"/>
    <cellStyle name="Moneda 2 2 3 7 3 3" xfId="11295" xr:uid="{00000000-0005-0000-0000-0000FA1B0000}"/>
    <cellStyle name="Moneda 2 2 3 7 4" xfId="8657" xr:uid="{00000000-0005-0000-0000-0000FB1B0000}"/>
    <cellStyle name="Moneda 2 2 3 7 4 2" xfId="17429" xr:uid="{00000000-0005-0000-0000-0000FC1B0000}"/>
    <cellStyle name="Moneda 2 2 3 7 4 2 2" xfId="17431" xr:uid="{00000000-0005-0000-0000-0000FD1B0000}"/>
    <cellStyle name="Moneda 2 2 3 7 4 3" xfId="12297" xr:uid="{00000000-0005-0000-0000-0000FE1B0000}"/>
    <cellStyle name="Moneda 2 2 3 7 5" xfId="12732" xr:uid="{00000000-0005-0000-0000-0000FF1B0000}"/>
    <cellStyle name="Moneda 2 2 3 7 5 2" xfId="15211" xr:uid="{00000000-0005-0000-0000-0000001C0000}"/>
    <cellStyle name="Moneda 2 2 3 7 6" xfId="16377" xr:uid="{00000000-0005-0000-0000-0000011C0000}"/>
    <cellStyle name="Moneda 2 2 3 7 6 2" xfId="13387" xr:uid="{00000000-0005-0000-0000-0000021C0000}"/>
    <cellStyle name="Moneda 2 2 3 7 7" xfId="17433" xr:uid="{00000000-0005-0000-0000-0000031C0000}"/>
    <cellStyle name="Moneda 2 2 3 7 8" xfId="17435" xr:uid="{00000000-0005-0000-0000-0000041C0000}"/>
    <cellStyle name="Moneda 2 2 3 8" xfId="317" xr:uid="{00000000-0005-0000-0000-0000051C0000}"/>
    <cellStyle name="Moneda 2 2 3 8 2" xfId="17438" xr:uid="{00000000-0005-0000-0000-0000061C0000}"/>
    <cellStyle name="Moneda 2 2 3 8 2 2" xfId="17440" xr:uid="{00000000-0005-0000-0000-0000071C0000}"/>
    <cellStyle name="Moneda 2 2 3 8 2 2 2" xfId="11139" xr:uid="{00000000-0005-0000-0000-0000081C0000}"/>
    <cellStyle name="Moneda 2 2 3 8 2 3" xfId="17442" xr:uid="{00000000-0005-0000-0000-0000091C0000}"/>
    <cellStyle name="Moneda 2 2 3 8 2 4" xfId="17446" xr:uid="{00000000-0005-0000-0000-00000A1C0000}"/>
    <cellStyle name="Moneda 2 2 3 8 3" xfId="17448" xr:uid="{00000000-0005-0000-0000-00000B1C0000}"/>
    <cellStyle name="Moneda 2 2 3 8 3 2" xfId="17450" xr:uid="{00000000-0005-0000-0000-00000C1C0000}"/>
    <cellStyle name="Moneda 2 2 3 8 4" xfId="17452" xr:uid="{00000000-0005-0000-0000-00000D1C0000}"/>
    <cellStyle name="Moneda 2 2 3 8 4 2" xfId="17456" xr:uid="{00000000-0005-0000-0000-00000E1C0000}"/>
    <cellStyle name="Moneda 2 2 3 8 5" xfId="12937" xr:uid="{00000000-0005-0000-0000-00000F1C0000}"/>
    <cellStyle name="Moneda 2 2 3 8 6" xfId="17462" xr:uid="{00000000-0005-0000-0000-0000101C0000}"/>
    <cellStyle name="Moneda 2 2 3 9" xfId="17466" xr:uid="{00000000-0005-0000-0000-0000111C0000}"/>
    <cellStyle name="Moneda 2 2 3 9 2" xfId="17468" xr:uid="{00000000-0005-0000-0000-0000121C0000}"/>
    <cellStyle name="Moneda 2 2 3 9 2 2" xfId="17472" xr:uid="{00000000-0005-0000-0000-0000131C0000}"/>
    <cellStyle name="Moneda 2 2 3 9 3" xfId="10702" xr:uid="{00000000-0005-0000-0000-0000141C0000}"/>
    <cellStyle name="Moneda 2 2 3 9 4" xfId="10717" xr:uid="{00000000-0005-0000-0000-0000151C0000}"/>
    <cellStyle name="Moneda 2 2 4" xfId="10342" xr:uid="{00000000-0005-0000-0000-0000161C0000}"/>
    <cellStyle name="Moneda 2 3" xfId="16098" xr:uid="{00000000-0005-0000-0000-0000171C0000}"/>
    <cellStyle name="Moneda 2 3 10" xfId="8566" xr:uid="{00000000-0005-0000-0000-0000181C0000}"/>
    <cellStyle name="Moneda 2 3 10 2" xfId="7959" xr:uid="{00000000-0005-0000-0000-0000191C0000}"/>
    <cellStyle name="Moneda 2 3 10 2 2" xfId="3776" xr:uid="{00000000-0005-0000-0000-00001A1C0000}"/>
    <cellStyle name="Moneda 2 3 10 3" xfId="7968" xr:uid="{00000000-0005-0000-0000-00001B1C0000}"/>
    <cellStyle name="Moneda 2 3 11" xfId="3688" xr:uid="{00000000-0005-0000-0000-00001C1C0000}"/>
    <cellStyle name="Moneda 2 3 11 2" xfId="3694" xr:uid="{00000000-0005-0000-0000-00001D1C0000}"/>
    <cellStyle name="Moneda 2 3 12" xfId="3705" xr:uid="{00000000-0005-0000-0000-00001E1C0000}"/>
    <cellStyle name="Moneda 2 3 12 2" xfId="8589" xr:uid="{00000000-0005-0000-0000-00001F1C0000}"/>
    <cellStyle name="Moneda 2 3 13" xfId="3711" xr:uid="{00000000-0005-0000-0000-0000201C0000}"/>
    <cellStyle name="Moneda 2 3 13 2" xfId="8592" xr:uid="{00000000-0005-0000-0000-0000211C0000}"/>
    <cellStyle name="Moneda 2 3 14" xfId="8599" xr:uid="{00000000-0005-0000-0000-0000221C0000}"/>
    <cellStyle name="Moneda 2 3 15" xfId="8603" xr:uid="{00000000-0005-0000-0000-0000231C0000}"/>
    <cellStyle name="Moneda 2 3 2" xfId="16106" xr:uid="{00000000-0005-0000-0000-0000241C0000}"/>
    <cellStyle name="Moneda 2 3 2 10" xfId="4782" xr:uid="{00000000-0005-0000-0000-0000251C0000}"/>
    <cellStyle name="Moneda 2 3 2 10 2" xfId="8648" xr:uid="{00000000-0005-0000-0000-0000261C0000}"/>
    <cellStyle name="Moneda 2 3 2 11" xfId="3807" xr:uid="{00000000-0005-0000-0000-0000271C0000}"/>
    <cellStyle name="Moneda 2 3 2 11 2" xfId="17478" xr:uid="{00000000-0005-0000-0000-0000281C0000}"/>
    <cellStyle name="Moneda 2 3 2 12" xfId="17481" xr:uid="{00000000-0005-0000-0000-0000291C0000}"/>
    <cellStyle name="Moneda 2 3 2 12 2" xfId="17487" xr:uid="{00000000-0005-0000-0000-00002A1C0000}"/>
    <cellStyle name="Moneda 2 3 2 13" xfId="17495" xr:uid="{00000000-0005-0000-0000-00002B1C0000}"/>
    <cellStyle name="Moneda 2 3 2 14" xfId="13215" xr:uid="{00000000-0005-0000-0000-00002C1C0000}"/>
    <cellStyle name="Moneda 2 3 2 2" xfId="17497" xr:uid="{00000000-0005-0000-0000-00002D1C0000}"/>
    <cellStyle name="Moneda 2 3 2 2 10" xfId="8774" xr:uid="{00000000-0005-0000-0000-00002E1C0000}"/>
    <cellStyle name="Moneda 2 3 2 2 2" xfId="1783" xr:uid="{00000000-0005-0000-0000-00002F1C0000}"/>
    <cellStyle name="Moneda 2 3 2 2 2 2" xfId="12304" xr:uid="{00000000-0005-0000-0000-0000301C0000}"/>
    <cellStyle name="Moneda 2 3 2 2 2 2 2" xfId="17507" xr:uid="{00000000-0005-0000-0000-0000311C0000}"/>
    <cellStyle name="Moneda 2 3 2 2 2 2 2 2" xfId="17508" xr:uid="{00000000-0005-0000-0000-0000321C0000}"/>
    <cellStyle name="Moneda 2 3 2 2 2 2 2 2 2" xfId="9711" xr:uid="{00000000-0005-0000-0000-0000331C0000}"/>
    <cellStyle name="Moneda 2 3 2 2 2 2 2 2 2 2" xfId="3002" xr:uid="{00000000-0005-0000-0000-0000341C0000}"/>
    <cellStyle name="Moneda 2 3 2 2 2 2 2 2 3" xfId="9719" xr:uid="{00000000-0005-0000-0000-0000351C0000}"/>
    <cellStyle name="Moneda 2 3 2 2 2 2 2 3" xfId="17509" xr:uid="{00000000-0005-0000-0000-0000361C0000}"/>
    <cellStyle name="Moneda 2 3 2 2 2 2 2 3 2" xfId="9787" xr:uid="{00000000-0005-0000-0000-0000371C0000}"/>
    <cellStyle name="Moneda 2 3 2 2 2 2 2 4" xfId="17511" xr:uid="{00000000-0005-0000-0000-0000381C0000}"/>
    <cellStyle name="Moneda 2 3 2 2 2 2 3" xfId="17513" xr:uid="{00000000-0005-0000-0000-0000391C0000}"/>
    <cellStyle name="Moneda 2 3 2 2 2 2 3 2" xfId="17514" xr:uid="{00000000-0005-0000-0000-00003A1C0000}"/>
    <cellStyle name="Moneda 2 3 2 2 2 2 3 2 2" xfId="17515" xr:uid="{00000000-0005-0000-0000-00003B1C0000}"/>
    <cellStyle name="Moneda 2 3 2 2 2 2 3 3" xfId="17517" xr:uid="{00000000-0005-0000-0000-00003C1C0000}"/>
    <cellStyle name="Moneda 2 3 2 2 2 2 4" xfId="15145" xr:uid="{00000000-0005-0000-0000-00003D1C0000}"/>
    <cellStyle name="Moneda 2 3 2 2 2 2 4 2" xfId="17524" xr:uid="{00000000-0005-0000-0000-00003E1C0000}"/>
    <cellStyle name="Moneda 2 3 2 2 2 2 4 2 2" xfId="17525" xr:uid="{00000000-0005-0000-0000-00003F1C0000}"/>
    <cellStyle name="Moneda 2 3 2 2 2 2 4 3" xfId="11518" xr:uid="{00000000-0005-0000-0000-0000401C0000}"/>
    <cellStyle name="Moneda 2 3 2 2 2 2 5" xfId="17526" xr:uid="{00000000-0005-0000-0000-0000411C0000}"/>
    <cellStyle name="Moneda 2 3 2 2 2 2 5 2" xfId="17527" xr:uid="{00000000-0005-0000-0000-0000421C0000}"/>
    <cellStyle name="Moneda 2 3 2 2 2 2 6" xfId="14592" xr:uid="{00000000-0005-0000-0000-0000431C0000}"/>
    <cellStyle name="Moneda 2 3 2 2 2 2 6 2" xfId="14595" xr:uid="{00000000-0005-0000-0000-0000441C0000}"/>
    <cellStyle name="Moneda 2 3 2 2 2 2 7" xfId="14613" xr:uid="{00000000-0005-0000-0000-0000451C0000}"/>
    <cellStyle name="Moneda 2 3 2 2 2 2 8" xfId="8504" xr:uid="{00000000-0005-0000-0000-0000461C0000}"/>
    <cellStyle name="Moneda 2 3 2 2 2 3" xfId="17528" xr:uid="{00000000-0005-0000-0000-0000471C0000}"/>
    <cellStyle name="Moneda 2 3 2 2 2 3 2" xfId="17529" xr:uid="{00000000-0005-0000-0000-0000481C0000}"/>
    <cellStyle name="Moneda 2 3 2 2 2 3 2 2" xfId="8259" xr:uid="{00000000-0005-0000-0000-0000491C0000}"/>
    <cellStyle name="Moneda 2 3 2 2 2 3 2 2 2" xfId="10471" xr:uid="{00000000-0005-0000-0000-00004A1C0000}"/>
    <cellStyle name="Moneda 2 3 2 2 2 3 2 3" xfId="17530" xr:uid="{00000000-0005-0000-0000-00004B1C0000}"/>
    <cellStyle name="Moneda 2 3 2 2 2 3 3" xfId="17532" xr:uid="{00000000-0005-0000-0000-00004C1C0000}"/>
    <cellStyle name="Moneda 2 3 2 2 2 3 3 2" xfId="17533" xr:uid="{00000000-0005-0000-0000-00004D1C0000}"/>
    <cellStyle name="Moneda 2 3 2 2 2 3 4" xfId="17535" xr:uid="{00000000-0005-0000-0000-00004E1C0000}"/>
    <cellStyle name="Moneda 2 3 2 2 2 4" xfId="12013" xr:uid="{00000000-0005-0000-0000-00004F1C0000}"/>
    <cellStyle name="Moneda 2 3 2 2 2 4 2" xfId="17538" xr:uid="{00000000-0005-0000-0000-0000501C0000}"/>
    <cellStyle name="Moneda 2 3 2 2 2 4 2 2" xfId="3531" xr:uid="{00000000-0005-0000-0000-0000511C0000}"/>
    <cellStyle name="Moneda 2 3 2 2 2 4 3" xfId="17539" xr:uid="{00000000-0005-0000-0000-0000521C0000}"/>
    <cellStyle name="Moneda 2 3 2 2 2 5" xfId="17540" xr:uid="{00000000-0005-0000-0000-0000531C0000}"/>
    <cellStyle name="Moneda 2 3 2 2 2 5 2" xfId="17541" xr:uid="{00000000-0005-0000-0000-0000541C0000}"/>
    <cellStyle name="Moneda 2 3 2 2 2 5 2 2" xfId="17542" xr:uid="{00000000-0005-0000-0000-0000551C0000}"/>
    <cellStyle name="Moneda 2 3 2 2 2 5 3" xfId="17543" xr:uid="{00000000-0005-0000-0000-0000561C0000}"/>
    <cellStyle name="Moneda 2 3 2 2 2 6" xfId="7981" xr:uid="{00000000-0005-0000-0000-0000571C0000}"/>
    <cellStyle name="Moneda 2 3 2 2 2 6 2" xfId="8712" xr:uid="{00000000-0005-0000-0000-0000581C0000}"/>
    <cellStyle name="Moneda 2 3 2 2 2 7" xfId="8781" xr:uid="{00000000-0005-0000-0000-0000591C0000}"/>
    <cellStyle name="Moneda 2 3 2 2 2 7 2" xfId="17544" xr:uid="{00000000-0005-0000-0000-00005A1C0000}"/>
    <cellStyle name="Moneda 2 3 2 2 2 8" xfId="17545" xr:uid="{00000000-0005-0000-0000-00005B1C0000}"/>
    <cellStyle name="Moneda 2 3 2 2 2 9" xfId="12228" xr:uid="{00000000-0005-0000-0000-00005C1C0000}"/>
    <cellStyle name="Moneda 2 3 2 2 3" xfId="12306" xr:uid="{00000000-0005-0000-0000-00005D1C0000}"/>
    <cellStyle name="Moneda 2 3 2 2 3 2" xfId="12310" xr:uid="{00000000-0005-0000-0000-00005E1C0000}"/>
    <cellStyle name="Moneda 2 3 2 2 3 2 2" xfId="17551" xr:uid="{00000000-0005-0000-0000-00005F1C0000}"/>
    <cellStyle name="Moneda 2 3 2 2 3 2 2 2" xfId="17557" xr:uid="{00000000-0005-0000-0000-0000601C0000}"/>
    <cellStyle name="Moneda 2 3 2 2 3 2 2 2 2" xfId="17558" xr:uid="{00000000-0005-0000-0000-0000611C0000}"/>
    <cellStyle name="Moneda 2 3 2 2 3 2 2 3" xfId="17559" xr:uid="{00000000-0005-0000-0000-0000621C0000}"/>
    <cellStyle name="Moneda 2 3 2 2 3 2 3" xfId="17566" xr:uid="{00000000-0005-0000-0000-0000631C0000}"/>
    <cellStyle name="Moneda 2 3 2 2 3 2 3 2" xfId="17570" xr:uid="{00000000-0005-0000-0000-0000641C0000}"/>
    <cellStyle name="Moneda 2 3 2 2 3 2 4" xfId="17573" xr:uid="{00000000-0005-0000-0000-0000651C0000}"/>
    <cellStyle name="Moneda 2 3 2 2 3 3" xfId="17577" xr:uid="{00000000-0005-0000-0000-0000661C0000}"/>
    <cellStyle name="Moneda 2 3 2 2 3 3 2" xfId="17583" xr:uid="{00000000-0005-0000-0000-0000671C0000}"/>
    <cellStyle name="Moneda 2 3 2 2 3 3 2 2" xfId="17589" xr:uid="{00000000-0005-0000-0000-0000681C0000}"/>
    <cellStyle name="Moneda 2 3 2 2 3 3 3" xfId="17596" xr:uid="{00000000-0005-0000-0000-0000691C0000}"/>
    <cellStyle name="Moneda 2 3 2 2 3 4" xfId="12016" xr:uid="{00000000-0005-0000-0000-00006A1C0000}"/>
    <cellStyle name="Moneda 2 3 2 2 3 4 2" xfId="17599" xr:uid="{00000000-0005-0000-0000-00006B1C0000}"/>
    <cellStyle name="Moneda 2 3 2 2 3 4 2 2" xfId="2758" xr:uid="{00000000-0005-0000-0000-00006C1C0000}"/>
    <cellStyle name="Moneda 2 3 2 2 3 4 3" xfId="17601" xr:uid="{00000000-0005-0000-0000-00006D1C0000}"/>
    <cellStyle name="Moneda 2 3 2 2 3 5" xfId="17604" xr:uid="{00000000-0005-0000-0000-00006E1C0000}"/>
    <cellStyle name="Moneda 2 3 2 2 3 5 2" xfId="17606" xr:uid="{00000000-0005-0000-0000-00006F1C0000}"/>
    <cellStyle name="Moneda 2 3 2 2 3 6" xfId="8792" xr:uid="{00000000-0005-0000-0000-0000701C0000}"/>
    <cellStyle name="Moneda 2 3 2 2 3 6 2" xfId="17607" xr:uid="{00000000-0005-0000-0000-0000711C0000}"/>
    <cellStyle name="Moneda 2 3 2 2 3 7" xfId="17611" xr:uid="{00000000-0005-0000-0000-0000721C0000}"/>
    <cellStyle name="Moneda 2 3 2 2 3 8" xfId="17612" xr:uid="{00000000-0005-0000-0000-0000731C0000}"/>
    <cellStyle name="Moneda 2 3 2 2 4" xfId="1700" xr:uid="{00000000-0005-0000-0000-0000741C0000}"/>
    <cellStyle name="Moneda 2 3 2 2 4 2" xfId="17615" xr:uid="{00000000-0005-0000-0000-0000751C0000}"/>
    <cellStyle name="Moneda 2 3 2 2 4 2 2" xfId="17618" xr:uid="{00000000-0005-0000-0000-0000761C0000}"/>
    <cellStyle name="Moneda 2 3 2 2 4 2 2 2" xfId="10160" xr:uid="{00000000-0005-0000-0000-0000771C0000}"/>
    <cellStyle name="Moneda 2 3 2 2 4 2 3" xfId="9649" xr:uid="{00000000-0005-0000-0000-0000781C0000}"/>
    <cellStyle name="Moneda 2 3 2 2 4 3" xfId="17620" xr:uid="{00000000-0005-0000-0000-0000791C0000}"/>
    <cellStyle name="Moneda 2 3 2 2 4 3 2" xfId="450" xr:uid="{00000000-0005-0000-0000-00007A1C0000}"/>
    <cellStyle name="Moneda 2 3 2 2 4 4" xfId="17624" xr:uid="{00000000-0005-0000-0000-00007B1C0000}"/>
    <cellStyle name="Moneda 2 3 2 2 5" xfId="17626" xr:uid="{00000000-0005-0000-0000-00007C1C0000}"/>
    <cellStyle name="Moneda 2 3 2 2 5 2" xfId="17628" xr:uid="{00000000-0005-0000-0000-00007D1C0000}"/>
    <cellStyle name="Moneda 2 3 2 2 5 2 2" xfId="17631" xr:uid="{00000000-0005-0000-0000-00007E1C0000}"/>
    <cellStyle name="Moneda 2 3 2 2 5 3" xfId="17633" xr:uid="{00000000-0005-0000-0000-00007F1C0000}"/>
    <cellStyle name="Moneda 2 3 2 2 6" xfId="17634" xr:uid="{00000000-0005-0000-0000-0000801C0000}"/>
    <cellStyle name="Moneda 2 3 2 2 6 2" xfId="17636" xr:uid="{00000000-0005-0000-0000-0000811C0000}"/>
    <cellStyle name="Moneda 2 3 2 2 6 2 2" xfId="17639" xr:uid="{00000000-0005-0000-0000-0000821C0000}"/>
    <cellStyle name="Moneda 2 3 2 2 6 3" xfId="17641" xr:uid="{00000000-0005-0000-0000-0000831C0000}"/>
    <cellStyle name="Moneda 2 3 2 2 7" xfId="15905" xr:uid="{00000000-0005-0000-0000-0000841C0000}"/>
    <cellStyle name="Moneda 2 3 2 2 7 2" xfId="17643" xr:uid="{00000000-0005-0000-0000-0000851C0000}"/>
    <cellStyle name="Moneda 2 3 2 2 8" xfId="8692" xr:uid="{00000000-0005-0000-0000-0000861C0000}"/>
    <cellStyle name="Moneda 2 3 2 2 8 2" xfId="13643" xr:uid="{00000000-0005-0000-0000-0000871C0000}"/>
    <cellStyle name="Moneda 2 3 2 2 9" xfId="17644" xr:uid="{00000000-0005-0000-0000-0000881C0000}"/>
    <cellStyle name="Moneda 2 3 2 3" xfId="17647" xr:uid="{00000000-0005-0000-0000-0000891C0000}"/>
    <cellStyle name="Moneda 2 3 2 3 2" xfId="17654" xr:uid="{00000000-0005-0000-0000-00008A1C0000}"/>
    <cellStyle name="Moneda 2 3 2 3 2 2" xfId="15980" xr:uid="{00000000-0005-0000-0000-00008B1C0000}"/>
    <cellStyle name="Moneda 2 3 2 3 2 2 2" xfId="14348" xr:uid="{00000000-0005-0000-0000-00008C1C0000}"/>
    <cellStyle name="Moneda 2 3 2 3 2 2 2 2" xfId="8760" xr:uid="{00000000-0005-0000-0000-00008D1C0000}"/>
    <cellStyle name="Moneda 2 3 2 3 2 2 2 2 2" xfId="4724" xr:uid="{00000000-0005-0000-0000-00008E1C0000}"/>
    <cellStyle name="Moneda 2 3 2 3 2 2 2 3" xfId="6418" xr:uid="{00000000-0005-0000-0000-00008F1C0000}"/>
    <cellStyle name="Moneda 2 3 2 3 2 2 3" xfId="14422" xr:uid="{00000000-0005-0000-0000-0000901C0000}"/>
    <cellStyle name="Moneda 2 3 2 3 2 2 3 2" xfId="8927" xr:uid="{00000000-0005-0000-0000-0000911C0000}"/>
    <cellStyle name="Moneda 2 3 2 3 2 2 4" xfId="14484" xr:uid="{00000000-0005-0000-0000-0000921C0000}"/>
    <cellStyle name="Moneda 2 3 2 3 2 2 5" xfId="14543" xr:uid="{00000000-0005-0000-0000-0000931C0000}"/>
    <cellStyle name="Moneda 2 3 2 3 2 3" xfId="17656" xr:uid="{00000000-0005-0000-0000-0000941C0000}"/>
    <cellStyle name="Moneda 2 3 2 3 2 3 2" xfId="14799" xr:uid="{00000000-0005-0000-0000-0000951C0000}"/>
    <cellStyle name="Moneda 2 3 2 3 2 3 2 2" xfId="14804" xr:uid="{00000000-0005-0000-0000-0000961C0000}"/>
    <cellStyle name="Moneda 2 3 2 3 2 3 3" xfId="14817" xr:uid="{00000000-0005-0000-0000-0000971C0000}"/>
    <cellStyle name="Moneda 2 3 2 3 2 4" xfId="17658" xr:uid="{00000000-0005-0000-0000-0000981C0000}"/>
    <cellStyle name="Moneda 2 3 2 3 2 4 2" xfId="14933" xr:uid="{00000000-0005-0000-0000-0000991C0000}"/>
    <cellStyle name="Moneda 2 3 2 3 2 4 2 2" xfId="14937" xr:uid="{00000000-0005-0000-0000-00009A1C0000}"/>
    <cellStyle name="Moneda 2 3 2 3 2 4 3" xfId="14944" xr:uid="{00000000-0005-0000-0000-00009B1C0000}"/>
    <cellStyle name="Moneda 2 3 2 3 2 5" xfId="17659" xr:uid="{00000000-0005-0000-0000-00009C1C0000}"/>
    <cellStyle name="Moneda 2 3 2 3 2 5 2" xfId="15040" xr:uid="{00000000-0005-0000-0000-00009D1C0000}"/>
    <cellStyle name="Moneda 2 3 2 3 2 6" xfId="8819" xr:uid="{00000000-0005-0000-0000-00009E1C0000}"/>
    <cellStyle name="Moneda 2 3 2 3 2 6 2" xfId="4520" xr:uid="{00000000-0005-0000-0000-00009F1C0000}"/>
    <cellStyle name="Moneda 2 3 2 3 2 7" xfId="8822" xr:uid="{00000000-0005-0000-0000-0000A01C0000}"/>
    <cellStyle name="Moneda 2 3 2 3 2 8" xfId="10044" xr:uid="{00000000-0005-0000-0000-0000A11C0000}"/>
    <cellStyle name="Moneda 2 3 2 3 3" xfId="10677" xr:uid="{00000000-0005-0000-0000-0000A21C0000}"/>
    <cellStyle name="Moneda 2 3 2 3 3 2" xfId="15989" xr:uid="{00000000-0005-0000-0000-0000A31C0000}"/>
    <cellStyle name="Moneda 2 3 2 3 3 2 2" xfId="15278" xr:uid="{00000000-0005-0000-0000-0000A41C0000}"/>
    <cellStyle name="Moneda 2 3 2 3 3 2 2 2" xfId="15284" xr:uid="{00000000-0005-0000-0000-0000A51C0000}"/>
    <cellStyle name="Moneda 2 3 2 3 3 2 3" xfId="15303" xr:uid="{00000000-0005-0000-0000-0000A61C0000}"/>
    <cellStyle name="Moneda 2 3 2 3 3 3" xfId="17662" xr:uid="{00000000-0005-0000-0000-0000A71C0000}"/>
    <cellStyle name="Moneda 2 3 2 3 3 3 2" xfId="15415" xr:uid="{00000000-0005-0000-0000-0000A81C0000}"/>
    <cellStyle name="Moneda 2 3 2 3 3 4" xfId="17665" xr:uid="{00000000-0005-0000-0000-0000A91C0000}"/>
    <cellStyle name="Moneda 2 3 2 3 3 5" xfId="14353" xr:uid="{00000000-0005-0000-0000-0000AA1C0000}"/>
    <cellStyle name="Moneda 2 3 2 3 4" xfId="17666" xr:uid="{00000000-0005-0000-0000-0000AB1C0000}"/>
    <cellStyle name="Moneda 2 3 2 3 4 2" xfId="17668" xr:uid="{00000000-0005-0000-0000-0000AC1C0000}"/>
    <cellStyle name="Moneda 2 3 2 3 4 2 2" xfId="15790" xr:uid="{00000000-0005-0000-0000-0000AD1C0000}"/>
    <cellStyle name="Moneda 2 3 2 3 4 3" xfId="17671" xr:uid="{00000000-0005-0000-0000-0000AE1C0000}"/>
    <cellStyle name="Moneda 2 3 2 3 5" xfId="17672" xr:uid="{00000000-0005-0000-0000-0000AF1C0000}"/>
    <cellStyle name="Moneda 2 3 2 3 5 2" xfId="17674" xr:uid="{00000000-0005-0000-0000-0000B01C0000}"/>
    <cellStyle name="Moneda 2 3 2 3 5 2 2" xfId="15933" xr:uid="{00000000-0005-0000-0000-0000B11C0000}"/>
    <cellStyle name="Moneda 2 3 2 3 5 3" xfId="17676" xr:uid="{00000000-0005-0000-0000-0000B21C0000}"/>
    <cellStyle name="Moneda 2 3 2 3 6" xfId="17677" xr:uid="{00000000-0005-0000-0000-0000B31C0000}"/>
    <cellStyle name="Moneda 2 3 2 3 6 2" xfId="17678" xr:uid="{00000000-0005-0000-0000-0000B41C0000}"/>
    <cellStyle name="Moneda 2 3 2 3 7" xfId="17679" xr:uid="{00000000-0005-0000-0000-0000B51C0000}"/>
    <cellStyle name="Moneda 2 3 2 3 7 2" xfId="17681" xr:uid="{00000000-0005-0000-0000-0000B61C0000}"/>
    <cellStyle name="Moneda 2 3 2 3 8" xfId="436" xr:uid="{00000000-0005-0000-0000-0000B71C0000}"/>
    <cellStyle name="Moneda 2 3 2 3 9" xfId="13998" xr:uid="{00000000-0005-0000-0000-0000B81C0000}"/>
    <cellStyle name="Moneda 2 3 2 4" xfId="5148" xr:uid="{00000000-0005-0000-0000-0000B91C0000}"/>
    <cellStyle name="Moneda 2 3 2 4 2" xfId="17682" xr:uid="{00000000-0005-0000-0000-0000BA1C0000}"/>
    <cellStyle name="Moneda 2 3 2 4 2 2" xfId="17683" xr:uid="{00000000-0005-0000-0000-0000BB1C0000}"/>
    <cellStyle name="Moneda 2 3 2 4 2 2 2" xfId="6483" xr:uid="{00000000-0005-0000-0000-0000BC1C0000}"/>
    <cellStyle name="Moneda 2 3 2 4 2 2 2 2" xfId="6496" xr:uid="{00000000-0005-0000-0000-0000BD1C0000}"/>
    <cellStyle name="Moneda 2 3 2 4 2 2 2 2 2" xfId="16274" xr:uid="{00000000-0005-0000-0000-0000BE1C0000}"/>
    <cellStyle name="Moneda 2 3 2 4 2 2 2 3" xfId="16285" xr:uid="{00000000-0005-0000-0000-0000BF1C0000}"/>
    <cellStyle name="Moneda 2 3 2 4 2 2 3" xfId="16291" xr:uid="{00000000-0005-0000-0000-0000C01C0000}"/>
    <cellStyle name="Moneda 2 3 2 4 2 2 3 2" xfId="16295" xr:uid="{00000000-0005-0000-0000-0000C11C0000}"/>
    <cellStyle name="Moneda 2 3 2 4 2 2 4" xfId="3052" xr:uid="{00000000-0005-0000-0000-0000C21C0000}"/>
    <cellStyle name="Moneda 2 3 2 4 2 3" xfId="17688" xr:uid="{00000000-0005-0000-0000-0000C31C0000}"/>
    <cellStyle name="Moneda 2 3 2 4 2 3 2" xfId="7719" xr:uid="{00000000-0005-0000-0000-0000C41C0000}"/>
    <cellStyle name="Moneda 2 3 2 4 2 3 2 2" xfId="7731" xr:uid="{00000000-0005-0000-0000-0000C51C0000}"/>
    <cellStyle name="Moneda 2 3 2 4 2 3 3" xfId="16320" xr:uid="{00000000-0005-0000-0000-0000C61C0000}"/>
    <cellStyle name="Moneda 2 3 2 4 2 4" xfId="17693" xr:uid="{00000000-0005-0000-0000-0000C71C0000}"/>
    <cellStyle name="Moneda 2 3 2 4 2 4 2" xfId="8518" xr:uid="{00000000-0005-0000-0000-0000C81C0000}"/>
    <cellStyle name="Moneda 2 3 2 4 2 4 2 2" xfId="8006" xr:uid="{00000000-0005-0000-0000-0000C91C0000}"/>
    <cellStyle name="Moneda 2 3 2 4 2 4 3" xfId="17699" xr:uid="{00000000-0005-0000-0000-0000CA1C0000}"/>
    <cellStyle name="Moneda 2 3 2 4 2 5" xfId="17704" xr:uid="{00000000-0005-0000-0000-0000CB1C0000}"/>
    <cellStyle name="Moneda 2 3 2 4 2 5 2" xfId="9096" xr:uid="{00000000-0005-0000-0000-0000CC1C0000}"/>
    <cellStyle name="Moneda 2 3 2 4 2 6" xfId="8907" xr:uid="{00000000-0005-0000-0000-0000CD1C0000}"/>
    <cellStyle name="Moneda 2 3 2 4 2 6 2" xfId="13580" xr:uid="{00000000-0005-0000-0000-0000CE1C0000}"/>
    <cellStyle name="Moneda 2 3 2 4 2 7" xfId="17342" xr:uid="{00000000-0005-0000-0000-0000CF1C0000}"/>
    <cellStyle name="Moneda 2 3 2 4 2 8" xfId="17708" xr:uid="{00000000-0005-0000-0000-0000D01C0000}"/>
    <cellStyle name="Moneda 2 3 2 4 3" xfId="17712" xr:uid="{00000000-0005-0000-0000-0000D11C0000}"/>
    <cellStyle name="Moneda 2 3 2 4 3 2" xfId="7785" xr:uid="{00000000-0005-0000-0000-0000D21C0000}"/>
    <cellStyle name="Moneda 2 3 2 4 3 2 2" xfId="7793" xr:uid="{00000000-0005-0000-0000-0000D31C0000}"/>
    <cellStyle name="Moneda 2 3 2 4 3 2 2 2" xfId="10669" xr:uid="{00000000-0005-0000-0000-0000D41C0000}"/>
    <cellStyle name="Moneda 2 3 2 4 3 2 3" xfId="16370" xr:uid="{00000000-0005-0000-0000-0000D51C0000}"/>
    <cellStyle name="Moneda 2 3 2 4 3 3" xfId="7805" xr:uid="{00000000-0005-0000-0000-0000D61C0000}"/>
    <cellStyle name="Moneda 2 3 2 4 3 3 2" xfId="12742" xr:uid="{00000000-0005-0000-0000-0000D71C0000}"/>
    <cellStyle name="Moneda 2 3 2 4 3 4" xfId="7812" xr:uid="{00000000-0005-0000-0000-0000D81C0000}"/>
    <cellStyle name="Moneda 2 3 2 4 4" xfId="17713" xr:uid="{00000000-0005-0000-0000-0000D91C0000}"/>
    <cellStyle name="Moneda 2 3 2 4 4 2" xfId="7841" xr:uid="{00000000-0005-0000-0000-0000DA1C0000}"/>
    <cellStyle name="Moneda 2 3 2 4 4 2 2" xfId="16418" xr:uid="{00000000-0005-0000-0000-0000DB1C0000}"/>
    <cellStyle name="Moneda 2 3 2 4 4 3" xfId="17717" xr:uid="{00000000-0005-0000-0000-0000DC1C0000}"/>
    <cellStyle name="Moneda 2 3 2 4 5" xfId="17721" xr:uid="{00000000-0005-0000-0000-0000DD1C0000}"/>
    <cellStyle name="Moneda 2 3 2 4 5 2" xfId="17722" xr:uid="{00000000-0005-0000-0000-0000DE1C0000}"/>
    <cellStyle name="Moneda 2 3 2 4 5 2 2" xfId="16473" xr:uid="{00000000-0005-0000-0000-0000DF1C0000}"/>
    <cellStyle name="Moneda 2 3 2 4 5 3" xfId="17724" xr:uid="{00000000-0005-0000-0000-0000E01C0000}"/>
    <cellStyle name="Moneda 2 3 2 4 6" xfId="17728" xr:uid="{00000000-0005-0000-0000-0000E11C0000}"/>
    <cellStyle name="Moneda 2 3 2 4 6 2" xfId="17730" xr:uid="{00000000-0005-0000-0000-0000E21C0000}"/>
    <cellStyle name="Moneda 2 3 2 4 7" xfId="17738" xr:uid="{00000000-0005-0000-0000-0000E31C0000}"/>
    <cellStyle name="Moneda 2 3 2 4 7 2" xfId="17740" xr:uid="{00000000-0005-0000-0000-0000E41C0000}"/>
    <cellStyle name="Moneda 2 3 2 4 8" xfId="14059" xr:uid="{00000000-0005-0000-0000-0000E51C0000}"/>
    <cellStyle name="Moneda 2 3 2 4 9" xfId="14093" xr:uid="{00000000-0005-0000-0000-0000E61C0000}"/>
    <cellStyle name="Moneda 2 3 2 5" xfId="17743" xr:uid="{00000000-0005-0000-0000-0000E71C0000}"/>
    <cellStyle name="Moneda 2 3 2 5 2" xfId="17744" xr:uid="{00000000-0005-0000-0000-0000E81C0000}"/>
    <cellStyle name="Moneda 2 3 2 5 2 2" xfId="17745" xr:uid="{00000000-0005-0000-0000-0000E91C0000}"/>
    <cellStyle name="Moneda 2 3 2 5 2 2 2" xfId="11397" xr:uid="{00000000-0005-0000-0000-0000EA1C0000}"/>
    <cellStyle name="Moneda 2 3 2 5 2 2 2 2" xfId="2015" xr:uid="{00000000-0005-0000-0000-0000EB1C0000}"/>
    <cellStyle name="Moneda 2 3 2 5 2 2 2 2 2" xfId="2039" xr:uid="{00000000-0005-0000-0000-0000EC1C0000}"/>
    <cellStyle name="Moneda 2 3 2 5 2 2 2 3" xfId="216" xr:uid="{00000000-0005-0000-0000-0000ED1C0000}"/>
    <cellStyle name="Moneda 2 3 2 5 2 2 3" xfId="11400" xr:uid="{00000000-0005-0000-0000-0000EE1C0000}"/>
    <cellStyle name="Moneda 2 3 2 5 2 2 3 2" xfId="2077" xr:uid="{00000000-0005-0000-0000-0000EF1C0000}"/>
    <cellStyle name="Moneda 2 3 2 5 2 2 4" xfId="16546" xr:uid="{00000000-0005-0000-0000-0000F01C0000}"/>
    <cellStyle name="Moneda 2 3 2 5 2 3" xfId="17748" xr:uid="{00000000-0005-0000-0000-0000F11C0000}"/>
    <cellStyle name="Moneda 2 3 2 5 2 3 2" xfId="16561" xr:uid="{00000000-0005-0000-0000-0000F21C0000}"/>
    <cellStyle name="Moneda 2 3 2 5 2 3 2 2" xfId="17750" xr:uid="{00000000-0005-0000-0000-0000F31C0000}"/>
    <cellStyle name="Moneda 2 3 2 5 2 3 3" xfId="16567" xr:uid="{00000000-0005-0000-0000-0000F41C0000}"/>
    <cellStyle name="Moneda 2 3 2 5 2 4" xfId="17754" xr:uid="{00000000-0005-0000-0000-0000F51C0000}"/>
    <cellStyle name="Moneda 2 3 2 5 2 4 2" xfId="17756" xr:uid="{00000000-0005-0000-0000-0000F61C0000}"/>
    <cellStyle name="Moneda 2 3 2 5 2 4 2 2" xfId="17758" xr:uid="{00000000-0005-0000-0000-0000F71C0000}"/>
    <cellStyle name="Moneda 2 3 2 5 2 4 3" xfId="17759" xr:uid="{00000000-0005-0000-0000-0000F81C0000}"/>
    <cellStyle name="Moneda 2 3 2 5 2 5" xfId="17761" xr:uid="{00000000-0005-0000-0000-0000F91C0000}"/>
    <cellStyle name="Moneda 2 3 2 5 2 5 2" xfId="17764" xr:uid="{00000000-0005-0000-0000-0000FA1C0000}"/>
    <cellStyle name="Moneda 2 3 2 5 2 6" xfId="17354" xr:uid="{00000000-0005-0000-0000-0000FB1C0000}"/>
    <cellStyle name="Moneda 2 3 2 5 2 6 2" xfId="17766" xr:uid="{00000000-0005-0000-0000-0000FC1C0000}"/>
    <cellStyle name="Moneda 2 3 2 5 2 7" xfId="17161" xr:uid="{00000000-0005-0000-0000-0000FD1C0000}"/>
    <cellStyle name="Moneda 2 3 2 5 2 8" xfId="17768" xr:uid="{00000000-0005-0000-0000-0000FE1C0000}"/>
    <cellStyle name="Moneda 2 3 2 5 3" xfId="17771" xr:uid="{00000000-0005-0000-0000-0000FF1C0000}"/>
    <cellStyle name="Moneda 2 3 2 5 3 2" xfId="7974" xr:uid="{00000000-0005-0000-0000-0000001D0000}"/>
    <cellStyle name="Moneda 2 3 2 5 3 2 2" xfId="11456" xr:uid="{00000000-0005-0000-0000-0000011D0000}"/>
    <cellStyle name="Moneda 2 3 2 5 3 2 2 2" xfId="2533" xr:uid="{00000000-0005-0000-0000-0000021D0000}"/>
    <cellStyle name="Moneda 2 3 2 5 3 2 3" xfId="11463" xr:uid="{00000000-0005-0000-0000-0000031D0000}"/>
    <cellStyle name="Moneda 2 3 2 5 3 3" xfId="17776" xr:uid="{00000000-0005-0000-0000-0000041D0000}"/>
    <cellStyle name="Moneda 2 3 2 5 3 3 2" xfId="16609" xr:uid="{00000000-0005-0000-0000-0000051D0000}"/>
    <cellStyle name="Moneda 2 3 2 5 3 4" xfId="11097" xr:uid="{00000000-0005-0000-0000-0000061D0000}"/>
    <cellStyle name="Moneda 2 3 2 5 4" xfId="17779" xr:uid="{00000000-0005-0000-0000-0000071D0000}"/>
    <cellStyle name="Moneda 2 3 2 5 4 2" xfId="17781" xr:uid="{00000000-0005-0000-0000-0000081D0000}"/>
    <cellStyle name="Moneda 2 3 2 5 4 2 2" xfId="9168" xr:uid="{00000000-0005-0000-0000-0000091D0000}"/>
    <cellStyle name="Moneda 2 3 2 5 4 3" xfId="17784" xr:uid="{00000000-0005-0000-0000-00000A1D0000}"/>
    <cellStyle name="Moneda 2 3 2 5 5" xfId="17786" xr:uid="{00000000-0005-0000-0000-00000B1D0000}"/>
    <cellStyle name="Moneda 2 3 2 5 5 2" xfId="17787" xr:uid="{00000000-0005-0000-0000-00000C1D0000}"/>
    <cellStyle name="Moneda 2 3 2 5 5 2 2" xfId="1429" xr:uid="{00000000-0005-0000-0000-00000D1D0000}"/>
    <cellStyle name="Moneda 2 3 2 5 5 3" xfId="17789" xr:uid="{00000000-0005-0000-0000-00000E1D0000}"/>
    <cellStyle name="Moneda 2 3 2 5 6" xfId="17791" xr:uid="{00000000-0005-0000-0000-00000F1D0000}"/>
    <cellStyle name="Moneda 2 3 2 5 6 2" xfId="12104" xr:uid="{00000000-0005-0000-0000-0000101D0000}"/>
    <cellStyle name="Moneda 2 3 2 5 7" xfId="17792" xr:uid="{00000000-0005-0000-0000-0000111D0000}"/>
    <cellStyle name="Moneda 2 3 2 5 7 2" xfId="17793" xr:uid="{00000000-0005-0000-0000-0000121D0000}"/>
    <cellStyle name="Moneda 2 3 2 5 8" xfId="14164" xr:uid="{00000000-0005-0000-0000-0000131D0000}"/>
    <cellStyle name="Moneda 2 3 2 5 9" xfId="14175" xr:uid="{00000000-0005-0000-0000-0000141D0000}"/>
    <cellStyle name="Moneda 2 3 2 6" xfId="17794" xr:uid="{00000000-0005-0000-0000-0000151D0000}"/>
    <cellStyle name="Moneda 2 3 2 6 2" xfId="17798" xr:uid="{00000000-0005-0000-0000-0000161D0000}"/>
    <cellStyle name="Moneda 2 3 2 6 2 2" xfId="17800" xr:uid="{00000000-0005-0000-0000-0000171D0000}"/>
    <cellStyle name="Moneda 2 3 2 6 2 2 2" xfId="16707" xr:uid="{00000000-0005-0000-0000-0000181D0000}"/>
    <cellStyle name="Moneda 2 3 2 6 2 2 2 2" xfId="17802" xr:uid="{00000000-0005-0000-0000-0000191D0000}"/>
    <cellStyle name="Moneda 2 3 2 6 2 2 3" xfId="16711" xr:uid="{00000000-0005-0000-0000-00001A1D0000}"/>
    <cellStyle name="Moneda 2 3 2 6 2 3" xfId="17804" xr:uid="{00000000-0005-0000-0000-00001B1D0000}"/>
    <cellStyle name="Moneda 2 3 2 6 2 3 2" xfId="16595" xr:uid="{00000000-0005-0000-0000-00001C1D0000}"/>
    <cellStyle name="Moneda 2 3 2 6 2 4" xfId="17808" xr:uid="{00000000-0005-0000-0000-00001D1D0000}"/>
    <cellStyle name="Moneda 2 3 2 6 2 5" xfId="17809" xr:uid="{00000000-0005-0000-0000-00001E1D0000}"/>
    <cellStyle name="Moneda 2 3 2 6 3" xfId="17812" xr:uid="{00000000-0005-0000-0000-00001F1D0000}"/>
    <cellStyle name="Moneda 2 3 2 6 3 2" xfId="8135" xr:uid="{00000000-0005-0000-0000-0000201D0000}"/>
    <cellStyle name="Moneda 2 3 2 6 3 2 2" xfId="16731" xr:uid="{00000000-0005-0000-0000-0000211D0000}"/>
    <cellStyle name="Moneda 2 3 2 6 3 3" xfId="17821" xr:uid="{00000000-0005-0000-0000-0000221D0000}"/>
    <cellStyle name="Moneda 2 3 2 6 4" xfId="17824" xr:uid="{00000000-0005-0000-0000-0000231D0000}"/>
    <cellStyle name="Moneda 2 3 2 6 4 2" xfId="17825" xr:uid="{00000000-0005-0000-0000-0000241D0000}"/>
    <cellStyle name="Moneda 2 3 2 6 4 2 2" xfId="1957" xr:uid="{00000000-0005-0000-0000-0000251D0000}"/>
    <cellStyle name="Moneda 2 3 2 6 4 3" xfId="17827" xr:uid="{00000000-0005-0000-0000-0000261D0000}"/>
    <cellStyle name="Moneda 2 3 2 6 5" xfId="17828" xr:uid="{00000000-0005-0000-0000-0000271D0000}"/>
    <cellStyle name="Moneda 2 3 2 6 5 2" xfId="17829" xr:uid="{00000000-0005-0000-0000-0000281D0000}"/>
    <cellStyle name="Moneda 2 3 2 6 6" xfId="17830" xr:uid="{00000000-0005-0000-0000-0000291D0000}"/>
    <cellStyle name="Moneda 2 3 2 6 6 2" xfId="17831" xr:uid="{00000000-0005-0000-0000-00002A1D0000}"/>
    <cellStyle name="Moneda 2 3 2 6 7" xfId="17832" xr:uid="{00000000-0005-0000-0000-00002B1D0000}"/>
    <cellStyle name="Moneda 2 3 2 6 8" xfId="14186" xr:uid="{00000000-0005-0000-0000-00002C1D0000}"/>
    <cellStyle name="Moneda 2 3 2 7" xfId="7881" xr:uid="{00000000-0005-0000-0000-00002D1D0000}"/>
    <cellStyle name="Moneda 2 3 2 7 2" xfId="6945" xr:uid="{00000000-0005-0000-0000-00002E1D0000}"/>
    <cellStyle name="Moneda 2 3 2 7 2 2" xfId="17833" xr:uid="{00000000-0005-0000-0000-00002F1D0000}"/>
    <cellStyle name="Moneda 2 3 2 7 2 2 2" xfId="16781" xr:uid="{00000000-0005-0000-0000-0000301D0000}"/>
    <cellStyle name="Moneda 2 3 2 7 2 3" xfId="17840" xr:uid="{00000000-0005-0000-0000-0000311D0000}"/>
    <cellStyle name="Moneda 2 3 2 7 3" xfId="17841" xr:uid="{00000000-0005-0000-0000-0000321D0000}"/>
    <cellStyle name="Moneda 2 3 2 7 3 2" xfId="7172" xr:uid="{00000000-0005-0000-0000-0000331D0000}"/>
    <cellStyle name="Moneda 2 3 2 7 4" xfId="7369" xr:uid="{00000000-0005-0000-0000-0000341D0000}"/>
    <cellStyle name="Moneda 2 3 2 7 5" xfId="16399" xr:uid="{00000000-0005-0000-0000-0000351D0000}"/>
    <cellStyle name="Moneda 2 3 2 8" xfId="3294" xr:uid="{00000000-0005-0000-0000-0000361D0000}"/>
    <cellStyle name="Moneda 2 3 2 8 2" xfId="17842" xr:uid="{00000000-0005-0000-0000-0000371D0000}"/>
    <cellStyle name="Moneda 2 3 2 8 2 2" xfId="17843" xr:uid="{00000000-0005-0000-0000-0000381D0000}"/>
    <cellStyle name="Moneda 2 3 2 8 3" xfId="17844" xr:uid="{00000000-0005-0000-0000-0000391D0000}"/>
    <cellStyle name="Moneda 2 3 2 9" xfId="17845" xr:uid="{00000000-0005-0000-0000-00003A1D0000}"/>
    <cellStyle name="Moneda 2 3 2 9 2" xfId="17847" xr:uid="{00000000-0005-0000-0000-00003B1D0000}"/>
    <cellStyle name="Moneda 2 3 2 9 2 2" xfId="7665" xr:uid="{00000000-0005-0000-0000-00003C1D0000}"/>
    <cellStyle name="Moneda 2 3 2 9 3" xfId="11166" xr:uid="{00000000-0005-0000-0000-00003D1D0000}"/>
    <cellStyle name="Moneda 2 3 3" xfId="17851" xr:uid="{00000000-0005-0000-0000-00003E1D0000}"/>
    <cellStyle name="Moneda 2 3 3 10" xfId="15941" xr:uid="{00000000-0005-0000-0000-00003F1D0000}"/>
    <cellStyle name="Moneda 2 3 3 11" xfId="1408" xr:uid="{00000000-0005-0000-0000-0000401D0000}"/>
    <cellStyle name="Moneda 2 3 3 2" xfId="11819" xr:uid="{00000000-0005-0000-0000-0000411D0000}"/>
    <cellStyle name="Moneda 2 3 3 2 2" xfId="11826" xr:uid="{00000000-0005-0000-0000-0000421D0000}"/>
    <cellStyle name="Moneda 2 3 3 2 2 2" xfId="12375" xr:uid="{00000000-0005-0000-0000-0000431D0000}"/>
    <cellStyle name="Moneda 2 3 3 2 2 2 2" xfId="5381" xr:uid="{00000000-0005-0000-0000-0000441D0000}"/>
    <cellStyle name="Moneda 2 3 3 2 2 2 2 2" xfId="12264" xr:uid="{00000000-0005-0000-0000-0000451D0000}"/>
    <cellStyle name="Moneda 2 3 3 2 2 2 2 2 2" xfId="12266" xr:uid="{00000000-0005-0000-0000-0000461D0000}"/>
    <cellStyle name="Moneda 2 3 3 2 2 2 2 3" xfId="12269" xr:uid="{00000000-0005-0000-0000-0000471D0000}"/>
    <cellStyle name="Moneda 2 3 3 2 2 2 3" xfId="12273" xr:uid="{00000000-0005-0000-0000-0000481D0000}"/>
    <cellStyle name="Moneda 2 3 3 2 2 2 3 2" xfId="12274" xr:uid="{00000000-0005-0000-0000-0000491D0000}"/>
    <cellStyle name="Moneda 2 3 3 2 2 2 4" xfId="12279" xr:uid="{00000000-0005-0000-0000-00004A1D0000}"/>
    <cellStyle name="Moneda 2 3 3 2 2 2 5" xfId="17855" xr:uid="{00000000-0005-0000-0000-00004B1D0000}"/>
    <cellStyle name="Moneda 2 3 3 2 2 3" xfId="17858" xr:uid="{00000000-0005-0000-0000-00004C1D0000}"/>
    <cellStyle name="Moneda 2 3 3 2 2 3 2" xfId="12341" xr:uid="{00000000-0005-0000-0000-00004D1D0000}"/>
    <cellStyle name="Moneda 2 3 3 2 2 3 2 2" xfId="8406" xr:uid="{00000000-0005-0000-0000-00004E1D0000}"/>
    <cellStyle name="Moneda 2 3 3 2 2 3 3" xfId="12345" xr:uid="{00000000-0005-0000-0000-00004F1D0000}"/>
    <cellStyle name="Moneda 2 3 3 2 2 4" xfId="15171" xr:uid="{00000000-0005-0000-0000-0000501D0000}"/>
    <cellStyle name="Moneda 2 3 3 2 2 4 2" xfId="155" xr:uid="{00000000-0005-0000-0000-0000511D0000}"/>
    <cellStyle name="Moneda 2 3 3 2 2 4 2 2" xfId="12387" xr:uid="{00000000-0005-0000-0000-0000521D0000}"/>
    <cellStyle name="Moneda 2 3 3 2 2 4 3" xfId="3045" xr:uid="{00000000-0005-0000-0000-0000531D0000}"/>
    <cellStyle name="Moneda 2 3 3 2 2 5" xfId="17863" xr:uid="{00000000-0005-0000-0000-0000541D0000}"/>
    <cellStyle name="Moneda 2 3 3 2 2 5 2" xfId="12404" xr:uid="{00000000-0005-0000-0000-0000551D0000}"/>
    <cellStyle name="Moneda 2 3 3 2 2 6" xfId="17867" xr:uid="{00000000-0005-0000-0000-0000561D0000}"/>
    <cellStyle name="Moneda 2 3 3 2 2 6 2" xfId="7860" xr:uid="{00000000-0005-0000-0000-0000571D0000}"/>
    <cellStyle name="Moneda 2 3 3 2 2 7" xfId="17868" xr:uid="{00000000-0005-0000-0000-0000581D0000}"/>
    <cellStyle name="Moneda 2 3 3 2 2 8" xfId="13616" xr:uid="{00000000-0005-0000-0000-0000591D0000}"/>
    <cellStyle name="Moneda 2 3 3 2 3" xfId="12378" xr:uid="{00000000-0005-0000-0000-00005A1D0000}"/>
    <cellStyle name="Moneda 2 3 3 2 3 2" xfId="12382" xr:uid="{00000000-0005-0000-0000-00005B1D0000}"/>
    <cellStyle name="Moneda 2 3 3 2 3 2 2" xfId="17874" xr:uid="{00000000-0005-0000-0000-00005C1D0000}"/>
    <cellStyle name="Moneda 2 3 3 2 3 2 2 2" xfId="17512" xr:uid="{00000000-0005-0000-0000-00005D1D0000}"/>
    <cellStyle name="Moneda 2 3 3 2 3 2 3" xfId="17877" xr:uid="{00000000-0005-0000-0000-00005E1D0000}"/>
    <cellStyle name="Moneda 2 3 3 2 3 3" xfId="17881" xr:uid="{00000000-0005-0000-0000-00005F1D0000}"/>
    <cellStyle name="Moneda 2 3 3 2 3 3 2" xfId="17886" xr:uid="{00000000-0005-0000-0000-0000601D0000}"/>
    <cellStyle name="Moneda 2 3 3 2 3 4" xfId="17890" xr:uid="{00000000-0005-0000-0000-0000611D0000}"/>
    <cellStyle name="Moneda 2 3 3 2 3 5" xfId="17895" xr:uid="{00000000-0005-0000-0000-0000621D0000}"/>
    <cellStyle name="Moneda 2 3 3 2 4" xfId="12309" xr:uid="{00000000-0005-0000-0000-0000631D0000}"/>
    <cellStyle name="Moneda 2 3 3 2 4 2" xfId="17549" xr:uid="{00000000-0005-0000-0000-0000641D0000}"/>
    <cellStyle name="Moneda 2 3 3 2 4 2 2" xfId="17555" xr:uid="{00000000-0005-0000-0000-0000651D0000}"/>
    <cellStyle name="Moneda 2 3 3 2 4 3" xfId="17563" xr:uid="{00000000-0005-0000-0000-0000661D0000}"/>
    <cellStyle name="Moneda 2 3 3 2 5" xfId="17576" xr:uid="{00000000-0005-0000-0000-0000671D0000}"/>
    <cellStyle name="Moneda 2 3 3 2 5 2" xfId="17580" xr:uid="{00000000-0005-0000-0000-0000681D0000}"/>
    <cellStyle name="Moneda 2 3 3 2 5 2 2" xfId="17586" xr:uid="{00000000-0005-0000-0000-0000691D0000}"/>
    <cellStyle name="Moneda 2 3 3 2 5 3" xfId="17592" xr:uid="{00000000-0005-0000-0000-00006A1D0000}"/>
    <cellStyle name="Moneda 2 3 3 2 6" xfId="12014" xr:uid="{00000000-0005-0000-0000-00006B1D0000}"/>
    <cellStyle name="Moneda 2 3 3 2 6 2" xfId="17598" xr:uid="{00000000-0005-0000-0000-00006C1D0000}"/>
    <cellStyle name="Moneda 2 3 3 2 7" xfId="17603" xr:uid="{00000000-0005-0000-0000-00006D1D0000}"/>
    <cellStyle name="Moneda 2 3 3 2 7 2" xfId="17605" xr:uid="{00000000-0005-0000-0000-00006E1D0000}"/>
    <cellStyle name="Moneda 2 3 3 2 8" xfId="8787" xr:uid="{00000000-0005-0000-0000-00006F1D0000}"/>
    <cellStyle name="Moneda 2 3 3 2 9" xfId="17608" xr:uid="{00000000-0005-0000-0000-0000701D0000}"/>
    <cellStyle name="Moneda 2 3 3 3" xfId="11832" xr:uid="{00000000-0005-0000-0000-0000711D0000}"/>
    <cellStyle name="Moneda 2 3 3 3 2" xfId="17899" xr:uid="{00000000-0005-0000-0000-0000721D0000}"/>
    <cellStyle name="Moneda 2 3 3 3 2 2" xfId="16057" xr:uid="{00000000-0005-0000-0000-0000731D0000}"/>
    <cellStyle name="Moneda 2 3 3 3 2 2 2" xfId="16977" xr:uid="{00000000-0005-0000-0000-0000741D0000}"/>
    <cellStyle name="Moneda 2 3 3 3 2 2 2 2" xfId="16726" xr:uid="{00000000-0005-0000-0000-0000751D0000}"/>
    <cellStyle name="Moneda 2 3 3 3 2 2 3" xfId="16981" xr:uid="{00000000-0005-0000-0000-0000761D0000}"/>
    <cellStyle name="Moneda 2 3 3 3 2 2 4" xfId="16983" xr:uid="{00000000-0005-0000-0000-0000771D0000}"/>
    <cellStyle name="Moneda 2 3 3 3 2 3" xfId="9327" xr:uid="{00000000-0005-0000-0000-0000781D0000}"/>
    <cellStyle name="Moneda 2 3 3 3 2 3 2" xfId="9333" xr:uid="{00000000-0005-0000-0000-0000791D0000}"/>
    <cellStyle name="Moneda 2 3 3 3 2 4" xfId="9437" xr:uid="{00000000-0005-0000-0000-00007A1D0000}"/>
    <cellStyle name="Moneda 2 3 3 3 2 4 2" xfId="2068" xr:uid="{00000000-0005-0000-0000-00007B1D0000}"/>
    <cellStyle name="Moneda 2 3 3 3 2 5" xfId="9440" xr:uid="{00000000-0005-0000-0000-00007C1D0000}"/>
    <cellStyle name="Moneda 2 3 3 3 2 6" xfId="9443" xr:uid="{00000000-0005-0000-0000-00007D1D0000}"/>
    <cellStyle name="Moneda 2 3 3 3 3" xfId="17900" xr:uid="{00000000-0005-0000-0000-00007E1D0000}"/>
    <cellStyle name="Moneda 2 3 3 3 3 2" xfId="16072" xr:uid="{00000000-0005-0000-0000-00007F1D0000}"/>
    <cellStyle name="Moneda 2 3 3 3 3 2 2" xfId="17011" xr:uid="{00000000-0005-0000-0000-0000801D0000}"/>
    <cellStyle name="Moneda 2 3 3 3 3 3" xfId="9467" xr:uid="{00000000-0005-0000-0000-0000811D0000}"/>
    <cellStyle name="Moneda 2 3 3 3 3 4" xfId="9600" xr:uid="{00000000-0005-0000-0000-0000821D0000}"/>
    <cellStyle name="Moneda 2 3 3 3 4" xfId="17614" xr:uid="{00000000-0005-0000-0000-0000831D0000}"/>
    <cellStyle name="Moneda 2 3 3 3 4 2" xfId="17616" xr:uid="{00000000-0005-0000-0000-0000841D0000}"/>
    <cellStyle name="Moneda 2 3 3 3 4 2 2" xfId="10155" xr:uid="{00000000-0005-0000-0000-0000851D0000}"/>
    <cellStyle name="Moneda 2 3 3 3 4 3" xfId="9644" xr:uid="{00000000-0005-0000-0000-0000861D0000}"/>
    <cellStyle name="Moneda 2 3 3 3 5" xfId="17619" xr:uid="{00000000-0005-0000-0000-0000871D0000}"/>
    <cellStyle name="Moneda 2 3 3 3 5 2" xfId="448" xr:uid="{00000000-0005-0000-0000-0000881D0000}"/>
    <cellStyle name="Moneda 2 3 3 3 6" xfId="17621" xr:uid="{00000000-0005-0000-0000-0000891D0000}"/>
    <cellStyle name="Moneda 2 3 3 3 6 2" xfId="17901" xr:uid="{00000000-0005-0000-0000-00008A1D0000}"/>
    <cellStyle name="Moneda 2 3 3 3 7" xfId="4460" xr:uid="{00000000-0005-0000-0000-00008B1D0000}"/>
    <cellStyle name="Moneda 2 3 3 3 8" xfId="4482" xr:uid="{00000000-0005-0000-0000-00008C1D0000}"/>
    <cellStyle name="Moneda 2 3 3 4" xfId="17902" xr:uid="{00000000-0005-0000-0000-00008D1D0000}"/>
    <cellStyle name="Moneda 2 3 3 4 2" xfId="17906" xr:uid="{00000000-0005-0000-0000-00008E1D0000}"/>
    <cellStyle name="Moneda 2 3 3 4 2 2" xfId="17908" xr:uid="{00000000-0005-0000-0000-00008F1D0000}"/>
    <cellStyle name="Moneda 2 3 3 4 2 2 2" xfId="3877" xr:uid="{00000000-0005-0000-0000-0000901D0000}"/>
    <cellStyle name="Moneda 2 3 3 4 2 3" xfId="9940" xr:uid="{00000000-0005-0000-0000-0000911D0000}"/>
    <cellStyle name="Moneda 2 3 3 4 2 4" xfId="9955" xr:uid="{00000000-0005-0000-0000-0000921D0000}"/>
    <cellStyle name="Moneda 2 3 3 4 3" xfId="17911" xr:uid="{00000000-0005-0000-0000-0000931D0000}"/>
    <cellStyle name="Moneda 2 3 3 4 3 2" xfId="17914" xr:uid="{00000000-0005-0000-0000-0000941D0000}"/>
    <cellStyle name="Moneda 2 3 3 4 4" xfId="17627" xr:uid="{00000000-0005-0000-0000-0000951D0000}"/>
    <cellStyle name="Moneda 2 3 3 4 4 2" xfId="17630" xr:uid="{00000000-0005-0000-0000-0000961D0000}"/>
    <cellStyle name="Moneda 2 3 3 4 5" xfId="17632" xr:uid="{00000000-0005-0000-0000-0000971D0000}"/>
    <cellStyle name="Moneda 2 3 3 4 6" xfId="17918" xr:uid="{00000000-0005-0000-0000-0000981D0000}"/>
    <cellStyle name="Moneda 2 3 3 5" xfId="17919" xr:uid="{00000000-0005-0000-0000-0000991D0000}"/>
    <cellStyle name="Moneda 2 3 3 5 2" xfId="17920" xr:uid="{00000000-0005-0000-0000-00009A1D0000}"/>
    <cellStyle name="Moneda 2 3 3 5 2 2" xfId="17922" xr:uid="{00000000-0005-0000-0000-00009B1D0000}"/>
    <cellStyle name="Moneda 2 3 3 5 2 2 2" xfId="11891" xr:uid="{00000000-0005-0000-0000-00009C1D0000}"/>
    <cellStyle name="Moneda 2 3 3 5 2 3" xfId="10008" xr:uid="{00000000-0005-0000-0000-00009D1D0000}"/>
    <cellStyle name="Moneda 2 3 3 5 2 4" xfId="10018" xr:uid="{00000000-0005-0000-0000-00009E1D0000}"/>
    <cellStyle name="Moneda 2 3 3 5 3" xfId="17928" xr:uid="{00000000-0005-0000-0000-00009F1D0000}"/>
    <cellStyle name="Moneda 2 3 3 5 3 2" xfId="17931" xr:uid="{00000000-0005-0000-0000-0000A01D0000}"/>
    <cellStyle name="Moneda 2 3 3 5 4" xfId="17635" xr:uid="{00000000-0005-0000-0000-0000A11D0000}"/>
    <cellStyle name="Moneda 2 3 3 5 4 2" xfId="17638" xr:uid="{00000000-0005-0000-0000-0000A21D0000}"/>
    <cellStyle name="Moneda 2 3 3 5 5" xfId="17640" xr:uid="{00000000-0005-0000-0000-0000A31D0000}"/>
    <cellStyle name="Moneda 2 3 3 5 6" xfId="17934" xr:uid="{00000000-0005-0000-0000-0000A41D0000}"/>
    <cellStyle name="Moneda 2 3 3 6" xfId="17935" xr:uid="{00000000-0005-0000-0000-0000A51D0000}"/>
    <cellStyle name="Moneda 2 3 3 6 2" xfId="17937" xr:uid="{00000000-0005-0000-0000-0000A61D0000}"/>
    <cellStyle name="Moneda 2 3 3 6 2 2" xfId="17941" xr:uid="{00000000-0005-0000-0000-0000A71D0000}"/>
    <cellStyle name="Moneda 2 3 3 6 2 2 2" xfId="17340" xr:uid="{00000000-0005-0000-0000-0000A81D0000}"/>
    <cellStyle name="Moneda 2 3 3 6 2 3" xfId="10074" xr:uid="{00000000-0005-0000-0000-0000A91D0000}"/>
    <cellStyle name="Moneda 2 3 3 6 2 4" xfId="17950" xr:uid="{00000000-0005-0000-0000-0000AA1D0000}"/>
    <cellStyle name="Moneda 2 3 3 6 3" xfId="17951" xr:uid="{00000000-0005-0000-0000-0000AB1D0000}"/>
    <cellStyle name="Moneda 2 3 3 6 3 2" xfId="17955" xr:uid="{00000000-0005-0000-0000-0000AC1D0000}"/>
    <cellStyle name="Moneda 2 3 3 6 4" xfId="17642" xr:uid="{00000000-0005-0000-0000-0000AD1D0000}"/>
    <cellStyle name="Moneda 2 3 3 6 4 2" xfId="17958" xr:uid="{00000000-0005-0000-0000-0000AE1D0000}"/>
    <cellStyle name="Moneda 2 3 3 6 5" xfId="17959" xr:uid="{00000000-0005-0000-0000-0000AF1D0000}"/>
    <cellStyle name="Moneda 2 3 3 6 6" xfId="17960" xr:uid="{00000000-0005-0000-0000-0000B01D0000}"/>
    <cellStyle name="Moneda 2 3 3 7" xfId="3217" xr:uid="{00000000-0005-0000-0000-0000B11D0000}"/>
    <cellStyle name="Moneda 2 3 3 7 2" xfId="7901" xr:uid="{00000000-0005-0000-0000-0000B21D0000}"/>
    <cellStyle name="Moneda 2 3 3 7 2 2" xfId="13628" xr:uid="{00000000-0005-0000-0000-0000B31D0000}"/>
    <cellStyle name="Moneda 2 3 3 7 3" xfId="13636" xr:uid="{00000000-0005-0000-0000-0000B41D0000}"/>
    <cellStyle name="Moneda 2 3 3 7 4" xfId="13641" xr:uid="{00000000-0005-0000-0000-0000B51D0000}"/>
    <cellStyle name="Moneda 2 3 3 8" xfId="7904" xr:uid="{00000000-0005-0000-0000-0000B61D0000}"/>
    <cellStyle name="Moneda 2 3 3 8 2" xfId="13659" xr:uid="{00000000-0005-0000-0000-0000B71D0000}"/>
    <cellStyle name="Moneda 2 3 3 9" xfId="17961" xr:uid="{00000000-0005-0000-0000-0000B81D0000}"/>
    <cellStyle name="Moneda 2 3 3 9 2" xfId="17962" xr:uid="{00000000-0005-0000-0000-0000B91D0000}"/>
    <cellStyle name="Moneda 2 3 4" xfId="9983" xr:uid="{00000000-0005-0000-0000-0000BA1D0000}"/>
    <cellStyle name="Moneda 2 3 4 2" xfId="9986" xr:uid="{00000000-0005-0000-0000-0000BB1D0000}"/>
    <cellStyle name="Moneda 2 3 4 2 2" xfId="17965" xr:uid="{00000000-0005-0000-0000-0000BC1D0000}"/>
    <cellStyle name="Moneda 2 3 4 2 2 2" xfId="17969" xr:uid="{00000000-0005-0000-0000-0000BD1D0000}"/>
    <cellStyle name="Moneda 2 3 4 2 2 2 2" xfId="17971" xr:uid="{00000000-0005-0000-0000-0000BE1D0000}"/>
    <cellStyle name="Moneda 2 3 4 2 2 2 2 2" xfId="11093" xr:uid="{00000000-0005-0000-0000-0000BF1D0000}"/>
    <cellStyle name="Moneda 2 3 4 2 2 2 3" xfId="17972" xr:uid="{00000000-0005-0000-0000-0000C01D0000}"/>
    <cellStyle name="Moneda 2 3 4 2 2 3" xfId="17974" xr:uid="{00000000-0005-0000-0000-0000C11D0000}"/>
    <cellStyle name="Moneda 2 3 4 2 2 3 2" xfId="17977" xr:uid="{00000000-0005-0000-0000-0000C21D0000}"/>
    <cellStyle name="Moneda 2 3 4 2 2 4" xfId="8616" xr:uid="{00000000-0005-0000-0000-0000C31D0000}"/>
    <cellStyle name="Moneda 2 3 4 2 2 5" xfId="479" xr:uid="{00000000-0005-0000-0000-0000C41D0000}"/>
    <cellStyle name="Moneda 2 3 4 2 3" xfId="15984" xr:uid="{00000000-0005-0000-0000-0000C51D0000}"/>
    <cellStyle name="Moneda 2 3 4 2 3 2" xfId="15987" xr:uid="{00000000-0005-0000-0000-0000C61D0000}"/>
    <cellStyle name="Moneda 2 3 4 2 3 2 2" xfId="17978" xr:uid="{00000000-0005-0000-0000-0000C71D0000}"/>
    <cellStyle name="Moneda 2 3 4 2 3 3" xfId="17982" xr:uid="{00000000-0005-0000-0000-0000C81D0000}"/>
    <cellStyle name="Moneda 2 3 4 2 4" xfId="15991" xr:uid="{00000000-0005-0000-0000-0000C91D0000}"/>
    <cellStyle name="Moneda 2 3 4 2 4 2" xfId="15273" xr:uid="{00000000-0005-0000-0000-0000CA1D0000}"/>
    <cellStyle name="Moneda 2 3 4 2 4 2 2" xfId="15279" xr:uid="{00000000-0005-0000-0000-0000CB1D0000}"/>
    <cellStyle name="Moneda 2 3 4 2 4 3" xfId="15298" xr:uid="{00000000-0005-0000-0000-0000CC1D0000}"/>
    <cellStyle name="Moneda 2 3 4 2 5" xfId="17660" xr:uid="{00000000-0005-0000-0000-0000CD1D0000}"/>
    <cellStyle name="Moneda 2 3 4 2 5 2" xfId="15412" xr:uid="{00000000-0005-0000-0000-0000CE1D0000}"/>
    <cellStyle name="Moneda 2 3 4 2 6" xfId="17663" xr:uid="{00000000-0005-0000-0000-0000CF1D0000}"/>
    <cellStyle name="Moneda 2 3 4 2 6 2" xfId="15526" xr:uid="{00000000-0005-0000-0000-0000D01D0000}"/>
    <cellStyle name="Moneda 2 3 4 2 7" xfId="14352" xr:uid="{00000000-0005-0000-0000-0000D11D0000}"/>
    <cellStyle name="Moneda 2 3 4 2 8" xfId="8830" xr:uid="{00000000-0005-0000-0000-0000D21D0000}"/>
    <cellStyle name="Moneda 2 3 4 3" xfId="17983" xr:uid="{00000000-0005-0000-0000-0000D31D0000}"/>
    <cellStyle name="Moneda 2 3 4 3 2" xfId="17985" xr:uid="{00000000-0005-0000-0000-0000D41D0000}"/>
    <cellStyle name="Moneda 2 3 4 3 2 2" xfId="17986" xr:uid="{00000000-0005-0000-0000-0000D51D0000}"/>
    <cellStyle name="Moneda 2 3 4 3 2 2 2" xfId="17988" xr:uid="{00000000-0005-0000-0000-0000D61D0000}"/>
    <cellStyle name="Moneda 2 3 4 3 2 3" xfId="10293" xr:uid="{00000000-0005-0000-0000-0000D71D0000}"/>
    <cellStyle name="Moneda 2 3 4 3 2 4" xfId="7210" xr:uid="{00000000-0005-0000-0000-0000D81D0000}"/>
    <cellStyle name="Moneda 2 3 4 3 3" xfId="15993" xr:uid="{00000000-0005-0000-0000-0000D91D0000}"/>
    <cellStyle name="Moneda 2 3 4 3 3 2" xfId="13953" xr:uid="{00000000-0005-0000-0000-0000DA1D0000}"/>
    <cellStyle name="Moneda 2 3 4 3 4" xfId="17667" xr:uid="{00000000-0005-0000-0000-0000DB1D0000}"/>
    <cellStyle name="Moneda 2 3 4 3 4 2" xfId="15786" xr:uid="{00000000-0005-0000-0000-0000DC1D0000}"/>
    <cellStyle name="Moneda 2 3 4 3 5" xfId="17669" xr:uid="{00000000-0005-0000-0000-0000DD1D0000}"/>
    <cellStyle name="Moneda 2 3 4 3 6" xfId="17990" xr:uid="{00000000-0005-0000-0000-0000DE1D0000}"/>
    <cellStyle name="Moneda 2 3 4 4" xfId="17991" xr:uid="{00000000-0005-0000-0000-0000DF1D0000}"/>
    <cellStyle name="Moneda 2 3 4 4 2" xfId="17996" xr:uid="{00000000-0005-0000-0000-0000E01D0000}"/>
    <cellStyle name="Moneda 2 3 4 4 2 2" xfId="17997" xr:uid="{00000000-0005-0000-0000-0000E11D0000}"/>
    <cellStyle name="Moneda 2 3 4 4 3" xfId="15996" xr:uid="{00000000-0005-0000-0000-0000E21D0000}"/>
    <cellStyle name="Moneda 2 3 4 4 4" xfId="17673" xr:uid="{00000000-0005-0000-0000-0000E31D0000}"/>
    <cellStyle name="Moneda 2 3 4 5" xfId="18002" xr:uid="{00000000-0005-0000-0000-0000E41D0000}"/>
    <cellStyle name="Moneda 2 3 4 5 2" xfId="18005" xr:uid="{00000000-0005-0000-0000-0000E51D0000}"/>
    <cellStyle name="Moneda 2 3 4 5 2 2" xfId="18006" xr:uid="{00000000-0005-0000-0000-0000E61D0000}"/>
    <cellStyle name="Moneda 2 3 4 5 3" xfId="10925" xr:uid="{00000000-0005-0000-0000-0000E71D0000}"/>
    <cellStyle name="Moneda 2 3 4 6" xfId="18012" xr:uid="{00000000-0005-0000-0000-0000E81D0000}"/>
    <cellStyle name="Moneda 2 3 4 6 2" xfId="18013" xr:uid="{00000000-0005-0000-0000-0000E91D0000}"/>
    <cellStyle name="Moneda 2 3 4 7" xfId="1150" xr:uid="{00000000-0005-0000-0000-0000EA1D0000}"/>
    <cellStyle name="Moneda 2 3 4 7 2" xfId="13702" xr:uid="{00000000-0005-0000-0000-0000EB1D0000}"/>
    <cellStyle name="Moneda 2 3 4 8" xfId="1304" xr:uid="{00000000-0005-0000-0000-0000EC1D0000}"/>
    <cellStyle name="Moneda 2 3 4 9" xfId="13752" xr:uid="{00000000-0005-0000-0000-0000ED1D0000}"/>
    <cellStyle name="Moneda 2 3 5" xfId="10001" xr:uid="{00000000-0005-0000-0000-0000EE1D0000}"/>
    <cellStyle name="Moneda 2 3 5 2" xfId="18017" xr:uid="{00000000-0005-0000-0000-0000EF1D0000}"/>
    <cellStyle name="Moneda 2 3 5 2 2" xfId="7766" xr:uid="{00000000-0005-0000-0000-0000F01D0000}"/>
    <cellStyle name="Moneda 2 3 5 2 2 2" xfId="2642" xr:uid="{00000000-0005-0000-0000-0000F11D0000}"/>
    <cellStyle name="Moneda 2 3 5 2 2 2 2" xfId="2674" xr:uid="{00000000-0005-0000-0000-0000F21D0000}"/>
    <cellStyle name="Moneda 2 3 5 2 2 2 2 2" xfId="10262" xr:uid="{00000000-0005-0000-0000-0000F31D0000}"/>
    <cellStyle name="Moneda 2 3 5 2 2 2 3" xfId="10274" xr:uid="{00000000-0005-0000-0000-0000F41D0000}"/>
    <cellStyle name="Moneda 2 3 5 2 2 3" xfId="2766" xr:uid="{00000000-0005-0000-0000-0000F51D0000}"/>
    <cellStyle name="Moneda 2 3 5 2 2 3 2" xfId="10313" xr:uid="{00000000-0005-0000-0000-0000F61D0000}"/>
    <cellStyle name="Moneda 2 3 5 2 2 4" xfId="2801" xr:uid="{00000000-0005-0000-0000-0000F71D0000}"/>
    <cellStyle name="Moneda 2 3 5 2 2 5" xfId="10766" xr:uid="{00000000-0005-0000-0000-0000F81D0000}"/>
    <cellStyle name="Moneda 2 3 5 2 3" xfId="7772" xr:uid="{00000000-0005-0000-0000-0000F91D0000}"/>
    <cellStyle name="Moneda 2 3 5 2 3 2" xfId="7775" xr:uid="{00000000-0005-0000-0000-0000FA1D0000}"/>
    <cellStyle name="Moneda 2 3 5 2 3 2 2" xfId="10621" xr:uid="{00000000-0005-0000-0000-0000FB1D0000}"/>
    <cellStyle name="Moneda 2 3 5 2 3 3" xfId="18023" xr:uid="{00000000-0005-0000-0000-0000FC1D0000}"/>
    <cellStyle name="Moneda 2 3 5 2 4" xfId="7784" xr:uid="{00000000-0005-0000-0000-0000FD1D0000}"/>
    <cellStyle name="Moneda 2 3 5 2 4 2" xfId="7789" xr:uid="{00000000-0005-0000-0000-0000FE1D0000}"/>
    <cellStyle name="Moneda 2 3 5 2 4 2 2" xfId="10665" xr:uid="{00000000-0005-0000-0000-0000FF1D0000}"/>
    <cellStyle name="Moneda 2 3 5 2 4 3" xfId="16367" xr:uid="{00000000-0005-0000-0000-0000001E0000}"/>
    <cellStyle name="Moneda 2 3 5 2 5" xfId="7803" xr:uid="{00000000-0005-0000-0000-0000011E0000}"/>
    <cellStyle name="Moneda 2 3 5 2 5 2" xfId="12739" xr:uid="{00000000-0005-0000-0000-0000021E0000}"/>
    <cellStyle name="Moneda 2 3 5 2 6" xfId="7811" xr:uid="{00000000-0005-0000-0000-0000031E0000}"/>
    <cellStyle name="Moneda 2 3 5 2 6 2" xfId="12772" xr:uid="{00000000-0005-0000-0000-0000041E0000}"/>
    <cellStyle name="Moneda 2 3 5 2 7" xfId="2369" xr:uid="{00000000-0005-0000-0000-0000051E0000}"/>
    <cellStyle name="Moneda 2 3 5 2 8" xfId="351" xr:uid="{00000000-0005-0000-0000-0000061E0000}"/>
    <cellStyle name="Moneda 2 3 5 3" xfId="18024" xr:uid="{00000000-0005-0000-0000-0000071E0000}"/>
    <cellStyle name="Moneda 2 3 5 3 2" xfId="7829" xr:uid="{00000000-0005-0000-0000-0000081E0000}"/>
    <cellStyle name="Moneda 2 3 5 3 2 2" xfId="1664" xr:uid="{00000000-0005-0000-0000-0000091E0000}"/>
    <cellStyle name="Moneda 2 3 5 3 2 2 2" xfId="10913" xr:uid="{00000000-0005-0000-0000-00000A1E0000}"/>
    <cellStyle name="Moneda 2 3 5 3 2 3" xfId="10975" xr:uid="{00000000-0005-0000-0000-00000B1E0000}"/>
    <cellStyle name="Moneda 2 3 5 3 3" xfId="7832" xr:uid="{00000000-0005-0000-0000-00000C1E0000}"/>
    <cellStyle name="Moneda 2 3 5 3 3 2" xfId="7835" xr:uid="{00000000-0005-0000-0000-00000D1E0000}"/>
    <cellStyle name="Moneda 2 3 5 3 4" xfId="7840" xr:uid="{00000000-0005-0000-0000-00000E1E0000}"/>
    <cellStyle name="Moneda 2 3 5 3 5" xfId="17715" xr:uid="{00000000-0005-0000-0000-00000F1E0000}"/>
    <cellStyle name="Moneda 2 3 5 4" xfId="18026" xr:uid="{00000000-0005-0000-0000-0000101E0000}"/>
    <cellStyle name="Moneda 2 3 5 4 2" xfId="18027" xr:uid="{00000000-0005-0000-0000-0000111E0000}"/>
    <cellStyle name="Moneda 2 3 5 4 2 2" xfId="18028" xr:uid="{00000000-0005-0000-0000-0000121E0000}"/>
    <cellStyle name="Moneda 2 3 5 4 3" xfId="18029" xr:uid="{00000000-0005-0000-0000-0000131E0000}"/>
    <cellStyle name="Moneda 2 3 5 5" xfId="18032" xr:uid="{00000000-0005-0000-0000-0000141E0000}"/>
    <cellStyle name="Moneda 2 3 5 5 2" xfId="18035" xr:uid="{00000000-0005-0000-0000-0000151E0000}"/>
    <cellStyle name="Moneda 2 3 5 5 2 2" xfId="10136" xr:uid="{00000000-0005-0000-0000-0000161E0000}"/>
    <cellStyle name="Moneda 2 3 5 5 3" xfId="18036" xr:uid="{00000000-0005-0000-0000-0000171E0000}"/>
    <cellStyle name="Moneda 2 3 5 6" xfId="18037" xr:uid="{00000000-0005-0000-0000-0000181E0000}"/>
    <cellStyle name="Moneda 2 3 5 6 2" xfId="18039" xr:uid="{00000000-0005-0000-0000-0000191E0000}"/>
    <cellStyle name="Moneda 2 3 5 7" xfId="1666" xr:uid="{00000000-0005-0000-0000-00001A1E0000}"/>
    <cellStyle name="Moneda 2 3 5 7 2" xfId="18040" xr:uid="{00000000-0005-0000-0000-00001B1E0000}"/>
    <cellStyle name="Moneda 2 3 5 8" xfId="13755" xr:uid="{00000000-0005-0000-0000-00001C1E0000}"/>
    <cellStyle name="Moneda 2 3 5 9" xfId="18043" xr:uid="{00000000-0005-0000-0000-00001D1E0000}"/>
    <cellStyle name="Moneda 2 3 6" xfId="6495" xr:uid="{00000000-0005-0000-0000-00001E1E0000}"/>
    <cellStyle name="Moneda 2 3 6 2" xfId="16273" xr:uid="{00000000-0005-0000-0000-00001F1E0000}"/>
    <cellStyle name="Moneda 2 3 6 2 2" xfId="7955" xr:uid="{00000000-0005-0000-0000-0000201E0000}"/>
    <cellStyle name="Moneda 2 3 6 2 2 2" xfId="7958" xr:uid="{00000000-0005-0000-0000-0000211E0000}"/>
    <cellStyle name="Moneda 2 3 6 2 2 2 2" xfId="18045" xr:uid="{00000000-0005-0000-0000-0000221E0000}"/>
    <cellStyle name="Moneda 2 3 6 2 2 2 2 2" xfId="18049" xr:uid="{00000000-0005-0000-0000-0000231E0000}"/>
    <cellStyle name="Moneda 2 3 6 2 2 2 3" xfId="18051" xr:uid="{00000000-0005-0000-0000-0000241E0000}"/>
    <cellStyle name="Moneda 2 3 6 2 2 3" xfId="18052" xr:uid="{00000000-0005-0000-0000-0000251E0000}"/>
    <cellStyle name="Moneda 2 3 6 2 2 3 2" xfId="18053" xr:uid="{00000000-0005-0000-0000-0000261E0000}"/>
    <cellStyle name="Moneda 2 3 6 2 2 4" xfId="8747" xr:uid="{00000000-0005-0000-0000-0000271E0000}"/>
    <cellStyle name="Moneda 2 3 6 2 3" xfId="7967" xr:uid="{00000000-0005-0000-0000-0000281E0000}"/>
    <cellStyle name="Moneda 2 3 6 2 3 2" xfId="3790" xr:uid="{00000000-0005-0000-0000-0000291E0000}"/>
    <cellStyle name="Moneda 2 3 6 2 3 2 2" xfId="5200" xr:uid="{00000000-0005-0000-0000-00002A1E0000}"/>
    <cellStyle name="Moneda 2 3 6 2 3 3" xfId="18056" xr:uid="{00000000-0005-0000-0000-00002B1E0000}"/>
    <cellStyle name="Moneda 2 3 6 2 4" xfId="7973" xr:uid="{00000000-0005-0000-0000-00002C1E0000}"/>
    <cellStyle name="Moneda 2 3 6 2 4 2" xfId="11454" xr:uid="{00000000-0005-0000-0000-00002D1E0000}"/>
    <cellStyle name="Moneda 2 3 6 2 4 2 2" xfId="2526" xr:uid="{00000000-0005-0000-0000-00002E1E0000}"/>
    <cellStyle name="Moneda 2 3 6 2 4 3" xfId="11460" xr:uid="{00000000-0005-0000-0000-00002F1E0000}"/>
    <cellStyle name="Moneda 2 3 6 2 5" xfId="17773" xr:uid="{00000000-0005-0000-0000-0000301E0000}"/>
    <cellStyle name="Moneda 2 3 6 2 5 2" xfId="16606" xr:uid="{00000000-0005-0000-0000-0000311E0000}"/>
    <cellStyle name="Moneda 2 3 6 2 6" xfId="11095" xr:uid="{00000000-0005-0000-0000-0000321E0000}"/>
    <cellStyle name="Moneda 2 3 6 2 6 2" xfId="18057" xr:uid="{00000000-0005-0000-0000-0000331E0000}"/>
    <cellStyle name="Moneda 2 3 6 2 7" xfId="2705" xr:uid="{00000000-0005-0000-0000-0000341E0000}"/>
    <cellStyle name="Moneda 2 3 6 2 8" xfId="2730" xr:uid="{00000000-0005-0000-0000-0000351E0000}"/>
    <cellStyle name="Moneda 2 3 6 3" xfId="18058" xr:uid="{00000000-0005-0000-0000-0000361E0000}"/>
    <cellStyle name="Moneda 2 3 6 3 2" xfId="18060" xr:uid="{00000000-0005-0000-0000-0000371E0000}"/>
    <cellStyle name="Moneda 2 3 6 3 2 2" xfId="18062" xr:uid="{00000000-0005-0000-0000-0000381E0000}"/>
    <cellStyle name="Moneda 2 3 6 3 2 2 2" xfId="18066" xr:uid="{00000000-0005-0000-0000-0000391E0000}"/>
    <cellStyle name="Moneda 2 3 6 3 2 3" xfId="11362" xr:uid="{00000000-0005-0000-0000-00003A1E0000}"/>
    <cellStyle name="Moneda 2 3 6 3 3" xfId="3697" xr:uid="{00000000-0005-0000-0000-00003B1E0000}"/>
    <cellStyle name="Moneda 2 3 6 3 3 2" xfId="18071" xr:uid="{00000000-0005-0000-0000-00003C1E0000}"/>
    <cellStyle name="Moneda 2 3 6 3 4" xfId="17780" xr:uid="{00000000-0005-0000-0000-00003D1E0000}"/>
    <cellStyle name="Moneda 2 3 6 4" xfId="18072" xr:uid="{00000000-0005-0000-0000-00003E1E0000}"/>
    <cellStyle name="Moneda 2 3 6 4 2" xfId="18073" xr:uid="{00000000-0005-0000-0000-00003F1E0000}"/>
    <cellStyle name="Moneda 2 3 6 4 2 2" xfId="18074" xr:uid="{00000000-0005-0000-0000-0000401E0000}"/>
    <cellStyle name="Moneda 2 3 6 4 3" xfId="18075" xr:uid="{00000000-0005-0000-0000-0000411E0000}"/>
    <cellStyle name="Moneda 2 3 6 5" xfId="12092" xr:uid="{00000000-0005-0000-0000-0000421E0000}"/>
    <cellStyle name="Moneda 2 3 6 5 2" xfId="12095" xr:uid="{00000000-0005-0000-0000-0000431E0000}"/>
    <cellStyle name="Moneda 2 3 6 5 2 2" xfId="9254" xr:uid="{00000000-0005-0000-0000-0000441E0000}"/>
    <cellStyle name="Moneda 2 3 6 5 3" xfId="12098" xr:uid="{00000000-0005-0000-0000-0000451E0000}"/>
    <cellStyle name="Moneda 2 3 6 6" xfId="12105" xr:uid="{00000000-0005-0000-0000-0000461E0000}"/>
    <cellStyle name="Moneda 2 3 6 6 2" xfId="12110" xr:uid="{00000000-0005-0000-0000-0000471E0000}"/>
    <cellStyle name="Moneda 2 3 6 7" xfId="12119" xr:uid="{00000000-0005-0000-0000-0000481E0000}"/>
    <cellStyle name="Moneda 2 3 6 7 2" xfId="12124" xr:uid="{00000000-0005-0000-0000-0000491E0000}"/>
    <cellStyle name="Moneda 2 3 6 8" xfId="12130" xr:uid="{00000000-0005-0000-0000-00004A1E0000}"/>
    <cellStyle name="Moneda 2 3 6 9" xfId="12135" xr:uid="{00000000-0005-0000-0000-00004B1E0000}"/>
    <cellStyle name="Moneda 2 3 7" xfId="16282" xr:uid="{00000000-0005-0000-0000-00004C1E0000}"/>
    <cellStyle name="Moneda 2 3 7 2" xfId="17393" xr:uid="{00000000-0005-0000-0000-00004D1E0000}"/>
    <cellStyle name="Moneda 2 3 7 2 2" xfId="8109" xr:uid="{00000000-0005-0000-0000-00004E1E0000}"/>
    <cellStyle name="Moneda 2 3 7 2 2 2" xfId="8114" xr:uid="{00000000-0005-0000-0000-00004F1E0000}"/>
    <cellStyle name="Moneda 2 3 7 2 2 2 2" xfId="16956" xr:uid="{00000000-0005-0000-0000-0000501E0000}"/>
    <cellStyle name="Moneda 2 3 7 2 2 3" xfId="16965" xr:uid="{00000000-0005-0000-0000-0000511E0000}"/>
    <cellStyle name="Moneda 2 3 7 2 3" xfId="8123" xr:uid="{00000000-0005-0000-0000-0000521E0000}"/>
    <cellStyle name="Moneda 2 3 7 2 3 2" xfId="4990" xr:uid="{00000000-0005-0000-0000-0000531E0000}"/>
    <cellStyle name="Moneda 2 3 7 2 4" xfId="8132" xr:uid="{00000000-0005-0000-0000-0000541E0000}"/>
    <cellStyle name="Moneda 2 3 7 2 5" xfId="17819" xr:uid="{00000000-0005-0000-0000-0000551E0000}"/>
    <cellStyle name="Moneda 2 3 7 3" xfId="18076" xr:uid="{00000000-0005-0000-0000-0000561E0000}"/>
    <cellStyle name="Moneda 2 3 7 3 2" xfId="18077" xr:uid="{00000000-0005-0000-0000-0000571E0000}"/>
    <cellStyle name="Moneda 2 3 7 3 2 2" xfId="16994" xr:uid="{00000000-0005-0000-0000-0000581E0000}"/>
    <cellStyle name="Moneda 2 3 7 3 3" xfId="1894" xr:uid="{00000000-0005-0000-0000-0000591E0000}"/>
    <cellStyle name="Moneda 2 3 7 4" xfId="18078" xr:uid="{00000000-0005-0000-0000-00005A1E0000}"/>
    <cellStyle name="Moneda 2 3 7 4 2" xfId="18080" xr:uid="{00000000-0005-0000-0000-00005B1E0000}"/>
    <cellStyle name="Moneda 2 3 7 4 2 2" xfId="17006" xr:uid="{00000000-0005-0000-0000-00005C1E0000}"/>
    <cellStyle name="Moneda 2 3 7 4 3" xfId="18082" xr:uid="{00000000-0005-0000-0000-00005D1E0000}"/>
    <cellStyle name="Moneda 2 3 7 5" xfId="10495" xr:uid="{00000000-0005-0000-0000-00005E1E0000}"/>
    <cellStyle name="Moneda 2 3 7 5 2" xfId="4633" xr:uid="{00000000-0005-0000-0000-00005F1E0000}"/>
    <cellStyle name="Moneda 2 3 7 6" xfId="10771" xr:uid="{00000000-0005-0000-0000-0000601E0000}"/>
    <cellStyle name="Moneda 2 3 7 6 2" xfId="1819" xr:uid="{00000000-0005-0000-0000-0000611E0000}"/>
    <cellStyle name="Moneda 2 3 7 7" xfId="1827" xr:uid="{00000000-0005-0000-0000-0000621E0000}"/>
    <cellStyle name="Moneda 2 3 7 8" xfId="18083" xr:uid="{00000000-0005-0000-0000-0000631E0000}"/>
    <cellStyle name="Moneda 2 3 8" xfId="17225" xr:uid="{00000000-0005-0000-0000-0000641E0000}"/>
    <cellStyle name="Moneda 2 3 8 2" xfId="18085" xr:uid="{00000000-0005-0000-0000-0000651E0000}"/>
    <cellStyle name="Moneda 2 3 8 2 2" xfId="8216" xr:uid="{00000000-0005-0000-0000-0000661E0000}"/>
    <cellStyle name="Moneda 2 3 8 2 2 2" xfId="8222" xr:uid="{00000000-0005-0000-0000-0000671E0000}"/>
    <cellStyle name="Moneda 2 3 8 2 3" xfId="8229" xr:uid="{00000000-0005-0000-0000-0000681E0000}"/>
    <cellStyle name="Moneda 2 3 8 2 4" xfId="7171" xr:uid="{00000000-0005-0000-0000-0000691E0000}"/>
    <cellStyle name="Moneda 2 3 8 3" xfId="18087" xr:uid="{00000000-0005-0000-0000-00006A1E0000}"/>
    <cellStyle name="Moneda 2 3 8 3 2" xfId="18093" xr:uid="{00000000-0005-0000-0000-00006B1E0000}"/>
    <cellStyle name="Moneda 2 3 8 4" xfId="18096" xr:uid="{00000000-0005-0000-0000-00006C1E0000}"/>
    <cellStyle name="Moneda 2 3 8 4 2" xfId="18098" xr:uid="{00000000-0005-0000-0000-00006D1E0000}"/>
    <cellStyle name="Moneda 2 3 8 5" xfId="10776" xr:uid="{00000000-0005-0000-0000-00006E1E0000}"/>
    <cellStyle name="Moneda 2 3 8 6" xfId="12155" xr:uid="{00000000-0005-0000-0000-00006F1E0000}"/>
    <cellStyle name="Moneda 2 3 9" xfId="18100" xr:uid="{00000000-0005-0000-0000-0000701E0000}"/>
    <cellStyle name="Moneda 2 3 9 2" xfId="18101" xr:uid="{00000000-0005-0000-0000-0000711E0000}"/>
    <cellStyle name="Moneda 2 3 9 2 2" xfId="18102" xr:uid="{00000000-0005-0000-0000-0000721E0000}"/>
    <cellStyle name="Moneda 2 3 9 3" xfId="18104" xr:uid="{00000000-0005-0000-0000-0000731E0000}"/>
    <cellStyle name="Moneda 2 3 9 4" xfId="13949" xr:uid="{00000000-0005-0000-0000-0000741E0000}"/>
    <cellStyle name="Moneda 2 4" xfId="16114" xr:uid="{00000000-0005-0000-0000-0000751E0000}"/>
    <cellStyle name="Moneda 3" xfId="18111" xr:uid="{00000000-0005-0000-0000-0000761E0000}"/>
    <cellStyle name="Moneda 3 2" xfId="18113" xr:uid="{00000000-0005-0000-0000-0000771E0000}"/>
    <cellStyle name="Moneda 3 2 2" xfId="18119" xr:uid="{00000000-0005-0000-0000-0000781E0000}"/>
    <cellStyle name="Moneda 3 2 2 2" xfId="7316" xr:uid="{00000000-0005-0000-0000-0000791E0000}"/>
    <cellStyle name="Moneda 3 2 3" xfId="5345" xr:uid="{00000000-0005-0000-0000-00007A1E0000}"/>
    <cellStyle name="Moneda 3 3" xfId="16124" xr:uid="{00000000-0005-0000-0000-00007B1E0000}"/>
    <cellStyle name="Moneda 3 3 2" xfId="48" xr:uid="{00000000-0005-0000-0000-00007C1E0000}"/>
    <cellStyle name="Moneda 3 4" xfId="16133" xr:uid="{00000000-0005-0000-0000-00007D1E0000}"/>
    <cellStyle name="Moneda 4" xfId="13404" xr:uid="{00000000-0005-0000-0000-00007E1E0000}"/>
    <cellStyle name="Moneda 4 2" xfId="13416" xr:uid="{00000000-0005-0000-0000-00007F1E0000}"/>
    <cellStyle name="Moneda 4 2 2" xfId="13429" xr:uid="{00000000-0005-0000-0000-0000801E0000}"/>
    <cellStyle name="Moneda 4 3" xfId="13441" xr:uid="{00000000-0005-0000-0000-0000811E0000}"/>
    <cellStyle name="Moneda 5" xfId="13453" xr:uid="{00000000-0005-0000-0000-0000821E0000}"/>
    <cellStyle name="Moneda 5 2" xfId="13466" xr:uid="{00000000-0005-0000-0000-0000831E0000}"/>
    <cellStyle name="Moneda 6" xfId="3092" xr:uid="{00000000-0005-0000-0000-0000841E0000}"/>
    <cellStyle name="Moneda 6 2" xfId="82" xr:uid="{00000000-0005-0000-0000-0000851E0000}"/>
    <cellStyle name="Moneda 6 2 2" xfId="8175" xr:uid="{00000000-0005-0000-0000-0000861E0000}"/>
    <cellStyle name="Moneda 6 2 2 2" xfId="390" xr:uid="{00000000-0005-0000-0000-0000871E0000}"/>
    <cellStyle name="Moneda 6 2 2 2 2" xfId="1095" xr:uid="{00000000-0005-0000-0000-0000881E0000}"/>
    <cellStyle name="Moneda 6 2 2 2 2 2" xfId="15058" xr:uid="{00000000-0005-0000-0000-0000891E0000}"/>
    <cellStyle name="Moneda 6 2 2 2 3" xfId="14898" xr:uid="{00000000-0005-0000-0000-00008A1E0000}"/>
    <cellStyle name="Moneda 6 2 2 2 4" xfId="11994" xr:uid="{00000000-0005-0000-0000-00008B1E0000}"/>
    <cellStyle name="Moneda 6 2 2 3" xfId="858" xr:uid="{00000000-0005-0000-0000-00008C1E0000}"/>
    <cellStyle name="Moneda 6 2 2 3 2" xfId="119" xr:uid="{00000000-0005-0000-0000-00008D1E0000}"/>
    <cellStyle name="Moneda 6 2 2 4" xfId="1125" xr:uid="{00000000-0005-0000-0000-00008E1E0000}"/>
    <cellStyle name="Moneda 6 2 2 4 2" xfId="4876" xr:uid="{00000000-0005-0000-0000-00008F1E0000}"/>
    <cellStyle name="Moneda 6 2 2 5" xfId="4593" xr:uid="{00000000-0005-0000-0000-0000901E0000}"/>
    <cellStyle name="Moneda 6 2 2 6" xfId="5271" xr:uid="{00000000-0005-0000-0000-0000911E0000}"/>
    <cellStyle name="Moneda 6 2 3" xfId="8408" xr:uid="{00000000-0005-0000-0000-0000921E0000}"/>
    <cellStyle name="Moneda 6 2 3 2" xfId="18126" xr:uid="{00000000-0005-0000-0000-0000931E0000}"/>
    <cellStyle name="Moneda 6 2 3 2 2" xfId="15608" xr:uid="{00000000-0005-0000-0000-0000941E0000}"/>
    <cellStyle name="Moneda 6 2 3 2 2 2" xfId="15611" xr:uid="{00000000-0005-0000-0000-0000951E0000}"/>
    <cellStyle name="Moneda 6 2 3 2 3" xfId="15620" xr:uid="{00000000-0005-0000-0000-0000961E0000}"/>
    <cellStyle name="Moneda 6 2 3 2 4" xfId="3642" xr:uid="{00000000-0005-0000-0000-0000971E0000}"/>
    <cellStyle name="Moneda 6 2 3 3" xfId="18128" xr:uid="{00000000-0005-0000-0000-0000981E0000}"/>
    <cellStyle name="Moneda 6 2 3 3 2" xfId="15655" xr:uid="{00000000-0005-0000-0000-0000991E0000}"/>
    <cellStyle name="Moneda 6 2 3 4" xfId="18131" xr:uid="{00000000-0005-0000-0000-00009A1E0000}"/>
    <cellStyle name="Moneda 6 2 3 4 2" xfId="18134" xr:uid="{00000000-0005-0000-0000-00009B1E0000}"/>
    <cellStyle name="Moneda 6 2 3 5" xfId="18139" xr:uid="{00000000-0005-0000-0000-00009C1E0000}"/>
    <cellStyle name="Moneda 6 2 3 6" xfId="18143" xr:uid="{00000000-0005-0000-0000-00009D1E0000}"/>
    <cellStyle name="Moneda 6 2 4" xfId="973" xr:uid="{00000000-0005-0000-0000-00009E1E0000}"/>
    <cellStyle name="Moneda 6 2 4 2" xfId="10805" xr:uid="{00000000-0005-0000-0000-00009F1E0000}"/>
    <cellStyle name="Moneda 6 2 4 2 2" xfId="2208" xr:uid="{00000000-0005-0000-0000-0000A01E0000}"/>
    <cellStyle name="Moneda 6 2 4 3" xfId="10814" xr:uid="{00000000-0005-0000-0000-0000A11E0000}"/>
    <cellStyle name="Moneda 6 2 4 4" xfId="10824" xr:uid="{00000000-0005-0000-0000-0000A21E0000}"/>
    <cellStyle name="Moneda 6 2 5" xfId="18145" xr:uid="{00000000-0005-0000-0000-0000A31E0000}"/>
    <cellStyle name="Moneda 6 2 5 2" xfId="10896" xr:uid="{00000000-0005-0000-0000-0000A41E0000}"/>
    <cellStyle name="Moneda 6 2 6" xfId="13574" xr:uid="{00000000-0005-0000-0000-0000A51E0000}"/>
    <cellStyle name="Moneda 6 2 6 2" xfId="18152" xr:uid="{00000000-0005-0000-0000-0000A61E0000}"/>
    <cellStyle name="Moneda 6 2 7" xfId="18156" xr:uid="{00000000-0005-0000-0000-0000A71E0000}"/>
    <cellStyle name="Moneda 6 2 8" xfId="18162" xr:uid="{00000000-0005-0000-0000-0000A81E0000}"/>
    <cellStyle name="Moneda 6 3" xfId="8834" xr:uid="{00000000-0005-0000-0000-0000A91E0000}"/>
    <cellStyle name="Moneda 6 3 2" xfId="8845" xr:uid="{00000000-0005-0000-0000-0000AA1E0000}"/>
    <cellStyle name="Moneda 6 3 2 2" xfId="18165" xr:uid="{00000000-0005-0000-0000-0000AB1E0000}"/>
    <cellStyle name="Moneda 6 3 2 2 2" xfId="18168" xr:uid="{00000000-0005-0000-0000-0000AC1E0000}"/>
    <cellStyle name="Moneda 6 3 2 3" xfId="18170" xr:uid="{00000000-0005-0000-0000-0000AD1E0000}"/>
    <cellStyle name="Moneda 6 3 2 4" xfId="18172" xr:uid="{00000000-0005-0000-0000-0000AE1E0000}"/>
    <cellStyle name="Moneda 6 3 3" xfId="18174" xr:uid="{00000000-0005-0000-0000-0000AF1E0000}"/>
    <cellStyle name="Moneda 6 3 3 2" xfId="10957" xr:uid="{00000000-0005-0000-0000-0000B01E0000}"/>
    <cellStyle name="Moneda 6 3 4" xfId="1033" xr:uid="{00000000-0005-0000-0000-0000B11E0000}"/>
    <cellStyle name="Moneda 6 3 4 2" xfId="10998" xr:uid="{00000000-0005-0000-0000-0000B21E0000}"/>
    <cellStyle name="Moneda 6 3 5" xfId="18176" xr:uid="{00000000-0005-0000-0000-0000B31E0000}"/>
    <cellStyle name="Moneda 6 3 6" xfId="18181" xr:uid="{00000000-0005-0000-0000-0000B41E0000}"/>
    <cellStyle name="Moneda 6 4" xfId="8859" xr:uid="{00000000-0005-0000-0000-0000B51E0000}"/>
    <cellStyle name="Moneda 6 4 2" xfId="13298" xr:uid="{00000000-0005-0000-0000-0000B61E0000}"/>
    <cellStyle name="Moneda 6 4 2 2" xfId="12560" xr:uid="{00000000-0005-0000-0000-0000B71E0000}"/>
    <cellStyle name="Moneda 6 4 3" xfId="18184" xr:uid="{00000000-0005-0000-0000-0000B81E0000}"/>
    <cellStyle name="Moneda 6 4 4" xfId="18187" xr:uid="{00000000-0005-0000-0000-0000B91E0000}"/>
    <cellStyle name="Moneda 6 5" xfId="18189" xr:uid="{00000000-0005-0000-0000-0000BA1E0000}"/>
    <cellStyle name="Moneda 6 5 2" xfId="14201" xr:uid="{00000000-0005-0000-0000-0000BB1E0000}"/>
    <cellStyle name="Moneda 6 6" xfId="18191" xr:uid="{00000000-0005-0000-0000-0000BC1E0000}"/>
    <cellStyle name="Moneda 6 6 2" xfId="14342" xr:uid="{00000000-0005-0000-0000-0000BD1E0000}"/>
    <cellStyle name="Moneda 6 7" xfId="18192" xr:uid="{00000000-0005-0000-0000-0000BE1E0000}"/>
    <cellStyle name="Moneda 6 8" xfId="18193" xr:uid="{00000000-0005-0000-0000-0000BF1E0000}"/>
    <cellStyle name="Neutral 2" xfId="17964" xr:uid="{00000000-0005-0000-0000-0000C01E0000}"/>
    <cellStyle name="Neutral 2 2" xfId="17968" xr:uid="{00000000-0005-0000-0000-0000C11E0000}"/>
    <cellStyle name="Neutral 3" xfId="15983" xr:uid="{00000000-0005-0000-0000-0000C21E0000}"/>
    <cellStyle name="Neutral 3 2" xfId="15986" xr:uid="{00000000-0005-0000-0000-0000C31E0000}"/>
    <cellStyle name="Neutral 4" xfId="15990" xr:uid="{00000000-0005-0000-0000-0000C41E0000}"/>
    <cellStyle name="Normal" xfId="0" builtinId="0"/>
    <cellStyle name="Normal 10" xfId="7274" xr:uid="{00000000-0005-0000-0000-0000C61E0000}"/>
    <cellStyle name="Normal 10 2" xfId="7284" xr:uid="{00000000-0005-0000-0000-0000C71E0000}"/>
    <cellStyle name="Normal 10 2 2" xfId="1363" xr:uid="{00000000-0005-0000-0000-0000C81E0000}"/>
    <cellStyle name="Normal 10 2 2 2" xfId="18194" xr:uid="{00000000-0005-0000-0000-0000C91E0000}"/>
    <cellStyle name="Normal 10 2 2 2 2" xfId="18195" xr:uid="{00000000-0005-0000-0000-0000CA1E0000}"/>
    <cellStyle name="Normal 10 2 2 2 2 2" xfId="10836" xr:uid="{00000000-0005-0000-0000-0000CB1E0000}"/>
    <cellStyle name="Normal 10 2 2 2 3" xfId="18197" xr:uid="{00000000-0005-0000-0000-0000CC1E0000}"/>
    <cellStyle name="Normal 10 2 2 2 3 2" xfId="18199" xr:uid="{00000000-0005-0000-0000-0000CD1E0000}"/>
    <cellStyle name="Normal 10 2 2 2 4" xfId="18201" xr:uid="{00000000-0005-0000-0000-0000CE1E0000}"/>
    <cellStyle name="Normal 10 2 2 3" xfId="18202" xr:uid="{00000000-0005-0000-0000-0000CF1E0000}"/>
    <cellStyle name="Normal 10 2 2 3 2" xfId="10869" xr:uid="{00000000-0005-0000-0000-0000D01E0000}"/>
    <cellStyle name="Normal 10 2 3" xfId="18206" xr:uid="{00000000-0005-0000-0000-0000D11E0000}"/>
    <cellStyle name="Normal 10 2 3 2" xfId="18207" xr:uid="{00000000-0005-0000-0000-0000D21E0000}"/>
    <cellStyle name="Normal 10 2 3 2 2" xfId="18208" xr:uid="{00000000-0005-0000-0000-0000D31E0000}"/>
    <cellStyle name="Normal 10 2 3 3" xfId="18209" xr:uid="{00000000-0005-0000-0000-0000D41E0000}"/>
    <cellStyle name="Normal 10 2 3 3 2" xfId="18212" xr:uid="{00000000-0005-0000-0000-0000D51E0000}"/>
    <cellStyle name="Normal 10 2 3 4" xfId="18214" xr:uid="{00000000-0005-0000-0000-0000D61E0000}"/>
    <cellStyle name="Normal 10 2 4" xfId="18216" xr:uid="{00000000-0005-0000-0000-0000D71E0000}"/>
    <cellStyle name="Normal 10 2 4 2" xfId="1482" xr:uid="{00000000-0005-0000-0000-0000D81E0000}"/>
    <cellStyle name="Normal 10 3" xfId="4770" xr:uid="{00000000-0005-0000-0000-0000D91E0000}"/>
    <cellStyle name="Normal 10 3 2" xfId="18217" xr:uid="{00000000-0005-0000-0000-0000DA1E0000}"/>
    <cellStyle name="Normal 10 3 2 2" xfId="18218" xr:uid="{00000000-0005-0000-0000-0000DB1E0000}"/>
    <cellStyle name="Normal 10 3 3" xfId="18219" xr:uid="{00000000-0005-0000-0000-0000DC1E0000}"/>
    <cellStyle name="Normal 10 4" xfId="3515" xr:uid="{00000000-0005-0000-0000-0000DD1E0000}"/>
    <cellStyle name="Normal 10 4 2" xfId="18220" xr:uid="{00000000-0005-0000-0000-0000DE1E0000}"/>
    <cellStyle name="Normal 10 5" xfId="18221" xr:uid="{00000000-0005-0000-0000-0000DF1E0000}"/>
    <cellStyle name="Normal 10 5 2" xfId="18223" xr:uid="{00000000-0005-0000-0000-0000E01E0000}"/>
    <cellStyle name="Normal 10 6" xfId="18224" xr:uid="{00000000-0005-0000-0000-0000E11E0000}"/>
    <cellStyle name="Normal 10 7" xfId="18228" xr:uid="{00000000-0005-0000-0000-0000E21E0000}"/>
    <cellStyle name="Normal 10_Acciones AICM" xfId="361" xr:uid="{00000000-0005-0000-0000-0000E31E0000}"/>
    <cellStyle name="Normal 100" xfId="8291" xr:uid="{00000000-0005-0000-0000-0000E41E0000}"/>
    <cellStyle name="Normal 100 2" xfId="5369" xr:uid="{00000000-0005-0000-0000-0000E51E0000}"/>
    <cellStyle name="Normal 100 2 2" xfId="8300" xr:uid="{00000000-0005-0000-0000-0000E61E0000}"/>
    <cellStyle name="Normal 100 3" xfId="8336" xr:uid="{00000000-0005-0000-0000-0000E71E0000}"/>
    <cellStyle name="Normal 101" xfId="8390" xr:uid="{00000000-0005-0000-0000-0000E81E0000}"/>
    <cellStyle name="Normal 101 2" xfId="8395" xr:uid="{00000000-0005-0000-0000-0000E91E0000}"/>
    <cellStyle name="Normal 101 2 2" xfId="8413" xr:uid="{00000000-0005-0000-0000-0000EA1E0000}"/>
    <cellStyle name="Normal 101 3" xfId="8430" xr:uid="{00000000-0005-0000-0000-0000EB1E0000}"/>
    <cellStyle name="Normal 102" xfId="8472" xr:uid="{00000000-0005-0000-0000-0000EC1E0000}"/>
    <cellStyle name="Normal 102 2" xfId="150" xr:uid="{00000000-0005-0000-0000-0000ED1E0000}"/>
    <cellStyle name="Normal 102 2 2" xfId="8485" xr:uid="{00000000-0005-0000-0000-0000EE1E0000}"/>
    <cellStyle name="Normal 102 3" xfId="3042" xr:uid="{00000000-0005-0000-0000-0000EF1E0000}"/>
    <cellStyle name="Normal 103" xfId="8492" xr:uid="{00000000-0005-0000-0000-0000F01E0000}"/>
    <cellStyle name="Normal 103 2" xfId="8497" xr:uid="{00000000-0005-0000-0000-0000F11E0000}"/>
    <cellStyle name="Normal 103 2 2" xfId="8502" xr:uid="{00000000-0005-0000-0000-0000F21E0000}"/>
    <cellStyle name="Normal 103 3" xfId="3131" xr:uid="{00000000-0005-0000-0000-0000F31E0000}"/>
    <cellStyle name="Normal 104" xfId="8511" xr:uid="{00000000-0005-0000-0000-0000F41E0000}"/>
    <cellStyle name="Normal 104 2" xfId="7878" xr:uid="{00000000-0005-0000-0000-0000F51E0000}"/>
    <cellStyle name="Normal 104 2 2" xfId="14737" xr:uid="{00000000-0005-0000-0000-0000F61E0000}"/>
    <cellStyle name="Normal 104 3" xfId="18230" xr:uid="{00000000-0005-0000-0000-0000F71E0000}"/>
    <cellStyle name="Normal 105" xfId="8516" xr:uid="{00000000-0005-0000-0000-0000F81E0000}"/>
    <cellStyle name="Normal 105 2" xfId="8003" xr:uid="{00000000-0005-0000-0000-0000F91E0000}"/>
    <cellStyle name="Normal 105 2 2" xfId="9757" xr:uid="{00000000-0005-0000-0000-0000FA1E0000}"/>
    <cellStyle name="Normal 105 3" xfId="17406" xr:uid="{00000000-0005-0000-0000-0000FB1E0000}"/>
    <cellStyle name="Normal 106" xfId="17697" xr:uid="{00000000-0005-0000-0000-0000FC1E0000}"/>
    <cellStyle name="Normal 106 2" xfId="18235" xr:uid="{00000000-0005-0000-0000-0000FD1E0000}"/>
    <cellStyle name="Normal 106 2 2" xfId="4434" xr:uid="{00000000-0005-0000-0000-0000FE1E0000}"/>
    <cellStyle name="Normal 106 3" xfId="18239" xr:uid="{00000000-0005-0000-0000-0000FF1E0000}"/>
    <cellStyle name="Normal 107" xfId="3191" xr:uid="{00000000-0005-0000-0000-0000001F0000}"/>
    <cellStyle name="Normal 107 2" xfId="3235" xr:uid="{00000000-0005-0000-0000-0000011F0000}"/>
    <cellStyle name="Normal 107 2 2" xfId="5141" xr:uid="{00000000-0005-0000-0000-0000021F0000}"/>
    <cellStyle name="Normal 107 3" xfId="18243" xr:uid="{00000000-0005-0000-0000-0000031F0000}"/>
    <cellStyle name="Normal 108" xfId="3254" xr:uid="{00000000-0005-0000-0000-0000041F0000}"/>
    <cellStyle name="Normal 108 2" xfId="14601" xr:uid="{00000000-0005-0000-0000-0000051F0000}"/>
    <cellStyle name="Normal 108 2 2" xfId="18247" xr:uid="{00000000-0005-0000-0000-0000061F0000}"/>
    <cellStyle name="Normal 108 3" xfId="18250" xr:uid="{00000000-0005-0000-0000-0000071F0000}"/>
    <cellStyle name="Normal 109" xfId="15006" xr:uid="{00000000-0005-0000-0000-0000081F0000}"/>
    <cellStyle name="Normal 109 2" xfId="15010" xr:uid="{00000000-0005-0000-0000-0000091F0000}"/>
    <cellStyle name="Normal 109 2 2" xfId="18204" xr:uid="{00000000-0005-0000-0000-00000A1F0000}"/>
    <cellStyle name="Normal 109 3" xfId="18253" xr:uid="{00000000-0005-0000-0000-00000B1F0000}"/>
    <cellStyle name="Normal 11" xfId="3073" xr:uid="{00000000-0005-0000-0000-00000C1F0000}"/>
    <cellStyle name="Normal 11 2" xfId="5308" xr:uid="{00000000-0005-0000-0000-00000D1F0000}"/>
    <cellStyle name="Normal 11 2 2" xfId="18256" xr:uid="{00000000-0005-0000-0000-00000E1F0000}"/>
    <cellStyle name="Normal 11 3" xfId="18257" xr:uid="{00000000-0005-0000-0000-00000F1F0000}"/>
    <cellStyle name="Normal 11 3 2" xfId="18259" xr:uid="{00000000-0005-0000-0000-0000101F0000}"/>
    <cellStyle name="Normal 11 4" xfId="18260" xr:uid="{00000000-0005-0000-0000-0000111F0000}"/>
    <cellStyle name="Normal 11 5" xfId="18263" xr:uid="{00000000-0005-0000-0000-0000121F0000}"/>
    <cellStyle name="Normal 110" xfId="8517" xr:uid="{00000000-0005-0000-0000-0000131F0000}"/>
    <cellStyle name="Normal 110 2" xfId="8004" xr:uid="{00000000-0005-0000-0000-0000141F0000}"/>
    <cellStyle name="Normal 110 2 2" xfId="9758" xr:uid="{00000000-0005-0000-0000-0000151F0000}"/>
    <cellStyle name="Normal 110 3" xfId="17407" xr:uid="{00000000-0005-0000-0000-0000161F0000}"/>
    <cellStyle name="Normal 111" xfId="17698" xr:uid="{00000000-0005-0000-0000-0000171F0000}"/>
    <cellStyle name="Normal 111 2" xfId="18236" xr:uid="{00000000-0005-0000-0000-0000181F0000}"/>
    <cellStyle name="Normal 111 2 2" xfId="4435" xr:uid="{00000000-0005-0000-0000-0000191F0000}"/>
    <cellStyle name="Normal 111 3" xfId="18240" xr:uid="{00000000-0005-0000-0000-00001A1F0000}"/>
    <cellStyle name="Normal 112" xfId="3192" xr:uid="{00000000-0005-0000-0000-00001B1F0000}"/>
    <cellStyle name="Normal 112 2" xfId="3236" xr:uid="{00000000-0005-0000-0000-00001C1F0000}"/>
    <cellStyle name="Normal 112 2 2" xfId="5142" xr:uid="{00000000-0005-0000-0000-00001D1F0000}"/>
    <cellStyle name="Normal 112 3" xfId="18244" xr:uid="{00000000-0005-0000-0000-00001E1F0000}"/>
    <cellStyle name="Normal 113" xfId="3255" xr:uid="{00000000-0005-0000-0000-00001F1F0000}"/>
    <cellStyle name="Normal 113 2" xfId="14602" xr:uid="{00000000-0005-0000-0000-0000201F0000}"/>
    <cellStyle name="Normal 113 2 2" xfId="18248" xr:uid="{00000000-0005-0000-0000-0000211F0000}"/>
    <cellStyle name="Normal 113 3" xfId="18251" xr:uid="{00000000-0005-0000-0000-0000221F0000}"/>
    <cellStyle name="Normal 114" xfId="15007" xr:uid="{00000000-0005-0000-0000-0000231F0000}"/>
    <cellStyle name="Normal 114 2" xfId="15011" xr:uid="{00000000-0005-0000-0000-0000241F0000}"/>
    <cellStyle name="Normal 114 2 2" xfId="18205" xr:uid="{00000000-0005-0000-0000-0000251F0000}"/>
    <cellStyle name="Normal 114 3" xfId="18254" xr:uid="{00000000-0005-0000-0000-0000261F0000}"/>
    <cellStyle name="Normal 115" xfId="15015" xr:uid="{00000000-0005-0000-0000-0000271F0000}"/>
    <cellStyle name="Normal 115 2" xfId="18266" xr:uid="{00000000-0005-0000-0000-0000281F0000}"/>
    <cellStyle name="Normal 115 2 2" xfId="18271" xr:uid="{00000000-0005-0000-0000-0000291F0000}"/>
    <cellStyle name="Normal 115 3" xfId="18274" xr:uid="{00000000-0005-0000-0000-00002A1F0000}"/>
    <cellStyle name="Normal 116" xfId="18279" xr:uid="{00000000-0005-0000-0000-00002B1F0000}"/>
    <cellStyle name="Normal 116 2" xfId="18286" xr:uid="{00000000-0005-0000-0000-00002C1F0000}"/>
    <cellStyle name="Normal 116 2 2" xfId="18290" xr:uid="{00000000-0005-0000-0000-00002D1F0000}"/>
    <cellStyle name="Normal 116 3" xfId="18291" xr:uid="{00000000-0005-0000-0000-00002E1F0000}"/>
    <cellStyle name="Normal 117" xfId="18297" xr:uid="{00000000-0005-0000-0000-00002F1F0000}"/>
    <cellStyle name="Normal 117 2" xfId="18302" xr:uid="{00000000-0005-0000-0000-0000301F0000}"/>
    <cellStyle name="Normal 117 2 2" xfId="15349" xr:uid="{00000000-0005-0000-0000-0000311F0000}"/>
    <cellStyle name="Normal 117 3" xfId="8034" xr:uid="{00000000-0005-0000-0000-0000321F0000}"/>
    <cellStyle name="Normal 118" xfId="18307" xr:uid="{00000000-0005-0000-0000-0000331F0000}"/>
    <cellStyle name="Normal 118 2" xfId="18310" xr:uid="{00000000-0005-0000-0000-0000341F0000}"/>
    <cellStyle name="Normal 118 2 2" xfId="18315" xr:uid="{00000000-0005-0000-0000-0000351F0000}"/>
    <cellStyle name="Normal 118 3" xfId="3950" xr:uid="{00000000-0005-0000-0000-0000361F0000}"/>
    <cellStyle name="Normal 119" xfId="18317" xr:uid="{00000000-0005-0000-0000-0000371F0000}"/>
    <cellStyle name="Normal 119 2" xfId="1087" xr:uid="{00000000-0005-0000-0000-0000381F0000}"/>
    <cellStyle name="Normal 12" xfId="5321" xr:uid="{00000000-0005-0000-0000-0000391F0000}"/>
    <cellStyle name="Normal 12 2" xfId="11352" xr:uid="{00000000-0005-0000-0000-00003A1F0000}"/>
    <cellStyle name="Normal 12 2 2" xfId="18319" xr:uid="{00000000-0005-0000-0000-00003B1F0000}"/>
    <cellStyle name="Normal 12 3" xfId="18326" xr:uid="{00000000-0005-0000-0000-00003C1F0000}"/>
    <cellStyle name="Normal 12 3 10" xfId="16387" xr:uid="{00000000-0005-0000-0000-00003D1F0000}"/>
    <cellStyle name="Normal 12 3 10 2" xfId="8986" xr:uid="{00000000-0005-0000-0000-00003E1F0000}"/>
    <cellStyle name="Normal 12 3 10 2 2" xfId="12873" xr:uid="{00000000-0005-0000-0000-00003F1F0000}"/>
    <cellStyle name="Normal 12 3 10 3" xfId="8991" xr:uid="{00000000-0005-0000-0000-0000401F0000}"/>
    <cellStyle name="Normal 12 3 10 4" xfId="1882" xr:uid="{00000000-0005-0000-0000-0000411F0000}"/>
    <cellStyle name="Normal 12 3 11" xfId="16390" xr:uid="{00000000-0005-0000-0000-0000421F0000}"/>
    <cellStyle name="Normal 12 3 11 2" xfId="12875" xr:uid="{00000000-0005-0000-0000-0000431F0000}"/>
    <cellStyle name="Normal 12 3 11 2 2" xfId="12881" xr:uid="{00000000-0005-0000-0000-0000441F0000}"/>
    <cellStyle name="Normal 12 3 11 3" xfId="5964" xr:uid="{00000000-0005-0000-0000-0000451F0000}"/>
    <cellStyle name="Normal 12 3 12" xfId="8308" xr:uid="{00000000-0005-0000-0000-0000461F0000}"/>
    <cellStyle name="Normal 12 3 12 2" xfId="12897" xr:uid="{00000000-0005-0000-0000-0000471F0000}"/>
    <cellStyle name="Normal 12 3 13" xfId="18327" xr:uid="{00000000-0005-0000-0000-0000481F0000}"/>
    <cellStyle name="Normal 12 3 13 2" xfId="12902" xr:uid="{00000000-0005-0000-0000-0000491F0000}"/>
    <cellStyle name="Normal 12 3 14" xfId="18333" xr:uid="{00000000-0005-0000-0000-00004A1F0000}"/>
    <cellStyle name="Normal 12 3 14 2" xfId="18338" xr:uid="{00000000-0005-0000-0000-00004B1F0000}"/>
    <cellStyle name="Normal 12 3 15" xfId="6746" xr:uid="{00000000-0005-0000-0000-00004C1F0000}"/>
    <cellStyle name="Normal 12 3 16" xfId="18342" xr:uid="{00000000-0005-0000-0000-00004D1F0000}"/>
    <cellStyle name="Normal 12 3 2" xfId="18346" xr:uid="{00000000-0005-0000-0000-00004E1F0000}"/>
    <cellStyle name="Normal 12 3 2 10" xfId="10809" xr:uid="{00000000-0005-0000-0000-00004F1F0000}"/>
    <cellStyle name="Normal 12 3 2 10 2" xfId="2212" xr:uid="{00000000-0005-0000-0000-0000501F0000}"/>
    <cellStyle name="Normal 12 3 2 11" xfId="10818" xr:uid="{00000000-0005-0000-0000-0000511F0000}"/>
    <cellStyle name="Normal 12 3 2 11 2" xfId="2797" xr:uid="{00000000-0005-0000-0000-0000521F0000}"/>
    <cellStyle name="Normal 12 3 2 12" xfId="10828" xr:uid="{00000000-0005-0000-0000-0000531F0000}"/>
    <cellStyle name="Normal 12 3 2 12 2" xfId="3125" xr:uid="{00000000-0005-0000-0000-0000541F0000}"/>
    <cellStyle name="Normal 12 3 2 13" xfId="10833" xr:uid="{00000000-0005-0000-0000-0000551F0000}"/>
    <cellStyle name="Normal 12 3 2 14" xfId="8944" xr:uid="{00000000-0005-0000-0000-0000561F0000}"/>
    <cellStyle name="Normal 12 3 2 2" xfId="18350" xr:uid="{00000000-0005-0000-0000-0000571F0000}"/>
    <cellStyle name="Normal 12 3 2 2 10" xfId="18351" xr:uid="{00000000-0005-0000-0000-0000581F0000}"/>
    <cellStyle name="Normal 12 3 2 2 2" xfId="13888" xr:uid="{00000000-0005-0000-0000-0000591F0000}"/>
    <cellStyle name="Normal 12 3 2 2 2 2" xfId="18355" xr:uid="{00000000-0005-0000-0000-00005A1F0000}"/>
    <cellStyle name="Normal 12 3 2 2 2 2 2" xfId="18360" xr:uid="{00000000-0005-0000-0000-00005B1F0000}"/>
    <cellStyle name="Normal 12 3 2 2 2 2 2 2" xfId="18363" xr:uid="{00000000-0005-0000-0000-00005C1F0000}"/>
    <cellStyle name="Normal 12 3 2 2 2 2 2 2 2" xfId="3760" xr:uid="{00000000-0005-0000-0000-00005D1F0000}"/>
    <cellStyle name="Normal 12 3 2 2 2 2 2 2 2 2" xfId="18370" xr:uid="{00000000-0005-0000-0000-00005E1F0000}"/>
    <cellStyle name="Normal 12 3 2 2 2 2 2 2 3" xfId="3780" xr:uid="{00000000-0005-0000-0000-00005F1F0000}"/>
    <cellStyle name="Normal 12 3 2 2 2 2 2 3" xfId="18371" xr:uid="{00000000-0005-0000-0000-0000601F0000}"/>
    <cellStyle name="Normal 12 3 2 2 2 2 2 3 2" xfId="18376" xr:uid="{00000000-0005-0000-0000-0000611F0000}"/>
    <cellStyle name="Normal 12 3 2 2 2 2 2 4" xfId="18379" xr:uid="{00000000-0005-0000-0000-0000621F0000}"/>
    <cellStyle name="Normal 12 3 2 2 2 2 3" xfId="15402" xr:uid="{00000000-0005-0000-0000-0000631F0000}"/>
    <cellStyle name="Normal 12 3 2 2 2 2 3 2" xfId="18382" xr:uid="{00000000-0005-0000-0000-0000641F0000}"/>
    <cellStyle name="Normal 12 3 2 2 2 2 3 2 2" xfId="18388" xr:uid="{00000000-0005-0000-0000-0000651F0000}"/>
    <cellStyle name="Normal 12 3 2 2 2 2 3 3" xfId="18390" xr:uid="{00000000-0005-0000-0000-0000661F0000}"/>
    <cellStyle name="Normal 12 3 2 2 2 2 4" xfId="18314" xr:uid="{00000000-0005-0000-0000-0000671F0000}"/>
    <cellStyle name="Normal 12 3 2 2 2 2 4 2" xfId="18393" xr:uid="{00000000-0005-0000-0000-0000681F0000}"/>
    <cellStyle name="Normal 12 3 2 2 2 2 4 2 2" xfId="18396" xr:uid="{00000000-0005-0000-0000-0000691F0000}"/>
    <cellStyle name="Normal 12 3 2 2 2 2 4 3" xfId="18398" xr:uid="{00000000-0005-0000-0000-00006A1F0000}"/>
    <cellStyle name="Normal 12 3 2 2 2 2 5" xfId="15203" xr:uid="{00000000-0005-0000-0000-00006B1F0000}"/>
    <cellStyle name="Normal 12 3 2 2 2 2 5 2" xfId="18403" xr:uid="{00000000-0005-0000-0000-00006C1F0000}"/>
    <cellStyle name="Normal 12 3 2 2 2 2 6" xfId="18407" xr:uid="{00000000-0005-0000-0000-00006D1F0000}"/>
    <cellStyle name="Normal 12 3 2 2 2 2 6 2" xfId="5580" xr:uid="{00000000-0005-0000-0000-00006E1F0000}"/>
    <cellStyle name="Normal 12 3 2 2 2 2 7" xfId="18411" xr:uid="{00000000-0005-0000-0000-00006F1F0000}"/>
    <cellStyle name="Normal 12 3 2 2 2 2 8" xfId="18412" xr:uid="{00000000-0005-0000-0000-0000701F0000}"/>
    <cellStyle name="Normal 12 3 2 2 2 3" xfId="6843" xr:uid="{00000000-0005-0000-0000-0000711F0000}"/>
    <cellStyle name="Normal 12 3 2 2 2 3 2" xfId="5482" xr:uid="{00000000-0005-0000-0000-0000721F0000}"/>
    <cellStyle name="Normal 12 3 2 2 2 3 2 2" xfId="6847" xr:uid="{00000000-0005-0000-0000-0000731F0000}"/>
    <cellStyle name="Normal 12 3 2 2 2 3 2 2 2" xfId="4965" xr:uid="{00000000-0005-0000-0000-0000741F0000}"/>
    <cellStyle name="Normal 12 3 2 2 2 3 2 3" xfId="18420" xr:uid="{00000000-0005-0000-0000-0000751F0000}"/>
    <cellStyle name="Normal 12 3 2 2 2 3 3" xfId="4337" xr:uid="{00000000-0005-0000-0000-0000761F0000}"/>
    <cellStyle name="Normal 12 3 2 2 2 3 3 2" xfId="14047" xr:uid="{00000000-0005-0000-0000-0000771F0000}"/>
    <cellStyle name="Normal 12 3 2 2 2 3 4" xfId="3965" xr:uid="{00000000-0005-0000-0000-0000781F0000}"/>
    <cellStyle name="Normal 12 3 2 2 2 4" xfId="6856" xr:uid="{00000000-0005-0000-0000-0000791F0000}"/>
    <cellStyle name="Normal 12 3 2 2 2 4 2" xfId="6862" xr:uid="{00000000-0005-0000-0000-00007A1F0000}"/>
    <cellStyle name="Normal 12 3 2 2 2 4 2 2" xfId="18422" xr:uid="{00000000-0005-0000-0000-00007B1F0000}"/>
    <cellStyle name="Normal 12 3 2 2 2 4 3" xfId="18426" xr:uid="{00000000-0005-0000-0000-00007C1F0000}"/>
    <cellStyle name="Normal 12 3 2 2 2 5" xfId="6871" xr:uid="{00000000-0005-0000-0000-00007D1F0000}"/>
    <cellStyle name="Normal 12 3 2 2 2 5 2" xfId="18427" xr:uid="{00000000-0005-0000-0000-00007E1F0000}"/>
    <cellStyle name="Normal 12 3 2 2 2 5 2 2" xfId="13003" xr:uid="{00000000-0005-0000-0000-00007F1F0000}"/>
    <cellStyle name="Normal 12 3 2 2 2 5 3" xfId="18431" xr:uid="{00000000-0005-0000-0000-0000801F0000}"/>
    <cellStyle name="Normal 12 3 2 2 2 6" xfId="4101" xr:uid="{00000000-0005-0000-0000-0000811F0000}"/>
    <cellStyle name="Normal 12 3 2 2 2 6 2" xfId="8283" xr:uid="{00000000-0005-0000-0000-0000821F0000}"/>
    <cellStyle name="Normal 12 3 2 2 2 7" xfId="5217" xr:uid="{00000000-0005-0000-0000-0000831F0000}"/>
    <cellStyle name="Normal 12 3 2 2 2 7 2" xfId="18432" xr:uid="{00000000-0005-0000-0000-0000841F0000}"/>
    <cellStyle name="Normal 12 3 2 2 2 8" xfId="16742" xr:uid="{00000000-0005-0000-0000-0000851F0000}"/>
    <cellStyle name="Normal 12 3 2 2 2 9" xfId="16748" xr:uid="{00000000-0005-0000-0000-0000861F0000}"/>
    <cellStyle name="Normal 12 3 2 2 3" xfId="1907" xr:uid="{00000000-0005-0000-0000-0000871F0000}"/>
    <cellStyle name="Normal 12 3 2 2 3 2" xfId="18436" xr:uid="{00000000-0005-0000-0000-0000881F0000}"/>
    <cellStyle name="Normal 12 3 2 2 3 2 2" xfId="18437" xr:uid="{00000000-0005-0000-0000-0000891F0000}"/>
    <cellStyle name="Normal 12 3 2 2 3 2 2 2" xfId="18440" xr:uid="{00000000-0005-0000-0000-00008A1F0000}"/>
    <cellStyle name="Normal 12 3 2 2 3 2 2 2 2" xfId="160" xr:uid="{00000000-0005-0000-0000-00008B1F0000}"/>
    <cellStyle name="Normal 12 3 2 2 3 2 2 3" xfId="18442" xr:uid="{00000000-0005-0000-0000-00008C1F0000}"/>
    <cellStyle name="Normal 12 3 2 2 3 2 3" xfId="18448" xr:uid="{00000000-0005-0000-0000-00008D1F0000}"/>
    <cellStyle name="Normal 12 3 2 2 3 2 3 2" xfId="18452" xr:uid="{00000000-0005-0000-0000-00008E1F0000}"/>
    <cellStyle name="Normal 12 3 2 2 3 2 4" xfId="18456" xr:uid="{00000000-0005-0000-0000-00008F1F0000}"/>
    <cellStyle name="Normal 12 3 2 2 3 3" xfId="1950" xr:uid="{00000000-0005-0000-0000-0000901F0000}"/>
    <cellStyle name="Normal 12 3 2 2 3 3 2" xfId="6882" xr:uid="{00000000-0005-0000-0000-0000911F0000}"/>
    <cellStyle name="Normal 12 3 2 2 3 3 2 2" xfId="12599" xr:uid="{00000000-0005-0000-0000-0000921F0000}"/>
    <cellStyle name="Normal 12 3 2 2 3 3 3" xfId="9663" xr:uid="{00000000-0005-0000-0000-0000931F0000}"/>
    <cellStyle name="Normal 12 3 2 2 3 4" xfId="6885" xr:uid="{00000000-0005-0000-0000-0000941F0000}"/>
    <cellStyle name="Normal 12 3 2 2 3 4 2" xfId="18457" xr:uid="{00000000-0005-0000-0000-0000951F0000}"/>
    <cellStyle name="Normal 12 3 2 2 3 4 2 2" xfId="18458" xr:uid="{00000000-0005-0000-0000-0000961F0000}"/>
    <cellStyle name="Normal 12 3 2 2 3 4 3" xfId="9677" xr:uid="{00000000-0005-0000-0000-0000971F0000}"/>
    <cellStyle name="Normal 12 3 2 2 3 5" xfId="18459" xr:uid="{00000000-0005-0000-0000-0000981F0000}"/>
    <cellStyle name="Normal 12 3 2 2 3 5 2" xfId="18460" xr:uid="{00000000-0005-0000-0000-0000991F0000}"/>
    <cellStyle name="Normal 12 3 2 2 3 6" xfId="7744" xr:uid="{00000000-0005-0000-0000-00009A1F0000}"/>
    <cellStyle name="Normal 12 3 2 2 3 6 2" xfId="8289" xr:uid="{00000000-0005-0000-0000-00009B1F0000}"/>
    <cellStyle name="Normal 12 3 2 2 3 7" xfId="5237" xr:uid="{00000000-0005-0000-0000-00009C1F0000}"/>
    <cellStyle name="Normal 12 3 2 2 3 8" xfId="16752" xr:uid="{00000000-0005-0000-0000-00009D1F0000}"/>
    <cellStyle name="Normal 12 3 2 2 4" xfId="18462" xr:uid="{00000000-0005-0000-0000-00009E1F0000}"/>
    <cellStyle name="Normal 12 3 2 2 4 2" xfId="18464" xr:uid="{00000000-0005-0000-0000-00009F1F0000}"/>
    <cellStyle name="Normal 12 3 2 2 4 2 2" xfId="18465" xr:uid="{00000000-0005-0000-0000-0000A01F0000}"/>
    <cellStyle name="Normal 12 3 2 2 4 2 2 2" xfId="18472" xr:uid="{00000000-0005-0000-0000-0000A11F0000}"/>
    <cellStyle name="Normal 12 3 2 2 4 2 3" xfId="18480" xr:uid="{00000000-0005-0000-0000-0000A21F0000}"/>
    <cellStyle name="Normal 12 3 2 2 4 3" xfId="6898" xr:uid="{00000000-0005-0000-0000-0000A31F0000}"/>
    <cellStyle name="Normal 12 3 2 2 4 3 2" xfId="6903" xr:uid="{00000000-0005-0000-0000-0000A41F0000}"/>
    <cellStyle name="Normal 12 3 2 2 4 4" xfId="6906" xr:uid="{00000000-0005-0000-0000-0000A51F0000}"/>
    <cellStyle name="Normal 12 3 2 2 5" xfId="15061" xr:uid="{00000000-0005-0000-0000-0000A61F0000}"/>
    <cellStyle name="Normal 12 3 2 2 5 2" xfId="12621" xr:uid="{00000000-0005-0000-0000-0000A71F0000}"/>
    <cellStyle name="Normal 12 3 2 2 5 2 2" xfId="12627" xr:uid="{00000000-0005-0000-0000-0000A81F0000}"/>
    <cellStyle name="Normal 12 3 2 2 5 3" xfId="2956" xr:uid="{00000000-0005-0000-0000-0000A91F0000}"/>
    <cellStyle name="Normal 12 3 2 2 6" xfId="15072" xr:uid="{00000000-0005-0000-0000-0000AA1F0000}"/>
    <cellStyle name="Normal 12 3 2 2 6 2" xfId="12647" xr:uid="{00000000-0005-0000-0000-0000AB1F0000}"/>
    <cellStyle name="Normal 12 3 2 2 6 2 2" xfId="12651" xr:uid="{00000000-0005-0000-0000-0000AC1F0000}"/>
    <cellStyle name="Normal 12 3 2 2 6 3" xfId="6942" xr:uid="{00000000-0005-0000-0000-0000AD1F0000}"/>
    <cellStyle name="Normal 12 3 2 2 7" xfId="4472" xr:uid="{00000000-0005-0000-0000-0000AE1F0000}"/>
    <cellStyle name="Normal 12 3 2 2 7 2" xfId="12528" xr:uid="{00000000-0005-0000-0000-0000AF1F0000}"/>
    <cellStyle name="Normal 12 3 2 2 8" xfId="12876" xr:uid="{00000000-0005-0000-0000-0000B01F0000}"/>
    <cellStyle name="Normal 12 3 2 2 8 2" xfId="12882" xr:uid="{00000000-0005-0000-0000-0000B11F0000}"/>
    <cellStyle name="Normal 12 3 2 2 9" xfId="5965" xr:uid="{00000000-0005-0000-0000-0000B21F0000}"/>
    <cellStyle name="Normal 12 3 2 3" xfId="18481" xr:uid="{00000000-0005-0000-0000-0000B31F0000}"/>
    <cellStyle name="Normal 12 3 2 3 2" xfId="18488" xr:uid="{00000000-0005-0000-0000-0000B41F0000}"/>
    <cellStyle name="Normal 12 3 2 3 2 2" xfId="18496" xr:uid="{00000000-0005-0000-0000-0000B51F0000}"/>
    <cellStyle name="Normal 12 3 2 3 2 2 2" xfId="9561" xr:uid="{00000000-0005-0000-0000-0000B61F0000}"/>
    <cellStyle name="Normal 12 3 2 3 2 2 2 2" xfId="9569" xr:uid="{00000000-0005-0000-0000-0000B71F0000}"/>
    <cellStyle name="Normal 12 3 2 3 2 2 2 2 2" xfId="18497" xr:uid="{00000000-0005-0000-0000-0000B81F0000}"/>
    <cellStyle name="Normal 12 3 2 3 2 2 2 3" xfId="18498" xr:uid="{00000000-0005-0000-0000-0000B91F0000}"/>
    <cellStyle name="Normal 12 3 2 3 2 2 3" xfId="9581" xr:uid="{00000000-0005-0000-0000-0000BA1F0000}"/>
    <cellStyle name="Normal 12 3 2 3 2 2 3 2" xfId="9590" xr:uid="{00000000-0005-0000-0000-0000BB1F0000}"/>
    <cellStyle name="Normal 12 3 2 3 2 2 4" xfId="9595" xr:uid="{00000000-0005-0000-0000-0000BC1F0000}"/>
    <cellStyle name="Normal 12 3 2 3 2 2 5" xfId="13343" xr:uid="{00000000-0005-0000-0000-0000BD1F0000}"/>
    <cellStyle name="Normal 12 3 2 3 2 3" xfId="7052" xr:uid="{00000000-0005-0000-0000-0000BE1F0000}"/>
    <cellStyle name="Normal 12 3 2 3 2 3 2" xfId="7059" xr:uid="{00000000-0005-0000-0000-0000BF1F0000}"/>
    <cellStyle name="Normal 12 3 2 3 2 3 2 2" xfId="7064" xr:uid="{00000000-0005-0000-0000-0000C01F0000}"/>
    <cellStyle name="Normal 12 3 2 3 2 3 3" xfId="4541" xr:uid="{00000000-0005-0000-0000-0000C11F0000}"/>
    <cellStyle name="Normal 12 3 2 3 2 4" xfId="7074" xr:uid="{00000000-0005-0000-0000-0000C21F0000}"/>
    <cellStyle name="Normal 12 3 2 3 2 4 2" xfId="7081" xr:uid="{00000000-0005-0000-0000-0000C31F0000}"/>
    <cellStyle name="Normal 12 3 2 3 2 4 2 2" xfId="18499" xr:uid="{00000000-0005-0000-0000-0000C41F0000}"/>
    <cellStyle name="Normal 12 3 2 3 2 4 3" xfId="18501" xr:uid="{00000000-0005-0000-0000-0000C51F0000}"/>
    <cellStyle name="Normal 12 3 2 3 2 5" xfId="7089" xr:uid="{00000000-0005-0000-0000-0000C61F0000}"/>
    <cellStyle name="Normal 12 3 2 3 2 5 2" xfId="18502" xr:uid="{00000000-0005-0000-0000-0000C71F0000}"/>
    <cellStyle name="Normal 12 3 2 3 2 6" xfId="18508" xr:uid="{00000000-0005-0000-0000-0000C81F0000}"/>
    <cellStyle name="Normal 12 3 2 3 2 6 2" xfId="14656" xr:uid="{00000000-0005-0000-0000-0000C91F0000}"/>
    <cellStyle name="Normal 12 3 2 3 2 7" xfId="18510" xr:uid="{00000000-0005-0000-0000-0000CA1F0000}"/>
    <cellStyle name="Normal 12 3 2 3 2 8" xfId="16810" xr:uid="{00000000-0005-0000-0000-0000CB1F0000}"/>
    <cellStyle name="Normal 12 3 2 3 3" xfId="18516" xr:uid="{00000000-0005-0000-0000-0000CC1F0000}"/>
    <cellStyle name="Normal 12 3 2 3 3 2" xfId="242" xr:uid="{00000000-0005-0000-0000-0000CD1F0000}"/>
    <cellStyle name="Normal 12 3 2 3 3 2 2" xfId="9698" xr:uid="{00000000-0005-0000-0000-0000CE1F0000}"/>
    <cellStyle name="Normal 12 3 2 3 3 2 2 2" xfId="9703" xr:uid="{00000000-0005-0000-0000-0000CF1F0000}"/>
    <cellStyle name="Normal 12 3 2 3 3 2 3" xfId="18521" xr:uid="{00000000-0005-0000-0000-0000D01F0000}"/>
    <cellStyle name="Normal 12 3 2 3 3 3" xfId="7107" xr:uid="{00000000-0005-0000-0000-0000D11F0000}"/>
    <cellStyle name="Normal 12 3 2 3 3 3 2" xfId="18522" xr:uid="{00000000-0005-0000-0000-0000D21F0000}"/>
    <cellStyle name="Normal 12 3 2 3 3 4" xfId="18523" xr:uid="{00000000-0005-0000-0000-0000D31F0000}"/>
    <cellStyle name="Normal 12 3 2 3 3 5" xfId="18524" xr:uid="{00000000-0005-0000-0000-0000D41F0000}"/>
    <cellStyle name="Normal 12 3 2 3 4" xfId="18526" xr:uid="{00000000-0005-0000-0000-0000D51F0000}"/>
    <cellStyle name="Normal 12 3 2 3 4 2" xfId="18527" xr:uid="{00000000-0005-0000-0000-0000D61F0000}"/>
    <cellStyle name="Normal 12 3 2 3 4 2 2" xfId="18530" xr:uid="{00000000-0005-0000-0000-0000D71F0000}"/>
    <cellStyle name="Normal 12 3 2 3 4 3" xfId="7124" xr:uid="{00000000-0005-0000-0000-0000D81F0000}"/>
    <cellStyle name="Normal 12 3 2 3 5" xfId="15083" xr:uid="{00000000-0005-0000-0000-0000D91F0000}"/>
    <cellStyle name="Normal 12 3 2 3 5 2" xfId="15085" xr:uid="{00000000-0005-0000-0000-0000DA1F0000}"/>
    <cellStyle name="Normal 12 3 2 3 5 2 2" xfId="15088" xr:uid="{00000000-0005-0000-0000-0000DB1F0000}"/>
    <cellStyle name="Normal 12 3 2 3 5 3" xfId="7155" xr:uid="{00000000-0005-0000-0000-0000DC1F0000}"/>
    <cellStyle name="Normal 12 3 2 3 6" xfId="15091" xr:uid="{00000000-0005-0000-0000-0000DD1F0000}"/>
    <cellStyle name="Normal 12 3 2 3 6 2" xfId="15093" xr:uid="{00000000-0005-0000-0000-0000DE1F0000}"/>
    <cellStyle name="Normal 12 3 2 3 7" xfId="4269" xr:uid="{00000000-0005-0000-0000-0000DF1F0000}"/>
    <cellStyle name="Normal 12 3 2 3 7 2" xfId="18531" xr:uid="{00000000-0005-0000-0000-0000E01F0000}"/>
    <cellStyle name="Normal 12 3 2 3 8" xfId="12896" xr:uid="{00000000-0005-0000-0000-0000E11F0000}"/>
    <cellStyle name="Normal 12 3 2 3 9" xfId="18532" xr:uid="{00000000-0005-0000-0000-0000E21F0000}"/>
    <cellStyle name="Normal 12 3 2 4" xfId="18534" xr:uid="{00000000-0005-0000-0000-0000E31F0000}"/>
    <cellStyle name="Normal 12 3 2 4 2" xfId="18543" xr:uid="{00000000-0005-0000-0000-0000E41F0000}"/>
    <cellStyle name="Normal 12 3 2 4 2 2" xfId="11347" xr:uid="{00000000-0005-0000-0000-0000E51F0000}"/>
    <cellStyle name="Normal 12 3 2 4 2 2 2" xfId="4922" xr:uid="{00000000-0005-0000-0000-0000E61F0000}"/>
    <cellStyle name="Normal 12 3 2 4 2 2 2 2" xfId="2233" xr:uid="{00000000-0005-0000-0000-0000E71F0000}"/>
    <cellStyle name="Normal 12 3 2 4 2 2 2 2 2" xfId="18544" xr:uid="{00000000-0005-0000-0000-0000E81F0000}"/>
    <cellStyle name="Normal 12 3 2 4 2 2 2 3" xfId="18545" xr:uid="{00000000-0005-0000-0000-0000E91F0000}"/>
    <cellStyle name="Normal 12 3 2 4 2 2 3" xfId="4751" xr:uid="{00000000-0005-0000-0000-0000EA1F0000}"/>
    <cellStyle name="Normal 12 3 2 4 2 2 3 2" xfId="18546" xr:uid="{00000000-0005-0000-0000-0000EB1F0000}"/>
    <cellStyle name="Normal 12 3 2 4 2 2 4" xfId="18547" xr:uid="{00000000-0005-0000-0000-0000EC1F0000}"/>
    <cellStyle name="Normal 12 3 2 4 2 3" xfId="7281" xr:uid="{00000000-0005-0000-0000-0000ED1F0000}"/>
    <cellStyle name="Normal 12 3 2 4 2 3 2" xfId="7290" xr:uid="{00000000-0005-0000-0000-0000EE1F0000}"/>
    <cellStyle name="Normal 12 3 2 4 2 3 2 2" xfId="1366" xr:uid="{00000000-0005-0000-0000-0000EF1F0000}"/>
    <cellStyle name="Normal 12 3 2 4 2 3 3" xfId="4772" xr:uid="{00000000-0005-0000-0000-0000F01F0000}"/>
    <cellStyle name="Normal 12 3 2 4 2 4" xfId="3081" xr:uid="{00000000-0005-0000-0000-0000F11F0000}"/>
    <cellStyle name="Normal 12 3 2 4 2 4 2" xfId="5314" xr:uid="{00000000-0005-0000-0000-0000F21F0000}"/>
    <cellStyle name="Normal 12 3 2 4 2 4 2 2" xfId="18548" xr:uid="{00000000-0005-0000-0000-0000F31F0000}"/>
    <cellStyle name="Normal 12 3 2 4 2 4 3" xfId="18549" xr:uid="{00000000-0005-0000-0000-0000F41F0000}"/>
    <cellStyle name="Normal 12 3 2 4 2 5" xfId="5327" xr:uid="{00000000-0005-0000-0000-0000F51F0000}"/>
    <cellStyle name="Normal 12 3 2 4 2 5 2" xfId="11353" xr:uid="{00000000-0005-0000-0000-0000F61F0000}"/>
    <cellStyle name="Normal 12 3 2 4 2 6" xfId="11357" xr:uid="{00000000-0005-0000-0000-0000F71F0000}"/>
    <cellStyle name="Normal 12 3 2 4 2 6 2" xfId="18550" xr:uid="{00000000-0005-0000-0000-0000F81F0000}"/>
    <cellStyle name="Normal 12 3 2 4 2 7" xfId="18551" xr:uid="{00000000-0005-0000-0000-0000F91F0000}"/>
    <cellStyle name="Normal 12 3 2 4 2 8" xfId="16862" xr:uid="{00000000-0005-0000-0000-0000FA1F0000}"/>
    <cellStyle name="Normal 12 3 2 4 3" xfId="2037" xr:uid="{00000000-0005-0000-0000-0000FB1F0000}"/>
    <cellStyle name="Normal 12 3 2 4 3 2" xfId="2065" xr:uid="{00000000-0005-0000-0000-0000FC1F0000}"/>
    <cellStyle name="Normal 12 3 2 4 3 2 2" xfId="8737" xr:uid="{00000000-0005-0000-0000-0000FD1F0000}"/>
    <cellStyle name="Normal 12 3 2 4 3 2 2 2" xfId="8740" xr:uid="{00000000-0005-0000-0000-0000FE1F0000}"/>
    <cellStyle name="Normal 12 3 2 4 3 2 3" xfId="8743" xr:uid="{00000000-0005-0000-0000-0000FF1F0000}"/>
    <cellStyle name="Normal 12 3 2 4 3 3" xfId="7306" xr:uid="{00000000-0005-0000-0000-000000200000}"/>
    <cellStyle name="Normal 12 3 2 4 3 3 2" xfId="7313" xr:uid="{00000000-0005-0000-0000-000001200000}"/>
    <cellStyle name="Normal 12 3 2 4 3 4" xfId="5341" xr:uid="{00000000-0005-0000-0000-000002200000}"/>
    <cellStyle name="Normal 12 3 2 4 4" xfId="18553" xr:uid="{00000000-0005-0000-0000-000003200000}"/>
    <cellStyle name="Normal 12 3 2 4 4 2" xfId="203" xr:uid="{00000000-0005-0000-0000-000004200000}"/>
    <cellStyle name="Normal 12 3 2 4 4 2 2" xfId="8798" xr:uid="{00000000-0005-0000-0000-000005200000}"/>
    <cellStyle name="Normal 12 3 2 4 4 3" xfId="44" xr:uid="{00000000-0005-0000-0000-000006200000}"/>
    <cellStyle name="Normal 12 3 2 4 5" xfId="15096" xr:uid="{00000000-0005-0000-0000-000007200000}"/>
    <cellStyle name="Normal 12 3 2 4 5 2" xfId="4529" xr:uid="{00000000-0005-0000-0000-000008200000}"/>
    <cellStyle name="Normal 12 3 2 4 5 2 2" xfId="8856" xr:uid="{00000000-0005-0000-0000-000009200000}"/>
    <cellStyle name="Normal 12 3 2 4 5 3" xfId="7351" xr:uid="{00000000-0005-0000-0000-00000A200000}"/>
    <cellStyle name="Normal 12 3 2 4 6" xfId="15100" xr:uid="{00000000-0005-0000-0000-00000B200000}"/>
    <cellStyle name="Normal 12 3 2 4 6 2" xfId="11051" xr:uid="{00000000-0005-0000-0000-00000C200000}"/>
    <cellStyle name="Normal 12 3 2 4 7" xfId="18554" xr:uid="{00000000-0005-0000-0000-00000D200000}"/>
    <cellStyle name="Normal 12 3 2 4 7 2" xfId="5517" xr:uid="{00000000-0005-0000-0000-00000E200000}"/>
    <cellStyle name="Normal 12 3 2 4 8" xfId="12901" xr:uid="{00000000-0005-0000-0000-00000F200000}"/>
    <cellStyle name="Normal 12 3 2 4 9" xfId="18555" xr:uid="{00000000-0005-0000-0000-000010200000}"/>
    <cellStyle name="Normal 12 3 2 5" xfId="18556" xr:uid="{00000000-0005-0000-0000-000011200000}"/>
    <cellStyle name="Normal 12 3 2 5 2" xfId="18558" xr:uid="{00000000-0005-0000-0000-000012200000}"/>
    <cellStyle name="Normal 12 3 2 5 2 2" xfId="11564" xr:uid="{00000000-0005-0000-0000-000013200000}"/>
    <cellStyle name="Normal 12 3 2 5 2 2 2" xfId="15867" xr:uid="{00000000-0005-0000-0000-000014200000}"/>
    <cellStyle name="Normal 12 3 2 5 2 2 2 2" xfId="15871" xr:uid="{00000000-0005-0000-0000-000015200000}"/>
    <cellStyle name="Normal 12 3 2 5 2 2 2 2 2" xfId="13744" xr:uid="{00000000-0005-0000-0000-000016200000}"/>
    <cellStyle name="Normal 12 3 2 5 2 2 2 3" xfId="15882" xr:uid="{00000000-0005-0000-0000-000017200000}"/>
    <cellStyle name="Normal 12 3 2 5 2 2 3" xfId="2348" xr:uid="{00000000-0005-0000-0000-000018200000}"/>
    <cellStyle name="Normal 12 3 2 5 2 2 3 2" xfId="2364" xr:uid="{00000000-0005-0000-0000-000019200000}"/>
    <cellStyle name="Normal 12 3 2 5 2 2 4" xfId="2466" xr:uid="{00000000-0005-0000-0000-00001A200000}"/>
    <cellStyle name="Normal 12 3 2 5 2 3" xfId="7427" xr:uid="{00000000-0005-0000-0000-00001B200000}"/>
    <cellStyle name="Normal 12 3 2 5 2 3 2" xfId="7429" xr:uid="{00000000-0005-0000-0000-00001C200000}"/>
    <cellStyle name="Normal 12 3 2 5 2 3 2 2" xfId="12514" xr:uid="{00000000-0005-0000-0000-00001D200000}"/>
    <cellStyle name="Normal 12 3 2 5 2 3 3" xfId="2697" xr:uid="{00000000-0005-0000-0000-00001E200000}"/>
    <cellStyle name="Normal 12 3 2 5 2 4" xfId="18559" xr:uid="{00000000-0005-0000-0000-00001F200000}"/>
    <cellStyle name="Normal 12 3 2 5 2 4 2" xfId="12191" xr:uid="{00000000-0005-0000-0000-000020200000}"/>
    <cellStyle name="Normal 12 3 2 5 2 4 2 2" xfId="12195" xr:uid="{00000000-0005-0000-0000-000021200000}"/>
    <cellStyle name="Normal 12 3 2 5 2 4 3" xfId="11715" xr:uid="{00000000-0005-0000-0000-000022200000}"/>
    <cellStyle name="Normal 12 3 2 5 2 5" xfId="18560" xr:uid="{00000000-0005-0000-0000-000023200000}"/>
    <cellStyle name="Normal 12 3 2 5 2 5 2" xfId="10782" xr:uid="{00000000-0005-0000-0000-000024200000}"/>
    <cellStyle name="Normal 12 3 2 5 2 6" xfId="18561" xr:uid="{00000000-0005-0000-0000-000025200000}"/>
    <cellStyle name="Normal 12 3 2 5 2 6 2" xfId="15808" xr:uid="{00000000-0005-0000-0000-000026200000}"/>
    <cellStyle name="Normal 12 3 2 5 2 7" xfId="18562" xr:uid="{00000000-0005-0000-0000-000027200000}"/>
    <cellStyle name="Normal 12 3 2 5 2 8" xfId="16871" xr:uid="{00000000-0005-0000-0000-000028200000}"/>
    <cellStyle name="Normal 12 3 2 5 3" xfId="18564" xr:uid="{00000000-0005-0000-0000-000029200000}"/>
    <cellStyle name="Normal 12 3 2 5 3 2" xfId="18565" xr:uid="{00000000-0005-0000-0000-00002A200000}"/>
    <cellStyle name="Normal 12 3 2 5 3 2 2" xfId="16431" xr:uid="{00000000-0005-0000-0000-00002B200000}"/>
    <cellStyle name="Normal 12 3 2 5 3 2 2 2" xfId="16433" xr:uid="{00000000-0005-0000-0000-00002C200000}"/>
    <cellStyle name="Normal 12 3 2 5 3 2 3" xfId="2917" xr:uid="{00000000-0005-0000-0000-00002D200000}"/>
    <cellStyle name="Normal 12 3 2 5 3 3" xfId="18566" xr:uid="{00000000-0005-0000-0000-00002E200000}"/>
    <cellStyle name="Normal 12 3 2 5 3 3 2" xfId="7443" xr:uid="{00000000-0005-0000-0000-00002F200000}"/>
    <cellStyle name="Normal 12 3 2 5 3 4" xfId="18567" xr:uid="{00000000-0005-0000-0000-000030200000}"/>
    <cellStyle name="Normal 12 3 2 5 4" xfId="18568" xr:uid="{00000000-0005-0000-0000-000031200000}"/>
    <cellStyle name="Normal 12 3 2 5 4 2" xfId="18569" xr:uid="{00000000-0005-0000-0000-000032200000}"/>
    <cellStyle name="Normal 12 3 2 5 4 2 2" xfId="16640" xr:uid="{00000000-0005-0000-0000-000033200000}"/>
    <cellStyle name="Normal 12 3 2 5 4 3" xfId="18571" xr:uid="{00000000-0005-0000-0000-000034200000}"/>
    <cellStyle name="Normal 12 3 2 5 5" xfId="15105" xr:uid="{00000000-0005-0000-0000-000035200000}"/>
    <cellStyle name="Normal 12 3 2 5 5 2" xfId="11060" xr:uid="{00000000-0005-0000-0000-000036200000}"/>
    <cellStyle name="Normal 12 3 2 5 5 2 2" xfId="16750" xr:uid="{00000000-0005-0000-0000-000037200000}"/>
    <cellStyle name="Normal 12 3 2 5 5 3" xfId="7483" xr:uid="{00000000-0005-0000-0000-000038200000}"/>
    <cellStyle name="Normal 12 3 2 5 6" xfId="15106" xr:uid="{00000000-0005-0000-0000-000039200000}"/>
    <cellStyle name="Normal 12 3 2 5 6 2" xfId="18573" xr:uid="{00000000-0005-0000-0000-00003A200000}"/>
    <cellStyle name="Normal 12 3 2 5 7" xfId="18574" xr:uid="{00000000-0005-0000-0000-00003B200000}"/>
    <cellStyle name="Normal 12 3 2 5 7 2" xfId="18575" xr:uid="{00000000-0005-0000-0000-00003C200000}"/>
    <cellStyle name="Normal 12 3 2 5 8" xfId="18337" xr:uid="{00000000-0005-0000-0000-00003D200000}"/>
    <cellStyle name="Normal 12 3 2 5 9" xfId="18579" xr:uid="{00000000-0005-0000-0000-00003E200000}"/>
    <cellStyle name="Normal 12 3 2 6" xfId="18581" xr:uid="{00000000-0005-0000-0000-00003F200000}"/>
    <cellStyle name="Normal 12 3 2 6 2" xfId="18584" xr:uid="{00000000-0005-0000-0000-000040200000}"/>
    <cellStyle name="Normal 12 3 2 6 2 2" xfId="16478" xr:uid="{00000000-0005-0000-0000-000041200000}"/>
    <cellStyle name="Normal 12 3 2 6 2 2 2" xfId="17064" xr:uid="{00000000-0005-0000-0000-000042200000}"/>
    <cellStyle name="Normal 12 3 2 6 2 2 2 2" xfId="17068" xr:uid="{00000000-0005-0000-0000-000043200000}"/>
    <cellStyle name="Normal 12 3 2 6 2 2 3" xfId="1543" xr:uid="{00000000-0005-0000-0000-000044200000}"/>
    <cellStyle name="Normal 12 3 2 6 2 3" xfId="18585" xr:uid="{00000000-0005-0000-0000-000045200000}"/>
    <cellStyle name="Normal 12 3 2 6 2 3 2" xfId="17094" xr:uid="{00000000-0005-0000-0000-000046200000}"/>
    <cellStyle name="Normal 12 3 2 6 2 4" xfId="18586" xr:uid="{00000000-0005-0000-0000-000047200000}"/>
    <cellStyle name="Normal 12 3 2 6 2 5" xfId="18587" xr:uid="{00000000-0005-0000-0000-000048200000}"/>
    <cellStyle name="Normal 12 3 2 6 3" xfId="2099" xr:uid="{00000000-0005-0000-0000-000049200000}"/>
    <cellStyle name="Normal 12 3 2 6 3 2" xfId="10250" xr:uid="{00000000-0005-0000-0000-00004A200000}"/>
    <cellStyle name="Normal 12 3 2 6 3 2 2" xfId="17258" xr:uid="{00000000-0005-0000-0000-00004B200000}"/>
    <cellStyle name="Normal 12 3 2 6 3 3" xfId="18588" xr:uid="{00000000-0005-0000-0000-00004C200000}"/>
    <cellStyle name="Normal 12 3 2 6 4" xfId="18589" xr:uid="{00000000-0005-0000-0000-00004D200000}"/>
    <cellStyle name="Normal 12 3 2 6 4 2" xfId="13925" xr:uid="{00000000-0005-0000-0000-00004E200000}"/>
    <cellStyle name="Normal 12 3 2 6 4 2 2" xfId="8570" xr:uid="{00000000-0005-0000-0000-00004F200000}"/>
    <cellStyle name="Normal 12 3 2 6 4 3" xfId="13930" xr:uid="{00000000-0005-0000-0000-000050200000}"/>
    <cellStyle name="Normal 12 3 2 6 5" xfId="15113" xr:uid="{00000000-0005-0000-0000-000051200000}"/>
    <cellStyle name="Normal 12 3 2 6 5 2" xfId="18590" xr:uid="{00000000-0005-0000-0000-000052200000}"/>
    <cellStyle name="Normal 12 3 2 6 6" xfId="18591" xr:uid="{00000000-0005-0000-0000-000053200000}"/>
    <cellStyle name="Normal 12 3 2 6 6 2" xfId="18592" xr:uid="{00000000-0005-0000-0000-000054200000}"/>
    <cellStyle name="Normal 12 3 2 6 7" xfId="18593" xr:uid="{00000000-0005-0000-0000-000055200000}"/>
    <cellStyle name="Normal 12 3 2 6 8" xfId="18597" xr:uid="{00000000-0005-0000-0000-000056200000}"/>
    <cellStyle name="Normal 12 3 2 7" xfId="18599" xr:uid="{00000000-0005-0000-0000-000057200000}"/>
    <cellStyle name="Normal 12 3 2 7 2" xfId="18601" xr:uid="{00000000-0005-0000-0000-000058200000}"/>
    <cellStyle name="Normal 12 3 2 7 2 2" xfId="18602" xr:uid="{00000000-0005-0000-0000-000059200000}"/>
    <cellStyle name="Normal 12 3 2 7 2 2 2" xfId="18604" xr:uid="{00000000-0005-0000-0000-00005A200000}"/>
    <cellStyle name="Normal 12 3 2 7 2 3" xfId="18606" xr:uid="{00000000-0005-0000-0000-00005B200000}"/>
    <cellStyle name="Normal 12 3 2 7 3" xfId="18610" xr:uid="{00000000-0005-0000-0000-00005C200000}"/>
    <cellStyle name="Normal 12 3 2 7 3 2" xfId="18611" xr:uid="{00000000-0005-0000-0000-00005D200000}"/>
    <cellStyle name="Normal 12 3 2 7 4" xfId="18613" xr:uid="{00000000-0005-0000-0000-00005E200000}"/>
    <cellStyle name="Normal 12 3 2 7 5" xfId="12063" xr:uid="{00000000-0005-0000-0000-00005F200000}"/>
    <cellStyle name="Normal 12 3 2 8" xfId="18614" xr:uid="{00000000-0005-0000-0000-000060200000}"/>
    <cellStyle name="Normal 12 3 2 8 2" xfId="18615" xr:uid="{00000000-0005-0000-0000-000061200000}"/>
    <cellStyle name="Normal 12 3 2 8 2 2" xfId="18616" xr:uid="{00000000-0005-0000-0000-000062200000}"/>
    <cellStyle name="Normal 12 3 2 8 3" xfId="18620" xr:uid="{00000000-0005-0000-0000-000063200000}"/>
    <cellStyle name="Normal 12 3 2 9" xfId="17430" xr:uid="{00000000-0005-0000-0000-000064200000}"/>
    <cellStyle name="Normal 12 3 2 9 2" xfId="18621" xr:uid="{00000000-0005-0000-0000-000065200000}"/>
    <cellStyle name="Normal 12 3 2 9 2 2" xfId="18622" xr:uid="{00000000-0005-0000-0000-000066200000}"/>
    <cellStyle name="Normal 12 3 2 9 3" xfId="18626" xr:uid="{00000000-0005-0000-0000-000067200000}"/>
    <cellStyle name="Normal 12 3 3" xfId="18630" xr:uid="{00000000-0005-0000-0000-000068200000}"/>
    <cellStyle name="Normal 12 3 3 2" xfId="18632" xr:uid="{00000000-0005-0000-0000-000069200000}"/>
    <cellStyle name="Normal 12 3 3 2 2" xfId="18633" xr:uid="{00000000-0005-0000-0000-00006A200000}"/>
    <cellStyle name="Normal 12 3 3 2 2 2" xfId="18636" xr:uid="{00000000-0005-0000-0000-00006B200000}"/>
    <cellStyle name="Normal 12 3 3 2 2 2 2" xfId="18637" xr:uid="{00000000-0005-0000-0000-00006C200000}"/>
    <cellStyle name="Normal 12 3 3 2 2 3" xfId="18641" xr:uid="{00000000-0005-0000-0000-00006D200000}"/>
    <cellStyle name="Normal 12 3 3 2 2 4" xfId="18645" xr:uid="{00000000-0005-0000-0000-00006E200000}"/>
    <cellStyle name="Normal 12 3 3 2 3" xfId="2162" xr:uid="{00000000-0005-0000-0000-00006F200000}"/>
    <cellStyle name="Normal 12 3 3 2 3 2" xfId="18646" xr:uid="{00000000-0005-0000-0000-000070200000}"/>
    <cellStyle name="Normal 12 3 3 2 4" xfId="18647" xr:uid="{00000000-0005-0000-0000-000071200000}"/>
    <cellStyle name="Normal 12 3 3 2 4 2" xfId="18650" xr:uid="{00000000-0005-0000-0000-000072200000}"/>
    <cellStyle name="Normal 12 3 3 2 5" xfId="15120" xr:uid="{00000000-0005-0000-0000-000073200000}"/>
    <cellStyle name="Normal 12 3 3 2 6" xfId="15124" xr:uid="{00000000-0005-0000-0000-000074200000}"/>
    <cellStyle name="Normal 12 3 4" xfId="18651" xr:uid="{00000000-0005-0000-0000-000075200000}"/>
    <cellStyle name="Normal 12 3 4 10" xfId="18652" xr:uid="{00000000-0005-0000-0000-000076200000}"/>
    <cellStyle name="Normal 12 3 4 11" xfId="18653" xr:uid="{00000000-0005-0000-0000-000077200000}"/>
    <cellStyle name="Normal 12 3 4 2" xfId="18654" xr:uid="{00000000-0005-0000-0000-000078200000}"/>
    <cellStyle name="Normal 12 3 4 2 2" xfId="18658" xr:uid="{00000000-0005-0000-0000-000079200000}"/>
    <cellStyle name="Normal 12 3 4 2 2 2" xfId="18664" xr:uid="{00000000-0005-0000-0000-00007A200000}"/>
    <cellStyle name="Normal 12 3 4 2 2 2 2" xfId="18667" xr:uid="{00000000-0005-0000-0000-00007B200000}"/>
    <cellStyle name="Normal 12 3 4 2 2 2 2 2" xfId="18670" xr:uid="{00000000-0005-0000-0000-00007C200000}"/>
    <cellStyle name="Normal 12 3 4 2 2 2 2 2 2" xfId="3037" xr:uid="{00000000-0005-0000-0000-00007D200000}"/>
    <cellStyle name="Normal 12 3 4 2 2 2 2 3" xfId="18673" xr:uid="{00000000-0005-0000-0000-00007E200000}"/>
    <cellStyle name="Normal 12 3 4 2 2 2 3" xfId="18676" xr:uid="{00000000-0005-0000-0000-00007F200000}"/>
    <cellStyle name="Normal 12 3 4 2 2 2 3 2" xfId="18677" xr:uid="{00000000-0005-0000-0000-000080200000}"/>
    <cellStyle name="Normal 12 3 4 2 2 2 4" xfId="18679" xr:uid="{00000000-0005-0000-0000-000081200000}"/>
    <cellStyle name="Normal 12 3 4 2 2 2 5" xfId="18680" xr:uid="{00000000-0005-0000-0000-000082200000}"/>
    <cellStyle name="Normal 12 3 4 2 2 3" xfId="18683" xr:uid="{00000000-0005-0000-0000-000083200000}"/>
    <cellStyle name="Normal 12 3 4 2 2 3 2" xfId="18684" xr:uid="{00000000-0005-0000-0000-000084200000}"/>
    <cellStyle name="Normal 12 3 4 2 2 3 2 2" xfId="18685" xr:uid="{00000000-0005-0000-0000-000085200000}"/>
    <cellStyle name="Normal 12 3 4 2 2 3 3" xfId="18686" xr:uid="{00000000-0005-0000-0000-000086200000}"/>
    <cellStyle name="Normal 12 3 4 2 2 4" xfId="18693" xr:uid="{00000000-0005-0000-0000-000087200000}"/>
    <cellStyle name="Normal 12 3 4 2 2 4 2" xfId="18698" xr:uid="{00000000-0005-0000-0000-000088200000}"/>
    <cellStyle name="Normal 12 3 4 2 2 4 2 2" xfId="18700" xr:uid="{00000000-0005-0000-0000-000089200000}"/>
    <cellStyle name="Normal 12 3 4 2 2 4 3" xfId="18702" xr:uid="{00000000-0005-0000-0000-00008A200000}"/>
    <cellStyle name="Normal 12 3 4 2 2 5" xfId="18708" xr:uid="{00000000-0005-0000-0000-00008B200000}"/>
    <cellStyle name="Normal 12 3 4 2 2 5 2" xfId="18713" xr:uid="{00000000-0005-0000-0000-00008C200000}"/>
    <cellStyle name="Normal 12 3 4 2 2 6" xfId="18714" xr:uid="{00000000-0005-0000-0000-00008D200000}"/>
    <cellStyle name="Normal 12 3 4 2 2 6 2" xfId="18719" xr:uid="{00000000-0005-0000-0000-00008E200000}"/>
    <cellStyle name="Normal 12 3 4 2 2 7" xfId="18722" xr:uid="{00000000-0005-0000-0000-00008F200000}"/>
    <cellStyle name="Normal 12 3 4 2 2 8" xfId="18723" xr:uid="{00000000-0005-0000-0000-000090200000}"/>
    <cellStyle name="Normal 12 3 4 2 3" xfId="18724" xr:uid="{00000000-0005-0000-0000-000091200000}"/>
    <cellStyle name="Normal 12 3 4 2 3 2" xfId="18725" xr:uid="{00000000-0005-0000-0000-000092200000}"/>
    <cellStyle name="Normal 12 3 4 2 3 2 2" xfId="18726" xr:uid="{00000000-0005-0000-0000-000093200000}"/>
    <cellStyle name="Normal 12 3 4 2 3 2 2 2" xfId="18731" xr:uid="{00000000-0005-0000-0000-000094200000}"/>
    <cellStyle name="Normal 12 3 4 2 3 2 3" xfId="18732" xr:uid="{00000000-0005-0000-0000-000095200000}"/>
    <cellStyle name="Normal 12 3 4 2 3 3" xfId="18734" xr:uid="{00000000-0005-0000-0000-000096200000}"/>
    <cellStyle name="Normal 12 3 4 2 3 3 2" xfId="18735" xr:uid="{00000000-0005-0000-0000-000097200000}"/>
    <cellStyle name="Normal 12 3 4 2 3 4" xfId="18742" xr:uid="{00000000-0005-0000-0000-000098200000}"/>
    <cellStyle name="Normal 12 3 4 2 3 5" xfId="18743" xr:uid="{00000000-0005-0000-0000-000099200000}"/>
    <cellStyle name="Normal 12 3 4 2 4" xfId="12362" xr:uid="{00000000-0005-0000-0000-00009A200000}"/>
    <cellStyle name="Normal 12 3 4 2 4 2" xfId="18744" xr:uid="{00000000-0005-0000-0000-00009B200000}"/>
    <cellStyle name="Normal 12 3 4 2 4 2 2" xfId="18745" xr:uid="{00000000-0005-0000-0000-00009C200000}"/>
    <cellStyle name="Normal 12 3 4 2 4 3" xfId="18747" xr:uid="{00000000-0005-0000-0000-00009D200000}"/>
    <cellStyle name="Normal 12 3 4 2 5" xfId="15157" xr:uid="{00000000-0005-0000-0000-00009E200000}"/>
    <cellStyle name="Normal 12 3 4 2 5 2" xfId="15159" xr:uid="{00000000-0005-0000-0000-00009F200000}"/>
    <cellStyle name="Normal 12 3 4 2 5 2 2" xfId="18748" xr:uid="{00000000-0005-0000-0000-0000A0200000}"/>
    <cellStyle name="Normal 12 3 4 2 5 3" xfId="18752" xr:uid="{00000000-0005-0000-0000-0000A1200000}"/>
    <cellStyle name="Normal 12 3 4 2 6" xfId="15160" xr:uid="{00000000-0005-0000-0000-0000A2200000}"/>
    <cellStyle name="Normal 12 3 4 2 6 2" xfId="18755" xr:uid="{00000000-0005-0000-0000-0000A3200000}"/>
    <cellStyle name="Normal 12 3 4 2 7" xfId="15165" xr:uid="{00000000-0005-0000-0000-0000A4200000}"/>
    <cellStyle name="Normal 12 3 4 2 7 2" xfId="18756" xr:uid="{00000000-0005-0000-0000-0000A5200000}"/>
    <cellStyle name="Normal 12 3 4 2 8" xfId="18757" xr:uid="{00000000-0005-0000-0000-0000A6200000}"/>
    <cellStyle name="Normal 12 3 4 2 9" xfId="18759" xr:uid="{00000000-0005-0000-0000-0000A7200000}"/>
    <cellStyle name="Normal 12 3 4 3" xfId="18762" xr:uid="{00000000-0005-0000-0000-0000A8200000}"/>
    <cellStyle name="Normal 12 3 4 3 2" xfId="409" xr:uid="{00000000-0005-0000-0000-0000A9200000}"/>
    <cellStyle name="Normal 12 3 4 3 2 2" xfId="18185" xr:uid="{00000000-0005-0000-0000-0000AA200000}"/>
    <cellStyle name="Normal 12 3 4 3 2 2 2" xfId="18765" xr:uid="{00000000-0005-0000-0000-0000AB200000}"/>
    <cellStyle name="Normal 12 3 4 3 2 2 2 2" xfId="5685" xr:uid="{00000000-0005-0000-0000-0000AC200000}"/>
    <cellStyle name="Normal 12 3 4 3 2 2 3" xfId="18767" xr:uid="{00000000-0005-0000-0000-0000AD200000}"/>
    <cellStyle name="Normal 12 3 4 3 2 2 4" xfId="18770" xr:uid="{00000000-0005-0000-0000-0000AE200000}"/>
    <cellStyle name="Normal 12 3 4 3 2 3" xfId="18771" xr:uid="{00000000-0005-0000-0000-0000AF200000}"/>
    <cellStyle name="Normal 12 3 4 3 2 3 2" xfId="18772" xr:uid="{00000000-0005-0000-0000-0000B0200000}"/>
    <cellStyle name="Normal 12 3 4 3 2 4" xfId="18778" xr:uid="{00000000-0005-0000-0000-0000B1200000}"/>
    <cellStyle name="Normal 12 3 4 3 2 4 2" xfId="18779" xr:uid="{00000000-0005-0000-0000-0000B2200000}"/>
    <cellStyle name="Normal 12 3 4 3 2 5" xfId="18782" xr:uid="{00000000-0005-0000-0000-0000B3200000}"/>
    <cellStyle name="Normal 12 3 4 3 2 6" xfId="18786" xr:uid="{00000000-0005-0000-0000-0000B4200000}"/>
    <cellStyle name="Normal 12 3 4 3 3" xfId="18787" xr:uid="{00000000-0005-0000-0000-0000B5200000}"/>
    <cellStyle name="Normal 12 3 4 3 3 2" xfId="18788" xr:uid="{00000000-0005-0000-0000-0000B6200000}"/>
    <cellStyle name="Normal 12 3 4 3 3 2 2" xfId="18789" xr:uid="{00000000-0005-0000-0000-0000B7200000}"/>
    <cellStyle name="Normal 12 3 4 3 3 3" xfId="18791" xr:uid="{00000000-0005-0000-0000-0000B8200000}"/>
    <cellStyle name="Normal 12 3 4 3 3 4" xfId="18792" xr:uid="{00000000-0005-0000-0000-0000B9200000}"/>
    <cellStyle name="Normal 12 3 4 3 4" xfId="18793" xr:uid="{00000000-0005-0000-0000-0000BA200000}"/>
    <cellStyle name="Normal 12 3 4 3 4 2" xfId="18794" xr:uid="{00000000-0005-0000-0000-0000BB200000}"/>
    <cellStyle name="Normal 12 3 4 3 4 2 2" xfId="18795" xr:uid="{00000000-0005-0000-0000-0000BC200000}"/>
    <cellStyle name="Normal 12 3 4 3 4 3" xfId="18798" xr:uid="{00000000-0005-0000-0000-0000BD200000}"/>
    <cellStyle name="Normal 12 3 4 3 5" xfId="12041" xr:uid="{00000000-0005-0000-0000-0000BE200000}"/>
    <cellStyle name="Normal 12 3 4 3 5 2" xfId="18800" xr:uid="{00000000-0005-0000-0000-0000BF200000}"/>
    <cellStyle name="Normal 12 3 4 3 6" xfId="18801" xr:uid="{00000000-0005-0000-0000-0000C0200000}"/>
    <cellStyle name="Normal 12 3 4 3 6 2" xfId="18802" xr:uid="{00000000-0005-0000-0000-0000C1200000}"/>
    <cellStyle name="Normal 12 3 4 3 7" xfId="18803" xr:uid="{00000000-0005-0000-0000-0000C2200000}"/>
    <cellStyle name="Normal 12 3 4 3 8" xfId="18804" xr:uid="{00000000-0005-0000-0000-0000C3200000}"/>
    <cellStyle name="Normal 12 3 4 4" xfId="18806" xr:uid="{00000000-0005-0000-0000-0000C4200000}"/>
    <cellStyle name="Normal 12 3 4 4 2" xfId="18810" xr:uid="{00000000-0005-0000-0000-0000C5200000}"/>
    <cellStyle name="Normal 12 3 4 4 2 2" xfId="5365" xr:uid="{00000000-0005-0000-0000-0000C6200000}"/>
    <cellStyle name="Normal 12 3 4 4 2 2 2" xfId="7454" xr:uid="{00000000-0005-0000-0000-0000C7200000}"/>
    <cellStyle name="Normal 12 3 4 4 2 3" xfId="12200" xr:uid="{00000000-0005-0000-0000-0000C8200000}"/>
    <cellStyle name="Normal 12 3 4 4 2 4" xfId="7899" xr:uid="{00000000-0005-0000-0000-0000C9200000}"/>
    <cellStyle name="Normal 12 3 4 4 3" xfId="12373" xr:uid="{00000000-0005-0000-0000-0000CA200000}"/>
    <cellStyle name="Normal 12 3 4 4 3 2" xfId="5376" xr:uid="{00000000-0005-0000-0000-0000CB200000}"/>
    <cellStyle name="Normal 12 3 4 4 4" xfId="17856" xr:uid="{00000000-0005-0000-0000-0000CC200000}"/>
    <cellStyle name="Normal 12 3 4 4 4 2" xfId="12336" xr:uid="{00000000-0005-0000-0000-0000CD200000}"/>
    <cellStyle name="Normal 12 3 4 4 5" xfId="15169" xr:uid="{00000000-0005-0000-0000-0000CE200000}"/>
    <cellStyle name="Normal 12 3 4 4 6" xfId="17861" xr:uid="{00000000-0005-0000-0000-0000CF200000}"/>
    <cellStyle name="Normal 12 3 4 5" xfId="18811" xr:uid="{00000000-0005-0000-0000-0000D0200000}"/>
    <cellStyle name="Normal 12 3 4 5 2" xfId="1002" xr:uid="{00000000-0005-0000-0000-0000D1200000}"/>
    <cellStyle name="Normal 12 3 4 5 2 2" xfId="12424" xr:uid="{00000000-0005-0000-0000-0000D2200000}"/>
    <cellStyle name="Normal 12 3 4 5 2 2 2" xfId="18812" xr:uid="{00000000-0005-0000-0000-0000D3200000}"/>
    <cellStyle name="Normal 12 3 4 5 2 3" xfId="12426" xr:uid="{00000000-0005-0000-0000-0000D4200000}"/>
    <cellStyle name="Normal 12 3 4 5 2 4" xfId="18814" xr:uid="{00000000-0005-0000-0000-0000D5200000}"/>
    <cellStyle name="Normal 12 3 4 5 3" xfId="12380" xr:uid="{00000000-0005-0000-0000-0000D6200000}"/>
    <cellStyle name="Normal 12 3 4 5 3 2" xfId="17869" xr:uid="{00000000-0005-0000-0000-0000D7200000}"/>
    <cellStyle name="Normal 12 3 4 5 4" xfId="17879" xr:uid="{00000000-0005-0000-0000-0000D8200000}"/>
    <cellStyle name="Normal 12 3 4 5 4 2" xfId="17883" xr:uid="{00000000-0005-0000-0000-0000D9200000}"/>
    <cellStyle name="Normal 12 3 4 5 5" xfId="17888" xr:uid="{00000000-0005-0000-0000-0000DA200000}"/>
    <cellStyle name="Normal 12 3 4 5 6" xfId="17893" xr:uid="{00000000-0005-0000-0000-0000DB200000}"/>
    <cellStyle name="Normal 12 3 4 6" xfId="18815" xr:uid="{00000000-0005-0000-0000-0000DC200000}"/>
    <cellStyle name="Normal 12 3 4 6 2" xfId="18816" xr:uid="{00000000-0005-0000-0000-0000DD200000}"/>
    <cellStyle name="Normal 12 3 4 6 2 2" xfId="18817" xr:uid="{00000000-0005-0000-0000-0000DE200000}"/>
    <cellStyle name="Normal 12 3 4 6 2 2 2" xfId="18818" xr:uid="{00000000-0005-0000-0000-0000DF200000}"/>
    <cellStyle name="Normal 12 3 4 6 2 3" xfId="18819" xr:uid="{00000000-0005-0000-0000-0000E0200000}"/>
    <cellStyle name="Normal 12 3 4 6 2 4" xfId="18820" xr:uid="{00000000-0005-0000-0000-0000E1200000}"/>
    <cellStyle name="Normal 12 3 4 6 3" xfId="17547" xr:uid="{00000000-0005-0000-0000-0000E2200000}"/>
    <cellStyle name="Normal 12 3 4 6 3 2" xfId="17552" xr:uid="{00000000-0005-0000-0000-0000E3200000}"/>
    <cellStyle name="Normal 12 3 4 6 4" xfId="17561" xr:uid="{00000000-0005-0000-0000-0000E4200000}"/>
    <cellStyle name="Normal 12 3 4 6 4 2" xfId="18821" xr:uid="{00000000-0005-0000-0000-0000E5200000}"/>
    <cellStyle name="Normal 12 3 4 6 5" xfId="18822" xr:uid="{00000000-0005-0000-0000-0000E6200000}"/>
    <cellStyle name="Normal 12 3 4 6 6" xfId="18823" xr:uid="{00000000-0005-0000-0000-0000E7200000}"/>
    <cellStyle name="Normal 12 3 4 7" xfId="18824" xr:uid="{00000000-0005-0000-0000-0000E8200000}"/>
    <cellStyle name="Normal 12 3 4 7 2" xfId="18825" xr:uid="{00000000-0005-0000-0000-0000E9200000}"/>
    <cellStyle name="Normal 12 3 4 7 2 2" xfId="18829" xr:uid="{00000000-0005-0000-0000-0000EA200000}"/>
    <cellStyle name="Normal 12 3 4 7 3" xfId="17578" xr:uid="{00000000-0005-0000-0000-0000EB200000}"/>
    <cellStyle name="Normal 12 3 4 7 4" xfId="17590" xr:uid="{00000000-0005-0000-0000-0000EC200000}"/>
    <cellStyle name="Normal 12 3 4 8" xfId="18830" xr:uid="{00000000-0005-0000-0000-0000ED200000}"/>
    <cellStyle name="Normal 12 3 4 8 2" xfId="18831" xr:uid="{00000000-0005-0000-0000-0000EE200000}"/>
    <cellStyle name="Normal 12 3 4 9" xfId="18832" xr:uid="{00000000-0005-0000-0000-0000EF200000}"/>
    <cellStyle name="Normal 12 3 4 9 2" xfId="18833" xr:uid="{00000000-0005-0000-0000-0000F0200000}"/>
    <cellStyle name="Normal 12 3 5" xfId="18834" xr:uid="{00000000-0005-0000-0000-0000F1200000}"/>
    <cellStyle name="Normal 12 3 5 2" xfId="18838" xr:uid="{00000000-0005-0000-0000-0000F2200000}"/>
    <cellStyle name="Normal 12 3 5 2 2" xfId="18842" xr:uid="{00000000-0005-0000-0000-0000F3200000}"/>
    <cellStyle name="Normal 12 3 5 2 2 2" xfId="18846" xr:uid="{00000000-0005-0000-0000-0000F4200000}"/>
    <cellStyle name="Normal 12 3 5 2 2 2 2" xfId="6070" xr:uid="{00000000-0005-0000-0000-0000F5200000}"/>
    <cellStyle name="Normal 12 3 5 2 2 2 2 2" xfId="6480" xr:uid="{00000000-0005-0000-0000-0000F6200000}"/>
    <cellStyle name="Normal 12 3 5 2 2 2 3" xfId="6490" xr:uid="{00000000-0005-0000-0000-0000F7200000}"/>
    <cellStyle name="Normal 12 3 5 2 2 3" xfId="18855" xr:uid="{00000000-0005-0000-0000-0000F8200000}"/>
    <cellStyle name="Normal 12 3 5 2 2 3 2" xfId="7710" xr:uid="{00000000-0005-0000-0000-0000F9200000}"/>
    <cellStyle name="Normal 12 3 5 2 2 4" xfId="18860" xr:uid="{00000000-0005-0000-0000-0000FA200000}"/>
    <cellStyle name="Normal 12 3 5 2 2 5" xfId="18863" xr:uid="{00000000-0005-0000-0000-0000FB200000}"/>
    <cellStyle name="Normal 12 3 5 2 3" xfId="18868" xr:uid="{00000000-0005-0000-0000-0000FC200000}"/>
    <cellStyle name="Normal 12 3 5 2 3 2" xfId="18872" xr:uid="{00000000-0005-0000-0000-0000FD200000}"/>
    <cellStyle name="Normal 12 3 5 2 3 2 2" xfId="18877" xr:uid="{00000000-0005-0000-0000-0000FE200000}"/>
    <cellStyle name="Normal 12 3 5 2 3 3" xfId="18882" xr:uid="{00000000-0005-0000-0000-0000FF200000}"/>
    <cellStyle name="Normal 12 3 5 2 4" xfId="18883" xr:uid="{00000000-0005-0000-0000-000000210000}"/>
    <cellStyle name="Normal 12 3 5 2 4 2" xfId="18892" xr:uid="{00000000-0005-0000-0000-000001210000}"/>
    <cellStyle name="Normal 12 3 5 2 4 2 2" xfId="18894" xr:uid="{00000000-0005-0000-0000-000002210000}"/>
    <cellStyle name="Normal 12 3 5 2 4 3" xfId="18899" xr:uid="{00000000-0005-0000-0000-000003210000}"/>
    <cellStyle name="Normal 12 3 5 2 5" xfId="15176" xr:uid="{00000000-0005-0000-0000-000004210000}"/>
    <cellStyle name="Normal 12 3 5 2 5 2" xfId="18906" xr:uid="{00000000-0005-0000-0000-000005210000}"/>
    <cellStyle name="Normal 12 3 5 2 6" xfId="3826" xr:uid="{00000000-0005-0000-0000-000006210000}"/>
    <cellStyle name="Normal 12 3 5 2 6 2" xfId="18911" xr:uid="{00000000-0005-0000-0000-000007210000}"/>
    <cellStyle name="Normal 12 3 5 2 7" xfId="18917" xr:uid="{00000000-0005-0000-0000-000008210000}"/>
    <cellStyle name="Normal 12 3 5 2 8" xfId="18919" xr:uid="{00000000-0005-0000-0000-000009210000}"/>
    <cellStyle name="Normal 12 3 5 3" xfId="18924" xr:uid="{00000000-0005-0000-0000-00000A210000}"/>
    <cellStyle name="Normal 12 3 5 3 2" xfId="18928" xr:uid="{00000000-0005-0000-0000-00000B210000}"/>
    <cellStyle name="Normal 12 3 5 3 2 2" xfId="18933" xr:uid="{00000000-0005-0000-0000-00000C210000}"/>
    <cellStyle name="Normal 12 3 5 3 2 2 2" xfId="18939" xr:uid="{00000000-0005-0000-0000-00000D210000}"/>
    <cellStyle name="Normal 12 3 5 3 2 3" xfId="18944" xr:uid="{00000000-0005-0000-0000-00000E210000}"/>
    <cellStyle name="Normal 12 3 5 3 3" xfId="18947" xr:uid="{00000000-0005-0000-0000-00000F210000}"/>
    <cellStyle name="Normal 12 3 5 3 3 2" xfId="18952" xr:uid="{00000000-0005-0000-0000-000010210000}"/>
    <cellStyle name="Normal 12 3 5 3 4" xfId="18953" xr:uid="{00000000-0005-0000-0000-000011210000}"/>
    <cellStyle name="Normal 12 3 5 3 5" xfId="9249" xr:uid="{00000000-0005-0000-0000-000012210000}"/>
    <cellStyle name="Normal 12 3 5 4" xfId="18958" xr:uid="{00000000-0005-0000-0000-000013210000}"/>
    <cellStyle name="Normal 12 3 5 4 2" xfId="18962" xr:uid="{00000000-0005-0000-0000-000014210000}"/>
    <cellStyle name="Normal 12 3 5 4 2 2" xfId="18967" xr:uid="{00000000-0005-0000-0000-000015210000}"/>
    <cellStyle name="Normal 12 3 5 4 3" xfId="16060" xr:uid="{00000000-0005-0000-0000-000016210000}"/>
    <cellStyle name="Normal 12 3 5 5" xfId="18969" xr:uid="{00000000-0005-0000-0000-000017210000}"/>
    <cellStyle name="Normal 12 3 5 5 2" xfId="18972" xr:uid="{00000000-0005-0000-0000-000018210000}"/>
    <cellStyle name="Normal 12 3 5 5 2 2" xfId="18977" xr:uid="{00000000-0005-0000-0000-000019210000}"/>
    <cellStyle name="Normal 12 3 5 5 3" xfId="16075" xr:uid="{00000000-0005-0000-0000-00001A210000}"/>
    <cellStyle name="Normal 12 3 5 6" xfId="18979" xr:uid="{00000000-0005-0000-0000-00001B210000}"/>
    <cellStyle name="Normal 12 3 5 6 2" xfId="18983" xr:uid="{00000000-0005-0000-0000-00001C210000}"/>
    <cellStyle name="Normal 12 3 5 7" xfId="18985" xr:uid="{00000000-0005-0000-0000-00001D210000}"/>
    <cellStyle name="Normal 12 3 5 7 2" xfId="18988" xr:uid="{00000000-0005-0000-0000-00001E210000}"/>
    <cellStyle name="Normal 12 3 5 8" xfId="18990" xr:uid="{00000000-0005-0000-0000-00001F210000}"/>
    <cellStyle name="Normal 12 3 5 9" xfId="18992" xr:uid="{00000000-0005-0000-0000-000020210000}"/>
    <cellStyle name="Normal 12 3 6" xfId="18993" xr:uid="{00000000-0005-0000-0000-000021210000}"/>
    <cellStyle name="Normal 12 3 6 2" xfId="18995" xr:uid="{00000000-0005-0000-0000-000022210000}"/>
    <cellStyle name="Normal 12 3 6 2 2" xfId="1947" xr:uid="{00000000-0005-0000-0000-000023210000}"/>
    <cellStyle name="Normal 12 3 6 2 2 2" xfId="18999" xr:uid="{00000000-0005-0000-0000-000024210000}"/>
    <cellStyle name="Normal 12 3 6 2 2 2 2" xfId="3850" xr:uid="{00000000-0005-0000-0000-000025210000}"/>
    <cellStyle name="Normal 12 3 6 2 2 2 2 2" xfId="3864" xr:uid="{00000000-0005-0000-0000-000026210000}"/>
    <cellStyle name="Normal 12 3 6 2 2 2 3" xfId="3883" xr:uid="{00000000-0005-0000-0000-000027210000}"/>
    <cellStyle name="Normal 12 3 6 2 2 3" xfId="14142" xr:uid="{00000000-0005-0000-0000-000028210000}"/>
    <cellStyle name="Normal 12 3 6 2 2 3 2" xfId="19004" xr:uid="{00000000-0005-0000-0000-000029210000}"/>
    <cellStyle name="Normal 12 3 6 2 2 4" xfId="740" xr:uid="{00000000-0005-0000-0000-00002A210000}"/>
    <cellStyle name="Normal 12 3 6 2 2 5" xfId="444" xr:uid="{00000000-0005-0000-0000-00002B210000}"/>
    <cellStyle name="Normal 12 3 6 2 3" xfId="19006" xr:uid="{00000000-0005-0000-0000-00002C210000}"/>
    <cellStyle name="Normal 12 3 6 2 3 2" xfId="19010" xr:uid="{00000000-0005-0000-0000-00002D210000}"/>
    <cellStyle name="Normal 12 3 6 2 3 2 2" xfId="19015" xr:uid="{00000000-0005-0000-0000-00002E210000}"/>
    <cellStyle name="Normal 12 3 6 2 3 3" xfId="14149" xr:uid="{00000000-0005-0000-0000-00002F210000}"/>
    <cellStyle name="Normal 12 3 6 2 4" xfId="19016" xr:uid="{00000000-0005-0000-0000-000030210000}"/>
    <cellStyle name="Normal 12 3 6 2 4 2" xfId="19024" xr:uid="{00000000-0005-0000-0000-000031210000}"/>
    <cellStyle name="Normal 12 3 6 2 4 2 2" xfId="19029" xr:uid="{00000000-0005-0000-0000-000032210000}"/>
    <cellStyle name="Normal 12 3 6 2 4 3" xfId="19031" xr:uid="{00000000-0005-0000-0000-000033210000}"/>
    <cellStyle name="Normal 12 3 6 2 5" xfId="19035" xr:uid="{00000000-0005-0000-0000-000034210000}"/>
    <cellStyle name="Normal 12 3 6 2 5 2" xfId="19043" xr:uid="{00000000-0005-0000-0000-000035210000}"/>
    <cellStyle name="Normal 12 3 6 2 6" xfId="5236" xr:uid="{00000000-0005-0000-0000-000036210000}"/>
    <cellStyle name="Normal 12 3 6 2 6 2" xfId="7487" xr:uid="{00000000-0005-0000-0000-000037210000}"/>
    <cellStyle name="Normal 12 3 6 2 7" xfId="19046" xr:uid="{00000000-0005-0000-0000-000038210000}"/>
    <cellStyle name="Normal 12 3 6 2 8" xfId="19048" xr:uid="{00000000-0005-0000-0000-000039210000}"/>
    <cellStyle name="Normal 12 3 6 3" xfId="19051" xr:uid="{00000000-0005-0000-0000-00003A210000}"/>
    <cellStyle name="Normal 12 3 6 3 2" xfId="19053" xr:uid="{00000000-0005-0000-0000-00003B210000}"/>
    <cellStyle name="Normal 12 3 6 3 2 2" xfId="19058" xr:uid="{00000000-0005-0000-0000-00003C210000}"/>
    <cellStyle name="Normal 12 3 6 3 2 2 2" xfId="19065" xr:uid="{00000000-0005-0000-0000-00003D210000}"/>
    <cellStyle name="Normal 12 3 6 3 2 3" xfId="19070" xr:uid="{00000000-0005-0000-0000-00003E210000}"/>
    <cellStyle name="Normal 12 3 6 3 3" xfId="19072" xr:uid="{00000000-0005-0000-0000-00003F210000}"/>
    <cellStyle name="Normal 12 3 6 3 3 2" xfId="19076" xr:uid="{00000000-0005-0000-0000-000040210000}"/>
    <cellStyle name="Normal 12 3 6 3 4" xfId="19077" xr:uid="{00000000-0005-0000-0000-000041210000}"/>
    <cellStyle name="Normal 12 3 6 3 5" xfId="19079" xr:uid="{00000000-0005-0000-0000-000042210000}"/>
    <cellStyle name="Normal 12 3 6 4" xfId="19082" xr:uid="{00000000-0005-0000-0000-000043210000}"/>
    <cellStyle name="Normal 12 3 6 4 2" xfId="2962" xr:uid="{00000000-0005-0000-0000-000044210000}"/>
    <cellStyle name="Normal 12 3 6 4 2 2" xfId="9152" xr:uid="{00000000-0005-0000-0000-000045210000}"/>
    <cellStyle name="Normal 12 3 6 4 3" xfId="17910" xr:uid="{00000000-0005-0000-0000-000046210000}"/>
    <cellStyle name="Normal 12 3 6 5" xfId="19084" xr:uid="{00000000-0005-0000-0000-000047210000}"/>
    <cellStyle name="Normal 12 3 6 5 2" xfId="19086" xr:uid="{00000000-0005-0000-0000-000048210000}"/>
    <cellStyle name="Normal 12 3 6 5 2 2" xfId="19090" xr:uid="{00000000-0005-0000-0000-000049210000}"/>
    <cellStyle name="Normal 12 3 6 5 3" xfId="17912" xr:uid="{00000000-0005-0000-0000-00004A210000}"/>
    <cellStyle name="Normal 12 3 6 6" xfId="19092" xr:uid="{00000000-0005-0000-0000-00004B210000}"/>
    <cellStyle name="Normal 12 3 6 6 2" xfId="5951" xr:uid="{00000000-0005-0000-0000-00004C210000}"/>
    <cellStyle name="Normal 12 3 6 7" xfId="19094" xr:uid="{00000000-0005-0000-0000-00004D210000}"/>
    <cellStyle name="Normal 12 3 6 7 2" xfId="19095" xr:uid="{00000000-0005-0000-0000-00004E210000}"/>
    <cellStyle name="Normal 12 3 6 8" xfId="19097" xr:uid="{00000000-0005-0000-0000-00004F210000}"/>
    <cellStyle name="Normal 12 3 6 9" xfId="19099" xr:uid="{00000000-0005-0000-0000-000050210000}"/>
    <cellStyle name="Normal 12 3 7" xfId="13780" xr:uid="{00000000-0005-0000-0000-000051210000}"/>
    <cellStyle name="Normal 12 3 7 2" xfId="13791" xr:uid="{00000000-0005-0000-0000-000052210000}"/>
    <cellStyle name="Normal 12 3 7 2 2" xfId="13800" xr:uid="{00000000-0005-0000-0000-000053210000}"/>
    <cellStyle name="Normal 12 3 7 2 2 2" xfId="13860" xr:uid="{00000000-0005-0000-0000-000054210000}"/>
    <cellStyle name="Normal 12 3 7 2 2 2 2" xfId="13913" xr:uid="{00000000-0005-0000-0000-000055210000}"/>
    <cellStyle name="Normal 12 3 7 2 2 2 2 2" xfId="13922" xr:uid="{00000000-0005-0000-0000-000056210000}"/>
    <cellStyle name="Normal 12 3 7 2 2 2 3" xfId="15180" xr:uid="{00000000-0005-0000-0000-000057210000}"/>
    <cellStyle name="Normal 12 3 7 2 2 3" xfId="16210" xr:uid="{00000000-0005-0000-0000-000058210000}"/>
    <cellStyle name="Normal 12 3 7 2 2 3 2" xfId="16211" xr:uid="{00000000-0005-0000-0000-000059210000}"/>
    <cellStyle name="Normal 12 3 7 2 2 4" xfId="5117" xr:uid="{00000000-0005-0000-0000-00005A210000}"/>
    <cellStyle name="Normal 12 3 7 2 3" xfId="16891" xr:uid="{00000000-0005-0000-0000-00005B210000}"/>
    <cellStyle name="Normal 12 3 7 2 3 2" xfId="11699" xr:uid="{00000000-0005-0000-0000-00005C210000}"/>
    <cellStyle name="Normal 12 3 7 2 3 2 2" xfId="11610" xr:uid="{00000000-0005-0000-0000-00005D210000}"/>
    <cellStyle name="Normal 12 3 7 2 3 3" xfId="11700" xr:uid="{00000000-0005-0000-0000-00005E210000}"/>
    <cellStyle name="Normal 12 3 7 2 4" xfId="10336" xr:uid="{00000000-0005-0000-0000-00005F210000}"/>
    <cellStyle name="Normal 12 3 7 2 4 2" xfId="11743" xr:uid="{00000000-0005-0000-0000-000060210000}"/>
    <cellStyle name="Normal 12 3 7 2 4 2 2" xfId="11752" xr:uid="{00000000-0005-0000-0000-000061210000}"/>
    <cellStyle name="Normal 12 3 7 2 4 3" xfId="11759" xr:uid="{00000000-0005-0000-0000-000062210000}"/>
    <cellStyle name="Normal 12 3 7 2 5" xfId="19103" xr:uid="{00000000-0005-0000-0000-000063210000}"/>
    <cellStyle name="Normal 12 3 7 2 5 2" xfId="19113" xr:uid="{00000000-0005-0000-0000-000064210000}"/>
    <cellStyle name="Normal 12 3 7 2 6" xfId="6470" xr:uid="{00000000-0005-0000-0000-000065210000}"/>
    <cellStyle name="Normal 12 3 7 2 6 2" xfId="19116" xr:uid="{00000000-0005-0000-0000-000066210000}"/>
    <cellStyle name="Normal 12 3 7 2 7" xfId="19120" xr:uid="{00000000-0005-0000-0000-000067210000}"/>
    <cellStyle name="Normal 12 3 7 2 8" xfId="19124" xr:uid="{00000000-0005-0000-0000-000068210000}"/>
    <cellStyle name="Normal 12 3 7 3" xfId="16101" xr:uid="{00000000-0005-0000-0000-000069210000}"/>
    <cellStyle name="Normal 12 3 7 3 2" xfId="16111" xr:uid="{00000000-0005-0000-0000-00006A210000}"/>
    <cellStyle name="Normal 12 3 7 3 2 2" xfId="17506" xr:uid="{00000000-0005-0000-0000-00006B210000}"/>
    <cellStyle name="Normal 12 3 7 3 2 2 2" xfId="1788" xr:uid="{00000000-0005-0000-0000-00006C210000}"/>
    <cellStyle name="Normal 12 3 7 3 2 3" xfId="17652" xr:uid="{00000000-0005-0000-0000-00006D210000}"/>
    <cellStyle name="Normal 12 3 7 3 3" xfId="17854" xr:uid="{00000000-0005-0000-0000-00006E210000}"/>
    <cellStyle name="Normal 12 3 7 3 3 2" xfId="11825" xr:uid="{00000000-0005-0000-0000-00006F210000}"/>
    <cellStyle name="Normal 12 3 7 3 4" xfId="9977" xr:uid="{00000000-0005-0000-0000-000070210000}"/>
    <cellStyle name="Normal 12 3 7 4" xfId="16117" xr:uid="{00000000-0005-0000-0000-000071210000}"/>
    <cellStyle name="Normal 12 3 7 4 2" xfId="19131" xr:uid="{00000000-0005-0000-0000-000072210000}"/>
    <cellStyle name="Normal 12 3 7 4 2 2" xfId="19135" xr:uid="{00000000-0005-0000-0000-000073210000}"/>
    <cellStyle name="Normal 12 3 7 4 3" xfId="17927" xr:uid="{00000000-0005-0000-0000-000074210000}"/>
    <cellStyle name="Normal 12 3 7 5" xfId="19143" xr:uid="{00000000-0005-0000-0000-000075210000}"/>
    <cellStyle name="Normal 12 3 7 5 2" xfId="19151" xr:uid="{00000000-0005-0000-0000-000076210000}"/>
    <cellStyle name="Normal 12 3 7 5 2 2" xfId="19154" xr:uid="{00000000-0005-0000-0000-000077210000}"/>
    <cellStyle name="Normal 12 3 7 5 3" xfId="17929" xr:uid="{00000000-0005-0000-0000-000078210000}"/>
    <cellStyle name="Normal 12 3 7 6" xfId="3742" xr:uid="{00000000-0005-0000-0000-000079210000}"/>
    <cellStyle name="Normal 12 3 7 6 2" xfId="3758" xr:uid="{00000000-0005-0000-0000-00007A210000}"/>
    <cellStyle name="Normal 12 3 7 7" xfId="3766" xr:uid="{00000000-0005-0000-0000-00007B210000}"/>
    <cellStyle name="Normal 12 3 7 7 2" xfId="19162" xr:uid="{00000000-0005-0000-0000-00007C210000}"/>
    <cellStyle name="Normal 12 3 7 8" xfId="3785" xr:uid="{00000000-0005-0000-0000-00007D210000}"/>
    <cellStyle name="Normal 12 3 7 9" xfId="19163" xr:uid="{00000000-0005-0000-0000-00007E210000}"/>
    <cellStyle name="Normal 12 3 8" xfId="18110" xr:uid="{00000000-0005-0000-0000-00007F210000}"/>
    <cellStyle name="Normal 12 3 8 2" xfId="18117" xr:uid="{00000000-0005-0000-0000-000080210000}"/>
    <cellStyle name="Normal 12 3 8 2 2" xfId="18124" xr:uid="{00000000-0005-0000-0000-000081210000}"/>
    <cellStyle name="Normal 12 3 8 2 2 2" xfId="7321" xr:uid="{00000000-0005-0000-0000-000082210000}"/>
    <cellStyle name="Normal 12 3 8 2 2 2 2" xfId="11317" xr:uid="{00000000-0005-0000-0000-000083210000}"/>
    <cellStyle name="Normal 12 3 8 2 2 3" xfId="11676" xr:uid="{00000000-0005-0000-0000-000084210000}"/>
    <cellStyle name="Normal 12 3 8 2 3" xfId="5348" xr:uid="{00000000-0005-0000-0000-000085210000}"/>
    <cellStyle name="Normal 12 3 8 2 3 2" xfId="19167" xr:uid="{00000000-0005-0000-0000-000086210000}"/>
    <cellStyle name="Normal 12 3 8 2 4" xfId="19168" xr:uid="{00000000-0005-0000-0000-000087210000}"/>
    <cellStyle name="Normal 12 3 8 2 5" xfId="19175" xr:uid="{00000000-0005-0000-0000-000088210000}"/>
    <cellStyle name="Normal 12 3 8 3" xfId="16129" xr:uid="{00000000-0005-0000-0000-000089210000}"/>
    <cellStyle name="Normal 12 3 8 3 2" xfId="51" xr:uid="{00000000-0005-0000-0000-00008A210000}"/>
    <cellStyle name="Normal 12 3 8 3 2 2" xfId="19182" xr:uid="{00000000-0005-0000-0000-00008B210000}"/>
    <cellStyle name="Normal 12 3 8 3 3" xfId="19184" xr:uid="{00000000-0005-0000-0000-00008C210000}"/>
    <cellStyle name="Normal 12 3 8 4" xfId="16136" xr:uid="{00000000-0005-0000-0000-00008D210000}"/>
    <cellStyle name="Normal 12 3 8 4 2" xfId="19186" xr:uid="{00000000-0005-0000-0000-00008E210000}"/>
    <cellStyle name="Normal 12 3 8 4 2 2" xfId="19187" xr:uid="{00000000-0005-0000-0000-00008F210000}"/>
    <cellStyle name="Normal 12 3 8 4 3" xfId="17943" xr:uid="{00000000-0005-0000-0000-000090210000}"/>
    <cellStyle name="Normal 12 3 8 5" xfId="19196" xr:uid="{00000000-0005-0000-0000-000091210000}"/>
    <cellStyle name="Normal 12 3 8 5 2" xfId="19200" xr:uid="{00000000-0005-0000-0000-000092210000}"/>
    <cellStyle name="Normal 12 3 8 6" xfId="2344" xr:uid="{00000000-0005-0000-0000-000093210000}"/>
    <cellStyle name="Normal 12 3 8 6 2" xfId="19203" xr:uid="{00000000-0005-0000-0000-000094210000}"/>
    <cellStyle name="Normal 12 3 8 7" xfId="19206" xr:uid="{00000000-0005-0000-0000-000095210000}"/>
    <cellStyle name="Normal 12 3 8 8" xfId="19207" xr:uid="{00000000-0005-0000-0000-000096210000}"/>
    <cellStyle name="Normal 12 3 9" xfId="13403" xr:uid="{00000000-0005-0000-0000-000097210000}"/>
    <cellStyle name="Normal 12 3 9 2" xfId="13419" xr:uid="{00000000-0005-0000-0000-000098210000}"/>
    <cellStyle name="Normal 12 3 9 2 2" xfId="13433" xr:uid="{00000000-0005-0000-0000-000099210000}"/>
    <cellStyle name="Normal 12 3 9 2 2 2" xfId="18761" xr:uid="{00000000-0005-0000-0000-00009A210000}"/>
    <cellStyle name="Normal 12 3 9 2 3" xfId="19212" xr:uid="{00000000-0005-0000-0000-00009B210000}"/>
    <cellStyle name="Normal 12 3 9 2 4" xfId="19215" xr:uid="{00000000-0005-0000-0000-00009C210000}"/>
    <cellStyle name="Normal 12 3 9 3" xfId="13444" xr:uid="{00000000-0005-0000-0000-00009D210000}"/>
    <cellStyle name="Normal 12 3 9 3 2" xfId="19217" xr:uid="{00000000-0005-0000-0000-00009E210000}"/>
    <cellStyle name="Normal 12 3 9 4" xfId="19219" xr:uid="{00000000-0005-0000-0000-00009F210000}"/>
    <cellStyle name="Normal 12 3 9 4 2" xfId="19221" xr:uid="{00000000-0005-0000-0000-0000A0210000}"/>
    <cellStyle name="Normal 12 3 9 5" xfId="14412" xr:uid="{00000000-0005-0000-0000-0000A1210000}"/>
    <cellStyle name="Normal 12 3 9 6" xfId="2689" xr:uid="{00000000-0005-0000-0000-0000A2210000}"/>
    <cellStyle name="Normal 12 4" xfId="19224" xr:uid="{00000000-0005-0000-0000-0000A3210000}"/>
    <cellStyle name="Normal 12 4 2" xfId="19228" xr:uid="{00000000-0005-0000-0000-0000A4210000}"/>
    <cellStyle name="Normal 12 5" xfId="19230" xr:uid="{00000000-0005-0000-0000-0000A5210000}"/>
    <cellStyle name="Normal 120" xfId="15014" xr:uid="{00000000-0005-0000-0000-0000A6210000}"/>
    <cellStyle name="Normal 120 2" xfId="18265" xr:uid="{00000000-0005-0000-0000-0000A7210000}"/>
    <cellStyle name="Normal 121" xfId="18278" xr:uid="{00000000-0005-0000-0000-0000A8210000}"/>
    <cellStyle name="Normal 121 2" xfId="18285" xr:uid="{00000000-0005-0000-0000-0000A9210000}"/>
    <cellStyle name="Normal 122" xfId="18296" xr:uid="{00000000-0005-0000-0000-0000AA210000}"/>
    <cellStyle name="Normal 122 2" xfId="18301" xr:uid="{00000000-0005-0000-0000-0000AB210000}"/>
    <cellStyle name="Normal 123" xfId="18306" xr:uid="{00000000-0005-0000-0000-0000AC210000}"/>
    <cellStyle name="Normal 123 2" xfId="18309" xr:uid="{00000000-0005-0000-0000-0000AD210000}"/>
    <cellStyle name="Normal 124" xfId="18316" xr:uid="{00000000-0005-0000-0000-0000AE210000}"/>
    <cellStyle name="Normal 124 2" xfId="1085" xr:uid="{00000000-0005-0000-0000-0000AF210000}"/>
    <cellStyle name="Normal 125" xfId="19235" xr:uid="{00000000-0005-0000-0000-0000B0210000}"/>
    <cellStyle name="Normal 125 2" xfId="14963" xr:uid="{00000000-0005-0000-0000-0000B1210000}"/>
    <cellStyle name="Normal 126" xfId="15641" xr:uid="{00000000-0005-0000-0000-0000B2210000}"/>
    <cellStyle name="Normal 126 2" xfId="15549" xr:uid="{00000000-0005-0000-0000-0000B3210000}"/>
    <cellStyle name="Normal 127" xfId="2313" xr:uid="{00000000-0005-0000-0000-0000B4210000}"/>
    <cellStyle name="Normal 127 2" xfId="2347" xr:uid="{00000000-0005-0000-0000-0000B5210000}"/>
    <cellStyle name="Normal 128" xfId="2659" xr:uid="{00000000-0005-0000-0000-0000B6210000}"/>
    <cellStyle name="Normal 128 2" xfId="2696" xr:uid="{00000000-0005-0000-0000-0000B7210000}"/>
    <cellStyle name="Normal 129" xfId="2782" xr:uid="{00000000-0005-0000-0000-0000B8210000}"/>
    <cellStyle name="Normal 129 2" xfId="11714" xr:uid="{00000000-0005-0000-0000-0000B9210000}"/>
    <cellStyle name="Normal 13" xfId="19236" xr:uid="{00000000-0005-0000-0000-0000BA210000}"/>
    <cellStyle name="Normal 13 2" xfId="15335" xr:uid="{00000000-0005-0000-0000-0000BB210000}"/>
    <cellStyle name="Normal 13 2 2" xfId="11194" xr:uid="{00000000-0005-0000-0000-0000BC210000}"/>
    <cellStyle name="Normal 13 3" xfId="15353" xr:uid="{00000000-0005-0000-0000-0000BD210000}"/>
    <cellStyle name="Normal 13 3 2" xfId="5397" xr:uid="{00000000-0005-0000-0000-0000BE210000}"/>
    <cellStyle name="Normal 13 4" xfId="15362" xr:uid="{00000000-0005-0000-0000-0000BF210000}"/>
    <cellStyle name="Normal 13 5" xfId="15365" xr:uid="{00000000-0005-0000-0000-0000C0210000}"/>
    <cellStyle name="Normal 130" xfId="19234" xr:uid="{00000000-0005-0000-0000-0000C1210000}"/>
    <cellStyle name="Normal 130 2" xfId="14962" xr:uid="{00000000-0005-0000-0000-0000C2210000}"/>
    <cellStyle name="Normal 131" xfId="15640" xr:uid="{00000000-0005-0000-0000-0000C3210000}"/>
    <cellStyle name="Normal 132" xfId="2312" xr:uid="{00000000-0005-0000-0000-0000C4210000}"/>
    <cellStyle name="Normal 132 2" xfId="2346" xr:uid="{00000000-0005-0000-0000-0000C5210000}"/>
    <cellStyle name="Normal 133" xfId="2658" xr:uid="{00000000-0005-0000-0000-0000C6210000}"/>
    <cellStyle name="Normal 134" xfId="2781" xr:uid="{00000000-0005-0000-0000-0000C7210000}"/>
    <cellStyle name="Normal 134 2" xfId="11713" xr:uid="{00000000-0005-0000-0000-0000C8210000}"/>
    <cellStyle name="Normal 135" xfId="19239" xr:uid="{00000000-0005-0000-0000-0000C9210000}"/>
    <cellStyle name="Normal 136" xfId="19241" xr:uid="{00000000-0005-0000-0000-0000CA210000}"/>
    <cellStyle name="Normal 137" xfId="19243" xr:uid="{00000000-0005-0000-0000-0000CB210000}"/>
    <cellStyle name="Normal 138" xfId="2871" xr:uid="{00000000-0005-0000-0000-0000CC210000}"/>
    <cellStyle name="Normal 139" xfId="991" xr:uid="{00000000-0005-0000-0000-0000CD210000}"/>
    <cellStyle name="Normal 14" xfId="19246" xr:uid="{00000000-0005-0000-0000-0000CE210000}"/>
    <cellStyle name="Normal 14 2" xfId="15389" xr:uid="{00000000-0005-0000-0000-0000CF210000}"/>
    <cellStyle name="Normal 14 2 2" xfId="15401" xr:uid="{00000000-0005-0000-0000-0000D0210000}"/>
    <cellStyle name="Normal 14 3" xfId="15408" xr:uid="{00000000-0005-0000-0000-0000D1210000}"/>
    <cellStyle name="Normal 14 3 2" xfId="4336" xr:uid="{00000000-0005-0000-0000-0000D2210000}"/>
    <cellStyle name="Normal 14 4" xfId="15411" xr:uid="{00000000-0005-0000-0000-0000D3210000}"/>
    <cellStyle name="Normal 14 5" xfId="19249" xr:uid="{00000000-0005-0000-0000-0000D4210000}"/>
    <cellStyle name="Normal 140" xfId="19238" xr:uid="{00000000-0005-0000-0000-0000D5210000}"/>
    <cellStyle name="Normal 141" xfId="6" xr:uid="{00000000-0005-0000-0000-0000D6210000}"/>
    <cellStyle name="Normal 142" xfId="48898" xr:uid="{00000000-0005-0000-0000-0000D7210000}"/>
    <cellStyle name="Normal 15" xfId="19251" xr:uid="{00000000-0005-0000-0000-0000D8210000}"/>
    <cellStyle name="Normal 15 2" xfId="15434" xr:uid="{00000000-0005-0000-0000-0000D9210000}"/>
    <cellStyle name="Normal 15 2 2" xfId="18447" xr:uid="{00000000-0005-0000-0000-0000DA210000}"/>
    <cellStyle name="Normal 15 3" xfId="19256" xr:uid="{00000000-0005-0000-0000-0000DB210000}"/>
    <cellStyle name="Normal 15 3 2" xfId="9662" xr:uid="{00000000-0005-0000-0000-0000DC210000}"/>
    <cellStyle name="Normal 15 4" xfId="19259" xr:uid="{00000000-0005-0000-0000-0000DD210000}"/>
    <cellStyle name="Normal 15 5" xfId="19262" xr:uid="{00000000-0005-0000-0000-0000DE210000}"/>
    <cellStyle name="Normal 157" xfId="48899" xr:uid="{00000000-0005-0000-0000-0000DF210000}"/>
    <cellStyle name="Normal 16" xfId="19264" xr:uid="{00000000-0005-0000-0000-0000E0210000}"/>
    <cellStyle name="Normal 16 10" xfId="19265" xr:uid="{00000000-0005-0000-0000-0000E1210000}"/>
    <cellStyle name="Normal 16 10 2" xfId="13997" xr:uid="{00000000-0005-0000-0000-0000E2210000}"/>
    <cellStyle name="Normal 16 11" xfId="19266" xr:uid="{00000000-0005-0000-0000-0000E3210000}"/>
    <cellStyle name="Normal 16 12" xfId="19267" xr:uid="{00000000-0005-0000-0000-0000E4210000}"/>
    <cellStyle name="Normal 16 2" xfId="15447" xr:uid="{00000000-0005-0000-0000-0000E5210000}"/>
    <cellStyle name="Normal 16 2 2" xfId="18479" xr:uid="{00000000-0005-0000-0000-0000E6210000}"/>
    <cellStyle name="Normal 16 2 2 2" xfId="19271" xr:uid="{00000000-0005-0000-0000-0000E7210000}"/>
    <cellStyle name="Normal 16 2 3" xfId="14966" xr:uid="{00000000-0005-0000-0000-0000E8210000}"/>
    <cellStyle name="Normal 16 2 3 2" xfId="14970" xr:uid="{00000000-0005-0000-0000-0000E9210000}"/>
    <cellStyle name="Normal 16 2 4" xfId="15028" xr:uid="{00000000-0005-0000-0000-0000EA210000}"/>
    <cellStyle name="Normal 16 2 5" xfId="15039" xr:uid="{00000000-0005-0000-0000-0000EB210000}"/>
    <cellStyle name="Normal 16 3" xfId="19278" xr:uid="{00000000-0005-0000-0000-0000EC210000}"/>
    <cellStyle name="Normal 16 3 2" xfId="19281" xr:uid="{00000000-0005-0000-0000-0000ED210000}"/>
    <cellStyle name="Normal 16 3 2 2" xfId="19283" xr:uid="{00000000-0005-0000-0000-0000EE210000}"/>
    <cellStyle name="Normal 16 3 3" xfId="4453" xr:uid="{00000000-0005-0000-0000-0000EF210000}"/>
    <cellStyle name="Normal 16 3 3 2" xfId="15063" xr:uid="{00000000-0005-0000-0000-0000F0210000}"/>
    <cellStyle name="Normal 16 3 4" xfId="15080" xr:uid="{00000000-0005-0000-0000-0000F1210000}"/>
    <cellStyle name="Normal 16 3 5" xfId="4519" xr:uid="{00000000-0005-0000-0000-0000F2210000}"/>
    <cellStyle name="Normal 16 4" xfId="19288" xr:uid="{00000000-0005-0000-0000-0000F3210000}"/>
    <cellStyle name="Normal 16 4 2" xfId="19290" xr:uid="{00000000-0005-0000-0000-0000F4210000}"/>
    <cellStyle name="Normal 16 4 2 2" xfId="19292" xr:uid="{00000000-0005-0000-0000-0000F5210000}"/>
    <cellStyle name="Normal 16 4 3" xfId="15114" xr:uid="{00000000-0005-0000-0000-0000F6210000}"/>
    <cellStyle name="Normal 16 4 3 2" xfId="15117" xr:uid="{00000000-0005-0000-0000-0000F7210000}"/>
    <cellStyle name="Normal 16 4 4" xfId="15129" xr:uid="{00000000-0005-0000-0000-0000F8210000}"/>
    <cellStyle name="Normal 16 4 5" xfId="15134" xr:uid="{00000000-0005-0000-0000-0000F9210000}"/>
    <cellStyle name="Normal 16 5" xfId="19298" xr:uid="{00000000-0005-0000-0000-0000FA210000}"/>
    <cellStyle name="Normal 16 5 2" xfId="19300" xr:uid="{00000000-0005-0000-0000-0000FB210000}"/>
    <cellStyle name="Normal 16 5 2 2" xfId="19302" xr:uid="{00000000-0005-0000-0000-0000FC210000}"/>
    <cellStyle name="Normal 16 5 3" xfId="15152" xr:uid="{00000000-0005-0000-0000-0000FD210000}"/>
    <cellStyle name="Normal 16 5 3 2" xfId="15154" xr:uid="{00000000-0005-0000-0000-0000FE210000}"/>
    <cellStyle name="Normal 16 5 4" xfId="4624" xr:uid="{00000000-0005-0000-0000-0000FF210000}"/>
    <cellStyle name="Normal 16 5 5" xfId="12042" xr:uid="{00000000-0005-0000-0000-000000220000}"/>
    <cellStyle name="Normal 16 6" xfId="13053" xr:uid="{00000000-0005-0000-0000-000001220000}"/>
    <cellStyle name="Normal 16 6 2" xfId="13055" xr:uid="{00000000-0005-0000-0000-000002220000}"/>
    <cellStyle name="Normal 16 6 2 2" xfId="19306" xr:uid="{00000000-0005-0000-0000-000003220000}"/>
    <cellStyle name="Normal 16 6 3" xfId="4641" xr:uid="{00000000-0005-0000-0000-000004220000}"/>
    <cellStyle name="Normal 16 6 3 2" xfId="15177" xr:uid="{00000000-0005-0000-0000-000005220000}"/>
    <cellStyle name="Normal 16 6 4" xfId="4657" xr:uid="{00000000-0005-0000-0000-000006220000}"/>
    <cellStyle name="Normal 16 6 5" xfId="12049" xr:uid="{00000000-0005-0000-0000-000007220000}"/>
    <cellStyle name="Normal 16 7" xfId="2190" xr:uid="{00000000-0005-0000-0000-000008220000}"/>
    <cellStyle name="Normal 16 7 2" xfId="4085" xr:uid="{00000000-0005-0000-0000-000009220000}"/>
    <cellStyle name="Normal 16 7 2 2" xfId="4094" xr:uid="{00000000-0005-0000-0000-00000A220000}"/>
    <cellStyle name="Normal 16 7 3" xfId="2047" xr:uid="{00000000-0005-0000-0000-00000B220000}"/>
    <cellStyle name="Normal 16 7 3 2" xfId="19038" xr:uid="{00000000-0005-0000-0000-00000C220000}"/>
    <cellStyle name="Normal 16 7 4" xfId="12054" xr:uid="{00000000-0005-0000-0000-00000D220000}"/>
    <cellStyle name="Normal 16 7 5" xfId="19309" xr:uid="{00000000-0005-0000-0000-00000E220000}"/>
    <cellStyle name="Normal 16 8" xfId="4108" xr:uid="{00000000-0005-0000-0000-00000F220000}"/>
    <cellStyle name="Normal 16 8 2" xfId="270" xr:uid="{00000000-0005-0000-0000-000010220000}"/>
    <cellStyle name="Normal 16 8 2 2" xfId="19312" xr:uid="{00000000-0005-0000-0000-000011220000}"/>
    <cellStyle name="Normal 16 8 3" xfId="19317" xr:uid="{00000000-0005-0000-0000-000012220000}"/>
    <cellStyle name="Normal 16 8 3 2" xfId="19106" xr:uid="{00000000-0005-0000-0000-000013220000}"/>
    <cellStyle name="Normal 16 8 4" xfId="35" xr:uid="{00000000-0005-0000-0000-000014220000}"/>
    <cellStyle name="Normal 16 8 5" xfId="19318" xr:uid="{00000000-0005-0000-0000-000015220000}"/>
    <cellStyle name="Normal 16 9" xfId="4116" xr:uid="{00000000-0005-0000-0000-000016220000}"/>
    <cellStyle name="Normal 16 9 2" xfId="3011" xr:uid="{00000000-0005-0000-0000-000017220000}"/>
    <cellStyle name="Normal 16_Copia de CPDE 24-01-12 CATALOGO DE INDICADORES CERT" xfId="19320" xr:uid="{00000000-0005-0000-0000-000018220000}"/>
    <cellStyle name="Normal 17" xfId="19322" xr:uid="{00000000-0005-0000-0000-000019220000}"/>
    <cellStyle name="Normal 17 2" xfId="19329" xr:uid="{00000000-0005-0000-0000-00001A220000}"/>
    <cellStyle name="Normal 17 2 2" xfId="15071" xr:uid="{00000000-0005-0000-0000-00001B220000}"/>
    <cellStyle name="Normal 17 3" xfId="19332" xr:uid="{00000000-0005-0000-0000-00001C220000}"/>
    <cellStyle name="Normal 17 3 2" xfId="19334" xr:uid="{00000000-0005-0000-0000-00001D220000}"/>
    <cellStyle name="Normal 17 4" xfId="19337" xr:uid="{00000000-0005-0000-0000-00001E220000}"/>
    <cellStyle name="Normal 17 5" xfId="476" xr:uid="{00000000-0005-0000-0000-00001F220000}"/>
    <cellStyle name="Normal 18" xfId="19340" xr:uid="{00000000-0005-0000-0000-000020220000}"/>
    <cellStyle name="Normal 18 2" xfId="19345" xr:uid="{00000000-0005-0000-0000-000021220000}"/>
    <cellStyle name="Normal 18 2 2" xfId="19349" xr:uid="{00000000-0005-0000-0000-000022220000}"/>
    <cellStyle name="Normal 18 3" xfId="9702" xr:uid="{00000000-0005-0000-0000-000023220000}"/>
    <cellStyle name="Normal 18 3 2" xfId="19351" xr:uid="{00000000-0005-0000-0000-000024220000}"/>
    <cellStyle name="Normal 18 4" xfId="19353" xr:uid="{00000000-0005-0000-0000-000025220000}"/>
    <cellStyle name="Normal 18 5" xfId="8671" xr:uid="{00000000-0005-0000-0000-000026220000}"/>
    <cellStyle name="Normal 19" xfId="19355" xr:uid="{00000000-0005-0000-0000-000027220000}"/>
    <cellStyle name="Normal 19 2" xfId="19359" xr:uid="{00000000-0005-0000-0000-000028220000}"/>
    <cellStyle name="Normal 19 2 2" xfId="12540" xr:uid="{00000000-0005-0000-0000-000029220000}"/>
    <cellStyle name="Normal 19 3" xfId="19363" xr:uid="{00000000-0005-0000-0000-00002A220000}"/>
    <cellStyle name="Normal 19 3 2" xfId="19367" xr:uid="{00000000-0005-0000-0000-00002B220000}"/>
    <cellStyle name="Normal 19 4" xfId="19371" xr:uid="{00000000-0005-0000-0000-00002C220000}"/>
    <cellStyle name="Normal 19 5" xfId="1205" xr:uid="{00000000-0005-0000-0000-00002D220000}"/>
    <cellStyle name="Normal 2" xfId="1" xr:uid="{00000000-0005-0000-0000-00002E220000}"/>
    <cellStyle name="Normal 2 10" xfId="19374" xr:uid="{00000000-0005-0000-0000-00002F220000}"/>
    <cellStyle name="Normal 2 10 2" xfId="19377" xr:uid="{00000000-0005-0000-0000-000030220000}"/>
    <cellStyle name="Normal 2 10 2 2" xfId="13812" xr:uid="{00000000-0005-0000-0000-000031220000}"/>
    <cellStyle name="Normal 2 10 3" xfId="19382" xr:uid="{00000000-0005-0000-0000-000032220000}"/>
    <cellStyle name="Normal 2 10 3 2" xfId="12834" xr:uid="{00000000-0005-0000-0000-000033220000}"/>
    <cellStyle name="Normal 2 10 4" xfId="19387" xr:uid="{00000000-0005-0000-0000-000034220000}"/>
    <cellStyle name="Normal 2 10 5" xfId="19390" xr:uid="{00000000-0005-0000-0000-000035220000}"/>
    <cellStyle name="Normal 2 11" xfId="19392" xr:uid="{00000000-0005-0000-0000-000036220000}"/>
    <cellStyle name="Normal 2 11 2" xfId="19394" xr:uid="{00000000-0005-0000-0000-000037220000}"/>
    <cellStyle name="Normal 2 11 2 2" xfId="19399" xr:uid="{00000000-0005-0000-0000-000038220000}"/>
    <cellStyle name="Normal 2 11 3" xfId="19402" xr:uid="{00000000-0005-0000-0000-000039220000}"/>
    <cellStyle name="Normal 2 11 3 2" xfId="12911" xr:uid="{00000000-0005-0000-0000-00003A220000}"/>
    <cellStyle name="Normal 2 11 4" xfId="2292" xr:uid="{00000000-0005-0000-0000-00003B220000}"/>
    <cellStyle name="Normal 2 11 5" xfId="2857" xr:uid="{00000000-0005-0000-0000-00003C220000}"/>
    <cellStyle name="Normal 2 12" xfId="19404" xr:uid="{00000000-0005-0000-0000-00003D220000}"/>
    <cellStyle name="Normal 2 12 2" xfId="128" xr:uid="{00000000-0005-0000-0000-00003E220000}"/>
    <cellStyle name="Normal 2 12 2 2" xfId="12688" xr:uid="{00000000-0005-0000-0000-00003F220000}"/>
    <cellStyle name="Normal 2 12 3" xfId="19411" xr:uid="{00000000-0005-0000-0000-000040220000}"/>
    <cellStyle name="Normal 2 12 3 2" xfId="12918" xr:uid="{00000000-0005-0000-0000-000041220000}"/>
    <cellStyle name="Normal 2 12 4" xfId="1508" xr:uid="{00000000-0005-0000-0000-000042220000}"/>
    <cellStyle name="Normal 2 12 5" xfId="320" xr:uid="{00000000-0005-0000-0000-000043220000}"/>
    <cellStyle name="Normal 2 13" xfId="19413" xr:uid="{00000000-0005-0000-0000-000044220000}"/>
    <cellStyle name="Normal 2 13 2" xfId="2436" xr:uid="{00000000-0005-0000-0000-000045220000}"/>
    <cellStyle name="Normal 2 13 2 2" xfId="3687" xr:uid="{00000000-0005-0000-0000-000046220000}"/>
    <cellStyle name="Normal 2 13 3" xfId="1849" xr:uid="{00000000-0005-0000-0000-000047220000}"/>
    <cellStyle name="Normal 2 13 3 2" xfId="1865" xr:uid="{00000000-0005-0000-0000-000048220000}"/>
    <cellStyle name="Normal 2 13 4" xfId="2114" xr:uid="{00000000-0005-0000-0000-000049220000}"/>
    <cellStyle name="Normal 2 13 5" xfId="2198" xr:uid="{00000000-0005-0000-0000-00004A220000}"/>
    <cellStyle name="Normal 2 14" xfId="19416" xr:uid="{00000000-0005-0000-0000-00004B220000}"/>
    <cellStyle name="Normal 2 14 2" xfId="19418" xr:uid="{00000000-0005-0000-0000-00004C220000}"/>
    <cellStyle name="Normal 2 14 2 2" xfId="3737" xr:uid="{00000000-0005-0000-0000-00004D220000}"/>
    <cellStyle name="Normal 2 14 3" xfId="19419" xr:uid="{00000000-0005-0000-0000-00004E220000}"/>
    <cellStyle name="Normal 2 14 3 2" xfId="2330" xr:uid="{00000000-0005-0000-0000-00004F220000}"/>
    <cellStyle name="Normal 2 14 4" xfId="2640" xr:uid="{00000000-0005-0000-0000-000050220000}"/>
    <cellStyle name="Normal 2 14 5" xfId="2763" xr:uid="{00000000-0005-0000-0000-000051220000}"/>
    <cellStyle name="Normal 2 15" xfId="19422" xr:uid="{00000000-0005-0000-0000-000052220000}"/>
    <cellStyle name="Normal 2 15 2" xfId="3801" xr:uid="{00000000-0005-0000-0000-000053220000}"/>
    <cellStyle name="Normal 2 15 2 2" xfId="3804" xr:uid="{00000000-0005-0000-0000-000054220000}"/>
    <cellStyle name="Normal 2 15 3" xfId="2898" xr:uid="{00000000-0005-0000-0000-000055220000}"/>
    <cellStyle name="Normal 2 15 3 2" xfId="19426" xr:uid="{00000000-0005-0000-0000-000056220000}"/>
    <cellStyle name="Normal 2 15 4" xfId="7777" xr:uid="{00000000-0005-0000-0000-000057220000}"/>
    <cellStyle name="Normal 2 15 5" xfId="18021" xr:uid="{00000000-0005-0000-0000-000058220000}"/>
    <cellStyle name="Normal 2 16" xfId="19428" xr:uid="{00000000-0005-0000-0000-000059220000}"/>
    <cellStyle name="Normal 2 16 2" xfId="3833" xr:uid="{00000000-0005-0000-0000-00005A220000}"/>
    <cellStyle name="Normal 2 16 2 2" xfId="19429" xr:uid="{00000000-0005-0000-0000-00005B220000}"/>
    <cellStyle name="Normal 2 16 3" xfId="18876" xr:uid="{00000000-0005-0000-0000-00005C220000}"/>
    <cellStyle name="Normal 2 16 3 2" xfId="19432" xr:uid="{00000000-0005-0000-0000-00005D220000}"/>
    <cellStyle name="Normal 2 16 4" xfId="7788" xr:uid="{00000000-0005-0000-0000-00005E220000}"/>
    <cellStyle name="Normal 2 16 5" xfId="16366" xr:uid="{00000000-0005-0000-0000-00005F220000}"/>
    <cellStyle name="Normal 2 17" xfId="19435" xr:uid="{00000000-0005-0000-0000-000060220000}"/>
    <cellStyle name="Normal 2 17 2" xfId="19436" xr:uid="{00000000-0005-0000-0000-000061220000}"/>
    <cellStyle name="Normal 2 18" xfId="19437" xr:uid="{00000000-0005-0000-0000-000062220000}"/>
    <cellStyle name="Normal 2 19" xfId="19438" xr:uid="{00000000-0005-0000-0000-000063220000}"/>
    <cellStyle name="Normal 2 2" xfId="19439" xr:uid="{00000000-0005-0000-0000-000064220000}"/>
    <cellStyle name="Normal 2 2 2" xfId="19440" xr:uid="{00000000-0005-0000-0000-000065220000}"/>
    <cellStyle name="Normal 2 2 2 2" xfId="19441" xr:uid="{00000000-0005-0000-0000-000066220000}"/>
    <cellStyle name="Normal 2 2 2 2 2" xfId="19442" xr:uid="{00000000-0005-0000-0000-000067220000}"/>
    <cellStyle name="Normal 2 2 2 2 2 10" xfId="19443" xr:uid="{00000000-0005-0000-0000-000068220000}"/>
    <cellStyle name="Normal 2 2 2 2 2 10 2" xfId="8133" xr:uid="{00000000-0005-0000-0000-000069220000}"/>
    <cellStyle name="Normal 2 2 2 2 2 10 2 2" xfId="16732" xr:uid="{00000000-0005-0000-0000-00006A220000}"/>
    <cellStyle name="Normal 2 2 2 2 2 10 3" xfId="17814" xr:uid="{00000000-0005-0000-0000-00006B220000}"/>
    <cellStyle name="Normal 2 2 2 2 2 11" xfId="19444" xr:uid="{00000000-0005-0000-0000-00006C220000}"/>
    <cellStyle name="Normal 2 2 2 2 2 11 2" xfId="19446" xr:uid="{00000000-0005-0000-0000-00006D220000}"/>
    <cellStyle name="Normal 2 2 2 2 2 12" xfId="19448" xr:uid="{00000000-0005-0000-0000-00006E220000}"/>
    <cellStyle name="Normal 2 2 2 2 2 12 2" xfId="19450" xr:uid="{00000000-0005-0000-0000-00006F220000}"/>
    <cellStyle name="Normal 2 2 2 2 2 13" xfId="19454" xr:uid="{00000000-0005-0000-0000-000070220000}"/>
    <cellStyle name="Normal 2 2 2 2 2 13 2" xfId="19455" xr:uid="{00000000-0005-0000-0000-000071220000}"/>
    <cellStyle name="Normal 2 2 2 2 2 14" xfId="19457" xr:uid="{00000000-0005-0000-0000-000072220000}"/>
    <cellStyle name="Normal 2 2 2 2 2 15" xfId="19461" xr:uid="{00000000-0005-0000-0000-000073220000}"/>
    <cellStyle name="Normal 2 2 2 2 2 2" xfId="19462" xr:uid="{00000000-0005-0000-0000-000074220000}"/>
    <cellStyle name="Normal 2 2 2 2 2 3" xfId="19463" xr:uid="{00000000-0005-0000-0000-000075220000}"/>
    <cellStyle name="Normal 2 2 2 2 2 3 10" xfId="19466" xr:uid="{00000000-0005-0000-0000-000076220000}"/>
    <cellStyle name="Normal 2 2 2 2 2 3 2" xfId="19467" xr:uid="{00000000-0005-0000-0000-000077220000}"/>
    <cellStyle name="Normal 2 2 2 2 2 3 2 2" xfId="2830" xr:uid="{00000000-0005-0000-0000-000078220000}"/>
    <cellStyle name="Normal 2 2 2 2 2 3 2 2 2" xfId="42" xr:uid="{00000000-0005-0000-0000-000079220000}"/>
    <cellStyle name="Normal 2 2 2 2 2 3 2 2 2 2" xfId="7326" xr:uid="{00000000-0005-0000-0000-00007A220000}"/>
    <cellStyle name="Normal 2 2 2 2 2 3 2 2 2 2 2" xfId="647" xr:uid="{00000000-0005-0000-0000-00007B220000}"/>
    <cellStyle name="Normal 2 2 2 2 2 3 2 2 2 2 2 2" xfId="6119" xr:uid="{00000000-0005-0000-0000-00007C220000}"/>
    <cellStyle name="Normal 2 2 2 2 2 3 2 2 2 2 3" xfId="19470" xr:uid="{00000000-0005-0000-0000-00007D220000}"/>
    <cellStyle name="Normal 2 2 2 2 2 3 2 2 2 3" xfId="19471" xr:uid="{00000000-0005-0000-0000-00007E220000}"/>
    <cellStyle name="Normal 2 2 2 2 2 3 2 2 2 3 2" xfId="19476" xr:uid="{00000000-0005-0000-0000-00007F220000}"/>
    <cellStyle name="Normal 2 2 2 2 2 3 2 2 2 4" xfId="19477" xr:uid="{00000000-0005-0000-0000-000080220000}"/>
    <cellStyle name="Normal 2 2 2 2 2 3 2 2 3" xfId="286" xr:uid="{00000000-0005-0000-0000-000081220000}"/>
    <cellStyle name="Normal 2 2 2 2 2 3 2 2 3 2" xfId="19480" xr:uid="{00000000-0005-0000-0000-000082220000}"/>
    <cellStyle name="Normal 2 2 2 2 2 3 2 2 3 2 2" xfId="19484" xr:uid="{00000000-0005-0000-0000-000083220000}"/>
    <cellStyle name="Normal 2 2 2 2 2 3 2 2 3 3" xfId="19489" xr:uid="{00000000-0005-0000-0000-000084220000}"/>
    <cellStyle name="Normal 2 2 2 2 2 3 2 2 4" xfId="19378" xr:uid="{00000000-0005-0000-0000-000085220000}"/>
    <cellStyle name="Normal 2 2 2 2 2 3 2 2 4 2" xfId="13810" xr:uid="{00000000-0005-0000-0000-000086220000}"/>
    <cellStyle name="Normal 2 2 2 2 2 3 2 2 4 2 2" xfId="13815" xr:uid="{00000000-0005-0000-0000-000087220000}"/>
    <cellStyle name="Normal 2 2 2 2 2 3 2 2 4 3" xfId="13828" xr:uid="{00000000-0005-0000-0000-000088220000}"/>
    <cellStyle name="Normal 2 2 2 2 2 3 2 2 5" xfId="19383" xr:uid="{00000000-0005-0000-0000-000089220000}"/>
    <cellStyle name="Normal 2 2 2 2 2 3 2 2 5 2" xfId="12831" xr:uid="{00000000-0005-0000-0000-00008A220000}"/>
    <cellStyle name="Normal 2 2 2 2 2 3 2 2 6" xfId="19388" xr:uid="{00000000-0005-0000-0000-00008B220000}"/>
    <cellStyle name="Normal 2 2 2 2 2 3 2 2 6 2" xfId="12844" xr:uid="{00000000-0005-0000-0000-00008C220000}"/>
    <cellStyle name="Normal 2 2 2 2 2 3 2 2 7" xfId="19389" xr:uid="{00000000-0005-0000-0000-00008D220000}"/>
    <cellStyle name="Normal 2 2 2 2 2 3 2 2 8" xfId="19490" xr:uid="{00000000-0005-0000-0000-00008E220000}"/>
    <cellStyle name="Normal 2 2 2 2 2 3 2 3" xfId="7341" xr:uid="{00000000-0005-0000-0000-00008F220000}"/>
    <cellStyle name="Normal 2 2 2 2 2 3 2 3 2" xfId="7349" xr:uid="{00000000-0005-0000-0000-000090220000}"/>
    <cellStyle name="Normal 2 2 2 2 2 3 2 3 2 2" xfId="19496" xr:uid="{00000000-0005-0000-0000-000091220000}"/>
    <cellStyle name="Normal 2 2 2 2 2 3 2 3 2 2 2" xfId="19497" xr:uid="{00000000-0005-0000-0000-000092220000}"/>
    <cellStyle name="Normal 2 2 2 2 2 3 2 3 2 3" xfId="19498" xr:uid="{00000000-0005-0000-0000-000093220000}"/>
    <cellStyle name="Normal 2 2 2 2 2 3 2 3 3" xfId="19499" xr:uid="{00000000-0005-0000-0000-000094220000}"/>
    <cellStyle name="Normal 2 2 2 2 2 3 2 3 3 2" xfId="19501" xr:uid="{00000000-0005-0000-0000-000095220000}"/>
    <cellStyle name="Normal 2 2 2 2 2 3 2 3 4" xfId="19395" xr:uid="{00000000-0005-0000-0000-000096220000}"/>
    <cellStyle name="Normal 2 2 2 2 2 3 2 4" xfId="4866" xr:uid="{00000000-0005-0000-0000-000097220000}"/>
    <cellStyle name="Normal 2 2 2 2 2 3 2 4 2" xfId="7365" xr:uid="{00000000-0005-0000-0000-000098220000}"/>
    <cellStyle name="Normal 2 2 2 2 2 3 2 4 2 2" xfId="19503" xr:uid="{00000000-0005-0000-0000-000099220000}"/>
    <cellStyle name="Normal 2 2 2 2 2 3 2 4 3" xfId="19504" xr:uid="{00000000-0005-0000-0000-00009A220000}"/>
    <cellStyle name="Normal 2 2 2 2 2 3 2 5" xfId="2339" xr:uid="{00000000-0005-0000-0000-00009B220000}"/>
    <cellStyle name="Normal 2 2 2 2 2 3 2 5 2" xfId="5535" xr:uid="{00000000-0005-0000-0000-00009C220000}"/>
    <cellStyle name="Normal 2 2 2 2 2 3 2 5 2 2" xfId="2375" xr:uid="{00000000-0005-0000-0000-00009D220000}"/>
    <cellStyle name="Normal 2 2 2 2 2 3 2 5 3" xfId="5552" xr:uid="{00000000-0005-0000-0000-00009E220000}"/>
    <cellStyle name="Normal 2 2 2 2 2 3 2 6" xfId="19508" xr:uid="{00000000-0005-0000-0000-00009F220000}"/>
    <cellStyle name="Normal 2 2 2 2 2 3 2 6 2" xfId="5734" xr:uid="{00000000-0005-0000-0000-0000A0220000}"/>
    <cellStyle name="Normal 2 2 2 2 2 3 2 7" xfId="11453" xr:uid="{00000000-0005-0000-0000-0000A1220000}"/>
    <cellStyle name="Normal 2 2 2 2 2 3 2 7 2" xfId="2525" xr:uid="{00000000-0005-0000-0000-0000A2220000}"/>
    <cellStyle name="Normal 2 2 2 2 2 3 2 8" xfId="11459" xr:uid="{00000000-0005-0000-0000-0000A3220000}"/>
    <cellStyle name="Normal 2 2 2 2 2 3 2 9" xfId="19510" xr:uid="{00000000-0005-0000-0000-0000A4220000}"/>
    <cellStyle name="Normal 2 2 2 2 2 3 3" xfId="19511" xr:uid="{00000000-0005-0000-0000-0000A5220000}"/>
    <cellStyle name="Normal 2 2 2 2 2 3 3 2" xfId="4994" xr:uid="{00000000-0005-0000-0000-0000A6220000}"/>
    <cellStyle name="Normal 2 2 2 2 2 3 3 2 2" xfId="7466" xr:uid="{00000000-0005-0000-0000-0000A7220000}"/>
    <cellStyle name="Normal 2 2 2 2 2 3 3 2 2 2" xfId="19515" xr:uid="{00000000-0005-0000-0000-0000A8220000}"/>
    <cellStyle name="Normal 2 2 2 2 2 3 3 2 2 2 2" xfId="5509" xr:uid="{00000000-0005-0000-0000-0000A9220000}"/>
    <cellStyle name="Normal 2 2 2 2 2 3 3 2 2 3" xfId="19516" xr:uid="{00000000-0005-0000-0000-0000AA220000}"/>
    <cellStyle name="Normal 2 2 2 2 2 3 3 2 3" xfId="12205" xr:uid="{00000000-0005-0000-0000-0000AB220000}"/>
    <cellStyle name="Normal 2 2 2 2 2 3 3 2 3 2" xfId="9296" xr:uid="{00000000-0005-0000-0000-0000AC220000}"/>
    <cellStyle name="Normal 2 2 2 2 2 3 3 2 4" xfId="10100" xr:uid="{00000000-0005-0000-0000-0000AD220000}"/>
    <cellStyle name="Normal 2 2 2 2 2 3 3 3" xfId="7471" xr:uid="{00000000-0005-0000-0000-0000AE220000}"/>
    <cellStyle name="Normal 2 2 2 2 2 3 3 3 2" xfId="7482" xr:uid="{00000000-0005-0000-0000-0000AF220000}"/>
    <cellStyle name="Normal 2 2 2 2 2 3 3 3 2 2" xfId="19517" xr:uid="{00000000-0005-0000-0000-0000B0220000}"/>
    <cellStyle name="Normal 2 2 2 2 2 3 3 3 3" xfId="11467" xr:uid="{00000000-0005-0000-0000-0000B1220000}"/>
    <cellStyle name="Normal 2 2 2 2 2 3 3 4" xfId="7191" xr:uid="{00000000-0005-0000-0000-0000B2220000}"/>
    <cellStyle name="Normal 2 2 2 2 2 3 3 4 2" xfId="19519" xr:uid="{00000000-0005-0000-0000-0000B3220000}"/>
    <cellStyle name="Normal 2 2 2 2 2 3 3 4 2 2" xfId="19520" xr:uid="{00000000-0005-0000-0000-0000B4220000}"/>
    <cellStyle name="Normal 2 2 2 2 2 3 3 4 3" xfId="12208" xr:uid="{00000000-0005-0000-0000-0000B5220000}"/>
    <cellStyle name="Normal 2 2 2 2 2 3 3 5" xfId="19523" xr:uid="{00000000-0005-0000-0000-0000B6220000}"/>
    <cellStyle name="Normal 2 2 2 2 2 3 3 5 2" xfId="6255" xr:uid="{00000000-0005-0000-0000-0000B7220000}"/>
    <cellStyle name="Normal 2 2 2 2 2 3 3 6" xfId="19525" xr:uid="{00000000-0005-0000-0000-0000B8220000}"/>
    <cellStyle name="Normal 2 2 2 2 2 3 3 6 2" xfId="19526" xr:uid="{00000000-0005-0000-0000-0000B9220000}"/>
    <cellStyle name="Normal 2 2 2 2 2 3 3 7" xfId="16605" xr:uid="{00000000-0005-0000-0000-0000BA220000}"/>
    <cellStyle name="Normal 2 2 2 2 2 3 3 8" xfId="19527" xr:uid="{00000000-0005-0000-0000-0000BB220000}"/>
    <cellStyle name="Normal 2 2 2 2 2 3 4" xfId="19528" xr:uid="{00000000-0005-0000-0000-0000BC220000}"/>
    <cellStyle name="Normal 2 2 2 2 2 3 4 2" xfId="19533" xr:uid="{00000000-0005-0000-0000-0000BD220000}"/>
    <cellStyle name="Normal 2 2 2 2 2 3 4 2 2" xfId="19536" xr:uid="{00000000-0005-0000-0000-0000BE220000}"/>
    <cellStyle name="Normal 2 2 2 2 2 3 4 2 2 2" xfId="19537" xr:uid="{00000000-0005-0000-0000-0000BF220000}"/>
    <cellStyle name="Normal 2 2 2 2 2 3 4 2 3" xfId="12275" xr:uid="{00000000-0005-0000-0000-0000C0220000}"/>
    <cellStyle name="Normal 2 2 2 2 2 3 4 3" xfId="19541" xr:uid="{00000000-0005-0000-0000-0000C1220000}"/>
    <cellStyle name="Normal 2 2 2 2 2 3 4 3 2" xfId="19543" xr:uid="{00000000-0005-0000-0000-0000C2220000}"/>
    <cellStyle name="Normal 2 2 2 2 2 3 4 4" xfId="19545" xr:uid="{00000000-0005-0000-0000-0000C3220000}"/>
    <cellStyle name="Normal 2 2 2 2 2 3 5" xfId="19546" xr:uid="{00000000-0005-0000-0000-0000C4220000}"/>
    <cellStyle name="Normal 2 2 2 2 2 3 5 2" xfId="19550" xr:uid="{00000000-0005-0000-0000-0000C5220000}"/>
    <cellStyle name="Normal 2 2 2 2 2 3 5 2 2" xfId="19551" xr:uid="{00000000-0005-0000-0000-0000C6220000}"/>
    <cellStyle name="Normal 2 2 2 2 2 3 5 3" xfId="19553" xr:uid="{00000000-0005-0000-0000-0000C7220000}"/>
    <cellStyle name="Normal 2 2 2 2 2 3 6" xfId="19554" xr:uid="{00000000-0005-0000-0000-0000C8220000}"/>
    <cellStyle name="Normal 2 2 2 2 2 3 6 2" xfId="19557" xr:uid="{00000000-0005-0000-0000-0000C9220000}"/>
    <cellStyle name="Normal 2 2 2 2 2 3 6 2 2" xfId="19560" xr:uid="{00000000-0005-0000-0000-0000CA220000}"/>
    <cellStyle name="Normal 2 2 2 2 2 3 6 3" xfId="19494" xr:uid="{00000000-0005-0000-0000-0000CB220000}"/>
    <cellStyle name="Normal 2 2 2 2 2 3 7" xfId="9153" xr:uid="{00000000-0005-0000-0000-0000CC220000}"/>
    <cellStyle name="Normal 2 2 2 2 2 3 7 2" xfId="19562" xr:uid="{00000000-0005-0000-0000-0000CD220000}"/>
    <cellStyle name="Normal 2 2 2 2 2 3 8" xfId="19335" xr:uid="{00000000-0005-0000-0000-0000CE220000}"/>
    <cellStyle name="Normal 2 2 2 2 2 3 8 2" xfId="19565" xr:uid="{00000000-0005-0000-0000-0000CF220000}"/>
    <cellStyle name="Normal 2 2 2 2 2 3 9" xfId="15622" xr:uid="{00000000-0005-0000-0000-0000D0220000}"/>
    <cellStyle name="Normal 2 2 2 2 2 4" xfId="19569" xr:uid="{00000000-0005-0000-0000-0000D1220000}"/>
    <cellStyle name="Normal 2 2 2 2 2 4 2" xfId="19571" xr:uid="{00000000-0005-0000-0000-0000D2220000}"/>
    <cellStyle name="Normal 2 2 2 2 2 4 2 2" xfId="13046" xr:uid="{00000000-0005-0000-0000-0000D3220000}"/>
    <cellStyle name="Normal 2 2 2 2 2 4 2 2 2" xfId="11903" xr:uid="{00000000-0005-0000-0000-0000D4220000}"/>
    <cellStyle name="Normal 2 2 2 2 2 4 2 2 2 2" xfId="11911" xr:uid="{00000000-0005-0000-0000-0000D5220000}"/>
    <cellStyle name="Normal 2 2 2 2 2 4 2 2 2 2 2" xfId="19577" xr:uid="{00000000-0005-0000-0000-0000D6220000}"/>
    <cellStyle name="Normal 2 2 2 2 2 4 2 2 2 3" xfId="2026" xr:uid="{00000000-0005-0000-0000-0000D7220000}"/>
    <cellStyle name="Normal 2 2 2 2 2 4 2 2 3" xfId="11919" xr:uid="{00000000-0005-0000-0000-0000D8220000}"/>
    <cellStyle name="Normal 2 2 2 2 2 4 2 2 3 2" xfId="19579" xr:uid="{00000000-0005-0000-0000-0000D9220000}"/>
    <cellStyle name="Normal 2 2 2 2 2 4 2 2 4" xfId="10696" xr:uid="{00000000-0005-0000-0000-0000DA220000}"/>
    <cellStyle name="Normal 2 2 2 2 2 4 2 2 5" xfId="10714" xr:uid="{00000000-0005-0000-0000-0000DB220000}"/>
    <cellStyle name="Normal 2 2 2 2 2 4 2 3" xfId="10301" xr:uid="{00000000-0005-0000-0000-0000DC220000}"/>
    <cellStyle name="Normal 2 2 2 2 2 4 2 3 2" xfId="11081" xr:uid="{00000000-0005-0000-0000-0000DD220000}"/>
    <cellStyle name="Normal 2 2 2 2 2 4 2 3 2 2" xfId="19584" xr:uid="{00000000-0005-0000-0000-0000DE220000}"/>
    <cellStyle name="Normal 2 2 2 2 2 4 2 3 3" xfId="19586" xr:uid="{00000000-0005-0000-0000-0000DF220000}"/>
    <cellStyle name="Normal 2 2 2 2 2 4 2 4" xfId="11494" xr:uid="{00000000-0005-0000-0000-0000E0220000}"/>
    <cellStyle name="Normal 2 2 2 2 2 4 2 4 2" xfId="11506" xr:uid="{00000000-0005-0000-0000-0000E1220000}"/>
    <cellStyle name="Normal 2 2 2 2 2 4 2 4 2 2" xfId="11982" xr:uid="{00000000-0005-0000-0000-0000E2220000}"/>
    <cellStyle name="Normal 2 2 2 2 2 4 2 4 3" xfId="11986" xr:uid="{00000000-0005-0000-0000-0000E3220000}"/>
    <cellStyle name="Normal 2 2 2 2 2 4 2 5" xfId="19593" xr:uid="{00000000-0005-0000-0000-0000E4220000}"/>
    <cellStyle name="Normal 2 2 2 2 2 4 2 5 2" xfId="6771" xr:uid="{00000000-0005-0000-0000-0000E5220000}"/>
    <cellStyle name="Normal 2 2 2 2 2 4 2 6" xfId="19597" xr:uid="{00000000-0005-0000-0000-0000E6220000}"/>
    <cellStyle name="Normal 2 2 2 2 2 4 2 6 2" xfId="6928" xr:uid="{00000000-0005-0000-0000-0000E7220000}"/>
    <cellStyle name="Normal 2 2 2 2 2 4 2 7" xfId="19599" xr:uid="{00000000-0005-0000-0000-0000E8220000}"/>
    <cellStyle name="Normal 2 2 2 2 2 4 2 8" xfId="19601" xr:uid="{00000000-0005-0000-0000-0000E9220000}"/>
    <cellStyle name="Normal 2 2 2 2 2 4 3" xfId="19603" xr:uid="{00000000-0005-0000-0000-0000EA220000}"/>
    <cellStyle name="Normal 2 2 2 2 2 4 3 2" xfId="19606" xr:uid="{00000000-0005-0000-0000-0000EB220000}"/>
    <cellStyle name="Normal 2 2 2 2 2 4 3 2 2" xfId="19609" xr:uid="{00000000-0005-0000-0000-0000EC220000}"/>
    <cellStyle name="Normal 2 2 2 2 2 4 3 2 2 2" xfId="19611" xr:uid="{00000000-0005-0000-0000-0000ED220000}"/>
    <cellStyle name="Normal 2 2 2 2 2 4 3 2 3" xfId="19615" xr:uid="{00000000-0005-0000-0000-0000EE220000}"/>
    <cellStyle name="Normal 2 2 2 2 2 4 3 3" xfId="19618" xr:uid="{00000000-0005-0000-0000-0000EF220000}"/>
    <cellStyle name="Normal 2 2 2 2 2 4 3 3 2" xfId="19621" xr:uid="{00000000-0005-0000-0000-0000F0220000}"/>
    <cellStyle name="Normal 2 2 2 2 2 4 3 4" xfId="19626" xr:uid="{00000000-0005-0000-0000-0000F1220000}"/>
    <cellStyle name="Normal 2 2 2 2 2 4 3 5" xfId="19631" xr:uid="{00000000-0005-0000-0000-0000F2220000}"/>
    <cellStyle name="Normal 2 2 2 2 2 4 4" xfId="19632" xr:uid="{00000000-0005-0000-0000-0000F3220000}"/>
    <cellStyle name="Normal 2 2 2 2 2 4 4 2" xfId="19637" xr:uid="{00000000-0005-0000-0000-0000F4220000}"/>
    <cellStyle name="Normal 2 2 2 2 2 4 4 2 2" xfId="17520" xr:uid="{00000000-0005-0000-0000-0000F5220000}"/>
    <cellStyle name="Normal 2 2 2 2 2 4 4 3" xfId="19643" xr:uid="{00000000-0005-0000-0000-0000F6220000}"/>
    <cellStyle name="Normal 2 2 2 2 2 4 5" xfId="19647" xr:uid="{00000000-0005-0000-0000-0000F7220000}"/>
    <cellStyle name="Normal 2 2 2 2 2 4 5 2" xfId="19658" xr:uid="{00000000-0005-0000-0000-0000F8220000}"/>
    <cellStyle name="Normal 2 2 2 2 2 4 5 2 2" xfId="19664" xr:uid="{00000000-0005-0000-0000-0000F9220000}"/>
    <cellStyle name="Normal 2 2 2 2 2 4 5 3" xfId="19667" xr:uid="{00000000-0005-0000-0000-0000FA220000}"/>
    <cellStyle name="Normal 2 2 2 2 2 4 6" xfId="19672" xr:uid="{00000000-0005-0000-0000-0000FB220000}"/>
    <cellStyle name="Normal 2 2 2 2 2 4 6 2" xfId="19677" xr:uid="{00000000-0005-0000-0000-0000FC220000}"/>
    <cellStyle name="Normal 2 2 2 2 2 4 7" xfId="12632" xr:uid="{00000000-0005-0000-0000-0000FD220000}"/>
    <cellStyle name="Normal 2 2 2 2 2 4 7 2" xfId="19680" xr:uid="{00000000-0005-0000-0000-0000FE220000}"/>
    <cellStyle name="Normal 2 2 2 2 2 4 8" xfId="19684" xr:uid="{00000000-0005-0000-0000-0000FF220000}"/>
    <cellStyle name="Normal 2 2 2 2 2 4 9" xfId="15662" xr:uid="{00000000-0005-0000-0000-000000230000}"/>
    <cellStyle name="Normal 2 2 2 2 2 5" xfId="19686" xr:uid="{00000000-0005-0000-0000-000001230000}"/>
    <cellStyle name="Normal 2 2 2 2 2 5 2" xfId="14631" xr:uid="{00000000-0005-0000-0000-000002230000}"/>
    <cellStyle name="Normal 2 2 2 2 2 5 2 2" xfId="14634" xr:uid="{00000000-0005-0000-0000-000003230000}"/>
    <cellStyle name="Normal 2 2 2 2 2 5 2 2 2" xfId="19688" xr:uid="{00000000-0005-0000-0000-000004230000}"/>
    <cellStyle name="Normal 2 2 2 2 2 5 2 2 2 2" xfId="19691" xr:uid="{00000000-0005-0000-0000-000005230000}"/>
    <cellStyle name="Normal 2 2 2 2 2 5 2 2 2 2 2" xfId="19692" xr:uid="{00000000-0005-0000-0000-000006230000}"/>
    <cellStyle name="Normal 2 2 2 2 2 5 2 2 2 3" xfId="19693" xr:uid="{00000000-0005-0000-0000-000007230000}"/>
    <cellStyle name="Normal 2 2 2 2 2 5 2 2 3" xfId="19695" xr:uid="{00000000-0005-0000-0000-000008230000}"/>
    <cellStyle name="Normal 2 2 2 2 2 5 2 2 3 2" xfId="19699" xr:uid="{00000000-0005-0000-0000-000009230000}"/>
    <cellStyle name="Normal 2 2 2 2 2 5 2 2 4" xfId="19702" xr:uid="{00000000-0005-0000-0000-00000A230000}"/>
    <cellStyle name="Normal 2 2 2 2 2 5 2 3" xfId="3018" xr:uid="{00000000-0005-0000-0000-00000B230000}"/>
    <cellStyle name="Normal 2 2 2 2 2 5 2 3 2" xfId="3048" xr:uid="{00000000-0005-0000-0000-00000C230000}"/>
    <cellStyle name="Normal 2 2 2 2 2 5 2 3 2 2" xfId="3063" xr:uid="{00000000-0005-0000-0000-00000D230000}"/>
    <cellStyle name="Normal 2 2 2 2 2 5 2 3 3" xfId="1572" xr:uid="{00000000-0005-0000-0000-00000E230000}"/>
    <cellStyle name="Normal 2 2 2 2 2 5 2 4" xfId="3113" xr:uid="{00000000-0005-0000-0000-00000F230000}"/>
    <cellStyle name="Normal 2 2 2 2 2 5 2 4 2" xfId="3136" xr:uid="{00000000-0005-0000-0000-000010230000}"/>
    <cellStyle name="Normal 2 2 2 2 2 5 2 4 2 2" xfId="1497" xr:uid="{00000000-0005-0000-0000-000011230000}"/>
    <cellStyle name="Normal 2 2 2 2 2 5 2 4 3" xfId="1636" xr:uid="{00000000-0005-0000-0000-000012230000}"/>
    <cellStyle name="Normal 2 2 2 2 2 5 2 5" xfId="3173" xr:uid="{00000000-0005-0000-0000-000013230000}"/>
    <cellStyle name="Normal 2 2 2 2 2 5 2 5 2" xfId="3187" xr:uid="{00000000-0005-0000-0000-000014230000}"/>
    <cellStyle name="Normal 2 2 2 2 2 5 2 6" xfId="1392" xr:uid="{00000000-0005-0000-0000-000015230000}"/>
    <cellStyle name="Normal 2 2 2 2 2 5 2 6 2" xfId="1414" xr:uid="{00000000-0005-0000-0000-000016230000}"/>
    <cellStyle name="Normal 2 2 2 2 2 5 2 7" xfId="1431" xr:uid="{00000000-0005-0000-0000-000017230000}"/>
    <cellStyle name="Normal 2 2 2 2 2 5 2 8" xfId="3306" xr:uid="{00000000-0005-0000-0000-000018230000}"/>
    <cellStyle name="Normal 2 2 2 2 2 5 3" xfId="14637" xr:uid="{00000000-0005-0000-0000-000019230000}"/>
    <cellStyle name="Normal 2 2 2 2 2 5 3 2" xfId="13013" xr:uid="{00000000-0005-0000-0000-00001A230000}"/>
    <cellStyle name="Normal 2 2 2 2 2 5 3 2 2" xfId="19709" xr:uid="{00000000-0005-0000-0000-00001B230000}"/>
    <cellStyle name="Normal 2 2 2 2 2 5 3 2 2 2" xfId="19712" xr:uid="{00000000-0005-0000-0000-00001C230000}"/>
    <cellStyle name="Normal 2 2 2 2 2 5 3 2 3" xfId="19713" xr:uid="{00000000-0005-0000-0000-00001D230000}"/>
    <cellStyle name="Normal 2 2 2 2 2 5 3 3" xfId="3344" xr:uid="{00000000-0005-0000-0000-00001E230000}"/>
    <cellStyle name="Normal 2 2 2 2 2 5 3 3 2" xfId="3381" xr:uid="{00000000-0005-0000-0000-00001F230000}"/>
    <cellStyle name="Normal 2 2 2 2 2 5 3 4" xfId="3415" xr:uid="{00000000-0005-0000-0000-000020230000}"/>
    <cellStyle name="Normal 2 2 2 2 2 5 4" xfId="14641" xr:uid="{00000000-0005-0000-0000-000021230000}"/>
    <cellStyle name="Normal 2 2 2 2 2 5 4 2" xfId="19717" xr:uid="{00000000-0005-0000-0000-000022230000}"/>
    <cellStyle name="Normal 2 2 2 2 2 5 4 2 2" xfId="19721" xr:uid="{00000000-0005-0000-0000-000023230000}"/>
    <cellStyle name="Normal 2 2 2 2 2 5 4 3" xfId="3529" xr:uid="{00000000-0005-0000-0000-000024230000}"/>
    <cellStyle name="Normal 2 2 2 2 2 5 5" xfId="14646" xr:uid="{00000000-0005-0000-0000-000025230000}"/>
    <cellStyle name="Normal 2 2 2 2 2 5 5 2" xfId="19726" xr:uid="{00000000-0005-0000-0000-000026230000}"/>
    <cellStyle name="Normal 2 2 2 2 2 5 5 2 2" xfId="19729" xr:uid="{00000000-0005-0000-0000-000027230000}"/>
    <cellStyle name="Normal 2 2 2 2 2 5 5 3" xfId="3580" xr:uid="{00000000-0005-0000-0000-000028230000}"/>
    <cellStyle name="Normal 2 2 2 2 2 5 6" xfId="9671" xr:uid="{00000000-0005-0000-0000-000029230000}"/>
    <cellStyle name="Normal 2 2 2 2 2 5 6 2" xfId="19733" xr:uid="{00000000-0005-0000-0000-00002A230000}"/>
    <cellStyle name="Normal 2 2 2 2 2 5 7" xfId="12602" xr:uid="{00000000-0005-0000-0000-00002B230000}"/>
    <cellStyle name="Normal 2 2 2 2 2 5 7 2" xfId="19736" xr:uid="{00000000-0005-0000-0000-00002C230000}"/>
    <cellStyle name="Normal 2 2 2 2 2 5 8" xfId="8561" xr:uid="{00000000-0005-0000-0000-00002D230000}"/>
    <cellStyle name="Normal 2 2 2 2 2 5 9" xfId="4833" xr:uid="{00000000-0005-0000-0000-00002E230000}"/>
    <cellStyle name="Normal 2 2 2 2 2 6" xfId="19739" xr:uid="{00000000-0005-0000-0000-00002F230000}"/>
    <cellStyle name="Normal 2 2 2 2 2 6 2" xfId="14689" xr:uid="{00000000-0005-0000-0000-000030230000}"/>
    <cellStyle name="Normal 2 2 2 2 2 6 2 2" xfId="19745" xr:uid="{00000000-0005-0000-0000-000031230000}"/>
    <cellStyle name="Normal 2 2 2 2 2 6 2 2 2" xfId="9362" xr:uid="{00000000-0005-0000-0000-000032230000}"/>
    <cellStyle name="Normal 2 2 2 2 2 6 2 2 2 2" xfId="9368" xr:uid="{00000000-0005-0000-0000-000033230000}"/>
    <cellStyle name="Normal 2 2 2 2 2 6 2 2 2 2 2" xfId="9375" xr:uid="{00000000-0005-0000-0000-000034230000}"/>
    <cellStyle name="Normal 2 2 2 2 2 6 2 2 2 3" xfId="4041" xr:uid="{00000000-0005-0000-0000-000035230000}"/>
    <cellStyle name="Normal 2 2 2 2 2 6 2 2 3" xfId="9384" xr:uid="{00000000-0005-0000-0000-000036230000}"/>
    <cellStyle name="Normal 2 2 2 2 2 6 2 2 3 2" xfId="9387" xr:uid="{00000000-0005-0000-0000-000037230000}"/>
    <cellStyle name="Normal 2 2 2 2 2 6 2 2 4" xfId="9409" xr:uid="{00000000-0005-0000-0000-000038230000}"/>
    <cellStyle name="Normal 2 2 2 2 2 6 2 3" xfId="5573" xr:uid="{00000000-0005-0000-0000-000039230000}"/>
    <cellStyle name="Normal 2 2 2 2 2 6 2 3 2" xfId="1775" xr:uid="{00000000-0005-0000-0000-00003A230000}"/>
    <cellStyle name="Normal 2 2 2 2 2 6 2 3 2 2" xfId="2088" xr:uid="{00000000-0005-0000-0000-00003B230000}"/>
    <cellStyle name="Normal 2 2 2 2 2 6 2 3 3" xfId="1741" xr:uid="{00000000-0005-0000-0000-00003C230000}"/>
    <cellStyle name="Normal 2 2 2 2 2 6 2 4" xfId="5584" xr:uid="{00000000-0005-0000-0000-00003D230000}"/>
    <cellStyle name="Normal 2 2 2 2 2 6 2 4 2" xfId="4114" xr:uid="{00000000-0005-0000-0000-00003E230000}"/>
    <cellStyle name="Normal 2 2 2 2 2 6 2 4 2 2" xfId="3012" xr:uid="{00000000-0005-0000-0000-00003F230000}"/>
    <cellStyle name="Normal 2 2 2 2 2 6 2 4 3" xfId="5585" xr:uid="{00000000-0005-0000-0000-000040230000}"/>
    <cellStyle name="Normal 2 2 2 2 2 6 2 5" xfId="5598" xr:uid="{00000000-0005-0000-0000-000041230000}"/>
    <cellStyle name="Normal 2 2 2 2 2 6 2 5 2" xfId="824" xr:uid="{00000000-0005-0000-0000-000042230000}"/>
    <cellStyle name="Normal 2 2 2 2 2 6 2 6" xfId="5613" xr:uid="{00000000-0005-0000-0000-000043230000}"/>
    <cellStyle name="Normal 2 2 2 2 2 6 2 6 2" xfId="5617" xr:uid="{00000000-0005-0000-0000-000044230000}"/>
    <cellStyle name="Normal 2 2 2 2 2 6 2 7" xfId="1930" xr:uid="{00000000-0005-0000-0000-000045230000}"/>
    <cellStyle name="Normal 2 2 2 2 2 6 2 8" xfId="5645" xr:uid="{00000000-0005-0000-0000-000046230000}"/>
    <cellStyle name="Normal 2 2 2 2 2 6 3" xfId="19749" xr:uid="{00000000-0005-0000-0000-000047230000}"/>
    <cellStyle name="Normal 2 2 2 2 2 6 3 2" xfId="19753" xr:uid="{00000000-0005-0000-0000-000048230000}"/>
    <cellStyle name="Normal 2 2 2 2 2 6 3 2 2" xfId="9518" xr:uid="{00000000-0005-0000-0000-000049230000}"/>
    <cellStyle name="Normal 2 2 2 2 2 6 3 2 2 2" xfId="9521" xr:uid="{00000000-0005-0000-0000-00004A230000}"/>
    <cellStyle name="Normal 2 2 2 2 2 6 3 2 3" xfId="9540" xr:uid="{00000000-0005-0000-0000-00004B230000}"/>
    <cellStyle name="Normal 2 2 2 2 2 6 3 3" xfId="5655" xr:uid="{00000000-0005-0000-0000-00004C230000}"/>
    <cellStyle name="Normal 2 2 2 2 2 6 3 3 2" xfId="2622" xr:uid="{00000000-0005-0000-0000-00004D230000}"/>
    <cellStyle name="Normal 2 2 2 2 2 6 3 4" xfId="5663" xr:uid="{00000000-0005-0000-0000-00004E230000}"/>
    <cellStyle name="Normal 2 2 2 2 2 6 4" xfId="19754" xr:uid="{00000000-0005-0000-0000-00004F230000}"/>
    <cellStyle name="Normal 2 2 2 2 2 6 4 2" xfId="19759" xr:uid="{00000000-0005-0000-0000-000050230000}"/>
    <cellStyle name="Normal 2 2 2 2 2 6 4 2 2" xfId="911" xr:uid="{00000000-0005-0000-0000-000051230000}"/>
    <cellStyle name="Normal 2 2 2 2 2 6 4 3" xfId="934" xr:uid="{00000000-0005-0000-0000-000052230000}"/>
    <cellStyle name="Normal 2 2 2 2 2 6 5" xfId="19761" xr:uid="{00000000-0005-0000-0000-000053230000}"/>
    <cellStyle name="Normal 2 2 2 2 2 6 5 2" xfId="19765" xr:uid="{00000000-0005-0000-0000-000054230000}"/>
    <cellStyle name="Normal 2 2 2 2 2 6 5 2 2" xfId="994" xr:uid="{00000000-0005-0000-0000-000055230000}"/>
    <cellStyle name="Normal 2 2 2 2 2 6 5 3" xfId="1013" xr:uid="{00000000-0005-0000-0000-000056230000}"/>
    <cellStyle name="Normal 2 2 2 2 2 6 6" xfId="19766" xr:uid="{00000000-0005-0000-0000-000057230000}"/>
    <cellStyle name="Normal 2 2 2 2 2 6 6 2" xfId="19767" xr:uid="{00000000-0005-0000-0000-000058230000}"/>
    <cellStyle name="Normal 2 2 2 2 2 6 7" xfId="394" xr:uid="{00000000-0005-0000-0000-000059230000}"/>
    <cellStyle name="Normal 2 2 2 2 2 6 7 2" xfId="13041" xr:uid="{00000000-0005-0000-0000-00005A230000}"/>
    <cellStyle name="Normal 2 2 2 2 2 6 8" xfId="847" xr:uid="{00000000-0005-0000-0000-00005B230000}"/>
    <cellStyle name="Normal 2 2 2 2 2 6 9" xfId="1109" xr:uid="{00000000-0005-0000-0000-00005C230000}"/>
    <cellStyle name="Normal 2 2 2 2 2 7" xfId="1000" xr:uid="{00000000-0005-0000-0000-00005D230000}"/>
    <cellStyle name="Normal 2 2 2 2 2 7 2" xfId="19771" xr:uid="{00000000-0005-0000-0000-00005E230000}"/>
    <cellStyle name="Normal 2 2 2 2 2 7 2 2" xfId="19775" xr:uid="{00000000-0005-0000-0000-00005F230000}"/>
    <cellStyle name="Normal 2 2 2 2 2 7 2 2 2" xfId="19777" xr:uid="{00000000-0005-0000-0000-000060230000}"/>
    <cellStyle name="Normal 2 2 2 2 2 7 2 2 2 2" xfId="19778" xr:uid="{00000000-0005-0000-0000-000061230000}"/>
    <cellStyle name="Normal 2 2 2 2 2 7 2 2 3" xfId="19779" xr:uid="{00000000-0005-0000-0000-000062230000}"/>
    <cellStyle name="Normal 2 2 2 2 2 7 2 3" xfId="588" xr:uid="{00000000-0005-0000-0000-000063230000}"/>
    <cellStyle name="Normal 2 2 2 2 2 7 2 3 2" xfId="849" xr:uid="{00000000-0005-0000-0000-000064230000}"/>
    <cellStyle name="Normal 2 2 2 2 2 7 2 4" xfId="688" xr:uid="{00000000-0005-0000-0000-000065230000}"/>
    <cellStyle name="Normal 2 2 2 2 2 7 3" xfId="19781" xr:uid="{00000000-0005-0000-0000-000066230000}"/>
    <cellStyle name="Normal 2 2 2 2 2 7 3 2" xfId="19782" xr:uid="{00000000-0005-0000-0000-000067230000}"/>
    <cellStyle name="Normal 2 2 2 2 2 7 3 2 2" xfId="19783" xr:uid="{00000000-0005-0000-0000-000068230000}"/>
    <cellStyle name="Normal 2 2 2 2 2 7 3 3" xfId="5829" xr:uid="{00000000-0005-0000-0000-000069230000}"/>
    <cellStyle name="Normal 2 2 2 2 2 7 4" xfId="19784" xr:uid="{00000000-0005-0000-0000-00006A230000}"/>
    <cellStyle name="Normal 2 2 2 2 2 7 4 2" xfId="19786" xr:uid="{00000000-0005-0000-0000-00006B230000}"/>
    <cellStyle name="Normal 2 2 2 2 2 7 4 2 2" xfId="19787" xr:uid="{00000000-0005-0000-0000-00006C230000}"/>
    <cellStyle name="Normal 2 2 2 2 2 7 4 3" xfId="1225" xr:uid="{00000000-0005-0000-0000-00006D230000}"/>
    <cellStyle name="Normal 2 2 2 2 2 7 5" xfId="19789" xr:uid="{00000000-0005-0000-0000-00006E230000}"/>
    <cellStyle name="Normal 2 2 2 2 2 7 5 2" xfId="19790" xr:uid="{00000000-0005-0000-0000-00006F230000}"/>
    <cellStyle name="Normal 2 2 2 2 2 7 6" xfId="19792" xr:uid="{00000000-0005-0000-0000-000070230000}"/>
    <cellStyle name="Normal 2 2 2 2 2 7 6 2" xfId="19793" xr:uid="{00000000-0005-0000-0000-000071230000}"/>
    <cellStyle name="Normal 2 2 2 2 2 7 7" xfId="19794" xr:uid="{00000000-0005-0000-0000-000072230000}"/>
    <cellStyle name="Normal 2 2 2 2 2 7 8" xfId="4127" xr:uid="{00000000-0005-0000-0000-000073230000}"/>
    <cellStyle name="Normal 2 2 2 2 2 8" xfId="19799" xr:uid="{00000000-0005-0000-0000-000074230000}"/>
    <cellStyle name="Normal 2 2 2 2 2 8 2" xfId="19804" xr:uid="{00000000-0005-0000-0000-000075230000}"/>
    <cellStyle name="Normal 2 2 2 2 2 8 2 2" xfId="19808" xr:uid="{00000000-0005-0000-0000-000076230000}"/>
    <cellStyle name="Normal 2 2 2 2 2 8 2 2 2" xfId="19810" xr:uid="{00000000-0005-0000-0000-000077230000}"/>
    <cellStyle name="Normal 2 2 2 2 2 8 2 3" xfId="5936" xr:uid="{00000000-0005-0000-0000-000078230000}"/>
    <cellStyle name="Normal 2 2 2 2 2 8 3" xfId="19815" xr:uid="{00000000-0005-0000-0000-000079230000}"/>
    <cellStyle name="Normal 2 2 2 2 2 8 3 2" xfId="19816" xr:uid="{00000000-0005-0000-0000-00007A230000}"/>
    <cellStyle name="Normal 2 2 2 2 2 8 4" xfId="19817" xr:uid="{00000000-0005-0000-0000-00007B230000}"/>
    <cellStyle name="Normal 2 2 2 2 2 9" xfId="19827" xr:uid="{00000000-0005-0000-0000-00007C230000}"/>
    <cellStyle name="Normal 2 2 2 2 2 9 2" xfId="19832" xr:uid="{00000000-0005-0000-0000-00007D230000}"/>
    <cellStyle name="Normal 2 2 2 2 2 9 2 2" xfId="19833" xr:uid="{00000000-0005-0000-0000-00007E230000}"/>
    <cellStyle name="Normal 2 2 2 2 2 9 3" xfId="9034" xr:uid="{00000000-0005-0000-0000-00007F230000}"/>
    <cellStyle name="Normal 2 2 2 2 3" xfId="19834" xr:uid="{00000000-0005-0000-0000-000080230000}"/>
    <cellStyle name="Normal 2 2 2 2 4" xfId="6044" xr:uid="{00000000-0005-0000-0000-000081230000}"/>
    <cellStyle name="Normal 2 2 2 3" xfId="19836" xr:uid="{00000000-0005-0000-0000-000082230000}"/>
    <cellStyle name="Normal 2 2 2 3 2" xfId="19837" xr:uid="{00000000-0005-0000-0000-000083230000}"/>
    <cellStyle name="Normal 2 2 2 3 2 10" xfId="19838" xr:uid="{00000000-0005-0000-0000-000084230000}"/>
    <cellStyle name="Normal 2 2 2 3 2 10 2" xfId="3994" xr:uid="{00000000-0005-0000-0000-000085230000}"/>
    <cellStyle name="Normal 2 2 2 3 2 11" xfId="19839" xr:uid="{00000000-0005-0000-0000-000086230000}"/>
    <cellStyle name="Normal 2 2 2 3 2 11 2" xfId="4878" xr:uid="{00000000-0005-0000-0000-000087230000}"/>
    <cellStyle name="Normal 2 2 2 3 2 12" xfId="19840" xr:uid="{00000000-0005-0000-0000-000088230000}"/>
    <cellStyle name="Normal 2 2 2 3 2 12 2" xfId="8659" xr:uid="{00000000-0005-0000-0000-000089230000}"/>
    <cellStyle name="Normal 2 2 2 3 2 13" xfId="19841" xr:uid="{00000000-0005-0000-0000-00008A230000}"/>
    <cellStyle name="Normal 2 2 2 3 2 14" xfId="19846" xr:uid="{00000000-0005-0000-0000-00008B230000}"/>
    <cellStyle name="Normal 2 2 2 3 2 2" xfId="11777" xr:uid="{00000000-0005-0000-0000-00008C230000}"/>
    <cellStyle name="Normal 2 2 2 3 2 2 10" xfId="13562" xr:uid="{00000000-0005-0000-0000-00008D230000}"/>
    <cellStyle name="Normal 2 2 2 3 2 2 2" xfId="13113" xr:uid="{00000000-0005-0000-0000-00008E230000}"/>
    <cellStyle name="Normal 2 2 2 3 2 2 2 2" xfId="10031" xr:uid="{00000000-0005-0000-0000-00008F230000}"/>
    <cellStyle name="Normal 2 2 2 3 2 2 2 2 2" xfId="19848" xr:uid="{00000000-0005-0000-0000-000090230000}"/>
    <cellStyle name="Normal 2 2 2 3 2 2 2 2 2 2" xfId="19852" xr:uid="{00000000-0005-0000-0000-000091230000}"/>
    <cellStyle name="Normal 2 2 2 3 2 2 2 2 2 2 2" xfId="10046" xr:uid="{00000000-0005-0000-0000-000092230000}"/>
    <cellStyle name="Normal 2 2 2 3 2 2 2 2 2 2 2 2" xfId="12043" xr:uid="{00000000-0005-0000-0000-000093230000}"/>
    <cellStyle name="Normal 2 2 2 3 2 2 2 2 2 2 3" xfId="12236" xr:uid="{00000000-0005-0000-0000-000094230000}"/>
    <cellStyle name="Normal 2 2 2 3 2 2 2 2 2 3" xfId="19854" xr:uid="{00000000-0005-0000-0000-000095230000}"/>
    <cellStyle name="Normal 2 2 2 3 2 2 2 2 2 3 2" xfId="19855" xr:uid="{00000000-0005-0000-0000-000096230000}"/>
    <cellStyle name="Normal 2 2 2 3 2 2 2 2 2 4" xfId="7734" xr:uid="{00000000-0005-0000-0000-000097230000}"/>
    <cellStyle name="Normal 2 2 2 3 2 2 2 2 3" xfId="19857" xr:uid="{00000000-0005-0000-0000-000098230000}"/>
    <cellStyle name="Normal 2 2 2 3 2 2 2 2 3 2" xfId="10070" xr:uid="{00000000-0005-0000-0000-000099230000}"/>
    <cellStyle name="Normal 2 2 2 3 2 2 2 2 3 2 2" xfId="17711" xr:uid="{00000000-0005-0000-0000-00009A230000}"/>
    <cellStyle name="Normal 2 2 2 3 2 2 2 2 3 3" xfId="17945" xr:uid="{00000000-0005-0000-0000-00009B230000}"/>
    <cellStyle name="Normal 2 2 2 3 2 2 2 2 4" xfId="19860" xr:uid="{00000000-0005-0000-0000-00009C230000}"/>
    <cellStyle name="Normal 2 2 2 3 2 2 2 2 4 2" xfId="19863" xr:uid="{00000000-0005-0000-0000-00009D230000}"/>
    <cellStyle name="Normal 2 2 2 3 2 2 2 2 4 2 2" xfId="17770" xr:uid="{00000000-0005-0000-0000-00009E230000}"/>
    <cellStyle name="Normal 2 2 2 3 2 2 2 2 4 3" xfId="19864" xr:uid="{00000000-0005-0000-0000-00009F230000}"/>
    <cellStyle name="Normal 2 2 2 3 2 2 2 2 5" xfId="19866" xr:uid="{00000000-0005-0000-0000-0000A0230000}"/>
    <cellStyle name="Normal 2 2 2 3 2 2 2 2 5 2" xfId="19868" xr:uid="{00000000-0005-0000-0000-0000A1230000}"/>
    <cellStyle name="Normal 2 2 2 3 2 2 2 2 6" xfId="19870" xr:uid="{00000000-0005-0000-0000-0000A2230000}"/>
    <cellStyle name="Normal 2 2 2 3 2 2 2 2 6 2" xfId="19874" xr:uid="{00000000-0005-0000-0000-0000A3230000}"/>
    <cellStyle name="Normal 2 2 2 3 2 2 2 2 7" xfId="19875" xr:uid="{00000000-0005-0000-0000-0000A4230000}"/>
    <cellStyle name="Normal 2 2 2 3 2 2 2 2 8" xfId="19878" xr:uid="{00000000-0005-0000-0000-0000A5230000}"/>
    <cellStyle name="Normal 2 2 2 3 2 2 2 3" xfId="19881" xr:uid="{00000000-0005-0000-0000-0000A6230000}"/>
    <cellStyle name="Normal 2 2 2 3 2 2 2 3 2" xfId="19885" xr:uid="{00000000-0005-0000-0000-0000A7230000}"/>
    <cellStyle name="Normal 2 2 2 3 2 2 2 3 2 2" xfId="19887" xr:uid="{00000000-0005-0000-0000-0000A8230000}"/>
    <cellStyle name="Normal 2 2 2 3 2 2 2 3 2 2 2" xfId="19889" xr:uid="{00000000-0005-0000-0000-0000A9230000}"/>
    <cellStyle name="Normal 2 2 2 3 2 2 2 3 2 3" xfId="19891" xr:uid="{00000000-0005-0000-0000-0000AA230000}"/>
    <cellStyle name="Normal 2 2 2 3 2 2 2 3 3" xfId="19893" xr:uid="{00000000-0005-0000-0000-0000AB230000}"/>
    <cellStyle name="Normal 2 2 2 3 2 2 2 3 3 2" xfId="19898" xr:uid="{00000000-0005-0000-0000-0000AC230000}"/>
    <cellStyle name="Normal 2 2 2 3 2 2 2 3 4" xfId="19900" xr:uid="{00000000-0005-0000-0000-0000AD230000}"/>
    <cellStyle name="Normal 2 2 2 3 2 2 2 4" xfId="19903" xr:uid="{00000000-0005-0000-0000-0000AE230000}"/>
    <cellStyle name="Normal 2 2 2 3 2 2 2 4 2" xfId="19905" xr:uid="{00000000-0005-0000-0000-0000AF230000}"/>
    <cellStyle name="Normal 2 2 2 3 2 2 2 4 2 2" xfId="19916" xr:uid="{00000000-0005-0000-0000-0000B0230000}"/>
    <cellStyle name="Normal 2 2 2 3 2 2 2 4 3" xfId="18657" xr:uid="{00000000-0005-0000-0000-0000B1230000}"/>
    <cellStyle name="Normal 2 2 2 3 2 2 2 5" xfId="19920" xr:uid="{00000000-0005-0000-0000-0000B2230000}"/>
    <cellStyle name="Normal 2 2 2 3 2 2 2 5 2" xfId="772" xr:uid="{00000000-0005-0000-0000-0000B3230000}"/>
    <cellStyle name="Normal 2 2 2 3 2 2 2 5 2 2" xfId="1039" xr:uid="{00000000-0005-0000-0000-0000B4230000}"/>
    <cellStyle name="Normal 2 2 2 3 2 2 2 5 3" xfId="408" xr:uid="{00000000-0005-0000-0000-0000B5230000}"/>
    <cellStyle name="Normal 2 2 2 3 2 2 2 6" xfId="19062" xr:uid="{00000000-0005-0000-0000-0000B6230000}"/>
    <cellStyle name="Normal 2 2 2 3 2 2 2 6 2" xfId="19922" xr:uid="{00000000-0005-0000-0000-0000B7230000}"/>
    <cellStyle name="Normal 2 2 2 3 2 2 2 7" xfId="19924" xr:uid="{00000000-0005-0000-0000-0000B8230000}"/>
    <cellStyle name="Normal 2 2 2 3 2 2 2 7 2" xfId="2878" xr:uid="{00000000-0005-0000-0000-0000B9230000}"/>
    <cellStyle name="Normal 2 2 2 3 2 2 2 8" xfId="19927" xr:uid="{00000000-0005-0000-0000-0000BA230000}"/>
    <cellStyle name="Normal 2 2 2 3 2 2 2 9" xfId="19929" xr:uid="{00000000-0005-0000-0000-0000BB230000}"/>
    <cellStyle name="Normal 2 2 2 3 2 2 3" xfId="6220" xr:uid="{00000000-0005-0000-0000-0000BC230000}"/>
    <cellStyle name="Normal 2 2 2 3 2 2 3 2" xfId="19930" xr:uid="{00000000-0005-0000-0000-0000BD230000}"/>
    <cellStyle name="Normal 2 2 2 3 2 2 3 2 2" xfId="18687" xr:uid="{00000000-0005-0000-0000-0000BE230000}"/>
    <cellStyle name="Normal 2 2 2 3 2 2 3 2 2 2" xfId="18580" xr:uid="{00000000-0005-0000-0000-0000BF230000}"/>
    <cellStyle name="Normal 2 2 2 3 2 2 3 2 2 2 2" xfId="18583" xr:uid="{00000000-0005-0000-0000-0000C0230000}"/>
    <cellStyle name="Normal 2 2 2 3 2 2 3 2 2 3" xfId="18598" xr:uid="{00000000-0005-0000-0000-0000C1230000}"/>
    <cellStyle name="Normal 2 2 2 3 2 2 3 2 3" xfId="19933" xr:uid="{00000000-0005-0000-0000-0000C2230000}"/>
    <cellStyle name="Normal 2 2 2 3 2 2 3 2 3 2" xfId="19934" xr:uid="{00000000-0005-0000-0000-0000C3230000}"/>
    <cellStyle name="Normal 2 2 2 3 2 2 3 2 4" xfId="19936" xr:uid="{00000000-0005-0000-0000-0000C4230000}"/>
    <cellStyle name="Normal 2 2 2 3 2 2 3 3" xfId="19937" xr:uid="{00000000-0005-0000-0000-0000C5230000}"/>
    <cellStyle name="Normal 2 2 2 3 2 2 3 3 2" xfId="18704" xr:uid="{00000000-0005-0000-0000-0000C6230000}"/>
    <cellStyle name="Normal 2 2 2 3 2 2 3 3 2 2" xfId="19939" xr:uid="{00000000-0005-0000-0000-0000C7230000}"/>
    <cellStyle name="Normal 2 2 2 3 2 2 3 3 3" xfId="19943" xr:uid="{00000000-0005-0000-0000-0000C8230000}"/>
    <cellStyle name="Normal 2 2 2 3 2 2 3 4" xfId="19945" xr:uid="{00000000-0005-0000-0000-0000C9230000}"/>
    <cellStyle name="Normal 2 2 2 3 2 2 3 4 2" xfId="19950" xr:uid="{00000000-0005-0000-0000-0000CA230000}"/>
    <cellStyle name="Normal 2 2 2 3 2 2 3 4 2 2" xfId="19955" xr:uid="{00000000-0005-0000-0000-0000CB230000}"/>
    <cellStyle name="Normal 2 2 2 3 2 2 3 4 3" xfId="18841" xr:uid="{00000000-0005-0000-0000-0000CC230000}"/>
    <cellStyle name="Normal 2 2 2 3 2 2 3 5" xfId="19959" xr:uid="{00000000-0005-0000-0000-0000CD230000}"/>
    <cellStyle name="Normal 2 2 2 3 2 2 3 5 2" xfId="19963" xr:uid="{00000000-0005-0000-0000-0000CE230000}"/>
    <cellStyle name="Normal 2 2 2 3 2 2 3 6" xfId="19965" xr:uid="{00000000-0005-0000-0000-0000CF230000}"/>
    <cellStyle name="Normal 2 2 2 3 2 2 3 6 2" xfId="19967" xr:uid="{00000000-0005-0000-0000-0000D0230000}"/>
    <cellStyle name="Normal 2 2 2 3 2 2 3 7" xfId="10013" xr:uid="{00000000-0005-0000-0000-0000D1230000}"/>
    <cellStyle name="Normal 2 2 2 3 2 2 3 8" xfId="19809" xr:uid="{00000000-0005-0000-0000-0000D2230000}"/>
    <cellStyle name="Normal 2 2 2 3 2 2 4" xfId="19968" xr:uid="{00000000-0005-0000-0000-0000D3230000}"/>
    <cellStyle name="Normal 2 2 2 3 2 2 4 2" xfId="19971" xr:uid="{00000000-0005-0000-0000-0000D4230000}"/>
    <cellStyle name="Normal 2 2 2 3 2 2 4 2 2" xfId="459" xr:uid="{00000000-0005-0000-0000-0000D5230000}"/>
    <cellStyle name="Normal 2 2 2 3 2 2 4 2 2 2" xfId="11186" xr:uid="{00000000-0005-0000-0000-0000D6230000}"/>
    <cellStyle name="Normal 2 2 2 3 2 2 4 2 3" xfId="551" xr:uid="{00000000-0005-0000-0000-0000D7230000}"/>
    <cellStyle name="Normal 2 2 2 3 2 2 4 3" xfId="19974" xr:uid="{00000000-0005-0000-0000-0000D8230000}"/>
    <cellStyle name="Normal 2 2 2 3 2 2 4 3 2" xfId="19975" xr:uid="{00000000-0005-0000-0000-0000D9230000}"/>
    <cellStyle name="Normal 2 2 2 3 2 2 4 4" xfId="1902" xr:uid="{00000000-0005-0000-0000-0000DA230000}"/>
    <cellStyle name="Normal 2 2 2 3 2 2 5" xfId="19976" xr:uid="{00000000-0005-0000-0000-0000DB230000}"/>
    <cellStyle name="Normal 2 2 2 3 2 2 5 2" xfId="19979" xr:uid="{00000000-0005-0000-0000-0000DC230000}"/>
    <cellStyle name="Normal 2 2 2 3 2 2 5 2 2" xfId="19980" xr:uid="{00000000-0005-0000-0000-0000DD230000}"/>
    <cellStyle name="Normal 2 2 2 3 2 2 5 3" xfId="19981" xr:uid="{00000000-0005-0000-0000-0000DE230000}"/>
    <cellStyle name="Normal 2 2 2 3 2 2 6" xfId="19982" xr:uid="{00000000-0005-0000-0000-0000DF230000}"/>
    <cellStyle name="Normal 2 2 2 3 2 2 6 2" xfId="12056" xr:uid="{00000000-0005-0000-0000-0000E0230000}"/>
    <cellStyle name="Normal 2 2 2 3 2 2 6 2 2" xfId="19986" xr:uid="{00000000-0005-0000-0000-0000E1230000}"/>
    <cellStyle name="Normal 2 2 2 3 2 2 6 3" xfId="11909" xr:uid="{00000000-0005-0000-0000-0000E2230000}"/>
    <cellStyle name="Normal 2 2 2 3 2 2 7" xfId="15086" xr:uid="{00000000-0005-0000-0000-0000E3230000}"/>
    <cellStyle name="Normal 2 2 2 3 2 2 7 2" xfId="19987" xr:uid="{00000000-0005-0000-0000-0000E4230000}"/>
    <cellStyle name="Normal 2 2 2 3 2 2 8" xfId="12781" xr:uid="{00000000-0005-0000-0000-0000E5230000}"/>
    <cellStyle name="Normal 2 2 2 3 2 2 8 2" xfId="12785" xr:uid="{00000000-0005-0000-0000-0000E6230000}"/>
    <cellStyle name="Normal 2 2 2 3 2 2 9" xfId="12788" xr:uid="{00000000-0005-0000-0000-0000E7230000}"/>
    <cellStyle name="Normal 2 2 2 3 2 3" xfId="12257" xr:uid="{00000000-0005-0000-0000-0000E8230000}"/>
    <cellStyle name="Normal 2 2 2 3 2 3 2" xfId="13123" xr:uid="{00000000-0005-0000-0000-0000E9230000}"/>
    <cellStyle name="Normal 2 2 2 3 2 3 2 2" xfId="17109" xr:uid="{00000000-0005-0000-0000-0000EA230000}"/>
    <cellStyle name="Normal 2 2 2 3 2 3 2 2 2" xfId="19989" xr:uid="{00000000-0005-0000-0000-0000EB230000}"/>
    <cellStyle name="Normal 2 2 2 3 2 3 2 2 2 2" xfId="19993" xr:uid="{00000000-0005-0000-0000-0000EC230000}"/>
    <cellStyle name="Normal 2 2 2 3 2 3 2 2 2 2 2" xfId="17995" xr:uid="{00000000-0005-0000-0000-0000ED230000}"/>
    <cellStyle name="Normal 2 2 2 3 2 3 2 2 2 3" xfId="19996" xr:uid="{00000000-0005-0000-0000-0000EE230000}"/>
    <cellStyle name="Normal 2 2 2 3 2 3 2 2 3" xfId="19998" xr:uid="{00000000-0005-0000-0000-0000EF230000}"/>
    <cellStyle name="Normal 2 2 2 3 2 3 2 2 3 2" xfId="20002" xr:uid="{00000000-0005-0000-0000-0000F0230000}"/>
    <cellStyle name="Normal 2 2 2 3 2 3 2 2 4" xfId="20004" xr:uid="{00000000-0005-0000-0000-0000F1230000}"/>
    <cellStyle name="Normal 2 2 2 3 2 3 2 2 5" xfId="17482" xr:uid="{00000000-0005-0000-0000-0000F2230000}"/>
    <cellStyle name="Normal 2 2 2 3 2 3 2 3" xfId="20007" xr:uid="{00000000-0005-0000-0000-0000F3230000}"/>
    <cellStyle name="Normal 2 2 2 3 2 3 2 3 2" xfId="20010" xr:uid="{00000000-0005-0000-0000-0000F4230000}"/>
    <cellStyle name="Normal 2 2 2 3 2 3 2 3 2 2" xfId="20014" xr:uid="{00000000-0005-0000-0000-0000F5230000}"/>
    <cellStyle name="Normal 2 2 2 3 2 3 2 3 3" xfId="20017" xr:uid="{00000000-0005-0000-0000-0000F6230000}"/>
    <cellStyle name="Normal 2 2 2 3 2 3 2 4" xfId="20021" xr:uid="{00000000-0005-0000-0000-0000F7230000}"/>
    <cellStyle name="Normal 2 2 2 3 2 3 2 4 2" xfId="20025" xr:uid="{00000000-0005-0000-0000-0000F8230000}"/>
    <cellStyle name="Normal 2 2 2 3 2 3 2 4 2 2" xfId="20029" xr:uid="{00000000-0005-0000-0000-0000F9230000}"/>
    <cellStyle name="Normal 2 2 2 3 2 3 2 4 3" xfId="20030" xr:uid="{00000000-0005-0000-0000-0000FA230000}"/>
    <cellStyle name="Normal 2 2 2 3 2 3 2 5" xfId="20037" xr:uid="{00000000-0005-0000-0000-0000FB230000}"/>
    <cellStyle name="Normal 2 2 2 3 2 3 2 5 2" xfId="376" xr:uid="{00000000-0005-0000-0000-0000FC230000}"/>
    <cellStyle name="Normal 2 2 2 3 2 3 2 6" xfId="20042" xr:uid="{00000000-0005-0000-0000-0000FD230000}"/>
    <cellStyle name="Normal 2 2 2 3 2 3 2 6 2" xfId="20043" xr:uid="{00000000-0005-0000-0000-0000FE230000}"/>
    <cellStyle name="Normal 2 2 2 3 2 3 2 7" xfId="20044" xr:uid="{00000000-0005-0000-0000-0000FF230000}"/>
    <cellStyle name="Normal 2 2 2 3 2 3 2 8" xfId="20045" xr:uid="{00000000-0005-0000-0000-000000240000}"/>
    <cellStyle name="Normal 2 2 2 3 2 3 3" xfId="1916" xr:uid="{00000000-0005-0000-0000-000001240000}"/>
    <cellStyle name="Normal 2 2 2 3 2 3 3 2" xfId="20046" xr:uid="{00000000-0005-0000-0000-000002240000}"/>
    <cellStyle name="Normal 2 2 2 3 2 3 3 2 2" xfId="20050" xr:uid="{00000000-0005-0000-0000-000003240000}"/>
    <cellStyle name="Normal 2 2 2 3 2 3 3 2 2 2" xfId="20053" xr:uid="{00000000-0005-0000-0000-000004240000}"/>
    <cellStyle name="Normal 2 2 2 3 2 3 3 2 3" xfId="20054" xr:uid="{00000000-0005-0000-0000-000005240000}"/>
    <cellStyle name="Normal 2 2 2 3 2 3 3 3" xfId="20055" xr:uid="{00000000-0005-0000-0000-000006240000}"/>
    <cellStyle name="Normal 2 2 2 3 2 3 3 3 2" xfId="20058" xr:uid="{00000000-0005-0000-0000-000007240000}"/>
    <cellStyle name="Normal 2 2 2 3 2 3 3 4" xfId="20060" xr:uid="{00000000-0005-0000-0000-000008240000}"/>
    <cellStyle name="Normal 2 2 2 3 2 3 3 5" xfId="20061" xr:uid="{00000000-0005-0000-0000-000009240000}"/>
    <cellStyle name="Normal 2 2 2 3 2 3 4" xfId="20062" xr:uid="{00000000-0005-0000-0000-00000A240000}"/>
    <cellStyle name="Normal 2 2 2 3 2 3 4 2" xfId="20065" xr:uid="{00000000-0005-0000-0000-00000B240000}"/>
    <cellStyle name="Normal 2 2 2 3 2 3 4 2 2" xfId="20066" xr:uid="{00000000-0005-0000-0000-00000C240000}"/>
    <cellStyle name="Normal 2 2 2 3 2 3 4 3" xfId="20067" xr:uid="{00000000-0005-0000-0000-00000D240000}"/>
    <cellStyle name="Normal 2 2 2 3 2 3 5" xfId="20068" xr:uid="{00000000-0005-0000-0000-00000E240000}"/>
    <cellStyle name="Normal 2 2 2 3 2 3 5 2" xfId="20071" xr:uid="{00000000-0005-0000-0000-00000F240000}"/>
    <cellStyle name="Normal 2 2 2 3 2 3 5 2 2" xfId="20072" xr:uid="{00000000-0005-0000-0000-000010240000}"/>
    <cellStyle name="Normal 2 2 2 3 2 3 5 3" xfId="20073" xr:uid="{00000000-0005-0000-0000-000011240000}"/>
    <cellStyle name="Normal 2 2 2 3 2 3 6" xfId="20074" xr:uid="{00000000-0005-0000-0000-000012240000}"/>
    <cellStyle name="Normal 2 2 2 3 2 3 6 2" xfId="20075" xr:uid="{00000000-0005-0000-0000-000013240000}"/>
    <cellStyle name="Normal 2 2 2 3 2 3 7" xfId="20079" xr:uid="{00000000-0005-0000-0000-000014240000}"/>
    <cellStyle name="Normal 2 2 2 3 2 3 7 2" xfId="20080" xr:uid="{00000000-0005-0000-0000-000015240000}"/>
    <cellStyle name="Normal 2 2 2 3 2 3 8" xfId="12811" xr:uid="{00000000-0005-0000-0000-000016240000}"/>
    <cellStyle name="Normal 2 2 2 3 2 3 9" xfId="12817" xr:uid="{00000000-0005-0000-0000-000017240000}"/>
    <cellStyle name="Normal 2 2 2 3 2 4" xfId="17113" xr:uid="{00000000-0005-0000-0000-000018240000}"/>
    <cellStyle name="Normal 2 2 2 3 2 4 2" xfId="17115" xr:uid="{00000000-0005-0000-0000-000019240000}"/>
    <cellStyle name="Normal 2 2 2 3 2 4 2 2" xfId="19373" xr:uid="{00000000-0005-0000-0000-00001A240000}"/>
    <cellStyle name="Normal 2 2 2 3 2 4 2 2 2" xfId="19376" xr:uid="{00000000-0005-0000-0000-00001B240000}"/>
    <cellStyle name="Normal 2 2 2 3 2 4 2 2 2 2" xfId="13811" xr:uid="{00000000-0005-0000-0000-00001C240000}"/>
    <cellStyle name="Normal 2 2 2 3 2 4 2 2 2 2 2" xfId="13820" xr:uid="{00000000-0005-0000-0000-00001D240000}"/>
    <cellStyle name="Normal 2 2 2 3 2 4 2 2 2 3" xfId="13829" xr:uid="{00000000-0005-0000-0000-00001E240000}"/>
    <cellStyle name="Normal 2 2 2 3 2 4 2 2 3" xfId="19381" xr:uid="{00000000-0005-0000-0000-00001F240000}"/>
    <cellStyle name="Normal 2 2 2 3 2 4 2 2 3 2" xfId="12833" xr:uid="{00000000-0005-0000-0000-000020240000}"/>
    <cellStyle name="Normal 2 2 2 3 2 4 2 2 4" xfId="19386" xr:uid="{00000000-0005-0000-0000-000021240000}"/>
    <cellStyle name="Normal 2 2 2 3 2 4 2 3" xfId="19391" xr:uid="{00000000-0005-0000-0000-000022240000}"/>
    <cellStyle name="Normal 2 2 2 3 2 4 2 3 2" xfId="19393" xr:uid="{00000000-0005-0000-0000-000023240000}"/>
    <cellStyle name="Normal 2 2 2 3 2 4 2 3 2 2" xfId="19398" xr:uid="{00000000-0005-0000-0000-000024240000}"/>
    <cellStyle name="Normal 2 2 2 3 2 4 2 3 3" xfId="19401" xr:uid="{00000000-0005-0000-0000-000025240000}"/>
    <cellStyle name="Normal 2 2 2 3 2 4 2 4" xfId="19403" xr:uid="{00000000-0005-0000-0000-000026240000}"/>
    <cellStyle name="Normal 2 2 2 3 2 4 2 4 2" xfId="127" xr:uid="{00000000-0005-0000-0000-000027240000}"/>
    <cellStyle name="Normal 2 2 2 3 2 4 2 4 2 2" xfId="12687" xr:uid="{00000000-0005-0000-0000-000028240000}"/>
    <cellStyle name="Normal 2 2 2 3 2 4 2 4 3" xfId="19410" xr:uid="{00000000-0005-0000-0000-000029240000}"/>
    <cellStyle name="Normal 2 2 2 3 2 4 2 5" xfId="19412" xr:uid="{00000000-0005-0000-0000-00002A240000}"/>
    <cellStyle name="Normal 2 2 2 3 2 4 2 5 2" xfId="2435" xr:uid="{00000000-0005-0000-0000-00002B240000}"/>
    <cellStyle name="Normal 2 2 2 3 2 4 2 6" xfId="19415" xr:uid="{00000000-0005-0000-0000-00002C240000}"/>
    <cellStyle name="Normal 2 2 2 3 2 4 2 6 2" xfId="19417" xr:uid="{00000000-0005-0000-0000-00002D240000}"/>
    <cellStyle name="Normal 2 2 2 3 2 4 2 7" xfId="19421" xr:uid="{00000000-0005-0000-0000-00002E240000}"/>
    <cellStyle name="Normal 2 2 2 3 2 4 2 8" xfId="19427" xr:uid="{00000000-0005-0000-0000-00002F240000}"/>
    <cellStyle name="Normal 2 2 2 3 2 4 3" xfId="20082" xr:uid="{00000000-0005-0000-0000-000030240000}"/>
    <cellStyle name="Normal 2 2 2 3 2 4 3 2" xfId="20084" xr:uid="{00000000-0005-0000-0000-000031240000}"/>
    <cellStyle name="Normal 2 2 2 3 2 4 3 2 2" xfId="10099" xr:uid="{00000000-0005-0000-0000-000032240000}"/>
    <cellStyle name="Normal 2 2 2 3 2 4 3 2 2 2" xfId="20085" xr:uid="{00000000-0005-0000-0000-000033240000}"/>
    <cellStyle name="Normal 2 2 2 3 2 4 3 2 3" xfId="20089" xr:uid="{00000000-0005-0000-0000-000034240000}"/>
    <cellStyle name="Normal 2 2 2 3 2 4 3 3" xfId="20091" xr:uid="{00000000-0005-0000-0000-000035240000}"/>
    <cellStyle name="Normal 2 2 2 3 2 4 3 3 2" xfId="11871" xr:uid="{00000000-0005-0000-0000-000036240000}"/>
    <cellStyle name="Normal 2 2 2 3 2 4 3 4" xfId="20092" xr:uid="{00000000-0005-0000-0000-000037240000}"/>
    <cellStyle name="Normal 2 2 2 3 2 4 4" xfId="20094" xr:uid="{00000000-0005-0000-0000-000038240000}"/>
    <cellStyle name="Normal 2 2 2 3 2 4 4 2" xfId="20097" xr:uid="{00000000-0005-0000-0000-000039240000}"/>
    <cellStyle name="Normal 2 2 2 3 2 4 4 2 2" xfId="20099" xr:uid="{00000000-0005-0000-0000-00003A240000}"/>
    <cellStyle name="Normal 2 2 2 3 2 4 4 3" xfId="20101" xr:uid="{00000000-0005-0000-0000-00003B240000}"/>
    <cellStyle name="Normal 2 2 2 3 2 4 5" xfId="20104" xr:uid="{00000000-0005-0000-0000-00003C240000}"/>
    <cellStyle name="Normal 2 2 2 3 2 4 5 2" xfId="20107" xr:uid="{00000000-0005-0000-0000-00003D240000}"/>
    <cellStyle name="Normal 2 2 2 3 2 4 5 2 2" xfId="20109" xr:uid="{00000000-0005-0000-0000-00003E240000}"/>
    <cellStyle name="Normal 2 2 2 3 2 4 5 3" xfId="20110" xr:uid="{00000000-0005-0000-0000-00003F240000}"/>
    <cellStyle name="Normal 2 2 2 3 2 4 6" xfId="20111" xr:uid="{00000000-0005-0000-0000-000040240000}"/>
    <cellStyle name="Normal 2 2 2 3 2 4 6 2" xfId="20113" xr:uid="{00000000-0005-0000-0000-000041240000}"/>
    <cellStyle name="Normal 2 2 2 3 2 4 7" xfId="20114" xr:uid="{00000000-0005-0000-0000-000042240000}"/>
    <cellStyle name="Normal 2 2 2 3 2 4 7 2" xfId="20116" xr:uid="{00000000-0005-0000-0000-000043240000}"/>
    <cellStyle name="Normal 2 2 2 3 2 4 8" xfId="12854" xr:uid="{00000000-0005-0000-0000-000044240000}"/>
    <cellStyle name="Normal 2 2 2 3 2 4 9" xfId="12860" xr:uid="{00000000-0005-0000-0000-000045240000}"/>
    <cellStyle name="Normal 2 2 2 3 2 5" xfId="13862" xr:uid="{00000000-0005-0000-0000-000046240000}"/>
    <cellStyle name="Normal 2 2 2 3 2 5 2" xfId="13867" xr:uid="{00000000-0005-0000-0000-000047240000}"/>
    <cellStyle name="Normal 2 2 2 3 2 5 2 2" xfId="13876" xr:uid="{00000000-0005-0000-0000-000048240000}"/>
    <cellStyle name="Normal 2 2 2 3 2 5 2 2 2" xfId="10694" xr:uid="{00000000-0005-0000-0000-000049240000}"/>
    <cellStyle name="Normal 2 2 2 3 2 5 2 2 2 2" xfId="13073" xr:uid="{00000000-0005-0000-0000-00004A240000}"/>
    <cellStyle name="Normal 2 2 2 3 2 5 2 2 2 2 2" xfId="9241" xr:uid="{00000000-0005-0000-0000-00004B240000}"/>
    <cellStyle name="Normal 2 2 2 3 2 5 2 2 2 3" xfId="2101" xr:uid="{00000000-0005-0000-0000-00004C240000}"/>
    <cellStyle name="Normal 2 2 2 3 2 5 2 2 3" xfId="10712" xr:uid="{00000000-0005-0000-0000-00004D240000}"/>
    <cellStyle name="Normal 2 2 2 3 2 5 2 2 3 2" xfId="13241" xr:uid="{00000000-0005-0000-0000-00004E240000}"/>
    <cellStyle name="Normal 2 2 2 3 2 5 2 2 4" xfId="13330" xr:uid="{00000000-0005-0000-0000-00004F240000}"/>
    <cellStyle name="Normal 2 2 2 3 2 5 2 3" xfId="5675" xr:uid="{00000000-0005-0000-0000-000050240000}"/>
    <cellStyle name="Normal 2 2 2 3 2 5 2 3 2" xfId="928" xr:uid="{00000000-0005-0000-0000-000051240000}"/>
    <cellStyle name="Normal 2 2 2 3 2 5 2 3 2 2" xfId="945" xr:uid="{00000000-0005-0000-0000-000052240000}"/>
    <cellStyle name="Normal 2 2 2 3 2 5 2 3 3" xfId="958" xr:uid="{00000000-0005-0000-0000-000053240000}"/>
    <cellStyle name="Normal 2 2 2 3 2 5 2 4" xfId="5692" xr:uid="{00000000-0005-0000-0000-000054240000}"/>
    <cellStyle name="Normal 2 2 2 3 2 5 2 4 2" xfId="1010" xr:uid="{00000000-0005-0000-0000-000055240000}"/>
    <cellStyle name="Normal 2 2 2 3 2 5 2 4 2 2" xfId="5454" xr:uid="{00000000-0005-0000-0000-000056240000}"/>
    <cellStyle name="Normal 2 2 2 3 2 5 2 4 3" xfId="5710" xr:uid="{00000000-0005-0000-0000-000057240000}"/>
    <cellStyle name="Normal 2 2 2 3 2 5 2 5" xfId="5728" xr:uid="{00000000-0005-0000-0000-000058240000}"/>
    <cellStyle name="Normal 2 2 2 3 2 5 2 5 2" xfId="1069" xr:uid="{00000000-0005-0000-0000-000059240000}"/>
    <cellStyle name="Normal 2 2 2 3 2 5 2 6" xfId="5745" xr:uid="{00000000-0005-0000-0000-00005A240000}"/>
    <cellStyle name="Normal 2 2 2 3 2 5 2 6 2" xfId="5756" xr:uid="{00000000-0005-0000-0000-00005B240000}"/>
    <cellStyle name="Normal 2 2 2 3 2 5 2 7" xfId="3727" xr:uid="{00000000-0005-0000-0000-00005C240000}"/>
    <cellStyle name="Normal 2 2 2 3 2 5 2 8" xfId="2304" xr:uid="{00000000-0005-0000-0000-00005D240000}"/>
    <cellStyle name="Normal 2 2 2 3 2 5 3" xfId="13879" xr:uid="{00000000-0005-0000-0000-00005E240000}"/>
    <cellStyle name="Normal 2 2 2 3 2 5 3 2" xfId="20119" xr:uid="{00000000-0005-0000-0000-00005F240000}"/>
    <cellStyle name="Normal 2 2 2 3 2 5 3 2 2" xfId="20120" xr:uid="{00000000-0005-0000-0000-000060240000}"/>
    <cellStyle name="Normal 2 2 2 3 2 5 3 2 2 2" xfId="20121" xr:uid="{00000000-0005-0000-0000-000061240000}"/>
    <cellStyle name="Normal 2 2 2 3 2 5 3 2 3" xfId="20122" xr:uid="{00000000-0005-0000-0000-000062240000}"/>
    <cellStyle name="Normal 2 2 2 3 2 5 3 3" xfId="5850" xr:uid="{00000000-0005-0000-0000-000063240000}"/>
    <cellStyle name="Normal 2 2 2 3 2 5 3 3 2" xfId="1246" xr:uid="{00000000-0005-0000-0000-000064240000}"/>
    <cellStyle name="Normal 2 2 2 3 2 5 3 4" xfId="5873" xr:uid="{00000000-0005-0000-0000-000065240000}"/>
    <cellStyle name="Normal 2 2 2 3 2 5 4" xfId="9500" xr:uid="{00000000-0005-0000-0000-000066240000}"/>
    <cellStyle name="Normal 2 2 2 3 2 5 4 2" xfId="20124" xr:uid="{00000000-0005-0000-0000-000067240000}"/>
    <cellStyle name="Normal 2 2 2 3 2 5 4 2 2" xfId="20126" xr:uid="{00000000-0005-0000-0000-000068240000}"/>
    <cellStyle name="Normal 2 2 2 3 2 5 4 3" xfId="6046" xr:uid="{00000000-0005-0000-0000-000069240000}"/>
    <cellStyle name="Normal 2 2 2 3 2 5 5" xfId="20127" xr:uid="{00000000-0005-0000-0000-00006A240000}"/>
    <cellStyle name="Normal 2 2 2 3 2 5 5 2" xfId="20134" xr:uid="{00000000-0005-0000-0000-00006B240000}"/>
    <cellStyle name="Normal 2 2 2 3 2 5 5 2 2" xfId="20137" xr:uid="{00000000-0005-0000-0000-00006C240000}"/>
    <cellStyle name="Normal 2 2 2 3 2 5 5 3" xfId="6130" xr:uid="{00000000-0005-0000-0000-00006D240000}"/>
    <cellStyle name="Normal 2 2 2 3 2 5 6" xfId="20139" xr:uid="{00000000-0005-0000-0000-00006E240000}"/>
    <cellStyle name="Normal 2 2 2 3 2 5 6 2" xfId="20142" xr:uid="{00000000-0005-0000-0000-00006F240000}"/>
    <cellStyle name="Normal 2 2 2 3 2 5 7" xfId="20143" xr:uid="{00000000-0005-0000-0000-000070240000}"/>
    <cellStyle name="Normal 2 2 2 3 2 5 7 2" xfId="20147" xr:uid="{00000000-0005-0000-0000-000071240000}"/>
    <cellStyle name="Normal 2 2 2 3 2 5 8" xfId="8981" xr:uid="{00000000-0005-0000-0000-000072240000}"/>
    <cellStyle name="Normal 2 2 2 3 2 5 9" xfId="8987" xr:uid="{00000000-0005-0000-0000-000073240000}"/>
    <cellStyle name="Normal 2 2 2 3 2 6" xfId="13880" xr:uid="{00000000-0005-0000-0000-000074240000}"/>
    <cellStyle name="Normal 2 2 2 3 2 6 2" xfId="13884" xr:uid="{00000000-0005-0000-0000-000075240000}"/>
    <cellStyle name="Normal 2 2 2 3 2 6 2 2" xfId="13886" xr:uid="{00000000-0005-0000-0000-000076240000}"/>
    <cellStyle name="Normal 2 2 2 3 2 6 2 2 2" xfId="19701" xr:uid="{00000000-0005-0000-0000-000077240000}"/>
    <cellStyle name="Normal 2 2 2 3 2 6 2 2 2 2" xfId="20148" xr:uid="{00000000-0005-0000-0000-000078240000}"/>
    <cellStyle name="Normal 2 2 2 3 2 6 2 2 3" xfId="20149" xr:uid="{00000000-0005-0000-0000-000079240000}"/>
    <cellStyle name="Normal 2 2 2 3 2 6 2 3" xfId="545" xr:uid="{00000000-0005-0000-0000-00007A240000}"/>
    <cellStyle name="Normal 2 2 2 3 2 6 2 3 2" xfId="1609" xr:uid="{00000000-0005-0000-0000-00007B240000}"/>
    <cellStyle name="Normal 2 2 2 3 2 6 2 4" xfId="656" xr:uid="{00000000-0005-0000-0000-00007C240000}"/>
    <cellStyle name="Normal 2 2 2 3 2 6 3" xfId="13891" xr:uid="{00000000-0005-0000-0000-00007D240000}"/>
    <cellStyle name="Normal 2 2 2 3 2 6 3 2" xfId="20151" xr:uid="{00000000-0005-0000-0000-00007E240000}"/>
    <cellStyle name="Normal 2 2 2 3 2 6 3 2 2" xfId="20152" xr:uid="{00000000-0005-0000-0000-00007F240000}"/>
    <cellStyle name="Normal 2 2 2 3 2 6 3 3" xfId="6845" xr:uid="{00000000-0005-0000-0000-000080240000}"/>
    <cellStyle name="Normal 2 2 2 3 2 6 4" xfId="20154" xr:uid="{00000000-0005-0000-0000-000081240000}"/>
    <cellStyle name="Normal 2 2 2 3 2 6 4 2" xfId="20156" xr:uid="{00000000-0005-0000-0000-000082240000}"/>
    <cellStyle name="Normal 2 2 2 3 2 6 4 2 2" xfId="20158" xr:uid="{00000000-0005-0000-0000-000083240000}"/>
    <cellStyle name="Normal 2 2 2 3 2 6 4 3" xfId="1952" xr:uid="{00000000-0005-0000-0000-000084240000}"/>
    <cellStyle name="Normal 2 2 2 3 2 6 5" xfId="20160" xr:uid="{00000000-0005-0000-0000-000085240000}"/>
    <cellStyle name="Normal 2 2 2 3 2 6 5 2" xfId="20165" xr:uid="{00000000-0005-0000-0000-000086240000}"/>
    <cellStyle name="Normal 2 2 2 3 2 6 6" xfId="20166" xr:uid="{00000000-0005-0000-0000-000087240000}"/>
    <cellStyle name="Normal 2 2 2 3 2 6 6 2" xfId="20167" xr:uid="{00000000-0005-0000-0000-000088240000}"/>
    <cellStyle name="Normal 2 2 2 3 2 6 7" xfId="20168" xr:uid="{00000000-0005-0000-0000-000089240000}"/>
    <cellStyle name="Normal 2 2 2 3 2 6 8" xfId="4475" xr:uid="{00000000-0005-0000-0000-00008A240000}"/>
    <cellStyle name="Normal 2 2 2 3 2 7" xfId="1054" xr:uid="{00000000-0005-0000-0000-00008B240000}"/>
    <cellStyle name="Normal 2 2 2 3 2 7 2" xfId="13894" xr:uid="{00000000-0005-0000-0000-00008C240000}"/>
    <cellStyle name="Normal 2 2 2 3 2 7 2 2" xfId="20169" xr:uid="{00000000-0005-0000-0000-00008D240000}"/>
    <cellStyle name="Normal 2 2 2 3 2 7 2 2 2" xfId="9407" xr:uid="{00000000-0005-0000-0000-00008E240000}"/>
    <cellStyle name="Normal 2 2 2 3 2 7 2 3" xfId="6961" xr:uid="{00000000-0005-0000-0000-00008F240000}"/>
    <cellStyle name="Normal 2 2 2 3 2 7 3" xfId="20171" xr:uid="{00000000-0005-0000-0000-000090240000}"/>
    <cellStyle name="Normal 2 2 2 3 2 7 3 2" xfId="20172" xr:uid="{00000000-0005-0000-0000-000091240000}"/>
    <cellStyle name="Normal 2 2 2 3 2 7 4" xfId="20173" xr:uid="{00000000-0005-0000-0000-000092240000}"/>
    <cellStyle name="Normal 2 2 2 3 2 8" xfId="13896" xr:uid="{00000000-0005-0000-0000-000093240000}"/>
    <cellStyle name="Normal 2 2 2 3 2 8 2" xfId="13898" xr:uid="{00000000-0005-0000-0000-000094240000}"/>
    <cellStyle name="Normal 2 2 2 3 2 8 2 2" xfId="20175" xr:uid="{00000000-0005-0000-0000-000095240000}"/>
    <cellStyle name="Normal 2 2 2 3 2 8 3" xfId="20178" xr:uid="{00000000-0005-0000-0000-000096240000}"/>
    <cellStyle name="Normal 2 2 2 3 2 9" xfId="13900" xr:uid="{00000000-0005-0000-0000-000097240000}"/>
    <cellStyle name="Normal 2 2 2 3 2 9 2" xfId="13902" xr:uid="{00000000-0005-0000-0000-000098240000}"/>
    <cellStyle name="Normal 2 2 2 3 2 9 2 2" xfId="20179" xr:uid="{00000000-0005-0000-0000-000099240000}"/>
    <cellStyle name="Normal 2 2 2 3 2 9 3" xfId="17474" xr:uid="{00000000-0005-0000-0000-00009A240000}"/>
    <cellStyle name="Normal 2 2 2 4" xfId="20181" xr:uid="{00000000-0005-0000-0000-00009B240000}"/>
    <cellStyle name="Normal 2 2 2 5" xfId="12535" xr:uid="{00000000-0005-0000-0000-00009C240000}"/>
    <cellStyle name="Normal 2 2 3" xfId="20183" xr:uid="{00000000-0005-0000-0000-00009D240000}"/>
    <cellStyle name="Normal 2 2 3 2" xfId="20186" xr:uid="{00000000-0005-0000-0000-00009E240000}"/>
    <cellStyle name="Normal 2 2 3 2 2" xfId="20189" xr:uid="{00000000-0005-0000-0000-00009F240000}"/>
    <cellStyle name="Normal 2 2 3 3" xfId="20191" xr:uid="{00000000-0005-0000-0000-0000A0240000}"/>
    <cellStyle name="Normal 2 2 3 3 10" xfId="6076" xr:uid="{00000000-0005-0000-0000-0000A1240000}"/>
    <cellStyle name="Normal 2 2 3 3 10 2" xfId="20192" xr:uid="{00000000-0005-0000-0000-0000A2240000}"/>
    <cellStyle name="Normal 2 2 3 3 11" xfId="20194" xr:uid="{00000000-0005-0000-0000-0000A3240000}"/>
    <cellStyle name="Normal 2 2 3 3 11 2" xfId="20195" xr:uid="{00000000-0005-0000-0000-0000A4240000}"/>
    <cellStyle name="Normal 2 2 3 3 12" xfId="7445" xr:uid="{00000000-0005-0000-0000-0000A5240000}"/>
    <cellStyle name="Normal 2 2 3 3 12 2" xfId="20196" xr:uid="{00000000-0005-0000-0000-0000A6240000}"/>
    <cellStyle name="Normal 2 2 3 3 13" xfId="20197" xr:uid="{00000000-0005-0000-0000-0000A7240000}"/>
    <cellStyle name="Normal 2 2 3 3 14" xfId="20200" xr:uid="{00000000-0005-0000-0000-0000A8240000}"/>
    <cellStyle name="Normal 2 2 3 3 2" xfId="20203" xr:uid="{00000000-0005-0000-0000-0000A9240000}"/>
    <cellStyle name="Normal 2 2 3 3 2 10" xfId="20205" xr:uid="{00000000-0005-0000-0000-0000AA240000}"/>
    <cellStyle name="Normal 2 2 3 3 2 2" xfId="20206" xr:uid="{00000000-0005-0000-0000-0000AB240000}"/>
    <cellStyle name="Normal 2 2 3 3 2 2 2" xfId="20207" xr:uid="{00000000-0005-0000-0000-0000AC240000}"/>
    <cellStyle name="Normal 2 2 3 3 2 2 2 2" xfId="3898" xr:uid="{00000000-0005-0000-0000-0000AD240000}"/>
    <cellStyle name="Normal 2 2 3 3 2 2 2 2 2" xfId="3901" xr:uid="{00000000-0005-0000-0000-0000AE240000}"/>
    <cellStyle name="Normal 2 2 3 3 2 2 2 2 2 2" xfId="20208" xr:uid="{00000000-0005-0000-0000-0000AF240000}"/>
    <cellStyle name="Normal 2 2 3 3 2 2 2 2 2 2 2" xfId="9122" xr:uid="{00000000-0005-0000-0000-0000B0240000}"/>
    <cellStyle name="Normal 2 2 3 3 2 2 2 2 2 3" xfId="20213" xr:uid="{00000000-0005-0000-0000-0000B1240000}"/>
    <cellStyle name="Normal 2 2 3 3 2 2 2 2 3" xfId="20217" xr:uid="{00000000-0005-0000-0000-0000B2240000}"/>
    <cellStyle name="Normal 2 2 3 3 2 2 2 2 3 2" xfId="20221" xr:uid="{00000000-0005-0000-0000-0000B3240000}"/>
    <cellStyle name="Normal 2 2 3 3 2 2 2 2 4" xfId="11524" xr:uid="{00000000-0005-0000-0000-0000B4240000}"/>
    <cellStyle name="Normal 2 2 3 3 2 2 2 3" xfId="3908" xr:uid="{00000000-0005-0000-0000-0000B5240000}"/>
    <cellStyle name="Normal 2 2 3 3 2 2 2 3 2" xfId="3918" xr:uid="{00000000-0005-0000-0000-0000B6240000}"/>
    <cellStyle name="Normal 2 2 3 3 2 2 2 3 2 2" xfId="20223" xr:uid="{00000000-0005-0000-0000-0000B7240000}"/>
    <cellStyle name="Normal 2 2 3 3 2 2 2 3 3" xfId="20229" xr:uid="{00000000-0005-0000-0000-0000B8240000}"/>
    <cellStyle name="Normal 2 2 3 3 2 2 2 4" xfId="3849" xr:uid="{00000000-0005-0000-0000-0000B9240000}"/>
    <cellStyle name="Normal 2 2 3 3 2 2 2 4 2" xfId="3863" xr:uid="{00000000-0005-0000-0000-0000BA240000}"/>
    <cellStyle name="Normal 2 2 3 3 2 2 2 4 2 2" xfId="20230" xr:uid="{00000000-0005-0000-0000-0000BB240000}"/>
    <cellStyle name="Normal 2 2 3 3 2 2 2 4 3" xfId="20234" xr:uid="{00000000-0005-0000-0000-0000BC240000}"/>
    <cellStyle name="Normal 2 2 3 3 2 2 2 5" xfId="3882" xr:uid="{00000000-0005-0000-0000-0000BD240000}"/>
    <cellStyle name="Normal 2 2 3 3 2 2 2 5 2" xfId="17150" xr:uid="{00000000-0005-0000-0000-0000BE240000}"/>
    <cellStyle name="Normal 2 2 3 3 2 2 2 6" xfId="3922" xr:uid="{00000000-0005-0000-0000-0000BF240000}"/>
    <cellStyle name="Normal 2 2 3 3 2 2 2 6 2" xfId="17160" xr:uid="{00000000-0005-0000-0000-0000C0240000}"/>
    <cellStyle name="Normal 2 2 3 3 2 2 2 7" xfId="20235" xr:uid="{00000000-0005-0000-0000-0000C1240000}"/>
    <cellStyle name="Normal 2 2 3 3 2 2 2 8" xfId="20238" xr:uid="{00000000-0005-0000-0000-0000C2240000}"/>
    <cellStyle name="Normal 2 2 3 3 2 2 3" xfId="16222" xr:uid="{00000000-0005-0000-0000-0000C3240000}"/>
    <cellStyle name="Normal 2 2 3 3 2 2 3 2" xfId="20239" xr:uid="{00000000-0005-0000-0000-0000C4240000}"/>
    <cellStyle name="Normal 2 2 3 3 2 2 3 2 2" xfId="20241" xr:uid="{00000000-0005-0000-0000-0000C5240000}"/>
    <cellStyle name="Normal 2 2 3 3 2 2 3 2 2 2" xfId="12136" xr:uid="{00000000-0005-0000-0000-0000C6240000}"/>
    <cellStyle name="Normal 2 2 3 3 2 2 3 2 3" xfId="20245" xr:uid="{00000000-0005-0000-0000-0000C7240000}"/>
    <cellStyle name="Normal 2 2 3 3 2 2 3 3" xfId="20247" xr:uid="{00000000-0005-0000-0000-0000C8240000}"/>
    <cellStyle name="Normal 2 2 3 3 2 2 3 3 2" xfId="20250" xr:uid="{00000000-0005-0000-0000-0000C9240000}"/>
    <cellStyle name="Normal 2 2 3 3 2 2 3 4" xfId="19003" xr:uid="{00000000-0005-0000-0000-0000CA240000}"/>
    <cellStyle name="Normal 2 2 3 3 2 2 4" xfId="183" xr:uid="{00000000-0005-0000-0000-0000CB240000}"/>
    <cellStyle name="Normal 2 2 3 3 2 2 4 2" xfId="565" xr:uid="{00000000-0005-0000-0000-0000CC240000}"/>
    <cellStyle name="Normal 2 2 3 3 2 2 4 2 2" xfId="902" xr:uid="{00000000-0005-0000-0000-0000CD240000}"/>
    <cellStyle name="Normal 2 2 3 3 2 2 4 3" xfId="673" xr:uid="{00000000-0005-0000-0000-0000CE240000}"/>
    <cellStyle name="Normal 2 2 3 3 2 2 5" xfId="1158" xr:uid="{00000000-0005-0000-0000-0000CF240000}"/>
    <cellStyle name="Normal 2 2 3 3 2 2 5 2" xfId="1176" xr:uid="{00000000-0005-0000-0000-0000D0240000}"/>
    <cellStyle name="Normal 2 2 3 3 2 2 5 2 2" xfId="1208" xr:uid="{00000000-0005-0000-0000-0000D1240000}"/>
    <cellStyle name="Normal 2 2 3 3 2 2 5 3" xfId="1263" xr:uid="{00000000-0005-0000-0000-0000D2240000}"/>
    <cellStyle name="Normal 2 2 3 3 2 2 6" xfId="1309" xr:uid="{00000000-0005-0000-0000-0000D3240000}"/>
    <cellStyle name="Normal 2 2 3 3 2 2 6 2" xfId="1331" xr:uid="{00000000-0005-0000-0000-0000D4240000}"/>
    <cellStyle name="Normal 2 2 3 3 2 2 7" xfId="1373" xr:uid="{00000000-0005-0000-0000-0000D5240000}"/>
    <cellStyle name="Normal 2 2 3 3 2 2 7 2" xfId="1380" xr:uid="{00000000-0005-0000-0000-0000D6240000}"/>
    <cellStyle name="Normal 2 2 3 3 2 2 8" xfId="1464" xr:uid="{00000000-0005-0000-0000-0000D7240000}"/>
    <cellStyle name="Normal 2 2 3 3 2 2 9" xfId="1468" xr:uid="{00000000-0005-0000-0000-0000D8240000}"/>
    <cellStyle name="Normal 2 2 3 3 2 3" xfId="20251" xr:uid="{00000000-0005-0000-0000-0000D9240000}"/>
    <cellStyle name="Normal 2 2 3 3 2 3 2" xfId="20253" xr:uid="{00000000-0005-0000-0000-0000DA240000}"/>
    <cellStyle name="Normal 2 2 3 3 2 3 2 2" xfId="20254" xr:uid="{00000000-0005-0000-0000-0000DB240000}"/>
    <cellStyle name="Normal 2 2 3 3 2 3 2 2 2" xfId="6425" xr:uid="{00000000-0005-0000-0000-0000DC240000}"/>
    <cellStyle name="Normal 2 2 3 3 2 3 2 2 2 2" xfId="6431" xr:uid="{00000000-0005-0000-0000-0000DD240000}"/>
    <cellStyle name="Normal 2 2 3 3 2 3 2 2 3" xfId="6437" xr:uid="{00000000-0005-0000-0000-0000DE240000}"/>
    <cellStyle name="Normal 2 2 3 3 2 3 2 3" xfId="12946" xr:uid="{00000000-0005-0000-0000-0000DF240000}"/>
    <cellStyle name="Normal 2 2 3 3 2 3 2 3 2" xfId="20258" xr:uid="{00000000-0005-0000-0000-0000E0240000}"/>
    <cellStyle name="Normal 2 2 3 3 2 3 2 4" xfId="19014" xr:uid="{00000000-0005-0000-0000-0000E1240000}"/>
    <cellStyle name="Normal 2 2 3 3 2 3 3" xfId="20263" xr:uid="{00000000-0005-0000-0000-0000E2240000}"/>
    <cellStyle name="Normal 2 2 3 3 2 3 3 2" xfId="20264" xr:uid="{00000000-0005-0000-0000-0000E3240000}"/>
    <cellStyle name="Normal 2 2 3 3 2 3 3 2 2" xfId="7686" xr:uid="{00000000-0005-0000-0000-0000E4240000}"/>
    <cellStyle name="Normal 2 2 3 3 2 3 3 3" xfId="20266" xr:uid="{00000000-0005-0000-0000-0000E5240000}"/>
    <cellStyle name="Normal 2 2 3 3 2 3 4" xfId="1539" xr:uid="{00000000-0005-0000-0000-0000E6240000}"/>
    <cellStyle name="Normal 2 2 3 3 2 3 4 2" xfId="1564" xr:uid="{00000000-0005-0000-0000-0000E7240000}"/>
    <cellStyle name="Normal 2 2 3 3 2 3 4 2 2" xfId="1569" xr:uid="{00000000-0005-0000-0000-0000E8240000}"/>
    <cellStyle name="Normal 2 2 3 3 2 3 4 3" xfId="1631" xr:uid="{00000000-0005-0000-0000-0000E9240000}"/>
    <cellStyle name="Normal 2 2 3 3 2 3 5" xfId="1675" xr:uid="{00000000-0005-0000-0000-0000EA240000}"/>
    <cellStyle name="Normal 2 2 3 3 2 3 5 2" xfId="1463" xr:uid="{00000000-0005-0000-0000-0000EB240000}"/>
    <cellStyle name="Normal 2 2 3 3 2 3 6" xfId="1684" xr:uid="{00000000-0005-0000-0000-0000EC240000}"/>
    <cellStyle name="Normal 2 2 3 3 2 3 6 2" xfId="1694" xr:uid="{00000000-0005-0000-0000-0000ED240000}"/>
    <cellStyle name="Normal 2 2 3 3 2 3 7" xfId="144" xr:uid="{00000000-0005-0000-0000-0000EE240000}"/>
    <cellStyle name="Normal 2 2 3 3 2 3 8" xfId="1686" xr:uid="{00000000-0005-0000-0000-0000EF240000}"/>
    <cellStyle name="Normal 2 2 3 3 2 4" xfId="20268" xr:uid="{00000000-0005-0000-0000-0000F0240000}"/>
    <cellStyle name="Normal 2 2 3 3 2 4 2" xfId="20271" xr:uid="{00000000-0005-0000-0000-0000F1240000}"/>
    <cellStyle name="Normal 2 2 3 3 2 4 2 2" xfId="20273" xr:uid="{00000000-0005-0000-0000-0000F2240000}"/>
    <cellStyle name="Normal 2 2 3 3 2 4 2 2 2" xfId="20276" xr:uid="{00000000-0005-0000-0000-0000F3240000}"/>
    <cellStyle name="Normal 2 2 3 3 2 4 2 3" xfId="20279" xr:uid="{00000000-0005-0000-0000-0000F4240000}"/>
    <cellStyle name="Normal 2 2 3 3 2 4 3" xfId="20283" xr:uid="{00000000-0005-0000-0000-0000F5240000}"/>
    <cellStyle name="Normal 2 2 3 3 2 4 3 2" xfId="20286" xr:uid="{00000000-0005-0000-0000-0000F6240000}"/>
    <cellStyle name="Normal 2 2 3 3 2 4 4" xfId="1726" xr:uid="{00000000-0005-0000-0000-0000F7240000}"/>
    <cellStyle name="Normal 2 2 3 3 2 5" xfId="2049" xr:uid="{00000000-0005-0000-0000-0000F8240000}"/>
    <cellStyle name="Normal 2 2 3 3 2 5 2" xfId="3972" xr:uid="{00000000-0005-0000-0000-0000F9240000}"/>
    <cellStyle name="Normal 2 2 3 3 2 5 2 2" xfId="20289" xr:uid="{00000000-0005-0000-0000-0000FA240000}"/>
    <cellStyle name="Normal 2 2 3 3 2 5 3" xfId="20292" xr:uid="{00000000-0005-0000-0000-0000FB240000}"/>
    <cellStyle name="Normal 2 2 3 3 2 6" xfId="3981" xr:uid="{00000000-0005-0000-0000-0000FC240000}"/>
    <cellStyle name="Normal 2 2 3 3 2 6 2" xfId="13263" xr:uid="{00000000-0005-0000-0000-0000FD240000}"/>
    <cellStyle name="Normal 2 2 3 3 2 6 2 2" xfId="13268" xr:uid="{00000000-0005-0000-0000-0000FE240000}"/>
    <cellStyle name="Normal 2 2 3 3 2 6 3" xfId="13279" xr:uid="{00000000-0005-0000-0000-0000FF240000}"/>
    <cellStyle name="Normal 2 2 3 3 2 7" xfId="81" xr:uid="{00000000-0005-0000-0000-000000250000}"/>
    <cellStyle name="Normal 2 2 3 3 2 7 2" xfId="8174" xr:uid="{00000000-0005-0000-0000-000001250000}"/>
    <cellStyle name="Normal 2 2 3 3 2 8" xfId="8833" xr:uid="{00000000-0005-0000-0000-000002250000}"/>
    <cellStyle name="Normal 2 2 3 3 2 8 2" xfId="8844" xr:uid="{00000000-0005-0000-0000-000003250000}"/>
    <cellStyle name="Normal 2 2 3 3 2 9" xfId="8858" xr:uid="{00000000-0005-0000-0000-000004250000}"/>
    <cellStyle name="Normal 2 2 3 3 3" xfId="20293" xr:uid="{00000000-0005-0000-0000-000005250000}"/>
    <cellStyle name="Normal 2 2 3 3 3 2" xfId="20294" xr:uid="{00000000-0005-0000-0000-000006250000}"/>
    <cellStyle name="Normal 2 2 3 3 3 2 2" xfId="20296" xr:uid="{00000000-0005-0000-0000-000007250000}"/>
    <cellStyle name="Normal 2 2 3 3 3 2 2 2" xfId="19902" xr:uid="{00000000-0005-0000-0000-000008250000}"/>
    <cellStyle name="Normal 2 2 3 3 3 2 2 2 2" xfId="19907" xr:uid="{00000000-0005-0000-0000-000009250000}"/>
    <cellStyle name="Normal 2 2 3 3 3 2 2 2 2 2" xfId="19915" xr:uid="{00000000-0005-0000-0000-00000A250000}"/>
    <cellStyle name="Normal 2 2 3 3 3 2 2 2 3" xfId="18663" xr:uid="{00000000-0005-0000-0000-00000B250000}"/>
    <cellStyle name="Normal 2 2 3 3 3 2 2 3" xfId="19918" xr:uid="{00000000-0005-0000-0000-00000C250000}"/>
    <cellStyle name="Normal 2 2 3 3 3 2 2 3 2" xfId="769" xr:uid="{00000000-0005-0000-0000-00000D250000}"/>
    <cellStyle name="Normal 2 2 3 3 3 2 2 4" xfId="19064" xr:uid="{00000000-0005-0000-0000-00000E250000}"/>
    <cellStyle name="Normal 2 2 3 3 3 2 2 5" xfId="19925" xr:uid="{00000000-0005-0000-0000-00000F250000}"/>
    <cellStyle name="Normal 2 2 3 3 3 2 3" xfId="20298" xr:uid="{00000000-0005-0000-0000-000010250000}"/>
    <cellStyle name="Normal 2 2 3 3 3 2 3 2" xfId="19944" xr:uid="{00000000-0005-0000-0000-000011250000}"/>
    <cellStyle name="Normal 2 2 3 3 3 2 3 2 2" xfId="19948" xr:uid="{00000000-0005-0000-0000-000012250000}"/>
    <cellStyle name="Normal 2 2 3 3 3 2 3 3" xfId="19957" xr:uid="{00000000-0005-0000-0000-000013250000}"/>
    <cellStyle name="Normal 2 2 3 3 3 2 4" xfId="1879" xr:uid="{00000000-0005-0000-0000-000014250000}"/>
    <cellStyle name="Normal 2 2 3 3 3 2 4 2" xfId="1901" xr:uid="{00000000-0005-0000-0000-000015250000}"/>
    <cellStyle name="Normal 2 2 3 3 3 2 4 2 2" xfId="1914" xr:uid="{00000000-0005-0000-0000-000016250000}"/>
    <cellStyle name="Normal 2 2 3 3 3 2 4 3" xfId="343" xr:uid="{00000000-0005-0000-0000-000017250000}"/>
    <cellStyle name="Normal 2 2 3 3 3 2 5" xfId="1986" xr:uid="{00000000-0005-0000-0000-000018250000}"/>
    <cellStyle name="Normal 2 2 3 3 3 2 5 2" xfId="1991" xr:uid="{00000000-0005-0000-0000-000019250000}"/>
    <cellStyle name="Normal 2 2 3 3 3 2 6" xfId="2011" xr:uid="{00000000-0005-0000-0000-00001A250000}"/>
    <cellStyle name="Normal 2 2 3 3 3 2 6 2" xfId="2028" xr:uid="{00000000-0005-0000-0000-00001B250000}"/>
    <cellStyle name="Normal 2 2 3 3 3 2 7" xfId="2075" xr:uid="{00000000-0005-0000-0000-00001C250000}"/>
    <cellStyle name="Normal 2 2 3 3 3 2 8" xfId="1778" xr:uid="{00000000-0005-0000-0000-00001D250000}"/>
    <cellStyle name="Normal 2 2 3 3 3 3" xfId="20299" xr:uid="{00000000-0005-0000-0000-00001E250000}"/>
    <cellStyle name="Normal 2 2 3 3 3 3 2" xfId="20301" xr:uid="{00000000-0005-0000-0000-00001F250000}"/>
    <cellStyle name="Normal 2 2 3 3 3 3 2 2" xfId="20020" xr:uid="{00000000-0005-0000-0000-000020250000}"/>
    <cellStyle name="Normal 2 2 3 3 3 3 2 2 2" xfId="20023" xr:uid="{00000000-0005-0000-0000-000021250000}"/>
    <cellStyle name="Normal 2 2 3 3 3 3 2 3" xfId="20035" xr:uid="{00000000-0005-0000-0000-000022250000}"/>
    <cellStyle name="Normal 2 2 3 3 3 3 3" xfId="20302" xr:uid="{00000000-0005-0000-0000-000023250000}"/>
    <cellStyle name="Normal 2 2 3 3 3 3 3 2" xfId="20059" xr:uid="{00000000-0005-0000-0000-000024250000}"/>
    <cellStyle name="Normal 2 2 3 3 3 3 4" xfId="2157" xr:uid="{00000000-0005-0000-0000-000025250000}"/>
    <cellStyle name="Normal 2 2 3 3 3 3 5" xfId="2181" xr:uid="{00000000-0005-0000-0000-000026250000}"/>
    <cellStyle name="Normal 2 2 3 3 3 4" xfId="13172" xr:uid="{00000000-0005-0000-0000-000027250000}"/>
    <cellStyle name="Normal 2 2 3 3 3 4 2" xfId="20307" xr:uid="{00000000-0005-0000-0000-000028250000}"/>
    <cellStyle name="Normal 2 2 3 3 3 4 2 2" xfId="19408" xr:uid="{00000000-0005-0000-0000-000029250000}"/>
    <cellStyle name="Normal 2 2 3 3 3 4 3" xfId="20312" xr:uid="{00000000-0005-0000-0000-00002A250000}"/>
    <cellStyle name="Normal 2 2 3 3 3 5" xfId="198" xr:uid="{00000000-0005-0000-0000-00002B250000}"/>
    <cellStyle name="Normal 2 2 3 3 3 5 2" xfId="20316" xr:uid="{00000000-0005-0000-0000-00002C250000}"/>
    <cellStyle name="Normal 2 2 3 3 3 5 2 2" xfId="5693" xr:uid="{00000000-0005-0000-0000-00002D250000}"/>
    <cellStyle name="Normal 2 2 3 3 3 5 3" xfId="20317" xr:uid="{00000000-0005-0000-0000-00002E250000}"/>
    <cellStyle name="Normal 2 2 3 3 3 6" xfId="20323" xr:uid="{00000000-0005-0000-0000-00002F250000}"/>
    <cellStyle name="Normal 2 2 3 3 3 6 2" xfId="13363" xr:uid="{00000000-0005-0000-0000-000030250000}"/>
    <cellStyle name="Normal 2 2 3 3 3 7" xfId="20330" xr:uid="{00000000-0005-0000-0000-000031250000}"/>
    <cellStyle name="Normal 2 2 3 3 3 7 2" xfId="5063" xr:uid="{00000000-0005-0000-0000-000032250000}"/>
    <cellStyle name="Normal 2 2 3 3 3 8" xfId="20332" xr:uid="{00000000-0005-0000-0000-000033250000}"/>
    <cellStyle name="Normal 2 2 3 3 3 9" xfId="19189" xr:uid="{00000000-0005-0000-0000-000034250000}"/>
    <cellStyle name="Normal 2 2 3 3 4" xfId="20335" xr:uid="{00000000-0005-0000-0000-000035250000}"/>
    <cellStyle name="Normal 2 2 3 3 4 2" xfId="20336" xr:uid="{00000000-0005-0000-0000-000036250000}"/>
    <cellStyle name="Normal 2 2 3 3 4 2 2" xfId="20338" xr:uid="{00000000-0005-0000-0000-000037250000}"/>
    <cellStyle name="Normal 2 2 3 3 4 2 2 2" xfId="20339" xr:uid="{00000000-0005-0000-0000-000038250000}"/>
    <cellStyle name="Normal 2 2 3 3 4 2 2 2 2" xfId="20340" xr:uid="{00000000-0005-0000-0000-000039250000}"/>
    <cellStyle name="Normal 2 2 3 3 4 2 2 2 2 2" xfId="20342" xr:uid="{00000000-0005-0000-0000-00003A250000}"/>
    <cellStyle name="Normal 2 2 3 3 4 2 2 2 3" xfId="20343" xr:uid="{00000000-0005-0000-0000-00003B250000}"/>
    <cellStyle name="Normal 2 2 3 3 4 2 2 3" xfId="8877" xr:uid="{00000000-0005-0000-0000-00003C250000}"/>
    <cellStyle name="Normal 2 2 3 3 4 2 2 3 2" xfId="8884" xr:uid="{00000000-0005-0000-0000-00003D250000}"/>
    <cellStyle name="Normal 2 2 3 3 4 2 2 4" xfId="8895" xr:uid="{00000000-0005-0000-0000-00003E250000}"/>
    <cellStyle name="Normal 2 2 3 3 4 2 3" xfId="20344" xr:uid="{00000000-0005-0000-0000-00003F250000}"/>
    <cellStyle name="Normal 2 2 3 3 4 2 3 2" xfId="20345" xr:uid="{00000000-0005-0000-0000-000040250000}"/>
    <cellStyle name="Normal 2 2 3 3 4 2 3 2 2" xfId="9100" xr:uid="{00000000-0005-0000-0000-000041250000}"/>
    <cellStyle name="Normal 2 2 3 3 4 2 3 3" xfId="8914" xr:uid="{00000000-0005-0000-0000-000042250000}"/>
    <cellStyle name="Normal 2 2 3 3 4 2 4" xfId="2357" xr:uid="{00000000-0005-0000-0000-000043250000}"/>
    <cellStyle name="Normal 2 2 3 3 4 2 4 2" xfId="2368" xr:uid="{00000000-0005-0000-0000-000044250000}"/>
    <cellStyle name="Normal 2 2 3 3 4 2 4 2 2" xfId="2391" xr:uid="{00000000-0005-0000-0000-000045250000}"/>
    <cellStyle name="Normal 2 2 3 3 4 2 4 3" xfId="350" xr:uid="{00000000-0005-0000-0000-000046250000}"/>
    <cellStyle name="Normal 2 2 3 3 4 2 5" xfId="2460" xr:uid="{00000000-0005-0000-0000-000047250000}"/>
    <cellStyle name="Normal 2 2 3 3 4 2 5 2" xfId="2479" xr:uid="{00000000-0005-0000-0000-000048250000}"/>
    <cellStyle name="Normal 2 2 3 3 4 2 6" xfId="2513" xr:uid="{00000000-0005-0000-0000-000049250000}"/>
    <cellStyle name="Normal 2 2 3 3 4 2 6 2" xfId="2539" xr:uid="{00000000-0005-0000-0000-00004A250000}"/>
    <cellStyle name="Normal 2 2 3 3 4 2 7" xfId="2595" xr:uid="{00000000-0005-0000-0000-00004B250000}"/>
    <cellStyle name="Normal 2 2 3 3 4 2 8" xfId="2625" xr:uid="{00000000-0005-0000-0000-00004C250000}"/>
    <cellStyle name="Normal 2 2 3 3 4 3" xfId="20346" xr:uid="{00000000-0005-0000-0000-00004D250000}"/>
    <cellStyle name="Normal 2 2 3 3 4 3 2" xfId="20347" xr:uid="{00000000-0005-0000-0000-00004E250000}"/>
    <cellStyle name="Normal 2 2 3 3 4 3 2 2" xfId="20348" xr:uid="{00000000-0005-0000-0000-00004F250000}"/>
    <cellStyle name="Normal 2 2 3 3 4 3 2 2 2" xfId="20351" xr:uid="{00000000-0005-0000-0000-000050250000}"/>
    <cellStyle name="Normal 2 2 3 3 4 3 2 3" xfId="20353" xr:uid="{00000000-0005-0000-0000-000051250000}"/>
    <cellStyle name="Normal 2 2 3 3 4 3 3" xfId="20356" xr:uid="{00000000-0005-0000-0000-000052250000}"/>
    <cellStyle name="Normal 2 2 3 3 4 3 3 2" xfId="20357" xr:uid="{00000000-0005-0000-0000-000053250000}"/>
    <cellStyle name="Normal 2 2 3 3 4 3 4" xfId="2704" xr:uid="{00000000-0005-0000-0000-000054250000}"/>
    <cellStyle name="Normal 2 2 3 3 4 4" xfId="20361" xr:uid="{00000000-0005-0000-0000-000055250000}"/>
    <cellStyle name="Normal 2 2 3 3 4 4 2" xfId="20364" xr:uid="{00000000-0005-0000-0000-000056250000}"/>
    <cellStyle name="Normal 2 2 3 3 4 4 2 2" xfId="20367" xr:uid="{00000000-0005-0000-0000-000057250000}"/>
    <cellStyle name="Normal 2 2 3 3 4 4 3" xfId="20370" xr:uid="{00000000-0005-0000-0000-000058250000}"/>
    <cellStyle name="Normal 2 2 3 3 4 5" xfId="12032" xr:uid="{00000000-0005-0000-0000-000059250000}"/>
    <cellStyle name="Normal 2 2 3 3 4 5 2" xfId="20372" xr:uid="{00000000-0005-0000-0000-00005A250000}"/>
    <cellStyle name="Normal 2 2 3 3 4 5 2 2" xfId="6892" xr:uid="{00000000-0005-0000-0000-00005B250000}"/>
    <cellStyle name="Normal 2 2 3 3 4 5 3" xfId="20374" xr:uid="{00000000-0005-0000-0000-00005C250000}"/>
    <cellStyle name="Normal 2 2 3 3 4 6" xfId="20376" xr:uid="{00000000-0005-0000-0000-00005D250000}"/>
    <cellStyle name="Normal 2 2 3 3 4 6 2" xfId="13472" xr:uid="{00000000-0005-0000-0000-00005E250000}"/>
    <cellStyle name="Normal 2 2 3 3 4 7" xfId="8875" xr:uid="{00000000-0005-0000-0000-00005F250000}"/>
    <cellStyle name="Normal 2 2 3 3 4 7 2" xfId="8881" xr:uid="{00000000-0005-0000-0000-000060250000}"/>
    <cellStyle name="Normal 2 2 3 3 4 8" xfId="8889" xr:uid="{00000000-0005-0000-0000-000061250000}"/>
    <cellStyle name="Normal 2 2 3 3 4 9" xfId="17336" xr:uid="{00000000-0005-0000-0000-000062250000}"/>
    <cellStyle name="Normal 2 2 3 3 5" xfId="20377" xr:uid="{00000000-0005-0000-0000-000063250000}"/>
    <cellStyle name="Normal 2 2 3 3 5 2" xfId="20378" xr:uid="{00000000-0005-0000-0000-000064250000}"/>
    <cellStyle name="Normal 2 2 3 3 5 2 2" xfId="20379" xr:uid="{00000000-0005-0000-0000-000065250000}"/>
    <cellStyle name="Normal 2 2 3 3 5 2 2 2" xfId="5255" xr:uid="{00000000-0005-0000-0000-000066250000}"/>
    <cellStyle name="Normal 2 2 3 3 5 2 2 2 2" xfId="8276" xr:uid="{00000000-0005-0000-0000-000067250000}"/>
    <cellStyle name="Normal 2 2 3 3 5 2 2 2 2 2" xfId="20380" xr:uid="{00000000-0005-0000-0000-000068250000}"/>
    <cellStyle name="Normal 2 2 3 3 5 2 2 2 3" xfId="20383" xr:uid="{00000000-0005-0000-0000-000069250000}"/>
    <cellStyle name="Normal 2 2 3 3 5 2 2 3" xfId="9925" xr:uid="{00000000-0005-0000-0000-00006A250000}"/>
    <cellStyle name="Normal 2 2 3 3 5 2 2 3 2" xfId="20386" xr:uid="{00000000-0005-0000-0000-00006B250000}"/>
    <cellStyle name="Normal 2 2 3 3 5 2 2 4" xfId="9934" xr:uid="{00000000-0005-0000-0000-00006C250000}"/>
    <cellStyle name="Normal 2 2 3 3 5 2 3" xfId="20389" xr:uid="{00000000-0005-0000-0000-00006D250000}"/>
    <cellStyle name="Normal 2 2 3 3 5 2 3 2" xfId="9957" xr:uid="{00000000-0005-0000-0000-00006E250000}"/>
    <cellStyle name="Normal 2 2 3 3 5 2 3 2 2" xfId="4329" xr:uid="{00000000-0005-0000-0000-00006F250000}"/>
    <cellStyle name="Normal 2 2 3 3 5 2 3 3" xfId="20390" xr:uid="{00000000-0005-0000-0000-000070250000}"/>
    <cellStyle name="Normal 2 2 3 3 5 2 4" xfId="2925" xr:uid="{00000000-0005-0000-0000-000071250000}"/>
    <cellStyle name="Normal 2 2 3 3 5 2 4 2" xfId="2929" xr:uid="{00000000-0005-0000-0000-000072250000}"/>
    <cellStyle name="Normal 2 2 3 3 5 2 4 2 2" xfId="1491" xr:uid="{00000000-0005-0000-0000-000073250000}"/>
    <cellStyle name="Normal 2 2 3 3 5 2 4 3" xfId="1045" xr:uid="{00000000-0005-0000-0000-000074250000}"/>
    <cellStyle name="Normal 2 2 3 3 5 2 5" xfId="2947" xr:uid="{00000000-0005-0000-0000-000075250000}"/>
    <cellStyle name="Normal 2 2 3 3 5 2 5 2" xfId="2949" xr:uid="{00000000-0005-0000-0000-000076250000}"/>
    <cellStyle name="Normal 2 2 3 3 5 2 6" xfId="2985" xr:uid="{00000000-0005-0000-0000-000077250000}"/>
    <cellStyle name="Normal 2 2 3 3 5 2 6 2" xfId="2993" xr:uid="{00000000-0005-0000-0000-000078250000}"/>
    <cellStyle name="Normal 2 2 3 3 5 2 7" xfId="3006" xr:uid="{00000000-0005-0000-0000-000079250000}"/>
    <cellStyle name="Normal 2 2 3 3 5 2 8" xfId="942" xr:uid="{00000000-0005-0000-0000-00007A250000}"/>
    <cellStyle name="Normal 2 2 3 3 5 3" xfId="17686" xr:uid="{00000000-0005-0000-0000-00007B250000}"/>
    <cellStyle name="Normal 2 2 3 3 5 3 2" xfId="6484" xr:uid="{00000000-0005-0000-0000-00007C250000}"/>
    <cellStyle name="Normal 2 2 3 3 5 3 2 2" xfId="6497" xr:uid="{00000000-0005-0000-0000-00007D250000}"/>
    <cellStyle name="Normal 2 2 3 3 5 3 2 2 2" xfId="16278" xr:uid="{00000000-0005-0000-0000-00007E250000}"/>
    <cellStyle name="Normal 2 2 3 3 5 3 2 3" xfId="16288" xr:uid="{00000000-0005-0000-0000-00007F250000}"/>
    <cellStyle name="Normal 2 2 3 3 5 3 3" xfId="16293" xr:uid="{00000000-0005-0000-0000-000080250000}"/>
    <cellStyle name="Normal 2 2 3 3 5 3 3 2" xfId="16297" xr:uid="{00000000-0005-0000-0000-000081250000}"/>
    <cellStyle name="Normal 2 2 3 3 5 3 4" xfId="3054" xr:uid="{00000000-0005-0000-0000-000082250000}"/>
    <cellStyle name="Normal 2 2 3 3 5 4" xfId="17691" xr:uid="{00000000-0005-0000-0000-000083250000}"/>
    <cellStyle name="Normal 2 2 3 3 5 4 2" xfId="7722" xr:uid="{00000000-0005-0000-0000-000084250000}"/>
    <cellStyle name="Normal 2 2 3 3 5 4 2 2" xfId="7732" xr:uid="{00000000-0005-0000-0000-000085250000}"/>
    <cellStyle name="Normal 2 2 3 3 5 4 3" xfId="16322" xr:uid="{00000000-0005-0000-0000-000086250000}"/>
    <cellStyle name="Normal 2 2 3 3 5 5" xfId="17696" xr:uid="{00000000-0005-0000-0000-000087250000}"/>
    <cellStyle name="Normal 2 2 3 3 5 5 2" xfId="8519" xr:uid="{00000000-0005-0000-0000-000088250000}"/>
    <cellStyle name="Normal 2 2 3 3 5 5 2 2" xfId="8007" xr:uid="{00000000-0005-0000-0000-000089250000}"/>
    <cellStyle name="Normal 2 2 3 3 5 5 3" xfId="17701" xr:uid="{00000000-0005-0000-0000-00008A250000}"/>
    <cellStyle name="Normal 2 2 3 3 5 6" xfId="17706" xr:uid="{00000000-0005-0000-0000-00008B250000}"/>
    <cellStyle name="Normal 2 2 3 3 5 6 2" xfId="9098" xr:uid="{00000000-0005-0000-0000-00008C250000}"/>
    <cellStyle name="Normal 2 2 3 3 5 7" xfId="8910" xr:uid="{00000000-0005-0000-0000-00008D250000}"/>
    <cellStyle name="Normal 2 2 3 3 5 7 2" xfId="13581" xr:uid="{00000000-0005-0000-0000-00008E250000}"/>
    <cellStyle name="Normal 2 2 3 3 5 8" xfId="17343" xr:uid="{00000000-0005-0000-0000-00008F250000}"/>
    <cellStyle name="Normal 2 2 3 3 5 9" xfId="17710" xr:uid="{00000000-0005-0000-0000-000090250000}"/>
    <cellStyle name="Normal 2 2 3 3 6" xfId="20396" xr:uid="{00000000-0005-0000-0000-000091250000}"/>
    <cellStyle name="Normal 2 2 3 3 6 2" xfId="20397" xr:uid="{00000000-0005-0000-0000-000092250000}"/>
    <cellStyle name="Normal 2 2 3 3 6 2 2" xfId="7778" xr:uid="{00000000-0005-0000-0000-000093250000}"/>
    <cellStyle name="Normal 2 2 3 3 6 2 2 2" xfId="10624" xr:uid="{00000000-0005-0000-0000-000094250000}"/>
    <cellStyle name="Normal 2 2 3 3 6 2 2 2 2" xfId="10629" xr:uid="{00000000-0005-0000-0000-000095250000}"/>
    <cellStyle name="Normal 2 2 3 3 6 2 2 3" xfId="10634" xr:uid="{00000000-0005-0000-0000-000096250000}"/>
    <cellStyle name="Normal 2 2 3 3 6 2 3" xfId="20400" xr:uid="{00000000-0005-0000-0000-000097250000}"/>
    <cellStyle name="Normal 2 2 3 3 6 2 3 2" xfId="10644" xr:uid="{00000000-0005-0000-0000-000098250000}"/>
    <cellStyle name="Normal 2 2 3 3 6 2 4" xfId="3153" xr:uid="{00000000-0005-0000-0000-000099250000}"/>
    <cellStyle name="Normal 2 2 3 3 6 3" xfId="7786" xr:uid="{00000000-0005-0000-0000-00009A250000}"/>
    <cellStyle name="Normal 2 2 3 3 6 3 2" xfId="7794" xr:uid="{00000000-0005-0000-0000-00009B250000}"/>
    <cellStyle name="Normal 2 2 3 3 6 3 2 2" xfId="10670" xr:uid="{00000000-0005-0000-0000-00009C250000}"/>
    <cellStyle name="Normal 2 2 3 3 6 3 3" xfId="16372" xr:uid="{00000000-0005-0000-0000-00009D250000}"/>
    <cellStyle name="Normal 2 2 3 3 6 4" xfId="7808" xr:uid="{00000000-0005-0000-0000-00009E250000}"/>
    <cellStyle name="Normal 2 2 3 3 6 4 2" xfId="12743" xr:uid="{00000000-0005-0000-0000-00009F250000}"/>
    <cellStyle name="Normal 2 2 3 3 6 4 2 2" xfId="10720" xr:uid="{00000000-0005-0000-0000-0000A0250000}"/>
    <cellStyle name="Normal 2 2 3 3 6 4 3" xfId="16379" xr:uid="{00000000-0005-0000-0000-0000A1250000}"/>
    <cellStyle name="Normal 2 2 3 3 6 5" xfId="7813" xr:uid="{00000000-0005-0000-0000-0000A2250000}"/>
    <cellStyle name="Normal 2 2 3 3 6 5 2" xfId="12774" xr:uid="{00000000-0005-0000-0000-0000A3250000}"/>
    <cellStyle name="Normal 2 2 3 3 6 6" xfId="20404" xr:uid="{00000000-0005-0000-0000-0000A4250000}"/>
    <cellStyle name="Normal 2 2 3 3 6 6 2" xfId="2382" xr:uid="{00000000-0005-0000-0000-0000A5250000}"/>
    <cellStyle name="Normal 2 2 3 3 6 7" xfId="359" xr:uid="{00000000-0005-0000-0000-0000A6250000}"/>
    <cellStyle name="Normal 2 2 3 3 6 8" xfId="2441" xr:uid="{00000000-0005-0000-0000-0000A7250000}"/>
    <cellStyle name="Normal 2 2 3 3 7" xfId="20406" xr:uid="{00000000-0005-0000-0000-0000A8250000}"/>
    <cellStyle name="Normal 2 2 3 3 7 2" xfId="20409" xr:uid="{00000000-0005-0000-0000-0000A9250000}"/>
    <cellStyle name="Normal 2 2 3 3 7 2 2" xfId="7836" xr:uid="{00000000-0005-0000-0000-0000AA250000}"/>
    <cellStyle name="Normal 2 2 3 3 7 2 2 2" xfId="11130" xr:uid="{00000000-0005-0000-0000-0000AB250000}"/>
    <cellStyle name="Normal 2 2 3 3 7 2 3" xfId="11029" xr:uid="{00000000-0005-0000-0000-0000AC250000}"/>
    <cellStyle name="Normal 2 2 3 3 7 3" xfId="7842" xr:uid="{00000000-0005-0000-0000-0000AD250000}"/>
    <cellStyle name="Normal 2 2 3 3 7 3 2" xfId="16419" xr:uid="{00000000-0005-0000-0000-0000AE250000}"/>
    <cellStyle name="Normal 2 2 3 3 7 4" xfId="17720" xr:uid="{00000000-0005-0000-0000-0000AF250000}"/>
    <cellStyle name="Normal 2 2 3 3 8" xfId="20410" xr:uid="{00000000-0005-0000-0000-0000B0250000}"/>
    <cellStyle name="Normal 2 2 3 3 8 2" xfId="20411" xr:uid="{00000000-0005-0000-0000-0000B1250000}"/>
    <cellStyle name="Normal 2 2 3 3 8 2 2" xfId="20412" xr:uid="{00000000-0005-0000-0000-0000B2250000}"/>
    <cellStyle name="Normal 2 2 3 3 8 3" xfId="17723" xr:uid="{00000000-0005-0000-0000-0000B3250000}"/>
    <cellStyle name="Normal 2 2 3 3 9" xfId="20413" xr:uid="{00000000-0005-0000-0000-0000B4250000}"/>
    <cellStyle name="Normal 2 2 3 3 9 2" xfId="20414" xr:uid="{00000000-0005-0000-0000-0000B5250000}"/>
    <cellStyle name="Normal 2 2 3 3 9 2 2" xfId="628" xr:uid="{00000000-0005-0000-0000-0000B6250000}"/>
    <cellStyle name="Normal 2 2 3 3 9 3" xfId="17731" xr:uid="{00000000-0005-0000-0000-0000B7250000}"/>
    <cellStyle name="Normal 2 2 3 4" xfId="20418" xr:uid="{00000000-0005-0000-0000-0000B8250000}"/>
    <cellStyle name="Normal 2 2 3 5" xfId="12887" xr:uid="{00000000-0005-0000-0000-0000B9250000}"/>
    <cellStyle name="Normal 2 2 4" xfId="20421" xr:uid="{00000000-0005-0000-0000-0000BA250000}"/>
    <cellStyle name="Normal 2 2 4 10" xfId="20424" xr:uid="{00000000-0005-0000-0000-0000BB250000}"/>
    <cellStyle name="Normal 2 2 4 10 2" xfId="13020" xr:uid="{00000000-0005-0000-0000-0000BC250000}"/>
    <cellStyle name="Normal 2 2 4 11" xfId="3454" xr:uid="{00000000-0005-0000-0000-0000BD250000}"/>
    <cellStyle name="Normal 2 2 4 11 2" xfId="6247" xr:uid="{00000000-0005-0000-0000-0000BE250000}"/>
    <cellStyle name="Normal 2 2 4 12" xfId="20425" xr:uid="{00000000-0005-0000-0000-0000BF250000}"/>
    <cellStyle name="Normal 2 2 4 12 2" xfId="462" xr:uid="{00000000-0005-0000-0000-0000C0250000}"/>
    <cellStyle name="Normal 2 2 4 13" xfId="20426" xr:uid="{00000000-0005-0000-0000-0000C1250000}"/>
    <cellStyle name="Normal 2 2 4 14" xfId="20427" xr:uid="{00000000-0005-0000-0000-0000C2250000}"/>
    <cellStyle name="Normal 2 2 4 2" xfId="20430" xr:uid="{00000000-0005-0000-0000-0000C3250000}"/>
    <cellStyle name="Normal 2 2 4 2 10" xfId="20432" xr:uid="{00000000-0005-0000-0000-0000C4250000}"/>
    <cellStyle name="Normal 2 2 4 2 2" xfId="20437" xr:uid="{00000000-0005-0000-0000-0000C5250000}"/>
    <cellStyle name="Normal 2 2 4 2 2 2" xfId="19941" xr:uid="{00000000-0005-0000-0000-0000C6250000}"/>
    <cellStyle name="Normal 2 2 4 2 2 2 2" xfId="20439" xr:uid="{00000000-0005-0000-0000-0000C7250000}"/>
    <cellStyle name="Normal 2 2 4 2 2 2 2 2" xfId="20441" xr:uid="{00000000-0005-0000-0000-0000C8250000}"/>
    <cellStyle name="Normal 2 2 4 2 2 2 2 2 2" xfId="20443" xr:uid="{00000000-0005-0000-0000-0000C9250000}"/>
    <cellStyle name="Normal 2 2 4 2 2 2 2 2 2 2" xfId="20446" xr:uid="{00000000-0005-0000-0000-0000CA250000}"/>
    <cellStyle name="Normal 2 2 4 2 2 2 2 2 3" xfId="20448" xr:uid="{00000000-0005-0000-0000-0000CB250000}"/>
    <cellStyle name="Normal 2 2 4 2 2 2 2 3" xfId="20451" xr:uid="{00000000-0005-0000-0000-0000CC250000}"/>
    <cellStyle name="Normal 2 2 4 2 2 2 2 3 2" xfId="20453" xr:uid="{00000000-0005-0000-0000-0000CD250000}"/>
    <cellStyle name="Normal 2 2 4 2 2 2 2 4" xfId="20457" xr:uid="{00000000-0005-0000-0000-0000CE250000}"/>
    <cellStyle name="Normal 2 2 4 2 2 2 3" xfId="20458" xr:uid="{00000000-0005-0000-0000-0000CF250000}"/>
    <cellStyle name="Normal 2 2 4 2 2 2 3 2" xfId="20461" xr:uid="{00000000-0005-0000-0000-0000D0250000}"/>
    <cellStyle name="Normal 2 2 4 2 2 2 3 2 2" xfId="20465" xr:uid="{00000000-0005-0000-0000-0000D1250000}"/>
    <cellStyle name="Normal 2 2 4 2 2 2 3 3" xfId="20467" xr:uid="{00000000-0005-0000-0000-0000D2250000}"/>
    <cellStyle name="Normal 2 2 4 2 2 2 4" xfId="20468" xr:uid="{00000000-0005-0000-0000-0000D3250000}"/>
    <cellStyle name="Normal 2 2 4 2 2 2 4 2" xfId="20472" xr:uid="{00000000-0005-0000-0000-0000D4250000}"/>
    <cellStyle name="Normal 2 2 4 2 2 2 4 2 2" xfId="20474" xr:uid="{00000000-0005-0000-0000-0000D5250000}"/>
    <cellStyle name="Normal 2 2 4 2 2 2 4 3" xfId="20476" xr:uid="{00000000-0005-0000-0000-0000D6250000}"/>
    <cellStyle name="Normal 2 2 4 2 2 2 5" xfId="15219" xr:uid="{00000000-0005-0000-0000-0000D7250000}"/>
    <cellStyle name="Normal 2 2 4 2 2 2 5 2" xfId="20478" xr:uid="{00000000-0005-0000-0000-0000D8250000}"/>
    <cellStyle name="Normal 2 2 4 2 2 2 6" xfId="20481" xr:uid="{00000000-0005-0000-0000-0000D9250000}"/>
    <cellStyle name="Normal 2 2 4 2 2 2 6 2" xfId="20484" xr:uid="{00000000-0005-0000-0000-0000DA250000}"/>
    <cellStyle name="Normal 2 2 4 2 2 2 7" xfId="18751" xr:uid="{00000000-0005-0000-0000-0000DB250000}"/>
    <cellStyle name="Normal 2 2 4 2 2 2 8" xfId="20486" xr:uid="{00000000-0005-0000-0000-0000DC250000}"/>
    <cellStyle name="Normal 2 2 4 2 2 3" xfId="20488" xr:uid="{00000000-0005-0000-0000-0000DD250000}"/>
    <cellStyle name="Normal 2 2 4 2 2 3 2" xfId="20490" xr:uid="{00000000-0005-0000-0000-0000DE250000}"/>
    <cellStyle name="Normal 2 2 4 2 2 3 2 2" xfId="20492" xr:uid="{00000000-0005-0000-0000-0000DF250000}"/>
    <cellStyle name="Normal 2 2 4 2 2 3 2 2 2" xfId="20496" xr:uid="{00000000-0005-0000-0000-0000E0250000}"/>
    <cellStyle name="Normal 2 2 4 2 2 3 2 3" xfId="15275" xr:uid="{00000000-0005-0000-0000-0000E1250000}"/>
    <cellStyle name="Normal 2 2 4 2 2 3 3" xfId="20497" xr:uid="{00000000-0005-0000-0000-0000E2250000}"/>
    <cellStyle name="Normal 2 2 4 2 2 3 3 2" xfId="20501" xr:uid="{00000000-0005-0000-0000-0000E3250000}"/>
    <cellStyle name="Normal 2 2 4 2 2 3 4" xfId="20503" xr:uid="{00000000-0005-0000-0000-0000E4250000}"/>
    <cellStyle name="Normal 2 2 4 2 2 4" xfId="20507" xr:uid="{00000000-0005-0000-0000-0000E5250000}"/>
    <cellStyle name="Normal 2 2 4 2 2 4 2" xfId="20510" xr:uid="{00000000-0005-0000-0000-0000E6250000}"/>
    <cellStyle name="Normal 2 2 4 2 2 4 2 2" xfId="20514" xr:uid="{00000000-0005-0000-0000-0000E7250000}"/>
    <cellStyle name="Normal 2 2 4 2 2 4 3" xfId="20516" xr:uid="{00000000-0005-0000-0000-0000E8250000}"/>
    <cellStyle name="Normal 2 2 4 2 2 5" xfId="19308" xr:uid="{00000000-0005-0000-0000-0000E9250000}"/>
    <cellStyle name="Normal 2 2 4 2 2 5 2" xfId="20521" xr:uid="{00000000-0005-0000-0000-0000EA250000}"/>
    <cellStyle name="Normal 2 2 4 2 2 5 2 2" xfId="20524" xr:uid="{00000000-0005-0000-0000-0000EB250000}"/>
    <cellStyle name="Normal 2 2 4 2 2 5 3" xfId="20527" xr:uid="{00000000-0005-0000-0000-0000EC250000}"/>
    <cellStyle name="Normal 2 2 4 2 2 6" xfId="3796" xr:uid="{00000000-0005-0000-0000-0000ED250000}"/>
    <cellStyle name="Normal 2 2 4 2 2 6 2" xfId="3817" xr:uid="{00000000-0005-0000-0000-0000EE250000}"/>
    <cellStyle name="Normal 2 2 4 2 2 7" xfId="2888" xr:uid="{00000000-0005-0000-0000-0000EF250000}"/>
    <cellStyle name="Normal 2 2 4 2 2 7 2" xfId="20530" xr:uid="{00000000-0005-0000-0000-0000F0250000}"/>
    <cellStyle name="Normal 2 2 4 2 2 8" xfId="20533" xr:uid="{00000000-0005-0000-0000-0000F1250000}"/>
    <cellStyle name="Normal 2 2 4 2 2 9" xfId="20538" xr:uid="{00000000-0005-0000-0000-0000F2250000}"/>
    <cellStyle name="Normal 2 2 4 2 3" xfId="18837" xr:uid="{00000000-0005-0000-0000-0000F3250000}"/>
    <cellStyle name="Normal 2 2 4 2 3 2" xfId="18840" xr:uid="{00000000-0005-0000-0000-0000F4250000}"/>
    <cellStyle name="Normal 2 2 4 2 3 2 2" xfId="18845" xr:uid="{00000000-0005-0000-0000-0000F5250000}"/>
    <cellStyle name="Normal 2 2 4 2 3 2 2 2" xfId="6067" xr:uid="{00000000-0005-0000-0000-0000F6250000}"/>
    <cellStyle name="Normal 2 2 4 2 3 2 2 2 2" xfId="6473" xr:uid="{00000000-0005-0000-0000-0000F7250000}"/>
    <cellStyle name="Normal 2 2 4 2 3 2 2 3" xfId="6488" xr:uid="{00000000-0005-0000-0000-0000F8250000}"/>
    <cellStyle name="Normal 2 2 4 2 3 2 3" xfId="18847" xr:uid="{00000000-0005-0000-0000-0000F9250000}"/>
    <cellStyle name="Normal 2 2 4 2 3 2 3 2" xfId="7707" xr:uid="{00000000-0005-0000-0000-0000FA250000}"/>
    <cellStyle name="Normal 2 2 4 2 3 2 4" xfId="18859" xr:uid="{00000000-0005-0000-0000-0000FB250000}"/>
    <cellStyle name="Normal 2 2 4 2 3 3" xfId="18867" xr:uid="{00000000-0005-0000-0000-0000FC250000}"/>
    <cellStyle name="Normal 2 2 4 2 3 3 2" xfId="18871" xr:uid="{00000000-0005-0000-0000-0000FD250000}"/>
    <cellStyle name="Normal 2 2 4 2 3 3 2 2" xfId="18875" xr:uid="{00000000-0005-0000-0000-0000FE250000}"/>
    <cellStyle name="Normal 2 2 4 2 3 3 3" xfId="18878" xr:uid="{00000000-0005-0000-0000-0000FF250000}"/>
    <cellStyle name="Normal 2 2 4 2 3 4" xfId="18888" xr:uid="{00000000-0005-0000-0000-000000260000}"/>
    <cellStyle name="Normal 2 2 4 2 3 4 2" xfId="18891" xr:uid="{00000000-0005-0000-0000-000001260000}"/>
    <cellStyle name="Normal 2 2 4 2 3 4 2 2" xfId="18898" xr:uid="{00000000-0005-0000-0000-000002260000}"/>
    <cellStyle name="Normal 2 2 4 2 3 4 3" xfId="18902" xr:uid="{00000000-0005-0000-0000-000003260000}"/>
    <cellStyle name="Normal 2 2 4 2 3 5" xfId="15179" xr:uid="{00000000-0005-0000-0000-000004260000}"/>
    <cellStyle name="Normal 2 2 4 2 3 5 2" xfId="18905" xr:uid="{00000000-0005-0000-0000-000005260000}"/>
    <cellStyle name="Normal 2 2 4 2 3 6" xfId="3828" xr:uid="{00000000-0005-0000-0000-000006260000}"/>
    <cellStyle name="Normal 2 2 4 2 3 6 2" xfId="18913" xr:uid="{00000000-0005-0000-0000-000007260000}"/>
    <cellStyle name="Normal 2 2 4 2 3 7" xfId="18918" xr:uid="{00000000-0005-0000-0000-000008260000}"/>
    <cellStyle name="Normal 2 2 4 2 3 8" xfId="18922" xr:uid="{00000000-0005-0000-0000-000009260000}"/>
    <cellStyle name="Normal 2 2 4 2 4" xfId="18923" xr:uid="{00000000-0005-0000-0000-00000A260000}"/>
    <cellStyle name="Normal 2 2 4 2 4 2" xfId="18927" xr:uid="{00000000-0005-0000-0000-00000B260000}"/>
    <cellStyle name="Normal 2 2 4 2 4 2 2" xfId="18929" xr:uid="{00000000-0005-0000-0000-00000C260000}"/>
    <cellStyle name="Normal 2 2 4 2 4 2 2 2" xfId="18934" xr:uid="{00000000-0005-0000-0000-00000D260000}"/>
    <cellStyle name="Normal 2 2 4 2 4 2 3" xfId="18940" xr:uid="{00000000-0005-0000-0000-00000E260000}"/>
    <cellStyle name="Normal 2 2 4 2 4 3" xfId="18946" xr:uid="{00000000-0005-0000-0000-00000F260000}"/>
    <cellStyle name="Normal 2 2 4 2 4 3 2" xfId="18948" xr:uid="{00000000-0005-0000-0000-000010260000}"/>
    <cellStyle name="Normal 2 2 4 2 4 4" xfId="18956" xr:uid="{00000000-0005-0000-0000-000011260000}"/>
    <cellStyle name="Normal 2 2 4 2 5" xfId="18959" xr:uid="{00000000-0005-0000-0000-000012260000}"/>
    <cellStyle name="Normal 2 2 4 2 5 2" xfId="18961" xr:uid="{00000000-0005-0000-0000-000013260000}"/>
    <cellStyle name="Normal 2 2 4 2 5 2 2" xfId="18963" xr:uid="{00000000-0005-0000-0000-000014260000}"/>
    <cellStyle name="Normal 2 2 4 2 5 3" xfId="16059" xr:uid="{00000000-0005-0000-0000-000015260000}"/>
    <cellStyle name="Normal 2 2 4 2 6" xfId="18968" xr:uid="{00000000-0005-0000-0000-000016260000}"/>
    <cellStyle name="Normal 2 2 4 2 6 2" xfId="18971" xr:uid="{00000000-0005-0000-0000-000017260000}"/>
    <cellStyle name="Normal 2 2 4 2 6 2 2" xfId="18973" xr:uid="{00000000-0005-0000-0000-000018260000}"/>
    <cellStyle name="Normal 2 2 4 2 6 3" xfId="16074" xr:uid="{00000000-0005-0000-0000-000019260000}"/>
    <cellStyle name="Normal 2 2 4 2 7" xfId="18978" xr:uid="{00000000-0005-0000-0000-00001A260000}"/>
    <cellStyle name="Normal 2 2 4 2 7 2" xfId="18981" xr:uid="{00000000-0005-0000-0000-00001B260000}"/>
    <cellStyle name="Normal 2 2 4 2 8" xfId="18984" xr:uid="{00000000-0005-0000-0000-00001C260000}"/>
    <cellStyle name="Normal 2 2 4 2 8 2" xfId="18987" xr:uid="{00000000-0005-0000-0000-00001D260000}"/>
    <cellStyle name="Normal 2 2 4 2 9" xfId="18989" xr:uid="{00000000-0005-0000-0000-00001E260000}"/>
    <cellStyle name="Normal 2 2 4 3" xfId="20540" xr:uid="{00000000-0005-0000-0000-00001F260000}"/>
    <cellStyle name="Normal 2 2 4 3 2" xfId="20541" xr:uid="{00000000-0005-0000-0000-000020260000}"/>
    <cellStyle name="Normal 2 2 4 3 2 2" xfId="20542" xr:uid="{00000000-0005-0000-0000-000021260000}"/>
    <cellStyle name="Normal 2 2 4 3 2 2 2" xfId="20544" xr:uid="{00000000-0005-0000-0000-000022260000}"/>
    <cellStyle name="Normal 2 2 4 3 2 2 2 2" xfId="15375" xr:uid="{00000000-0005-0000-0000-000023260000}"/>
    <cellStyle name="Normal 2 2 4 3 2 2 2 2 2" xfId="20545" xr:uid="{00000000-0005-0000-0000-000024260000}"/>
    <cellStyle name="Normal 2 2 4 3 2 2 2 3" xfId="20546" xr:uid="{00000000-0005-0000-0000-000025260000}"/>
    <cellStyle name="Normal 2 2 4 3 2 2 3" xfId="14019" xr:uid="{00000000-0005-0000-0000-000026260000}"/>
    <cellStyle name="Normal 2 2 4 3 2 2 3 2" xfId="14025" xr:uid="{00000000-0005-0000-0000-000027260000}"/>
    <cellStyle name="Normal 2 2 4 3 2 2 4" xfId="3953" xr:uid="{00000000-0005-0000-0000-000028260000}"/>
    <cellStyle name="Normal 2 2 4 3 2 2 5" xfId="4075" xr:uid="{00000000-0005-0000-0000-000029260000}"/>
    <cellStyle name="Normal 2 2 4 3 2 3" xfId="20548" xr:uid="{00000000-0005-0000-0000-00002A260000}"/>
    <cellStyle name="Normal 2 2 4 3 2 3 2" xfId="20549" xr:uid="{00000000-0005-0000-0000-00002B260000}"/>
    <cellStyle name="Normal 2 2 4 3 2 3 2 2" xfId="15507" xr:uid="{00000000-0005-0000-0000-00002C260000}"/>
    <cellStyle name="Normal 2 2 4 3 2 3 3" xfId="14028" xr:uid="{00000000-0005-0000-0000-00002D260000}"/>
    <cellStyle name="Normal 2 2 4 3 2 4" xfId="20553" xr:uid="{00000000-0005-0000-0000-00002E260000}"/>
    <cellStyle name="Normal 2 2 4 3 2 4 2" xfId="20555" xr:uid="{00000000-0005-0000-0000-00002F260000}"/>
    <cellStyle name="Normal 2 2 4 3 2 4 2 2" xfId="15589" xr:uid="{00000000-0005-0000-0000-000030260000}"/>
    <cellStyle name="Normal 2 2 4 3 2 4 3" xfId="14039" xr:uid="{00000000-0005-0000-0000-000031260000}"/>
    <cellStyle name="Normal 2 2 4 3 2 5" xfId="4091" xr:uid="{00000000-0005-0000-0000-000032260000}"/>
    <cellStyle name="Normal 2 2 4 3 2 5 2" xfId="20558" xr:uid="{00000000-0005-0000-0000-000033260000}"/>
    <cellStyle name="Normal 2 2 4 3 2 6" xfId="5216" xr:uid="{00000000-0005-0000-0000-000034260000}"/>
    <cellStyle name="Normal 2 2 4 3 2 6 2" xfId="5225" xr:uid="{00000000-0005-0000-0000-000035260000}"/>
    <cellStyle name="Normal 2 2 4 3 2 7" xfId="1721" xr:uid="{00000000-0005-0000-0000-000036260000}"/>
    <cellStyle name="Normal 2 2 4 3 2 8" xfId="20562" xr:uid="{00000000-0005-0000-0000-000037260000}"/>
    <cellStyle name="Normal 2 2 4 3 3" xfId="18994" xr:uid="{00000000-0005-0000-0000-000038260000}"/>
    <cellStyle name="Normal 2 2 4 3 3 2" xfId="1946" xr:uid="{00000000-0005-0000-0000-000039260000}"/>
    <cellStyle name="Normal 2 2 4 3 3 2 2" xfId="18996" xr:uid="{00000000-0005-0000-0000-00003A260000}"/>
    <cellStyle name="Normal 2 2 4 3 3 2 2 2" xfId="3844" xr:uid="{00000000-0005-0000-0000-00003B260000}"/>
    <cellStyle name="Normal 2 2 4 3 3 2 3" xfId="14140" xr:uid="{00000000-0005-0000-0000-00003C260000}"/>
    <cellStyle name="Normal 2 2 4 3 3 3" xfId="19005" xr:uid="{00000000-0005-0000-0000-00003D260000}"/>
    <cellStyle name="Normal 2 2 4 3 3 3 2" xfId="19007" xr:uid="{00000000-0005-0000-0000-00003E260000}"/>
    <cellStyle name="Normal 2 2 4 3 3 4" xfId="19020" xr:uid="{00000000-0005-0000-0000-00003F260000}"/>
    <cellStyle name="Normal 2 2 4 3 3 5" xfId="19039" xr:uid="{00000000-0005-0000-0000-000040260000}"/>
    <cellStyle name="Normal 2 2 4 3 4" xfId="19050" xr:uid="{00000000-0005-0000-0000-000041260000}"/>
    <cellStyle name="Normal 2 2 4 3 4 2" xfId="19052" xr:uid="{00000000-0005-0000-0000-000042260000}"/>
    <cellStyle name="Normal 2 2 4 3 4 2 2" xfId="19054" xr:uid="{00000000-0005-0000-0000-000043260000}"/>
    <cellStyle name="Normal 2 2 4 3 4 3" xfId="19071" xr:uid="{00000000-0005-0000-0000-000044260000}"/>
    <cellStyle name="Normal 2 2 4 3 5" xfId="19081" xr:uid="{00000000-0005-0000-0000-000045260000}"/>
    <cellStyle name="Normal 2 2 4 3 5 2" xfId="2961" xr:uid="{00000000-0005-0000-0000-000046260000}"/>
    <cellStyle name="Normal 2 2 4 3 5 2 2" xfId="9147" xr:uid="{00000000-0005-0000-0000-000047260000}"/>
    <cellStyle name="Normal 2 2 4 3 5 3" xfId="17909" xr:uid="{00000000-0005-0000-0000-000048260000}"/>
    <cellStyle name="Normal 2 2 4 3 6" xfId="19083" xr:uid="{00000000-0005-0000-0000-000049260000}"/>
    <cellStyle name="Normal 2 2 4 3 6 2" xfId="19085" xr:uid="{00000000-0005-0000-0000-00004A260000}"/>
    <cellStyle name="Normal 2 2 4 3 7" xfId="19091" xr:uid="{00000000-0005-0000-0000-00004B260000}"/>
    <cellStyle name="Normal 2 2 4 3 7 2" xfId="5949" xr:uid="{00000000-0005-0000-0000-00004C260000}"/>
    <cellStyle name="Normal 2 2 4 3 8" xfId="19093" xr:uid="{00000000-0005-0000-0000-00004D260000}"/>
    <cellStyle name="Normal 2 2 4 3 9" xfId="19096" xr:uid="{00000000-0005-0000-0000-00004E260000}"/>
    <cellStyle name="Normal 2 2 4 4" xfId="20565" xr:uid="{00000000-0005-0000-0000-00004F260000}"/>
    <cellStyle name="Normal 2 2 4 4 2" xfId="20567" xr:uid="{00000000-0005-0000-0000-000050260000}"/>
    <cellStyle name="Normal 2 2 4 4 2 2" xfId="20570" xr:uid="{00000000-0005-0000-0000-000051260000}"/>
    <cellStyle name="Normal 2 2 4 4 2 2 2" xfId="20573" xr:uid="{00000000-0005-0000-0000-000052260000}"/>
    <cellStyle name="Normal 2 2 4 4 2 2 2 2" xfId="20576" xr:uid="{00000000-0005-0000-0000-000053260000}"/>
    <cellStyle name="Normal 2 2 4 4 2 2 2 2 2" xfId="20577" xr:uid="{00000000-0005-0000-0000-000054260000}"/>
    <cellStyle name="Normal 2 2 4 4 2 2 2 3" xfId="20579" xr:uid="{00000000-0005-0000-0000-000055260000}"/>
    <cellStyle name="Normal 2 2 4 4 2 2 3" xfId="14238" xr:uid="{00000000-0005-0000-0000-000056260000}"/>
    <cellStyle name="Normal 2 2 4 4 2 2 3 2" xfId="11389" xr:uid="{00000000-0005-0000-0000-000057260000}"/>
    <cellStyle name="Normal 2 2 4 4 2 2 4" xfId="5037" xr:uid="{00000000-0005-0000-0000-000058260000}"/>
    <cellStyle name="Normal 2 2 4 4 2 3" xfId="20583" xr:uid="{00000000-0005-0000-0000-000059260000}"/>
    <cellStyle name="Normal 2 2 4 4 2 3 2" xfId="20586" xr:uid="{00000000-0005-0000-0000-00005A260000}"/>
    <cellStyle name="Normal 2 2 4 4 2 3 2 2" xfId="20589" xr:uid="{00000000-0005-0000-0000-00005B260000}"/>
    <cellStyle name="Normal 2 2 4 4 2 3 3" xfId="14243" xr:uid="{00000000-0005-0000-0000-00005C260000}"/>
    <cellStyle name="Normal 2 2 4 4 2 4" xfId="20593" xr:uid="{00000000-0005-0000-0000-00005D260000}"/>
    <cellStyle name="Normal 2 2 4 4 2 4 2" xfId="5980" xr:uid="{00000000-0005-0000-0000-00005E260000}"/>
    <cellStyle name="Normal 2 2 4 4 2 4 2 2" xfId="13308" xr:uid="{00000000-0005-0000-0000-00005F260000}"/>
    <cellStyle name="Normal 2 2 4 4 2 4 3" xfId="20597" xr:uid="{00000000-0005-0000-0000-000060260000}"/>
    <cellStyle name="Normal 2 2 4 4 2 5" xfId="19314" xr:uid="{00000000-0005-0000-0000-000061260000}"/>
    <cellStyle name="Normal 2 2 4 4 2 5 2" xfId="20601" xr:uid="{00000000-0005-0000-0000-000062260000}"/>
    <cellStyle name="Normal 2 2 4 4 2 6" xfId="6452" xr:uid="{00000000-0005-0000-0000-000063260000}"/>
    <cellStyle name="Normal 2 2 4 4 2 6 2" xfId="6457" xr:uid="{00000000-0005-0000-0000-000064260000}"/>
    <cellStyle name="Normal 2 2 4 4 2 7" xfId="6467" xr:uid="{00000000-0005-0000-0000-000065260000}"/>
    <cellStyle name="Normal 2 2 4 4 2 8" xfId="20261" xr:uid="{00000000-0005-0000-0000-000066260000}"/>
    <cellStyle name="Normal 2 2 4 4 3" xfId="13785" xr:uid="{00000000-0005-0000-0000-000067260000}"/>
    <cellStyle name="Normal 2 2 4 4 3 2" xfId="13794" xr:uid="{00000000-0005-0000-0000-000068260000}"/>
    <cellStyle name="Normal 2 2 4 4 3 2 2" xfId="13852" xr:uid="{00000000-0005-0000-0000-000069260000}"/>
    <cellStyle name="Normal 2 2 4 4 3 2 2 2" xfId="13907" xr:uid="{00000000-0005-0000-0000-00006A260000}"/>
    <cellStyle name="Normal 2 2 4 4 3 2 3" xfId="16200" xr:uid="{00000000-0005-0000-0000-00006B260000}"/>
    <cellStyle name="Normal 2 2 4 4 3 3" xfId="16885" xr:uid="{00000000-0005-0000-0000-00006C260000}"/>
    <cellStyle name="Normal 2 2 4 4 3 3 2" xfId="11693" xr:uid="{00000000-0005-0000-0000-00006D260000}"/>
    <cellStyle name="Normal 2 2 4 4 3 4" xfId="10341" xr:uid="{00000000-0005-0000-0000-00006E260000}"/>
    <cellStyle name="Normal 2 2 4 4 4" xfId="16097" xr:uid="{00000000-0005-0000-0000-00006F260000}"/>
    <cellStyle name="Normal 2 2 4 4 4 2" xfId="16105" xr:uid="{00000000-0005-0000-0000-000070260000}"/>
    <cellStyle name="Normal 2 2 4 4 4 2 2" xfId="17496" xr:uid="{00000000-0005-0000-0000-000071260000}"/>
    <cellStyle name="Normal 2 2 4 4 4 3" xfId="17850" xr:uid="{00000000-0005-0000-0000-000072260000}"/>
    <cellStyle name="Normal 2 2 4 4 5" xfId="16113" xr:uid="{00000000-0005-0000-0000-000073260000}"/>
    <cellStyle name="Normal 2 2 4 4 5 2" xfId="19128" xr:uid="{00000000-0005-0000-0000-000074260000}"/>
    <cellStyle name="Normal 2 2 4 4 5 2 2" xfId="19136" xr:uid="{00000000-0005-0000-0000-000075260000}"/>
    <cellStyle name="Normal 2 2 4 4 5 3" xfId="17924" xr:uid="{00000000-0005-0000-0000-000076260000}"/>
    <cellStyle name="Normal 2 2 4 4 6" xfId="19140" xr:uid="{00000000-0005-0000-0000-000077260000}"/>
    <cellStyle name="Normal 2 2 4 4 6 2" xfId="19148" xr:uid="{00000000-0005-0000-0000-000078260000}"/>
    <cellStyle name="Normal 2 2 4 4 7" xfId="3738" xr:uid="{00000000-0005-0000-0000-000079260000}"/>
    <cellStyle name="Normal 2 2 4 4 7 2" xfId="3754" xr:uid="{00000000-0005-0000-0000-00007A260000}"/>
    <cellStyle name="Normal 2 2 4 4 8" xfId="3762" xr:uid="{00000000-0005-0000-0000-00007B260000}"/>
    <cellStyle name="Normal 2 2 4 4 9" xfId="3786" xr:uid="{00000000-0005-0000-0000-00007C260000}"/>
    <cellStyle name="Normal 2 2 4 5" xfId="20606" xr:uid="{00000000-0005-0000-0000-00007D260000}"/>
    <cellStyle name="Normal 2 2 4 5 2" xfId="20607" xr:uid="{00000000-0005-0000-0000-00007E260000}"/>
    <cellStyle name="Normal 2 2 4 5 2 2" xfId="20608" xr:uid="{00000000-0005-0000-0000-00007F260000}"/>
    <cellStyle name="Normal 2 2 4 5 2 2 2" xfId="20609" xr:uid="{00000000-0005-0000-0000-000080260000}"/>
    <cellStyle name="Normal 2 2 4 5 2 2 2 2" xfId="1371" xr:uid="{00000000-0005-0000-0000-000081260000}"/>
    <cellStyle name="Normal 2 2 4 5 2 2 2 2 2" xfId="1384" xr:uid="{00000000-0005-0000-0000-000082260000}"/>
    <cellStyle name="Normal 2 2 4 5 2 2 2 3" xfId="10919" xr:uid="{00000000-0005-0000-0000-000083260000}"/>
    <cellStyle name="Normal 2 2 4 5 2 2 3" xfId="4764" xr:uid="{00000000-0005-0000-0000-000084260000}"/>
    <cellStyle name="Normal 2 2 4 5 2 2 3 2" xfId="11009" xr:uid="{00000000-0005-0000-0000-000085260000}"/>
    <cellStyle name="Normal 2 2 4 5 2 2 4" xfId="3513" xr:uid="{00000000-0005-0000-0000-000086260000}"/>
    <cellStyle name="Normal 2 2 4 5 2 3" xfId="3083" xr:uid="{00000000-0005-0000-0000-000087260000}"/>
    <cellStyle name="Normal 2 2 4 5 2 3 2" xfId="5316" xr:uid="{00000000-0005-0000-0000-000088260000}"/>
    <cellStyle name="Normal 2 2 4 5 2 3 2 2" xfId="11126" xr:uid="{00000000-0005-0000-0000-000089260000}"/>
    <cellStyle name="Normal 2 2 4 5 2 3 3" xfId="11628" xr:uid="{00000000-0005-0000-0000-00008A260000}"/>
    <cellStyle name="Normal 2 2 4 5 2 4" xfId="5330" xr:uid="{00000000-0005-0000-0000-00008B260000}"/>
    <cellStyle name="Normal 2 2 4 5 2 4 2" xfId="20611" xr:uid="{00000000-0005-0000-0000-00008C260000}"/>
    <cellStyle name="Normal 2 2 4 5 2 4 2 2" xfId="11173" xr:uid="{00000000-0005-0000-0000-00008D260000}"/>
    <cellStyle name="Normal 2 2 4 5 2 4 3" xfId="11645" xr:uid="{00000000-0005-0000-0000-00008E260000}"/>
    <cellStyle name="Normal 2 2 4 5 2 5" xfId="20613" xr:uid="{00000000-0005-0000-0000-00008F260000}"/>
    <cellStyle name="Normal 2 2 4 5 2 5 2" xfId="20619" xr:uid="{00000000-0005-0000-0000-000090260000}"/>
    <cellStyle name="Normal 2 2 4 5 2 6" xfId="432" xr:uid="{00000000-0005-0000-0000-000091260000}"/>
    <cellStyle name="Normal 2 2 4 5 2 6 2" xfId="638" xr:uid="{00000000-0005-0000-0000-000092260000}"/>
    <cellStyle name="Normal 2 2 4 5 2 7" xfId="502" xr:uid="{00000000-0005-0000-0000-000093260000}"/>
    <cellStyle name="Normal 2 2 4 5 2 8" xfId="20622" xr:uid="{00000000-0005-0000-0000-000094260000}"/>
    <cellStyle name="Normal 2 2 4 5 3" xfId="18112" xr:uid="{00000000-0005-0000-0000-000095260000}"/>
    <cellStyle name="Normal 2 2 4 5 3 2" xfId="18118" xr:uid="{00000000-0005-0000-0000-000096260000}"/>
    <cellStyle name="Normal 2 2 4 5 3 2 2" xfId="7315" xr:uid="{00000000-0005-0000-0000-000097260000}"/>
    <cellStyle name="Normal 2 2 4 5 3 2 2 2" xfId="11316" xr:uid="{00000000-0005-0000-0000-000098260000}"/>
    <cellStyle name="Normal 2 2 4 5 3 2 3" xfId="11675" xr:uid="{00000000-0005-0000-0000-000099260000}"/>
    <cellStyle name="Normal 2 2 4 5 3 3" xfId="5343" xr:uid="{00000000-0005-0000-0000-00009A260000}"/>
    <cellStyle name="Normal 2 2 4 5 3 3 2" xfId="19166" xr:uid="{00000000-0005-0000-0000-00009B260000}"/>
    <cellStyle name="Normal 2 2 4 5 3 4" xfId="19174" xr:uid="{00000000-0005-0000-0000-00009C260000}"/>
    <cellStyle name="Normal 2 2 4 5 4" xfId="16123" xr:uid="{00000000-0005-0000-0000-00009D260000}"/>
    <cellStyle name="Normal 2 2 4 5 4 2" xfId="47" xr:uid="{00000000-0005-0000-0000-00009E260000}"/>
    <cellStyle name="Normal 2 2 4 5 4 2 2" xfId="19177" xr:uid="{00000000-0005-0000-0000-00009F260000}"/>
    <cellStyle name="Normal 2 2 4 5 4 3" xfId="19183" xr:uid="{00000000-0005-0000-0000-0000A0260000}"/>
    <cellStyle name="Normal 2 2 4 5 5" xfId="16132" xr:uid="{00000000-0005-0000-0000-0000A1260000}"/>
    <cellStyle name="Normal 2 2 4 5 5 2" xfId="19185" xr:uid="{00000000-0005-0000-0000-0000A2260000}"/>
    <cellStyle name="Normal 2 2 4 5 5 2 2" xfId="19190" xr:uid="{00000000-0005-0000-0000-0000A3260000}"/>
    <cellStyle name="Normal 2 2 4 5 5 3" xfId="17942" xr:uid="{00000000-0005-0000-0000-0000A4260000}"/>
    <cellStyle name="Normal 2 2 4 5 6" xfId="19191" xr:uid="{00000000-0005-0000-0000-0000A5260000}"/>
    <cellStyle name="Normal 2 2 4 5 6 2" xfId="19198" xr:uid="{00000000-0005-0000-0000-0000A6260000}"/>
    <cellStyle name="Normal 2 2 4 5 7" xfId="2340" xr:uid="{00000000-0005-0000-0000-0000A7260000}"/>
    <cellStyle name="Normal 2 2 4 5 7 2" xfId="19201" xr:uid="{00000000-0005-0000-0000-0000A8260000}"/>
    <cellStyle name="Normal 2 2 4 5 8" xfId="19204" xr:uid="{00000000-0005-0000-0000-0000A9260000}"/>
    <cellStyle name="Normal 2 2 4 5 9" xfId="19209" xr:uid="{00000000-0005-0000-0000-0000AA260000}"/>
    <cellStyle name="Normal 2 2 4 6" xfId="18044" xr:uid="{00000000-0005-0000-0000-0000AB260000}"/>
    <cellStyle name="Normal 2 2 4 6 2" xfId="18048" xr:uid="{00000000-0005-0000-0000-0000AC260000}"/>
    <cellStyle name="Normal 2 2 4 6 2 2" xfId="20623" xr:uid="{00000000-0005-0000-0000-0000AD260000}"/>
    <cellStyle name="Normal 2 2 4 6 2 2 2" xfId="20624" xr:uid="{00000000-0005-0000-0000-0000AE260000}"/>
    <cellStyle name="Normal 2 2 4 6 2 2 2 2" xfId="20625" xr:uid="{00000000-0005-0000-0000-0000AF260000}"/>
    <cellStyle name="Normal 2 2 4 6 2 2 3" xfId="2690" xr:uid="{00000000-0005-0000-0000-0000B0260000}"/>
    <cellStyle name="Normal 2 2 4 6 2 3" xfId="5356" xr:uid="{00000000-0005-0000-0000-0000B1260000}"/>
    <cellStyle name="Normal 2 2 4 6 2 3 2" xfId="20626" xr:uid="{00000000-0005-0000-0000-0000B2260000}"/>
    <cellStyle name="Normal 2 2 4 6 2 4" xfId="20631" xr:uid="{00000000-0005-0000-0000-0000B3260000}"/>
    <cellStyle name="Normal 2 2 4 6 3" xfId="13415" xr:uid="{00000000-0005-0000-0000-0000B4260000}"/>
    <cellStyle name="Normal 2 2 4 6 3 2" xfId="13428" xr:uid="{00000000-0005-0000-0000-0000B5260000}"/>
    <cellStyle name="Normal 2 2 4 6 3 2 2" xfId="18758" xr:uid="{00000000-0005-0000-0000-0000B6260000}"/>
    <cellStyle name="Normal 2 2 4 6 3 3" xfId="19210" xr:uid="{00000000-0005-0000-0000-0000B7260000}"/>
    <cellStyle name="Normal 2 2 4 6 4" xfId="13440" xr:uid="{00000000-0005-0000-0000-0000B8260000}"/>
    <cellStyle name="Normal 2 2 4 6 4 2" xfId="19216" xr:uid="{00000000-0005-0000-0000-0000B9260000}"/>
    <cellStyle name="Normal 2 2 4 6 4 2 2" xfId="20633" xr:uid="{00000000-0005-0000-0000-0000BA260000}"/>
    <cellStyle name="Normal 2 2 4 6 4 3" xfId="20638" xr:uid="{00000000-0005-0000-0000-0000BB260000}"/>
    <cellStyle name="Normal 2 2 4 6 5" xfId="19218" xr:uid="{00000000-0005-0000-0000-0000BC260000}"/>
    <cellStyle name="Normal 2 2 4 6 5 2" xfId="19220" xr:uid="{00000000-0005-0000-0000-0000BD260000}"/>
    <cellStyle name="Normal 2 2 4 6 6" xfId="14411" xr:uid="{00000000-0005-0000-0000-0000BE260000}"/>
    <cellStyle name="Normal 2 2 4 6 6 2" xfId="20639" xr:uid="{00000000-0005-0000-0000-0000BF260000}"/>
    <cellStyle name="Normal 2 2 4 7" xfId="18050" xr:uid="{00000000-0005-0000-0000-0000C0260000}"/>
    <cellStyle name="Normal 2 2 4 7 2" xfId="20640" xr:uid="{00000000-0005-0000-0000-0000C1260000}"/>
    <cellStyle name="Normal 2 2 4 7 2 2" xfId="7527" xr:uid="{00000000-0005-0000-0000-0000C2260000}"/>
    <cellStyle name="Normal 2 2 4 7 2 2 2" xfId="13090" xr:uid="{00000000-0005-0000-0000-0000C3260000}"/>
    <cellStyle name="Normal 2 2 4 7 2 3" xfId="416" xr:uid="{00000000-0005-0000-0000-0000C4260000}"/>
    <cellStyle name="Normal 2 2 4 7 3" xfId="13465" xr:uid="{00000000-0005-0000-0000-0000C5260000}"/>
    <cellStyle name="Normal 2 2 4 7 3 2" xfId="13146" xr:uid="{00000000-0005-0000-0000-0000C6260000}"/>
    <cellStyle name="Normal 2 2 4 7 4" xfId="20641" xr:uid="{00000000-0005-0000-0000-0000C7260000}"/>
    <cellStyle name="Normal 2 2 4 7 5" xfId="20642" xr:uid="{00000000-0005-0000-0000-0000C8260000}"/>
    <cellStyle name="Normal 2 2 4 8" xfId="20643" xr:uid="{00000000-0005-0000-0000-0000C9260000}"/>
    <cellStyle name="Normal 2 2 4 8 2" xfId="3980" xr:uid="{00000000-0005-0000-0000-0000CA260000}"/>
    <cellStyle name="Normal 2 2 4 8 2 2" xfId="13262" xr:uid="{00000000-0005-0000-0000-0000CB260000}"/>
    <cellStyle name="Normal 2 2 4 8 3" xfId="80" xr:uid="{00000000-0005-0000-0000-0000CC260000}"/>
    <cellStyle name="Normal 2 2 4 9" xfId="20647" xr:uid="{00000000-0005-0000-0000-0000CD260000}"/>
    <cellStyle name="Normal 2 2 4 9 2" xfId="20322" xr:uid="{00000000-0005-0000-0000-0000CE260000}"/>
    <cellStyle name="Normal 2 2 4 9 2 2" xfId="13362" xr:uid="{00000000-0005-0000-0000-0000CF260000}"/>
    <cellStyle name="Normal 2 2 4 9 3" xfId="20329" xr:uid="{00000000-0005-0000-0000-0000D0260000}"/>
    <cellStyle name="Normal 2 2 5" xfId="20651" xr:uid="{00000000-0005-0000-0000-0000D1260000}"/>
    <cellStyle name="Normal 2 2 6" xfId="20652" xr:uid="{00000000-0005-0000-0000-0000D2260000}"/>
    <cellStyle name="Normal 2 20" xfId="19420" xr:uid="{00000000-0005-0000-0000-0000D3260000}"/>
    <cellStyle name="Normal 2 3" xfId="5257" xr:uid="{00000000-0005-0000-0000-0000D4260000}"/>
    <cellStyle name="Normal 2 3 2" xfId="5259" xr:uid="{00000000-0005-0000-0000-0000D5260000}"/>
    <cellStyle name="Normal 2 3 2 2" xfId="20653" xr:uid="{00000000-0005-0000-0000-0000D6260000}"/>
    <cellStyle name="Normal 2 3 3" xfId="20655" xr:uid="{00000000-0005-0000-0000-0000D7260000}"/>
    <cellStyle name="Normal 2 3 3 2" xfId="20657" xr:uid="{00000000-0005-0000-0000-0000D8260000}"/>
    <cellStyle name="Normal 2 3 4" xfId="15876" xr:uid="{00000000-0005-0000-0000-0000D9260000}"/>
    <cellStyle name="Normal 2 3 5" xfId="19372" xr:uid="{00000000-0005-0000-0000-0000DA260000}"/>
    <cellStyle name="Normal 2 4" xfId="5267" xr:uid="{00000000-0005-0000-0000-0000DB260000}"/>
    <cellStyle name="Normal 2 4 2" xfId="5272" xr:uid="{00000000-0005-0000-0000-0000DC260000}"/>
    <cellStyle name="Normal 2 4 2 2" xfId="5303" xr:uid="{00000000-0005-0000-0000-0000DD260000}"/>
    <cellStyle name="Normal 2 4 3" xfId="2422" xr:uid="{00000000-0005-0000-0000-0000DE260000}"/>
    <cellStyle name="Normal 2 4 3 2" xfId="5564" xr:uid="{00000000-0005-0000-0000-0000DF260000}"/>
    <cellStyle name="Normal 2 4 4" xfId="5773" xr:uid="{00000000-0005-0000-0000-0000E0260000}"/>
    <cellStyle name="Normal 2 4 5" xfId="5490" xr:uid="{00000000-0005-0000-0000-0000E1260000}"/>
    <cellStyle name="Normal 2 4 6" xfId="6091" xr:uid="{00000000-0005-0000-0000-0000E2260000}"/>
    <cellStyle name="Normal 2 5" xfId="2227" xr:uid="{00000000-0005-0000-0000-0000E3260000}"/>
    <cellStyle name="Normal 2 5 2" xfId="6237" xr:uid="{00000000-0005-0000-0000-0000E4260000}"/>
    <cellStyle name="Normal 2 5 2 2" xfId="6244" xr:uid="{00000000-0005-0000-0000-0000E5260000}"/>
    <cellStyle name="Normal 2 5 3" xfId="4696" xr:uid="{00000000-0005-0000-0000-0000E6260000}"/>
    <cellStyle name="Normal 2 5 3 2" xfId="4707" xr:uid="{00000000-0005-0000-0000-0000E7260000}"/>
    <cellStyle name="Normal 2 5 4" xfId="4714" xr:uid="{00000000-0005-0000-0000-0000E8260000}"/>
    <cellStyle name="Normal 2 5 5" xfId="6271" xr:uid="{00000000-0005-0000-0000-0000E9260000}"/>
    <cellStyle name="Normal 2 6" xfId="6285" xr:uid="{00000000-0005-0000-0000-0000EA260000}"/>
    <cellStyle name="Normal 2 6 2" xfId="6289" xr:uid="{00000000-0005-0000-0000-0000EB260000}"/>
    <cellStyle name="Normal 2 6 2 2" xfId="6298" xr:uid="{00000000-0005-0000-0000-0000EC260000}"/>
    <cellStyle name="Normal 2 6 3" xfId="6314" xr:uid="{00000000-0005-0000-0000-0000ED260000}"/>
    <cellStyle name="Normal 2 6 3 2" xfId="6321" xr:uid="{00000000-0005-0000-0000-0000EE260000}"/>
    <cellStyle name="Normal 2 6 4" xfId="6331" xr:uid="{00000000-0005-0000-0000-0000EF260000}"/>
    <cellStyle name="Normal 2 6 5" xfId="6338" xr:uid="{00000000-0005-0000-0000-0000F0260000}"/>
    <cellStyle name="Normal 2 7" xfId="4618" xr:uid="{00000000-0005-0000-0000-0000F1260000}"/>
    <cellStyle name="Normal 2 7 2" xfId="6356" xr:uid="{00000000-0005-0000-0000-0000F2260000}"/>
    <cellStyle name="Normal 2 7 2 2" xfId="6364" xr:uid="{00000000-0005-0000-0000-0000F3260000}"/>
    <cellStyle name="Normal 2 7 3" xfId="6404" xr:uid="{00000000-0005-0000-0000-0000F4260000}"/>
    <cellStyle name="Normal 2 7 3 2" xfId="6413" xr:uid="{00000000-0005-0000-0000-0000F5260000}"/>
    <cellStyle name="Normal 2 7 4" xfId="6423" xr:uid="{00000000-0005-0000-0000-0000F6260000}"/>
    <cellStyle name="Normal 2 7 5" xfId="6433" xr:uid="{00000000-0005-0000-0000-0000F7260000}"/>
    <cellStyle name="Normal 2 8" xfId="6444" xr:uid="{00000000-0005-0000-0000-0000F8260000}"/>
    <cellStyle name="Normal 2 8 2" xfId="6451" xr:uid="{00000000-0005-0000-0000-0000F9260000}"/>
    <cellStyle name="Normal 2 8 2 2" xfId="6456" xr:uid="{00000000-0005-0000-0000-0000FA260000}"/>
    <cellStyle name="Normal 2 8 3" xfId="6466" xr:uid="{00000000-0005-0000-0000-0000FB260000}"/>
    <cellStyle name="Normal 2 8 3 2" xfId="20661" xr:uid="{00000000-0005-0000-0000-0000FC260000}"/>
    <cellStyle name="Normal 2 8 4" xfId="20260" xr:uid="{00000000-0005-0000-0000-0000FD260000}"/>
    <cellStyle name="Normal 2 8 5" xfId="20665" xr:uid="{00000000-0005-0000-0000-0000FE260000}"/>
    <cellStyle name="Normal 2 9" xfId="6069" xr:uid="{00000000-0005-0000-0000-0000FF260000}"/>
    <cellStyle name="Normal 2 9 2" xfId="6479" xr:uid="{00000000-0005-0000-0000-000000270000}"/>
    <cellStyle name="Normal 2 9 2 2" xfId="19115" xr:uid="{00000000-0005-0000-0000-000001270000}"/>
    <cellStyle name="Normal 2 9 3" xfId="19119" xr:uid="{00000000-0005-0000-0000-000002270000}"/>
    <cellStyle name="Normal 2 9 3 2" xfId="20666" xr:uid="{00000000-0005-0000-0000-000003270000}"/>
    <cellStyle name="Normal 2 9 4" xfId="19123" xr:uid="{00000000-0005-0000-0000-000004270000}"/>
    <cellStyle name="Normal 2 9 5" xfId="20670" xr:uid="{00000000-0005-0000-0000-000005270000}"/>
    <cellStyle name="Normal 2_ANTIDROGAS 2011" xfId="2473" xr:uid="{00000000-0005-0000-0000-000006270000}"/>
    <cellStyle name="Normal 20" xfId="19250" xr:uid="{00000000-0005-0000-0000-000007270000}"/>
    <cellStyle name="Normal 20 2" xfId="15433" xr:uid="{00000000-0005-0000-0000-000008270000}"/>
    <cellStyle name="Normal 20 2 2" xfId="18446" xr:uid="{00000000-0005-0000-0000-000009270000}"/>
    <cellStyle name="Normal 20 3" xfId="19255" xr:uid="{00000000-0005-0000-0000-00000A270000}"/>
    <cellStyle name="Normal 20 3 2" xfId="9661" xr:uid="{00000000-0005-0000-0000-00000B270000}"/>
    <cellStyle name="Normal 20 4" xfId="19258" xr:uid="{00000000-0005-0000-0000-00000C270000}"/>
    <cellStyle name="Normal 20 5" xfId="19261" xr:uid="{00000000-0005-0000-0000-00000D270000}"/>
    <cellStyle name="Normal 21" xfId="19263" xr:uid="{00000000-0005-0000-0000-00000E270000}"/>
    <cellStyle name="Normal 21 2" xfId="15446" xr:uid="{00000000-0005-0000-0000-00000F270000}"/>
    <cellStyle name="Normal 21 2 2" xfId="18478" xr:uid="{00000000-0005-0000-0000-000010270000}"/>
    <cellStyle name="Normal 21 3" xfId="19277" xr:uid="{00000000-0005-0000-0000-000011270000}"/>
    <cellStyle name="Normal 21 3 2" xfId="19280" xr:uid="{00000000-0005-0000-0000-000012270000}"/>
    <cellStyle name="Normal 21 4" xfId="19287" xr:uid="{00000000-0005-0000-0000-000013270000}"/>
    <cellStyle name="Normal 21 5" xfId="19297" xr:uid="{00000000-0005-0000-0000-000014270000}"/>
    <cellStyle name="Normal 22" xfId="19321" xr:uid="{00000000-0005-0000-0000-000015270000}"/>
    <cellStyle name="Normal 22 2" xfId="19328" xr:uid="{00000000-0005-0000-0000-000016270000}"/>
    <cellStyle name="Normal 22 2 2" xfId="15070" xr:uid="{00000000-0005-0000-0000-000017270000}"/>
    <cellStyle name="Normal 22 3" xfId="19331" xr:uid="{00000000-0005-0000-0000-000018270000}"/>
    <cellStyle name="Normal 22 3 2" xfId="19333" xr:uid="{00000000-0005-0000-0000-000019270000}"/>
    <cellStyle name="Normal 22 4" xfId="19336" xr:uid="{00000000-0005-0000-0000-00001A270000}"/>
    <cellStyle name="Normal 22 5" xfId="475" xr:uid="{00000000-0005-0000-0000-00001B270000}"/>
    <cellStyle name="Normal 23" xfId="19339" xr:uid="{00000000-0005-0000-0000-00001C270000}"/>
    <cellStyle name="Normal 23 2" xfId="19344" xr:uid="{00000000-0005-0000-0000-00001D270000}"/>
    <cellStyle name="Normal 23 2 2" xfId="19348" xr:uid="{00000000-0005-0000-0000-00001E270000}"/>
    <cellStyle name="Normal 23 2 2 10" xfId="11409" xr:uid="{00000000-0005-0000-0000-00001F270000}"/>
    <cellStyle name="Normal 23 2 2 10 2" xfId="11411" xr:uid="{00000000-0005-0000-0000-000020270000}"/>
    <cellStyle name="Normal 23 2 2 10 2 2" xfId="6309" xr:uid="{00000000-0005-0000-0000-000021270000}"/>
    <cellStyle name="Normal 23 2 2 10 3" xfId="11413" xr:uid="{00000000-0005-0000-0000-000022270000}"/>
    <cellStyle name="Normal 23 2 2 11" xfId="11415" xr:uid="{00000000-0005-0000-0000-000023270000}"/>
    <cellStyle name="Normal 23 2 2 11 2" xfId="8224" xr:uid="{00000000-0005-0000-0000-000024270000}"/>
    <cellStyle name="Normal 23 2 2 12" xfId="2137" xr:uid="{00000000-0005-0000-0000-000025270000}"/>
    <cellStyle name="Normal 23 2 2 12 2" xfId="5093" xr:uid="{00000000-0005-0000-0000-000026270000}"/>
    <cellStyle name="Normal 23 2 2 13" xfId="16551" xr:uid="{00000000-0005-0000-0000-000027270000}"/>
    <cellStyle name="Normal 23 2 2 13 2" xfId="16555" xr:uid="{00000000-0005-0000-0000-000028270000}"/>
    <cellStyle name="Normal 23 2 2 14" xfId="16560" xr:uid="{00000000-0005-0000-0000-000029270000}"/>
    <cellStyle name="Normal 23 2 2 15" xfId="16566" xr:uid="{00000000-0005-0000-0000-00002A270000}"/>
    <cellStyle name="Normal 23 2 2 16" xfId="20674" xr:uid="{00000000-0005-0000-0000-00002B270000}"/>
    <cellStyle name="Normal 23 2 2 2" xfId="20675" xr:uid="{00000000-0005-0000-0000-00002C270000}"/>
    <cellStyle name="Normal 23 2 2 2 10" xfId="20676" xr:uid="{00000000-0005-0000-0000-00002D270000}"/>
    <cellStyle name="Normal 23 2 2 2 10 2" xfId="20681" xr:uid="{00000000-0005-0000-0000-00002E270000}"/>
    <cellStyle name="Normal 23 2 2 2 11" xfId="20682" xr:uid="{00000000-0005-0000-0000-00002F270000}"/>
    <cellStyle name="Normal 23 2 2 2 11 2" xfId="20683" xr:uid="{00000000-0005-0000-0000-000030270000}"/>
    <cellStyle name="Normal 23 2 2 2 12" xfId="20684" xr:uid="{00000000-0005-0000-0000-000031270000}"/>
    <cellStyle name="Normal 23 2 2 2 12 2" xfId="13" xr:uid="{00000000-0005-0000-0000-000032270000}"/>
    <cellStyle name="Normal 23 2 2 2 13" xfId="9257" xr:uid="{00000000-0005-0000-0000-000033270000}"/>
    <cellStyle name="Normal 23 2 2 2 14" xfId="9270" xr:uid="{00000000-0005-0000-0000-000034270000}"/>
    <cellStyle name="Normal 23 2 2 2 2" xfId="4173" xr:uid="{00000000-0005-0000-0000-000035270000}"/>
    <cellStyle name="Normal 23 2 2 2 2 10" xfId="20689" xr:uid="{00000000-0005-0000-0000-000036270000}"/>
    <cellStyle name="Normal 23 2 2 2 2 2" xfId="20692" xr:uid="{00000000-0005-0000-0000-000037270000}"/>
    <cellStyle name="Normal 23 2 2 2 2 2 2" xfId="18784" xr:uid="{00000000-0005-0000-0000-000038270000}"/>
    <cellStyle name="Normal 23 2 2 2 2 2 2 2" xfId="20693" xr:uid="{00000000-0005-0000-0000-000039270000}"/>
    <cellStyle name="Normal 23 2 2 2 2 2 2 2 2" xfId="20694" xr:uid="{00000000-0005-0000-0000-00003A270000}"/>
    <cellStyle name="Normal 23 2 2 2 2 2 2 2 2 2" xfId="20695" xr:uid="{00000000-0005-0000-0000-00003B270000}"/>
    <cellStyle name="Normal 23 2 2 2 2 2 2 2 2 2 2" xfId="11961" xr:uid="{00000000-0005-0000-0000-00003C270000}"/>
    <cellStyle name="Normal 23 2 2 2 2 2 2 2 2 3" xfId="20696" xr:uid="{00000000-0005-0000-0000-00003D270000}"/>
    <cellStyle name="Normal 23 2 2 2 2 2 2 2 3" xfId="20697" xr:uid="{00000000-0005-0000-0000-00003E270000}"/>
    <cellStyle name="Normal 23 2 2 2 2 2 2 2 3 2" xfId="20698" xr:uid="{00000000-0005-0000-0000-00003F270000}"/>
    <cellStyle name="Normal 23 2 2 2 2 2 2 2 4" xfId="20700" xr:uid="{00000000-0005-0000-0000-000040270000}"/>
    <cellStyle name="Normal 23 2 2 2 2 2 2 3" xfId="20701" xr:uid="{00000000-0005-0000-0000-000041270000}"/>
    <cellStyle name="Normal 23 2 2 2 2 2 2 3 2" xfId="20702" xr:uid="{00000000-0005-0000-0000-000042270000}"/>
    <cellStyle name="Normal 23 2 2 2 2 2 2 3 2 2" xfId="20710" xr:uid="{00000000-0005-0000-0000-000043270000}"/>
    <cellStyle name="Normal 23 2 2 2 2 2 2 3 3" xfId="20713" xr:uid="{00000000-0005-0000-0000-000044270000}"/>
    <cellStyle name="Normal 23 2 2 2 2 2 2 4" xfId="20716" xr:uid="{00000000-0005-0000-0000-000045270000}"/>
    <cellStyle name="Normal 23 2 2 2 2 2 2 4 2" xfId="20717" xr:uid="{00000000-0005-0000-0000-000046270000}"/>
    <cellStyle name="Normal 23 2 2 2 2 2 2 4 2 2" xfId="20720" xr:uid="{00000000-0005-0000-0000-000047270000}"/>
    <cellStyle name="Normal 23 2 2 2 2 2 2 4 3" xfId="20723" xr:uid="{00000000-0005-0000-0000-000048270000}"/>
    <cellStyle name="Normal 23 2 2 2 2 2 2 5" xfId="20726" xr:uid="{00000000-0005-0000-0000-000049270000}"/>
    <cellStyle name="Normal 23 2 2 2 2 2 2 5 2" xfId="20727" xr:uid="{00000000-0005-0000-0000-00004A270000}"/>
    <cellStyle name="Normal 23 2 2 2 2 2 2 6" xfId="20731" xr:uid="{00000000-0005-0000-0000-00004B270000}"/>
    <cellStyle name="Normal 23 2 2 2 2 2 2 6 2" xfId="20733" xr:uid="{00000000-0005-0000-0000-00004C270000}"/>
    <cellStyle name="Normal 23 2 2 2 2 2 2 7" xfId="7183" xr:uid="{00000000-0005-0000-0000-00004D270000}"/>
    <cellStyle name="Normal 23 2 2 2 2 2 2 8" xfId="2673" xr:uid="{00000000-0005-0000-0000-00004E270000}"/>
    <cellStyle name="Normal 23 2 2 2 2 2 3" xfId="20737" xr:uid="{00000000-0005-0000-0000-00004F270000}"/>
    <cellStyle name="Normal 23 2 2 2 2 2 3 2" xfId="20738" xr:uid="{00000000-0005-0000-0000-000050270000}"/>
    <cellStyle name="Normal 23 2 2 2 2 2 3 2 2" xfId="20739" xr:uid="{00000000-0005-0000-0000-000051270000}"/>
    <cellStyle name="Normal 23 2 2 2 2 2 3 2 2 2" xfId="20740" xr:uid="{00000000-0005-0000-0000-000052270000}"/>
    <cellStyle name="Normal 23 2 2 2 2 2 3 2 3" xfId="20741" xr:uid="{00000000-0005-0000-0000-000053270000}"/>
    <cellStyle name="Normal 23 2 2 2 2 2 3 3" xfId="20744" xr:uid="{00000000-0005-0000-0000-000054270000}"/>
    <cellStyle name="Normal 23 2 2 2 2 2 3 3 2" xfId="20745" xr:uid="{00000000-0005-0000-0000-000055270000}"/>
    <cellStyle name="Normal 23 2 2 2 2 2 3 4" xfId="20748" xr:uid="{00000000-0005-0000-0000-000056270000}"/>
    <cellStyle name="Normal 23 2 2 2 2 2 4" xfId="20749" xr:uid="{00000000-0005-0000-0000-000057270000}"/>
    <cellStyle name="Normal 23 2 2 2 2 2 4 2" xfId="20752" xr:uid="{00000000-0005-0000-0000-000058270000}"/>
    <cellStyle name="Normal 23 2 2 2 2 2 4 2 2" xfId="18079" xr:uid="{00000000-0005-0000-0000-000059270000}"/>
    <cellStyle name="Normal 23 2 2 2 2 2 4 3" xfId="20753" xr:uid="{00000000-0005-0000-0000-00005A270000}"/>
    <cellStyle name="Normal 23 2 2 2 2 2 5" xfId="20754" xr:uid="{00000000-0005-0000-0000-00005B270000}"/>
    <cellStyle name="Normal 23 2 2 2 2 2 5 2" xfId="20757" xr:uid="{00000000-0005-0000-0000-00005C270000}"/>
    <cellStyle name="Normal 23 2 2 2 2 2 5 2 2" xfId="20758" xr:uid="{00000000-0005-0000-0000-00005D270000}"/>
    <cellStyle name="Normal 23 2 2 2 2 2 5 3" xfId="20759" xr:uid="{00000000-0005-0000-0000-00005E270000}"/>
    <cellStyle name="Normal 23 2 2 2 2 2 6" xfId="20760" xr:uid="{00000000-0005-0000-0000-00005F270000}"/>
    <cellStyle name="Normal 23 2 2 2 2 2 6 2" xfId="20763" xr:uid="{00000000-0005-0000-0000-000060270000}"/>
    <cellStyle name="Normal 23 2 2 2 2 2 7" xfId="20764" xr:uid="{00000000-0005-0000-0000-000061270000}"/>
    <cellStyle name="Normal 23 2 2 2 2 2 7 2" xfId="20767" xr:uid="{00000000-0005-0000-0000-000062270000}"/>
    <cellStyle name="Normal 23 2 2 2 2 2 8" xfId="20768" xr:uid="{00000000-0005-0000-0000-000063270000}"/>
    <cellStyle name="Normal 23 2 2 2 2 2 9" xfId="9705" xr:uid="{00000000-0005-0000-0000-000064270000}"/>
    <cellStyle name="Normal 23 2 2 2 2 3" xfId="20770" xr:uid="{00000000-0005-0000-0000-000065270000}"/>
    <cellStyle name="Normal 23 2 2 2 2 3 2" xfId="20773" xr:uid="{00000000-0005-0000-0000-000066270000}"/>
    <cellStyle name="Normal 23 2 2 2 2 3 2 2" xfId="20774" xr:uid="{00000000-0005-0000-0000-000067270000}"/>
    <cellStyle name="Normal 23 2 2 2 2 3 2 2 2" xfId="20775" xr:uid="{00000000-0005-0000-0000-000068270000}"/>
    <cellStyle name="Normal 23 2 2 2 2 3 2 2 2 2" xfId="20776" xr:uid="{00000000-0005-0000-0000-000069270000}"/>
    <cellStyle name="Normal 23 2 2 2 2 3 2 2 3" xfId="20778" xr:uid="{00000000-0005-0000-0000-00006A270000}"/>
    <cellStyle name="Normal 23 2 2 2 2 3 2 3" xfId="20779" xr:uid="{00000000-0005-0000-0000-00006B270000}"/>
    <cellStyle name="Normal 23 2 2 2 2 3 2 3 2" xfId="20780" xr:uid="{00000000-0005-0000-0000-00006C270000}"/>
    <cellStyle name="Normal 23 2 2 2 2 3 2 4" xfId="15801" xr:uid="{00000000-0005-0000-0000-00006D270000}"/>
    <cellStyle name="Normal 23 2 2 2 2 3 3" xfId="20784" xr:uid="{00000000-0005-0000-0000-00006E270000}"/>
    <cellStyle name="Normal 23 2 2 2 2 3 3 2" xfId="20785" xr:uid="{00000000-0005-0000-0000-00006F270000}"/>
    <cellStyle name="Normal 23 2 2 2 2 3 3 2 2" xfId="20786" xr:uid="{00000000-0005-0000-0000-000070270000}"/>
    <cellStyle name="Normal 23 2 2 2 2 3 3 3" xfId="4588" xr:uid="{00000000-0005-0000-0000-000071270000}"/>
    <cellStyle name="Normal 23 2 2 2 2 3 4" xfId="20788" xr:uid="{00000000-0005-0000-0000-000072270000}"/>
    <cellStyle name="Normal 23 2 2 2 2 3 4 2" xfId="20791" xr:uid="{00000000-0005-0000-0000-000073270000}"/>
    <cellStyle name="Normal 23 2 2 2 2 3 4 2 2" xfId="20792" xr:uid="{00000000-0005-0000-0000-000074270000}"/>
    <cellStyle name="Normal 23 2 2 2 2 3 4 3" xfId="20793" xr:uid="{00000000-0005-0000-0000-000075270000}"/>
    <cellStyle name="Normal 23 2 2 2 2 3 5" xfId="20794" xr:uid="{00000000-0005-0000-0000-000076270000}"/>
    <cellStyle name="Normal 23 2 2 2 2 3 5 2" xfId="19835" xr:uid="{00000000-0005-0000-0000-000077270000}"/>
    <cellStyle name="Normal 23 2 2 2 2 3 6" xfId="20795" xr:uid="{00000000-0005-0000-0000-000078270000}"/>
    <cellStyle name="Normal 23 2 2 2 2 3 6 2" xfId="20796" xr:uid="{00000000-0005-0000-0000-000079270000}"/>
    <cellStyle name="Normal 23 2 2 2 2 3 7" xfId="20797" xr:uid="{00000000-0005-0000-0000-00007A270000}"/>
    <cellStyle name="Normal 23 2 2 2 2 3 8" xfId="20799" xr:uid="{00000000-0005-0000-0000-00007B270000}"/>
    <cellStyle name="Normal 23 2 2 2 2 4" xfId="11349" xr:uid="{00000000-0005-0000-0000-00007C270000}"/>
    <cellStyle name="Normal 23 2 2 2 2 4 2" xfId="18320" xr:uid="{00000000-0005-0000-0000-00007D270000}"/>
    <cellStyle name="Normal 23 2 2 2 2 4 2 2" xfId="20800" xr:uid="{00000000-0005-0000-0000-00007E270000}"/>
    <cellStyle name="Normal 23 2 2 2 2 4 2 2 2" xfId="20803" xr:uid="{00000000-0005-0000-0000-00007F270000}"/>
    <cellStyle name="Normal 23 2 2 2 2 4 2 3" xfId="20806" xr:uid="{00000000-0005-0000-0000-000080270000}"/>
    <cellStyle name="Normal 23 2 2 2 2 4 3" xfId="18287" xr:uid="{00000000-0005-0000-0000-000081270000}"/>
    <cellStyle name="Normal 23 2 2 2 2 4 3 2" xfId="20809" xr:uid="{00000000-0005-0000-0000-000082270000}"/>
    <cellStyle name="Normal 23 2 2 2 2 4 4" xfId="20812" xr:uid="{00000000-0005-0000-0000-000083270000}"/>
    <cellStyle name="Normal 23 2 2 2 2 5" xfId="18324" xr:uid="{00000000-0005-0000-0000-000084270000}"/>
    <cellStyle name="Normal 23 2 2 2 2 5 2" xfId="18343" xr:uid="{00000000-0005-0000-0000-000085270000}"/>
    <cellStyle name="Normal 23 2 2 2 2 5 2 2" xfId="18347" xr:uid="{00000000-0005-0000-0000-000086270000}"/>
    <cellStyle name="Normal 23 2 2 2 2 5 3" xfId="18627" xr:uid="{00000000-0005-0000-0000-000087270000}"/>
    <cellStyle name="Normal 23 2 2 2 2 6" xfId="19222" xr:uid="{00000000-0005-0000-0000-000088270000}"/>
    <cellStyle name="Normal 23 2 2 2 2 6 2" xfId="19225" xr:uid="{00000000-0005-0000-0000-000089270000}"/>
    <cellStyle name="Normal 23 2 2 2 2 6 2 2" xfId="20817" xr:uid="{00000000-0005-0000-0000-00008A270000}"/>
    <cellStyle name="Normal 23 2 2 2 2 6 3" xfId="20818" xr:uid="{00000000-0005-0000-0000-00008B270000}"/>
    <cellStyle name="Normal 23 2 2 2 2 7" xfId="19229" xr:uid="{00000000-0005-0000-0000-00008C270000}"/>
    <cellStyle name="Normal 23 2 2 2 2 7 2" xfId="20819" xr:uid="{00000000-0005-0000-0000-00008D270000}"/>
    <cellStyle name="Normal 23 2 2 2 2 8" xfId="20822" xr:uid="{00000000-0005-0000-0000-00008E270000}"/>
    <cellStyle name="Normal 23 2 2 2 2 8 2" xfId="20823" xr:uid="{00000000-0005-0000-0000-00008F270000}"/>
    <cellStyle name="Normal 23 2 2 2 2 9" xfId="20826" xr:uid="{00000000-0005-0000-0000-000090270000}"/>
    <cellStyle name="Normal 23 2 2 2 3" xfId="20829" xr:uid="{00000000-0005-0000-0000-000091270000}"/>
    <cellStyle name="Normal 23 2 2 2 3 2" xfId="20830" xr:uid="{00000000-0005-0000-0000-000092270000}"/>
    <cellStyle name="Normal 23 2 2 2 3 2 2" xfId="12212" xr:uid="{00000000-0005-0000-0000-000093270000}"/>
    <cellStyle name="Normal 23 2 2 2 3 2 2 2" xfId="20831" xr:uid="{00000000-0005-0000-0000-000094270000}"/>
    <cellStyle name="Normal 23 2 2 2 3 2 2 2 2" xfId="20832" xr:uid="{00000000-0005-0000-0000-000095270000}"/>
    <cellStyle name="Normal 23 2 2 2 3 2 2 2 2 2" xfId="16893" xr:uid="{00000000-0005-0000-0000-000096270000}"/>
    <cellStyle name="Normal 23 2 2 2 3 2 2 2 3" xfId="20833" xr:uid="{00000000-0005-0000-0000-000097270000}"/>
    <cellStyle name="Normal 23 2 2 2 3 2 2 3" xfId="20834" xr:uid="{00000000-0005-0000-0000-000098270000}"/>
    <cellStyle name="Normal 23 2 2 2 3 2 2 3 2" xfId="3488" xr:uid="{00000000-0005-0000-0000-000099270000}"/>
    <cellStyle name="Normal 23 2 2 2 3 2 2 4" xfId="20835" xr:uid="{00000000-0005-0000-0000-00009A270000}"/>
    <cellStyle name="Normal 23 2 2 2 3 2 2 5" xfId="1144" xr:uid="{00000000-0005-0000-0000-00009B270000}"/>
    <cellStyle name="Normal 23 2 2 2 3 2 3" xfId="20836" xr:uid="{00000000-0005-0000-0000-00009C270000}"/>
    <cellStyle name="Normal 23 2 2 2 3 2 3 2" xfId="20837" xr:uid="{00000000-0005-0000-0000-00009D270000}"/>
    <cellStyle name="Normal 23 2 2 2 3 2 3 2 2" xfId="20838" xr:uid="{00000000-0005-0000-0000-00009E270000}"/>
    <cellStyle name="Normal 23 2 2 2 3 2 3 3" xfId="20839" xr:uid="{00000000-0005-0000-0000-00009F270000}"/>
    <cellStyle name="Normal 23 2 2 2 3 2 4" xfId="20840" xr:uid="{00000000-0005-0000-0000-0000A0270000}"/>
    <cellStyle name="Normal 23 2 2 2 3 2 4 2" xfId="20843" xr:uid="{00000000-0005-0000-0000-0000A1270000}"/>
    <cellStyle name="Normal 23 2 2 2 3 2 4 2 2" xfId="20844" xr:uid="{00000000-0005-0000-0000-0000A2270000}"/>
    <cellStyle name="Normal 23 2 2 2 3 2 4 3" xfId="20845" xr:uid="{00000000-0005-0000-0000-0000A3270000}"/>
    <cellStyle name="Normal 23 2 2 2 3 2 5" xfId="20847" xr:uid="{00000000-0005-0000-0000-0000A4270000}"/>
    <cellStyle name="Normal 23 2 2 2 3 2 5 2" xfId="20851" xr:uid="{00000000-0005-0000-0000-0000A5270000}"/>
    <cellStyle name="Normal 23 2 2 2 3 2 6" xfId="20853" xr:uid="{00000000-0005-0000-0000-0000A6270000}"/>
    <cellStyle name="Normal 23 2 2 2 3 2 6 2" xfId="20857" xr:uid="{00000000-0005-0000-0000-0000A7270000}"/>
    <cellStyle name="Normal 23 2 2 2 3 2 7" xfId="20860" xr:uid="{00000000-0005-0000-0000-0000A8270000}"/>
    <cellStyle name="Normal 23 2 2 2 3 2 8" xfId="20865" xr:uid="{00000000-0005-0000-0000-0000A9270000}"/>
    <cellStyle name="Normal 23 2 2 2 3 3" xfId="15318" xr:uid="{00000000-0005-0000-0000-0000AA270000}"/>
    <cellStyle name="Normal 23 2 2 2 3 3 2" xfId="15320" xr:uid="{00000000-0005-0000-0000-0000AB270000}"/>
    <cellStyle name="Normal 23 2 2 2 3 3 2 2" xfId="15322" xr:uid="{00000000-0005-0000-0000-0000AC270000}"/>
    <cellStyle name="Normal 23 2 2 2 3 3 2 2 2" xfId="13592" xr:uid="{00000000-0005-0000-0000-0000AD270000}"/>
    <cellStyle name="Normal 23 2 2 2 3 3 2 3" xfId="15324" xr:uid="{00000000-0005-0000-0000-0000AE270000}"/>
    <cellStyle name="Normal 23 2 2 2 3 3 3" xfId="15327" xr:uid="{00000000-0005-0000-0000-0000AF270000}"/>
    <cellStyle name="Normal 23 2 2 2 3 3 3 2" xfId="15329" xr:uid="{00000000-0005-0000-0000-0000B0270000}"/>
    <cellStyle name="Normal 23 2 2 2 3 3 4" xfId="15331" xr:uid="{00000000-0005-0000-0000-0000B1270000}"/>
    <cellStyle name="Normal 23 2 2 2 3 3 5" xfId="15334" xr:uid="{00000000-0005-0000-0000-0000B2270000}"/>
    <cellStyle name="Normal 23 2 2 2 3 4" xfId="15337" xr:uid="{00000000-0005-0000-0000-0000B3270000}"/>
    <cellStyle name="Normal 23 2 2 2 3 4 2" xfId="11197" xr:uid="{00000000-0005-0000-0000-0000B4270000}"/>
    <cellStyle name="Normal 23 2 2 2 3 4 2 2" xfId="15340" xr:uid="{00000000-0005-0000-0000-0000B5270000}"/>
    <cellStyle name="Normal 23 2 2 2 3 4 3" xfId="15344" xr:uid="{00000000-0005-0000-0000-0000B6270000}"/>
    <cellStyle name="Normal 23 2 2 2 3 5" xfId="15354" xr:uid="{00000000-0005-0000-0000-0000B7270000}"/>
    <cellStyle name="Normal 23 2 2 2 3 5 2" xfId="5392" xr:uid="{00000000-0005-0000-0000-0000B8270000}"/>
    <cellStyle name="Normal 23 2 2 2 3 5 2 2" xfId="5243" xr:uid="{00000000-0005-0000-0000-0000B9270000}"/>
    <cellStyle name="Normal 23 2 2 2 3 5 3" xfId="5404" xr:uid="{00000000-0005-0000-0000-0000BA270000}"/>
    <cellStyle name="Normal 23 2 2 2 3 6" xfId="15357" xr:uid="{00000000-0005-0000-0000-0000BB270000}"/>
    <cellStyle name="Normal 23 2 2 2 3 6 2" xfId="6804" xr:uid="{00000000-0005-0000-0000-0000BC270000}"/>
    <cellStyle name="Normal 23 2 2 2 3 7" xfId="15364" xr:uid="{00000000-0005-0000-0000-0000BD270000}"/>
    <cellStyle name="Normal 23 2 2 2 3 7 2" xfId="6822" xr:uid="{00000000-0005-0000-0000-0000BE270000}"/>
    <cellStyle name="Normal 23 2 2 2 3 8" xfId="15368" xr:uid="{00000000-0005-0000-0000-0000BF270000}"/>
    <cellStyle name="Normal 23 2 2 2 3 9" xfId="15374" xr:uid="{00000000-0005-0000-0000-0000C0270000}"/>
    <cellStyle name="Normal 23 2 2 2 4" xfId="20866" xr:uid="{00000000-0005-0000-0000-0000C1270000}"/>
    <cellStyle name="Normal 23 2 2 2 4 2" xfId="20868" xr:uid="{00000000-0005-0000-0000-0000C2270000}"/>
    <cellStyle name="Normal 23 2 2 2 4 2 2" xfId="20871" xr:uid="{00000000-0005-0000-0000-0000C3270000}"/>
    <cellStyle name="Normal 23 2 2 2 4 2 2 2" xfId="20874" xr:uid="{00000000-0005-0000-0000-0000C4270000}"/>
    <cellStyle name="Normal 23 2 2 2 4 2 2 2 2" xfId="20876" xr:uid="{00000000-0005-0000-0000-0000C5270000}"/>
    <cellStyle name="Normal 23 2 2 2 4 2 2 2 2 2" xfId="20877" xr:uid="{00000000-0005-0000-0000-0000C6270000}"/>
    <cellStyle name="Normal 23 2 2 2 4 2 2 2 3" xfId="20878" xr:uid="{00000000-0005-0000-0000-0000C7270000}"/>
    <cellStyle name="Normal 23 2 2 2 4 2 2 3" xfId="2551" xr:uid="{00000000-0005-0000-0000-0000C8270000}"/>
    <cellStyle name="Normal 23 2 2 2 4 2 2 3 2" xfId="6744" xr:uid="{00000000-0005-0000-0000-0000C9270000}"/>
    <cellStyle name="Normal 23 2 2 2 4 2 2 4" xfId="6754" xr:uid="{00000000-0005-0000-0000-0000CA270000}"/>
    <cellStyle name="Normal 23 2 2 2 4 2 3" xfId="20880" xr:uid="{00000000-0005-0000-0000-0000CB270000}"/>
    <cellStyle name="Normal 23 2 2 2 4 2 3 2" xfId="20887" xr:uid="{00000000-0005-0000-0000-0000CC270000}"/>
    <cellStyle name="Normal 23 2 2 2 4 2 3 2 2" xfId="20893" xr:uid="{00000000-0005-0000-0000-0000CD270000}"/>
    <cellStyle name="Normal 23 2 2 2 4 2 3 3" xfId="5931" xr:uid="{00000000-0005-0000-0000-0000CE270000}"/>
    <cellStyle name="Normal 23 2 2 2 4 2 4" xfId="20898" xr:uid="{00000000-0005-0000-0000-0000CF270000}"/>
    <cellStyle name="Normal 23 2 2 2 4 2 4 2" xfId="20903" xr:uid="{00000000-0005-0000-0000-0000D0270000}"/>
    <cellStyle name="Normal 23 2 2 2 4 2 4 2 2" xfId="20905" xr:uid="{00000000-0005-0000-0000-0000D1270000}"/>
    <cellStyle name="Normal 23 2 2 2 4 2 4 3" xfId="3820" xr:uid="{00000000-0005-0000-0000-0000D2270000}"/>
    <cellStyle name="Normal 23 2 2 2 4 2 5" xfId="20908" xr:uid="{00000000-0005-0000-0000-0000D3270000}"/>
    <cellStyle name="Normal 23 2 2 2 4 2 5 2" xfId="11498" xr:uid="{00000000-0005-0000-0000-0000D4270000}"/>
    <cellStyle name="Normal 23 2 2 2 4 2 6" xfId="20913" xr:uid="{00000000-0005-0000-0000-0000D5270000}"/>
    <cellStyle name="Normal 23 2 2 2 4 2 6 2" xfId="19630" xr:uid="{00000000-0005-0000-0000-0000D6270000}"/>
    <cellStyle name="Normal 23 2 2 2 4 2 7" xfId="15615" xr:uid="{00000000-0005-0000-0000-0000D7270000}"/>
    <cellStyle name="Normal 23 2 2 2 4 2 8" xfId="20921" xr:uid="{00000000-0005-0000-0000-0000D8270000}"/>
    <cellStyle name="Normal 23 2 2 2 4 3" xfId="15382" xr:uid="{00000000-0005-0000-0000-0000D9270000}"/>
    <cellStyle name="Normal 23 2 2 2 4 3 2" xfId="15384" xr:uid="{00000000-0005-0000-0000-0000DA270000}"/>
    <cellStyle name="Normal 23 2 2 2 4 3 2 2" xfId="14608" xr:uid="{00000000-0005-0000-0000-0000DB270000}"/>
    <cellStyle name="Normal 23 2 2 2 4 3 2 2 2" xfId="20923" xr:uid="{00000000-0005-0000-0000-0000DC270000}"/>
    <cellStyle name="Normal 23 2 2 2 4 3 2 3" xfId="14612" xr:uid="{00000000-0005-0000-0000-0000DD270000}"/>
    <cellStyle name="Normal 23 2 2 2 4 3 3" xfId="15388" xr:uid="{00000000-0005-0000-0000-0000DE270000}"/>
    <cellStyle name="Normal 23 2 2 2 4 3 3 2" xfId="20924" xr:uid="{00000000-0005-0000-0000-0000DF270000}"/>
    <cellStyle name="Normal 23 2 2 2 4 3 4" xfId="20926" xr:uid="{00000000-0005-0000-0000-0000E0270000}"/>
    <cellStyle name="Normal 23 2 2 2 4 4" xfId="15391" xr:uid="{00000000-0005-0000-0000-0000E1270000}"/>
    <cellStyle name="Normal 23 2 2 2 4 4 2" xfId="15395" xr:uid="{00000000-0005-0000-0000-0000E2270000}"/>
    <cellStyle name="Normal 23 2 2 2 4 4 2 2" xfId="18385" xr:uid="{00000000-0005-0000-0000-0000E3270000}"/>
    <cellStyle name="Normal 23 2 2 2 4 4 3" xfId="18311" xr:uid="{00000000-0005-0000-0000-0000E4270000}"/>
    <cellStyle name="Normal 23 2 2 2 4 5" xfId="15405" xr:uid="{00000000-0005-0000-0000-0000E5270000}"/>
    <cellStyle name="Normal 23 2 2 2 4 5 2" xfId="4333" xr:uid="{00000000-0005-0000-0000-0000E6270000}"/>
    <cellStyle name="Normal 23 2 2 2 4 5 2 2" xfId="14044" xr:uid="{00000000-0005-0000-0000-0000E7270000}"/>
    <cellStyle name="Normal 23 2 2 2 4 5 3" xfId="3961" xr:uid="{00000000-0005-0000-0000-0000E8270000}"/>
    <cellStyle name="Normal 23 2 2 2 4 6" xfId="15410" xr:uid="{00000000-0005-0000-0000-0000E9270000}"/>
    <cellStyle name="Normal 23 2 2 2 4 6 2" xfId="18423" xr:uid="{00000000-0005-0000-0000-0000EA270000}"/>
    <cellStyle name="Normal 23 2 2 2 4 7" xfId="19248" xr:uid="{00000000-0005-0000-0000-0000EB270000}"/>
    <cellStyle name="Normal 23 2 2 2 4 7 2" xfId="18428" xr:uid="{00000000-0005-0000-0000-0000EC270000}"/>
    <cellStyle name="Normal 23 2 2 2 4 8" xfId="20927" xr:uid="{00000000-0005-0000-0000-0000ED270000}"/>
    <cellStyle name="Normal 23 2 2 2 4 9" xfId="14024" xr:uid="{00000000-0005-0000-0000-0000EE270000}"/>
    <cellStyle name="Normal 23 2 2 2 5" xfId="20928" xr:uid="{00000000-0005-0000-0000-0000EF270000}"/>
    <cellStyle name="Normal 23 2 2 2 5 2" xfId="20932" xr:uid="{00000000-0005-0000-0000-0000F0270000}"/>
    <cellStyle name="Normal 23 2 2 2 5 2 2" xfId="20937" xr:uid="{00000000-0005-0000-0000-0000F1270000}"/>
    <cellStyle name="Normal 23 2 2 2 5 2 2 2" xfId="5486" xr:uid="{00000000-0005-0000-0000-0000F2270000}"/>
    <cellStyle name="Normal 23 2 2 2 5 2 2 2 2" xfId="20938" xr:uid="{00000000-0005-0000-0000-0000F3270000}"/>
    <cellStyle name="Normal 23 2 2 2 5 2 2 2 2 2" xfId="7651" xr:uid="{00000000-0005-0000-0000-0000F4270000}"/>
    <cellStyle name="Normal 23 2 2 2 5 2 2 2 3" xfId="20939" xr:uid="{00000000-0005-0000-0000-0000F5270000}"/>
    <cellStyle name="Normal 23 2 2 2 5 2 2 3" xfId="20941" xr:uid="{00000000-0005-0000-0000-0000F6270000}"/>
    <cellStyle name="Normal 23 2 2 2 5 2 2 3 2" xfId="20946" xr:uid="{00000000-0005-0000-0000-0000F7270000}"/>
    <cellStyle name="Normal 23 2 2 2 5 2 2 4" xfId="20948" xr:uid="{00000000-0005-0000-0000-0000F8270000}"/>
    <cellStyle name="Normal 23 2 2 2 5 2 3" xfId="20949" xr:uid="{00000000-0005-0000-0000-0000F9270000}"/>
    <cellStyle name="Normal 23 2 2 2 5 2 3 2" xfId="20950" xr:uid="{00000000-0005-0000-0000-0000FA270000}"/>
    <cellStyle name="Normal 23 2 2 2 5 2 3 2 2" xfId="20951" xr:uid="{00000000-0005-0000-0000-0000FB270000}"/>
    <cellStyle name="Normal 23 2 2 2 5 2 3 3" xfId="8288" xr:uid="{00000000-0005-0000-0000-0000FC270000}"/>
    <cellStyle name="Normal 23 2 2 2 5 2 4" xfId="20953" xr:uid="{00000000-0005-0000-0000-0000FD270000}"/>
    <cellStyle name="Normal 23 2 2 2 5 2 4 2" xfId="20956" xr:uid="{00000000-0005-0000-0000-0000FE270000}"/>
    <cellStyle name="Normal 23 2 2 2 5 2 4 2 2" xfId="20958" xr:uid="{00000000-0005-0000-0000-0000FF270000}"/>
    <cellStyle name="Normal 23 2 2 2 5 2 4 3" xfId="20962" xr:uid="{00000000-0005-0000-0000-000000280000}"/>
    <cellStyle name="Normal 23 2 2 2 5 2 5" xfId="20965" xr:uid="{00000000-0005-0000-0000-000001280000}"/>
    <cellStyle name="Normal 23 2 2 2 5 2 5 2" xfId="20972" xr:uid="{00000000-0005-0000-0000-000002280000}"/>
    <cellStyle name="Normal 23 2 2 2 5 2 6" xfId="20975" xr:uid="{00000000-0005-0000-0000-000003280000}"/>
    <cellStyle name="Normal 23 2 2 2 5 2 6 2" xfId="20978" xr:uid="{00000000-0005-0000-0000-000004280000}"/>
    <cellStyle name="Normal 23 2 2 2 5 2 7" xfId="20983" xr:uid="{00000000-0005-0000-0000-000005280000}"/>
    <cellStyle name="Normal 23 2 2 2 5 2 8" xfId="20989" xr:uid="{00000000-0005-0000-0000-000006280000}"/>
    <cellStyle name="Normal 23 2 2 2 5 3" xfId="15422" xr:uid="{00000000-0005-0000-0000-000007280000}"/>
    <cellStyle name="Normal 23 2 2 2 5 3 2" xfId="15425" xr:uid="{00000000-0005-0000-0000-000008280000}"/>
    <cellStyle name="Normal 23 2 2 2 5 3 2 2" xfId="14728" xr:uid="{00000000-0005-0000-0000-000009280000}"/>
    <cellStyle name="Normal 23 2 2 2 5 3 2 2 2" xfId="20991" xr:uid="{00000000-0005-0000-0000-00000A280000}"/>
    <cellStyle name="Normal 23 2 2 2 5 3 2 3" xfId="20993" xr:uid="{00000000-0005-0000-0000-00000B280000}"/>
    <cellStyle name="Normal 23 2 2 2 5 3 3" xfId="11544" xr:uid="{00000000-0005-0000-0000-00000C280000}"/>
    <cellStyle name="Normal 23 2 2 2 5 3 3 2" xfId="20995" xr:uid="{00000000-0005-0000-0000-00000D280000}"/>
    <cellStyle name="Normal 23 2 2 2 5 3 4" xfId="20997" xr:uid="{00000000-0005-0000-0000-00000E280000}"/>
    <cellStyle name="Normal 23 2 2 2 5 4" xfId="15428" xr:uid="{00000000-0005-0000-0000-00000F280000}"/>
    <cellStyle name="Normal 23 2 2 2 5 4 2" xfId="18443" xr:uid="{00000000-0005-0000-0000-000010280000}"/>
    <cellStyle name="Normal 23 2 2 2 5 4 2 2" xfId="18449" xr:uid="{00000000-0005-0000-0000-000011280000}"/>
    <cellStyle name="Normal 23 2 2 2 5 4 3" xfId="18453" xr:uid="{00000000-0005-0000-0000-000012280000}"/>
    <cellStyle name="Normal 23 2 2 2 5 5" xfId="19254" xr:uid="{00000000-0005-0000-0000-000013280000}"/>
    <cellStyle name="Normal 23 2 2 2 5 5 2" xfId="9658" xr:uid="{00000000-0005-0000-0000-000014280000}"/>
    <cellStyle name="Normal 23 2 2 2 5 5 2 2" xfId="9666" xr:uid="{00000000-0005-0000-0000-000015280000}"/>
    <cellStyle name="Normal 23 2 2 2 5 5 3" xfId="20998" xr:uid="{00000000-0005-0000-0000-000016280000}"/>
    <cellStyle name="Normal 23 2 2 2 5 6" xfId="19257" xr:uid="{00000000-0005-0000-0000-000017280000}"/>
    <cellStyle name="Normal 23 2 2 2 5 6 2" xfId="9674" xr:uid="{00000000-0005-0000-0000-000018280000}"/>
    <cellStyle name="Normal 23 2 2 2 5 7" xfId="19260" xr:uid="{00000000-0005-0000-0000-000019280000}"/>
    <cellStyle name="Normal 23 2 2 2 5 7 2" xfId="20999" xr:uid="{00000000-0005-0000-0000-00001A280000}"/>
    <cellStyle name="Normal 23 2 2 2 5 8" xfId="21000" xr:uid="{00000000-0005-0000-0000-00001B280000}"/>
    <cellStyle name="Normal 23 2 2 2 5 9" xfId="2003" xr:uid="{00000000-0005-0000-0000-00001C280000}"/>
    <cellStyle name="Normal 23 2 2 2 6" xfId="21004" xr:uid="{00000000-0005-0000-0000-00001D280000}"/>
    <cellStyle name="Normal 23 2 2 2 6 2" xfId="21008" xr:uid="{00000000-0005-0000-0000-00001E280000}"/>
    <cellStyle name="Normal 23 2 2 2 6 2 2" xfId="21009" xr:uid="{00000000-0005-0000-0000-00001F280000}"/>
    <cellStyle name="Normal 23 2 2 2 6 2 2 2" xfId="21010" xr:uid="{00000000-0005-0000-0000-000020280000}"/>
    <cellStyle name="Normal 23 2 2 2 6 2 2 2 2" xfId="21011" xr:uid="{00000000-0005-0000-0000-000021280000}"/>
    <cellStyle name="Normal 23 2 2 2 6 2 2 3" xfId="21012" xr:uid="{00000000-0005-0000-0000-000022280000}"/>
    <cellStyle name="Normal 23 2 2 2 6 2 3" xfId="14588" xr:uid="{00000000-0005-0000-0000-000023280000}"/>
    <cellStyle name="Normal 23 2 2 2 6 2 3 2" xfId="14590" xr:uid="{00000000-0005-0000-0000-000024280000}"/>
    <cellStyle name="Normal 23 2 2 2 6 2 4" xfId="14715" xr:uid="{00000000-0005-0000-0000-000025280000}"/>
    <cellStyle name="Normal 23 2 2 2 6 2 5" xfId="14801" xr:uid="{00000000-0005-0000-0000-000026280000}"/>
    <cellStyle name="Normal 23 2 2 2 6 3" xfId="15437" xr:uid="{00000000-0005-0000-0000-000027280000}"/>
    <cellStyle name="Normal 23 2 2 2 6 3 2" xfId="15439" xr:uid="{00000000-0005-0000-0000-000028280000}"/>
    <cellStyle name="Normal 23 2 2 2 6 3 2 2" xfId="21014" xr:uid="{00000000-0005-0000-0000-000029280000}"/>
    <cellStyle name="Normal 23 2 2 2 6 3 3" xfId="14876" xr:uid="{00000000-0005-0000-0000-00002A280000}"/>
    <cellStyle name="Normal 23 2 2 2 6 4" xfId="15440" xr:uid="{00000000-0005-0000-0000-00002B280000}"/>
    <cellStyle name="Normal 23 2 2 2 6 4 2" xfId="18473" xr:uid="{00000000-0005-0000-0000-00002C280000}"/>
    <cellStyle name="Normal 23 2 2 2 6 4 2 2" xfId="19269" xr:uid="{00000000-0005-0000-0000-00002D280000}"/>
    <cellStyle name="Normal 23 2 2 2 6 4 3" xfId="14964" xr:uid="{00000000-0005-0000-0000-00002E280000}"/>
    <cellStyle name="Normal 23 2 2 2 6 5" xfId="19274" xr:uid="{00000000-0005-0000-0000-00002F280000}"/>
    <cellStyle name="Normal 23 2 2 2 6 5 2" xfId="19279" xr:uid="{00000000-0005-0000-0000-000030280000}"/>
    <cellStyle name="Normal 23 2 2 2 6 6" xfId="19286" xr:uid="{00000000-0005-0000-0000-000031280000}"/>
    <cellStyle name="Normal 23 2 2 2 6 6 2" xfId="19289" xr:uid="{00000000-0005-0000-0000-000032280000}"/>
    <cellStyle name="Normal 23 2 2 2 6 7" xfId="19294" xr:uid="{00000000-0005-0000-0000-000033280000}"/>
    <cellStyle name="Normal 23 2 2 2 6 8" xfId="13051" xr:uid="{00000000-0005-0000-0000-000034280000}"/>
    <cellStyle name="Normal 23 2 2 2 7" xfId="21015" xr:uid="{00000000-0005-0000-0000-000035280000}"/>
    <cellStyle name="Normal 23 2 2 2 7 2" xfId="21019" xr:uid="{00000000-0005-0000-0000-000036280000}"/>
    <cellStyle name="Normal 23 2 2 2 7 2 2" xfId="21020" xr:uid="{00000000-0005-0000-0000-000037280000}"/>
    <cellStyle name="Normal 23 2 2 2 7 2 2 2" xfId="20771" xr:uid="{00000000-0005-0000-0000-000038280000}"/>
    <cellStyle name="Normal 23 2 2 2 7 2 3" xfId="15315" xr:uid="{00000000-0005-0000-0000-000039280000}"/>
    <cellStyle name="Normal 23 2 2 2 7 3" xfId="15451" xr:uid="{00000000-0005-0000-0000-00003A280000}"/>
    <cellStyle name="Normal 23 2 2 2 7 3 2" xfId="21021" xr:uid="{00000000-0005-0000-0000-00003B280000}"/>
    <cellStyle name="Normal 23 2 2 2 7 4" xfId="19325" xr:uid="{00000000-0005-0000-0000-00003C280000}"/>
    <cellStyle name="Normal 23 2 2 2 7 5" xfId="19330" xr:uid="{00000000-0005-0000-0000-00003D280000}"/>
    <cellStyle name="Normal 23 2 2 2 8" xfId="21025" xr:uid="{00000000-0005-0000-0000-00003E280000}"/>
    <cellStyle name="Normal 23 2 2 2 8 2" xfId="21028" xr:uid="{00000000-0005-0000-0000-00003F280000}"/>
    <cellStyle name="Normal 23 2 2 2 8 2 2" xfId="21035" xr:uid="{00000000-0005-0000-0000-000040280000}"/>
    <cellStyle name="Normal 23 2 2 2 8 3" xfId="15459" xr:uid="{00000000-0005-0000-0000-000041280000}"/>
    <cellStyle name="Normal 23 2 2 2 9" xfId="21040" xr:uid="{00000000-0005-0000-0000-000042280000}"/>
    <cellStyle name="Normal 23 2 2 2 9 2" xfId="21043" xr:uid="{00000000-0005-0000-0000-000043280000}"/>
    <cellStyle name="Normal 23 2 2 2 9 2 2" xfId="21048" xr:uid="{00000000-0005-0000-0000-000044280000}"/>
    <cellStyle name="Normal 23 2 2 2 9 3" xfId="21051" xr:uid="{00000000-0005-0000-0000-000045280000}"/>
    <cellStyle name="Normal 23 2 2 3" xfId="20086" xr:uid="{00000000-0005-0000-0000-000046280000}"/>
    <cellStyle name="Normal 23 2 2 3 10" xfId="21054" xr:uid="{00000000-0005-0000-0000-000047280000}"/>
    <cellStyle name="Normal 23 2 2 3 11" xfId="21058" xr:uid="{00000000-0005-0000-0000-000048280000}"/>
    <cellStyle name="Normal 23 2 2 3 2" xfId="21060" xr:uid="{00000000-0005-0000-0000-000049280000}"/>
    <cellStyle name="Normal 23 2 2 3 2 2" xfId="21061" xr:uid="{00000000-0005-0000-0000-00004A280000}"/>
    <cellStyle name="Normal 23 2 2 3 2 2 2" xfId="21064" xr:uid="{00000000-0005-0000-0000-00004B280000}"/>
    <cellStyle name="Normal 23 2 2 3 2 2 2 2" xfId="21065" xr:uid="{00000000-0005-0000-0000-00004C280000}"/>
    <cellStyle name="Normal 23 2 2 3 2 2 2 2 2" xfId="21066" xr:uid="{00000000-0005-0000-0000-00004D280000}"/>
    <cellStyle name="Normal 23 2 2 3 2 2 2 2 2 2" xfId="21071" xr:uid="{00000000-0005-0000-0000-00004E280000}"/>
    <cellStyle name="Normal 23 2 2 3 2 2 2 2 3" xfId="18631" xr:uid="{00000000-0005-0000-0000-00004F280000}"/>
    <cellStyle name="Normal 23 2 2 3 2 2 2 2 4" xfId="21072" xr:uid="{00000000-0005-0000-0000-000050280000}"/>
    <cellStyle name="Normal 23 2 2 3 2 2 2 3" xfId="21073" xr:uid="{00000000-0005-0000-0000-000051280000}"/>
    <cellStyle name="Normal 23 2 2 3 2 2 2 3 2" xfId="21075" xr:uid="{00000000-0005-0000-0000-000052280000}"/>
    <cellStyle name="Normal 23 2 2 3 2 2 2 4" xfId="20429" xr:uid="{00000000-0005-0000-0000-000053280000}"/>
    <cellStyle name="Normal 23 2 2 3 2 2 2 4 2" xfId="20436" xr:uid="{00000000-0005-0000-0000-000054280000}"/>
    <cellStyle name="Normal 23 2 2 3 2 2 2 5" xfId="20539" xr:uid="{00000000-0005-0000-0000-000055280000}"/>
    <cellStyle name="Normal 23 2 2 3 2 2 2 6" xfId="20564" xr:uid="{00000000-0005-0000-0000-000056280000}"/>
    <cellStyle name="Normal 23 2 2 3 2 2 3" xfId="21076" xr:uid="{00000000-0005-0000-0000-000057280000}"/>
    <cellStyle name="Normal 23 2 2 3 2 2 3 2" xfId="21077" xr:uid="{00000000-0005-0000-0000-000058280000}"/>
    <cellStyle name="Normal 23 2 2 3 2 2 3 2 2" xfId="21078" xr:uid="{00000000-0005-0000-0000-000059280000}"/>
    <cellStyle name="Normal 23 2 2 3 2 2 3 3" xfId="21079" xr:uid="{00000000-0005-0000-0000-00005A280000}"/>
    <cellStyle name="Normal 23 2 2 3 2 2 3 4" xfId="21080" xr:uid="{00000000-0005-0000-0000-00005B280000}"/>
    <cellStyle name="Normal 23 2 2 3 2 2 4" xfId="21081" xr:uid="{00000000-0005-0000-0000-00005C280000}"/>
    <cellStyle name="Normal 23 2 2 3 2 2 4 2" xfId="13840" xr:uid="{00000000-0005-0000-0000-00005D280000}"/>
    <cellStyle name="Normal 23 2 2 3 2 2 4 2 2" xfId="13841" xr:uid="{00000000-0005-0000-0000-00005E280000}"/>
    <cellStyle name="Normal 23 2 2 3 2 2 4 3" xfId="13845" xr:uid="{00000000-0005-0000-0000-00005F280000}"/>
    <cellStyle name="Normal 23 2 2 3 2 2 5" xfId="21082" xr:uid="{00000000-0005-0000-0000-000060280000}"/>
    <cellStyle name="Normal 23 2 2 3 2 2 5 2" xfId="15577" xr:uid="{00000000-0005-0000-0000-000061280000}"/>
    <cellStyle name="Normal 23 2 2 3 2 2 6" xfId="21083" xr:uid="{00000000-0005-0000-0000-000062280000}"/>
    <cellStyle name="Normal 23 2 2 3 2 2 6 2" xfId="21084" xr:uid="{00000000-0005-0000-0000-000063280000}"/>
    <cellStyle name="Normal 23 2 2 3 2 2 7" xfId="21085" xr:uid="{00000000-0005-0000-0000-000064280000}"/>
    <cellStyle name="Normal 23 2 2 3 2 2 8" xfId="21088" xr:uid="{00000000-0005-0000-0000-000065280000}"/>
    <cellStyle name="Normal 23 2 2 3 2 3" xfId="21089" xr:uid="{00000000-0005-0000-0000-000066280000}"/>
    <cellStyle name="Normal 23 2 2 3 2 3 2" xfId="21091" xr:uid="{00000000-0005-0000-0000-000067280000}"/>
    <cellStyle name="Normal 23 2 2 3 2 3 2 2" xfId="21092" xr:uid="{00000000-0005-0000-0000-000068280000}"/>
    <cellStyle name="Normal 23 2 2 3 2 3 2 2 2" xfId="20699" xr:uid="{00000000-0005-0000-0000-000069280000}"/>
    <cellStyle name="Normal 23 2 2 3 2 3 2 3" xfId="21093" xr:uid="{00000000-0005-0000-0000-00006A280000}"/>
    <cellStyle name="Normal 23 2 2 3 2 3 2 4" xfId="21094" xr:uid="{00000000-0005-0000-0000-00006B280000}"/>
    <cellStyle name="Normal 23 2 2 3 2 3 3" xfId="21095" xr:uid="{00000000-0005-0000-0000-00006C280000}"/>
    <cellStyle name="Normal 23 2 2 3 2 3 3 2" xfId="21096" xr:uid="{00000000-0005-0000-0000-00006D280000}"/>
    <cellStyle name="Normal 23 2 2 3 2 3 4" xfId="21098" xr:uid="{00000000-0005-0000-0000-00006E280000}"/>
    <cellStyle name="Normal 23 2 2 3 2 3 4 2" xfId="21101" xr:uid="{00000000-0005-0000-0000-00006F280000}"/>
    <cellStyle name="Normal 23 2 2 3 2 3 5" xfId="21103" xr:uid="{00000000-0005-0000-0000-000070280000}"/>
    <cellStyle name="Normal 23 2 2 3 2 3 6" xfId="21105" xr:uid="{00000000-0005-0000-0000-000071280000}"/>
    <cellStyle name="Normal 23 2 2 3 2 4" xfId="21106" xr:uid="{00000000-0005-0000-0000-000072280000}"/>
    <cellStyle name="Normal 23 2 2 3 2 4 2" xfId="21108" xr:uid="{00000000-0005-0000-0000-000073280000}"/>
    <cellStyle name="Normal 23 2 2 3 2 4 2 2" xfId="21113" xr:uid="{00000000-0005-0000-0000-000074280000}"/>
    <cellStyle name="Normal 23 2 2 3 2 4 2 2 2" xfId="21118" xr:uid="{00000000-0005-0000-0000-000075280000}"/>
    <cellStyle name="Normal 23 2 2 3 2 4 2 3" xfId="14489" xr:uid="{00000000-0005-0000-0000-000076280000}"/>
    <cellStyle name="Normal 23 2 2 3 2 4 2 4" xfId="5784" xr:uid="{00000000-0005-0000-0000-000077280000}"/>
    <cellStyle name="Normal 23 2 2 3 2 4 3" xfId="21120" xr:uid="{00000000-0005-0000-0000-000078280000}"/>
    <cellStyle name="Normal 23 2 2 3 2 4 3 2" xfId="21125" xr:uid="{00000000-0005-0000-0000-000079280000}"/>
    <cellStyle name="Normal 23 2 2 3 2 4 4" xfId="9236" xr:uid="{00000000-0005-0000-0000-00007A280000}"/>
    <cellStyle name="Normal 23 2 2 3 2 4 4 2" xfId="13028" xr:uid="{00000000-0005-0000-0000-00007B280000}"/>
    <cellStyle name="Normal 23 2 2 3 2 4 5" xfId="7521" xr:uid="{00000000-0005-0000-0000-00007C280000}"/>
    <cellStyle name="Normal 23 2 2 3 2 4 6" xfId="418" xr:uid="{00000000-0005-0000-0000-00007D280000}"/>
    <cellStyle name="Normal 23 2 2 3 2 5" xfId="21129" xr:uid="{00000000-0005-0000-0000-00007E280000}"/>
    <cellStyle name="Normal 23 2 2 3 2 5 2" xfId="21130" xr:uid="{00000000-0005-0000-0000-00007F280000}"/>
    <cellStyle name="Normal 23 2 2 3 2 5 2 2" xfId="21133" xr:uid="{00000000-0005-0000-0000-000080280000}"/>
    <cellStyle name="Normal 23 2 2 3 2 5 3" xfId="21135" xr:uid="{00000000-0005-0000-0000-000081280000}"/>
    <cellStyle name="Normal 23 2 2 3 2 5 4" xfId="13135" xr:uid="{00000000-0005-0000-0000-000082280000}"/>
    <cellStyle name="Normal 23 2 2 3 2 6" xfId="21137" xr:uid="{00000000-0005-0000-0000-000083280000}"/>
    <cellStyle name="Normal 23 2 2 3 2 6 2" xfId="21138" xr:uid="{00000000-0005-0000-0000-000084280000}"/>
    <cellStyle name="Normal 23 2 2 3 2 7" xfId="21141" xr:uid="{00000000-0005-0000-0000-000085280000}"/>
    <cellStyle name="Normal 23 2 2 3 2 7 2" xfId="21142" xr:uid="{00000000-0005-0000-0000-000086280000}"/>
    <cellStyle name="Normal 23 2 2 3 2 8" xfId="21144" xr:uid="{00000000-0005-0000-0000-000087280000}"/>
    <cellStyle name="Normal 23 2 2 3 2 9" xfId="21145" xr:uid="{00000000-0005-0000-0000-000088280000}"/>
    <cellStyle name="Normal 23 2 2 3 3" xfId="21146" xr:uid="{00000000-0005-0000-0000-000089280000}"/>
    <cellStyle name="Normal 23 2 2 3 3 2" xfId="8784" xr:uid="{00000000-0005-0000-0000-00008A280000}"/>
    <cellStyle name="Normal 23 2 2 3 3 2 2" xfId="21147" xr:uid="{00000000-0005-0000-0000-00008B280000}"/>
    <cellStyle name="Normal 23 2 2 3 3 2 2 2" xfId="21148" xr:uid="{00000000-0005-0000-0000-00008C280000}"/>
    <cellStyle name="Normal 23 2 2 3 3 2 2 2 2" xfId="21149" xr:uid="{00000000-0005-0000-0000-00008D280000}"/>
    <cellStyle name="Normal 23 2 2 3 3 2 2 3" xfId="21150" xr:uid="{00000000-0005-0000-0000-00008E280000}"/>
    <cellStyle name="Normal 23 2 2 3 3 2 2 4" xfId="21152" xr:uid="{00000000-0005-0000-0000-00008F280000}"/>
    <cellStyle name="Normal 23 2 2 3 3 2 3" xfId="21153" xr:uid="{00000000-0005-0000-0000-000090280000}"/>
    <cellStyle name="Normal 23 2 2 3 3 2 3 2" xfId="21154" xr:uid="{00000000-0005-0000-0000-000091280000}"/>
    <cellStyle name="Normal 23 2 2 3 3 2 4" xfId="21155" xr:uid="{00000000-0005-0000-0000-000092280000}"/>
    <cellStyle name="Normal 23 2 2 3 3 2 4 2" xfId="21156" xr:uid="{00000000-0005-0000-0000-000093280000}"/>
    <cellStyle name="Normal 23 2 2 3 3 2 5" xfId="20270" xr:uid="{00000000-0005-0000-0000-000094280000}"/>
    <cellStyle name="Normal 23 2 2 3 3 2 6" xfId="20281" xr:uid="{00000000-0005-0000-0000-000095280000}"/>
    <cellStyle name="Normal 23 2 2 3 3 3" xfId="15472" xr:uid="{00000000-0005-0000-0000-000096280000}"/>
    <cellStyle name="Normal 23 2 2 3 3 3 2" xfId="15474" xr:uid="{00000000-0005-0000-0000-000097280000}"/>
    <cellStyle name="Normal 23 2 2 3 3 3 2 2" xfId="15477" xr:uid="{00000000-0005-0000-0000-000098280000}"/>
    <cellStyle name="Normal 23 2 2 3 3 3 3" xfId="15482" xr:uid="{00000000-0005-0000-0000-000099280000}"/>
    <cellStyle name="Normal 23 2 2 3 3 3 4" xfId="15487" xr:uid="{00000000-0005-0000-0000-00009A280000}"/>
    <cellStyle name="Normal 23 2 2 3 3 4" xfId="15489" xr:uid="{00000000-0005-0000-0000-00009B280000}"/>
    <cellStyle name="Normal 23 2 2 3 3 4 2" xfId="9419" xr:uid="{00000000-0005-0000-0000-00009C280000}"/>
    <cellStyle name="Normal 23 2 2 3 3 4 2 2" xfId="9425" xr:uid="{00000000-0005-0000-0000-00009D280000}"/>
    <cellStyle name="Normal 23 2 2 3 3 4 3" xfId="9431" xr:uid="{00000000-0005-0000-0000-00009E280000}"/>
    <cellStyle name="Normal 23 2 2 3 3 5" xfId="15491" xr:uid="{00000000-0005-0000-0000-00009F280000}"/>
    <cellStyle name="Normal 23 2 2 3 3 5 2" xfId="2964" xr:uid="{00000000-0005-0000-0000-0000A0280000}"/>
    <cellStyle name="Normal 23 2 2 3 3 6" xfId="15494" xr:uid="{00000000-0005-0000-0000-0000A1280000}"/>
    <cellStyle name="Normal 23 2 2 3 3 6 2" xfId="7018" xr:uid="{00000000-0005-0000-0000-0000A2280000}"/>
    <cellStyle name="Normal 23 2 2 3 3 7" xfId="15496" xr:uid="{00000000-0005-0000-0000-0000A3280000}"/>
    <cellStyle name="Normal 23 2 2 3 3 8" xfId="15499" xr:uid="{00000000-0005-0000-0000-0000A4280000}"/>
    <cellStyle name="Normal 23 2 2 3 4" xfId="6681" xr:uid="{00000000-0005-0000-0000-0000A5280000}"/>
    <cellStyle name="Normal 23 2 2 3 4 2" xfId="21161" xr:uid="{00000000-0005-0000-0000-0000A6280000}"/>
    <cellStyle name="Normal 23 2 2 3 4 2 2" xfId="21164" xr:uid="{00000000-0005-0000-0000-0000A7280000}"/>
    <cellStyle name="Normal 23 2 2 3 4 2 2 2" xfId="21165" xr:uid="{00000000-0005-0000-0000-0000A8280000}"/>
    <cellStyle name="Normal 23 2 2 3 4 2 3" xfId="21166" xr:uid="{00000000-0005-0000-0000-0000A9280000}"/>
    <cellStyle name="Normal 23 2 2 3 4 2 4" xfId="21168" xr:uid="{00000000-0005-0000-0000-0000AA280000}"/>
    <cellStyle name="Normal 23 2 2 3 4 3" xfId="15514" xr:uid="{00000000-0005-0000-0000-0000AB280000}"/>
    <cellStyle name="Normal 23 2 2 3 4 3 2" xfId="15517" xr:uid="{00000000-0005-0000-0000-0000AC280000}"/>
    <cellStyle name="Normal 23 2 2 3 4 4" xfId="15525" xr:uid="{00000000-0005-0000-0000-0000AD280000}"/>
    <cellStyle name="Normal 23 2 2 3 4 4 2" xfId="9575" xr:uid="{00000000-0005-0000-0000-0000AE280000}"/>
    <cellStyle name="Normal 23 2 2 3 4 5" xfId="2987" xr:uid="{00000000-0005-0000-0000-0000AF280000}"/>
    <cellStyle name="Normal 23 2 2 3 4 6" xfId="21169" xr:uid="{00000000-0005-0000-0000-0000B0280000}"/>
    <cellStyle name="Normal 23 2 2 3 5" xfId="6363" xr:uid="{00000000-0005-0000-0000-0000B1280000}"/>
    <cellStyle name="Normal 23 2 2 3 5 2" xfId="4597" xr:uid="{00000000-0005-0000-0000-0000B2280000}"/>
    <cellStyle name="Normal 23 2 2 3 5 2 2" xfId="21170" xr:uid="{00000000-0005-0000-0000-0000B3280000}"/>
    <cellStyle name="Normal 23 2 2 3 5 2 2 2" xfId="21171" xr:uid="{00000000-0005-0000-0000-0000B4280000}"/>
    <cellStyle name="Normal 23 2 2 3 5 2 3" xfId="21172" xr:uid="{00000000-0005-0000-0000-0000B5280000}"/>
    <cellStyle name="Normal 23 2 2 3 5 2 4" xfId="21174" xr:uid="{00000000-0005-0000-0000-0000B6280000}"/>
    <cellStyle name="Normal 23 2 2 3 5 3" xfId="15531" xr:uid="{00000000-0005-0000-0000-0000B7280000}"/>
    <cellStyle name="Normal 23 2 2 3 5 3 2" xfId="15533" xr:uid="{00000000-0005-0000-0000-0000B8280000}"/>
    <cellStyle name="Normal 23 2 2 3 5 4" xfId="15538" xr:uid="{00000000-0005-0000-0000-0000B9280000}"/>
    <cellStyle name="Normal 23 2 2 3 5 4 2" xfId="18517" xr:uid="{00000000-0005-0000-0000-0000BA280000}"/>
    <cellStyle name="Normal 23 2 2 3 5 5" xfId="21175" xr:uid="{00000000-0005-0000-0000-0000BB280000}"/>
    <cellStyle name="Normal 23 2 2 3 5 6" xfId="21176" xr:uid="{00000000-0005-0000-0000-0000BC280000}"/>
    <cellStyle name="Normal 23 2 2 3 6" xfId="6380" xr:uid="{00000000-0005-0000-0000-0000BD280000}"/>
    <cellStyle name="Normal 23 2 2 3 6 2" xfId="21177" xr:uid="{00000000-0005-0000-0000-0000BE280000}"/>
    <cellStyle name="Normal 23 2 2 3 6 2 2" xfId="21178" xr:uid="{00000000-0005-0000-0000-0000BF280000}"/>
    <cellStyle name="Normal 23 2 2 3 6 2 2 2" xfId="21179" xr:uid="{00000000-0005-0000-0000-0000C0280000}"/>
    <cellStyle name="Normal 23 2 2 3 6 2 3" xfId="7698" xr:uid="{00000000-0005-0000-0000-0000C1280000}"/>
    <cellStyle name="Normal 23 2 2 3 6 2 4" xfId="7703" xr:uid="{00000000-0005-0000-0000-0000C2280000}"/>
    <cellStyle name="Normal 23 2 2 3 6 3" xfId="15541" xr:uid="{00000000-0005-0000-0000-0000C3280000}"/>
    <cellStyle name="Normal 23 2 2 3 6 3 2" xfId="8474" xr:uid="{00000000-0005-0000-0000-0000C4280000}"/>
    <cellStyle name="Normal 23 2 2 3 6 4" xfId="15542" xr:uid="{00000000-0005-0000-0000-0000C5280000}"/>
    <cellStyle name="Normal 23 2 2 3 6 4 2" xfId="21180" xr:uid="{00000000-0005-0000-0000-0000C6280000}"/>
    <cellStyle name="Normal 23 2 2 3 6 5" xfId="21182" xr:uid="{00000000-0005-0000-0000-0000C7280000}"/>
    <cellStyle name="Normal 23 2 2 3 6 6" xfId="21183" xr:uid="{00000000-0005-0000-0000-0000C8280000}"/>
    <cellStyle name="Normal 23 2 2 3 7" xfId="6393" xr:uid="{00000000-0005-0000-0000-0000C9280000}"/>
    <cellStyle name="Normal 23 2 2 3 7 2" xfId="12715" xr:uid="{00000000-0005-0000-0000-0000CA280000}"/>
    <cellStyle name="Normal 23 2 2 3 7 2 2" xfId="6157" xr:uid="{00000000-0005-0000-0000-0000CB280000}"/>
    <cellStyle name="Normal 23 2 2 3 7 3" xfId="12749" xr:uid="{00000000-0005-0000-0000-0000CC280000}"/>
    <cellStyle name="Normal 23 2 2 3 7 4" xfId="12777" xr:uid="{00000000-0005-0000-0000-0000CD280000}"/>
    <cellStyle name="Normal 23 2 2 3 8" xfId="21184" xr:uid="{00000000-0005-0000-0000-0000CE280000}"/>
    <cellStyle name="Normal 23 2 2 3 8 2" xfId="21187" xr:uid="{00000000-0005-0000-0000-0000CF280000}"/>
    <cellStyle name="Normal 23 2 2 3 9" xfId="21192" xr:uid="{00000000-0005-0000-0000-0000D0280000}"/>
    <cellStyle name="Normal 23 2 2 3 9 2" xfId="21195" xr:uid="{00000000-0005-0000-0000-0000D1280000}"/>
    <cellStyle name="Normal 23 2 2 4" xfId="21196" xr:uid="{00000000-0005-0000-0000-0000D2280000}"/>
    <cellStyle name="Normal 23 2 2 4 2" xfId="21197" xr:uid="{00000000-0005-0000-0000-0000D3280000}"/>
    <cellStyle name="Normal 23 2 2 4 2 2" xfId="21199" xr:uid="{00000000-0005-0000-0000-0000D4280000}"/>
    <cellStyle name="Normal 23 2 2 4 2 2 2" xfId="4517" xr:uid="{00000000-0005-0000-0000-0000D5280000}"/>
    <cellStyle name="Normal 23 2 2 4 2 2 2 2" xfId="4524" xr:uid="{00000000-0005-0000-0000-0000D6280000}"/>
    <cellStyle name="Normal 23 2 2 4 2 2 2 2 2" xfId="4532" xr:uid="{00000000-0005-0000-0000-0000D7280000}"/>
    <cellStyle name="Normal 23 2 2 4 2 2 2 3" xfId="4534" xr:uid="{00000000-0005-0000-0000-0000D8280000}"/>
    <cellStyle name="Normal 23 2 2 4 2 2 3" xfId="4536" xr:uid="{00000000-0005-0000-0000-0000D9280000}"/>
    <cellStyle name="Normal 23 2 2 4 2 2 3 2" xfId="4538" xr:uid="{00000000-0005-0000-0000-0000DA280000}"/>
    <cellStyle name="Normal 23 2 2 4 2 2 4" xfId="2989" xr:uid="{00000000-0005-0000-0000-0000DB280000}"/>
    <cellStyle name="Normal 23 2 2 4 2 2 5" xfId="114" xr:uid="{00000000-0005-0000-0000-0000DC280000}"/>
    <cellStyle name="Normal 23 2 2 4 2 3" xfId="13802" xr:uid="{00000000-0005-0000-0000-0000DD280000}"/>
    <cellStyle name="Normal 23 2 2 4 2 3 2" xfId="4606" xr:uid="{00000000-0005-0000-0000-0000DE280000}"/>
    <cellStyle name="Normal 23 2 2 4 2 3 2 2" xfId="13804" xr:uid="{00000000-0005-0000-0000-0000DF280000}"/>
    <cellStyle name="Normal 23 2 2 4 2 3 3" xfId="13806" xr:uid="{00000000-0005-0000-0000-0000E0280000}"/>
    <cellStyle name="Normal 23 2 2 4 2 4" xfId="13809" xr:uid="{00000000-0005-0000-0000-0000E1280000}"/>
    <cellStyle name="Normal 23 2 2 4 2 4 2" xfId="13814" xr:uid="{00000000-0005-0000-0000-0000E2280000}"/>
    <cellStyle name="Normal 23 2 2 4 2 4 2 2" xfId="13669" xr:uid="{00000000-0005-0000-0000-0000E3280000}"/>
    <cellStyle name="Normal 23 2 2 4 2 4 3" xfId="13822" xr:uid="{00000000-0005-0000-0000-0000E4280000}"/>
    <cellStyle name="Normal 23 2 2 4 2 5" xfId="13827" xr:uid="{00000000-0005-0000-0000-0000E5280000}"/>
    <cellStyle name="Normal 23 2 2 4 2 5 2" xfId="13830" xr:uid="{00000000-0005-0000-0000-0000E6280000}"/>
    <cellStyle name="Normal 23 2 2 4 2 6" xfId="13834" xr:uid="{00000000-0005-0000-0000-0000E7280000}"/>
    <cellStyle name="Normal 23 2 2 4 2 6 2" xfId="13835" xr:uid="{00000000-0005-0000-0000-0000E8280000}"/>
    <cellStyle name="Normal 23 2 2 4 2 7" xfId="13839" xr:uid="{00000000-0005-0000-0000-0000E9280000}"/>
    <cellStyle name="Normal 23 2 2 4 2 8" xfId="13844" xr:uid="{00000000-0005-0000-0000-0000EA280000}"/>
    <cellStyle name="Normal 23 2 2 4 3" xfId="21200" xr:uid="{00000000-0005-0000-0000-0000EB280000}"/>
    <cellStyle name="Normal 23 2 2 4 3 2" xfId="21202" xr:uid="{00000000-0005-0000-0000-0000EC280000}"/>
    <cellStyle name="Normal 23 2 2 4 3 2 2" xfId="4740" xr:uid="{00000000-0005-0000-0000-0000ED280000}"/>
    <cellStyle name="Normal 23 2 2 4 3 2 2 2" xfId="4742" xr:uid="{00000000-0005-0000-0000-0000EE280000}"/>
    <cellStyle name="Normal 23 2 2 4 3 2 3" xfId="4747" xr:uid="{00000000-0005-0000-0000-0000EF280000}"/>
    <cellStyle name="Normal 23 2 2 4 3 2 4" xfId="4762" xr:uid="{00000000-0005-0000-0000-0000F0280000}"/>
    <cellStyle name="Normal 23 2 2 4 3 3" xfId="15554" xr:uid="{00000000-0005-0000-0000-0000F1280000}"/>
    <cellStyle name="Normal 23 2 2 4 3 3 2" xfId="4815" xr:uid="{00000000-0005-0000-0000-0000F2280000}"/>
    <cellStyle name="Normal 23 2 2 4 3 4" xfId="12830" xr:uid="{00000000-0005-0000-0000-0000F3280000}"/>
    <cellStyle name="Normal 23 2 2 4 3 4 2" xfId="15564" xr:uid="{00000000-0005-0000-0000-0000F4280000}"/>
    <cellStyle name="Normal 23 2 2 4 3 5" xfId="15573" xr:uid="{00000000-0005-0000-0000-0000F5280000}"/>
    <cellStyle name="Normal 23 2 2 4 3 6" xfId="15576" xr:uid="{00000000-0005-0000-0000-0000F6280000}"/>
    <cellStyle name="Normal 23 2 2 4 4" xfId="21204" xr:uid="{00000000-0005-0000-0000-0000F7280000}"/>
    <cellStyle name="Normal 23 2 2 4 4 2" xfId="21206" xr:uid="{00000000-0005-0000-0000-0000F8280000}"/>
    <cellStyle name="Normal 23 2 2 4 4 2 2" xfId="4733" xr:uid="{00000000-0005-0000-0000-0000F9280000}"/>
    <cellStyle name="Normal 23 2 2 4 4 3" xfId="15593" xr:uid="{00000000-0005-0000-0000-0000FA280000}"/>
    <cellStyle name="Normal 23 2 2 4 4 4" xfId="12843" xr:uid="{00000000-0005-0000-0000-0000FB280000}"/>
    <cellStyle name="Normal 23 2 2 4 5" xfId="6412" xr:uid="{00000000-0005-0000-0000-0000FC280000}"/>
    <cellStyle name="Normal 23 2 2 4 5 2" xfId="21207" xr:uid="{00000000-0005-0000-0000-0000FD280000}"/>
    <cellStyle name="Normal 23 2 2 4 5 2 2" xfId="11373" xr:uid="{00000000-0005-0000-0000-0000FE280000}"/>
    <cellStyle name="Normal 23 2 2 4 5 3" xfId="15597" xr:uid="{00000000-0005-0000-0000-0000FF280000}"/>
    <cellStyle name="Normal 23 2 2 4 6" xfId="21208" xr:uid="{00000000-0005-0000-0000-000000290000}"/>
    <cellStyle name="Normal 23 2 2 4 6 2" xfId="21209" xr:uid="{00000000-0005-0000-0000-000001290000}"/>
    <cellStyle name="Normal 23 2 2 4 7" xfId="21210" xr:uid="{00000000-0005-0000-0000-000002290000}"/>
    <cellStyle name="Normal 23 2 2 4 7 2" xfId="21211" xr:uid="{00000000-0005-0000-0000-000003290000}"/>
    <cellStyle name="Normal 23 2 2 4 8" xfId="21212" xr:uid="{00000000-0005-0000-0000-000004290000}"/>
    <cellStyle name="Normal 23 2 2 4 9" xfId="21215" xr:uid="{00000000-0005-0000-0000-000005290000}"/>
    <cellStyle name="Normal 23 2 2 5" xfId="21220" xr:uid="{00000000-0005-0000-0000-000006290000}"/>
    <cellStyle name="Normal 23 2 2 5 2" xfId="21223" xr:uid="{00000000-0005-0000-0000-000007290000}"/>
    <cellStyle name="Normal 23 2 2 5 2 2" xfId="21225" xr:uid="{00000000-0005-0000-0000-000008290000}"/>
    <cellStyle name="Normal 23 2 2 5 2 2 2" xfId="17797" xr:uid="{00000000-0005-0000-0000-000009290000}"/>
    <cellStyle name="Normal 23 2 2 5 2 2 2 2" xfId="17799" xr:uid="{00000000-0005-0000-0000-00000A290000}"/>
    <cellStyle name="Normal 23 2 2 5 2 2 2 2 2" xfId="17801" xr:uid="{00000000-0005-0000-0000-00000B290000}"/>
    <cellStyle name="Normal 23 2 2 5 2 2 2 3" xfId="17813" xr:uid="{00000000-0005-0000-0000-00000C290000}"/>
    <cellStyle name="Normal 23 2 2 5 2 2 3" xfId="7882" xr:uid="{00000000-0005-0000-0000-00000D290000}"/>
    <cellStyle name="Normal 23 2 2 5 2 2 3 2" xfId="6946" xr:uid="{00000000-0005-0000-0000-00000E290000}"/>
    <cellStyle name="Normal 23 2 2 5 2 2 4" xfId="3295" xr:uid="{00000000-0005-0000-0000-00000F290000}"/>
    <cellStyle name="Normal 23 2 2 5 2 2 5" xfId="17846" xr:uid="{00000000-0005-0000-0000-000010290000}"/>
    <cellStyle name="Normal 23 2 2 5 2 3" xfId="19563" xr:uid="{00000000-0005-0000-0000-000011290000}"/>
    <cellStyle name="Normal 23 2 2 5 2 3 2" xfId="17936" xr:uid="{00000000-0005-0000-0000-000012290000}"/>
    <cellStyle name="Normal 23 2 2 5 2 3 2 2" xfId="17938" xr:uid="{00000000-0005-0000-0000-000013290000}"/>
    <cellStyle name="Normal 23 2 2 5 2 3 3" xfId="3218" xr:uid="{00000000-0005-0000-0000-000014290000}"/>
    <cellStyle name="Normal 23 2 2 5 2 4" xfId="19397" xr:uid="{00000000-0005-0000-0000-000015290000}"/>
    <cellStyle name="Normal 23 2 2 5 2 4 2" xfId="18009" xr:uid="{00000000-0005-0000-0000-000016290000}"/>
    <cellStyle name="Normal 23 2 2 5 2 4 2 2" xfId="18016" xr:uid="{00000000-0005-0000-0000-000017290000}"/>
    <cellStyle name="Normal 23 2 2 5 2 4 3" xfId="1153" xr:uid="{00000000-0005-0000-0000-000018290000}"/>
    <cellStyle name="Normal 23 2 2 5 2 5" xfId="21226" xr:uid="{00000000-0005-0000-0000-000019290000}"/>
    <cellStyle name="Normal 23 2 2 5 2 5 2" xfId="18038" xr:uid="{00000000-0005-0000-0000-00001A290000}"/>
    <cellStyle name="Normal 23 2 2 5 2 6" xfId="21227" xr:uid="{00000000-0005-0000-0000-00001B290000}"/>
    <cellStyle name="Normal 23 2 2 5 2 6 2" xfId="12106" xr:uid="{00000000-0005-0000-0000-00001C290000}"/>
    <cellStyle name="Normal 23 2 2 5 2 7" xfId="21099" xr:uid="{00000000-0005-0000-0000-00001D290000}"/>
    <cellStyle name="Normal 23 2 2 5 2 8" xfId="21228" xr:uid="{00000000-0005-0000-0000-00001E290000}"/>
    <cellStyle name="Normal 23 2 2 5 3" xfId="21229" xr:uid="{00000000-0005-0000-0000-00001F290000}"/>
    <cellStyle name="Normal 23 2 2 5 3 2" xfId="21230" xr:uid="{00000000-0005-0000-0000-000020290000}"/>
    <cellStyle name="Normal 23 2 2 5 3 2 2" xfId="21231" xr:uid="{00000000-0005-0000-0000-000021290000}"/>
    <cellStyle name="Normal 23 2 2 5 3 2 2 2" xfId="21232" xr:uid="{00000000-0005-0000-0000-000022290000}"/>
    <cellStyle name="Normal 23 2 2 5 3 2 3" xfId="21234" xr:uid="{00000000-0005-0000-0000-000023290000}"/>
    <cellStyle name="Normal 23 2 2 5 3 3" xfId="15625" xr:uid="{00000000-0005-0000-0000-000024290000}"/>
    <cellStyle name="Normal 23 2 2 5 3 3 2" xfId="15627" xr:uid="{00000000-0005-0000-0000-000025290000}"/>
    <cellStyle name="Normal 23 2 2 5 3 4" xfId="12908" xr:uid="{00000000-0005-0000-0000-000026290000}"/>
    <cellStyle name="Normal 23 2 2 5 3 5" xfId="15631" xr:uid="{00000000-0005-0000-0000-000027290000}"/>
    <cellStyle name="Normal 23 2 2 5 4" xfId="21235" xr:uid="{00000000-0005-0000-0000-000028290000}"/>
    <cellStyle name="Normal 23 2 2 5 4 2" xfId="19231" xr:uid="{00000000-0005-0000-0000-000029290000}"/>
    <cellStyle name="Normal 23 2 2 5 4 2 2" xfId="14957" xr:uid="{00000000-0005-0000-0000-00002A290000}"/>
    <cellStyle name="Normal 23 2 2 5 4 3" xfId="15637" xr:uid="{00000000-0005-0000-0000-00002B290000}"/>
    <cellStyle name="Normal 23 2 2 5 5" xfId="6427" xr:uid="{00000000-0005-0000-0000-00002C290000}"/>
    <cellStyle name="Normal 23 2 2 5 5 2" xfId="21237" xr:uid="{00000000-0005-0000-0000-00002D290000}"/>
    <cellStyle name="Normal 23 2 2 5 5 2 2" xfId="16329" xr:uid="{00000000-0005-0000-0000-00002E290000}"/>
    <cellStyle name="Normal 23 2 2 5 5 3" xfId="15644" xr:uid="{00000000-0005-0000-0000-00002F290000}"/>
    <cellStyle name="Normal 23 2 2 5 6" xfId="21238" xr:uid="{00000000-0005-0000-0000-000030290000}"/>
    <cellStyle name="Normal 23 2 2 5 6 2" xfId="15962" xr:uid="{00000000-0005-0000-0000-000031290000}"/>
    <cellStyle name="Normal 23 2 2 5 7" xfId="21240" xr:uid="{00000000-0005-0000-0000-000032290000}"/>
    <cellStyle name="Normal 23 2 2 5 7 2" xfId="21242" xr:uid="{00000000-0005-0000-0000-000033290000}"/>
    <cellStyle name="Normal 23 2 2 5 8" xfId="21244" xr:uid="{00000000-0005-0000-0000-000034290000}"/>
    <cellStyle name="Normal 23 2 2 5 9" xfId="21250" xr:uid="{00000000-0005-0000-0000-000035290000}"/>
    <cellStyle name="Normal 23 2 2 6" xfId="21159" xr:uid="{00000000-0005-0000-0000-000036290000}"/>
    <cellStyle name="Normal 23 2 2 6 2" xfId="21254" xr:uid="{00000000-0005-0000-0000-000037290000}"/>
    <cellStyle name="Normal 23 2 2 6 2 2" xfId="21256" xr:uid="{00000000-0005-0000-0000-000038290000}"/>
    <cellStyle name="Normal 23 2 2 6 2 2 2" xfId="21257" xr:uid="{00000000-0005-0000-0000-000039290000}"/>
    <cellStyle name="Normal 23 2 2 6 2 2 2 2" xfId="10384" xr:uid="{00000000-0005-0000-0000-00003A290000}"/>
    <cellStyle name="Normal 23 2 2 6 2 2 2 2 2" xfId="10109" xr:uid="{00000000-0005-0000-0000-00003B290000}"/>
    <cellStyle name="Normal 23 2 2 6 2 2 2 3" xfId="10192" xr:uid="{00000000-0005-0000-0000-00003C290000}"/>
    <cellStyle name="Normal 23 2 2 6 2 2 3" xfId="21258" xr:uid="{00000000-0005-0000-0000-00003D290000}"/>
    <cellStyle name="Normal 23 2 2 6 2 2 3 2" xfId="6677" xr:uid="{00000000-0005-0000-0000-00003E290000}"/>
    <cellStyle name="Normal 23 2 2 6 2 2 4" xfId="21259" xr:uid="{00000000-0005-0000-0000-00003F290000}"/>
    <cellStyle name="Normal 23 2 2 6 2 3" xfId="21260" xr:uid="{00000000-0005-0000-0000-000040290000}"/>
    <cellStyle name="Normal 23 2 2 6 2 3 2" xfId="16455" xr:uid="{00000000-0005-0000-0000-000041290000}"/>
    <cellStyle name="Normal 23 2 2 6 2 3 2 2" xfId="21263" xr:uid="{00000000-0005-0000-0000-000042290000}"/>
    <cellStyle name="Normal 23 2 2 6 2 3 3" xfId="21266" xr:uid="{00000000-0005-0000-0000-000043290000}"/>
    <cellStyle name="Normal 23 2 2 6 2 4" xfId="12683" xr:uid="{00000000-0005-0000-0000-000044290000}"/>
    <cellStyle name="Normal 23 2 2 6 2 4 2" xfId="12957" xr:uid="{00000000-0005-0000-0000-000045290000}"/>
    <cellStyle name="Normal 23 2 2 6 2 4 2 2" xfId="21269" xr:uid="{00000000-0005-0000-0000-000046290000}"/>
    <cellStyle name="Normal 23 2 2 6 2 4 3" xfId="12963" xr:uid="{00000000-0005-0000-0000-000047290000}"/>
    <cellStyle name="Normal 23 2 2 6 2 5" xfId="3204" xr:uid="{00000000-0005-0000-0000-000048290000}"/>
    <cellStyle name="Normal 23 2 2 6 2 5 2" xfId="12998" xr:uid="{00000000-0005-0000-0000-000049290000}"/>
    <cellStyle name="Normal 23 2 2 6 2 6" xfId="13014" xr:uid="{00000000-0005-0000-0000-00004A290000}"/>
    <cellStyle name="Normal 23 2 2 6 2 6 2" xfId="21272" xr:uid="{00000000-0005-0000-0000-00004B290000}"/>
    <cellStyle name="Normal 23 2 2 6 2 7" xfId="13021" xr:uid="{00000000-0005-0000-0000-00004C290000}"/>
    <cellStyle name="Normal 23 2 2 6 2 8" xfId="13034" xr:uid="{00000000-0005-0000-0000-00004D290000}"/>
    <cellStyle name="Normal 23 2 2 6 3" xfId="21275" xr:uid="{00000000-0005-0000-0000-00004E290000}"/>
    <cellStyle name="Normal 23 2 2 6 3 2" xfId="21276" xr:uid="{00000000-0005-0000-0000-00004F290000}"/>
    <cellStyle name="Normal 23 2 2 6 3 2 2" xfId="21277" xr:uid="{00000000-0005-0000-0000-000050290000}"/>
    <cellStyle name="Normal 23 2 2 6 3 2 2 2" xfId="10468" xr:uid="{00000000-0005-0000-0000-000051290000}"/>
    <cellStyle name="Normal 23 2 2 6 3 2 3" xfId="21279" xr:uid="{00000000-0005-0000-0000-000052290000}"/>
    <cellStyle name="Normal 23 2 2 6 3 3" xfId="15665" xr:uid="{00000000-0005-0000-0000-000053290000}"/>
    <cellStyle name="Normal 23 2 2 6 3 3 2" xfId="15669" xr:uid="{00000000-0005-0000-0000-000054290000}"/>
    <cellStyle name="Normal 23 2 2 6 3 4" xfId="12914" xr:uid="{00000000-0005-0000-0000-000055290000}"/>
    <cellStyle name="Normal 23 2 2 6 4" xfId="21280" xr:uid="{00000000-0005-0000-0000-000056290000}"/>
    <cellStyle name="Normal 23 2 2 6 4 2" xfId="21281" xr:uid="{00000000-0005-0000-0000-000057290000}"/>
    <cellStyle name="Normal 23 2 2 6 4 2 2" xfId="13048" xr:uid="{00000000-0005-0000-0000-000058290000}"/>
    <cellStyle name="Normal 23 2 2 6 4 3" xfId="15676" xr:uid="{00000000-0005-0000-0000-000059290000}"/>
    <cellStyle name="Normal 23 2 2 6 5" xfId="21282" xr:uid="{00000000-0005-0000-0000-00005A290000}"/>
    <cellStyle name="Normal 23 2 2 6 5 2" xfId="21283" xr:uid="{00000000-0005-0000-0000-00005B290000}"/>
    <cellStyle name="Normal 23 2 2 6 5 2 2" xfId="17199" xr:uid="{00000000-0005-0000-0000-00005C290000}"/>
    <cellStyle name="Normal 23 2 2 6 5 3" xfId="21284" xr:uid="{00000000-0005-0000-0000-00005D290000}"/>
    <cellStyle name="Normal 23 2 2 6 6" xfId="21287" xr:uid="{00000000-0005-0000-0000-00005E290000}"/>
    <cellStyle name="Normal 23 2 2 6 6 2" xfId="21289" xr:uid="{00000000-0005-0000-0000-00005F290000}"/>
    <cellStyle name="Normal 23 2 2 6 7" xfId="21291" xr:uid="{00000000-0005-0000-0000-000060290000}"/>
    <cellStyle name="Normal 23 2 2 6 7 2" xfId="20454" xr:uid="{00000000-0005-0000-0000-000061290000}"/>
    <cellStyle name="Normal 23 2 2 6 8" xfId="21293" xr:uid="{00000000-0005-0000-0000-000062290000}"/>
    <cellStyle name="Normal 23 2 2 6 9" xfId="21297" xr:uid="{00000000-0005-0000-0000-000063290000}"/>
    <cellStyle name="Normal 23 2 2 7" xfId="21301" xr:uid="{00000000-0005-0000-0000-000064290000}"/>
    <cellStyle name="Normal 23 2 2 7 2" xfId="17491" xr:uid="{00000000-0005-0000-0000-000065290000}"/>
    <cellStyle name="Normal 23 2 2 7 2 2" xfId="21303" xr:uid="{00000000-0005-0000-0000-000066290000}"/>
    <cellStyle name="Normal 23 2 2 7 2 2 2" xfId="21304" xr:uid="{00000000-0005-0000-0000-000067290000}"/>
    <cellStyle name="Normal 23 2 2 7 2 2 2 2" xfId="17256" xr:uid="{00000000-0005-0000-0000-000068290000}"/>
    <cellStyle name="Normal 23 2 2 7 2 2 3" xfId="21305" xr:uid="{00000000-0005-0000-0000-000069290000}"/>
    <cellStyle name="Normal 23 2 2 7 2 3" xfId="8563" xr:uid="{00000000-0005-0000-0000-00006A290000}"/>
    <cellStyle name="Normal 23 2 2 7 2 3 2" xfId="7962" xr:uid="{00000000-0005-0000-0000-00006B290000}"/>
    <cellStyle name="Normal 23 2 2 7 2 4" xfId="3683" xr:uid="{00000000-0005-0000-0000-00006C290000}"/>
    <cellStyle name="Normal 23 2 2 7 2 5" xfId="3701" xr:uid="{00000000-0005-0000-0000-00006D290000}"/>
    <cellStyle name="Normal 23 2 2 7 3" xfId="13209" xr:uid="{00000000-0005-0000-0000-00006E290000}"/>
    <cellStyle name="Normal 23 2 2 7 3 2" xfId="21307" xr:uid="{00000000-0005-0000-0000-00006F290000}"/>
    <cellStyle name="Normal 23 2 2 7 3 2 2" xfId="21309" xr:uid="{00000000-0005-0000-0000-000070290000}"/>
    <cellStyle name="Normal 23 2 2 7 3 3" xfId="4840" xr:uid="{00000000-0005-0000-0000-000071290000}"/>
    <cellStyle name="Normal 23 2 2 7 4" xfId="21311" xr:uid="{00000000-0005-0000-0000-000072290000}"/>
    <cellStyle name="Normal 23 2 2 7 4 2" xfId="21313" xr:uid="{00000000-0005-0000-0000-000073290000}"/>
    <cellStyle name="Normal 23 2 2 7 4 2 2" xfId="21315" xr:uid="{00000000-0005-0000-0000-000074290000}"/>
    <cellStyle name="Normal 23 2 2 7 4 3" xfId="8606" xr:uid="{00000000-0005-0000-0000-000075290000}"/>
    <cellStyle name="Normal 23 2 2 7 5" xfId="21317" xr:uid="{00000000-0005-0000-0000-000076290000}"/>
    <cellStyle name="Normal 23 2 2 7 5 2" xfId="17973" xr:uid="{00000000-0005-0000-0000-000077290000}"/>
    <cellStyle name="Normal 23 2 2 7 6" xfId="21319" xr:uid="{00000000-0005-0000-0000-000078290000}"/>
    <cellStyle name="Normal 23 2 2 7 6 2" xfId="17980" xr:uid="{00000000-0005-0000-0000-000079290000}"/>
    <cellStyle name="Normal 23 2 2 7 7" xfId="21321" xr:uid="{00000000-0005-0000-0000-00007A290000}"/>
    <cellStyle name="Normal 23 2 2 7 8" xfId="21323" xr:uid="{00000000-0005-0000-0000-00007B290000}"/>
    <cellStyle name="Normal 23 2 2 8" xfId="21328" xr:uid="{00000000-0005-0000-0000-00007C290000}"/>
    <cellStyle name="Normal 23 2 2 8 2" xfId="21329" xr:uid="{00000000-0005-0000-0000-00007D290000}"/>
    <cellStyle name="Normal 23 2 2 8 2 2" xfId="21330" xr:uid="{00000000-0005-0000-0000-00007E290000}"/>
    <cellStyle name="Normal 23 2 2 8 2 2 2" xfId="21332" xr:uid="{00000000-0005-0000-0000-00007F290000}"/>
    <cellStyle name="Normal 23 2 2 8 2 3" xfId="103" xr:uid="{00000000-0005-0000-0000-000080290000}"/>
    <cellStyle name="Normal 23 2 2 8 2 4" xfId="3733" xr:uid="{00000000-0005-0000-0000-000081290000}"/>
    <cellStyle name="Normal 23 2 2 8 3" xfId="21335" xr:uid="{00000000-0005-0000-0000-000082290000}"/>
    <cellStyle name="Normal 23 2 2 8 3 2" xfId="21336" xr:uid="{00000000-0005-0000-0000-000083290000}"/>
    <cellStyle name="Normal 23 2 2 8 4" xfId="21337" xr:uid="{00000000-0005-0000-0000-000084290000}"/>
    <cellStyle name="Normal 23 2 2 8 4 2" xfId="20730" xr:uid="{00000000-0005-0000-0000-000085290000}"/>
    <cellStyle name="Normal 23 2 2 8 5" xfId="21338" xr:uid="{00000000-0005-0000-0000-000086290000}"/>
    <cellStyle name="Normal 23 2 2 8 6" xfId="21339" xr:uid="{00000000-0005-0000-0000-000087290000}"/>
    <cellStyle name="Normal 23 2 2 9" xfId="21343" xr:uid="{00000000-0005-0000-0000-000088290000}"/>
    <cellStyle name="Normal 23 2 2 9 2" xfId="10637" xr:uid="{00000000-0005-0000-0000-000089290000}"/>
    <cellStyle name="Normal 23 2 2 9 2 2" xfId="21344" xr:uid="{00000000-0005-0000-0000-00008A290000}"/>
    <cellStyle name="Normal 23 2 2 9 3" xfId="21345" xr:uid="{00000000-0005-0000-0000-00008B290000}"/>
    <cellStyle name="Normal 23 2 2 9 4" xfId="21348" xr:uid="{00000000-0005-0000-0000-00008C290000}"/>
    <cellStyle name="Normal 23 2 3" xfId="2362" xr:uid="{00000000-0005-0000-0000-00008D290000}"/>
    <cellStyle name="Normal 23 3" xfId="9701" xr:uid="{00000000-0005-0000-0000-00008E290000}"/>
    <cellStyle name="Normal 23 3 2" xfId="19350" xr:uid="{00000000-0005-0000-0000-00008F290000}"/>
    <cellStyle name="Normal 23 3 2 2" xfId="21349" xr:uid="{00000000-0005-0000-0000-000090290000}"/>
    <cellStyle name="Normal 23 3 3" xfId="15902" xr:uid="{00000000-0005-0000-0000-000091290000}"/>
    <cellStyle name="Normal 23 4" xfId="19352" xr:uid="{00000000-0005-0000-0000-000092290000}"/>
    <cellStyle name="Normal 23 4 2" xfId="21353" xr:uid="{00000000-0005-0000-0000-000093290000}"/>
    <cellStyle name="Normal 24" xfId="19354" xr:uid="{00000000-0005-0000-0000-000094290000}"/>
    <cellStyle name="Normal 24 2" xfId="19358" xr:uid="{00000000-0005-0000-0000-000095290000}"/>
    <cellStyle name="Normal 24 2 2" xfId="12539" xr:uid="{00000000-0005-0000-0000-000096290000}"/>
    <cellStyle name="Normal 24 3" xfId="19362" xr:uid="{00000000-0005-0000-0000-000097290000}"/>
    <cellStyle name="Normal 24 3 2" xfId="19366" xr:uid="{00000000-0005-0000-0000-000098290000}"/>
    <cellStyle name="Normal 24 4" xfId="19370" xr:uid="{00000000-0005-0000-0000-000099290000}"/>
    <cellStyle name="Normal 24 5" xfId="1204" xr:uid="{00000000-0005-0000-0000-00009A290000}"/>
    <cellStyle name="Normal 25" xfId="21357" xr:uid="{00000000-0005-0000-0000-00009B290000}"/>
    <cellStyle name="Normal 25 2" xfId="21360" xr:uid="{00000000-0005-0000-0000-00009C290000}"/>
    <cellStyle name="Normal 25 2 2" xfId="21363" xr:uid="{00000000-0005-0000-0000-00009D290000}"/>
    <cellStyle name="Normal 25 3" xfId="21367" xr:uid="{00000000-0005-0000-0000-00009E290000}"/>
    <cellStyle name="Normal 25 3 2" xfId="21371" xr:uid="{00000000-0005-0000-0000-00009F290000}"/>
    <cellStyle name="Normal 25 3 2 2" xfId="21374" xr:uid="{00000000-0005-0000-0000-0000A0290000}"/>
    <cellStyle name="Normal 25 3 3" xfId="16022" xr:uid="{00000000-0005-0000-0000-0000A1290000}"/>
    <cellStyle name="Normal 25 4" xfId="21378" xr:uid="{00000000-0005-0000-0000-0000A2290000}"/>
    <cellStyle name="Normal 25 4 2" xfId="21384" xr:uid="{00000000-0005-0000-0000-0000A3290000}"/>
    <cellStyle name="Normal 25 5" xfId="1276" xr:uid="{00000000-0005-0000-0000-0000A4290000}"/>
    <cellStyle name="Normal 26" xfId="21388" xr:uid="{00000000-0005-0000-0000-0000A5290000}"/>
    <cellStyle name="Normal 26 2" xfId="21392" xr:uid="{00000000-0005-0000-0000-0000A6290000}"/>
    <cellStyle name="Normal 26 2 2" xfId="21395" xr:uid="{00000000-0005-0000-0000-0000A7290000}"/>
    <cellStyle name="Normal 26 3" xfId="13412" xr:uid="{00000000-0005-0000-0000-0000A8290000}"/>
    <cellStyle name="Normal 26 3 2" xfId="13425" xr:uid="{00000000-0005-0000-0000-0000A9290000}"/>
    <cellStyle name="Normal 26 4" xfId="13458" xr:uid="{00000000-0005-0000-0000-0000AA290000}"/>
    <cellStyle name="Normal 26 5" xfId="3101" xr:uid="{00000000-0005-0000-0000-0000AB290000}"/>
    <cellStyle name="Normal 27" xfId="7579" xr:uid="{00000000-0005-0000-0000-0000AC290000}"/>
    <cellStyle name="Normal 27 2" xfId="7592" xr:uid="{00000000-0005-0000-0000-0000AD290000}"/>
    <cellStyle name="Normal 27 2 2" xfId="21398" xr:uid="{00000000-0005-0000-0000-0000AE290000}"/>
    <cellStyle name="Normal 27 3" xfId="13479" xr:uid="{00000000-0005-0000-0000-0000AF290000}"/>
    <cellStyle name="Normal 27 3 2" xfId="13487" xr:uid="{00000000-0005-0000-0000-0000B0290000}"/>
    <cellStyle name="Normal 27 4" xfId="13491" xr:uid="{00000000-0005-0000-0000-0000B1290000}"/>
    <cellStyle name="Normal 27 5" xfId="8935" xr:uid="{00000000-0005-0000-0000-0000B2290000}"/>
    <cellStyle name="Normal 28" xfId="7598" xr:uid="{00000000-0005-0000-0000-0000B3290000}"/>
    <cellStyle name="Normal 28 2" xfId="21400" xr:uid="{00000000-0005-0000-0000-0000B4290000}"/>
    <cellStyle name="Normal 28 2 2" xfId="21404" xr:uid="{00000000-0005-0000-0000-0000B5290000}"/>
    <cellStyle name="Normal 28 3" xfId="13500" xr:uid="{00000000-0005-0000-0000-0000B6290000}"/>
    <cellStyle name="Normal 28 3 2" xfId="13507" xr:uid="{00000000-0005-0000-0000-0000B7290000}"/>
    <cellStyle name="Normal 28 4" xfId="13513" xr:uid="{00000000-0005-0000-0000-0000B8290000}"/>
    <cellStyle name="Normal 28 5" xfId="4776" xr:uid="{00000000-0005-0000-0000-0000B9290000}"/>
    <cellStyle name="Normal 29" xfId="7585" xr:uid="{00000000-0005-0000-0000-0000BA290000}"/>
    <cellStyle name="Normal 29 2" xfId="21408" xr:uid="{00000000-0005-0000-0000-0000BB290000}"/>
    <cellStyle name="Normal 29 2 2" xfId="21412" xr:uid="{00000000-0005-0000-0000-0000BC290000}"/>
    <cellStyle name="Normal 29 3" xfId="13524" xr:uid="{00000000-0005-0000-0000-0000BD290000}"/>
    <cellStyle name="Normal 29 3 2" xfId="21416" xr:uid="{00000000-0005-0000-0000-0000BE290000}"/>
    <cellStyle name="Normal 29 4" xfId="21420" xr:uid="{00000000-0005-0000-0000-0000BF290000}"/>
    <cellStyle name="Normal 29 5" xfId="8653" xr:uid="{00000000-0005-0000-0000-0000C0290000}"/>
    <cellStyle name="Normal 3" xfId="2" xr:uid="{00000000-0005-0000-0000-0000C1290000}"/>
    <cellStyle name="Normal 3 10" xfId="20115" xr:uid="{00000000-0005-0000-0000-0000C2290000}"/>
    <cellStyle name="Normal 3 10 2" xfId="316" xr:uid="{00000000-0005-0000-0000-0000C3290000}"/>
    <cellStyle name="Normal 3 10 2 2" xfId="17437" xr:uid="{00000000-0005-0000-0000-0000C4290000}"/>
    <cellStyle name="Normal 3 10 2 2 2" xfId="17439" xr:uid="{00000000-0005-0000-0000-0000C5290000}"/>
    <cellStyle name="Normal 3 10 2 2 2 2" xfId="11138" xr:uid="{00000000-0005-0000-0000-0000C6290000}"/>
    <cellStyle name="Normal 3 10 2 2 2 2 2" xfId="21423" xr:uid="{00000000-0005-0000-0000-0000C7290000}"/>
    <cellStyle name="Normal 3 10 2 2 2 3" xfId="21424" xr:uid="{00000000-0005-0000-0000-0000C8290000}"/>
    <cellStyle name="Normal 3 10 2 2 3" xfId="17441" xr:uid="{00000000-0005-0000-0000-0000C9290000}"/>
    <cellStyle name="Normal 3 10 2 2 3 2" xfId="21426" xr:uid="{00000000-0005-0000-0000-0000CA290000}"/>
    <cellStyle name="Normal 3 10 2 2 4" xfId="17445" xr:uid="{00000000-0005-0000-0000-0000CB290000}"/>
    <cellStyle name="Normal 3 10 2 3" xfId="17447" xr:uid="{00000000-0005-0000-0000-0000CC290000}"/>
    <cellStyle name="Normal 3 10 2 3 2" xfId="17449" xr:uid="{00000000-0005-0000-0000-0000CD290000}"/>
    <cellStyle name="Normal 3 10 2 3 2 2" xfId="21427" xr:uid="{00000000-0005-0000-0000-0000CE290000}"/>
    <cellStyle name="Normal 3 10 2 3 3" xfId="21428" xr:uid="{00000000-0005-0000-0000-0000CF290000}"/>
    <cellStyle name="Normal 3 10 2 4" xfId="17451" xr:uid="{00000000-0005-0000-0000-0000D0290000}"/>
    <cellStyle name="Normal 3 10 2 4 2" xfId="17455" xr:uid="{00000000-0005-0000-0000-0000D1290000}"/>
    <cellStyle name="Normal 3 10 2 4 2 2" xfId="21429" xr:uid="{00000000-0005-0000-0000-0000D2290000}"/>
    <cellStyle name="Normal 3 10 2 4 3" xfId="13141" xr:uid="{00000000-0005-0000-0000-0000D3290000}"/>
    <cellStyle name="Normal 3 10 2 5" xfId="12935" xr:uid="{00000000-0005-0000-0000-0000D4290000}"/>
    <cellStyle name="Normal 3 10 2 5 2" xfId="15248" xr:uid="{00000000-0005-0000-0000-0000D5290000}"/>
    <cellStyle name="Normal 3 10 2 6" xfId="17461" xr:uid="{00000000-0005-0000-0000-0000D6290000}"/>
    <cellStyle name="Normal 3 10 2 6 2" xfId="21432" xr:uid="{00000000-0005-0000-0000-0000D7290000}"/>
    <cellStyle name="Normal 3 10 2 7" xfId="21434" xr:uid="{00000000-0005-0000-0000-0000D8290000}"/>
    <cellStyle name="Normal 3 10 3" xfId="17465" xr:uid="{00000000-0005-0000-0000-0000D9290000}"/>
    <cellStyle name="Normal 3 10 3 2" xfId="17467" xr:uid="{00000000-0005-0000-0000-0000DA290000}"/>
    <cellStyle name="Normal 3 10 3 2 2" xfId="17471" xr:uid="{00000000-0005-0000-0000-0000DB290000}"/>
    <cellStyle name="Normal 3 10 3 2 2 2" xfId="21435" xr:uid="{00000000-0005-0000-0000-0000DC290000}"/>
    <cellStyle name="Normal 3 10 3 2 3" xfId="21436" xr:uid="{00000000-0005-0000-0000-0000DD290000}"/>
    <cellStyle name="Normal 3 10 3 3" xfId="10700" xr:uid="{00000000-0005-0000-0000-0000DE290000}"/>
    <cellStyle name="Normal 3 10 3 3 2" xfId="10705" xr:uid="{00000000-0005-0000-0000-0000DF290000}"/>
    <cellStyle name="Normal 3 10 3 4" xfId="10715" xr:uid="{00000000-0005-0000-0000-0000E0290000}"/>
    <cellStyle name="Normal 3 10 4" xfId="21437" xr:uid="{00000000-0005-0000-0000-0000E1290000}"/>
    <cellStyle name="Normal 3 10 4 2" xfId="21438" xr:uid="{00000000-0005-0000-0000-0000E2290000}"/>
    <cellStyle name="Normal 3 10 4 2 2" xfId="21440" xr:uid="{00000000-0005-0000-0000-0000E3290000}"/>
    <cellStyle name="Normal 3 10 4 3" xfId="932" xr:uid="{00000000-0005-0000-0000-0000E4290000}"/>
    <cellStyle name="Normal 3 10 5" xfId="21441" xr:uid="{00000000-0005-0000-0000-0000E5290000}"/>
    <cellStyle name="Normal 3 10 5 2" xfId="21442" xr:uid="{00000000-0005-0000-0000-0000E6290000}"/>
    <cellStyle name="Normal 3 10 5 2 2" xfId="21444" xr:uid="{00000000-0005-0000-0000-0000E7290000}"/>
    <cellStyle name="Normal 3 10 5 3" xfId="1006" xr:uid="{00000000-0005-0000-0000-0000E8290000}"/>
    <cellStyle name="Normal 3 10 6" xfId="17680" xr:uid="{00000000-0005-0000-0000-0000E9290000}"/>
    <cellStyle name="Normal 3 10 6 2" xfId="16064" xr:uid="{00000000-0005-0000-0000-0000EA290000}"/>
    <cellStyle name="Normal 3 10 7" xfId="21446" xr:uid="{00000000-0005-0000-0000-0000EB290000}"/>
    <cellStyle name="Normal 3 10 7 2" xfId="16095" xr:uid="{00000000-0005-0000-0000-0000EC290000}"/>
    <cellStyle name="Normal 3 10 8" xfId="21448" xr:uid="{00000000-0005-0000-0000-0000ED290000}"/>
    <cellStyle name="Normal 3 11" xfId="13688" xr:uid="{00000000-0005-0000-0000-0000EE290000}"/>
    <cellStyle name="Normal 3 11 2" xfId="13691" xr:uid="{00000000-0005-0000-0000-0000EF290000}"/>
    <cellStyle name="Normal 3 11 2 2" xfId="13693" xr:uid="{00000000-0005-0000-0000-0000F0290000}"/>
    <cellStyle name="Normal 3 11 2 2 2" xfId="13695" xr:uid="{00000000-0005-0000-0000-0000F1290000}"/>
    <cellStyle name="Normal 3 11 2 2 2 2" xfId="21450" xr:uid="{00000000-0005-0000-0000-0000F2290000}"/>
    <cellStyle name="Normal 3 11 2 2 2 2 2" xfId="21452" xr:uid="{00000000-0005-0000-0000-0000F3290000}"/>
    <cellStyle name="Normal 3 11 2 2 2 3" xfId="21454" xr:uid="{00000000-0005-0000-0000-0000F4290000}"/>
    <cellStyle name="Normal 3 11 2 2 3" xfId="21455" xr:uid="{00000000-0005-0000-0000-0000F5290000}"/>
    <cellStyle name="Normal 3 11 2 2 3 2" xfId="21457" xr:uid="{00000000-0005-0000-0000-0000F6290000}"/>
    <cellStyle name="Normal 3 11 2 2 4" xfId="21458" xr:uid="{00000000-0005-0000-0000-0000F7290000}"/>
    <cellStyle name="Normal 3 11 2 3" xfId="12483" xr:uid="{00000000-0005-0000-0000-0000F8290000}"/>
    <cellStyle name="Normal 3 11 2 3 2" xfId="21461" xr:uid="{00000000-0005-0000-0000-0000F9290000}"/>
    <cellStyle name="Normal 3 11 2 3 2 2" xfId="108" xr:uid="{00000000-0005-0000-0000-0000FA290000}"/>
    <cellStyle name="Normal 3 11 2 3 3" xfId="21462" xr:uid="{00000000-0005-0000-0000-0000FB290000}"/>
    <cellStyle name="Normal 3 11 2 4" xfId="21463" xr:uid="{00000000-0005-0000-0000-0000FC290000}"/>
    <cellStyle name="Normal 3 11 2 4 2" xfId="20894" xr:uid="{00000000-0005-0000-0000-0000FD290000}"/>
    <cellStyle name="Normal 3 11 2 4 2 2" xfId="20900" xr:uid="{00000000-0005-0000-0000-0000FE290000}"/>
    <cellStyle name="Normal 3 11 2 4 3" xfId="20911" xr:uid="{00000000-0005-0000-0000-0000FF290000}"/>
    <cellStyle name="Normal 3 11 2 5" xfId="21466" xr:uid="{00000000-0005-0000-0000-0000002A0000}"/>
    <cellStyle name="Normal 3 11 2 5 2" xfId="20925" xr:uid="{00000000-0005-0000-0000-0000012A0000}"/>
    <cellStyle name="Normal 3 11 2 6" xfId="21469" xr:uid="{00000000-0005-0000-0000-0000022A0000}"/>
    <cellStyle name="Normal 3 11 2 6 2" xfId="15204" xr:uid="{00000000-0005-0000-0000-0000032A0000}"/>
    <cellStyle name="Normal 3 11 2 7" xfId="21471" xr:uid="{00000000-0005-0000-0000-0000042A0000}"/>
    <cellStyle name="Normal 3 11 3" xfId="13697" xr:uid="{00000000-0005-0000-0000-0000052A0000}"/>
    <cellStyle name="Normal 3 11 3 2" xfId="13699" xr:uid="{00000000-0005-0000-0000-0000062A0000}"/>
    <cellStyle name="Normal 3 11 3 2 2" xfId="21472" xr:uid="{00000000-0005-0000-0000-0000072A0000}"/>
    <cellStyle name="Normal 3 11 3 2 2 2" xfId="21473" xr:uid="{00000000-0005-0000-0000-0000082A0000}"/>
    <cellStyle name="Normal 3 11 3 2 3" xfId="21474" xr:uid="{00000000-0005-0000-0000-0000092A0000}"/>
    <cellStyle name="Normal 3 11 3 3" xfId="10729" xr:uid="{00000000-0005-0000-0000-00000A2A0000}"/>
    <cellStyle name="Normal 3 11 3 3 2" xfId="21475" xr:uid="{00000000-0005-0000-0000-00000B2A0000}"/>
    <cellStyle name="Normal 3 11 3 4" xfId="4161" xr:uid="{00000000-0005-0000-0000-00000C2A0000}"/>
    <cellStyle name="Normal 3 11 4" xfId="13703" xr:uid="{00000000-0005-0000-0000-00000D2A0000}"/>
    <cellStyle name="Normal 3 11 4 2" xfId="21476" xr:uid="{00000000-0005-0000-0000-00000E2A0000}"/>
    <cellStyle name="Normal 3 11 4 2 2" xfId="21477" xr:uid="{00000000-0005-0000-0000-00000F2A0000}"/>
    <cellStyle name="Normal 3 11 4 3" xfId="21478" xr:uid="{00000000-0005-0000-0000-0000102A0000}"/>
    <cellStyle name="Normal 3 11 5" xfId="21479" xr:uid="{00000000-0005-0000-0000-0000112A0000}"/>
    <cellStyle name="Normal 3 11 5 2" xfId="21481" xr:uid="{00000000-0005-0000-0000-0000122A0000}"/>
    <cellStyle name="Normal 3 11 5 2 2" xfId="21482" xr:uid="{00000000-0005-0000-0000-0000132A0000}"/>
    <cellStyle name="Normal 3 11 5 3" xfId="5898" xr:uid="{00000000-0005-0000-0000-0000142A0000}"/>
    <cellStyle name="Normal 3 11 6" xfId="13939" xr:uid="{00000000-0005-0000-0000-0000152A0000}"/>
    <cellStyle name="Normal 3 11 6 2" xfId="13943" xr:uid="{00000000-0005-0000-0000-0000162A0000}"/>
    <cellStyle name="Normal 3 11 7" xfId="13970" xr:uid="{00000000-0005-0000-0000-0000172A0000}"/>
    <cellStyle name="Normal 3 11 7 2" xfId="13973" xr:uid="{00000000-0005-0000-0000-0000182A0000}"/>
    <cellStyle name="Normal 3 11 8" xfId="13978" xr:uid="{00000000-0005-0000-0000-0000192A0000}"/>
    <cellStyle name="Normal 3 12" xfId="13705" xr:uid="{00000000-0005-0000-0000-00001A2A0000}"/>
    <cellStyle name="Normal 3 12 2" xfId="13707" xr:uid="{00000000-0005-0000-0000-00001B2A0000}"/>
    <cellStyle name="Normal 3 12 2 2" xfId="13710" xr:uid="{00000000-0005-0000-0000-00001C2A0000}"/>
    <cellStyle name="Normal 3 12 2 2 2" xfId="21483" xr:uid="{00000000-0005-0000-0000-00001D2A0000}"/>
    <cellStyle name="Normal 3 12 2 2 2 2" xfId="21484" xr:uid="{00000000-0005-0000-0000-00001E2A0000}"/>
    <cellStyle name="Normal 3 12 2 2 2 2 2" xfId="21488" xr:uid="{00000000-0005-0000-0000-00001F2A0000}"/>
    <cellStyle name="Normal 3 12 2 2 2 3" xfId="21493" xr:uid="{00000000-0005-0000-0000-0000202A0000}"/>
    <cellStyle name="Normal 3 12 2 2 3" xfId="20295" xr:uid="{00000000-0005-0000-0000-0000212A0000}"/>
    <cellStyle name="Normal 3 12 2 2 3 2" xfId="19901" xr:uid="{00000000-0005-0000-0000-0000222A0000}"/>
    <cellStyle name="Normal 3 12 2 2 4" xfId="20297" xr:uid="{00000000-0005-0000-0000-0000232A0000}"/>
    <cellStyle name="Normal 3 12 2 3" xfId="21495" xr:uid="{00000000-0005-0000-0000-0000242A0000}"/>
    <cellStyle name="Normal 3 12 2 3 2" xfId="21496" xr:uid="{00000000-0005-0000-0000-0000252A0000}"/>
    <cellStyle name="Normal 3 12 2 3 2 2" xfId="21497" xr:uid="{00000000-0005-0000-0000-0000262A0000}"/>
    <cellStyle name="Normal 3 12 2 3 3" xfId="20300" xr:uid="{00000000-0005-0000-0000-0000272A0000}"/>
    <cellStyle name="Normal 3 12 2 4" xfId="21498" xr:uid="{00000000-0005-0000-0000-0000282A0000}"/>
    <cellStyle name="Normal 3 12 2 4 2" xfId="21167" xr:uid="{00000000-0005-0000-0000-0000292A0000}"/>
    <cellStyle name="Normal 3 12 2 4 2 2" xfId="21501" xr:uid="{00000000-0005-0000-0000-00002A2A0000}"/>
    <cellStyle name="Normal 3 12 2 4 3" xfId="20306" xr:uid="{00000000-0005-0000-0000-00002B2A0000}"/>
    <cellStyle name="Normal 3 12 2 5" xfId="13596" xr:uid="{00000000-0005-0000-0000-00002C2A0000}"/>
    <cellStyle name="Normal 3 12 2 5 2" xfId="21502" xr:uid="{00000000-0005-0000-0000-00002D2A0000}"/>
    <cellStyle name="Normal 3 12 2 6" xfId="13336" xr:uid="{00000000-0005-0000-0000-00002E2A0000}"/>
    <cellStyle name="Normal 3 12 2 6 2" xfId="13344" xr:uid="{00000000-0005-0000-0000-00002F2A0000}"/>
    <cellStyle name="Normal 3 12 2 7" xfId="13369" xr:uid="{00000000-0005-0000-0000-0000302A0000}"/>
    <cellStyle name="Normal 3 12 3" xfId="13714" xr:uid="{00000000-0005-0000-0000-0000312A0000}"/>
    <cellStyle name="Normal 3 12 3 2" xfId="21503" xr:uid="{00000000-0005-0000-0000-0000322A0000}"/>
    <cellStyle name="Normal 3 12 3 2 2" xfId="21504" xr:uid="{00000000-0005-0000-0000-0000332A0000}"/>
    <cellStyle name="Normal 3 12 3 2 2 2" xfId="21505" xr:uid="{00000000-0005-0000-0000-0000342A0000}"/>
    <cellStyle name="Normal 3 12 3 2 3" xfId="20337" xr:uid="{00000000-0005-0000-0000-0000352A0000}"/>
    <cellStyle name="Normal 3 12 3 3" xfId="21506" xr:uid="{00000000-0005-0000-0000-0000362A0000}"/>
    <cellStyle name="Normal 3 12 3 3 2" xfId="21507" xr:uid="{00000000-0005-0000-0000-0000372A0000}"/>
    <cellStyle name="Normal 3 12 3 4" xfId="21508" xr:uid="{00000000-0005-0000-0000-0000382A0000}"/>
    <cellStyle name="Normal 3 12 4" xfId="21510" xr:uid="{00000000-0005-0000-0000-0000392A0000}"/>
    <cellStyle name="Normal 3 12 4 2" xfId="21511" xr:uid="{00000000-0005-0000-0000-00003A2A0000}"/>
    <cellStyle name="Normal 3 12 4 2 2" xfId="21512" xr:uid="{00000000-0005-0000-0000-00003B2A0000}"/>
    <cellStyle name="Normal 3 12 4 3" xfId="21515" xr:uid="{00000000-0005-0000-0000-00003C2A0000}"/>
    <cellStyle name="Normal 3 12 5" xfId="21516" xr:uid="{00000000-0005-0000-0000-00003D2A0000}"/>
    <cellStyle name="Normal 3 12 5 2" xfId="12923" xr:uid="{00000000-0005-0000-0000-00003E2A0000}"/>
    <cellStyle name="Normal 3 12 5 2 2" xfId="2892" xr:uid="{00000000-0005-0000-0000-00003F2A0000}"/>
    <cellStyle name="Normal 3 12 5 3" xfId="12927" xr:uid="{00000000-0005-0000-0000-0000402A0000}"/>
    <cellStyle name="Normal 3 12 6" xfId="12572" xr:uid="{00000000-0005-0000-0000-0000412A0000}"/>
    <cellStyle name="Normal 3 12 6 2" xfId="302" xr:uid="{00000000-0005-0000-0000-0000422A0000}"/>
    <cellStyle name="Normal 3 12 7" xfId="14001" xr:uid="{00000000-0005-0000-0000-0000432A0000}"/>
    <cellStyle name="Normal 3 12 7 2" xfId="14003" xr:uid="{00000000-0005-0000-0000-0000442A0000}"/>
    <cellStyle name="Normal 3 12 8" xfId="14007" xr:uid="{00000000-0005-0000-0000-0000452A0000}"/>
    <cellStyle name="Normal 3 13" xfId="13716" xr:uid="{00000000-0005-0000-0000-0000462A0000}"/>
    <cellStyle name="Normal 3 13 2" xfId="13718" xr:uid="{00000000-0005-0000-0000-0000472A0000}"/>
    <cellStyle name="Normal 3 13 2 2" xfId="13720" xr:uid="{00000000-0005-0000-0000-0000482A0000}"/>
    <cellStyle name="Normal 3 13 2 2 2" xfId="21517" xr:uid="{00000000-0005-0000-0000-0000492A0000}"/>
    <cellStyle name="Normal 3 13 2 2 2 2" xfId="21518" xr:uid="{00000000-0005-0000-0000-00004A2A0000}"/>
    <cellStyle name="Normal 3 13 2 2 3" xfId="21519" xr:uid="{00000000-0005-0000-0000-00004B2A0000}"/>
    <cellStyle name="Normal 3 13 2 3" xfId="21520" xr:uid="{00000000-0005-0000-0000-00004C2A0000}"/>
    <cellStyle name="Normal 3 13 2 3 2" xfId="2120" xr:uid="{00000000-0005-0000-0000-00004D2A0000}"/>
    <cellStyle name="Normal 3 13 2 4" xfId="21521" xr:uid="{00000000-0005-0000-0000-00004E2A0000}"/>
    <cellStyle name="Normal 3 13 3" xfId="13722" xr:uid="{00000000-0005-0000-0000-00004F2A0000}"/>
    <cellStyle name="Normal 3 13 3 2" xfId="17135" xr:uid="{00000000-0005-0000-0000-0000502A0000}"/>
    <cellStyle name="Normal 3 13 3 2 2" xfId="3212" xr:uid="{00000000-0005-0000-0000-0000512A0000}"/>
    <cellStyle name="Normal 3 13 3 3" xfId="21524" xr:uid="{00000000-0005-0000-0000-0000522A0000}"/>
    <cellStyle name="Normal 3 13 4" xfId="21525" xr:uid="{00000000-0005-0000-0000-0000532A0000}"/>
    <cellStyle name="Normal 3 13 4 2" xfId="21526" xr:uid="{00000000-0005-0000-0000-0000542A0000}"/>
    <cellStyle name="Normal 3 13 4 2 2" xfId="21527" xr:uid="{00000000-0005-0000-0000-0000552A0000}"/>
    <cellStyle name="Normal 3 13 4 3" xfId="16039" xr:uid="{00000000-0005-0000-0000-0000562A0000}"/>
    <cellStyle name="Normal 3 13 5" xfId="21528" xr:uid="{00000000-0005-0000-0000-0000572A0000}"/>
    <cellStyle name="Normal 3 13 5 2" xfId="15234" xr:uid="{00000000-0005-0000-0000-0000582A0000}"/>
    <cellStyle name="Normal 3 13 6" xfId="14010" xr:uid="{00000000-0005-0000-0000-0000592A0000}"/>
    <cellStyle name="Normal 3 13 6 2" xfId="14013" xr:uid="{00000000-0005-0000-0000-00005A2A0000}"/>
    <cellStyle name="Normal 3 13 7" xfId="14016" xr:uid="{00000000-0005-0000-0000-00005B2A0000}"/>
    <cellStyle name="Normal 3 14" xfId="13725" xr:uid="{00000000-0005-0000-0000-00005C2A0000}"/>
    <cellStyle name="Normal 3 14 2" xfId="13729" xr:uid="{00000000-0005-0000-0000-00005D2A0000}"/>
    <cellStyle name="Normal 3 14 2 2" xfId="18227" xr:uid="{00000000-0005-0000-0000-00005E2A0000}"/>
    <cellStyle name="Normal 3 14 2 2 2" xfId="21530" xr:uid="{00000000-0005-0000-0000-00005F2A0000}"/>
    <cellStyle name="Normal 3 14 2 3" xfId="21532" xr:uid="{00000000-0005-0000-0000-0000602A0000}"/>
    <cellStyle name="Normal 3 14 3" xfId="21533" xr:uid="{00000000-0005-0000-0000-0000612A0000}"/>
    <cellStyle name="Normal 3 14 3 2" xfId="21534" xr:uid="{00000000-0005-0000-0000-0000622A0000}"/>
    <cellStyle name="Normal 3 14 3 2 2" xfId="21536" xr:uid="{00000000-0005-0000-0000-0000632A0000}"/>
    <cellStyle name="Normal 3 14 3 3" xfId="21538" xr:uid="{00000000-0005-0000-0000-0000642A0000}"/>
    <cellStyle name="Normal 3 14 4" xfId="21539" xr:uid="{00000000-0005-0000-0000-0000652A0000}"/>
    <cellStyle name="Normal 3 14 4 2" xfId="20827" xr:uid="{00000000-0005-0000-0000-0000662A0000}"/>
    <cellStyle name="Normal 3 14 5" xfId="20543" xr:uid="{00000000-0005-0000-0000-0000672A0000}"/>
    <cellStyle name="Normal 3 14 5 2" xfId="15372" xr:uid="{00000000-0005-0000-0000-0000682A0000}"/>
    <cellStyle name="Normal 3 14 6" xfId="14018" xr:uid="{00000000-0005-0000-0000-0000692A0000}"/>
    <cellStyle name="Normal 3 15" xfId="11334" xr:uid="{00000000-0005-0000-0000-00006A2A0000}"/>
    <cellStyle name="Normal 3 15 2" xfId="13732" xr:uid="{00000000-0005-0000-0000-00006B2A0000}"/>
    <cellStyle name="Normal 3 16" xfId="13737" xr:uid="{00000000-0005-0000-0000-00006C2A0000}"/>
    <cellStyle name="Normal 3 16 2" xfId="20419" xr:uid="{00000000-0005-0000-0000-00006D2A0000}"/>
    <cellStyle name="Normal 3 17" xfId="13741" xr:uid="{00000000-0005-0000-0000-00006E2A0000}"/>
    <cellStyle name="Normal 3 18" xfId="21422" xr:uid="{00000000-0005-0000-0000-00006F2A0000}"/>
    <cellStyle name="Normal 3 2" xfId="21540" xr:uid="{00000000-0005-0000-0000-0000702A0000}"/>
    <cellStyle name="Normal 3 2 10" xfId="21544" xr:uid="{00000000-0005-0000-0000-0000712A0000}"/>
    <cellStyle name="Normal 3 2 10 2" xfId="21550" xr:uid="{00000000-0005-0000-0000-0000722A0000}"/>
    <cellStyle name="Normal 3 2 10 2 2" xfId="21553" xr:uid="{00000000-0005-0000-0000-0000732A0000}"/>
    <cellStyle name="Normal 3 2 10 2 2 2" xfId="21554" xr:uid="{00000000-0005-0000-0000-0000742A0000}"/>
    <cellStyle name="Normal 3 2 10 2 2 2 2" xfId="18692" xr:uid="{00000000-0005-0000-0000-0000752A0000}"/>
    <cellStyle name="Normal 3 2 10 2 2 2 2 2" xfId="18694" xr:uid="{00000000-0005-0000-0000-0000762A0000}"/>
    <cellStyle name="Normal 3 2 10 2 2 2 3" xfId="18707" xr:uid="{00000000-0005-0000-0000-0000772A0000}"/>
    <cellStyle name="Normal 3 2 10 2 2 3" xfId="21555" xr:uid="{00000000-0005-0000-0000-0000782A0000}"/>
    <cellStyle name="Normal 3 2 10 2 2 3 2" xfId="18741" xr:uid="{00000000-0005-0000-0000-0000792A0000}"/>
    <cellStyle name="Normal 3 2 10 2 2 4" xfId="18166" xr:uid="{00000000-0005-0000-0000-00007A2A0000}"/>
    <cellStyle name="Normal 3 2 10 2 3" xfId="7874" xr:uid="{00000000-0005-0000-0000-00007B2A0000}"/>
    <cellStyle name="Normal 3 2 10 2 3 2" xfId="21556" xr:uid="{00000000-0005-0000-0000-00007C2A0000}"/>
    <cellStyle name="Normal 3 2 10 2 3 2 2" xfId="18777" xr:uid="{00000000-0005-0000-0000-00007D2A0000}"/>
    <cellStyle name="Normal 3 2 10 2 3 3" xfId="21557" xr:uid="{00000000-0005-0000-0000-00007E2A0000}"/>
    <cellStyle name="Normal 3 2 10 2 4" xfId="21558" xr:uid="{00000000-0005-0000-0000-00007F2A0000}"/>
    <cellStyle name="Normal 3 2 10 2 4 2" xfId="21559" xr:uid="{00000000-0005-0000-0000-0000802A0000}"/>
    <cellStyle name="Normal 3 2 10 2 4 2 2" xfId="7897" xr:uid="{00000000-0005-0000-0000-0000812A0000}"/>
    <cellStyle name="Normal 3 2 10 2 4 3" xfId="21560" xr:uid="{00000000-0005-0000-0000-0000822A0000}"/>
    <cellStyle name="Normal 3 2 10 2 5" xfId="21561" xr:uid="{00000000-0005-0000-0000-0000832A0000}"/>
    <cellStyle name="Normal 3 2 10 2 5 2" xfId="21562" xr:uid="{00000000-0005-0000-0000-0000842A0000}"/>
    <cellStyle name="Normal 3 2 10 2 6" xfId="6810" xr:uid="{00000000-0005-0000-0000-0000852A0000}"/>
    <cellStyle name="Normal 3 2 10 2 6 2" xfId="15026" xr:uid="{00000000-0005-0000-0000-0000862A0000}"/>
    <cellStyle name="Normal 3 2 10 2 7" xfId="12608" xr:uid="{00000000-0005-0000-0000-0000872A0000}"/>
    <cellStyle name="Normal 3 2 10 3" xfId="21564" xr:uid="{00000000-0005-0000-0000-0000882A0000}"/>
    <cellStyle name="Normal 3 2 10 3 2" xfId="21565" xr:uid="{00000000-0005-0000-0000-0000892A0000}"/>
    <cellStyle name="Normal 3 2 10 3 2 2" xfId="2413" xr:uid="{00000000-0005-0000-0000-00008A2A0000}"/>
    <cellStyle name="Normal 3 2 10 3 2 2 2" xfId="18858" xr:uid="{00000000-0005-0000-0000-00008B2A0000}"/>
    <cellStyle name="Normal 3 2 10 3 2 3" xfId="21566" xr:uid="{00000000-0005-0000-0000-00008C2A0000}"/>
    <cellStyle name="Normal 3 2 10 3 3" xfId="21567" xr:uid="{00000000-0005-0000-0000-00008D2A0000}"/>
    <cellStyle name="Normal 3 2 10 3 3 2" xfId="21568" xr:uid="{00000000-0005-0000-0000-00008E2A0000}"/>
    <cellStyle name="Normal 3 2 10 3 4" xfId="21569" xr:uid="{00000000-0005-0000-0000-00008F2A0000}"/>
    <cellStyle name="Normal 3 2 10 4" xfId="21575" xr:uid="{00000000-0005-0000-0000-0000902A0000}"/>
    <cellStyle name="Normal 3 2 10 4 2" xfId="4306" xr:uid="{00000000-0005-0000-0000-0000912A0000}"/>
    <cellStyle name="Normal 3 2 10 4 2 2" xfId="4321" xr:uid="{00000000-0005-0000-0000-0000922A0000}"/>
    <cellStyle name="Normal 3 2 10 4 3" xfId="4402" xr:uid="{00000000-0005-0000-0000-0000932A0000}"/>
    <cellStyle name="Normal 3 2 10 5" xfId="21579" xr:uid="{00000000-0005-0000-0000-0000942A0000}"/>
    <cellStyle name="Normal 3 2 10 5 2" xfId="5100" xr:uid="{00000000-0005-0000-0000-0000952A0000}"/>
    <cellStyle name="Normal 3 2 10 5 2 2" xfId="5111" xr:uid="{00000000-0005-0000-0000-0000962A0000}"/>
    <cellStyle name="Normal 3 2 10 5 3" xfId="3228" xr:uid="{00000000-0005-0000-0000-0000972A0000}"/>
    <cellStyle name="Normal 3 2 10 6" xfId="21583" xr:uid="{00000000-0005-0000-0000-0000982A0000}"/>
    <cellStyle name="Normal 3 2 10 6 2" xfId="178" xr:uid="{00000000-0005-0000-0000-0000992A0000}"/>
    <cellStyle name="Normal 3 2 10 7" xfId="21586" xr:uid="{00000000-0005-0000-0000-00009A2A0000}"/>
    <cellStyle name="Normal 3 2 10 7 2" xfId="1532" xr:uid="{00000000-0005-0000-0000-00009B2A0000}"/>
    <cellStyle name="Normal 3 2 10 8" xfId="300" xr:uid="{00000000-0005-0000-0000-00009C2A0000}"/>
    <cellStyle name="Normal 3 2 11" xfId="21591" xr:uid="{00000000-0005-0000-0000-00009D2A0000}"/>
    <cellStyle name="Normal 3 2 11 2" xfId="21594" xr:uid="{00000000-0005-0000-0000-00009E2A0000}"/>
    <cellStyle name="Normal 3 2 11 2 2" xfId="20182" xr:uid="{00000000-0005-0000-0000-00009F2A0000}"/>
    <cellStyle name="Normal 3 2 11 2 2 2" xfId="20185" xr:uid="{00000000-0005-0000-0000-0000A02A0000}"/>
    <cellStyle name="Normal 3 2 11 2 2 2 2" xfId="20187" xr:uid="{00000000-0005-0000-0000-0000A12A0000}"/>
    <cellStyle name="Normal 3 2 11 2 2 3" xfId="20190" xr:uid="{00000000-0005-0000-0000-0000A22A0000}"/>
    <cellStyle name="Normal 3 2 11 2 3" xfId="20420" xr:uid="{00000000-0005-0000-0000-0000A32A0000}"/>
    <cellStyle name="Normal 3 2 11 2 3 2" xfId="20428" xr:uid="{00000000-0005-0000-0000-0000A42A0000}"/>
    <cellStyle name="Normal 3 2 11 2 4" xfId="20650" xr:uid="{00000000-0005-0000-0000-0000A52A0000}"/>
    <cellStyle name="Normal 3 2 11 3" xfId="21595" xr:uid="{00000000-0005-0000-0000-0000A62A0000}"/>
    <cellStyle name="Normal 3 2 11 3 2" xfId="20654" xr:uid="{00000000-0005-0000-0000-0000A72A0000}"/>
    <cellStyle name="Normal 3 2 11 3 2 2" xfId="20656" xr:uid="{00000000-0005-0000-0000-0000A82A0000}"/>
    <cellStyle name="Normal 3 2 11 3 3" xfId="15874" xr:uid="{00000000-0005-0000-0000-0000A92A0000}"/>
    <cellStyle name="Normal 3 2 11 4" xfId="21600" xr:uid="{00000000-0005-0000-0000-0000AA2A0000}"/>
    <cellStyle name="Normal 3 2 11 4 2" xfId="2421" xr:uid="{00000000-0005-0000-0000-0000AB2A0000}"/>
    <cellStyle name="Normal 3 2 11 4 2 2" xfId="5562" xr:uid="{00000000-0005-0000-0000-0000AC2A0000}"/>
    <cellStyle name="Normal 3 2 11 4 3" xfId="5772" xr:uid="{00000000-0005-0000-0000-0000AD2A0000}"/>
    <cellStyle name="Normal 3 2 11 5" xfId="21603" xr:uid="{00000000-0005-0000-0000-0000AE2A0000}"/>
    <cellStyle name="Normal 3 2 11 5 2" xfId="4694" xr:uid="{00000000-0005-0000-0000-0000AF2A0000}"/>
    <cellStyle name="Normal 3 2 11 6" xfId="21606" xr:uid="{00000000-0005-0000-0000-0000B02A0000}"/>
    <cellStyle name="Normal 3 2 11 6 2" xfId="6312" xr:uid="{00000000-0005-0000-0000-0000B12A0000}"/>
    <cellStyle name="Normal 3 2 11 7" xfId="21607" xr:uid="{00000000-0005-0000-0000-0000B22A0000}"/>
    <cellStyle name="Normal 3 2 12" xfId="21612" xr:uid="{00000000-0005-0000-0000-0000B32A0000}"/>
    <cellStyle name="Normal 3 2 12 2" xfId="21617" xr:uid="{00000000-0005-0000-0000-0000B42A0000}"/>
    <cellStyle name="Normal 3 2 12 2 2" xfId="21619" xr:uid="{00000000-0005-0000-0000-0000B52A0000}"/>
    <cellStyle name="Normal 3 2 12 2 2 2" xfId="21621" xr:uid="{00000000-0005-0000-0000-0000B62A0000}"/>
    <cellStyle name="Normal 3 2 12 2 3" xfId="21623" xr:uid="{00000000-0005-0000-0000-0000B72A0000}"/>
    <cellStyle name="Normal 3 2 12 3" xfId="7664" xr:uid="{00000000-0005-0000-0000-0000B82A0000}"/>
    <cellStyle name="Normal 3 2 12 3 2" xfId="21625" xr:uid="{00000000-0005-0000-0000-0000B92A0000}"/>
    <cellStyle name="Normal 3 2 12 3 2 2" xfId="21627" xr:uid="{00000000-0005-0000-0000-0000BA2A0000}"/>
    <cellStyle name="Normal 3 2 12 3 3" xfId="21629" xr:uid="{00000000-0005-0000-0000-0000BB2A0000}"/>
    <cellStyle name="Normal 3 2 12 4" xfId="21632" xr:uid="{00000000-0005-0000-0000-0000BC2A0000}"/>
    <cellStyle name="Normal 3 2 12 4 2" xfId="6785" xr:uid="{00000000-0005-0000-0000-0000BD2A0000}"/>
    <cellStyle name="Normal 3 2 12 5" xfId="21635" xr:uid="{00000000-0005-0000-0000-0000BE2A0000}"/>
    <cellStyle name="Normal 3 2 12 5 2" xfId="7572" xr:uid="{00000000-0005-0000-0000-0000BF2A0000}"/>
    <cellStyle name="Normal 3 2 12 6" xfId="21636" xr:uid="{00000000-0005-0000-0000-0000C02A0000}"/>
    <cellStyle name="Normal 3 2 13" xfId="21641" xr:uid="{00000000-0005-0000-0000-0000C12A0000}"/>
    <cellStyle name="Normal 3 2 13 2" xfId="21642" xr:uid="{00000000-0005-0000-0000-0000C22A0000}"/>
    <cellStyle name="Normal 3 2 14" xfId="21643" xr:uid="{00000000-0005-0000-0000-0000C32A0000}"/>
    <cellStyle name="Normal 3 2 14 2" xfId="21644" xr:uid="{00000000-0005-0000-0000-0000C42A0000}"/>
    <cellStyle name="Normal 3 2 2" xfId="21645" xr:uid="{00000000-0005-0000-0000-0000C52A0000}"/>
    <cellStyle name="Normal 3 2 2 10" xfId="15502" xr:uid="{00000000-0005-0000-0000-0000C62A0000}"/>
    <cellStyle name="Normal 3 2 2 10 2" xfId="6390" xr:uid="{00000000-0005-0000-0000-0000C72A0000}"/>
    <cellStyle name="Normal 3 2 2 10 2 2" xfId="14305" xr:uid="{00000000-0005-0000-0000-0000C82A0000}"/>
    <cellStyle name="Normal 3 2 2 10 2 2 2" xfId="14312" xr:uid="{00000000-0005-0000-0000-0000C92A0000}"/>
    <cellStyle name="Normal 3 2 2 10 2 3" xfId="14318" xr:uid="{00000000-0005-0000-0000-0000CA2A0000}"/>
    <cellStyle name="Normal 3 2 2 10 3" xfId="6399" xr:uid="{00000000-0005-0000-0000-0000CB2A0000}"/>
    <cellStyle name="Normal 3 2 2 10 3 2" xfId="14327" xr:uid="{00000000-0005-0000-0000-0000CC2A0000}"/>
    <cellStyle name="Normal 3 2 2 10 4" xfId="13311" xr:uid="{00000000-0005-0000-0000-0000CD2A0000}"/>
    <cellStyle name="Normal 3 2 2 11" xfId="17010" xr:uid="{00000000-0005-0000-0000-0000CE2A0000}"/>
    <cellStyle name="Normal 3 2 2 11 2" xfId="14392" xr:uid="{00000000-0005-0000-0000-0000CF2A0000}"/>
    <cellStyle name="Normal 3 2 2 11 2 2" xfId="14397" xr:uid="{00000000-0005-0000-0000-0000D02A0000}"/>
    <cellStyle name="Normal 3 2 2 11 3" xfId="14405" xr:uid="{00000000-0005-0000-0000-0000D12A0000}"/>
    <cellStyle name="Normal 3 2 2 12" xfId="17016" xr:uid="{00000000-0005-0000-0000-0000D22A0000}"/>
    <cellStyle name="Normal 3 2 2 12 2" xfId="14466" xr:uid="{00000000-0005-0000-0000-0000D32A0000}"/>
    <cellStyle name="Normal 3 2 2 12 2 2" xfId="14469" xr:uid="{00000000-0005-0000-0000-0000D42A0000}"/>
    <cellStyle name="Normal 3 2 2 12 3" xfId="14474" xr:uid="{00000000-0005-0000-0000-0000D52A0000}"/>
    <cellStyle name="Normal 3 2 2 13" xfId="17020" xr:uid="{00000000-0005-0000-0000-0000D62A0000}"/>
    <cellStyle name="Normal 3 2 2 13 2" xfId="14510" xr:uid="{00000000-0005-0000-0000-0000D72A0000}"/>
    <cellStyle name="Normal 3 2 2 14" xfId="17022" xr:uid="{00000000-0005-0000-0000-0000D82A0000}"/>
    <cellStyle name="Normal 3 2 2 14 2" xfId="14556" xr:uid="{00000000-0005-0000-0000-0000D92A0000}"/>
    <cellStyle name="Normal 3 2 2 15" xfId="15516" xr:uid="{00000000-0005-0000-0000-0000DA2A0000}"/>
    <cellStyle name="Normal 3 2 2 15 2" xfId="15520" xr:uid="{00000000-0005-0000-0000-0000DB2A0000}"/>
    <cellStyle name="Normal 3 2 2 2" xfId="21646" xr:uid="{00000000-0005-0000-0000-0000DC2A0000}"/>
    <cellStyle name="Normal 3 2 2 2 10" xfId="21649" xr:uid="{00000000-0005-0000-0000-0000DD2A0000}"/>
    <cellStyle name="Normal 3 2 2 2 10 2" xfId="21652" xr:uid="{00000000-0005-0000-0000-0000DE2A0000}"/>
    <cellStyle name="Normal 3 2 2 2 10 2 2" xfId="21654" xr:uid="{00000000-0005-0000-0000-0000DF2A0000}"/>
    <cellStyle name="Normal 3 2 2 2 10 3" xfId="21656" xr:uid="{00000000-0005-0000-0000-0000E02A0000}"/>
    <cellStyle name="Normal 3 2 2 2 11" xfId="1691" xr:uid="{00000000-0005-0000-0000-0000E12A0000}"/>
    <cellStyle name="Normal 3 2 2 2 11 2" xfId="469" xr:uid="{00000000-0005-0000-0000-0000E22A0000}"/>
    <cellStyle name="Normal 3 2 2 2 11 2 2" xfId="21659" xr:uid="{00000000-0005-0000-0000-0000E32A0000}"/>
    <cellStyle name="Normal 3 2 2 2 11 3" xfId="21661" xr:uid="{00000000-0005-0000-0000-0000E42A0000}"/>
    <cellStyle name="Normal 3 2 2 2 12" xfId="1698" xr:uid="{00000000-0005-0000-0000-0000E52A0000}"/>
    <cellStyle name="Normal 3 2 2 2 12 2" xfId="21663" xr:uid="{00000000-0005-0000-0000-0000E62A0000}"/>
    <cellStyle name="Normal 3 2 2 2 13" xfId="21665" xr:uid="{00000000-0005-0000-0000-0000E72A0000}"/>
    <cellStyle name="Normal 3 2 2 2 13 2" xfId="18159" xr:uid="{00000000-0005-0000-0000-0000E82A0000}"/>
    <cellStyle name="Normal 3 2 2 2 14" xfId="1064" xr:uid="{00000000-0005-0000-0000-0000E92A0000}"/>
    <cellStyle name="Normal 3 2 2 2 14 2" xfId="21668" xr:uid="{00000000-0005-0000-0000-0000EA2A0000}"/>
    <cellStyle name="Normal 3 2 2 2 15" xfId="20691" xr:uid="{00000000-0005-0000-0000-0000EB2A0000}"/>
    <cellStyle name="Normal 3 2 2 2 16" xfId="20769" xr:uid="{00000000-0005-0000-0000-0000EC2A0000}"/>
    <cellStyle name="Normal 3 2 2 2 2" xfId="15632" xr:uid="{00000000-0005-0000-0000-0000ED2A0000}"/>
    <cellStyle name="Normal 3 2 2 2 3" xfId="21669" xr:uid="{00000000-0005-0000-0000-0000EE2A0000}"/>
    <cellStyle name="Normal 3 2 2 2 3 10" xfId="21670" xr:uid="{00000000-0005-0000-0000-0000EF2A0000}"/>
    <cellStyle name="Normal 3 2 2 2 3 10 2" xfId="21671" xr:uid="{00000000-0005-0000-0000-0000F02A0000}"/>
    <cellStyle name="Normal 3 2 2 2 3 11" xfId="21672" xr:uid="{00000000-0005-0000-0000-0000F12A0000}"/>
    <cellStyle name="Normal 3 2 2 2 3 11 2" xfId="21678" xr:uid="{00000000-0005-0000-0000-0000F22A0000}"/>
    <cellStyle name="Normal 3 2 2 2 3 12" xfId="21679" xr:uid="{00000000-0005-0000-0000-0000F32A0000}"/>
    <cellStyle name="Normal 3 2 2 2 3 12 2" xfId="8077" xr:uid="{00000000-0005-0000-0000-0000F42A0000}"/>
    <cellStyle name="Normal 3 2 2 2 3 13" xfId="21680" xr:uid="{00000000-0005-0000-0000-0000F52A0000}"/>
    <cellStyle name="Normal 3 2 2 2 3 14" xfId="21682" xr:uid="{00000000-0005-0000-0000-0000F62A0000}"/>
    <cellStyle name="Normal 3 2 2 2 3 2" xfId="21683" xr:uid="{00000000-0005-0000-0000-0000F72A0000}"/>
    <cellStyle name="Normal 3 2 2 2 3 2 10" xfId="21685" xr:uid="{00000000-0005-0000-0000-0000F82A0000}"/>
    <cellStyle name="Normal 3 2 2 2 3 2 2" xfId="21688" xr:uid="{00000000-0005-0000-0000-0000F92A0000}"/>
    <cellStyle name="Normal 3 2 2 2 3 2 2 2" xfId="21691" xr:uid="{00000000-0005-0000-0000-0000FA2A0000}"/>
    <cellStyle name="Normal 3 2 2 2 3 2 2 2 2" xfId="21694" xr:uid="{00000000-0005-0000-0000-0000FB2A0000}"/>
    <cellStyle name="Normal 3 2 2 2 3 2 2 2 2 2" xfId="21699" xr:uid="{00000000-0005-0000-0000-0000FC2A0000}"/>
    <cellStyle name="Normal 3 2 2 2 3 2 2 2 2 2 2" xfId="16521" xr:uid="{00000000-0005-0000-0000-0000FD2A0000}"/>
    <cellStyle name="Normal 3 2 2 2 3 2 2 2 2 2 2 2" xfId="21704" xr:uid="{00000000-0005-0000-0000-0000FE2A0000}"/>
    <cellStyle name="Normal 3 2 2 2 3 2 2 2 2 2 3" xfId="21706" xr:uid="{00000000-0005-0000-0000-0000FF2A0000}"/>
    <cellStyle name="Normal 3 2 2 2 3 2 2 2 2 3" xfId="21709" xr:uid="{00000000-0005-0000-0000-0000002B0000}"/>
    <cellStyle name="Normal 3 2 2 2 3 2 2 2 2 3 2" xfId="21713" xr:uid="{00000000-0005-0000-0000-0000012B0000}"/>
    <cellStyle name="Normal 3 2 2 2 3 2 2 2 2 4" xfId="21716" xr:uid="{00000000-0005-0000-0000-0000022B0000}"/>
    <cellStyle name="Normal 3 2 2 2 3 2 2 2 3" xfId="21722" xr:uid="{00000000-0005-0000-0000-0000032B0000}"/>
    <cellStyle name="Normal 3 2 2 2 3 2 2 2 3 2" xfId="21725" xr:uid="{00000000-0005-0000-0000-0000042B0000}"/>
    <cellStyle name="Normal 3 2 2 2 3 2 2 2 3 2 2" xfId="21730" xr:uid="{00000000-0005-0000-0000-0000052B0000}"/>
    <cellStyle name="Normal 3 2 2 2 3 2 2 2 3 3" xfId="21735" xr:uid="{00000000-0005-0000-0000-0000062B0000}"/>
    <cellStyle name="Normal 3 2 2 2 3 2 2 2 4" xfId="21739" xr:uid="{00000000-0005-0000-0000-0000072B0000}"/>
    <cellStyle name="Normal 3 2 2 2 3 2 2 2 4 2" xfId="21746" xr:uid="{00000000-0005-0000-0000-0000082B0000}"/>
    <cellStyle name="Normal 3 2 2 2 3 2 2 2 4 2 2" xfId="21754" xr:uid="{00000000-0005-0000-0000-0000092B0000}"/>
    <cellStyle name="Normal 3 2 2 2 3 2 2 2 4 3" xfId="21756" xr:uid="{00000000-0005-0000-0000-00000A2B0000}"/>
    <cellStyle name="Normal 3 2 2 2 3 2 2 2 5" xfId="21758" xr:uid="{00000000-0005-0000-0000-00000B2B0000}"/>
    <cellStyle name="Normal 3 2 2 2 3 2 2 2 5 2" xfId="21765" xr:uid="{00000000-0005-0000-0000-00000C2B0000}"/>
    <cellStyle name="Normal 3 2 2 2 3 2 2 2 6" xfId="21767" xr:uid="{00000000-0005-0000-0000-00000D2B0000}"/>
    <cellStyle name="Normal 3 2 2 2 3 2 2 2 6 2" xfId="19464" xr:uid="{00000000-0005-0000-0000-00000E2B0000}"/>
    <cellStyle name="Normal 3 2 2 2 3 2 2 2 7" xfId="21769" xr:uid="{00000000-0005-0000-0000-00000F2B0000}"/>
    <cellStyle name="Normal 3 2 2 2 3 2 2 3" xfId="21774" xr:uid="{00000000-0005-0000-0000-0000102B0000}"/>
    <cellStyle name="Normal 3 2 2 2 3 2 2 3 2" xfId="9289" xr:uid="{00000000-0005-0000-0000-0000112B0000}"/>
    <cellStyle name="Normal 3 2 2 2 3 2 2 3 2 2" xfId="5590" xr:uid="{00000000-0005-0000-0000-0000122B0000}"/>
    <cellStyle name="Normal 3 2 2 2 3 2 2 3 2 2 2" xfId="832" xr:uid="{00000000-0005-0000-0000-0000132B0000}"/>
    <cellStyle name="Normal 3 2 2 2 3 2 2 3 2 3" xfId="5606" xr:uid="{00000000-0005-0000-0000-0000142B0000}"/>
    <cellStyle name="Normal 3 2 2 2 3 2 2 3 3" xfId="9291" xr:uid="{00000000-0005-0000-0000-0000152B0000}"/>
    <cellStyle name="Normal 3 2 2 2 3 2 2 3 3 2" xfId="5666" xr:uid="{00000000-0005-0000-0000-0000162B0000}"/>
    <cellStyle name="Normal 3 2 2 2 3 2 2 3 4" xfId="9299" xr:uid="{00000000-0005-0000-0000-0000172B0000}"/>
    <cellStyle name="Normal 3 2 2 2 3 2 2 4" xfId="21783" xr:uid="{00000000-0005-0000-0000-0000182B0000}"/>
    <cellStyle name="Normal 3 2 2 2 3 2 2 4 2" xfId="9448" xr:uid="{00000000-0005-0000-0000-0000192B0000}"/>
    <cellStyle name="Normal 3 2 2 2 3 2 2 4 2 2" xfId="781" xr:uid="{00000000-0005-0000-0000-00001A2B0000}"/>
    <cellStyle name="Normal 3 2 2 2 3 2 2 4 3" xfId="9450" xr:uid="{00000000-0005-0000-0000-00001B2B0000}"/>
    <cellStyle name="Normal 3 2 2 2 3 2 2 5" xfId="21790" xr:uid="{00000000-0005-0000-0000-00001C2B0000}"/>
    <cellStyle name="Normal 3 2 2 2 3 2 2 5 2" xfId="9618" xr:uid="{00000000-0005-0000-0000-00001D2B0000}"/>
    <cellStyle name="Normal 3 2 2 2 3 2 2 5 2 2" xfId="795" xr:uid="{00000000-0005-0000-0000-00001E2B0000}"/>
    <cellStyle name="Normal 3 2 2 2 3 2 2 5 3" xfId="9620" xr:uid="{00000000-0005-0000-0000-00001F2B0000}"/>
    <cellStyle name="Normal 3 2 2 2 3 2 2 6" xfId="14810" xr:uid="{00000000-0005-0000-0000-0000202B0000}"/>
    <cellStyle name="Normal 3 2 2 2 3 2 2 6 2" xfId="9736" xr:uid="{00000000-0005-0000-0000-0000212B0000}"/>
    <cellStyle name="Normal 3 2 2 2 3 2 2 7" xfId="14815" xr:uid="{00000000-0005-0000-0000-0000222B0000}"/>
    <cellStyle name="Normal 3 2 2 2 3 2 2 7 2" xfId="9824" xr:uid="{00000000-0005-0000-0000-0000232B0000}"/>
    <cellStyle name="Normal 3 2 2 2 3 2 2 8" xfId="9486" xr:uid="{00000000-0005-0000-0000-0000242B0000}"/>
    <cellStyle name="Normal 3 2 2 2 3 2 2 9" xfId="9502" xr:uid="{00000000-0005-0000-0000-0000252B0000}"/>
    <cellStyle name="Normal 3 2 2 2 3 2 3" xfId="21791" xr:uid="{00000000-0005-0000-0000-0000262B0000}"/>
    <cellStyle name="Normal 3 2 2 2 3 2 3 2" xfId="21794" xr:uid="{00000000-0005-0000-0000-0000272B0000}"/>
    <cellStyle name="Normal 3 2 2 2 3 2 3 2 2" xfId="21797" xr:uid="{00000000-0005-0000-0000-0000282B0000}"/>
    <cellStyle name="Normal 3 2 2 2 3 2 3 2 2 2" xfId="21798" xr:uid="{00000000-0005-0000-0000-0000292B0000}"/>
    <cellStyle name="Normal 3 2 2 2 3 2 3 2 2 2 2" xfId="21799" xr:uid="{00000000-0005-0000-0000-00002A2B0000}"/>
    <cellStyle name="Normal 3 2 2 2 3 2 3 2 2 3" xfId="21802" xr:uid="{00000000-0005-0000-0000-00002B2B0000}"/>
    <cellStyle name="Normal 3 2 2 2 3 2 3 2 3" xfId="21803" xr:uid="{00000000-0005-0000-0000-00002C2B0000}"/>
    <cellStyle name="Normal 3 2 2 2 3 2 3 2 3 2" xfId="21808" xr:uid="{00000000-0005-0000-0000-00002D2B0000}"/>
    <cellStyle name="Normal 3 2 2 2 3 2 3 2 4" xfId="21812" xr:uid="{00000000-0005-0000-0000-00002E2B0000}"/>
    <cellStyle name="Normal 3 2 2 2 3 2 3 3" xfId="21820" xr:uid="{00000000-0005-0000-0000-00002F2B0000}"/>
    <cellStyle name="Normal 3 2 2 2 3 2 3 3 2" xfId="9923" xr:uid="{00000000-0005-0000-0000-0000302B0000}"/>
    <cellStyle name="Normal 3 2 2 2 3 2 3 3 2 2" xfId="20385" xr:uid="{00000000-0005-0000-0000-0000312B0000}"/>
    <cellStyle name="Normal 3 2 2 2 3 2 3 3 3" xfId="9929" xr:uid="{00000000-0005-0000-0000-0000322B0000}"/>
    <cellStyle name="Normal 3 2 2 2 3 2 3 4" xfId="21827" xr:uid="{00000000-0005-0000-0000-0000332B0000}"/>
    <cellStyle name="Normal 3 2 2 2 3 2 3 4 2" xfId="20395" xr:uid="{00000000-0005-0000-0000-0000342B0000}"/>
    <cellStyle name="Normal 3 2 2 2 3 2 3 4 2 2" xfId="989" xr:uid="{00000000-0005-0000-0000-0000352B0000}"/>
    <cellStyle name="Normal 3 2 2 2 3 2 3 4 3" xfId="21828" xr:uid="{00000000-0005-0000-0000-0000362B0000}"/>
    <cellStyle name="Normal 3 2 2 2 3 2 3 5" xfId="21834" xr:uid="{00000000-0005-0000-0000-0000372B0000}"/>
    <cellStyle name="Normal 3 2 2 2 3 2 3 5 2" xfId="1044" xr:uid="{00000000-0005-0000-0000-0000382B0000}"/>
    <cellStyle name="Normal 3 2 2 2 3 2 3 6" xfId="14822" xr:uid="{00000000-0005-0000-0000-0000392B0000}"/>
    <cellStyle name="Normal 3 2 2 2 3 2 3 6 2" xfId="1106" xr:uid="{00000000-0005-0000-0000-00003A2B0000}"/>
    <cellStyle name="Normal 3 2 2 2 3 2 3 7" xfId="14826" xr:uid="{00000000-0005-0000-0000-00003B2B0000}"/>
    <cellStyle name="Normal 3 2 2 2 3 2 4" xfId="21836" xr:uid="{00000000-0005-0000-0000-00003C2B0000}"/>
    <cellStyle name="Normal 3 2 2 2 3 2 4 2" xfId="21842" xr:uid="{00000000-0005-0000-0000-00003D2B0000}"/>
    <cellStyle name="Normal 3 2 2 2 3 2 4 2 2" xfId="16261" xr:uid="{00000000-0005-0000-0000-00003E2B0000}"/>
    <cellStyle name="Normal 3 2 2 2 3 2 4 2 2 2" xfId="16263" xr:uid="{00000000-0005-0000-0000-00003F2B0000}"/>
    <cellStyle name="Normal 3 2 2 2 3 2 4 2 3" xfId="16265" xr:uid="{00000000-0005-0000-0000-0000402B0000}"/>
    <cellStyle name="Normal 3 2 2 2 3 2 4 3" xfId="21846" xr:uid="{00000000-0005-0000-0000-0000412B0000}"/>
    <cellStyle name="Normal 3 2 2 2 3 2 4 3 2" xfId="16283" xr:uid="{00000000-0005-0000-0000-0000422B0000}"/>
    <cellStyle name="Normal 3 2 2 2 3 2 4 4" xfId="21850" xr:uid="{00000000-0005-0000-0000-0000432B0000}"/>
    <cellStyle name="Normal 3 2 2 2 3 2 5" xfId="21858" xr:uid="{00000000-0005-0000-0000-0000442B0000}"/>
    <cellStyle name="Normal 3 2 2 2 3 2 5 2" xfId="21861" xr:uid="{00000000-0005-0000-0000-0000452B0000}"/>
    <cellStyle name="Normal 3 2 2 2 3 2 5 2 2" xfId="16311" xr:uid="{00000000-0005-0000-0000-0000462B0000}"/>
    <cellStyle name="Normal 3 2 2 2 3 2 5 3" xfId="21863" xr:uid="{00000000-0005-0000-0000-0000472B0000}"/>
    <cellStyle name="Normal 3 2 2 2 3 2 6" xfId="21866" xr:uid="{00000000-0005-0000-0000-0000482B0000}"/>
    <cellStyle name="Normal 3 2 2 2 3 2 6 2" xfId="21869" xr:uid="{00000000-0005-0000-0000-0000492B0000}"/>
    <cellStyle name="Normal 3 2 2 2 3 2 6 2 2" xfId="21874" xr:uid="{00000000-0005-0000-0000-00004A2B0000}"/>
    <cellStyle name="Normal 3 2 2 2 3 2 6 3" xfId="21876" xr:uid="{00000000-0005-0000-0000-00004B2B0000}"/>
    <cellStyle name="Normal 3 2 2 2 3 2 7" xfId="21878" xr:uid="{00000000-0005-0000-0000-00004C2B0000}"/>
    <cellStyle name="Normal 3 2 2 2 3 2 7 2" xfId="21881" xr:uid="{00000000-0005-0000-0000-00004D2B0000}"/>
    <cellStyle name="Normal 3 2 2 2 3 2 8" xfId="21883" xr:uid="{00000000-0005-0000-0000-00004E2B0000}"/>
    <cellStyle name="Normal 3 2 2 2 3 2 8 2" xfId="21887" xr:uid="{00000000-0005-0000-0000-00004F2B0000}"/>
    <cellStyle name="Normal 3 2 2 2 3 2 9" xfId="21889" xr:uid="{00000000-0005-0000-0000-0000502B0000}"/>
    <cellStyle name="Normal 3 2 2 2 3 3" xfId="21890" xr:uid="{00000000-0005-0000-0000-0000512B0000}"/>
    <cellStyle name="Normal 3 2 2 2 3 3 2" xfId="21891" xr:uid="{00000000-0005-0000-0000-0000522B0000}"/>
    <cellStyle name="Normal 3 2 2 2 3 3 2 2" xfId="21894" xr:uid="{00000000-0005-0000-0000-0000532B0000}"/>
    <cellStyle name="Normal 3 2 2 2 3 3 2 2 2" xfId="13916" xr:uid="{00000000-0005-0000-0000-0000542B0000}"/>
    <cellStyle name="Normal 3 2 2 2 3 3 2 2 2 2" xfId="5719" xr:uid="{00000000-0005-0000-0000-0000552B0000}"/>
    <cellStyle name="Normal 3 2 2 2 3 3 2 2 2 2 2" xfId="16080" xr:uid="{00000000-0005-0000-0000-0000562B0000}"/>
    <cellStyle name="Normal 3 2 2 2 3 3 2 2 2 3" xfId="5738" xr:uid="{00000000-0005-0000-0000-0000572B0000}"/>
    <cellStyle name="Normal 3 2 2 2 3 3 2 2 3" xfId="21895" xr:uid="{00000000-0005-0000-0000-0000582B0000}"/>
    <cellStyle name="Normal 3 2 2 2 3 3 2 2 3 2" xfId="2517" xr:uid="{00000000-0005-0000-0000-0000592B0000}"/>
    <cellStyle name="Normal 3 2 2 2 3 3 2 2 4" xfId="21901" xr:uid="{00000000-0005-0000-0000-00005A2B0000}"/>
    <cellStyle name="Normal 3 2 2 2 3 3 2 3" xfId="21909" xr:uid="{00000000-0005-0000-0000-00005B2B0000}"/>
    <cellStyle name="Normal 3 2 2 2 3 3 2 3 2" xfId="10275" xr:uid="{00000000-0005-0000-0000-00005C2B0000}"/>
    <cellStyle name="Normal 3 2 2 2 3 3 2 3 2 2" xfId="724" xr:uid="{00000000-0005-0000-0000-00005D2B0000}"/>
    <cellStyle name="Normal 3 2 2 2 3 3 2 3 3" xfId="10277" xr:uid="{00000000-0005-0000-0000-00005E2B0000}"/>
    <cellStyle name="Normal 3 2 2 2 3 3 2 4" xfId="11272" xr:uid="{00000000-0005-0000-0000-00005F2B0000}"/>
    <cellStyle name="Normal 3 2 2 2 3 3 2 4 2" xfId="10327" xr:uid="{00000000-0005-0000-0000-0000602B0000}"/>
    <cellStyle name="Normal 3 2 2 2 3 3 2 4 2 2" xfId="7023" xr:uid="{00000000-0005-0000-0000-0000612B0000}"/>
    <cellStyle name="Normal 3 2 2 2 3 3 2 4 3" xfId="10330" xr:uid="{00000000-0005-0000-0000-0000622B0000}"/>
    <cellStyle name="Normal 3 2 2 2 3 3 2 5" xfId="6026" xr:uid="{00000000-0005-0000-0000-0000632B0000}"/>
    <cellStyle name="Normal 3 2 2 2 3 3 2 5 2" xfId="10415" xr:uid="{00000000-0005-0000-0000-0000642B0000}"/>
    <cellStyle name="Normal 3 2 2 2 3 3 2 6" xfId="14936" xr:uid="{00000000-0005-0000-0000-0000652B0000}"/>
    <cellStyle name="Normal 3 2 2 2 3 3 2 6 2" xfId="10507" xr:uid="{00000000-0005-0000-0000-0000662B0000}"/>
    <cellStyle name="Normal 3 2 2 2 3 3 2 7" xfId="14942" xr:uid="{00000000-0005-0000-0000-0000672B0000}"/>
    <cellStyle name="Normal 3 2 2 2 3 3 3" xfId="21910" xr:uid="{00000000-0005-0000-0000-0000682B0000}"/>
    <cellStyle name="Normal 3 2 2 2 3 3 3 2" xfId="21911" xr:uid="{00000000-0005-0000-0000-0000692B0000}"/>
    <cellStyle name="Normal 3 2 2 2 3 3 3 2 2" xfId="21913" xr:uid="{00000000-0005-0000-0000-00006A2B0000}"/>
    <cellStyle name="Normal 3 2 2 2 3 3 3 2 2 2" xfId="21914" xr:uid="{00000000-0005-0000-0000-00006B2B0000}"/>
    <cellStyle name="Normal 3 2 2 2 3 3 3 2 3" xfId="21915" xr:uid="{00000000-0005-0000-0000-00006C2B0000}"/>
    <cellStyle name="Normal 3 2 2 2 3 3 3 3" xfId="21918" xr:uid="{00000000-0005-0000-0000-00006D2B0000}"/>
    <cellStyle name="Normal 3 2 2 2 3 3 3 3 2" xfId="10632" xr:uid="{00000000-0005-0000-0000-00006E2B0000}"/>
    <cellStyle name="Normal 3 2 2 2 3 3 3 4" xfId="11289" xr:uid="{00000000-0005-0000-0000-00006F2B0000}"/>
    <cellStyle name="Normal 3 2 2 2 3 3 4" xfId="21920" xr:uid="{00000000-0005-0000-0000-0000702B0000}"/>
    <cellStyle name="Normal 3 2 2 2 3 3 4 2" xfId="21921" xr:uid="{00000000-0005-0000-0000-0000712B0000}"/>
    <cellStyle name="Normal 3 2 2 2 3 3 4 2 2" xfId="16355" xr:uid="{00000000-0005-0000-0000-0000722B0000}"/>
    <cellStyle name="Normal 3 2 2 2 3 3 4 3" xfId="21928" xr:uid="{00000000-0005-0000-0000-0000732B0000}"/>
    <cellStyle name="Normal 3 2 2 2 3 3 5" xfId="21935" xr:uid="{00000000-0005-0000-0000-0000742B0000}"/>
    <cellStyle name="Normal 3 2 2 2 3 3 5 2" xfId="21937" xr:uid="{00000000-0005-0000-0000-0000752B0000}"/>
    <cellStyle name="Normal 3 2 2 2 3 3 5 2 2" xfId="17460" xr:uid="{00000000-0005-0000-0000-0000762B0000}"/>
    <cellStyle name="Normal 3 2 2 2 3 3 5 3" xfId="21941" xr:uid="{00000000-0005-0000-0000-0000772B0000}"/>
    <cellStyle name="Normal 3 2 2 2 3 3 6" xfId="21943" xr:uid="{00000000-0005-0000-0000-0000782B0000}"/>
    <cellStyle name="Normal 3 2 2 2 3 3 6 2" xfId="21946" xr:uid="{00000000-0005-0000-0000-0000792B0000}"/>
    <cellStyle name="Normal 3 2 2 2 3 3 7" xfId="21951" xr:uid="{00000000-0005-0000-0000-00007A2B0000}"/>
    <cellStyle name="Normal 3 2 2 2 3 3 7 2" xfId="13326" xr:uid="{00000000-0005-0000-0000-00007B2B0000}"/>
    <cellStyle name="Normal 3 2 2 2 3 3 8" xfId="7919" xr:uid="{00000000-0005-0000-0000-00007C2B0000}"/>
    <cellStyle name="Normal 3 2 2 2 3 3 9" xfId="3436" xr:uid="{00000000-0005-0000-0000-00007D2B0000}"/>
    <cellStyle name="Normal 3 2 2 2 3 4" xfId="21954" xr:uid="{00000000-0005-0000-0000-00007E2B0000}"/>
    <cellStyle name="Normal 3 2 2 2 3 4 2" xfId="21955" xr:uid="{00000000-0005-0000-0000-00007F2B0000}"/>
    <cellStyle name="Normal 3 2 2 2 3 4 2 2" xfId="21961" xr:uid="{00000000-0005-0000-0000-0000802B0000}"/>
    <cellStyle name="Normal 3 2 2 2 3 4 2 2 2" xfId="21967" xr:uid="{00000000-0005-0000-0000-0000812B0000}"/>
    <cellStyle name="Normal 3 2 2 2 3 4 2 2 2 2" xfId="1642" xr:uid="{00000000-0005-0000-0000-0000822B0000}"/>
    <cellStyle name="Normal 3 2 2 2 3 4 2 2 2 2 2" xfId="21970" xr:uid="{00000000-0005-0000-0000-0000832B0000}"/>
    <cellStyle name="Normal 3 2 2 2 3 4 2 2 2 3" xfId="14995" xr:uid="{00000000-0005-0000-0000-0000842B0000}"/>
    <cellStyle name="Normal 3 2 2 2 3 4 2 2 3" xfId="21972" xr:uid="{00000000-0005-0000-0000-0000852B0000}"/>
    <cellStyle name="Normal 3 2 2 2 3 4 2 2 3 2" xfId="3256" xr:uid="{00000000-0005-0000-0000-0000862B0000}"/>
    <cellStyle name="Normal 3 2 2 2 3 4 2 2 4" xfId="21976" xr:uid="{00000000-0005-0000-0000-0000872B0000}"/>
    <cellStyle name="Normal 3 2 2 2 3 4 2 3" xfId="21985" xr:uid="{00000000-0005-0000-0000-0000882B0000}"/>
    <cellStyle name="Normal 3 2 2 2 3 4 2 3 2" xfId="10946" xr:uid="{00000000-0005-0000-0000-0000892B0000}"/>
    <cellStyle name="Normal 3 2 2 2 3 4 2 3 2 2" xfId="1477" xr:uid="{00000000-0005-0000-0000-00008A2B0000}"/>
    <cellStyle name="Normal 3 2 2 2 3 4 2 3 3" xfId="10950" xr:uid="{00000000-0005-0000-0000-00008B2B0000}"/>
    <cellStyle name="Normal 3 2 2 2 3 4 2 4" xfId="11813" xr:uid="{00000000-0005-0000-0000-00008C2B0000}"/>
    <cellStyle name="Normal 3 2 2 2 3 4 2 4 2" xfId="10985" xr:uid="{00000000-0005-0000-0000-00008D2B0000}"/>
    <cellStyle name="Normal 3 2 2 2 3 4 2 4 2 2" xfId="8086" xr:uid="{00000000-0005-0000-0000-00008E2B0000}"/>
    <cellStyle name="Normal 3 2 2 2 3 4 2 4 3" xfId="10990" xr:uid="{00000000-0005-0000-0000-00008F2B0000}"/>
    <cellStyle name="Normal 3 2 2 2 3 4 2 5" xfId="6325" xr:uid="{00000000-0005-0000-0000-0000902B0000}"/>
    <cellStyle name="Normal 3 2 2 2 3 4 2 5 2" xfId="11018" xr:uid="{00000000-0005-0000-0000-0000912B0000}"/>
    <cellStyle name="Normal 3 2 2 2 3 4 2 6" xfId="15044" xr:uid="{00000000-0005-0000-0000-0000922B0000}"/>
    <cellStyle name="Normal 3 2 2 2 3 4 2 6 2" xfId="10231" xr:uid="{00000000-0005-0000-0000-0000932B0000}"/>
    <cellStyle name="Normal 3 2 2 2 3 4 2 7" xfId="15046" xr:uid="{00000000-0005-0000-0000-0000942B0000}"/>
    <cellStyle name="Normal 3 2 2 2 3 4 3" xfId="21987" xr:uid="{00000000-0005-0000-0000-0000952B0000}"/>
    <cellStyle name="Normal 3 2 2 2 3 4 3 2" xfId="21990" xr:uid="{00000000-0005-0000-0000-0000962B0000}"/>
    <cellStyle name="Normal 3 2 2 2 3 4 3 2 2" xfId="12636" xr:uid="{00000000-0005-0000-0000-0000972B0000}"/>
    <cellStyle name="Normal 3 2 2 2 3 4 3 2 2 2" xfId="12641" xr:uid="{00000000-0005-0000-0000-0000982B0000}"/>
    <cellStyle name="Normal 3 2 2 2 3 4 3 2 3" xfId="12489" xr:uid="{00000000-0005-0000-0000-0000992B0000}"/>
    <cellStyle name="Normal 3 2 2 2 3 4 3 3" xfId="21991" xr:uid="{00000000-0005-0000-0000-00009A2B0000}"/>
    <cellStyle name="Normal 3 2 2 2 3 4 3 3 2" xfId="11142" xr:uid="{00000000-0005-0000-0000-00009B2B0000}"/>
    <cellStyle name="Normal 3 2 2 2 3 4 3 4" xfId="21992" xr:uid="{00000000-0005-0000-0000-00009C2B0000}"/>
    <cellStyle name="Normal 3 2 2 2 3 4 4" xfId="21993" xr:uid="{00000000-0005-0000-0000-00009D2B0000}"/>
    <cellStyle name="Normal 3 2 2 2 3 4 4 2" xfId="21997" xr:uid="{00000000-0005-0000-0000-00009E2B0000}"/>
    <cellStyle name="Normal 3 2 2 2 3 4 4 2 2" xfId="16416" xr:uid="{00000000-0005-0000-0000-00009F2B0000}"/>
    <cellStyle name="Normal 3 2 2 2 3 4 4 3" xfId="21999" xr:uid="{00000000-0005-0000-0000-0000A02B0000}"/>
    <cellStyle name="Normal 3 2 2 2 3 4 5" xfId="22001" xr:uid="{00000000-0005-0000-0000-0000A12B0000}"/>
    <cellStyle name="Normal 3 2 2 2 3 4 5 2" xfId="22003" xr:uid="{00000000-0005-0000-0000-0000A22B0000}"/>
    <cellStyle name="Normal 3 2 2 2 3 4 5 2 2" xfId="22004" xr:uid="{00000000-0005-0000-0000-0000A32B0000}"/>
    <cellStyle name="Normal 3 2 2 2 3 4 5 3" xfId="22005" xr:uid="{00000000-0005-0000-0000-0000A42B0000}"/>
    <cellStyle name="Normal 3 2 2 2 3 4 6" xfId="22007" xr:uid="{00000000-0005-0000-0000-0000A52B0000}"/>
    <cellStyle name="Normal 3 2 2 2 3 4 6 2" xfId="22009" xr:uid="{00000000-0005-0000-0000-0000A62B0000}"/>
    <cellStyle name="Normal 3 2 2 2 3 4 7" xfId="22010" xr:uid="{00000000-0005-0000-0000-0000A72B0000}"/>
    <cellStyle name="Normal 3 2 2 2 3 4 7 2" xfId="22011" xr:uid="{00000000-0005-0000-0000-0000A82B0000}"/>
    <cellStyle name="Normal 3 2 2 2 3 4 8" xfId="7975" xr:uid="{00000000-0005-0000-0000-0000A92B0000}"/>
    <cellStyle name="Normal 3 2 2 2 3 5" xfId="22012" xr:uid="{00000000-0005-0000-0000-0000AA2B0000}"/>
    <cellStyle name="Normal 3 2 2 2 3 5 2" xfId="22013" xr:uid="{00000000-0005-0000-0000-0000AB2B0000}"/>
    <cellStyle name="Normal 3 2 2 2 3 5 2 2" xfId="22023" xr:uid="{00000000-0005-0000-0000-0000AC2B0000}"/>
    <cellStyle name="Normal 3 2 2 2 3 5 2 2 2" xfId="22030" xr:uid="{00000000-0005-0000-0000-0000AD2B0000}"/>
    <cellStyle name="Normal 3 2 2 2 3 5 2 2 2 2" xfId="4850" xr:uid="{00000000-0005-0000-0000-0000AE2B0000}"/>
    <cellStyle name="Normal 3 2 2 2 3 5 2 2 2 2 2" xfId="14550" xr:uid="{00000000-0005-0000-0000-0000AF2B0000}"/>
    <cellStyle name="Normal 3 2 2 2 3 5 2 2 2 3" xfId="15563" xr:uid="{00000000-0005-0000-0000-0000B02B0000}"/>
    <cellStyle name="Normal 3 2 2 2 3 5 2 2 3" xfId="22031" xr:uid="{00000000-0005-0000-0000-0000B12B0000}"/>
    <cellStyle name="Normal 3 2 2 2 3 5 2 2 3 2" xfId="4583" xr:uid="{00000000-0005-0000-0000-0000B22B0000}"/>
    <cellStyle name="Normal 3 2 2 2 3 5 2 2 4" xfId="22034" xr:uid="{00000000-0005-0000-0000-0000B32B0000}"/>
    <cellStyle name="Normal 3 2 2 2 3 5 2 3" xfId="18542" xr:uid="{00000000-0005-0000-0000-0000B42B0000}"/>
    <cellStyle name="Normal 3 2 2 2 3 5 2 3 2" xfId="11346" xr:uid="{00000000-0005-0000-0000-0000B52B0000}"/>
    <cellStyle name="Normal 3 2 2 2 3 5 2 3 2 2" xfId="4921" xr:uid="{00000000-0005-0000-0000-0000B62B0000}"/>
    <cellStyle name="Normal 3 2 2 2 3 5 2 3 3" xfId="7280" xr:uid="{00000000-0005-0000-0000-0000B72B0000}"/>
    <cellStyle name="Normal 3 2 2 2 3 5 2 4" xfId="2036" xr:uid="{00000000-0005-0000-0000-0000B82B0000}"/>
    <cellStyle name="Normal 3 2 2 2 3 5 2 4 2" xfId="2064" xr:uid="{00000000-0005-0000-0000-0000B92B0000}"/>
    <cellStyle name="Normal 3 2 2 2 3 5 2 4 2 2" xfId="8736" xr:uid="{00000000-0005-0000-0000-0000BA2B0000}"/>
    <cellStyle name="Normal 3 2 2 2 3 5 2 4 3" xfId="7305" xr:uid="{00000000-0005-0000-0000-0000BB2B0000}"/>
    <cellStyle name="Normal 3 2 2 2 3 5 2 5" xfId="18552" xr:uid="{00000000-0005-0000-0000-0000BC2B0000}"/>
    <cellStyle name="Normal 3 2 2 2 3 5 2 5 2" xfId="202" xr:uid="{00000000-0005-0000-0000-0000BD2B0000}"/>
    <cellStyle name="Normal 3 2 2 2 3 5 2 6" xfId="15095" xr:uid="{00000000-0005-0000-0000-0000BE2B0000}"/>
    <cellStyle name="Normal 3 2 2 2 3 5 2 6 2" xfId="4528" xr:uid="{00000000-0005-0000-0000-0000BF2B0000}"/>
    <cellStyle name="Normal 3 2 2 2 3 5 2 7" xfId="15099" xr:uid="{00000000-0005-0000-0000-0000C02B0000}"/>
    <cellStyle name="Normal 3 2 2 2 3 5 3" xfId="22035" xr:uid="{00000000-0005-0000-0000-0000C12B0000}"/>
    <cellStyle name="Normal 3 2 2 2 3 5 3 2" xfId="22036" xr:uid="{00000000-0005-0000-0000-0000C22B0000}"/>
    <cellStyle name="Normal 3 2 2 2 3 5 3 2 2" xfId="22037" xr:uid="{00000000-0005-0000-0000-0000C32B0000}"/>
    <cellStyle name="Normal 3 2 2 2 3 5 3 2 2 2" xfId="22038" xr:uid="{00000000-0005-0000-0000-0000C42B0000}"/>
    <cellStyle name="Normal 3 2 2 2 3 5 3 2 3" xfId="22039" xr:uid="{00000000-0005-0000-0000-0000C52B0000}"/>
    <cellStyle name="Normal 3 2 2 2 3 5 3 3" xfId="18557" xr:uid="{00000000-0005-0000-0000-0000C62B0000}"/>
    <cellStyle name="Normal 3 2 2 2 3 5 3 3 2" xfId="11563" xr:uid="{00000000-0005-0000-0000-0000C72B0000}"/>
    <cellStyle name="Normal 3 2 2 2 3 5 3 4" xfId="18563" xr:uid="{00000000-0005-0000-0000-0000C82B0000}"/>
    <cellStyle name="Normal 3 2 2 2 3 5 4" xfId="22043" xr:uid="{00000000-0005-0000-0000-0000C92B0000}"/>
    <cellStyle name="Normal 3 2 2 2 3 5 4 2" xfId="22044" xr:uid="{00000000-0005-0000-0000-0000CA2B0000}"/>
    <cellStyle name="Normal 3 2 2 2 3 5 4 2 2" xfId="16470" xr:uid="{00000000-0005-0000-0000-0000CB2B0000}"/>
    <cellStyle name="Normal 3 2 2 2 3 5 4 3" xfId="18582" xr:uid="{00000000-0005-0000-0000-0000CC2B0000}"/>
    <cellStyle name="Normal 3 2 2 2 3 5 5" xfId="22046" xr:uid="{00000000-0005-0000-0000-0000CD2B0000}"/>
    <cellStyle name="Normal 3 2 2 2 3 5 5 2" xfId="22048" xr:uid="{00000000-0005-0000-0000-0000CE2B0000}"/>
    <cellStyle name="Normal 3 2 2 2 3 5 5 2 2" xfId="22049" xr:uid="{00000000-0005-0000-0000-0000CF2B0000}"/>
    <cellStyle name="Normal 3 2 2 2 3 5 5 3" xfId="18600" xr:uid="{00000000-0005-0000-0000-0000D02B0000}"/>
    <cellStyle name="Normal 3 2 2 2 3 5 6" xfId="22052" xr:uid="{00000000-0005-0000-0000-0000D12B0000}"/>
    <cellStyle name="Normal 3 2 2 2 3 5 6 2" xfId="22053" xr:uid="{00000000-0005-0000-0000-0000D22B0000}"/>
    <cellStyle name="Normal 3 2 2 2 3 5 7" xfId="22054" xr:uid="{00000000-0005-0000-0000-0000D32B0000}"/>
    <cellStyle name="Normal 3 2 2 2 3 5 7 2" xfId="22056" xr:uid="{00000000-0005-0000-0000-0000D42B0000}"/>
    <cellStyle name="Normal 3 2 2 2 3 5 8" xfId="2415" xr:uid="{00000000-0005-0000-0000-0000D52B0000}"/>
    <cellStyle name="Normal 3 2 2 2 3 6" xfId="22058" xr:uid="{00000000-0005-0000-0000-0000D62B0000}"/>
    <cellStyle name="Normal 3 2 2 2 3 6 2" xfId="22060" xr:uid="{00000000-0005-0000-0000-0000D72B0000}"/>
    <cellStyle name="Normal 3 2 2 2 3 6 2 2" xfId="22062" xr:uid="{00000000-0005-0000-0000-0000D82B0000}"/>
    <cellStyle name="Normal 3 2 2 2 3 6 2 2 2" xfId="22063" xr:uid="{00000000-0005-0000-0000-0000D92B0000}"/>
    <cellStyle name="Normal 3 2 2 2 3 6 2 2 2 2" xfId="3890" xr:uid="{00000000-0005-0000-0000-0000DA2B0000}"/>
    <cellStyle name="Normal 3 2 2 2 3 6 2 2 3" xfId="22066" xr:uid="{00000000-0005-0000-0000-0000DB2B0000}"/>
    <cellStyle name="Normal 3 2 2 2 3 6 2 3" xfId="22069" xr:uid="{00000000-0005-0000-0000-0000DC2B0000}"/>
    <cellStyle name="Normal 3 2 2 2 3 6 2 3 2" xfId="11780" xr:uid="{00000000-0005-0000-0000-0000DD2B0000}"/>
    <cellStyle name="Normal 3 2 2 2 3 6 2 4" xfId="22070" xr:uid="{00000000-0005-0000-0000-0000DE2B0000}"/>
    <cellStyle name="Normal 3 2 2 2 3 6 3" xfId="22072" xr:uid="{00000000-0005-0000-0000-0000DF2B0000}"/>
    <cellStyle name="Normal 3 2 2 2 3 6 3 2" xfId="22073" xr:uid="{00000000-0005-0000-0000-0000E02B0000}"/>
    <cellStyle name="Normal 3 2 2 2 3 6 3 2 2" xfId="22074" xr:uid="{00000000-0005-0000-0000-0000E12B0000}"/>
    <cellStyle name="Normal 3 2 2 2 3 6 3 3" xfId="22075" xr:uid="{00000000-0005-0000-0000-0000E22B0000}"/>
    <cellStyle name="Normal 3 2 2 2 3 6 4" xfId="22076" xr:uid="{00000000-0005-0000-0000-0000E32B0000}"/>
    <cellStyle name="Normal 3 2 2 2 3 6 4 2" xfId="22077" xr:uid="{00000000-0005-0000-0000-0000E42B0000}"/>
    <cellStyle name="Normal 3 2 2 2 3 6 4 2 2" xfId="15143" xr:uid="{00000000-0005-0000-0000-0000E52B0000}"/>
    <cellStyle name="Normal 3 2 2 2 3 6 4 3" xfId="22078" xr:uid="{00000000-0005-0000-0000-0000E62B0000}"/>
    <cellStyle name="Normal 3 2 2 2 3 6 5" xfId="22082" xr:uid="{00000000-0005-0000-0000-0000E72B0000}"/>
    <cellStyle name="Normal 3 2 2 2 3 6 5 2" xfId="22084" xr:uid="{00000000-0005-0000-0000-0000E82B0000}"/>
    <cellStyle name="Normal 3 2 2 2 3 6 6" xfId="22087" xr:uid="{00000000-0005-0000-0000-0000E92B0000}"/>
    <cellStyle name="Normal 3 2 2 2 3 6 6 2" xfId="22090" xr:uid="{00000000-0005-0000-0000-0000EA2B0000}"/>
    <cellStyle name="Normal 3 2 2 2 3 6 7" xfId="12569" xr:uid="{00000000-0005-0000-0000-0000EB2B0000}"/>
    <cellStyle name="Normal 3 2 2 2 3 7" xfId="19057" xr:uid="{00000000-0005-0000-0000-0000EC2B0000}"/>
    <cellStyle name="Normal 3 2 2 2 3 7 2" xfId="19061" xr:uid="{00000000-0005-0000-0000-0000ED2B0000}"/>
    <cellStyle name="Normal 3 2 2 2 3 7 2 2" xfId="19921" xr:uid="{00000000-0005-0000-0000-0000EE2B0000}"/>
    <cellStyle name="Normal 3 2 2 2 3 7 2 2 2" xfId="22091" xr:uid="{00000000-0005-0000-0000-0000EF2B0000}"/>
    <cellStyle name="Normal 3 2 2 2 3 7 2 3" xfId="18809" xr:uid="{00000000-0005-0000-0000-0000F02B0000}"/>
    <cellStyle name="Normal 3 2 2 2 3 7 3" xfId="19923" xr:uid="{00000000-0005-0000-0000-0000F12B0000}"/>
    <cellStyle name="Normal 3 2 2 2 3 7 3 2" xfId="2877" xr:uid="{00000000-0005-0000-0000-0000F22B0000}"/>
    <cellStyle name="Normal 3 2 2 2 3 7 4" xfId="19926" xr:uid="{00000000-0005-0000-0000-0000F32B0000}"/>
    <cellStyle name="Normal 3 2 2 2 3 8" xfId="19069" xr:uid="{00000000-0005-0000-0000-0000F42B0000}"/>
    <cellStyle name="Normal 3 2 2 2 3 8 2" xfId="19964" xr:uid="{00000000-0005-0000-0000-0000F52B0000}"/>
    <cellStyle name="Normal 3 2 2 2 3 8 2 2" xfId="19966" xr:uid="{00000000-0005-0000-0000-0000F62B0000}"/>
    <cellStyle name="Normal 3 2 2 2 3 8 3" xfId="10012" xr:uid="{00000000-0005-0000-0000-0000F72B0000}"/>
    <cellStyle name="Normal 3 2 2 2 3 9" xfId="4447" xr:uid="{00000000-0005-0000-0000-0000F82B0000}"/>
    <cellStyle name="Normal 3 2 2 2 3 9 2" xfId="384" xr:uid="{00000000-0005-0000-0000-0000F92B0000}"/>
    <cellStyle name="Normal 3 2 2 2 3 9 2 2" xfId="4053" xr:uid="{00000000-0005-0000-0000-0000FA2B0000}"/>
    <cellStyle name="Normal 3 2 2 2 3 9 3" xfId="4465" xr:uid="{00000000-0005-0000-0000-0000FB2B0000}"/>
    <cellStyle name="Normal 3 2 2 2 4" xfId="22092" xr:uid="{00000000-0005-0000-0000-0000FC2B0000}"/>
    <cellStyle name="Normal 3 2 2 2 4 10" xfId="9672" xr:uid="{00000000-0005-0000-0000-0000FD2B0000}"/>
    <cellStyle name="Normal 3 2 2 2 4 2" xfId="12187" xr:uid="{00000000-0005-0000-0000-0000FE2B0000}"/>
    <cellStyle name="Normal 3 2 2 2 4 2 2" xfId="22094" xr:uid="{00000000-0005-0000-0000-0000FF2B0000}"/>
    <cellStyle name="Normal 3 2 2 2 4 2 2 2" xfId="22099" xr:uid="{00000000-0005-0000-0000-0000002C0000}"/>
    <cellStyle name="Normal 3 2 2 2 4 2 2 2 2" xfId="22104" xr:uid="{00000000-0005-0000-0000-0000012C0000}"/>
    <cellStyle name="Normal 3 2 2 2 4 2 2 2 2 2" xfId="22109" xr:uid="{00000000-0005-0000-0000-0000022C0000}"/>
    <cellStyle name="Normal 3 2 2 2 4 2 2 2 2 2 2" xfId="9230" xr:uid="{00000000-0005-0000-0000-0000032C0000}"/>
    <cellStyle name="Normal 3 2 2 2 4 2 2 2 2 3" xfId="22117" xr:uid="{00000000-0005-0000-0000-0000042C0000}"/>
    <cellStyle name="Normal 3 2 2 2 4 2 2 2 3" xfId="22119" xr:uid="{00000000-0005-0000-0000-0000052C0000}"/>
    <cellStyle name="Normal 3 2 2 2 4 2 2 2 3 2" xfId="22125" xr:uid="{00000000-0005-0000-0000-0000062C0000}"/>
    <cellStyle name="Normal 3 2 2 2 4 2 2 2 4" xfId="22128" xr:uid="{00000000-0005-0000-0000-0000072C0000}"/>
    <cellStyle name="Normal 3 2 2 2 4 2 2 3" xfId="22133" xr:uid="{00000000-0005-0000-0000-0000082C0000}"/>
    <cellStyle name="Normal 3 2 2 2 4 2 2 3 2" xfId="22134" xr:uid="{00000000-0005-0000-0000-0000092C0000}"/>
    <cellStyle name="Normal 3 2 2 2 4 2 2 3 2 2" xfId="22139" xr:uid="{00000000-0005-0000-0000-00000A2C0000}"/>
    <cellStyle name="Normal 3 2 2 2 4 2 2 3 3" xfId="22143" xr:uid="{00000000-0005-0000-0000-00000B2C0000}"/>
    <cellStyle name="Normal 3 2 2 2 4 2 2 4" xfId="22147" xr:uid="{00000000-0005-0000-0000-00000C2C0000}"/>
    <cellStyle name="Normal 3 2 2 2 4 2 2 4 2" xfId="22150" xr:uid="{00000000-0005-0000-0000-00000D2C0000}"/>
    <cellStyle name="Normal 3 2 2 2 4 2 2 4 2 2" xfId="3247" xr:uid="{00000000-0005-0000-0000-00000E2C0000}"/>
    <cellStyle name="Normal 3 2 2 2 4 2 2 4 3" xfId="22152" xr:uid="{00000000-0005-0000-0000-00000F2C0000}"/>
    <cellStyle name="Normal 3 2 2 2 4 2 2 5" xfId="20931" xr:uid="{00000000-0005-0000-0000-0000102C0000}"/>
    <cellStyle name="Normal 3 2 2 2 4 2 2 5 2" xfId="20936" xr:uid="{00000000-0005-0000-0000-0000112C0000}"/>
    <cellStyle name="Normal 3 2 2 2 4 2 2 6" xfId="15421" xr:uid="{00000000-0005-0000-0000-0000122C0000}"/>
    <cellStyle name="Normal 3 2 2 2 4 2 2 6 2" xfId="15424" xr:uid="{00000000-0005-0000-0000-0000132C0000}"/>
    <cellStyle name="Normal 3 2 2 2 4 2 2 7" xfId="15427" xr:uid="{00000000-0005-0000-0000-0000142C0000}"/>
    <cellStyle name="Normal 3 2 2 2 4 2 2 8" xfId="19253" xr:uid="{00000000-0005-0000-0000-0000152C0000}"/>
    <cellStyle name="Normal 3 2 2 2 4 2 3" xfId="22154" xr:uid="{00000000-0005-0000-0000-0000162C0000}"/>
    <cellStyle name="Normal 3 2 2 2 4 2 3 2" xfId="22157" xr:uid="{00000000-0005-0000-0000-0000172C0000}"/>
    <cellStyle name="Normal 3 2 2 2 4 2 3 2 2" xfId="22159" xr:uid="{00000000-0005-0000-0000-0000182C0000}"/>
    <cellStyle name="Normal 3 2 2 2 4 2 3 2 2 2" xfId="21721" xr:uid="{00000000-0005-0000-0000-0000192C0000}"/>
    <cellStyle name="Normal 3 2 2 2 4 2 3 2 3" xfId="22164" xr:uid="{00000000-0005-0000-0000-00001A2C0000}"/>
    <cellStyle name="Normal 3 2 2 2 4 2 3 3" xfId="22167" xr:uid="{00000000-0005-0000-0000-00001B2C0000}"/>
    <cellStyle name="Normal 3 2 2 2 4 2 3 3 2" xfId="22168" xr:uid="{00000000-0005-0000-0000-00001C2C0000}"/>
    <cellStyle name="Normal 3 2 2 2 4 2 3 4" xfId="22170" xr:uid="{00000000-0005-0000-0000-00001D2C0000}"/>
    <cellStyle name="Normal 3 2 2 2 4 2 4" xfId="22173" xr:uid="{00000000-0005-0000-0000-00001E2C0000}"/>
    <cellStyle name="Normal 3 2 2 2 4 2 4 2" xfId="22176" xr:uid="{00000000-0005-0000-0000-00001F2C0000}"/>
    <cellStyle name="Normal 3 2 2 2 4 2 4 2 2" xfId="4383" xr:uid="{00000000-0005-0000-0000-0000202C0000}"/>
    <cellStyle name="Normal 3 2 2 2 4 2 4 3" xfId="22178" xr:uid="{00000000-0005-0000-0000-0000212C0000}"/>
    <cellStyle name="Normal 3 2 2 2 4 2 5" xfId="22186" xr:uid="{00000000-0005-0000-0000-0000222C0000}"/>
    <cellStyle name="Normal 3 2 2 2 4 2 5 2" xfId="22191" xr:uid="{00000000-0005-0000-0000-0000232C0000}"/>
    <cellStyle name="Normal 3 2 2 2 4 2 5 2 2" xfId="22195" xr:uid="{00000000-0005-0000-0000-0000242C0000}"/>
    <cellStyle name="Normal 3 2 2 2 4 2 5 3" xfId="22199" xr:uid="{00000000-0005-0000-0000-0000252C0000}"/>
    <cellStyle name="Normal 3 2 2 2 4 2 6" xfId="22206" xr:uid="{00000000-0005-0000-0000-0000262C0000}"/>
    <cellStyle name="Normal 3 2 2 2 4 2 6 2" xfId="22209" xr:uid="{00000000-0005-0000-0000-0000272C0000}"/>
    <cellStyle name="Normal 3 2 2 2 4 2 7" xfId="22213" xr:uid="{00000000-0005-0000-0000-0000282C0000}"/>
    <cellStyle name="Normal 3 2 2 2 4 2 7 2" xfId="22215" xr:uid="{00000000-0005-0000-0000-0000292C0000}"/>
    <cellStyle name="Normal 3 2 2 2 4 2 8" xfId="22217" xr:uid="{00000000-0005-0000-0000-00002A2C0000}"/>
    <cellStyle name="Normal 3 2 2 2 4 2 9" xfId="21674" xr:uid="{00000000-0005-0000-0000-00002B2C0000}"/>
    <cellStyle name="Normal 3 2 2 2 4 3" xfId="22218" xr:uid="{00000000-0005-0000-0000-00002C2C0000}"/>
    <cellStyle name="Normal 3 2 2 2 4 3 2" xfId="22221" xr:uid="{00000000-0005-0000-0000-00002D2C0000}"/>
    <cellStyle name="Normal 3 2 2 2 4 3 2 2" xfId="22224" xr:uid="{00000000-0005-0000-0000-00002E2C0000}"/>
    <cellStyle name="Normal 3 2 2 2 4 3 2 2 2" xfId="22225" xr:uid="{00000000-0005-0000-0000-00002F2C0000}"/>
    <cellStyle name="Normal 3 2 2 2 4 3 2 2 2 2" xfId="22228" xr:uid="{00000000-0005-0000-0000-0000302C0000}"/>
    <cellStyle name="Normal 3 2 2 2 4 3 2 2 3" xfId="22232" xr:uid="{00000000-0005-0000-0000-0000312C0000}"/>
    <cellStyle name="Normal 3 2 2 2 4 3 2 3" xfId="22235" xr:uid="{00000000-0005-0000-0000-0000322C0000}"/>
    <cellStyle name="Normal 3 2 2 2 4 3 2 3 2" xfId="22237" xr:uid="{00000000-0005-0000-0000-0000332C0000}"/>
    <cellStyle name="Normal 3 2 2 2 4 3 2 4" xfId="11839" xr:uid="{00000000-0005-0000-0000-0000342C0000}"/>
    <cellStyle name="Normal 3 2 2 2 4 3 3" xfId="22239" xr:uid="{00000000-0005-0000-0000-0000352C0000}"/>
    <cellStyle name="Normal 3 2 2 2 4 3 3 2" xfId="22240" xr:uid="{00000000-0005-0000-0000-0000362C0000}"/>
    <cellStyle name="Normal 3 2 2 2 4 3 3 2 2" xfId="22242" xr:uid="{00000000-0005-0000-0000-0000372C0000}"/>
    <cellStyle name="Normal 3 2 2 2 4 3 3 3" xfId="22243" xr:uid="{00000000-0005-0000-0000-0000382C0000}"/>
    <cellStyle name="Normal 3 2 2 2 4 3 4" xfId="22244" xr:uid="{00000000-0005-0000-0000-0000392C0000}"/>
    <cellStyle name="Normal 3 2 2 2 4 3 4 2" xfId="12694" xr:uid="{00000000-0005-0000-0000-00003A2C0000}"/>
    <cellStyle name="Normal 3 2 2 2 4 3 4 2 2" xfId="5747" xr:uid="{00000000-0005-0000-0000-00003B2C0000}"/>
    <cellStyle name="Normal 3 2 2 2 4 3 4 3" xfId="12701" xr:uid="{00000000-0005-0000-0000-00003C2C0000}"/>
    <cellStyle name="Normal 3 2 2 2 4 3 5" xfId="22246" xr:uid="{00000000-0005-0000-0000-00003D2C0000}"/>
    <cellStyle name="Normal 3 2 2 2 4 3 5 2" xfId="22248" xr:uid="{00000000-0005-0000-0000-00003E2C0000}"/>
    <cellStyle name="Normal 3 2 2 2 4 3 6" xfId="22252" xr:uid="{00000000-0005-0000-0000-00003F2C0000}"/>
    <cellStyle name="Normal 3 2 2 2 4 3 6 2" xfId="22254" xr:uid="{00000000-0005-0000-0000-0000402C0000}"/>
    <cellStyle name="Normal 3 2 2 2 4 3 7" xfId="22259" xr:uid="{00000000-0005-0000-0000-0000412C0000}"/>
    <cellStyle name="Normal 3 2 2 2 4 3 8" xfId="8035" xr:uid="{00000000-0005-0000-0000-0000422C0000}"/>
    <cellStyle name="Normal 3 2 2 2 4 4" xfId="22260" xr:uid="{00000000-0005-0000-0000-0000432C0000}"/>
    <cellStyle name="Normal 3 2 2 2 4 4 2" xfId="22263" xr:uid="{00000000-0005-0000-0000-0000442C0000}"/>
    <cellStyle name="Normal 3 2 2 2 4 4 2 2" xfId="22264" xr:uid="{00000000-0005-0000-0000-0000452C0000}"/>
    <cellStyle name="Normal 3 2 2 2 4 4 2 2 2" xfId="22268" xr:uid="{00000000-0005-0000-0000-0000462C0000}"/>
    <cellStyle name="Normal 3 2 2 2 4 4 2 3" xfId="22269" xr:uid="{00000000-0005-0000-0000-0000472C0000}"/>
    <cellStyle name="Normal 3 2 2 2 4 4 3" xfId="22270" xr:uid="{00000000-0005-0000-0000-0000482C0000}"/>
    <cellStyle name="Normal 3 2 2 2 4 4 3 2" xfId="22271" xr:uid="{00000000-0005-0000-0000-0000492C0000}"/>
    <cellStyle name="Normal 3 2 2 2 4 4 4" xfId="22272" xr:uid="{00000000-0005-0000-0000-00004A2C0000}"/>
    <cellStyle name="Normal 3 2 2 2 4 5" xfId="22273" xr:uid="{00000000-0005-0000-0000-00004B2C0000}"/>
    <cellStyle name="Normal 3 2 2 2 4 5 2" xfId="22277" xr:uid="{00000000-0005-0000-0000-00004C2C0000}"/>
    <cellStyle name="Normal 3 2 2 2 4 5 2 2" xfId="22278" xr:uid="{00000000-0005-0000-0000-00004D2C0000}"/>
    <cellStyle name="Normal 3 2 2 2 4 5 3" xfId="22279" xr:uid="{00000000-0005-0000-0000-00004E2C0000}"/>
    <cellStyle name="Normal 3 2 2 2 4 6" xfId="22281" xr:uid="{00000000-0005-0000-0000-00004F2C0000}"/>
    <cellStyle name="Normal 3 2 2 2 4 6 2" xfId="22283" xr:uid="{00000000-0005-0000-0000-0000502C0000}"/>
    <cellStyle name="Normal 3 2 2 2 4 6 2 2" xfId="22284" xr:uid="{00000000-0005-0000-0000-0000512C0000}"/>
    <cellStyle name="Normal 3 2 2 2 4 6 3" xfId="22285" xr:uid="{00000000-0005-0000-0000-0000522C0000}"/>
    <cellStyle name="Normal 3 2 2 2 4 7" xfId="19075" xr:uid="{00000000-0005-0000-0000-0000532C0000}"/>
    <cellStyle name="Normal 3 2 2 2 4 7 2" xfId="20041" xr:uid="{00000000-0005-0000-0000-0000542C0000}"/>
    <cellStyle name="Normal 3 2 2 2 4 8" xfId="22287" xr:uid="{00000000-0005-0000-0000-0000552C0000}"/>
    <cellStyle name="Normal 3 2 2 2 4 8 2" xfId="22288" xr:uid="{00000000-0005-0000-0000-0000562C0000}"/>
    <cellStyle name="Normal 3 2 2 2 4 9" xfId="4568" xr:uid="{00000000-0005-0000-0000-0000572C0000}"/>
    <cellStyle name="Normal 3 2 2 2 5" xfId="22292" xr:uid="{00000000-0005-0000-0000-0000582C0000}"/>
    <cellStyle name="Normal 3 2 2 2 5 2" xfId="22294" xr:uid="{00000000-0005-0000-0000-0000592C0000}"/>
    <cellStyle name="Normal 3 2 2 2 5 2 2" xfId="22297" xr:uid="{00000000-0005-0000-0000-00005A2C0000}"/>
    <cellStyle name="Normal 3 2 2 2 5 2 2 2" xfId="22301" xr:uid="{00000000-0005-0000-0000-00005B2C0000}"/>
    <cellStyle name="Normal 3 2 2 2 5 2 2 2 2" xfId="22302" xr:uid="{00000000-0005-0000-0000-00005C2C0000}"/>
    <cellStyle name="Normal 3 2 2 2 5 2 2 2 2 2" xfId="22303" xr:uid="{00000000-0005-0000-0000-00005D2C0000}"/>
    <cellStyle name="Normal 3 2 2 2 5 2 2 2 3" xfId="20224" xr:uid="{00000000-0005-0000-0000-00005E2C0000}"/>
    <cellStyle name="Normal 3 2 2 2 5 2 2 3" xfId="22305" xr:uid="{00000000-0005-0000-0000-00005F2C0000}"/>
    <cellStyle name="Normal 3 2 2 2 5 2 2 3 2" xfId="22306" xr:uid="{00000000-0005-0000-0000-0000602C0000}"/>
    <cellStyle name="Normal 3 2 2 2 5 2 2 4" xfId="22308" xr:uid="{00000000-0005-0000-0000-0000612C0000}"/>
    <cellStyle name="Normal 3 2 2 2 5 2 3" xfId="22311" xr:uid="{00000000-0005-0000-0000-0000622C0000}"/>
    <cellStyle name="Normal 3 2 2 2 5 2 3 2" xfId="22312" xr:uid="{00000000-0005-0000-0000-0000632C0000}"/>
    <cellStyle name="Normal 3 2 2 2 5 2 3 2 2" xfId="22313" xr:uid="{00000000-0005-0000-0000-0000642C0000}"/>
    <cellStyle name="Normal 3 2 2 2 5 2 3 3" xfId="22316" xr:uid="{00000000-0005-0000-0000-0000652C0000}"/>
    <cellStyle name="Normal 3 2 2 2 5 2 4" xfId="22319" xr:uid="{00000000-0005-0000-0000-0000662C0000}"/>
    <cellStyle name="Normal 3 2 2 2 5 2 4 2" xfId="22322" xr:uid="{00000000-0005-0000-0000-0000672C0000}"/>
    <cellStyle name="Normal 3 2 2 2 5 2 4 2 2" xfId="22325" xr:uid="{00000000-0005-0000-0000-0000682C0000}"/>
    <cellStyle name="Normal 3 2 2 2 5 2 4 3" xfId="22330" xr:uid="{00000000-0005-0000-0000-0000692C0000}"/>
    <cellStyle name="Normal 3 2 2 2 5 2 5" xfId="22337" xr:uid="{00000000-0005-0000-0000-00006A2C0000}"/>
    <cellStyle name="Normal 3 2 2 2 5 2 5 2" xfId="22344" xr:uid="{00000000-0005-0000-0000-00006B2C0000}"/>
    <cellStyle name="Normal 3 2 2 2 5 2 6" xfId="22348" xr:uid="{00000000-0005-0000-0000-00006C2C0000}"/>
    <cellStyle name="Normal 3 2 2 2 5 2 6 2" xfId="22355" xr:uid="{00000000-0005-0000-0000-00006D2C0000}"/>
    <cellStyle name="Normal 3 2 2 2 5 2 7" xfId="22107" xr:uid="{00000000-0005-0000-0000-00006E2C0000}"/>
    <cellStyle name="Normal 3 2 2 2 5 2 8" xfId="22113" xr:uid="{00000000-0005-0000-0000-00006F2C0000}"/>
    <cellStyle name="Normal 3 2 2 2 5 3" xfId="22357" xr:uid="{00000000-0005-0000-0000-0000702C0000}"/>
    <cellStyle name="Normal 3 2 2 2 5 3 2" xfId="22360" xr:uid="{00000000-0005-0000-0000-0000712C0000}"/>
    <cellStyle name="Normal 3 2 2 2 5 3 2 2" xfId="22361" xr:uid="{00000000-0005-0000-0000-0000722C0000}"/>
    <cellStyle name="Normal 3 2 2 2 5 3 2 2 2" xfId="22362" xr:uid="{00000000-0005-0000-0000-0000732C0000}"/>
    <cellStyle name="Normal 3 2 2 2 5 3 2 3" xfId="22363" xr:uid="{00000000-0005-0000-0000-0000742C0000}"/>
    <cellStyle name="Normal 3 2 2 2 5 3 3" xfId="22365" xr:uid="{00000000-0005-0000-0000-0000752C0000}"/>
    <cellStyle name="Normal 3 2 2 2 5 3 3 2" xfId="22366" xr:uid="{00000000-0005-0000-0000-0000762C0000}"/>
    <cellStyle name="Normal 3 2 2 2 5 3 4" xfId="22368" xr:uid="{00000000-0005-0000-0000-0000772C0000}"/>
    <cellStyle name="Normal 3 2 2 2 5 4" xfId="22370" xr:uid="{00000000-0005-0000-0000-0000782C0000}"/>
    <cellStyle name="Normal 3 2 2 2 5 4 2" xfId="22373" xr:uid="{00000000-0005-0000-0000-0000792C0000}"/>
    <cellStyle name="Normal 3 2 2 2 5 4 2 2" xfId="22374" xr:uid="{00000000-0005-0000-0000-00007A2C0000}"/>
    <cellStyle name="Normal 3 2 2 2 5 4 3" xfId="22375" xr:uid="{00000000-0005-0000-0000-00007B2C0000}"/>
    <cellStyle name="Normal 3 2 2 2 5 5" xfId="22376" xr:uid="{00000000-0005-0000-0000-00007C2C0000}"/>
    <cellStyle name="Normal 3 2 2 2 5 5 2" xfId="22377" xr:uid="{00000000-0005-0000-0000-00007D2C0000}"/>
    <cellStyle name="Normal 3 2 2 2 5 5 2 2" xfId="9118" xr:uid="{00000000-0005-0000-0000-00007E2C0000}"/>
    <cellStyle name="Normal 3 2 2 2 5 5 3" xfId="22378" xr:uid="{00000000-0005-0000-0000-00007F2C0000}"/>
    <cellStyle name="Normal 3 2 2 2 5 6" xfId="22380" xr:uid="{00000000-0005-0000-0000-0000802C0000}"/>
    <cellStyle name="Normal 3 2 2 2 5 6 2" xfId="22382" xr:uid="{00000000-0005-0000-0000-0000812C0000}"/>
    <cellStyle name="Normal 3 2 2 2 5 7" xfId="22385" xr:uid="{00000000-0005-0000-0000-0000822C0000}"/>
    <cellStyle name="Normal 3 2 2 2 5 7 2" xfId="19414" xr:uid="{00000000-0005-0000-0000-0000832C0000}"/>
    <cellStyle name="Normal 3 2 2 2 5 8" xfId="22388" xr:uid="{00000000-0005-0000-0000-0000842C0000}"/>
    <cellStyle name="Normal 3 2 2 2 5 9" xfId="4614" xr:uid="{00000000-0005-0000-0000-0000852C0000}"/>
    <cellStyle name="Normal 3 2 2 2 6" xfId="614" xr:uid="{00000000-0005-0000-0000-0000862C0000}"/>
    <cellStyle name="Normal 3 2 2 2 6 2" xfId="3107" xr:uid="{00000000-0005-0000-0000-0000872C0000}"/>
    <cellStyle name="Normal 3 2 2 2 6 2 2" xfId="14530" xr:uid="{00000000-0005-0000-0000-0000882C0000}"/>
    <cellStyle name="Normal 3 2 2 2 6 2 2 2" xfId="14533" xr:uid="{00000000-0005-0000-0000-0000892C0000}"/>
    <cellStyle name="Normal 3 2 2 2 6 2 2 2 2" xfId="22392" xr:uid="{00000000-0005-0000-0000-00008A2C0000}"/>
    <cellStyle name="Normal 3 2 2 2 6 2 2 2 2 2" xfId="22393" xr:uid="{00000000-0005-0000-0000-00008B2C0000}"/>
    <cellStyle name="Normal 3 2 2 2 6 2 2 2 3" xfId="22403" xr:uid="{00000000-0005-0000-0000-00008C2C0000}"/>
    <cellStyle name="Normal 3 2 2 2 6 2 2 3" xfId="22406" xr:uid="{00000000-0005-0000-0000-00008D2C0000}"/>
    <cellStyle name="Normal 3 2 2 2 6 2 2 3 2" xfId="22410" xr:uid="{00000000-0005-0000-0000-00008E2C0000}"/>
    <cellStyle name="Normal 3 2 2 2 6 2 2 4" xfId="22413" xr:uid="{00000000-0005-0000-0000-00008F2C0000}"/>
    <cellStyle name="Normal 3 2 2 2 6 2 3" xfId="14536" xr:uid="{00000000-0005-0000-0000-0000902C0000}"/>
    <cellStyle name="Normal 3 2 2 2 6 2 3 2" xfId="22415" xr:uid="{00000000-0005-0000-0000-0000912C0000}"/>
    <cellStyle name="Normal 3 2 2 2 6 2 3 2 2" xfId="22419" xr:uid="{00000000-0005-0000-0000-0000922C0000}"/>
    <cellStyle name="Normal 3 2 2 2 6 2 3 3" xfId="22423" xr:uid="{00000000-0005-0000-0000-0000932C0000}"/>
    <cellStyle name="Normal 3 2 2 2 6 2 4" xfId="14540" xr:uid="{00000000-0005-0000-0000-0000942C0000}"/>
    <cellStyle name="Normal 3 2 2 2 6 2 4 2" xfId="22426" xr:uid="{00000000-0005-0000-0000-0000952C0000}"/>
    <cellStyle name="Normal 3 2 2 2 6 2 4 2 2" xfId="22430" xr:uid="{00000000-0005-0000-0000-0000962C0000}"/>
    <cellStyle name="Normal 3 2 2 2 6 2 4 3" xfId="22435" xr:uid="{00000000-0005-0000-0000-0000972C0000}"/>
    <cellStyle name="Normal 3 2 2 2 6 2 5" xfId="22442" xr:uid="{00000000-0005-0000-0000-0000982C0000}"/>
    <cellStyle name="Normal 3 2 2 2 6 2 5 2" xfId="22444" xr:uid="{00000000-0005-0000-0000-0000992C0000}"/>
    <cellStyle name="Normal 3 2 2 2 6 2 6" xfId="22451" xr:uid="{00000000-0005-0000-0000-00009A2C0000}"/>
    <cellStyle name="Normal 3 2 2 2 6 2 6 2" xfId="22454" xr:uid="{00000000-0005-0000-0000-00009B2C0000}"/>
    <cellStyle name="Normal 3 2 2 2 6 2 7" xfId="22136" xr:uid="{00000000-0005-0000-0000-00009C2C0000}"/>
    <cellStyle name="Normal 3 2 2 2 6 2 8" xfId="13358" xr:uid="{00000000-0005-0000-0000-00009D2C0000}"/>
    <cellStyle name="Normal 3 2 2 2 6 3" xfId="22456" xr:uid="{00000000-0005-0000-0000-00009E2C0000}"/>
    <cellStyle name="Normal 3 2 2 2 6 3 2" xfId="22457" xr:uid="{00000000-0005-0000-0000-00009F2C0000}"/>
    <cellStyle name="Normal 3 2 2 2 6 3 2 2" xfId="22458" xr:uid="{00000000-0005-0000-0000-0000A02C0000}"/>
    <cellStyle name="Normal 3 2 2 2 6 3 2 2 2" xfId="22462" xr:uid="{00000000-0005-0000-0000-0000A12C0000}"/>
    <cellStyle name="Normal 3 2 2 2 6 3 2 3" xfId="22464" xr:uid="{00000000-0005-0000-0000-0000A22C0000}"/>
    <cellStyle name="Normal 3 2 2 2 6 3 3" xfId="22465" xr:uid="{00000000-0005-0000-0000-0000A32C0000}"/>
    <cellStyle name="Normal 3 2 2 2 6 3 3 2" xfId="22466" xr:uid="{00000000-0005-0000-0000-0000A42C0000}"/>
    <cellStyle name="Normal 3 2 2 2 6 3 4" xfId="22469" xr:uid="{00000000-0005-0000-0000-0000A52C0000}"/>
    <cellStyle name="Normal 3 2 2 2 6 4" xfId="22471" xr:uid="{00000000-0005-0000-0000-0000A62C0000}"/>
    <cellStyle name="Normal 3 2 2 2 6 4 2" xfId="22472" xr:uid="{00000000-0005-0000-0000-0000A72C0000}"/>
    <cellStyle name="Normal 3 2 2 2 6 4 2 2" xfId="22473" xr:uid="{00000000-0005-0000-0000-0000A82C0000}"/>
    <cellStyle name="Normal 3 2 2 2 6 4 3" xfId="22474" xr:uid="{00000000-0005-0000-0000-0000A92C0000}"/>
    <cellStyle name="Normal 3 2 2 2 6 5" xfId="22475" xr:uid="{00000000-0005-0000-0000-0000AA2C0000}"/>
    <cellStyle name="Normal 3 2 2 2 6 5 2" xfId="22476" xr:uid="{00000000-0005-0000-0000-0000AB2C0000}"/>
    <cellStyle name="Normal 3 2 2 2 6 5 2 2" xfId="10658" xr:uid="{00000000-0005-0000-0000-0000AC2C0000}"/>
    <cellStyle name="Normal 3 2 2 2 6 5 3" xfId="22477" xr:uid="{00000000-0005-0000-0000-0000AD2C0000}"/>
    <cellStyle name="Normal 3 2 2 2 6 6" xfId="22479" xr:uid="{00000000-0005-0000-0000-0000AE2C0000}"/>
    <cellStyle name="Normal 3 2 2 2 6 6 2" xfId="22480" xr:uid="{00000000-0005-0000-0000-0000AF2C0000}"/>
    <cellStyle name="Normal 3 2 2 2 6 7" xfId="22482" xr:uid="{00000000-0005-0000-0000-0000B02C0000}"/>
    <cellStyle name="Normal 3 2 2 2 6 7 2" xfId="5744" xr:uid="{00000000-0005-0000-0000-0000B12C0000}"/>
    <cellStyle name="Normal 3 2 2 2 6 8" xfId="22483" xr:uid="{00000000-0005-0000-0000-0000B22C0000}"/>
    <cellStyle name="Normal 3 2 2 2 6 9" xfId="4646" xr:uid="{00000000-0005-0000-0000-0000B32C0000}"/>
    <cellStyle name="Normal 3 2 2 2 7" xfId="7742" xr:uid="{00000000-0005-0000-0000-0000B42C0000}"/>
    <cellStyle name="Normal 3 2 2 2 7 2" xfId="5363" xr:uid="{00000000-0005-0000-0000-0000B52C0000}"/>
    <cellStyle name="Normal 3 2 2 2 7 2 2" xfId="7449" xr:uid="{00000000-0005-0000-0000-0000B62C0000}"/>
    <cellStyle name="Normal 3 2 2 2 7 2 2 2" xfId="7756" xr:uid="{00000000-0005-0000-0000-0000B72C0000}"/>
    <cellStyle name="Normal 3 2 2 2 7 2 2 2 2" xfId="2290" xr:uid="{00000000-0005-0000-0000-0000B82C0000}"/>
    <cellStyle name="Normal 3 2 2 2 7 2 2 2 2 2" xfId="2310" xr:uid="{00000000-0005-0000-0000-0000B92C0000}"/>
    <cellStyle name="Normal 3 2 2 2 7 2 2 2 3" xfId="2855" xr:uid="{00000000-0005-0000-0000-0000BA2C0000}"/>
    <cellStyle name="Normal 3 2 2 2 7 2 2 3" xfId="3140" xr:uid="{00000000-0005-0000-0000-0000BB2C0000}"/>
    <cellStyle name="Normal 3 2 2 2 7 2 2 3 2" xfId="1506" xr:uid="{00000000-0005-0000-0000-0000BC2C0000}"/>
    <cellStyle name="Normal 3 2 2 2 7 2 2 4" xfId="1647" xr:uid="{00000000-0005-0000-0000-0000BD2C0000}"/>
    <cellStyle name="Normal 3 2 2 2 7 2 3" xfId="7815" xr:uid="{00000000-0005-0000-0000-0000BE2C0000}"/>
    <cellStyle name="Normal 3 2 2 2 7 2 3 2" xfId="7820" xr:uid="{00000000-0005-0000-0000-0000BF2C0000}"/>
    <cellStyle name="Normal 3 2 2 2 7 2 3 2 2" xfId="4412" xr:uid="{00000000-0005-0000-0000-0000C02C0000}"/>
    <cellStyle name="Normal 3 2 2 2 7 2 3 3" xfId="3199" xr:uid="{00000000-0005-0000-0000-0000C12C0000}"/>
    <cellStyle name="Normal 3 2 2 2 7 2 4" xfId="7846" xr:uid="{00000000-0005-0000-0000-0000C22C0000}"/>
    <cellStyle name="Normal 3 2 2 2 7 2 4 2" xfId="7855" xr:uid="{00000000-0005-0000-0000-0000C32C0000}"/>
    <cellStyle name="Normal 3 2 2 2 7 2 4 2 2" xfId="5767" xr:uid="{00000000-0005-0000-0000-0000C42C0000}"/>
    <cellStyle name="Normal 3 2 2 2 7 2 4 3" xfId="1426" xr:uid="{00000000-0005-0000-0000-0000C52C0000}"/>
    <cellStyle name="Normal 3 2 2 2 7 2 5" xfId="7864" xr:uid="{00000000-0005-0000-0000-0000C62C0000}"/>
    <cellStyle name="Normal 3 2 2 2 7 2 5 2" xfId="7884" xr:uid="{00000000-0005-0000-0000-0000C72C0000}"/>
    <cellStyle name="Normal 3 2 2 2 7 2 6" xfId="3186" xr:uid="{00000000-0005-0000-0000-0000C82C0000}"/>
    <cellStyle name="Normal 3 2 2 2 7 2 6 2" xfId="3221" xr:uid="{00000000-0005-0000-0000-0000C92C0000}"/>
    <cellStyle name="Normal 3 2 2 2 7 2 7" xfId="3244" xr:uid="{00000000-0005-0000-0000-0000CA2C0000}"/>
    <cellStyle name="Normal 3 2 2 2 7 3" xfId="7907" xr:uid="{00000000-0005-0000-0000-0000CB2C0000}"/>
    <cellStyle name="Normal 3 2 2 2 7 3 2" xfId="7915" xr:uid="{00000000-0005-0000-0000-0000CC2C0000}"/>
    <cellStyle name="Normal 3 2 2 2 7 3 2 2" xfId="7921" xr:uid="{00000000-0005-0000-0000-0000CD2C0000}"/>
    <cellStyle name="Normal 3 2 2 2 7 3 2 2 2" xfId="6604" xr:uid="{00000000-0005-0000-0000-0000CE2C0000}"/>
    <cellStyle name="Normal 3 2 2 2 7 3 2 3" xfId="3439" xr:uid="{00000000-0005-0000-0000-0000CF2C0000}"/>
    <cellStyle name="Normal 3 2 2 2 7 3 3" xfId="3867" xr:uid="{00000000-0005-0000-0000-0000D02C0000}"/>
    <cellStyle name="Normal 3 2 2 2 7 3 3 2" xfId="7977" xr:uid="{00000000-0005-0000-0000-0000D12C0000}"/>
    <cellStyle name="Normal 3 2 2 2 7 3 4" xfId="7642" xr:uid="{00000000-0005-0000-0000-0000D22C0000}"/>
    <cellStyle name="Normal 3 2 2 2 7 4" xfId="7892" xr:uid="{00000000-0005-0000-0000-0000D32C0000}"/>
    <cellStyle name="Normal 3 2 2 2 7 4 2" xfId="8022" xr:uid="{00000000-0005-0000-0000-0000D42C0000}"/>
    <cellStyle name="Normal 3 2 2 2 7 4 2 2" xfId="8037" xr:uid="{00000000-0005-0000-0000-0000D52C0000}"/>
    <cellStyle name="Normal 3 2 2 2 7 4 3" xfId="3926" xr:uid="{00000000-0005-0000-0000-0000D62C0000}"/>
    <cellStyle name="Normal 3 2 2 2 7 5" xfId="8137" xr:uid="{00000000-0005-0000-0000-0000D72C0000}"/>
    <cellStyle name="Normal 3 2 2 2 7 5 2" xfId="8144" xr:uid="{00000000-0005-0000-0000-0000D82C0000}"/>
    <cellStyle name="Normal 3 2 2 2 7 5 2 2" xfId="8150" xr:uid="{00000000-0005-0000-0000-0000D92C0000}"/>
    <cellStyle name="Normal 3 2 2 2 7 5 3" xfId="5021" xr:uid="{00000000-0005-0000-0000-0000DA2C0000}"/>
    <cellStyle name="Normal 3 2 2 2 7 6" xfId="8236" xr:uid="{00000000-0005-0000-0000-0000DB2C0000}"/>
    <cellStyle name="Normal 3 2 2 2 7 6 2" xfId="8242" xr:uid="{00000000-0005-0000-0000-0000DC2C0000}"/>
    <cellStyle name="Normal 3 2 2 2 7 7" xfId="8273" xr:uid="{00000000-0005-0000-0000-0000DD2C0000}"/>
    <cellStyle name="Normal 3 2 2 2 7 7 2" xfId="812" xr:uid="{00000000-0005-0000-0000-0000DE2C0000}"/>
    <cellStyle name="Normal 3 2 2 2 7 8" xfId="4088" xr:uid="{00000000-0005-0000-0000-0000DF2C0000}"/>
    <cellStyle name="Normal 3 2 2 2 7 9" xfId="2043" xr:uid="{00000000-0005-0000-0000-0000E02C0000}"/>
    <cellStyle name="Normal 3 2 2 2 8" xfId="8293" xr:uid="{00000000-0005-0000-0000-0000E12C0000}"/>
    <cellStyle name="Normal 3 2 2 2 8 2" xfId="5371" xr:uid="{00000000-0005-0000-0000-0000E22C0000}"/>
    <cellStyle name="Normal 3 2 2 2 8 2 2" xfId="8302" xr:uid="{00000000-0005-0000-0000-0000E32C0000}"/>
    <cellStyle name="Normal 3 2 2 2 8 2 2 2" xfId="8304" xr:uid="{00000000-0005-0000-0000-0000E42C0000}"/>
    <cellStyle name="Normal 3 2 2 2 8 2 2 2 2" xfId="8306" xr:uid="{00000000-0005-0000-0000-0000E52C0000}"/>
    <cellStyle name="Normal 3 2 2 2 8 2 2 3" xfId="8309" xr:uid="{00000000-0005-0000-0000-0000E62C0000}"/>
    <cellStyle name="Normal 3 2 2 2 8 2 3" xfId="8312" xr:uid="{00000000-0005-0000-0000-0000E72C0000}"/>
    <cellStyle name="Normal 3 2 2 2 8 2 3 2" xfId="8314" xr:uid="{00000000-0005-0000-0000-0000E82C0000}"/>
    <cellStyle name="Normal 3 2 2 2 8 2 4" xfId="8321" xr:uid="{00000000-0005-0000-0000-0000E92C0000}"/>
    <cellStyle name="Normal 3 2 2 2 8 3" xfId="8333" xr:uid="{00000000-0005-0000-0000-0000EA2C0000}"/>
    <cellStyle name="Normal 3 2 2 2 8 3 2" xfId="8344" xr:uid="{00000000-0005-0000-0000-0000EB2C0000}"/>
    <cellStyle name="Normal 3 2 2 2 8 3 2 2" xfId="8347" xr:uid="{00000000-0005-0000-0000-0000EC2C0000}"/>
    <cellStyle name="Normal 3 2 2 2 8 3 3" xfId="5261" xr:uid="{00000000-0005-0000-0000-0000ED2C0000}"/>
    <cellStyle name="Normal 3 2 2 2 8 4" xfId="8352" xr:uid="{00000000-0005-0000-0000-0000EE2C0000}"/>
    <cellStyle name="Normal 3 2 2 2 8 4 2" xfId="8358" xr:uid="{00000000-0005-0000-0000-0000EF2C0000}"/>
    <cellStyle name="Normal 3 2 2 2 8 4 2 2" xfId="8364" xr:uid="{00000000-0005-0000-0000-0000F02C0000}"/>
    <cellStyle name="Normal 3 2 2 2 8 4 3" xfId="5278" xr:uid="{00000000-0005-0000-0000-0000F12C0000}"/>
    <cellStyle name="Normal 3 2 2 2 8 5" xfId="6261" xr:uid="{00000000-0005-0000-0000-0000F22C0000}"/>
    <cellStyle name="Normal 3 2 2 2 8 5 2" xfId="8373" xr:uid="{00000000-0005-0000-0000-0000F32C0000}"/>
    <cellStyle name="Normal 3 2 2 2 8 6" xfId="8376" xr:uid="{00000000-0005-0000-0000-0000F42C0000}"/>
    <cellStyle name="Normal 3 2 2 2 8 6 2" xfId="8380" xr:uid="{00000000-0005-0000-0000-0000F52C0000}"/>
    <cellStyle name="Normal 3 2 2 2 8 7" xfId="8388" xr:uid="{00000000-0005-0000-0000-0000F62C0000}"/>
    <cellStyle name="Normal 3 2 2 2 9" xfId="8392" xr:uid="{00000000-0005-0000-0000-0000F72C0000}"/>
    <cellStyle name="Normal 3 2 2 2 9 2" xfId="8396" xr:uid="{00000000-0005-0000-0000-0000F82C0000}"/>
    <cellStyle name="Normal 3 2 2 2 9 2 2" xfId="8414" xr:uid="{00000000-0005-0000-0000-0000F92C0000}"/>
    <cellStyle name="Normal 3 2 2 2 9 2 2 2" xfId="8418" xr:uid="{00000000-0005-0000-0000-0000FA2C0000}"/>
    <cellStyle name="Normal 3 2 2 2 9 2 3" xfId="969" xr:uid="{00000000-0005-0000-0000-0000FB2C0000}"/>
    <cellStyle name="Normal 3 2 2 2 9 3" xfId="8427" xr:uid="{00000000-0005-0000-0000-0000FC2C0000}"/>
    <cellStyle name="Normal 3 2 2 2 9 3 2" xfId="8435" xr:uid="{00000000-0005-0000-0000-0000FD2C0000}"/>
    <cellStyle name="Normal 3 2 2 2 9 4" xfId="8442" xr:uid="{00000000-0005-0000-0000-0000FE2C0000}"/>
    <cellStyle name="Normal 3 2 2 3" xfId="22484" xr:uid="{00000000-0005-0000-0000-0000FF2C0000}"/>
    <cellStyle name="Normal 3 2 2 3 10" xfId="22486" xr:uid="{00000000-0005-0000-0000-0000002D0000}"/>
    <cellStyle name="Normal 3 2 2 3 10 2" xfId="8127" xr:uid="{00000000-0005-0000-0000-0000012D0000}"/>
    <cellStyle name="Normal 3 2 2 3 10 2 2" xfId="22487" xr:uid="{00000000-0005-0000-0000-0000022D0000}"/>
    <cellStyle name="Normal 3 2 2 3 10 3" xfId="11937" xr:uid="{00000000-0005-0000-0000-0000032D0000}"/>
    <cellStyle name="Normal 3 2 2 3 11" xfId="22488" xr:uid="{00000000-0005-0000-0000-0000042D0000}"/>
    <cellStyle name="Normal 3 2 2 3 11 2" xfId="329" xr:uid="{00000000-0005-0000-0000-0000052D0000}"/>
    <cellStyle name="Normal 3 2 2 3 12" xfId="22174" xr:uid="{00000000-0005-0000-0000-0000062D0000}"/>
    <cellStyle name="Normal 3 2 2 3 12 2" xfId="4382" xr:uid="{00000000-0005-0000-0000-0000072D0000}"/>
    <cellStyle name="Normal 3 2 2 3 13" xfId="22177" xr:uid="{00000000-0005-0000-0000-0000082D0000}"/>
    <cellStyle name="Normal 3 2 2 3 13 2" xfId="217" xr:uid="{00000000-0005-0000-0000-0000092D0000}"/>
    <cellStyle name="Normal 3 2 2 3 2" xfId="2779" xr:uid="{00000000-0005-0000-0000-00000A2D0000}"/>
    <cellStyle name="Normal 3 2 2 3 3" xfId="19240" xr:uid="{00000000-0005-0000-0000-00000B2D0000}"/>
    <cellStyle name="Normal 3 2 2 3 3 2" xfId="16121" xr:uid="{00000000-0005-0000-0000-00000C2D0000}"/>
    <cellStyle name="Normal 3 2 2 3 3 2 2" xfId="16130" xr:uid="{00000000-0005-0000-0000-00000D2D0000}"/>
    <cellStyle name="Normal 3 2 2 3 3 2 2 2" xfId="53" xr:uid="{00000000-0005-0000-0000-00000E2D0000}"/>
    <cellStyle name="Normal 3 2 2 3 3 2 2 2 2" xfId="7336" xr:uid="{00000000-0005-0000-0000-00000F2D0000}"/>
    <cellStyle name="Normal 3 2 2 3 3 2 2 2 2 2" xfId="22493" xr:uid="{00000000-0005-0000-0000-0000102D0000}"/>
    <cellStyle name="Normal 3 2 2 3 3 2 2 2 2 2 2" xfId="22494" xr:uid="{00000000-0005-0000-0000-0000112D0000}"/>
    <cellStyle name="Normal 3 2 2 3 3 2 2 2 2 3" xfId="10137" xr:uid="{00000000-0005-0000-0000-0000122D0000}"/>
    <cellStyle name="Normal 3 2 2 3 3 2 2 2 3" xfId="22500" xr:uid="{00000000-0005-0000-0000-0000132D0000}"/>
    <cellStyle name="Normal 3 2 2 3 3 2 2 2 3 2" xfId="22502" xr:uid="{00000000-0005-0000-0000-0000142D0000}"/>
    <cellStyle name="Normal 3 2 2 3 3 2 2 2 4" xfId="22506" xr:uid="{00000000-0005-0000-0000-0000152D0000}"/>
    <cellStyle name="Normal 3 2 2 3 3 2 2 3" xfId="293" xr:uid="{00000000-0005-0000-0000-0000162D0000}"/>
    <cellStyle name="Normal 3 2 2 3 3 2 2 3 2" xfId="22511" xr:uid="{00000000-0005-0000-0000-0000172D0000}"/>
    <cellStyle name="Normal 3 2 2 3 3 2 2 3 2 2" xfId="22514" xr:uid="{00000000-0005-0000-0000-0000182D0000}"/>
    <cellStyle name="Normal 3 2 2 3 3 2 2 3 3" xfId="22518" xr:uid="{00000000-0005-0000-0000-0000192D0000}"/>
    <cellStyle name="Normal 3 2 2 3 3 2 2 4" xfId="10043" xr:uid="{00000000-0005-0000-0000-00001A2D0000}"/>
    <cellStyle name="Normal 3 2 2 3 3 2 2 4 2" xfId="10052" xr:uid="{00000000-0005-0000-0000-00001B2D0000}"/>
    <cellStyle name="Normal 3 2 2 3 3 2 2 4 2 2" xfId="22519" xr:uid="{00000000-0005-0000-0000-00001C2D0000}"/>
    <cellStyle name="Normal 3 2 2 3 3 2 2 4 3" xfId="22521" xr:uid="{00000000-0005-0000-0000-00001D2D0000}"/>
    <cellStyle name="Normal 3 2 2 3 3 2 2 5" xfId="10057" xr:uid="{00000000-0005-0000-0000-00001E2D0000}"/>
    <cellStyle name="Normal 3 2 2 3 3 2 2 5 2" xfId="22522" xr:uid="{00000000-0005-0000-0000-00001F2D0000}"/>
    <cellStyle name="Normal 3 2 2 3 3 2 2 6" xfId="7730" xr:uid="{00000000-0005-0000-0000-0000202D0000}"/>
    <cellStyle name="Normal 3 2 2 3 3 2 2 6 2" xfId="14368" xr:uid="{00000000-0005-0000-0000-0000212D0000}"/>
    <cellStyle name="Normal 3 2 2 3 3 2 2 7" xfId="16319" xr:uid="{00000000-0005-0000-0000-0000222D0000}"/>
    <cellStyle name="Normal 3 2 2 3 3 2 3" xfId="16137" xr:uid="{00000000-0005-0000-0000-0000232D0000}"/>
    <cellStyle name="Normal 3 2 2 3 3 2 3 2" xfId="22524" xr:uid="{00000000-0005-0000-0000-0000242D0000}"/>
    <cellStyle name="Normal 3 2 2 3 3 2 3 2 2" xfId="22529" xr:uid="{00000000-0005-0000-0000-0000252D0000}"/>
    <cellStyle name="Normal 3 2 2 3 3 2 3 2 2 2" xfId="22531" xr:uid="{00000000-0005-0000-0000-0000262D0000}"/>
    <cellStyle name="Normal 3 2 2 3 3 2 3 2 3" xfId="22533" xr:uid="{00000000-0005-0000-0000-0000272D0000}"/>
    <cellStyle name="Normal 3 2 2 3 3 2 3 3" xfId="22535" xr:uid="{00000000-0005-0000-0000-0000282D0000}"/>
    <cellStyle name="Normal 3 2 2 3 3 2 3 3 2" xfId="22536" xr:uid="{00000000-0005-0000-0000-0000292D0000}"/>
    <cellStyle name="Normal 3 2 2 3 3 2 3 4" xfId="10077" xr:uid="{00000000-0005-0000-0000-00002A2D0000}"/>
    <cellStyle name="Normal 3 2 2 3 3 2 4" xfId="22538" xr:uid="{00000000-0005-0000-0000-00002B2D0000}"/>
    <cellStyle name="Normal 3 2 2 3 3 2 4 2" xfId="22540" xr:uid="{00000000-0005-0000-0000-00002C2D0000}"/>
    <cellStyle name="Normal 3 2 2 3 3 2 4 2 2" xfId="17148" xr:uid="{00000000-0005-0000-0000-00002D2D0000}"/>
    <cellStyle name="Normal 3 2 2 3 3 2 4 3" xfId="22541" xr:uid="{00000000-0005-0000-0000-00002E2D0000}"/>
    <cellStyle name="Normal 3 2 2 3 3 2 5" xfId="22547" xr:uid="{00000000-0005-0000-0000-00002F2D0000}"/>
    <cellStyle name="Normal 3 2 2 3 3 2 5 2" xfId="22549" xr:uid="{00000000-0005-0000-0000-0000302D0000}"/>
    <cellStyle name="Normal 3 2 2 3 3 2 5 2 2" xfId="22550" xr:uid="{00000000-0005-0000-0000-0000312D0000}"/>
    <cellStyle name="Normal 3 2 2 3 3 2 5 3" xfId="22551" xr:uid="{00000000-0005-0000-0000-0000322D0000}"/>
    <cellStyle name="Normal 3 2 2 3 3 2 6" xfId="18375" xr:uid="{00000000-0005-0000-0000-0000332D0000}"/>
    <cellStyle name="Normal 3 2 2 3 3 2 6 2" xfId="22552" xr:uid="{00000000-0005-0000-0000-0000342D0000}"/>
    <cellStyle name="Normal 3 2 2 3 3 2 7" xfId="22554" xr:uid="{00000000-0005-0000-0000-0000352D0000}"/>
    <cellStyle name="Normal 3 2 2 3 3 2 7 2" xfId="22556" xr:uid="{00000000-0005-0000-0000-0000362D0000}"/>
    <cellStyle name="Normal 3 2 2 3 3 2 8" xfId="22557" xr:uid="{00000000-0005-0000-0000-0000372D0000}"/>
    <cellStyle name="Normal 3 2 2 3 3 3" xfId="16141" xr:uid="{00000000-0005-0000-0000-0000382D0000}"/>
    <cellStyle name="Normal 3 2 2 3 3 3 2" xfId="13448" xr:uid="{00000000-0005-0000-0000-0000392D0000}"/>
    <cellStyle name="Normal 3 2 2 3 3 3 2 2" xfId="22559" xr:uid="{00000000-0005-0000-0000-00003A2D0000}"/>
    <cellStyle name="Normal 3 2 2 3 3 3 2 2 2" xfId="21745" xr:uid="{00000000-0005-0000-0000-00003B2D0000}"/>
    <cellStyle name="Normal 3 2 2 3 3 3 2 2 2 2" xfId="21753" xr:uid="{00000000-0005-0000-0000-00003C2D0000}"/>
    <cellStyle name="Normal 3 2 2 3 3 3 2 2 3" xfId="21764" xr:uid="{00000000-0005-0000-0000-00003D2D0000}"/>
    <cellStyle name="Normal 3 2 2 3 3 3 2 3" xfId="13625" xr:uid="{00000000-0005-0000-0000-00003E2D0000}"/>
    <cellStyle name="Normal 3 2 2 3 3 3 2 3 2" xfId="9305" xr:uid="{00000000-0005-0000-0000-00003F2D0000}"/>
    <cellStyle name="Normal 3 2 2 3 3 3 2 4" xfId="10105" xr:uid="{00000000-0005-0000-0000-0000402D0000}"/>
    <cellStyle name="Normal 3 2 2 3 3 3 3" xfId="22560" xr:uid="{00000000-0005-0000-0000-0000412D0000}"/>
    <cellStyle name="Normal 3 2 2 3 3 3 3 2" xfId="22562" xr:uid="{00000000-0005-0000-0000-0000422D0000}"/>
    <cellStyle name="Normal 3 2 2 3 3 3 3 2 2" xfId="21817" xr:uid="{00000000-0005-0000-0000-0000432D0000}"/>
    <cellStyle name="Normal 3 2 2 3 3 3 3 3" xfId="13631" xr:uid="{00000000-0005-0000-0000-0000442D0000}"/>
    <cellStyle name="Normal 3 2 2 3 3 3 4" xfId="22564" xr:uid="{00000000-0005-0000-0000-0000452D0000}"/>
    <cellStyle name="Normal 3 2 2 3 3 3 4 2" xfId="22566" xr:uid="{00000000-0005-0000-0000-0000462D0000}"/>
    <cellStyle name="Normal 3 2 2 3 3 3 4 2 2" xfId="22567" xr:uid="{00000000-0005-0000-0000-0000472D0000}"/>
    <cellStyle name="Normal 3 2 2 3 3 3 4 3" xfId="13640" xr:uid="{00000000-0005-0000-0000-0000482D0000}"/>
    <cellStyle name="Normal 3 2 2 3 3 3 5" xfId="22569" xr:uid="{00000000-0005-0000-0000-0000492D0000}"/>
    <cellStyle name="Normal 3 2 2 3 3 3 5 2" xfId="22571" xr:uid="{00000000-0005-0000-0000-00004A2D0000}"/>
    <cellStyle name="Normal 3 2 2 3 3 3 6" xfId="22573" xr:uid="{00000000-0005-0000-0000-00004B2D0000}"/>
    <cellStyle name="Normal 3 2 2 3 3 3 6 2" xfId="22576" xr:uid="{00000000-0005-0000-0000-00004C2D0000}"/>
    <cellStyle name="Normal 3 2 2 3 3 3 7" xfId="22583" xr:uid="{00000000-0005-0000-0000-00004D2D0000}"/>
    <cellStyle name="Normal 3 2 2 3 3 4" xfId="5003" xr:uid="{00000000-0005-0000-0000-00004E2D0000}"/>
    <cellStyle name="Normal 3 2 2 3 3 4 2" xfId="10752" xr:uid="{00000000-0005-0000-0000-00004F2D0000}"/>
    <cellStyle name="Normal 3 2 2 3 3 4 2 2" xfId="22585" xr:uid="{00000000-0005-0000-0000-0000502D0000}"/>
    <cellStyle name="Normal 3 2 2 3 3 4 2 2 2" xfId="21906" xr:uid="{00000000-0005-0000-0000-0000512D0000}"/>
    <cellStyle name="Normal 3 2 2 3 3 4 2 3" xfId="13202" xr:uid="{00000000-0005-0000-0000-0000522D0000}"/>
    <cellStyle name="Normal 3 2 2 3 3 4 3" xfId="22588" xr:uid="{00000000-0005-0000-0000-0000532D0000}"/>
    <cellStyle name="Normal 3 2 2 3 3 4 3 2" xfId="22592" xr:uid="{00000000-0005-0000-0000-0000542D0000}"/>
    <cellStyle name="Normal 3 2 2 3 3 4 4" xfId="22593" xr:uid="{00000000-0005-0000-0000-0000552D0000}"/>
    <cellStyle name="Normal 3 2 2 3 3 5" xfId="5539" xr:uid="{00000000-0005-0000-0000-0000562D0000}"/>
    <cellStyle name="Normal 3 2 2 3 3 5 2" xfId="8838" xr:uid="{00000000-0005-0000-0000-0000572D0000}"/>
    <cellStyle name="Normal 3 2 2 3 3 5 2 2" xfId="8853" xr:uid="{00000000-0005-0000-0000-0000582D0000}"/>
    <cellStyle name="Normal 3 2 2 3 3 5 3" xfId="8865" xr:uid="{00000000-0005-0000-0000-0000592D0000}"/>
    <cellStyle name="Normal 3 2 2 3 3 6" xfId="10760" xr:uid="{00000000-0005-0000-0000-00005A2D0000}"/>
    <cellStyle name="Normal 3 2 2 3 3 6 2" xfId="8868" xr:uid="{00000000-0005-0000-0000-00005B2D0000}"/>
    <cellStyle name="Normal 3 2 2 3 3 6 2 2" xfId="22597" xr:uid="{00000000-0005-0000-0000-00005C2D0000}"/>
    <cellStyle name="Normal 3 2 2 3 3 6 3" xfId="22526" xr:uid="{00000000-0005-0000-0000-00005D2D0000}"/>
    <cellStyle name="Normal 3 2 2 3 3 7" xfId="9150" xr:uid="{00000000-0005-0000-0000-00005E2D0000}"/>
    <cellStyle name="Normal 3 2 2 3 3 7 2" xfId="8893" xr:uid="{00000000-0005-0000-0000-00005F2D0000}"/>
    <cellStyle name="Normal 3 2 2 3 3 8" xfId="9690" xr:uid="{00000000-0005-0000-0000-0000602D0000}"/>
    <cellStyle name="Normal 3 2 2 3 3 8 2" xfId="22598" xr:uid="{00000000-0005-0000-0000-0000612D0000}"/>
    <cellStyle name="Normal 3 2 2 3 3 9" xfId="4689" xr:uid="{00000000-0005-0000-0000-0000622D0000}"/>
    <cellStyle name="Normal 3 2 2 3 4" xfId="19242" xr:uid="{00000000-0005-0000-0000-0000632D0000}"/>
    <cellStyle name="Normal 3 2 2 3 4 2" xfId="15821" xr:uid="{00000000-0005-0000-0000-0000642D0000}"/>
    <cellStyle name="Normal 3 2 2 3 4 2 2" xfId="15831" xr:uid="{00000000-0005-0000-0000-0000652D0000}"/>
    <cellStyle name="Normal 3 2 2 3 4 2 2 2" xfId="22601" xr:uid="{00000000-0005-0000-0000-0000662D0000}"/>
    <cellStyle name="Normal 3 2 2 3 4 2 2 2 2" xfId="20177" xr:uid="{00000000-0005-0000-0000-0000672D0000}"/>
    <cellStyle name="Normal 3 2 2 3 4 2 2 2 2 2" xfId="22602" xr:uid="{00000000-0005-0000-0000-0000682D0000}"/>
    <cellStyle name="Normal 3 2 2 3 4 2 2 2 3" xfId="22605" xr:uid="{00000000-0005-0000-0000-0000692D0000}"/>
    <cellStyle name="Normal 3 2 2 3 4 2 2 3" xfId="17470" xr:uid="{00000000-0005-0000-0000-00006A2D0000}"/>
    <cellStyle name="Normal 3 2 2 3 4 2 2 3 2" xfId="17473" xr:uid="{00000000-0005-0000-0000-00006B2D0000}"/>
    <cellStyle name="Normal 3 2 2 3 4 2 2 4" xfId="10704" xr:uid="{00000000-0005-0000-0000-00006C2D0000}"/>
    <cellStyle name="Normal 3 2 2 3 4 2 3" xfId="22607" xr:uid="{00000000-0005-0000-0000-00006D2D0000}"/>
    <cellStyle name="Normal 3 2 2 3 4 2 3 2" xfId="22608" xr:uid="{00000000-0005-0000-0000-00006E2D0000}"/>
    <cellStyle name="Normal 3 2 2 3 4 2 3 2 2" xfId="22610" xr:uid="{00000000-0005-0000-0000-00006F2D0000}"/>
    <cellStyle name="Normal 3 2 2 3 4 2 3 3" xfId="21439" xr:uid="{00000000-0005-0000-0000-0000702D0000}"/>
    <cellStyle name="Normal 3 2 2 3 4 2 4" xfId="13994" xr:uid="{00000000-0005-0000-0000-0000712D0000}"/>
    <cellStyle name="Normal 3 2 2 3 4 2 4 2" xfId="22611" xr:uid="{00000000-0005-0000-0000-0000722D0000}"/>
    <cellStyle name="Normal 3 2 2 3 4 2 4 2 2" xfId="22612" xr:uid="{00000000-0005-0000-0000-0000732D0000}"/>
    <cellStyle name="Normal 3 2 2 3 4 2 4 3" xfId="21443" xr:uid="{00000000-0005-0000-0000-0000742D0000}"/>
    <cellStyle name="Normal 3 2 2 3 4 2 5" xfId="22615" xr:uid="{00000000-0005-0000-0000-0000752D0000}"/>
    <cellStyle name="Normal 3 2 2 3 4 2 5 2" xfId="16047" xr:uid="{00000000-0005-0000-0000-0000762D0000}"/>
    <cellStyle name="Normal 3 2 2 3 4 2 6" xfId="22616" xr:uid="{00000000-0005-0000-0000-0000772D0000}"/>
    <cellStyle name="Normal 3 2 2 3 4 2 6 2" xfId="16091" xr:uid="{00000000-0005-0000-0000-0000782D0000}"/>
    <cellStyle name="Normal 3 2 2 3 4 2 7" xfId="22619" xr:uid="{00000000-0005-0000-0000-0000792D0000}"/>
    <cellStyle name="Normal 3 2 2 3 4 3" xfId="15837" xr:uid="{00000000-0005-0000-0000-00007A2D0000}"/>
    <cellStyle name="Normal 3 2 2 3 4 3 2" xfId="16173" xr:uid="{00000000-0005-0000-0000-00007B2D0000}"/>
    <cellStyle name="Normal 3 2 2 3 4 3 2 2" xfId="22620" xr:uid="{00000000-0005-0000-0000-00007C2D0000}"/>
    <cellStyle name="Normal 3 2 2 3 4 3 2 2 2" xfId="22126" xr:uid="{00000000-0005-0000-0000-00007D2D0000}"/>
    <cellStyle name="Normal 3 2 2 3 4 3 2 3" xfId="13701" xr:uid="{00000000-0005-0000-0000-00007E2D0000}"/>
    <cellStyle name="Normal 3 2 2 3 4 3 3" xfId="22621" xr:uid="{00000000-0005-0000-0000-00007F2D0000}"/>
    <cellStyle name="Normal 3 2 2 3 4 3 3 2" xfId="22623" xr:uid="{00000000-0005-0000-0000-0000802D0000}"/>
    <cellStyle name="Normal 3 2 2 3 4 3 4" xfId="11514" xr:uid="{00000000-0005-0000-0000-0000812D0000}"/>
    <cellStyle name="Normal 3 2 2 3 4 4" xfId="3895" xr:uid="{00000000-0005-0000-0000-0000822D0000}"/>
    <cellStyle name="Normal 3 2 2 3 4 4 2" xfId="22627" xr:uid="{00000000-0005-0000-0000-0000832D0000}"/>
    <cellStyle name="Normal 3 2 2 3 4 4 2 2" xfId="22628" xr:uid="{00000000-0005-0000-0000-0000842D0000}"/>
    <cellStyle name="Normal 3 2 2 3 4 4 3" xfId="22629" xr:uid="{00000000-0005-0000-0000-0000852D0000}"/>
    <cellStyle name="Normal 3 2 2 3 4 5" xfId="3904" xr:uid="{00000000-0005-0000-0000-0000862D0000}"/>
    <cellStyle name="Normal 3 2 2 3 4 5 2" xfId="3910" xr:uid="{00000000-0005-0000-0000-0000872D0000}"/>
    <cellStyle name="Normal 3 2 2 3 4 5 2 2" xfId="17130" xr:uid="{00000000-0005-0000-0000-0000882D0000}"/>
    <cellStyle name="Normal 3 2 2 3 4 5 3" xfId="17137" xr:uid="{00000000-0005-0000-0000-0000892D0000}"/>
    <cellStyle name="Normal 3 2 2 3 4 6" xfId="3842" xr:uid="{00000000-0005-0000-0000-00008A2D0000}"/>
    <cellStyle name="Normal 3 2 2 3 4 6 2" xfId="3853" xr:uid="{00000000-0005-0000-0000-00008B2D0000}"/>
    <cellStyle name="Normal 3 2 2 3 4 7" xfId="3876" xr:uid="{00000000-0005-0000-0000-00008C2D0000}"/>
    <cellStyle name="Normal 3 2 2 3 4 7 2" xfId="17153" xr:uid="{00000000-0005-0000-0000-00008D2D0000}"/>
    <cellStyle name="Normal 3 2 2 3 4 8" xfId="3920" xr:uid="{00000000-0005-0000-0000-00008E2D0000}"/>
    <cellStyle name="Normal 3 2 2 3 5" xfId="19245" xr:uid="{00000000-0005-0000-0000-00008F2D0000}"/>
    <cellStyle name="Normal 3 2 2 3 5 2" xfId="15858" xr:uid="{00000000-0005-0000-0000-0000902D0000}"/>
    <cellStyle name="Normal 3 2 2 3 5 2 2" xfId="22632" xr:uid="{00000000-0005-0000-0000-0000912D0000}"/>
    <cellStyle name="Normal 3 2 2 3 5 2 2 2" xfId="22633" xr:uid="{00000000-0005-0000-0000-0000922D0000}"/>
    <cellStyle name="Normal 3 2 2 3 5 2 2 2 2" xfId="18173" xr:uid="{00000000-0005-0000-0000-0000932D0000}"/>
    <cellStyle name="Normal 3 2 2 3 5 2 2 2 2 2" xfId="10956" xr:uid="{00000000-0005-0000-0000-0000942D0000}"/>
    <cellStyle name="Normal 3 2 2 3 5 2 2 2 3" xfId="1032" xr:uid="{00000000-0005-0000-0000-0000952D0000}"/>
    <cellStyle name="Normal 3 2 2 3 5 2 2 3" xfId="17963" xr:uid="{00000000-0005-0000-0000-0000962D0000}"/>
    <cellStyle name="Normal 3 2 2 3 5 2 2 3 2" xfId="18183" xr:uid="{00000000-0005-0000-0000-0000972D0000}"/>
    <cellStyle name="Normal 3 2 2 3 5 2 2 4" xfId="11189" xr:uid="{00000000-0005-0000-0000-0000982D0000}"/>
    <cellStyle name="Normal 3 2 2 3 5 2 3" xfId="22635" xr:uid="{00000000-0005-0000-0000-0000992D0000}"/>
    <cellStyle name="Normal 3 2 2 3 5 2 3 2" xfId="22637" xr:uid="{00000000-0005-0000-0000-00009A2D0000}"/>
    <cellStyle name="Normal 3 2 2 3 5 2 3 2 2" xfId="22640" xr:uid="{00000000-0005-0000-0000-00009B2D0000}"/>
    <cellStyle name="Normal 3 2 2 3 5 2 3 3" xfId="22644" xr:uid="{00000000-0005-0000-0000-00009C2D0000}"/>
    <cellStyle name="Normal 3 2 2 3 5 2 4" xfId="22649" xr:uid="{00000000-0005-0000-0000-00009D2D0000}"/>
    <cellStyle name="Normal 3 2 2 3 5 2 4 2" xfId="22652" xr:uid="{00000000-0005-0000-0000-00009E2D0000}"/>
    <cellStyle name="Normal 3 2 2 3 5 2 4 2 2" xfId="22656" xr:uid="{00000000-0005-0000-0000-00009F2D0000}"/>
    <cellStyle name="Normal 3 2 2 3 5 2 4 3" xfId="22660" xr:uid="{00000000-0005-0000-0000-0000A02D0000}"/>
    <cellStyle name="Normal 3 2 2 3 5 2 5" xfId="21702" xr:uid="{00000000-0005-0000-0000-0000A12D0000}"/>
    <cellStyle name="Normal 3 2 2 3 5 2 5 2" xfId="16524" xr:uid="{00000000-0005-0000-0000-0000A22D0000}"/>
    <cellStyle name="Normal 3 2 2 3 5 2 6" xfId="21711" xr:uid="{00000000-0005-0000-0000-0000A32D0000}"/>
    <cellStyle name="Normal 3 2 2 3 5 2 6 2" xfId="21715" xr:uid="{00000000-0005-0000-0000-0000A42D0000}"/>
    <cellStyle name="Normal 3 2 2 3 5 2 7" xfId="21718" xr:uid="{00000000-0005-0000-0000-0000A52D0000}"/>
    <cellStyle name="Normal 3 2 2 3 5 3" xfId="16192" xr:uid="{00000000-0005-0000-0000-0000A62D0000}"/>
    <cellStyle name="Normal 3 2 2 3 5 3 2" xfId="22663" xr:uid="{00000000-0005-0000-0000-0000A72D0000}"/>
    <cellStyle name="Normal 3 2 2 3 5 3 2 2" xfId="22666" xr:uid="{00000000-0005-0000-0000-0000A82D0000}"/>
    <cellStyle name="Normal 3 2 2 3 5 3 2 2 2" xfId="22669" xr:uid="{00000000-0005-0000-0000-0000A92D0000}"/>
    <cellStyle name="Normal 3 2 2 3 5 3 2 3" xfId="22672" xr:uid="{00000000-0005-0000-0000-0000AA2D0000}"/>
    <cellStyle name="Normal 3 2 2 3 5 3 3" xfId="22675" xr:uid="{00000000-0005-0000-0000-0000AB2D0000}"/>
    <cellStyle name="Normal 3 2 2 3 5 3 3 2" xfId="16216" xr:uid="{00000000-0005-0000-0000-0000AC2D0000}"/>
    <cellStyle name="Normal 3 2 2 3 5 3 4" xfId="3422" xr:uid="{00000000-0005-0000-0000-0000AD2D0000}"/>
    <cellStyle name="Normal 3 2 2 3 5 4" xfId="22677" xr:uid="{00000000-0005-0000-0000-0000AE2D0000}"/>
    <cellStyle name="Normal 3 2 2 3 5 4 2" xfId="22679" xr:uid="{00000000-0005-0000-0000-0000AF2D0000}"/>
    <cellStyle name="Normal 3 2 2 3 5 4 2 2" xfId="12138" xr:uid="{00000000-0005-0000-0000-0000B02D0000}"/>
    <cellStyle name="Normal 3 2 2 3 5 4 3" xfId="22681" xr:uid="{00000000-0005-0000-0000-0000B12D0000}"/>
    <cellStyle name="Normal 3 2 2 3 5 5" xfId="17165" xr:uid="{00000000-0005-0000-0000-0000B22D0000}"/>
    <cellStyle name="Normal 3 2 2 3 5 5 2" xfId="17168" xr:uid="{00000000-0005-0000-0000-0000B32D0000}"/>
    <cellStyle name="Normal 3 2 2 3 5 5 2 2" xfId="16951" xr:uid="{00000000-0005-0000-0000-0000B42D0000}"/>
    <cellStyle name="Normal 3 2 2 3 5 5 3" xfId="17176" xr:uid="{00000000-0005-0000-0000-0000B52D0000}"/>
    <cellStyle name="Normal 3 2 2 3 5 6" xfId="17182" xr:uid="{00000000-0005-0000-0000-0000B62D0000}"/>
    <cellStyle name="Normal 3 2 2 3 5 6 2" xfId="17188" xr:uid="{00000000-0005-0000-0000-0000B72D0000}"/>
    <cellStyle name="Normal 3 2 2 3 5 7" xfId="9948" xr:uid="{00000000-0005-0000-0000-0000B82D0000}"/>
    <cellStyle name="Normal 3 2 2 3 5 7 2" xfId="22683" xr:uid="{00000000-0005-0000-0000-0000B92D0000}"/>
    <cellStyle name="Normal 3 2 2 3 5 8" xfId="17193" xr:uid="{00000000-0005-0000-0000-0000BA2D0000}"/>
    <cellStyle name="Normal 3 2 2 3 6" xfId="2873" xr:uid="{00000000-0005-0000-0000-0000BB2D0000}"/>
    <cellStyle name="Normal 3 2 2 3 6 2" xfId="311" xr:uid="{00000000-0005-0000-0000-0000BC2D0000}"/>
    <cellStyle name="Normal 3 2 2 3 6 2 2" xfId="9782" xr:uid="{00000000-0005-0000-0000-0000BD2D0000}"/>
    <cellStyle name="Normal 3 2 2 3 6 2 2 2" xfId="22685" xr:uid="{00000000-0005-0000-0000-0000BE2D0000}"/>
    <cellStyle name="Normal 3 2 2 3 6 2 2 2 2" xfId="22687" xr:uid="{00000000-0005-0000-0000-0000BF2D0000}"/>
    <cellStyle name="Normal 3 2 2 3 6 2 2 2 2 2" xfId="22689" xr:uid="{00000000-0005-0000-0000-0000C02D0000}"/>
    <cellStyle name="Normal 3 2 2 3 6 2 2 2 3" xfId="4038" xr:uid="{00000000-0005-0000-0000-0000C12D0000}"/>
    <cellStyle name="Normal 3 2 2 3 6 2 2 3" xfId="22693" xr:uid="{00000000-0005-0000-0000-0000C22D0000}"/>
    <cellStyle name="Normal 3 2 2 3 6 2 2 3 2" xfId="22695" xr:uid="{00000000-0005-0000-0000-0000C32D0000}"/>
    <cellStyle name="Normal 3 2 2 3 6 2 2 4" xfId="9400" xr:uid="{00000000-0005-0000-0000-0000C42D0000}"/>
    <cellStyle name="Normal 3 2 2 3 6 2 3" xfId="22697" xr:uid="{00000000-0005-0000-0000-0000C52D0000}"/>
    <cellStyle name="Normal 3 2 2 3 6 2 3 2" xfId="22699" xr:uid="{00000000-0005-0000-0000-0000C62D0000}"/>
    <cellStyle name="Normal 3 2 2 3 6 2 3 2 2" xfId="22701" xr:uid="{00000000-0005-0000-0000-0000C72D0000}"/>
    <cellStyle name="Normal 3 2 2 3 6 2 3 3" xfId="1740" xr:uid="{00000000-0005-0000-0000-0000C82D0000}"/>
    <cellStyle name="Normal 3 2 2 3 6 2 4" xfId="22703" xr:uid="{00000000-0005-0000-0000-0000C92D0000}"/>
    <cellStyle name="Normal 3 2 2 3 6 2 4 2" xfId="22706" xr:uid="{00000000-0005-0000-0000-0000CA2D0000}"/>
    <cellStyle name="Normal 3 2 2 3 6 2 4 2 2" xfId="22708" xr:uid="{00000000-0005-0000-0000-0000CB2D0000}"/>
    <cellStyle name="Normal 3 2 2 3 6 2 4 3" xfId="22709" xr:uid="{00000000-0005-0000-0000-0000CC2D0000}"/>
    <cellStyle name="Normal 3 2 2 3 6 2 5" xfId="5588" xr:uid="{00000000-0005-0000-0000-0000CD2D0000}"/>
    <cellStyle name="Normal 3 2 2 3 6 2 5 2" xfId="830" xr:uid="{00000000-0005-0000-0000-0000CE2D0000}"/>
    <cellStyle name="Normal 3 2 2 3 6 2 6" xfId="5609" xr:uid="{00000000-0005-0000-0000-0000CF2D0000}"/>
    <cellStyle name="Normal 3 2 2 3 6 2 6 2" xfId="22711" xr:uid="{00000000-0005-0000-0000-0000D02D0000}"/>
    <cellStyle name="Normal 3 2 2 3 6 2 7" xfId="22713" xr:uid="{00000000-0005-0000-0000-0000D12D0000}"/>
    <cellStyle name="Normal 3 2 2 3 6 3" xfId="9785" xr:uid="{00000000-0005-0000-0000-0000D22D0000}"/>
    <cellStyle name="Normal 3 2 2 3 6 3 2" xfId="22718" xr:uid="{00000000-0005-0000-0000-0000D32D0000}"/>
    <cellStyle name="Normal 3 2 2 3 6 3 2 2" xfId="22722" xr:uid="{00000000-0005-0000-0000-0000D42D0000}"/>
    <cellStyle name="Normal 3 2 2 3 6 3 2 2 2" xfId="22725" xr:uid="{00000000-0005-0000-0000-0000D52D0000}"/>
    <cellStyle name="Normal 3 2 2 3 6 3 2 3" xfId="22729" xr:uid="{00000000-0005-0000-0000-0000D62D0000}"/>
    <cellStyle name="Normal 3 2 2 3 6 3 3" xfId="22732" xr:uid="{00000000-0005-0000-0000-0000D72D0000}"/>
    <cellStyle name="Normal 3 2 2 3 6 3 3 2" xfId="22736" xr:uid="{00000000-0005-0000-0000-0000D82D0000}"/>
    <cellStyle name="Normal 3 2 2 3 6 3 4" xfId="22739" xr:uid="{00000000-0005-0000-0000-0000D92D0000}"/>
    <cellStyle name="Normal 3 2 2 3 6 4" xfId="568" xr:uid="{00000000-0005-0000-0000-0000DA2D0000}"/>
    <cellStyle name="Normal 3 2 2 3 6 4 2" xfId="22742" xr:uid="{00000000-0005-0000-0000-0000DB2D0000}"/>
    <cellStyle name="Normal 3 2 2 3 6 4 2 2" xfId="22745" xr:uid="{00000000-0005-0000-0000-0000DC2D0000}"/>
    <cellStyle name="Normal 3 2 2 3 6 4 3" xfId="22748" xr:uid="{00000000-0005-0000-0000-0000DD2D0000}"/>
    <cellStyle name="Normal 3 2 2 3 6 5" xfId="669" xr:uid="{00000000-0005-0000-0000-0000DE2D0000}"/>
    <cellStyle name="Normal 3 2 2 3 6 5 2" xfId="980" xr:uid="{00000000-0005-0000-0000-0000DF2D0000}"/>
    <cellStyle name="Normal 3 2 2 3 6 5 2 2" xfId="22751" xr:uid="{00000000-0005-0000-0000-0000E02D0000}"/>
    <cellStyle name="Normal 3 2 2 3 6 5 3" xfId="22754" xr:uid="{00000000-0005-0000-0000-0000E12D0000}"/>
    <cellStyle name="Normal 3 2 2 3 6 6" xfId="753" xr:uid="{00000000-0005-0000-0000-0000E22D0000}"/>
    <cellStyle name="Normal 3 2 2 3 6 6 2" xfId="22757" xr:uid="{00000000-0005-0000-0000-0000E32D0000}"/>
    <cellStyle name="Normal 3 2 2 3 6 7" xfId="22760" xr:uid="{00000000-0005-0000-0000-0000E42D0000}"/>
    <cellStyle name="Normal 3 2 2 3 6 7 2" xfId="22763" xr:uid="{00000000-0005-0000-0000-0000E52D0000}"/>
    <cellStyle name="Normal 3 2 2 3 6 8" xfId="22766" xr:uid="{00000000-0005-0000-0000-0000E62D0000}"/>
    <cellStyle name="Normal 3 2 2 3 7" xfId="993" xr:uid="{00000000-0005-0000-0000-0000E72D0000}"/>
    <cellStyle name="Normal 3 2 2 3 7 2" xfId="8547" xr:uid="{00000000-0005-0000-0000-0000E82D0000}"/>
    <cellStyle name="Normal 3 2 2 3 7 2 2" xfId="472" xr:uid="{00000000-0005-0000-0000-0000E92D0000}"/>
    <cellStyle name="Normal 3 2 2 3 7 2 2 2" xfId="8555" xr:uid="{00000000-0005-0000-0000-0000EA2D0000}"/>
    <cellStyle name="Normal 3 2 2 3 7 2 2 2 2" xfId="8562" xr:uid="{00000000-0005-0000-0000-0000EB2D0000}"/>
    <cellStyle name="Normal 3 2 2 3 7 2 2 3" xfId="4827" xr:uid="{00000000-0005-0000-0000-0000EC2D0000}"/>
    <cellStyle name="Normal 3 2 2 3 7 2 3" xfId="596" xr:uid="{00000000-0005-0000-0000-0000ED2D0000}"/>
    <cellStyle name="Normal 3 2 2 3 7 2 3 2" xfId="841" xr:uid="{00000000-0005-0000-0000-0000EE2D0000}"/>
    <cellStyle name="Normal 3 2 2 3 7 2 4" xfId="698" xr:uid="{00000000-0005-0000-0000-0000EF2D0000}"/>
    <cellStyle name="Normal 3 2 2 3 7 3" xfId="8665" xr:uid="{00000000-0005-0000-0000-0000F02D0000}"/>
    <cellStyle name="Normal 3 2 2 3 7 3 2" xfId="8668" xr:uid="{00000000-0005-0000-0000-0000F12D0000}"/>
    <cellStyle name="Normal 3 2 2 3 7 3 2 2" xfId="8674" xr:uid="{00000000-0005-0000-0000-0000F22D0000}"/>
    <cellStyle name="Normal 3 2 2 3 7 3 3" xfId="5836" xr:uid="{00000000-0005-0000-0000-0000F32D0000}"/>
    <cellStyle name="Normal 3 2 2 3 7 4" xfId="1173" xr:uid="{00000000-0005-0000-0000-0000F42D0000}"/>
    <cellStyle name="Normal 3 2 2 3 7 4 2" xfId="1199" xr:uid="{00000000-0005-0000-0000-0000F52D0000}"/>
    <cellStyle name="Normal 3 2 2 3 7 4 2 2" xfId="1213" xr:uid="{00000000-0005-0000-0000-0000F62D0000}"/>
    <cellStyle name="Normal 3 2 2 3 7 4 3" xfId="1237" xr:uid="{00000000-0005-0000-0000-0000F72D0000}"/>
    <cellStyle name="Normal 3 2 2 3 7 5" xfId="1258" xr:uid="{00000000-0005-0000-0000-0000F82D0000}"/>
    <cellStyle name="Normal 3 2 2 3 7 5 2" xfId="1279" xr:uid="{00000000-0005-0000-0000-0000F92D0000}"/>
    <cellStyle name="Normal 3 2 2 3 7 6" xfId="602" xr:uid="{00000000-0005-0000-0000-0000FA2D0000}"/>
    <cellStyle name="Normal 3 2 2 3 7 6 2" xfId="3093" xr:uid="{00000000-0005-0000-0000-0000FB2D0000}"/>
    <cellStyle name="Normal 3 2 2 3 7 7" xfId="4326" xr:uid="{00000000-0005-0000-0000-0000FC2D0000}"/>
    <cellStyle name="Normal 3 2 2 3 8" xfId="8965" xr:uid="{00000000-0005-0000-0000-0000FD2D0000}"/>
    <cellStyle name="Normal 3 2 2 3 8 2" xfId="8968" xr:uid="{00000000-0005-0000-0000-0000FE2D0000}"/>
    <cellStyle name="Normal 3 2 2 3 8 2 2" xfId="8970" xr:uid="{00000000-0005-0000-0000-0000FF2D0000}"/>
    <cellStyle name="Normal 3 2 2 3 8 2 2 2" xfId="8978" xr:uid="{00000000-0005-0000-0000-0000002E0000}"/>
    <cellStyle name="Normal 3 2 2 3 8 2 3" xfId="5942" xr:uid="{00000000-0005-0000-0000-0000012E0000}"/>
    <cellStyle name="Normal 3 2 2 3 8 3" xfId="9000" xr:uid="{00000000-0005-0000-0000-0000022E0000}"/>
    <cellStyle name="Normal 3 2 2 3 8 3 2" xfId="9003" xr:uid="{00000000-0005-0000-0000-0000032E0000}"/>
    <cellStyle name="Normal 3 2 2 3 8 4" xfId="1326" xr:uid="{00000000-0005-0000-0000-0000042E0000}"/>
    <cellStyle name="Normal 3 2 2 3 9" xfId="9017" xr:uid="{00000000-0005-0000-0000-0000052E0000}"/>
    <cellStyle name="Normal 3 2 2 3 9 2" xfId="9022" xr:uid="{00000000-0005-0000-0000-0000062E0000}"/>
    <cellStyle name="Normal 3 2 2 3 9 2 2" xfId="9029" xr:uid="{00000000-0005-0000-0000-0000072E0000}"/>
    <cellStyle name="Normal 3 2 2 3 9 3" xfId="9038" xr:uid="{00000000-0005-0000-0000-0000082E0000}"/>
    <cellStyle name="Normal 3 2 2 4" xfId="22769" xr:uid="{00000000-0005-0000-0000-0000092E0000}"/>
    <cellStyle name="Normal 3 2 2 5" xfId="22774" xr:uid="{00000000-0005-0000-0000-00000A2E0000}"/>
    <cellStyle name="Normal 3 2 2 5 2" xfId="22783" xr:uid="{00000000-0005-0000-0000-00000B2E0000}"/>
    <cellStyle name="Normal 3 2 2 5 2 2" xfId="16659" xr:uid="{00000000-0005-0000-0000-00000C2E0000}"/>
    <cellStyle name="Normal 3 2 2 5 2 2 2" xfId="21059" xr:uid="{00000000-0005-0000-0000-00000D2E0000}"/>
    <cellStyle name="Normal 3 2 2 5 2 2 2 2" xfId="22784" xr:uid="{00000000-0005-0000-0000-00000E2E0000}"/>
    <cellStyle name="Normal 3 2 2 5 2 2 2 2 2" xfId="22790" xr:uid="{00000000-0005-0000-0000-00000F2E0000}"/>
    <cellStyle name="Normal 3 2 2 5 2 2 2 2 2 2" xfId="22792" xr:uid="{00000000-0005-0000-0000-0000102E0000}"/>
    <cellStyle name="Normal 3 2 2 5 2 2 2 2 3" xfId="22799" xr:uid="{00000000-0005-0000-0000-0000112E0000}"/>
    <cellStyle name="Normal 3 2 2 5 2 2 2 3" xfId="22800" xr:uid="{00000000-0005-0000-0000-0000122E0000}"/>
    <cellStyle name="Normal 3 2 2 5 2 2 2 3 2" xfId="22805" xr:uid="{00000000-0005-0000-0000-0000132E0000}"/>
    <cellStyle name="Normal 3 2 2 5 2 2 2 4" xfId="22809" xr:uid="{00000000-0005-0000-0000-0000142E0000}"/>
    <cellStyle name="Normal 3 2 2 5 2 2 3" xfId="22810" xr:uid="{00000000-0005-0000-0000-0000152E0000}"/>
    <cellStyle name="Normal 3 2 2 5 2 2 3 2" xfId="22811" xr:uid="{00000000-0005-0000-0000-0000162E0000}"/>
    <cellStyle name="Normal 3 2 2 5 2 2 3 2 2" xfId="22812" xr:uid="{00000000-0005-0000-0000-0000172E0000}"/>
    <cellStyle name="Normal 3 2 2 5 2 2 3 3" xfId="22813" xr:uid="{00000000-0005-0000-0000-0000182E0000}"/>
    <cellStyle name="Normal 3 2 2 5 2 2 4" xfId="22818" xr:uid="{00000000-0005-0000-0000-0000192E0000}"/>
    <cellStyle name="Normal 3 2 2 5 2 2 4 2" xfId="22821" xr:uid="{00000000-0005-0000-0000-00001A2E0000}"/>
    <cellStyle name="Normal 3 2 2 5 2 2 4 2 2" xfId="22822" xr:uid="{00000000-0005-0000-0000-00001B2E0000}"/>
    <cellStyle name="Normal 3 2 2 5 2 2 4 3" xfId="22824" xr:uid="{00000000-0005-0000-0000-00001C2E0000}"/>
    <cellStyle name="Normal 3 2 2 5 2 2 5" xfId="22832" xr:uid="{00000000-0005-0000-0000-00001D2E0000}"/>
    <cellStyle name="Normal 3 2 2 5 2 2 5 2" xfId="22835" xr:uid="{00000000-0005-0000-0000-00001E2E0000}"/>
    <cellStyle name="Normal 3 2 2 5 2 2 6" xfId="22838" xr:uid="{00000000-0005-0000-0000-00001F2E0000}"/>
    <cellStyle name="Normal 3 2 2 5 2 2 6 2" xfId="17444" xr:uid="{00000000-0005-0000-0000-0000202E0000}"/>
    <cellStyle name="Normal 3 2 2 5 2 2 7" xfId="22842" xr:uid="{00000000-0005-0000-0000-0000212E0000}"/>
    <cellStyle name="Normal 3 2 2 5 2 3" xfId="16665" xr:uid="{00000000-0005-0000-0000-0000222E0000}"/>
    <cellStyle name="Normal 3 2 2 5 2 3 2" xfId="22845" xr:uid="{00000000-0005-0000-0000-0000232E0000}"/>
    <cellStyle name="Normal 3 2 2 5 2 3 2 2" xfId="20129" xr:uid="{00000000-0005-0000-0000-0000242E0000}"/>
    <cellStyle name="Normal 3 2 2 5 2 3 2 2 2" xfId="20130" xr:uid="{00000000-0005-0000-0000-0000252E0000}"/>
    <cellStyle name="Normal 3 2 2 5 2 3 2 3" xfId="20138" xr:uid="{00000000-0005-0000-0000-0000262E0000}"/>
    <cellStyle name="Normal 3 2 2 5 2 3 3" xfId="22846" xr:uid="{00000000-0005-0000-0000-0000272E0000}"/>
    <cellStyle name="Normal 3 2 2 5 2 3 3 2" xfId="20162" xr:uid="{00000000-0005-0000-0000-0000282E0000}"/>
    <cellStyle name="Normal 3 2 2 5 2 3 4" xfId="22849" xr:uid="{00000000-0005-0000-0000-0000292E0000}"/>
    <cellStyle name="Normal 3 2 2 5 2 4" xfId="22850" xr:uid="{00000000-0005-0000-0000-00002A2E0000}"/>
    <cellStyle name="Normal 3 2 2 5 2 4 2" xfId="22853" xr:uid="{00000000-0005-0000-0000-00002B2E0000}"/>
    <cellStyle name="Normal 3 2 2 5 2 4 2 2" xfId="22854" xr:uid="{00000000-0005-0000-0000-00002C2E0000}"/>
    <cellStyle name="Normal 3 2 2 5 2 4 3" xfId="22855" xr:uid="{00000000-0005-0000-0000-00002D2E0000}"/>
    <cellStyle name="Normal 3 2 2 5 2 5" xfId="22856" xr:uid="{00000000-0005-0000-0000-00002E2E0000}"/>
    <cellStyle name="Normal 3 2 2 5 2 5 2" xfId="22857" xr:uid="{00000000-0005-0000-0000-00002F2E0000}"/>
    <cellStyle name="Normal 3 2 2 5 2 5 2 2" xfId="5190" xr:uid="{00000000-0005-0000-0000-0000302E0000}"/>
    <cellStyle name="Normal 3 2 2 5 2 5 3" xfId="22860" xr:uid="{00000000-0005-0000-0000-0000312E0000}"/>
    <cellStyle name="Normal 3 2 2 5 2 6" xfId="22862" xr:uid="{00000000-0005-0000-0000-0000322E0000}"/>
    <cellStyle name="Normal 3 2 2 5 2 6 2" xfId="21897" xr:uid="{00000000-0005-0000-0000-0000332E0000}"/>
    <cellStyle name="Normal 3 2 2 5 2 7" xfId="4232" xr:uid="{00000000-0005-0000-0000-0000342E0000}"/>
    <cellStyle name="Normal 3 2 2 5 2 7 2" xfId="10281" xr:uid="{00000000-0005-0000-0000-0000352E0000}"/>
    <cellStyle name="Normal 3 2 2 5 2 8" xfId="22865" xr:uid="{00000000-0005-0000-0000-0000362E0000}"/>
    <cellStyle name="Normal 3 2 2 5 3" xfId="22869" xr:uid="{00000000-0005-0000-0000-0000372E0000}"/>
    <cellStyle name="Normal 3 2 2 5 3 2" xfId="22870" xr:uid="{00000000-0005-0000-0000-0000382E0000}"/>
    <cellStyle name="Normal 3 2 2 5 3 2 2" xfId="22871" xr:uid="{00000000-0005-0000-0000-0000392E0000}"/>
    <cellStyle name="Normal 3 2 2 5 3 2 2 2" xfId="22872" xr:uid="{00000000-0005-0000-0000-00003A2E0000}"/>
    <cellStyle name="Normal 3 2 2 5 3 2 2 2 2" xfId="22876" xr:uid="{00000000-0005-0000-0000-00003B2E0000}"/>
    <cellStyle name="Normal 3 2 2 5 3 2 2 3" xfId="22878" xr:uid="{00000000-0005-0000-0000-00003C2E0000}"/>
    <cellStyle name="Normal 3 2 2 5 3 2 3" xfId="22880" xr:uid="{00000000-0005-0000-0000-00003D2E0000}"/>
    <cellStyle name="Normal 3 2 2 5 3 2 3 2" xfId="22883" xr:uid="{00000000-0005-0000-0000-00003E2E0000}"/>
    <cellStyle name="Normal 3 2 2 5 3 2 4" xfId="22888" xr:uid="{00000000-0005-0000-0000-00003F2E0000}"/>
    <cellStyle name="Normal 3 2 2 5 3 3" xfId="22889" xr:uid="{00000000-0005-0000-0000-0000402E0000}"/>
    <cellStyle name="Normal 3 2 2 5 3 3 2" xfId="22890" xr:uid="{00000000-0005-0000-0000-0000412E0000}"/>
    <cellStyle name="Normal 3 2 2 5 3 3 2 2" xfId="22892" xr:uid="{00000000-0005-0000-0000-0000422E0000}"/>
    <cellStyle name="Normal 3 2 2 5 3 3 3" xfId="22893" xr:uid="{00000000-0005-0000-0000-0000432E0000}"/>
    <cellStyle name="Normal 3 2 2 5 3 4" xfId="22894" xr:uid="{00000000-0005-0000-0000-0000442E0000}"/>
    <cellStyle name="Normal 3 2 2 5 3 4 2" xfId="22898" xr:uid="{00000000-0005-0000-0000-0000452E0000}"/>
    <cellStyle name="Normal 3 2 2 5 3 4 2 2" xfId="22900" xr:uid="{00000000-0005-0000-0000-0000462E0000}"/>
    <cellStyle name="Normal 3 2 2 5 3 4 3" xfId="22902" xr:uid="{00000000-0005-0000-0000-0000472E0000}"/>
    <cellStyle name="Normal 3 2 2 5 3 5" xfId="22904" xr:uid="{00000000-0005-0000-0000-0000482E0000}"/>
    <cellStyle name="Normal 3 2 2 5 3 5 2" xfId="22906" xr:uid="{00000000-0005-0000-0000-0000492E0000}"/>
    <cellStyle name="Normal 3 2 2 5 3 6" xfId="22909" xr:uid="{00000000-0005-0000-0000-00004A2E0000}"/>
    <cellStyle name="Normal 3 2 2 5 3 6 2" xfId="21917" xr:uid="{00000000-0005-0000-0000-00004B2E0000}"/>
    <cellStyle name="Normal 3 2 2 5 3 7" xfId="22912" xr:uid="{00000000-0005-0000-0000-00004C2E0000}"/>
    <cellStyle name="Normal 3 2 2 5 4" xfId="22913" xr:uid="{00000000-0005-0000-0000-00004D2E0000}"/>
    <cellStyle name="Normal 3 2 2 5 4 2" xfId="22916" xr:uid="{00000000-0005-0000-0000-00004E2E0000}"/>
    <cellStyle name="Normal 3 2 2 5 4 2 2" xfId="16672" xr:uid="{00000000-0005-0000-0000-00004F2E0000}"/>
    <cellStyle name="Normal 3 2 2 5 4 2 2 2" xfId="16679" xr:uid="{00000000-0005-0000-0000-0000502E0000}"/>
    <cellStyle name="Normal 3 2 2 5 4 2 3" xfId="16685" xr:uid="{00000000-0005-0000-0000-0000512E0000}"/>
    <cellStyle name="Normal 3 2 2 5 4 3" xfId="22919" xr:uid="{00000000-0005-0000-0000-0000522E0000}"/>
    <cellStyle name="Normal 3 2 2 5 4 3 2" xfId="16762" xr:uid="{00000000-0005-0000-0000-0000532E0000}"/>
    <cellStyle name="Normal 3 2 2 5 4 4" xfId="22923" xr:uid="{00000000-0005-0000-0000-0000542E0000}"/>
    <cellStyle name="Normal 3 2 2 5 5" xfId="22927" xr:uid="{00000000-0005-0000-0000-0000552E0000}"/>
    <cellStyle name="Normal 3 2 2 5 5 2" xfId="22933" xr:uid="{00000000-0005-0000-0000-0000562E0000}"/>
    <cellStyle name="Normal 3 2 2 5 5 2 2" xfId="11276" xr:uid="{00000000-0005-0000-0000-0000572E0000}"/>
    <cellStyle name="Normal 3 2 2 5 5 3" xfId="22936" xr:uid="{00000000-0005-0000-0000-0000582E0000}"/>
    <cellStyle name="Normal 3 2 2 5 6" xfId="9800" xr:uid="{00000000-0005-0000-0000-0000592E0000}"/>
    <cellStyle name="Normal 3 2 2 5 6 2" xfId="9809" xr:uid="{00000000-0005-0000-0000-00005A2E0000}"/>
    <cellStyle name="Normal 3 2 2 5 6 2 2" xfId="22937" xr:uid="{00000000-0005-0000-0000-00005B2E0000}"/>
    <cellStyle name="Normal 3 2 2 5 6 3" xfId="22938" xr:uid="{00000000-0005-0000-0000-00005C2E0000}"/>
    <cellStyle name="Normal 3 2 2 5 7" xfId="9817" xr:uid="{00000000-0005-0000-0000-00005D2E0000}"/>
    <cellStyle name="Normal 3 2 2 5 7 2" xfId="2009" xr:uid="{00000000-0005-0000-0000-00005E2E0000}"/>
    <cellStyle name="Normal 3 2 2 5 8" xfId="18471" xr:uid="{00000000-0005-0000-0000-00005F2E0000}"/>
    <cellStyle name="Normal 3 2 2 5 8 2" xfId="2195" xr:uid="{00000000-0005-0000-0000-0000602E0000}"/>
    <cellStyle name="Normal 3 2 2 5 9" xfId="22940" xr:uid="{00000000-0005-0000-0000-0000612E0000}"/>
    <cellStyle name="Normal 3 2 2 6" xfId="22942" xr:uid="{00000000-0005-0000-0000-0000622E0000}"/>
    <cellStyle name="Normal 3 2 2 6 2" xfId="22949" xr:uid="{00000000-0005-0000-0000-0000632E0000}"/>
    <cellStyle name="Normal 3 2 2 6 2 2" xfId="22951" xr:uid="{00000000-0005-0000-0000-0000642E0000}"/>
    <cellStyle name="Normal 3 2 2 6 2 2 2" xfId="22954" xr:uid="{00000000-0005-0000-0000-0000652E0000}"/>
    <cellStyle name="Normal 3 2 2 6 2 2 2 2" xfId="22955" xr:uid="{00000000-0005-0000-0000-0000662E0000}"/>
    <cellStyle name="Normal 3 2 2 6 2 2 2 2 2" xfId="22866" xr:uid="{00000000-0005-0000-0000-0000672E0000}"/>
    <cellStyle name="Normal 3 2 2 6 2 2 2 3" xfId="9051" xr:uid="{00000000-0005-0000-0000-0000682E0000}"/>
    <cellStyle name="Normal 3 2 2 6 2 2 3" xfId="7013" xr:uid="{00000000-0005-0000-0000-0000692E0000}"/>
    <cellStyle name="Normal 3 2 2 6 2 2 3 2" xfId="13131" xr:uid="{00000000-0005-0000-0000-00006A2E0000}"/>
    <cellStyle name="Normal 3 2 2 6 2 2 4" xfId="22961" xr:uid="{00000000-0005-0000-0000-00006B2E0000}"/>
    <cellStyle name="Normal 3 2 2 6 2 3" xfId="22962" xr:uid="{00000000-0005-0000-0000-00006C2E0000}"/>
    <cellStyle name="Normal 3 2 2 6 2 3 2" xfId="22965" xr:uid="{00000000-0005-0000-0000-00006D2E0000}"/>
    <cellStyle name="Normal 3 2 2 6 2 3 2 2" xfId="1840" xr:uid="{00000000-0005-0000-0000-00006E2E0000}"/>
    <cellStyle name="Normal 3 2 2 6 2 3 3" xfId="22966" xr:uid="{00000000-0005-0000-0000-00006F2E0000}"/>
    <cellStyle name="Normal 3 2 2 6 2 4" xfId="22967" xr:uid="{00000000-0005-0000-0000-0000702E0000}"/>
    <cellStyle name="Normal 3 2 2 6 2 4 2" xfId="22968" xr:uid="{00000000-0005-0000-0000-0000712E0000}"/>
    <cellStyle name="Normal 3 2 2 6 2 4 2 2" xfId="2276" xr:uid="{00000000-0005-0000-0000-0000722E0000}"/>
    <cellStyle name="Normal 3 2 2 6 2 4 3" xfId="8195" xr:uid="{00000000-0005-0000-0000-0000732E0000}"/>
    <cellStyle name="Normal 3 2 2 6 2 5" xfId="22972" xr:uid="{00000000-0005-0000-0000-0000742E0000}"/>
    <cellStyle name="Normal 3 2 2 6 2 5 2" xfId="22973" xr:uid="{00000000-0005-0000-0000-0000752E0000}"/>
    <cellStyle name="Normal 3 2 2 6 2 6" xfId="22976" xr:uid="{00000000-0005-0000-0000-0000762E0000}"/>
    <cellStyle name="Normal 3 2 2 6 2 6 2" xfId="21974" xr:uid="{00000000-0005-0000-0000-0000772E0000}"/>
    <cellStyle name="Normal 3 2 2 6 2 7" xfId="22979" xr:uid="{00000000-0005-0000-0000-0000782E0000}"/>
    <cellStyle name="Normal 3 2 2 6 3" xfId="9054" xr:uid="{00000000-0005-0000-0000-0000792E0000}"/>
    <cellStyle name="Normal 3 2 2 6 3 2" xfId="3444" xr:uid="{00000000-0005-0000-0000-00007A2E0000}"/>
    <cellStyle name="Normal 3 2 2 6 3 2 2" xfId="22980" xr:uid="{00000000-0005-0000-0000-00007B2E0000}"/>
    <cellStyle name="Normal 3 2 2 6 3 2 2 2" xfId="22983" xr:uid="{00000000-0005-0000-0000-00007C2E0000}"/>
    <cellStyle name="Normal 3 2 2 6 3 2 3" xfId="4244" xr:uid="{00000000-0005-0000-0000-00007D2E0000}"/>
    <cellStyle name="Normal 3 2 2 6 3 3" xfId="22984" xr:uid="{00000000-0005-0000-0000-00007E2E0000}"/>
    <cellStyle name="Normal 3 2 2 6 3 3 2" xfId="22985" xr:uid="{00000000-0005-0000-0000-00007F2E0000}"/>
    <cellStyle name="Normal 3 2 2 6 3 4" xfId="22987" xr:uid="{00000000-0005-0000-0000-0000802E0000}"/>
    <cellStyle name="Normal 3 2 2 6 4" xfId="6184" xr:uid="{00000000-0005-0000-0000-0000812E0000}"/>
    <cellStyle name="Normal 3 2 2 6 4 2" xfId="22988" xr:uid="{00000000-0005-0000-0000-0000822E0000}"/>
    <cellStyle name="Normal 3 2 2 6 4 2 2" xfId="17739" xr:uid="{00000000-0005-0000-0000-0000832E0000}"/>
    <cellStyle name="Normal 3 2 2 6 4 3" xfId="22991" xr:uid="{00000000-0005-0000-0000-0000842E0000}"/>
    <cellStyle name="Normal 3 2 2 6 5" xfId="6197" xr:uid="{00000000-0005-0000-0000-0000852E0000}"/>
    <cellStyle name="Normal 3 2 2 6 5 2" xfId="22994" xr:uid="{00000000-0005-0000-0000-0000862E0000}"/>
    <cellStyle name="Normal 3 2 2 6 5 2 2" xfId="22997" xr:uid="{00000000-0005-0000-0000-0000872E0000}"/>
    <cellStyle name="Normal 3 2 2 6 5 3" xfId="23000" xr:uid="{00000000-0005-0000-0000-0000882E0000}"/>
    <cellStyle name="Normal 3 2 2 6 6" xfId="9831" xr:uid="{00000000-0005-0000-0000-0000892E0000}"/>
    <cellStyle name="Normal 3 2 2 6 6 2" xfId="23003" xr:uid="{00000000-0005-0000-0000-00008A2E0000}"/>
    <cellStyle name="Normal 3 2 2 6 7" xfId="23004" xr:uid="{00000000-0005-0000-0000-00008B2E0000}"/>
    <cellStyle name="Normal 3 2 2 6 7 2" xfId="2511" xr:uid="{00000000-0005-0000-0000-00008C2E0000}"/>
    <cellStyle name="Normal 3 2 2 6 8" xfId="19270" xr:uid="{00000000-0005-0000-0000-00008D2E0000}"/>
    <cellStyle name="Normal 3 2 2 7" xfId="23005" xr:uid="{00000000-0005-0000-0000-00008E2E0000}"/>
    <cellStyle name="Normal 3 2 2 7 2" xfId="23008" xr:uid="{00000000-0005-0000-0000-00008F2E0000}"/>
    <cellStyle name="Normal 3 2 2 7 2 2" xfId="23011" xr:uid="{00000000-0005-0000-0000-0000902E0000}"/>
    <cellStyle name="Normal 3 2 2 7 2 2 2" xfId="23015" xr:uid="{00000000-0005-0000-0000-0000912E0000}"/>
    <cellStyle name="Normal 3 2 2 7 2 2 2 2" xfId="23019" xr:uid="{00000000-0005-0000-0000-0000922E0000}"/>
    <cellStyle name="Normal 3 2 2 7 2 2 2 2 2" xfId="23020" xr:uid="{00000000-0005-0000-0000-0000932E0000}"/>
    <cellStyle name="Normal 3 2 2 7 2 2 2 3" xfId="23026" xr:uid="{00000000-0005-0000-0000-0000942E0000}"/>
    <cellStyle name="Normal 3 2 2 7 2 2 3" xfId="23031" xr:uid="{00000000-0005-0000-0000-0000952E0000}"/>
    <cellStyle name="Normal 3 2 2 7 2 2 3 2" xfId="23032" xr:uid="{00000000-0005-0000-0000-0000962E0000}"/>
    <cellStyle name="Normal 3 2 2 7 2 2 4" xfId="23033" xr:uid="{00000000-0005-0000-0000-0000972E0000}"/>
    <cellStyle name="Normal 3 2 2 7 2 3" xfId="23034" xr:uid="{00000000-0005-0000-0000-0000982E0000}"/>
    <cellStyle name="Normal 3 2 2 7 2 3 2" xfId="23038" xr:uid="{00000000-0005-0000-0000-0000992E0000}"/>
    <cellStyle name="Normal 3 2 2 7 2 3 2 2" xfId="4293" xr:uid="{00000000-0005-0000-0000-00009A2E0000}"/>
    <cellStyle name="Normal 3 2 2 7 2 3 3" xfId="23041" xr:uid="{00000000-0005-0000-0000-00009B2E0000}"/>
    <cellStyle name="Normal 3 2 2 7 2 4" xfId="23042" xr:uid="{00000000-0005-0000-0000-00009C2E0000}"/>
    <cellStyle name="Normal 3 2 2 7 2 4 2" xfId="23048" xr:uid="{00000000-0005-0000-0000-00009D2E0000}"/>
    <cellStyle name="Normal 3 2 2 7 2 4 2 2" xfId="4389" xr:uid="{00000000-0005-0000-0000-00009E2E0000}"/>
    <cellStyle name="Normal 3 2 2 7 2 4 3" xfId="23052" xr:uid="{00000000-0005-0000-0000-00009F2E0000}"/>
    <cellStyle name="Normal 3 2 2 7 2 5" xfId="23056" xr:uid="{00000000-0005-0000-0000-0000A02E0000}"/>
    <cellStyle name="Normal 3 2 2 7 2 5 2" xfId="23057" xr:uid="{00000000-0005-0000-0000-0000A12E0000}"/>
    <cellStyle name="Normal 3 2 2 7 2 6" xfId="23059" xr:uid="{00000000-0005-0000-0000-0000A22E0000}"/>
    <cellStyle name="Normal 3 2 2 7 2 6 2" xfId="22032" xr:uid="{00000000-0005-0000-0000-0000A32E0000}"/>
    <cellStyle name="Normal 3 2 2 7 2 7" xfId="23060" xr:uid="{00000000-0005-0000-0000-0000A42E0000}"/>
    <cellStyle name="Normal 3 2 2 7 3" xfId="3400" xr:uid="{00000000-0005-0000-0000-0000A52E0000}"/>
    <cellStyle name="Normal 3 2 2 7 3 2" xfId="23064" xr:uid="{00000000-0005-0000-0000-0000A62E0000}"/>
    <cellStyle name="Normal 3 2 2 7 3 2 2" xfId="23068" xr:uid="{00000000-0005-0000-0000-0000A72E0000}"/>
    <cellStyle name="Normal 3 2 2 7 3 2 2 2" xfId="21024" xr:uid="{00000000-0005-0000-0000-0000A82E0000}"/>
    <cellStyle name="Normal 3 2 2 7 3 2 3" xfId="23073" xr:uid="{00000000-0005-0000-0000-0000A92E0000}"/>
    <cellStyle name="Normal 3 2 2 7 3 3" xfId="23074" xr:uid="{00000000-0005-0000-0000-0000AA2E0000}"/>
    <cellStyle name="Normal 3 2 2 7 3 3 2" xfId="23075" xr:uid="{00000000-0005-0000-0000-0000AB2E0000}"/>
    <cellStyle name="Normal 3 2 2 7 3 4" xfId="23077" xr:uid="{00000000-0005-0000-0000-0000AC2E0000}"/>
    <cellStyle name="Normal 3 2 2 7 4" xfId="23080" xr:uid="{00000000-0005-0000-0000-0000AD2E0000}"/>
    <cellStyle name="Normal 3 2 2 7 4 2" xfId="23083" xr:uid="{00000000-0005-0000-0000-0000AE2E0000}"/>
    <cellStyle name="Normal 3 2 2 7 4 2 2" xfId="23086" xr:uid="{00000000-0005-0000-0000-0000AF2E0000}"/>
    <cellStyle name="Normal 3 2 2 7 4 3" xfId="23087" xr:uid="{00000000-0005-0000-0000-0000B02E0000}"/>
    <cellStyle name="Normal 3 2 2 7 5" xfId="23093" xr:uid="{00000000-0005-0000-0000-0000B12E0000}"/>
    <cellStyle name="Normal 3 2 2 7 5 2" xfId="23098" xr:uid="{00000000-0005-0000-0000-0000B22E0000}"/>
    <cellStyle name="Normal 3 2 2 7 5 2 2" xfId="23102" xr:uid="{00000000-0005-0000-0000-0000B32E0000}"/>
    <cellStyle name="Normal 3 2 2 7 5 3" xfId="23105" xr:uid="{00000000-0005-0000-0000-0000B42E0000}"/>
    <cellStyle name="Normal 3 2 2 7 6" xfId="9844" xr:uid="{00000000-0005-0000-0000-0000B52E0000}"/>
    <cellStyle name="Normal 3 2 2 7 6 2" xfId="11305" xr:uid="{00000000-0005-0000-0000-0000B62E0000}"/>
    <cellStyle name="Normal 3 2 2 7 7" xfId="11307" xr:uid="{00000000-0005-0000-0000-0000B72E0000}"/>
    <cellStyle name="Normal 3 2 2 7 7 2" xfId="2983" xr:uid="{00000000-0005-0000-0000-0000B82E0000}"/>
    <cellStyle name="Normal 3 2 2 7 8" xfId="14969" xr:uid="{00000000-0005-0000-0000-0000B92E0000}"/>
    <cellStyle name="Normal 3 2 2 8" xfId="23106" xr:uid="{00000000-0005-0000-0000-0000BA2E0000}"/>
    <cellStyle name="Normal 3 2 2 8 2" xfId="23107" xr:uid="{00000000-0005-0000-0000-0000BB2E0000}"/>
    <cellStyle name="Normal 3 2 2 8 2 2" xfId="23108" xr:uid="{00000000-0005-0000-0000-0000BC2E0000}"/>
    <cellStyle name="Normal 3 2 2 8 2 2 2" xfId="20922" xr:uid="{00000000-0005-0000-0000-0000BD2E0000}"/>
    <cellStyle name="Normal 3 2 2 8 2 2 2 2" xfId="23110" xr:uid="{00000000-0005-0000-0000-0000BE2E0000}"/>
    <cellStyle name="Normal 3 2 2 8 2 2 2 2 2" xfId="23112" xr:uid="{00000000-0005-0000-0000-0000BF2E0000}"/>
    <cellStyle name="Normal 3 2 2 8 2 2 2 3" xfId="23116" xr:uid="{00000000-0005-0000-0000-0000C02E0000}"/>
    <cellStyle name="Normal 3 2 2 8 2 2 3" xfId="23117" xr:uid="{00000000-0005-0000-0000-0000C12E0000}"/>
    <cellStyle name="Normal 3 2 2 8 2 2 3 2" xfId="23118" xr:uid="{00000000-0005-0000-0000-0000C22E0000}"/>
    <cellStyle name="Normal 3 2 2 8 2 2 4" xfId="23119" xr:uid="{00000000-0005-0000-0000-0000C32E0000}"/>
    <cellStyle name="Normal 3 2 2 8 2 3" xfId="23120" xr:uid="{00000000-0005-0000-0000-0000C42E0000}"/>
    <cellStyle name="Normal 3 2 2 8 2 3 2" xfId="23123" xr:uid="{00000000-0005-0000-0000-0000C52E0000}"/>
    <cellStyle name="Normal 3 2 2 8 2 3 2 2" xfId="5524" xr:uid="{00000000-0005-0000-0000-0000C62E0000}"/>
    <cellStyle name="Normal 3 2 2 8 2 3 3" xfId="23126" xr:uid="{00000000-0005-0000-0000-0000C72E0000}"/>
    <cellStyle name="Normal 3 2 2 8 2 4" xfId="8153" xr:uid="{00000000-0005-0000-0000-0000C82E0000}"/>
    <cellStyle name="Normal 3 2 2 8 2 4 2" xfId="8155" xr:uid="{00000000-0005-0000-0000-0000C92E0000}"/>
    <cellStyle name="Normal 3 2 2 8 2 4 2 2" xfId="5713" xr:uid="{00000000-0005-0000-0000-0000CA2E0000}"/>
    <cellStyle name="Normal 3 2 2 8 2 4 3" xfId="23127" xr:uid="{00000000-0005-0000-0000-0000CB2E0000}"/>
    <cellStyle name="Normal 3 2 2 8 2 5" xfId="8157" xr:uid="{00000000-0005-0000-0000-0000CC2E0000}"/>
    <cellStyle name="Normal 3 2 2 8 2 5 2" xfId="23128" xr:uid="{00000000-0005-0000-0000-0000CD2E0000}"/>
    <cellStyle name="Normal 3 2 2 8 2 6" xfId="23130" xr:uid="{00000000-0005-0000-0000-0000CE2E0000}"/>
    <cellStyle name="Normal 3 2 2 8 2 6 2" xfId="22067" xr:uid="{00000000-0005-0000-0000-0000CF2E0000}"/>
    <cellStyle name="Normal 3 2 2 8 2 7" xfId="23131" xr:uid="{00000000-0005-0000-0000-0000D02E0000}"/>
    <cellStyle name="Normal 3 2 2 8 3" xfId="9060" xr:uid="{00000000-0005-0000-0000-0000D12E0000}"/>
    <cellStyle name="Normal 3 2 2 8 3 2" xfId="23138" xr:uid="{00000000-0005-0000-0000-0000D22E0000}"/>
    <cellStyle name="Normal 3 2 2 8 3 2 2" xfId="20990" xr:uid="{00000000-0005-0000-0000-0000D32E0000}"/>
    <cellStyle name="Normal 3 2 2 8 3 2 2 2" xfId="23144" xr:uid="{00000000-0005-0000-0000-0000D42E0000}"/>
    <cellStyle name="Normal 3 2 2 8 3 2 3" xfId="23151" xr:uid="{00000000-0005-0000-0000-0000D52E0000}"/>
    <cellStyle name="Normal 3 2 2 8 3 3" xfId="23152" xr:uid="{00000000-0005-0000-0000-0000D62E0000}"/>
    <cellStyle name="Normal 3 2 2 8 3 3 2" xfId="23153" xr:uid="{00000000-0005-0000-0000-0000D72E0000}"/>
    <cellStyle name="Normal 3 2 2 8 3 4" xfId="8168" xr:uid="{00000000-0005-0000-0000-0000D82E0000}"/>
    <cellStyle name="Normal 3 2 2 8 4" xfId="23154" xr:uid="{00000000-0005-0000-0000-0000D92E0000}"/>
    <cellStyle name="Normal 3 2 2 8 4 2" xfId="23157" xr:uid="{00000000-0005-0000-0000-0000DA2E0000}"/>
    <cellStyle name="Normal 3 2 2 8 4 2 2" xfId="14844" xr:uid="{00000000-0005-0000-0000-0000DB2E0000}"/>
    <cellStyle name="Normal 3 2 2 8 4 3" xfId="23158" xr:uid="{00000000-0005-0000-0000-0000DC2E0000}"/>
    <cellStyle name="Normal 3 2 2 8 5" xfId="23164" xr:uid="{00000000-0005-0000-0000-0000DD2E0000}"/>
    <cellStyle name="Normal 3 2 2 8 5 2" xfId="23167" xr:uid="{00000000-0005-0000-0000-0000DE2E0000}"/>
    <cellStyle name="Normal 3 2 2 8 5 2 2" xfId="15456" xr:uid="{00000000-0005-0000-0000-0000DF2E0000}"/>
    <cellStyle name="Normal 3 2 2 8 5 3" xfId="23170" xr:uid="{00000000-0005-0000-0000-0000E02E0000}"/>
    <cellStyle name="Normal 3 2 2 8 6" xfId="11311" xr:uid="{00000000-0005-0000-0000-0000E12E0000}"/>
    <cellStyle name="Normal 3 2 2 8 6 2" xfId="10795" xr:uid="{00000000-0005-0000-0000-0000E22E0000}"/>
    <cellStyle name="Normal 3 2 2 8 7" xfId="23171" xr:uid="{00000000-0005-0000-0000-0000E32E0000}"/>
    <cellStyle name="Normal 3 2 2 8 7 2" xfId="1451" xr:uid="{00000000-0005-0000-0000-0000E42E0000}"/>
    <cellStyle name="Normal 3 2 2 8 8" xfId="15034" xr:uid="{00000000-0005-0000-0000-0000E52E0000}"/>
    <cellStyle name="Normal 3 2 2 9" xfId="22304" xr:uid="{00000000-0005-0000-0000-0000E62E0000}"/>
    <cellStyle name="Normal 3 2 2 9 2" xfId="23174" xr:uid="{00000000-0005-0000-0000-0000E72E0000}"/>
    <cellStyle name="Normal 3 2 2 9 2 2" xfId="23177" xr:uid="{00000000-0005-0000-0000-0000E82E0000}"/>
    <cellStyle name="Normal 3 2 2 9 2 2 2" xfId="587" xr:uid="{00000000-0005-0000-0000-0000E92E0000}"/>
    <cellStyle name="Normal 3 2 2 9 2 2 2 2" xfId="23178" xr:uid="{00000000-0005-0000-0000-0000EA2E0000}"/>
    <cellStyle name="Normal 3 2 2 9 2 2 3" xfId="23179" xr:uid="{00000000-0005-0000-0000-0000EB2E0000}"/>
    <cellStyle name="Normal 3 2 2 9 2 3" xfId="22971" xr:uid="{00000000-0005-0000-0000-0000EC2E0000}"/>
    <cellStyle name="Normal 3 2 2 9 2 3 2" xfId="2277" xr:uid="{00000000-0005-0000-0000-0000ED2E0000}"/>
    <cellStyle name="Normal 3 2 2 9 2 4" xfId="8193" xr:uid="{00000000-0005-0000-0000-0000EE2E0000}"/>
    <cellStyle name="Normal 3 2 2 9 3" xfId="23184" xr:uid="{00000000-0005-0000-0000-0000EF2E0000}"/>
    <cellStyle name="Normal 3 2 2 9 3 2" xfId="23187" xr:uid="{00000000-0005-0000-0000-0000F02E0000}"/>
    <cellStyle name="Normal 3 2 2 9 3 2 2" xfId="618" xr:uid="{00000000-0005-0000-0000-0000F12E0000}"/>
    <cellStyle name="Normal 3 2 2 9 3 3" xfId="22974" xr:uid="{00000000-0005-0000-0000-0000F22E0000}"/>
    <cellStyle name="Normal 3 2 2 9 4" xfId="21960" xr:uid="{00000000-0005-0000-0000-0000F32E0000}"/>
    <cellStyle name="Normal 3 2 2 9 4 2" xfId="21966" xr:uid="{00000000-0005-0000-0000-0000F42E0000}"/>
    <cellStyle name="Normal 3 2 2 9 4 2 2" xfId="1641" xr:uid="{00000000-0005-0000-0000-0000F52E0000}"/>
    <cellStyle name="Normal 3 2 2 9 4 3" xfId="21971" xr:uid="{00000000-0005-0000-0000-0000F62E0000}"/>
    <cellStyle name="Normal 3 2 2 9 5" xfId="21984" xr:uid="{00000000-0005-0000-0000-0000F72E0000}"/>
    <cellStyle name="Normal 3 2 2 9 5 2" xfId="10945" xr:uid="{00000000-0005-0000-0000-0000F82E0000}"/>
    <cellStyle name="Normal 3 2 2 9 6" xfId="11812" xr:uid="{00000000-0005-0000-0000-0000F92E0000}"/>
    <cellStyle name="Normal 3 2 2 9 6 2" xfId="10984" xr:uid="{00000000-0005-0000-0000-0000FA2E0000}"/>
    <cellStyle name="Normal 3 2 2 9 7" xfId="6324" xr:uid="{00000000-0005-0000-0000-0000FB2E0000}"/>
    <cellStyle name="Normal 3 2 3" xfId="21618" xr:uid="{00000000-0005-0000-0000-0000FC2E0000}"/>
    <cellStyle name="Normal 3 2 3 10" xfId="23188" xr:uid="{00000000-0005-0000-0000-0000FD2E0000}"/>
    <cellStyle name="Normal 3 2 3 10 2" xfId="23189" xr:uid="{00000000-0005-0000-0000-0000FE2E0000}"/>
    <cellStyle name="Normal 3 2 3 10 2 2" xfId="23190" xr:uid="{00000000-0005-0000-0000-0000FF2E0000}"/>
    <cellStyle name="Normal 3 2 3 10 3" xfId="23191" xr:uid="{00000000-0005-0000-0000-0000002F0000}"/>
    <cellStyle name="Normal 3 2 3 11" xfId="23192" xr:uid="{00000000-0005-0000-0000-0000012F0000}"/>
    <cellStyle name="Normal 3 2 3 11 2" xfId="23193" xr:uid="{00000000-0005-0000-0000-0000022F0000}"/>
    <cellStyle name="Normal 3 2 3 11 2 2" xfId="6767" xr:uid="{00000000-0005-0000-0000-0000032F0000}"/>
    <cellStyle name="Normal 3 2 3 11 3" xfId="23194" xr:uid="{00000000-0005-0000-0000-0000042F0000}"/>
    <cellStyle name="Normal 3 2 3 12" xfId="23195" xr:uid="{00000000-0005-0000-0000-0000052F0000}"/>
    <cellStyle name="Normal 3 2 3 12 2" xfId="23196" xr:uid="{00000000-0005-0000-0000-0000062F0000}"/>
    <cellStyle name="Normal 3 2 3 13" xfId="23197" xr:uid="{00000000-0005-0000-0000-0000072F0000}"/>
    <cellStyle name="Normal 3 2 3 13 2" xfId="23198" xr:uid="{00000000-0005-0000-0000-0000082F0000}"/>
    <cellStyle name="Normal 3 2 3 14" xfId="14653" xr:uid="{00000000-0005-0000-0000-0000092F0000}"/>
    <cellStyle name="Normal 3 2 3 14 2" xfId="23199" xr:uid="{00000000-0005-0000-0000-00000A2F0000}"/>
    <cellStyle name="Normal 3 2 3 2" xfId="21620" xr:uid="{00000000-0005-0000-0000-00000B2F0000}"/>
    <cellStyle name="Normal 3 2 3 2 10" xfId="23202" xr:uid="{00000000-0005-0000-0000-00000C2F0000}"/>
    <cellStyle name="Normal 3 2 3 2 10 2" xfId="3598" xr:uid="{00000000-0005-0000-0000-00000D2F0000}"/>
    <cellStyle name="Normal 3 2 3 2 11" xfId="23206" xr:uid="{00000000-0005-0000-0000-00000E2F0000}"/>
    <cellStyle name="Normal 3 2 3 2 11 2" xfId="23207" xr:uid="{00000000-0005-0000-0000-00000F2F0000}"/>
    <cellStyle name="Normal 3 2 3 2 12" xfId="20008" xr:uid="{00000000-0005-0000-0000-0000102F0000}"/>
    <cellStyle name="Normal 3 2 3 2 12 2" xfId="20011" xr:uid="{00000000-0005-0000-0000-0000112F0000}"/>
    <cellStyle name="Normal 3 2 3 2 13" xfId="20019" xr:uid="{00000000-0005-0000-0000-0000122F0000}"/>
    <cellStyle name="Normal 3 2 3 2 14" xfId="23209" xr:uid="{00000000-0005-0000-0000-0000132F0000}"/>
    <cellStyle name="Normal 3 2 3 2 2" xfId="23210" xr:uid="{00000000-0005-0000-0000-0000142F0000}"/>
    <cellStyle name="Normal 3 2 3 2 2 10" xfId="19774" xr:uid="{00000000-0005-0000-0000-0000152F0000}"/>
    <cellStyle name="Normal 3 2 3 2 2 2" xfId="19566" xr:uid="{00000000-0005-0000-0000-0000162F0000}"/>
    <cellStyle name="Normal 3 2 3 2 2 2 2" xfId="19570" xr:uid="{00000000-0005-0000-0000-0000172F0000}"/>
    <cellStyle name="Normal 3 2 3 2 2 2 2 2" xfId="13044" xr:uid="{00000000-0005-0000-0000-0000182F0000}"/>
    <cellStyle name="Normal 3 2 3 2 2 2 2 2 2" xfId="11901" xr:uid="{00000000-0005-0000-0000-0000192F0000}"/>
    <cellStyle name="Normal 3 2 3 2 2 2 2 2 2 2" xfId="11908" xr:uid="{00000000-0005-0000-0000-00001A2F0000}"/>
    <cellStyle name="Normal 3 2 3 2 2 2 2 2 2 2 2" xfId="19574" xr:uid="{00000000-0005-0000-0000-00001B2F0000}"/>
    <cellStyle name="Normal 3 2 3 2 2 2 2 2 2 3" xfId="2025" xr:uid="{00000000-0005-0000-0000-00001C2F0000}"/>
    <cellStyle name="Normal 3 2 3 2 2 2 2 2 3" xfId="11917" xr:uid="{00000000-0005-0000-0000-00001D2F0000}"/>
    <cellStyle name="Normal 3 2 3 2 2 2 2 2 3 2" xfId="19578" xr:uid="{00000000-0005-0000-0000-00001E2F0000}"/>
    <cellStyle name="Normal 3 2 3 2 2 2 2 2 4" xfId="10693" xr:uid="{00000000-0005-0000-0000-00001F2F0000}"/>
    <cellStyle name="Normal 3 2 3 2 2 2 2 3" xfId="10299" xr:uid="{00000000-0005-0000-0000-0000202F0000}"/>
    <cellStyle name="Normal 3 2 3 2 2 2 2 3 2" xfId="11079" xr:uid="{00000000-0005-0000-0000-0000212F0000}"/>
    <cellStyle name="Normal 3 2 3 2 2 2 2 3 2 2" xfId="19582" xr:uid="{00000000-0005-0000-0000-0000222F0000}"/>
    <cellStyle name="Normal 3 2 3 2 2 2 2 3 3" xfId="19585" xr:uid="{00000000-0005-0000-0000-0000232F0000}"/>
    <cellStyle name="Normal 3 2 3 2 2 2 2 4" xfId="11492" xr:uid="{00000000-0005-0000-0000-0000242F0000}"/>
    <cellStyle name="Normal 3 2 3 2 2 2 2 4 2" xfId="11504" xr:uid="{00000000-0005-0000-0000-0000252F0000}"/>
    <cellStyle name="Normal 3 2 3 2 2 2 2 4 2 2" xfId="11980" xr:uid="{00000000-0005-0000-0000-0000262F0000}"/>
    <cellStyle name="Normal 3 2 3 2 2 2 2 4 3" xfId="11984" xr:uid="{00000000-0005-0000-0000-0000272F0000}"/>
    <cellStyle name="Normal 3 2 3 2 2 2 2 5" xfId="19592" xr:uid="{00000000-0005-0000-0000-0000282F0000}"/>
    <cellStyle name="Normal 3 2 3 2 2 2 2 5 2" xfId="6770" xr:uid="{00000000-0005-0000-0000-0000292F0000}"/>
    <cellStyle name="Normal 3 2 3 2 2 2 2 6" xfId="19595" xr:uid="{00000000-0005-0000-0000-00002A2F0000}"/>
    <cellStyle name="Normal 3 2 3 2 2 2 2 6 2" xfId="6927" xr:uid="{00000000-0005-0000-0000-00002B2F0000}"/>
    <cellStyle name="Normal 3 2 3 2 2 2 2 7" xfId="19598" xr:uid="{00000000-0005-0000-0000-00002C2F0000}"/>
    <cellStyle name="Normal 3 2 3 2 2 2 2 8" xfId="19600" xr:uid="{00000000-0005-0000-0000-00002D2F0000}"/>
    <cellStyle name="Normal 3 2 3 2 2 2 3" xfId="19602" xr:uid="{00000000-0005-0000-0000-00002E2F0000}"/>
    <cellStyle name="Normal 3 2 3 2 2 2 3 2" xfId="19605" xr:uid="{00000000-0005-0000-0000-00002F2F0000}"/>
    <cellStyle name="Normal 3 2 3 2 2 2 3 2 2" xfId="19608" xr:uid="{00000000-0005-0000-0000-0000302F0000}"/>
    <cellStyle name="Normal 3 2 3 2 2 2 3 2 2 2" xfId="19610" xr:uid="{00000000-0005-0000-0000-0000312F0000}"/>
    <cellStyle name="Normal 3 2 3 2 2 2 3 2 3" xfId="19612" xr:uid="{00000000-0005-0000-0000-0000322F0000}"/>
    <cellStyle name="Normal 3 2 3 2 2 2 3 3" xfId="19617" xr:uid="{00000000-0005-0000-0000-0000332F0000}"/>
    <cellStyle name="Normal 3 2 3 2 2 2 3 3 2" xfId="19620" xr:uid="{00000000-0005-0000-0000-0000342F0000}"/>
    <cellStyle name="Normal 3 2 3 2 2 2 3 4" xfId="19625" xr:uid="{00000000-0005-0000-0000-0000352F0000}"/>
    <cellStyle name="Normal 3 2 3 2 2 2 4" xfId="19634" xr:uid="{00000000-0005-0000-0000-0000362F0000}"/>
    <cellStyle name="Normal 3 2 3 2 2 2 4 2" xfId="19635" xr:uid="{00000000-0005-0000-0000-0000372F0000}"/>
    <cellStyle name="Normal 3 2 3 2 2 2 4 2 2" xfId="17516" xr:uid="{00000000-0005-0000-0000-0000382F0000}"/>
    <cellStyle name="Normal 3 2 3 2 2 2 4 3" xfId="19641" xr:uid="{00000000-0005-0000-0000-0000392F0000}"/>
    <cellStyle name="Normal 3 2 3 2 2 2 5" xfId="19651" xr:uid="{00000000-0005-0000-0000-00003A2F0000}"/>
    <cellStyle name="Normal 3 2 3 2 2 2 5 2" xfId="19654" xr:uid="{00000000-0005-0000-0000-00003B2F0000}"/>
    <cellStyle name="Normal 3 2 3 2 2 2 5 2 2" xfId="19662" xr:uid="{00000000-0005-0000-0000-00003C2F0000}"/>
    <cellStyle name="Normal 3 2 3 2 2 2 5 3" xfId="19665" xr:uid="{00000000-0005-0000-0000-00003D2F0000}"/>
    <cellStyle name="Normal 3 2 3 2 2 2 6" xfId="19670" xr:uid="{00000000-0005-0000-0000-00003E2F0000}"/>
    <cellStyle name="Normal 3 2 3 2 2 2 6 2" xfId="19674" xr:uid="{00000000-0005-0000-0000-00003F2F0000}"/>
    <cellStyle name="Normal 3 2 3 2 2 2 7" xfId="12629" xr:uid="{00000000-0005-0000-0000-0000402F0000}"/>
    <cellStyle name="Normal 3 2 3 2 2 2 7 2" xfId="19678" xr:uid="{00000000-0005-0000-0000-0000412F0000}"/>
    <cellStyle name="Normal 3 2 3 2 2 2 8" xfId="19683" xr:uid="{00000000-0005-0000-0000-0000422F0000}"/>
    <cellStyle name="Normal 3 2 3 2 2 2 9" xfId="15660" xr:uid="{00000000-0005-0000-0000-0000432F0000}"/>
    <cellStyle name="Normal 3 2 3 2 2 3" xfId="19685" xr:uid="{00000000-0005-0000-0000-0000442F0000}"/>
    <cellStyle name="Normal 3 2 3 2 2 3 2" xfId="14630" xr:uid="{00000000-0005-0000-0000-0000452F0000}"/>
    <cellStyle name="Normal 3 2 3 2 2 3 2 2" xfId="14633" xr:uid="{00000000-0005-0000-0000-0000462F0000}"/>
    <cellStyle name="Normal 3 2 3 2 2 3 2 2 2" xfId="19687" xr:uid="{00000000-0005-0000-0000-0000472F0000}"/>
    <cellStyle name="Normal 3 2 3 2 2 3 2 2 2 2" xfId="19689" xr:uid="{00000000-0005-0000-0000-0000482F0000}"/>
    <cellStyle name="Normal 3 2 3 2 2 3 2 2 3" xfId="19694" xr:uid="{00000000-0005-0000-0000-0000492F0000}"/>
    <cellStyle name="Normal 3 2 3 2 2 3 2 3" xfId="3016" xr:uid="{00000000-0005-0000-0000-00004A2F0000}"/>
    <cellStyle name="Normal 3 2 3 2 2 3 2 3 2" xfId="3046" xr:uid="{00000000-0005-0000-0000-00004B2F0000}"/>
    <cellStyle name="Normal 3 2 3 2 2 3 2 4" xfId="3117" xr:uid="{00000000-0005-0000-0000-00004C2F0000}"/>
    <cellStyle name="Normal 3 2 3 2 2 3 3" xfId="14636" xr:uid="{00000000-0005-0000-0000-00004D2F0000}"/>
    <cellStyle name="Normal 3 2 3 2 2 3 3 2" xfId="13010" xr:uid="{00000000-0005-0000-0000-00004E2F0000}"/>
    <cellStyle name="Normal 3 2 3 2 2 3 3 2 2" xfId="19707" xr:uid="{00000000-0005-0000-0000-00004F2F0000}"/>
    <cellStyle name="Normal 3 2 3 2 2 3 3 3" xfId="3340" xr:uid="{00000000-0005-0000-0000-0000502F0000}"/>
    <cellStyle name="Normal 3 2 3 2 2 3 4" xfId="14645" xr:uid="{00000000-0005-0000-0000-0000512F0000}"/>
    <cellStyle name="Normal 3 2 3 2 2 3 4 2" xfId="19714" xr:uid="{00000000-0005-0000-0000-0000522F0000}"/>
    <cellStyle name="Normal 3 2 3 2 2 3 4 2 2" xfId="19720" xr:uid="{00000000-0005-0000-0000-0000532F0000}"/>
    <cellStyle name="Normal 3 2 3 2 2 3 4 3" xfId="3525" xr:uid="{00000000-0005-0000-0000-0000542F0000}"/>
    <cellStyle name="Normal 3 2 3 2 2 3 5" xfId="14652" xr:uid="{00000000-0005-0000-0000-0000552F0000}"/>
    <cellStyle name="Normal 3 2 3 2 2 3 5 2" xfId="19722" xr:uid="{00000000-0005-0000-0000-0000562F0000}"/>
    <cellStyle name="Normal 3 2 3 2 2 3 6" xfId="9670" xr:uid="{00000000-0005-0000-0000-0000572F0000}"/>
    <cellStyle name="Normal 3 2 3 2 2 3 6 2" xfId="19730" xr:uid="{00000000-0005-0000-0000-0000582F0000}"/>
    <cellStyle name="Normal 3 2 3 2 2 3 7" xfId="12603" xr:uid="{00000000-0005-0000-0000-0000592F0000}"/>
    <cellStyle name="Normal 3 2 3 2 2 3 8" xfId="8559" xr:uid="{00000000-0005-0000-0000-00005A2F0000}"/>
    <cellStyle name="Normal 3 2 3 2 2 4" xfId="19737" xr:uid="{00000000-0005-0000-0000-00005B2F0000}"/>
    <cellStyle name="Normal 3 2 3 2 2 4 2" xfId="14685" xr:uid="{00000000-0005-0000-0000-00005C2F0000}"/>
    <cellStyle name="Normal 3 2 3 2 2 4 2 2" xfId="19741" xr:uid="{00000000-0005-0000-0000-00005D2F0000}"/>
    <cellStyle name="Normal 3 2 3 2 2 4 2 2 2" xfId="9358" xr:uid="{00000000-0005-0000-0000-00005E2F0000}"/>
    <cellStyle name="Normal 3 2 3 2 2 4 2 3" xfId="5570" xr:uid="{00000000-0005-0000-0000-00005F2F0000}"/>
    <cellStyle name="Normal 3 2 3 2 2 4 3" xfId="19746" xr:uid="{00000000-0005-0000-0000-0000602F0000}"/>
    <cellStyle name="Normal 3 2 3 2 2 4 3 2" xfId="19751" xr:uid="{00000000-0005-0000-0000-0000612F0000}"/>
    <cellStyle name="Normal 3 2 3 2 2 4 4" xfId="19756" xr:uid="{00000000-0005-0000-0000-0000622F0000}"/>
    <cellStyle name="Normal 3 2 3 2 2 5" xfId="998" xr:uid="{00000000-0005-0000-0000-0000632F0000}"/>
    <cellStyle name="Normal 3 2 3 2 2 5 2" xfId="19769" xr:uid="{00000000-0005-0000-0000-0000642F0000}"/>
    <cellStyle name="Normal 3 2 3 2 2 5 2 2" xfId="19772" xr:uid="{00000000-0005-0000-0000-0000652F0000}"/>
    <cellStyle name="Normal 3 2 3 2 2 5 3" xfId="19780" xr:uid="{00000000-0005-0000-0000-0000662F0000}"/>
    <cellStyle name="Normal 3 2 3 2 2 6" xfId="19797" xr:uid="{00000000-0005-0000-0000-0000672F0000}"/>
    <cellStyle name="Normal 3 2 3 2 2 6 2" xfId="19803" xr:uid="{00000000-0005-0000-0000-0000682F0000}"/>
    <cellStyle name="Normal 3 2 3 2 2 6 2 2" xfId="19806" xr:uid="{00000000-0005-0000-0000-0000692F0000}"/>
    <cellStyle name="Normal 3 2 3 2 2 6 3" xfId="19814" xr:uid="{00000000-0005-0000-0000-00006A2F0000}"/>
    <cellStyle name="Normal 3 2 3 2 2 7" xfId="19825" xr:uid="{00000000-0005-0000-0000-00006B2F0000}"/>
    <cellStyle name="Normal 3 2 3 2 2 7 2" xfId="19830" xr:uid="{00000000-0005-0000-0000-00006C2F0000}"/>
    <cellStyle name="Normal 3 2 3 2 2 8" xfId="23213" xr:uid="{00000000-0005-0000-0000-00006D2F0000}"/>
    <cellStyle name="Normal 3 2 3 2 2 8 2" xfId="23217" xr:uid="{00000000-0005-0000-0000-00006E2F0000}"/>
    <cellStyle name="Normal 3 2 3 2 2 9" xfId="14459" xr:uid="{00000000-0005-0000-0000-00006F2F0000}"/>
    <cellStyle name="Normal 3 2 3 2 3" xfId="13088" xr:uid="{00000000-0005-0000-0000-0000702F0000}"/>
    <cellStyle name="Normal 3 2 3 2 3 2" xfId="13093" xr:uid="{00000000-0005-0000-0000-0000712F0000}"/>
    <cellStyle name="Normal 3 2 3 2 3 2 2" xfId="13096" xr:uid="{00000000-0005-0000-0000-0000722F0000}"/>
    <cellStyle name="Normal 3 2 3 2 3 2 2 2" xfId="23218" xr:uid="{00000000-0005-0000-0000-0000732F0000}"/>
    <cellStyle name="Normal 3 2 3 2 3 2 2 2 2" xfId="23220" xr:uid="{00000000-0005-0000-0000-0000742F0000}"/>
    <cellStyle name="Normal 3 2 3 2 3 2 2 2 2 2" xfId="268" xr:uid="{00000000-0005-0000-0000-0000752F0000}"/>
    <cellStyle name="Normal 3 2 3 2 3 2 2 2 3" xfId="23223" xr:uid="{00000000-0005-0000-0000-0000762F0000}"/>
    <cellStyle name="Normal 3 2 3 2 3 2 2 3" xfId="23224" xr:uid="{00000000-0005-0000-0000-0000772F0000}"/>
    <cellStyle name="Normal 3 2 3 2 3 2 2 3 2" xfId="23226" xr:uid="{00000000-0005-0000-0000-0000782F0000}"/>
    <cellStyle name="Normal 3 2 3 2 3 2 2 4" xfId="20968" xr:uid="{00000000-0005-0000-0000-0000792F0000}"/>
    <cellStyle name="Normal 3 2 3 2 3 2 2 5" xfId="23229" xr:uid="{00000000-0005-0000-0000-00007A2F0000}"/>
    <cellStyle name="Normal 3 2 3 2 3 2 3" xfId="23230" xr:uid="{00000000-0005-0000-0000-00007B2F0000}"/>
    <cellStyle name="Normal 3 2 3 2 3 2 3 2" xfId="23231" xr:uid="{00000000-0005-0000-0000-00007C2F0000}"/>
    <cellStyle name="Normal 3 2 3 2 3 2 3 2 2" xfId="23233" xr:uid="{00000000-0005-0000-0000-00007D2F0000}"/>
    <cellStyle name="Normal 3 2 3 2 3 2 3 3" xfId="23235" xr:uid="{00000000-0005-0000-0000-00007E2F0000}"/>
    <cellStyle name="Normal 3 2 3 2 3 2 4" xfId="23239" xr:uid="{00000000-0005-0000-0000-00007F2F0000}"/>
    <cellStyle name="Normal 3 2 3 2 3 2 4 2" xfId="23242" xr:uid="{00000000-0005-0000-0000-0000802F0000}"/>
    <cellStyle name="Normal 3 2 3 2 3 2 4 2 2" xfId="14449" xr:uid="{00000000-0005-0000-0000-0000812F0000}"/>
    <cellStyle name="Normal 3 2 3 2 3 2 4 3" xfId="23246" xr:uid="{00000000-0005-0000-0000-0000822F0000}"/>
    <cellStyle name="Normal 3 2 3 2 3 2 5" xfId="23254" xr:uid="{00000000-0005-0000-0000-0000832F0000}"/>
    <cellStyle name="Normal 3 2 3 2 3 2 5 2" xfId="23256" xr:uid="{00000000-0005-0000-0000-0000842F0000}"/>
    <cellStyle name="Normal 3 2 3 2 3 2 6" xfId="23257" xr:uid="{00000000-0005-0000-0000-0000852F0000}"/>
    <cellStyle name="Normal 3 2 3 2 3 2 6 2" xfId="23258" xr:uid="{00000000-0005-0000-0000-0000862F0000}"/>
    <cellStyle name="Normal 3 2 3 2 3 2 7" xfId="12660" xr:uid="{00000000-0005-0000-0000-0000872F0000}"/>
    <cellStyle name="Normal 3 2 3 2 3 2 8" xfId="21352" xr:uid="{00000000-0005-0000-0000-0000882F0000}"/>
    <cellStyle name="Normal 3 2 3 2 3 3" xfId="13099" xr:uid="{00000000-0005-0000-0000-0000892F0000}"/>
    <cellStyle name="Normal 3 2 3 2 3 3 2" xfId="14744" xr:uid="{00000000-0005-0000-0000-00008A2F0000}"/>
    <cellStyle name="Normal 3 2 3 2 3 3 2 2" xfId="23259" xr:uid="{00000000-0005-0000-0000-00008B2F0000}"/>
    <cellStyle name="Normal 3 2 3 2 3 3 2 2 2" xfId="23260" xr:uid="{00000000-0005-0000-0000-00008C2F0000}"/>
    <cellStyle name="Normal 3 2 3 2 3 3 2 3" xfId="4785" xr:uid="{00000000-0005-0000-0000-00008D2F0000}"/>
    <cellStyle name="Normal 3 2 3 2 3 3 3" xfId="14746" xr:uid="{00000000-0005-0000-0000-00008E2F0000}"/>
    <cellStyle name="Normal 3 2 3 2 3 3 3 2" xfId="23261" xr:uid="{00000000-0005-0000-0000-00008F2F0000}"/>
    <cellStyle name="Normal 3 2 3 2 3 3 4" xfId="23265" xr:uid="{00000000-0005-0000-0000-0000902F0000}"/>
    <cellStyle name="Normal 3 2 3 2 3 3 5" xfId="23266" xr:uid="{00000000-0005-0000-0000-0000912F0000}"/>
    <cellStyle name="Normal 3 2 3 2 3 4" xfId="23267" xr:uid="{00000000-0005-0000-0000-0000922F0000}"/>
    <cellStyle name="Normal 3 2 3 2 3 4 2" xfId="23268" xr:uid="{00000000-0005-0000-0000-0000932F0000}"/>
    <cellStyle name="Normal 3 2 3 2 3 4 2 2" xfId="23271" xr:uid="{00000000-0005-0000-0000-0000942F0000}"/>
    <cellStyle name="Normal 3 2 3 2 3 4 3" xfId="23275" xr:uid="{00000000-0005-0000-0000-0000952F0000}"/>
    <cellStyle name="Normal 3 2 3 2 3 5" xfId="23279" xr:uid="{00000000-0005-0000-0000-0000962F0000}"/>
    <cellStyle name="Normal 3 2 3 2 3 5 2" xfId="23281" xr:uid="{00000000-0005-0000-0000-0000972F0000}"/>
    <cellStyle name="Normal 3 2 3 2 3 5 2 2" xfId="23282" xr:uid="{00000000-0005-0000-0000-0000982F0000}"/>
    <cellStyle name="Normal 3 2 3 2 3 5 3" xfId="23284" xr:uid="{00000000-0005-0000-0000-0000992F0000}"/>
    <cellStyle name="Normal 3 2 3 2 3 6" xfId="23286" xr:uid="{00000000-0005-0000-0000-00009A2F0000}"/>
    <cellStyle name="Normal 3 2 3 2 3 6 2" xfId="23289" xr:uid="{00000000-0005-0000-0000-00009B2F0000}"/>
    <cellStyle name="Normal 3 2 3 2 3 7" xfId="17500" xr:uid="{00000000-0005-0000-0000-00009C2F0000}"/>
    <cellStyle name="Normal 3 2 3 2 3 7 2" xfId="1786" xr:uid="{00000000-0005-0000-0000-00009D2F0000}"/>
    <cellStyle name="Normal 3 2 3 2 3 8" xfId="17650" xr:uid="{00000000-0005-0000-0000-00009E2F0000}"/>
    <cellStyle name="Normal 3 2 3 2 3 9" xfId="5151" xr:uid="{00000000-0005-0000-0000-00009F2F0000}"/>
    <cellStyle name="Normal 3 2 3 2 4" xfId="11770" xr:uid="{00000000-0005-0000-0000-0000A02F0000}"/>
    <cellStyle name="Normal 3 2 3 2 4 2" xfId="13105" xr:uid="{00000000-0005-0000-0000-0000A12F0000}"/>
    <cellStyle name="Normal 3 2 3 2 4 2 2" xfId="9633" xr:uid="{00000000-0005-0000-0000-0000A22F0000}"/>
    <cellStyle name="Normal 3 2 3 2 4 2 2 2" xfId="21778" xr:uid="{00000000-0005-0000-0000-0000A32F0000}"/>
    <cellStyle name="Normal 3 2 3 2 4 2 2 2 2" xfId="9447" xr:uid="{00000000-0005-0000-0000-0000A42F0000}"/>
    <cellStyle name="Normal 3 2 3 2 4 2 2 2 2 2" xfId="777" xr:uid="{00000000-0005-0000-0000-0000A52F0000}"/>
    <cellStyle name="Normal 3 2 3 2 4 2 2 2 3" xfId="9456" xr:uid="{00000000-0005-0000-0000-0000A62F0000}"/>
    <cellStyle name="Normal 3 2 3 2 4 2 2 3" xfId="21787" xr:uid="{00000000-0005-0000-0000-0000A72F0000}"/>
    <cellStyle name="Normal 3 2 3 2 4 2 2 3 2" xfId="9617" xr:uid="{00000000-0005-0000-0000-0000A82F0000}"/>
    <cellStyle name="Normal 3 2 3 2 4 2 2 4" xfId="14808" xr:uid="{00000000-0005-0000-0000-0000A92F0000}"/>
    <cellStyle name="Normal 3 2 3 2 4 2 3" xfId="9635" xr:uid="{00000000-0005-0000-0000-0000AA2F0000}"/>
    <cellStyle name="Normal 3 2 3 2 4 2 3 2" xfId="21824" xr:uid="{00000000-0005-0000-0000-0000AB2F0000}"/>
    <cellStyle name="Normal 3 2 3 2 4 2 3 2 2" xfId="20394" xr:uid="{00000000-0005-0000-0000-0000AC2F0000}"/>
    <cellStyle name="Normal 3 2 3 2 4 2 3 3" xfId="21833" xr:uid="{00000000-0005-0000-0000-0000AD2F0000}"/>
    <cellStyle name="Normal 3 2 3 2 4 2 4" xfId="23293" xr:uid="{00000000-0005-0000-0000-0000AE2F0000}"/>
    <cellStyle name="Normal 3 2 3 2 4 2 4 2" xfId="21849" xr:uid="{00000000-0005-0000-0000-0000AF2F0000}"/>
    <cellStyle name="Normal 3 2 3 2 4 2 4 2 2" xfId="16303" xr:uid="{00000000-0005-0000-0000-0000B02F0000}"/>
    <cellStyle name="Normal 3 2 3 2 4 2 4 3" xfId="23296" xr:uid="{00000000-0005-0000-0000-0000B12F0000}"/>
    <cellStyle name="Normal 3 2 3 2 4 2 5" xfId="23299" xr:uid="{00000000-0005-0000-0000-0000B22F0000}"/>
    <cellStyle name="Normal 3 2 3 2 4 2 5 2" xfId="253" xr:uid="{00000000-0005-0000-0000-0000B32F0000}"/>
    <cellStyle name="Normal 3 2 3 2 4 2 6" xfId="23300" xr:uid="{00000000-0005-0000-0000-0000B42F0000}"/>
    <cellStyle name="Normal 3 2 3 2 4 2 6 2" xfId="23303" xr:uid="{00000000-0005-0000-0000-0000B52F0000}"/>
    <cellStyle name="Normal 3 2 3 2 4 2 7" xfId="12553" xr:uid="{00000000-0005-0000-0000-0000B62F0000}"/>
    <cellStyle name="Normal 3 2 3 2 4 2 8" xfId="23308" xr:uid="{00000000-0005-0000-0000-0000B72F0000}"/>
    <cellStyle name="Normal 3 2 3 2 4 3" xfId="11804" xr:uid="{00000000-0005-0000-0000-0000B82F0000}"/>
    <cellStyle name="Normal 3 2 3 2 4 3 2" xfId="9769" xr:uid="{00000000-0005-0000-0000-0000B92F0000}"/>
    <cellStyle name="Normal 3 2 3 2 4 3 2 2" xfId="11268" xr:uid="{00000000-0005-0000-0000-0000BA2F0000}"/>
    <cellStyle name="Normal 3 2 3 2 4 3 2 2 2" xfId="10325" xr:uid="{00000000-0005-0000-0000-0000BB2F0000}"/>
    <cellStyle name="Normal 3 2 3 2 4 3 2 3" xfId="6023" xr:uid="{00000000-0005-0000-0000-0000BC2F0000}"/>
    <cellStyle name="Normal 3 2 3 2 4 3 3" xfId="11278" xr:uid="{00000000-0005-0000-0000-0000BD2F0000}"/>
    <cellStyle name="Normal 3 2 3 2 4 3 3 2" xfId="11287" xr:uid="{00000000-0005-0000-0000-0000BE2F0000}"/>
    <cellStyle name="Normal 3 2 3 2 4 3 4" xfId="11291" xr:uid="{00000000-0005-0000-0000-0000BF2F0000}"/>
    <cellStyle name="Normal 3 2 3 2 4 4" xfId="9795" xr:uid="{00000000-0005-0000-0000-0000C02F0000}"/>
    <cellStyle name="Normal 3 2 3 2 4 4 2" xfId="9806" xr:uid="{00000000-0005-0000-0000-0000C12F0000}"/>
    <cellStyle name="Normal 3 2 3 2 4 4 2 2" xfId="11808" xr:uid="{00000000-0005-0000-0000-0000C22F0000}"/>
    <cellStyle name="Normal 3 2 3 2 4 4 3" xfId="11814" xr:uid="{00000000-0005-0000-0000-0000C32F0000}"/>
    <cellStyle name="Normal 3 2 3 2 4 5" xfId="9814" xr:uid="{00000000-0005-0000-0000-0000C42F0000}"/>
    <cellStyle name="Normal 3 2 3 2 4 5 2" xfId="2007" xr:uid="{00000000-0005-0000-0000-0000C52F0000}"/>
    <cellStyle name="Normal 3 2 3 2 4 5 2 2" xfId="2032" xr:uid="{00000000-0005-0000-0000-0000C62F0000}"/>
    <cellStyle name="Normal 3 2 3 2 4 5 3" xfId="2072" xr:uid="{00000000-0005-0000-0000-0000C72F0000}"/>
    <cellStyle name="Normal 3 2 3 2 4 6" xfId="11817" xr:uid="{00000000-0005-0000-0000-0000C82F0000}"/>
    <cellStyle name="Normal 3 2 3 2 4 6 2" xfId="2193" xr:uid="{00000000-0005-0000-0000-0000C92F0000}"/>
    <cellStyle name="Normal 3 2 3 2 4 7" xfId="11822" xr:uid="{00000000-0005-0000-0000-0000CA2F0000}"/>
    <cellStyle name="Normal 3 2 3 2 4 7 2" xfId="11828" xr:uid="{00000000-0005-0000-0000-0000CB2F0000}"/>
    <cellStyle name="Normal 3 2 3 2 4 8" xfId="11834" xr:uid="{00000000-0005-0000-0000-0000CC2F0000}"/>
    <cellStyle name="Normal 3 2 3 2 4 9" xfId="17905" xr:uid="{00000000-0005-0000-0000-0000CD2F0000}"/>
    <cellStyle name="Normal 3 2 3 2 5" xfId="6174" xr:uid="{00000000-0005-0000-0000-0000CE2F0000}"/>
    <cellStyle name="Normal 3 2 3 2 5 2" xfId="6179" xr:uid="{00000000-0005-0000-0000-0000CF2F0000}"/>
    <cellStyle name="Normal 3 2 3 2 5 2 2" xfId="4362" xr:uid="{00000000-0005-0000-0000-0000D02F0000}"/>
    <cellStyle name="Normal 3 2 3 2 5 2 2 2" xfId="22144" xr:uid="{00000000-0005-0000-0000-0000D12F0000}"/>
    <cellStyle name="Normal 3 2 3 2 5 2 2 2 2" xfId="22148" xr:uid="{00000000-0005-0000-0000-0000D22F0000}"/>
    <cellStyle name="Normal 3 2 3 2 5 2 2 2 2 2" xfId="3243" xr:uid="{00000000-0005-0000-0000-0000D32F0000}"/>
    <cellStyle name="Normal 3 2 3 2 5 2 2 2 3" xfId="22151" xr:uid="{00000000-0005-0000-0000-0000D42F0000}"/>
    <cellStyle name="Normal 3 2 3 2 5 2 2 3" xfId="20930" xr:uid="{00000000-0005-0000-0000-0000D52F0000}"/>
    <cellStyle name="Normal 3 2 3 2 5 2 2 3 2" xfId="20935" xr:uid="{00000000-0005-0000-0000-0000D62F0000}"/>
    <cellStyle name="Normal 3 2 3 2 5 2 2 4" xfId="15419" xr:uid="{00000000-0005-0000-0000-0000D72F0000}"/>
    <cellStyle name="Normal 3 2 3 2 5 2 3" xfId="23309" xr:uid="{00000000-0005-0000-0000-0000D82F0000}"/>
    <cellStyle name="Normal 3 2 3 2 5 2 3 2" xfId="22169" xr:uid="{00000000-0005-0000-0000-0000D92F0000}"/>
    <cellStyle name="Normal 3 2 3 2 5 2 3 2 2" xfId="23310" xr:uid="{00000000-0005-0000-0000-0000DA2F0000}"/>
    <cellStyle name="Normal 3 2 3 2 5 2 3 3" xfId="21007" xr:uid="{00000000-0005-0000-0000-0000DB2F0000}"/>
    <cellStyle name="Normal 3 2 3 2 5 2 4" xfId="23315" xr:uid="{00000000-0005-0000-0000-0000DC2F0000}"/>
    <cellStyle name="Normal 3 2 3 2 5 2 4 2" xfId="23316" xr:uid="{00000000-0005-0000-0000-0000DD2F0000}"/>
    <cellStyle name="Normal 3 2 3 2 5 2 4 2 2" xfId="23317" xr:uid="{00000000-0005-0000-0000-0000DE2F0000}"/>
    <cellStyle name="Normal 3 2 3 2 5 2 4 3" xfId="21018" xr:uid="{00000000-0005-0000-0000-0000DF2F0000}"/>
    <cellStyle name="Normal 3 2 3 2 5 2 5" xfId="23318" xr:uid="{00000000-0005-0000-0000-0000E02F0000}"/>
    <cellStyle name="Normal 3 2 3 2 5 2 5 2" xfId="23319" xr:uid="{00000000-0005-0000-0000-0000E12F0000}"/>
    <cellStyle name="Normal 3 2 3 2 5 2 6" xfId="23322" xr:uid="{00000000-0005-0000-0000-0000E22F0000}"/>
    <cellStyle name="Normal 3 2 3 2 5 2 6 2" xfId="23323" xr:uid="{00000000-0005-0000-0000-0000E32F0000}"/>
    <cellStyle name="Normal 3 2 3 2 5 2 7" xfId="22227" xr:uid="{00000000-0005-0000-0000-0000E42F0000}"/>
    <cellStyle name="Normal 3 2 3 2 5 2 8" xfId="21381" xr:uid="{00000000-0005-0000-0000-0000E52F0000}"/>
    <cellStyle name="Normal 3 2 3 2 5 3" xfId="6188" xr:uid="{00000000-0005-0000-0000-0000E62F0000}"/>
    <cellStyle name="Normal 3 2 3 2 5 3 2" xfId="4561" xr:uid="{00000000-0005-0000-0000-0000E72F0000}"/>
    <cellStyle name="Normal 3 2 3 2 5 3 2 2" xfId="11837" xr:uid="{00000000-0005-0000-0000-0000E82F0000}"/>
    <cellStyle name="Normal 3 2 3 2 5 3 2 2 2" xfId="23324" xr:uid="{00000000-0005-0000-0000-0000E92F0000}"/>
    <cellStyle name="Normal 3 2 3 2 5 3 2 3" xfId="4595" xr:uid="{00000000-0005-0000-0000-0000EA2F0000}"/>
    <cellStyle name="Normal 3 2 3 2 5 3 3" xfId="11840" xr:uid="{00000000-0005-0000-0000-0000EB2F0000}"/>
    <cellStyle name="Normal 3 2 3 2 5 3 3 2" xfId="23325" xr:uid="{00000000-0005-0000-0000-0000EC2F0000}"/>
    <cellStyle name="Normal 3 2 3 2 5 3 4" xfId="12323" xr:uid="{00000000-0005-0000-0000-0000ED2F0000}"/>
    <cellStyle name="Normal 3 2 3 2 5 4" xfId="9829" xr:uid="{00000000-0005-0000-0000-0000EE2F0000}"/>
    <cellStyle name="Normal 3 2 3 2 5 4 2" xfId="11842" xr:uid="{00000000-0005-0000-0000-0000EF2F0000}"/>
    <cellStyle name="Normal 3 2 3 2 5 4 2 2" xfId="23326" xr:uid="{00000000-0005-0000-0000-0000F02F0000}"/>
    <cellStyle name="Normal 3 2 3 2 5 4 3" xfId="23327" xr:uid="{00000000-0005-0000-0000-0000F12F0000}"/>
    <cellStyle name="Normal 3 2 3 2 5 5" xfId="11844" xr:uid="{00000000-0005-0000-0000-0000F22F0000}"/>
    <cellStyle name="Normal 3 2 3 2 5 5 2" xfId="23328" xr:uid="{00000000-0005-0000-0000-0000F32F0000}"/>
    <cellStyle name="Normal 3 2 3 2 5 5 2 2" xfId="23329" xr:uid="{00000000-0005-0000-0000-0000F42F0000}"/>
    <cellStyle name="Normal 3 2 3 2 5 5 3" xfId="15958" xr:uid="{00000000-0005-0000-0000-0000F52F0000}"/>
    <cellStyle name="Normal 3 2 3 2 5 6" xfId="23332" xr:uid="{00000000-0005-0000-0000-0000F62F0000}"/>
    <cellStyle name="Normal 3 2 3 2 5 6 2" xfId="23335" xr:uid="{00000000-0005-0000-0000-0000F72F0000}"/>
    <cellStyle name="Normal 3 2 3 2 5 7" xfId="9990" xr:uid="{00000000-0005-0000-0000-0000F82F0000}"/>
    <cellStyle name="Normal 3 2 3 2 5 7 2" xfId="17967" xr:uid="{00000000-0005-0000-0000-0000F92F0000}"/>
    <cellStyle name="Normal 3 2 3 2 5 8" xfId="17984" xr:uid="{00000000-0005-0000-0000-0000FA2F0000}"/>
    <cellStyle name="Normal 3 2 3 2 5 9" xfId="17994" xr:uid="{00000000-0005-0000-0000-0000FB2F0000}"/>
    <cellStyle name="Normal 3 2 3 2 6" xfId="6203" xr:uid="{00000000-0005-0000-0000-0000FC2F0000}"/>
    <cellStyle name="Normal 3 2 3 2 6 2" xfId="5475" xr:uid="{00000000-0005-0000-0000-0000FD2F0000}"/>
    <cellStyle name="Normal 3 2 3 2 6 2 2" xfId="23336" xr:uid="{00000000-0005-0000-0000-0000FE2F0000}"/>
    <cellStyle name="Normal 3 2 3 2 6 2 2 2" xfId="22307" xr:uid="{00000000-0005-0000-0000-0000FF2F0000}"/>
    <cellStyle name="Normal 3 2 3 2 6 2 2 2 2" xfId="23337" xr:uid="{00000000-0005-0000-0000-000000300000}"/>
    <cellStyle name="Normal 3 2 3 2 6 2 2 3" xfId="23339" xr:uid="{00000000-0005-0000-0000-000001300000}"/>
    <cellStyle name="Normal 3 2 3 2 6 2 3" xfId="23340" xr:uid="{00000000-0005-0000-0000-000002300000}"/>
    <cellStyle name="Normal 3 2 3 2 6 2 3 2" xfId="23341" xr:uid="{00000000-0005-0000-0000-000003300000}"/>
    <cellStyle name="Normal 3 2 3 2 6 2 4" xfId="23342" xr:uid="{00000000-0005-0000-0000-000004300000}"/>
    <cellStyle name="Normal 3 2 3 2 6 3" xfId="11846" xr:uid="{00000000-0005-0000-0000-000005300000}"/>
    <cellStyle name="Normal 3 2 3 2 6 3 2" xfId="11848" xr:uid="{00000000-0005-0000-0000-000006300000}"/>
    <cellStyle name="Normal 3 2 3 2 6 3 2 2" xfId="23345" xr:uid="{00000000-0005-0000-0000-000007300000}"/>
    <cellStyle name="Normal 3 2 3 2 6 3 3" xfId="23346" xr:uid="{00000000-0005-0000-0000-000008300000}"/>
    <cellStyle name="Normal 3 2 3 2 6 4" xfId="9842" xr:uid="{00000000-0005-0000-0000-000009300000}"/>
    <cellStyle name="Normal 3 2 3 2 6 4 2" xfId="23347" xr:uid="{00000000-0005-0000-0000-00000A300000}"/>
    <cellStyle name="Normal 3 2 3 2 6 4 2 2" xfId="23348" xr:uid="{00000000-0005-0000-0000-00000B300000}"/>
    <cellStyle name="Normal 3 2 3 2 6 4 3" xfId="23349" xr:uid="{00000000-0005-0000-0000-00000C300000}"/>
    <cellStyle name="Normal 3 2 3 2 6 5" xfId="23350" xr:uid="{00000000-0005-0000-0000-00000D300000}"/>
    <cellStyle name="Normal 3 2 3 2 6 5 2" xfId="23351" xr:uid="{00000000-0005-0000-0000-00000E300000}"/>
    <cellStyle name="Normal 3 2 3 2 6 6" xfId="23353" xr:uid="{00000000-0005-0000-0000-00000F300000}"/>
    <cellStyle name="Normal 3 2 3 2 6 6 2" xfId="23355" xr:uid="{00000000-0005-0000-0000-000010300000}"/>
    <cellStyle name="Normal 3 2 3 2 6 7" xfId="18019" xr:uid="{00000000-0005-0000-0000-000011300000}"/>
    <cellStyle name="Normal 3 2 3 2 6 8" xfId="18025" xr:uid="{00000000-0005-0000-0000-000012300000}"/>
    <cellStyle name="Normal 3 2 3 2 7" xfId="6214" xr:uid="{00000000-0005-0000-0000-000013300000}"/>
    <cellStyle name="Normal 3 2 3 2 7 2" xfId="23356" xr:uid="{00000000-0005-0000-0000-000014300000}"/>
    <cellStyle name="Normal 3 2 3 2 7 2 2" xfId="23357" xr:uid="{00000000-0005-0000-0000-000015300000}"/>
    <cellStyle name="Normal 3 2 3 2 7 2 2 2" xfId="22411" xr:uid="{00000000-0005-0000-0000-000016300000}"/>
    <cellStyle name="Normal 3 2 3 2 7 2 3" xfId="23358" xr:uid="{00000000-0005-0000-0000-000017300000}"/>
    <cellStyle name="Normal 3 2 3 2 7 3" xfId="11851" xr:uid="{00000000-0005-0000-0000-000018300000}"/>
    <cellStyle name="Normal 3 2 3 2 7 3 2" xfId="11853" xr:uid="{00000000-0005-0000-0000-000019300000}"/>
    <cellStyle name="Normal 3 2 3 2 7 4" xfId="11309" xr:uid="{00000000-0005-0000-0000-00001A300000}"/>
    <cellStyle name="Normal 3 2 3 2 8" xfId="23359" xr:uid="{00000000-0005-0000-0000-00001B300000}"/>
    <cellStyle name="Normal 3 2 3 2 8 2" xfId="23360" xr:uid="{00000000-0005-0000-0000-00001C300000}"/>
    <cellStyle name="Normal 3 2 3 2 8 2 2" xfId="23361" xr:uid="{00000000-0005-0000-0000-00001D300000}"/>
    <cellStyle name="Normal 3 2 3 2 8 3" xfId="11860" xr:uid="{00000000-0005-0000-0000-00001E300000}"/>
    <cellStyle name="Normal 3 2 3 2 9" xfId="23362" xr:uid="{00000000-0005-0000-0000-00001F300000}"/>
    <cellStyle name="Normal 3 2 3 2 9 2" xfId="23363" xr:uid="{00000000-0005-0000-0000-000020300000}"/>
    <cellStyle name="Normal 3 2 3 2 9 2 2" xfId="23364" xr:uid="{00000000-0005-0000-0000-000021300000}"/>
    <cellStyle name="Normal 3 2 3 2 9 3" xfId="11867" xr:uid="{00000000-0005-0000-0000-000022300000}"/>
    <cellStyle name="Normal 3 2 3 3" xfId="23365" xr:uid="{00000000-0005-0000-0000-000023300000}"/>
    <cellStyle name="Normal 3 2 3 4" xfId="23369" xr:uid="{00000000-0005-0000-0000-000024300000}"/>
    <cellStyle name="Normal 3 2 3 4 2" xfId="23371" xr:uid="{00000000-0005-0000-0000-000025300000}"/>
    <cellStyle name="Normal 3 2 3 4 2 2" xfId="17283" xr:uid="{00000000-0005-0000-0000-000026300000}"/>
    <cellStyle name="Normal 3 2 3 4 2 2 2" xfId="3014" xr:uid="{00000000-0005-0000-0000-000027300000}"/>
    <cellStyle name="Normal 3 2 3 4 2 2 2 2" xfId="23372" xr:uid="{00000000-0005-0000-0000-000028300000}"/>
    <cellStyle name="Normal 3 2 3 4 2 2 2 2 2" xfId="20006" xr:uid="{00000000-0005-0000-0000-000029300000}"/>
    <cellStyle name="Normal 3 2 3 4 2 2 2 2 2 2" xfId="23373" xr:uid="{00000000-0005-0000-0000-00002A300000}"/>
    <cellStyle name="Normal 3 2 3 4 2 2 2 2 3" xfId="17483" xr:uid="{00000000-0005-0000-0000-00002B300000}"/>
    <cellStyle name="Normal 3 2 3 4 2 2 2 3" xfId="23374" xr:uid="{00000000-0005-0000-0000-00002C300000}"/>
    <cellStyle name="Normal 3 2 3 4 2 2 2 3 2" xfId="23208" xr:uid="{00000000-0005-0000-0000-00002D300000}"/>
    <cellStyle name="Normal 3 2 3 4 2 2 2 4" xfId="511" xr:uid="{00000000-0005-0000-0000-00002E300000}"/>
    <cellStyle name="Normal 3 2 3 4 2 2 3" xfId="23375" xr:uid="{00000000-0005-0000-0000-00002F300000}"/>
    <cellStyle name="Normal 3 2 3 4 2 2 3 2" xfId="23376" xr:uid="{00000000-0005-0000-0000-000030300000}"/>
    <cellStyle name="Normal 3 2 3 4 2 2 3 2 2" xfId="23378" xr:uid="{00000000-0005-0000-0000-000031300000}"/>
    <cellStyle name="Normal 3 2 3 4 2 2 3 3" xfId="23380" xr:uid="{00000000-0005-0000-0000-000032300000}"/>
    <cellStyle name="Normal 3 2 3 4 2 2 4" xfId="23383" xr:uid="{00000000-0005-0000-0000-000033300000}"/>
    <cellStyle name="Normal 3 2 3 4 2 2 4 2" xfId="23385" xr:uid="{00000000-0005-0000-0000-000034300000}"/>
    <cellStyle name="Normal 3 2 3 4 2 2 4 2 2" xfId="23388" xr:uid="{00000000-0005-0000-0000-000035300000}"/>
    <cellStyle name="Normal 3 2 3 4 2 2 4 3" xfId="23390" xr:uid="{00000000-0005-0000-0000-000036300000}"/>
    <cellStyle name="Normal 3 2 3 4 2 2 5" xfId="23393" xr:uid="{00000000-0005-0000-0000-000037300000}"/>
    <cellStyle name="Normal 3 2 3 4 2 2 5 2" xfId="23395" xr:uid="{00000000-0005-0000-0000-000038300000}"/>
    <cellStyle name="Normal 3 2 3 4 2 2 6" xfId="23398" xr:uid="{00000000-0005-0000-0000-000039300000}"/>
    <cellStyle name="Normal 3 2 3 4 2 2 6 2" xfId="23399" xr:uid="{00000000-0005-0000-0000-00003A300000}"/>
    <cellStyle name="Normal 3 2 3 4 2 2 7" xfId="11441" xr:uid="{00000000-0005-0000-0000-00003B300000}"/>
    <cellStyle name="Normal 3 2 3 4 2 3" xfId="9338" xr:uid="{00000000-0005-0000-0000-00003C300000}"/>
    <cellStyle name="Normal 3 2 3 4 2 3 2" xfId="9345" xr:uid="{00000000-0005-0000-0000-00003D300000}"/>
    <cellStyle name="Normal 3 2 3 4 2 3 2 2" xfId="23402" xr:uid="{00000000-0005-0000-0000-00003E300000}"/>
    <cellStyle name="Normal 3 2 3 4 2 3 2 2 2" xfId="19384" xr:uid="{00000000-0005-0000-0000-00003F300000}"/>
    <cellStyle name="Normal 3 2 3 4 2 3 2 3" xfId="7752" xr:uid="{00000000-0005-0000-0000-000040300000}"/>
    <cellStyle name="Normal 3 2 3 4 2 3 3" xfId="23403" xr:uid="{00000000-0005-0000-0000-000041300000}"/>
    <cellStyle name="Normal 3 2 3 4 2 3 3 2" xfId="23405" xr:uid="{00000000-0005-0000-0000-000042300000}"/>
    <cellStyle name="Normal 3 2 3 4 2 3 4" xfId="23408" xr:uid="{00000000-0005-0000-0000-000043300000}"/>
    <cellStyle name="Normal 3 2 3 4 2 4" xfId="9349" xr:uid="{00000000-0005-0000-0000-000044300000}"/>
    <cellStyle name="Normal 3 2 3 4 2 4 2" xfId="23409" xr:uid="{00000000-0005-0000-0000-000045300000}"/>
    <cellStyle name="Normal 3 2 3 4 2 4 2 2" xfId="21947" xr:uid="{00000000-0005-0000-0000-000046300000}"/>
    <cellStyle name="Normal 3 2 3 4 2 4 3" xfId="23410" xr:uid="{00000000-0005-0000-0000-000047300000}"/>
    <cellStyle name="Normal 3 2 3 4 2 5" xfId="23412" xr:uid="{00000000-0005-0000-0000-000048300000}"/>
    <cellStyle name="Normal 3 2 3 4 2 5 2" xfId="23414" xr:uid="{00000000-0005-0000-0000-000049300000}"/>
    <cellStyle name="Normal 3 2 3 4 2 5 2 2" xfId="22255" xr:uid="{00000000-0005-0000-0000-00004A300000}"/>
    <cellStyle name="Normal 3 2 3 4 2 5 3" xfId="23415" xr:uid="{00000000-0005-0000-0000-00004B300000}"/>
    <cellStyle name="Normal 3 2 3 4 2 6" xfId="23417" xr:uid="{00000000-0005-0000-0000-00004C300000}"/>
    <cellStyle name="Normal 3 2 3 4 2 6 2" xfId="22122" xr:uid="{00000000-0005-0000-0000-00004D300000}"/>
    <cellStyle name="Normal 3 2 3 4 2 7" xfId="23420" xr:uid="{00000000-0005-0000-0000-00004E300000}"/>
    <cellStyle name="Normal 3 2 3 4 2 7 2" xfId="22141" xr:uid="{00000000-0005-0000-0000-00004F300000}"/>
    <cellStyle name="Normal 3 2 3 4 2 8" xfId="23423" xr:uid="{00000000-0005-0000-0000-000050300000}"/>
    <cellStyle name="Normal 3 2 3 4 3" xfId="13118" xr:uid="{00000000-0005-0000-0000-000051300000}"/>
    <cellStyle name="Normal 3 2 3 4 3 2" xfId="13121" xr:uid="{00000000-0005-0000-0000-000052300000}"/>
    <cellStyle name="Normal 3 2 3 4 3 2 2" xfId="10902" xr:uid="{00000000-0005-0000-0000-000053300000}"/>
    <cellStyle name="Normal 3 2 3 4 3 2 2 2" xfId="10909" xr:uid="{00000000-0005-0000-0000-000054300000}"/>
    <cellStyle name="Normal 3 2 3 4 3 2 2 2 2" xfId="23425" xr:uid="{00000000-0005-0000-0000-000055300000}"/>
    <cellStyle name="Normal 3 2 3 4 3 2 2 3" xfId="23427" xr:uid="{00000000-0005-0000-0000-000056300000}"/>
    <cellStyle name="Normal 3 2 3 4 3 2 3" xfId="10392" xr:uid="{00000000-0005-0000-0000-000057300000}"/>
    <cellStyle name="Normal 3 2 3 4 3 2 3 2" xfId="23428" xr:uid="{00000000-0005-0000-0000-000058300000}"/>
    <cellStyle name="Normal 3 2 3 4 3 2 4" xfId="23436" xr:uid="{00000000-0005-0000-0000-000059300000}"/>
    <cellStyle name="Normal 3 2 3 4 3 3" xfId="9351" xr:uid="{00000000-0005-0000-0000-00005A300000}"/>
    <cellStyle name="Normal 3 2 3 4 3 3 2" xfId="23438" xr:uid="{00000000-0005-0000-0000-00005B300000}"/>
    <cellStyle name="Normal 3 2 3 4 3 3 2 2" xfId="23442" xr:uid="{00000000-0005-0000-0000-00005C300000}"/>
    <cellStyle name="Normal 3 2 3 4 3 3 3" xfId="23444" xr:uid="{00000000-0005-0000-0000-00005D300000}"/>
    <cellStyle name="Normal 3 2 3 4 3 4" xfId="23446" xr:uid="{00000000-0005-0000-0000-00005E300000}"/>
    <cellStyle name="Normal 3 2 3 4 3 4 2" xfId="23448" xr:uid="{00000000-0005-0000-0000-00005F300000}"/>
    <cellStyle name="Normal 3 2 3 4 3 4 2 2" xfId="22578" xr:uid="{00000000-0005-0000-0000-000060300000}"/>
    <cellStyle name="Normal 3 2 3 4 3 4 3" xfId="23451" xr:uid="{00000000-0005-0000-0000-000061300000}"/>
    <cellStyle name="Normal 3 2 3 4 3 5" xfId="23454" xr:uid="{00000000-0005-0000-0000-000062300000}"/>
    <cellStyle name="Normal 3 2 3 4 3 5 2" xfId="23457" xr:uid="{00000000-0005-0000-0000-000063300000}"/>
    <cellStyle name="Normal 3 2 3 4 3 6" xfId="23464" xr:uid="{00000000-0005-0000-0000-000064300000}"/>
    <cellStyle name="Normal 3 2 3 4 3 6 2" xfId="22165" xr:uid="{00000000-0005-0000-0000-000065300000}"/>
    <cellStyle name="Normal 3 2 3 4 3 7" xfId="19159" xr:uid="{00000000-0005-0000-0000-000066300000}"/>
    <cellStyle name="Normal 3 2 3 4 4" xfId="13127" xr:uid="{00000000-0005-0000-0000-000067300000}"/>
    <cellStyle name="Normal 3 2 3 4 4 2" xfId="23465" xr:uid="{00000000-0005-0000-0000-000068300000}"/>
    <cellStyle name="Normal 3 2 3 4 4 2 2" xfId="11069" xr:uid="{00000000-0005-0000-0000-000069300000}"/>
    <cellStyle name="Normal 3 2 3 4 4 2 2 2" xfId="23466" xr:uid="{00000000-0005-0000-0000-00006A300000}"/>
    <cellStyle name="Normal 3 2 3 4 4 2 3" xfId="11072" xr:uid="{00000000-0005-0000-0000-00006B300000}"/>
    <cellStyle name="Normal 3 2 3 4 4 3" xfId="10357" xr:uid="{00000000-0005-0000-0000-00006C300000}"/>
    <cellStyle name="Normal 3 2 3 4 4 3 2" xfId="10362" xr:uid="{00000000-0005-0000-0000-00006D300000}"/>
    <cellStyle name="Normal 3 2 3 4 4 4" xfId="10370" xr:uid="{00000000-0005-0000-0000-00006E300000}"/>
    <cellStyle name="Normal 3 2 3 4 5" xfId="1921" xr:uid="{00000000-0005-0000-0000-00006F300000}"/>
    <cellStyle name="Normal 3 2 3 4 5 2" xfId="5623" xr:uid="{00000000-0005-0000-0000-000070300000}"/>
    <cellStyle name="Normal 3 2 3 4 5 2 2" xfId="23467" xr:uid="{00000000-0005-0000-0000-000071300000}"/>
    <cellStyle name="Normal 3 2 3 4 5 3" xfId="10377" xr:uid="{00000000-0005-0000-0000-000072300000}"/>
    <cellStyle name="Normal 3 2 3 4 6" xfId="5640" xr:uid="{00000000-0005-0000-0000-000073300000}"/>
    <cellStyle name="Normal 3 2 3 4 6 2" xfId="23468" xr:uid="{00000000-0005-0000-0000-000074300000}"/>
    <cellStyle name="Normal 3 2 3 4 6 2 2" xfId="23469" xr:uid="{00000000-0005-0000-0000-000075300000}"/>
    <cellStyle name="Normal 3 2 3 4 6 3" xfId="10178" xr:uid="{00000000-0005-0000-0000-000076300000}"/>
    <cellStyle name="Normal 3 2 3 4 7" xfId="23470" xr:uid="{00000000-0005-0000-0000-000077300000}"/>
    <cellStyle name="Normal 3 2 3 4 7 2" xfId="3634" xr:uid="{00000000-0005-0000-0000-000078300000}"/>
    <cellStyle name="Normal 3 2 3 4 8" xfId="23471" xr:uid="{00000000-0005-0000-0000-000079300000}"/>
    <cellStyle name="Normal 3 2 3 4 8 2" xfId="23472" xr:uid="{00000000-0005-0000-0000-00007A300000}"/>
    <cellStyle name="Normal 3 2 3 4 9" xfId="23473" xr:uid="{00000000-0005-0000-0000-00007B300000}"/>
    <cellStyle name="Normal 3 2 3 5" xfId="23478" xr:uid="{00000000-0005-0000-0000-00007C300000}"/>
    <cellStyle name="Normal 3 2 3 5 2" xfId="23479" xr:uid="{00000000-0005-0000-0000-00007D300000}"/>
    <cellStyle name="Normal 3 2 3 5 2 2" xfId="23480" xr:uid="{00000000-0005-0000-0000-00007E300000}"/>
    <cellStyle name="Normal 3 2 3 5 2 2 2" xfId="23481" xr:uid="{00000000-0005-0000-0000-00007F300000}"/>
    <cellStyle name="Normal 3 2 3 5 2 2 2 2" xfId="23482" xr:uid="{00000000-0005-0000-0000-000080300000}"/>
    <cellStyle name="Normal 3 2 3 5 2 2 2 2 2" xfId="19871" xr:uid="{00000000-0005-0000-0000-000081300000}"/>
    <cellStyle name="Normal 3 2 3 5 2 2 2 3" xfId="19299" xr:uid="{00000000-0005-0000-0000-000082300000}"/>
    <cellStyle name="Normal 3 2 3 5 2 2 3" xfId="23483" xr:uid="{00000000-0005-0000-0000-000083300000}"/>
    <cellStyle name="Normal 3 2 3 5 2 2 3 2" xfId="23484" xr:uid="{00000000-0005-0000-0000-000084300000}"/>
    <cellStyle name="Normal 3 2 3 5 2 2 4" xfId="23487" xr:uid="{00000000-0005-0000-0000-000085300000}"/>
    <cellStyle name="Normal 3 2 3 5 2 3" xfId="9373" xr:uid="{00000000-0005-0000-0000-000086300000}"/>
    <cellStyle name="Normal 3 2 3 5 2 3 2" xfId="12634" xr:uid="{00000000-0005-0000-0000-000087300000}"/>
    <cellStyle name="Normal 3 2 3 5 2 3 2 2" xfId="12600" xr:uid="{00000000-0005-0000-0000-000088300000}"/>
    <cellStyle name="Normal 3 2 3 5 2 3 3" xfId="23489" xr:uid="{00000000-0005-0000-0000-000089300000}"/>
    <cellStyle name="Normal 3 2 3 5 2 4" xfId="23490" xr:uid="{00000000-0005-0000-0000-00008A300000}"/>
    <cellStyle name="Normal 3 2 3 5 2 4 2" xfId="12664" xr:uid="{00000000-0005-0000-0000-00008B300000}"/>
    <cellStyle name="Normal 3 2 3 5 2 4 2 2" xfId="12666" xr:uid="{00000000-0005-0000-0000-00008C300000}"/>
    <cellStyle name="Normal 3 2 3 5 2 4 3" xfId="23491" xr:uid="{00000000-0005-0000-0000-00008D300000}"/>
    <cellStyle name="Normal 3 2 3 5 2 5" xfId="5800" xr:uid="{00000000-0005-0000-0000-00008E300000}"/>
    <cellStyle name="Normal 3 2 3 5 2 5 2" xfId="12558" xr:uid="{00000000-0005-0000-0000-00008F300000}"/>
    <cellStyle name="Normal 3 2 3 5 2 6" xfId="23493" xr:uid="{00000000-0005-0000-0000-000090300000}"/>
    <cellStyle name="Normal 3 2 3 5 2 6 2" xfId="22234" xr:uid="{00000000-0005-0000-0000-000091300000}"/>
    <cellStyle name="Normal 3 2 3 5 2 7" xfId="23495" xr:uid="{00000000-0005-0000-0000-000092300000}"/>
    <cellStyle name="Normal 3 2 3 5 3" xfId="13132" xr:uid="{00000000-0005-0000-0000-000093300000}"/>
    <cellStyle name="Normal 3 2 3 5 3 2" xfId="23501" xr:uid="{00000000-0005-0000-0000-000094300000}"/>
    <cellStyle name="Normal 3 2 3 5 3 2 2" xfId="23503" xr:uid="{00000000-0005-0000-0000-000095300000}"/>
    <cellStyle name="Normal 3 2 3 5 3 2 2 2" xfId="22806" xr:uid="{00000000-0005-0000-0000-000096300000}"/>
    <cellStyle name="Normal 3 2 3 5 3 2 3" xfId="23506" xr:uid="{00000000-0005-0000-0000-000097300000}"/>
    <cellStyle name="Normal 3 2 3 5 3 3" xfId="23507" xr:uid="{00000000-0005-0000-0000-000098300000}"/>
    <cellStyle name="Normal 3 2 3 5 3 3 2" xfId="23508" xr:uid="{00000000-0005-0000-0000-000099300000}"/>
    <cellStyle name="Normal 3 2 3 5 3 4" xfId="23510" xr:uid="{00000000-0005-0000-0000-00009A300000}"/>
    <cellStyle name="Normal 3 2 3 5 4" xfId="23511" xr:uid="{00000000-0005-0000-0000-00009B300000}"/>
    <cellStyle name="Normal 3 2 3 5 4 2" xfId="23514" xr:uid="{00000000-0005-0000-0000-00009C300000}"/>
    <cellStyle name="Normal 3 2 3 5 4 2 2" xfId="10039" xr:uid="{00000000-0005-0000-0000-00009D300000}"/>
    <cellStyle name="Normal 3 2 3 5 4 3" xfId="10058" xr:uid="{00000000-0005-0000-0000-00009E300000}"/>
    <cellStyle name="Normal 3 2 3 5 5" xfId="23519" xr:uid="{00000000-0005-0000-0000-00009F300000}"/>
    <cellStyle name="Normal 3 2 3 5 5 2" xfId="23522" xr:uid="{00000000-0005-0000-0000-0000A0300000}"/>
    <cellStyle name="Normal 3 2 3 5 5 2 2" xfId="23523" xr:uid="{00000000-0005-0000-0000-0000A1300000}"/>
    <cellStyle name="Normal 3 2 3 5 5 3" xfId="10108" xr:uid="{00000000-0005-0000-0000-0000A2300000}"/>
    <cellStyle name="Normal 3 2 3 5 6" xfId="23524" xr:uid="{00000000-0005-0000-0000-0000A3300000}"/>
    <cellStyle name="Normal 3 2 3 5 6 2" xfId="23525" xr:uid="{00000000-0005-0000-0000-0000A4300000}"/>
    <cellStyle name="Normal 3 2 3 5 7" xfId="23526" xr:uid="{00000000-0005-0000-0000-0000A5300000}"/>
    <cellStyle name="Normal 3 2 3 5 7 2" xfId="23527" xr:uid="{00000000-0005-0000-0000-0000A6300000}"/>
    <cellStyle name="Normal 3 2 3 5 8" xfId="23528" xr:uid="{00000000-0005-0000-0000-0000A7300000}"/>
    <cellStyle name="Normal 3 2 3 6" xfId="23529" xr:uid="{00000000-0005-0000-0000-0000A8300000}"/>
    <cellStyle name="Normal 3 2 3 6 2" xfId="23530" xr:uid="{00000000-0005-0000-0000-0000A9300000}"/>
    <cellStyle name="Normal 3 2 3 6 2 2" xfId="23532" xr:uid="{00000000-0005-0000-0000-0000AA300000}"/>
    <cellStyle name="Normal 3 2 3 6 2 2 2" xfId="23535" xr:uid="{00000000-0005-0000-0000-0000AB300000}"/>
    <cellStyle name="Normal 3 2 3 6 2 2 2 2" xfId="23539" xr:uid="{00000000-0005-0000-0000-0000AC300000}"/>
    <cellStyle name="Normal 3 2 3 6 2 2 2 2 2" xfId="23543" xr:uid="{00000000-0005-0000-0000-0000AD300000}"/>
    <cellStyle name="Normal 3 2 3 6 2 2 2 3" xfId="1212" xr:uid="{00000000-0005-0000-0000-0000AE300000}"/>
    <cellStyle name="Normal 3 2 3 6 2 2 3" xfId="7236" xr:uid="{00000000-0005-0000-0000-0000AF300000}"/>
    <cellStyle name="Normal 3 2 3 6 2 2 3 2" xfId="23548" xr:uid="{00000000-0005-0000-0000-0000B0300000}"/>
    <cellStyle name="Normal 3 2 3 6 2 2 4" xfId="23553" xr:uid="{00000000-0005-0000-0000-0000B1300000}"/>
    <cellStyle name="Normal 3 2 3 6 2 3" xfId="9392" xr:uid="{00000000-0005-0000-0000-0000B2300000}"/>
    <cellStyle name="Normal 3 2 3 6 2 3 2" xfId="23554" xr:uid="{00000000-0005-0000-0000-0000B3300000}"/>
    <cellStyle name="Normal 3 2 3 6 2 3 2 2" xfId="23555" xr:uid="{00000000-0005-0000-0000-0000B4300000}"/>
    <cellStyle name="Normal 3 2 3 6 2 3 3" xfId="23556" xr:uid="{00000000-0005-0000-0000-0000B5300000}"/>
    <cellStyle name="Normal 3 2 3 6 2 4" xfId="23557" xr:uid="{00000000-0005-0000-0000-0000B6300000}"/>
    <cellStyle name="Normal 3 2 3 6 2 4 2" xfId="23558" xr:uid="{00000000-0005-0000-0000-0000B7300000}"/>
    <cellStyle name="Normal 3 2 3 6 2 4 2 2" xfId="23559" xr:uid="{00000000-0005-0000-0000-0000B8300000}"/>
    <cellStyle name="Normal 3 2 3 6 2 4 3" xfId="23562" xr:uid="{00000000-0005-0000-0000-0000B9300000}"/>
    <cellStyle name="Normal 3 2 3 6 2 5" xfId="23564" xr:uid="{00000000-0005-0000-0000-0000BA300000}"/>
    <cellStyle name="Normal 3 2 3 6 2 5 2" xfId="23566" xr:uid="{00000000-0005-0000-0000-0000BB300000}"/>
    <cellStyle name="Normal 3 2 3 6 2 6" xfId="23568" xr:uid="{00000000-0005-0000-0000-0000BC300000}"/>
    <cellStyle name="Normal 3 2 3 6 2 6 2" xfId="23569" xr:uid="{00000000-0005-0000-0000-0000BD300000}"/>
    <cellStyle name="Normal 3 2 3 6 2 7" xfId="23573" xr:uid="{00000000-0005-0000-0000-0000BE300000}"/>
    <cellStyle name="Normal 3 2 3 6 3" xfId="9076" xr:uid="{00000000-0005-0000-0000-0000BF300000}"/>
    <cellStyle name="Normal 3 2 3 6 3 2" xfId="23574" xr:uid="{00000000-0005-0000-0000-0000C0300000}"/>
    <cellStyle name="Normal 3 2 3 6 3 2 2" xfId="23577" xr:uid="{00000000-0005-0000-0000-0000C1300000}"/>
    <cellStyle name="Normal 3 2 3 6 3 2 2 2" xfId="3376" xr:uid="{00000000-0005-0000-0000-0000C2300000}"/>
    <cellStyle name="Normal 3 2 3 6 3 2 3" xfId="3409" xr:uid="{00000000-0005-0000-0000-0000C3300000}"/>
    <cellStyle name="Normal 3 2 3 6 3 3" xfId="23578" xr:uid="{00000000-0005-0000-0000-0000C4300000}"/>
    <cellStyle name="Normal 3 2 3 6 3 3 2" xfId="23579" xr:uid="{00000000-0005-0000-0000-0000C5300000}"/>
    <cellStyle name="Normal 3 2 3 6 3 4" xfId="23581" xr:uid="{00000000-0005-0000-0000-0000C6300000}"/>
    <cellStyle name="Normal 3 2 3 6 4" xfId="23582" xr:uid="{00000000-0005-0000-0000-0000C7300000}"/>
    <cellStyle name="Normal 3 2 3 6 4 2" xfId="23585" xr:uid="{00000000-0005-0000-0000-0000C8300000}"/>
    <cellStyle name="Normal 3 2 3 6 4 2 2" xfId="10698" xr:uid="{00000000-0005-0000-0000-0000C9300000}"/>
    <cellStyle name="Normal 3 2 3 6 4 3" xfId="5677" xr:uid="{00000000-0005-0000-0000-0000CA300000}"/>
    <cellStyle name="Normal 3 2 3 6 5" xfId="23586" xr:uid="{00000000-0005-0000-0000-0000CB300000}"/>
    <cellStyle name="Normal 3 2 3 6 5 2" xfId="23589" xr:uid="{00000000-0005-0000-0000-0000CC300000}"/>
    <cellStyle name="Normal 3 2 3 6 5 2 2" xfId="23592" xr:uid="{00000000-0005-0000-0000-0000CD300000}"/>
    <cellStyle name="Normal 3 2 3 6 5 3" xfId="5854" xr:uid="{00000000-0005-0000-0000-0000CE300000}"/>
    <cellStyle name="Normal 3 2 3 6 6" xfId="23593" xr:uid="{00000000-0005-0000-0000-0000CF300000}"/>
    <cellStyle name="Normal 3 2 3 6 6 2" xfId="23596" xr:uid="{00000000-0005-0000-0000-0000D0300000}"/>
    <cellStyle name="Normal 3 2 3 6 7" xfId="23597" xr:uid="{00000000-0005-0000-0000-0000D1300000}"/>
    <cellStyle name="Normal 3 2 3 6 7 2" xfId="23600" xr:uid="{00000000-0005-0000-0000-0000D2300000}"/>
    <cellStyle name="Normal 3 2 3 6 8" xfId="19282" xr:uid="{00000000-0005-0000-0000-0000D3300000}"/>
    <cellStyle name="Normal 3 2 3 7" xfId="23601" xr:uid="{00000000-0005-0000-0000-0000D4300000}"/>
    <cellStyle name="Normal 3 2 3 7 2" xfId="23602" xr:uid="{00000000-0005-0000-0000-0000D5300000}"/>
    <cellStyle name="Normal 3 2 3 7 2 2" xfId="23603" xr:uid="{00000000-0005-0000-0000-0000D6300000}"/>
    <cellStyle name="Normal 3 2 3 7 2 2 2" xfId="23609" xr:uid="{00000000-0005-0000-0000-0000D7300000}"/>
    <cellStyle name="Normal 3 2 3 7 2 2 2 2" xfId="23610" xr:uid="{00000000-0005-0000-0000-0000D8300000}"/>
    <cellStyle name="Normal 3 2 3 7 2 2 2 2 2" xfId="23611" xr:uid="{00000000-0005-0000-0000-0000D9300000}"/>
    <cellStyle name="Normal 3 2 3 7 2 2 2 3" xfId="233" xr:uid="{00000000-0005-0000-0000-0000DA300000}"/>
    <cellStyle name="Normal 3 2 3 7 2 2 3" xfId="18255" xr:uid="{00000000-0005-0000-0000-0000DB300000}"/>
    <cellStyle name="Normal 3 2 3 7 2 2 3 2" xfId="23614" xr:uid="{00000000-0005-0000-0000-0000DC300000}"/>
    <cellStyle name="Normal 3 2 3 7 2 2 4" xfId="18272" xr:uid="{00000000-0005-0000-0000-0000DD300000}"/>
    <cellStyle name="Normal 3 2 3 7 2 3" xfId="23615" xr:uid="{00000000-0005-0000-0000-0000DE300000}"/>
    <cellStyle name="Normal 3 2 3 7 2 3 2" xfId="23616" xr:uid="{00000000-0005-0000-0000-0000DF300000}"/>
    <cellStyle name="Normal 3 2 3 7 2 3 2 2" xfId="23617" xr:uid="{00000000-0005-0000-0000-0000E0300000}"/>
    <cellStyle name="Normal 3 2 3 7 2 3 3" xfId="18258" xr:uid="{00000000-0005-0000-0000-0000E1300000}"/>
    <cellStyle name="Normal 3 2 3 7 2 4" xfId="23618" xr:uid="{00000000-0005-0000-0000-0000E2300000}"/>
    <cellStyle name="Normal 3 2 3 7 2 4 2" xfId="23620" xr:uid="{00000000-0005-0000-0000-0000E3300000}"/>
    <cellStyle name="Normal 3 2 3 7 2 4 2 2" xfId="23621" xr:uid="{00000000-0005-0000-0000-0000E4300000}"/>
    <cellStyle name="Normal 3 2 3 7 2 4 3" xfId="23624" xr:uid="{00000000-0005-0000-0000-0000E5300000}"/>
    <cellStyle name="Normal 3 2 3 7 2 5" xfId="7204" xr:uid="{00000000-0005-0000-0000-0000E6300000}"/>
    <cellStyle name="Normal 3 2 3 7 2 5 2" xfId="23625" xr:uid="{00000000-0005-0000-0000-0000E7300000}"/>
    <cellStyle name="Normal 3 2 3 7 2 6" xfId="23626" xr:uid="{00000000-0005-0000-0000-0000E8300000}"/>
    <cellStyle name="Normal 3 2 3 7 2 6 2" xfId="23627" xr:uid="{00000000-0005-0000-0000-0000E9300000}"/>
    <cellStyle name="Normal 3 2 3 7 2 7" xfId="5024" xr:uid="{00000000-0005-0000-0000-0000EA300000}"/>
    <cellStyle name="Normal 3 2 3 7 3" xfId="23630" xr:uid="{00000000-0005-0000-0000-0000EB300000}"/>
    <cellStyle name="Normal 3 2 3 7 3 2" xfId="23631" xr:uid="{00000000-0005-0000-0000-0000EC300000}"/>
    <cellStyle name="Normal 3 2 3 7 3 2 2" xfId="23632" xr:uid="{00000000-0005-0000-0000-0000ED300000}"/>
    <cellStyle name="Normal 3 2 3 7 3 2 2 2" xfId="23635" xr:uid="{00000000-0005-0000-0000-0000EE300000}"/>
    <cellStyle name="Normal 3 2 3 7 3 2 3" xfId="18318" xr:uid="{00000000-0005-0000-0000-0000EF300000}"/>
    <cellStyle name="Normal 3 2 3 7 3 3" xfId="23636" xr:uid="{00000000-0005-0000-0000-0000F0300000}"/>
    <cellStyle name="Normal 3 2 3 7 3 3 2" xfId="23637" xr:uid="{00000000-0005-0000-0000-0000F1300000}"/>
    <cellStyle name="Normal 3 2 3 7 3 4" xfId="23639" xr:uid="{00000000-0005-0000-0000-0000F2300000}"/>
    <cellStyle name="Normal 3 2 3 7 4" xfId="23641" xr:uid="{00000000-0005-0000-0000-0000F3300000}"/>
    <cellStyle name="Normal 3 2 3 7 4 2" xfId="23642" xr:uid="{00000000-0005-0000-0000-0000F4300000}"/>
    <cellStyle name="Normal 3 2 3 7 4 2 2" xfId="11184" xr:uid="{00000000-0005-0000-0000-0000F5300000}"/>
    <cellStyle name="Normal 3 2 3 7 4 3" xfId="549" xr:uid="{00000000-0005-0000-0000-0000F6300000}"/>
    <cellStyle name="Normal 3 2 3 7 5" xfId="13887" xr:uid="{00000000-0005-0000-0000-0000F7300000}"/>
    <cellStyle name="Normal 3 2 3 7 5 2" xfId="18354" xr:uid="{00000000-0005-0000-0000-0000F8300000}"/>
    <cellStyle name="Normal 3 2 3 7 5 2 2" xfId="18359" xr:uid="{00000000-0005-0000-0000-0000F9300000}"/>
    <cellStyle name="Normal 3 2 3 7 5 3" xfId="6842" xr:uid="{00000000-0005-0000-0000-0000FA300000}"/>
    <cellStyle name="Normal 3 2 3 7 6" xfId="1905" xr:uid="{00000000-0005-0000-0000-0000FB300000}"/>
    <cellStyle name="Normal 3 2 3 7 6 2" xfId="18435" xr:uid="{00000000-0005-0000-0000-0000FC300000}"/>
    <cellStyle name="Normal 3 2 3 7 7" xfId="18461" xr:uid="{00000000-0005-0000-0000-0000FD300000}"/>
    <cellStyle name="Normal 3 2 3 7 7 2" xfId="18463" xr:uid="{00000000-0005-0000-0000-0000FE300000}"/>
    <cellStyle name="Normal 3 2 3 7 8" xfId="15060" xr:uid="{00000000-0005-0000-0000-0000FF300000}"/>
    <cellStyle name="Normal 3 2 3 8" xfId="10657" xr:uid="{00000000-0005-0000-0000-000000310000}"/>
    <cellStyle name="Normal 3 2 3 8 2" xfId="11538" xr:uid="{00000000-0005-0000-0000-000001310000}"/>
    <cellStyle name="Normal 3 2 3 8 2 2" xfId="23646" xr:uid="{00000000-0005-0000-0000-000002310000}"/>
    <cellStyle name="Normal 3 2 3 8 2 2 2" xfId="23652" xr:uid="{00000000-0005-0000-0000-000003310000}"/>
    <cellStyle name="Normal 3 2 3 8 2 2 2 2" xfId="23653" xr:uid="{00000000-0005-0000-0000-000004310000}"/>
    <cellStyle name="Normal 3 2 3 8 2 2 3" xfId="23656" xr:uid="{00000000-0005-0000-0000-000005310000}"/>
    <cellStyle name="Normal 3 2 3 8 2 3" xfId="16912" xr:uid="{00000000-0005-0000-0000-000006310000}"/>
    <cellStyle name="Normal 3 2 3 8 2 3 2" xfId="16913" xr:uid="{00000000-0005-0000-0000-000007310000}"/>
    <cellStyle name="Normal 3 2 3 8 2 4" xfId="532" xr:uid="{00000000-0005-0000-0000-000008310000}"/>
    <cellStyle name="Normal 3 2 3 8 3" xfId="23663" xr:uid="{00000000-0005-0000-0000-000009310000}"/>
    <cellStyle name="Normal 3 2 3 8 3 2" xfId="23671" xr:uid="{00000000-0005-0000-0000-00000A310000}"/>
    <cellStyle name="Normal 3 2 3 8 3 2 2" xfId="23676" xr:uid="{00000000-0005-0000-0000-00000B310000}"/>
    <cellStyle name="Normal 3 2 3 8 3 3" xfId="23681" xr:uid="{00000000-0005-0000-0000-00000C310000}"/>
    <cellStyle name="Normal 3 2 3 8 4" xfId="23690" xr:uid="{00000000-0005-0000-0000-00000D310000}"/>
    <cellStyle name="Normal 3 2 3 8 4 2" xfId="23696" xr:uid="{00000000-0005-0000-0000-00000E310000}"/>
    <cellStyle name="Normal 3 2 3 8 4 2 2" xfId="9402" xr:uid="{00000000-0005-0000-0000-00000F310000}"/>
    <cellStyle name="Normal 3 2 3 8 4 3" xfId="6967" xr:uid="{00000000-0005-0000-0000-000010310000}"/>
    <cellStyle name="Normal 3 2 3 8 5" xfId="18487" xr:uid="{00000000-0005-0000-0000-000011310000}"/>
    <cellStyle name="Normal 3 2 3 8 5 2" xfId="18495" xr:uid="{00000000-0005-0000-0000-000012310000}"/>
    <cellStyle name="Normal 3 2 3 8 6" xfId="18515" xr:uid="{00000000-0005-0000-0000-000013310000}"/>
    <cellStyle name="Normal 3 2 3 8 6 2" xfId="241" xr:uid="{00000000-0005-0000-0000-000014310000}"/>
    <cellStyle name="Normal 3 2 3 8 7" xfId="18525" xr:uid="{00000000-0005-0000-0000-000015310000}"/>
    <cellStyle name="Normal 3 2 3 9" xfId="12080" xr:uid="{00000000-0005-0000-0000-000016310000}"/>
    <cellStyle name="Normal 3 2 3 9 2" xfId="11997" xr:uid="{00000000-0005-0000-0000-000017310000}"/>
    <cellStyle name="Normal 3 2 3 9 2 2" xfId="23702" xr:uid="{00000000-0005-0000-0000-000018310000}"/>
    <cellStyle name="Normal 3 2 3 9 2 2 2" xfId="372" xr:uid="{00000000-0005-0000-0000-000019310000}"/>
    <cellStyle name="Normal 3 2 3 9 2 3" xfId="23051" xr:uid="{00000000-0005-0000-0000-00001A310000}"/>
    <cellStyle name="Normal 3 2 3 9 3" xfId="23715" xr:uid="{00000000-0005-0000-0000-00001B310000}"/>
    <cellStyle name="Normal 3 2 3 9 3 2" xfId="23723" xr:uid="{00000000-0005-0000-0000-00001C310000}"/>
    <cellStyle name="Normal 3 2 3 9 4" xfId="22022" xr:uid="{00000000-0005-0000-0000-00001D310000}"/>
    <cellStyle name="Normal 3 2 4" xfId="21622" xr:uid="{00000000-0005-0000-0000-00001E310000}"/>
    <cellStyle name="Normal 3 2 4 10" xfId="17398" xr:uid="{00000000-0005-0000-0000-00001F310000}"/>
    <cellStyle name="Normal 3 2 4 10 2" xfId="16313" xr:uid="{00000000-0005-0000-0000-000020310000}"/>
    <cellStyle name="Normal 3 2 4 11" xfId="247" xr:uid="{00000000-0005-0000-0000-000021310000}"/>
    <cellStyle name="Normal 3 2 4 11 2" xfId="23724" xr:uid="{00000000-0005-0000-0000-000022310000}"/>
    <cellStyle name="Normal 3 2 4 12" xfId="23725" xr:uid="{00000000-0005-0000-0000-000023310000}"/>
    <cellStyle name="Normal 3 2 4 12 2" xfId="23726" xr:uid="{00000000-0005-0000-0000-000024310000}"/>
    <cellStyle name="Normal 3 2 4 2" xfId="21151" xr:uid="{00000000-0005-0000-0000-000025310000}"/>
    <cellStyle name="Normal 3 2 4 2 2" xfId="23727" xr:uid="{00000000-0005-0000-0000-000026310000}"/>
    <cellStyle name="Normal 3 2 4 2 2 2" xfId="23728" xr:uid="{00000000-0005-0000-0000-000027310000}"/>
    <cellStyle name="Normal 3 2 4 2 2 2 2" xfId="20846" xr:uid="{00000000-0005-0000-0000-000028310000}"/>
    <cellStyle name="Normal 3 2 4 2 2 2 2 2" xfId="20850" xr:uid="{00000000-0005-0000-0000-000029310000}"/>
    <cellStyle name="Normal 3 2 4 2 2 2 2 2 2" xfId="19447" xr:uid="{00000000-0005-0000-0000-00002A310000}"/>
    <cellStyle name="Normal 3 2 4 2 2 2 2 2 2 2" xfId="19449" xr:uid="{00000000-0005-0000-0000-00002B310000}"/>
    <cellStyle name="Normal 3 2 4 2 2 2 2 2 3" xfId="19453" xr:uid="{00000000-0005-0000-0000-00002C310000}"/>
    <cellStyle name="Normal 3 2 4 2 2 2 2 3" xfId="23729" xr:uid="{00000000-0005-0000-0000-00002D310000}"/>
    <cellStyle name="Normal 3 2 4 2 2 2 2 3 2" xfId="23732" xr:uid="{00000000-0005-0000-0000-00002E310000}"/>
    <cellStyle name="Normal 3 2 4 2 2 2 2 4" xfId="18897" xr:uid="{00000000-0005-0000-0000-00002F310000}"/>
    <cellStyle name="Normal 3 2 4 2 2 2 3" xfId="20852" xr:uid="{00000000-0005-0000-0000-000030310000}"/>
    <cellStyle name="Normal 3 2 4 2 2 2 3 2" xfId="20856" xr:uid="{00000000-0005-0000-0000-000031310000}"/>
    <cellStyle name="Normal 3 2 4 2 2 2 3 2 2" xfId="23733" xr:uid="{00000000-0005-0000-0000-000032310000}"/>
    <cellStyle name="Normal 3 2 4 2 2 2 3 3" xfId="23734" xr:uid="{00000000-0005-0000-0000-000033310000}"/>
    <cellStyle name="Normal 3 2 4 2 2 2 4" xfId="20859" xr:uid="{00000000-0005-0000-0000-000034310000}"/>
    <cellStyle name="Normal 3 2 4 2 2 2 4 2" xfId="23738" xr:uid="{00000000-0005-0000-0000-000035310000}"/>
    <cellStyle name="Normal 3 2 4 2 2 2 4 2 2" xfId="21447" xr:uid="{00000000-0005-0000-0000-000036310000}"/>
    <cellStyle name="Normal 3 2 4 2 2 2 4 3" xfId="23740" xr:uid="{00000000-0005-0000-0000-000037310000}"/>
    <cellStyle name="Normal 3 2 4 2 2 2 5" xfId="20864" xr:uid="{00000000-0005-0000-0000-000038310000}"/>
    <cellStyle name="Normal 3 2 4 2 2 2 5 2" xfId="23744" xr:uid="{00000000-0005-0000-0000-000039310000}"/>
    <cellStyle name="Normal 3 2 4 2 2 2 6" xfId="23748" xr:uid="{00000000-0005-0000-0000-00003A310000}"/>
    <cellStyle name="Normal 3 2 4 2 2 2 6 2" xfId="23749" xr:uid="{00000000-0005-0000-0000-00003B310000}"/>
    <cellStyle name="Normal 3 2 4 2 2 2 7" xfId="23750" xr:uid="{00000000-0005-0000-0000-00003C310000}"/>
    <cellStyle name="Normal 3 2 4 2 2 3" xfId="23751" xr:uid="{00000000-0005-0000-0000-00003D310000}"/>
    <cellStyle name="Normal 3 2 4 2 2 3 2" xfId="15333" xr:uid="{00000000-0005-0000-0000-00003E310000}"/>
    <cellStyle name="Normal 3 2 4 2 2 3 2 2" xfId="23752" xr:uid="{00000000-0005-0000-0000-00003F310000}"/>
    <cellStyle name="Normal 3 2 4 2 2 3 2 2 2" xfId="23753" xr:uid="{00000000-0005-0000-0000-000040310000}"/>
    <cellStyle name="Normal 3 2 4 2 2 3 2 3" xfId="20193" xr:uid="{00000000-0005-0000-0000-000041310000}"/>
    <cellStyle name="Normal 3 2 4 2 2 3 3" xfId="23754" xr:uid="{00000000-0005-0000-0000-000042310000}"/>
    <cellStyle name="Normal 3 2 4 2 2 3 3 2" xfId="23755" xr:uid="{00000000-0005-0000-0000-000043310000}"/>
    <cellStyle name="Normal 3 2 4 2 2 3 4" xfId="23757" xr:uid="{00000000-0005-0000-0000-000044310000}"/>
    <cellStyle name="Normal 3 2 4 2 2 4" xfId="9120" xr:uid="{00000000-0005-0000-0000-000045310000}"/>
    <cellStyle name="Normal 3 2 4 2 2 4 2" xfId="23758" xr:uid="{00000000-0005-0000-0000-000046310000}"/>
    <cellStyle name="Normal 3 2 4 2 2 4 2 2" xfId="23761" xr:uid="{00000000-0005-0000-0000-000047310000}"/>
    <cellStyle name="Normal 3 2 4 2 2 4 3" xfId="23764" xr:uid="{00000000-0005-0000-0000-000048310000}"/>
    <cellStyle name="Normal 3 2 4 2 2 5" xfId="21542" xr:uid="{00000000-0005-0000-0000-000049310000}"/>
    <cellStyle name="Normal 3 2 4 2 2 5 2" xfId="21548" xr:uid="{00000000-0005-0000-0000-00004A310000}"/>
    <cellStyle name="Normal 3 2 4 2 2 5 2 2" xfId="21551" xr:uid="{00000000-0005-0000-0000-00004B310000}"/>
    <cellStyle name="Normal 3 2 4 2 2 5 3" xfId="21563" xr:uid="{00000000-0005-0000-0000-00004C310000}"/>
    <cellStyle name="Normal 3 2 4 2 2 6" xfId="21589" xr:uid="{00000000-0005-0000-0000-00004D310000}"/>
    <cellStyle name="Normal 3 2 4 2 2 6 2" xfId="21593" xr:uid="{00000000-0005-0000-0000-00004E310000}"/>
    <cellStyle name="Normal 3 2 4 2 2 7" xfId="21611" xr:uid="{00000000-0005-0000-0000-00004F310000}"/>
    <cellStyle name="Normal 3 2 4 2 2 7 2" xfId="21616" xr:uid="{00000000-0005-0000-0000-000050310000}"/>
    <cellStyle name="Normal 3 2 4 2 2 8" xfId="21640" xr:uid="{00000000-0005-0000-0000-000051310000}"/>
    <cellStyle name="Normal 3 2 4 2 3" xfId="13151" xr:uid="{00000000-0005-0000-0000-000052310000}"/>
    <cellStyle name="Normal 3 2 4 2 3 2" xfId="13153" xr:uid="{00000000-0005-0000-0000-000053310000}"/>
    <cellStyle name="Normal 3 2 4 2 3 2 2" xfId="20907" xr:uid="{00000000-0005-0000-0000-000054310000}"/>
    <cellStyle name="Normal 3 2 4 2 3 2 2 2" xfId="11497" xr:uid="{00000000-0005-0000-0000-000055310000}"/>
    <cellStyle name="Normal 3 2 4 2 3 2 2 2 2" xfId="11507" xr:uid="{00000000-0005-0000-0000-000056310000}"/>
    <cellStyle name="Normal 3 2 4 2 3 2 2 3" xfId="19594" xr:uid="{00000000-0005-0000-0000-000057310000}"/>
    <cellStyle name="Normal 3 2 4 2 3 2 3" xfId="20912" xr:uid="{00000000-0005-0000-0000-000058310000}"/>
    <cellStyle name="Normal 3 2 4 2 3 2 3 2" xfId="19629" xr:uid="{00000000-0005-0000-0000-000059310000}"/>
    <cellStyle name="Normal 3 2 4 2 3 2 4" xfId="15614" xr:uid="{00000000-0005-0000-0000-00005A310000}"/>
    <cellStyle name="Normal 3 2 4 2 3 3" xfId="23767" xr:uid="{00000000-0005-0000-0000-00005B310000}"/>
    <cellStyle name="Normal 3 2 4 2 3 3 2" xfId="23768" xr:uid="{00000000-0005-0000-0000-00005C310000}"/>
    <cellStyle name="Normal 3 2 4 2 3 3 2 2" xfId="3114" xr:uid="{00000000-0005-0000-0000-00005D310000}"/>
    <cellStyle name="Normal 3 2 4 2 3 3 3" xfId="23769" xr:uid="{00000000-0005-0000-0000-00005E310000}"/>
    <cellStyle name="Normal 3 2 4 2 3 4" xfId="9124" xr:uid="{00000000-0005-0000-0000-00005F310000}"/>
    <cellStyle name="Normal 3 2 4 2 3 4 2" xfId="18404" xr:uid="{00000000-0005-0000-0000-000060310000}"/>
    <cellStyle name="Normal 3 2 4 2 3 4 2 2" xfId="5581" xr:uid="{00000000-0005-0000-0000-000061310000}"/>
    <cellStyle name="Normal 3 2 4 2 3 4 3" xfId="18408" xr:uid="{00000000-0005-0000-0000-000062310000}"/>
    <cellStyle name="Normal 3 2 4 2 3 5" xfId="23771" xr:uid="{00000000-0005-0000-0000-000063310000}"/>
    <cellStyle name="Normal 3 2 4 2 3 5 2" xfId="23775" xr:uid="{00000000-0005-0000-0000-000064310000}"/>
    <cellStyle name="Normal 3 2 4 2 3 6" xfId="23777" xr:uid="{00000000-0005-0000-0000-000065310000}"/>
    <cellStyle name="Normal 3 2 4 2 3 6 2" xfId="23779" xr:uid="{00000000-0005-0000-0000-000066310000}"/>
    <cellStyle name="Normal 3 2 4 2 3 7" xfId="19181" xr:uid="{00000000-0005-0000-0000-000067310000}"/>
    <cellStyle name="Normal 3 2 4 2 4" xfId="13158" xr:uid="{00000000-0005-0000-0000-000068310000}"/>
    <cellStyle name="Normal 3 2 4 2 4 2" xfId="23780" xr:uid="{00000000-0005-0000-0000-000069310000}"/>
    <cellStyle name="Normal 3 2 4 2 4 2 2" xfId="20964" xr:uid="{00000000-0005-0000-0000-00006A310000}"/>
    <cellStyle name="Normal 3 2 4 2 4 2 2 2" xfId="20971" xr:uid="{00000000-0005-0000-0000-00006B310000}"/>
    <cellStyle name="Normal 3 2 4 2 4 2 3" xfId="20974" xr:uid="{00000000-0005-0000-0000-00006C310000}"/>
    <cellStyle name="Normal 3 2 4 2 4 3" xfId="12022" xr:uid="{00000000-0005-0000-0000-00006D310000}"/>
    <cellStyle name="Normal 3 2 4 2 4 3 2" xfId="23782" xr:uid="{00000000-0005-0000-0000-00006E310000}"/>
    <cellStyle name="Normal 3 2 4 2 4 4" xfId="2994" xr:uid="{00000000-0005-0000-0000-00006F310000}"/>
    <cellStyle name="Normal 3 2 4 2 5" xfId="23783" xr:uid="{00000000-0005-0000-0000-000070310000}"/>
    <cellStyle name="Normal 3 2 4 2 5 2" xfId="17655" xr:uid="{00000000-0005-0000-0000-000071310000}"/>
    <cellStyle name="Normal 3 2 4 2 5 2 2" xfId="14800" xr:uid="{00000000-0005-0000-0000-000072310000}"/>
    <cellStyle name="Normal 3 2 4 2 5 3" xfId="17657" xr:uid="{00000000-0005-0000-0000-000073310000}"/>
    <cellStyle name="Normal 3 2 4 2 6" xfId="23784" xr:uid="{00000000-0005-0000-0000-000074310000}"/>
    <cellStyle name="Normal 3 2 4 2 6 2" xfId="17661" xr:uid="{00000000-0005-0000-0000-000075310000}"/>
    <cellStyle name="Normal 3 2 4 2 6 2 2" xfId="15417" xr:uid="{00000000-0005-0000-0000-000076310000}"/>
    <cellStyle name="Normal 3 2 4 2 6 3" xfId="17664" xr:uid="{00000000-0005-0000-0000-000077310000}"/>
    <cellStyle name="Normal 3 2 4 2 7" xfId="23785" xr:uid="{00000000-0005-0000-0000-000078310000}"/>
    <cellStyle name="Normal 3 2 4 2 7 2" xfId="17670" xr:uid="{00000000-0005-0000-0000-000079310000}"/>
    <cellStyle name="Normal 3 2 4 2 8" xfId="23786" xr:uid="{00000000-0005-0000-0000-00007A310000}"/>
    <cellStyle name="Normal 3 2 4 2 8 2" xfId="17675" xr:uid="{00000000-0005-0000-0000-00007B310000}"/>
    <cellStyle name="Normal 3 2 4 2 9" xfId="23787" xr:uid="{00000000-0005-0000-0000-00007C310000}"/>
    <cellStyle name="Normal 3 2 4 3" xfId="23788" xr:uid="{00000000-0005-0000-0000-00007D310000}"/>
    <cellStyle name="Normal 3 2 4 3 2" xfId="23789" xr:uid="{00000000-0005-0000-0000-00007E310000}"/>
    <cellStyle name="Normal 3 2 4 3 2 2" xfId="20267" xr:uid="{00000000-0005-0000-0000-00007F310000}"/>
    <cellStyle name="Normal 3 2 4 3 2 2 2" xfId="20269" xr:uid="{00000000-0005-0000-0000-000080310000}"/>
    <cellStyle name="Normal 3 2 4 3 2 2 2 2" xfId="20272" xr:uid="{00000000-0005-0000-0000-000081310000}"/>
    <cellStyle name="Normal 3 2 4 3 2 2 2 2 2" xfId="20274" xr:uid="{00000000-0005-0000-0000-000082310000}"/>
    <cellStyle name="Normal 3 2 4 3 2 2 2 3" xfId="20277" xr:uid="{00000000-0005-0000-0000-000083310000}"/>
    <cellStyle name="Normal 3 2 4 3 2 2 3" xfId="20280" xr:uid="{00000000-0005-0000-0000-000084310000}"/>
    <cellStyle name="Normal 3 2 4 3 2 2 3 2" xfId="20284" xr:uid="{00000000-0005-0000-0000-000085310000}"/>
    <cellStyle name="Normal 3 2 4 3 2 2 4" xfId="1727" xr:uid="{00000000-0005-0000-0000-000086310000}"/>
    <cellStyle name="Normal 3 2 4 3 2 3" xfId="2048" xr:uid="{00000000-0005-0000-0000-000087310000}"/>
    <cellStyle name="Normal 3 2 4 3 2 3 2" xfId="3971" xr:uid="{00000000-0005-0000-0000-000088310000}"/>
    <cellStyle name="Normal 3 2 4 3 2 3 2 2" xfId="20287" xr:uid="{00000000-0005-0000-0000-000089310000}"/>
    <cellStyle name="Normal 3 2 4 3 2 3 3" xfId="20290" xr:uid="{00000000-0005-0000-0000-00008A310000}"/>
    <cellStyle name="Normal 3 2 4 3 2 4" xfId="3979" xr:uid="{00000000-0005-0000-0000-00008B310000}"/>
    <cellStyle name="Normal 3 2 4 3 2 4 2" xfId="13259" xr:uid="{00000000-0005-0000-0000-00008C310000}"/>
    <cellStyle name="Normal 3 2 4 3 2 4 2 2" xfId="13264" xr:uid="{00000000-0005-0000-0000-00008D310000}"/>
    <cellStyle name="Normal 3 2 4 3 2 4 3" xfId="13280" xr:uid="{00000000-0005-0000-0000-00008E310000}"/>
    <cellStyle name="Normal 3 2 4 3 2 5" xfId="85" xr:uid="{00000000-0005-0000-0000-00008F310000}"/>
    <cellStyle name="Normal 3 2 4 3 2 5 2" xfId="8180" xr:uid="{00000000-0005-0000-0000-000090310000}"/>
    <cellStyle name="Normal 3 2 4 3 2 6" xfId="8837" xr:uid="{00000000-0005-0000-0000-000091310000}"/>
    <cellStyle name="Normal 3 2 4 3 2 6 2" xfId="8851" xr:uid="{00000000-0005-0000-0000-000092310000}"/>
    <cellStyle name="Normal 3 2 4 3 2 7" xfId="8864" xr:uid="{00000000-0005-0000-0000-000093310000}"/>
    <cellStyle name="Normal 3 2 4 3 3" xfId="13166" xr:uid="{00000000-0005-0000-0000-000094310000}"/>
    <cellStyle name="Normal 3 2 4 3 3 2" xfId="13168" xr:uid="{00000000-0005-0000-0000-000095310000}"/>
    <cellStyle name="Normal 3 2 4 3 3 2 2" xfId="20303" xr:uid="{00000000-0005-0000-0000-000096310000}"/>
    <cellStyle name="Normal 3 2 4 3 3 2 2 2" xfId="19405" xr:uid="{00000000-0005-0000-0000-000097310000}"/>
    <cellStyle name="Normal 3 2 4 3 3 2 3" xfId="20308" xr:uid="{00000000-0005-0000-0000-000098310000}"/>
    <cellStyle name="Normal 3 2 4 3 3 3" xfId="195" xr:uid="{00000000-0005-0000-0000-000099310000}"/>
    <cellStyle name="Normal 3 2 4 3 3 3 2" xfId="20313" xr:uid="{00000000-0005-0000-0000-00009A310000}"/>
    <cellStyle name="Normal 3 2 4 3 3 4" xfId="20318" xr:uid="{00000000-0005-0000-0000-00009B310000}"/>
    <cellStyle name="Normal 3 2 4 3 4" xfId="13176" xr:uid="{00000000-0005-0000-0000-00009C310000}"/>
    <cellStyle name="Normal 3 2 4 3 4 2" xfId="20358" xr:uid="{00000000-0005-0000-0000-00009D310000}"/>
    <cellStyle name="Normal 3 2 4 3 4 2 2" xfId="20366" xr:uid="{00000000-0005-0000-0000-00009E310000}"/>
    <cellStyle name="Normal 3 2 4 3 4 3" xfId="12028" xr:uid="{00000000-0005-0000-0000-00009F310000}"/>
    <cellStyle name="Normal 3 2 4 3 5" xfId="23790" xr:uid="{00000000-0005-0000-0000-0000A0310000}"/>
    <cellStyle name="Normal 3 2 4 3 5 2" xfId="17687" xr:uid="{00000000-0005-0000-0000-0000A1310000}"/>
    <cellStyle name="Normal 3 2 4 3 5 2 2" xfId="7723" xr:uid="{00000000-0005-0000-0000-0000A2310000}"/>
    <cellStyle name="Normal 3 2 4 3 5 3" xfId="17692" xr:uid="{00000000-0005-0000-0000-0000A3310000}"/>
    <cellStyle name="Normal 3 2 4 3 6" xfId="9347" xr:uid="{00000000-0005-0000-0000-0000A4310000}"/>
    <cellStyle name="Normal 3 2 4 3 6 2" xfId="7804" xr:uid="{00000000-0005-0000-0000-0000A5310000}"/>
    <cellStyle name="Normal 3 2 4 3 7" xfId="23791" xr:uid="{00000000-0005-0000-0000-0000A6310000}"/>
    <cellStyle name="Normal 3 2 4 3 7 2" xfId="17716" xr:uid="{00000000-0005-0000-0000-0000A7310000}"/>
    <cellStyle name="Normal 3 2 4 3 8" xfId="23792" xr:uid="{00000000-0005-0000-0000-0000A8310000}"/>
    <cellStyle name="Normal 3 2 4 4" xfId="23794" xr:uid="{00000000-0005-0000-0000-0000A9310000}"/>
    <cellStyle name="Normal 3 2 4 4 2" xfId="23796" xr:uid="{00000000-0005-0000-0000-0000AA310000}"/>
    <cellStyle name="Normal 3 2 4 4 2 2" xfId="23797" xr:uid="{00000000-0005-0000-0000-0000AB310000}"/>
    <cellStyle name="Normal 3 2 4 4 2 2 2" xfId="4783" xr:uid="{00000000-0005-0000-0000-0000AC310000}"/>
    <cellStyle name="Normal 3 2 4 4 2 2 2 2" xfId="23798" xr:uid="{00000000-0005-0000-0000-0000AD310000}"/>
    <cellStyle name="Normal 3 2 4 4 2 2 2 2 2" xfId="6442" xr:uid="{00000000-0005-0000-0000-0000AE310000}"/>
    <cellStyle name="Normal 3 2 4 4 2 2 2 3" xfId="23799" xr:uid="{00000000-0005-0000-0000-0000AF310000}"/>
    <cellStyle name="Normal 3 2 4 4 2 2 3" xfId="23800" xr:uid="{00000000-0005-0000-0000-0000B0310000}"/>
    <cellStyle name="Normal 3 2 4 4 2 2 3 2" xfId="23801" xr:uid="{00000000-0005-0000-0000-0000B1310000}"/>
    <cellStyle name="Normal 3 2 4 4 2 2 4" xfId="3663" xr:uid="{00000000-0005-0000-0000-0000B2310000}"/>
    <cellStyle name="Normal 3 2 4 4 2 3" xfId="4003" xr:uid="{00000000-0005-0000-0000-0000B3310000}"/>
    <cellStyle name="Normal 3 2 4 4 2 3 2" xfId="23802" xr:uid="{00000000-0005-0000-0000-0000B4310000}"/>
    <cellStyle name="Normal 3 2 4 4 2 3 2 2" xfId="22405" xr:uid="{00000000-0005-0000-0000-0000B5310000}"/>
    <cellStyle name="Normal 3 2 4 4 2 3 3" xfId="23805" xr:uid="{00000000-0005-0000-0000-0000B6310000}"/>
    <cellStyle name="Normal 3 2 4 4 2 4" xfId="23806" xr:uid="{00000000-0005-0000-0000-0000B7310000}"/>
    <cellStyle name="Normal 3 2 4 4 2 4 2" xfId="23807" xr:uid="{00000000-0005-0000-0000-0000B8310000}"/>
    <cellStyle name="Normal 3 2 4 4 2 4 2 2" xfId="22463" xr:uid="{00000000-0005-0000-0000-0000B9310000}"/>
    <cellStyle name="Normal 3 2 4 4 2 4 3" xfId="23812" xr:uid="{00000000-0005-0000-0000-0000BA310000}"/>
    <cellStyle name="Normal 3 2 4 4 2 5" xfId="23814" xr:uid="{00000000-0005-0000-0000-0000BB310000}"/>
    <cellStyle name="Normal 3 2 4 4 2 5 2" xfId="23816" xr:uid="{00000000-0005-0000-0000-0000BC310000}"/>
    <cellStyle name="Normal 3 2 4 4 2 6" xfId="3917" xr:uid="{00000000-0005-0000-0000-0000BD310000}"/>
    <cellStyle name="Normal 3 2 4 4 2 6 2" xfId="20222" xr:uid="{00000000-0005-0000-0000-0000BE310000}"/>
    <cellStyle name="Normal 3 2 4 4 2 7" xfId="20228" xr:uid="{00000000-0005-0000-0000-0000BF310000}"/>
    <cellStyle name="Normal 3 2 4 4 3" xfId="13188" xr:uid="{00000000-0005-0000-0000-0000C0310000}"/>
    <cellStyle name="Normal 3 2 4 4 3 2" xfId="23818" xr:uid="{00000000-0005-0000-0000-0000C1310000}"/>
    <cellStyle name="Normal 3 2 4 4 3 2 2" xfId="2784" xr:uid="{00000000-0005-0000-0000-0000C2310000}"/>
    <cellStyle name="Normal 3 2 4 4 3 2 2 2" xfId="506" xr:uid="{00000000-0005-0000-0000-0000C3310000}"/>
    <cellStyle name="Normal 3 2 4 4 3 2 3" xfId="2810" xr:uid="{00000000-0005-0000-0000-0000C4310000}"/>
    <cellStyle name="Normal 3 2 4 4 3 3" xfId="23821" xr:uid="{00000000-0005-0000-0000-0000C5310000}"/>
    <cellStyle name="Normal 3 2 4 4 3 3 2" xfId="23824" xr:uid="{00000000-0005-0000-0000-0000C6310000}"/>
    <cellStyle name="Normal 3 2 4 4 3 4" xfId="23829" xr:uid="{00000000-0005-0000-0000-0000C7310000}"/>
    <cellStyle name="Normal 3 2 4 4 4" xfId="23831" xr:uid="{00000000-0005-0000-0000-0000C8310000}"/>
    <cellStyle name="Normal 3 2 4 4 4 2" xfId="23833" xr:uid="{00000000-0005-0000-0000-0000C9310000}"/>
    <cellStyle name="Normal 3 2 4 4 4 2 2" xfId="23838" xr:uid="{00000000-0005-0000-0000-0000CA310000}"/>
    <cellStyle name="Normal 3 2 4 4 4 3" xfId="10398" xr:uid="{00000000-0005-0000-0000-0000CB310000}"/>
    <cellStyle name="Normal 3 2 4 4 5" xfId="23839" xr:uid="{00000000-0005-0000-0000-0000CC310000}"/>
    <cellStyle name="Normal 3 2 4 4 5 2" xfId="17746" xr:uid="{00000000-0005-0000-0000-0000CD310000}"/>
    <cellStyle name="Normal 3 2 4 4 5 2 2" xfId="16564" xr:uid="{00000000-0005-0000-0000-0000CE310000}"/>
    <cellStyle name="Normal 3 2 4 4 5 3" xfId="17752" xr:uid="{00000000-0005-0000-0000-0000CF310000}"/>
    <cellStyle name="Normal 3 2 4 4 6" xfId="23840" xr:uid="{00000000-0005-0000-0000-0000D0310000}"/>
    <cellStyle name="Normal 3 2 4 4 6 2" xfId="17774" xr:uid="{00000000-0005-0000-0000-0000D1310000}"/>
    <cellStyle name="Normal 3 2 4 4 7" xfId="23841" xr:uid="{00000000-0005-0000-0000-0000D2310000}"/>
    <cellStyle name="Normal 3 2 4 4 7 2" xfId="17782" xr:uid="{00000000-0005-0000-0000-0000D3310000}"/>
    <cellStyle name="Normal 3 2 4 4 8" xfId="161" xr:uid="{00000000-0005-0000-0000-0000D4310000}"/>
    <cellStyle name="Normal 3 2 4 5" xfId="23845" xr:uid="{00000000-0005-0000-0000-0000D5310000}"/>
    <cellStyle name="Normal 3 2 4 5 2" xfId="23846" xr:uid="{00000000-0005-0000-0000-0000D6310000}"/>
    <cellStyle name="Normal 3 2 4 5 2 2" xfId="23847" xr:uid="{00000000-0005-0000-0000-0000D7310000}"/>
    <cellStyle name="Normal 3 2 4 5 2 2 2" xfId="23848" xr:uid="{00000000-0005-0000-0000-0000D8310000}"/>
    <cellStyle name="Normal 3 2 4 5 2 2 2 2" xfId="23849" xr:uid="{00000000-0005-0000-0000-0000D9310000}"/>
    <cellStyle name="Normal 3 2 4 5 2 2 2 2 2" xfId="23850" xr:uid="{00000000-0005-0000-0000-0000DA310000}"/>
    <cellStyle name="Normal 3 2 4 5 2 2 2 3" xfId="9212" xr:uid="{00000000-0005-0000-0000-0000DB310000}"/>
    <cellStyle name="Normal 3 2 4 5 2 2 3" xfId="12097" xr:uid="{00000000-0005-0000-0000-0000DC310000}"/>
    <cellStyle name="Normal 3 2 4 5 2 2 3 2" xfId="9256" xr:uid="{00000000-0005-0000-0000-0000DD310000}"/>
    <cellStyle name="Normal 3 2 4 5 2 2 4" xfId="12101" xr:uid="{00000000-0005-0000-0000-0000DE310000}"/>
    <cellStyle name="Normal 3 2 4 5 2 3" xfId="4022" xr:uid="{00000000-0005-0000-0000-0000DF310000}"/>
    <cellStyle name="Normal 3 2 4 5 2 3 2" xfId="23851" xr:uid="{00000000-0005-0000-0000-0000E0310000}"/>
    <cellStyle name="Normal 3 2 4 5 2 3 2 2" xfId="22692" xr:uid="{00000000-0005-0000-0000-0000E1310000}"/>
    <cellStyle name="Normal 3 2 4 5 2 3 3" xfId="12114" xr:uid="{00000000-0005-0000-0000-0000E2310000}"/>
    <cellStyle name="Normal 3 2 4 5 2 4" xfId="23852" xr:uid="{00000000-0005-0000-0000-0000E3310000}"/>
    <cellStyle name="Normal 3 2 4 5 2 4 2" xfId="23853" xr:uid="{00000000-0005-0000-0000-0000E4310000}"/>
    <cellStyle name="Normal 3 2 4 5 2 4 2 2" xfId="22728" xr:uid="{00000000-0005-0000-0000-0000E5310000}"/>
    <cellStyle name="Normal 3 2 4 5 2 4 3" xfId="12128" xr:uid="{00000000-0005-0000-0000-0000E6310000}"/>
    <cellStyle name="Normal 3 2 4 5 2 5" xfId="23855" xr:uid="{00000000-0005-0000-0000-0000E7310000}"/>
    <cellStyle name="Normal 3 2 4 5 2 5 2" xfId="23857" xr:uid="{00000000-0005-0000-0000-0000E8310000}"/>
    <cellStyle name="Normal 3 2 4 5 2 6" xfId="20249" xr:uid="{00000000-0005-0000-0000-0000E9310000}"/>
    <cellStyle name="Normal 3 2 4 5 2 6 2" xfId="23858" xr:uid="{00000000-0005-0000-0000-0000EA310000}"/>
    <cellStyle name="Normal 3 2 4 5 2 7" xfId="23861" xr:uid="{00000000-0005-0000-0000-0000EB310000}"/>
    <cellStyle name="Normal 3 2 4 5 3" xfId="13191" xr:uid="{00000000-0005-0000-0000-0000EC310000}"/>
    <cellStyle name="Normal 3 2 4 5 3 2" xfId="23863" xr:uid="{00000000-0005-0000-0000-0000ED310000}"/>
    <cellStyle name="Normal 3 2 4 5 3 2 2" xfId="15149" xr:uid="{00000000-0005-0000-0000-0000EE310000}"/>
    <cellStyle name="Normal 3 2 4 5 3 2 2 2" xfId="15151" xr:uid="{00000000-0005-0000-0000-0000EF310000}"/>
    <cellStyle name="Normal 3 2 4 5 3 2 3" xfId="4636" xr:uid="{00000000-0005-0000-0000-0000F0310000}"/>
    <cellStyle name="Normal 3 2 4 5 3 3" xfId="23865" xr:uid="{00000000-0005-0000-0000-0000F1310000}"/>
    <cellStyle name="Normal 3 2 4 5 3 3 2" xfId="15687" xr:uid="{00000000-0005-0000-0000-0000F2310000}"/>
    <cellStyle name="Normal 3 2 4 5 3 4" xfId="23868" xr:uid="{00000000-0005-0000-0000-0000F3310000}"/>
    <cellStyle name="Normal 3 2 4 5 4" xfId="23869" xr:uid="{00000000-0005-0000-0000-0000F4310000}"/>
    <cellStyle name="Normal 3 2 4 5 4 2" xfId="23872" xr:uid="{00000000-0005-0000-0000-0000F5310000}"/>
    <cellStyle name="Normal 3 2 4 5 4 2 2" xfId="16334" xr:uid="{00000000-0005-0000-0000-0000F6310000}"/>
    <cellStyle name="Normal 3 2 4 5 4 3" xfId="23873" xr:uid="{00000000-0005-0000-0000-0000F7310000}"/>
    <cellStyle name="Normal 3 2 4 5 5" xfId="23876" xr:uid="{00000000-0005-0000-0000-0000F8310000}"/>
    <cellStyle name="Normal 3 2 4 5 5 2" xfId="17803" xr:uid="{00000000-0005-0000-0000-0000F9310000}"/>
    <cellStyle name="Normal 3 2 4 5 5 2 2" xfId="16598" xr:uid="{00000000-0005-0000-0000-0000FA310000}"/>
    <cellStyle name="Normal 3 2 4 5 5 3" xfId="17805" xr:uid="{00000000-0005-0000-0000-0000FB310000}"/>
    <cellStyle name="Normal 3 2 4 5 6" xfId="23877" xr:uid="{00000000-0005-0000-0000-0000FC310000}"/>
    <cellStyle name="Normal 3 2 4 5 6 2" xfId="17820" xr:uid="{00000000-0005-0000-0000-0000FD310000}"/>
    <cellStyle name="Normal 3 2 4 5 7" xfId="23878" xr:uid="{00000000-0005-0000-0000-0000FE310000}"/>
    <cellStyle name="Normal 3 2 4 5 7 2" xfId="17826" xr:uid="{00000000-0005-0000-0000-0000FF310000}"/>
    <cellStyle name="Normal 3 2 4 5 8" xfId="23879" xr:uid="{00000000-0005-0000-0000-000000320000}"/>
    <cellStyle name="Normal 3 2 4 6" xfId="18064" xr:uid="{00000000-0005-0000-0000-000001320000}"/>
    <cellStyle name="Normal 3 2 4 6 2" xfId="23880" xr:uid="{00000000-0005-0000-0000-000002320000}"/>
    <cellStyle name="Normal 3 2 4 6 2 2" xfId="23881" xr:uid="{00000000-0005-0000-0000-000003320000}"/>
    <cellStyle name="Normal 3 2 4 6 2 2 2" xfId="23886" xr:uid="{00000000-0005-0000-0000-000004320000}"/>
    <cellStyle name="Normal 3 2 4 6 2 2 2 2" xfId="3929" xr:uid="{00000000-0005-0000-0000-000005320000}"/>
    <cellStyle name="Normal 3 2 4 6 2 2 3" xfId="5014" xr:uid="{00000000-0005-0000-0000-000006320000}"/>
    <cellStyle name="Normal 3 2 4 6 2 3" xfId="23887" xr:uid="{00000000-0005-0000-0000-000007320000}"/>
    <cellStyle name="Normal 3 2 4 6 2 3 2" xfId="23890" xr:uid="{00000000-0005-0000-0000-000008320000}"/>
    <cellStyle name="Normal 3 2 4 6 2 4" xfId="23891" xr:uid="{00000000-0005-0000-0000-000009320000}"/>
    <cellStyle name="Normal 3 2 4 6 3" xfId="23892" xr:uid="{00000000-0005-0000-0000-00000A320000}"/>
    <cellStyle name="Normal 3 2 4 6 3 2" xfId="23893" xr:uid="{00000000-0005-0000-0000-00000B320000}"/>
    <cellStyle name="Normal 3 2 4 6 3 2 2" xfId="13070" xr:uid="{00000000-0005-0000-0000-00000C320000}"/>
    <cellStyle name="Normal 3 2 4 6 3 3" xfId="23896" xr:uid="{00000000-0005-0000-0000-00000D320000}"/>
    <cellStyle name="Normal 3 2 4 6 4" xfId="23897" xr:uid="{00000000-0005-0000-0000-00000E320000}"/>
    <cellStyle name="Normal 3 2 4 6 4 2" xfId="23898" xr:uid="{00000000-0005-0000-0000-00000F320000}"/>
    <cellStyle name="Normal 3 2 4 6 4 2 2" xfId="17214" xr:uid="{00000000-0005-0000-0000-000010320000}"/>
    <cellStyle name="Normal 3 2 4 6 4 3" xfId="23899" xr:uid="{00000000-0005-0000-0000-000011320000}"/>
    <cellStyle name="Normal 3 2 4 6 5" xfId="21067" xr:uid="{00000000-0005-0000-0000-000012320000}"/>
    <cellStyle name="Normal 3 2 4 6 5 2" xfId="17836" xr:uid="{00000000-0005-0000-0000-000013320000}"/>
    <cellStyle name="Normal 3 2 4 6 6" xfId="23900" xr:uid="{00000000-0005-0000-0000-000014320000}"/>
    <cellStyle name="Normal 3 2 4 6 6 2" xfId="23903" xr:uid="{00000000-0005-0000-0000-000015320000}"/>
    <cellStyle name="Normal 3 2 4 6 7" xfId="23904" xr:uid="{00000000-0005-0000-0000-000016320000}"/>
    <cellStyle name="Normal 3 2 4 7" xfId="23905" xr:uid="{00000000-0005-0000-0000-000017320000}"/>
    <cellStyle name="Normal 3 2 4 7 2" xfId="23906" xr:uid="{00000000-0005-0000-0000-000018320000}"/>
    <cellStyle name="Normal 3 2 4 7 2 2" xfId="23907" xr:uid="{00000000-0005-0000-0000-000019320000}"/>
    <cellStyle name="Normal 3 2 4 7 2 2 2" xfId="23910" xr:uid="{00000000-0005-0000-0000-00001A320000}"/>
    <cellStyle name="Normal 3 2 4 7 2 3" xfId="6971" xr:uid="{00000000-0005-0000-0000-00001B320000}"/>
    <cellStyle name="Normal 3 2 4 7 3" xfId="76" xr:uid="{00000000-0005-0000-0000-00001C320000}"/>
    <cellStyle name="Normal 3 2 4 7 3 2" xfId="13777" xr:uid="{00000000-0005-0000-0000-00001D320000}"/>
    <cellStyle name="Normal 3 2 4 7 4" xfId="21485" xr:uid="{00000000-0005-0000-0000-00001E320000}"/>
    <cellStyle name="Normal 3 2 4 8" xfId="23911" xr:uid="{00000000-0005-0000-0000-00001F320000}"/>
    <cellStyle name="Normal 3 2 4 8 2" xfId="23915" xr:uid="{00000000-0005-0000-0000-000020320000}"/>
    <cellStyle name="Normal 3 2 4 8 2 2" xfId="23919" xr:uid="{00000000-0005-0000-0000-000021320000}"/>
    <cellStyle name="Normal 3 2 4 8 3" xfId="23928" xr:uid="{00000000-0005-0000-0000-000022320000}"/>
    <cellStyle name="Normal 3 2 4 9" xfId="23933" xr:uid="{00000000-0005-0000-0000-000023320000}"/>
    <cellStyle name="Normal 3 2 4 9 2" xfId="3645" xr:uid="{00000000-0005-0000-0000-000024320000}"/>
    <cellStyle name="Normal 3 2 4 9 2 2" xfId="18417" xr:uid="{00000000-0005-0000-0000-000025320000}"/>
    <cellStyle name="Normal 3 2 4 9 3" xfId="23943" xr:uid="{00000000-0005-0000-0000-000026320000}"/>
    <cellStyle name="Normal 3 2 5" xfId="23944" xr:uid="{00000000-0005-0000-0000-000027320000}"/>
    <cellStyle name="Normal 3 2 5 10" xfId="23945" xr:uid="{00000000-0005-0000-0000-000028320000}"/>
    <cellStyle name="Normal 3 2 5 10 2" xfId="23948" xr:uid="{00000000-0005-0000-0000-000029320000}"/>
    <cellStyle name="Normal 3 2 5 11" xfId="23949" xr:uid="{00000000-0005-0000-0000-00002A320000}"/>
    <cellStyle name="Normal 3 2 5 11 2" xfId="23952" xr:uid="{00000000-0005-0000-0000-00002B320000}"/>
    <cellStyle name="Normal 3 2 5 12" xfId="23953" xr:uid="{00000000-0005-0000-0000-00002C320000}"/>
    <cellStyle name="Normal 3 2 5 12 2" xfId="23954" xr:uid="{00000000-0005-0000-0000-00002D320000}"/>
    <cellStyle name="Normal 3 2 5 13" xfId="18356" xr:uid="{00000000-0005-0000-0000-00002E320000}"/>
    <cellStyle name="Normal 3 2 5 2" xfId="23955" xr:uid="{00000000-0005-0000-0000-00002F320000}"/>
    <cellStyle name="Normal 3 2 5 2 2" xfId="23956" xr:uid="{00000000-0005-0000-0000-000030320000}"/>
    <cellStyle name="Normal 3 2 5 2 2 2" xfId="20504" xr:uid="{00000000-0005-0000-0000-000031320000}"/>
    <cellStyle name="Normal 3 2 5 2 2 2 2" xfId="20508" xr:uid="{00000000-0005-0000-0000-000032320000}"/>
    <cellStyle name="Normal 3 2 5 2 2 2 2 2" xfId="20511" xr:uid="{00000000-0005-0000-0000-000033320000}"/>
    <cellStyle name="Normal 3 2 5 2 2 2 2 2 2" xfId="20686" xr:uid="{00000000-0005-0000-0000-000034320000}"/>
    <cellStyle name="Normal 3 2 5 2 2 2 2 2 2 2" xfId="23957" xr:uid="{00000000-0005-0000-0000-000035320000}"/>
    <cellStyle name="Normal 3 2 5 2 2 2 2 2 3" xfId="23958" xr:uid="{00000000-0005-0000-0000-000036320000}"/>
    <cellStyle name="Normal 3 2 5 2 2 2 2 3" xfId="15784" xr:uid="{00000000-0005-0000-0000-000037320000}"/>
    <cellStyle name="Normal 3 2 5 2 2 2 2 3 2" xfId="23959" xr:uid="{00000000-0005-0000-0000-000038320000}"/>
    <cellStyle name="Normal 3 2 5 2 2 2 2 4" xfId="23960" xr:uid="{00000000-0005-0000-0000-000039320000}"/>
    <cellStyle name="Normal 3 2 5 2 2 2 3" xfId="20515" xr:uid="{00000000-0005-0000-0000-00003A320000}"/>
    <cellStyle name="Normal 3 2 5 2 2 2 3 2" xfId="23961" xr:uid="{00000000-0005-0000-0000-00003B320000}"/>
    <cellStyle name="Normal 3 2 5 2 2 2 3 2 2" xfId="15842" xr:uid="{00000000-0005-0000-0000-00003C320000}"/>
    <cellStyle name="Normal 3 2 5 2 2 2 3 3" xfId="23962" xr:uid="{00000000-0005-0000-0000-00003D320000}"/>
    <cellStyle name="Normal 3 2 5 2 2 2 4" xfId="23965" xr:uid="{00000000-0005-0000-0000-00003E320000}"/>
    <cellStyle name="Normal 3 2 5 2 2 2 4 2" xfId="23967" xr:uid="{00000000-0005-0000-0000-00003F320000}"/>
    <cellStyle name="Normal 3 2 5 2 2 2 4 2 2" xfId="15885" xr:uid="{00000000-0005-0000-0000-000040320000}"/>
    <cellStyle name="Normal 3 2 5 2 2 2 4 3" xfId="23968" xr:uid="{00000000-0005-0000-0000-000041320000}"/>
    <cellStyle name="Normal 3 2 5 2 2 2 5" xfId="23973" xr:uid="{00000000-0005-0000-0000-000042320000}"/>
    <cellStyle name="Normal 3 2 5 2 2 2 5 2" xfId="23975" xr:uid="{00000000-0005-0000-0000-000043320000}"/>
    <cellStyle name="Normal 3 2 5 2 2 2 6" xfId="23978" xr:uid="{00000000-0005-0000-0000-000044320000}"/>
    <cellStyle name="Normal 3 2 5 2 2 2 6 2" xfId="23979" xr:uid="{00000000-0005-0000-0000-000045320000}"/>
    <cellStyle name="Normal 3 2 5 2 2 2 7" xfId="23980" xr:uid="{00000000-0005-0000-0000-000046320000}"/>
    <cellStyle name="Normal 3 2 5 2 2 3" xfId="19305" xr:uid="{00000000-0005-0000-0000-000047320000}"/>
    <cellStyle name="Normal 3 2 5 2 2 3 2" xfId="20519" xr:uid="{00000000-0005-0000-0000-000048320000}"/>
    <cellStyle name="Normal 3 2 5 2 2 3 2 2" xfId="20522" xr:uid="{00000000-0005-0000-0000-000049320000}"/>
    <cellStyle name="Normal 3 2 5 2 2 3 2 2 2" xfId="23981" xr:uid="{00000000-0005-0000-0000-00004A320000}"/>
    <cellStyle name="Normal 3 2 5 2 2 3 2 3" xfId="23982" xr:uid="{00000000-0005-0000-0000-00004B320000}"/>
    <cellStyle name="Normal 3 2 5 2 2 3 3" xfId="20525" xr:uid="{00000000-0005-0000-0000-00004C320000}"/>
    <cellStyle name="Normal 3 2 5 2 2 3 3 2" xfId="23983" xr:uid="{00000000-0005-0000-0000-00004D320000}"/>
    <cellStyle name="Normal 3 2 5 2 2 3 4" xfId="23985" xr:uid="{00000000-0005-0000-0000-00004E320000}"/>
    <cellStyle name="Normal 3 2 5 2 2 4" xfId="3793" xr:uid="{00000000-0005-0000-0000-00004F320000}"/>
    <cellStyle name="Normal 3 2 5 2 2 4 2" xfId="3813" xr:uid="{00000000-0005-0000-0000-000050320000}"/>
    <cellStyle name="Normal 3 2 5 2 2 4 2 2" xfId="23987" xr:uid="{00000000-0005-0000-0000-000051320000}"/>
    <cellStyle name="Normal 3 2 5 2 2 4 3" xfId="23991" xr:uid="{00000000-0005-0000-0000-000052320000}"/>
    <cellStyle name="Normal 3 2 5 2 2 5" xfId="2884" xr:uid="{00000000-0005-0000-0000-000053320000}"/>
    <cellStyle name="Normal 3 2 5 2 2 5 2" xfId="20529" xr:uid="{00000000-0005-0000-0000-000054320000}"/>
    <cellStyle name="Normal 3 2 5 2 2 5 2 2" xfId="18957" xr:uid="{00000000-0005-0000-0000-000055320000}"/>
    <cellStyle name="Normal 3 2 5 2 2 5 3" xfId="23993" xr:uid="{00000000-0005-0000-0000-000056320000}"/>
    <cellStyle name="Normal 3 2 5 2 2 6" xfId="20532" xr:uid="{00000000-0005-0000-0000-000057320000}"/>
    <cellStyle name="Normal 3 2 5 2 2 6 2" xfId="23997" xr:uid="{00000000-0005-0000-0000-000058320000}"/>
    <cellStyle name="Normal 3 2 5 2 2 7" xfId="20537" xr:uid="{00000000-0005-0000-0000-000059320000}"/>
    <cellStyle name="Normal 3 2 5 2 2 7 2" xfId="24003" xr:uid="{00000000-0005-0000-0000-00005A320000}"/>
    <cellStyle name="Normal 3 2 5 2 2 8" xfId="24007" xr:uid="{00000000-0005-0000-0000-00005B320000}"/>
    <cellStyle name="Normal 3 2 5 2 3" xfId="13198" xr:uid="{00000000-0005-0000-0000-00005C320000}"/>
    <cellStyle name="Normal 3 2 5 2 3 2" xfId="18884" xr:uid="{00000000-0005-0000-0000-00005D320000}"/>
    <cellStyle name="Normal 3 2 5 2 3 2 2" xfId="18893" xr:uid="{00000000-0005-0000-0000-00005E320000}"/>
    <cellStyle name="Normal 3 2 5 2 3 2 2 2" xfId="18895" xr:uid="{00000000-0005-0000-0000-00005F320000}"/>
    <cellStyle name="Normal 3 2 5 2 3 2 2 2 2" xfId="24008" xr:uid="{00000000-0005-0000-0000-000060320000}"/>
    <cellStyle name="Normal 3 2 5 2 3 2 2 3" xfId="24009" xr:uid="{00000000-0005-0000-0000-000061320000}"/>
    <cellStyle name="Normal 3 2 5 2 3 2 3" xfId="18900" xr:uid="{00000000-0005-0000-0000-000062320000}"/>
    <cellStyle name="Normal 3 2 5 2 3 2 3 2" xfId="24010" xr:uid="{00000000-0005-0000-0000-000063320000}"/>
    <cellStyle name="Normal 3 2 5 2 3 2 4" xfId="24013" xr:uid="{00000000-0005-0000-0000-000064320000}"/>
    <cellStyle name="Normal 3 2 5 2 3 3" xfId="15174" xr:uid="{00000000-0005-0000-0000-000065320000}"/>
    <cellStyle name="Normal 3 2 5 2 3 3 2" xfId="18907" xr:uid="{00000000-0005-0000-0000-000066320000}"/>
    <cellStyle name="Normal 3 2 5 2 3 3 2 2" xfId="24014" xr:uid="{00000000-0005-0000-0000-000067320000}"/>
    <cellStyle name="Normal 3 2 5 2 3 3 3" xfId="24015" xr:uid="{00000000-0005-0000-0000-000068320000}"/>
    <cellStyle name="Normal 3 2 5 2 3 4" xfId="3824" xr:uid="{00000000-0005-0000-0000-000069320000}"/>
    <cellStyle name="Normal 3 2 5 2 3 4 2" xfId="18909" xr:uid="{00000000-0005-0000-0000-00006A320000}"/>
    <cellStyle name="Normal 3 2 5 2 3 4 2 2" xfId="24017" xr:uid="{00000000-0005-0000-0000-00006B320000}"/>
    <cellStyle name="Normal 3 2 5 2 3 4 3" xfId="20678" xr:uid="{00000000-0005-0000-0000-00006C320000}"/>
    <cellStyle name="Normal 3 2 5 2 3 5" xfId="18915" xr:uid="{00000000-0005-0000-0000-00006D320000}"/>
    <cellStyle name="Normal 3 2 5 2 3 5 2" xfId="24020" xr:uid="{00000000-0005-0000-0000-00006E320000}"/>
    <cellStyle name="Normal 3 2 5 2 3 6" xfId="18921" xr:uid="{00000000-0005-0000-0000-00006F320000}"/>
    <cellStyle name="Normal 3 2 5 2 3 6 2" xfId="24024" xr:uid="{00000000-0005-0000-0000-000070320000}"/>
    <cellStyle name="Normal 3 2 5 2 3 7" xfId="20637" xr:uid="{00000000-0005-0000-0000-000071320000}"/>
    <cellStyle name="Normal 3 2 5 2 4" xfId="24025" xr:uid="{00000000-0005-0000-0000-000072320000}"/>
    <cellStyle name="Normal 3 2 5 2 4 2" xfId="18954" xr:uid="{00000000-0005-0000-0000-000073320000}"/>
    <cellStyle name="Normal 3 2 5 2 4 2 2" xfId="24029" xr:uid="{00000000-0005-0000-0000-000074320000}"/>
    <cellStyle name="Normal 3 2 5 2 4 2 2 2" xfId="19596" xr:uid="{00000000-0005-0000-0000-000075320000}"/>
    <cellStyle name="Normal 3 2 5 2 4 2 3" xfId="24030" xr:uid="{00000000-0005-0000-0000-000076320000}"/>
    <cellStyle name="Normal 3 2 5 2 4 3" xfId="9247" xr:uid="{00000000-0005-0000-0000-000077320000}"/>
    <cellStyle name="Normal 3 2 5 2 4 3 2" xfId="24031" xr:uid="{00000000-0005-0000-0000-000078320000}"/>
    <cellStyle name="Normal 3 2 5 2 4 4" xfId="426" xr:uid="{00000000-0005-0000-0000-000079320000}"/>
    <cellStyle name="Normal 3 2 5 2 5" xfId="24032" xr:uid="{00000000-0005-0000-0000-00007A320000}"/>
    <cellStyle name="Normal 3 2 5 2 5 2" xfId="9326" xr:uid="{00000000-0005-0000-0000-00007B320000}"/>
    <cellStyle name="Normal 3 2 5 2 5 2 2" xfId="9335" xr:uid="{00000000-0005-0000-0000-00007C320000}"/>
    <cellStyle name="Normal 3 2 5 2 5 3" xfId="9436" xr:uid="{00000000-0005-0000-0000-00007D320000}"/>
    <cellStyle name="Normal 3 2 5 2 6" xfId="24033" xr:uid="{00000000-0005-0000-0000-00007E320000}"/>
    <cellStyle name="Normal 3 2 5 2 6 2" xfId="9466" xr:uid="{00000000-0005-0000-0000-00007F320000}"/>
    <cellStyle name="Normal 3 2 5 2 6 2 2" xfId="9478" xr:uid="{00000000-0005-0000-0000-000080320000}"/>
    <cellStyle name="Normal 3 2 5 2 6 3" xfId="9599" xr:uid="{00000000-0005-0000-0000-000081320000}"/>
    <cellStyle name="Normal 3 2 5 2 7" xfId="21331" xr:uid="{00000000-0005-0000-0000-000082320000}"/>
    <cellStyle name="Normal 3 2 5 2 7 2" xfId="9643" xr:uid="{00000000-0005-0000-0000-000083320000}"/>
    <cellStyle name="Normal 3 2 5 2 8" xfId="24034" xr:uid="{00000000-0005-0000-0000-000084320000}"/>
    <cellStyle name="Normal 3 2 5 2 8 2" xfId="24035" xr:uid="{00000000-0005-0000-0000-000085320000}"/>
    <cellStyle name="Normal 3 2 5 2 9" xfId="24036" xr:uid="{00000000-0005-0000-0000-000086320000}"/>
    <cellStyle name="Normal 3 2 5 3" xfId="24038" xr:uid="{00000000-0005-0000-0000-000087320000}"/>
    <cellStyle name="Normal 3 2 5 3 2" xfId="24039" xr:uid="{00000000-0005-0000-0000-000088320000}"/>
    <cellStyle name="Normal 3 2 5 3 2 2" xfId="20550" xr:uid="{00000000-0005-0000-0000-000089320000}"/>
    <cellStyle name="Normal 3 2 5 3 2 2 2" xfId="20554" xr:uid="{00000000-0005-0000-0000-00008A320000}"/>
    <cellStyle name="Normal 3 2 5 3 2 2 2 2" xfId="15587" xr:uid="{00000000-0005-0000-0000-00008B320000}"/>
    <cellStyle name="Normal 3 2 5 3 2 2 2 2 2" xfId="24041" xr:uid="{00000000-0005-0000-0000-00008C320000}"/>
    <cellStyle name="Normal 3 2 5 3 2 2 2 3" xfId="10161" xr:uid="{00000000-0005-0000-0000-00008D320000}"/>
    <cellStyle name="Normal 3 2 5 3 2 2 3" xfId="14036" xr:uid="{00000000-0005-0000-0000-00008E320000}"/>
    <cellStyle name="Normal 3 2 5 3 2 2 3 2" xfId="24042" xr:uid="{00000000-0005-0000-0000-00008F320000}"/>
    <cellStyle name="Normal 3 2 5 3 2 2 4" xfId="454" xr:uid="{00000000-0005-0000-0000-000090320000}"/>
    <cellStyle name="Normal 3 2 5 3 2 3" xfId="4090" xr:uid="{00000000-0005-0000-0000-000091320000}"/>
    <cellStyle name="Normal 3 2 5 3 2 3 2" xfId="20557" xr:uid="{00000000-0005-0000-0000-000092320000}"/>
    <cellStyle name="Normal 3 2 5 3 2 3 2 2" xfId="22289" xr:uid="{00000000-0005-0000-0000-000093320000}"/>
    <cellStyle name="Normal 3 2 5 3 2 3 3" xfId="24044" xr:uid="{00000000-0005-0000-0000-000094320000}"/>
    <cellStyle name="Normal 3 2 5 3 2 4" xfId="5214" xr:uid="{00000000-0005-0000-0000-000095320000}"/>
    <cellStyle name="Normal 3 2 5 3 2 4 2" xfId="5222" xr:uid="{00000000-0005-0000-0000-000096320000}"/>
    <cellStyle name="Normal 3 2 5 3 2 4 2 2" xfId="6171" xr:uid="{00000000-0005-0000-0000-000097320000}"/>
    <cellStyle name="Normal 3 2 5 3 2 4 3" xfId="6218" xr:uid="{00000000-0005-0000-0000-000098320000}"/>
    <cellStyle name="Normal 3 2 5 3 2 5" xfId="1718" xr:uid="{00000000-0005-0000-0000-000099320000}"/>
    <cellStyle name="Normal 3 2 5 3 2 5 2" xfId="1731" xr:uid="{00000000-0005-0000-0000-00009A320000}"/>
    <cellStyle name="Normal 3 2 5 3 2 6" xfId="20561" xr:uid="{00000000-0005-0000-0000-00009B320000}"/>
    <cellStyle name="Normal 3 2 5 3 2 6 2" xfId="6354" xr:uid="{00000000-0005-0000-0000-00009C320000}"/>
    <cellStyle name="Normal 3 2 5 3 2 7" xfId="24049" xr:uid="{00000000-0005-0000-0000-00009D320000}"/>
    <cellStyle name="Normal 3 2 5 3 3" xfId="24050" xr:uid="{00000000-0005-0000-0000-00009E320000}"/>
    <cellStyle name="Normal 3 2 5 3 3 2" xfId="19017" xr:uid="{00000000-0005-0000-0000-00009F320000}"/>
    <cellStyle name="Normal 3 2 5 3 3 2 2" xfId="19025" xr:uid="{00000000-0005-0000-0000-0000A0320000}"/>
    <cellStyle name="Normal 3 2 5 3 3 2 2 2" xfId="19027" xr:uid="{00000000-0005-0000-0000-0000A1320000}"/>
    <cellStyle name="Normal 3 2 5 3 3 2 3" xfId="19032" xr:uid="{00000000-0005-0000-0000-0000A2320000}"/>
    <cellStyle name="Normal 3 2 5 3 3 3" xfId="19036" xr:uid="{00000000-0005-0000-0000-0000A3320000}"/>
    <cellStyle name="Normal 3 2 5 3 3 3 2" xfId="19044" xr:uid="{00000000-0005-0000-0000-0000A4320000}"/>
    <cellStyle name="Normal 3 2 5 3 3 4" xfId="5233" xr:uid="{00000000-0005-0000-0000-0000A5320000}"/>
    <cellStyle name="Normal 3 2 5 3 4" xfId="9899" xr:uid="{00000000-0005-0000-0000-0000A6320000}"/>
    <cellStyle name="Normal 3 2 5 3 4 2" xfId="19078" xr:uid="{00000000-0005-0000-0000-0000A7320000}"/>
    <cellStyle name="Normal 3 2 5 3 4 2 2" xfId="22386" xr:uid="{00000000-0005-0000-0000-0000A8320000}"/>
    <cellStyle name="Normal 3 2 5 3 4 3" xfId="19080" xr:uid="{00000000-0005-0000-0000-0000A9320000}"/>
    <cellStyle name="Normal 3 2 5 3 5" xfId="22690" xr:uid="{00000000-0005-0000-0000-0000AA320000}"/>
    <cellStyle name="Normal 3 2 5 3 5 2" xfId="9937" xr:uid="{00000000-0005-0000-0000-0000AB320000}"/>
    <cellStyle name="Normal 3 2 5 3 5 2 2" xfId="9942" xr:uid="{00000000-0005-0000-0000-0000AC320000}"/>
    <cellStyle name="Normal 3 2 5 3 5 3" xfId="9952" xr:uid="{00000000-0005-0000-0000-0000AD320000}"/>
    <cellStyle name="Normal 3 2 5 3 6" xfId="9885" xr:uid="{00000000-0005-0000-0000-0000AE320000}"/>
    <cellStyle name="Normal 3 2 5 3 6 2" xfId="24051" xr:uid="{00000000-0005-0000-0000-0000AF320000}"/>
    <cellStyle name="Normal 3 2 5 3 7" xfId="5793" xr:uid="{00000000-0005-0000-0000-0000B0320000}"/>
    <cellStyle name="Normal 3 2 5 3 7 2" xfId="8633" xr:uid="{00000000-0005-0000-0000-0000B1320000}"/>
    <cellStyle name="Normal 3 2 5 3 8" xfId="8638" xr:uid="{00000000-0005-0000-0000-0000B2320000}"/>
    <cellStyle name="Normal 3 2 5 4" xfId="24055" xr:uid="{00000000-0005-0000-0000-0000B3320000}"/>
    <cellStyle name="Normal 3 2 5 4 2" xfId="24056" xr:uid="{00000000-0005-0000-0000-0000B4320000}"/>
    <cellStyle name="Normal 3 2 5 4 2 2" xfId="20590" xr:uid="{00000000-0005-0000-0000-0000B5320000}"/>
    <cellStyle name="Normal 3 2 5 4 2 2 2" xfId="5981" xr:uid="{00000000-0005-0000-0000-0000B6320000}"/>
    <cellStyle name="Normal 3 2 5 4 2 2 2 2" xfId="13307" xr:uid="{00000000-0005-0000-0000-0000B7320000}"/>
    <cellStyle name="Normal 3 2 5 4 2 2 2 2 2" xfId="13314" xr:uid="{00000000-0005-0000-0000-0000B8320000}"/>
    <cellStyle name="Normal 3 2 5 4 2 2 2 3" xfId="13316" xr:uid="{00000000-0005-0000-0000-0000B9320000}"/>
    <cellStyle name="Normal 3 2 5 4 2 2 3" xfId="20594" xr:uid="{00000000-0005-0000-0000-0000BA320000}"/>
    <cellStyle name="Normal 3 2 5 4 2 2 3 2" xfId="12282" xr:uid="{00000000-0005-0000-0000-0000BB320000}"/>
    <cellStyle name="Normal 3 2 5 4 2 2 4" xfId="5089" xr:uid="{00000000-0005-0000-0000-0000BC320000}"/>
    <cellStyle name="Normal 3 2 5 4 2 3" xfId="19310" xr:uid="{00000000-0005-0000-0000-0000BD320000}"/>
    <cellStyle name="Normal 3 2 5 4 2 3 2" xfId="20598" xr:uid="{00000000-0005-0000-0000-0000BE320000}"/>
    <cellStyle name="Normal 3 2 5 4 2 3 2 2" xfId="23338" xr:uid="{00000000-0005-0000-0000-0000BF320000}"/>
    <cellStyle name="Normal 3 2 5 4 2 3 3" xfId="24059" xr:uid="{00000000-0005-0000-0000-0000C0320000}"/>
    <cellStyle name="Normal 3 2 5 4 2 4" xfId="6447" xr:uid="{00000000-0005-0000-0000-0000C1320000}"/>
    <cellStyle name="Normal 3 2 5 4 2 4 2" xfId="6454" xr:uid="{00000000-0005-0000-0000-0000C2320000}"/>
    <cellStyle name="Normal 3 2 5 4 2 4 2 2" xfId="24062" xr:uid="{00000000-0005-0000-0000-0000C3320000}"/>
    <cellStyle name="Normal 3 2 5 4 2 4 3" xfId="24065" xr:uid="{00000000-0005-0000-0000-0000C4320000}"/>
    <cellStyle name="Normal 3 2 5 4 2 5" xfId="6463" xr:uid="{00000000-0005-0000-0000-0000C5320000}"/>
    <cellStyle name="Normal 3 2 5 4 2 5 2" xfId="20659" xr:uid="{00000000-0005-0000-0000-0000C6320000}"/>
    <cellStyle name="Normal 3 2 5 4 2 6" xfId="20257" xr:uid="{00000000-0005-0000-0000-0000C7320000}"/>
    <cellStyle name="Normal 3 2 5 4 2 6 2" xfId="22401" xr:uid="{00000000-0005-0000-0000-0000C8320000}"/>
    <cellStyle name="Normal 3 2 5 4 2 7" xfId="20664" xr:uid="{00000000-0005-0000-0000-0000C9320000}"/>
    <cellStyle name="Normal 3 2 5 4 3" xfId="24066" xr:uid="{00000000-0005-0000-0000-0000CA320000}"/>
    <cellStyle name="Normal 3 2 5 4 3 2" xfId="10334" xr:uid="{00000000-0005-0000-0000-0000CB320000}"/>
    <cellStyle name="Normal 3 2 5 4 3 2 2" xfId="11744" xr:uid="{00000000-0005-0000-0000-0000CC320000}"/>
    <cellStyle name="Normal 3 2 5 4 3 2 2 2" xfId="11753" xr:uid="{00000000-0005-0000-0000-0000CD320000}"/>
    <cellStyle name="Normal 3 2 5 4 3 2 3" xfId="11760" xr:uid="{00000000-0005-0000-0000-0000CE320000}"/>
    <cellStyle name="Normal 3 2 5 4 3 3" xfId="19101" xr:uid="{00000000-0005-0000-0000-0000CF320000}"/>
    <cellStyle name="Normal 3 2 5 4 3 3 2" xfId="19114" xr:uid="{00000000-0005-0000-0000-0000D0320000}"/>
    <cellStyle name="Normal 3 2 5 4 3 4" xfId="6472" xr:uid="{00000000-0005-0000-0000-0000D1320000}"/>
    <cellStyle name="Normal 3 2 5 4 4" xfId="24067" xr:uid="{00000000-0005-0000-0000-0000D2320000}"/>
    <cellStyle name="Normal 3 2 5 4 4 2" xfId="9978" xr:uid="{00000000-0005-0000-0000-0000D3320000}"/>
    <cellStyle name="Normal 3 2 5 4 4 2 2" xfId="9985" xr:uid="{00000000-0005-0000-0000-0000D4320000}"/>
    <cellStyle name="Normal 3 2 5 4 4 3" xfId="9996" xr:uid="{00000000-0005-0000-0000-0000D5320000}"/>
    <cellStyle name="Normal 3 2 5 4 5" xfId="24068" xr:uid="{00000000-0005-0000-0000-0000D6320000}"/>
    <cellStyle name="Normal 3 2 5 4 5 2" xfId="10004" xr:uid="{00000000-0005-0000-0000-0000D7320000}"/>
    <cellStyle name="Normal 3 2 5 4 5 2 2" xfId="24071" xr:uid="{00000000-0005-0000-0000-0000D8320000}"/>
    <cellStyle name="Normal 3 2 5 4 5 3" xfId="10015" xr:uid="{00000000-0005-0000-0000-0000D9320000}"/>
    <cellStyle name="Normal 3 2 5 4 6" xfId="24072" xr:uid="{00000000-0005-0000-0000-0000DA320000}"/>
    <cellStyle name="Normal 3 2 5 4 6 2" xfId="24074" xr:uid="{00000000-0005-0000-0000-0000DB320000}"/>
    <cellStyle name="Normal 3 2 5 4 7" xfId="3750" xr:uid="{00000000-0005-0000-0000-0000DC320000}"/>
    <cellStyle name="Normal 3 2 5 4 7 2" xfId="24075" xr:uid="{00000000-0005-0000-0000-0000DD320000}"/>
    <cellStyle name="Normal 3 2 5 4 8" xfId="24076" xr:uid="{00000000-0005-0000-0000-0000DE320000}"/>
    <cellStyle name="Normal 3 2 5 5" xfId="24077" xr:uid="{00000000-0005-0000-0000-0000DF320000}"/>
    <cellStyle name="Normal 3 2 5 5 2" xfId="24078" xr:uid="{00000000-0005-0000-0000-0000E0320000}"/>
    <cellStyle name="Normal 3 2 5 5 2 2" xfId="5329" xr:uid="{00000000-0005-0000-0000-0000E1320000}"/>
    <cellStyle name="Normal 3 2 5 5 2 2 2" xfId="20610" xr:uid="{00000000-0005-0000-0000-0000E2320000}"/>
    <cellStyle name="Normal 3 2 5 5 2 2 2 2" xfId="11169" xr:uid="{00000000-0005-0000-0000-0000E3320000}"/>
    <cellStyle name="Normal 3 2 5 5 2 2 2 2 2" xfId="24081" xr:uid="{00000000-0005-0000-0000-0000E4320000}"/>
    <cellStyle name="Normal 3 2 5 5 2 2 2 3" xfId="11174" xr:uid="{00000000-0005-0000-0000-0000E5320000}"/>
    <cellStyle name="Normal 3 2 5 5 2 2 3" xfId="11641" xr:uid="{00000000-0005-0000-0000-0000E6320000}"/>
    <cellStyle name="Normal 3 2 5 5 2 2 3 2" xfId="10146" xr:uid="{00000000-0005-0000-0000-0000E7320000}"/>
    <cellStyle name="Normal 3 2 5 5 2 2 4" xfId="3603" xr:uid="{00000000-0005-0000-0000-0000E8320000}"/>
    <cellStyle name="Normal 3 2 5 5 2 3" xfId="20612" xr:uid="{00000000-0005-0000-0000-0000E9320000}"/>
    <cellStyle name="Normal 3 2 5 5 2 3 2" xfId="20614" xr:uid="{00000000-0005-0000-0000-0000EA320000}"/>
    <cellStyle name="Normal 3 2 5 5 2 3 2 2" xfId="11203" xr:uid="{00000000-0005-0000-0000-0000EB320000}"/>
    <cellStyle name="Normal 3 2 5 5 2 3 3" xfId="11654" xr:uid="{00000000-0005-0000-0000-0000EC320000}"/>
    <cellStyle name="Normal 3 2 5 5 2 4" xfId="430" xr:uid="{00000000-0005-0000-0000-0000ED320000}"/>
    <cellStyle name="Normal 3 2 5 5 2 4 2" xfId="632" xr:uid="{00000000-0005-0000-0000-0000EE320000}"/>
    <cellStyle name="Normal 3 2 5 5 2 4 2 2" xfId="24088" xr:uid="{00000000-0005-0000-0000-0000EF320000}"/>
    <cellStyle name="Normal 3 2 5 5 2 4 3" xfId="11668" xr:uid="{00000000-0005-0000-0000-0000F0320000}"/>
    <cellStyle name="Normal 3 2 5 5 2 5" xfId="499" xr:uid="{00000000-0005-0000-0000-0000F1320000}"/>
    <cellStyle name="Normal 3 2 5 5 2 5 2" xfId="24089" xr:uid="{00000000-0005-0000-0000-0000F2320000}"/>
    <cellStyle name="Normal 3 2 5 5 2 6" xfId="20621" xr:uid="{00000000-0005-0000-0000-0000F3320000}"/>
    <cellStyle name="Normal 3 2 5 5 2 6 2" xfId="24093" xr:uid="{00000000-0005-0000-0000-0000F4320000}"/>
    <cellStyle name="Normal 3 2 5 5 2 7" xfId="24096" xr:uid="{00000000-0005-0000-0000-0000F5320000}"/>
    <cellStyle name="Normal 3 2 5 5 3" xfId="24097" xr:uid="{00000000-0005-0000-0000-0000F6320000}"/>
    <cellStyle name="Normal 3 2 5 5 3 2" xfId="19169" xr:uid="{00000000-0005-0000-0000-0000F7320000}"/>
    <cellStyle name="Normal 3 2 5 5 3 2 2" xfId="17546" xr:uid="{00000000-0005-0000-0000-0000F8320000}"/>
    <cellStyle name="Normal 3 2 5 5 3 2 2 2" xfId="9218" xr:uid="{00000000-0005-0000-0000-0000F9320000}"/>
    <cellStyle name="Normal 3 2 5 5 3 2 3" xfId="12229" xr:uid="{00000000-0005-0000-0000-0000FA320000}"/>
    <cellStyle name="Normal 3 2 5 5 3 3" xfId="19176" xr:uid="{00000000-0005-0000-0000-0000FB320000}"/>
    <cellStyle name="Normal 3 2 5 5 3 3 2" xfId="17613" xr:uid="{00000000-0005-0000-0000-0000FC320000}"/>
    <cellStyle name="Normal 3 2 5 5 3 4" xfId="7715" xr:uid="{00000000-0005-0000-0000-0000FD320000}"/>
    <cellStyle name="Normal 3 2 5 5 4" xfId="19847" xr:uid="{00000000-0005-0000-0000-0000FE320000}"/>
    <cellStyle name="Normal 3 2 5 5 4 2" xfId="19851" xr:uid="{00000000-0005-0000-0000-0000FF320000}"/>
    <cellStyle name="Normal 3 2 5 5 4 2 2" xfId="10045" xr:uid="{00000000-0005-0000-0000-000000330000}"/>
    <cellStyle name="Normal 3 2 5 5 4 3" xfId="19853" xr:uid="{00000000-0005-0000-0000-000001330000}"/>
    <cellStyle name="Normal 3 2 5 5 5" xfId="19856" xr:uid="{00000000-0005-0000-0000-000002330000}"/>
    <cellStyle name="Normal 3 2 5 5 5 2" xfId="10069" xr:uid="{00000000-0005-0000-0000-000003330000}"/>
    <cellStyle name="Normal 3 2 5 5 5 2 2" xfId="17709" xr:uid="{00000000-0005-0000-0000-000004330000}"/>
    <cellStyle name="Normal 3 2 5 5 5 3" xfId="17944" xr:uid="{00000000-0005-0000-0000-000005330000}"/>
    <cellStyle name="Normal 3 2 5 5 6" xfId="19859" xr:uid="{00000000-0005-0000-0000-000006330000}"/>
    <cellStyle name="Normal 3 2 5 5 6 2" xfId="19862" xr:uid="{00000000-0005-0000-0000-000007330000}"/>
    <cellStyle name="Normal 3 2 5 5 7" xfId="19865" xr:uid="{00000000-0005-0000-0000-000008330000}"/>
    <cellStyle name="Normal 3 2 5 5 7 2" xfId="19867" xr:uid="{00000000-0005-0000-0000-000009330000}"/>
    <cellStyle name="Normal 3 2 5 5 8" xfId="19869" xr:uid="{00000000-0005-0000-0000-00000A330000}"/>
    <cellStyle name="Normal 3 2 5 6" xfId="24098" xr:uid="{00000000-0005-0000-0000-00000B330000}"/>
    <cellStyle name="Normal 3 2 5 6 2" xfId="24099" xr:uid="{00000000-0005-0000-0000-00000C330000}"/>
    <cellStyle name="Normal 3 2 5 6 2 2" xfId="20627" xr:uid="{00000000-0005-0000-0000-00000D330000}"/>
    <cellStyle name="Normal 3 2 5 6 2 2 2" xfId="24100" xr:uid="{00000000-0005-0000-0000-00000E330000}"/>
    <cellStyle name="Normal 3 2 5 6 2 2 2 2" xfId="24101" xr:uid="{00000000-0005-0000-0000-00000F330000}"/>
    <cellStyle name="Normal 3 2 5 6 2 2 3" xfId="12250" xr:uid="{00000000-0005-0000-0000-000010330000}"/>
    <cellStyle name="Normal 3 2 5 6 2 3" xfId="24102" xr:uid="{00000000-0005-0000-0000-000011330000}"/>
    <cellStyle name="Normal 3 2 5 6 2 3 2" xfId="24104" xr:uid="{00000000-0005-0000-0000-000012330000}"/>
    <cellStyle name="Normal 3 2 5 6 2 4" xfId="8494" xr:uid="{00000000-0005-0000-0000-000013330000}"/>
    <cellStyle name="Normal 3 2 5 6 3" xfId="24105" xr:uid="{00000000-0005-0000-0000-000014330000}"/>
    <cellStyle name="Normal 3 2 5 6 3 2" xfId="19213" xr:uid="{00000000-0005-0000-0000-000015330000}"/>
    <cellStyle name="Normal 3 2 5 6 3 2 2" xfId="13617" xr:uid="{00000000-0005-0000-0000-000016330000}"/>
    <cellStyle name="Normal 3 2 5 6 3 3" xfId="24106" xr:uid="{00000000-0005-0000-0000-000017330000}"/>
    <cellStyle name="Normal 3 2 5 6 4" xfId="19884" xr:uid="{00000000-0005-0000-0000-000018330000}"/>
    <cellStyle name="Normal 3 2 5 6 4 2" xfId="19886" xr:uid="{00000000-0005-0000-0000-000019330000}"/>
    <cellStyle name="Normal 3 2 5 6 4 2 2" xfId="19888" xr:uid="{00000000-0005-0000-0000-00001A330000}"/>
    <cellStyle name="Normal 3 2 5 6 4 3" xfId="19890" xr:uid="{00000000-0005-0000-0000-00001B330000}"/>
    <cellStyle name="Normal 3 2 5 6 5" xfId="19892" xr:uid="{00000000-0005-0000-0000-00001C330000}"/>
    <cellStyle name="Normal 3 2 5 6 5 2" xfId="19897" xr:uid="{00000000-0005-0000-0000-00001D330000}"/>
    <cellStyle name="Normal 3 2 5 6 6" xfId="19899" xr:uid="{00000000-0005-0000-0000-00001E330000}"/>
    <cellStyle name="Normal 3 2 5 6 6 2" xfId="24107" xr:uid="{00000000-0005-0000-0000-00001F330000}"/>
    <cellStyle name="Normal 3 2 5 6 7" xfId="24108" xr:uid="{00000000-0005-0000-0000-000020330000}"/>
    <cellStyle name="Normal 3 2 5 7" xfId="24109" xr:uid="{00000000-0005-0000-0000-000021330000}"/>
    <cellStyle name="Normal 3 2 5 7 2" xfId="24110" xr:uid="{00000000-0005-0000-0000-000022330000}"/>
    <cellStyle name="Normal 3 2 5 7 2 2" xfId="10605" xr:uid="{00000000-0005-0000-0000-000023330000}"/>
    <cellStyle name="Normal 3 2 5 7 2 2 2" xfId="13120" xr:uid="{00000000-0005-0000-0000-000024330000}"/>
    <cellStyle name="Normal 3 2 5 7 2 3" xfId="13130" xr:uid="{00000000-0005-0000-0000-000025330000}"/>
    <cellStyle name="Normal 3 2 5 7 3" xfId="24111" xr:uid="{00000000-0005-0000-0000-000026330000}"/>
    <cellStyle name="Normal 3 2 5 7 3 2" xfId="13179" xr:uid="{00000000-0005-0000-0000-000027330000}"/>
    <cellStyle name="Normal 3 2 5 7 4" xfId="19904" xr:uid="{00000000-0005-0000-0000-000028330000}"/>
    <cellStyle name="Normal 3 2 5 8" xfId="24114" xr:uid="{00000000-0005-0000-0000-000029330000}"/>
    <cellStyle name="Normal 3 2 5 8 2" xfId="573" xr:uid="{00000000-0005-0000-0000-00002A330000}"/>
    <cellStyle name="Normal 3 2 5 8 2 2" xfId="889" xr:uid="{00000000-0005-0000-0000-00002B330000}"/>
    <cellStyle name="Normal 3 2 5 8 3" xfId="680" xr:uid="{00000000-0005-0000-0000-00002C330000}"/>
    <cellStyle name="Normal 3 2 5 9" xfId="24120" xr:uid="{00000000-0005-0000-0000-00002D330000}"/>
    <cellStyle name="Normal 3 2 5 9 2" xfId="1184" xr:uid="{00000000-0005-0000-0000-00002E330000}"/>
    <cellStyle name="Normal 3 2 5 9 2 2" xfId="1189" xr:uid="{00000000-0005-0000-0000-00002F330000}"/>
    <cellStyle name="Normal 3 2 5 9 3" xfId="1251" xr:uid="{00000000-0005-0000-0000-000030330000}"/>
    <cellStyle name="Normal 3 2 6" xfId="24121" xr:uid="{00000000-0005-0000-0000-000031330000}"/>
    <cellStyle name="Normal 3 2 7" xfId="19021" xr:uid="{00000000-0005-0000-0000-000032330000}"/>
    <cellStyle name="Normal 3 2 7 2" xfId="19026" xr:uid="{00000000-0005-0000-0000-000033330000}"/>
    <cellStyle name="Normal 3 2 7 2 2" xfId="24123" xr:uid="{00000000-0005-0000-0000-000034330000}"/>
    <cellStyle name="Normal 3 2 7 2 2 2" xfId="3285" xr:uid="{00000000-0005-0000-0000-000035330000}"/>
    <cellStyle name="Normal 3 2 7 2 2 2 2" xfId="4685" xr:uid="{00000000-0005-0000-0000-000036330000}"/>
    <cellStyle name="Normal 3 2 7 2 2 2 2 2" xfId="24124" xr:uid="{00000000-0005-0000-0000-000037330000}"/>
    <cellStyle name="Normal 3 2 7 2 2 2 2 2 2" xfId="15899" xr:uid="{00000000-0005-0000-0000-000038330000}"/>
    <cellStyle name="Normal 3 2 7 2 2 2 2 3" xfId="24127" xr:uid="{00000000-0005-0000-0000-000039330000}"/>
    <cellStyle name="Normal 3 2 7 2 2 2 3" xfId="24128" xr:uid="{00000000-0005-0000-0000-00003A330000}"/>
    <cellStyle name="Normal 3 2 7 2 2 2 3 2" xfId="24129" xr:uid="{00000000-0005-0000-0000-00003B330000}"/>
    <cellStyle name="Normal 3 2 7 2 2 2 4" xfId="24132" xr:uid="{00000000-0005-0000-0000-00003C330000}"/>
    <cellStyle name="Normal 3 2 7 2 2 3" xfId="4893" xr:uid="{00000000-0005-0000-0000-00003D330000}"/>
    <cellStyle name="Normal 3 2 7 2 2 3 2" xfId="2453" xr:uid="{00000000-0005-0000-0000-00003E330000}"/>
    <cellStyle name="Normal 3 2 7 2 2 3 2 2" xfId="24137" xr:uid="{00000000-0005-0000-0000-00003F330000}"/>
    <cellStyle name="Normal 3 2 7 2 2 3 3" xfId="22789" xr:uid="{00000000-0005-0000-0000-000040330000}"/>
    <cellStyle name="Normal 3 2 7 2 2 4" xfId="4930" xr:uid="{00000000-0005-0000-0000-000041330000}"/>
    <cellStyle name="Normal 3 2 7 2 2 4 2" xfId="24139" xr:uid="{00000000-0005-0000-0000-000042330000}"/>
    <cellStyle name="Normal 3 2 7 2 2 4 2 2" xfId="24143" xr:uid="{00000000-0005-0000-0000-000043330000}"/>
    <cellStyle name="Normal 3 2 7 2 2 4 3" xfId="22801" xr:uid="{00000000-0005-0000-0000-000044330000}"/>
    <cellStyle name="Normal 3 2 7 2 2 5" xfId="12951" xr:uid="{00000000-0005-0000-0000-000045330000}"/>
    <cellStyle name="Normal 3 2 7 2 2 5 2" xfId="24149" xr:uid="{00000000-0005-0000-0000-000046330000}"/>
    <cellStyle name="Normal 3 2 7 2 2 6" xfId="12979" xr:uid="{00000000-0005-0000-0000-000047330000}"/>
    <cellStyle name="Normal 3 2 7 2 2 6 2" xfId="24153" xr:uid="{00000000-0005-0000-0000-000048330000}"/>
    <cellStyle name="Normal 3 2 7 2 2 7" xfId="12987" xr:uid="{00000000-0005-0000-0000-000049330000}"/>
    <cellStyle name="Normal 3 2 7 2 3" xfId="24154" xr:uid="{00000000-0005-0000-0000-00004A330000}"/>
    <cellStyle name="Normal 3 2 7 2 3 2" xfId="5174" xr:uid="{00000000-0005-0000-0000-00004B330000}"/>
    <cellStyle name="Normal 3 2 7 2 3 2 2" xfId="24156" xr:uid="{00000000-0005-0000-0000-00004C330000}"/>
    <cellStyle name="Normal 3 2 7 2 3 2 2 2" xfId="24157" xr:uid="{00000000-0005-0000-0000-00004D330000}"/>
    <cellStyle name="Normal 3 2 7 2 3 2 3" xfId="24158" xr:uid="{00000000-0005-0000-0000-00004E330000}"/>
    <cellStyle name="Normal 3 2 7 2 3 3" xfId="5184" xr:uid="{00000000-0005-0000-0000-00004F330000}"/>
    <cellStyle name="Normal 3 2 7 2 3 3 2" xfId="24163" xr:uid="{00000000-0005-0000-0000-000050330000}"/>
    <cellStyle name="Normal 3 2 7 2 3 4" xfId="24167" xr:uid="{00000000-0005-0000-0000-000051330000}"/>
    <cellStyle name="Normal 3 2 7 2 4" xfId="24168" xr:uid="{00000000-0005-0000-0000-000052330000}"/>
    <cellStyle name="Normal 3 2 7 2 4 2" xfId="1299" xr:uid="{00000000-0005-0000-0000-000053330000}"/>
    <cellStyle name="Normal 3 2 7 2 4 2 2" xfId="10765" xr:uid="{00000000-0005-0000-0000-000054330000}"/>
    <cellStyle name="Normal 3 2 7 2 4 3" xfId="24172" xr:uid="{00000000-0005-0000-0000-000055330000}"/>
    <cellStyle name="Normal 3 2 7 2 5" xfId="24173" xr:uid="{00000000-0005-0000-0000-000056330000}"/>
    <cellStyle name="Normal 3 2 7 2 5 2" xfId="10974" xr:uid="{00000000-0005-0000-0000-000057330000}"/>
    <cellStyle name="Normal 3 2 7 2 5 2 2" xfId="24174" xr:uid="{00000000-0005-0000-0000-000058330000}"/>
    <cellStyle name="Normal 3 2 7 2 5 3" xfId="24178" xr:uid="{00000000-0005-0000-0000-000059330000}"/>
    <cellStyle name="Normal 3 2 7 2 6" xfId="24179" xr:uid="{00000000-0005-0000-0000-00005A330000}"/>
    <cellStyle name="Normal 3 2 7 2 6 2" xfId="24183" xr:uid="{00000000-0005-0000-0000-00005B330000}"/>
    <cellStyle name="Normal 3 2 7 2 7" xfId="20732" xr:uid="{00000000-0005-0000-0000-00005C330000}"/>
    <cellStyle name="Normal 3 2 7 2 7 2" xfId="24187" xr:uid="{00000000-0005-0000-0000-00005D330000}"/>
    <cellStyle name="Normal 3 2 7 2 8" xfId="24189" xr:uid="{00000000-0005-0000-0000-00005E330000}"/>
    <cellStyle name="Normal 3 2 7 3" xfId="24191" xr:uid="{00000000-0005-0000-0000-00005F330000}"/>
    <cellStyle name="Normal 3 2 7 3 2" xfId="24192" xr:uid="{00000000-0005-0000-0000-000060330000}"/>
    <cellStyle name="Normal 3 2 7 3 2 2" xfId="5488" xr:uid="{00000000-0005-0000-0000-000061330000}"/>
    <cellStyle name="Normal 3 2 7 3 2 2 2" xfId="24193" xr:uid="{00000000-0005-0000-0000-000062330000}"/>
    <cellStyle name="Normal 3 2 7 3 2 2 2 2" xfId="24196" xr:uid="{00000000-0005-0000-0000-000063330000}"/>
    <cellStyle name="Normal 3 2 7 3 2 2 3" xfId="20123" xr:uid="{00000000-0005-0000-0000-000064330000}"/>
    <cellStyle name="Normal 3 2 7 3 2 3" xfId="6089" xr:uid="{00000000-0005-0000-0000-000065330000}"/>
    <cellStyle name="Normal 3 2 7 3 2 3 2" xfId="24205" xr:uid="{00000000-0005-0000-0000-000066330000}"/>
    <cellStyle name="Normal 3 2 7 3 2 4" xfId="24210" xr:uid="{00000000-0005-0000-0000-000067330000}"/>
    <cellStyle name="Normal 3 2 7 3 3" xfId="24211" xr:uid="{00000000-0005-0000-0000-000068330000}"/>
    <cellStyle name="Normal 3 2 7 3 3 2" xfId="24212" xr:uid="{00000000-0005-0000-0000-000069330000}"/>
    <cellStyle name="Normal 3 2 7 3 3 2 2" xfId="24213" xr:uid="{00000000-0005-0000-0000-00006A330000}"/>
    <cellStyle name="Normal 3 2 7 3 3 3" xfId="24217" xr:uid="{00000000-0005-0000-0000-00006B330000}"/>
    <cellStyle name="Normal 3 2 7 3 4" xfId="24218" xr:uid="{00000000-0005-0000-0000-00006C330000}"/>
    <cellStyle name="Normal 3 2 7 3 4 2" xfId="24219" xr:uid="{00000000-0005-0000-0000-00006D330000}"/>
    <cellStyle name="Normal 3 2 7 3 4 2 2" xfId="24220" xr:uid="{00000000-0005-0000-0000-00006E330000}"/>
    <cellStyle name="Normal 3 2 7 3 4 3" xfId="24223" xr:uid="{00000000-0005-0000-0000-00006F330000}"/>
    <cellStyle name="Normal 3 2 7 3 5" xfId="24224" xr:uid="{00000000-0005-0000-0000-000070330000}"/>
    <cellStyle name="Normal 3 2 7 3 5 2" xfId="24226" xr:uid="{00000000-0005-0000-0000-000071330000}"/>
    <cellStyle name="Normal 3 2 7 3 6" xfId="24227" xr:uid="{00000000-0005-0000-0000-000072330000}"/>
    <cellStyle name="Normal 3 2 7 3 6 2" xfId="24231" xr:uid="{00000000-0005-0000-0000-000073330000}"/>
    <cellStyle name="Normal 3 2 7 3 7" xfId="7196" xr:uid="{00000000-0005-0000-0000-000074330000}"/>
    <cellStyle name="Normal 3 2 7 4" xfId="24233" xr:uid="{00000000-0005-0000-0000-000075330000}"/>
    <cellStyle name="Normal 3 2 7 4 2" xfId="24234" xr:uid="{00000000-0005-0000-0000-000076330000}"/>
    <cellStyle name="Normal 3 2 7 4 2 2" xfId="24235" xr:uid="{00000000-0005-0000-0000-000077330000}"/>
    <cellStyle name="Normal 3 2 7 4 2 2 2" xfId="7168" xr:uid="{00000000-0005-0000-0000-000078330000}"/>
    <cellStyle name="Normal 3 2 7 4 2 3" xfId="7373" xr:uid="{00000000-0005-0000-0000-000079330000}"/>
    <cellStyle name="Normal 3 2 7 4 3" xfId="18727" xr:uid="{00000000-0005-0000-0000-00007A330000}"/>
    <cellStyle name="Normal 3 2 7 4 3 2" xfId="18729" xr:uid="{00000000-0005-0000-0000-00007B330000}"/>
    <cellStyle name="Normal 3 2 7 4 4" xfId="18733" xr:uid="{00000000-0005-0000-0000-00007C330000}"/>
    <cellStyle name="Normal 3 2 7 5" xfId="24236" xr:uid="{00000000-0005-0000-0000-00007D330000}"/>
    <cellStyle name="Normal 3 2 7 5 2" xfId="24237" xr:uid="{00000000-0005-0000-0000-00007E330000}"/>
    <cellStyle name="Normal 3 2 7 5 2 2" xfId="13638" xr:uid="{00000000-0005-0000-0000-00007F330000}"/>
    <cellStyle name="Normal 3 2 7 5 3" xfId="18736" xr:uid="{00000000-0005-0000-0000-000080330000}"/>
    <cellStyle name="Normal 3 2 7 6" xfId="24238" xr:uid="{00000000-0005-0000-0000-000081330000}"/>
    <cellStyle name="Normal 3 2 7 6 2" xfId="24239" xr:uid="{00000000-0005-0000-0000-000082330000}"/>
    <cellStyle name="Normal 3 2 7 6 2 2" xfId="21480" xr:uid="{00000000-0005-0000-0000-000083330000}"/>
    <cellStyle name="Normal 3 2 7 6 3" xfId="24240" xr:uid="{00000000-0005-0000-0000-000084330000}"/>
    <cellStyle name="Normal 3 2 7 7" xfId="24241" xr:uid="{00000000-0005-0000-0000-000085330000}"/>
    <cellStyle name="Normal 3 2 7 7 2" xfId="24242" xr:uid="{00000000-0005-0000-0000-000086330000}"/>
    <cellStyle name="Normal 3 2 7 8" xfId="24243" xr:uid="{00000000-0005-0000-0000-000087330000}"/>
    <cellStyle name="Normal 3 2 7 8 2" xfId="24245" xr:uid="{00000000-0005-0000-0000-000088330000}"/>
    <cellStyle name="Normal 3 2 7 9" xfId="24249" xr:uid="{00000000-0005-0000-0000-000089330000}"/>
    <cellStyle name="Normal 3 2 8" xfId="19034" xr:uid="{00000000-0005-0000-0000-00008A330000}"/>
    <cellStyle name="Normal 3 2 8 2" xfId="24250" xr:uid="{00000000-0005-0000-0000-00008B330000}"/>
    <cellStyle name="Normal 3 2 8 2 2" xfId="24251" xr:uid="{00000000-0005-0000-0000-00008C330000}"/>
    <cellStyle name="Normal 3 2 8 2 2 2" xfId="5634" xr:uid="{00000000-0005-0000-0000-00008D330000}"/>
    <cellStyle name="Normal 3 2 8 2 2 2 2" xfId="24252" xr:uid="{00000000-0005-0000-0000-00008E330000}"/>
    <cellStyle name="Normal 3 2 8 2 2 2 2 2" xfId="24254" xr:uid="{00000000-0005-0000-0000-00008F330000}"/>
    <cellStyle name="Normal 3 2 8 2 2 2 3" xfId="24255" xr:uid="{00000000-0005-0000-0000-000090330000}"/>
    <cellStyle name="Normal 3 2 8 2 2 3" xfId="6692" xr:uid="{00000000-0005-0000-0000-000091330000}"/>
    <cellStyle name="Normal 3 2 8 2 2 3 2" xfId="4490" xr:uid="{00000000-0005-0000-0000-000092330000}"/>
    <cellStyle name="Normal 3 2 8 2 2 4" xfId="6378" xr:uid="{00000000-0005-0000-0000-000093330000}"/>
    <cellStyle name="Normal 3 2 8 2 3" xfId="24256" xr:uid="{00000000-0005-0000-0000-000094330000}"/>
    <cellStyle name="Normal 3 2 8 2 3 2" xfId="24257" xr:uid="{00000000-0005-0000-0000-000095330000}"/>
    <cellStyle name="Normal 3 2 8 2 3 2 2" xfId="24260" xr:uid="{00000000-0005-0000-0000-000096330000}"/>
    <cellStyle name="Normal 3 2 8 2 3 3" xfId="8766" xr:uid="{00000000-0005-0000-0000-000097330000}"/>
    <cellStyle name="Normal 3 2 8 2 4" xfId="24261" xr:uid="{00000000-0005-0000-0000-000098330000}"/>
    <cellStyle name="Normal 3 2 8 2 4 2" xfId="24262" xr:uid="{00000000-0005-0000-0000-000099330000}"/>
    <cellStyle name="Normal 3 2 8 2 4 2 2" xfId="24263" xr:uid="{00000000-0005-0000-0000-00009A330000}"/>
    <cellStyle name="Normal 3 2 8 2 4 3" xfId="24266" xr:uid="{00000000-0005-0000-0000-00009B330000}"/>
    <cellStyle name="Normal 3 2 8 2 5" xfId="24267" xr:uid="{00000000-0005-0000-0000-00009C330000}"/>
    <cellStyle name="Normal 3 2 8 2 5 2" xfId="11360" xr:uid="{00000000-0005-0000-0000-00009D330000}"/>
    <cellStyle name="Normal 3 2 8 2 6" xfId="24268" xr:uid="{00000000-0005-0000-0000-00009E330000}"/>
    <cellStyle name="Normal 3 2 8 2 6 2" xfId="24274" xr:uid="{00000000-0005-0000-0000-00009F330000}"/>
    <cellStyle name="Normal 3 2 8 2 7" xfId="24277" xr:uid="{00000000-0005-0000-0000-0000A0330000}"/>
    <cellStyle name="Normal 3 2 8 3" xfId="24278" xr:uid="{00000000-0005-0000-0000-0000A1330000}"/>
    <cellStyle name="Normal 3 2 8 3 2" xfId="24279" xr:uid="{00000000-0005-0000-0000-0000A2330000}"/>
    <cellStyle name="Normal 3 2 8 3 2 2" xfId="24280" xr:uid="{00000000-0005-0000-0000-0000A3330000}"/>
    <cellStyle name="Normal 3 2 8 3 2 2 2" xfId="24283" xr:uid="{00000000-0005-0000-0000-0000A4330000}"/>
    <cellStyle name="Normal 3 2 8 3 2 3" xfId="8772" xr:uid="{00000000-0005-0000-0000-0000A5330000}"/>
    <cellStyle name="Normal 3 2 8 3 3" xfId="24285" xr:uid="{00000000-0005-0000-0000-0000A6330000}"/>
    <cellStyle name="Normal 3 2 8 3 3 2" xfId="24286" xr:uid="{00000000-0005-0000-0000-0000A7330000}"/>
    <cellStyle name="Normal 3 2 8 3 4" xfId="24288" xr:uid="{00000000-0005-0000-0000-0000A8330000}"/>
    <cellStyle name="Normal 3 2 8 4" xfId="19788" xr:uid="{00000000-0005-0000-0000-0000A9330000}"/>
    <cellStyle name="Normal 3 2 8 4 2" xfId="24289" xr:uid="{00000000-0005-0000-0000-0000AA330000}"/>
    <cellStyle name="Normal 3 2 8 4 2 2" xfId="24290" xr:uid="{00000000-0005-0000-0000-0000AB330000}"/>
    <cellStyle name="Normal 3 2 8 4 3" xfId="18746" xr:uid="{00000000-0005-0000-0000-0000AC330000}"/>
    <cellStyle name="Normal 3 2 8 5" xfId="24292" xr:uid="{00000000-0005-0000-0000-0000AD330000}"/>
    <cellStyle name="Normal 3 2 8 5 2" xfId="24293" xr:uid="{00000000-0005-0000-0000-0000AE330000}"/>
    <cellStyle name="Normal 3 2 8 5 2 2" xfId="24294" xr:uid="{00000000-0005-0000-0000-0000AF330000}"/>
    <cellStyle name="Normal 3 2 8 5 3" xfId="24295" xr:uid="{00000000-0005-0000-0000-0000B0330000}"/>
    <cellStyle name="Normal 3 2 8 6" xfId="24296" xr:uid="{00000000-0005-0000-0000-0000B1330000}"/>
    <cellStyle name="Normal 3 2 8 6 2" xfId="24298" xr:uid="{00000000-0005-0000-0000-0000B2330000}"/>
    <cellStyle name="Normal 3 2 8 7" xfId="24299" xr:uid="{00000000-0005-0000-0000-0000B3330000}"/>
    <cellStyle name="Normal 3 2 8 7 2" xfId="24301" xr:uid="{00000000-0005-0000-0000-0000B4330000}"/>
    <cellStyle name="Normal 3 2 8 8" xfId="24302" xr:uid="{00000000-0005-0000-0000-0000B5330000}"/>
    <cellStyle name="Normal 3 2 9" xfId="327" xr:uid="{00000000-0005-0000-0000-0000B6330000}"/>
    <cellStyle name="Normal 3 2 9 2" xfId="1955" xr:uid="{00000000-0005-0000-0000-0000B7330000}"/>
    <cellStyle name="Normal 3 2 9 2 2" xfId="15207" xr:uid="{00000000-0005-0000-0000-0000B8330000}"/>
    <cellStyle name="Normal 3 2 9 2 2 2" xfId="4081" xr:uid="{00000000-0005-0000-0000-0000B9330000}"/>
    <cellStyle name="Normal 3 2 9 2 2 2 2" xfId="24303" xr:uid="{00000000-0005-0000-0000-0000BA330000}"/>
    <cellStyle name="Normal 3 2 9 2 2 2 2 2" xfId="4087" xr:uid="{00000000-0005-0000-0000-0000BB330000}"/>
    <cellStyle name="Normal 3 2 9 2 2 2 3" xfId="24304" xr:uid="{00000000-0005-0000-0000-0000BC330000}"/>
    <cellStyle name="Normal 3 2 9 2 2 3" xfId="4124" xr:uid="{00000000-0005-0000-0000-0000BD330000}"/>
    <cellStyle name="Normal 3 2 9 2 2 3 2" xfId="685" xr:uid="{00000000-0005-0000-0000-0000BE330000}"/>
    <cellStyle name="Normal 3 2 9 2 2 4" xfId="4140" xr:uid="{00000000-0005-0000-0000-0000BF330000}"/>
    <cellStyle name="Normal 3 2 9 2 3" xfId="24306" xr:uid="{00000000-0005-0000-0000-0000C0330000}"/>
    <cellStyle name="Normal 3 2 9 2 3 2" xfId="24308" xr:uid="{00000000-0005-0000-0000-0000C1330000}"/>
    <cellStyle name="Normal 3 2 9 2 3 2 2" xfId="24309" xr:uid="{00000000-0005-0000-0000-0000C2330000}"/>
    <cellStyle name="Normal 3 2 9 2 3 3" xfId="4266" xr:uid="{00000000-0005-0000-0000-0000C3330000}"/>
    <cellStyle name="Normal 3 2 9 2 4" xfId="24311" xr:uid="{00000000-0005-0000-0000-0000C4330000}"/>
    <cellStyle name="Normal 3 2 9 2 4 2" xfId="24312" xr:uid="{00000000-0005-0000-0000-0000C5330000}"/>
    <cellStyle name="Normal 3 2 9 2 4 2 2" xfId="24313" xr:uid="{00000000-0005-0000-0000-0000C6330000}"/>
    <cellStyle name="Normal 3 2 9 2 4 3" xfId="22492" xr:uid="{00000000-0005-0000-0000-0000C7330000}"/>
    <cellStyle name="Normal 3 2 9 2 5" xfId="11620" xr:uid="{00000000-0005-0000-0000-0000C8330000}"/>
    <cellStyle name="Normal 3 2 9 2 5 2" xfId="4290" xr:uid="{00000000-0005-0000-0000-0000C9330000}"/>
    <cellStyle name="Normal 3 2 9 2 6" xfId="24316" xr:uid="{00000000-0005-0000-0000-0000CA330000}"/>
    <cellStyle name="Normal 3 2 9 2 6 2" xfId="24318" xr:uid="{00000000-0005-0000-0000-0000CB330000}"/>
    <cellStyle name="Normal 3 2 9 2 7" xfId="24320" xr:uid="{00000000-0005-0000-0000-0000CC330000}"/>
    <cellStyle name="Normal 3 2 9 3" xfId="24321" xr:uid="{00000000-0005-0000-0000-0000CD330000}"/>
    <cellStyle name="Normal 3 2 9 3 2" xfId="15215" xr:uid="{00000000-0005-0000-0000-0000CE330000}"/>
    <cellStyle name="Normal 3 2 9 3 2 2" xfId="24323" xr:uid="{00000000-0005-0000-0000-0000CF330000}"/>
    <cellStyle name="Normal 3 2 9 3 2 2 2" xfId="19791" xr:uid="{00000000-0005-0000-0000-0000D0330000}"/>
    <cellStyle name="Normal 3 2 9 3 2 3" xfId="527" xr:uid="{00000000-0005-0000-0000-0000D1330000}"/>
    <cellStyle name="Normal 3 2 9 3 3" xfId="3944" xr:uid="{00000000-0005-0000-0000-0000D2330000}"/>
    <cellStyle name="Normal 3 2 9 3 3 2" xfId="24325" xr:uid="{00000000-0005-0000-0000-0000D3330000}"/>
    <cellStyle name="Normal 3 2 9 3 4" xfId="24327" xr:uid="{00000000-0005-0000-0000-0000D4330000}"/>
    <cellStyle name="Normal 3 2 9 4" xfId="5860" xr:uid="{00000000-0005-0000-0000-0000D5330000}"/>
    <cellStyle name="Normal 3 2 9 4 2" xfId="20480" xr:uid="{00000000-0005-0000-0000-0000D6330000}"/>
    <cellStyle name="Normal 3 2 9 4 2 2" xfId="20483" xr:uid="{00000000-0005-0000-0000-0000D7330000}"/>
    <cellStyle name="Normal 3 2 9 4 3" xfId="18750" xr:uid="{00000000-0005-0000-0000-0000D8330000}"/>
    <cellStyle name="Normal 3 2 9 5" xfId="24328" xr:uid="{00000000-0005-0000-0000-0000D9330000}"/>
    <cellStyle name="Normal 3 2 9 5 2" xfId="24330" xr:uid="{00000000-0005-0000-0000-0000DA330000}"/>
    <cellStyle name="Normal 3 2 9 5 2 2" xfId="24332" xr:uid="{00000000-0005-0000-0000-0000DB330000}"/>
    <cellStyle name="Normal 3 2 9 5 3" xfId="24334" xr:uid="{00000000-0005-0000-0000-0000DC330000}"/>
    <cellStyle name="Normal 3 2 9 6" xfId="7311" xr:uid="{00000000-0005-0000-0000-0000DD330000}"/>
    <cellStyle name="Normal 3 2 9 6 2" xfId="23977" xr:uid="{00000000-0005-0000-0000-0000DE330000}"/>
    <cellStyle name="Normal 3 2 9 7" xfId="24335" xr:uid="{00000000-0005-0000-0000-0000DF330000}"/>
    <cellStyle name="Normal 3 2 9 7 2" xfId="24336" xr:uid="{00000000-0005-0000-0000-0000E0330000}"/>
    <cellStyle name="Normal 3 2 9 8" xfId="898" xr:uid="{00000000-0005-0000-0000-0000E1330000}"/>
    <cellStyle name="Normal 3 3" xfId="760" xr:uid="{00000000-0005-0000-0000-0000E2330000}"/>
    <cellStyle name="Normal 3 3 10" xfId="24125" xr:uid="{00000000-0005-0000-0000-0000E3330000}"/>
    <cellStyle name="Normal 3 3 11" xfId="24337" xr:uid="{00000000-0005-0000-0000-0000E4330000}"/>
    <cellStyle name="Normal 3 3 11 2" xfId="14359" xr:uid="{00000000-0005-0000-0000-0000E5330000}"/>
    <cellStyle name="Normal 3 3 11 2 2" xfId="24339" xr:uid="{00000000-0005-0000-0000-0000E6330000}"/>
    <cellStyle name="Normal 3 3 11 2 2 2" xfId="24340" xr:uid="{00000000-0005-0000-0000-0000E7330000}"/>
    <cellStyle name="Normal 3 3 11 2 3" xfId="24155" xr:uid="{00000000-0005-0000-0000-0000E8330000}"/>
    <cellStyle name="Normal 3 3 11 3" xfId="24341" xr:uid="{00000000-0005-0000-0000-0000E9330000}"/>
    <cellStyle name="Normal 3 3 11 3 2" xfId="24345" xr:uid="{00000000-0005-0000-0000-0000EA330000}"/>
    <cellStyle name="Normal 3 3 11 3 2 2" xfId="24346" xr:uid="{00000000-0005-0000-0000-0000EB330000}"/>
    <cellStyle name="Normal 3 3 11 3 3" xfId="24162" xr:uid="{00000000-0005-0000-0000-0000EC330000}"/>
    <cellStyle name="Normal 3 3 11 4" xfId="24347" xr:uid="{00000000-0005-0000-0000-0000ED330000}"/>
    <cellStyle name="Normal 3 3 11 4 2" xfId="24348" xr:uid="{00000000-0005-0000-0000-0000EE330000}"/>
    <cellStyle name="Normal 3 3 11 5" xfId="3126" xr:uid="{00000000-0005-0000-0000-0000EF330000}"/>
    <cellStyle name="Normal 3 3 11 5 2" xfId="24350" xr:uid="{00000000-0005-0000-0000-0000F0330000}"/>
    <cellStyle name="Normal 3 3 11 6" xfId="24351" xr:uid="{00000000-0005-0000-0000-0000F1330000}"/>
    <cellStyle name="Normal 3 3 12" xfId="24352" xr:uid="{00000000-0005-0000-0000-0000F2330000}"/>
    <cellStyle name="Normal 3 3 12 2" xfId="4756" xr:uid="{00000000-0005-0000-0000-0000F3330000}"/>
    <cellStyle name="Normal 3 3 13" xfId="24353" xr:uid="{00000000-0005-0000-0000-0000F4330000}"/>
    <cellStyle name="Normal 3 3 13 2" xfId="24354" xr:uid="{00000000-0005-0000-0000-0000F5330000}"/>
    <cellStyle name="Normal 3 3 14" xfId="24355" xr:uid="{00000000-0005-0000-0000-0000F6330000}"/>
    <cellStyle name="Normal 3 3 15" xfId="24356" xr:uid="{00000000-0005-0000-0000-0000F7330000}"/>
    <cellStyle name="Normal 3 3 2" xfId="1028" xr:uid="{00000000-0005-0000-0000-0000F8330000}"/>
    <cellStyle name="Normal 3 3 2 10" xfId="9322" xr:uid="{00000000-0005-0000-0000-0000F9330000}"/>
    <cellStyle name="Normal 3 3 2 10 2" xfId="9329" xr:uid="{00000000-0005-0000-0000-0000FA330000}"/>
    <cellStyle name="Normal 3 3 2 11" xfId="9461" xr:uid="{00000000-0005-0000-0000-0000FB330000}"/>
    <cellStyle name="Normal 3 3 2 11 2" xfId="9469" xr:uid="{00000000-0005-0000-0000-0000FC330000}"/>
    <cellStyle name="Normal 3 3 2 12" xfId="9637" xr:uid="{00000000-0005-0000-0000-0000FD330000}"/>
    <cellStyle name="Normal 3 3 2 12 2" xfId="9646" xr:uid="{00000000-0005-0000-0000-0000FE330000}"/>
    <cellStyle name="Normal 3 3 2 13" xfId="9777" xr:uid="{00000000-0005-0000-0000-0000FF330000}"/>
    <cellStyle name="Normal 3 3 2 14" xfId="9853" xr:uid="{00000000-0005-0000-0000-000000340000}"/>
    <cellStyle name="Normal 3 3 2 2" xfId="24357" xr:uid="{00000000-0005-0000-0000-000001340000}"/>
    <cellStyle name="Normal 3 3 2 2 10" xfId="8264" xr:uid="{00000000-0005-0000-0000-000002340000}"/>
    <cellStyle name="Normal 3 3 2 2 2" xfId="24358" xr:uid="{00000000-0005-0000-0000-000003340000}"/>
    <cellStyle name="Normal 3 3 2 2 2 2" xfId="24359" xr:uid="{00000000-0005-0000-0000-000004340000}"/>
    <cellStyle name="Normal 3 3 2 2 2 2 2" xfId="24360" xr:uid="{00000000-0005-0000-0000-000005340000}"/>
    <cellStyle name="Normal 3 3 2 2 2 2 2 2" xfId="861" xr:uid="{00000000-0005-0000-0000-000006340000}"/>
    <cellStyle name="Normal 3 3 2 2 2 2 2 2 2" xfId="4069" xr:uid="{00000000-0005-0000-0000-000007340000}"/>
    <cellStyle name="Normal 3 3 2 2 2 2 2 2 2 2" xfId="24361" xr:uid="{00000000-0005-0000-0000-000008340000}"/>
    <cellStyle name="Normal 3 3 2 2 2 2 2 2 3" xfId="15241" xr:uid="{00000000-0005-0000-0000-000009340000}"/>
    <cellStyle name="Normal 3 3 2 2 2 2 2 3" xfId="5815" xr:uid="{00000000-0005-0000-0000-00000A340000}"/>
    <cellStyle name="Normal 3 3 2 2 2 2 2 3 2" xfId="24362" xr:uid="{00000000-0005-0000-0000-00000B340000}"/>
    <cellStyle name="Normal 3 3 2 2 2 2 2 4" xfId="24366" xr:uid="{00000000-0005-0000-0000-00000C340000}"/>
    <cellStyle name="Normal 3 3 2 2 2 2 3" xfId="24367" xr:uid="{00000000-0005-0000-0000-00000D340000}"/>
    <cellStyle name="Normal 3 3 2 2 2 2 3 2" xfId="20867" xr:uid="{00000000-0005-0000-0000-00000E340000}"/>
    <cellStyle name="Normal 3 3 2 2 2 2 3 2 2" xfId="20869" xr:uid="{00000000-0005-0000-0000-00000F340000}"/>
    <cellStyle name="Normal 3 3 2 2 2 2 3 3" xfId="20929" xr:uid="{00000000-0005-0000-0000-000010340000}"/>
    <cellStyle name="Normal 3 3 2 2 2 2 4" xfId="5869" xr:uid="{00000000-0005-0000-0000-000011340000}"/>
    <cellStyle name="Normal 3 3 2 2 2 2 4 2" xfId="6683" xr:uid="{00000000-0005-0000-0000-000012340000}"/>
    <cellStyle name="Normal 3 3 2 2 2 2 4 2 2" xfId="21162" xr:uid="{00000000-0005-0000-0000-000013340000}"/>
    <cellStyle name="Normal 3 3 2 2 2 2 4 3" xfId="6365" xr:uid="{00000000-0005-0000-0000-000014340000}"/>
    <cellStyle name="Normal 3 3 2 2 2 2 5" xfId="6702" xr:uid="{00000000-0005-0000-0000-000015340000}"/>
    <cellStyle name="Normal 3 3 2 2 2 2 5 2" xfId="21205" xr:uid="{00000000-0005-0000-0000-000016340000}"/>
    <cellStyle name="Normal 3 3 2 2 2 2 6" xfId="14522" xr:uid="{00000000-0005-0000-0000-000017340000}"/>
    <cellStyle name="Normal 3 3 2 2 2 2 6 2" xfId="21236" xr:uid="{00000000-0005-0000-0000-000018340000}"/>
    <cellStyle name="Normal 3 3 2 2 2 2 7" xfId="24368" xr:uid="{00000000-0005-0000-0000-000019340000}"/>
    <cellStyle name="Normal 3 3 2 2 2 3" xfId="24369" xr:uid="{00000000-0005-0000-0000-00001A340000}"/>
    <cellStyle name="Normal 3 3 2 2 2 3 2" xfId="24370" xr:uid="{00000000-0005-0000-0000-00001B340000}"/>
    <cellStyle name="Normal 3 3 2 2 2 3 2 2" xfId="6014" xr:uid="{00000000-0005-0000-0000-00001C340000}"/>
    <cellStyle name="Normal 3 3 2 2 2 3 2 2 2" xfId="5056" xr:uid="{00000000-0005-0000-0000-00001D340000}"/>
    <cellStyle name="Normal 3 3 2 2 2 3 2 3" xfId="5978" xr:uid="{00000000-0005-0000-0000-00001E340000}"/>
    <cellStyle name="Normal 3 3 2 2 2 3 3" xfId="24371" xr:uid="{00000000-0005-0000-0000-00001F340000}"/>
    <cellStyle name="Normal 3 3 2 2 2 3 3 2" xfId="24372" xr:uid="{00000000-0005-0000-0000-000020340000}"/>
    <cellStyle name="Normal 3 3 2 2 2 3 4" xfId="6720" xr:uid="{00000000-0005-0000-0000-000021340000}"/>
    <cellStyle name="Normal 3 3 2 2 2 4" xfId="22461" xr:uid="{00000000-0005-0000-0000-000022340000}"/>
    <cellStyle name="Normal 3 3 2 2 2 4 2" xfId="24373" xr:uid="{00000000-0005-0000-0000-000023340000}"/>
    <cellStyle name="Normal 3 3 2 2 2 4 2 2" xfId="11740" xr:uid="{00000000-0005-0000-0000-000024340000}"/>
    <cellStyle name="Normal 3 3 2 2 2 4 3" xfId="24374" xr:uid="{00000000-0005-0000-0000-000025340000}"/>
    <cellStyle name="Normal 3 3 2 2 2 5" xfId="24090" xr:uid="{00000000-0005-0000-0000-000026340000}"/>
    <cellStyle name="Normal 3 3 2 2 2 5 2" xfId="24376" xr:uid="{00000000-0005-0000-0000-000027340000}"/>
    <cellStyle name="Normal 3 3 2 2 2 5 2 2" xfId="23331" xr:uid="{00000000-0005-0000-0000-000028340000}"/>
    <cellStyle name="Normal 3 3 2 2 2 5 3" xfId="24378" xr:uid="{00000000-0005-0000-0000-000029340000}"/>
    <cellStyle name="Normal 3 3 2 2 2 6" xfId="24380" xr:uid="{00000000-0005-0000-0000-00002A340000}"/>
    <cellStyle name="Normal 3 3 2 2 2 6 2" xfId="24385" xr:uid="{00000000-0005-0000-0000-00002B340000}"/>
    <cellStyle name="Normal 3 3 2 2 2 7" xfId="20782" xr:uid="{00000000-0005-0000-0000-00002C340000}"/>
    <cellStyle name="Normal 3 3 2 2 2 7 2" xfId="24390" xr:uid="{00000000-0005-0000-0000-00002D340000}"/>
    <cellStyle name="Normal 3 3 2 2 2 8" xfId="24393" xr:uid="{00000000-0005-0000-0000-00002E340000}"/>
    <cellStyle name="Normal 3 3 2 2 2 9" xfId="14494" xr:uid="{00000000-0005-0000-0000-00002F340000}"/>
    <cellStyle name="Normal 3 3 2 2 3" xfId="20288" xr:uid="{00000000-0005-0000-0000-000030340000}"/>
    <cellStyle name="Normal 3 3 2 2 3 2" xfId="19456" xr:uid="{00000000-0005-0000-0000-000031340000}"/>
    <cellStyle name="Normal 3 3 2 2 3 2 2" xfId="24395" xr:uid="{00000000-0005-0000-0000-000032340000}"/>
    <cellStyle name="Normal 3 3 2 2 3 2 2 2" xfId="24396" xr:uid="{00000000-0005-0000-0000-000033340000}"/>
    <cellStyle name="Normal 3 3 2 2 3 2 2 2 2" xfId="16868" xr:uid="{00000000-0005-0000-0000-000034340000}"/>
    <cellStyle name="Normal 3 3 2 2 3 2 2 3" xfId="24397" xr:uid="{00000000-0005-0000-0000-000035340000}"/>
    <cellStyle name="Normal 3 3 2 2 3 2 3" xfId="24398" xr:uid="{00000000-0005-0000-0000-000036340000}"/>
    <cellStyle name="Normal 3 3 2 2 3 2 3 2" xfId="24401" xr:uid="{00000000-0005-0000-0000-000037340000}"/>
    <cellStyle name="Normal 3 3 2 2 3 2 4" xfId="5910" xr:uid="{00000000-0005-0000-0000-000038340000}"/>
    <cellStyle name="Normal 3 3 2 2 3 3" xfId="19458" xr:uid="{00000000-0005-0000-0000-000039340000}"/>
    <cellStyle name="Normal 3 3 2 2 3 3 2" xfId="24404" xr:uid="{00000000-0005-0000-0000-00003A340000}"/>
    <cellStyle name="Normal 3 3 2 2 3 3 2 2" xfId="24405" xr:uid="{00000000-0005-0000-0000-00003B340000}"/>
    <cellStyle name="Normal 3 3 2 2 3 3 3" xfId="24406" xr:uid="{00000000-0005-0000-0000-00003C340000}"/>
    <cellStyle name="Normal 3 3 2 2 3 4" xfId="24411" xr:uid="{00000000-0005-0000-0000-00003D340000}"/>
    <cellStyle name="Normal 3 3 2 2 3 4 2" xfId="24412" xr:uid="{00000000-0005-0000-0000-00003E340000}"/>
    <cellStyle name="Normal 3 3 2 2 3 4 2 2" xfId="8777" xr:uid="{00000000-0005-0000-0000-00003F340000}"/>
    <cellStyle name="Normal 3 3 2 2 3 4 3" xfId="24413" xr:uid="{00000000-0005-0000-0000-000040340000}"/>
    <cellStyle name="Normal 3 3 2 2 3 5" xfId="24416" xr:uid="{00000000-0005-0000-0000-000041340000}"/>
    <cellStyle name="Normal 3 3 2 2 3 5 2" xfId="24418" xr:uid="{00000000-0005-0000-0000-000042340000}"/>
    <cellStyle name="Normal 3 3 2 2 3 6" xfId="24420" xr:uid="{00000000-0005-0000-0000-000043340000}"/>
    <cellStyle name="Normal 3 3 2 2 3 6 2" xfId="24424" xr:uid="{00000000-0005-0000-0000-000044340000}"/>
    <cellStyle name="Normal 3 3 2 2 3 7" xfId="24427" xr:uid="{00000000-0005-0000-0000-000045340000}"/>
    <cellStyle name="Normal 3 3 2 2 4" xfId="24429" xr:uid="{00000000-0005-0000-0000-000046340000}"/>
    <cellStyle name="Normal 3 3 2 2 4 2" xfId="24430" xr:uid="{00000000-0005-0000-0000-000047340000}"/>
    <cellStyle name="Normal 3 3 2 2 4 2 2" xfId="18328" xr:uid="{00000000-0005-0000-0000-000048340000}"/>
    <cellStyle name="Normal 3 3 2 2 4 2 2 2" xfId="12903" xr:uid="{00000000-0005-0000-0000-000049340000}"/>
    <cellStyle name="Normal 3 3 2 2 4 2 3" xfId="18329" xr:uid="{00000000-0005-0000-0000-00004A340000}"/>
    <cellStyle name="Normal 3 3 2 2 4 3" xfId="24431" xr:uid="{00000000-0005-0000-0000-00004B340000}"/>
    <cellStyle name="Normal 3 3 2 2 4 3 2" xfId="24432" xr:uid="{00000000-0005-0000-0000-00004C340000}"/>
    <cellStyle name="Normal 3 3 2 2 4 4" xfId="24433" xr:uid="{00000000-0005-0000-0000-00004D340000}"/>
    <cellStyle name="Normal 3 3 2 2 5" xfId="24435" xr:uid="{00000000-0005-0000-0000-00004E340000}"/>
    <cellStyle name="Normal 3 3 2 2 5 2" xfId="24437" xr:uid="{00000000-0005-0000-0000-00004F340000}"/>
    <cellStyle name="Normal 3 3 2 2 5 2 2" xfId="22767" xr:uid="{00000000-0005-0000-0000-000050340000}"/>
    <cellStyle name="Normal 3 3 2 2 5 3" xfId="24439" xr:uid="{00000000-0005-0000-0000-000051340000}"/>
    <cellStyle name="Normal 3 3 2 2 6" xfId="24441" xr:uid="{00000000-0005-0000-0000-000052340000}"/>
    <cellStyle name="Normal 3 3 2 2 6 2" xfId="24443" xr:uid="{00000000-0005-0000-0000-000053340000}"/>
    <cellStyle name="Normal 3 3 2 2 6 2 2" xfId="24445" xr:uid="{00000000-0005-0000-0000-000054340000}"/>
    <cellStyle name="Normal 3 3 2 2 6 3" xfId="24448" xr:uid="{00000000-0005-0000-0000-000055340000}"/>
    <cellStyle name="Normal 3 3 2 2 7" xfId="24450" xr:uid="{00000000-0005-0000-0000-000056340000}"/>
    <cellStyle name="Normal 3 3 2 2 7 2" xfId="24452" xr:uid="{00000000-0005-0000-0000-000057340000}"/>
    <cellStyle name="Normal 3 3 2 2 8" xfId="24454" xr:uid="{00000000-0005-0000-0000-000058340000}"/>
    <cellStyle name="Normal 3 3 2 2 8 2" xfId="24456" xr:uid="{00000000-0005-0000-0000-000059340000}"/>
    <cellStyle name="Normal 3 3 2 2 9" xfId="24458" xr:uid="{00000000-0005-0000-0000-00005A340000}"/>
    <cellStyle name="Normal 3 3 2 3" xfId="24460" xr:uid="{00000000-0005-0000-0000-00005B340000}"/>
    <cellStyle name="Normal 3 3 2 3 2" xfId="24462" xr:uid="{00000000-0005-0000-0000-00005C340000}"/>
    <cellStyle name="Normal 3 3 2 3 2 2" xfId="24464" xr:uid="{00000000-0005-0000-0000-00005D340000}"/>
    <cellStyle name="Normal 3 3 2 3 2 2 2" xfId="24465" xr:uid="{00000000-0005-0000-0000-00005E340000}"/>
    <cellStyle name="Normal 3 3 2 3 2 2 2 2" xfId="6358" xr:uid="{00000000-0005-0000-0000-00005F340000}"/>
    <cellStyle name="Normal 3 3 2 3 2 2 2 2 2" xfId="6366" xr:uid="{00000000-0005-0000-0000-000060340000}"/>
    <cellStyle name="Normal 3 3 2 3 2 2 2 3" xfId="6408" xr:uid="{00000000-0005-0000-0000-000061340000}"/>
    <cellStyle name="Normal 3 3 2 3 2 2 3" xfId="24466" xr:uid="{00000000-0005-0000-0000-000062340000}"/>
    <cellStyle name="Normal 3 3 2 3 2 2 3 2" xfId="24468" xr:uid="{00000000-0005-0000-0000-000063340000}"/>
    <cellStyle name="Normal 3 3 2 3 2 2 4" xfId="6073" xr:uid="{00000000-0005-0000-0000-000064340000}"/>
    <cellStyle name="Normal 3 3 2 3 2 3" xfId="24469" xr:uid="{00000000-0005-0000-0000-000065340000}"/>
    <cellStyle name="Normal 3 3 2 3 2 3 2" xfId="24470" xr:uid="{00000000-0005-0000-0000-000066340000}"/>
    <cellStyle name="Normal 3 3 2 3 2 3 2 2" xfId="7256" xr:uid="{00000000-0005-0000-0000-000067340000}"/>
    <cellStyle name="Normal 3 3 2 3 2 3 3" xfId="24471" xr:uid="{00000000-0005-0000-0000-000068340000}"/>
    <cellStyle name="Normal 3 3 2 3 2 4" xfId="24472" xr:uid="{00000000-0005-0000-0000-000069340000}"/>
    <cellStyle name="Normal 3 3 2 3 2 4 2" xfId="24473" xr:uid="{00000000-0005-0000-0000-00006A340000}"/>
    <cellStyle name="Normal 3 3 2 3 2 4 2 2" xfId="145" xr:uid="{00000000-0005-0000-0000-00006B340000}"/>
    <cellStyle name="Normal 3 3 2 3 2 4 3" xfId="24477" xr:uid="{00000000-0005-0000-0000-00006C340000}"/>
    <cellStyle name="Normal 3 3 2 3 2 5" xfId="24480" xr:uid="{00000000-0005-0000-0000-00006D340000}"/>
    <cellStyle name="Normal 3 3 2 3 2 5 2" xfId="24483" xr:uid="{00000000-0005-0000-0000-00006E340000}"/>
    <cellStyle name="Normal 3 3 2 3 2 6" xfId="24487" xr:uid="{00000000-0005-0000-0000-00006F340000}"/>
    <cellStyle name="Normal 3 3 2 3 2 6 2" xfId="24492" xr:uid="{00000000-0005-0000-0000-000070340000}"/>
    <cellStyle name="Normal 3 3 2 3 2 7" xfId="24497" xr:uid="{00000000-0005-0000-0000-000071340000}"/>
    <cellStyle name="Normal 3 3 2 3 3" xfId="24500" xr:uid="{00000000-0005-0000-0000-000072340000}"/>
    <cellStyle name="Normal 3 3 2 3 3 2" xfId="24501" xr:uid="{00000000-0005-0000-0000-000073340000}"/>
    <cellStyle name="Normal 3 3 2 3 3 2 2" xfId="21835" xr:uid="{00000000-0005-0000-0000-000074340000}"/>
    <cellStyle name="Normal 3 3 2 3 3 2 2 2" xfId="21841" xr:uid="{00000000-0005-0000-0000-000075340000}"/>
    <cellStyle name="Normal 3 3 2 3 3 2 3" xfId="21851" xr:uid="{00000000-0005-0000-0000-000076340000}"/>
    <cellStyle name="Normal 3 3 2 3 3 3" xfId="24502" xr:uid="{00000000-0005-0000-0000-000077340000}"/>
    <cellStyle name="Normal 3 3 2 3 3 3 2" xfId="21919" xr:uid="{00000000-0005-0000-0000-000078340000}"/>
    <cellStyle name="Normal 3 3 2 3 3 4" xfId="24503" xr:uid="{00000000-0005-0000-0000-000079340000}"/>
    <cellStyle name="Normal 3 3 2 3 4" xfId="24505" xr:uid="{00000000-0005-0000-0000-00007A340000}"/>
    <cellStyle name="Normal 3 3 2 3 4 2" xfId="24506" xr:uid="{00000000-0005-0000-0000-00007B340000}"/>
    <cellStyle name="Normal 3 3 2 3 4 2 2" xfId="22172" xr:uid="{00000000-0005-0000-0000-00007C340000}"/>
    <cellStyle name="Normal 3 3 2 3 4 3" xfId="24507" xr:uid="{00000000-0005-0000-0000-00007D340000}"/>
    <cellStyle name="Normal 3 3 2 3 5" xfId="24508" xr:uid="{00000000-0005-0000-0000-00007E340000}"/>
    <cellStyle name="Normal 3 3 2 3 5 2" xfId="24510" xr:uid="{00000000-0005-0000-0000-00007F340000}"/>
    <cellStyle name="Normal 3 3 2 3 5 2 2" xfId="22317" xr:uid="{00000000-0005-0000-0000-000080340000}"/>
    <cellStyle name="Normal 3 3 2 3 5 3" xfId="24514" xr:uid="{00000000-0005-0000-0000-000081340000}"/>
    <cellStyle name="Normal 3 3 2 3 6" xfId="24516" xr:uid="{00000000-0005-0000-0000-000082340000}"/>
    <cellStyle name="Normal 3 3 2 3 6 2" xfId="24518" xr:uid="{00000000-0005-0000-0000-000083340000}"/>
    <cellStyle name="Normal 3 3 2 3 7" xfId="24520" xr:uid="{00000000-0005-0000-0000-000084340000}"/>
    <cellStyle name="Normal 3 3 2 3 7 2" xfId="24524" xr:uid="{00000000-0005-0000-0000-000085340000}"/>
    <cellStyle name="Normal 3 3 2 3 8" xfId="24526" xr:uid="{00000000-0005-0000-0000-000086340000}"/>
    <cellStyle name="Normal 3 3 2 3 9" xfId="24528" xr:uid="{00000000-0005-0000-0000-000087340000}"/>
    <cellStyle name="Normal 3 3 2 4" xfId="24447" xr:uid="{00000000-0005-0000-0000-000088340000}"/>
    <cellStyle name="Normal 3 3 2 4 2" xfId="24131" xr:uid="{00000000-0005-0000-0000-000089340000}"/>
    <cellStyle name="Normal 3 3 2 4 2 2" xfId="24530" xr:uid="{00000000-0005-0000-0000-00008A340000}"/>
    <cellStyle name="Normal 3 3 2 4 2 2 2" xfId="24531" xr:uid="{00000000-0005-0000-0000-00008B340000}"/>
    <cellStyle name="Normal 3 3 2 4 2 2 2 2" xfId="8122" xr:uid="{00000000-0005-0000-0000-00008C340000}"/>
    <cellStyle name="Normal 3 3 2 4 2 2 2 2 2" xfId="4989" xr:uid="{00000000-0005-0000-0000-00008D340000}"/>
    <cellStyle name="Normal 3 3 2 4 2 2 2 3" xfId="8131" xr:uid="{00000000-0005-0000-0000-00008E340000}"/>
    <cellStyle name="Normal 3 3 2 4 2 2 3" xfId="24532" xr:uid="{00000000-0005-0000-0000-00008F340000}"/>
    <cellStyle name="Normal 3 3 2 4 2 2 3 2" xfId="1893" xr:uid="{00000000-0005-0000-0000-000090340000}"/>
    <cellStyle name="Normal 3 3 2 4 2 2 4" xfId="24536" xr:uid="{00000000-0005-0000-0000-000091340000}"/>
    <cellStyle name="Normal 3 3 2 4 2 3" xfId="24537" xr:uid="{00000000-0005-0000-0000-000092340000}"/>
    <cellStyle name="Normal 3 3 2 4 2 3 2" xfId="24538" xr:uid="{00000000-0005-0000-0000-000093340000}"/>
    <cellStyle name="Normal 3 3 2 4 2 3 2 2" xfId="8228" xr:uid="{00000000-0005-0000-0000-000094340000}"/>
    <cellStyle name="Normal 3 3 2 4 2 3 3" xfId="24539" xr:uid="{00000000-0005-0000-0000-000095340000}"/>
    <cellStyle name="Normal 3 3 2 4 2 4" xfId="24540" xr:uid="{00000000-0005-0000-0000-000096340000}"/>
    <cellStyle name="Normal 3 3 2 4 2 4 2" xfId="24541" xr:uid="{00000000-0005-0000-0000-000097340000}"/>
    <cellStyle name="Normal 3 3 2 4 2 4 2 2" xfId="24544" xr:uid="{00000000-0005-0000-0000-000098340000}"/>
    <cellStyle name="Normal 3 3 2 4 2 4 3" xfId="24547" xr:uid="{00000000-0005-0000-0000-000099340000}"/>
    <cellStyle name="Normal 3 3 2 4 2 5" xfId="24550" xr:uid="{00000000-0005-0000-0000-00009A340000}"/>
    <cellStyle name="Normal 3 3 2 4 2 5 2" xfId="8622" xr:uid="{00000000-0005-0000-0000-00009B340000}"/>
    <cellStyle name="Normal 3 3 2 4 2 6" xfId="24552" xr:uid="{00000000-0005-0000-0000-00009C340000}"/>
    <cellStyle name="Normal 3 3 2 4 2 6 2" xfId="22496" xr:uid="{00000000-0005-0000-0000-00009D340000}"/>
    <cellStyle name="Normal 3 3 2 4 2 7" xfId="24554" xr:uid="{00000000-0005-0000-0000-00009E340000}"/>
    <cellStyle name="Normal 3 3 2 4 3" xfId="1818" xr:uid="{00000000-0005-0000-0000-00009F340000}"/>
    <cellStyle name="Normal 3 3 2 4 3 2" xfId="24556" xr:uid="{00000000-0005-0000-0000-0000A0340000}"/>
    <cellStyle name="Normal 3 3 2 4 3 2 2" xfId="22537" xr:uid="{00000000-0005-0000-0000-0000A1340000}"/>
    <cellStyle name="Normal 3 3 2 4 3 2 2 2" xfId="22539" xr:uid="{00000000-0005-0000-0000-0000A2340000}"/>
    <cellStyle name="Normal 3 3 2 4 3 2 3" xfId="22542" xr:uid="{00000000-0005-0000-0000-0000A3340000}"/>
    <cellStyle name="Normal 3 3 2 4 3 3" xfId="24557" xr:uid="{00000000-0005-0000-0000-0000A4340000}"/>
    <cellStyle name="Normal 3 3 2 4 3 3 2" xfId="22563" xr:uid="{00000000-0005-0000-0000-0000A5340000}"/>
    <cellStyle name="Normal 3 3 2 4 3 4" xfId="24559" xr:uid="{00000000-0005-0000-0000-0000A6340000}"/>
    <cellStyle name="Normal 3 3 2 4 4" xfId="24560" xr:uid="{00000000-0005-0000-0000-0000A7340000}"/>
    <cellStyle name="Normal 3 3 2 4 4 2" xfId="13988" xr:uid="{00000000-0005-0000-0000-0000A8340000}"/>
    <cellStyle name="Normal 3 3 2 4 4 2 2" xfId="13993" xr:uid="{00000000-0005-0000-0000-0000A9340000}"/>
    <cellStyle name="Normal 3 3 2 4 4 3" xfId="11599" xr:uid="{00000000-0005-0000-0000-0000AA340000}"/>
    <cellStyle name="Normal 3 3 2 4 5" xfId="4006" xr:uid="{00000000-0005-0000-0000-0000AB340000}"/>
    <cellStyle name="Normal 3 3 2 4 5 2" xfId="24562" xr:uid="{00000000-0005-0000-0000-0000AC340000}"/>
    <cellStyle name="Normal 3 3 2 4 5 2 2" xfId="22646" xr:uid="{00000000-0005-0000-0000-0000AD340000}"/>
    <cellStyle name="Normal 3 3 2 4 5 3" xfId="6507" xr:uid="{00000000-0005-0000-0000-0000AE340000}"/>
    <cellStyle name="Normal 3 3 2 4 6" xfId="24564" xr:uid="{00000000-0005-0000-0000-0000AF340000}"/>
    <cellStyle name="Normal 3 3 2 4 6 2" xfId="24567" xr:uid="{00000000-0005-0000-0000-0000B0340000}"/>
    <cellStyle name="Normal 3 3 2 4 7" xfId="5903" xr:uid="{00000000-0005-0000-0000-0000B1340000}"/>
    <cellStyle name="Normal 3 3 2 4 7 2" xfId="4118" xr:uid="{00000000-0005-0000-0000-0000B2340000}"/>
    <cellStyle name="Normal 3 3 2 4 8" xfId="24569" xr:uid="{00000000-0005-0000-0000-0000B3340000}"/>
    <cellStyle name="Normal 3 3 2 5" xfId="24575" xr:uid="{00000000-0005-0000-0000-0000B4340000}"/>
    <cellStyle name="Normal 3 3 2 5 2" xfId="22796" xr:uid="{00000000-0005-0000-0000-0000B5340000}"/>
    <cellStyle name="Normal 3 3 2 5 2 2" xfId="24576" xr:uid="{00000000-0005-0000-0000-0000B6340000}"/>
    <cellStyle name="Normal 3 3 2 5 2 2 2" xfId="24579" xr:uid="{00000000-0005-0000-0000-0000B7340000}"/>
    <cellStyle name="Normal 3 3 2 5 2 2 2 2" xfId="1794" xr:uid="{00000000-0005-0000-0000-0000B8340000}"/>
    <cellStyle name="Normal 3 3 2 5 2 2 2 2 2" xfId="8748" xr:uid="{00000000-0005-0000-0000-0000B9340000}"/>
    <cellStyle name="Normal 3 3 2 5 2 2 2 3" xfId="8753" xr:uid="{00000000-0005-0000-0000-0000BA340000}"/>
    <cellStyle name="Normal 3 3 2 5 2 2 3" xfId="24580" xr:uid="{00000000-0005-0000-0000-0000BB340000}"/>
    <cellStyle name="Normal 3 3 2 5 2 2 3 2" xfId="24581" xr:uid="{00000000-0005-0000-0000-0000BC340000}"/>
    <cellStyle name="Normal 3 3 2 5 2 2 4" xfId="24587" xr:uid="{00000000-0005-0000-0000-0000BD340000}"/>
    <cellStyle name="Normal 3 3 2 5 2 3" xfId="24588" xr:uid="{00000000-0005-0000-0000-0000BE340000}"/>
    <cellStyle name="Normal 3 3 2 5 2 3 2" xfId="24589" xr:uid="{00000000-0005-0000-0000-0000BF340000}"/>
    <cellStyle name="Normal 3 3 2 5 2 3 2 2" xfId="8680" xr:uid="{00000000-0005-0000-0000-0000C0340000}"/>
    <cellStyle name="Normal 3 3 2 5 2 3 3" xfId="24590" xr:uid="{00000000-0005-0000-0000-0000C1340000}"/>
    <cellStyle name="Normal 3 3 2 5 2 4" xfId="24591" xr:uid="{00000000-0005-0000-0000-0000C2340000}"/>
    <cellStyle name="Normal 3 3 2 5 2 4 2" xfId="24594" xr:uid="{00000000-0005-0000-0000-0000C3340000}"/>
    <cellStyle name="Normal 3 3 2 5 2 4 2 2" xfId="24597" xr:uid="{00000000-0005-0000-0000-0000C4340000}"/>
    <cellStyle name="Normal 3 3 2 5 2 4 3" xfId="24600" xr:uid="{00000000-0005-0000-0000-0000C5340000}"/>
    <cellStyle name="Normal 3 3 2 5 2 5" xfId="24603" xr:uid="{00000000-0005-0000-0000-0000C6340000}"/>
    <cellStyle name="Normal 3 3 2 5 2 5 2" xfId="24604" xr:uid="{00000000-0005-0000-0000-0000C7340000}"/>
    <cellStyle name="Normal 3 3 2 5 2 6" xfId="24608" xr:uid="{00000000-0005-0000-0000-0000C8340000}"/>
    <cellStyle name="Normal 3 3 2 5 2 6 2" xfId="21760" xr:uid="{00000000-0005-0000-0000-0000C9340000}"/>
    <cellStyle name="Normal 3 3 2 5 2 7" xfId="24610" xr:uid="{00000000-0005-0000-0000-0000CA340000}"/>
    <cellStyle name="Normal 3 3 2 5 3" xfId="24612" xr:uid="{00000000-0005-0000-0000-0000CB340000}"/>
    <cellStyle name="Normal 3 3 2 5 3 2" xfId="24613" xr:uid="{00000000-0005-0000-0000-0000CC340000}"/>
    <cellStyle name="Normal 3 3 2 5 3 2 2" xfId="24614" xr:uid="{00000000-0005-0000-0000-0000CD340000}"/>
    <cellStyle name="Normal 3 3 2 5 3 2 2 2" xfId="24615" xr:uid="{00000000-0005-0000-0000-0000CE340000}"/>
    <cellStyle name="Normal 3 3 2 5 3 2 3" xfId="24618" xr:uid="{00000000-0005-0000-0000-0000CF340000}"/>
    <cellStyle name="Normal 3 3 2 5 3 3" xfId="24623" xr:uid="{00000000-0005-0000-0000-0000D0340000}"/>
    <cellStyle name="Normal 3 3 2 5 3 3 2" xfId="24626" xr:uid="{00000000-0005-0000-0000-0000D1340000}"/>
    <cellStyle name="Normal 3 3 2 5 3 4" xfId="24630" xr:uid="{00000000-0005-0000-0000-0000D2340000}"/>
    <cellStyle name="Normal 3 3 2 5 4" xfId="24632" xr:uid="{00000000-0005-0000-0000-0000D3340000}"/>
    <cellStyle name="Normal 3 3 2 5 4 2" xfId="24637" xr:uid="{00000000-0005-0000-0000-0000D4340000}"/>
    <cellStyle name="Normal 3 3 2 5 4 2 2" xfId="24648" xr:uid="{00000000-0005-0000-0000-0000D5340000}"/>
    <cellStyle name="Normal 3 3 2 5 4 3" xfId="24653" xr:uid="{00000000-0005-0000-0000-0000D6340000}"/>
    <cellStyle name="Normal 3 3 2 5 5" xfId="24655" xr:uid="{00000000-0005-0000-0000-0000D7340000}"/>
    <cellStyle name="Normal 3 3 2 5 5 2" xfId="24664" xr:uid="{00000000-0005-0000-0000-0000D8340000}"/>
    <cellStyle name="Normal 3 3 2 5 5 2 2" xfId="24669" xr:uid="{00000000-0005-0000-0000-0000D9340000}"/>
    <cellStyle name="Normal 3 3 2 5 5 3" xfId="24672" xr:uid="{00000000-0005-0000-0000-0000DA340000}"/>
    <cellStyle name="Normal 3 3 2 5 6" xfId="2999" xr:uid="{00000000-0005-0000-0000-0000DB340000}"/>
    <cellStyle name="Normal 3 3 2 5 6 2" xfId="24676" xr:uid="{00000000-0005-0000-0000-0000DC340000}"/>
    <cellStyle name="Normal 3 3 2 5 7" xfId="24678" xr:uid="{00000000-0005-0000-0000-0000DD340000}"/>
    <cellStyle name="Normal 3 3 2 5 7 2" xfId="522" xr:uid="{00000000-0005-0000-0000-0000DE340000}"/>
    <cellStyle name="Normal 3 3 2 5 8" xfId="15067" xr:uid="{00000000-0005-0000-0000-0000DF340000}"/>
    <cellStyle name="Normal 3 3 2 6" xfId="24679" xr:uid="{00000000-0005-0000-0000-0000E0340000}"/>
    <cellStyle name="Normal 3 3 2 6 2" xfId="24680" xr:uid="{00000000-0005-0000-0000-0000E1340000}"/>
    <cellStyle name="Normal 3 3 2 6 2 2" xfId="24682" xr:uid="{00000000-0005-0000-0000-0000E2340000}"/>
    <cellStyle name="Normal 3 3 2 6 2 2 2" xfId="22816" xr:uid="{00000000-0005-0000-0000-0000E3340000}"/>
    <cellStyle name="Normal 3 3 2 6 2 2 2 2" xfId="22819" xr:uid="{00000000-0005-0000-0000-0000E4340000}"/>
    <cellStyle name="Normal 3 3 2 6 2 2 3" xfId="22828" xr:uid="{00000000-0005-0000-0000-0000E5340000}"/>
    <cellStyle name="Normal 3 3 2 6 2 3" xfId="24683" xr:uid="{00000000-0005-0000-0000-0000E6340000}"/>
    <cellStyle name="Normal 3 3 2 6 2 3 2" xfId="22847" xr:uid="{00000000-0005-0000-0000-0000E7340000}"/>
    <cellStyle name="Normal 3 3 2 6 2 4" xfId="24684" xr:uid="{00000000-0005-0000-0000-0000E8340000}"/>
    <cellStyle name="Normal 3 3 2 6 3" xfId="24685" xr:uid="{00000000-0005-0000-0000-0000E9340000}"/>
    <cellStyle name="Normal 3 3 2 6 3 2" xfId="24686" xr:uid="{00000000-0005-0000-0000-0000EA340000}"/>
    <cellStyle name="Normal 3 3 2 6 3 2 2" xfId="22884" xr:uid="{00000000-0005-0000-0000-0000EB340000}"/>
    <cellStyle name="Normal 3 3 2 6 3 3" xfId="24689" xr:uid="{00000000-0005-0000-0000-0000EC340000}"/>
    <cellStyle name="Normal 3 3 2 6 4" xfId="24690" xr:uid="{00000000-0005-0000-0000-0000ED340000}"/>
    <cellStyle name="Normal 3 3 2 6 4 2" xfId="24695" xr:uid="{00000000-0005-0000-0000-0000EE340000}"/>
    <cellStyle name="Normal 3 3 2 6 4 2 2" xfId="16694" xr:uid="{00000000-0005-0000-0000-0000EF340000}"/>
    <cellStyle name="Normal 3 3 2 6 4 3" xfId="24699" xr:uid="{00000000-0005-0000-0000-0000F0340000}"/>
    <cellStyle name="Normal 3 3 2 6 5" xfId="24703" xr:uid="{00000000-0005-0000-0000-0000F1340000}"/>
    <cellStyle name="Normal 3 3 2 6 5 2" xfId="24708" xr:uid="{00000000-0005-0000-0000-0000F2340000}"/>
    <cellStyle name="Normal 3 3 2 6 6" xfId="24709" xr:uid="{00000000-0005-0000-0000-0000F3340000}"/>
    <cellStyle name="Normal 3 3 2 6 6 2" xfId="24714" xr:uid="{00000000-0005-0000-0000-0000F4340000}"/>
    <cellStyle name="Normal 3 3 2 6 7" xfId="21198" xr:uid="{00000000-0005-0000-0000-0000F5340000}"/>
    <cellStyle name="Normal 3 3 2 7" xfId="24715" xr:uid="{00000000-0005-0000-0000-0000F6340000}"/>
    <cellStyle name="Normal 3 3 2 7 2" xfId="24716" xr:uid="{00000000-0005-0000-0000-0000F7340000}"/>
    <cellStyle name="Normal 3 3 2 7 2 2" xfId="24718" xr:uid="{00000000-0005-0000-0000-0000F8340000}"/>
    <cellStyle name="Normal 3 3 2 7 2 2 2" xfId="22959" xr:uid="{00000000-0005-0000-0000-0000F9340000}"/>
    <cellStyle name="Normal 3 3 2 7 2 3" xfId="24719" xr:uid="{00000000-0005-0000-0000-0000FA340000}"/>
    <cellStyle name="Normal 3 3 2 7 3" xfId="24722" xr:uid="{00000000-0005-0000-0000-0000FB340000}"/>
    <cellStyle name="Normal 3 3 2 7 3 2" xfId="19844" xr:uid="{00000000-0005-0000-0000-0000FC340000}"/>
    <cellStyle name="Normal 3 3 2 7 4" xfId="24723" xr:uid="{00000000-0005-0000-0000-0000FD340000}"/>
    <cellStyle name="Normal 3 3 2 8" xfId="24724" xr:uid="{00000000-0005-0000-0000-0000FE340000}"/>
    <cellStyle name="Normal 3 3 2 8 2" xfId="24725" xr:uid="{00000000-0005-0000-0000-0000FF340000}"/>
    <cellStyle name="Normal 3 3 2 8 2 2" xfId="24726" xr:uid="{00000000-0005-0000-0000-000000350000}"/>
    <cellStyle name="Normal 3 3 2 8 3" xfId="21658" xr:uid="{00000000-0005-0000-0000-000001350000}"/>
    <cellStyle name="Normal 3 3 2 9" xfId="24727" xr:uid="{00000000-0005-0000-0000-000002350000}"/>
    <cellStyle name="Normal 3 3 2 9 2" xfId="24728" xr:uid="{00000000-0005-0000-0000-000003350000}"/>
    <cellStyle name="Normal 3 3 2 9 2 2" xfId="24729" xr:uid="{00000000-0005-0000-0000-000004350000}"/>
    <cellStyle name="Normal 3 3 2 9 3" xfId="24730" xr:uid="{00000000-0005-0000-0000-000005350000}"/>
    <cellStyle name="Normal 3 3 3" xfId="21624" xr:uid="{00000000-0005-0000-0000-000006350000}"/>
    <cellStyle name="Normal 3 3 3 10" xfId="11087" xr:uid="{00000000-0005-0000-0000-000007350000}"/>
    <cellStyle name="Normal 3 3 3 10 2" xfId="24732" xr:uid="{00000000-0005-0000-0000-000008350000}"/>
    <cellStyle name="Normal 3 3 3 11" xfId="2218" xr:uid="{00000000-0005-0000-0000-000009350000}"/>
    <cellStyle name="Normal 3 3 3 11 2" xfId="12359" xr:uid="{00000000-0005-0000-0000-00000A350000}"/>
    <cellStyle name="Normal 3 3 3 12" xfId="12363" xr:uid="{00000000-0005-0000-0000-00000B350000}"/>
    <cellStyle name="Normal 3 3 3 12 2" xfId="24733" xr:uid="{00000000-0005-0000-0000-00000C350000}"/>
    <cellStyle name="Normal 3 3 3 13" xfId="24734" xr:uid="{00000000-0005-0000-0000-00000D350000}"/>
    <cellStyle name="Normal 3 3 3 14" xfId="24735" xr:uid="{00000000-0005-0000-0000-00000E350000}"/>
    <cellStyle name="Normal 3 3 3 2" xfId="21626" xr:uid="{00000000-0005-0000-0000-00000F350000}"/>
    <cellStyle name="Normal 3 3 3 2 10" xfId="848" xr:uid="{00000000-0005-0000-0000-000010350000}"/>
    <cellStyle name="Normal 3 3 3 2 2" xfId="24736" xr:uid="{00000000-0005-0000-0000-000011350000}"/>
    <cellStyle name="Normal 3 3 3 2 2 2" xfId="24737" xr:uid="{00000000-0005-0000-0000-000012350000}"/>
    <cellStyle name="Normal 3 3 3 2 2 2 2" xfId="24738" xr:uid="{00000000-0005-0000-0000-000013350000}"/>
    <cellStyle name="Normal 3 3 3 2 2 2 2 2" xfId="12607" xr:uid="{00000000-0005-0000-0000-000014350000}"/>
    <cellStyle name="Normal 3 3 3 2 2 2 2 2 2" xfId="24739" xr:uid="{00000000-0005-0000-0000-000015350000}"/>
    <cellStyle name="Normal 3 3 3 2 2 2 2 2 2 2" xfId="24740" xr:uid="{00000000-0005-0000-0000-000016350000}"/>
    <cellStyle name="Normal 3 3 3 2 2 2 2 2 3" xfId="17569" xr:uid="{00000000-0005-0000-0000-000017350000}"/>
    <cellStyle name="Normal 3 3 3 2 2 2 2 3" xfId="24741" xr:uid="{00000000-0005-0000-0000-000018350000}"/>
    <cellStyle name="Normal 3 3 3 2 2 2 2 3 2" xfId="24742" xr:uid="{00000000-0005-0000-0000-000019350000}"/>
    <cellStyle name="Normal 3 3 3 2 2 2 2 4" xfId="24746" xr:uid="{00000000-0005-0000-0000-00001A350000}"/>
    <cellStyle name="Normal 3 3 3 2 2 2 3" xfId="24747" xr:uid="{00000000-0005-0000-0000-00001B350000}"/>
    <cellStyle name="Normal 3 3 3 2 2 2 3 2" xfId="12611" xr:uid="{00000000-0005-0000-0000-00001C350000}"/>
    <cellStyle name="Normal 3 3 3 2 2 2 3 2 2" xfId="24748" xr:uid="{00000000-0005-0000-0000-00001D350000}"/>
    <cellStyle name="Normal 3 3 3 2 2 2 3 3" xfId="24749" xr:uid="{00000000-0005-0000-0000-00001E350000}"/>
    <cellStyle name="Normal 3 3 3 2 2 2 4" xfId="6851" xr:uid="{00000000-0005-0000-0000-00001F350000}"/>
    <cellStyle name="Normal 3 3 3 2 2 2 4 2" xfId="4968" xr:uid="{00000000-0005-0000-0000-000020350000}"/>
    <cellStyle name="Normal 3 3 3 2 2 2 4 2 2" xfId="627" xr:uid="{00000000-0005-0000-0000-000021350000}"/>
    <cellStyle name="Normal 3 3 3 2 2 2 4 3" xfId="4983" xr:uid="{00000000-0005-0000-0000-000022350000}"/>
    <cellStyle name="Normal 3 3 3 2 2 2 5" xfId="24752" xr:uid="{00000000-0005-0000-0000-000023350000}"/>
    <cellStyle name="Normal 3 3 3 2 2 2 5 2" xfId="1627" xr:uid="{00000000-0005-0000-0000-000024350000}"/>
    <cellStyle name="Normal 3 3 3 2 2 2 6" xfId="24754" xr:uid="{00000000-0005-0000-0000-000025350000}"/>
    <cellStyle name="Normal 3 3 3 2 2 2 6 2" xfId="24756" xr:uid="{00000000-0005-0000-0000-000026350000}"/>
    <cellStyle name="Normal 3 3 3 2 2 2 7" xfId="24760" xr:uid="{00000000-0005-0000-0000-000027350000}"/>
    <cellStyle name="Normal 3 3 3 2 2 3" xfId="24761" xr:uid="{00000000-0005-0000-0000-000028350000}"/>
    <cellStyle name="Normal 3 3 3 2 2 3 2" xfId="14033" xr:uid="{00000000-0005-0000-0000-000029350000}"/>
    <cellStyle name="Normal 3 3 3 2 2 3 2 2" xfId="14037" xr:uid="{00000000-0005-0000-0000-00002A350000}"/>
    <cellStyle name="Normal 3 3 3 2 2 3 2 2 2" xfId="24043" xr:uid="{00000000-0005-0000-0000-00002B350000}"/>
    <cellStyle name="Normal 3 3 3 2 2 3 2 3" xfId="455" xr:uid="{00000000-0005-0000-0000-00002C350000}"/>
    <cellStyle name="Normal 3 3 3 2 2 3 3" xfId="14041" xr:uid="{00000000-0005-0000-0000-00002D350000}"/>
    <cellStyle name="Normal 3 3 3 2 2 3 3 2" xfId="24045" xr:uid="{00000000-0005-0000-0000-00002E350000}"/>
    <cellStyle name="Normal 3 3 3 2 2 3 4" xfId="14051" xr:uid="{00000000-0005-0000-0000-00002F350000}"/>
    <cellStyle name="Normal 3 3 3 2 2 4" xfId="24762" xr:uid="{00000000-0005-0000-0000-000030350000}"/>
    <cellStyle name="Normal 3 3 3 2 2 4 2" xfId="14150" xr:uid="{00000000-0005-0000-0000-000031350000}"/>
    <cellStyle name="Normal 3 3 3 2 2 4 2 2" xfId="19030" xr:uid="{00000000-0005-0000-0000-000032350000}"/>
    <cellStyle name="Normal 3 3 3 2 2 4 3" xfId="14155" xr:uid="{00000000-0005-0000-0000-000033350000}"/>
    <cellStyle name="Normal 3 3 3 2 2 5" xfId="24764" xr:uid="{00000000-0005-0000-0000-000034350000}"/>
    <cellStyle name="Normal 3 3 3 2 2 5 2" xfId="24767" xr:uid="{00000000-0005-0000-0000-000035350000}"/>
    <cellStyle name="Normal 3 3 3 2 2 5 2 2" xfId="22387" xr:uid="{00000000-0005-0000-0000-000036350000}"/>
    <cellStyle name="Normal 3 3 3 2 2 5 3" xfId="24769" xr:uid="{00000000-0005-0000-0000-000037350000}"/>
    <cellStyle name="Normal 3 3 3 2 2 6" xfId="24772" xr:uid="{00000000-0005-0000-0000-000038350000}"/>
    <cellStyle name="Normal 3 3 3 2 2 6 2" xfId="24776" xr:uid="{00000000-0005-0000-0000-000039350000}"/>
    <cellStyle name="Normal 3 3 3 2 2 7" xfId="24779" xr:uid="{00000000-0005-0000-0000-00003A350000}"/>
    <cellStyle name="Normal 3 3 3 2 2 7 2" xfId="24782" xr:uid="{00000000-0005-0000-0000-00003B350000}"/>
    <cellStyle name="Normal 3 3 3 2 2 8" xfId="24785" xr:uid="{00000000-0005-0000-0000-00003C350000}"/>
    <cellStyle name="Normal 3 3 3 2 2 9" xfId="24789" xr:uid="{00000000-0005-0000-0000-00003D350000}"/>
    <cellStyle name="Normal 3 3 3 2 3" xfId="13266" xr:uid="{00000000-0005-0000-0000-00003E350000}"/>
    <cellStyle name="Normal 3 3 3 2 3 2" xfId="13271" xr:uid="{00000000-0005-0000-0000-00003F350000}"/>
    <cellStyle name="Normal 3 3 3 2 3 2 2" xfId="24793" xr:uid="{00000000-0005-0000-0000-000040350000}"/>
    <cellStyle name="Normal 3 3 3 2 3 2 2 2" xfId="24363" xr:uid="{00000000-0005-0000-0000-000041350000}"/>
    <cellStyle name="Normal 3 3 3 2 3 2 2 2 2" xfId="24794" xr:uid="{00000000-0005-0000-0000-000042350000}"/>
    <cellStyle name="Normal 3 3 3 2 3 2 2 3" xfId="24795" xr:uid="{00000000-0005-0000-0000-000043350000}"/>
    <cellStyle name="Normal 3 3 3 2 3 2 3" xfId="24796" xr:uid="{00000000-0005-0000-0000-000044350000}"/>
    <cellStyle name="Normal 3 3 3 2 3 2 3 2" xfId="21001" xr:uid="{00000000-0005-0000-0000-000045350000}"/>
    <cellStyle name="Normal 3 3 3 2 3 2 4" xfId="24801" xr:uid="{00000000-0005-0000-0000-000046350000}"/>
    <cellStyle name="Normal 3 3 3 2 3 3" xfId="24804" xr:uid="{00000000-0005-0000-0000-000047350000}"/>
    <cellStyle name="Normal 3 3 3 2 3 3 2" xfId="14249" xr:uid="{00000000-0005-0000-0000-000048350000}"/>
    <cellStyle name="Normal 3 3 3 2 3 3 2 2" xfId="20595" xr:uid="{00000000-0005-0000-0000-000049350000}"/>
    <cellStyle name="Normal 3 3 3 2 3 3 3" xfId="14252" xr:uid="{00000000-0005-0000-0000-00004A350000}"/>
    <cellStyle name="Normal 3 3 3 2 3 4" xfId="24805" xr:uid="{00000000-0005-0000-0000-00004B350000}"/>
    <cellStyle name="Normal 3 3 3 2 3 4 2" xfId="24806" xr:uid="{00000000-0005-0000-0000-00004C350000}"/>
    <cellStyle name="Normal 3 3 3 2 3 4 2 2" xfId="11758" xr:uid="{00000000-0005-0000-0000-00004D350000}"/>
    <cellStyle name="Normal 3 3 3 2 3 4 3" xfId="24807" xr:uid="{00000000-0005-0000-0000-00004E350000}"/>
    <cellStyle name="Normal 3 3 3 2 3 5" xfId="15700" xr:uid="{00000000-0005-0000-0000-00004F350000}"/>
    <cellStyle name="Normal 3 3 3 2 3 5 2" xfId="24810" xr:uid="{00000000-0005-0000-0000-000050350000}"/>
    <cellStyle name="Normal 3 3 3 2 3 6" xfId="24812" xr:uid="{00000000-0005-0000-0000-000051350000}"/>
    <cellStyle name="Normal 3 3 3 2 3 6 2" xfId="24815" xr:uid="{00000000-0005-0000-0000-000052350000}"/>
    <cellStyle name="Normal 3 3 3 2 3 7" xfId="24818" xr:uid="{00000000-0005-0000-0000-000053350000}"/>
    <cellStyle name="Normal 3 3 3 2 4" xfId="13276" xr:uid="{00000000-0005-0000-0000-000054350000}"/>
    <cellStyle name="Normal 3 3 3 2 4 2" xfId="24820" xr:uid="{00000000-0005-0000-0000-000055350000}"/>
    <cellStyle name="Normal 3 3 3 2 4 2 2" xfId="24821" xr:uid="{00000000-0005-0000-0000-000056350000}"/>
    <cellStyle name="Normal 3 3 3 2 4 2 2 2" xfId="24822" xr:uid="{00000000-0005-0000-0000-000057350000}"/>
    <cellStyle name="Normal 3 3 3 2 4 2 3" xfId="24823" xr:uid="{00000000-0005-0000-0000-000058350000}"/>
    <cellStyle name="Normal 3 3 3 2 4 3" xfId="12225" xr:uid="{00000000-0005-0000-0000-000059350000}"/>
    <cellStyle name="Normal 3 3 3 2 4 3 2" xfId="11633" xr:uid="{00000000-0005-0000-0000-00005A350000}"/>
    <cellStyle name="Normal 3 3 3 2 4 4" xfId="10570" xr:uid="{00000000-0005-0000-0000-00005B350000}"/>
    <cellStyle name="Normal 3 3 3 2 5" xfId="7493" xr:uid="{00000000-0005-0000-0000-00005C350000}"/>
    <cellStyle name="Normal 3 3 3 2 5 2" xfId="7500" xr:uid="{00000000-0005-0000-0000-00005D350000}"/>
    <cellStyle name="Normal 3 3 3 2 5 2 2" xfId="2247" xr:uid="{00000000-0005-0000-0000-00005E350000}"/>
    <cellStyle name="Normal 3 3 3 2 5 3" xfId="7506" xr:uid="{00000000-0005-0000-0000-00005F350000}"/>
    <cellStyle name="Normal 3 3 3 2 6" xfId="7515" xr:uid="{00000000-0005-0000-0000-000060350000}"/>
    <cellStyle name="Normal 3 3 3 2 6 2" xfId="7529" xr:uid="{00000000-0005-0000-0000-000061350000}"/>
    <cellStyle name="Normal 3 3 3 2 6 2 2" xfId="24826" xr:uid="{00000000-0005-0000-0000-000062350000}"/>
    <cellStyle name="Normal 3 3 3 2 6 3" xfId="412" xr:uid="{00000000-0005-0000-0000-000063350000}"/>
    <cellStyle name="Normal 3 3 3 2 7" xfId="7534" xr:uid="{00000000-0005-0000-0000-000064350000}"/>
    <cellStyle name="Normal 3 3 3 2 7 2" xfId="24828" xr:uid="{00000000-0005-0000-0000-000065350000}"/>
    <cellStyle name="Normal 3 3 3 2 8" xfId="19531" xr:uid="{00000000-0005-0000-0000-000066350000}"/>
    <cellStyle name="Normal 3 3 3 2 8 2" xfId="19534" xr:uid="{00000000-0005-0000-0000-000067350000}"/>
    <cellStyle name="Normal 3 3 3 2 9" xfId="19539" xr:uid="{00000000-0005-0000-0000-000068350000}"/>
    <cellStyle name="Normal 3 3 3 3" xfId="24830" xr:uid="{00000000-0005-0000-0000-000069350000}"/>
    <cellStyle name="Normal 3 3 3 3 2" xfId="24831" xr:uid="{00000000-0005-0000-0000-00006A350000}"/>
    <cellStyle name="Normal 3 3 3 3 2 2" xfId="24832" xr:uid="{00000000-0005-0000-0000-00006B350000}"/>
    <cellStyle name="Normal 3 3 3 3 2 2 2" xfId="19633" xr:uid="{00000000-0005-0000-0000-00006C350000}"/>
    <cellStyle name="Normal 3 3 3 3 2 2 2 2" xfId="19640" xr:uid="{00000000-0005-0000-0000-00006D350000}"/>
    <cellStyle name="Normal 3 3 3 3 2 2 2 2 2" xfId="17523" xr:uid="{00000000-0005-0000-0000-00006E350000}"/>
    <cellStyle name="Normal 3 3 3 3 2 2 2 3" xfId="19646" xr:uid="{00000000-0005-0000-0000-00006F350000}"/>
    <cellStyle name="Normal 3 3 3 3 2 2 3" xfId="19648" xr:uid="{00000000-0005-0000-0000-000070350000}"/>
    <cellStyle name="Normal 3 3 3 3 2 2 3 2" xfId="19661" xr:uid="{00000000-0005-0000-0000-000071350000}"/>
    <cellStyle name="Normal 3 3 3 3 2 2 4" xfId="19673" xr:uid="{00000000-0005-0000-0000-000072350000}"/>
    <cellStyle name="Normal 3 3 3 3 2 3" xfId="24833" xr:uid="{00000000-0005-0000-0000-000073350000}"/>
    <cellStyle name="Normal 3 3 3 3 2 3 2" xfId="14642" xr:uid="{00000000-0005-0000-0000-000074350000}"/>
    <cellStyle name="Normal 3 3 3 3 2 3 2 2" xfId="19718" xr:uid="{00000000-0005-0000-0000-000075350000}"/>
    <cellStyle name="Normal 3 3 3 3 2 3 3" xfId="14647" xr:uid="{00000000-0005-0000-0000-000076350000}"/>
    <cellStyle name="Normal 3 3 3 3 2 4" xfId="24834" xr:uid="{00000000-0005-0000-0000-000077350000}"/>
    <cellStyle name="Normal 3 3 3 3 2 4 2" xfId="19755" xr:uid="{00000000-0005-0000-0000-000078350000}"/>
    <cellStyle name="Normal 3 3 3 3 2 4 2 2" xfId="19760" xr:uid="{00000000-0005-0000-0000-000079350000}"/>
    <cellStyle name="Normal 3 3 3 3 2 4 3" xfId="19762" xr:uid="{00000000-0005-0000-0000-00007A350000}"/>
    <cellStyle name="Normal 3 3 3 3 2 5" xfId="24836" xr:uid="{00000000-0005-0000-0000-00007B350000}"/>
    <cellStyle name="Normal 3 3 3 3 2 5 2" xfId="19785" xr:uid="{00000000-0005-0000-0000-00007C350000}"/>
    <cellStyle name="Normal 3 3 3 3 2 6" xfId="24839" xr:uid="{00000000-0005-0000-0000-00007D350000}"/>
    <cellStyle name="Normal 3 3 3 3 2 6 2" xfId="19819" xr:uid="{00000000-0005-0000-0000-00007E350000}"/>
    <cellStyle name="Normal 3 3 3 3 2 7" xfId="24842" xr:uid="{00000000-0005-0000-0000-00007F350000}"/>
    <cellStyle name="Normal 3 3 3 3 3" xfId="13283" xr:uid="{00000000-0005-0000-0000-000080350000}"/>
    <cellStyle name="Normal 3 3 3 3 3 2" xfId="13285" xr:uid="{00000000-0005-0000-0000-000081350000}"/>
    <cellStyle name="Normal 3 3 3 3 3 2 2" xfId="23236" xr:uid="{00000000-0005-0000-0000-000082350000}"/>
    <cellStyle name="Normal 3 3 3 3 3 2 2 2" xfId="23245" xr:uid="{00000000-0005-0000-0000-000083350000}"/>
    <cellStyle name="Normal 3 3 3 3 3 2 3" xfId="23247" xr:uid="{00000000-0005-0000-0000-000084350000}"/>
    <cellStyle name="Normal 3 3 3 3 3 3" xfId="24844" xr:uid="{00000000-0005-0000-0000-000085350000}"/>
    <cellStyle name="Normal 3 3 3 3 3 3 2" xfId="23262" xr:uid="{00000000-0005-0000-0000-000086350000}"/>
    <cellStyle name="Normal 3 3 3 3 3 4" xfId="24845" xr:uid="{00000000-0005-0000-0000-000087350000}"/>
    <cellStyle name="Normal 3 3 3 3 4" xfId="12506" xr:uid="{00000000-0005-0000-0000-000088350000}"/>
    <cellStyle name="Normal 3 3 3 3 4 2" xfId="24846" xr:uid="{00000000-0005-0000-0000-000089350000}"/>
    <cellStyle name="Normal 3 3 3 3 4 2 2" xfId="23290" xr:uid="{00000000-0005-0000-0000-00008A350000}"/>
    <cellStyle name="Normal 3 3 3 3 4 3" xfId="12294" xr:uid="{00000000-0005-0000-0000-00008B350000}"/>
    <cellStyle name="Normal 3 3 3 3 5" xfId="2051" xr:uid="{00000000-0005-0000-0000-00008C350000}"/>
    <cellStyle name="Normal 3 3 3 3 5 2" xfId="3974" xr:uid="{00000000-0005-0000-0000-00008D350000}"/>
    <cellStyle name="Normal 3 3 3 3 5 2 2" xfId="23311" xr:uid="{00000000-0005-0000-0000-00008E350000}"/>
    <cellStyle name="Normal 3 3 3 3 5 3" xfId="12318" xr:uid="{00000000-0005-0000-0000-00008F350000}"/>
    <cellStyle name="Normal 3 3 3 3 6" xfId="3983" xr:uid="{00000000-0005-0000-0000-000090350000}"/>
    <cellStyle name="Normal 3 3 3 3 6 2" xfId="24847" xr:uid="{00000000-0005-0000-0000-000091350000}"/>
    <cellStyle name="Normal 3 3 3 3 7" xfId="78" xr:uid="{00000000-0005-0000-0000-000092350000}"/>
    <cellStyle name="Normal 3 3 3 3 7 2" xfId="24849" xr:uid="{00000000-0005-0000-0000-000093350000}"/>
    <cellStyle name="Normal 3 3 3 3 8" xfId="19549" xr:uid="{00000000-0005-0000-0000-000094350000}"/>
    <cellStyle name="Normal 3 3 3 3 9" xfId="19552" xr:uid="{00000000-0005-0000-0000-000095350000}"/>
    <cellStyle name="Normal 3 3 3 4" xfId="24851" xr:uid="{00000000-0005-0000-0000-000096350000}"/>
    <cellStyle name="Normal 3 3 3 4 2" xfId="24852" xr:uid="{00000000-0005-0000-0000-000097350000}"/>
    <cellStyle name="Normal 3 3 3 4 2 2" xfId="24853" xr:uid="{00000000-0005-0000-0000-000098350000}"/>
    <cellStyle name="Normal 3 3 3 4 2 2 2" xfId="20095" xr:uid="{00000000-0005-0000-0000-000099350000}"/>
    <cellStyle name="Normal 3 3 3 4 2 2 2 2" xfId="20098" xr:uid="{00000000-0005-0000-0000-00009A350000}"/>
    <cellStyle name="Normal 3 3 3 4 2 2 2 2 2" xfId="20100" xr:uid="{00000000-0005-0000-0000-00009B350000}"/>
    <cellStyle name="Normal 3 3 3 4 2 2 2 3" xfId="20102" xr:uid="{00000000-0005-0000-0000-00009C350000}"/>
    <cellStyle name="Normal 3 3 3 4 2 2 3" xfId="20105" xr:uid="{00000000-0005-0000-0000-00009D350000}"/>
    <cellStyle name="Normal 3 3 3 4 2 2 3 2" xfId="20108" xr:uid="{00000000-0005-0000-0000-00009E350000}"/>
    <cellStyle name="Normal 3 3 3 4 2 2 4" xfId="20112" xr:uid="{00000000-0005-0000-0000-00009F350000}"/>
    <cellStyle name="Normal 3 3 3 4 2 3" xfId="9492" xr:uid="{00000000-0005-0000-0000-0000A0350000}"/>
    <cellStyle name="Normal 3 3 3 4 2 3 2" xfId="9496" xr:uid="{00000000-0005-0000-0000-0000A1350000}"/>
    <cellStyle name="Normal 3 3 3 4 2 3 2 2" xfId="20125" xr:uid="{00000000-0005-0000-0000-0000A2350000}"/>
    <cellStyle name="Normal 3 3 3 4 2 3 3" xfId="20128" xr:uid="{00000000-0005-0000-0000-0000A3350000}"/>
    <cellStyle name="Normal 3 3 3 4 2 4" xfId="1873" xr:uid="{00000000-0005-0000-0000-0000A4350000}"/>
    <cellStyle name="Normal 3 3 3 4 2 4 2" xfId="20155" xr:uid="{00000000-0005-0000-0000-0000A5350000}"/>
    <cellStyle name="Normal 3 3 3 4 2 4 2 2" xfId="20157" xr:uid="{00000000-0005-0000-0000-0000A6350000}"/>
    <cellStyle name="Normal 3 3 3 4 2 4 3" xfId="20161" xr:uid="{00000000-0005-0000-0000-0000A7350000}"/>
    <cellStyle name="Normal 3 3 3 4 2 5" xfId="24855" xr:uid="{00000000-0005-0000-0000-0000A8350000}"/>
    <cellStyle name="Normal 3 3 3 4 2 5 2" xfId="20174" xr:uid="{00000000-0005-0000-0000-0000A9350000}"/>
    <cellStyle name="Normal 3 3 3 4 2 6" xfId="24858" xr:uid="{00000000-0005-0000-0000-0000AA350000}"/>
    <cellStyle name="Normal 3 3 3 4 2 6 2" xfId="22603" xr:uid="{00000000-0005-0000-0000-0000AB350000}"/>
    <cellStyle name="Normal 3 3 3 4 2 7" xfId="24861" xr:uid="{00000000-0005-0000-0000-0000AC350000}"/>
    <cellStyle name="Normal 3 3 3 4 3" xfId="909" xr:uid="{00000000-0005-0000-0000-0000AD350000}"/>
    <cellStyle name="Normal 3 3 3 4 3 2" xfId="24863" xr:uid="{00000000-0005-0000-0000-0000AE350000}"/>
    <cellStyle name="Normal 3 3 3 4 3 2 2" xfId="24864" xr:uid="{00000000-0005-0000-0000-0000AF350000}"/>
    <cellStyle name="Normal 3 3 3 4 3 2 2 2" xfId="17815" xr:uid="{00000000-0005-0000-0000-0000B0350000}"/>
    <cellStyle name="Normal 3 3 3 4 3 2 3" xfId="24865" xr:uid="{00000000-0005-0000-0000-0000B1350000}"/>
    <cellStyle name="Normal 3 3 3 4 3 3" xfId="9504" xr:uid="{00000000-0005-0000-0000-0000B2350000}"/>
    <cellStyle name="Normal 3 3 3 4 3 3 2" xfId="24868" xr:uid="{00000000-0005-0000-0000-0000B3350000}"/>
    <cellStyle name="Normal 3 3 3 4 3 4" xfId="24870" xr:uid="{00000000-0005-0000-0000-0000B4350000}"/>
    <cellStyle name="Normal 3 3 3 4 4" xfId="24871" xr:uid="{00000000-0005-0000-0000-0000B5350000}"/>
    <cellStyle name="Normal 3 3 3 4 4 2" xfId="14212" xr:uid="{00000000-0005-0000-0000-0000B6350000}"/>
    <cellStyle name="Normal 3 3 3 4 4 2 2" xfId="10081" xr:uid="{00000000-0005-0000-0000-0000B7350000}"/>
    <cellStyle name="Normal 3 3 3 4 4 3" xfId="10432" xr:uid="{00000000-0005-0000-0000-0000B8350000}"/>
    <cellStyle name="Normal 3 3 3 4 5" xfId="186" xr:uid="{00000000-0005-0000-0000-0000B9350000}"/>
    <cellStyle name="Normal 3 3 3 4 5 2" xfId="5994" xr:uid="{00000000-0005-0000-0000-0000BA350000}"/>
    <cellStyle name="Normal 3 3 3 4 5 2 2" xfId="5697" xr:uid="{00000000-0005-0000-0000-0000BB350000}"/>
    <cellStyle name="Normal 3 3 3 4 5 3" xfId="10450" xr:uid="{00000000-0005-0000-0000-0000BC350000}"/>
    <cellStyle name="Normal 3 3 3 4 6" xfId="7539" xr:uid="{00000000-0005-0000-0000-0000BD350000}"/>
    <cellStyle name="Normal 3 3 3 4 6 2" xfId="24873" xr:uid="{00000000-0005-0000-0000-0000BE350000}"/>
    <cellStyle name="Normal 3 3 3 4 7" xfId="24874" xr:uid="{00000000-0005-0000-0000-0000BF350000}"/>
    <cellStyle name="Normal 3 3 3 4 7 2" xfId="5059" xr:uid="{00000000-0005-0000-0000-0000C0350000}"/>
    <cellStyle name="Normal 3 3 3 4 8" xfId="19555" xr:uid="{00000000-0005-0000-0000-0000C1350000}"/>
    <cellStyle name="Normal 3 3 3 5" xfId="24875" xr:uid="{00000000-0005-0000-0000-0000C2350000}"/>
    <cellStyle name="Normal 3 3 3 5 2" xfId="24876" xr:uid="{00000000-0005-0000-0000-0000C3350000}"/>
    <cellStyle name="Normal 3 3 3 5 2 2" xfId="24877" xr:uid="{00000000-0005-0000-0000-0000C4350000}"/>
    <cellStyle name="Normal 3 3 3 5 2 2 2" xfId="23382" xr:uid="{00000000-0005-0000-0000-0000C5350000}"/>
    <cellStyle name="Normal 3 3 3 5 2 2 2 2" xfId="23384" xr:uid="{00000000-0005-0000-0000-0000C6350000}"/>
    <cellStyle name="Normal 3 3 3 5 2 2 2 2 2" xfId="23387" xr:uid="{00000000-0005-0000-0000-0000C7350000}"/>
    <cellStyle name="Normal 3 3 3 5 2 2 2 3" xfId="23389" xr:uid="{00000000-0005-0000-0000-0000C8350000}"/>
    <cellStyle name="Normal 3 3 3 5 2 2 3" xfId="23392" xr:uid="{00000000-0005-0000-0000-0000C9350000}"/>
    <cellStyle name="Normal 3 3 3 5 2 2 3 2" xfId="23394" xr:uid="{00000000-0005-0000-0000-0000CA350000}"/>
    <cellStyle name="Normal 3 3 3 5 2 2 4" xfId="23397" xr:uid="{00000000-0005-0000-0000-0000CB350000}"/>
    <cellStyle name="Normal 3 3 3 5 2 3" xfId="9530" xr:uid="{00000000-0005-0000-0000-0000CC350000}"/>
    <cellStyle name="Normal 3 3 3 5 2 3 2" xfId="23407" xr:uid="{00000000-0005-0000-0000-0000CD350000}"/>
    <cellStyle name="Normal 3 3 3 5 2 3 2 2" xfId="24878" xr:uid="{00000000-0005-0000-0000-0000CE350000}"/>
    <cellStyle name="Normal 3 3 3 5 2 3 3" xfId="22891" xr:uid="{00000000-0005-0000-0000-0000CF350000}"/>
    <cellStyle name="Normal 3 3 3 5 2 4" xfId="24879" xr:uid="{00000000-0005-0000-0000-0000D0350000}"/>
    <cellStyle name="Normal 3 3 3 5 2 4 2" xfId="24880" xr:uid="{00000000-0005-0000-0000-0000D1350000}"/>
    <cellStyle name="Normal 3 3 3 5 2 4 2 2" xfId="22055" xr:uid="{00000000-0005-0000-0000-0000D2350000}"/>
    <cellStyle name="Normal 3 3 3 5 2 4 3" xfId="349" xr:uid="{00000000-0005-0000-0000-0000D3350000}"/>
    <cellStyle name="Normal 3 3 3 5 2 5" xfId="24882" xr:uid="{00000000-0005-0000-0000-0000D4350000}"/>
    <cellStyle name="Normal 3 3 3 5 2 5 2" xfId="24884" xr:uid="{00000000-0005-0000-0000-0000D5350000}"/>
    <cellStyle name="Normal 3 3 3 5 2 6" xfId="24886" xr:uid="{00000000-0005-0000-0000-0000D6350000}"/>
    <cellStyle name="Normal 3 3 3 5 2 6 2" xfId="24888" xr:uid="{00000000-0005-0000-0000-0000D7350000}"/>
    <cellStyle name="Normal 3 3 3 5 2 7" xfId="24889" xr:uid="{00000000-0005-0000-0000-0000D8350000}"/>
    <cellStyle name="Normal 3 3 3 5 3" xfId="937" xr:uid="{00000000-0005-0000-0000-0000D9350000}"/>
    <cellStyle name="Normal 3 3 3 5 3 2" xfId="24890" xr:uid="{00000000-0005-0000-0000-0000DA350000}"/>
    <cellStyle name="Normal 3 3 3 5 3 2 2" xfId="23432" xr:uid="{00000000-0005-0000-0000-0000DB350000}"/>
    <cellStyle name="Normal 3 3 3 5 3 2 2 2" xfId="24891" xr:uid="{00000000-0005-0000-0000-0000DC350000}"/>
    <cellStyle name="Normal 3 3 3 5 3 2 3" xfId="24892" xr:uid="{00000000-0005-0000-0000-0000DD350000}"/>
    <cellStyle name="Normal 3 3 3 5 3 3" xfId="24898" xr:uid="{00000000-0005-0000-0000-0000DE350000}"/>
    <cellStyle name="Normal 3 3 3 5 3 3 2" xfId="24899" xr:uid="{00000000-0005-0000-0000-0000DF350000}"/>
    <cellStyle name="Normal 3 3 3 5 3 4" xfId="24901" xr:uid="{00000000-0005-0000-0000-0000E0350000}"/>
    <cellStyle name="Normal 3 3 3 5 4" xfId="24902" xr:uid="{00000000-0005-0000-0000-0000E1350000}"/>
    <cellStyle name="Normal 3 3 3 5 4 2" xfId="24906" xr:uid="{00000000-0005-0000-0000-0000E2350000}"/>
    <cellStyle name="Normal 3 3 3 5 4 2 2" xfId="24909" xr:uid="{00000000-0005-0000-0000-0000E3350000}"/>
    <cellStyle name="Normal 3 3 3 5 4 3" xfId="10464" xr:uid="{00000000-0005-0000-0000-0000E4350000}"/>
    <cellStyle name="Normal 3 3 3 5 5" xfId="24911" xr:uid="{00000000-0005-0000-0000-0000E5350000}"/>
    <cellStyle name="Normal 3 3 3 5 5 2" xfId="24915" xr:uid="{00000000-0005-0000-0000-0000E6350000}"/>
    <cellStyle name="Normal 3 3 3 5 5 2 2" xfId="24917" xr:uid="{00000000-0005-0000-0000-0000E7350000}"/>
    <cellStyle name="Normal 3 3 3 5 5 3" xfId="12393" xr:uid="{00000000-0005-0000-0000-0000E8350000}"/>
    <cellStyle name="Normal 3 3 3 5 6" xfId="24918" xr:uid="{00000000-0005-0000-0000-0000E9350000}"/>
    <cellStyle name="Normal 3 3 3 5 6 2" xfId="24920" xr:uid="{00000000-0005-0000-0000-0000EA350000}"/>
    <cellStyle name="Normal 3 3 3 5 7" xfId="24921" xr:uid="{00000000-0005-0000-0000-0000EB350000}"/>
    <cellStyle name="Normal 3 3 3 5 7 2" xfId="16768" xr:uid="{00000000-0005-0000-0000-0000EC350000}"/>
    <cellStyle name="Normal 3 3 3 5 8" xfId="19561" xr:uid="{00000000-0005-0000-0000-0000ED350000}"/>
    <cellStyle name="Normal 3 3 3 6" xfId="24922" xr:uid="{00000000-0005-0000-0000-0000EE350000}"/>
    <cellStyle name="Normal 3 3 3 6 2" xfId="24923" xr:uid="{00000000-0005-0000-0000-0000EF350000}"/>
    <cellStyle name="Normal 3 3 3 6 2 2" xfId="24926" xr:uid="{00000000-0005-0000-0000-0000F0350000}"/>
    <cellStyle name="Normal 3 3 3 6 2 2 2" xfId="23485" xr:uid="{00000000-0005-0000-0000-0000F1350000}"/>
    <cellStyle name="Normal 3 3 3 6 2 2 2 2" xfId="24928" xr:uid="{00000000-0005-0000-0000-0000F2350000}"/>
    <cellStyle name="Normal 3 3 3 6 2 2 3" xfId="16758" xr:uid="{00000000-0005-0000-0000-0000F3350000}"/>
    <cellStyle name="Normal 3 3 3 6 2 3" xfId="9548" xr:uid="{00000000-0005-0000-0000-0000F4350000}"/>
    <cellStyle name="Normal 3 3 3 6 2 3 2" xfId="24929" xr:uid="{00000000-0005-0000-0000-0000F5350000}"/>
    <cellStyle name="Normal 3 3 3 6 2 4" xfId="24930" xr:uid="{00000000-0005-0000-0000-0000F6350000}"/>
    <cellStyle name="Normal 3 3 3 6 3" xfId="24931" xr:uid="{00000000-0005-0000-0000-0000F7350000}"/>
    <cellStyle name="Normal 3 3 3 6 3 2" xfId="24933" xr:uid="{00000000-0005-0000-0000-0000F8350000}"/>
    <cellStyle name="Normal 3 3 3 6 3 2 2" xfId="24935" xr:uid="{00000000-0005-0000-0000-0000F9350000}"/>
    <cellStyle name="Normal 3 3 3 6 3 3" xfId="24936" xr:uid="{00000000-0005-0000-0000-0000FA350000}"/>
    <cellStyle name="Normal 3 3 3 6 4" xfId="24937" xr:uid="{00000000-0005-0000-0000-0000FB350000}"/>
    <cellStyle name="Normal 3 3 3 6 4 2" xfId="24941" xr:uid="{00000000-0005-0000-0000-0000FC350000}"/>
    <cellStyle name="Normal 3 3 3 6 4 2 2" xfId="12839" xr:uid="{00000000-0005-0000-0000-0000FD350000}"/>
    <cellStyle name="Normal 3 3 3 6 4 3" xfId="7760" xr:uid="{00000000-0005-0000-0000-0000FE350000}"/>
    <cellStyle name="Normal 3 3 3 6 5" xfId="24945" xr:uid="{00000000-0005-0000-0000-0000FF350000}"/>
    <cellStyle name="Normal 3 3 3 6 5 2" xfId="24949" xr:uid="{00000000-0005-0000-0000-000000360000}"/>
    <cellStyle name="Normal 3 3 3 6 6" xfId="24950" xr:uid="{00000000-0005-0000-0000-000001360000}"/>
    <cellStyle name="Normal 3 3 3 6 6 2" xfId="24955" xr:uid="{00000000-0005-0000-0000-000002360000}"/>
    <cellStyle name="Normal 3 3 3 6 7" xfId="21224" xr:uid="{00000000-0005-0000-0000-000003360000}"/>
    <cellStyle name="Normal 3 3 3 7" xfId="24956" xr:uid="{00000000-0005-0000-0000-000004360000}"/>
    <cellStyle name="Normal 3 3 3 7 2" xfId="24957" xr:uid="{00000000-0005-0000-0000-000005360000}"/>
    <cellStyle name="Normal 3 3 3 7 2 2" xfId="24959" xr:uid="{00000000-0005-0000-0000-000006360000}"/>
    <cellStyle name="Normal 3 3 3 7 2 2 2" xfId="23551" xr:uid="{00000000-0005-0000-0000-000007360000}"/>
    <cellStyle name="Normal 3 3 3 7 2 3" xfId="24961" xr:uid="{00000000-0005-0000-0000-000008360000}"/>
    <cellStyle name="Normal 3 3 3 7 3" xfId="24962" xr:uid="{00000000-0005-0000-0000-000009360000}"/>
    <cellStyle name="Normal 3 3 3 7 3 2" xfId="24963" xr:uid="{00000000-0005-0000-0000-00000A360000}"/>
    <cellStyle name="Normal 3 3 3 7 4" xfId="24964" xr:uid="{00000000-0005-0000-0000-00000B360000}"/>
    <cellStyle name="Normal 3 3 3 8" xfId="24965" xr:uid="{00000000-0005-0000-0000-00000C360000}"/>
    <cellStyle name="Normal 3 3 3 8 2" xfId="15016" xr:uid="{00000000-0005-0000-0000-00000D360000}"/>
    <cellStyle name="Normal 3 3 3 8 2 2" xfId="18268" xr:uid="{00000000-0005-0000-0000-00000E360000}"/>
    <cellStyle name="Normal 3 3 3 8 3" xfId="18282" xr:uid="{00000000-0005-0000-0000-00000F360000}"/>
    <cellStyle name="Normal 3 3 3 9" xfId="24966" xr:uid="{00000000-0005-0000-0000-000010360000}"/>
    <cellStyle name="Normal 3 3 3 9 2" xfId="24968" xr:uid="{00000000-0005-0000-0000-000011360000}"/>
    <cellStyle name="Normal 3 3 3 9 2 2" xfId="24970" xr:uid="{00000000-0005-0000-0000-000012360000}"/>
    <cellStyle name="Normal 3 3 3 9 3" xfId="24972" xr:uid="{00000000-0005-0000-0000-000013360000}"/>
    <cellStyle name="Normal 3 3 4" xfId="21628" xr:uid="{00000000-0005-0000-0000-000014360000}"/>
    <cellStyle name="Normal 3 3 4 10" xfId="24973" xr:uid="{00000000-0005-0000-0000-000015360000}"/>
    <cellStyle name="Normal 3 3 4 10 2" xfId="24974" xr:uid="{00000000-0005-0000-0000-000016360000}"/>
    <cellStyle name="Normal 3 3 4 11" xfId="17582" xr:uid="{00000000-0005-0000-0000-000017360000}"/>
    <cellStyle name="Normal 3 3 4 11 2" xfId="17588" xr:uid="{00000000-0005-0000-0000-000018360000}"/>
    <cellStyle name="Normal 3 3 4 12" xfId="17594" xr:uid="{00000000-0005-0000-0000-000019360000}"/>
    <cellStyle name="Normal 3 3 4 12 2" xfId="24975" xr:uid="{00000000-0005-0000-0000-00001A360000}"/>
    <cellStyle name="Normal 3 3 4 13" xfId="24979" xr:uid="{00000000-0005-0000-0000-00001B360000}"/>
    <cellStyle name="Normal 3 3 4 14" xfId="23101" xr:uid="{00000000-0005-0000-0000-00001C360000}"/>
    <cellStyle name="Normal 3 3 4 2" xfId="24980" xr:uid="{00000000-0005-0000-0000-00001D360000}"/>
    <cellStyle name="Normal 3 3 4 2 10" xfId="8943" xr:uid="{00000000-0005-0000-0000-00001E360000}"/>
    <cellStyle name="Normal 3 3 4 2 2" xfId="24981" xr:uid="{00000000-0005-0000-0000-00001F360000}"/>
    <cellStyle name="Normal 3 3 4 2 2 2" xfId="24982" xr:uid="{00000000-0005-0000-0000-000020360000}"/>
    <cellStyle name="Normal 3 3 4 2 2 2 2" xfId="24983" xr:uid="{00000000-0005-0000-0000-000021360000}"/>
    <cellStyle name="Normal 3 3 4 2 2 2 2 2" xfId="18991" xr:uid="{00000000-0005-0000-0000-000022360000}"/>
    <cellStyle name="Normal 3 3 4 2 2 2 2 2 2" xfId="24984" xr:uid="{00000000-0005-0000-0000-000023360000}"/>
    <cellStyle name="Normal 3 3 4 2 2 2 2 2 2 2" xfId="24986" xr:uid="{00000000-0005-0000-0000-000024360000}"/>
    <cellStyle name="Normal 3 3 4 2 2 2 2 2 3" xfId="24989" xr:uid="{00000000-0005-0000-0000-000025360000}"/>
    <cellStyle name="Normal 3 3 4 2 2 2 2 3" xfId="24297" xr:uid="{00000000-0005-0000-0000-000026360000}"/>
    <cellStyle name="Normal 3 3 4 2 2 2 2 3 2" xfId="24990" xr:uid="{00000000-0005-0000-0000-000027360000}"/>
    <cellStyle name="Normal 3 3 4 2 2 2 2 4" xfId="24994" xr:uid="{00000000-0005-0000-0000-000028360000}"/>
    <cellStyle name="Normal 3 3 4 2 2 2 3" xfId="24995" xr:uid="{00000000-0005-0000-0000-000029360000}"/>
    <cellStyle name="Normal 3 3 4 2 2 2 3 2" xfId="19098" xr:uid="{00000000-0005-0000-0000-00002A360000}"/>
    <cellStyle name="Normal 3 3 4 2 2 2 3 2 2" xfId="24998" xr:uid="{00000000-0005-0000-0000-00002B360000}"/>
    <cellStyle name="Normal 3 3 4 2 2 2 3 3" xfId="24300" xr:uid="{00000000-0005-0000-0000-00002C360000}"/>
    <cellStyle name="Normal 3 3 4 2 2 2 4" xfId="7067" xr:uid="{00000000-0005-0000-0000-00002D360000}"/>
    <cellStyle name="Normal 3 3 4 2 2 2 4 2" xfId="19165" xr:uid="{00000000-0005-0000-0000-00002E360000}"/>
    <cellStyle name="Normal 3 3 4 2 2 2 4 2 2" xfId="25003" xr:uid="{00000000-0005-0000-0000-00002F360000}"/>
    <cellStyle name="Normal 3 3 4 2 2 2 4 3" xfId="25004" xr:uid="{00000000-0005-0000-0000-000030360000}"/>
    <cellStyle name="Normal 3 3 4 2 2 2 5" xfId="25005" xr:uid="{00000000-0005-0000-0000-000031360000}"/>
    <cellStyle name="Normal 3 3 4 2 2 2 5 2" xfId="25006" xr:uid="{00000000-0005-0000-0000-000032360000}"/>
    <cellStyle name="Normal 3 3 4 2 2 2 6" xfId="25007" xr:uid="{00000000-0005-0000-0000-000033360000}"/>
    <cellStyle name="Normal 3 3 4 2 2 2 6 2" xfId="25008" xr:uid="{00000000-0005-0000-0000-000034360000}"/>
    <cellStyle name="Normal 3 3 4 2 2 2 7" xfId="25012" xr:uid="{00000000-0005-0000-0000-000035360000}"/>
    <cellStyle name="Normal 3 3 4 2 2 3" xfId="25013" xr:uid="{00000000-0005-0000-0000-000036360000}"/>
    <cellStyle name="Normal 3 3 4 2 2 3 2" xfId="14885" xr:uid="{00000000-0005-0000-0000-000037360000}"/>
    <cellStyle name="Normal 3 3 4 2 2 3 2 2" xfId="23969" xr:uid="{00000000-0005-0000-0000-000038360000}"/>
    <cellStyle name="Normal 3 3 4 2 2 3 2 2 2" xfId="23974" xr:uid="{00000000-0005-0000-0000-000039360000}"/>
    <cellStyle name="Normal 3 3 4 2 2 3 2 3" xfId="23976" xr:uid="{00000000-0005-0000-0000-00003A360000}"/>
    <cellStyle name="Normal 3 3 4 2 2 3 3" xfId="15223" xr:uid="{00000000-0005-0000-0000-00003B360000}"/>
    <cellStyle name="Normal 3 3 4 2 2 3 3 2" xfId="25014" xr:uid="{00000000-0005-0000-0000-00003C360000}"/>
    <cellStyle name="Normal 3 3 4 2 2 3 4" xfId="25015" xr:uid="{00000000-0005-0000-0000-00003D360000}"/>
    <cellStyle name="Normal 3 3 4 2 2 4" xfId="11537" xr:uid="{00000000-0005-0000-0000-00003E360000}"/>
    <cellStyle name="Normal 3 3 4 2 2 4 2" xfId="23645" xr:uid="{00000000-0005-0000-0000-00003F360000}"/>
    <cellStyle name="Normal 3 3 4 2 2 4 2 2" xfId="23651" xr:uid="{00000000-0005-0000-0000-000040360000}"/>
    <cellStyle name="Normal 3 3 4 2 2 4 3" xfId="16910" xr:uid="{00000000-0005-0000-0000-000041360000}"/>
    <cellStyle name="Normal 3 3 4 2 2 5" xfId="23659" xr:uid="{00000000-0005-0000-0000-000042360000}"/>
    <cellStyle name="Normal 3 3 4 2 2 5 2" xfId="23666" xr:uid="{00000000-0005-0000-0000-000043360000}"/>
    <cellStyle name="Normal 3 3 4 2 2 5 2 2" xfId="23675" xr:uid="{00000000-0005-0000-0000-000044360000}"/>
    <cellStyle name="Normal 3 3 4 2 2 5 3" xfId="23680" xr:uid="{00000000-0005-0000-0000-000045360000}"/>
    <cellStyle name="Normal 3 3 4 2 2 6" xfId="23687" xr:uid="{00000000-0005-0000-0000-000046360000}"/>
    <cellStyle name="Normal 3 3 4 2 2 6 2" xfId="23694" xr:uid="{00000000-0005-0000-0000-000047360000}"/>
    <cellStyle name="Normal 3 3 4 2 2 7" xfId="18485" xr:uid="{00000000-0005-0000-0000-000048360000}"/>
    <cellStyle name="Normal 3 3 4 2 2 7 2" xfId="18492" xr:uid="{00000000-0005-0000-0000-000049360000}"/>
    <cellStyle name="Normal 3 3 4 2 2 8" xfId="18514" xr:uid="{00000000-0005-0000-0000-00004A360000}"/>
    <cellStyle name="Normal 3 3 4 2 3" xfId="387" xr:uid="{00000000-0005-0000-0000-00004B360000}"/>
    <cellStyle name="Normal 3 3 4 2 3 2" xfId="1094" xr:uid="{00000000-0005-0000-0000-00004C360000}"/>
    <cellStyle name="Normal 3 3 4 2 3 2 2" xfId="15057" xr:uid="{00000000-0005-0000-0000-00004D360000}"/>
    <cellStyle name="Normal 3 3 4 2 3 2 2 2" xfId="24743" xr:uid="{00000000-0005-0000-0000-00004E360000}"/>
    <cellStyle name="Normal 3 3 4 2 3 2 2 2 2" xfId="25016" xr:uid="{00000000-0005-0000-0000-00004F360000}"/>
    <cellStyle name="Normal 3 3 4 2 3 2 2 3" xfId="25018" xr:uid="{00000000-0005-0000-0000-000050360000}"/>
    <cellStyle name="Normal 3 3 4 2 3 2 3" xfId="23012" xr:uid="{00000000-0005-0000-0000-000051360000}"/>
    <cellStyle name="Normal 3 3 4 2 3 2 3 2" xfId="23016" xr:uid="{00000000-0005-0000-0000-000052360000}"/>
    <cellStyle name="Normal 3 3 4 2 3 2 4" xfId="23028" xr:uid="{00000000-0005-0000-0000-000053360000}"/>
    <cellStyle name="Normal 3 3 4 2 3 3" xfId="14895" xr:uid="{00000000-0005-0000-0000-000054360000}"/>
    <cellStyle name="Normal 3 3 4 2 3 3 2" xfId="25019" xr:uid="{00000000-0005-0000-0000-000055360000}"/>
    <cellStyle name="Normal 3 3 4 2 3 3 2 2" xfId="543" xr:uid="{00000000-0005-0000-0000-000056360000}"/>
    <cellStyle name="Normal 3 3 4 2 3 3 3" xfId="23035" xr:uid="{00000000-0005-0000-0000-000057360000}"/>
    <cellStyle name="Normal 3 3 4 2 3 4" xfId="11991" xr:uid="{00000000-0005-0000-0000-000058360000}"/>
    <cellStyle name="Normal 3 3 4 2 3 4 2" xfId="23699" xr:uid="{00000000-0005-0000-0000-000059360000}"/>
    <cellStyle name="Normal 3 3 4 2 3 4 2 2" xfId="369" xr:uid="{00000000-0005-0000-0000-00005A360000}"/>
    <cellStyle name="Normal 3 3 4 2 3 4 3" xfId="23045" xr:uid="{00000000-0005-0000-0000-00005B360000}"/>
    <cellStyle name="Normal 3 3 4 2 3 5" xfId="23707" xr:uid="{00000000-0005-0000-0000-00005C360000}"/>
    <cellStyle name="Normal 3 3 4 2 3 5 2" xfId="23720" xr:uid="{00000000-0005-0000-0000-00005D360000}"/>
    <cellStyle name="Normal 3 3 4 2 3 6" xfId="22018" xr:uid="{00000000-0005-0000-0000-00005E360000}"/>
    <cellStyle name="Normal 3 3 4 2 3 6 2" xfId="22027" xr:uid="{00000000-0005-0000-0000-00005F360000}"/>
    <cellStyle name="Normal 3 3 4 2 3 7" xfId="18539" xr:uid="{00000000-0005-0000-0000-000060360000}"/>
    <cellStyle name="Normal 3 3 4 2 4" xfId="857" xr:uid="{00000000-0005-0000-0000-000061360000}"/>
    <cellStyle name="Normal 3 3 4 2 4 2" xfId="118" xr:uid="{00000000-0005-0000-0000-000062360000}"/>
    <cellStyle name="Normal 3 3 4 2 4 2 2" xfId="12064" xr:uid="{00000000-0005-0000-0000-000063360000}"/>
    <cellStyle name="Normal 3 3 4 2 4 2 2 2" xfId="25020" xr:uid="{00000000-0005-0000-0000-000064360000}"/>
    <cellStyle name="Normal 3 3 4 2 4 2 3" xfId="23065" xr:uid="{00000000-0005-0000-0000-000065360000}"/>
    <cellStyle name="Normal 3 3 4 2 4 3" xfId="12073" xr:uid="{00000000-0005-0000-0000-000066360000}"/>
    <cellStyle name="Normal 3 3 4 2 4 3 2" xfId="25021" xr:uid="{00000000-0005-0000-0000-000067360000}"/>
    <cellStyle name="Normal 3 3 4 2 4 4" xfId="10881" xr:uid="{00000000-0005-0000-0000-000068360000}"/>
    <cellStyle name="Normal 3 3 4 2 5" xfId="1124" xr:uid="{00000000-0005-0000-0000-000069360000}"/>
    <cellStyle name="Normal 3 3 4 2 5 2" xfId="4875" xr:uid="{00000000-0005-0000-0000-00006A360000}"/>
    <cellStyle name="Normal 3 3 4 2 5 2 2" xfId="17534" xr:uid="{00000000-0005-0000-0000-00006B360000}"/>
    <cellStyle name="Normal 3 3 4 2 5 3" xfId="25022" xr:uid="{00000000-0005-0000-0000-00006C360000}"/>
    <cellStyle name="Normal 3 3 4 2 6" xfId="4592" xr:uid="{00000000-0005-0000-0000-00006D360000}"/>
    <cellStyle name="Normal 3 3 4 2 6 2" xfId="25024" xr:uid="{00000000-0005-0000-0000-00006E360000}"/>
    <cellStyle name="Normal 3 3 4 2 6 2 2" xfId="24977" xr:uid="{00000000-0005-0000-0000-00006F360000}"/>
    <cellStyle name="Normal 3 3 4 2 6 3" xfId="25027" xr:uid="{00000000-0005-0000-0000-000070360000}"/>
    <cellStyle name="Normal 3 3 4 2 7" xfId="5270" xr:uid="{00000000-0005-0000-0000-000071360000}"/>
    <cellStyle name="Normal 3 3 4 2 7 2" xfId="17510" xr:uid="{00000000-0005-0000-0000-000072360000}"/>
    <cellStyle name="Normal 3 3 4 2 8" xfId="19636" xr:uid="{00000000-0005-0000-0000-000073360000}"/>
    <cellStyle name="Normal 3 3 4 2 8 2" xfId="17519" xr:uid="{00000000-0005-0000-0000-000074360000}"/>
    <cellStyle name="Normal 3 3 4 2 9" xfId="19642" xr:uid="{00000000-0005-0000-0000-000075360000}"/>
    <cellStyle name="Normal 3 3 4 3" xfId="25028" xr:uid="{00000000-0005-0000-0000-000076360000}"/>
    <cellStyle name="Normal 3 3 4 3 2" xfId="25029" xr:uid="{00000000-0005-0000-0000-000077360000}"/>
    <cellStyle name="Normal 3 3 4 3 2 2" xfId="25030" xr:uid="{00000000-0005-0000-0000-000078360000}"/>
    <cellStyle name="Normal 3 3 4 3 2 2 2" xfId="20858" xr:uid="{00000000-0005-0000-0000-000079360000}"/>
    <cellStyle name="Normal 3 3 4 3 2 2 2 2" xfId="23735" xr:uid="{00000000-0005-0000-0000-00007A360000}"/>
    <cellStyle name="Normal 3 3 4 3 2 2 2 2 2" xfId="21445" xr:uid="{00000000-0005-0000-0000-00007B360000}"/>
    <cellStyle name="Normal 3 3 4 3 2 2 2 3" xfId="23739" xr:uid="{00000000-0005-0000-0000-00007C360000}"/>
    <cellStyle name="Normal 3 3 4 3 2 2 3" xfId="20861" xr:uid="{00000000-0005-0000-0000-00007D360000}"/>
    <cellStyle name="Normal 3 3 4 3 2 2 3 2" xfId="23741" xr:uid="{00000000-0005-0000-0000-00007E360000}"/>
    <cellStyle name="Normal 3 3 4 3 2 2 4" xfId="23745" xr:uid="{00000000-0005-0000-0000-00007F360000}"/>
    <cellStyle name="Normal 3 3 4 3 2 3" xfId="2556" xr:uid="{00000000-0005-0000-0000-000080360000}"/>
    <cellStyle name="Normal 3 3 4 3 2 3 2" xfId="23756" xr:uid="{00000000-0005-0000-0000-000081360000}"/>
    <cellStyle name="Normal 3 3 4 3 2 3 2 2" xfId="25031" xr:uid="{00000000-0005-0000-0000-000082360000}"/>
    <cellStyle name="Normal 3 3 4 3 2 3 3" xfId="25032" xr:uid="{00000000-0005-0000-0000-000083360000}"/>
    <cellStyle name="Normal 3 3 4 3 2 4" xfId="23914" xr:uid="{00000000-0005-0000-0000-000084360000}"/>
    <cellStyle name="Normal 3 3 4 3 2 4 2" xfId="23918" xr:uid="{00000000-0005-0000-0000-000085360000}"/>
    <cellStyle name="Normal 3 3 4 3 2 4 2 2" xfId="1844" xr:uid="{00000000-0005-0000-0000-000086360000}"/>
    <cellStyle name="Normal 3 3 4 3 2 4 3" xfId="25035" xr:uid="{00000000-0005-0000-0000-000087360000}"/>
    <cellStyle name="Normal 3 3 4 3 2 5" xfId="23924" xr:uid="{00000000-0005-0000-0000-000088360000}"/>
    <cellStyle name="Normal 3 3 4 3 2 5 2" xfId="21574" xr:uid="{00000000-0005-0000-0000-000089360000}"/>
    <cellStyle name="Normal 3 3 4 3 2 6" xfId="25040" xr:uid="{00000000-0005-0000-0000-00008A360000}"/>
    <cellStyle name="Normal 3 3 4 3 2 6 2" xfId="21599" xr:uid="{00000000-0005-0000-0000-00008B360000}"/>
    <cellStyle name="Normal 3 3 4 3 2 7" xfId="25045" xr:uid="{00000000-0005-0000-0000-00008C360000}"/>
    <cellStyle name="Normal 3 3 4 3 3" xfId="18125" xr:uid="{00000000-0005-0000-0000-00008D360000}"/>
    <cellStyle name="Normal 3 3 4 3 3 2" xfId="15607" xr:uid="{00000000-0005-0000-0000-00008E360000}"/>
    <cellStyle name="Normal 3 3 4 3 3 2 2" xfId="15610" xr:uid="{00000000-0005-0000-0000-00008F360000}"/>
    <cellStyle name="Normal 3 3 4 3 3 2 2 2" xfId="25046" xr:uid="{00000000-0005-0000-0000-000090360000}"/>
    <cellStyle name="Normal 3 3 4 3 3 2 3" xfId="20914" xr:uid="{00000000-0005-0000-0000-000091360000}"/>
    <cellStyle name="Normal 3 3 4 3 3 3" xfId="15617" xr:uid="{00000000-0005-0000-0000-000092360000}"/>
    <cellStyle name="Normal 3 3 4 3 3 3 2" xfId="25047" xr:uid="{00000000-0005-0000-0000-000093360000}"/>
    <cellStyle name="Normal 3 3 4 3 3 4" xfId="3637" xr:uid="{00000000-0005-0000-0000-000094360000}"/>
    <cellStyle name="Normal 3 3 4 3 4" xfId="18127" xr:uid="{00000000-0005-0000-0000-000095360000}"/>
    <cellStyle name="Normal 3 3 4 3 4 2" xfId="15654" xr:uid="{00000000-0005-0000-0000-000096360000}"/>
    <cellStyle name="Normal 3 3 4 3 4 2 2" xfId="20980" xr:uid="{00000000-0005-0000-0000-000097360000}"/>
    <cellStyle name="Normal 3 3 4 3 4 3" xfId="12441" xr:uid="{00000000-0005-0000-0000-000098360000}"/>
    <cellStyle name="Normal 3 3 4 3 5" xfId="18129" xr:uid="{00000000-0005-0000-0000-000099360000}"/>
    <cellStyle name="Normal 3 3 4 3 5 2" xfId="18132" xr:uid="{00000000-0005-0000-0000-00009A360000}"/>
    <cellStyle name="Normal 3 3 4 3 5 2 2" xfId="14830" xr:uid="{00000000-0005-0000-0000-00009B360000}"/>
    <cellStyle name="Normal 3 3 4 3 5 3" xfId="25048" xr:uid="{00000000-0005-0000-0000-00009C360000}"/>
    <cellStyle name="Normal 3 3 4 3 6" xfId="18135" xr:uid="{00000000-0005-0000-0000-00009D360000}"/>
    <cellStyle name="Normal 3 3 4 3 6 2" xfId="25049" xr:uid="{00000000-0005-0000-0000-00009E360000}"/>
    <cellStyle name="Normal 3 3 4 3 7" xfId="18140" xr:uid="{00000000-0005-0000-0000-00009F360000}"/>
    <cellStyle name="Normal 3 3 4 3 7 2" xfId="17531" xr:uid="{00000000-0005-0000-0000-0000A0360000}"/>
    <cellStyle name="Normal 3 3 4 3 8" xfId="19655" xr:uid="{00000000-0005-0000-0000-0000A1360000}"/>
    <cellStyle name="Normal 3 3 4 4" xfId="25050" xr:uid="{00000000-0005-0000-0000-0000A2360000}"/>
    <cellStyle name="Normal 3 3 4 4 2" xfId="25051" xr:uid="{00000000-0005-0000-0000-0000A3360000}"/>
    <cellStyle name="Normal 3 3 4 4 2 2" xfId="305" xr:uid="{00000000-0005-0000-0000-0000A4360000}"/>
    <cellStyle name="Normal 3 3 4 4 2 2 2" xfId="1723" xr:uid="{00000000-0005-0000-0000-0000A5360000}"/>
    <cellStyle name="Normal 3 3 4 4 2 2 2 2" xfId="1734" xr:uid="{00000000-0005-0000-0000-0000A6360000}"/>
    <cellStyle name="Normal 3 3 4 4 2 2 2 2 2" xfId="1747" xr:uid="{00000000-0005-0000-0000-0000A7360000}"/>
    <cellStyle name="Normal 3 3 4 4 2 2 2 3" xfId="1765" xr:uid="{00000000-0005-0000-0000-0000A8360000}"/>
    <cellStyle name="Normal 3 3 4 4 2 2 3" xfId="1769" xr:uid="{00000000-0005-0000-0000-0000A9360000}"/>
    <cellStyle name="Normal 3 3 4 4 2 2 3 2" xfId="1781" xr:uid="{00000000-0005-0000-0000-0000AA360000}"/>
    <cellStyle name="Normal 3 3 4 4 2 2 4" xfId="1792" xr:uid="{00000000-0005-0000-0000-0000AB360000}"/>
    <cellStyle name="Normal 3 3 4 4 2 3" xfId="67" xr:uid="{00000000-0005-0000-0000-0000AC360000}"/>
    <cellStyle name="Normal 3 3 4 4 2 3 2" xfId="1809" xr:uid="{00000000-0005-0000-0000-0000AD360000}"/>
    <cellStyle name="Normal 3 3 4 4 2 3 2 2" xfId="1816" xr:uid="{00000000-0005-0000-0000-0000AE360000}"/>
    <cellStyle name="Normal 3 3 4 4 2 3 3" xfId="1838" xr:uid="{00000000-0005-0000-0000-0000AF360000}"/>
    <cellStyle name="Normal 3 3 4 4 2 4" xfId="571" xr:uid="{00000000-0005-0000-0000-0000B0360000}"/>
    <cellStyle name="Normal 3 3 4 4 2 4 2" xfId="887" xr:uid="{00000000-0005-0000-0000-0000B1360000}"/>
    <cellStyle name="Normal 3 3 4 4 2 4 2 2" xfId="907" xr:uid="{00000000-0005-0000-0000-0000B2360000}"/>
    <cellStyle name="Normal 3 3 4 4 2 4 3" xfId="923" xr:uid="{00000000-0005-0000-0000-0000B3360000}"/>
    <cellStyle name="Normal 3 3 4 4 2 5" xfId="677" xr:uid="{00000000-0005-0000-0000-0000B4360000}"/>
    <cellStyle name="Normal 3 3 4 4 2 5 2" xfId="977" xr:uid="{00000000-0005-0000-0000-0000B5360000}"/>
    <cellStyle name="Normal 3 3 4 4 2 6" xfId="768" xr:uid="{00000000-0005-0000-0000-0000B6360000}"/>
    <cellStyle name="Normal 3 3 4 4 2 6 2" xfId="1037" xr:uid="{00000000-0005-0000-0000-0000B7360000}"/>
    <cellStyle name="Normal 3 3 4 4 2 7" xfId="406" xr:uid="{00000000-0005-0000-0000-0000B8360000}"/>
    <cellStyle name="Normal 3 3 4 4 3" xfId="10803" xr:uid="{00000000-0005-0000-0000-0000B9360000}"/>
    <cellStyle name="Normal 3 3 4 4 3 2" xfId="2204" xr:uid="{00000000-0005-0000-0000-0000BA360000}"/>
    <cellStyle name="Normal 3 3 4 4 3 2 2" xfId="492" xr:uid="{00000000-0005-0000-0000-0000BB360000}"/>
    <cellStyle name="Normal 3 3 4 4 3 2 2 2" xfId="2221" xr:uid="{00000000-0005-0000-0000-0000BC360000}"/>
    <cellStyle name="Normal 3 3 4 4 3 2 3" xfId="581" xr:uid="{00000000-0005-0000-0000-0000BD360000}"/>
    <cellStyle name="Normal 3 3 4 4 3 3" xfId="2253" xr:uid="{00000000-0005-0000-0000-0000BE360000}"/>
    <cellStyle name="Normal 3 3 4 4 3 3 2" xfId="2261" xr:uid="{00000000-0005-0000-0000-0000BF360000}"/>
    <cellStyle name="Normal 3 3 4 4 3 4" xfId="1177" xr:uid="{00000000-0005-0000-0000-0000C0360000}"/>
    <cellStyle name="Normal 3 3 4 4 4" xfId="10812" xr:uid="{00000000-0005-0000-0000-0000C1360000}"/>
    <cellStyle name="Normal 3 3 4 4 4 2" xfId="2791" xr:uid="{00000000-0005-0000-0000-0000C2360000}"/>
    <cellStyle name="Normal 3 3 4 4 4 2 2" xfId="517" xr:uid="{00000000-0005-0000-0000-0000C3360000}"/>
    <cellStyle name="Normal 3 3 4 4 4 3" xfId="2819" xr:uid="{00000000-0005-0000-0000-0000C4360000}"/>
    <cellStyle name="Normal 3 3 4 4 5" xfId="10821" xr:uid="{00000000-0005-0000-0000-0000C5360000}"/>
    <cellStyle name="Normal 3 3 4 4 5 2" xfId="3122" xr:uid="{00000000-0005-0000-0000-0000C6360000}"/>
    <cellStyle name="Normal 3 3 4 4 5 2 2" xfId="3149" xr:uid="{00000000-0005-0000-0000-0000C7360000}"/>
    <cellStyle name="Normal 3 3 4 4 5 3" xfId="3176" xr:uid="{00000000-0005-0000-0000-0000C8360000}"/>
    <cellStyle name="Normal 3 3 4 4 6" xfId="10831" xr:uid="{00000000-0005-0000-0000-0000C9360000}"/>
    <cellStyle name="Normal 3 3 4 4 6 2" xfId="3428" xr:uid="{00000000-0005-0000-0000-0000CA360000}"/>
    <cellStyle name="Normal 3 3 4 4 7" xfId="8942" xr:uid="{00000000-0005-0000-0000-0000CB360000}"/>
    <cellStyle name="Normal 3 3 4 4 7 2" xfId="3552" xr:uid="{00000000-0005-0000-0000-0000CC360000}"/>
    <cellStyle name="Normal 3 3 4 4 8" xfId="19675" xr:uid="{00000000-0005-0000-0000-0000CD360000}"/>
    <cellStyle name="Normal 3 3 4 5" xfId="25052" xr:uid="{00000000-0005-0000-0000-0000CE360000}"/>
    <cellStyle name="Normal 3 3 4 5 2" xfId="25053" xr:uid="{00000000-0005-0000-0000-0000CF360000}"/>
    <cellStyle name="Normal 3 3 4 5 2 2" xfId="3652" xr:uid="{00000000-0005-0000-0000-0000D0360000}"/>
    <cellStyle name="Normal 3 3 4 5 2 2 2" xfId="3661" xr:uid="{00000000-0005-0000-0000-0000D1360000}"/>
    <cellStyle name="Normal 3 3 4 5 2 2 2 2" xfId="25054" xr:uid="{00000000-0005-0000-0000-0000D2360000}"/>
    <cellStyle name="Normal 3 3 4 5 2 2 2 2 2" xfId="5388" xr:uid="{00000000-0005-0000-0000-0000D3360000}"/>
    <cellStyle name="Normal 3 3 4 5 2 2 2 3" xfId="25055" xr:uid="{00000000-0005-0000-0000-0000D4360000}"/>
    <cellStyle name="Normal 3 3 4 5 2 2 3" xfId="25056" xr:uid="{00000000-0005-0000-0000-0000D5360000}"/>
    <cellStyle name="Normal 3 3 4 5 2 2 3 2" xfId="25057" xr:uid="{00000000-0005-0000-0000-0000D6360000}"/>
    <cellStyle name="Normal 3 3 4 5 2 2 4" xfId="25058" xr:uid="{00000000-0005-0000-0000-0000D7360000}"/>
    <cellStyle name="Normal 3 3 4 5 2 3" xfId="3670" xr:uid="{00000000-0005-0000-0000-0000D8360000}"/>
    <cellStyle name="Normal 3 3 4 5 2 3 2" xfId="25059" xr:uid="{00000000-0005-0000-0000-0000D9360000}"/>
    <cellStyle name="Normal 3 3 4 5 2 3 2 2" xfId="22431" xr:uid="{00000000-0005-0000-0000-0000DA360000}"/>
    <cellStyle name="Normal 3 3 4 5 2 3 3" xfId="25063" xr:uid="{00000000-0005-0000-0000-0000DB360000}"/>
    <cellStyle name="Normal 3 3 4 5 2 4" xfId="1549" xr:uid="{00000000-0005-0000-0000-0000DC360000}"/>
    <cellStyle name="Normal 3 3 4 5 2 4 2" xfId="25065" xr:uid="{00000000-0005-0000-0000-0000DD360000}"/>
    <cellStyle name="Normal 3 3 4 5 2 4 2 2" xfId="25067" xr:uid="{00000000-0005-0000-0000-0000DE360000}"/>
    <cellStyle name="Normal 3 3 4 5 2 4 3" xfId="25068" xr:uid="{00000000-0005-0000-0000-0000DF360000}"/>
    <cellStyle name="Normal 3 3 4 5 2 5" xfId="18717" xr:uid="{00000000-0005-0000-0000-0000E0360000}"/>
    <cellStyle name="Normal 3 3 4 5 2 5 2" xfId="25074" xr:uid="{00000000-0005-0000-0000-0000E1360000}"/>
    <cellStyle name="Normal 3 3 4 5 2 6" xfId="19962" xr:uid="{00000000-0005-0000-0000-0000E2360000}"/>
    <cellStyle name="Normal 3 3 4 5 2 6 2" xfId="25075" xr:uid="{00000000-0005-0000-0000-0000E3360000}"/>
    <cellStyle name="Normal 3 3 4 5 2 7" xfId="18926" xr:uid="{00000000-0005-0000-0000-0000E4360000}"/>
    <cellStyle name="Normal 3 3 4 5 3" xfId="10894" xr:uid="{00000000-0005-0000-0000-0000E5360000}"/>
    <cellStyle name="Normal 3 3 4 5 3 2" xfId="1286" xr:uid="{00000000-0005-0000-0000-0000E6360000}"/>
    <cellStyle name="Normal 3 3 4 5 3 2 2" xfId="25079" xr:uid="{00000000-0005-0000-0000-0000E7360000}"/>
    <cellStyle name="Normal 3 3 4 5 3 2 2 2" xfId="25080" xr:uid="{00000000-0005-0000-0000-0000E8360000}"/>
    <cellStyle name="Normal 3 3 4 5 3 2 3" xfId="25081" xr:uid="{00000000-0005-0000-0000-0000E9360000}"/>
    <cellStyle name="Normal 3 3 4 5 3 3" xfId="25084" xr:uid="{00000000-0005-0000-0000-0000EA360000}"/>
    <cellStyle name="Normal 3 3 4 5 3 3 2" xfId="25085" xr:uid="{00000000-0005-0000-0000-0000EB360000}"/>
    <cellStyle name="Normal 3 3 4 5 3 4" xfId="25086" xr:uid="{00000000-0005-0000-0000-0000EC360000}"/>
    <cellStyle name="Normal 3 3 4 5 4" xfId="25090" xr:uid="{00000000-0005-0000-0000-0000ED360000}"/>
    <cellStyle name="Normal 3 3 4 5 4 2" xfId="25095" xr:uid="{00000000-0005-0000-0000-0000EE360000}"/>
    <cellStyle name="Normal 3 3 4 5 4 2 2" xfId="25098" xr:uid="{00000000-0005-0000-0000-0000EF360000}"/>
    <cellStyle name="Normal 3 3 4 5 4 3" xfId="25101" xr:uid="{00000000-0005-0000-0000-0000F0360000}"/>
    <cellStyle name="Normal 3 3 4 5 5" xfId="25102" xr:uid="{00000000-0005-0000-0000-0000F1360000}"/>
    <cellStyle name="Normal 3 3 4 5 5 2" xfId="25106" xr:uid="{00000000-0005-0000-0000-0000F2360000}"/>
    <cellStyle name="Normal 3 3 4 5 5 2 2" xfId="20673" xr:uid="{00000000-0005-0000-0000-0000F3360000}"/>
    <cellStyle name="Normal 3 3 4 5 5 3" xfId="25109" xr:uid="{00000000-0005-0000-0000-0000F4360000}"/>
    <cellStyle name="Normal 3 3 4 5 6" xfId="25114" xr:uid="{00000000-0005-0000-0000-0000F5360000}"/>
    <cellStyle name="Normal 3 3 4 5 6 2" xfId="25117" xr:uid="{00000000-0005-0000-0000-0000F6360000}"/>
    <cellStyle name="Normal 3 3 4 5 7" xfId="25118" xr:uid="{00000000-0005-0000-0000-0000F7360000}"/>
    <cellStyle name="Normal 3 3 4 5 7 2" xfId="25121" xr:uid="{00000000-0005-0000-0000-0000F8360000}"/>
    <cellStyle name="Normal 3 3 4 5 8" xfId="19679" xr:uid="{00000000-0005-0000-0000-0000F9360000}"/>
    <cellStyle name="Normal 3 3 4 6" xfId="25122" xr:uid="{00000000-0005-0000-0000-0000FA360000}"/>
    <cellStyle name="Normal 3 3 4 6 2" xfId="25123" xr:uid="{00000000-0005-0000-0000-0000FB360000}"/>
    <cellStyle name="Normal 3 3 4 6 2 2" xfId="3714" xr:uid="{00000000-0005-0000-0000-0000FC360000}"/>
    <cellStyle name="Normal 3 3 4 6 2 2 2" xfId="12099" xr:uid="{00000000-0005-0000-0000-0000FD360000}"/>
    <cellStyle name="Normal 3 3 4 6 2 2 2 2" xfId="8534" xr:uid="{00000000-0005-0000-0000-0000FE360000}"/>
    <cellStyle name="Normal 3 3 4 6 2 2 3" xfId="12102" xr:uid="{00000000-0005-0000-0000-0000FF360000}"/>
    <cellStyle name="Normal 3 3 4 6 2 3" xfId="25125" xr:uid="{00000000-0005-0000-0000-000000370000}"/>
    <cellStyle name="Normal 3 3 4 6 2 3 2" xfId="12115" xr:uid="{00000000-0005-0000-0000-000001370000}"/>
    <cellStyle name="Normal 3 3 4 6 2 4" xfId="24244" xr:uid="{00000000-0005-0000-0000-000002370000}"/>
    <cellStyle name="Normal 3 3 4 6 3" xfId="18149" xr:uid="{00000000-0005-0000-0000-000003370000}"/>
    <cellStyle name="Normal 3 3 4 6 3 2" xfId="25128" xr:uid="{00000000-0005-0000-0000-000004370000}"/>
    <cellStyle name="Normal 3 3 4 6 3 2 2" xfId="2012" xr:uid="{00000000-0005-0000-0000-000005370000}"/>
    <cellStyle name="Normal 3 3 4 6 3 3" xfId="25130" xr:uid="{00000000-0005-0000-0000-000006370000}"/>
    <cellStyle name="Normal 3 3 4 6 4" xfId="25131" xr:uid="{00000000-0005-0000-0000-000007370000}"/>
    <cellStyle name="Normal 3 3 4 6 4 2" xfId="25136" xr:uid="{00000000-0005-0000-0000-000008370000}"/>
    <cellStyle name="Normal 3 3 4 6 4 2 2" xfId="25139" xr:uid="{00000000-0005-0000-0000-000009370000}"/>
    <cellStyle name="Normal 3 3 4 6 4 3" xfId="25142" xr:uid="{00000000-0005-0000-0000-00000A370000}"/>
    <cellStyle name="Normal 3 3 4 6 5" xfId="25145" xr:uid="{00000000-0005-0000-0000-00000B370000}"/>
    <cellStyle name="Normal 3 3 4 6 5 2" xfId="25150" xr:uid="{00000000-0005-0000-0000-00000C370000}"/>
    <cellStyle name="Normal 3 3 4 6 6" xfId="25151" xr:uid="{00000000-0005-0000-0000-00000D370000}"/>
    <cellStyle name="Normal 3 3 4 6 6 2" xfId="25154" xr:uid="{00000000-0005-0000-0000-00000E370000}"/>
    <cellStyle name="Normal 3 3 4 6 7" xfId="21255" xr:uid="{00000000-0005-0000-0000-00000F370000}"/>
    <cellStyle name="Normal 3 3 4 7" xfId="21449" xr:uid="{00000000-0005-0000-0000-000010370000}"/>
    <cellStyle name="Normal 3 3 4 7 2" xfId="21451" xr:uid="{00000000-0005-0000-0000-000011370000}"/>
    <cellStyle name="Normal 3 3 4 7 2 2" xfId="3782" xr:uid="{00000000-0005-0000-0000-000012370000}"/>
    <cellStyle name="Normal 3 3 4 7 2 2 2" xfId="5198" xr:uid="{00000000-0005-0000-0000-000013370000}"/>
    <cellStyle name="Normal 3 3 4 7 2 3" xfId="19164" xr:uid="{00000000-0005-0000-0000-000014370000}"/>
    <cellStyle name="Normal 3 3 4 7 3" xfId="25155" xr:uid="{00000000-0005-0000-0000-000015370000}"/>
    <cellStyle name="Normal 3 3 4 7 3 2" xfId="19208" xr:uid="{00000000-0005-0000-0000-000016370000}"/>
    <cellStyle name="Normal 3 3 4 7 4" xfId="25156" xr:uid="{00000000-0005-0000-0000-000017370000}"/>
    <cellStyle name="Normal 3 3 4 8" xfId="21453" xr:uid="{00000000-0005-0000-0000-000018370000}"/>
    <cellStyle name="Normal 3 3 4 8 2" xfId="25158" xr:uid="{00000000-0005-0000-0000-000019370000}"/>
    <cellStyle name="Normal 3 3 4 8 2 2" xfId="25160" xr:uid="{00000000-0005-0000-0000-00001A370000}"/>
    <cellStyle name="Normal 3 3 4 8 3" xfId="25162" xr:uid="{00000000-0005-0000-0000-00001B370000}"/>
    <cellStyle name="Normal 3 3 4 9" xfId="25165" xr:uid="{00000000-0005-0000-0000-00001C370000}"/>
    <cellStyle name="Normal 3 3 4 9 2" xfId="25168" xr:uid="{00000000-0005-0000-0000-00001D370000}"/>
    <cellStyle name="Normal 3 3 4 9 2 2" xfId="25170" xr:uid="{00000000-0005-0000-0000-00001E370000}"/>
    <cellStyle name="Normal 3 3 4 9 3" xfId="25172" xr:uid="{00000000-0005-0000-0000-00001F370000}"/>
    <cellStyle name="Normal 3 3 5" xfId="25173" xr:uid="{00000000-0005-0000-0000-000020370000}"/>
    <cellStyle name="Normal 3 3 5 10" xfId="9399" xr:uid="{00000000-0005-0000-0000-000021370000}"/>
    <cellStyle name="Normal 3 3 5 2" xfId="25174" xr:uid="{00000000-0005-0000-0000-000022370000}"/>
    <cellStyle name="Normal 3 3 5 2 2" xfId="25175" xr:uid="{00000000-0005-0000-0000-000023370000}"/>
    <cellStyle name="Normal 3 3 5 2 2 2" xfId="3253" xr:uid="{00000000-0005-0000-0000-000024370000}"/>
    <cellStyle name="Normal 3 3 5 2 2 2 2" xfId="14600" xr:uid="{00000000-0005-0000-0000-000025370000}"/>
    <cellStyle name="Normal 3 3 5 2 2 2 2 2" xfId="18246" xr:uid="{00000000-0005-0000-0000-000026370000}"/>
    <cellStyle name="Normal 3 3 5 2 2 2 2 2 2" xfId="25176" xr:uid="{00000000-0005-0000-0000-000027370000}"/>
    <cellStyle name="Normal 3 3 5 2 2 2 2 3" xfId="25177" xr:uid="{00000000-0005-0000-0000-000028370000}"/>
    <cellStyle name="Normal 3 3 5 2 2 2 3" xfId="18249" xr:uid="{00000000-0005-0000-0000-000029370000}"/>
    <cellStyle name="Normal 3 3 5 2 2 2 3 2" xfId="25178" xr:uid="{00000000-0005-0000-0000-00002A370000}"/>
    <cellStyle name="Normal 3 3 5 2 2 2 4" xfId="1365" xr:uid="{00000000-0005-0000-0000-00002B370000}"/>
    <cellStyle name="Normal 3 3 5 2 2 3" xfId="15005" xr:uid="{00000000-0005-0000-0000-00002C370000}"/>
    <cellStyle name="Normal 3 3 5 2 2 3 2" xfId="15009" xr:uid="{00000000-0005-0000-0000-00002D370000}"/>
    <cellStyle name="Normal 3 3 5 2 2 3 2 2" xfId="18203" xr:uid="{00000000-0005-0000-0000-00002E370000}"/>
    <cellStyle name="Normal 3 3 5 2 2 3 3" xfId="18252" xr:uid="{00000000-0005-0000-0000-00002F370000}"/>
    <cellStyle name="Normal 3 3 5 2 2 4" xfId="15013" xr:uid="{00000000-0005-0000-0000-000030370000}"/>
    <cellStyle name="Normal 3 3 5 2 2 4 2" xfId="18264" xr:uid="{00000000-0005-0000-0000-000031370000}"/>
    <cellStyle name="Normal 3 3 5 2 2 4 2 2" xfId="18270" xr:uid="{00000000-0005-0000-0000-000032370000}"/>
    <cellStyle name="Normal 3 3 5 2 2 4 3" xfId="18273" xr:uid="{00000000-0005-0000-0000-000033370000}"/>
    <cellStyle name="Normal 3 3 5 2 2 5" xfId="18277" xr:uid="{00000000-0005-0000-0000-000034370000}"/>
    <cellStyle name="Normal 3 3 5 2 2 5 2" xfId="18284" xr:uid="{00000000-0005-0000-0000-000035370000}"/>
    <cellStyle name="Normal 3 3 5 2 2 6" xfId="18295" xr:uid="{00000000-0005-0000-0000-000036370000}"/>
    <cellStyle name="Normal 3 3 5 2 2 6 2" xfId="18300" xr:uid="{00000000-0005-0000-0000-000037370000}"/>
    <cellStyle name="Normal 3 3 5 2 2 7" xfId="18305" xr:uid="{00000000-0005-0000-0000-000038370000}"/>
    <cellStyle name="Normal 3 3 5 2 3" xfId="18164" xr:uid="{00000000-0005-0000-0000-000039370000}"/>
    <cellStyle name="Normal 3 3 5 2 3 2" xfId="18167" xr:uid="{00000000-0005-0000-0000-00003A370000}"/>
    <cellStyle name="Normal 3 3 5 2 3 2 2" xfId="25180" xr:uid="{00000000-0005-0000-0000-00003B370000}"/>
    <cellStyle name="Normal 3 3 5 2 3 2 2 2" xfId="24993" xr:uid="{00000000-0005-0000-0000-00003C370000}"/>
    <cellStyle name="Normal 3 3 5 2 3 2 3" xfId="23606" xr:uid="{00000000-0005-0000-0000-00003D370000}"/>
    <cellStyle name="Normal 3 3 5 2 3 3" xfId="25182" xr:uid="{00000000-0005-0000-0000-00003E370000}"/>
    <cellStyle name="Normal 3 3 5 2 3 3 2" xfId="25183" xr:uid="{00000000-0005-0000-0000-00003F370000}"/>
    <cellStyle name="Normal 3 3 5 2 3 4" xfId="24967" xr:uid="{00000000-0005-0000-0000-000040370000}"/>
    <cellStyle name="Normal 3 3 5 2 4" xfId="18169" xr:uid="{00000000-0005-0000-0000-000041370000}"/>
    <cellStyle name="Normal 3 3 5 2 4 2" xfId="25184" xr:uid="{00000000-0005-0000-0000-000042370000}"/>
    <cellStyle name="Normal 3 3 5 2 4 2 2" xfId="25185" xr:uid="{00000000-0005-0000-0000-000043370000}"/>
    <cellStyle name="Normal 3 3 5 2 4 3" xfId="12461" xr:uid="{00000000-0005-0000-0000-000044370000}"/>
    <cellStyle name="Normal 3 3 5 2 5" xfId="18171" xr:uid="{00000000-0005-0000-0000-000045370000}"/>
    <cellStyle name="Normal 3 3 5 2 5 2" xfId="25186" xr:uid="{00000000-0005-0000-0000-000046370000}"/>
    <cellStyle name="Normal 3 3 5 2 5 2 2" xfId="12347" xr:uid="{00000000-0005-0000-0000-000047370000}"/>
    <cellStyle name="Normal 3 3 5 2 5 3" xfId="25187" xr:uid="{00000000-0005-0000-0000-000048370000}"/>
    <cellStyle name="Normal 3 3 5 2 6" xfId="25188" xr:uid="{00000000-0005-0000-0000-000049370000}"/>
    <cellStyle name="Normal 3 3 5 2 6 2" xfId="25189" xr:uid="{00000000-0005-0000-0000-00004A370000}"/>
    <cellStyle name="Normal 3 3 5 2 7" xfId="25190" xr:uid="{00000000-0005-0000-0000-00004B370000}"/>
    <cellStyle name="Normal 3 3 5 2 7 2" xfId="17560" xr:uid="{00000000-0005-0000-0000-00004C370000}"/>
    <cellStyle name="Normal 3 3 5 2 8" xfId="19716" xr:uid="{00000000-0005-0000-0000-00004D370000}"/>
    <cellStyle name="Normal 3 3 5 2 9" xfId="3528" xr:uid="{00000000-0005-0000-0000-00004E370000}"/>
    <cellStyle name="Normal 3 3 5 3" xfId="25191" xr:uid="{00000000-0005-0000-0000-00004F370000}"/>
    <cellStyle name="Normal 3 3 5 3 2" xfId="25192" xr:uid="{00000000-0005-0000-0000-000050370000}"/>
    <cellStyle name="Normal 3 3 5 3 2 2" xfId="25193" xr:uid="{00000000-0005-0000-0000-000051370000}"/>
    <cellStyle name="Normal 3 3 5 3 2 2 2" xfId="23963" xr:uid="{00000000-0005-0000-0000-000052370000}"/>
    <cellStyle name="Normal 3 3 5 3 2 2 2 2" xfId="23966" xr:uid="{00000000-0005-0000-0000-000053370000}"/>
    <cellStyle name="Normal 3 3 5 3 2 2 3" xfId="23970" xr:uid="{00000000-0005-0000-0000-000054370000}"/>
    <cellStyle name="Normal 3 3 5 3 2 3" xfId="25194" xr:uid="{00000000-0005-0000-0000-000055370000}"/>
    <cellStyle name="Normal 3 3 5 3 2 3 2" xfId="23984" xr:uid="{00000000-0005-0000-0000-000056370000}"/>
    <cellStyle name="Normal 3 3 5 3 2 4" xfId="25157" xr:uid="{00000000-0005-0000-0000-000057370000}"/>
    <cellStyle name="Normal 3 3 5 3 3" xfId="10955" xr:uid="{00000000-0005-0000-0000-000058370000}"/>
    <cellStyle name="Normal 3 3 5 3 3 2" xfId="25195" xr:uid="{00000000-0005-0000-0000-000059370000}"/>
    <cellStyle name="Normal 3 3 5 3 3 2 2" xfId="24011" xr:uid="{00000000-0005-0000-0000-00005A370000}"/>
    <cellStyle name="Normal 3 3 5 3 3 3" xfId="25196" xr:uid="{00000000-0005-0000-0000-00005B370000}"/>
    <cellStyle name="Normal 3 3 5 3 4" xfId="25197" xr:uid="{00000000-0005-0000-0000-00005C370000}"/>
    <cellStyle name="Normal 3 3 5 3 4 2" xfId="25198" xr:uid="{00000000-0005-0000-0000-00005D370000}"/>
    <cellStyle name="Normal 3 3 5 3 4 2 2" xfId="25199" xr:uid="{00000000-0005-0000-0000-00005E370000}"/>
    <cellStyle name="Normal 3 3 5 3 4 3" xfId="25200" xr:uid="{00000000-0005-0000-0000-00005F370000}"/>
    <cellStyle name="Normal 3 3 5 3 5" xfId="25201" xr:uid="{00000000-0005-0000-0000-000060370000}"/>
    <cellStyle name="Normal 3 3 5 3 5 2" xfId="347" xr:uid="{00000000-0005-0000-0000-000061370000}"/>
    <cellStyle name="Normal 3 3 5 3 6" xfId="25203" xr:uid="{00000000-0005-0000-0000-000062370000}"/>
    <cellStyle name="Normal 3 3 5 3 6 2" xfId="25205" xr:uid="{00000000-0005-0000-0000-000063370000}"/>
    <cellStyle name="Normal 3 3 5 3 7" xfId="8643" xr:uid="{00000000-0005-0000-0000-000064370000}"/>
    <cellStyle name="Normal 3 3 5 4" xfId="25207" xr:uid="{00000000-0005-0000-0000-000065370000}"/>
    <cellStyle name="Normal 3 3 5 4 2" xfId="25208" xr:uid="{00000000-0005-0000-0000-000066370000}"/>
    <cellStyle name="Normal 3 3 5 4 2 2" xfId="4279" xr:uid="{00000000-0005-0000-0000-000067370000}"/>
    <cellStyle name="Normal 3 3 5 4 2 2 2" xfId="452" xr:uid="{00000000-0005-0000-0000-000068370000}"/>
    <cellStyle name="Normal 3 3 5 4 2 3" xfId="4285" xr:uid="{00000000-0005-0000-0000-000069370000}"/>
    <cellStyle name="Normal 3 3 5 4 3" xfId="10996" xr:uid="{00000000-0005-0000-0000-00006A370000}"/>
    <cellStyle name="Normal 3 3 5 4 3 2" xfId="4375" xr:uid="{00000000-0005-0000-0000-00006B370000}"/>
    <cellStyle name="Normal 3 3 5 4 4" xfId="25209" xr:uid="{00000000-0005-0000-0000-00006C370000}"/>
    <cellStyle name="Normal 3 3 5 5" xfId="25210" xr:uid="{00000000-0005-0000-0000-00006D370000}"/>
    <cellStyle name="Normal 3 3 5 5 2" xfId="25211" xr:uid="{00000000-0005-0000-0000-00006E370000}"/>
    <cellStyle name="Normal 3 3 5 5 2 2" xfId="5079" xr:uid="{00000000-0005-0000-0000-00006F370000}"/>
    <cellStyle name="Normal 3 3 5 5 3" xfId="25213" xr:uid="{00000000-0005-0000-0000-000070370000}"/>
    <cellStyle name="Normal 3 3 5 6" xfId="25214" xr:uid="{00000000-0005-0000-0000-000071370000}"/>
    <cellStyle name="Normal 3 3 5 6 2" xfId="23200" xr:uid="{00000000-0005-0000-0000-000072370000}"/>
    <cellStyle name="Normal 3 3 5 6 2 2" xfId="3593" xr:uid="{00000000-0005-0000-0000-000073370000}"/>
    <cellStyle name="Normal 3 3 5 6 3" xfId="23204" xr:uid="{00000000-0005-0000-0000-000074370000}"/>
    <cellStyle name="Normal 3 3 5 7" xfId="21456" xr:uid="{00000000-0005-0000-0000-000075370000}"/>
    <cellStyle name="Normal 3 3 5 7 2" xfId="25215" xr:uid="{00000000-0005-0000-0000-000076370000}"/>
    <cellStyle name="Normal 3 3 5 8" xfId="25216" xr:uid="{00000000-0005-0000-0000-000077370000}"/>
    <cellStyle name="Normal 3 3 5 8 2" xfId="1891" xr:uid="{00000000-0005-0000-0000-000078370000}"/>
    <cellStyle name="Normal 3 3 5 9" xfId="18938" xr:uid="{00000000-0005-0000-0000-000079370000}"/>
    <cellStyle name="Normal 3 3 6" xfId="25217" xr:uid="{00000000-0005-0000-0000-00007A370000}"/>
    <cellStyle name="Normal 3 3 6 2" xfId="25219" xr:uid="{00000000-0005-0000-0000-00007B370000}"/>
    <cellStyle name="Normal 3 3 6 2 2" xfId="25221" xr:uid="{00000000-0005-0000-0000-00007C370000}"/>
    <cellStyle name="Normal 3 3 6 2 2 2" xfId="20180" xr:uid="{00000000-0005-0000-0000-00007D370000}"/>
    <cellStyle name="Normal 3 3 6 2 2 2 2" xfId="25222" xr:uid="{00000000-0005-0000-0000-00007E370000}"/>
    <cellStyle name="Normal 3 3 6 2 2 2 2 2" xfId="12500" xr:uid="{00000000-0005-0000-0000-00007F370000}"/>
    <cellStyle name="Normal 3 3 6 2 2 2 3" xfId="25223" xr:uid="{00000000-0005-0000-0000-000080370000}"/>
    <cellStyle name="Normal 3 3 6 2 2 3" xfId="12534" xr:uid="{00000000-0005-0000-0000-000081370000}"/>
    <cellStyle name="Normal 3 3 6 2 2 3 2" xfId="4239" xr:uid="{00000000-0005-0000-0000-000082370000}"/>
    <cellStyle name="Normal 3 3 6 2 2 4" xfId="5961" xr:uid="{00000000-0005-0000-0000-000083370000}"/>
    <cellStyle name="Normal 3 3 6 2 3" xfId="12559" xr:uid="{00000000-0005-0000-0000-000084370000}"/>
    <cellStyle name="Normal 3 3 6 2 3 2" xfId="20415" xr:uid="{00000000-0005-0000-0000-000085370000}"/>
    <cellStyle name="Normal 3 3 6 2 3 2 2" xfId="25224" xr:uid="{00000000-0005-0000-0000-000086370000}"/>
    <cellStyle name="Normal 3 3 6 2 3 3" xfId="12886" xr:uid="{00000000-0005-0000-0000-000087370000}"/>
    <cellStyle name="Normal 3 3 6 2 4" xfId="25225" xr:uid="{00000000-0005-0000-0000-000088370000}"/>
    <cellStyle name="Normal 3 3 6 2 4 2" xfId="20563" xr:uid="{00000000-0005-0000-0000-000089370000}"/>
    <cellStyle name="Normal 3 3 6 2 4 2 2" xfId="20566" xr:uid="{00000000-0005-0000-0000-00008A370000}"/>
    <cellStyle name="Normal 3 3 6 2 4 3" xfId="20605" xr:uid="{00000000-0005-0000-0000-00008B370000}"/>
    <cellStyle name="Normal 3 3 6 2 5" xfId="25226" xr:uid="{00000000-0005-0000-0000-00008C370000}"/>
    <cellStyle name="Normal 3 3 6 2 5 2" xfId="25228" xr:uid="{00000000-0005-0000-0000-00008D370000}"/>
    <cellStyle name="Normal 3 3 6 2 6" xfId="25233" xr:uid="{00000000-0005-0000-0000-00008E370000}"/>
    <cellStyle name="Normal 3 3 6 2 6 2" xfId="25236" xr:uid="{00000000-0005-0000-0000-00008F370000}"/>
    <cellStyle name="Normal 3 3 6 2 7" xfId="25239" xr:uid="{00000000-0005-0000-0000-000090370000}"/>
    <cellStyle name="Normal 3 3 6 3" xfId="25240" xr:uid="{00000000-0005-0000-0000-000091370000}"/>
    <cellStyle name="Normal 3 3 6 3 2" xfId="21425" xr:uid="{00000000-0005-0000-0000-000092370000}"/>
    <cellStyle name="Normal 3 3 6 3 2 2" xfId="25241" xr:uid="{00000000-0005-0000-0000-000093370000}"/>
    <cellStyle name="Normal 3 3 6 3 2 2 2" xfId="24037" xr:uid="{00000000-0005-0000-0000-000094370000}"/>
    <cellStyle name="Normal 3 3 6 3 2 3" xfId="12890" xr:uid="{00000000-0005-0000-0000-000095370000}"/>
    <cellStyle name="Normal 3 3 6 3 3" xfId="25242" xr:uid="{00000000-0005-0000-0000-000096370000}"/>
    <cellStyle name="Normal 3 3 6 3 3 2" xfId="410" xr:uid="{00000000-0005-0000-0000-000097370000}"/>
    <cellStyle name="Normal 3 3 6 3 4" xfId="25243" xr:uid="{00000000-0005-0000-0000-000098370000}"/>
    <cellStyle name="Normal 3 3 6 4" xfId="25244" xr:uid="{00000000-0005-0000-0000-000099370000}"/>
    <cellStyle name="Normal 3 3 6 4 2" xfId="25245" xr:uid="{00000000-0005-0000-0000-00009A370000}"/>
    <cellStyle name="Normal 3 3 6 4 2 2" xfId="5502" xr:uid="{00000000-0005-0000-0000-00009B370000}"/>
    <cellStyle name="Normal 3 3 6 4 3" xfId="18766" xr:uid="{00000000-0005-0000-0000-00009C370000}"/>
    <cellStyle name="Normal 3 3 6 5" xfId="25246" xr:uid="{00000000-0005-0000-0000-00009D370000}"/>
    <cellStyle name="Normal 3 3 6 5 2" xfId="25247" xr:uid="{00000000-0005-0000-0000-00009E370000}"/>
    <cellStyle name="Normal 3 3 6 5 2 2" xfId="6248" xr:uid="{00000000-0005-0000-0000-00009F370000}"/>
    <cellStyle name="Normal 3 3 6 5 3" xfId="18774" xr:uid="{00000000-0005-0000-0000-0000A0370000}"/>
    <cellStyle name="Normal 3 3 6 6" xfId="25248" xr:uid="{00000000-0005-0000-0000-0000A1370000}"/>
    <cellStyle name="Normal 3 3 6 6 2" xfId="25251" xr:uid="{00000000-0005-0000-0000-0000A2370000}"/>
    <cellStyle name="Normal 3 3 6 7" xfId="25252" xr:uid="{00000000-0005-0000-0000-0000A3370000}"/>
    <cellStyle name="Normal 3 3 6 7 2" xfId="25253" xr:uid="{00000000-0005-0000-0000-0000A4370000}"/>
    <cellStyle name="Normal 3 3 7" xfId="19040" xr:uid="{00000000-0005-0000-0000-0000A5370000}"/>
    <cellStyle name="Normal 3 3 7 2" xfId="24436" xr:uid="{00000000-0005-0000-0000-0000A6370000}"/>
    <cellStyle name="Normal 3 3 7 2 2" xfId="24438" xr:uid="{00000000-0005-0000-0000-0000A7370000}"/>
    <cellStyle name="Normal 3 3 7 2 2 2" xfId="22768" xr:uid="{00000000-0005-0000-0000-0000A8370000}"/>
    <cellStyle name="Normal 3 3 7 2 2 2 2" xfId="25254" xr:uid="{00000000-0005-0000-0000-0000A9370000}"/>
    <cellStyle name="Normal 3 3 7 2 2 2 2 2" xfId="16512" xr:uid="{00000000-0005-0000-0000-0000AA370000}"/>
    <cellStyle name="Normal 3 3 7 2 2 2 3" xfId="25255" xr:uid="{00000000-0005-0000-0000-0000AB370000}"/>
    <cellStyle name="Normal 3 3 7 2 2 3" xfId="22773" xr:uid="{00000000-0005-0000-0000-0000AC370000}"/>
    <cellStyle name="Normal 3 3 7 2 2 3 2" xfId="22778" xr:uid="{00000000-0005-0000-0000-0000AD370000}"/>
    <cellStyle name="Normal 3 3 7 2 2 4" xfId="22948" xr:uid="{00000000-0005-0000-0000-0000AE370000}"/>
    <cellStyle name="Normal 3 3 7 2 3" xfId="24440" xr:uid="{00000000-0005-0000-0000-0000AF370000}"/>
    <cellStyle name="Normal 3 3 7 2 3 2" xfId="23366" xr:uid="{00000000-0005-0000-0000-0000B0370000}"/>
    <cellStyle name="Normal 3 3 7 2 3 2 2" xfId="23370" xr:uid="{00000000-0005-0000-0000-0000B1370000}"/>
    <cellStyle name="Normal 3 3 7 2 3 3" xfId="23477" xr:uid="{00000000-0005-0000-0000-0000B2370000}"/>
    <cellStyle name="Normal 3 3 7 2 4" xfId="25256" xr:uid="{00000000-0005-0000-0000-0000B3370000}"/>
    <cellStyle name="Normal 3 3 7 2 4 2" xfId="23793" xr:uid="{00000000-0005-0000-0000-0000B4370000}"/>
    <cellStyle name="Normal 3 3 7 2 4 2 2" xfId="23795" xr:uid="{00000000-0005-0000-0000-0000B5370000}"/>
    <cellStyle name="Normal 3 3 7 2 4 3" xfId="23844" xr:uid="{00000000-0005-0000-0000-0000B6370000}"/>
    <cellStyle name="Normal 3 3 7 2 5" xfId="25257" xr:uid="{00000000-0005-0000-0000-0000B7370000}"/>
    <cellStyle name="Normal 3 3 7 2 5 2" xfId="24053" xr:uid="{00000000-0005-0000-0000-0000B8370000}"/>
    <cellStyle name="Normal 3 3 7 2 6" xfId="25258" xr:uid="{00000000-0005-0000-0000-0000B9370000}"/>
    <cellStyle name="Normal 3 3 7 2 6 2" xfId="25264" xr:uid="{00000000-0005-0000-0000-0000BA370000}"/>
    <cellStyle name="Normal 3 3 7 2 7" xfId="25267" xr:uid="{00000000-0005-0000-0000-0000BB370000}"/>
    <cellStyle name="Normal 3 3 7 3" xfId="24442" xr:uid="{00000000-0005-0000-0000-0000BC370000}"/>
    <cellStyle name="Normal 3 3 7 3 2" xfId="24444" xr:uid="{00000000-0005-0000-0000-0000BD370000}"/>
    <cellStyle name="Normal 3 3 7 3 2 2" xfId="24446" xr:uid="{00000000-0005-0000-0000-0000BE370000}"/>
    <cellStyle name="Normal 3 3 7 3 2 2 2" xfId="24130" xr:uid="{00000000-0005-0000-0000-0000BF370000}"/>
    <cellStyle name="Normal 3 3 7 3 2 3" xfId="24574" xr:uid="{00000000-0005-0000-0000-0000C0370000}"/>
    <cellStyle name="Normal 3 3 7 3 3" xfId="24449" xr:uid="{00000000-0005-0000-0000-0000C1370000}"/>
    <cellStyle name="Normal 3 3 7 3 3 2" xfId="24850" xr:uid="{00000000-0005-0000-0000-0000C2370000}"/>
    <cellStyle name="Normal 3 3 7 3 4" xfId="25268" xr:uid="{00000000-0005-0000-0000-0000C3370000}"/>
    <cellStyle name="Normal 3 3 7 4" xfId="24451" xr:uid="{00000000-0005-0000-0000-0000C4370000}"/>
    <cellStyle name="Normal 3 3 7 4 2" xfId="24453" xr:uid="{00000000-0005-0000-0000-0000C5370000}"/>
    <cellStyle name="Normal 3 3 7 4 2 2" xfId="6757" xr:uid="{00000000-0005-0000-0000-0000C6370000}"/>
    <cellStyle name="Normal 3 3 7 4 3" xfId="18790" xr:uid="{00000000-0005-0000-0000-0000C7370000}"/>
    <cellStyle name="Normal 3 3 7 5" xfId="24455" xr:uid="{00000000-0005-0000-0000-0000C8370000}"/>
    <cellStyle name="Normal 3 3 7 5 2" xfId="24457" xr:uid="{00000000-0005-0000-0000-0000C9370000}"/>
    <cellStyle name="Normal 3 3 7 5 2 2" xfId="7559" xr:uid="{00000000-0005-0000-0000-0000CA370000}"/>
    <cellStyle name="Normal 3 3 7 5 3" xfId="25270" xr:uid="{00000000-0005-0000-0000-0000CB370000}"/>
    <cellStyle name="Normal 3 3 7 6" xfId="24459" xr:uid="{00000000-0005-0000-0000-0000CC370000}"/>
    <cellStyle name="Normal 3 3 7 6 2" xfId="25271" xr:uid="{00000000-0005-0000-0000-0000CD370000}"/>
    <cellStyle name="Normal 3 3 7 7" xfId="25272" xr:uid="{00000000-0005-0000-0000-0000CE370000}"/>
    <cellStyle name="Normal 3 3 7 7 2" xfId="25273" xr:uid="{00000000-0005-0000-0000-0000CF370000}"/>
    <cellStyle name="Normal 3 3 7 8" xfId="12594" xr:uid="{00000000-0005-0000-0000-0000D0370000}"/>
    <cellStyle name="Normal 3 3 7 9" xfId="25274" xr:uid="{00000000-0005-0000-0000-0000D1370000}"/>
    <cellStyle name="Normal 3 3 8" xfId="25275" xr:uid="{00000000-0005-0000-0000-0000D2370000}"/>
    <cellStyle name="Normal 3 3 8 2" xfId="24509" xr:uid="{00000000-0005-0000-0000-0000D3370000}"/>
    <cellStyle name="Normal 3 3 8 2 2" xfId="24513" xr:uid="{00000000-0005-0000-0000-0000D4370000}"/>
    <cellStyle name="Normal 3 3 8 2 2 2" xfId="22318" xr:uid="{00000000-0005-0000-0000-0000D5370000}"/>
    <cellStyle name="Normal 3 3 8 2 2 2 2" xfId="22321" xr:uid="{00000000-0005-0000-0000-0000D6370000}"/>
    <cellStyle name="Normal 3 3 8 2 2 2 2 2" xfId="22324" xr:uid="{00000000-0005-0000-0000-0000D7370000}"/>
    <cellStyle name="Normal 3 3 8 2 2 2 3" xfId="22327" xr:uid="{00000000-0005-0000-0000-0000D8370000}"/>
    <cellStyle name="Normal 3 3 8 2 2 3" xfId="22334" xr:uid="{00000000-0005-0000-0000-0000D9370000}"/>
    <cellStyle name="Normal 3 3 8 2 2 3 2" xfId="22341" xr:uid="{00000000-0005-0000-0000-0000DA370000}"/>
    <cellStyle name="Normal 3 3 8 2 2 4" xfId="22353" xr:uid="{00000000-0005-0000-0000-0000DB370000}"/>
    <cellStyle name="Normal 3 3 8 2 3" xfId="24515" xr:uid="{00000000-0005-0000-0000-0000DC370000}"/>
    <cellStyle name="Normal 3 3 8 2 3 2" xfId="22367" xr:uid="{00000000-0005-0000-0000-0000DD370000}"/>
    <cellStyle name="Normal 3 3 8 2 3 2 2" xfId="25277" xr:uid="{00000000-0005-0000-0000-0000DE370000}"/>
    <cellStyle name="Normal 3 3 8 2 3 3" xfId="25281" xr:uid="{00000000-0005-0000-0000-0000DF370000}"/>
    <cellStyle name="Normal 3 3 8 2 4" xfId="25282" xr:uid="{00000000-0005-0000-0000-0000E0370000}"/>
    <cellStyle name="Normal 3 3 8 2 4 2" xfId="25284" xr:uid="{00000000-0005-0000-0000-0000E1370000}"/>
    <cellStyle name="Normal 3 3 8 2 4 2 2" xfId="25286" xr:uid="{00000000-0005-0000-0000-0000E2370000}"/>
    <cellStyle name="Normal 3 3 8 2 4 3" xfId="25290" xr:uid="{00000000-0005-0000-0000-0000E3370000}"/>
    <cellStyle name="Normal 3 3 8 2 5" xfId="25291" xr:uid="{00000000-0005-0000-0000-0000E4370000}"/>
    <cellStyle name="Normal 3 3 8 2 5 2" xfId="25293" xr:uid="{00000000-0005-0000-0000-0000E5370000}"/>
    <cellStyle name="Normal 3 3 8 2 6" xfId="25296" xr:uid="{00000000-0005-0000-0000-0000E6370000}"/>
    <cellStyle name="Normal 3 3 8 2 6 2" xfId="25298" xr:uid="{00000000-0005-0000-0000-0000E7370000}"/>
    <cellStyle name="Normal 3 3 8 2 7" xfId="25300" xr:uid="{00000000-0005-0000-0000-0000E8370000}"/>
    <cellStyle name="Normal 3 3 8 3" xfId="24517" xr:uid="{00000000-0005-0000-0000-0000E9370000}"/>
    <cellStyle name="Normal 3 3 8 3 2" xfId="24519" xr:uid="{00000000-0005-0000-0000-0000EA370000}"/>
    <cellStyle name="Normal 3 3 8 3 2 2" xfId="14538" xr:uid="{00000000-0005-0000-0000-0000EB370000}"/>
    <cellStyle name="Normal 3 3 8 3 2 2 2" xfId="22424" xr:uid="{00000000-0005-0000-0000-0000EC370000}"/>
    <cellStyle name="Normal 3 3 8 3 2 3" xfId="22439" xr:uid="{00000000-0005-0000-0000-0000ED370000}"/>
    <cellStyle name="Normal 3 3 8 3 3" xfId="25301" xr:uid="{00000000-0005-0000-0000-0000EE370000}"/>
    <cellStyle name="Normal 3 3 8 3 3 2" xfId="22467" xr:uid="{00000000-0005-0000-0000-0000EF370000}"/>
    <cellStyle name="Normal 3 3 8 3 4" xfId="25302" xr:uid="{00000000-0005-0000-0000-0000F0370000}"/>
    <cellStyle name="Normal 3 3 8 4" xfId="24521" xr:uid="{00000000-0005-0000-0000-0000F1370000}"/>
    <cellStyle name="Normal 3 3 8 4 2" xfId="24525" xr:uid="{00000000-0005-0000-0000-0000F2370000}"/>
    <cellStyle name="Normal 3 3 8 4 2 2" xfId="7843" xr:uid="{00000000-0005-0000-0000-0000F3370000}"/>
    <cellStyle name="Normal 3 3 8 4 3" xfId="18796" xr:uid="{00000000-0005-0000-0000-0000F4370000}"/>
    <cellStyle name="Normal 3 3 8 5" xfId="24527" xr:uid="{00000000-0005-0000-0000-0000F5370000}"/>
    <cellStyle name="Normal 3 3 8 5 2" xfId="25303" xr:uid="{00000000-0005-0000-0000-0000F6370000}"/>
    <cellStyle name="Normal 3 3 8 5 2 2" xfId="8319" xr:uid="{00000000-0005-0000-0000-0000F7370000}"/>
    <cellStyle name="Normal 3 3 8 5 3" xfId="25305" xr:uid="{00000000-0005-0000-0000-0000F8370000}"/>
    <cellStyle name="Normal 3 3 8 6" xfId="24529" xr:uid="{00000000-0005-0000-0000-0000F9370000}"/>
    <cellStyle name="Normal 3 3 8 6 2" xfId="25017" xr:uid="{00000000-0005-0000-0000-0000FA370000}"/>
    <cellStyle name="Normal 3 3 8 7" xfId="25306" xr:uid="{00000000-0005-0000-0000-0000FB370000}"/>
    <cellStyle name="Normal 3 3 8 7 2" xfId="23023" xr:uid="{00000000-0005-0000-0000-0000FC370000}"/>
    <cellStyle name="Normal 3 3 8 8" xfId="25307" xr:uid="{00000000-0005-0000-0000-0000FD370000}"/>
    <cellStyle name="Normal 3 3 9" xfId="4387" xr:uid="{00000000-0005-0000-0000-0000FE370000}"/>
    <cellStyle name="Normal 3 3 9 2" xfId="4008" xr:uid="{00000000-0005-0000-0000-0000FF370000}"/>
    <cellStyle name="Normal 3 3 9 2 2" xfId="24563" xr:uid="{00000000-0005-0000-0000-000000380000}"/>
    <cellStyle name="Normal 3 3 9 2 2 2" xfId="22647" xr:uid="{00000000-0005-0000-0000-000001380000}"/>
    <cellStyle name="Normal 3 3 9 2 2 2 2" xfId="22650" xr:uid="{00000000-0005-0000-0000-000002380000}"/>
    <cellStyle name="Normal 3 3 9 2 2 3" xfId="21698" xr:uid="{00000000-0005-0000-0000-000003380000}"/>
    <cellStyle name="Normal 3 3 9 2 3" xfId="6509" xr:uid="{00000000-0005-0000-0000-000004380000}"/>
    <cellStyle name="Normal 3 3 9 2 3 2" xfId="3425" xr:uid="{00000000-0005-0000-0000-000005380000}"/>
    <cellStyle name="Normal 3 3 9 2 4" xfId="6516" xr:uid="{00000000-0005-0000-0000-000006380000}"/>
    <cellStyle name="Normal 3 3 9 3" xfId="24565" xr:uid="{00000000-0005-0000-0000-000007380000}"/>
    <cellStyle name="Normal 3 3 9 3 2" xfId="24568" xr:uid="{00000000-0005-0000-0000-000008380000}"/>
    <cellStyle name="Normal 3 3 9 3 2 2" xfId="22704" xr:uid="{00000000-0005-0000-0000-000009380000}"/>
    <cellStyle name="Normal 3 3 9 3 3" xfId="25308" xr:uid="{00000000-0005-0000-0000-00000A380000}"/>
    <cellStyle name="Normal 3 3 9 4" xfId="5904" xr:uid="{00000000-0005-0000-0000-00000B380000}"/>
    <cellStyle name="Normal 3 3 9 4 2" xfId="4120" xr:uid="{00000000-0005-0000-0000-00000C380000}"/>
    <cellStyle name="Normal 3 3 9 4 2 2" xfId="694" xr:uid="{00000000-0005-0000-0000-00000D380000}"/>
    <cellStyle name="Normal 3 3 9 4 3" xfId="4145" xr:uid="{00000000-0005-0000-0000-00000E380000}"/>
    <cellStyle name="Normal 3 3 9 5" xfId="24570" xr:uid="{00000000-0005-0000-0000-00000F380000}"/>
    <cellStyle name="Normal 3 3 9 5 2" xfId="4260" xr:uid="{00000000-0005-0000-0000-000010380000}"/>
    <cellStyle name="Normal 3 3 9 6" xfId="7324" xr:uid="{00000000-0005-0000-0000-000011380000}"/>
    <cellStyle name="Normal 3 3 9 6 2" xfId="649" xr:uid="{00000000-0005-0000-0000-000012380000}"/>
    <cellStyle name="Normal 3 3 9 7" xfId="19472" xr:uid="{00000000-0005-0000-0000-000013380000}"/>
    <cellStyle name="Normal 3 4" xfId="398" xr:uid="{00000000-0005-0000-0000-000014380000}"/>
    <cellStyle name="Normal 3 4 10" xfId="6505" xr:uid="{00000000-0005-0000-0000-000015380000}"/>
    <cellStyle name="Normal 3 4 10 2" xfId="3421" xr:uid="{00000000-0005-0000-0000-000016380000}"/>
    <cellStyle name="Normal 3 4 10 2 2" xfId="25311" xr:uid="{00000000-0005-0000-0000-000017380000}"/>
    <cellStyle name="Normal 3 4 10 3" xfId="21729" xr:uid="{00000000-0005-0000-0000-000018380000}"/>
    <cellStyle name="Normal 3 4 11" xfId="6515" xr:uid="{00000000-0005-0000-0000-000019380000}"/>
    <cellStyle name="Normal 3 4 11 2" xfId="3545" xr:uid="{00000000-0005-0000-0000-00001A380000}"/>
    <cellStyle name="Normal 3 4 12" xfId="6520" xr:uid="{00000000-0005-0000-0000-00001B380000}"/>
    <cellStyle name="Normal 3 4 12 2" xfId="5531" xr:uid="{00000000-0005-0000-0000-00001C380000}"/>
    <cellStyle name="Normal 3 4 13" xfId="6530" xr:uid="{00000000-0005-0000-0000-00001D380000}"/>
    <cellStyle name="Normal 3 4 13 2" xfId="25313" xr:uid="{00000000-0005-0000-0000-00001E380000}"/>
    <cellStyle name="Normal 3 4 14" xfId="6533" xr:uid="{00000000-0005-0000-0000-00001F380000}"/>
    <cellStyle name="Normal 3 4 15" xfId="25316" xr:uid="{00000000-0005-0000-0000-000020380000}"/>
    <cellStyle name="Normal 3 4 2" xfId="6536" xr:uid="{00000000-0005-0000-0000-000021380000}"/>
    <cellStyle name="Normal 3 4 2 10" xfId="5085" xr:uid="{00000000-0005-0000-0000-000022380000}"/>
    <cellStyle name="Normal 3 4 2 10 2" xfId="12217" xr:uid="{00000000-0005-0000-0000-000023380000}"/>
    <cellStyle name="Normal 3 4 2 11" xfId="12281" xr:uid="{00000000-0005-0000-0000-000024380000}"/>
    <cellStyle name="Normal 3 4 2 11 2" xfId="12287" xr:uid="{00000000-0005-0000-0000-000025380000}"/>
    <cellStyle name="Normal 3 4 2 12" xfId="10427" xr:uid="{00000000-0005-0000-0000-000026380000}"/>
    <cellStyle name="Normal 3 4 2 12 2" xfId="9508" xr:uid="{00000000-0005-0000-0000-000027380000}"/>
    <cellStyle name="Normal 3 4 2 13" xfId="1581" xr:uid="{00000000-0005-0000-0000-000028380000}"/>
    <cellStyle name="Normal 3 4 2 14" xfId="5360" xr:uid="{00000000-0005-0000-0000-000029380000}"/>
    <cellStyle name="Normal 3 4 2 2" xfId="6540" xr:uid="{00000000-0005-0000-0000-00002A380000}"/>
    <cellStyle name="Normal 3 4 2 2 10" xfId="1755" xr:uid="{00000000-0005-0000-0000-00002B380000}"/>
    <cellStyle name="Normal 3 4 2 2 2" xfId="5674" xr:uid="{00000000-0005-0000-0000-00002C380000}"/>
    <cellStyle name="Normal 3 4 2 2 2 2" xfId="927" xr:uid="{00000000-0005-0000-0000-00002D380000}"/>
    <cellStyle name="Normal 3 4 2 2 2 2 2" xfId="944" xr:uid="{00000000-0005-0000-0000-00002E380000}"/>
    <cellStyle name="Normal 3 4 2 2 2 2 2 2" xfId="6549" xr:uid="{00000000-0005-0000-0000-00002F380000}"/>
    <cellStyle name="Normal 3 4 2 2 2 2 2 2 2" xfId="6553" xr:uid="{00000000-0005-0000-0000-000030380000}"/>
    <cellStyle name="Normal 3 4 2 2 2 2 2 2 2 2" xfId="18084" xr:uid="{00000000-0005-0000-0000-000031380000}"/>
    <cellStyle name="Normal 3 4 2 2 2 2 2 2 3" xfId="25317" xr:uid="{00000000-0005-0000-0000-000032380000}"/>
    <cellStyle name="Normal 3 4 2 2 2 2 2 3" xfId="6560" xr:uid="{00000000-0005-0000-0000-000033380000}"/>
    <cellStyle name="Normal 3 4 2 2 2 2 2 3 2" xfId="22364" xr:uid="{00000000-0005-0000-0000-000034380000}"/>
    <cellStyle name="Normal 3 4 2 2 2 2 2 4" xfId="25322" xr:uid="{00000000-0005-0000-0000-000035380000}"/>
    <cellStyle name="Normal 3 4 2 2 2 2 3" xfId="6563" xr:uid="{00000000-0005-0000-0000-000036380000}"/>
    <cellStyle name="Normal 3 4 2 2 2 2 3 2" xfId="6565" xr:uid="{00000000-0005-0000-0000-000037380000}"/>
    <cellStyle name="Normal 3 4 2 2 2 2 3 2 2" xfId="25325" xr:uid="{00000000-0005-0000-0000-000038380000}"/>
    <cellStyle name="Normal 3 4 2 2 2 2 3 3" xfId="25328" xr:uid="{00000000-0005-0000-0000-000039380000}"/>
    <cellStyle name="Normal 3 4 2 2 2 2 4" xfId="6573" xr:uid="{00000000-0005-0000-0000-00003A380000}"/>
    <cellStyle name="Normal 3 4 2 2 2 2 4 2" xfId="25330" xr:uid="{00000000-0005-0000-0000-00003B380000}"/>
    <cellStyle name="Normal 3 4 2 2 2 2 4 2 2" xfId="25331" xr:uid="{00000000-0005-0000-0000-00003C380000}"/>
    <cellStyle name="Normal 3 4 2 2 2 2 4 3" xfId="20209" xr:uid="{00000000-0005-0000-0000-00003D380000}"/>
    <cellStyle name="Normal 3 4 2 2 2 2 5" xfId="25334" xr:uid="{00000000-0005-0000-0000-00003E380000}"/>
    <cellStyle name="Normal 3 4 2 2 2 2 5 2" xfId="25335" xr:uid="{00000000-0005-0000-0000-00003F380000}"/>
    <cellStyle name="Normal 3 4 2 2 2 2 6" xfId="25336" xr:uid="{00000000-0005-0000-0000-000040380000}"/>
    <cellStyle name="Normal 3 4 2 2 2 2 6 2" xfId="25337" xr:uid="{00000000-0005-0000-0000-000041380000}"/>
    <cellStyle name="Normal 3 4 2 2 2 2 7" xfId="25339" xr:uid="{00000000-0005-0000-0000-000042380000}"/>
    <cellStyle name="Normal 3 4 2 2 2 3" xfId="957" xr:uid="{00000000-0005-0000-0000-000043380000}"/>
    <cellStyle name="Normal 3 4 2 2 2 3 2" xfId="6582" xr:uid="{00000000-0005-0000-0000-000044380000}"/>
    <cellStyle name="Normal 3 4 2 2 2 3 2 2" xfId="6584" xr:uid="{00000000-0005-0000-0000-000045380000}"/>
    <cellStyle name="Normal 3 4 2 2 2 3 2 2 2" xfId="25340" xr:uid="{00000000-0005-0000-0000-000046380000}"/>
    <cellStyle name="Normal 3 4 2 2 2 3 2 3" xfId="23808" xr:uid="{00000000-0005-0000-0000-000047380000}"/>
    <cellStyle name="Normal 3 4 2 2 2 3 3" xfId="6591" xr:uid="{00000000-0005-0000-0000-000048380000}"/>
    <cellStyle name="Normal 3 4 2 2 2 3 3 2" xfId="25341" xr:uid="{00000000-0005-0000-0000-000049380000}"/>
    <cellStyle name="Normal 3 4 2 2 2 3 4" xfId="22300" xr:uid="{00000000-0005-0000-0000-00004A380000}"/>
    <cellStyle name="Normal 3 4 2 2 2 4" xfId="6601" xr:uid="{00000000-0005-0000-0000-00004B380000}"/>
    <cellStyle name="Normal 3 4 2 2 2 4 2" xfId="6607" xr:uid="{00000000-0005-0000-0000-00004C380000}"/>
    <cellStyle name="Normal 3 4 2 2 2 4 2 2" xfId="3353" xr:uid="{00000000-0005-0000-0000-00004D380000}"/>
    <cellStyle name="Normal 3 4 2 2 2 4 3" xfId="6611" xr:uid="{00000000-0005-0000-0000-00004E380000}"/>
    <cellStyle name="Normal 3 4 2 2 2 5" xfId="6616" xr:uid="{00000000-0005-0000-0000-00004F380000}"/>
    <cellStyle name="Normal 3 4 2 2 2 5 2" xfId="6623" xr:uid="{00000000-0005-0000-0000-000050380000}"/>
    <cellStyle name="Normal 3 4 2 2 2 5 2 2" xfId="25343" xr:uid="{00000000-0005-0000-0000-000051380000}"/>
    <cellStyle name="Normal 3 4 2 2 2 5 3" xfId="25347" xr:uid="{00000000-0005-0000-0000-000052380000}"/>
    <cellStyle name="Normal 3 4 2 2 2 6" xfId="6624" xr:uid="{00000000-0005-0000-0000-000053380000}"/>
    <cellStyle name="Normal 3 4 2 2 2 6 2" xfId="6638" xr:uid="{00000000-0005-0000-0000-000054380000}"/>
    <cellStyle name="Normal 3 4 2 2 2 7" xfId="6292" xr:uid="{00000000-0005-0000-0000-000055380000}"/>
    <cellStyle name="Normal 3 4 2 2 2 7 2" xfId="6016" xr:uid="{00000000-0005-0000-0000-000056380000}"/>
    <cellStyle name="Normal 3 4 2 2 2 8" xfId="6301" xr:uid="{00000000-0005-0000-0000-000057380000}"/>
    <cellStyle name="Normal 3 4 2 2 2 9" xfId="25350" xr:uid="{00000000-0005-0000-0000-000058380000}"/>
    <cellStyle name="Normal 3 4 2 2 3" xfId="5691" xr:uid="{00000000-0005-0000-0000-000059380000}"/>
    <cellStyle name="Normal 3 4 2 2 3 2" xfId="1009" xr:uid="{00000000-0005-0000-0000-00005A380000}"/>
    <cellStyle name="Normal 3 4 2 2 3 2 2" xfId="5453" xr:uid="{00000000-0005-0000-0000-00005B380000}"/>
    <cellStyle name="Normal 3 4 2 2 3 2 2 2" xfId="1302" xr:uid="{00000000-0005-0000-0000-00005C380000}"/>
    <cellStyle name="Normal 3 4 2 2 3 2 2 2 2" xfId="13745" xr:uid="{00000000-0005-0000-0000-00005D380000}"/>
    <cellStyle name="Normal 3 4 2 2 3 2 2 3" xfId="13750" xr:uid="{00000000-0005-0000-0000-00005E380000}"/>
    <cellStyle name="Normal 3 4 2 2 3 2 3" xfId="6642" xr:uid="{00000000-0005-0000-0000-00005F380000}"/>
    <cellStyle name="Normal 3 4 2 2 3 2 3 2" xfId="13753" xr:uid="{00000000-0005-0000-0000-000060380000}"/>
    <cellStyle name="Normal 3 4 2 2 3 2 4" xfId="13760" xr:uid="{00000000-0005-0000-0000-000061380000}"/>
    <cellStyle name="Normal 3 4 2 2 3 3" xfId="5709" xr:uid="{00000000-0005-0000-0000-000062380000}"/>
    <cellStyle name="Normal 3 4 2 2 3 3 2" xfId="6650" xr:uid="{00000000-0005-0000-0000-000063380000}"/>
    <cellStyle name="Normal 3 4 2 2 3 3 2 2" xfId="13762" xr:uid="{00000000-0005-0000-0000-000064380000}"/>
    <cellStyle name="Normal 3 4 2 2 3 3 3" xfId="13764" xr:uid="{00000000-0005-0000-0000-000065380000}"/>
    <cellStyle name="Normal 3 4 2 2 3 4" xfId="3461" xr:uid="{00000000-0005-0000-0000-000066380000}"/>
    <cellStyle name="Normal 3 4 2 2 3 4 2" xfId="7928" xr:uid="{00000000-0005-0000-0000-000067380000}"/>
    <cellStyle name="Normal 3 4 2 2 3 4 2 2" xfId="13766" xr:uid="{00000000-0005-0000-0000-000068380000}"/>
    <cellStyle name="Normal 3 4 2 2 3 4 3" xfId="13769" xr:uid="{00000000-0005-0000-0000-000069380000}"/>
    <cellStyle name="Normal 3 4 2 2 3 5" xfId="7931" xr:uid="{00000000-0005-0000-0000-00006A380000}"/>
    <cellStyle name="Normal 3 4 2 2 3 5 2" xfId="13774" xr:uid="{00000000-0005-0000-0000-00006B380000}"/>
    <cellStyle name="Normal 3 4 2 2 3 6" xfId="8720" xr:uid="{00000000-0005-0000-0000-00006C380000}"/>
    <cellStyle name="Normal 3 4 2 2 3 6 2" xfId="8732" xr:uid="{00000000-0005-0000-0000-00006D380000}"/>
    <cellStyle name="Normal 3 4 2 2 3 7" xfId="6315" xr:uid="{00000000-0005-0000-0000-00006E380000}"/>
    <cellStyle name="Normal 3 4 2 2 4" xfId="5727" xr:uid="{00000000-0005-0000-0000-00006F380000}"/>
    <cellStyle name="Normal 3 4 2 2 4 2" xfId="1068" xr:uid="{00000000-0005-0000-0000-000070380000}"/>
    <cellStyle name="Normal 3 4 2 2 4 2 2" xfId="6657" xr:uid="{00000000-0005-0000-0000-000071380000}"/>
    <cellStyle name="Normal 3 4 2 2 4 2 2 2" xfId="12970" xr:uid="{00000000-0005-0000-0000-000072380000}"/>
    <cellStyle name="Normal 3 4 2 2 4 2 3" xfId="25354" xr:uid="{00000000-0005-0000-0000-000073380000}"/>
    <cellStyle name="Normal 3 4 2 2 4 3" xfId="6668" xr:uid="{00000000-0005-0000-0000-000074380000}"/>
    <cellStyle name="Normal 3 4 2 2 4 3 2" xfId="25356" xr:uid="{00000000-0005-0000-0000-000075380000}"/>
    <cellStyle name="Normal 3 4 2 2 4 4" xfId="7942" xr:uid="{00000000-0005-0000-0000-000076380000}"/>
    <cellStyle name="Normal 3 4 2 2 5" xfId="5743" xr:uid="{00000000-0005-0000-0000-000077380000}"/>
    <cellStyle name="Normal 3 4 2 2 5 2" xfId="5755" xr:uid="{00000000-0005-0000-0000-000078380000}"/>
    <cellStyle name="Normal 3 4 2 2 5 2 2" xfId="5957" xr:uid="{00000000-0005-0000-0000-000079380000}"/>
    <cellStyle name="Normal 3 4 2 2 5 3" xfId="6673" xr:uid="{00000000-0005-0000-0000-00007A380000}"/>
    <cellStyle name="Normal 3 4 2 2 6" xfId="3726" xr:uid="{00000000-0005-0000-0000-00007B380000}"/>
    <cellStyle name="Normal 3 4 2 2 6 2" xfId="3746" xr:uid="{00000000-0005-0000-0000-00007C380000}"/>
    <cellStyle name="Normal 3 4 2 2 6 2 2" xfId="25357" xr:uid="{00000000-0005-0000-0000-00007D380000}"/>
    <cellStyle name="Normal 3 4 2 2 6 3" xfId="3771" xr:uid="{00000000-0005-0000-0000-00007E380000}"/>
    <cellStyle name="Normal 3 4 2 2 7" xfId="2303" xr:uid="{00000000-0005-0000-0000-00007F380000}"/>
    <cellStyle name="Normal 3 4 2 2 7 2" xfId="2336" xr:uid="{00000000-0005-0000-0000-000080380000}"/>
    <cellStyle name="Normal 3 4 2 2 8" xfId="2650" xr:uid="{00000000-0005-0000-0000-000081380000}"/>
    <cellStyle name="Normal 3 4 2 2 8 2" xfId="19522" xr:uid="{00000000-0005-0000-0000-000082380000}"/>
    <cellStyle name="Normal 3 4 2 2 9" xfId="2772" xr:uid="{00000000-0005-0000-0000-000083380000}"/>
    <cellStyle name="Normal 3 4 2 3" xfId="6675" xr:uid="{00000000-0005-0000-0000-000084380000}"/>
    <cellStyle name="Normal 3 4 2 3 2" xfId="5849" xr:uid="{00000000-0005-0000-0000-000085380000}"/>
    <cellStyle name="Normal 3 4 2 3 2 2" xfId="1245" xr:uid="{00000000-0005-0000-0000-000086380000}"/>
    <cellStyle name="Normal 3 4 2 3 2 2 2" xfId="5867" xr:uid="{00000000-0005-0000-0000-000087380000}"/>
    <cellStyle name="Normal 3 4 2 3 2 2 2 2" xfId="6680" xr:uid="{00000000-0005-0000-0000-000088380000}"/>
    <cellStyle name="Normal 3 4 2 3 2 2 2 2 2" xfId="21160" xr:uid="{00000000-0005-0000-0000-000089380000}"/>
    <cellStyle name="Normal 3 4 2 3 2 2 2 3" xfId="6362" xr:uid="{00000000-0005-0000-0000-00008A380000}"/>
    <cellStyle name="Normal 3 4 2 3 2 2 3" xfId="6699" xr:uid="{00000000-0005-0000-0000-00008B380000}"/>
    <cellStyle name="Normal 3 4 2 3 2 2 3 2" xfId="21203" xr:uid="{00000000-0005-0000-0000-00008C380000}"/>
    <cellStyle name="Normal 3 4 2 3 2 2 4" xfId="14525" xr:uid="{00000000-0005-0000-0000-00008D380000}"/>
    <cellStyle name="Normal 3 4 2 3 2 3" xfId="4199" xr:uid="{00000000-0005-0000-0000-00008E380000}"/>
    <cellStyle name="Normal 3 4 2 3 2 3 2" xfId="6718" xr:uid="{00000000-0005-0000-0000-00008F380000}"/>
    <cellStyle name="Normal 3 4 2 3 2 3 2 2" xfId="25358" xr:uid="{00000000-0005-0000-0000-000090380000}"/>
    <cellStyle name="Normal 3 4 2 3 2 3 3" xfId="25359" xr:uid="{00000000-0005-0000-0000-000091380000}"/>
    <cellStyle name="Normal 3 4 2 3 2 4" xfId="6735" xr:uid="{00000000-0005-0000-0000-000092380000}"/>
    <cellStyle name="Normal 3 4 2 3 2 4 2" xfId="7989" xr:uid="{00000000-0005-0000-0000-000093380000}"/>
    <cellStyle name="Normal 3 4 2 3 2 4 2 2" xfId="25360" xr:uid="{00000000-0005-0000-0000-000094380000}"/>
    <cellStyle name="Normal 3 4 2 3 2 4 3" xfId="25361" xr:uid="{00000000-0005-0000-0000-000095380000}"/>
    <cellStyle name="Normal 3 4 2 3 2 5" xfId="5636" xr:uid="{00000000-0005-0000-0000-000096380000}"/>
    <cellStyle name="Normal 3 4 2 3 2 5 2" xfId="24253" xr:uid="{00000000-0005-0000-0000-000097380000}"/>
    <cellStyle name="Normal 3 4 2 3 2 6" xfId="6688" xr:uid="{00000000-0005-0000-0000-000098380000}"/>
    <cellStyle name="Normal 3 4 2 3 2 6 2" xfId="4485" xr:uid="{00000000-0005-0000-0000-000099380000}"/>
    <cellStyle name="Normal 3 4 2 3 2 7" xfId="6374" xr:uid="{00000000-0005-0000-0000-00009A380000}"/>
    <cellStyle name="Normal 3 4 2 3 3" xfId="5872" xr:uid="{00000000-0005-0000-0000-00009B380000}"/>
    <cellStyle name="Normal 3 4 2 3 3 2" xfId="5900" xr:uid="{00000000-0005-0000-0000-00009C380000}"/>
    <cellStyle name="Normal 3 4 2 3 3 2 2" xfId="5909" xr:uid="{00000000-0005-0000-0000-00009D380000}"/>
    <cellStyle name="Normal 3 4 2 3 3 2 2 2" xfId="25362" xr:uid="{00000000-0005-0000-0000-00009E380000}"/>
    <cellStyle name="Normal 3 4 2 3 3 2 3" xfId="25363" xr:uid="{00000000-0005-0000-0000-00009F380000}"/>
    <cellStyle name="Normal 3 4 2 3 3 3" xfId="4220" xr:uid="{00000000-0005-0000-0000-0000A0380000}"/>
    <cellStyle name="Normal 3 4 2 3 3 3 2" xfId="25364" xr:uid="{00000000-0005-0000-0000-0000A1380000}"/>
    <cellStyle name="Normal 3 4 2 3 3 4" xfId="7994" xr:uid="{00000000-0005-0000-0000-0000A2380000}"/>
    <cellStyle name="Normal 3 4 2 3 4" xfId="2522" xr:uid="{00000000-0005-0000-0000-0000A3380000}"/>
    <cellStyle name="Normal 3 4 2 3 4 2" xfId="2550" xr:uid="{00000000-0005-0000-0000-0000A4380000}"/>
    <cellStyle name="Normal 3 4 2 3 4 2 2" xfId="6740" xr:uid="{00000000-0005-0000-0000-0000A5380000}"/>
    <cellStyle name="Normal 3 4 2 3 4 3" xfId="6753" xr:uid="{00000000-0005-0000-0000-0000A6380000}"/>
    <cellStyle name="Normal 3 4 2 3 5" xfId="2568" xr:uid="{00000000-0005-0000-0000-0000A7380000}"/>
    <cellStyle name="Normal 3 4 2 3 5 2" xfId="5926" xr:uid="{00000000-0005-0000-0000-0000A8380000}"/>
    <cellStyle name="Normal 3 4 2 3 5 2 2" xfId="22941" xr:uid="{00000000-0005-0000-0000-0000A9380000}"/>
    <cellStyle name="Normal 3 4 2 3 5 3" xfId="25365" xr:uid="{00000000-0005-0000-0000-0000AA380000}"/>
    <cellStyle name="Normal 3 4 2 3 6" xfId="3797" xr:uid="{00000000-0005-0000-0000-0000AB380000}"/>
    <cellStyle name="Normal 3 4 2 3 6 2" xfId="3819" xr:uid="{00000000-0005-0000-0000-0000AC380000}"/>
    <cellStyle name="Normal 3 4 2 3 7" xfId="2890" xr:uid="{00000000-0005-0000-0000-0000AD380000}"/>
    <cellStyle name="Normal 3 4 2 3 7 2" xfId="19591" xr:uid="{00000000-0005-0000-0000-0000AE380000}"/>
    <cellStyle name="Normal 3 4 2 3 8" xfId="25366" xr:uid="{00000000-0005-0000-0000-0000AF380000}"/>
    <cellStyle name="Normal 3 4 2 3 9" xfId="25367" xr:uid="{00000000-0005-0000-0000-0000B0380000}"/>
    <cellStyle name="Normal 3 4 2 4" xfId="6756" xr:uid="{00000000-0005-0000-0000-0000B1380000}"/>
    <cellStyle name="Normal 3 4 2 4 2" xfId="6045" xr:uid="{00000000-0005-0000-0000-0000B2380000}"/>
    <cellStyle name="Normal 3 4 2 4 2 2" xfId="6062" xr:uid="{00000000-0005-0000-0000-0000B3380000}"/>
    <cellStyle name="Normal 3 4 2 4 2 2 2" xfId="6071" xr:uid="{00000000-0005-0000-0000-0000B4380000}"/>
    <cellStyle name="Normal 3 4 2 4 2 2 2 2" xfId="25368" xr:uid="{00000000-0005-0000-0000-0000B5380000}"/>
    <cellStyle name="Normal 3 4 2 4 2 2 2 2 2" xfId="14926" xr:uid="{00000000-0005-0000-0000-0000B6380000}"/>
    <cellStyle name="Normal 3 4 2 4 2 2 2 3" xfId="25369" xr:uid="{00000000-0005-0000-0000-0000B7380000}"/>
    <cellStyle name="Normal 3 4 2 4 2 2 3" xfId="25370" xr:uid="{00000000-0005-0000-0000-0000B8380000}"/>
    <cellStyle name="Normal 3 4 2 4 2 2 3 2" xfId="25371" xr:uid="{00000000-0005-0000-0000-0000B9380000}"/>
    <cellStyle name="Normal 3 4 2 4 2 2 4" xfId="25372" xr:uid="{00000000-0005-0000-0000-0000BA380000}"/>
    <cellStyle name="Normal 3 4 2 4 2 3" xfId="3886" xr:uid="{00000000-0005-0000-0000-0000BB380000}"/>
    <cellStyle name="Normal 3 4 2 4 2 3 2" xfId="25375" xr:uid="{00000000-0005-0000-0000-0000BC380000}"/>
    <cellStyle name="Normal 3 4 2 4 2 3 2 2" xfId="25376" xr:uid="{00000000-0005-0000-0000-0000BD380000}"/>
    <cellStyle name="Normal 3 4 2 4 2 3 3" xfId="23401" xr:uid="{00000000-0005-0000-0000-0000BE380000}"/>
    <cellStyle name="Normal 3 4 2 4 2 4" xfId="8000" xr:uid="{00000000-0005-0000-0000-0000BF380000}"/>
    <cellStyle name="Normal 3 4 2 4 2 4 2" xfId="25377" xr:uid="{00000000-0005-0000-0000-0000C0380000}"/>
    <cellStyle name="Normal 3 4 2 4 2 4 2 2" xfId="25378" xr:uid="{00000000-0005-0000-0000-0000C1380000}"/>
    <cellStyle name="Normal 3 4 2 4 2 4 3" xfId="23404" xr:uid="{00000000-0005-0000-0000-0000C2380000}"/>
    <cellStyle name="Normal 3 4 2 4 2 5" xfId="24281" xr:uid="{00000000-0005-0000-0000-0000C3380000}"/>
    <cellStyle name="Normal 3 4 2 4 2 5 2" xfId="24284" xr:uid="{00000000-0005-0000-0000-0000C4380000}"/>
    <cellStyle name="Normal 3 4 2 4 2 6" xfId="8768" xr:uid="{00000000-0005-0000-0000-0000C5380000}"/>
    <cellStyle name="Normal 3 4 2 4 2 6 2" xfId="25379" xr:uid="{00000000-0005-0000-0000-0000C6380000}"/>
    <cellStyle name="Normal 3 4 2 4 2 7" xfId="25382" xr:uid="{00000000-0005-0000-0000-0000C7380000}"/>
    <cellStyle name="Normal 3 4 2 4 3" xfId="2266" xr:uid="{00000000-0005-0000-0000-0000C8380000}"/>
    <cellStyle name="Normal 3 4 2 4 3 2" xfId="6077" xr:uid="{00000000-0005-0000-0000-0000C9380000}"/>
    <cellStyle name="Normal 3 4 2 4 3 2 2" xfId="21867" xr:uid="{00000000-0005-0000-0000-0000CA380000}"/>
    <cellStyle name="Normal 3 4 2 4 3 2 2 2" xfId="21872" xr:uid="{00000000-0005-0000-0000-0000CB380000}"/>
    <cellStyle name="Normal 3 4 2 4 3 2 3" xfId="21879" xr:uid="{00000000-0005-0000-0000-0000CC380000}"/>
    <cellStyle name="Normal 3 4 2 4 3 3" xfId="25385" xr:uid="{00000000-0005-0000-0000-0000CD380000}"/>
    <cellStyle name="Normal 3 4 2 4 3 3 2" xfId="21944" xr:uid="{00000000-0005-0000-0000-0000CE380000}"/>
    <cellStyle name="Normal 3 4 2 4 3 4" xfId="25387" xr:uid="{00000000-0005-0000-0000-0000CF380000}"/>
    <cellStyle name="Normal 3 4 2 4 4" xfId="2599" xr:uid="{00000000-0005-0000-0000-0000D0380000}"/>
    <cellStyle name="Normal 3 4 2 4 4 2" xfId="14611" xr:uid="{00000000-0005-0000-0000-0000D1380000}"/>
    <cellStyle name="Normal 3 4 2 4 4 2 2" xfId="22207" xr:uid="{00000000-0005-0000-0000-0000D2380000}"/>
    <cellStyle name="Normal 3 4 2 4 4 3" xfId="25388" xr:uid="{00000000-0005-0000-0000-0000D3380000}"/>
    <cellStyle name="Normal 3 4 2 4 5" xfId="4648" xr:uid="{00000000-0005-0000-0000-0000D4380000}"/>
    <cellStyle name="Normal 3 4 2 4 5 2" xfId="25389" xr:uid="{00000000-0005-0000-0000-0000D5380000}"/>
    <cellStyle name="Normal 3 4 2 4 5 2 2" xfId="22349" xr:uid="{00000000-0005-0000-0000-0000D6380000}"/>
    <cellStyle name="Normal 3 4 2 4 5 3" xfId="25390" xr:uid="{00000000-0005-0000-0000-0000D7380000}"/>
    <cellStyle name="Normal 3 4 2 4 6" xfId="25391" xr:uid="{00000000-0005-0000-0000-0000D8380000}"/>
    <cellStyle name="Normal 3 4 2 4 6 2" xfId="25392" xr:uid="{00000000-0005-0000-0000-0000D9380000}"/>
    <cellStyle name="Normal 3 4 2 4 7" xfId="6084" xr:uid="{00000000-0005-0000-0000-0000DA380000}"/>
    <cellStyle name="Normal 3 4 2 4 7 2" xfId="3171" xr:uid="{00000000-0005-0000-0000-0000DB380000}"/>
    <cellStyle name="Normal 3 4 2 4 8" xfId="25393" xr:uid="{00000000-0005-0000-0000-0000DC380000}"/>
    <cellStyle name="Normal 3 4 2 5" xfId="6761" xr:uid="{00000000-0005-0000-0000-0000DD380000}"/>
    <cellStyle name="Normal 3 4 2 5 2" xfId="6129" xr:uid="{00000000-0005-0000-0000-0000DE380000}"/>
    <cellStyle name="Normal 3 4 2 5 2 2" xfId="6139" xr:uid="{00000000-0005-0000-0000-0000DF380000}"/>
    <cellStyle name="Normal 3 4 2 5 2 2 2" xfId="24535" xr:uid="{00000000-0005-0000-0000-0000E0380000}"/>
    <cellStyle name="Normal 3 4 2 5 2 2 2 2" xfId="18081" xr:uid="{00000000-0005-0000-0000-0000E1380000}"/>
    <cellStyle name="Normal 3 4 2 5 2 2 2 2 2" xfId="25394" xr:uid="{00000000-0005-0000-0000-0000E2380000}"/>
    <cellStyle name="Normal 3 4 2 5 2 2 2 3" xfId="19451" xr:uid="{00000000-0005-0000-0000-0000E3380000}"/>
    <cellStyle name="Normal 3 4 2 5 2 2 3" xfId="25395" xr:uid="{00000000-0005-0000-0000-0000E4380000}"/>
    <cellStyle name="Normal 3 4 2 5 2 2 3 2" xfId="25396" xr:uid="{00000000-0005-0000-0000-0000E5380000}"/>
    <cellStyle name="Normal 3 4 2 5 2 2 4" xfId="25397" xr:uid="{00000000-0005-0000-0000-0000E6380000}"/>
    <cellStyle name="Normal 3 4 2 5 2 3" xfId="25398" xr:uid="{00000000-0005-0000-0000-0000E7380000}"/>
    <cellStyle name="Normal 3 4 2 5 2 3 2" xfId="25399" xr:uid="{00000000-0005-0000-0000-0000E8380000}"/>
    <cellStyle name="Normal 3 4 2 5 2 3 2 2" xfId="25400" xr:uid="{00000000-0005-0000-0000-0000E9380000}"/>
    <cellStyle name="Normal 3 4 2 5 2 3 3" xfId="23440" xr:uid="{00000000-0005-0000-0000-0000EA380000}"/>
    <cellStyle name="Normal 3 4 2 5 2 4" xfId="8016" xr:uid="{00000000-0005-0000-0000-0000EB380000}"/>
    <cellStyle name="Normal 3 4 2 5 2 4 2" xfId="25401" xr:uid="{00000000-0005-0000-0000-0000EC380000}"/>
    <cellStyle name="Normal 3 4 2 5 2 4 2 2" xfId="25402" xr:uid="{00000000-0005-0000-0000-0000ED380000}"/>
    <cellStyle name="Normal 3 4 2 5 2 4 3" xfId="25403" xr:uid="{00000000-0005-0000-0000-0000EE380000}"/>
    <cellStyle name="Normal 3 4 2 5 2 5" xfId="24291" xr:uid="{00000000-0005-0000-0000-0000EF380000}"/>
    <cellStyle name="Normal 3 4 2 5 2 5 2" xfId="8706" xr:uid="{00000000-0005-0000-0000-0000F0380000}"/>
    <cellStyle name="Normal 3 4 2 5 2 6" xfId="8713" xr:uid="{00000000-0005-0000-0000-0000F1380000}"/>
    <cellStyle name="Normal 3 4 2 5 2 6 2" xfId="25404" xr:uid="{00000000-0005-0000-0000-0000F2380000}"/>
    <cellStyle name="Normal 3 4 2 5 2 7" xfId="25407" xr:uid="{00000000-0005-0000-0000-0000F3380000}"/>
    <cellStyle name="Normal 3 4 2 5 3" xfId="5281" xr:uid="{00000000-0005-0000-0000-0000F4380000}"/>
    <cellStyle name="Normal 3 4 2 5 3 2" xfId="18373" xr:uid="{00000000-0005-0000-0000-0000F5380000}"/>
    <cellStyle name="Normal 3 4 2 5 3 2 2" xfId="18377" xr:uid="{00000000-0005-0000-0000-0000F6380000}"/>
    <cellStyle name="Normal 3 4 2 5 3 2 2 2" xfId="22553" xr:uid="{00000000-0005-0000-0000-0000F7380000}"/>
    <cellStyle name="Normal 3 4 2 5 3 2 3" xfId="22555" xr:uid="{00000000-0005-0000-0000-0000F8380000}"/>
    <cellStyle name="Normal 3 4 2 5 3 3" xfId="18381" xr:uid="{00000000-0005-0000-0000-0000F9380000}"/>
    <cellStyle name="Normal 3 4 2 5 3 3 2" xfId="22575" xr:uid="{00000000-0005-0000-0000-0000FA380000}"/>
    <cellStyle name="Normal 3 4 2 5 3 4" xfId="25413" xr:uid="{00000000-0005-0000-0000-0000FB380000}"/>
    <cellStyle name="Normal 3 4 2 5 4" xfId="25414" xr:uid="{00000000-0005-0000-0000-0000FC380000}"/>
    <cellStyle name="Normal 3 4 2 5 4 2" xfId="18392" xr:uid="{00000000-0005-0000-0000-0000FD380000}"/>
    <cellStyle name="Normal 3 4 2 5 4 2 2" xfId="22618" xr:uid="{00000000-0005-0000-0000-0000FE380000}"/>
    <cellStyle name="Normal 3 4 2 5 4 3" xfId="25420" xr:uid="{00000000-0005-0000-0000-0000FF380000}"/>
    <cellStyle name="Normal 3 4 2 5 5" xfId="25421" xr:uid="{00000000-0005-0000-0000-000000390000}"/>
    <cellStyle name="Normal 3 4 2 5 5 2" xfId="18400" xr:uid="{00000000-0005-0000-0000-000001390000}"/>
    <cellStyle name="Normal 3 4 2 5 5 2 2" xfId="21708" xr:uid="{00000000-0005-0000-0000-000002390000}"/>
    <cellStyle name="Normal 3 4 2 5 5 3" xfId="25423" xr:uid="{00000000-0005-0000-0000-000003390000}"/>
    <cellStyle name="Normal 3 4 2 5 6" xfId="14974" xr:uid="{00000000-0005-0000-0000-000004390000}"/>
    <cellStyle name="Normal 3 4 2 5 6 2" xfId="25425" xr:uid="{00000000-0005-0000-0000-000005390000}"/>
    <cellStyle name="Normal 3 4 2 5 7" xfId="25427" xr:uid="{00000000-0005-0000-0000-000006390000}"/>
    <cellStyle name="Normal 3 4 2 5 7 2" xfId="5595" xr:uid="{00000000-0005-0000-0000-000007390000}"/>
    <cellStyle name="Normal 3 4 2 5 8" xfId="25428" xr:uid="{00000000-0005-0000-0000-000008390000}"/>
    <cellStyle name="Normal 3 4 2 6" xfId="6769" xr:uid="{00000000-0005-0000-0000-000009390000}"/>
    <cellStyle name="Normal 3 4 2 6 2" xfId="6207" xr:uid="{00000000-0005-0000-0000-00000A390000}"/>
    <cellStyle name="Normal 3 4 2 6 2 2" xfId="6775" xr:uid="{00000000-0005-0000-0000-00000B390000}"/>
    <cellStyle name="Normal 3 4 2 6 2 2 2" xfId="24586" xr:uid="{00000000-0005-0000-0000-00000C390000}"/>
    <cellStyle name="Normal 3 4 2 6 2 2 2 2" xfId="25429" xr:uid="{00000000-0005-0000-0000-00000D390000}"/>
    <cellStyle name="Normal 3 4 2 6 2 2 3" xfId="11113" xr:uid="{00000000-0005-0000-0000-00000E390000}"/>
    <cellStyle name="Normal 3 4 2 6 2 3" xfId="25430" xr:uid="{00000000-0005-0000-0000-00000F390000}"/>
    <cellStyle name="Normal 3 4 2 6 2 3 2" xfId="25431" xr:uid="{00000000-0005-0000-0000-000010390000}"/>
    <cellStyle name="Normal 3 4 2 6 2 4" xfId="25432" xr:uid="{00000000-0005-0000-0000-000011390000}"/>
    <cellStyle name="Normal 3 4 2 6 3" xfId="6777" xr:uid="{00000000-0005-0000-0000-000012390000}"/>
    <cellStyle name="Normal 3 4 2 6 3 2" xfId="18421" xr:uid="{00000000-0005-0000-0000-000013390000}"/>
    <cellStyle name="Normal 3 4 2 6 3 2 2" xfId="25433" xr:uid="{00000000-0005-0000-0000-000014390000}"/>
    <cellStyle name="Normal 3 4 2 6 3 3" xfId="25436" xr:uid="{00000000-0005-0000-0000-000015390000}"/>
    <cellStyle name="Normal 3 4 2 6 4" xfId="25437" xr:uid="{00000000-0005-0000-0000-000016390000}"/>
    <cellStyle name="Normal 3 4 2 6 4 2" xfId="25438" xr:uid="{00000000-0005-0000-0000-000017390000}"/>
    <cellStyle name="Normal 3 4 2 6 4 2 2" xfId="25439" xr:uid="{00000000-0005-0000-0000-000018390000}"/>
    <cellStyle name="Normal 3 4 2 6 4 3" xfId="25440" xr:uid="{00000000-0005-0000-0000-000019390000}"/>
    <cellStyle name="Normal 3 4 2 6 5" xfId="25441" xr:uid="{00000000-0005-0000-0000-00001A390000}"/>
    <cellStyle name="Normal 3 4 2 6 5 2" xfId="25444" xr:uid="{00000000-0005-0000-0000-00001B390000}"/>
    <cellStyle name="Normal 3 4 2 6 6" xfId="25445" xr:uid="{00000000-0005-0000-0000-00001C390000}"/>
    <cellStyle name="Normal 3 4 2 6 6 2" xfId="25449" xr:uid="{00000000-0005-0000-0000-00001D390000}"/>
    <cellStyle name="Normal 3 4 2 6 7" xfId="25451" xr:uid="{00000000-0005-0000-0000-00001E390000}"/>
    <cellStyle name="Normal 3 4 2 7" xfId="1018" xr:uid="{00000000-0005-0000-0000-00001F390000}"/>
    <cellStyle name="Normal 3 4 2 7 2" xfId="1051" xr:uid="{00000000-0005-0000-0000-000020390000}"/>
    <cellStyle name="Normal 3 4 2 7 2 2" xfId="25454" xr:uid="{00000000-0005-0000-0000-000021390000}"/>
    <cellStyle name="Normal 3 4 2 7 2 2 2" xfId="22840" xr:uid="{00000000-0005-0000-0000-000022390000}"/>
    <cellStyle name="Normal 3 4 2 7 2 3" xfId="25456" xr:uid="{00000000-0005-0000-0000-000023390000}"/>
    <cellStyle name="Normal 3 4 2 7 3" xfId="25458" xr:uid="{00000000-0005-0000-0000-000024390000}"/>
    <cellStyle name="Normal 3 4 2 7 3 2" xfId="25460" xr:uid="{00000000-0005-0000-0000-000025390000}"/>
    <cellStyle name="Normal 3 4 2 7 4" xfId="25462" xr:uid="{00000000-0005-0000-0000-000026390000}"/>
    <cellStyle name="Normal 3 4 2 8" xfId="1067" xr:uid="{00000000-0005-0000-0000-000027390000}"/>
    <cellStyle name="Normal 3 4 2 8 2" xfId="6656" xr:uid="{00000000-0005-0000-0000-000028390000}"/>
    <cellStyle name="Normal 3 4 2 8 2 2" xfId="12969" xr:uid="{00000000-0005-0000-0000-000029390000}"/>
    <cellStyle name="Normal 3 4 2 8 3" xfId="25353" xr:uid="{00000000-0005-0000-0000-00002A390000}"/>
    <cellStyle name="Normal 3 4 2 9" xfId="6667" xr:uid="{00000000-0005-0000-0000-00002B390000}"/>
    <cellStyle name="Normal 3 4 2 9 2" xfId="25355" xr:uid="{00000000-0005-0000-0000-00002C390000}"/>
    <cellStyle name="Normal 3 4 2 9 2 2" xfId="25463" xr:uid="{00000000-0005-0000-0000-00002D390000}"/>
    <cellStyle name="Normal 3 4 2 9 3" xfId="25464" xr:uid="{00000000-0005-0000-0000-00002E390000}"/>
    <cellStyle name="Normal 3 4 3" xfId="6781" xr:uid="{00000000-0005-0000-0000-00002F390000}"/>
    <cellStyle name="Normal 3 4 3 10" xfId="13439" xr:uid="{00000000-0005-0000-0000-000030390000}"/>
    <cellStyle name="Normal 3 4 3 2" xfId="6790" xr:uid="{00000000-0005-0000-0000-000031390000}"/>
    <cellStyle name="Normal 3 4 3 2 2" xfId="544" xr:uid="{00000000-0005-0000-0000-000032390000}"/>
    <cellStyle name="Normal 3 4 3 2 2 2" xfId="1608" xr:uid="{00000000-0005-0000-0000-000033390000}"/>
    <cellStyle name="Normal 3 4 3 2 2 2 2" xfId="3837" xr:uid="{00000000-0005-0000-0000-000034390000}"/>
    <cellStyle name="Normal 3 4 3 2 2 2 2 2" xfId="415" xr:uid="{00000000-0005-0000-0000-000035390000}"/>
    <cellStyle name="Normal 3 4 3 2 2 2 2 2 2" xfId="13107" xr:uid="{00000000-0005-0000-0000-000036390000}"/>
    <cellStyle name="Normal 3 4 3 2 2 2 2 3" xfId="10603" xr:uid="{00000000-0005-0000-0000-000037390000}"/>
    <cellStyle name="Normal 3 4 3 2 2 2 3" xfId="5385" xr:uid="{00000000-0005-0000-0000-000038390000}"/>
    <cellStyle name="Normal 3 4 3 2 2 2 3 2" xfId="13161" xr:uid="{00000000-0005-0000-0000-000039390000}"/>
    <cellStyle name="Normal 3 4 3 2 2 2 4" xfId="25466" xr:uid="{00000000-0005-0000-0000-00003A390000}"/>
    <cellStyle name="Normal 3 4 3 2 2 3" xfId="5398" xr:uid="{00000000-0005-0000-0000-00003B390000}"/>
    <cellStyle name="Normal 3 4 3 2 2 3 2" xfId="5248" xr:uid="{00000000-0005-0000-0000-00003C390000}"/>
    <cellStyle name="Normal 3 4 3 2 2 3 2 2" xfId="13278" xr:uid="{00000000-0005-0000-0000-00003D390000}"/>
    <cellStyle name="Normal 3 4 3 2 2 3 3" xfId="25468" xr:uid="{00000000-0005-0000-0000-00003E390000}"/>
    <cellStyle name="Normal 3 4 3 2 2 4" xfId="5410" xr:uid="{00000000-0005-0000-0000-00003F390000}"/>
    <cellStyle name="Normal 3 4 3 2 2 4 2" xfId="5422" xr:uid="{00000000-0005-0000-0000-000040390000}"/>
    <cellStyle name="Normal 3 4 3 2 2 4 2 2" xfId="8054" xr:uid="{00000000-0005-0000-0000-000041390000}"/>
    <cellStyle name="Normal 3 4 3 2 2 4 3" xfId="158" xr:uid="{00000000-0005-0000-0000-000042390000}"/>
    <cellStyle name="Normal 3 4 3 2 2 5" xfId="5432" xr:uid="{00000000-0005-0000-0000-000043390000}"/>
    <cellStyle name="Normal 3 4 3 2 2 5 2" xfId="8057" xr:uid="{00000000-0005-0000-0000-000044390000}"/>
    <cellStyle name="Normal 3 4 3 2 2 6" xfId="8061" xr:uid="{00000000-0005-0000-0000-000045390000}"/>
    <cellStyle name="Normal 3 4 3 2 2 6 2" xfId="7849" xr:uid="{00000000-0005-0000-0000-000046390000}"/>
    <cellStyle name="Normal 3 4 3 2 2 7" xfId="7636" xr:uid="{00000000-0005-0000-0000-000047390000}"/>
    <cellStyle name="Normal 3 4 3 2 2 8" xfId="7647" xr:uid="{00000000-0005-0000-0000-000048390000}"/>
    <cellStyle name="Normal 3 4 3 2 3" xfId="655" xr:uid="{00000000-0005-0000-0000-000049390000}"/>
    <cellStyle name="Normal 3 4 3 2 3 2" xfId="5440" xr:uid="{00000000-0005-0000-0000-00004A390000}"/>
    <cellStyle name="Normal 3 4 3 2 3 2 2" xfId="6799" xr:uid="{00000000-0005-0000-0000-00004B390000}"/>
    <cellStyle name="Normal 3 4 3 2 3 2 2 2" xfId="25318" xr:uid="{00000000-0005-0000-0000-00004C390000}"/>
    <cellStyle name="Normal 3 4 3 2 3 2 3" xfId="25470" xr:uid="{00000000-0005-0000-0000-00004D390000}"/>
    <cellStyle name="Normal 3 4 3 2 3 3" xfId="6808" xr:uid="{00000000-0005-0000-0000-00004E390000}"/>
    <cellStyle name="Normal 3 4 3 2 3 3 2" xfId="25471" xr:uid="{00000000-0005-0000-0000-00004F390000}"/>
    <cellStyle name="Normal 3 4 3 2 3 4" xfId="8083" xr:uid="{00000000-0005-0000-0000-000050390000}"/>
    <cellStyle name="Normal 3 4 3 2 4" xfId="729" xr:uid="{00000000-0005-0000-0000-000051390000}"/>
    <cellStyle name="Normal 3 4 3 2 4 2" xfId="6815" xr:uid="{00000000-0005-0000-0000-000052390000}"/>
    <cellStyle name="Normal 3 4 3 2 4 2 2" xfId="1667" xr:uid="{00000000-0005-0000-0000-000053390000}"/>
    <cellStyle name="Normal 3 4 3 2 4 3" xfId="6826" xr:uid="{00000000-0005-0000-0000-000054390000}"/>
    <cellStyle name="Normal 3 4 3 2 5" xfId="811" xr:uid="{00000000-0005-0000-0000-000055390000}"/>
    <cellStyle name="Normal 3 4 3 2 5 2" xfId="6830" xr:uid="{00000000-0005-0000-0000-000056390000}"/>
    <cellStyle name="Normal 3 4 3 2 5 2 2" xfId="2178" xr:uid="{00000000-0005-0000-0000-000057390000}"/>
    <cellStyle name="Normal 3 4 3 2 5 3" xfId="8278" xr:uid="{00000000-0005-0000-0000-000058390000}"/>
    <cellStyle name="Normal 3 4 3 2 6" xfId="836" xr:uid="{00000000-0005-0000-0000-000059390000}"/>
    <cellStyle name="Normal 3 4 3 2 6 2" xfId="4939" xr:uid="{00000000-0005-0000-0000-00005A390000}"/>
    <cellStyle name="Normal 3 4 3 2 7" xfId="1534" xr:uid="{00000000-0005-0000-0000-00005B390000}"/>
    <cellStyle name="Normal 3 4 3 2 7 2" xfId="1560" xr:uid="{00000000-0005-0000-0000-00005C390000}"/>
    <cellStyle name="Normal 3 4 3 2 8" xfId="25472" xr:uid="{00000000-0005-0000-0000-00005D390000}"/>
    <cellStyle name="Normal 3 4 3 2 9" xfId="25473" xr:uid="{00000000-0005-0000-0000-00005E390000}"/>
    <cellStyle name="Normal 3 4 3 3" xfId="6835" xr:uid="{00000000-0005-0000-0000-00005F390000}"/>
    <cellStyle name="Normal 3 4 3 3 2" xfId="6844" xr:uid="{00000000-0005-0000-0000-000060390000}"/>
    <cellStyle name="Normal 3 4 3 3 2 2" xfId="5483" xr:uid="{00000000-0005-0000-0000-000061390000}"/>
    <cellStyle name="Normal 3 4 3 3 2 2 2" xfId="6849" xr:uid="{00000000-0005-0000-0000-000062390000}"/>
    <cellStyle name="Normal 3 4 3 3 2 2 2 2" xfId="4967" xr:uid="{00000000-0005-0000-0000-000063390000}"/>
    <cellStyle name="Normal 3 4 3 3 2 2 3" xfId="24750" xr:uid="{00000000-0005-0000-0000-000064390000}"/>
    <cellStyle name="Normal 3 4 3 3 2 3" xfId="4338" xr:uid="{00000000-0005-0000-0000-000065390000}"/>
    <cellStyle name="Normal 3 4 3 3 2 3 2" xfId="14049" xr:uid="{00000000-0005-0000-0000-000066390000}"/>
    <cellStyle name="Normal 3 4 3 3 2 4" xfId="3969" xr:uid="{00000000-0005-0000-0000-000067390000}"/>
    <cellStyle name="Normal 3 4 3 3 3" xfId="6857" xr:uid="{00000000-0005-0000-0000-000068390000}"/>
    <cellStyle name="Normal 3 4 3 3 3 2" xfId="6863" xr:uid="{00000000-0005-0000-0000-000069390000}"/>
    <cellStyle name="Normal 3 4 3 3 3 2 2" xfId="24799" xr:uid="{00000000-0005-0000-0000-00006A390000}"/>
    <cellStyle name="Normal 3 4 3 3 3 3" xfId="25474" xr:uid="{00000000-0005-0000-0000-00006B390000}"/>
    <cellStyle name="Normal 3 4 3 3 4" xfId="6872" xr:uid="{00000000-0005-0000-0000-00006C390000}"/>
    <cellStyle name="Normal 3 4 3 3 4 2" xfId="20940" xr:uid="{00000000-0005-0000-0000-00006D390000}"/>
    <cellStyle name="Normal 3 4 3 3 4 2 2" xfId="20942" xr:uid="{00000000-0005-0000-0000-00006E390000}"/>
    <cellStyle name="Normal 3 4 3 3 4 3" xfId="20947" xr:uid="{00000000-0005-0000-0000-00006F390000}"/>
    <cellStyle name="Normal 3 4 3 3 5" xfId="4103" xr:uid="{00000000-0005-0000-0000-000070390000}"/>
    <cellStyle name="Normal 3 4 3 3 5 2" xfId="8285" xr:uid="{00000000-0005-0000-0000-000071390000}"/>
    <cellStyle name="Normal 3 4 3 3 6" xfId="5219" xr:uid="{00000000-0005-0000-0000-000072390000}"/>
    <cellStyle name="Normal 3 4 3 3 6 2" xfId="20961" xr:uid="{00000000-0005-0000-0000-000073390000}"/>
    <cellStyle name="Normal 3 4 3 3 7" xfId="25476" xr:uid="{00000000-0005-0000-0000-000074390000}"/>
    <cellStyle name="Normal 3 4 3 3 8" xfId="25478" xr:uid="{00000000-0005-0000-0000-000075390000}"/>
    <cellStyle name="Normal 3 4 3 4" xfId="6877" xr:uid="{00000000-0005-0000-0000-000076390000}"/>
    <cellStyle name="Normal 3 4 3 4 2" xfId="1951" xr:uid="{00000000-0005-0000-0000-000077390000}"/>
    <cellStyle name="Normal 3 4 3 4 2 2" xfId="6883" xr:uid="{00000000-0005-0000-0000-000078390000}"/>
    <cellStyle name="Normal 3 4 3 4 2 2 2" xfId="19671" xr:uid="{00000000-0005-0000-0000-000079390000}"/>
    <cellStyle name="Normal 3 4 3 4 2 3" xfId="9664" xr:uid="{00000000-0005-0000-0000-00007A390000}"/>
    <cellStyle name="Normal 3 4 3 4 3" xfId="6886" xr:uid="{00000000-0005-0000-0000-00007B390000}"/>
    <cellStyle name="Normal 3 4 3 4 3 2" xfId="25479" xr:uid="{00000000-0005-0000-0000-00007C390000}"/>
    <cellStyle name="Normal 3 4 3 4 4" xfId="25480" xr:uid="{00000000-0005-0000-0000-00007D390000}"/>
    <cellStyle name="Normal 3 4 3 5" xfId="6894" xr:uid="{00000000-0005-0000-0000-00007E390000}"/>
    <cellStyle name="Normal 3 4 3 5 2" xfId="6899" xr:uid="{00000000-0005-0000-0000-00007F390000}"/>
    <cellStyle name="Normal 3 4 3 5 2 2" xfId="6904" xr:uid="{00000000-0005-0000-0000-000080390000}"/>
    <cellStyle name="Normal 3 4 3 5 3" xfId="6907" xr:uid="{00000000-0005-0000-0000-000081390000}"/>
    <cellStyle name="Normal 3 4 3 6" xfId="6926" xr:uid="{00000000-0005-0000-0000-000082390000}"/>
    <cellStyle name="Normal 3 4 3 6 2" xfId="2958" xr:uid="{00000000-0005-0000-0000-000083390000}"/>
    <cellStyle name="Normal 3 4 3 6 2 2" xfId="25482" xr:uid="{00000000-0005-0000-0000-000084390000}"/>
    <cellStyle name="Normal 3 4 3 6 3" xfId="25484" xr:uid="{00000000-0005-0000-0000-000085390000}"/>
    <cellStyle name="Normal 3 4 3 7" xfId="1097" xr:uid="{00000000-0005-0000-0000-000086390000}"/>
    <cellStyle name="Normal 3 4 3 7 2" xfId="6943" xr:uid="{00000000-0005-0000-0000-000087390000}"/>
    <cellStyle name="Normal 3 4 3 8" xfId="5754" xr:uid="{00000000-0005-0000-0000-000088390000}"/>
    <cellStyle name="Normal 3 4 3 8 2" xfId="5956" xr:uid="{00000000-0005-0000-0000-000089390000}"/>
    <cellStyle name="Normal 3 4 3 9" xfId="6672" xr:uid="{00000000-0005-0000-0000-00008A390000}"/>
    <cellStyle name="Normal 3 4 4" xfId="6950" xr:uid="{00000000-0005-0000-0000-00008B390000}"/>
    <cellStyle name="Normal 3 4 4 2" xfId="6954" xr:uid="{00000000-0005-0000-0000-00008C390000}"/>
    <cellStyle name="Normal 3 4 4 2 2" xfId="6960" xr:uid="{00000000-0005-0000-0000-00008D390000}"/>
    <cellStyle name="Normal 3 4 4 2 2 2" xfId="4045" xr:uid="{00000000-0005-0000-0000-00008E390000}"/>
    <cellStyle name="Normal 3 4 4 2 2 2 2" xfId="4058" xr:uid="{00000000-0005-0000-0000-00008F390000}"/>
    <cellStyle name="Normal 3 4 4 2 2 2 2 2" xfId="6970" xr:uid="{00000000-0005-0000-0000-000090390000}"/>
    <cellStyle name="Normal 3 4 4 2 2 2 3" xfId="6975" xr:uid="{00000000-0005-0000-0000-000091390000}"/>
    <cellStyle name="Normal 3 4 4 2 2 3" xfId="2967" xr:uid="{00000000-0005-0000-0000-000092390000}"/>
    <cellStyle name="Normal 3 4 4 2 2 3 2" xfId="6981" xr:uid="{00000000-0005-0000-0000-000093390000}"/>
    <cellStyle name="Normal 3 4 4 2 2 4" xfId="6989" xr:uid="{00000000-0005-0000-0000-000094390000}"/>
    <cellStyle name="Normal 3 4 4 2 3" xfId="6994" xr:uid="{00000000-0005-0000-0000-000095390000}"/>
    <cellStyle name="Normal 3 4 4 2 3 2" xfId="7001" xr:uid="{00000000-0005-0000-0000-000096390000}"/>
    <cellStyle name="Normal 3 4 4 2 3 2 2" xfId="7012" xr:uid="{00000000-0005-0000-0000-000097390000}"/>
    <cellStyle name="Normal 3 4 4 2 3 3" xfId="7021" xr:uid="{00000000-0005-0000-0000-000098390000}"/>
    <cellStyle name="Normal 3 4 4 2 4" xfId="7028" xr:uid="{00000000-0005-0000-0000-000099390000}"/>
    <cellStyle name="Normal 3 4 4 2 4 2" xfId="5820" xr:uid="{00000000-0005-0000-0000-00009A390000}"/>
    <cellStyle name="Normal 3 4 4 2 4 2 2" xfId="4243" xr:uid="{00000000-0005-0000-0000-00009B390000}"/>
    <cellStyle name="Normal 3 4 4 2 4 3" xfId="7034" xr:uid="{00000000-0005-0000-0000-00009C390000}"/>
    <cellStyle name="Normal 3 4 4 2 5" xfId="7041" xr:uid="{00000000-0005-0000-0000-00009D390000}"/>
    <cellStyle name="Normal 3 4 4 2 5 2" xfId="3939" xr:uid="{00000000-0005-0000-0000-00009E390000}"/>
    <cellStyle name="Normal 3 4 4 2 6" xfId="6359" xr:uid="{00000000-0005-0000-0000-00009F390000}"/>
    <cellStyle name="Normal 3 4 4 2 6 2" xfId="6370" xr:uid="{00000000-0005-0000-0000-0000A0390000}"/>
    <cellStyle name="Normal 3 4 4 2 7" xfId="6409" xr:uid="{00000000-0005-0000-0000-0000A1390000}"/>
    <cellStyle name="Normal 3 4 4 2 8" xfId="23243" xr:uid="{00000000-0005-0000-0000-0000A2390000}"/>
    <cellStyle name="Normal 3 4 4 3" xfId="7043" xr:uid="{00000000-0005-0000-0000-0000A3390000}"/>
    <cellStyle name="Normal 3 4 4 3 2" xfId="7053" xr:uid="{00000000-0005-0000-0000-0000A4390000}"/>
    <cellStyle name="Normal 3 4 4 3 2 2" xfId="7060" xr:uid="{00000000-0005-0000-0000-0000A5390000}"/>
    <cellStyle name="Normal 3 4 4 3 2 2 2" xfId="7065" xr:uid="{00000000-0005-0000-0000-0000A6390000}"/>
    <cellStyle name="Normal 3 4 4 3 2 3" xfId="4544" xr:uid="{00000000-0005-0000-0000-0000A7390000}"/>
    <cellStyle name="Normal 3 4 4 3 3" xfId="7075" xr:uid="{00000000-0005-0000-0000-0000A8390000}"/>
    <cellStyle name="Normal 3 4 4 3 3 2" xfId="7082" xr:uid="{00000000-0005-0000-0000-0000A9390000}"/>
    <cellStyle name="Normal 3 4 4 3 4" xfId="7090" xr:uid="{00000000-0005-0000-0000-0000AA390000}"/>
    <cellStyle name="Normal 3 4 4 4" xfId="7098" xr:uid="{00000000-0005-0000-0000-0000AB390000}"/>
    <cellStyle name="Normal 3 4 4 4 2" xfId="7103" xr:uid="{00000000-0005-0000-0000-0000AC390000}"/>
    <cellStyle name="Normal 3 4 4 4 2 2" xfId="6567" xr:uid="{00000000-0005-0000-0000-0000AD390000}"/>
    <cellStyle name="Normal 3 4 4 4 3" xfId="7111" xr:uid="{00000000-0005-0000-0000-0000AE390000}"/>
    <cellStyle name="Normal 3 4 4 5" xfId="7117" xr:uid="{00000000-0005-0000-0000-0000AF390000}"/>
    <cellStyle name="Normal 3 4 4 5 2" xfId="7130" xr:uid="{00000000-0005-0000-0000-0000B0390000}"/>
    <cellStyle name="Normal 3 4 4 5 2 2" xfId="7136" xr:uid="{00000000-0005-0000-0000-0000B1390000}"/>
    <cellStyle name="Normal 3 4 4 5 3" xfId="7141" xr:uid="{00000000-0005-0000-0000-0000B2390000}"/>
    <cellStyle name="Normal 3 4 4 6" xfId="7147" xr:uid="{00000000-0005-0000-0000-0000B3390000}"/>
    <cellStyle name="Normal 3 4 4 6 2" xfId="7160" xr:uid="{00000000-0005-0000-0000-0000B4390000}"/>
    <cellStyle name="Normal 3 4 4 7" xfId="107" xr:uid="{00000000-0005-0000-0000-0000B5390000}"/>
    <cellStyle name="Normal 3 4 4 7 2" xfId="5803" xr:uid="{00000000-0005-0000-0000-0000B6390000}"/>
    <cellStyle name="Normal 3 4 4 8" xfId="3745" xr:uid="{00000000-0005-0000-0000-0000B7390000}"/>
    <cellStyle name="Normal 3 4 4 9" xfId="3770" xr:uid="{00000000-0005-0000-0000-0000B8390000}"/>
    <cellStyle name="Normal 3 4 5" xfId="7164" xr:uid="{00000000-0005-0000-0000-0000B9390000}"/>
    <cellStyle name="Normal 3 4 5 2" xfId="7173" xr:uid="{00000000-0005-0000-0000-0000BA390000}"/>
    <cellStyle name="Normal 3 4 5 2 2" xfId="7178" xr:uid="{00000000-0005-0000-0000-0000BB390000}"/>
    <cellStyle name="Normal 3 4 5 2 2 2" xfId="4578" xr:uid="{00000000-0005-0000-0000-0000BC390000}"/>
    <cellStyle name="Normal 3 4 5 2 2 2 2" xfId="7185" xr:uid="{00000000-0005-0000-0000-0000BD390000}"/>
    <cellStyle name="Normal 3 4 5 2 2 2 2 2" xfId="7202" xr:uid="{00000000-0005-0000-0000-0000BE390000}"/>
    <cellStyle name="Normal 3 4 5 2 2 2 3" xfId="2681" xr:uid="{00000000-0005-0000-0000-0000BF390000}"/>
    <cellStyle name="Normal 3 4 5 2 2 3" xfId="7206" xr:uid="{00000000-0005-0000-0000-0000C0390000}"/>
    <cellStyle name="Normal 3 4 5 2 2 3 2" xfId="7213" xr:uid="{00000000-0005-0000-0000-0000C1390000}"/>
    <cellStyle name="Normal 3 4 5 2 2 4" xfId="7218" xr:uid="{00000000-0005-0000-0000-0000C2390000}"/>
    <cellStyle name="Normal 3 4 5 2 3" xfId="7224" xr:uid="{00000000-0005-0000-0000-0000C3390000}"/>
    <cellStyle name="Normal 3 4 5 2 3 2" xfId="7232" xr:uid="{00000000-0005-0000-0000-0000C4390000}"/>
    <cellStyle name="Normal 3 4 5 2 3 2 2" xfId="7235" xr:uid="{00000000-0005-0000-0000-0000C5390000}"/>
    <cellStyle name="Normal 3 4 5 2 3 3" xfId="7241" xr:uid="{00000000-0005-0000-0000-0000C6390000}"/>
    <cellStyle name="Normal 3 4 5 2 4" xfId="7245" xr:uid="{00000000-0005-0000-0000-0000C7390000}"/>
    <cellStyle name="Normal 3 4 5 2 4 2" xfId="6501" xr:uid="{00000000-0005-0000-0000-0000C8390000}"/>
    <cellStyle name="Normal 3 4 5 2 4 2 2" xfId="3408" xr:uid="{00000000-0005-0000-0000-0000C9390000}"/>
    <cellStyle name="Normal 3 4 5 2 4 3" xfId="6511" xr:uid="{00000000-0005-0000-0000-0000CA390000}"/>
    <cellStyle name="Normal 3 4 5 2 5" xfId="7251" xr:uid="{00000000-0005-0000-0000-0000CB390000}"/>
    <cellStyle name="Normal 3 4 5 2 5 2" xfId="7253" xr:uid="{00000000-0005-0000-0000-0000CC390000}"/>
    <cellStyle name="Normal 3 4 5 2 6" xfId="7257" xr:uid="{00000000-0005-0000-0000-0000CD390000}"/>
    <cellStyle name="Normal 3 4 5 2 6 2" xfId="4146" xr:uid="{00000000-0005-0000-0000-0000CE390000}"/>
    <cellStyle name="Normal 3 4 5 2 7" xfId="7262" xr:uid="{00000000-0005-0000-0000-0000CF390000}"/>
    <cellStyle name="Normal 3 4 5 2 8" xfId="25486" xr:uid="{00000000-0005-0000-0000-0000D0390000}"/>
    <cellStyle name="Normal 3 4 5 3" xfId="7268" xr:uid="{00000000-0005-0000-0000-0000D1390000}"/>
    <cellStyle name="Normal 3 4 5 3 2" xfId="7273" xr:uid="{00000000-0005-0000-0000-0000D2390000}"/>
    <cellStyle name="Normal 3 4 5 3 2 2" xfId="7283" xr:uid="{00000000-0005-0000-0000-0000D3390000}"/>
    <cellStyle name="Normal 3 4 5 3 2 2 2" xfId="1362" xr:uid="{00000000-0005-0000-0000-0000D4390000}"/>
    <cellStyle name="Normal 3 4 5 3 2 3" xfId="4769" xr:uid="{00000000-0005-0000-0000-0000D5390000}"/>
    <cellStyle name="Normal 3 4 5 3 3" xfId="3072" xr:uid="{00000000-0005-0000-0000-0000D6390000}"/>
    <cellStyle name="Normal 3 4 5 3 3 2" xfId="5307" xr:uid="{00000000-0005-0000-0000-0000D7390000}"/>
    <cellStyle name="Normal 3 4 5 3 4" xfId="5320" xr:uid="{00000000-0005-0000-0000-0000D8390000}"/>
    <cellStyle name="Normal 3 4 5 4" xfId="7295" xr:uid="{00000000-0005-0000-0000-0000D9390000}"/>
    <cellStyle name="Normal 3 4 5 4 2" xfId="7301" xr:uid="{00000000-0005-0000-0000-0000DA390000}"/>
    <cellStyle name="Normal 3 4 5 4 2 2" xfId="7310" xr:uid="{00000000-0005-0000-0000-0000DB390000}"/>
    <cellStyle name="Normal 3 4 5 4 3" xfId="5335" xr:uid="{00000000-0005-0000-0000-0000DC390000}"/>
    <cellStyle name="Normal 3 4 5 5" xfId="2829" xr:uid="{00000000-0005-0000-0000-0000DD390000}"/>
    <cellStyle name="Normal 3 4 5 5 2" xfId="38" xr:uid="{00000000-0005-0000-0000-0000DE390000}"/>
    <cellStyle name="Normal 3 4 5 5 2 2" xfId="7323" xr:uid="{00000000-0005-0000-0000-0000DF390000}"/>
    <cellStyle name="Normal 3 4 5 5 3" xfId="284" xr:uid="{00000000-0005-0000-0000-0000E0390000}"/>
    <cellStyle name="Normal 3 4 5 6" xfId="7337" xr:uid="{00000000-0005-0000-0000-0000E1390000}"/>
    <cellStyle name="Normal 3 4 5 6 2" xfId="7347" xr:uid="{00000000-0005-0000-0000-0000E2390000}"/>
    <cellStyle name="Normal 3 4 5 7" xfId="4862" xr:uid="{00000000-0005-0000-0000-0000E3390000}"/>
    <cellStyle name="Normal 3 4 5 7 2" xfId="7363" xr:uid="{00000000-0005-0000-0000-0000E4390000}"/>
    <cellStyle name="Normal 3 4 5 8" xfId="2335" xr:uid="{00000000-0005-0000-0000-0000E5390000}"/>
    <cellStyle name="Normal 3 4 5 9" xfId="19506" xr:uid="{00000000-0005-0000-0000-0000E6390000}"/>
    <cellStyle name="Normal 3 4 6" xfId="7375" xr:uid="{00000000-0005-0000-0000-0000E7390000}"/>
    <cellStyle name="Normal 3 4 6 2" xfId="7379" xr:uid="{00000000-0005-0000-0000-0000E8390000}"/>
    <cellStyle name="Normal 3 4 6 2 2" xfId="7386" xr:uid="{00000000-0005-0000-0000-0000E9390000}"/>
    <cellStyle name="Normal 3 4 6 2 2 2" xfId="5972" xr:uid="{00000000-0005-0000-0000-0000EA390000}"/>
    <cellStyle name="Normal 3 4 6 2 2 2 2" xfId="7390" xr:uid="{00000000-0005-0000-0000-0000EB390000}"/>
    <cellStyle name="Normal 3 4 6 2 2 2 2 2" xfId="23061" xr:uid="{00000000-0005-0000-0000-0000EC390000}"/>
    <cellStyle name="Normal 3 4 6 2 2 2 3" xfId="25487" xr:uid="{00000000-0005-0000-0000-0000ED390000}"/>
    <cellStyle name="Normal 3 4 6 2 2 3" xfId="2151" xr:uid="{00000000-0005-0000-0000-0000EE390000}"/>
    <cellStyle name="Normal 3 4 6 2 2 3 2" xfId="25490" xr:uid="{00000000-0005-0000-0000-0000EF390000}"/>
    <cellStyle name="Normal 3 4 6 2 2 4" xfId="2177" xr:uid="{00000000-0005-0000-0000-0000F0390000}"/>
    <cellStyle name="Normal 3 4 6 2 3" xfId="7394" xr:uid="{00000000-0005-0000-0000-0000F1390000}"/>
    <cellStyle name="Normal 3 4 6 2 3 2" xfId="7408" xr:uid="{00000000-0005-0000-0000-0000F2390000}"/>
    <cellStyle name="Normal 3 4 6 2 3 2 2" xfId="5013" xr:uid="{00000000-0005-0000-0000-0000F3390000}"/>
    <cellStyle name="Normal 3 4 6 2 3 3" xfId="12163" xr:uid="{00000000-0005-0000-0000-0000F4390000}"/>
    <cellStyle name="Normal 3 4 6 2 4" xfId="7414" xr:uid="{00000000-0005-0000-0000-0000F5390000}"/>
    <cellStyle name="Normal 3 4 6 2 4 2" xfId="10513" xr:uid="{00000000-0005-0000-0000-0000F6390000}"/>
    <cellStyle name="Normal 3 4 6 2 4 2 2" xfId="5879" xr:uid="{00000000-0005-0000-0000-0000F7390000}"/>
    <cellStyle name="Normal 3 4 6 2 4 3" xfId="12171" xr:uid="{00000000-0005-0000-0000-0000F8390000}"/>
    <cellStyle name="Normal 3 4 6 2 5" xfId="10523" xr:uid="{00000000-0005-0000-0000-0000F9390000}"/>
    <cellStyle name="Normal 3 4 6 2 5 2" xfId="12173" xr:uid="{00000000-0005-0000-0000-0000FA390000}"/>
    <cellStyle name="Normal 3 4 6 2 6" xfId="148" xr:uid="{00000000-0005-0000-0000-0000FB390000}"/>
    <cellStyle name="Normal 3 4 6 2 6 2" xfId="8478" xr:uid="{00000000-0005-0000-0000-0000FC390000}"/>
    <cellStyle name="Normal 3 4 6 2 7" xfId="3036" xr:uid="{00000000-0005-0000-0000-0000FD390000}"/>
    <cellStyle name="Normal 3 4 6 3" xfId="7416" xr:uid="{00000000-0005-0000-0000-0000FE390000}"/>
    <cellStyle name="Normal 3 4 6 3 2" xfId="7423" xr:uid="{00000000-0005-0000-0000-0000FF390000}"/>
    <cellStyle name="Normal 3 4 6 3 2 2" xfId="7431" xr:uid="{00000000-0005-0000-0000-0000003A0000}"/>
    <cellStyle name="Normal 3 4 6 3 2 2 2" xfId="25493" xr:uid="{00000000-0005-0000-0000-0000013A0000}"/>
    <cellStyle name="Normal 3 4 6 3 2 3" xfId="25498" xr:uid="{00000000-0005-0000-0000-0000023A0000}"/>
    <cellStyle name="Normal 3 4 6 3 3" xfId="5350" xr:uid="{00000000-0005-0000-0000-0000033A0000}"/>
    <cellStyle name="Normal 3 4 6 3 3 2" xfId="12194" xr:uid="{00000000-0005-0000-0000-0000043A0000}"/>
    <cellStyle name="Normal 3 4 6 3 4" xfId="10531" xr:uid="{00000000-0005-0000-0000-0000053A0000}"/>
    <cellStyle name="Normal 3 4 6 4" xfId="7435" xr:uid="{00000000-0005-0000-0000-0000063A0000}"/>
    <cellStyle name="Normal 3 4 6 4 2" xfId="7439" xr:uid="{00000000-0005-0000-0000-0000073A0000}"/>
    <cellStyle name="Normal 3 4 6 4 2 2" xfId="7446" xr:uid="{00000000-0005-0000-0000-0000083A0000}"/>
    <cellStyle name="Normal 3 4 6 4 3" xfId="7456" xr:uid="{00000000-0005-0000-0000-0000093A0000}"/>
    <cellStyle name="Normal 3 4 6 5" xfId="4993" xr:uid="{00000000-0005-0000-0000-00000A3A0000}"/>
    <cellStyle name="Normal 3 4 6 5 2" xfId="7462" xr:uid="{00000000-0005-0000-0000-00000B3A0000}"/>
    <cellStyle name="Normal 3 4 6 5 2 2" xfId="19514" xr:uid="{00000000-0005-0000-0000-00000C3A0000}"/>
    <cellStyle name="Normal 3 4 6 5 3" xfId="12204" xr:uid="{00000000-0005-0000-0000-00000D3A0000}"/>
    <cellStyle name="Normal 3 4 6 6" xfId="7467" xr:uid="{00000000-0005-0000-0000-00000E3A0000}"/>
    <cellStyle name="Normal 3 4 6 6 2" xfId="7479" xr:uid="{00000000-0005-0000-0000-00000F3A0000}"/>
    <cellStyle name="Normal 3 4 6 7" xfId="7187" xr:uid="{00000000-0005-0000-0000-0000103A0000}"/>
    <cellStyle name="Normal 3 4 6 7 2" xfId="19518" xr:uid="{00000000-0005-0000-0000-0000113A0000}"/>
    <cellStyle name="Normal 3 4 6 8" xfId="19521" xr:uid="{00000000-0005-0000-0000-0000123A0000}"/>
    <cellStyle name="Normal 3 4 6 9" xfId="19524" xr:uid="{00000000-0005-0000-0000-0000133A0000}"/>
    <cellStyle name="Normal 3 4 7" xfId="7488" xr:uid="{00000000-0005-0000-0000-0000143A0000}"/>
    <cellStyle name="Normal 3 4 7 2" xfId="7494" xr:uid="{00000000-0005-0000-0000-0000153A0000}"/>
    <cellStyle name="Normal 3 4 7 2 2" xfId="7501" xr:uid="{00000000-0005-0000-0000-0000163A0000}"/>
    <cellStyle name="Normal 3 4 7 2 2 2" xfId="2248" xr:uid="{00000000-0005-0000-0000-0000173A0000}"/>
    <cellStyle name="Normal 3 4 7 2 2 2 2" xfId="25499" xr:uid="{00000000-0005-0000-0000-0000183A0000}"/>
    <cellStyle name="Normal 3 4 7 2 2 3" xfId="25502" xr:uid="{00000000-0005-0000-0000-0000193A0000}"/>
    <cellStyle name="Normal 3 4 7 2 3" xfId="7508" xr:uid="{00000000-0005-0000-0000-00001A3A0000}"/>
    <cellStyle name="Normal 3 4 7 2 3 2" xfId="11727" xr:uid="{00000000-0005-0000-0000-00001B3A0000}"/>
    <cellStyle name="Normal 3 4 7 2 4" xfId="10593" xr:uid="{00000000-0005-0000-0000-00001C3A0000}"/>
    <cellStyle name="Normal 3 4 7 3" xfId="7516" xr:uid="{00000000-0005-0000-0000-00001D3A0000}"/>
    <cellStyle name="Normal 3 4 7 3 2" xfId="7530" xr:uid="{00000000-0005-0000-0000-00001E3A0000}"/>
    <cellStyle name="Normal 3 4 7 3 2 2" xfId="24827" xr:uid="{00000000-0005-0000-0000-00001F3A0000}"/>
    <cellStyle name="Normal 3 4 7 3 3" xfId="414" xr:uid="{00000000-0005-0000-0000-0000203A0000}"/>
    <cellStyle name="Normal 3 4 7 4" xfId="7535" xr:uid="{00000000-0005-0000-0000-0000213A0000}"/>
    <cellStyle name="Normal 3 4 7 4 2" xfId="24829" xr:uid="{00000000-0005-0000-0000-0000223A0000}"/>
    <cellStyle name="Normal 3 4 7 4 2 2" xfId="25503" xr:uid="{00000000-0005-0000-0000-0000233A0000}"/>
    <cellStyle name="Normal 3 4 7 4 3" xfId="12261" xr:uid="{00000000-0005-0000-0000-0000243A0000}"/>
    <cellStyle name="Normal 3 4 7 5" xfId="19532" xr:uid="{00000000-0005-0000-0000-0000253A0000}"/>
    <cellStyle name="Normal 3 4 7 5 2" xfId="19535" xr:uid="{00000000-0005-0000-0000-0000263A0000}"/>
    <cellStyle name="Normal 3 4 7 6" xfId="19540" xr:uid="{00000000-0005-0000-0000-0000273A0000}"/>
    <cellStyle name="Normal 3 4 7 6 2" xfId="19542" xr:uid="{00000000-0005-0000-0000-0000283A0000}"/>
    <cellStyle name="Normal 3 4 7 7" xfId="19544" xr:uid="{00000000-0005-0000-0000-0000293A0000}"/>
    <cellStyle name="Normal 3 4 8" xfId="2023" xr:uid="{00000000-0005-0000-0000-00002A3A0000}"/>
    <cellStyle name="Normal 3 4 8 2" xfId="2052" xr:uid="{00000000-0005-0000-0000-00002B3A0000}"/>
    <cellStyle name="Normal 3 4 8 2 2" xfId="3975" xr:uid="{00000000-0005-0000-0000-00002C3A0000}"/>
    <cellStyle name="Normal 3 4 8 2 2 2" xfId="23312" xr:uid="{00000000-0005-0000-0000-00002D3A0000}"/>
    <cellStyle name="Normal 3 4 8 2 3" xfId="12322" xr:uid="{00000000-0005-0000-0000-00002E3A0000}"/>
    <cellStyle name="Normal 3 4 8 3" xfId="3984" xr:uid="{00000000-0005-0000-0000-00002F3A0000}"/>
    <cellStyle name="Normal 3 4 8 3 2" xfId="24848" xr:uid="{00000000-0005-0000-0000-0000303A0000}"/>
    <cellStyle name="Normal 3 4 8 4" xfId="79" xr:uid="{00000000-0005-0000-0000-0000313A0000}"/>
    <cellStyle name="Normal 3 4 9" xfId="224" xr:uid="{00000000-0005-0000-0000-0000323A0000}"/>
    <cellStyle name="Normal 3 4 9 2" xfId="187" xr:uid="{00000000-0005-0000-0000-0000333A0000}"/>
    <cellStyle name="Normal 3 4 9 2 2" xfId="5996" xr:uid="{00000000-0005-0000-0000-0000343A0000}"/>
    <cellStyle name="Normal 3 4 9 3" xfId="7540" xr:uid="{00000000-0005-0000-0000-0000353A0000}"/>
    <cellStyle name="Normal 3 5" xfId="7545" xr:uid="{00000000-0005-0000-0000-0000363A0000}"/>
    <cellStyle name="Normal 3 5 10" xfId="25504" xr:uid="{00000000-0005-0000-0000-0000373A0000}"/>
    <cellStyle name="Normal 3 5 10 2" xfId="23088" xr:uid="{00000000-0005-0000-0000-0000383A0000}"/>
    <cellStyle name="Normal 3 5 11" xfId="25507" xr:uid="{00000000-0005-0000-0000-0000393A0000}"/>
    <cellStyle name="Normal 3 5 11 2" xfId="23159" xr:uid="{00000000-0005-0000-0000-00003A3A0000}"/>
    <cellStyle name="Normal 3 5 12" xfId="25510" xr:uid="{00000000-0005-0000-0000-00003B3A0000}"/>
    <cellStyle name="Normal 3 5 12 2" xfId="21977" xr:uid="{00000000-0005-0000-0000-00003C3A0000}"/>
    <cellStyle name="Normal 3 5 2" xfId="7550" xr:uid="{00000000-0005-0000-0000-00003D3A0000}"/>
    <cellStyle name="Normal 3 5 2 2" xfId="7554" xr:uid="{00000000-0005-0000-0000-00003E3A0000}"/>
    <cellStyle name="Normal 3 5 2 2 2" xfId="6875" xr:uid="{00000000-0005-0000-0000-00003F3A0000}"/>
    <cellStyle name="Normal 3 5 2 2 2 2" xfId="1942" xr:uid="{00000000-0005-0000-0000-0000403A0000}"/>
    <cellStyle name="Normal 3 5 2 2 2 2 2" xfId="25512" xr:uid="{00000000-0005-0000-0000-0000413A0000}"/>
    <cellStyle name="Normal 3 5 2 2 2 2 2 2" xfId="25514" xr:uid="{00000000-0005-0000-0000-0000423A0000}"/>
    <cellStyle name="Normal 3 5 2 2 2 2 2 2 2" xfId="23007" xr:uid="{00000000-0005-0000-0000-0000433A0000}"/>
    <cellStyle name="Normal 3 5 2 2 2 2 2 3" xfId="25516" xr:uid="{00000000-0005-0000-0000-0000443A0000}"/>
    <cellStyle name="Normal 3 5 2 2 2 2 3" xfId="25518" xr:uid="{00000000-0005-0000-0000-0000453A0000}"/>
    <cellStyle name="Normal 3 5 2 2 2 2 3 2" xfId="25520" xr:uid="{00000000-0005-0000-0000-0000463A0000}"/>
    <cellStyle name="Normal 3 5 2 2 2 2 4" xfId="25522" xr:uid="{00000000-0005-0000-0000-0000473A0000}"/>
    <cellStyle name="Normal 3 5 2 2 2 3" xfId="22093" xr:uid="{00000000-0005-0000-0000-0000483A0000}"/>
    <cellStyle name="Normal 3 5 2 2 2 3 2" xfId="22096" xr:uid="{00000000-0005-0000-0000-0000493A0000}"/>
    <cellStyle name="Normal 3 5 2 2 2 3 2 2" xfId="22100" xr:uid="{00000000-0005-0000-0000-00004A3A0000}"/>
    <cellStyle name="Normal 3 5 2 2 2 3 3" xfId="22130" xr:uid="{00000000-0005-0000-0000-00004B3A0000}"/>
    <cellStyle name="Normal 3 5 2 2 2 4" xfId="22153" xr:uid="{00000000-0005-0000-0000-00004C3A0000}"/>
    <cellStyle name="Normal 3 5 2 2 2 4 2" xfId="22156" xr:uid="{00000000-0005-0000-0000-00004D3A0000}"/>
    <cellStyle name="Normal 3 5 2 2 2 4 2 2" xfId="22158" xr:uid="{00000000-0005-0000-0000-00004E3A0000}"/>
    <cellStyle name="Normal 3 5 2 2 2 4 3" xfId="22166" xr:uid="{00000000-0005-0000-0000-00004F3A0000}"/>
    <cellStyle name="Normal 3 5 2 2 2 5" xfId="22171" xr:uid="{00000000-0005-0000-0000-0000503A0000}"/>
    <cellStyle name="Normal 3 5 2 2 2 5 2" xfId="22175" xr:uid="{00000000-0005-0000-0000-0000513A0000}"/>
    <cellStyle name="Normal 3 5 2 2 2 6" xfId="22179" xr:uid="{00000000-0005-0000-0000-0000523A0000}"/>
    <cellStyle name="Normal 3 5 2 2 2 6 2" xfId="22187" xr:uid="{00000000-0005-0000-0000-0000533A0000}"/>
    <cellStyle name="Normal 3 5 2 2 2 7" xfId="22202" xr:uid="{00000000-0005-0000-0000-0000543A0000}"/>
    <cellStyle name="Normal 3 5 2 2 3" xfId="6891" xr:uid="{00000000-0005-0000-0000-0000553A0000}"/>
    <cellStyle name="Normal 3 5 2 2 3 2" xfId="25523" xr:uid="{00000000-0005-0000-0000-0000563A0000}"/>
    <cellStyle name="Normal 3 5 2 2 3 2 2" xfId="25525" xr:uid="{00000000-0005-0000-0000-0000573A0000}"/>
    <cellStyle name="Normal 3 5 2 2 3 2 2 2" xfId="25527" xr:uid="{00000000-0005-0000-0000-0000583A0000}"/>
    <cellStyle name="Normal 3 5 2 2 3 2 3" xfId="25529" xr:uid="{00000000-0005-0000-0000-0000593A0000}"/>
    <cellStyle name="Normal 3 5 2 2 3 3" xfId="22220" xr:uid="{00000000-0005-0000-0000-00005A3A0000}"/>
    <cellStyle name="Normal 3 5 2 2 3 3 2" xfId="22223" xr:uid="{00000000-0005-0000-0000-00005B3A0000}"/>
    <cellStyle name="Normal 3 5 2 2 3 4" xfId="22238" xr:uid="{00000000-0005-0000-0000-00005C3A0000}"/>
    <cellStyle name="Normal 3 5 2 2 4" xfId="6920" xr:uid="{00000000-0005-0000-0000-00005D3A0000}"/>
    <cellStyle name="Normal 3 5 2 2 4 2" xfId="25530" xr:uid="{00000000-0005-0000-0000-00005E3A0000}"/>
    <cellStyle name="Normal 3 5 2 2 4 2 2" xfId="25533" xr:uid="{00000000-0005-0000-0000-00005F3A0000}"/>
    <cellStyle name="Normal 3 5 2 2 4 3" xfId="22261" xr:uid="{00000000-0005-0000-0000-0000603A0000}"/>
    <cellStyle name="Normal 3 5 2 2 5" xfId="22762" xr:uid="{00000000-0005-0000-0000-0000613A0000}"/>
    <cellStyle name="Normal 3 5 2 2 5 2" xfId="25536" xr:uid="{00000000-0005-0000-0000-0000623A0000}"/>
    <cellStyle name="Normal 3 5 2 2 5 2 2" xfId="18294" xr:uid="{00000000-0005-0000-0000-0000633A0000}"/>
    <cellStyle name="Normal 3 5 2 2 5 3" xfId="22275" xr:uid="{00000000-0005-0000-0000-0000643A0000}"/>
    <cellStyle name="Normal 3 5 2 2 6" xfId="25539" xr:uid="{00000000-0005-0000-0000-0000653A0000}"/>
    <cellStyle name="Normal 3 5 2 2 6 2" xfId="25542" xr:uid="{00000000-0005-0000-0000-0000663A0000}"/>
    <cellStyle name="Normal 3 5 2 2 7" xfId="25545" xr:uid="{00000000-0005-0000-0000-0000673A0000}"/>
    <cellStyle name="Normal 3 5 2 2 7 2" xfId="20034" xr:uid="{00000000-0005-0000-0000-0000683A0000}"/>
    <cellStyle name="Normal 3 5 2 2 8" xfId="25548" xr:uid="{00000000-0005-0000-0000-0000693A0000}"/>
    <cellStyle name="Normal 3 5 2 3" xfId="7556" xr:uid="{00000000-0005-0000-0000-00006A3A0000}"/>
    <cellStyle name="Normal 3 5 2 3 2" xfId="7096" xr:uid="{00000000-0005-0000-0000-00006B3A0000}"/>
    <cellStyle name="Normal 3 5 2 3 2 2" xfId="25550" xr:uid="{00000000-0005-0000-0000-00006C3A0000}"/>
    <cellStyle name="Normal 3 5 2 3 2 2 2" xfId="6571" xr:uid="{00000000-0005-0000-0000-00006D3A0000}"/>
    <cellStyle name="Normal 3 5 2 3 2 2 2 2" xfId="25329" xr:uid="{00000000-0005-0000-0000-00006E3A0000}"/>
    <cellStyle name="Normal 3 5 2 3 2 2 3" xfId="25332" xr:uid="{00000000-0005-0000-0000-00006F3A0000}"/>
    <cellStyle name="Normal 3 5 2 3 2 3" xfId="22295" xr:uid="{00000000-0005-0000-0000-0000703A0000}"/>
    <cellStyle name="Normal 3 5 2 3 2 3 2" xfId="22298" xr:uid="{00000000-0005-0000-0000-0000713A0000}"/>
    <cellStyle name="Normal 3 5 2 3 2 4" xfId="22309" xr:uid="{00000000-0005-0000-0000-0000723A0000}"/>
    <cellStyle name="Normal 3 5 2 3 3" xfId="25551" xr:uid="{00000000-0005-0000-0000-0000733A0000}"/>
    <cellStyle name="Normal 3 5 2 3 3 2" xfId="25552" xr:uid="{00000000-0005-0000-0000-0000743A0000}"/>
    <cellStyle name="Normal 3 5 2 3 3 2 2" xfId="13759" xr:uid="{00000000-0005-0000-0000-0000753A0000}"/>
    <cellStyle name="Normal 3 5 2 3 3 3" xfId="22358" xr:uid="{00000000-0005-0000-0000-0000763A0000}"/>
    <cellStyle name="Normal 3 5 2 3 4" xfId="25553" xr:uid="{00000000-0005-0000-0000-0000773A0000}"/>
    <cellStyle name="Normal 3 5 2 3 4 2" xfId="25555" xr:uid="{00000000-0005-0000-0000-0000783A0000}"/>
    <cellStyle name="Normal 3 5 2 3 4 2 2" xfId="25561" xr:uid="{00000000-0005-0000-0000-0000793A0000}"/>
    <cellStyle name="Normal 3 5 2 3 4 3" xfId="22371" xr:uid="{00000000-0005-0000-0000-00007A3A0000}"/>
    <cellStyle name="Normal 3 5 2 3 5" xfId="25564" xr:uid="{00000000-0005-0000-0000-00007B3A0000}"/>
    <cellStyle name="Normal 3 5 2 3 5 2" xfId="25567" xr:uid="{00000000-0005-0000-0000-00007C3A0000}"/>
    <cellStyle name="Normal 3 5 2 3 6" xfId="25570" xr:uid="{00000000-0005-0000-0000-00007D3A0000}"/>
    <cellStyle name="Normal 3 5 2 3 6 2" xfId="25573" xr:uid="{00000000-0005-0000-0000-00007E3A0000}"/>
    <cellStyle name="Normal 3 5 2 3 7" xfId="25576" xr:uid="{00000000-0005-0000-0000-00007F3A0000}"/>
    <cellStyle name="Normal 3 5 2 4" xfId="7558" xr:uid="{00000000-0005-0000-0000-0000803A0000}"/>
    <cellStyle name="Normal 3 5 2 4 2" xfId="7293" xr:uid="{00000000-0005-0000-0000-0000813A0000}"/>
    <cellStyle name="Normal 3 5 2 4 2 2" xfId="14519" xr:uid="{00000000-0005-0000-0000-0000823A0000}"/>
    <cellStyle name="Normal 3 5 2 4 2 2 2" xfId="14523" xr:uid="{00000000-0005-0000-0000-0000833A0000}"/>
    <cellStyle name="Normal 3 5 2 4 2 3" xfId="14528" xr:uid="{00000000-0005-0000-0000-0000843A0000}"/>
    <cellStyle name="Normal 3 5 2 4 3" xfId="2836" xr:uid="{00000000-0005-0000-0000-0000853A0000}"/>
    <cellStyle name="Normal 3 5 2 4 3 2" xfId="14557" xr:uid="{00000000-0005-0000-0000-0000863A0000}"/>
    <cellStyle name="Normal 3 5 2 4 4" xfId="25578" xr:uid="{00000000-0005-0000-0000-0000873A0000}"/>
    <cellStyle name="Normal 3 5 2 5" xfId="7561" xr:uid="{00000000-0005-0000-0000-0000883A0000}"/>
    <cellStyle name="Normal 3 5 2 5 2" xfId="25582" xr:uid="{00000000-0005-0000-0000-0000893A0000}"/>
    <cellStyle name="Normal 3 5 2 5 2 2" xfId="9551" xr:uid="{00000000-0005-0000-0000-00008A3A0000}"/>
    <cellStyle name="Normal 3 5 2 5 3" xfId="25583" xr:uid="{00000000-0005-0000-0000-00008B3A0000}"/>
    <cellStyle name="Normal 3 5 2 6" xfId="7565" xr:uid="{00000000-0005-0000-0000-00008C3A0000}"/>
    <cellStyle name="Normal 3 5 2 6 2" xfId="25584" xr:uid="{00000000-0005-0000-0000-00008D3A0000}"/>
    <cellStyle name="Normal 3 5 2 6 2 2" xfId="25586" xr:uid="{00000000-0005-0000-0000-00008E3A0000}"/>
    <cellStyle name="Normal 3 5 2 6 3" xfId="25587" xr:uid="{00000000-0005-0000-0000-00008F3A0000}"/>
    <cellStyle name="Normal 3 5 2 7" xfId="20872" xr:uid="{00000000-0005-0000-0000-0000903A0000}"/>
    <cellStyle name="Normal 3 5 2 7 2" xfId="20875" xr:uid="{00000000-0005-0000-0000-0000913A0000}"/>
    <cellStyle name="Normal 3 5 2 8" xfId="2549" xr:uid="{00000000-0005-0000-0000-0000923A0000}"/>
    <cellStyle name="Normal 3 5 2 8 2" xfId="6739" xr:uid="{00000000-0005-0000-0000-0000933A0000}"/>
    <cellStyle name="Normal 3 5 2 9" xfId="6752" xr:uid="{00000000-0005-0000-0000-0000943A0000}"/>
    <cellStyle name="Normal 3 5 3" xfId="7570" xr:uid="{00000000-0005-0000-0000-0000953A0000}"/>
    <cellStyle name="Normal 3 5 3 2" xfId="7582" xr:uid="{00000000-0005-0000-0000-0000963A0000}"/>
    <cellStyle name="Normal 3 5 3 2 2" xfId="7595" xr:uid="{00000000-0005-0000-0000-0000973A0000}"/>
    <cellStyle name="Normal 3 5 3 2 2 2" xfId="21397" xr:uid="{00000000-0005-0000-0000-0000983A0000}"/>
    <cellStyle name="Normal 3 5 3 2 2 2 2" xfId="25588" xr:uid="{00000000-0005-0000-0000-0000993A0000}"/>
    <cellStyle name="Normal 3 5 3 2 2 2 2 2" xfId="25591" xr:uid="{00000000-0005-0000-0000-00009A3A0000}"/>
    <cellStyle name="Normal 3 5 3 2 2 2 3" xfId="17436" xr:uid="{00000000-0005-0000-0000-00009B3A0000}"/>
    <cellStyle name="Normal 3 5 3 2 2 3" xfId="15830" xr:uid="{00000000-0005-0000-0000-00009C3A0000}"/>
    <cellStyle name="Normal 3 5 3 2 2 3 2" xfId="22599" xr:uid="{00000000-0005-0000-0000-00009D3A0000}"/>
    <cellStyle name="Normal 3 5 3 2 2 4" xfId="22606" xr:uid="{00000000-0005-0000-0000-00009E3A0000}"/>
    <cellStyle name="Normal 3 5 3 2 3" xfId="13481" xr:uid="{00000000-0005-0000-0000-00009F3A0000}"/>
    <cellStyle name="Normal 3 5 3 2 3 2" xfId="13483" xr:uid="{00000000-0005-0000-0000-0000A03A0000}"/>
    <cellStyle name="Normal 3 5 3 2 3 2 2" xfId="25594" xr:uid="{00000000-0005-0000-0000-0000A13A0000}"/>
    <cellStyle name="Normal 3 5 3 2 3 3" xfId="16172" xr:uid="{00000000-0005-0000-0000-0000A23A0000}"/>
    <cellStyle name="Normal 3 5 3 2 4" xfId="13492" xr:uid="{00000000-0005-0000-0000-0000A33A0000}"/>
    <cellStyle name="Normal 3 5 3 2 4 2" xfId="25595" xr:uid="{00000000-0005-0000-0000-0000A43A0000}"/>
    <cellStyle name="Normal 3 5 3 2 4 2 2" xfId="25598" xr:uid="{00000000-0005-0000-0000-0000A53A0000}"/>
    <cellStyle name="Normal 3 5 3 2 4 3" xfId="22624" xr:uid="{00000000-0005-0000-0000-0000A63A0000}"/>
    <cellStyle name="Normal 3 5 3 2 5" xfId="8932" xr:uid="{00000000-0005-0000-0000-0000A73A0000}"/>
    <cellStyle name="Normal 3 5 3 2 5 2" xfId="8937" xr:uid="{00000000-0005-0000-0000-0000A83A0000}"/>
    <cellStyle name="Normal 3 5 3 2 6" xfId="5921" xr:uid="{00000000-0005-0000-0000-0000A93A0000}"/>
    <cellStyle name="Normal 3 5 3 2 6 2" xfId="8948" xr:uid="{00000000-0005-0000-0000-0000AA3A0000}"/>
    <cellStyle name="Normal 3 5 3 2 7" xfId="8957" xr:uid="{00000000-0005-0000-0000-0000AB3A0000}"/>
    <cellStyle name="Normal 3 5 3 3" xfId="7601" xr:uid="{00000000-0005-0000-0000-0000AC3A0000}"/>
    <cellStyle name="Normal 3 5 3 3 2" xfId="21402" xr:uid="{00000000-0005-0000-0000-0000AD3A0000}"/>
    <cellStyle name="Normal 3 5 3 3 2 2" xfId="21406" xr:uid="{00000000-0005-0000-0000-0000AE3A0000}"/>
    <cellStyle name="Normal 3 5 3 3 2 2 2" xfId="25465" xr:uid="{00000000-0005-0000-0000-0000AF3A0000}"/>
    <cellStyle name="Normal 3 5 3 3 2 3" xfId="22630" xr:uid="{00000000-0005-0000-0000-0000B03A0000}"/>
    <cellStyle name="Normal 3 5 3 3 3" xfId="13502" xr:uid="{00000000-0005-0000-0000-0000B13A0000}"/>
    <cellStyle name="Normal 3 5 3 3 3 2" xfId="13508" xr:uid="{00000000-0005-0000-0000-0000B23A0000}"/>
    <cellStyle name="Normal 3 5 3 3 4" xfId="13514" xr:uid="{00000000-0005-0000-0000-0000B33A0000}"/>
    <cellStyle name="Normal 3 5 3 4" xfId="7587" xr:uid="{00000000-0005-0000-0000-0000B43A0000}"/>
    <cellStyle name="Normal 3 5 3 4 2" xfId="21410" xr:uid="{00000000-0005-0000-0000-0000B53A0000}"/>
    <cellStyle name="Normal 3 5 3 4 2 2" xfId="21413" xr:uid="{00000000-0005-0000-0000-0000B63A0000}"/>
    <cellStyle name="Normal 3 5 3 4 3" xfId="13518" xr:uid="{00000000-0005-0000-0000-0000B73A0000}"/>
    <cellStyle name="Normal 3 5 3 5" xfId="25602" xr:uid="{00000000-0005-0000-0000-0000B83A0000}"/>
    <cellStyle name="Normal 3 5 3 5 2" xfId="25604" xr:uid="{00000000-0005-0000-0000-0000B93A0000}"/>
    <cellStyle name="Normal 3 5 3 5 2 2" xfId="19338" xr:uid="{00000000-0005-0000-0000-0000BA3A0000}"/>
    <cellStyle name="Normal 3 5 3 5 3" xfId="13527" xr:uid="{00000000-0005-0000-0000-0000BB3A0000}"/>
    <cellStyle name="Normal 3 5 3 6" xfId="25606" xr:uid="{00000000-0005-0000-0000-0000BC3A0000}"/>
    <cellStyle name="Normal 3 5 3 6 2" xfId="25607" xr:uid="{00000000-0005-0000-0000-0000BD3A0000}"/>
    <cellStyle name="Normal 3 5 3 7" xfId="20881" xr:uid="{00000000-0005-0000-0000-0000BE3A0000}"/>
    <cellStyle name="Normal 3 5 3 7 2" xfId="20888" xr:uid="{00000000-0005-0000-0000-0000BF3A0000}"/>
    <cellStyle name="Normal 3 5 3 8" xfId="5925" xr:uid="{00000000-0005-0000-0000-0000C03A0000}"/>
    <cellStyle name="Normal 3 5 4" xfId="7603" xr:uid="{00000000-0005-0000-0000-0000C13A0000}"/>
    <cellStyle name="Normal 3 5 4 2" xfId="7607" xr:uid="{00000000-0005-0000-0000-0000C23A0000}"/>
    <cellStyle name="Normal 3 5 4 2 2" xfId="7612" xr:uid="{00000000-0005-0000-0000-0000C33A0000}"/>
    <cellStyle name="Normal 3 5 4 2 2 2" xfId="4699" xr:uid="{00000000-0005-0000-0000-0000C43A0000}"/>
    <cellStyle name="Normal 3 5 4 2 2 2 2" xfId="25610" xr:uid="{00000000-0005-0000-0000-0000C53A0000}"/>
    <cellStyle name="Normal 3 5 4 2 2 2 2 2" xfId="25611" xr:uid="{00000000-0005-0000-0000-0000C63A0000}"/>
    <cellStyle name="Normal 3 5 4 2 2 2 3" xfId="25612" xr:uid="{00000000-0005-0000-0000-0000C73A0000}"/>
    <cellStyle name="Normal 3 5 4 2 2 3" xfId="25615" xr:uid="{00000000-0005-0000-0000-0000C83A0000}"/>
    <cellStyle name="Normal 3 5 4 2 2 3 2" xfId="25618" xr:uid="{00000000-0005-0000-0000-0000C93A0000}"/>
    <cellStyle name="Normal 3 5 4 2 2 4" xfId="25628" xr:uid="{00000000-0005-0000-0000-0000CA3A0000}"/>
    <cellStyle name="Normal 3 5 4 2 3" xfId="13541" xr:uid="{00000000-0005-0000-0000-0000CB3A0000}"/>
    <cellStyle name="Normal 3 5 4 2 3 2" xfId="25629" xr:uid="{00000000-0005-0000-0000-0000CC3A0000}"/>
    <cellStyle name="Normal 3 5 4 2 3 2 2" xfId="22827" xr:uid="{00000000-0005-0000-0000-0000CD3A0000}"/>
    <cellStyle name="Normal 3 5 4 2 3 3" xfId="25630" xr:uid="{00000000-0005-0000-0000-0000CE3A0000}"/>
    <cellStyle name="Normal 3 5 4 2 4" xfId="25631" xr:uid="{00000000-0005-0000-0000-0000CF3A0000}"/>
    <cellStyle name="Normal 3 5 4 2 4 2" xfId="25634" xr:uid="{00000000-0005-0000-0000-0000D03A0000}"/>
    <cellStyle name="Normal 3 5 4 2 4 2 2" xfId="25637" xr:uid="{00000000-0005-0000-0000-0000D13A0000}"/>
    <cellStyle name="Normal 3 5 4 2 4 3" xfId="25640" xr:uid="{00000000-0005-0000-0000-0000D23A0000}"/>
    <cellStyle name="Normal 3 5 4 2 5" xfId="25643" xr:uid="{00000000-0005-0000-0000-0000D33A0000}"/>
    <cellStyle name="Normal 3 5 4 2 5 2" xfId="6458" xr:uid="{00000000-0005-0000-0000-0000D43A0000}"/>
    <cellStyle name="Normal 3 5 4 2 6" xfId="21837" xr:uid="{00000000-0005-0000-0000-0000D53A0000}"/>
    <cellStyle name="Normal 3 5 4 2 6 2" xfId="16258" xr:uid="{00000000-0005-0000-0000-0000D63A0000}"/>
    <cellStyle name="Normal 3 5 4 2 7" xfId="21843" xr:uid="{00000000-0005-0000-0000-0000D73A0000}"/>
    <cellStyle name="Normal 3 5 4 3" xfId="7617" xr:uid="{00000000-0005-0000-0000-0000D83A0000}"/>
    <cellStyle name="Normal 3 5 4 3 2" xfId="25646" xr:uid="{00000000-0005-0000-0000-0000D93A0000}"/>
    <cellStyle name="Normal 3 5 4 3 2 2" xfId="7573" xr:uid="{00000000-0005-0000-0000-0000DA3A0000}"/>
    <cellStyle name="Normal 3 5 4 3 2 2 2" xfId="25647" xr:uid="{00000000-0005-0000-0000-0000DB3A0000}"/>
    <cellStyle name="Normal 3 5 4 3 2 3" xfId="25648" xr:uid="{00000000-0005-0000-0000-0000DC3A0000}"/>
    <cellStyle name="Normal 3 5 4 3 3" xfId="25649" xr:uid="{00000000-0005-0000-0000-0000DD3A0000}"/>
    <cellStyle name="Normal 3 5 4 3 3 2" xfId="25650" xr:uid="{00000000-0005-0000-0000-0000DE3A0000}"/>
    <cellStyle name="Normal 3 5 4 3 4" xfId="25653" xr:uid="{00000000-0005-0000-0000-0000DF3A0000}"/>
    <cellStyle name="Normal 3 5 4 4" xfId="25656" xr:uid="{00000000-0005-0000-0000-0000E03A0000}"/>
    <cellStyle name="Normal 3 5 4 4 2" xfId="16969" xr:uid="{00000000-0005-0000-0000-0000E13A0000}"/>
    <cellStyle name="Normal 3 5 4 4 2 2" xfId="8339" xr:uid="{00000000-0005-0000-0000-0000E23A0000}"/>
    <cellStyle name="Normal 3 5 4 4 3" xfId="25657" xr:uid="{00000000-0005-0000-0000-0000E33A0000}"/>
    <cellStyle name="Normal 3 5 4 5" xfId="25658" xr:uid="{00000000-0005-0000-0000-0000E43A0000}"/>
    <cellStyle name="Normal 3 5 4 5 2" xfId="25659" xr:uid="{00000000-0005-0000-0000-0000E53A0000}"/>
    <cellStyle name="Normal 3 5 4 5 2 2" xfId="25660" xr:uid="{00000000-0005-0000-0000-0000E63A0000}"/>
    <cellStyle name="Normal 3 5 4 5 3" xfId="25661" xr:uid="{00000000-0005-0000-0000-0000E73A0000}"/>
    <cellStyle name="Normal 3 5 4 6" xfId="25662" xr:uid="{00000000-0005-0000-0000-0000E83A0000}"/>
    <cellStyle name="Normal 3 5 4 6 2" xfId="25663" xr:uid="{00000000-0005-0000-0000-0000E93A0000}"/>
    <cellStyle name="Normal 3 5 4 7" xfId="20899" xr:uid="{00000000-0005-0000-0000-0000EA3A0000}"/>
    <cellStyle name="Normal 3 5 4 7 2" xfId="20904" xr:uid="{00000000-0005-0000-0000-0000EB3A0000}"/>
    <cellStyle name="Normal 3 5 4 8" xfId="3818" xr:uid="{00000000-0005-0000-0000-0000EC3A0000}"/>
    <cellStyle name="Normal 3 5 5" xfId="4788" xr:uid="{00000000-0005-0000-0000-0000ED3A0000}"/>
    <cellStyle name="Normal 3 5 5 2" xfId="4796" xr:uid="{00000000-0005-0000-0000-0000EE3A0000}"/>
    <cellStyle name="Normal 3 5 5 2 2" xfId="25664" xr:uid="{00000000-0005-0000-0000-0000EF3A0000}"/>
    <cellStyle name="Normal 3 5 5 2 2 2" xfId="4805" xr:uid="{00000000-0005-0000-0000-0000F03A0000}"/>
    <cellStyle name="Normal 3 5 5 2 2 2 2" xfId="16654" xr:uid="{00000000-0005-0000-0000-0000F13A0000}"/>
    <cellStyle name="Normal 3 5 5 2 2 2 2 2" xfId="5592" xr:uid="{00000000-0005-0000-0000-0000F23A0000}"/>
    <cellStyle name="Normal 3 5 5 2 2 2 3" xfId="16656" xr:uid="{00000000-0005-0000-0000-0000F33A0000}"/>
    <cellStyle name="Normal 3 5 5 2 2 3" xfId="16671" xr:uid="{00000000-0005-0000-0000-0000F43A0000}"/>
    <cellStyle name="Normal 3 5 5 2 2 3 2" xfId="16677" xr:uid="{00000000-0005-0000-0000-0000F53A0000}"/>
    <cellStyle name="Normal 3 5 5 2 2 4" xfId="16684" xr:uid="{00000000-0005-0000-0000-0000F63A0000}"/>
    <cellStyle name="Normal 3 5 5 2 3" xfId="25665" xr:uid="{00000000-0005-0000-0000-0000F73A0000}"/>
    <cellStyle name="Normal 3 5 5 2 3 2" xfId="16755" xr:uid="{00000000-0005-0000-0000-0000F83A0000}"/>
    <cellStyle name="Normal 3 5 5 2 3 2 2" xfId="16757" xr:uid="{00000000-0005-0000-0000-0000F93A0000}"/>
    <cellStyle name="Normal 3 5 5 2 3 3" xfId="16760" xr:uid="{00000000-0005-0000-0000-0000FA3A0000}"/>
    <cellStyle name="Normal 3 5 5 2 4" xfId="25669" xr:uid="{00000000-0005-0000-0000-0000FB3A0000}"/>
    <cellStyle name="Normal 3 5 5 2 4 2" xfId="16817" xr:uid="{00000000-0005-0000-0000-0000FC3A0000}"/>
    <cellStyle name="Normal 3 5 5 2 4 2 2" xfId="16821" xr:uid="{00000000-0005-0000-0000-0000FD3A0000}"/>
    <cellStyle name="Normal 3 5 5 2 4 3" xfId="16826" xr:uid="{00000000-0005-0000-0000-0000FE3A0000}"/>
    <cellStyle name="Normal 3 5 5 2 5" xfId="25673" xr:uid="{00000000-0005-0000-0000-0000FF3A0000}"/>
    <cellStyle name="Normal 3 5 5 2 5 2" xfId="16345" xr:uid="{00000000-0005-0000-0000-0000003B0000}"/>
    <cellStyle name="Normal 3 5 5 2 6" xfId="21925" xr:uid="{00000000-0005-0000-0000-0000013B0000}"/>
    <cellStyle name="Normal 3 5 5 2 6 2" xfId="16359" xr:uid="{00000000-0005-0000-0000-0000023B0000}"/>
    <cellStyle name="Normal 3 5 5 2 7" xfId="21930" xr:uid="{00000000-0005-0000-0000-0000033B0000}"/>
    <cellStyle name="Normal 3 5 5 3" xfId="25676" xr:uid="{00000000-0005-0000-0000-0000043B0000}"/>
    <cellStyle name="Normal 3 5 5 3 2" xfId="25677" xr:uid="{00000000-0005-0000-0000-0000053B0000}"/>
    <cellStyle name="Normal 3 5 5 3 2 2" xfId="11787" xr:uid="{00000000-0005-0000-0000-0000063B0000}"/>
    <cellStyle name="Normal 3 5 5 3 2 2 2" xfId="10271" xr:uid="{00000000-0005-0000-0000-0000073B0000}"/>
    <cellStyle name="Normal 3 5 5 3 2 3" xfId="11274" xr:uid="{00000000-0005-0000-0000-0000083B0000}"/>
    <cellStyle name="Normal 3 5 5 3 3" xfId="25678" xr:uid="{00000000-0005-0000-0000-0000093B0000}"/>
    <cellStyle name="Normal 3 5 5 3 3 2" xfId="11792" xr:uid="{00000000-0005-0000-0000-00000A3B0000}"/>
    <cellStyle name="Normal 3 5 5 3 4" xfId="25681" xr:uid="{00000000-0005-0000-0000-00000B3B0000}"/>
    <cellStyle name="Normal 3 5 5 4" xfId="25684" xr:uid="{00000000-0005-0000-0000-00000C3B0000}"/>
    <cellStyle name="Normal 3 5 5 4 2" xfId="25685" xr:uid="{00000000-0005-0000-0000-00000D3B0000}"/>
    <cellStyle name="Normal 3 5 5 4 2 2" xfId="25686" xr:uid="{00000000-0005-0000-0000-00000E3B0000}"/>
    <cellStyle name="Normal 3 5 5 4 3" xfId="25687" xr:uid="{00000000-0005-0000-0000-00000F3B0000}"/>
    <cellStyle name="Normal 3 5 5 5" xfId="13043" xr:uid="{00000000-0005-0000-0000-0000103B0000}"/>
    <cellStyle name="Normal 3 5 5 5 2" xfId="11900" xr:uid="{00000000-0005-0000-0000-0000113B0000}"/>
    <cellStyle name="Normal 3 5 5 5 2 2" xfId="11907" xr:uid="{00000000-0005-0000-0000-0000123B0000}"/>
    <cellStyle name="Normal 3 5 5 5 3" xfId="11916" xr:uid="{00000000-0005-0000-0000-0000133B0000}"/>
    <cellStyle name="Normal 3 5 5 6" xfId="10298" xr:uid="{00000000-0005-0000-0000-0000143B0000}"/>
    <cellStyle name="Normal 3 5 5 6 2" xfId="11078" xr:uid="{00000000-0005-0000-0000-0000153B0000}"/>
    <cellStyle name="Normal 3 5 5 7" xfId="11491" xr:uid="{00000000-0005-0000-0000-0000163B0000}"/>
    <cellStyle name="Normal 3 5 5 7 2" xfId="11503" xr:uid="{00000000-0005-0000-0000-0000173B0000}"/>
    <cellStyle name="Normal 3 5 5 8" xfId="19590" xr:uid="{00000000-0005-0000-0000-0000183B0000}"/>
    <cellStyle name="Normal 3 5 6" xfId="4820" xr:uid="{00000000-0005-0000-0000-0000193B0000}"/>
    <cellStyle name="Normal 3 5 6 2" xfId="7622" xr:uid="{00000000-0005-0000-0000-00001A3B0000}"/>
    <cellStyle name="Normal 3 5 6 2 2" xfId="25688" xr:uid="{00000000-0005-0000-0000-00001B3B0000}"/>
    <cellStyle name="Normal 3 5 6 2 2 2" xfId="17725" xr:uid="{00000000-0005-0000-0000-00001C3B0000}"/>
    <cellStyle name="Normal 3 5 6 2 2 2 2" xfId="17729" xr:uid="{00000000-0005-0000-0000-00001D3B0000}"/>
    <cellStyle name="Normal 3 5 6 2 2 3" xfId="17737" xr:uid="{00000000-0005-0000-0000-00001E3B0000}"/>
    <cellStyle name="Normal 3 5 6 2 3" xfId="12421" xr:uid="{00000000-0005-0000-0000-00001F3B0000}"/>
    <cellStyle name="Normal 3 5 6 2 3 2" xfId="17790" xr:uid="{00000000-0005-0000-0000-0000203B0000}"/>
    <cellStyle name="Normal 3 5 6 2 4" xfId="25689" xr:uid="{00000000-0005-0000-0000-0000213B0000}"/>
    <cellStyle name="Normal 3 5 6 3" xfId="25695" xr:uid="{00000000-0005-0000-0000-0000223B0000}"/>
    <cellStyle name="Normal 3 5 6 3 2" xfId="25696" xr:uid="{00000000-0005-0000-0000-0000233B0000}"/>
    <cellStyle name="Normal 3 5 6 3 2 2" xfId="17915" xr:uid="{00000000-0005-0000-0000-0000243B0000}"/>
    <cellStyle name="Normal 3 5 6 3 3" xfId="12423" xr:uid="{00000000-0005-0000-0000-0000253B0000}"/>
    <cellStyle name="Normal 3 5 6 4" xfId="25697" xr:uid="{00000000-0005-0000-0000-0000263B0000}"/>
    <cellStyle name="Normal 3 5 6 4 2" xfId="25698" xr:uid="{00000000-0005-0000-0000-0000273B0000}"/>
    <cellStyle name="Normal 3 5 6 4 2 2" xfId="25699" xr:uid="{00000000-0005-0000-0000-0000283B0000}"/>
    <cellStyle name="Normal 3 5 6 4 3" xfId="18813" xr:uid="{00000000-0005-0000-0000-0000293B0000}"/>
    <cellStyle name="Normal 3 5 6 5" xfId="19604" xr:uid="{00000000-0005-0000-0000-00002A3B0000}"/>
    <cellStyle name="Normal 3 5 6 5 2" xfId="19607" xr:uid="{00000000-0005-0000-0000-00002B3B0000}"/>
    <cellStyle name="Normal 3 5 6 6" xfId="19616" xr:uid="{00000000-0005-0000-0000-00002C3B0000}"/>
    <cellStyle name="Normal 3 5 6 6 2" xfId="19619" xr:uid="{00000000-0005-0000-0000-00002D3B0000}"/>
    <cellStyle name="Normal 3 5 6 7" xfId="19624" xr:uid="{00000000-0005-0000-0000-00002E3B0000}"/>
    <cellStyle name="Normal 3 5 7" xfId="1813" xr:uid="{00000000-0005-0000-0000-00002F3B0000}"/>
    <cellStyle name="Normal 3 5 7 2" xfId="1122" xr:uid="{00000000-0005-0000-0000-0000303B0000}"/>
    <cellStyle name="Normal 3 5 7 2 2" xfId="4873" xr:uid="{00000000-0005-0000-0000-0000313B0000}"/>
    <cellStyle name="Normal 3 5 7 2 2 2" xfId="17537" xr:uid="{00000000-0005-0000-0000-0000323B0000}"/>
    <cellStyle name="Normal 3 5 7 2 3" xfId="25023" xr:uid="{00000000-0005-0000-0000-0000333B0000}"/>
    <cellStyle name="Normal 3 5 7 3" xfId="4590" xr:uid="{00000000-0005-0000-0000-0000343B0000}"/>
    <cellStyle name="Normal 3 5 7 3 2" xfId="25026" xr:uid="{00000000-0005-0000-0000-0000353B0000}"/>
    <cellStyle name="Normal 3 5 7 4" xfId="5268" xr:uid="{00000000-0005-0000-0000-0000363B0000}"/>
    <cellStyle name="Normal 3 5 8" xfId="2083" xr:uid="{00000000-0005-0000-0000-0000373B0000}"/>
    <cellStyle name="Normal 3 5 8 2" xfId="18130" xr:uid="{00000000-0005-0000-0000-0000383B0000}"/>
    <cellStyle name="Normal 3 5 8 2 2" xfId="18133" xr:uid="{00000000-0005-0000-0000-0000393B0000}"/>
    <cellStyle name="Normal 3 5 8 3" xfId="18136" xr:uid="{00000000-0005-0000-0000-00003A3B0000}"/>
    <cellStyle name="Normal 3 5 9" xfId="4015" xr:uid="{00000000-0005-0000-0000-00003B3B0000}"/>
    <cellStyle name="Normal 3 5 9 2" xfId="10822" xr:uid="{00000000-0005-0000-0000-00003C3B0000}"/>
    <cellStyle name="Normal 3 5 9 2 2" xfId="3124" xr:uid="{00000000-0005-0000-0000-00003D3B0000}"/>
    <cellStyle name="Normal 3 5 9 3" xfId="10832" xr:uid="{00000000-0005-0000-0000-00003E3B0000}"/>
    <cellStyle name="Normal 3 6" xfId="7631" xr:uid="{00000000-0005-0000-0000-00003F3B0000}"/>
    <cellStyle name="Normal 3 6 2" xfId="7633" xr:uid="{00000000-0005-0000-0000-0000403B0000}"/>
    <cellStyle name="Normal 3 7" xfId="7681" xr:uid="{00000000-0005-0000-0000-0000413B0000}"/>
    <cellStyle name="Normal 3 7 10" xfId="83" xr:uid="{00000000-0005-0000-0000-0000423B0000}"/>
    <cellStyle name="Normal 3 7 10 2" xfId="8178" xr:uid="{00000000-0005-0000-0000-0000433B0000}"/>
    <cellStyle name="Normal 3 7 11" xfId="8835" xr:uid="{00000000-0005-0000-0000-0000443B0000}"/>
    <cellStyle name="Normal 3 7 11 2" xfId="8848" xr:uid="{00000000-0005-0000-0000-0000453B0000}"/>
    <cellStyle name="Normal 3 7 12" xfId="8860" xr:uid="{00000000-0005-0000-0000-0000463B0000}"/>
    <cellStyle name="Normal 3 7 12 2" xfId="13301" xr:uid="{00000000-0005-0000-0000-0000473B0000}"/>
    <cellStyle name="Normal 3 7 13" xfId="18190" xr:uid="{00000000-0005-0000-0000-0000483B0000}"/>
    <cellStyle name="Normal 3 7 2" xfId="7259" xr:uid="{00000000-0005-0000-0000-0000493B0000}"/>
    <cellStyle name="Normal 3 7 2 2" xfId="4152" xr:uid="{00000000-0005-0000-0000-00004A3B0000}"/>
    <cellStyle name="Normal 3 7 2 2 2" xfId="4164" xr:uid="{00000000-0005-0000-0000-00004B3B0000}"/>
    <cellStyle name="Normal 3 7 2 2 2 2" xfId="20952" xr:uid="{00000000-0005-0000-0000-00004C3B0000}"/>
    <cellStyle name="Normal 3 7 2 2 2 2 2" xfId="20954" xr:uid="{00000000-0005-0000-0000-00004D3B0000}"/>
    <cellStyle name="Normal 3 7 2 2 2 2 2 2" xfId="20957" xr:uid="{00000000-0005-0000-0000-00004E3B0000}"/>
    <cellStyle name="Normal 3 7 2 2 2 2 2 2 2" xfId="6108" xr:uid="{00000000-0005-0000-0000-00004F3B0000}"/>
    <cellStyle name="Normal 3 7 2 2 2 2 2 3" xfId="25700" xr:uid="{00000000-0005-0000-0000-0000503B0000}"/>
    <cellStyle name="Normal 3 7 2 2 2 2 3" xfId="20959" xr:uid="{00000000-0005-0000-0000-0000513B0000}"/>
    <cellStyle name="Normal 3 7 2 2 2 2 3 2" xfId="25701" xr:uid="{00000000-0005-0000-0000-0000523B0000}"/>
    <cellStyle name="Normal 3 7 2 2 2 2 4" xfId="16997" xr:uid="{00000000-0005-0000-0000-0000533B0000}"/>
    <cellStyle name="Normal 3 7 2 2 2 3" xfId="20963" xr:uid="{00000000-0005-0000-0000-0000543B0000}"/>
    <cellStyle name="Normal 3 7 2 2 2 3 2" xfId="20969" xr:uid="{00000000-0005-0000-0000-0000553B0000}"/>
    <cellStyle name="Normal 3 7 2 2 2 3 2 2" xfId="25703" xr:uid="{00000000-0005-0000-0000-0000563B0000}"/>
    <cellStyle name="Normal 3 7 2 2 2 3 3" xfId="23227" xr:uid="{00000000-0005-0000-0000-0000573B0000}"/>
    <cellStyle name="Normal 3 7 2 2 2 4" xfId="20973" xr:uid="{00000000-0005-0000-0000-0000583B0000}"/>
    <cellStyle name="Normal 3 7 2 2 2 4 2" xfId="20976" xr:uid="{00000000-0005-0000-0000-0000593B0000}"/>
    <cellStyle name="Normal 3 7 2 2 2 4 2 2" xfId="25706" xr:uid="{00000000-0005-0000-0000-00005A3B0000}"/>
    <cellStyle name="Normal 3 7 2 2 2 4 3" xfId="25707" xr:uid="{00000000-0005-0000-0000-00005B3B0000}"/>
    <cellStyle name="Normal 3 7 2 2 2 5" xfId="20979" xr:uid="{00000000-0005-0000-0000-00005C3B0000}"/>
    <cellStyle name="Normal 3 7 2 2 2 5 2" xfId="25709" xr:uid="{00000000-0005-0000-0000-00005D3B0000}"/>
    <cellStyle name="Normal 3 7 2 2 2 6" xfId="20984" xr:uid="{00000000-0005-0000-0000-00005E3B0000}"/>
    <cellStyle name="Normal 3 7 2 2 2 6 2" xfId="23139" xr:uid="{00000000-0005-0000-0000-00005F3B0000}"/>
    <cellStyle name="Normal 3 7 2 2 2 7" xfId="23145" xr:uid="{00000000-0005-0000-0000-0000603B0000}"/>
    <cellStyle name="Normal 3 7 2 2 3" xfId="25710" xr:uid="{00000000-0005-0000-0000-0000613B0000}"/>
    <cellStyle name="Normal 3 7 2 2 3 2" xfId="20996" xr:uid="{00000000-0005-0000-0000-0000623B0000}"/>
    <cellStyle name="Normal 3 7 2 2 3 2 2" xfId="25711" xr:uid="{00000000-0005-0000-0000-0000633B0000}"/>
    <cellStyle name="Normal 3 7 2 2 3 2 2 2" xfId="25712" xr:uid="{00000000-0005-0000-0000-0000643B0000}"/>
    <cellStyle name="Normal 3 7 2 2 3 2 3" xfId="25713" xr:uid="{00000000-0005-0000-0000-0000653B0000}"/>
    <cellStyle name="Normal 3 7 2 2 3 3" xfId="23781" xr:uid="{00000000-0005-0000-0000-0000663B0000}"/>
    <cellStyle name="Normal 3 7 2 2 3 3 2" xfId="4819" xr:uid="{00000000-0005-0000-0000-0000673B0000}"/>
    <cellStyle name="Normal 3 7 2 2 3 4" xfId="25714" xr:uid="{00000000-0005-0000-0000-0000683B0000}"/>
    <cellStyle name="Normal 3 7 2 2 4" xfId="25715" xr:uid="{00000000-0005-0000-0000-0000693B0000}"/>
    <cellStyle name="Normal 3 7 2 2 4 2" xfId="25716" xr:uid="{00000000-0005-0000-0000-00006A3B0000}"/>
    <cellStyle name="Normal 3 7 2 2 4 2 2" xfId="25718" xr:uid="{00000000-0005-0000-0000-00006B3B0000}"/>
    <cellStyle name="Normal 3 7 2 2 4 3" xfId="25719" xr:uid="{00000000-0005-0000-0000-00006C3B0000}"/>
    <cellStyle name="Normal 3 7 2 2 5" xfId="25720" xr:uid="{00000000-0005-0000-0000-00006D3B0000}"/>
    <cellStyle name="Normal 3 7 2 2 5 2" xfId="25721" xr:uid="{00000000-0005-0000-0000-00006E3B0000}"/>
    <cellStyle name="Normal 3 7 2 2 5 2 2" xfId="25726" xr:uid="{00000000-0005-0000-0000-00006F3B0000}"/>
    <cellStyle name="Normal 3 7 2 2 5 3" xfId="25727" xr:uid="{00000000-0005-0000-0000-0000703B0000}"/>
    <cellStyle name="Normal 3 7 2 2 6" xfId="25728" xr:uid="{00000000-0005-0000-0000-0000713B0000}"/>
    <cellStyle name="Normal 3 7 2 2 6 2" xfId="25729" xr:uid="{00000000-0005-0000-0000-0000723B0000}"/>
    <cellStyle name="Normal 3 7 2 2 7" xfId="12001" xr:uid="{00000000-0005-0000-0000-0000733B0000}"/>
    <cellStyle name="Normal 3 7 2 2 7 2" xfId="362" xr:uid="{00000000-0005-0000-0000-0000743B0000}"/>
    <cellStyle name="Normal 3 7 2 2 8" xfId="12019" xr:uid="{00000000-0005-0000-0000-0000753B0000}"/>
    <cellStyle name="Normal 3 7 2 3" xfId="4178" xr:uid="{00000000-0005-0000-0000-0000763B0000}"/>
    <cellStyle name="Normal 3 7 2 3 2" xfId="25730" xr:uid="{00000000-0005-0000-0000-0000773B0000}"/>
    <cellStyle name="Normal 3 7 2 3 2 2" xfId="14714" xr:uid="{00000000-0005-0000-0000-0000783B0000}"/>
    <cellStyle name="Normal 3 7 2 3 2 2 2" xfId="14717" xr:uid="{00000000-0005-0000-0000-0000793B0000}"/>
    <cellStyle name="Normal 3 7 2 3 2 2 2 2" xfId="14721" xr:uid="{00000000-0005-0000-0000-00007A3B0000}"/>
    <cellStyle name="Normal 3 7 2 3 2 2 3" xfId="14748" xr:uid="{00000000-0005-0000-0000-00007B3B0000}"/>
    <cellStyle name="Normal 3 7 2 3 2 3" xfId="14798" xr:uid="{00000000-0005-0000-0000-00007C3B0000}"/>
    <cellStyle name="Normal 3 7 2 3 2 3 2" xfId="14803" xr:uid="{00000000-0005-0000-0000-00007D3B0000}"/>
    <cellStyle name="Normal 3 7 2 3 2 4" xfId="14816" xr:uid="{00000000-0005-0000-0000-00007E3B0000}"/>
    <cellStyle name="Normal 3 7 2 3 3" xfId="25731" xr:uid="{00000000-0005-0000-0000-00007F3B0000}"/>
    <cellStyle name="Normal 3 7 2 3 3 2" xfId="14904" xr:uid="{00000000-0005-0000-0000-0000803B0000}"/>
    <cellStyle name="Normal 3 7 2 3 3 2 2" xfId="14906" xr:uid="{00000000-0005-0000-0000-0000813B0000}"/>
    <cellStyle name="Normal 3 7 2 3 3 3" xfId="14932" xr:uid="{00000000-0005-0000-0000-0000823B0000}"/>
    <cellStyle name="Normal 3 7 2 3 4" xfId="25732" xr:uid="{00000000-0005-0000-0000-0000833B0000}"/>
    <cellStyle name="Normal 3 7 2 3 4 2" xfId="15027" xr:uid="{00000000-0005-0000-0000-0000843B0000}"/>
    <cellStyle name="Normal 3 7 2 3 4 2 2" xfId="15030" xr:uid="{00000000-0005-0000-0000-0000853B0000}"/>
    <cellStyle name="Normal 3 7 2 3 4 3" xfId="15038" xr:uid="{00000000-0005-0000-0000-0000863B0000}"/>
    <cellStyle name="Normal 3 7 2 3 5" xfId="25733" xr:uid="{00000000-0005-0000-0000-0000873B0000}"/>
    <cellStyle name="Normal 3 7 2 3 5 2" xfId="15079" xr:uid="{00000000-0005-0000-0000-0000883B0000}"/>
    <cellStyle name="Normal 3 7 2 3 6" xfId="25734" xr:uid="{00000000-0005-0000-0000-0000893B0000}"/>
    <cellStyle name="Normal 3 7 2 3 6 2" xfId="15128" xr:uid="{00000000-0005-0000-0000-00008A3B0000}"/>
    <cellStyle name="Normal 3 7 2 3 7" xfId="12037" xr:uid="{00000000-0005-0000-0000-00008B3B0000}"/>
    <cellStyle name="Normal 3 7 2 4" xfId="4201" xr:uid="{00000000-0005-0000-0000-00008C3B0000}"/>
    <cellStyle name="Normal 3 7 2 4 2" xfId="25735" xr:uid="{00000000-0005-0000-0000-00008D3B0000}"/>
    <cellStyle name="Normal 3 7 2 4 2 2" xfId="15376" xr:uid="{00000000-0005-0000-0000-00008E3B0000}"/>
    <cellStyle name="Normal 3 7 2 4 2 2 2" xfId="15379" xr:uid="{00000000-0005-0000-0000-00008F3B0000}"/>
    <cellStyle name="Normal 3 7 2 4 2 3" xfId="15414" xr:uid="{00000000-0005-0000-0000-0000903B0000}"/>
    <cellStyle name="Normal 3 7 2 4 3" xfId="25736" xr:uid="{00000000-0005-0000-0000-0000913B0000}"/>
    <cellStyle name="Normal 3 7 2 4 3 2" xfId="15509" xr:uid="{00000000-0005-0000-0000-0000923B0000}"/>
    <cellStyle name="Normal 3 7 2 4 4" xfId="25737" xr:uid="{00000000-0005-0000-0000-0000933B0000}"/>
    <cellStyle name="Normal 3 7 2 5" xfId="14662" xr:uid="{00000000-0005-0000-0000-0000943B0000}"/>
    <cellStyle name="Normal 3 7 2 5 2" xfId="13963" xr:uid="{00000000-0005-0000-0000-0000953B0000}"/>
    <cellStyle name="Normal 3 7 2 5 2 2" xfId="15839" xr:uid="{00000000-0005-0000-0000-0000963B0000}"/>
    <cellStyle name="Normal 3 7 2 5 3" xfId="10952" xr:uid="{00000000-0005-0000-0000-0000973B0000}"/>
    <cellStyle name="Normal 3 7 2 6" xfId="14669" xr:uid="{00000000-0005-0000-0000-0000983B0000}"/>
    <cellStyle name="Normal 3 7 2 6 2" xfId="25739" xr:uid="{00000000-0005-0000-0000-0000993B0000}"/>
    <cellStyle name="Normal 3 7 2 6 2 2" xfId="15945" xr:uid="{00000000-0005-0000-0000-00009A3B0000}"/>
    <cellStyle name="Normal 3 7 2 6 3" xfId="25740" xr:uid="{00000000-0005-0000-0000-00009B3B0000}"/>
    <cellStyle name="Normal 3 7 2 7" xfId="18384" xr:uid="{00000000-0005-0000-0000-00009C3B0000}"/>
    <cellStyle name="Normal 3 7 2 7 2" xfId="18389" xr:uid="{00000000-0005-0000-0000-00009D3B0000}"/>
    <cellStyle name="Normal 3 7 2 8" xfId="18391" xr:uid="{00000000-0005-0000-0000-00009E3B0000}"/>
    <cellStyle name="Normal 3 7 2 8 2" xfId="22617" xr:uid="{00000000-0005-0000-0000-00009F3B0000}"/>
    <cellStyle name="Normal 3 7 2 9" xfId="25419" xr:uid="{00000000-0005-0000-0000-0000A03B0000}"/>
    <cellStyle name="Normal 3 7 3" xfId="7265" xr:uid="{00000000-0005-0000-0000-0000A13B0000}"/>
    <cellStyle name="Normal 3 7 3 2" xfId="2713" xr:uid="{00000000-0005-0000-0000-0000A23B0000}"/>
    <cellStyle name="Normal 3 7 3 2 2" xfId="21509" xr:uid="{00000000-0005-0000-0000-0000A33B0000}"/>
    <cellStyle name="Normal 3 7 3 2 2 2" xfId="21173" xr:uid="{00000000-0005-0000-0000-0000A43B0000}"/>
    <cellStyle name="Normal 3 7 3 2 2 2 2" xfId="25741" xr:uid="{00000000-0005-0000-0000-0000A53B0000}"/>
    <cellStyle name="Normal 3 7 3 2 2 2 2 2" xfId="25742" xr:uid="{00000000-0005-0000-0000-0000A63B0000}"/>
    <cellStyle name="Normal 3 7 3 2 2 2 3" xfId="25746" xr:uid="{00000000-0005-0000-0000-0000A73B0000}"/>
    <cellStyle name="Normal 3 7 3 2 2 3" xfId="20365" xr:uid="{00000000-0005-0000-0000-0000A83B0000}"/>
    <cellStyle name="Normal 3 7 3 2 2 3 2" xfId="20368" xr:uid="{00000000-0005-0000-0000-0000A93B0000}"/>
    <cellStyle name="Normal 3 7 3 2 2 4" xfId="20371" xr:uid="{00000000-0005-0000-0000-0000AA3B0000}"/>
    <cellStyle name="Normal 3 7 3 2 3" xfId="2392" xr:uid="{00000000-0005-0000-0000-0000AB3B0000}"/>
    <cellStyle name="Normal 3 7 3 2 3 2" xfId="25747" xr:uid="{00000000-0005-0000-0000-0000AC3B0000}"/>
    <cellStyle name="Normal 3 7 3 2 3 2 2" xfId="25749" xr:uid="{00000000-0005-0000-0000-0000AD3B0000}"/>
    <cellStyle name="Normal 3 7 3 2 3 3" xfId="20373" xr:uid="{00000000-0005-0000-0000-0000AE3B0000}"/>
    <cellStyle name="Normal 3 7 3 2 4" xfId="13392" xr:uid="{00000000-0005-0000-0000-0000AF3B0000}"/>
    <cellStyle name="Normal 3 7 3 2 4 2" xfId="13397" xr:uid="{00000000-0005-0000-0000-0000B03B0000}"/>
    <cellStyle name="Normal 3 7 3 2 4 2 2" xfId="13411" xr:uid="{00000000-0005-0000-0000-0000B13B0000}"/>
    <cellStyle name="Normal 3 7 3 2 4 3" xfId="13475" xr:uid="{00000000-0005-0000-0000-0000B23B0000}"/>
    <cellStyle name="Normal 3 7 3 2 5" xfId="13530" xr:uid="{00000000-0005-0000-0000-0000B33B0000}"/>
    <cellStyle name="Normal 3 7 3 2 5 2" xfId="13534" xr:uid="{00000000-0005-0000-0000-0000B43B0000}"/>
    <cellStyle name="Normal 3 7 3 2 6" xfId="13548" xr:uid="{00000000-0005-0000-0000-0000B53B0000}"/>
    <cellStyle name="Normal 3 7 3 2 6 2" xfId="13552" xr:uid="{00000000-0005-0000-0000-0000B63B0000}"/>
    <cellStyle name="Normal 3 7 3 2 7" xfId="12408" xr:uid="{00000000-0005-0000-0000-0000B73B0000}"/>
    <cellStyle name="Normal 3 7 3 3" xfId="25750" xr:uid="{00000000-0005-0000-0000-0000B83B0000}"/>
    <cellStyle name="Normal 3 7 3 3 2" xfId="25751" xr:uid="{00000000-0005-0000-0000-0000B93B0000}"/>
    <cellStyle name="Normal 3 7 3 3 2 2" xfId="7702" xr:uid="{00000000-0005-0000-0000-0000BA3B0000}"/>
    <cellStyle name="Normal 3 7 3 3 2 2 2" xfId="7711" xr:uid="{00000000-0005-0000-0000-0000BB3B0000}"/>
    <cellStyle name="Normal 3 7 3 3 2 3" xfId="7718" xr:uid="{00000000-0005-0000-0000-0000BC3B0000}"/>
    <cellStyle name="Normal 3 7 3 3 3" xfId="15182" xr:uid="{00000000-0005-0000-0000-0000BD3B0000}"/>
    <cellStyle name="Normal 3 7 3 3 3 2" xfId="8512" xr:uid="{00000000-0005-0000-0000-0000BE3B0000}"/>
    <cellStyle name="Normal 3 7 3 3 4" xfId="13559" xr:uid="{00000000-0005-0000-0000-0000BF3B0000}"/>
    <cellStyle name="Normal 3 7 3 4" xfId="25752" xr:uid="{00000000-0005-0000-0000-0000C03B0000}"/>
    <cellStyle name="Normal 3 7 3 4 2" xfId="12932" xr:uid="{00000000-0005-0000-0000-0000C13B0000}"/>
    <cellStyle name="Normal 3 7 3 4 2 2" xfId="12733" xr:uid="{00000000-0005-0000-0000-0000C23B0000}"/>
    <cellStyle name="Normal 3 7 3 4 3" xfId="25753" xr:uid="{00000000-0005-0000-0000-0000C33B0000}"/>
    <cellStyle name="Normal 3 7 3 5" xfId="14676" xr:uid="{00000000-0005-0000-0000-0000C43B0000}"/>
    <cellStyle name="Normal 3 7 3 5 2" xfId="12583" xr:uid="{00000000-0005-0000-0000-0000C53B0000}"/>
    <cellStyle name="Normal 3 7 3 5 2 2" xfId="16425" xr:uid="{00000000-0005-0000-0000-0000C63B0000}"/>
    <cellStyle name="Normal 3 7 3 5 3" xfId="25754" xr:uid="{00000000-0005-0000-0000-0000C73B0000}"/>
    <cellStyle name="Normal 3 7 3 6" xfId="25755" xr:uid="{00000000-0005-0000-0000-0000C83B0000}"/>
    <cellStyle name="Normal 3 7 3 6 2" xfId="25760" xr:uid="{00000000-0005-0000-0000-0000C93B0000}"/>
    <cellStyle name="Normal 3 7 3 7" xfId="18395" xr:uid="{00000000-0005-0000-0000-0000CA3B0000}"/>
    <cellStyle name="Normal 3 7 3 7 2" xfId="18397" xr:uid="{00000000-0005-0000-0000-0000CB3B0000}"/>
    <cellStyle name="Normal 3 7 3 8" xfId="18399" xr:uid="{00000000-0005-0000-0000-0000CC3B0000}"/>
    <cellStyle name="Normal 3 7 4" xfId="7684" xr:uid="{00000000-0005-0000-0000-0000CD3B0000}"/>
    <cellStyle name="Normal 3 7 4 2" xfId="7690" xr:uid="{00000000-0005-0000-0000-0000CE3B0000}"/>
    <cellStyle name="Normal 3 7 4 2 2" xfId="25761" xr:uid="{00000000-0005-0000-0000-0000CF3B0000}"/>
    <cellStyle name="Normal 3 7 4 2 2 2" xfId="25762" xr:uid="{00000000-0005-0000-0000-0000D03B0000}"/>
    <cellStyle name="Normal 3 7 4 2 2 2 2" xfId="25763" xr:uid="{00000000-0005-0000-0000-0000D13B0000}"/>
    <cellStyle name="Normal 3 7 4 2 2 2 2 2" xfId="25764" xr:uid="{00000000-0005-0000-0000-0000D23B0000}"/>
    <cellStyle name="Normal 3 7 4 2 2 2 3" xfId="25765" xr:uid="{00000000-0005-0000-0000-0000D33B0000}"/>
    <cellStyle name="Normal 3 7 4 2 2 3" xfId="23836" xr:uid="{00000000-0005-0000-0000-0000D43B0000}"/>
    <cellStyle name="Normal 3 7 4 2 2 3 2" xfId="25766" xr:uid="{00000000-0005-0000-0000-0000D53B0000}"/>
    <cellStyle name="Normal 3 7 4 2 2 4" xfId="25767" xr:uid="{00000000-0005-0000-0000-0000D63B0000}"/>
    <cellStyle name="Normal 3 7 4 2 3" xfId="25768" xr:uid="{00000000-0005-0000-0000-0000D73B0000}"/>
    <cellStyle name="Normal 3 7 4 2 3 2" xfId="25769" xr:uid="{00000000-0005-0000-0000-0000D83B0000}"/>
    <cellStyle name="Normal 3 7 4 2 3 2 2" xfId="25771" xr:uid="{00000000-0005-0000-0000-0000D93B0000}"/>
    <cellStyle name="Normal 3 7 4 2 3 3" xfId="25772" xr:uid="{00000000-0005-0000-0000-0000DA3B0000}"/>
    <cellStyle name="Normal 3 7 4 2 4" xfId="6621" xr:uid="{00000000-0005-0000-0000-0000DB3B0000}"/>
    <cellStyle name="Normal 3 7 4 2 4 2" xfId="25342" xr:uid="{00000000-0005-0000-0000-0000DC3B0000}"/>
    <cellStyle name="Normal 3 7 4 2 4 2 2" xfId="25775" xr:uid="{00000000-0005-0000-0000-0000DD3B0000}"/>
    <cellStyle name="Normal 3 7 4 2 4 3" xfId="25776" xr:uid="{00000000-0005-0000-0000-0000DE3B0000}"/>
    <cellStyle name="Normal 3 7 4 2 5" xfId="25346" xr:uid="{00000000-0005-0000-0000-0000DF3B0000}"/>
    <cellStyle name="Normal 3 7 4 2 5 2" xfId="16703" xr:uid="{00000000-0005-0000-0000-0000E03B0000}"/>
    <cellStyle name="Normal 3 7 4 2 6" xfId="22320" xr:uid="{00000000-0005-0000-0000-0000E13B0000}"/>
    <cellStyle name="Normal 3 7 4 2 6 2" xfId="22323" xr:uid="{00000000-0005-0000-0000-0000E23B0000}"/>
    <cellStyle name="Normal 3 7 4 2 7" xfId="22326" xr:uid="{00000000-0005-0000-0000-0000E33B0000}"/>
    <cellStyle name="Normal 3 7 4 3" xfId="25777" xr:uid="{00000000-0005-0000-0000-0000E43B0000}"/>
    <cellStyle name="Normal 3 7 4 3 2" xfId="16041" xr:uid="{00000000-0005-0000-0000-0000E53B0000}"/>
    <cellStyle name="Normal 3 7 4 3 2 2" xfId="16550" xr:uid="{00000000-0005-0000-0000-0000E63B0000}"/>
    <cellStyle name="Normal 3 7 4 3 2 2 2" xfId="16554" xr:uid="{00000000-0005-0000-0000-0000E73B0000}"/>
    <cellStyle name="Normal 3 7 4 3 2 3" xfId="16559" xr:uid="{00000000-0005-0000-0000-0000E83B0000}"/>
    <cellStyle name="Normal 3 7 4 3 3" xfId="25779" xr:uid="{00000000-0005-0000-0000-0000E93B0000}"/>
    <cellStyle name="Normal 3 7 4 3 3 2" xfId="16572" xr:uid="{00000000-0005-0000-0000-0000EA3B0000}"/>
    <cellStyle name="Normal 3 7 4 3 4" xfId="6634" xr:uid="{00000000-0005-0000-0000-0000EB3B0000}"/>
    <cellStyle name="Normal 3 7 4 4" xfId="25781" xr:uid="{00000000-0005-0000-0000-0000EC3B0000}"/>
    <cellStyle name="Normal 3 7 4 4 2" xfId="25783" xr:uid="{00000000-0005-0000-0000-0000ED3B0000}"/>
    <cellStyle name="Normal 3 7 4 4 2 2" xfId="16601" xr:uid="{00000000-0005-0000-0000-0000EE3B0000}"/>
    <cellStyle name="Normal 3 7 4 4 3" xfId="25785" xr:uid="{00000000-0005-0000-0000-0000EF3B0000}"/>
    <cellStyle name="Normal 3 7 4 5" xfId="25787" xr:uid="{00000000-0005-0000-0000-0000F03B0000}"/>
    <cellStyle name="Normal 3 7 4 5 2" xfId="9188" xr:uid="{00000000-0005-0000-0000-0000F13B0000}"/>
    <cellStyle name="Normal 3 7 4 5 2 2" xfId="9191" xr:uid="{00000000-0005-0000-0000-0000F23B0000}"/>
    <cellStyle name="Normal 3 7 4 5 3" xfId="9202" xr:uid="{00000000-0005-0000-0000-0000F33B0000}"/>
    <cellStyle name="Normal 3 7 4 6" xfId="25792" xr:uid="{00000000-0005-0000-0000-0000F43B0000}"/>
    <cellStyle name="Normal 3 7 4 6 2" xfId="9251" xr:uid="{00000000-0005-0000-0000-0000F53B0000}"/>
    <cellStyle name="Normal 3 7 4 7" xfId="18401" xr:uid="{00000000-0005-0000-0000-0000F63B0000}"/>
    <cellStyle name="Normal 3 7 4 7 2" xfId="8523" xr:uid="{00000000-0005-0000-0000-0000F73B0000}"/>
    <cellStyle name="Normal 3 7 4 8" xfId="25424" xr:uid="{00000000-0005-0000-0000-0000F83B0000}"/>
    <cellStyle name="Normal 3 7 5" xfId="2753" xr:uid="{00000000-0005-0000-0000-0000F93B0000}"/>
    <cellStyle name="Normal 3 7 5 2" xfId="25794" xr:uid="{00000000-0005-0000-0000-0000FA3B0000}"/>
    <cellStyle name="Normal 3 7 5 2 2" xfId="25795" xr:uid="{00000000-0005-0000-0000-0000FB3B0000}"/>
    <cellStyle name="Normal 3 7 5 2 2 2" xfId="5158" xr:uid="{00000000-0005-0000-0000-0000FC3B0000}"/>
    <cellStyle name="Normal 3 7 5 2 2 2 2" xfId="16330" xr:uid="{00000000-0005-0000-0000-0000FD3B0000}"/>
    <cellStyle name="Normal 3 7 5 2 2 2 2 2" xfId="25798" xr:uid="{00000000-0005-0000-0000-0000FE3B0000}"/>
    <cellStyle name="Normal 3 7 5 2 2 2 3" xfId="13585" xr:uid="{00000000-0005-0000-0000-0000FF3B0000}"/>
    <cellStyle name="Normal 3 7 5 2 2 3" xfId="16332" xr:uid="{00000000-0005-0000-0000-0000003C0000}"/>
    <cellStyle name="Normal 3 7 5 2 2 3 2" xfId="16335" xr:uid="{00000000-0005-0000-0000-0000013C0000}"/>
    <cellStyle name="Normal 3 7 5 2 2 4" xfId="12152" xr:uid="{00000000-0005-0000-0000-0000023C0000}"/>
    <cellStyle name="Normal 3 7 5 2 3" xfId="25799" xr:uid="{00000000-0005-0000-0000-0000033C0000}"/>
    <cellStyle name="Normal 3 7 5 2 3 2" xfId="16383" xr:uid="{00000000-0005-0000-0000-0000043C0000}"/>
    <cellStyle name="Normal 3 7 5 2 3 2 2" xfId="12859" xr:uid="{00000000-0005-0000-0000-0000053C0000}"/>
    <cellStyle name="Normal 3 7 5 2 3 3" xfId="16388" xr:uid="{00000000-0005-0000-0000-0000063C0000}"/>
    <cellStyle name="Normal 3 7 5 2 4" xfId="13771" xr:uid="{00000000-0005-0000-0000-0000073C0000}"/>
    <cellStyle name="Normal 3 7 5 2 4 2" xfId="16439" xr:uid="{00000000-0005-0000-0000-0000083C0000}"/>
    <cellStyle name="Normal 3 7 5 2 4 2 2" xfId="16444" xr:uid="{00000000-0005-0000-0000-0000093C0000}"/>
    <cellStyle name="Normal 3 7 5 2 4 3" xfId="16449" xr:uid="{00000000-0005-0000-0000-00000A3C0000}"/>
    <cellStyle name="Normal 3 7 5 2 5" xfId="25802" xr:uid="{00000000-0005-0000-0000-00000B3C0000}"/>
    <cellStyle name="Normal 3 7 5 2 5 2" xfId="16497" xr:uid="{00000000-0005-0000-0000-00000C3C0000}"/>
    <cellStyle name="Normal 3 7 5 2 6" xfId="25276" xr:uid="{00000000-0005-0000-0000-00000D3C0000}"/>
    <cellStyle name="Normal 3 7 5 2 6 2" xfId="16516" xr:uid="{00000000-0005-0000-0000-00000E3C0000}"/>
    <cellStyle name="Normal 3 7 5 2 7" xfId="25803" xr:uid="{00000000-0005-0000-0000-00000F3C0000}"/>
    <cellStyle name="Normal 3 7 5 3" xfId="25805" xr:uid="{00000000-0005-0000-0000-0000103C0000}"/>
    <cellStyle name="Normal 3 7 5 3 2" xfId="25807" xr:uid="{00000000-0005-0000-0000-0000113C0000}"/>
    <cellStyle name="Normal 3 7 5 3 2 2" xfId="16586" xr:uid="{00000000-0005-0000-0000-0000123C0000}"/>
    <cellStyle name="Normal 3 7 5 3 2 2 2" xfId="16591" xr:uid="{00000000-0005-0000-0000-0000133C0000}"/>
    <cellStyle name="Normal 3 7 5 3 2 3" xfId="16594" xr:uid="{00000000-0005-0000-0000-0000143C0000}"/>
    <cellStyle name="Normal 3 7 5 3 3" xfId="25809" xr:uid="{00000000-0005-0000-0000-0000153C0000}"/>
    <cellStyle name="Normal 3 7 5 3 3 2" xfId="16626" xr:uid="{00000000-0005-0000-0000-0000163C0000}"/>
    <cellStyle name="Normal 3 7 5 3 4" xfId="8725" xr:uid="{00000000-0005-0000-0000-0000173C0000}"/>
    <cellStyle name="Normal 3 7 5 4" xfId="25813" xr:uid="{00000000-0005-0000-0000-0000183C0000}"/>
    <cellStyle name="Normal 3 7 5 4 2" xfId="25815" xr:uid="{00000000-0005-0000-0000-0000193C0000}"/>
    <cellStyle name="Normal 3 7 5 4 2 2" xfId="16717" xr:uid="{00000000-0005-0000-0000-00001A3C0000}"/>
    <cellStyle name="Normal 3 7 5 4 3" xfId="25817" xr:uid="{00000000-0005-0000-0000-00001B3C0000}"/>
    <cellStyle name="Normal 3 7 5 5" xfId="19740" xr:uid="{00000000-0005-0000-0000-00001C3C0000}"/>
    <cellStyle name="Normal 3 7 5 5 2" xfId="9357" xr:uid="{00000000-0005-0000-0000-00001D3C0000}"/>
    <cellStyle name="Normal 3 7 5 5 2 2" xfId="9364" xr:uid="{00000000-0005-0000-0000-00001E3C0000}"/>
    <cellStyle name="Normal 3 7 5 5 3" xfId="9379" xr:uid="{00000000-0005-0000-0000-00001F3C0000}"/>
    <cellStyle name="Normal 3 7 5 6" xfId="5569" xr:uid="{00000000-0005-0000-0000-0000203C0000}"/>
    <cellStyle name="Normal 3 7 5 6 2" xfId="1771" xr:uid="{00000000-0005-0000-0000-0000213C0000}"/>
    <cellStyle name="Normal 3 7 5 7" xfId="5577" xr:uid="{00000000-0005-0000-0000-0000223C0000}"/>
    <cellStyle name="Normal 3 7 5 7 2" xfId="4110" xr:uid="{00000000-0005-0000-0000-0000233C0000}"/>
    <cellStyle name="Normal 3 7 5 8" xfId="5594" xr:uid="{00000000-0005-0000-0000-0000243C0000}"/>
    <cellStyle name="Normal 3 7 6" xfId="7694" xr:uid="{00000000-0005-0000-0000-0000253C0000}"/>
    <cellStyle name="Normal 3 7 6 2" xfId="25821" xr:uid="{00000000-0005-0000-0000-0000263C0000}"/>
    <cellStyle name="Normal 3 7 6 2 2" xfId="25824" xr:uid="{00000000-0005-0000-0000-0000273C0000}"/>
    <cellStyle name="Normal 3 7 6 2 2 2" xfId="17202" xr:uid="{00000000-0005-0000-0000-0000283C0000}"/>
    <cellStyle name="Normal 3 7 6 2 2 2 2" xfId="1442" xr:uid="{00000000-0005-0000-0000-0000293C0000}"/>
    <cellStyle name="Normal 3 7 6 2 2 3" xfId="17210" xr:uid="{00000000-0005-0000-0000-00002A3C0000}"/>
    <cellStyle name="Normal 3 7 6 2 3" xfId="25825" xr:uid="{00000000-0005-0000-0000-00002B3C0000}"/>
    <cellStyle name="Normal 3 7 6 2 3 2" xfId="17242" xr:uid="{00000000-0005-0000-0000-00002C3C0000}"/>
    <cellStyle name="Normal 3 7 6 2 4" xfId="25828" xr:uid="{00000000-0005-0000-0000-00002D3C0000}"/>
    <cellStyle name="Normal 3 7 6 3" xfId="25831" xr:uid="{00000000-0005-0000-0000-00002E3C0000}"/>
    <cellStyle name="Normal 3 7 6 3 2" xfId="25835" xr:uid="{00000000-0005-0000-0000-00002F3C0000}"/>
    <cellStyle name="Normal 3 7 6 3 2 2" xfId="16786" xr:uid="{00000000-0005-0000-0000-0000303C0000}"/>
    <cellStyle name="Normal 3 7 6 3 3" xfId="25837" xr:uid="{00000000-0005-0000-0000-0000313C0000}"/>
    <cellStyle name="Normal 3 7 6 4" xfId="25841" xr:uid="{00000000-0005-0000-0000-0000323C0000}"/>
    <cellStyle name="Normal 3 7 6 4 2" xfId="25843" xr:uid="{00000000-0005-0000-0000-0000333C0000}"/>
    <cellStyle name="Normal 3 7 6 4 2 2" xfId="14460" xr:uid="{00000000-0005-0000-0000-0000343C0000}"/>
    <cellStyle name="Normal 3 7 6 4 3" xfId="25845" xr:uid="{00000000-0005-0000-0000-0000353C0000}"/>
    <cellStyle name="Normal 3 7 6 5" xfId="19750" xr:uid="{00000000-0005-0000-0000-0000363C0000}"/>
    <cellStyle name="Normal 3 7 6 5 2" xfId="9516" xr:uid="{00000000-0005-0000-0000-0000373C0000}"/>
    <cellStyle name="Normal 3 7 6 6" xfId="5653" xr:uid="{00000000-0005-0000-0000-0000383C0000}"/>
    <cellStyle name="Normal 3 7 6 6 2" xfId="2619" xr:uid="{00000000-0005-0000-0000-0000393C0000}"/>
    <cellStyle name="Normal 3 7 6 7" xfId="5661" xr:uid="{00000000-0005-0000-0000-00003A3C0000}"/>
    <cellStyle name="Normal 3 7 7" xfId="25850" xr:uid="{00000000-0005-0000-0000-00003B3C0000}"/>
    <cellStyle name="Normal 3 7 7 2" xfId="25227" xr:uid="{00000000-0005-0000-0000-00003C3C0000}"/>
    <cellStyle name="Normal 3 7 7 2 2" xfId="25230" xr:uid="{00000000-0005-0000-0000-00003D3C0000}"/>
    <cellStyle name="Normal 3 7 7 2 2 2" xfId="25852" xr:uid="{00000000-0005-0000-0000-00003E3C0000}"/>
    <cellStyle name="Normal 3 7 7 2 3" xfId="25853" xr:uid="{00000000-0005-0000-0000-00003F3C0000}"/>
    <cellStyle name="Normal 3 7 7 3" xfId="25231" xr:uid="{00000000-0005-0000-0000-0000403C0000}"/>
    <cellStyle name="Normal 3 7 7 3 2" xfId="25234" xr:uid="{00000000-0005-0000-0000-0000413C0000}"/>
    <cellStyle name="Normal 3 7 7 4" xfId="25237" xr:uid="{00000000-0005-0000-0000-0000423C0000}"/>
    <cellStyle name="Normal 3 7 8" xfId="25857" xr:uid="{00000000-0005-0000-0000-0000433C0000}"/>
    <cellStyle name="Normal 3 7 8 2" xfId="25859" xr:uid="{00000000-0005-0000-0000-0000443C0000}"/>
    <cellStyle name="Normal 3 7 8 2 2" xfId="5266" xr:uid="{00000000-0005-0000-0000-0000453C0000}"/>
    <cellStyle name="Normal 3 7 8 3" xfId="25863" xr:uid="{00000000-0005-0000-0000-0000463C0000}"/>
    <cellStyle name="Normal 3 7 9" xfId="25866" xr:uid="{00000000-0005-0000-0000-0000473C0000}"/>
    <cellStyle name="Normal 3 7 9 2" xfId="18769" xr:uid="{00000000-0005-0000-0000-0000483C0000}"/>
    <cellStyle name="Normal 3 7 9 2 2" xfId="6052" xr:uid="{00000000-0005-0000-0000-0000493C0000}"/>
    <cellStyle name="Normal 3 7 9 3" xfId="25867" xr:uid="{00000000-0005-0000-0000-00004A3C0000}"/>
    <cellStyle name="Normal 3 8" xfId="7700" xr:uid="{00000000-0005-0000-0000-00004B3C0000}"/>
    <cellStyle name="Normal 3 9" xfId="7709" xr:uid="{00000000-0005-0000-0000-00004C3C0000}"/>
    <cellStyle name="Normal 3 9 2" xfId="7717" xr:uid="{00000000-0005-0000-0000-00004D3C0000}"/>
    <cellStyle name="Normal 3 9 2 2" xfId="25869" xr:uid="{00000000-0005-0000-0000-00004E3C0000}"/>
    <cellStyle name="Normal 3 9 2 2 2" xfId="25873" xr:uid="{00000000-0005-0000-0000-00004F3C0000}"/>
    <cellStyle name="Normal 3 9 2 2 2 2" xfId="24181" xr:uid="{00000000-0005-0000-0000-0000503C0000}"/>
    <cellStyle name="Normal 3 9 2 2 2 2 2" xfId="24185" xr:uid="{00000000-0005-0000-0000-0000513C0000}"/>
    <cellStyle name="Normal 3 9 2 2 2 2 2 2" xfId="25875" xr:uid="{00000000-0005-0000-0000-0000523C0000}"/>
    <cellStyle name="Normal 3 9 2 2 2 2 3" xfId="25876" xr:uid="{00000000-0005-0000-0000-0000533C0000}"/>
    <cellStyle name="Normal 3 9 2 2 2 3" xfId="20735" xr:uid="{00000000-0005-0000-0000-0000543C0000}"/>
    <cellStyle name="Normal 3 9 2 2 2 3 2" xfId="24188" xr:uid="{00000000-0005-0000-0000-0000553C0000}"/>
    <cellStyle name="Normal 3 9 2 2 2 4" xfId="24190" xr:uid="{00000000-0005-0000-0000-0000563C0000}"/>
    <cellStyle name="Normal 3 9 2 2 3" xfId="25880" xr:uid="{00000000-0005-0000-0000-0000573C0000}"/>
    <cellStyle name="Normal 3 9 2 2 3 2" xfId="24229" xr:uid="{00000000-0005-0000-0000-0000583C0000}"/>
    <cellStyle name="Normal 3 9 2 2 3 2 2" xfId="24232" xr:uid="{00000000-0005-0000-0000-0000593C0000}"/>
    <cellStyle name="Normal 3 9 2 2 3 3" xfId="7194" xr:uid="{00000000-0005-0000-0000-00005A3C0000}"/>
    <cellStyle name="Normal 3 9 2 2 4" xfId="18618" xr:uid="{00000000-0005-0000-0000-00005B3C0000}"/>
    <cellStyle name="Normal 3 9 2 2 4 2" xfId="25883" xr:uid="{00000000-0005-0000-0000-00005C3C0000}"/>
    <cellStyle name="Normal 3 9 2 2 4 2 2" xfId="25885" xr:uid="{00000000-0005-0000-0000-00005D3C0000}"/>
    <cellStyle name="Normal 3 9 2 2 4 3" xfId="10261" xr:uid="{00000000-0005-0000-0000-00005E3C0000}"/>
    <cellStyle name="Normal 3 9 2 2 5" xfId="25888" xr:uid="{00000000-0005-0000-0000-00005F3C0000}"/>
    <cellStyle name="Normal 3 9 2 2 5 2" xfId="650" xr:uid="{00000000-0005-0000-0000-0000603C0000}"/>
    <cellStyle name="Normal 3 9 2 2 6" xfId="25890" xr:uid="{00000000-0005-0000-0000-0000613C0000}"/>
    <cellStyle name="Normal 3 9 2 2 6 2" xfId="20547" xr:uid="{00000000-0005-0000-0000-0000623C0000}"/>
    <cellStyle name="Normal 3 9 2 2 7" xfId="25892" xr:uid="{00000000-0005-0000-0000-0000633C0000}"/>
    <cellStyle name="Normal 3 9 2 3" xfId="25893" xr:uid="{00000000-0005-0000-0000-0000643C0000}"/>
    <cellStyle name="Normal 3 9 2 3 2" xfId="25895" xr:uid="{00000000-0005-0000-0000-0000653C0000}"/>
    <cellStyle name="Normal 3 9 2 3 2 2" xfId="24270" xr:uid="{00000000-0005-0000-0000-0000663C0000}"/>
    <cellStyle name="Normal 3 9 2 3 2 2 2" xfId="24272" xr:uid="{00000000-0005-0000-0000-0000673C0000}"/>
    <cellStyle name="Normal 3 9 2 3 2 3" xfId="24275" xr:uid="{00000000-0005-0000-0000-0000683C0000}"/>
    <cellStyle name="Normal 3 9 2 3 3" xfId="5039" xr:uid="{00000000-0005-0000-0000-0000693C0000}"/>
    <cellStyle name="Normal 3 9 2 3 3 2" xfId="25898" xr:uid="{00000000-0005-0000-0000-00006A3C0000}"/>
    <cellStyle name="Normal 3 9 2 3 4" xfId="25901" xr:uid="{00000000-0005-0000-0000-00006B3C0000}"/>
    <cellStyle name="Normal 3 9 2 4" xfId="25903" xr:uid="{00000000-0005-0000-0000-00006C3C0000}"/>
    <cellStyle name="Normal 3 9 2 4 2" xfId="25904" xr:uid="{00000000-0005-0000-0000-00006D3C0000}"/>
    <cellStyle name="Normal 3 9 2 4 2 2" xfId="24314" xr:uid="{00000000-0005-0000-0000-00006E3C0000}"/>
    <cellStyle name="Normal 3 9 2 4 3" xfId="25906" xr:uid="{00000000-0005-0000-0000-00006F3C0000}"/>
    <cellStyle name="Normal 3 9 2 5" xfId="14248" xr:uid="{00000000-0005-0000-0000-0000703C0000}"/>
    <cellStyle name="Normal 3 9 2 5 2" xfId="25910" xr:uid="{00000000-0005-0000-0000-0000713C0000}"/>
    <cellStyle name="Normal 3 9 2 5 2 2" xfId="25912" xr:uid="{00000000-0005-0000-0000-0000723C0000}"/>
    <cellStyle name="Normal 3 9 2 5 3" xfId="25914" xr:uid="{00000000-0005-0000-0000-0000733C0000}"/>
    <cellStyle name="Normal 3 9 2 6" xfId="25918" xr:uid="{00000000-0005-0000-0000-0000743C0000}"/>
    <cellStyle name="Normal 3 9 2 6 2" xfId="25919" xr:uid="{00000000-0005-0000-0000-0000753C0000}"/>
    <cellStyle name="Normal 3 9 2 7" xfId="25921" xr:uid="{00000000-0005-0000-0000-0000763C0000}"/>
    <cellStyle name="Normal 3 9 2 7 2" xfId="16220" xr:uid="{00000000-0005-0000-0000-0000773C0000}"/>
    <cellStyle name="Normal 3 9 2 8" xfId="25923" xr:uid="{00000000-0005-0000-0000-0000783C0000}"/>
    <cellStyle name="Normal 3 9 3" xfId="25925" xr:uid="{00000000-0005-0000-0000-0000793C0000}"/>
    <cellStyle name="Normal 3 9 3 2" xfId="25926" xr:uid="{00000000-0005-0000-0000-00007A3C0000}"/>
    <cellStyle name="Normal 3 9 3 2 2" xfId="25928" xr:uid="{00000000-0005-0000-0000-00007B3C0000}"/>
    <cellStyle name="Normal 3 9 3 2 2 2" xfId="25260" xr:uid="{00000000-0005-0000-0000-00007C3C0000}"/>
    <cellStyle name="Normal 3 9 3 2 2 2 2" xfId="25262" xr:uid="{00000000-0005-0000-0000-00007D3C0000}"/>
    <cellStyle name="Normal 3 9 3 2 2 3" xfId="25265" xr:uid="{00000000-0005-0000-0000-00007E3C0000}"/>
    <cellStyle name="Normal 3 9 3 2 3" xfId="25933" xr:uid="{00000000-0005-0000-0000-00007F3C0000}"/>
    <cellStyle name="Normal 3 9 3 2 3 2" xfId="25936" xr:uid="{00000000-0005-0000-0000-0000803C0000}"/>
    <cellStyle name="Normal 3 9 3 2 4" xfId="18624" xr:uid="{00000000-0005-0000-0000-0000813C0000}"/>
    <cellStyle name="Normal 3 9 3 3" xfId="25938" xr:uid="{00000000-0005-0000-0000-0000823C0000}"/>
    <cellStyle name="Normal 3 9 3 3 2" xfId="25939" xr:uid="{00000000-0005-0000-0000-0000833C0000}"/>
    <cellStyle name="Normal 3 9 3 3 2 2" xfId="25294" xr:uid="{00000000-0005-0000-0000-0000843C0000}"/>
    <cellStyle name="Normal 3 9 3 3 3" xfId="25941" xr:uid="{00000000-0005-0000-0000-0000853C0000}"/>
    <cellStyle name="Normal 3 9 3 4" xfId="20787" xr:uid="{00000000-0005-0000-0000-0000863C0000}"/>
    <cellStyle name="Normal 3 9 3 4 2" xfId="25943" xr:uid="{00000000-0005-0000-0000-0000873C0000}"/>
    <cellStyle name="Normal 3 9 3 4 2 2" xfId="6527" xr:uid="{00000000-0005-0000-0000-0000883C0000}"/>
    <cellStyle name="Normal 3 9 3 4 3" xfId="25945" xr:uid="{00000000-0005-0000-0000-0000893C0000}"/>
    <cellStyle name="Normal 3 9 3 5" xfId="25949" xr:uid="{00000000-0005-0000-0000-00008A3C0000}"/>
    <cellStyle name="Normal 3 9 3 5 2" xfId="25950" xr:uid="{00000000-0005-0000-0000-00008B3C0000}"/>
    <cellStyle name="Normal 3 9 3 6" xfId="25954" xr:uid="{00000000-0005-0000-0000-00008C3C0000}"/>
    <cellStyle name="Normal 3 9 3 6 2" xfId="25957" xr:uid="{00000000-0005-0000-0000-00008D3C0000}"/>
    <cellStyle name="Normal 3 9 3 7" xfId="25961" xr:uid="{00000000-0005-0000-0000-00008E3C0000}"/>
    <cellStyle name="Normal 3 9 4" xfId="25963" xr:uid="{00000000-0005-0000-0000-00008F3C0000}"/>
    <cellStyle name="Normal 3 9 4 2" xfId="24479" xr:uid="{00000000-0005-0000-0000-0000903C0000}"/>
    <cellStyle name="Normal 3 9 4 2 2" xfId="24482" xr:uid="{00000000-0005-0000-0000-0000913C0000}"/>
    <cellStyle name="Normal 3 9 4 2 2 2" xfId="25965" xr:uid="{00000000-0005-0000-0000-0000923C0000}"/>
    <cellStyle name="Normal 3 9 4 2 3" xfId="25968" xr:uid="{00000000-0005-0000-0000-0000933C0000}"/>
    <cellStyle name="Normal 3 9 4 3" xfId="24486" xr:uid="{00000000-0005-0000-0000-0000943C0000}"/>
    <cellStyle name="Normal 3 9 4 3 2" xfId="24491" xr:uid="{00000000-0005-0000-0000-0000953C0000}"/>
    <cellStyle name="Normal 3 9 4 4" xfId="24496" xr:uid="{00000000-0005-0000-0000-0000963C0000}"/>
    <cellStyle name="Normal 3 9 5" xfId="25972" xr:uid="{00000000-0005-0000-0000-0000973C0000}"/>
    <cellStyle name="Normal 3 9 5 2" xfId="25973" xr:uid="{00000000-0005-0000-0000-0000983C0000}"/>
    <cellStyle name="Normal 3 9 5 2 2" xfId="22041" xr:uid="{00000000-0005-0000-0000-0000993C0000}"/>
    <cellStyle name="Normal 3 9 5 3" xfId="25975" xr:uid="{00000000-0005-0000-0000-00009A3C0000}"/>
    <cellStyle name="Normal 3 9 6" xfId="25977" xr:uid="{00000000-0005-0000-0000-00009B3C0000}"/>
    <cellStyle name="Normal 3 9 6 2" xfId="25978" xr:uid="{00000000-0005-0000-0000-00009C3C0000}"/>
    <cellStyle name="Normal 3 9 6 2 2" xfId="25979" xr:uid="{00000000-0005-0000-0000-00009D3C0000}"/>
    <cellStyle name="Normal 3 9 6 3" xfId="25981" xr:uid="{00000000-0005-0000-0000-00009E3C0000}"/>
    <cellStyle name="Normal 3 9 7" xfId="25983" xr:uid="{00000000-0005-0000-0000-00009F3C0000}"/>
    <cellStyle name="Normal 3 9 7 2" xfId="25292" xr:uid="{00000000-0005-0000-0000-0000A03C0000}"/>
    <cellStyle name="Normal 3 9 8" xfId="25985" xr:uid="{00000000-0005-0000-0000-0000A13C0000}"/>
    <cellStyle name="Normal 3 9 8 2" xfId="25987" xr:uid="{00000000-0005-0000-0000-0000A23C0000}"/>
    <cellStyle name="Normal 3 9 9" xfId="17976" xr:uid="{00000000-0005-0000-0000-0000A33C0000}"/>
    <cellStyle name="Normal 3_Copia de Copia de ANTIDROGAS 2011" xfId="25988" xr:uid="{00000000-0005-0000-0000-0000A43C0000}"/>
    <cellStyle name="Normal 30" xfId="21356" xr:uid="{00000000-0005-0000-0000-0000A53C0000}"/>
    <cellStyle name="Normal 30 2" xfId="21359" xr:uid="{00000000-0005-0000-0000-0000A63C0000}"/>
    <cellStyle name="Normal 30 2 2" xfId="21362" xr:uid="{00000000-0005-0000-0000-0000A73C0000}"/>
    <cellStyle name="Normal 30 3" xfId="21366" xr:uid="{00000000-0005-0000-0000-0000A83C0000}"/>
    <cellStyle name="Normal 30 3 2" xfId="21370" xr:uid="{00000000-0005-0000-0000-0000A93C0000}"/>
    <cellStyle name="Normal 30 4" xfId="21377" xr:uid="{00000000-0005-0000-0000-0000AA3C0000}"/>
    <cellStyle name="Normal 30 5" xfId="1275" xr:uid="{00000000-0005-0000-0000-0000AB3C0000}"/>
    <cellStyle name="Normal 31" xfId="21387" xr:uid="{00000000-0005-0000-0000-0000AC3C0000}"/>
    <cellStyle name="Normal 31 2" xfId="21391" xr:uid="{00000000-0005-0000-0000-0000AD3C0000}"/>
    <cellStyle name="Normal 31 3" xfId="13410" xr:uid="{00000000-0005-0000-0000-0000AE3C0000}"/>
    <cellStyle name="Normal 31 3 2" xfId="13424" xr:uid="{00000000-0005-0000-0000-0000AF3C0000}"/>
    <cellStyle name="Normal 31 3 2 2" xfId="13436" xr:uid="{00000000-0005-0000-0000-0000B03C0000}"/>
    <cellStyle name="Normal 31 3 3" xfId="13447" xr:uid="{00000000-0005-0000-0000-0000B13C0000}"/>
    <cellStyle name="Normal 32" xfId="7578" xr:uid="{00000000-0005-0000-0000-0000B23C0000}"/>
    <cellStyle name="Normal 32 2" xfId="7591" xr:uid="{00000000-0005-0000-0000-0000B33C0000}"/>
    <cellStyle name="Normal 32 3" xfId="13478" xr:uid="{00000000-0005-0000-0000-0000B43C0000}"/>
    <cellStyle name="Normal 32 4" xfId="13490" xr:uid="{00000000-0005-0000-0000-0000B53C0000}"/>
    <cellStyle name="Normal 33" xfId="7597" xr:uid="{00000000-0005-0000-0000-0000B63C0000}"/>
    <cellStyle name="Normal 33 2" xfId="21399" xr:uid="{00000000-0005-0000-0000-0000B73C0000}"/>
    <cellStyle name="Normal 33 2 2" xfId="21403" xr:uid="{00000000-0005-0000-0000-0000B83C0000}"/>
    <cellStyle name="Normal 33 3" xfId="13499" xr:uid="{00000000-0005-0000-0000-0000B93C0000}"/>
    <cellStyle name="Normal 33 3 10" xfId="16900" xr:uid="{00000000-0005-0000-0000-0000BA3C0000}"/>
    <cellStyle name="Normal 33 3 10 2" xfId="16904" xr:uid="{00000000-0005-0000-0000-0000BB3C0000}"/>
    <cellStyle name="Normal 33 3 11" xfId="9027" xr:uid="{00000000-0005-0000-0000-0000BC3C0000}"/>
    <cellStyle name="Normal 33 3 11 2" xfId="1513" xr:uid="{00000000-0005-0000-0000-0000BD3C0000}"/>
    <cellStyle name="Normal 33 3 12" xfId="6106" xr:uid="{00000000-0005-0000-0000-0000BE3C0000}"/>
    <cellStyle name="Normal 33 3 12 2" xfId="25991" xr:uid="{00000000-0005-0000-0000-0000BF3C0000}"/>
    <cellStyle name="Normal 33 3 13" xfId="6117" xr:uid="{00000000-0005-0000-0000-0000C03C0000}"/>
    <cellStyle name="Normal 33 3 14" xfId="5298" xr:uid="{00000000-0005-0000-0000-0000C13C0000}"/>
    <cellStyle name="Normal 33 3 2" xfId="13506" xr:uid="{00000000-0005-0000-0000-0000C23C0000}"/>
    <cellStyle name="Normal 33 3 2 10" xfId="7051" xr:uid="{00000000-0005-0000-0000-0000C33C0000}"/>
    <cellStyle name="Normal 33 3 2 2" xfId="25992" xr:uid="{00000000-0005-0000-0000-0000C43C0000}"/>
    <cellStyle name="Normal 33 3 2 2 2" xfId="20210" xr:uid="{00000000-0005-0000-0000-0000C53C0000}"/>
    <cellStyle name="Normal 33 3 2 2 2 2" xfId="20644" xr:uid="{00000000-0005-0000-0000-0000C63C0000}"/>
    <cellStyle name="Normal 33 3 2 2 2 2 2" xfId="20319" xr:uid="{00000000-0005-0000-0000-0000C73C0000}"/>
    <cellStyle name="Normal 33 3 2 2 2 2 2 2" xfId="13360" xr:uid="{00000000-0005-0000-0000-0000C83C0000}"/>
    <cellStyle name="Normal 33 3 2 2 2 2 2 2 2" xfId="654" xr:uid="{00000000-0005-0000-0000-0000C93C0000}"/>
    <cellStyle name="Normal 33 3 2 2 2 2 2 3" xfId="8050" xr:uid="{00000000-0005-0000-0000-0000CA3C0000}"/>
    <cellStyle name="Normal 33 3 2 2 2 2 3" xfId="20327" xr:uid="{00000000-0005-0000-0000-0000CB3C0000}"/>
    <cellStyle name="Normal 33 3 2 2 2 2 3 2" xfId="5061" xr:uid="{00000000-0005-0000-0000-0000CC3C0000}"/>
    <cellStyle name="Normal 33 3 2 2 2 2 4" xfId="20333" xr:uid="{00000000-0005-0000-0000-0000CD3C0000}"/>
    <cellStyle name="Normal 33 3 2 2 2 3" xfId="16002" xr:uid="{00000000-0005-0000-0000-0000CE3C0000}"/>
    <cellStyle name="Normal 33 3 2 2 2 3 2" xfId="20375" xr:uid="{00000000-0005-0000-0000-0000CF3C0000}"/>
    <cellStyle name="Normal 33 3 2 2 2 3 2 2" xfId="13470" xr:uid="{00000000-0005-0000-0000-0000D03C0000}"/>
    <cellStyle name="Normal 33 3 2 2 2 3 3" xfId="8874" xr:uid="{00000000-0005-0000-0000-0000D13C0000}"/>
    <cellStyle name="Normal 33 3 2 2 2 4" xfId="25996" xr:uid="{00000000-0005-0000-0000-0000D23C0000}"/>
    <cellStyle name="Normal 33 3 2 2 2 4 2" xfId="17703" xr:uid="{00000000-0005-0000-0000-0000D33C0000}"/>
    <cellStyle name="Normal 33 3 2 2 2 4 2 2" xfId="9093" xr:uid="{00000000-0005-0000-0000-0000D43C0000}"/>
    <cellStyle name="Normal 33 3 2 2 2 4 3" xfId="8905" xr:uid="{00000000-0005-0000-0000-0000D53C0000}"/>
    <cellStyle name="Normal 33 3 2 2 2 5" xfId="2360" xr:uid="{00000000-0005-0000-0000-0000D63C0000}"/>
    <cellStyle name="Normal 33 3 2 2 2 5 2" xfId="20402" xr:uid="{00000000-0005-0000-0000-0000D73C0000}"/>
    <cellStyle name="Normal 33 3 2 2 2 6" xfId="2452" xr:uid="{00000000-0005-0000-0000-0000D83C0000}"/>
    <cellStyle name="Normal 33 3 2 2 2 6 2" xfId="24136" xr:uid="{00000000-0005-0000-0000-0000D93C0000}"/>
    <cellStyle name="Normal 33 3 2 2 2 7" xfId="22788" xr:uid="{00000000-0005-0000-0000-0000DA3C0000}"/>
    <cellStyle name="Normal 33 3 2 2 2 8" xfId="22795" xr:uid="{00000000-0005-0000-0000-0000DB3C0000}"/>
    <cellStyle name="Normal 33 3 2 2 3" xfId="19951" xr:uid="{00000000-0005-0000-0000-0000DC3C0000}"/>
    <cellStyle name="Normal 33 3 2 2 3 2" xfId="25997" xr:uid="{00000000-0005-0000-0000-0000DD3C0000}"/>
    <cellStyle name="Normal 33 3 2 2 3 2 2" xfId="23826" xr:uid="{00000000-0005-0000-0000-0000DE3C0000}"/>
    <cellStyle name="Normal 33 3 2 2 3 2 2 2" xfId="25999" xr:uid="{00000000-0005-0000-0000-0000DF3C0000}"/>
    <cellStyle name="Normal 33 3 2 2 3 2 3" xfId="26003" xr:uid="{00000000-0005-0000-0000-0000E03C0000}"/>
    <cellStyle name="Normal 33 3 2 2 3 3" xfId="26010" xr:uid="{00000000-0005-0000-0000-0000E13C0000}"/>
    <cellStyle name="Normal 33 3 2 2 3 3 2" xfId="26012" xr:uid="{00000000-0005-0000-0000-0000E23C0000}"/>
    <cellStyle name="Normal 33 3 2 2 3 4" xfId="20705" xr:uid="{00000000-0005-0000-0000-0000E33C0000}"/>
    <cellStyle name="Normal 33 3 2 2 4" xfId="26017" xr:uid="{00000000-0005-0000-0000-0000E43C0000}"/>
    <cellStyle name="Normal 33 3 2 2 4 2" xfId="26024" xr:uid="{00000000-0005-0000-0000-0000E53C0000}"/>
    <cellStyle name="Normal 33 3 2 2 4 2 2" xfId="23866" xr:uid="{00000000-0005-0000-0000-0000E63C0000}"/>
    <cellStyle name="Normal 33 3 2 2 4 3" xfId="26026" xr:uid="{00000000-0005-0000-0000-0000E73C0000}"/>
    <cellStyle name="Normal 33 3 2 2 5" xfId="2398" xr:uid="{00000000-0005-0000-0000-0000E83C0000}"/>
    <cellStyle name="Normal 33 3 2 2 5 2" xfId="26028" xr:uid="{00000000-0005-0000-0000-0000E93C0000}"/>
    <cellStyle name="Normal 33 3 2 2 5 2 2" xfId="26030" xr:uid="{00000000-0005-0000-0000-0000EA3C0000}"/>
    <cellStyle name="Normal 33 3 2 2 5 3" xfId="26032" xr:uid="{00000000-0005-0000-0000-0000EB3C0000}"/>
    <cellStyle name="Normal 33 3 2 2 6" xfId="26034" xr:uid="{00000000-0005-0000-0000-0000EC3C0000}"/>
    <cellStyle name="Normal 33 3 2 2 6 2" xfId="26036" xr:uid="{00000000-0005-0000-0000-0000ED3C0000}"/>
    <cellStyle name="Normal 33 3 2 2 7" xfId="26038" xr:uid="{00000000-0005-0000-0000-0000EE3C0000}"/>
    <cellStyle name="Normal 33 3 2 2 7 2" xfId="26041" xr:uid="{00000000-0005-0000-0000-0000EF3C0000}"/>
    <cellStyle name="Normal 33 3 2 2 8" xfId="26043" xr:uid="{00000000-0005-0000-0000-0000F03C0000}"/>
    <cellStyle name="Normal 33 3 2 2 9" xfId="26047" xr:uid="{00000000-0005-0000-0000-0000F13C0000}"/>
    <cellStyle name="Normal 33 3 2 3" xfId="13749" xr:uid="{00000000-0005-0000-0000-0000F23C0000}"/>
    <cellStyle name="Normal 33 3 2 3 2" xfId="26049" xr:uid="{00000000-0005-0000-0000-0000F33C0000}"/>
    <cellStyle name="Normal 33 3 2 3 2 2" xfId="5232" xr:uid="{00000000-0005-0000-0000-0000F43C0000}"/>
    <cellStyle name="Normal 33 3 2 3 2 2 2" xfId="5235" xr:uid="{00000000-0005-0000-0000-0000F53C0000}"/>
    <cellStyle name="Normal 33 3 2 3 2 2 2 2" xfId="7486" xr:uid="{00000000-0005-0000-0000-0000F63C0000}"/>
    <cellStyle name="Normal 33 3 2 3 2 2 3" xfId="19045" xr:uid="{00000000-0005-0000-0000-0000F73C0000}"/>
    <cellStyle name="Normal 33 3 2 3 2 3" xfId="5252" xr:uid="{00000000-0005-0000-0000-0000F83C0000}"/>
    <cellStyle name="Normal 33 3 2 3 2 3 2" xfId="5254" xr:uid="{00000000-0005-0000-0000-0000F93C0000}"/>
    <cellStyle name="Normal 33 3 2 3 2 4" xfId="26051" xr:uid="{00000000-0005-0000-0000-0000FA3C0000}"/>
    <cellStyle name="Normal 33 3 2 3 3" xfId="18843" xr:uid="{00000000-0005-0000-0000-0000FB3C0000}"/>
    <cellStyle name="Normal 33 3 2 3 3 2" xfId="6065" xr:uid="{00000000-0005-0000-0000-0000FC3C0000}"/>
    <cellStyle name="Normal 33 3 2 3 3 2 2" xfId="6469" xr:uid="{00000000-0005-0000-0000-0000FD3C0000}"/>
    <cellStyle name="Normal 33 3 2 3 3 3" xfId="6486" xr:uid="{00000000-0005-0000-0000-0000FE3C0000}"/>
    <cellStyle name="Normal 33 3 2 3 4" xfId="18851" xr:uid="{00000000-0005-0000-0000-0000FF3C0000}"/>
    <cellStyle name="Normal 33 3 2 3 4 2" xfId="7705" xr:uid="{00000000-0005-0000-0000-0000003D0000}"/>
    <cellStyle name="Normal 33 3 2 3 4 2 2" xfId="7713" xr:uid="{00000000-0005-0000-0000-0000013D0000}"/>
    <cellStyle name="Normal 33 3 2 3 4 3" xfId="7725" xr:uid="{00000000-0005-0000-0000-0000023D0000}"/>
    <cellStyle name="Normal 33 3 2 3 5" xfId="18856" xr:uid="{00000000-0005-0000-0000-0000033D0000}"/>
    <cellStyle name="Normal 33 3 2 3 5 2" xfId="8508" xr:uid="{00000000-0005-0000-0000-0000043D0000}"/>
    <cellStyle name="Normal 33 3 2 3 6" xfId="18861" xr:uid="{00000000-0005-0000-0000-0000053D0000}"/>
    <cellStyle name="Normal 33 3 2 3 6 2" xfId="9085" xr:uid="{00000000-0005-0000-0000-0000063D0000}"/>
    <cellStyle name="Normal 33 3 2 3 7" xfId="26052" xr:uid="{00000000-0005-0000-0000-0000073D0000}"/>
    <cellStyle name="Normal 33 3 2 3 8" xfId="26054" xr:uid="{00000000-0005-0000-0000-0000083D0000}"/>
    <cellStyle name="Normal 33 3 2 4" xfId="26058" xr:uid="{00000000-0005-0000-0000-0000093D0000}"/>
    <cellStyle name="Normal 33 3 2 4 2" xfId="26059" xr:uid="{00000000-0005-0000-0000-00000A3D0000}"/>
    <cellStyle name="Normal 33 3 2 4 2 2" xfId="2897" xr:uid="{00000000-0005-0000-0000-00000B3D0000}"/>
    <cellStyle name="Normal 33 3 2 4 2 2 2" xfId="19423" xr:uid="{00000000-0005-0000-0000-00000C3D0000}"/>
    <cellStyle name="Normal 33 3 2 4 2 3" xfId="7774" xr:uid="{00000000-0005-0000-0000-00000D3D0000}"/>
    <cellStyle name="Normal 33 3 2 4 3" xfId="18869" xr:uid="{00000000-0005-0000-0000-00000E3D0000}"/>
    <cellStyle name="Normal 33 3 2 4 3 2" xfId="18873" xr:uid="{00000000-0005-0000-0000-00000F3D0000}"/>
    <cellStyle name="Normal 33 3 2 4 4" xfId="18880" xr:uid="{00000000-0005-0000-0000-0000103D0000}"/>
    <cellStyle name="Normal 33 3 2 5" xfId="26062" xr:uid="{00000000-0005-0000-0000-0000113D0000}"/>
    <cellStyle name="Normal 33 3 2 5 2" xfId="26063" xr:uid="{00000000-0005-0000-0000-0000123D0000}"/>
    <cellStyle name="Normal 33 3 2 5 2 2" xfId="26064" xr:uid="{00000000-0005-0000-0000-0000133D0000}"/>
    <cellStyle name="Normal 33 3 2 5 3" xfId="18889" xr:uid="{00000000-0005-0000-0000-0000143D0000}"/>
    <cellStyle name="Normal 33 3 2 6" xfId="26065" xr:uid="{00000000-0005-0000-0000-0000153D0000}"/>
    <cellStyle name="Normal 33 3 2 6 2" xfId="26066" xr:uid="{00000000-0005-0000-0000-0000163D0000}"/>
    <cellStyle name="Normal 33 3 2 6 2 2" xfId="26067" xr:uid="{00000000-0005-0000-0000-0000173D0000}"/>
    <cellStyle name="Normal 33 3 2 6 3" xfId="18903" xr:uid="{00000000-0005-0000-0000-0000183D0000}"/>
    <cellStyle name="Normal 33 3 2 7" xfId="26068" xr:uid="{00000000-0005-0000-0000-0000193D0000}"/>
    <cellStyle name="Normal 33 3 2 7 2" xfId="26069" xr:uid="{00000000-0005-0000-0000-00001A3D0000}"/>
    <cellStyle name="Normal 33 3 2 8" xfId="26072" xr:uid="{00000000-0005-0000-0000-00001B3D0000}"/>
    <cellStyle name="Normal 33 3 2 8 2" xfId="26073" xr:uid="{00000000-0005-0000-0000-00001C3D0000}"/>
    <cellStyle name="Normal 33 3 2 9" xfId="6503" xr:uid="{00000000-0005-0000-0000-00001D3D0000}"/>
    <cellStyle name="Normal 33 3 3" xfId="22662" xr:uid="{00000000-0005-0000-0000-00001E3D0000}"/>
    <cellStyle name="Normal 33 3 3 2" xfId="22665" xr:uid="{00000000-0005-0000-0000-00001F3D0000}"/>
    <cellStyle name="Normal 33 3 3 2 2" xfId="22668" xr:uid="{00000000-0005-0000-0000-0000203D0000}"/>
    <cellStyle name="Normal 33 3 3 2 2 2" xfId="23931" xr:uid="{00000000-0005-0000-0000-0000213D0000}"/>
    <cellStyle name="Normal 33 3 3 2 2 2 2" xfId="3640" xr:uid="{00000000-0005-0000-0000-0000223D0000}"/>
    <cellStyle name="Normal 33 3 3 2 2 2 2 2" xfId="18415" xr:uid="{00000000-0005-0000-0000-0000233D0000}"/>
    <cellStyle name="Normal 33 3 3 2 2 2 3" xfId="23940" xr:uid="{00000000-0005-0000-0000-0000243D0000}"/>
    <cellStyle name="Normal 33 3 3 2 2 3" xfId="26076" xr:uid="{00000000-0005-0000-0000-0000253D0000}"/>
    <cellStyle name="Normal 33 3 3 2 2 3 2" xfId="26080" xr:uid="{00000000-0005-0000-0000-0000263D0000}"/>
    <cellStyle name="Normal 33 3 3 2 2 4" xfId="26087" xr:uid="{00000000-0005-0000-0000-0000273D0000}"/>
    <cellStyle name="Normal 33 3 3 2 2 5" xfId="26098" xr:uid="{00000000-0005-0000-0000-0000283D0000}"/>
    <cellStyle name="Normal 33 3 3 2 3" xfId="25077" xr:uid="{00000000-0005-0000-0000-0000293D0000}"/>
    <cellStyle name="Normal 33 3 3 2 3 2" xfId="24117" xr:uid="{00000000-0005-0000-0000-00002A3D0000}"/>
    <cellStyle name="Normal 33 3 3 2 3 2 2" xfId="1181" xr:uid="{00000000-0005-0000-0000-00002B3D0000}"/>
    <cellStyle name="Normal 33 3 3 2 3 3" xfId="26102" xr:uid="{00000000-0005-0000-0000-00002C3D0000}"/>
    <cellStyle name="Normal 33 3 3 2 4" xfId="26108" xr:uid="{00000000-0005-0000-0000-00002D3D0000}"/>
    <cellStyle name="Normal 33 3 3 2 4 2" xfId="26111" xr:uid="{00000000-0005-0000-0000-00002E3D0000}"/>
    <cellStyle name="Normal 33 3 3 2 4 2 2" xfId="25088" xr:uid="{00000000-0005-0000-0000-00002F3D0000}"/>
    <cellStyle name="Normal 33 3 3 2 4 3" xfId="26115" xr:uid="{00000000-0005-0000-0000-0000303D0000}"/>
    <cellStyle name="Normal 33 3 3 2 5" xfId="26118" xr:uid="{00000000-0005-0000-0000-0000313D0000}"/>
    <cellStyle name="Normal 33 3 3 2 5 2" xfId="24248" xr:uid="{00000000-0005-0000-0000-0000323D0000}"/>
    <cellStyle name="Normal 33 3 3 2 6" xfId="26122" xr:uid="{00000000-0005-0000-0000-0000333D0000}"/>
    <cellStyle name="Normal 33 3 3 2 6 2" xfId="26126" xr:uid="{00000000-0005-0000-0000-0000343D0000}"/>
    <cellStyle name="Normal 33 3 3 2 7" xfId="26130" xr:uid="{00000000-0005-0000-0000-0000353D0000}"/>
    <cellStyle name="Normal 33 3 3 2 8" xfId="26133" xr:uid="{00000000-0005-0000-0000-0000363D0000}"/>
    <cellStyle name="Normal 33 3 3 3" xfId="22671" xr:uid="{00000000-0005-0000-0000-0000373D0000}"/>
    <cellStyle name="Normal 33 3 3 3 2" xfId="26135" xr:uid="{00000000-0005-0000-0000-0000383D0000}"/>
    <cellStyle name="Normal 33 3 3 3 2 2" xfId="25164" xr:uid="{00000000-0005-0000-0000-0000393D0000}"/>
    <cellStyle name="Normal 33 3 3 3 2 2 2" xfId="25167" xr:uid="{00000000-0005-0000-0000-00003A3D0000}"/>
    <cellStyle name="Normal 33 3 3 3 2 3" xfId="26137" xr:uid="{00000000-0005-0000-0000-00003B3D0000}"/>
    <cellStyle name="Normal 33 3 3 3 3" xfId="18931" xr:uid="{00000000-0005-0000-0000-00003C3D0000}"/>
    <cellStyle name="Normal 33 3 3 3 3 2" xfId="18936" xr:uid="{00000000-0005-0000-0000-00003D3D0000}"/>
    <cellStyle name="Normal 33 3 3 3 4" xfId="18942" xr:uid="{00000000-0005-0000-0000-00003E3D0000}"/>
    <cellStyle name="Normal 33 3 3 3 5" xfId="26139" xr:uid="{00000000-0005-0000-0000-00003F3D0000}"/>
    <cellStyle name="Normal 33 3 3 4" xfId="11218" xr:uid="{00000000-0005-0000-0000-0000403D0000}"/>
    <cellStyle name="Normal 33 3 3 4 2" xfId="26141" xr:uid="{00000000-0005-0000-0000-0000413D0000}"/>
    <cellStyle name="Normal 33 3 3 4 2 2" xfId="3769" xr:uid="{00000000-0005-0000-0000-0000423D0000}"/>
    <cellStyle name="Normal 33 3 3 4 3" xfId="18950" xr:uid="{00000000-0005-0000-0000-0000433D0000}"/>
    <cellStyle name="Normal 33 3 3 5" xfId="24085" xr:uid="{00000000-0005-0000-0000-0000443D0000}"/>
    <cellStyle name="Normal 33 3 3 5 2" xfId="26143" xr:uid="{00000000-0005-0000-0000-0000453D0000}"/>
    <cellStyle name="Normal 33 3 3 5 2 2" xfId="26147" xr:uid="{00000000-0005-0000-0000-0000463D0000}"/>
    <cellStyle name="Normal 33 3 3 5 3" xfId="24027" xr:uid="{00000000-0005-0000-0000-0000473D0000}"/>
    <cellStyle name="Normal 33 3 3 6" xfId="26149" xr:uid="{00000000-0005-0000-0000-0000483D0000}"/>
    <cellStyle name="Normal 33 3 3 6 2" xfId="26151" xr:uid="{00000000-0005-0000-0000-0000493D0000}"/>
    <cellStyle name="Normal 33 3 3 7" xfId="26153" xr:uid="{00000000-0005-0000-0000-00004A3D0000}"/>
    <cellStyle name="Normal 33 3 3 7 2" xfId="26155" xr:uid="{00000000-0005-0000-0000-00004B3D0000}"/>
    <cellStyle name="Normal 33 3 3 8" xfId="26157" xr:uid="{00000000-0005-0000-0000-00004C3D0000}"/>
    <cellStyle name="Normal 33 3 3 9" xfId="26159" xr:uid="{00000000-0005-0000-0000-00004D3D0000}"/>
    <cellStyle name="Normal 33 3 4" xfId="22674" xr:uid="{00000000-0005-0000-0000-00004E3D0000}"/>
    <cellStyle name="Normal 33 3 4 2" xfId="16215" xr:uid="{00000000-0005-0000-0000-00004F3D0000}"/>
    <cellStyle name="Normal 33 3 4 2 2" xfId="26162" xr:uid="{00000000-0005-0000-0000-0000503D0000}"/>
    <cellStyle name="Normal 33 3 4 2 2 2" xfId="5070" xr:uid="{00000000-0005-0000-0000-0000513D0000}"/>
    <cellStyle name="Normal 33 3 4 2 2 2 2" xfId="5076" xr:uid="{00000000-0005-0000-0000-0000523D0000}"/>
    <cellStyle name="Normal 33 3 4 2 2 2 2 2" xfId="23055" xr:uid="{00000000-0005-0000-0000-0000533D0000}"/>
    <cellStyle name="Normal 33 3 4 2 2 2 3" xfId="26167" xr:uid="{00000000-0005-0000-0000-0000543D0000}"/>
    <cellStyle name="Normal 33 3 4 2 2 3" xfId="5083" xr:uid="{00000000-0005-0000-0000-0000553D0000}"/>
    <cellStyle name="Normal 33 3 4 2 2 3 2" xfId="26171" xr:uid="{00000000-0005-0000-0000-0000563D0000}"/>
    <cellStyle name="Normal 33 3 4 2 2 4" xfId="18091" xr:uid="{00000000-0005-0000-0000-0000573D0000}"/>
    <cellStyle name="Normal 33 3 4 2 3" xfId="26173" xr:uid="{00000000-0005-0000-0000-0000583D0000}"/>
    <cellStyle name="Normal 33 3 4 2 3 2" xfId="5124" xr:uid="{00000000-0005-0000-0000-0000593D0000}"/>
    <cellStyle name="Normal 33 3 4 2 3 2 2" xfId="26176" xr:uid="{00000000-0005-0000-0000-00005A3D0000}"/>
    <cellStyle name="Normal 33 3 4 2 3 3" xfId="26178" xr:uid="{00000000-0005-0000-0000-00005B3D0000}"/>
    <cellStyle name="Normal 33 3 4 2 4" xfId="26184" xr:uid="{00000000-0005-0000-0000-00005C3D0000}"/>
    <cellStyle name="Normal 33 3 4 2 4 2" xfId="5161" xr:uid="{00000000-0005-0000-0000-00005D3D0000}"/>
    <cellStyle name="Normal 33 3 4 2 4 2 2" xfId="26187" xr:uid="{00000000-0005-0000-0000-00005E3D0000}"/>
    <cellStyle name="Normal 33 3 4 2 4 3" xfId="26189" xr:uid="{00000000-0005-0000-0000-00005F3D0000}"/>
    <cellStyle name="Normal 33 3 4 2 5" xfId="4711" xr:uid="{00000000-0005-0000-0000-0000603D0000}"/>
    <cellStyle name="Normal 33 3 4 2 5 2" xfId="26191" xr:uid="{00000000-0005-0000-0000-0000613D0000}"/>
    <cellStyle name="Normal 33 3 4 2 6" xfId="26194" xr:uid="{00000000-0005-0000-0000-0000623D0000}"/>
    <cellStyle name="Normal 33 3 4 2 6 2" xfId="26197" xr:uid="{00000000-0005-0000-0000-0000633D0000}"/>
    <cellStyle name="Normal 33 3 4 2 7" xfId="11324" xr:uid="{00000000-0005-0000-0000-0000643D0000}"/>
    <cellStyle name="Normal 33 3 4 2 8" xfId="26198" xr:uid="{00000000-0005-0000-0000-0000653D0000}"/>
    <cellStyle name="Normal 33 3 4 3" xfId="26202" xr:uid="{00000000-0005-0000-0000-0000663D0000}"/>
    <cellStyle name="Normal 33 3 4 3 2" xfId="26204" xr:uid="{00000000-0005-0000-0000-0000673D0000}"/>
    <cellStyle name="Normal 33 3 4 3 2 2" xfId="3568" xr:uid="{00000000-0005-0000-0000-0000683D0000}"/>
    <cellStyle name="Normal 33 3 4 3 2 2 2" xfId="18262" xr:uid="{00000000-0005-0000-0000-0000693D0000}"/>
    <cellStyle name="Normal 33 3 4 3 2 3" xfId="26207" xr:uid="{00000000-0005-0000-0000-00006A3D0000}"/>
    <cellStyle name="Normal 33 3 4 3 3" xfId="18965" xr:uid="{00000000-0005-0000-0000-00006B3D0000}"/>
    <cellStyle name="Normal 33 3 4 3 3 2" xfId="665" xr:uid="{00000000-0005-0000-0000-00006C3D0000}"/>
    <cellStyle name="Normal 33 3 4 3 4" xfId="26209" xr:uid="{00000000-0005-0000-0000-00006D3D0000}"/>
    <cellStyle name="Normal 33 3 4 4" xfId="26212" xr:uid="{00000000-0005-0000-0000-00006E3D0000}"/>
    <cellStyle name="Normal 33 3 4 4 2" xfId="15370" xr:uid="{00000000-0005-0000-0000-00006F3D0000}"/>
    <cellStyle name="Normal 33 3 4 4 2 2" xfId="4975" xr:uid="{00000000-0005-0000-0000-0000703D0000}"/>
    <cellStyle name="Normal 33 3 4 4 3" xfId="16976" xr:uid="{00000000-0005-0000-0000-0000713D0000}"/>
    <cellStyle name="Normal 33 3 4 5" xfId="26214" xr:uid="{00000000-0005-0000-0000-0000723D0000}"/>
    <cellStyle name="Normal 33 3 4 5 2" xfId="14022" xr:uid="{00000000-0005-0000-0000-0000733D0000}"/>
    <cellStyle name="Normal 33 3 4 5 2 2" xfId="16996" xr:uid="{00000000-0005-0000-0000-0000743D0000}"/>
    <cellStyle name="Normal 33 3 4 5 3" xfId="9332" xr:uid="{00000000-0005-0000-0000-0000753D0000}"/>
    <cellStyle name="Normal 33 3 4 6" xfId="3958" xr:uid="{00000000-0005-0000-0000-0000763D0000}"/>
    <cellStyle name="Normal 33 3 4 6 2" xfId="2000" xr:uid="{00000000-0005-0000-0000-0000773D0000}"/>
    <cellStyle name="Normal 33 3 4 7" xfId="4077" xr:uid="{00000000-0005-0000-0000-0000783D0000}"/>
    <cellStyle name="Normal 33 3 4 7 2" xfId="2186" xr:uid="{00000000-0005-0000-0000-0000793D0000}"/>
    <cellStyle name="Normal 33 3 4 8" xfId="26216" xr:uid="{00000000-0005-0000-0000-00007A3D0000}"/>
    <cellStyle name="Normal 33 3 4 9" xfId="26217" xr:uid="{00000000-0005-0000-0000-00007B3D0000}"/>
    <cellStyle name="Normal 33 3 5" xfId="3420" xr:uid="{00000000-0005-0000-0000-00007C3D0000}"/>
    <cellStyle name="Normal 33 3 5 2" xfId="25310" xr:uid="{00000000-0005-0000-0000-00007D3D0000}"/>
    <cellStyle name="Normal 33 3 5 2 2" xfId="26219" xr:uid="{00000000-0005-0000-0000-00007E3D0000}"/>
    <cellStyle name="Normal 33 3 5 2 2 2" xfId="26222" xr:uid="{00000000-0005-0000-0000-00007F3D0000}"/>
    <cellStyle name="Normal 33 3 5 2 2 2 2" xfId="26224" xr:uid="{00000000-0005-0000-0000-0000803D0000}"/>
    <cellStyle name="Normal 33 3 5 2 2 2 2 2" xfId="26228" xr:uid="{00000000-0005-0000-0000-0000813D0000}"/>
    <cellStyle name="Normal 33 3 5 2 2 2 3" xfId="26231" xr:uid="{00000000-0005-0000-0000-0000823D0000}"/>
    <cellStyle name="Normal 33 3 5 2 2 3" xfId="26233" xr:uid="{00000000-0005-0000-0000-0000833D0000}"/>
    <cellStyle name="Normal 33 3 5 2 2 3 2" xfId="26237" xr:uid="{00000000-0005-0000-0000-0000843D0000}"/>
    <cellStyle name="Normal 33 3 5 2 2 4" xfId="26240" xr:uid="{00000000-0005-0000-0000-0000853D0000}"/>
    <cellStyle name="Normal 33 3 5 2 3" xfId="26242" xr:uid="{00000000-0005-0000-0000-0000863D0000}"/>
    <cellStyle name="Normal 33 3 5 2 3 2" xfId="26245" xr:uid="{00000000-0005-0000-0000-0000873D0000}"/>
    <cellStyle name="Normal 33 3 5 2 3 2 2" xfId="26248" xr:uid="{00000000-0005-0000-0000-0000883D0000}"/>
    <cellStyle name="Normal 33 3 5 2 3 3" xfId="26250" xr:uid="{00000000-0005-0000-0000-0000893D0000}"/>
    <cellStyle name="Normal 33 3 5 2 4" xfId="26252" xr:uid="{00000000-0005-0000-0000-00008A3D0000}"/>
    <cellStyle name="Normal 33 3 5 2 4 2" xfId="23222" xr:uid="{00000000-0005-0000-0000-00008B3D0000}"/>
    <cellStyle name="Normal 33 3 5 2 4 2 2" xfId="1448" xr:uid="{00000000-0005-0000-0000-00008C3D0000}"/>
    <cellStyle name="Normal 33 3 5 2 4 3" xfId="26255" xr:uid="{00000000-0005-0000-0000-00008D3D0000}"/>
    <cellStyle name="Normal 33 3 5 2 5" xfId="26257" xr:uid="{00000000-0005-0000-0000-00008E3D0000}"/>
    <cellStyle name="Normal 33 3 5 2 5 2" xfId="26259" xr:uid="{00000000-0005-0000-0000-00008F3D0000}"/>
    <cellStyle name="Normal 33 3 5 2 6" xfId="26262" xr:uid="{00000000-0005-0000-0000-0000903D0000}"/>
    <cellStyle name="Normal 33 3 5 2 6 2" xfId="26264" xr:uid="{00000000-0005-0000-0000-0000913D0000}"/>
    <cellStyle name="Normal 33 3 5 2 7" xfId="26266" xr:uid="{00000000-0005-0000-0000-0000923D0000}"/>
    <cellStyle name="Normal 33 3 5 2 8" xfId="26267" xr:uid="{00000000-0005-0000-0000-0000933D0000}"/>
    <cellStyle name="Normal 33 3 5 3" xfId="26269" xr:uid="{00000000-0005-0000-0000-0000943D0000}"/>
    <cellStyle name="Normal 33 3 5 3 2" xfId="26271" xr:uid="{00000000-0005-0000-0000-0000953D0000}"/>
    <cellStyle name="Normal 33 3 5 3 2 2" xfId="26274" xr:uid="{00000000-0005-0000-0000-0000963D0000}"/>
    <cellStyle name="Normal 33 3 5 3 2 2 2" xfId="17374" xr:uid="{00000000-0005-0000-0000-0000973D0000}"/>
    <cellStyle name="Normal 33 3 5 3 2 3" xfId="26277" xr:uid="{00000000-0005-0000-0000-0000983D0000}"/>
    <cellStyle name="Normal 33 3 5 3 3" xfId="18975" xr:uid="{00000000-0005-0000-0000-0000993D0000}"/>
    <cellStyle name="Normal 33 3 5 3 3 2" xfId="26279" xr:uid="{00000000-0005-0000-0000-00009A3D0000}"/>
    <cellStyle name="Normal 33 3 5 3 4" xfId="26285" xr:uid="{00000000-0005-0000-0000-00009B3D0000}"/>
    <cellStyle name="Normal 33 3 5 4" xfId="26289" xr:uid="{00000000-0005-0000-0000-00009C3D0000}"/>
    <cellStyle name="Normal 33 3 5 4 2" xfId="15501" xr:uid="{00000000-0005-0000-0000-00009D3D0000}"/>
    <cellStyle name="Normal 33 3 5 4 2 2" xfId="6389" xr:uid="{00000000-0005-0000-0000-00009E3D0000}"/>
    <cellStyle name="Normal 33 3 5 4 3" xfId="17009" xr:uid="{00000000-0005-0000-0000-00009F3D0000}"/>
    <cellStyle name="Normal 33 3 5 5" xfId="26291" xr:uid="{00000000-0005-0000-0000-0000A03D0000}"/>
    <cellStyle name="Normal 33 3 5 5 2" xfId="17029" xr:uid="{00000000-0005-0000-0000-0000A13D0000}"/>
    <cellStyle name="Normal 33 3 5 5 2 2" xfId="14779" xr:uid="{00000000-0005-0000-0000-0000A23D0000}"/>
    <cellStyle name="Normal 33 3 5 5 3" xfId="9475" xr:uid="{00000000-0005-0000-0000-0000A33D0000}"/>
    <cellStyle name="Normal 33 3 5 6" xfId="4225" xr:uid="{00000000-0005-0000-0000-0000A43D0000}"/>
    <cellStyle name="Normal 33 3 5 6 2" xfId="2499" xr:uid="{00000000-0005-0000-0000-0000A53D0000}"/>
    <cellStyle name="Normal 33 3 5 7" xfId="26293" xr:uid="{00000000-0005-0000-0000-0000A63D0000}"/>
    <cellStyle name="Normal 33 3 5 7 2" xfId="2746" xr:uid="{00000000-0005-0000-0000-0000A73D0000}"/>
    <cellStyle name="Normal 33 3 5 8" xfId="26295" xr:uid="{00000000-0005-0000-0000-0000A83D0000}"/>
    <cellStyle name="Normal 33 3 5 9" xfId="26296" xr:uid="{00000000-0005-0000-0000-0000A93D0000}"/>
    <cellStyle name="Normal 33 3 6" xfId="21728" xr:uid="{00000000-0005-0000-0000-0000AA3D0000}"/>
    <cellStyle name="Normal 33 3 6 2" xfId="21734" xr:uid="{00000000-0005-0000-0000-0000AB3D0000}"/>
    <cellStyle name="Normal 33 3 6 2 2" xfId="26298" xr:uid="{00000000-0005-0000-0000-0000AC3D0000}"/>
    <cellStyle name="Normal 33 3 6 2 2 2" xfId="26300" xr:uid="{00000000-0005-0000-0000-0000AD3D0000}"/>
    <cellStyle name="Normal 33 3 6 2 2 2 2" xfId="7093" xr:uid="{00000000-0005-0000-0000-0000AE3D0000}"/>
    <cellStyle name="Normal 33 3 6 2 2 3" xfId="26302" xr:uid="{00000000-0005-0000-0000-0000AF3D0000}"/>
    <cellStyle name="Normal 33 3 6 2 3" xfId="26306" xr:uid="{00000000-0005-0000-0000-0000B03D0000}"/>
    <cellStyle name="Normal 33 3 6 2 3 2" xfId="26309" xr:uid="{00000000-0005-0000-0000-0000B13D0000}"/>
    <cellStyle name="Normal 33 3 6 2 4" xfId="26312" xr:uid="{00000000-0005-0000-0000-0000B23D0000}"/>
    <cellStyle name="Normal 33 3 6 3" xfId="14070" xr:uid="{00000000-0005-0000-0000-0000B33D0000}"/>
    <cellStyle name="Normal 33 3 6 3 2" xfId="13847" xr:uid="{00000000-0005-0000-0000-0000B43D0000}"/>
    <cellStyle name="Normal 33 3 6 3 2 2" xfId="26316" xr:uid="{00000000-0005-0000-0000-0000B53D0000}"/>
    <cellStyle name="Normal 33 3 6 3 3" xfId="26318" xr:uid="{00000000-0005-0000-0000-0000B63D0000}"/>
    <cellStyle name="Normal 33 3 6 4" xfId="10283" xr:uid="{00000000-0005-0000-0000-0000B73D0000}"/>
    <cellStyle name="Normal 33 3 6 4 2" xfId="15584" xr:uid="{00000000-0005-0000-0000-0000B83D0000}"/>
    <cellStyle name="Normal 33 3 6 4 2 2" xfId="15264" xr:uid="{00000000-0005-0000-0000-0000B93D0000}"/>
    <cellStyle name="Normal 33 3 6 4 3" xfId="10154" xr:uid="{00000000-0005-0000-0000-0000BA3D0000}"/>
    <cellStyle name="Normal 33 3 6 5" xfId="26321" xr:uid="{00000000-0005-0000-0000-0000BB3D0000}"/>
    <cellStyle name="Normal 33 3 6 5 2" xfId="17060" xr:uid="{00000000-0005-0000-0000-0000BC3D0000}"/>
    <cellStyle name="Normal 33 3 6 6" xfId="457" xr:uid="{00000000-0005-0000-0000-0000BD3D0000}"/>
    <cellStyle name="Normal 33 3 6 6 2" xfId="2979" xr:uid="{00000000-0005-0000-0000-0000BE3D0000}"/>
    <cellStyle name="Normal 33 3 7" xfId="21738" xr:uid="{00000000-0005-0000-0000-0000BF3D0000}"/>
    <cellStyle name="Normal 33 3 7 2" xfId="26324" xr:uid="{00000000-0005-0000-0000-0000C03D0000}"/>
    <cellStyle name="Normal 33 3 7 2 2" xfId="26326" xr:uid="{00000000-0005-0000-0000-0000C13D0000}"/>
    <cellStyle name="Normal 33 3 7 2 2 2" xfId="26329" xr:uid="{00000000-0005-0000-0000-0000C23D0000}"/>
    <cellStyle name="Normal 33 3 7 2 3" xfId="26331" xr:uid="{00000000-0005-0000-0000-0000C33D0000}"/>
    <cellStyle name="Normal 33 3 7 3" xfId="14081" xr:uid="{00000000-0005-0000-0000-0000C43D0000}"/>
    <cellStyle name="Normal 33 3 7 3 2" xfId="26334" xr:uid="{00000000-0005-0000-0000-0000C53D0000}"/>
    <cellStyle name="Normal 33 3 7 4" xfId="26336" xr:uid="{00000000-0005-0000-0000-0000C63D0000}"/>
    <cellStyle name="Normal 33 3 7 5" xfId="26338" xr:uid="{00000000-0005-0000-0000-0000C73D0000}"/>
    <cellStyle name="Normal 33 3 8" xfId="26341" xr:uid="{00000000-0005-0000-0000-0000C83D0000}"/>
    <cellStyle name="Normal 33 3 8 2" xfId="5493" xr:uid="{00000000-0005-0000-0000-0000C93D0000}"/>
    <cellStyle name="Normal 33 3 8 2 2" xfId="26343" xr:uid="{00000000-0005-0000-0000-0000CA3D0000}"/>
    <cellStyle name="Normal 33 3 8 3" xfId="26345" xr:uid="{00000000-0005-0000-0000-0000CB3D0000}"/>
    <cellStyle name="Normal 33 3 9" xfId="26349" xr:uid="{00000000-0005-0000-0000-0000CC3D0000}"/>
    <cellStyle name="Normal 33 3 9 2" xfId="25622" xr:uid="{00000000-0005-0000-0000-0000CD3D0000}"/>
    <cellStyle name="Normal 33 3 9 2 2" xfId="26353" xr:uid="{00000000-0005-0000-0000-0000CE3D0000}"/>
    <cellStyle name="Normal 33 3 9 3" xfId="24643" xr:uid="{00000000-0005-0000-0000-0000CF3D0000}"/>
    <cellStyle name="Normal 33 4" xfId="13512" xr:uid="{00000000-0005-0000-0000-0000D03D0000}"/>
    <cellStyle name="Normal 33 4 10" xfId="25668" xr:uid="{00000000-0005-0000-0000-0000D13D0000}"/>
    <cellStyle name="Normal 33 4 10 2" xfId="16816" xr:uid="{00000000-0005-0000-0000-0000D23D0000}"/>
    <cellStyle name="Normal 33 4 11" xfId="25672" xr:uid="{00000000-0005-0000-0000-0000D33D0000}"/>
    <cellStyle name="Normal 33 4 11 2" xfId="16344" xr:uid="{00000000-0005-0000-0000-0000D43D0000}"/>
    <cellStyle name="Normal 33 4 12" xfId="21924" xr:uid="{00000000-0005-0000-0000-0000D53D0000}"/>
    <cellStyle name="Normal 33 4 12 2" xfId="16358" xr:uid="{00000000-0005-0000-0000-0000D63D0000}"/>
    <cellStyle name="Normal 33 4 13" xfId="21929" xr:uid="{00000000-0005-0000-0000-0000D73D0000}"/>
    <cellStyle name="Normal 33 4 14" xfId="11297" xr:uid="{00000000-0005-0000-0000-0000D83D0000}"/>
    <cellStyle name="Normal 33 4 2" xfId="26354" xr:uid="{00000000-0005-0000-0000-0000D93D0000}"/>
    <cellStyle name="Normal 33 4 2 10" xfId="25886" xr:uid="{00000000-0005-0000-0000-0000DA3D0000}"/>
    <cellStyle name="Normal 33 4 2 2" xfId="26355" xr:uid="{00000000-0005-0000-0000-0000DB3D0000}"/>
    <cellStyle name="Normal 33 4 2 2 2" xfId="26356" xr:uid="{00000000-0005-0000-0000-0000DC3D0000}"/>
    <cellStyle name="Normal 33 4 2 2 2 2" xfId="26357" xr:uid="{00000000-0005-0000-0000-0000DD3D0000}"/>
    <cellStyle name="Normal 33 4 2 2 2 2 2" xfId="26358" xr:uid="{00000000-0005-0000-0000-0000DE3D0000}"/>
    <cellStyle name="Normal 33 4 2 2 2 2 2 2" xfId="26359" xr:uid="{00000000-0005-0000-0000-0000DF3D0000}"/>
    <cellStyle name="Normal 33 4 2 2 2 2 2 2 2" xfId="26360" xr:uid="{00000000-0005-0000-0000-0000E03D0000}"/>
    <cellStyle name="Normal 33 4 2 2 2 2 2 3" xfId="22609" xr:uid="{00000000-0005-0000-0000-0000E13D0000}"/>
    <cellStyle name="Normal 33 4 2 2 2 2 3" xfId="19133" xr:uid="{00000000-0005-0000-0000-0000E23D0000}"/>
    <cellStyle name="Normal 33 4 2 2 2 2 3 2" xfId="26361" xr:uid="{00000000-0005-0000-0000-0000E33D0000}"/>
    <cellStyle name="Normal 33 4 2 2 2 2 4" xfId="26362" xr:uid="{00000000-0005-0000-0000-0000E43D0000}"/>
    <cellStyle name="Normal 33 4 2 2 2 3" xfId="16089" xr:uid="{00000000-0005-0000-0000-0000E53D0000}"/>
    <cellStyle name="Normal 33 4 2 2 2 3 2" xfId="11878" xr:uid="{00000000-0005-0000-0000-0000E63D0000}"/>
    <cellStyle name="Normal 33 4 2 2 2 3 2 2" xfId="11882" xr:uid="{00000000-0005-0000-0000-0000E73D0000}"/>
    <cellStyle name="Normal 33 4 2 2 2 3 3" xfId="11886" xr:uid="{00000000-0005-0000-0000-0000E83D0000}"/>
    <cellStyle name="Normal 33 4 2 2 2 4" xfId="24382" xr:uid="{00000000-0005-0000-0000-0000E93D0000}"/>
    <cellStyle name="Normal 33 4 2 2 2 4 2" xfId="17305" xr:uid="{00000000-0005-0000-0000-0000EA3D0000}"/>
    <cellStyle name="Normal 33 4 2 2 2 4 2 2" xfId="26363" xr:uid="{00000000-0005-0000-0000-0000EB3D0000}"/>
    <cellStyle name="Normal 33 4 2 2 2 4 3" xfId="24070" xr:uid="{00000000-0005-0000-0000-0000EC3D0000}"/>
    <cellStyle name="Normal 33 4 2 2 2 5" xfId="4450" xr:uid="{00000000-0005-0000-0000-0000ED3D0000}"/>
    <cellStyle name="Normal 33 4 2 2 2 5 2" xfId="380" xr:uid="{00000000-0005-0000-0000-0000EE3D0000}"/>
    <cellStyle name="Normal 33 4 2 2 2 6" xfId="4489" xr:uid="{00000000-0005-0000-0000-0000EF3D0000}"/>
    <cellStyle name="Normal 33 4 2 2 2 6 2" xfId="4501" xr:uid="{00000000-0005-0000-0000-0000F03D0000}"/>
    <cellStyle name="Normal 33 4 2 2 2 7" xfId="22875" xr:uid="{00000000-0005-0000-0000-0000F13D0000}"/>
    <cellStyle name="Normal 33 4 2 2 2 8" xfId="22447" xr:uid="{00000000-0005-0000-0000-0000F23D0000}"/>
    <cellStyle name="Normal 33 4 2 2 3" xfId="1933" xr:uid="{00000000-0005-0000-0000-0000F33D0000}"/>
    <cellStyle name="Normal 33 4 2 2 3 2" xfId="15767" xr:uid="{00000000-0005-0000-0000-0000F43D0000}"/>
    <cellStyle name="Normal 33 4 2 2 3 2 2" xfId="23461" xr:uid="{00000000-0005-0000-0000-0000F53D0000}"/>
    <cellStyle name="Normal 33 4 2 2 3 2 2 2" xfId="22163" xr:uid="{00000000-0005-0000-0000-0000F63D0000}"/>
    <cellStyle name="Normal 33 4 2 2 3 2 3" xfId="19157" xr:uid="{00000000-0005-0000-0000-0000F73D0000}"/>
    <cellStyle name="Normal 33 4 2 2 3 3" xfId="26365" xr:uid="{00000000-0005-0000-0000-0000F83D0000}"/>
    <cellStyle name="Normal 33 4 2 2 3 3 2" xfId="11947" xr:uid="{00000000-0005-0000-0000-0000F93D0000}"/>
    <cellStyle name="Normal 33 4 2 2 3 4" xfId="24388" xr:uid="{00000000-0005-0000-0000-0000FA3D0000}"/>
    <cellStyle name="Normal 33 4 2 2 4" xfId="14118" xr:uid="{00000000-0005-0000-0000-0000FB3D0000}"/>
    <cellStyle name="Normal 33 4 2 2 4 2" xfId="14126" xr:uid="{00000000-0005-0000-0000-0000FC3D0000}"/>
    <cellStyle name="Normal 33 4 2 2 4 2 2" xfId="26367" xr:uid="{00000000-0005-0000-0000-0000FD3D0000}"/>
    <cellStyle name="Normal 33 4 2 2 4 3" xfId="9910" xr:uid="{00000000-0005-0000-0000-0000FE3D0000}"/>
    <cellStyle name="Normal 33 4 2 2 5" xfId="14129" xr:uid="{00000000-0005-0000-0000-0000FF3D0000}"/>
    <cellStyle name="Normal 33 4 2 2 5 2" xfId="26369" xr:uid="{00000000-0005-0000-0000-0000003E0000}"/>
    <cellStyle name="Normal 33 4 2 2 5 2 2" xfId="26371" xr:uid="{00000000-0005-0000-0000-0000013E0000}"/>
    <cellStyle name="Normal 33 4 2 2 5 3" xfId="9920" xr:uid="{00000000-0005-0000-0000-0000023E0000}"/>
    <cellStyle name="Normal 33 4 2 2 6" xfId="26375" xr:uid="{00000000-0005-0000-0000-0000033E0000}"/>
    <cellStyle name="Normal 33 4 2 2 6 2" xfId="26377" xr:uid="{00000000-0005-0000-0000-0000043E0000}"/>
    <cellStyle name="Normal 33 4 2 2 7" xfId="24675" xr:uid="{00000000-0005-0000-0000-0000053E0000}"/>
    <cellStyle name="Normal 33 4 2 2 7 2" xfId="26380" xr:uid="{00000000-0005-0000-0000-0000063E0000}"/>
    <cellStyle name="Normal 33 4 2 2 8" xfId="26383" xr:uid="{00000000-0005-0000-0000-0000073E0000}"/>
    <cellStyle name="Normal 33 4 2 2 9" xfId="26385" xr:uid="{00000000-0005-0000-0000-0000083E0000}"/>
    <cellStyle name="Normal 33 4 2 3" xfId="26386" xr:uid="{00000000-0005-0000-0000-0000093E0000}"/>
    <cellStyle name="Normal 33 4 2 3 2" xfId="26387" xr:uid="{00000000-0005-0000-0000-00000A3E0000}"/>
    <cellStyle name="Normal 33 4 2 3 2 2" xfId="26388" xr:uid="{00000000-0005-0000-0000-00000B3E0000}"/>
    <cellStyle name="Normal 33 4 2 3 2 2 2" xfId="20331" xr:uid="{00000000-0005-0000-0000-00000C3E0000}"/>
    <cellStyle name="Normal 33 4 2 3 2 2 2 2" xfId="13380" xr:uid="{00000000-0005-0000-0000-00000D3E0000}"/>
    <cellStyle name="Normal 33 4 2 3 2 2 3" xfId="19188" xr:uid="{00000000-0005-0000-0000-00000E3E0000}"/>
    <cellStyle name="Normal 33 4 2 3 2 3" xfId="26389" xr:uid="{00000000-0005-0000-0000-00000F3E0000}"/>
    <cellStyle name="Normal 33 4 2 3 2 3 2" xfId="8888" xr:uid="{00000000-0005-0000-0000-0000103E0000}"/>
    <cellStyle name="Normal 33 4 2 3 2 4" xfId="24422" xr:uid="{00000000-0005-0000-0000-0000113E0000}"/>
    <cellStyle name="Normal 33 4 2 3 3" xfId="18998" xr:uid="{00000000-0005-0000-0000-0000123E0000}"/>
    <cellStyle name="Normal 33 4 2 3 3 2" xfId="3847" xr:uid="{00000000-0005-0000-0000-0000133E0000}"/>
    <cellStyle name="Normal 33 4 2 3 3 2 2" xfId="3860" xr:uid="{00000000-0005-0000-0000-0000143E0000}"/>
    <cellStyle name="Normal 33 4 2 3 3 3" xfId="3881" xr:uid="{00000000-0005-0000-0000-0000153E0000}"/>
    <cellStyle name="Normal 33 4 2 3 4" xfId="14137" xr:uid="{00000000-0005-0000-0000-0000163E0000}"/>
    <cellStyle name="Normal 33 4 2 3 4 2" xfId="19001" xr:uid="{00000000-0005-0000-0000-0000173E0000}"/>
    <cellStyle name="Normal 33 4 2 3 4 2 2" xfId="26391" xr:uid="{00000000-0005-0000-0000-0000183E0000}"/>
    <cellStyle name="Normal 33 4 2 3 4 3" xfId="9950" xr:uid="{00000000-0005-0000-0000-0000193E0000}"/>
    <cellStyle name="Normal 33 4 2 3 5" xfId="736" xr:uid="{00000000-0005-0000-0000-00001A3E0000}"/>
    <cellStyle name="Normal 33 4 2 3 5 2" xfId="756" xr:uid="{00000000-0005-0000-0000-00001B3E0000}"/>
    <cellStyle name="Normal 33 4 2 3 6" xfId="442" xr:uid="{00000000-0005-0000-0000-00001C3E0000}"/>
    <cellStyle name="Normal 33 4 2 3 6 2" xfId="606" xr:uid="{00000000-0005-0000-0000-00001D3E0000}"/>
    <cellStyle name="Normal 33 4 2 3 7" xfId="521" xr:uid="{00000000-0005-0000-0000-00001E3E0000}"/>
    <cellStyle name="Normal 33 4 2 3 8" xfId="642" xr:uid="{00000000-0005-0000-0000-00001F3E0000}"/>
    <cellStyle name="Normal 33 4 2 4" xfId="26392" xr:uid="{00000000-0005-0000-0000-0000203E0000}"/>
    <cellStyle name="Normal 33 4 2 4 2" xfId="26393" xr:uid="{00000000-0005-0000-0000-0000213E0000}"/>
    <cellStyle name="Normal 33 4 2 4 2 2" xfId="26394" xr:uid="{00000000-0005-0000-0000-0000223E0000}"/>
    <cellStyle name="Normal 33 4 2 4 2 2 2" xfId="19047" xr:uid="{00000000-0005-0000-0000-0000233E0000}"/>
    <cellStyle name="Normal 33 4 2 4 2 3" xfId="26395" xr:uid="{00000000-0005-0000-0000-0000243E0000}"/>
    <cellStyle name="Normal 33 4 2 4 3" xfId="19009" xr:uid="{00000000-0005-0000-0000-0000253E0000}"/>
    <cellStyle name="Normal 33 4 2 4 3 2" xfId="19012" xr:uid="{00000000-0005-0000-0000-0000263E0000}"/>
    <cellStyle name="Normal 33 4 2 4 4" xfId="14148" xr:uid="{00000000-0005-0000-0000-0000273E0000}"/>
    <cellStyle name="Normal 33 4 2 5" xfId="26398" xr:uid="{00000000-0005-0000-0000-0000283E0000}"/>
    <cellStyle name="Normal 33 4 2 5 2" xfId="24122" xr:uid="{00000000-0005-0000-0000-0000293E0000}"/>
    <cellStyle name="Normal 33 4 2 5 2 2" xfId="21327" xr:uid="{00000000-0005-0000-0000-00002A3E0000}"/>
    <cellStyle name="Normal 33 4 2 5 3" xfId="19023" xr:uid="{00000000-0005-0000-0000-00002B3E0000}"/>
    <cellStyle name="Normal 33 4 2 6" xfId="26399" xr:uid="{00000000-0005-0000-0000-00002C3E0000}"/>
    <cellStyle name="Normal 33 4 2 6 2" xfId="25218" xr:uid="{00000000-0005-0000-0000-00002D3E0000}"/>
    <cellStyle name="Normal 33 4 2 6 2 2" xfId="25220" xr:uid="{00000000-0005-0000-0000-00002E3E0000}"/>
    <cellStyle name="Normal 33 4 2 6 3" xfId="19042" xr:uid="{00000000-0005-0000-0000-00002F3E0000}"/>
    <cellStyle name="Normal 33 4 2 7" xfId="26400" xr:uid="{00000000-0005-0000-0000-0000303E0000}"/>
    <cellStyle name="Normal 33 4 2 7 2" xfId="7376" xr:uid="{00000000-0005-0000-0000-0000313E0000}"/>
    <cellStyle name="Normal 33 4 2 8" xfId="26403" xr:uid="{00000000-0005-0000-0000-0000323E0000}"/>
    <cellStyle name="Normal 33 4 2 8 2" xfId="4821" xr:uid="{00000000-0005-0000-0000-0000333E0000}"/>
    <cellStyle name="Normal 33 4 2 9" xfId="14479" xr:uid="{00000000-0005-0000-0000-0000343E0000}"/>
    <cellStyle name="Normal 33 4 3" xfId="22678" xr:uid="{00000000-0005-0000-0000-0000353E0000}"/>
    <cellStyle name="Normal 33 4 3 2" xfId="12137" xr:uid="{00000000-0005-0000-0000-0000363E0000}"/>
    <cellStyle name="Normal 33 4 3 2 2" xfId="12144" xr:uid="{00000000-0005-0000-0000-0000373E0000}"/>
    <cellStyle name="Normal 33 4 3 2 2 2" xfId="26404" xr:uid="{00000000-0005-0000-0000-0000383E0000}"/>
    <cellStyle name="Normal 33 4 3 2 2 2 2" xfId="26405" xr:uid="{00000000-0005-0000-0000-0000393E0000}"/>
    <cellStyle name="Normal 33 4 3 2 2 2 2 2" xfId="26406" xr:uid="{00000000-0005-0000-0000-00003A3E0000}"/>
    <cellStyle name="Normal 33 4 3 2 2 2 3" xfId="26408" xr:uid="{00000000-0005-0000-0000-00003B3E0000}"/>
    <cellStyle name="Normal 33 4 3 2 2 3" xfId="26410" xr:uid="{00000000-0005-0000-0000-00003C3E0000}"/>
    <cellStyle name="Normal 33 4 3 2 2 3 2" xfId="1789" xr:uid="{00000000-0005-0000-0000-00003D3E0000}"/>
    <cellStyle name="Normal 33 4 3 2 2 4" xfId="24489" xr:uid="{00000000-0005-0000-0000-00003E3E0000}"/>
    <cellStyle name="Normal 33 4 3 2 2 5" xfId="26415" xr:uid="{00000000-0005-0000-0000-00003F3E0000}"/>
    <cellStyle name="Normal 33 4 3 2 3" xfId="26417" xr:uid="{00000000-0005-0000-0000-0000403E0000}"/>
    <cellStyle name="Normal 33 4 3 2 3 2" xfId="26419" xr:uid="{00000000-0005-0000-0000-0000413E0000}"/>
    <cellStyle name="Normal 33 4 3 2 3 2 2" xfId="26421" xr:uid="{00000000-0005-0000-0000-0000423E0000}"/>
    <cellStyle name="Normal 33 4 3 2 3 3" xfId="26423" xr:uid="{00000000-0005-0000-0000-0000433E0000}"/>
    <cellStyle name="Normal 33 4 3 2 4" xfId="26425" xr:uid="{00000000-0005-0000-0000-0000443E0000}"/>
    <cellStyle name="Normal 33 4 3 2 4 2" xfId="26427" xr:uid="{00000000-0005-0000-0000-0000453E0000}"/>
    <cellStyle name="Normal 33 4 3 2 4 2 2" xfId="26428" xr:uid="{00000000-0005-0000-0000-0000463E0000}"/>
    <cellStyle name="Normal 33 4 3 2 4 3" xfId="9993" xr:uid="{00000000-0005-0000-0000-0000473E0000}"/>
    <cellStyle name="Normal 33 4 3 2 5" xfId="14428" xr:uid="{00000000-0005-0000-0000-0000483E0000}"/>
    <cellStyle name="Normal 33 4 3 2 5 2" xfId="14432" xr:uid="{00000000-0005-0000-0000-0000493E0000}"/>
    <cellStyle name="Normal 33 4 3 2 6" xfId="14437" xr:uid="{00000000-0005-0000-0000-00004A3E0000}"/>
    <cellStyle name="Normal 33 4 3 2 6 2" xfId="26432" xr:uid="{00000000-0005-0000-0000-00004B3E0000}"/>
    <cellStyle name="Normal 33 4 3 2 7" xfId="24713" xr:uid="{00000000-0005-0000-0000-00004C3E0000}"/>
    <cellStyle name="Normal 33 4 3 2 8" xfId="26436" xr:uid="{00000000-0005-0000-0000-00004D3E0000}"/>
    <cellStyle name="Normal 33 4 3 3" xfId="12148" xr:uid="{00000000-0005-0000-0000-00004E3E0000}"/>
    <cellStyle name="Normal 33 4 3 3 2" xfId="22057" xr:uid="{00000000-0005-0000-0000-00004F3E0000}"/>
    <cellStyle name="Normal 33 4 3 3 2 2" xfId="22059" xr:uid="{00000000-0005-0000-0000-0000503E0000}"/>
    <cellStyle name="Normal 33 4 3 3 2 2 2" xfId="22061" xr:uid="{00000000-0005-0000-0000-0000513E0000}"/>
    <cellStyle name="Normal 33 4 3 3 2 3" xfId="22071" xr:uid="{00000000-0005-0000-0000-0000523E0000}"/>
    <cellStyle name="Normal 33 4 3 3 3" xfId="19056" xr:uid="{00000000-0005-0000-0000-0000533E0000}"/>
    <cellStyle name="Normal 33 4 3 3 3 2" xfId="19060" xr:uid="{00000000-0005-0000-0000-0000543E0000}"/>
    <cellStyle name="Normal 33 4 3 3 4" xfId="19068" xr:uid="{00000000-0005-0000-0000-0000553E0000}"/>
    <cellStyle name="Normal 33 4 3 3 5" xfId="4446" xr:uid="{00000000-0005-0000-0000-0000563E0000}"/>
    <cellStyle name="Normal 33 4 3 4" xfId="26437" xr:uid="{00000000-0005-0000-0000-0000573E0000}"/>
    <cellStyle name="Normal 33 4 3 4 2" xfId="22280" xr:uid="{00000000-0005-0000-0000-0000583E0000}"/>
    <cellStyle name="Normal 33 4 3 4 2 2" xfId="22282" xr:uid="{00000000-0005-0000-0000-0000593E0000}"/>
    <cellStyle name="Normal 33 4 3 4 3" xfId="19074" xr:uid="{00000000-0005-0000-0000-00005A3E0000}"/>
    <cellStyle name="Normal 33 4 3 5" xfId="26438" xr:uid="{00000000-0005-0000-0000-00005B3E0000}"/>
    <cellStyle name="Normal 33 4 3 5 2" xfId="22379" xr:uid="{00000000-0005-0000-0000-00005C3E0000}"/>
    <cellStyle name="Normal 33 4 3 5 2 2" xfId="22381" xr:uid="{00000000-0005-0000-0000-00005D3E0000}"/>
    <cellStyle name="Normal 33 4 3 5 3" xfId="22384" xr:uid="{00000000-0005-0000-0000-00005E3E0000}"/>
    <cellStyle name="Normal 33 4 3 6" xfId="26439" xr:uid="{00000000-0005-0000-0000-00005F3E0000}"/>
    <cellStyle name="Normal 33 4 3 6 2" xfId="22478" xr:uid="{00000000-0005-0000-0000-0000603E0000}"/>
    <cellStyle name="Normal 33 4 3 7" xfId="26440" xr:uid="{00000000-0005-0000-0000-0000613E0000}"/>
    <cellStyle name="Normal 33 4 3 7 2" xfId="8235" xr:uid="{00000000-0005-0000-0000-0000623E0000}"/>
    <cellStyle name="Normal 33 4 3 8" xfId="26441" xr:uid="{00000000-0005-0000-0000-0000633E0000}"/>
    <cellStyle name="Normal 33 4 3 9" xfId="26442" xr:uid="{00000000-0005-0000-0000-0000643E0000}"/>
    <cellStyle name="Normal 33 4 4" xfId="22680" xr:uid="{00000000-0005-0000-0000-0000653E0000}"/>
    <cellStyle name="Normal 33 4 4 2" xfId="26443" xr:uid="{00000000-0005-0000-0000-0000663E0000}"/>
    <cellStyle name="Normal 33 4 4 2 2" xfId="16032" xr:uid="{00000000-0005-0000-0000-0000673E0000}"/>
    <cellStyle name="Normal 33 4 4 2 2 2" xfId="8809" xr:uid="{00000000-0005-0000-0000-0000683E0000}"/>
    <cellStyle name="Normal 33 4 4 2 2 2 2" xfId="4261" xr:uid="{00000000-0005-0000-0000-0000693E0000}"/>
    <cellStyle name="Normal 33 4 4 2 2 2 2 2" xfId="26444" xr:uid="{00000000-0005-0000-0000-00006A3E0000}"/>
    <cellStyle name="Normal 33 4 4 2 2 2 3" xfId="2717" xr:uid="{00000000-0005-0000-0000-00006B3E0000}"/>
    <cellStyle name="Normal 33 4 4 2 2 3" xfId="7330" xr:uid="{00000000-0005-0000-0000-00006C3E0000}"/>
    <cellStyle name="Normal 33 4 4 2 2 3 2" xfId="22489" xr:uid="{00000000-0005-0000-0000-00006D3E0000}"/>
    <cellStyle name="Normal 33 4 4 2 2 4" xfId="22495" xr:uid="{00000000-0005-0000-0000-00006E3E0000}"/>
    <cellStyle name="Normal 33 4 4 2 3" xfId="4056" xr:uid="{00000000-0005-0000-0000-00006F3E0000}"/>
    <cellStyle name="Normal 33 4 4 2 3 2" xfId="8815" xr:uid="{00000000-0005-0000-0000-0000703E0000}"/>
    <cellStyle name="Normal 33 4 4 2 3 2 2" xfId="26447" xr:uid="{00000000-0005-0000-0000-0000713E0000}"/>
    <cellStyle name="Normal 33 4 4 2 3 3" xfId="22507" xr:uid="{00000000-0005-0000-0000-0000723E0000}"/>
    <cellStyle name="Normal 33 4 4 2 4" xfId="26451" xr:uid="{00000000-0005-0000-0000-0000733E0000}"/>
    <cellStyle name="Normal 33 4 4 2 4 2" xfId="8824" xr:uid="{00000000-0005-0000-0000-0000743E0000}"/>
    <cellStyle name="Normal 33 4 4 2 4 2 2" xfId="26453" xr:uid="{00000000-0005-0000-0000-0000753E0000}"/>
    <cellStyle name="Normal 33 4 4 2 4 3" xfId="10048" xr:uid="{00000000-0005-0000-0000-0000763E0000}"/>
    <cellStyle name="Normal 33 4 4 2 5" xfId="14441" xr:uid="{00000000-0005-0000-0000-0000773E0000}"/>
    <cellStyle name="Normal 33 4 4 2 5 2" xfId="26456" xr:uid="{00000000-0005-0000-0000-0000783E0000}"/>
    <cellStyle name="Normal 33 4 4 2 6" xfId="26460" xr:uid="{00000000-0005-0000-0000-0000793E0000}"/>
    <cellStyle name="Normal 33 4 4 2 6 2" xfId="14357" xr:uid="{00000000-0005-0000-0000-00007A3E0000}"/>
    <cellStyle name="Normal 33 4 4 2 7" xfId="26464" xr:uid="{00000000-0005-0000-0000-00007B3E0000}"/>
    <cellStyle name="Normal 33 4 4 2 8" xfId="26467" xr:uid="{00000000-0005-0000-0000-00007C3E0000}"/>
    <cellStyle name="Normal 33 4 4 3" xfId="26470" xr:uid="{00000000-0005-0000-0000-00007D3E0000}"/>
    <cellStyle name="Normal 33 4 4 3 2" xfId="10759" xr:uid="{00000000-0005-0000-0000-00007E3E0000}"/>
    <cellStyle name="Normal 33 4 4 3 2 2" xfId="8867" xr:uid="{00000000-0005-0000-0000-00007F3E0000}"/>
    <cellStyle name="Normal 33 4 4 3 2 2 2" xfId="22596" xr:uid="{00000000-0005-0000-0000-0000803E0000}"/>
    <cellStyle name="Normal 33 4 4 3 2 3" xfId="22525" xr:uid="{00000000-0005-0000-0000-0000813E0000}"/>
    <cellStyle name="Normal 33 4 4 3 3" xfId="9149" xr:uid="{00000000-0005-0000-0000-0000823E0000}"/>
    <cellStyle name="Normal 33 4 4 3 3 2" xfId="8892" xr:uid="{00000000-0005-0000-0000-0000833E0000}"/>
    <cellStyle name="Normal 33 4 4 3 4" xfId="9689" xr:uid="{00000000-0005-0000-0000-0000843E0000}"/>
    <cellStyle name="Normal 33 4 4 4" xfId="26471" xr:uid="{00000000-0005-0000-0000-0000853E0000}"/>
    <cellStyle name="Normal 33 4 4 4 2" xfId="3841" xr:uid="{00000000-0005-0000-0000-0000863E0000}"/>
    <cellStyle name="Normal 33 4 4 4 2 2" xfId="3852" xr:uid="{00000000-0005-0000-0000-0000873E0000}"/>
    <cellStyle name="Normal 33 4 4 4 3" xfId="3875" xr:uid="{00000000-0005-0000-0000-0000883E0000}"/>
    <cellStyle name="Normal 33 4 4 5" xfId="26472" xr:uid="{00000000-0005-0000-0000-0000893E0000}"/>
    <cellStyle name="Normal 33 4 4 5 2" xfId="17181" xr:uid="{00000000-0005-0000-0000-00008A3E0000}"/>
    <cellStyle name="Normal 33 4 4 5 2 2" xfId="17187" xr:uid="{00000000-0005-0000-0000-00008B3E0000}"/>
    <cellStyle name="Normal 33 4 4 5 3" xfId="9947" xr:uid="{00000000-0005-0000-0000-00008C3E0000}"/>
    <cellStyle name="Normal 33 4 4 6" xfId="741" xr:uid="{00000000-0005-0000-0000-00008D3E0000}"/>
    <cellStyle name="Normal 33 4 4 6 2" xfId="752" xr:uid="{00000000-0005-0000-0000-00008E3E0000}"/>
    <cellStyle name="Normal 33 4 4 7" xfId="26473" xr:uid="{00000000-0005-0000-0000-00008F3E0000}"/>
    <cellStyle name="Normal 33 4 4 7 2" xfId="601" xr:uid="{00000000-0005-0000-0000-0000903E0000}"/>
    <cellStyle name="Normal 33 4 4 8" xfId="26474" xr:uid="{00000000-0005-0000-0000-0000913E0000}"/>
    <cellStyle name="Normal 33 4 4 9" xfId="26475" xr:uid="{00000000-0005-0000-0000-0000923E0000}"/>
    <cellStyle name="Normal 33 4 5" xfId="3544" xr:uid="{00000000-0005-0000-0000-0000933E0000}"/>
    <cellStyle name="Normal 33 4 5 2" xfId="26476" xr:uid="{00000000-0005-0000-0000-0000943E0000}"/>
    <cellStyle name="Normal 33 4 5 2 2" xfId="26477" xr:uid="{00000000-0005-0000-0000-0000953E0000}"/>
    <cellStyle name="Normal 33 4 5 2 2 2" xfId="21724" xr:uid="{00000000-0005-0000-0000-0000963E0000}"/>
    <cellStyle name="Normal 33 4 5 2 2 2 2" xfId="21727" xr:uid="{00000000-0005-0000-0000-0000973E0000}"/>
    <cellStyle name="Normal 33 4 5 2 2 2 2 2" xfId="21733" xr:uid="{00000000-0005-0000-0000-0000983E0000}"/>
    <cellStyle name="Normal 33 4 5 2 2 2 3" xfId="21737" xr:uid="{00000000-0005-0000-0000-0000993E0000}"/>
    <cellStyle name="Normal 33 4 5 2 2 3" xfId="21740" xr:uid="{00000000-0005-0000-0000-00009A3E0000}"/>
    <cellStyle name="Normal 33 4 5 2 2 3 2" xfId="21748" xr:uid="{00000000-0005-0000-0000-00009B3E0000}"/>
    <cellStyle name="Normal 33 4 5 2 2 4" xfId="21759" xr:uid="{00000000-0005-0000-0000-00009C3E0000}"/>
    <cellStyle name="Normal 33 4 5 2 3" xfId="26479" xr:uid="{00000000-0005-0000-0000-00009D3E0000}"/>
    <cellStyle name="Normal 33 4 5 2 3 2" xfId="9294" xr:uid="{00000000-0005-0000-0000-00009E3E0000}"/>
    <cellStyle name="Normal 33 4 5 2 3 2 2" xfId="5669" xr:uid="{00000000-0005-0000-0000-00009F3E0000}"/>
    <cellStyle name="Normal 33 4 5 2 3 3" xfId="9301" xr:uid="{00000000-0005-0000-0000-0000A03E0000}"/>
    <cellStyle name="Normal 33 4 5 2 4" xfId="26481" xr:uid="{00000000-0005-0000-0000-0000A13E0000}"/>
    <cellStyle name="Normal 33 4 5 2 4 2" xfId="9452" xr:uid="{00000000-0005-0000-0000-0000A23E0000}"/>
    <cellStyle name="Normal 33 4 5 2 4 2 2" xfId="4166" xr:uid="{00000000-0005-0000-0000-0000A33E0000}"/>
    <cellStyle name="Normal 33 4 5 2 4 3" xfId="9458" xr:uid="{00000000-0005-0000-0000-0000A43E0000}"/>
    <cellStyle name="Normal 33 4 5 2 5" xfId="14446" xr:uid="{00000000-0005-0000-0000-0000A53E0000}"/>
    <cellStyle name="Normal 33 4 5 2 5 2" xfId="9624" xr:uid="{00000000-0005-0000-0000-0000A63E0000}"/>
    <cellStyle name="Normal 33 4 5 2 6" xfId="11248" xr:uid="{00000000-0005-0000-0000-0000A73E0000}"/>
    <cellStyle name="Normal 33 4 5 2 6 2" xfId="9746" xr:uid="{00000000-0005-0000-0000-0000A83E0000}"/>
    <cellStyle name="Normal 33 4 5 2 7" xfId="11301" xr:uid="{00000000-0005-0000-0000-0000A93E0000}"/>
    <cellStyle name="Normal 33 4 5 2 8" xfId="1854" xr:uid="{00000000-0005-0000-0000-0000AA3E0000}"/>
    <cellStyle name="Normal 33 4 5 3" xfId="26482" xr:uid="{00000000-0005-0000-0000-0000AB3E0000}"/>
    <cellStyle name="Normal 33 4 5 3 2" xfId="26484" xr:uid="{00000000-0005-0000-0000-0000AC3E0000}"/>
    <cellStyle name="Normal 33 4 5 3 2 2" xfId="21806" xr:uid="{00000000-0005-0000-0000-0000AD3E0000}"/>
    <cellStyle name="Normal 33 4 5 3 2 2 2" xfId="21811" xr:uid="{00000000-0005-0000-0000-0000AE3E0000}"/>
    <cellStyle name="Normal 33 4 5 3 2 3" xfId="21814" xr:uid="{00000000-0005-0000-0000-0000AF3E0000}"/>
    <cellStyle name="Normal 33 4 5 3 3" xfId="19089" xr:uid="{00000000-0005-0000-0000-0000B03E0000}"/>
    <cellStyle name="Normal 33 4 5 3 3 2" xfId="9933" xr:uid="{00000000-0005-0000-0000-0000B13E0000}"/>
    <cellStyle name="Normal 33 4 5 3 4" xfId="26488" xr:uid="{00000000-0005-0000-0000-0000B23E0000}"/>
    <cellStyle name="Normal 33 4 5 4" xfId="26489" xr:uid="{00000000-0005-0000-0000-0000B33E0000}"/>
    <cellStyle name="Normal 33 4 5 4 2" xfId="17216" xr:uid="{00000000-0005-0000-0000-0000B43E0000}"/>
    <cellStyle name="Normal 33 4 5 4 2 2" xfId="16268" xr:uid="{00000000-0005-0000-0000-0000B53E0000}"/>
    <cellStyle name="Normal 33 4 5 4 3" xfId="17220" xr:uid="{00000000-0005-0000-0000-0000B63E0000}"/>
    <cellStyle name="Normal 33 4 5 5" xfId="20777" xr:uid="{00000000-0005-0000-0000-0000B73E0000}"/>
    <cellStyle name="Normal 33 4 5 5 2" xfId="17234" xr:uid="{00000000-0005-0000-0000-0000B83E0000}"/>
    <cellStyle name="Normal 33 4 5 5 2 2" xfId="26491" xr:uid="{00000000-0005-0000-0000-0000B93E0000}"/>
    <cellStyle name="Normal 33 4 5 5 3" xfId="9963" xr:uid="{00000000-0005-0000-0000-0000BA3E0000}"/>
    <cellStyle name="Normal 33 4 5 6" xfId="26492" xr:uid="{00000000-0005-0000-0000-0000BB3E0000}"/>
    <cellStyle name="Normal 33 4 5 6 2" xfId="1649" xr:uid="{00000000-0005-0000-0000-0000BC3E0000}"/>
    <cellStyle name="Normal 33 4 5 7" xfId="26493" xr:uid="{00000000-0005-0000-0000-0000BD3E0000}"/>
    <cellStyle name="Normal 33 4 5 7 2" xfId="1486" xr:uid="{00000000-0005-0000-0000-0000BE3E0000}"/>
    <cellStyle name="Normal 33 4 5 8" xfId="26494" xr:uid="{00000000-0005-0000-0000-0000BF3E0000}"/>
    <cellStyle name="Normal 33 4 5 9" xfId="26495" xr:uid="{00000000-0005-0000-0000-0000C03E0000}"/>
    <cellStyle name="Normal 33 4 6" xfId="21747" xr:uid="{00000000-0005-0000-0000-0000C13E0000}"/>
    <cellStyle name="Normal 33 4 6 2" xfId="21755" xr:uid="{00000000-0005-0000-0000-0000C23E0000}"/>
    <cellStyle name="Normal 33 4 6 2 2" xfId="22861" xr:uid="{00000000-0005-0000-0000-0000C33E0000}"/>
    <cellStyle name="Normal 33 4 6 2 2 2" xfId="21896" xr:uid="{00000000-0005-0000-0000-0000C43E0000}"/>
    <cellStyle name="Normal 33 4 6 2 2 2 2" xfId="2518" xr:uid="{00000000-0005-0000-0000-0000C53E0000}"/>
    <cellStyle name="Normal 33 4 6 2 2 3" xfId="21898" xr:uid="{00000000-0005-0000-0000-0000C63E0000}"/>
    <cellStyle name="Normal 33 4 6 2 3" xfId="4231" xr:uid="{00000000-0005-0000-0000-0000C73E0000}"/>
    <cellStyle name="Normal 33 4 6 2 3 2" xfId="10280" xr:uid="{00000000-0005-0000-0000-0000C83E0000}"/>
    <cellStyle name="Normal 33 4 6 2 4" xfId="22864" xr:uid="{00000000-0005-0000-0000-0000C93E0000}"/>
    <cellStyle name="Normal 33 4 6 3" xfId="14100" xr:uid="{00000000-0005-0000-0000-0000CA3E0000}"/>
    <cellStyle name="Normal 33 4 6 3 2" xfId="22908" xr:uid="{00000000-0005-0000-0000-0000CB3E0000}"/>
    <cellStyle name="Normal 33 4 6 3 2 2" xfId="21916" xr:uid="{00000000-0005-0000-0000-0000CC3E0000}"/>
    <cellStyle name="Normal 33 4 6 3 3" xfId="22911" xr:uid="{00000000-0005-0000-0000-0000CD3E0000}"/>
    <cellStyle name="Normal 33 4 6 4" xfId="26496" xr:uid="{00000000-0005-0000-0000-0000CE3E0000}"/>
    <cellStyle name="Normal 33 4 6 4 2" xfId="17249" xr:uid="{00000000-0005-0000-0000-0000CF3E0000}"/>
    <cellStyle name="Normal 33 4 6 4 2 2" xfId="16877" xr:uid="{00000000-0005-0000-0000-0000D03E0000}"/>
    <cellStyle name="Normal 33 4 6 4 3" xfId="17253" xr:uid="{00000000-0005-0000-0000-0000D13E0000}"/>
    <cellStyle name="Normal 33 4 6 5" xfId="26497" xr:uid="{00000000-0005-0000-0000-0000D23E0000}"/>
    <cellStyle name="Normal 33 4 6 5 2" xfId="26498" xr:uid="{00000000-0005-0000-0000-0000D33E0000}"/>
    <cellStyle name="Normal 33 4 6 6" xfId="26499" xr:uid="{00000000-0005-0000-0000-0000D43E0000}"/>
    <cellStyle name="Normal 33 4 6 6 2" xfId="26500" xr:uid="{00000000-0005-0000-0000-0000D53E0000}"/>
    <cellStyle name="Normal 33 4 6 7" xfId="26501" xr:uid="{00000000-0005-0000-0000-0000D63E0000}"/>
    <cellStyle name="Normal 33 4 6 8" xfId="26502" xr:uid="{00000000-0005-0000-0000-0000D73E0000}"/>
    <cellStyle name="Normal 33 4 7" xfId="21757" xr:uid="{00000000-0005-0000-0000-0000D83E0000}"/>
    <cellStyle name="Normal 33 4 7 2" xfId="26503" xr:uid="{00000000-0005-0000-0000-0000D93E0000}"/>
    <cellStyle name="Normal 33 4 7 2 2" xfId="22975" xr:uid="{00000000-0005-0000-0000-0000DA3E0000}"/>
    <cellStyle name="Normal 33 4 7 2 2 2" xfId="21973" xr:uid="{00000000-0005-0000-0000-0000DB3E0000}"/>
    <cellStyle name="Normal 33 4 7 2 3" xfId="22978" xr:uid="{00000000-0005-0000-0000-0000DC3E0000}"/>
    <cellStyle name="Normal 33 4 7 3" xfId="26506" xr:uid="{00000000-0005-0000-0000-0000DD3E0000}"/>
    <cellStyle name="Normal 33 4 7 3 2" xfId="334" xr:uid="{00000000-0005-0000-0000-0000DE3E0000}"/>
    <cellStyle name="Normal 33 4 7 4" xfId="26508" xr:uid="{00000000-0005-0000-0000-0000DF3E0000}"/>
    <cellStyle name="Normal 33 4 8" xfId="26509" xr:uid="{00000000-0005-0000-0000-0000E03E0000}"/>
    <cellStyle name="Normal 33 4 8 2" xfId="7166" xr:uid="{00000000-0005-0000-0000-0000E13E0000}"/>
    <cellStyle name="Normal 33 4 8 2 2" xfId="23058" xr:uid="{00000000-0005-0000-0000-0000E23E0000}"/>
    <cellStyle name="Normal 33 4 8 3" xfId="26510" xr:uid="{00000000-0005-0000-0000-0000E33E0000}"/>
    <cellStyle name="Normal 33 4 9" xfId="26514" xr:uid="{00000000-0005-0000-0000-0000E43E0000}"/>
    <cellStyle name="Normal 33 4 9 2" xfId="26515" xr:uid="{00000000-0005-0000-0000-0000E53E0000}"/>
    <cellStyle name="Normal 33 4 9 2 2" xfId="23129" xr:uid="{00000000-0005-0000-0000-0000E63E0000}"/>
    <cellStyle name="Normal 33 4 9 3" xfId="24666" xr:uid="{00000000-0005-0000-0000-0000E73E0000}"/>
    <cellStyle name="Normal 34" xfId="7584" xr:uid="{00000000-0005-0000-0000-0000E83E0000}"/>
    <cellStyle name="Normal 34 10" xfId="20798" xr:uid="{00000000-0005-0000-0000-0000E93E0000}"/>
    <cellStyle name="Normal 34 10 2" xfId="26520" xr:uid="{00000000-0005-0000-0000-0000EA3E0000}"/>
    <cellStyle name="Normal 34 10 2 2" xfId="26523" xr:uid="{00000000-0005-0000-0000-0000EB3E0000}"/>
    <cellStyle name="Normal 34 10 2 2 2" xfId="7086" xr:uid="{00000000-0005-0000-0000-0000EC3E0000}"/>
    <cellStyle name="Normal 34 10 2 3" xfId="26524" xr:uid="{00000000-0005-0000-0000-0000ED3E0000}"/>
    <cellStyle name="Normal 34 10 2 4" xfId="23497" xr:uid="{00000000-0005-0000-0000-0000EE3E0000}"/>
    <cellStyle name="Normal 34 10 3" xfId="26532" xr:uid="{00000000-0005-0000-0000-0000EF3E0000}"/>
    <cellStyle name="Normal 34 10 3 2" xfId="26535" xr:uid="{00000000-0005-0000-0000-0000F03E0000}"/>
    <cellStyle name="Normal 34 10 4" xfId="26538" xr:uid="{00000000-0005-0000-0000-0000F13E0000}"/>
    <cellStyle name="Normal 34 10 4 2" xfId="26541" xr:uid="{00000000-0005-0000-0000-0000F23E0000}"/>
    <cellStyle name="Normal 34 10 5" xfId="26546" xr:uid="{00000000-0005-0000-0000-0000F33E0000}"/>
    <cellStyle name="Normal 34 10 6" xfId="167" xr:uid="{00000000-0005-0000-0000-0000F43E0000}"/>
    <cellStyle name="Normal 34 11" xfId="9708" xr:uid="{00000000-0005-0000-0000-0000F53E0000}"/>
    <cellStyle name="Normal 34 11 2" xfId="26547" xr:uid="{00000000-0005-0000-0000-0000F63E0000}"/>
    <cellStyle name="Normal 34 11 2 2" xfId="26548" xr:uid="{00000000-0005-0000-0000-0000F73E0000}"/>
    <cellStyle name="Normal 34 11 3" xfId="26551" xr:uid="{00000000-0005-0000-0000-0000F83E0000}"/>
    <cellStyle name="Normal 34 11 4" xfId="26554" xr:uid="{00000000-0005-0000-0000-0000F93E0000}"/>
    <cellStyle name="Normal 34 12" xfId="23536" xr:uid="{00000000-0005-0000-0000-0000FA3E0000}"/>
    <cellStyle name="Normal 34 12 2" xfId="23540" xr:uid="{00000000-0005-0000-0000-0000FB3E0000}"/>
    <cellStyle name="Normal 34 12 2 2" xfId="26555" xr:uid="{00000000-0005-0000-0000-0000FC3E0000}"/>
    <cellStyle name="Normal 34 12 3" xfId="26558" xr:uid="{00000000-0005-0000-0000-0000FD3E0000}"/>
    <cellStyle name="Normal 34 13" xfId="1207" xr:uid="{00000000-0005-0000-0000-0000FE3E0000}"/>
    <cellStyle name="Normal 34 13 2" xfId="1221" xr:uid="{00000000-0005-0000-0000-0000FF3E0000}"/>
    <cellStyle name="Normal 34 14" xfId="1232" xr:uid="{00000000-0005-0000-0000-0000003F0000}"/>
    <cellStyle name="Normal 34 14 2" xfId="26563" xr:uid="{00000000-0005-0000-0000-0000013F0000}"/>
    <cellStyle name="Normal 34 15" xfId="26566" xr:uid="{00000000-0005-0000-0000-0000023F0000}"/>
    <cellStyle name="Normal 34 15 2" xfId="6703" xr:uid="{00000000-0005-0000-0000-0000033F0000}"/>
    <cellStyle name="Normal 34 16" xfId="26571" xr:uid="{00000000-0005-0000-0000-0000043F0000}"/>
    <cellStyle name="Normal 34 17" xfId="26576" xr:uid="{00000000-0005-0000-0000-0000053F0000}"/>
    <cellStyle name="Normal 34 2" xfId="21407" xr:uid="{00000000-0005-0000-0000-0000063F0000}"/>
    <cellStyle name="Normal 34 2 10" xfId="17490" xr:uid="{00000000-0005-0000-0000-0000073F0000}"/>
    <cellStyle name="Normal 34 2 10 2" xfId="21302" xr:uid="{00000000-0005-0000-0000-0000083F0000}"/>
    <cellStyle name="Normal 34 2 11" xfId="13208" xr:uid="{00000000-0005-0000-0000-0000093F0000}"/>
    <cellStyle name="Normal 34 2 11 2" xfId="21306" xr:uid="{00000000-0005-0000-0000-00000A3F0000}"/>
    <cellStyle name="Normal 34 2 12" xfId="21310" xr:uid="{00000000-0005-0000-0000-00000B3F0000}"/>
    <cellStyle name="Normal 34 2 12 2" xfId="21312" xr:uid="{00000000-0005-0000-0000-00000C3F0000}"/>
    <cellStyle name="Normal 34 2 13" xfId="21316" xr:uid="{00000000-0005-0000-0000-00000D3F0000}"/>
    <cellStyle name="Normal 34 2 14" xfId="21318" xr:uid="{00000000-0005-0000-0000-00000E3F0000}"/>
    <cellStyle name="Normal 34 2 2" xfId="21411" xr:uid="{00000000-0005-0000-0000-00000F3F0000}"/>
    <cellStyle name="Normal 34 2 2 10" xfId="26581" xr:uid="{00000000-0005-0000-0000-0000103F0000}"/>
    <cellStyle name="Normal 34 2 2 2" xfId="24753" xr:uid="{00000000-0005-0000-0000-0000113F0000}"/>
    <cellStyle name="Normal 34 2 2 2 2" xfId="24755" xr:uid="{00000000-0005-0000-0000-0000123F0000}"/>
    <cellStyle name="Normal 34 2 2 2 2 2" xfId="9317" xr:uid="{00000000-0005-0000-0000-0000133F0000}"/>
    <cellStyle name="Normal 34 2 2 2 2 2 2" xfId="17298" xr:uid="{00000000-0005-0000-0000-0000143F0000}"/>
    <cellStyle name="Normal 34 2 2 2 2 2 2 2" xfId="10734" xr:uid="{00000000-0005-0000-0000-0000153F0000}"/>
    <cellStyle name="Normal 34 2 2 2 2 2 2 2 2" xfId="10738" xr:uid="{00000000-0005-0000-0000-0000163F0000}"/>
    <cellStyle name="Normal 34 2 2 2 2 2 2 3" xfId="17303" xr:uid="{00000000-0005-0000-0000-0000173F0000}"/>
    <cellStyle name="Normal 34 2 2 2 2 2 3" xfId="17307" xr:uid="{00000000-0005-0000-0000-0000183F0000}"/>
    <cellStyle name="Normal 34 2 2 2 2 2 3 2" xfId="338" xr:uid="{00000000-0005-0000-0000-0000193F0000}"/>
    <cellStyle name="Normal 34 2 2 2 2 2 4" xfId="17309" xr:uid="{00000000-0005-0000-0000-00001A3F0000}"/>
    <cellStyle name="Normal 34 2 2 2 2 3" xfId="16484" xr:uid="{00000000-0005-0000-0000-00001B3F0000}"/>
    <cellStyle name="Normal 34 2 2 2 2 3 2" xfId="17318" xr:uid="{00000000-0005-0000-0000-00001C3F0000}"/>
    <cellStyle name="Normal 34 2 2 2 2 3 2 2" xfId="11969" xr:uid="{00000000-0005-0000-0000-00001D3F0000}"/>
    <cellStyle name="Normal 34 2 2 2 2 3 3" xfId="17321" xr:uid="{00000000-0005-0000-0000-00001E3F0000}"/>
    <cellStyle name="Normal 34 2 2 2 2 4" xfId="7960" xr:uid="{00000000-0005-0000-0000-00001F3F0000}"/>
    <cellStyle name="Normal 34 2 2 2 2 4 2" xfId="3773" xr:uid="{00000000-0005-0000-0000-0000203F0000}"/>
    <cellStyle name="Normal 34 2 2 2 2 4 2 2" xfId="5194" xr:uid="{00000000-0005-0000-0000-0000213F0000}"/>
    <cellStyle name="Normal 34 2 2 2 2 4 3" xfId="8568" xr:uid="{00000000-0005-0000-0000-0000223F0000}"/>
    <cellStyle name="Normal 34 2 2 2 2 5" xfId="7969" xr:uid="{00000000-0005-0000-0000-0000233F0000}"/>
    <cellStyle name="Normal 34 2 2 2 2 5 2" xfId="8575" xr:uid="{00000000-0005-0000-0000-0000243F0000}"/>
    <cellStyle name="Normal 34 2 2 2 2 6" xfId="4238" xr:uid="{00000000-0005-0000-0000-0000253F0000}"/>
    <cellStyle name="Normal 34 2 2 2 2 6 2" xfId="26585" xr:uid="{00000000-0005-0000-0000-0000263F0000}"/>
    <cellStyle name="Normal 34 2 2 2 2 7" xfId="26519" xr:uid="{00000000-0005-0000-0000-0000273F0000}"/>
    <cellStyle name="Normal 34 2 2 2 2 8" xfId="26527" xr:uid="{00000000-0005-0000-0000-0000283F0000}"/>
    <cellStyle name="Normal 34 2 2 2 3" xfId="20026" xr:uid="{00000000-0005-0000-0000-0000293F0000}"/>
    <cellStyle name="Normal 34 2 2 2 3 2" xfId="26586" xr:uid="{00000000-0005-0000-0000-00002A3F0000}"/>
    <cellStyle name="Normal 34 2 2 2 3 2 2" xfId="8899" xr:uid="{00000000-0005-0000-0000-00002B3F0000}"/>
    <cellStyle name="Normal 34 2 2 2 3 2 2 2" xfId="8906" xr:uid="{00000000-0005-0000-0000-00002C3F0000}"/>
    <cellStyle name="Normal 34 2 2 2 3 2 3" xfId="8920" xr:uid="{00000000-0005-0000-0000-00002D3F0000}"/>
    <cellStyle name="Normal 34 2 2 2 3 3" xfId="26587" xr:uid="{00000000-0005-0000-0000-00002E3F0000}"/>
    <cellStyle name="Normal 34 2 2 2 3 3 2" xfId="17348" xr:uid="{00000000-0005-0000-0000-00002F3F0000}"/>
    <cellStyle name="Normal 34 2 2 2 3 4" xfId="3695" xr:uid="{00000000-0005-0000-0000-0000303F0000}"/>
    <cellStyle name="Normal 34 2 2 2 4" xfId="26588" xr:uid="{00000000-0005-0000-0000-0000313F0000}"/>
    <cellStyle name="Normal 34 2 2 2 4 2" xfId="26591" xr:uid="{00000000-0005-0000-0000-0000323F0000}"/>
    <cellStyle name="Normal 34 2 2 2 4 2 2" xfId="17384" xr:uid="{00000000-0005-0000-0000-0000333F0000}"/>
    <cellStyle name="Normal 34 2 2 2 4 3" xfId="26594" xr:uid="{00000000-0005-0000-0000-0000343F0000}"/>
    <cellStyle name="Normal 34 2 2 2 5" xfId="26595" xr:uid="{00000000-0005-0000-0000-0000353F0000}"/>
    <cellStyle name="Normal 34 2 2 2 5 2" xfId="26598" xr:uid="{00000000-0005-0000-0000-0000363F0000}"/>
    <cellStyle name="Normal 34 2 2 2 5 2 2" xfId="11283" xr:uid="{00000000-0005-0000-0000-0000373F0000}"/>
    <cellStyle name="Normal 34 2 2 2 5 3" xfId="26599" xr:uid="{00000000-0005-0000-0000-0000383F0000}"/>
    <cellStyle name="Normal 34 2 2 2 6" xfId="26600" xr:uid="{00000000-0005-0000-0000-0000393F0000}"/>
    <cellStyle name="Normal 34 2 2 2 6 2" xfId="26601" xr:uid="{00000000-0005-0000-0000-00003A3F0000}"/>
    <cellStyle name="Normal 34 2 2 2 7" xfId="26602" xr:uid="{00000000-0005-0000-0000-00003B3F0000}"/>
    <cellStyle name="Normal 34 2 2 2 7 2" xfId="24860" xr:uid="{00000000-0005-0000-0000-00003C3F0000}"/>
    <cellStyle name="Normal 34 2 2 2 8" xfId="26605" xr:uid="{00000000-0005-0000-0000-00003D3F0000}"/>
    <cellStyle name="Normal 34 2 2 2 9" xfId="26606" xr:uid="{00000000-0005-0000-0000-00003E3F0000}"/>
    <cellStyle name="Normal 34 2 2 3" xfId="24757" xr:uid="{00000000-0005-0000-0000-00003F3F0000}"/>
    <cellStyle name="Normal 34 2 2 3 2" xfId="26607" xr:uid="{00000000-0005-0000-0000-0000403F0000}"/>
    <cellStyle name="Normal 34 2 2 3 2 2" xfId="26608" xr:uid="{00000000-0005-0000-0000-0000413F0000}"/>
    <cellStyle name="Normal 34 2 2 3 2 2 2" xfId="26610" xr:uid="{00000000-0005-0000-0000-0000423F0000}"/>
    <cellStyle name="Normal 34 2 2 3 2 2 2 2" xfId="1834" xr:uid="{00000000-0005-0000-0000-0000433F0000}"/>
    <cellStyle name="Normal 34 2 2 3 2 2 3" xfId="26612" xr:uid="{00000000-0005-0000-0000-0000443F0000}"/>
    <cellStyle name="Normal 34 2 2 3 2 3" xfId="26615" xr:uid="{00000000-0005-0000-0000-0000453F0000}"/>
    <cellStyle name="Normal 34 2 2 3 2 3 2" xfId="26618" xr:uid="{00000000-0005-0000-0000-0000463F0000}"/>
    <cellStyle name="Normal 34 2 2 3 2 4" xfId="8116" xr:uid="{00000000-0005-0000-0000-0000473F0000}"/>
    <cellStyle name="Normal 34 2 2 3 3" xfId="26620" xr:uid="{00000000-0005-0000-0000-0000483F0000}"/>
    <cellStyle name="Normal 34 2 2 3 3 2" xfId="26621" xr:uid="{00000000-0005-0000-0000-0000493F0000}"/>
    <cellStyle name="Normal 34 2 2 3 3 2 2" xfId="26624" xr:uid="{00000000-0005-0000-0000-00004A3F0000}"/>
    <cellStyle name="Normal 34 2 2 3 3 3" xfId="26627" xr:uid="{00000000-0005-0000-0000-00004B3F0000}"/>
    <cellStyle name="Normal 34 2 2 3 4" xfId="26628" xr:uid="{00000000-0005-0000-0000-00004C3F0000}"/>
    <cellStyle name="Normal 34 2 2 3 4 2" xfId="26631" xr:uid="{00000000-0005-0000-0000-00004D3F0000}"/>
    <cellStyle name="Normal 34 2 2 3 4 2 2" xfId="26632" xr:uid="{00000000-0005-0000-0000-00004E3F0000}"/>
    <cellStyle name="Normal 34 2 2 3 4 3" xfId="26634" xr:uid="{00000000-0005-0000-0000-00004F3F0000}"/>
    <cellStyle name="Normal 34 2 2 3 5" xfId="20188" xr:uid="{00000000-0005-0000-0000-0000503F0000}"/>
    <cellStyle name="Normal 34 2 2 3 5 2" xfId="26635" xr:uid="{00000000-0005-0000-0000-0000513F0000}"/>
    <cellStyle name="Normal 34 2 2 3 6" xfId="26636" xr:uid="{00000000-0005-0000-0000-0000523F0000}"/>
    <cellStyle name="Normal 34 2 2 3 6 2" xfId="26637" xr:uid="{00000000-0005-0000-0000-0000533F0000}"/>
    <cellStyle name="Normal 34 2 2 3 7" xfId="26638" xr:uid="{00000000-0005-0000-0000-0000543F0000}"/>
    <cellStyle name="Normal 34 2 2 3 8" xfId="23989" xr:uid="{00000000-0005-0000-0000-0000553F0000}"/>
    <cellStyle name="Normal 34 2 2 4" xfId="26639" xr:uid="{00000000-0005-0000-0000-0000563F0000}"/>
    <cellStyle name="Normal 34 2 2 4 2" xfId="26640" xr:uid="{00000000-0005-0000-0000-0000573F0000}"/>
    <cellStyle name="Normal 34 2 2 4 2 2" xfId="26641" xr:uid="{00000000-0005-0000-0000-0000583F0000}"/>
    <cellStyle name="Normal 34 2 2 4 2 2 2" xfId="11618" xr:uid="{00000000-0005-0000-0000-0000593F0000}"/>
    <cellStyle name="Normal 34 2 2 4 2 3" xfId="26643" xr:uid="{00000000-0005-0000-0000-00005A3F0000}"/>
    <cellStyle name="Normal 34 2 2 4 3" xfId="26644" xr:uid="{00000000-0005-0000-0000-00005B3F0000}"/>
    <cellStyle name="Normal 34 2 2 4 3 2" xfId="26645" xr:uid="{00000000-0005-0000-0000-00005C3F0000}"/>
    <cellStyle name="Normal 34 2 2 4 4" xfId="26646" xr:uid="{00000000-0005-0000-0000-00005D3F0000}"/>
    <cellStyle name="Normal 34 2 2 5" xfId="26651" xr:uid="{00000000-0005-0000-0000-00005E3F0000}"/>
    <cellStyle name="Normal 34 2 2 5 2" xfId="26652" xr:uid="{00000000-0005-0000-0000-00005F3F0000}"/>
    <cellStyle name="Normal 34 2 2 5 2 2" xfId="26653" xr:uid="{00000000-0005-0000-0000-0000603F0000}"/>
    <cellStyle name="Normal 34 2 2 5 3" xfId="21308" xr:uid="{00000000-0005-0000-0000-0000613F0000}"/>
    <cellStyle name="Normal 34 2 2 6" xfId="16488" xr:uid="{00000000-0005-0000-0000-0000623F0000}"/>
    <cellStyle name="Normal 34 2 2 6 2" xfId="26614" xr:uid="{00000000-0005-0000-0000-0000633F0000}"/>
    <cellStyle name="Normal 34 2 2 6 2 2" xfId="26617" xr:uid="{00000000-0005-0000-0000-0000643F0000}"/>
    <cellStyle name="Normal 34 2 2 6 3" xfId="8115" xr:uid="{00000000-0005-0000-0000-0000653F0000}"/>
    <cellStyle name="Normal 34 2 2 7" xfId="22050" xr:uid="{00000000-0005-0000-0000-0000663F0000}"/>
    <cellStyle name="Normal 34 2 2 7 2" xfId="26626" xr:uid="{00000000-0005-0000-0000-0000673F0000}"/>
    <cellStyle name="Normal 34 2 2 8" xfId="26656" xr:uid="{00000000-0005-0000-0000-0000683F0000}"/>
    <cellStyle name="Normal 34 2 2 8 2" xfId="26633" xr:uid="{00000000-0005-0000-0000-0000693F0000}"/>
    <cellStyle name="Normal 34 2 2 9" xfId="26657" xr:uid="{00000000-0005-0000-0000-00006A3F0000}"/>
    <cellStyle name="Normal 34 2 3" xfId="9781" xr:uid="{00000000-0005-0000-0000-00006B3F0000}"/>
    <cellStyle name="Normal 34 2 3 2" xfId="22684" xr:uid="{00000000-0005-0000-0000-00006C3F0000}"/>
    <cellStyle name="Normal 34 2 3 2 2" xfId="22686" xr:uid="{00000000-0005-0000-0000-00006D3F0000}"/>
    <cellStyle name="Normal 34 2 3 2 2 2" xfId="22688" xr:uid="{00000000-0005-0000-0000-00006E3F0000}"/>
    <cellStyle name="Normal 34 2 3 2 2 2 2" xfId="9938" xr:uid="{00000000-0005-0000-0000-00006F3F0000}"/>
    <cellStyle name="Normal 34 2 3 2 2 2 2 2" xfId="9944" xr:uid="{00000000-0005-0000-0000-0000703F0000}"/>
    <cellStyle name="Normal 34 2 3 2 2 2 3" xfId="9953" xr:uid="{00000000-0005-0000-0000-0000713F0000}"/>
    <cellStyle name="Normal 34 2 3 2 2 3" xfId="9886" xr:uid="{00000000-0005-0000-0000-0000723F0000}"/>
    <cellStyle name="Normal 34 2 3 2 2 3 2" xfId="24052" xr:uid="{00000000-0005-0000-0000-0000733F0000}"/>
    <cellStyle name="Normal 34 2 3 2 2 4" xfId="5791" xr:uid="{00000000-0005-0000-0000-0000743F0000}"/>
    <cellStyle name="Normal 34 2 3 2 2 5" xfId="8636" xr:uid="{00000000-0005-0000-0000-0000753F0000}"/>
    <cellStyle name="Normal 34 2 3 2 3" xfId="4037" xr:uid="{00000000-0005-0000-0000-0000763F0000}"/>
    <cellStyle name="Normal 34 2 3 2 3 2" xfId="24069" xr:uid="{00000000-0005-0000-0000-0000773F0000}"/>
    <cellStyle name="Normal 34 2 3 2 3 2 2" xfId="10005" xr:uid="{00000000-0005-0000-0000-0000783F0000}"/>
    <cellStyle name="Normal 34 2 3 2 3 3" xfId="24073" xr:uid="{00000000-0005-0000-0000-0000793F0000}"/>
    <cellStyle name="Normal 34 2 3 2 4" xfId="26658" xr:uid="{00000000-0005-0000-0000-00007A3F0000}"/>
    <cellStyle name="Normal 34 2 3 2 4 2" xfId="19858" xr:uid="{00000000-0005-0000-0000-00007B3F0000}"/>
    <cellStyle name="Normal 34 2 3 2 4 2 2" xfId="10071" xr:uid="{00000000-0005-0000-0000-00007C3F0000}"/>
    <cellStyle name="Normal 34 2 3 2 4 3" xfId="19861" xr:uid="{00000000-0005-0000-0000-00007D3F0000}"/>
    <cellStyle name="Normal 34 2 3 2 5" xfId="21074" xr:uid="{00000000-0005-0000-0000-00007E3F0000}"/>
    <cellStyle name="Normal 34 2 3 2 5 2" xfId="19894" xr:uid="{00000000-0005-0000-0000-00007F3F0000}"/>
    <cellStyle name="Normal 34 2 3 2 6" xfId="18656" xr:uid="{00000000-0005-0000-0000-0000803F0000}"/>
    <cellStyle name="Normal 34 2 3 2 6 2" xfId="18660" xr:uid="{00000000-0005-0000-0000-0000813F0000}"/>
    <cellStyle name="Normal 34 2 3 2 7" xfId="18764" xr:uid="{00000000-0005-0000-0000-0000823F0000}"/>
    <cellStyle name="Normal 34 2 3 2 8" xfId="18808" xr:uid="{00000000-0005-0000-0000-0000833F0000}"/>
    <cellStyle name="Normal 34 2 3 3" xfId="22691" xr:uid="{00000000-0005-0000-0000-0000843F0000}"/>
    <cellStyle name="Normal 34 2 3 3 2" xfId="22694" xr:uid="{00000000-0005-0000-0000-0000853F0000}"/>
    <cellStyle name="Normal 34 2 3 3 2 2" xfId="26661" xr:uid="{00000000-0005-0000-0000-0000863F0000}"/>
    <cellStyle name="Normal 34 2 3 3 2 2 2" xfId="26662" xr:uid="{00000000-0005-0000-0000-0000873F0000}"/>
    <cellStyle name="Normal 34 2 3 3 2 3" xfId="26663" xr:uid="{00000000-0005-0000-0000-0000883F0000}"/>
    <cellStyle name="Normal 34 2 3 3 3" xfId="26665" xr:uid="{00000000-0005-0000-0000-0000893F0000}"/>
    <cellStyle name="Normal 34 2 3 3 3 2" xfId="18678" xr:uid="{00000000-0005-0000-0000-00008A3F0000}"/>
    <cellStyle name="Normal 34 2 3 3 4" xfId="26667" xr:uid="{00000000-0005-0000-0000-00008B3F0000}"/>
    <cellStyle name="Normal 34 2 3 3 5" xfId="20435" xr:uid="{00000000-0005-0000-0000-00008C3F0000}"/>
    <cellStyle name="Normal 34 2 3 4" xfId="9398" xr:uid="{00000000-0005-0000-0000-00008D3F0000}"/>
    <cellStyle name="Normal 34 2 3 4 2" xfId="9413" xr:uid="{00000000-0005-0000-0000-00008E3F0000}"/>
    <cellStyle name="Normal 34 2 3 4 2 2" xfId="24225" xr:uid="{00000000-0005-0000-0000-00008F3F0000}"/>
    <cellStyle name="Normal 34 2 3 4 3" xfId="26671" xr:uid="{00000000-0005-0000-0000-0000903F0000}"/>
    <cellStyle name="Normal 34 2 3 5" xfId="9418" xr:uid="{00000000-0005-0000-0000-0000913F0000}"/>
    <cellStyle name="Normal 34 2 3 5 2" xfId="26672" xr:uid="{00000000-0005-0000-0000-0000923F0000}"/>
    <cellStyle name="Normal 34 2 3 5 2 2" xfId="26673" xr:uid="{00000000-0005-0000-0000-0000933F0000}"/>
    <cellStyle name="Normal 34 2 3 5 3" xfId="21314" xr:uid="{00000000-0005-0000-0000-0000943F0000}"/>
    <cellStyle name="Normal 34 2 3 6" xfId="9430" xr:uid="{00000000-0005-0000-0000-0000953F0000}"/>
    <cellStyle name="Normal 34 2 3 6 2" xfId="26642" xr:uid="{00000000-0005-0000-0000-0000963F0000}"/>
    <cellStyle name="Normal 34 2 3 7" xfId="18603" xr:uid="{00000000-0005-0000-0000-0000973F0000}"/>
    <cellStyle name="Normal 34 2 3 7 2" xfId="18605" xr:uid="{00000000-0005-0000-0000-0000983F0000}"/>
    <cellStyle name="Normal 34 2 3 8" xfId="18607" xr:uid="{00000000-0005-0000-0000-0000993F0000}"/>
    <cellStyle name="Normal 34 2 3 9" xfId="26674" xr:uid="{00000000-0005-0000-0000-00009A3F0000}"/>
    <cellStyle name="Normal 34 2 4" xfId="22696" xr:uid="{00000000-0005-0000-0000-00009B3F0000}"/>
    <cellStyle name="Normal 34 2 4 2" xfId="22698" xr:uid="{00000000-0005-0000-0000-00009C3F0000}"/>
    <cellStyle name="Normal 34 2 4 2 2" xfId="22700" xr:uid="{00000000-0005-0000-0000-00009D3F0000}"/>
    <cellStyle name="Normal 34 2 4 2 2 2" xfId="25202" xr:uid="{00000000-0005-0000-0000-00009E3F0000}"/>
    <cellStyle name="Normal 34 2 4 2 2 2 2" xfId="348" xr:uid="{00000000-0005-0000-0000-00009F3F0000}"/>
    <cellStyle name="Normal 34 2 4 2 2 2 2 2" xfId="9377" xr:uid="{00000000-0005-0000-0000-0000A03F0000}"/>
    <cellStyle name="Normal 34 2 4 2 2 2 3" xfId="26675" xr:uid="{00000000-0005-0000-0000-0000A13F0000}"/>
    <cellStyle name="Normal 34 2 4 2 2 3" xfId="25204" xr:uid="{00000000-0005-0000-0000-0000A23F0000}"/>
    <cellStyle name="Normal 34 2 4 2 2 3 2" xfId="25206" xr:uid="{00000000-0005-0000-0000-0000A33F0000}"/>
    <cellStyle name="Normal 34 2 4 2 2 4" xfId="8641" xr:uid="{00000000-0005-0000-0000-0000A43F0000}"/>
    <cellStyle name="Normal 34 2 4 2 3" xfId="26676" xr:uid="{00000000-0005-0000-0000-0000A53F0000}"/>
    <cellStyle name="Normal 34 2 4 2 3 2" xfId="26677" xr:uid="{00000000-0005-0000-0000-0000A63F0000}"/>
    <cellStyle name="Normal 34 2 4 2 3 2 2" xfId="4826" xr:uid="{00000000-0005-0000-0000-0000A73F0000}"/>
    <cellStyle name="Normal 34 2 4 2 3 3" xfId="26678" xr:uid="{00000000-0005-0000-0000-0000A83F0000}"/>
    <cellStyle name="Normal 34 2 4 2 4" xfId="26681" xr:uid="{00000000-0005-0000-0000-0000A93F0000}"/>
    <cellStyle name="Normal 34 2 4 2 4 2" xfId="19999" xr:uid="{00000000-0005-0000-0000-0000AA3F0000}"/>
    <cellStyle name="Normal 34 2 4 2 4 2 2" xfId="20003" xr:uid="{00000000-0005-0000-0000-0000AB3F0000}"/>
    <cellStyle name="Normal 34 2 4 2 4 3" xfId="20005" xr:uid="{00000000-0005-0000-0000-0000AC3F0000}"/>
    <cellStyle name="Normal 34 2 4 2 5" xfId="26682" xr:uid="{00000000-0005-0000-0000-0000AD3F0000}"/>
    <cellStyle name="Normal 34 2 4 2 5 2" xfId="20018" xr:uid="{00000000-0005-0000-0000-0000AE3F0000}"/>
    <cellStyle name="Normal 34 2 4 2 6" xfId="26684" xr:uid="{00000000-0005-0000-0000-0000AF3F0000}"/>
    <cellStyle name="Normal 34 2 4 2 6 2" xfId="20032" xr:uid="{00000000-0005-0000-0000-0000B03F0000}"/>
    <cellStyle name="Normal 34 2 4 2 7" xfId="26686" xr:uid="{00000000-0005-0000-0000-0000B13F0000}"/>
    <cellStyle name="Normal 34 2 4 2 8" xfId="26687" xr:uid="{00000000-0005-0000-0000-0000B23F0000}"/>
    <cellStyle name="Normal 34 2 4 3" xfId="1739" xr:uid="{00000000-0005-0000-0000-0000B33F0000}"/>
    <cellStyle name="Normal 34 2 4 3 2" xfId="25856" xr:uid="{00000000-0005-0000-0000-0000B43F0000}"/>
    <cellStyle name="Normal 34 2 4 3 2 2" xfId="25858" xr:uid="{00000000-0005-0000-0000-0000B53F0000}"/>
    <cellStyle name="Normal 34 2 4 3 2 2 2" xfId="5265" xr:uid="{00000000-0005-0000-0000-0000B63F0000}"/>
    <cellStyle name="Normal 34 2 4 3 2 3" xfId="25862" xr:uid="{00000000-0005-0000-0000-0000B73F0000}"/>
    <cellStyle name="Normal 34 2 4 3 3" xfId="25865" xr:uid="{00000000-0005-0000-0000-0000B83F0000}"/>
    <cellStyle name="Normal 34 2 4 3 3 2" xfId="18768" xr:uid="{00000000-0005-0000-0000-0000B93F0000}"/>
    <cellStyle name="Normal 34 2 4 3 4" xfId="26689" xr:uid="{00000000-0005-0000-0000-0000BA3F0000}"/>
    <cellStyle name="Normal 34 2 4 4" xfId="4044" xr:uid="{00000000-0005-0000-0000-0000BB3F0000}"/>
    <cellStyle name="Normal 34 2 4 4 2" xfId="26690" xr:uid="{00000000-0005-0000-0000-0000BC3F0000}"/>
    <cellStyle name="Normal 34 2 4 4 2 2" xfId="26691" xr:uid="{00000000-0005-0000-0000-0000BD3F0000}"/>
    <cellStyle name="Normal 34 2 4 4 3" xfId="17970" xr:uid="{00000000-0005-0000-0000-0000BE3F0000}"/>
    <cellStyle name="Normal 34 2 4 5" xfId="26692" xr:uid="{00000000-0005-0000-0000-0000BF3F0000}"/>
    <cellStyle name="Normal 34 2 4 5 2" xfId="25984" xr:uid="{00000000-0005-0000-0000-0000C03F0000}"/>
    <cellStyle name="Normal 34 2 4 5 2 2" xfId="25986" xr:uid="{00000000-0005-0000-0000-0000C13F0000}"/>
    <cellStyle name="Normal 34 2 4 5 3" xfId="17975" xr:uid="{00000000-0005-0000-0000-0000C23F0000}"/>
    <cellStyle name="Normal 34 2 4 6" xfId="6983" xr:uid="{00000000-0005-0000-0000-0000C33F0000}"/>
    <cellStyle name="Normal 34 2 4 6 2" xfId="26693" xr:uid="{00000000-0005-0000-0000-0000C43F0000}"/>
    <cellStyle name="Normal 34 2 4 7" xfId="18612" xr:uid="{00000000-0005-0000-0000-0000C53F0000}"/>
    <cellStyle name="Normal 34 2 4 7 2" xfId="26694" xr:uid="{00000000-0005-0000-0000-0000C63F0000}"/>
    <cellStyle name="Normal 34 2 4 8" xfId="26695" xr:uid="{00000000-0005-0000-0000-0000C73F0000}"/>
    <cellStyle name="Normal 34 2 4 9" xfId="26696" xr:uid="{00000000-0005-0000-0000-0000C83F0000}"/>
    <cellStyle name="Normal 34 2 5" xfId="22702" xr:uid="{00000000-0005-0000-0000-0000C93F0000}"/>
    <cellStyle name="Normal 34 2 5 2" xfId="22705" xr:uid="{00000000-0005-0000-0000-0000CA3F0000}"/>
    <cellStyle name="Normal 34 2 5 2 2" xfId="22707" xr:uid="{00000000-0005-0000-0000-0000CB3F0000}"/>
    <cellStyle name="Normal 34 2 5 2 2 2" xfId="19237" xr:uid="{00000000-0005-0000-0000-0000CC3F0000}"/>
    <cellStyle name="Normal 34 2 5 2 2 2 2" xfId="15336" xr:uid="{00000000-0005-0000-0000-0000CD3F0000}"/>
    <cellStyle name="Normal 34 2 5 2 2 2 2 2" xfId="11196" xr:uid="{00000000-0005-0000-0000-0000CE3F0000}"/>
    <cellStyle name="Normal 34 2 5 2 2 2 3" xfId="15351" xr:uid="{00000000-0005-0000-0000-0000CF3F0000}"/>
    <cellStyle name="Normal 34 2 5 2 2 3" xfId="19247" xr:uid="{00000000-0005-0000-0000-0000D03F0000}"/>
    <cellStyle name="Normal 34 2 5 2 2 3 2" xfId="15390" xr:uid="{00000000-0005-0000-0000-0000D13F0000}"/>
    <cellStyle name="Normal 34 2 5 2 2 4" xfId="19252" xr:uid="{00000000-0005-0000-0000-0000D23F0000}"/>
    <cellStyle name="Normal 34 2 5 2 3" xfId="26697" xr:uid="{00000000-0005-0000-0000-0000D33F0000}"/>
    <cellStyle name="Normal 34 2 5 2 3 2" xfId="26698" xr:uid="{00000000-0005-0000-0000-0000D43F0000}"/>
    <cellStyle name="Normal 34 2 5 2 3 2 2" xfId="26699" xr:uid="{00000000-0005-0000-0000-0000D53F0000}"/>
    <cellStyle name="Normal 34 2 5 2 3 3" xfId="26700" xr:uid="{00000000-0005-0000-0000-0000D63F0000}"/>
    <cellStyle name="Normal 34 2 5 2 4" xfId="26702" xr:uid="{00000000-0005-0000-0000-0000D73F0000}"/>
    <cellStyle name="Normal 34 2 5 2 4 2" xfId="19380" xr:uid="{00000000-0005-0000-0000-0000D83F0000}"/>
    <cellStyle name="Normal 34 2 5 2 4 2 2" xfId="12832" xr:uid="{00000000-0005-0000-0000-0000D93F0000}"/>
    <cellStyle name="Normal 34 2 5 2 4 3" xfId="19385" xr:uid="{00000000-0005-0000-0000-0000DA3F0000}"/>
    <cellStyle name="Normal 34 2 5 2 5" xfId="26703" xr:uid="{00000000-0005-0000-0000-0000DB3F0000}"/>
    <cellStyle name="Normal 34 2 5 2 5 2" xfId="19400" xr:uid="{00000000-0005-0000-0000-0000DC3F0000}"/>
    <cellStyle name="Normal 34 2 5 2 6" xfId="26705" xr:uid="{00000000-0005-0000-0000-0000DD3F0000}"/>
    <cellStyle name="Normal 34 2 5 2 6 2" xfId="19409" xr:uid="{00000000-0005-0000-0000-0000DE3F0000}"/>
    <cellStyle name="Normal 34 2 5 2 7" xfId="25338" xr:uid="{00000000-0005-0000-0000-0000DF3F0000}"/>
    <cellStyle name="Normal 34 2 5 2 8" xfId="26706" xr:uid="{00000000-0005-0000-0000-0000E03F0000}"/>
    <cellStyle name="Normal 34 2 5 3" xfId="22710" xr:uid="{00000000-0005-0000-0000-0000E13F0000}"/>
    <cellStyle name="Normal 34 2 5 3 2" xfId="26707" xr:uid="{00000000-0005-0000-0000-0000E23F0000}"/>
    <cellStyle name="Normal 34 2 5 3 2 2" xfId="10790" xr:uid="{00000000-0005-0000-0000-0000E33F0000}"/>
    <cellStyle name="Normal 34 2 5 3 2 2 2" xfId="26708" xr:uid="{00000000-0005-0000-0000-0000E43F0000}"/>
    <cellStyle name="Normal 34 2 5 3 2 3" xfId="26709" xr:uid="{00000000-0005-0000-0000-0000E53F0000}"/>
    <cellStyle name="Normal 34 2 5 3 3" xfId="26711" xr:uid="{00000000-0005-0000-0000-0000E63F0000}"/>
    <cellStyle name="Normal 34 2 5 3 3 2" xfId="26712" xr:uid="{00000000-0005-0000-0000-0000E73F0000}"/>
    <cellStyle name="Normal 34 2 5 3 4" xfId="26714" xr:uid="{00000000-0005-0000-0000-0000E83F0000}"/>
    <cellStyle name="Normal 34 2 5 4" xfId="6999" xr:uid="{00000000-0005-0000-0000-0000E93F0000}"/>
    <cellStyle name="Normal 34 2 5 4 2" xfId="26716" xr:uid="{00000000-0005-0000-0000-0000EA3F0000}"/>
    <cellStyle name="Normal 34 2 5 4 2 2" xfId="26717" xr:uid="{00000000-0005-0000-0000-0000EB3F0000}"/>
    <cellStyle name="Normal 34 2 5 4 3" xfId="17979" xr:uid="{00000000-0005-0000-0000-0000EC3F0000}"/>
    <cellStyle name="Normal 34 2 5 5" xfId="26718" xr:uid="{00000000-0005-0000-0000-0000ED3F0000}"/>
    <cellStyle name="Normal 34 2 5 5 2" xfId="26613" xr:uid="{00000000-0005-0000-0000-0000EE3F0000}"/>
    <cellStyle name="Normal 34 2 5 5 2 2" xfId="26719" xr:uid="{00000000-0005-0000-0000-0000EF3F0000}"/>
    <cellStyle name="Normal 34 2 5 5 3" xfId="26720" xr:uid="{00000000-0005-0000-0000-0000F03F0000}"/>
    <cellStyle name="Normal 34 2 5 6" xfId="26721" xr:uid="{00000000-0005-0000-0000-0000F13F0000}"/>
    <cellStyle name="Normal 34 2 5 6 2" xfId="26722" xr:uid="{00000000-0005-0000-0000-0000F23F0000}"/>
    <cellStyle name="Normal 34 2 5 7" xfId="26723" xr:uid="{00000000-0005-0000-0000-0000F33F0000}"/>
    <cellStyle name="Normal 34 2 5 7 2" xfId="26724" xr:uid="{00000000-0005-0000-0000-0000F43F0000}"/>
    <cellStyle name="Normal 34 2 5 8" xfId="26725" xr:uid="{00000000-0005-0000-0000-0000F53F0000}"/>
    <cellStyle name="Normal 34 2 5 9" xfId="19690" xr:uid="{00000000-0005-0000-0000-0000F63F0000}"/>
    <cellStyle name="Normal 34 2 6" xfId="5589" xr:uid="{00000000-0005-0000-0000-0000F73F0000}"/>
    <cellStyle name="Normal 34 2 6 2" xfId="831" xr:uid="{00000000-0005-0000-0000-0000F83F0000}"/>
    <cellStyle name="Normal 34 2 6 2 2" xfId="26726" xr:uid="{00000000-0005-0000-0000-0000F93F0000}"/>
    <cellStyle name="Normal 34 2 6 2 2 2" xfId="26729" xr:uid="{00000000-0005-0000-0000-0000FA3F0000}"/>
    <cellStyle name="Normal 34 2 6 2 2 2 2" xfId="26732" xr:uid="{00000000-0005-0000-0000-0000FB3F0000}"/>
    <cellStyle name="Normal 34 2 6 2 2 3" xfId="26735" xr:uid="{00000000-0005-0000-0000-0000FC3F0000}"/>
    <cellStyle name="Normal 34 2 6 2 3" xfId="26738" xr:uid="{00000000-0005-0000-0000-0000FD3F0000}"/>
    <cellStyle name="Normal 34 2 6 2 3 2" xfId="26741" xr:uid="{00000000-0005-0000-0000-0000FE3F0000}"/>
    <cellStyle name="Normal 34 2 6 2 4" xfId="26742" xr:uid="{00000000-0005-0000-0000-0000FF3F0000}"/>
    <cellStyle name="Normal 34 2 6 2 5" xfId="26743" xr:uid="{00000000-0005-0000-0000-000000400000}"/>
    <cellStyle name="Normal 34 2 6 3" xfId="26744" xr:uid="{00000000-0005-0000-0000-000001400000}"/>
    <cellStyle name="Normal 34 2 6 3 2" xfId="26746" xr:uid="{00000000-0005-0000-0000-000002400000}"/>
    <cellStyle name="Normal 34 2 6 3 2 2" xfId="26750" xr:uid="{00000000-0005-0000-0000-000003400000}"/>
    <cellStyle name="Normal 34 2 6 3 3" xfId="20494" xr:uid="{00000000-0005-0000-0000-000004400000}"/>
    <cellStyle name="Normal 34 2 6 4" xfId="26751" xr:uid="{00000000-0005-0000-0000-000005400000}"/>
    <cellStyle name="Normal 34 2 6 4 2" xfId="26753" xr:uid="{00000000-0005-0000-0000-000006400000}"/>
    <cellStyle name="Normal 34 2 6 4 2 2" xfId="26757" xr:uid="{00000000-0005-0000-0000-000007400000}"/>
    <cellStyle name="Normal 34 2 6 4 3" xfId="15280" xr:uid="{00000000-0005-0000-0000-000008400000}"/>
    <cellStyle name="Normal 34 2 6 5" xfId="26760" xr:uid="{00000000-0005-0000-0000-000009400000}"/>
    <cellStyle name="Normal 34 2 6 5 2" xfId="26762" xr:uid="{00000000-0005-0000-0000-00000A400000}"/>
    <cellStyle name="Normal 34 2 6 6" xfId="8206" xr:uid="{00000000-0005-0000-0000-00000B400000}"/>
    <cellStyle name="Normal 34 2 6 6 2" xfId="26763" xr:uid="{00000000-0005-0000-0000-00000C400000}"/>
    <cellStyle name="Normal 34 2 6 7" xfId="26764" xr:uid="{00000000-0005-0000-0000-00000D400000}"/>
    <cellStyle name="Normal 34 2 6 8" xfId="26765" xr:uid="{00000000-0005-0000-0000-00000E400000}"/>
    <cellStyle name="Normal 34 2 7" xfId="5610" xr:uid="{00000000-0005-0000-0000-00000F400000}"/>
    <cellStyle name="Normal 34 2 7 2" xfId="22712" xr:uid="{00000000-0005-0000-0000-000010400000}"/>
    <cellStyle name="Normal 34 2 7 2 2" xfId="26767" xr:uid="{00000000-0005-0000-0000-000011400000}"/>
    <cellStyle name="Normal 34 2 7 2 2 2" xfId="26769" xr:uid="{00000000-0005-0000-0000-000012400000}"/>
    <cellStyle name="Normal 34 2 7 2 3" xfId="26770" xr:uid="{00000000-0005-0000-0000-000013400000}"/>
    <cellStyle name="Normal 34 2 7 3" xfId="26771" xr:uid="{00000000-0005-0000-0000-000014400000}"/>
    <cellStyle name="Normal 34 2 7 3 2" xfId="26773" xr:uid="{00000000-0005-0000-0000-000015400000}"/>
    <cellStyle name="Normal 34 2 7 4" xfId="26774" xr:uid="{00000000-0005-0000-0000-000016400000}"/>
    <cellStyle name="Normal 34 2 7 5" xfId="26775" xr:uid="{00000000-0005-0000-0000-000017400000}"/>
    <cellStyle name="Normal 34 2 8" xfId="22714" xr:uid="{00000000-0005-0000-0000-000018400000}"/>
    <cellStyle name="Normal 34 2 8 2" xfId="26776" xr:uid="{00000000-0005-0000-0000-000019400000}"/>
    <cellStyle name="Normal 34 2 8 2 2" xfId="26778" xr:uid="{00000000-0005-0000-0000-00001A400000}"/>
    <cellStyle name="Normal 34 2 8 3" xfId="26779" xr:uid="{00000000-0005-0000-0000-00001B400000}"/>
    <cellStyle name="Normal 34 2 9" xfId="26782" xr:uid="{00000000-0005-0000-0000-00001C400000}"/>
    <cellStyle name="Normal 34 2 9 2" xfId="22879" xr:uid="{00000000-0005-0000-0000-00001D400000}"/>
    <cellStyle name="Normal 34 2 9 2 2" xfId="22882" xr:uid="{00000000-0005-0000-0000-00001E400000}"/>
    <cellStyle name="Normal 34 2 9 3" xfId="22886" xr:uid="{00000000-0005-0000-0000-00001F400000}"/>
    <cellStyle name="Normal 34 3" xfId="13525" xr:uid="{00000000-0005-0000-0000-000020400000}"/>
    <cellStyle name="Normal 34 3 10" xfId="26783" xr:uid="{00000000-0005-0000-0000-000021400000}"/>
    <cellStyle name="Normal 34 3 10 2" xfId="26785" xr:uid="{00000000-0005-0000-0000-000022400000}"/>
    <cellStyle name="Normal 34 3 11" xfId="18699" xr:uid="{00000000-0005-0000-0000-000023400000}"/>
    <cellStyle name="Normal 34 3 11 2" xfId="18701" xr:uid="{00000000-0005-0000-0000-000024400000}"/>
    <cellStyle name="Normal 34 3 12" xfId="18703" xr:uid="{00000000-0005-0000-0000-000025400000}"/>
    <cellStyle name="Normal 34 3 12 2" xfId="19938" xr:uid="{00000000-0005-0000-0000-000026400000}"/>
    <cellStyle name="Normal 34 3 13" xfId="19942" xr:uid="{00000000-0005-0000-0000-000027400000}"/>
    <cellStyle name="Normal 34 3 14" xfId="26786" xr:uid="{00000000-0005-0000-0000-000028400000}"/>
    <cellStyle name="Normal 34 3 2" xfId="21417" xr:uid="{00000000-0005-0000-0000-000029400000}"/>
    <cellStyle name="Normal 34 3 2 10" xfId="17653" xr:uid="{00000000-0005-0000-0000-00002A400000}"/>
    <cellStyle name="Normal 34 3 2 2" xfId="26790" xr:uid="{00000000-0005-0000-0000-00002B400000}"/>
    <cellStyle name="Normal 34 3 2 2 2" xfId="21239" xr:uid="{00000000-0005-0000-0000-00002C400000}"/>
    <cellStyle name="Normal 34 3 2 2 2 2" xfId="15963" xr:uid="{00000000-0005-0000-0000-00002D400000}"/>
    <cellStyle name="Normal 34 3 2 2 2 2 2" xfId="16575" xr:uid="{00000000-0005-0000-0000-00002E400000}"/>
    <cellStyle name="Normal 34 3 2 2 2 2 2 2" xfId="16577" xr:uid="{00000000-0005-0000-0000-00002F400000}"/>
    <cellStyle name="Normal 34 3 2 2 2 2 2 2 2" xfId="16580" xr:uid="{00000000-0005-0000-0000-000030400000}"/>
    <cellStyle name="Normal 34 3 2 2 2 2 2 3" xfId="8699" xr:uid="{00000000-0005-0000-0000-000031400000}"/>
    <cellStyle name="Normal 34 3 2 2 2 2 3" xfId="1168" xr:uid="{00000000-0005-0000-0000-000032400000}"/>
    <cellStyle name="Normal 34 3 2 2 2 2 3 2" xfId="16584" xr:uid="{00000000-0005-0000-0000-000033400000}"/>
    <cellStyle name="Normal 34 3 2 2 2 2 4" xfId="16589" xr:uid="{00000000-0005-0000-0000-000034400000}"/>
    <cellStyle name="Normal 34 3 2 2 2 3" xfId="15649" xr:uid="{00000000-0005-0000-0000-000035400000}"/>
    <cellStyle name="Normal 34 3 2 2 2 3 2" xfId="16616" xr:uid="{00000000-0005-0000-0000-000036400000}"/>
    <cellStyle name="Normal 34 3 2 2 2 3 2 2" xfId="16623" xr:uid="{00000000-0005-0000-0000-000037400000}"/>
    <cellStyle name="Normal 34 3 2 2 2 3 3" xfId="1323" xr:uid="{00000000-0005-0000-0000-000038400000}"/>
    <cellStyle name="Normal 34 3 2 2 2 4" xfId="3339" xr:uid="{00000000-0005-0000-0000-000039400000}"/>
    <cellStyle name="Normal 34 3 2 2 2 4 2" xfId="3169" xr:uid="{00000000-0005-0000-0000-00003A400000}"/>
    <cellStyle name="Normal 34 3 2 2 2 4 2 2" xfId="26792" xr:uid="{00000000-0005-0000-0000-00003B400000}"/>
    <cellStyle name="Normal 34 3 2 2 2 4 3" xfId="16646" xr:uid="{00000000-0005-0000-0000-00003C400000}"/>
    <cellStyle name="Normal 34 3 2 2 2 5" xfId="3363" xr:uid="{00000000-0005-0000-0000-00003D400000}"/>
    <cellStyle name="Normal 34 3 2 2 2 5 2" xfId="16649" xr:uid="{00000000-0005-0000-0000-00003E400000}"/>
    <cellStyle name="Normal 34 3 2 2 2 6" xfId="22779" xr:uid="{00000000-0005-0000-0000-00003F400000}"/>
    <cellStyle name="Normal 34 3 2 2 2 6 2" xfId="16663" xr:uid="{00000000-0005-0000-0000-000040400000}"/>
    <cellStyle name="Normal 34 3 2 2 2 7" xfId="26793" xr:uid="{00000000-0005-0000-0000-000041400000}"/>
    <cellStyle name="Normal 34 3 2 2 2 8" xfId="26798" xr:uid="{00000000-0005-0000-0000-000042400000}"/>
    <cellStyle name="Normal 34 3 2 2 3" xfId="21241" xr:uid="{00000000-0005-0000-0000-000043400000}"/>
    <cellStyle name="Normal 34 3 2 2 3 2" xfId="21243" xr:uid="{00000000-0005-0000-0000-000044400000}"/>
    <cellStyle name="Normal 34 3 2 2 3 2 2" xfId="1358" xr:uid="{00000000-0005-0000-0000-000045400000}"/>
    <cellStyle name="Normal 34 3 2 2 3 2 2 2" xfId="16644" xr:uid="{00000000-0005-0000-0000-000046400000}"/>
    <cellStyle name="Normal 34 3 2 2 3 2 3" xfId="16715" xr:uid="{00000000-0005-0000-0000-000047400000}"/>
    <cellStyle name="Normal 34 3 2 2 3 3" xfId="15652" xr:uid="{00000000-0005-0000-0000-000048400000}"/>
    <cellStyle name="Normal 34 3 2 2 3 3 2" xfId="139" xr:uid="{00000000-0005-0000-0000-000049400000}"/>
    <cellStyle name="Normal 34 3 2 2 3 4" xfId="3505" xr:uid="{00000000-0005-0000-0000-00004A400000}"/>
    <cellStyle name="Normal 34 3 2 2 4" xfId="21245" xr:uid="{00000000-0005-0000-0000-00004B400000}"/>
    <cellStyle name="Normal 34 3 2 2 4 2" xfId="26803" xr:uid="{00000000-0005-0000-0000-00004C400000}"/>
    <cellStyle name="Normal 34 3 2 2 4 2 2" xfId="16799" xr:uid="{00000000-0005-0000-0000-00004D400000}"/>
    <cellStyle name="Normal 34 3 2 2 4 3" xfId="26804" xr:uid="{00000000-0005-0000-0000-00004E400000}"/>
    <cellStyle name="Normal 34 3 2 2 5" xfId="21251" xr:uid="{00000000-0005-0000-0000-00004F400000}"/>
    <cellStyle name="Normal 34 3 2 2 5 2" xfId="26805" xr:uid="{00000000-0005-0000-0000-000050400000}"/>
    <cellStyle name="Normal 34 3 2 2 5 2 2" xfId="16853" xr:uid="{00000000-0005-0000-0000-000051400000}"/>
    <cellStyle name="Normal 34 3 2 2 5 3" xfId="26806" xr:uid="{00000000-0005-0000-0000-000052400000}"/>
    <cellStyle name="Normal 34 3 2 2 6" xfId="26807" xr:uid="{00000000-0005-0000-0000-000053400000}"/>
    <cellStyle name="Normal 34 3 2 2 6 2" xfId="26808" xr:uid="{00000000-0005-0000-0000-000054400000}"/>
    <cellStyle name="Normal 34 3 2 2 7" xfId="26809" xr:uid="{00000000-0005-0000-0000-000055400000}"/>
    <cellStyle name="Normal 34 3 2 2 7 2" xfId="26810" xr:uid="{00000000-0005-0000-0000-000056400000}"/>
    <cellStyle name="Normal 34 3 2 2 8" xfId="26813" xr:uid="{00000000-0005-0000-0000-000057400000}"/>
    <cellStyle name="Normal 34 3 2 2 9" xfId="26814" xr:uid="{00000000-0005-0000-0000-000058400000}"/>
    <cellStyle name="Normal 34 3 2 3" xfId="26815" xr:uid="{00000000-0005-0000-0000-000059400000}"/>
    <cellStyle name="Normal 34 3 2 3 2" xfId="21288" xr:uid="{00000000-0005-0000-0000-00005A400000}"/>
    <cellStyle name="Normal 34 3 2 3 2 2" xfId="21290" xr:uid="{00000000-0005-0000-0000-00005B400000}"/>
    <cellStyle name="Normal 34 3 2 3 2 2 2" xfId="17310" xr:uid="{00000000-0005-0000-0000-00005C400000}"/>
    <cellStyle name="Normal 34 3 2 3 2 2 2 2" xfId="1995" xr:uid="{00000000-0005-0000-0000-00005D400000}"/>
    <cellStyle name="Normal 34 3 2 3 2 2 3" xfId="16784" xr:uid="{00000000-0005-0000-0000-00005E400000}"/>
    <cellStyle name="Normal 34 3 2 3 2 3" xfId="26816" xr:uid="{00000000-0005-0000-0000-00005F400000}"/>
    <cellStyle name="Normal 34 3 2 3 2 3 2" xfId="17323" xr:uid="{00000000-0005-0000-0000-000060400000}"/>
    <cellStyle name="Normal 34 3 2 3 2 4" xfId="1805" xr:uid="{00000000-0005-0000-0000-000061400000}"/>
    <cellStyle name="Normal 34 3 2 3 3" xfId="21292" xr:uid="{00000000-0005-0000-0000-000062400000}"/>
    <cellStyle name="Normal 34 3 2 3 3 2" xfId="20455" xr:uid="{00000000-0005-0000-0000-000063400000}"/>
    <cellStyle name="Normal 34 3 2 3 3 2 2" xfId="8930" xr:uid="{00000000-0005-0000-0000-000064400000}"/>
    <cellStyle name="Normal 34 3 2 3 3 3" xfId="26819" xr:uid="{00000000-0005-0000-0000-000065400000}"/>
    <cellStyle name="Normal 34 3 2 3 4" xfId="21294" xr:uid="{00000000-0005-0000-0000-000066400000}"/>
    <cellStyle name="Normal 34 3 2 3 4 2" xfId="26822" xr:uid="{00000000-0005-0000-0000-000067400000}"/>
    <cellStyle name="Normal 34 3 2 3 4 2 2" xfId="14819" xr:uid="{00000000-0005-0000-0000-000068400000}"/>
    <cellStyle name="Normal 34 3 2 3 4 3" xfId="26823" xr:uid="{00000000-0005-0000-0000-000069400000}"/>
    <cellStyle name="Normal 34 3 2 3 5" xfId="21298" xr:uid="{00000000-0005-0000-0000-00006A400000}"/>
    <cellStyle name="Normal 34 3 2 3 5 2" xfId="26826" xr:uid="{00000000-0005-0000-0000-00006B400000}"/>
    <cellStyle name="Normal 34 3 2 3 6" xfId="26827" xr:uid="{00000000-0005-0000-0000-00006C400000}"/>
    <cellStyle name="Normal 34 3 2 3 6 2" xfId="26828" xr:uid="{00000000-0005-0000-0000-00006D400000}"/>
    <cellStyle name="Normal 34 3 2 3 7" xfId="26829" xr:uid="{00000000-0005-0000-0000-00006E400000}"/>
    <cellStyle name="Normal 34 3 2 3 8" xfId="24019" xr:uid="{00000000-0005-0000-0000-00006F400000}"/>
    <cellStyle name="Normal 34 3 2 4" xfId="26830" xr:uid="{00000000-0005-0000-0000-000070400000}"/>
    <cellStyle name="Normal 34 3 2 4 2" xfId="21320" xr:uid="{00000000-0005-0000-0000-000071400000}"/>
    <cellStyle name="Normal 34 3 2 4 2 2" xfId="17981" xr:uid="{00000000-0005-0000-0000-000072400000}"/>
    <cellStyle name="Normal 34 3 2 4 2 2 2" xfId="26831" xr:uid="{00000000-0005-0000-0000-000073400000}"/>
    <cellStyle name="Normal 34 3 2 4 2 3" xfId="26832" xr:uid="{00000000-0005-0000-0000-000074400000}"/>
    <cellStyle name="Normal 34 3 2 4 3" xfId="21322" xr:uid="{00000000-0005-0000-0000-000075400000}"/>
    <cellStyle name="Normal 34 3 2 4 3 2" xfId="26835" xr:uid="{00000000-0005-0000-0000-000076400000}"/>
    <cellStyle name="Normal 34 3 2 4 4" xfId="21324" xr:uid="{00000000-0005-0000-0000-000077400000}"/>
    <cellStyle name="Normal 34 3 2 5" xfId="26836" xr:uid="{00000000-0005-0000-0000-000078400000}"/>
    <cellStyle name="Normal 34 3 2 5 2" xfId="21340" xr:uid="{00000000-0005-0000-0000-000079400000}"/>
    <cellStyle name="Normal 34 3 2 5 2 2" xfId="26837" xr:uid="{00000000-0005-0000-0000-00007A400000}"/>
    <cellStyle name="Normal 34 3 2 5 3" xfId="26838" xr:uid="{00000000-0005-0000-0000-00007B400000}"/>
    <cellStyle name="Normal 34 3 2 6" xfId="26839" xr:uid="{00000000-0005-0000-0000-00007C400000}"/>
    <cellStyle name="Normal 34 3 2 6 2" xfId="26664" xr:uid="{00000000-0005-0000-0000-00007D400000}"/>
    <cellStyle name="Normal 34 3 2 6 2 2" xfId="26840" xr:uid="{00000000-0005-0000-0000-00007E400000}"/>
    <cellStyle name="Normal 34 3 2 6 3" xfId="7359" xr:uid="{00000000-0005-0000-0000-00007F400000}"/>
    <cellStyle name="Normal 34 3 2 7" xfId="26841" xr:uid="{00000000-0005-0000-0000-000080400000}"/>
    <cellStyle name="Normal 34 3 2 7 2" xfId="18681" xr:uid="{00000000-0005-0000-0000-000081400000}"/>
    <cellStyle name="Normal 34 3 2 8" xfId="26842" xr:uid="{00000000-0005-0000-0000-000082400000}"/>
    <cellStyle name="Normal 34 3 2 8 2" xfId="19935" xr:uid="{00000000-0005-0000-0000-000083400000}"/>
    <cellStyle name="Normal 34 3 2 9" xfId="26843" xr:uid="{00000000-0005-0000-0000-000084400000}"/>
    <cellStyle name="Normal 34 3 3" xfId="22719" xr:uid="{00000000-0005-0000-0000-000085400000}"/>
    <cellStyle name="Normal 34 3 3 2" xfId="22723" xr:uid="{00000000-0005-0000-0000-000086400000}"/>
    <cellStyle name="Normal 34 3 3 2 2" xfId="22726" xr:uid="{00000000-0005-0000-0000-000087400000}"/>
    <cellStyle name="Normal 34 3 3 2 2 2" xfId="26845" xr:uid="{00000000-0005-0000-0000-000088400000}"/>
    <cellStyle name="Normal 34 3 3 2 2 2 2" xfId="17707" xr:uid="{00000000-0005-0000-0000-000089400000}"/>
    <cellStyle name="Normal 34 3 3 2 2 2 2 2" xfId="9099" xr:uid="{00000000-0005-0000-0000-00008A400000}"/>
    <cellStyle name="Normal 34 3 3 2 2 2 3" xfId="8912" xr:uid="{00000000-0005-0000-0000-00008B400000}"/>
    <cellStyle name="Normal 34 3 3 2 2 3" xfId="26847" xr:uid="{00000000-0005-0000-0000-00008C400000}"/>
    <cellStyle name="Normal 34 3 3 2 2 3 2" xfId="20405" xr:uid="{00000000-0005-0000-0000-00008D400000}"/>
    <cellStyle name="Normal 34 3 3 2 2 4" xfId="2456" xr:uid="{00000000-0005-0000-0000-00008E400000}"/>
    <cellStyle name="Normal 34 3 3 2 2 5" xfId="22791" xr:uid="{00000000-0005-0000-0000-00008F400000}"/>
    <cellStyle name="Normal 34 3 3 2 3" xfId="20704" xr:uid="{00000000-0005-0000-0000-000090400000}"/>
    <cellStyle name="Normal 34 3 3 2 3 2" xfId="20712" xr:uid="{00000000-0005-0000-0000-000091400000}"/>
    <cellStyle name="Normal 34 3 3 2 3 2 2" xfId="17763" xr:uid="{00000000-0005-0000-0000-000092400000}"/>
    <cellStyle name="Normal 34 3 3 2 3 3" xfId="26849" xr:uid="{00000000-0005-0000-0000-000093400000}"/>
    <cellStyle name="Normal 34 3 3 2 4" xfId="20715" xr:uid="{00000000-0005-0000-0000-000094400000}"/>
    <cellStyle name="Normal 34 3 3 2 4 2" xfId="26851" xr:uid="{00000000-0005-0000-0000-000095400000}"/>
    <cellStyle name="Normal 34 3 3 2 4 2 2" xfId="17811" xr:uid="{00000000-0005-0000-0000-000096400000}"/>
    <cellStyle name="Normal 34 3 3 2 4 3" xfId="26853" xr:uid="{00000000-0005-0000-0000-000097400000}"/>
    <cellStyle name="Normal 34 3 3 2 5" xfId="26855" xr:uid="{00000000-0005-0000-0000-000098400000}"/>
    <cellStyle name="Normal 34 3 3 2 5 2" xfId="26857" xr:uid="{00000000-0005-0000-0000-000099400000}"/>
    <cellStyle name="Normal 34 3 3 2 6" xfId="26860" xr:uid="{00000000-0005-0000-0000-00009A400000}"/>
    <cellStyle name="Normal 34 3 3 2 6 2" xfId="26863" xr:uid="{00000000-0005-0000-0000-00009B400000}"/>
    <cellStyle name="Normal 34 3 3 2 7" xfId="13681" xr:uid="{00000000-0005-0000-0000-00009C400000}"/>
    <cellStyle name="Normal 34 3 3 2 8" xfId="26865" xr:uid="{00000000-0005-0000-0000-00009D400000}"/>
    <cellStyle name="Normal 34 3 3 3" xfId="22730" xr:uid="{00000000-0005-0000-0000-00009E400000}"/>
    <cellStyle name="Normal 34 3 3 3 2" xfId="26867" xr:uid="{00000000-0005-0000-0000-00009F400000}"/>
    <cellStyle name="Normal 34 3 3 3 2 2" xfId="26869" xr:uid="{00000000-0005-0000-0000-0000A0400000}"/>
    <cellStyle name="Normal 34 3 3 3 2 2 2" xfId="26872" xr:uid="{00000000-0005-0000-0000-0000A1400000}"/>
    <cellStyle name="Normal 34 3 3 3 2 3" xfId="26874" xr:uid="{00000000-0005-0000-0000-0000A2400000}"/>
    <cellStyle name="Normal 34 3 3 3 3" xfId="20719" xr:uid="{00000000-0005-0000-0000-0000A3400000}"/>
    <cellStyle name="Normal 34 3 3 3 3 2" xfId="20722" xr:uid="{00000000-0005-0000-0000-0000A4400000}"/>
    <cellStyle name="Normal 34 3 3 3 4" xfId="20725" xr:uid="{00000000-0005-0000-0000-0000A5400000}"/>
    <cellStyle name="Normal 34 3 3 3 5" xfId="26877" xr:uid="{00000000-0005-0000-0000-0000A6400000}"/>
    <cellStyle name="Normal 34 3 3 4" xfId="9558" xr:uid="{00000000-0005-0000-0000-0000A7400000}"/>
    <cellStyle name="Normal 34 3 3 4 2" xfId="26879" xr:uid="{00000000-0005-0000-0000-0000A8400000}"/>
    <cellStyle name="Normal 34 3 3 4 2 2" xfId="18022" xr:uid="{00000000-0005-0000-0000-0000A9400000}"/>
    <cellStyle name="Normal 34 3 3 4 3" xfId="20729" xr:uid="{00000000-0005-0000-0000-0000AA400000}"/>
    <cellStyle name="Normal 34 3 3 5" xfId="25874" xr:uid="{00000000-0005-0000-0000-0000AB400000}"/>
    <cellStyle name="Normal 34 3 3 5 2" xfId="24182" xr:uid="{00000000-0005-0000-0000-0000AC400000}"/>
    <cellStyle name="Normal 34 3 3 5 2 2" xfId="24186" xr:uid="{00000000-0005-0000-0000-0000AD400000}"/>
    <cellStyle name="Normal 34 3 3 5 3" xfId="20736" xr:uid="{00000000-0005-0000-0000-0000AE400000}"/>
    <cellStyle name="Normal 34 3 3 6" xfId="25881" xr:uid="{00000000-0005-0000-0000-0000AF400000}"/>
    <cellStyle name="Normal 34 3 3 6 2" xfId="24230" xr:uid="{00000000-0005-0000-0000-0000B0400000}"/>
    <cellStyle name="Normal 34 3 3 7" xfId="18619" xr:uid="{00000000-0005-0000-0000-0000B1400000}"/>
    <cellStyle name="Normal 34 3 3 7 2" xfId="25884" xr:uid="{00000000-0005-0000-0000-0000B2400000}"/>
    <cellStyle name="Normal 34 3 3 8" xfId="25889" xr:uid="{00000000-0005-0000-0000-0000B3400000}"/>
    <cellStyle name="Normal 34 3 3 9" xfId="25891" xr:uid="{00000000-0005-0000-0000-0000B4400000}"/>
    <cellStyle name="Normal 34 3 4" xfId="22733" xr:uid="{00000000-0005-0000-0000-0000B5400000}"/>
    <cellStyle name="Normal 34 3 4 2" xfId="22737" xr:uid="{00000000-0005-0000-0000-0000B6400000}"/>
    <cellStyle name="Normal 34 3 4 2 2" xfId="26881" xr:uid="{00000000-0005-0000-0000-0000B7400000}"/>
    <cellStyle name="Normal 34 3 4 2 2 2" xfId="26883" xr:uid="{00000000-0005-0000-0000-0000B8400000}"/>
    <cellStyle name="Normal 34 3 4 2 2 2 2" xfId="26885" xr:uid="{00000000-0005-0000-0000-0000B9400000}"/>
    <cellStyle name="Normal 34 3 4 2 2 2 2 2" xfId="15053" xr:uid="{00000000-0005-0000-0000-0000BA400000}"/>
    <cellStyle name="Normal 34 3 4 2 2 2 3" xfId="26887" xr:uid="{00000000-0005-0000-0000-0000BB400000}"/>
    <cellStyle name="Normal 34 3 4 2 2 3" xfId="26890" xr:uid="{00000000-0005-0000-0000-0000BC400000}"/>
    <cellStyle name="Normal 34 3 4 2 2 3 2" xfId="26891" xr:uid="{00000000-0005-0000-0000-0000BD400000}"/>
    <cellStyle name="Normal 34 3 4 2 2 4" xfId="26892" xr:uid="{00000000-0005-0000-0000-0000BE400000}"/>
    <cellStyle name="Normal 34 3 4 2 3" xfId="20747" xr:uid="{00000000-0005-0000-0000-0000BF400000}"/>
    <cellStyle name="Normal 34 3 4 2 3 2" xfId="26894" xr:uid="{00000000-0005-0000-0000-0000C0400000}"/>
    <cellStyle name="Normal 34 3 4 2 3 2 2" xfId="26895" xr:uid="{00000000-0005-0000-0000-0000C1400000}"/>
    <cellStyle name="Normal 34 3 4 2 3 3" xfId="26896" xr:uid="{00000000-0005-0000-0000-0000C2400000}"/>
    <cellStyle name="Normal 34 3 4 2 4" xfId="26900" xr:uid="{00000000-0005-0000-0000-0000C3400000}"/>
    <cellStyle name="Normal 34 3 4 2 4 2" xfId="26901" xr:uid="{00000000-0005-0000-0000-0000C4400000}"/>
    <cellStyle name="Normal 34 3 4 2 4 2 2" xfId="26903" xr:uid="{00000000-0005-0000-0000-0000C5400000}"/>
    <cellStyle name="Normal 34 3 4 2 4 3" xfId="23426" xr:uid="{00000000-0005-0000-0000-0000C6400000}"/>
    <cellStyle name="Normal 34 3 4 2 5" xfId="26904" xr:uid="{00000000-0005-0000-0000-0000C7400000}"/>
    <cellStyle name="Normal 34 3 4 2 5 2" xfId="26905" xr:uid="{00000000-0005-0000-0000-0000C8400000}"/>
    <cellStyle name="Normal 34 3 4 2 6" xfId="26907" xr:uid="{00000000-0005-0000-0000-0000C9400000}"/>
    <cellStyle name="Normal 34 3 4 2 6 2" xfId="26909" xr:uid="{00000000-0005-0000-0000-0000CA400000}"/>
    <cellStyle name="Normal 34 3 4 2 7" xfId="13734" xr:uid="{00000000-0005-0000-0000-0000CB400000}"/>
    <cellStyle name="Normal 34 3 4 2 8" xfId="26910" xr:uid="{00000000-0005-0000-0000-0000CC400000}"/>
    <cellStyle name="Normal 34 3 4 3" xfId="2106" xr:uid="{00000000-0005-0000-0000-0000CD400000}"/>
    <cellStyle name="Normal 34 3 4 3 2" xfId="26912" xr:uid="{00000000-0005-0000-0000-0000CE400000}"/>
    <cellStyle name="Normal 34 3 4 3 2 2" xfId="26914" xr:uid="{00000000-0005-0000-0000-0000CF400000}"/>
    <cellStyle name="Normal 34 3 4 3 2 2 2" xfId="26915" xr:uid="{00000000-0005-0000-0000-0000D0400000}"/>
    <cellStyle name="Normal 34 3 4 3 2 3" xfId="26916" xr:uid="{00000000-0005-0000-0000-0000D1400000}"/>
    <cellStyle name="Normal 34 3 4 3 3" xfId="26920" xr:uid="{00000000-0005-0000-0000-0000D2400000}"/>
    <cellStyle name="Normal 34 3 4 3 3 2" xfId="26921" xr:uid="{00000000-0005-0000-0000-0000D3400000}"/>
    <cellStyle name="Normal 34 3 4 3 4" xfId="26922" xr:uid="{00000000-0005-0000-0000-0000D4400000}"/>
    <cellStyle name="Normal 34 3 4 4" xfId="26924" xr:uid="{00000000-0005-0000-0000-0000D5400000}"/>
    <cellStyle name="Normal 34 3 4 4 2" xfId="26926" xr:uid="{00000000-0005-0000-0000-0000D6400000}"/>
    <cellStyle name="Normal 34 3 4 4 2 2" xfId="26928" xr:uid="{00000000-0005-0000-0000-0000D7400000}"/>
    <cellStyle name="Normal 34 3 4 4 3" xfId="17989" xr:uid="{00000000-0005-0000-0000-0000D8400000}"/>
    <cellStyle name="Normal 34 3 4 5" xfId="25896" xr:uid="{00000000-0005-0000-0000-0000D9400000}"/>
    <cellStyle name="Normal 34 3 4 5 2" xfId="24271" xr:uid="{00000000-0005-0000-0000-0000DA400000}"/>
    <cellStyle name="Normal 34 3 4 5 2 2" xfId="24273" xr:uid="{00000000-0005-0000-0000-0000DB400000}"/>
    <cellStyle name="Normal 34 3 4 5 3" xfId="24276" xr:uid="{00000000-0005-0000-0000-0000DC400000}"/>
    <cellStyle name="Normal 34 3 4 6" xfId="5041" xr:uid="{00000000-0005-0000-0000-0000DD400000}"/>
    <cellStyle name="Normal 34 3 4 6 2" xfId="25899" xr:uid="{00000000-0005-0000-0000-0000DE400000}"/>
    <cellStyle name="Normal 34 3 4 7" xfId="25902" xr:uid="{00000000-0005-0000-0000-0000DF400000}"/>
    <cellStyle name="Normal 34 3 4 7 2" xfId="26929" xr:uid="{00000000-0005-0000-0000-0000E0400000}"/>
    <cellStyle name="Normal 34 3 4 8" xfId="26930" xr:uid="{00000000-0005-0000-0000-0000E1400000}"/>
    <cellStyle name="Normal 34 3 4 9" xfId="26931" xr:uid="{00000000-0005-0000-0000-0000E2400000}"/>
    <cellStyle name="Normal 34 3 5" xfId="22740" xr:uid="{00000000-0005-0000-0000-0000E3400000}"/>
    <cellStyle name="Normal 34 3 5 2" xfId="26934" xr:uid="{00000000-0005-0000-0000-0000E4400000}"/>
    <cellStyle name="Normal 34 3 5 2 2" xfId="18088" xr:uid="{00000000-0005-0000-0000-0000E5400000}"/>
    <cellStyle name="Normal 34 3 5 2 2 2" xfId="18094" xr:uid="{00000000-0005-0000-0000-0000E6400000}"/>
    <cellStyle name="Normal 34 3 5 2 2 2 2" xfId="14701" xr:uid="{00000000-0005-0000-0000-0000E7400000}"/>
    <cellStyle name="Normal 34 3 5 2 2 2 2 2" xfId="14708" xr:uid="{00000000-0005-0000-0000-0000E8400000}"/>
    <cellStyle name="Normal 34 3 5 2 2 2 3" xfId="12215" xr:uid="{00000000-0005-0000-0000-0000E9400000}"/>
    <cellStyle name="Normal 34 3 5 2 2 3" xfId="26935" xr:uid="{00000000-0005-0000-0000-0000EA400000}"/>
    <cellStyle name="Normal 34 3 5 2 2 3 2" xfId="14791" xr:uid="{00000000-0005-0000-0000-0000EB400000}"/>
    <cellStyle name="Normal 34 3 5 2 2 4" xfId="26936" xr:uid="{00000000-0005-0000-0000-0000EC400000}"/>
    <cellStyle name="Normal 34 3 5 2 3" xfId="18097" xr:uid="{00000000-0005-0000-0000-0000ED400000}"/>
    <cellStyle name="Normal 34 3 5 2 3 2" xfId="18099" xr:uid="{00000000-0005-0000-0000-0000EE400000}"/>
    <cellStyle name="Normal 34 3 5 2 3 2 2" xfId="14893" xr:uid="{00000000-0005-0000-0000-0000EF400000}"/>
    <cellStyle name="Normal 34 3 5 2 3 3" xfId="26937" xr:uid="{00000000-0005-0000-0000-0000F0400000}"/>
    <cellStyle name="Normal 34 3 5 2 4" xfId="10777" xr:uid="{00000000-0005-0000-0000-0000F1400000}"/>
    <cellStyle name="Normal 34 3 5 2 4 2" xfId="26938" xr:uid="{00000000-0005-0000-0000-0000F2400000}"/>
    <cellStyle name="Normal 34 3 5 2 4 2 2" xfId="15020" xr:uid="{00000000-0005-0000-0000-0000F3400000}"/>
    <cellStyle name="Normal 34 3 5 2 4 3" xfId="26939" xr:uid="{00000000-0005-0000-0000-0000F4400000}"/>
    <cellStyle name="Normal 34 3 5 2 5" xfId="12156" xr:uid="{00000000-0005-0000-0000-0000F5400000}"/>
    <cellStyle name="Normal 34 3 5 2 5 2" xfId="16391" xr:uid="{00000000-0005-0000-0000-0000F6400000}"/>
    <cellStyle name="Normal 34 3 5 2 6" xfId="26941" xr:uid="{00000000-0005-0000-0000-0000F7400000}"/>
    <cellStyle name="Normal 34 3 5 2 6 2" xfId="26942" xr:uid="{00000000-0005-0000-0000-0000F8400000}"/>
    <cellStyle name="Normal 34 3 5 2 7" xfId="26943" xr:uid="{00000000-0005-0000-0000-0000F9400000}"/>
    <cellStyle name="Normal 34 3 5 2 8" xfId="26944" xr:uid="{00000000-0005-0000-0000-0000FA400000}"/>
    <cellStyle name="Normal 34 3 5 3" xfId="26946" xr:uid="{00000000-0005-0000-0000-0000FB400000}"/>
    <cellStyle name="Normal 34 3 5 3 2" xfId="18105" xr:uid="{00000000-0005-0000-0000-0000FC400000}"/>
    <cellStyle name="Normal 34 3 5 3 2 2" xfId="26947" xr:uid="{00000000-0005-0000-0000-0000FD400000}"/>
    <cellStyle name="Normal 34 3 5 3 2 2 2" xfId="15358" xr:uid="{00000000-0005-0000-0000-0000FE400000}"/>
    <cellStyle name="Normal 34 3 5 3 2 3" xfId="26948" xr:uid="{00000000-0005-0000-0000-0000FF400000}"/>
    <cellStyle name="Normal 34 3 5 3 3" xfId="13950" xr:uid="{00000000-0005-0000-0000-000000410000}"/>
    <cellStyle name="Normal 34 3 5 3 3 2" xfId="26951" xr:uid="{00000000-0005-0000-0000-000001410000}"/>
    <cellStyle name="Normal 34 3 5 3 4" xfId="26953" xr:uid="{00000000-0005-0000-0000-000002410000}"/>
    <cellStyle name="Normal 34 3 5 4" xfId="26956" xr:uid="{00000000-0005-0000-0000-000003410000}"/>
    <cellStyle name="Normal 34 3 5 4 2" xfId="26957" xr:uid="{00000000-0005-0000-0000-000004410000}"/>
    <cellStyle name="Normal 34 3 5 4 2 2" xfId="16973" xr:uid="{00000000-0005-0000-0000-000005410000}"/>
    <cellStyle name="Normal 34 3 5 4 3" xfId="26958" xr:uid="{00000000-0005-0000-0000-000006410000}"/>
    <cellStyle name="Normal 34 3 5 5" xfId="25905" xr:uid="{00000000-0005-0000-0000-000007410000}"/>
    <cellStyle name="Normal 34 3 5 5 2" xfId="24315" xr:uid="{00000000-0005-0000-0000-000008410000}"/>
    <cellStyle name="Normal 34 3 5 5 2 2" xfId="24317" xr:uid="{00000000-0005-0000-0000-000009410000}"/>
    <cellStyle name="Normal 34 3 5 5 3" xfId="24319" xr:uid="{00000000-0005-0000-0000-00000A410000}"/>
    <cellStyle name="Normal 34 3 5 6" xfId="25907" xr:uid="{00000000-0005-0000-0000-00000B410000}"/>
    <cellStyle name="Normal 34 3 5 6 2" xfId="26959" xr:uid="{00000000-0005-0000-0000-00000C410000}"/>
    <cellStyle name="Normal 34 3 5 7" xfId="26960" xr:uid="{00000000-0005-0000-0000-00000D410000}"/>
    <cellStyle name="Normal 34 3 5 7 2" xfId="26961" xr:uid="{00000000-0005-0000-0000-00000E410000}"/>
    <cellStyle name="Normal 34 3 5 8" xfId="26962" xr:uid="{00000000-0005-0000-0000-00000F410000}"/>
    <cellStyle name="Normal 34 3 5 9" xfId="3062" xr:uid="{00000000-0005-0000-0000-000010410000}"/>
    <cellStyle name="Normal 34 3 6" xfId="5670" xr:uid="{00000000-0005-0000-0000-000011410000}"/>
    <cellStyle name="Normal 34 3 6 2" xfId="6011" xr:uid="{00000000-0005-0000-0000-000012410000}"/>
    <cellStyle name="Normal 34 3 6 2 2" xfId="26964" xr:uid="{00000000-0005-0000-0000-000013410000}"/>
    <cellStyle name="Normal 34 3 6 2 2 2" xfId="26965" xr:uid="{00000000-0005-0000-0000-000014410000}"/>
    <cellStyle name="Normal 34 3 6 2 2 2 2" xfId="26966" xr:uid="{00000000-0005-0000-0000-000015410000}"/>
    <cellStyle name="Normal 34 3 6 2 2 3" xfId="26967" xr:uid="{00000000-0005-0000-0000-000016410000}"/>
    <cellStyle name="Normal 34 3 6 2 3" xfId="26970" xr:uid="{00000000-0005-0000-0000-000017410000}"/>
    <cellStyle name="Normal 34 3 6 2 3 2" xfId="26971" xr:uid="{00000000-0005-0000-0000-000018410000}"/>
    <cellStyle name="Normal 34 3 6 2 4" xfId="26972" xr:uid="{00000000-0005-0000-0000-000019410000}"/>
    <cellStyle name="Normal 34 3 6 2 5" xfId="12189" xr:uid="{00000000-0005-0000-0000-00001A410000}"/>
    <cellStyle name="Normal 34 3 6 3" xfId="26974" xr:uid="{00000000-0005-0000-0000-00001B410000}"/>
    <cellStyle name="Normal 34 3 6 3 2" xfId="26975" xr:uid="{00000000-0005-0000-0000-00001C410000}"/>
    <cellStyle name="Normal 34 3 6 3 2 2" xfId="26976" xr:uid="{00000000-0005-0000-0000-00001D410000}"/>
    <cellStyle name="Normal 34 3 6 3 3" xfId="20687" xr:uid="{00000000-0005-0000-0000-00001E410000}"/>
    <cellStyle name="Normal 34 3 6 4" xfId="26977" xr:uid="{00000000-0005-0000-0000-00001F410000}"/>
    <cellStyle name="Normal 34 3 6 4 2" xfId="26978" xr:uid="{00000000-0005-0000-0000-000020410000}"/>
    <cellStyle name="Normal 34 3 6 4 2 2" xfId="26979" xr:uid="{00000000-0005-0000-0000-000021410000}"/>
    <cellStyle name="Normal 34 3 6 4 3" xfId="26980" xr:uid="{00000000-0005-0000-0000-000022410000}"/>
    <cellStyle name="Normal 34 3 6 5" xfId="25911" xr:uid="{00000000-0005-0000-0000-000023410000}"/>
    <cellStyle name="Normal 34 3 6 5 2" xfId="25913" xr:uid="{00000000-0005-0000-0000-000024410000}"/>
    <cellStyle name="Normal 34 3 6 6" xfId="25915" xr:uid="{00000000-0005-0000-0000-000025410000}"/>
    <cellStyle name="Normal 34 3 6 6 2" xfId="26981" xr:uid="{00000000-0005-0000-0000-000026410000}"/>
    <cellStyle name="Normal 34 3 6 7" xfId="26982" xr:uid="{00000000-0005-0000-0000-000027410000}"/>
    <cellStyle name="Normal 34 3 6 8" xfId="11431" xr:uid="{00000000-0005-0000-0000-000028410000}"/>
    <cellStyle name="Normal 34 3 7" xfId="8531" xr:uid="{00000000-0005-0000-0000-000029410000}"/>
    <cellStyle name="Normal 34 3 7 2" xfId="16148" xr:uid="{00000000-0005-0000-0000-00002A410000}"/>
    <cellStyle name="Normal 34 3 7 2 2" xfId="16151" xr:uid="{00000000-0005-0000-0000-00002B410000}"/>
    <cellStyle name="Normal 34 3 7 2 2 2" xfId="16154" xr:uid="{00000000-0005-0000-0000-00002C410000}"/>
    <cellStyle name="Normal 34 3 7 2 3" xfId="15794" xr:uid="{00000000-0005-0000-0000-00002D410000}"/>
    <cellStyle name="Normal 34 3 7 3" xfId="16176" xr:uid="{00000000-0005-0000-0000-00002E410000}"/>
    <cellStyle name="Normal 34 3 7 3 2" xfId="16178" xr:uid="{00000000-0005-0000-0000-00002F410000}"/>
    <cellStyle name="Normal 34 3 7 4" xfId="26983" xr:uid="{00000000-0005-0000-0000-000030410000}"/>
    <cellStyle name="Normal 34 3 7 5" xfId="25920" xr:uid="{00000000-0005-0000-0000-000031410000}"/>
    <cellStyle name="Normal 34 3 8" xfId="26985" xr:uid="{00000000-0005-0000-0000-000032410000}"/>
    <cellStyle name="Normal 34 3 8 2" xfId="16535" xr:uid="{00000000-0005-0000-0000-000033410000}"/>
    <cellStyle name="Normal 34 3 8 2 2" xfId="13736" xr:uid="{00000000-0005-0000-0000-000034410000}"/>
    <cellStyle name="Normal 34 3 8 3" xfId="16538" xr:uid="{00000000-0005-0000-0000-000035410000}"/>
    <cellStyle name="Normal 34 3 9" xfId="26987" xr:uid="{00000000-0005-0000-0000-000036410000}"/>
    <cellStyle name="Normal 34 3 9 2" xfId="16688" xr:uid="{00000000-0005-0000-0000-000037410000}"/>
    <cellStyle name="Normal 34 3 9 2 2" xfId="16690" xr:uid="{00000000-0005-0000-0000-000038410000}"/>
    <cellStyle name="Normal 34 3 9 3" xfId="16698" xr:uid="{00000000-0005-0000-0000-000039410000}"/>
    <cellStyle name="Normal 34 4" xfId="21421" xr:uid="{00000000-0005-0000-0000-00003A410000}"/>
    <cellStyle name="Normal 34 4 10" xfId="26902" xr:uid="{00000000-0005-0000-0000-00003B410000}"/>
    <cellStyle name="Normal 34 4 10 2" xfId="26988" xr:uid="{00000000-0005-0000-0000-00003C410000}"/>
    <cellStyle name="Normal 34 4 11" xfId="26990" xr:uid="{00000000-0005-0000-0000-00003D410000}"/>
    <cellStyle name="Normal 34 4 11 2" xfId="26991" xr:uid="{00000000-0005-0000-0000-00003E410000}"/>
    <cellStyle name="Normal 34 4 12" xfId="26992" xr:uid="{00000000-0005-0000-0000-00003F410000}"/>
    <cellStyle name="Normal 34 4 12 2" xfId="26993" xr:uid="{00000000-0005-0000-0000-000040410000}"/>
    <cellStyle name="Normal 34 4 13" xfId="18982" xr:uid="{00000000-0005-0000-0000-000041410000}"/>
    <cellStyle name="Normal 34 4 14" xfId="26994" xr:uid="{00000000-0005-0000-0000-000042410000}"/>
    <cellStyle name="Normal 34 4 2" xfId="26997" xr:uid="{00000000-0005-0000-0000-000043410000}"/>
    <cellStyle name="Normal 34 4 2 10" xfId="26999" xr:uid="{00000000-0005-0000-0000-000044410000}"/>
    <cellStyle name="Normal 34 4 2 2" xfId="27003" xr:uid="{00000000-0005-0000-0000-000045410000}"/>
    <cellStyle name="Normal 34 4 2 2 2" xfId="25778" xr:uid="{00000000-0005-0000-0000-000046410000}"/>
    <cellStyle name="Normal 34 4 2 2 2 2" xfId="16042" xr:uid="{00000000-0005-0000-0000-000047410000}"/>
    <cellStyle name="Normal 34 4 2 2 2 2 2" xfId="16552" xr:uid="{00000000-0005-0000-0000-000048410000}"/>
    <cellStyle name="Normal 34 4 2 2 2 2 2 2" xfId="16556" xr:uid="{00000000-0005-0000-0000-000049410000}"/>
    <cellStyle name="Normal 34 4 2 2 2 2 2 2 2" xfId="27004" xr:uid="{00000000-0005-0000-0000-00004A410000}"/>
    <cellStyle name="Normal 34 4 2 2 2 2 2 3" xfId="27005" xr:uid="{00000000-0005-0000-0000-00004B410000}"/>
    <cellStyle name="Normal 34 4 2 2 2 2 3" xfId="16562" xr:uid="{00000000-0005-0000-0000-00004C410000}"/>
    <cellStyle name="Normal 34 4 2 2 2 2 3 2" xfId="17751" xr:uid="{00000000-0005-0000-0000-00004D410000}"/>
    <cellStyle name="Normal 34 4 2 2 2 2 4" xfId="16568" xr:uid="{00000000-0005-0000-0000-00004E410000}"/>
    <cellStyle name="Normal 34 4 2 2 2 3" xfId="25780" xr:uid="{00000000-0005-0000-0000-00004F410000}"/>
    <cellStyle name="Normal 34 4 2 2 2 3 2" xfId="16573" xr:uid="{00000000-0005-0000-0000-000050410000}"/>
    <cellStyle name="Normal 34 4 2 2 2 3 2 2" xfId="27008" xr:uid="{00000000-0005-0000-0000-000051410000}"/>
    <cellStyle name="Normal 34 4 2 2 2 3 3" xfId="17757" xr:uid="{00000000-0005-0000-0000-000052410000}"/>
    <cellStyle name="Normal 34 4 2 2 2 4" xfId="6636" xr:uid="{00000000-0005-0000-0000-000053410000}"/>
    <cellStyle name="Normal 34 4 2 2 2 4 2" xfId="8698" xr:uid="{00000000-0005-0000-0000-000054410000}"/>
    <cellStyle name="Normal 34 4 2 2 2 4 2 2" xfId="27009" xr:uid="{00000000-0005-0000-0000-000055410000}"/>
    <cellStyle name="Normal 34 4 2 2 2 4 3" xfId="17765" xr:uid="{00000000-0005-0000-0000-000056410000}"/>
    <cellStyle name="Normal 34 4 2 2 2 5" xfId="8708" xr:uid="{00000000-0005-0000-0000-000057410000}"/>
    <cellStyle name="Normal 34 4 2 2 2 5 2" xfId="27010" xr:uid="{00000000-0005-0000-0000-000058410000}"/>
    <cellStyle name="Normal 34 4 2 2 2 6" xfId="22342" xr:uid="{00000000-0005-0000-0000-000059410000}"/>
    <cellStyle name="Normal 34 4 2 2 2 6 2" xfId="27013" xr:uid="{00000000-0005-0000-0000-00005A410000}"/>
    <cellStyle name="Normal 34 4 2 2 2 7" xfId="27014" xr:uid="{00000000-0005-0000-0000-00005B410000}"/>
    <cellStyle name="Normal 34 4 2 2 2 8" xfId="27020" xr:uid="{00000000-0005-0000-0000-00005C410000}"/>
    <cellStyle name="Normal 34 4 2 2 3" xfId="25782" xr:uid="{00000000-0005-0000-0000-00005D410000}"/>
    <cellStyle name="Normal 34 4 2 2 3 2" xfId="25784" xr:uid="{00000000-0005-0000-0000-00005E410000}"/>
    <cellStyle name="Normal 34 4 2 2 3 2 2" xfId="16602" xr:uid="{00000000-0005-0000-0000-00005F410000}"/>
    <cellStyle name="Normal 34 4 2 2 3 2 2 2" xfId="27027" xr:uid="{00000000-0005-0000-0000-000060410000}"/>
    <cellStyle name="Normal 34 4 2 2 3 2 3" xfId="16610" xr:uid="{00000000-0005-0000-0000-000061410000}"/>
    <cellStyle name="Normal 34 4 2 2 3 3" xfId="25786" xr:uid="{00000000-0005-0000-0000-000062410000}"/>
    <cellStyle name="Normal 34 4 2 2 3 3 2" xfId="27028" xr:uid="{00000000-0005-0000-0000-000063410000}"/>
    <cellStyle name="Normal 34 4 2 2 3 4" xfId="6020" xr:uid="{00000000-0005-0000-0000-000064410000}"/>
    <cellStyle name="Normal 34 4 2 2 4" xfId="25788" xr:uid="{00000000-0005-0000-0000-000065410000}"/>
    <cellStyle name="Normal 34 4 2 2 4 2" xfId="9190" xr:uid="{00000000-0005-0000-0000-000066410000}"/>
    <cellStyle name="Normal 34 4 2 2 4 2 2" xfId="9193" xr:uid="{00000000-0005-0000-0000-000067410000}"/>
    <cellStyle name="Normal 34 4 2 2 4 3" xfId="9204" xr:uid="{00000000-0005-0000-0000-000068410000}"/>
    <cellStyle name="Normal 34 4 2 2 5" xfId="25793" xr:uid="{00000000-0005-0000-0000-000069410000}"/>
    <cellStyle name="Normal 34 4 2 2 5 2" xfId="9253" xr:uid="{00000000-0005-0000-0000-00006A410000}"/>
    <cellStyle name="Normal 34 4 2 2 5 2 2" xfId="12" xr:uid="{00000000-0005-0000-0000-00006B410000}"/>
    <cellStyle name="Normal 34 4 2 2 5 3" xfId="9259" xr:uid="{00000000-0005-0000-0000-00006C410000}"/>
    <cellStyle name="Normal 34 4 2 2 6" xfId="18402" xr:uid="{00000000-0005-0000-0000-00006D410000}"/>
    <cellStyle name="Normal 34 4 2 2 6 2" xfId="8525" xr:uid="{00000000-0005-0000-0000-00006E410000}"/>
    <cellStyle name="Normal 34 4 2 2 7" xfId="25426" xr:uid="{00000000-0005-0000-0000-00006F410000}"/>
    <cellStyle name="Normal 34 4 2 2 7 2" xfId="5608" xr:uid="{00000000-0005-0000-0000-000070410000}"/>
    <cellStyle name="Normal 34 4 2 2 8" xfId="27029" xr:uid="{00000000-0005-0000-0000-000071410000}"/>
    <cellStyle name="Normal 34 4 2 2 9" xfId="27030" xr:uid="{00000000-0005-0000-0000-000072410000}"/>
    <cellStyle name="Normal 34 4 2 3" xfId="27031" xr:uid="{00000000-0005-0000-0000-000073410000}"/>
    <cellStyle name="Normal 34 4 2 3 2" xfId="25806" xr:uid="{00000000-0005-0000-0000-000074410000}"/>
    <cellStyle name="Normal 34 4 2 3 2 2" xfId="25808" xr:uid="{00000000-0005-0000-0000-000075410000}"/>
    <cellStyle name="Normal 34 4 2 3 2 2 2" xfId="16587" xr:uid="{00000000-0005-0000-0000-000076410000}"/>
    <cellStyle name="Normal 34 4 2 3 2 2 2 2" xfId="16592" xr:uid="{00000000-0005-0000-0000-000077410000}"/>
    <cellStyle name="Normal 34 4 2 3 2 2 3" xfId="16596" xr:uid="{00000000-0005-0000-0000-000078410000}"/>
    <cellStyle name="Normal 34 4 2 3 2 3" xfId="25810" xr:uid="{00000000-0005-0000-0000-000079410000}"/>
    <cellStyle name="Normal 34 4 2 3 2 3 2" xfId="16627" xr:uid="{00000000-0005-0000-0000-00007A410000}"/>
    <cellStyle name="Normal 34 4 2 3 2 4" xfId="8727" xr:uid="{00000000-0005-0000-0000-00007B410000}"/>
    <cellStyle name="Normal 34 4 2 3 3" xfId="25814" xr:uid="{00000000-0005-0000-0000-00007C410000}"/>
    <cellStyle name="Normal 34 4 2 3 3 2" xfId="25816" xr:uid="{00000000-0005-0000-0000-00007D410000}"/>
    <cellStyle name="Normal 34 4 2 3 3 2 2" xfId="16718" xr:uid="{00000000-0005-0000-0000-00007E410000}"/>
    <cellStyle name="Normal 34 4 2 3 3 3" xfId="25818" xr:uid="{00000000-0005-0000-0000-00007F410000}"/>
    <cellStyle name="Normal 34 4 2 3 4" xfId="19742" xr:uid="{00000000-0005-0000-0000-000080410000}"/>
    <cellStyle name="Normal 34 4 2 3 4 2" xfId="9360" xr:uid="{00000000-0005-0000-0000-000081410000}"/>
    <cellStyle name="Normal 34 4 2 3 4 2 2" xfId="9366" xr:uid="{00000000-0005-0000-0000-000082410000}"/>
    <cellStyle name="Normal 34 4 2 3 4 3" xfId="9381" xr:uid="{00000000-0005-0000-0000-000083410000}"/>
    <cellStyle name="Normal 34 4 2 3 5" xfId="5572" xr:uid="{00000000-0005-0000-0000-000084410000}"/>
    <cellStyle name="Normal 34 4 2 3 5 2" xfId="1774" xr:uid="{00000000-0005-0000-0000-000085410000}"/>
    <cellStyle name="Normal 34 4 2 3 6" xfId="5579" xr:uid="{00000000-0005-0000-0000-000086410000}"/>
    <cellStyle name="Normal 34 4 2 3 6 2" xfId="4113" xr:uid="{00000000-0005-0000-0000-000087410000}"/>
    <cellStyle name="Normal 34 4 2 3 7" xfId="5597" xr:uid="{00000000-0005-0000-0000-000088410000}"/>
    <cellStyle name="Normal 34 4 2 3 8" xfId="5615" xr:uid="{00000000-0005-0000-0000-000089410000}"/>
    <cellStyle name="Normal 34 4 2 4" xfId="27032" xr:uid="{00000000-0005-0000-0000-00008A410000}"/>
    <cellStyle name="Normal 34 4 2 4 2" xfId="25832" xr:uid="{00000000-0005-0000-0000-00008B410000}"/>
    <cellStyle name="Normal 34 4 2 4 2 2" xfId="25836" xr:uid="{00000000-0005-0000-0000-00008C410000}"/>
    <cellStyle name="Normal 34 4 2 4 2 2 2" xfId="16787" xr:uid="{00000000-0005-0000-0000-00008D410000}"/>
    <cellStyle name="Normal 34 4 2 4 2 3" xfId="25838" xr:uid="{00000000-0005-0000-0000-00008E410000}"/>
    <cellStyle name="Normal 34 4 2 4 3" xfId="25842" xr:uid="{00000000-0005-0000-0000-00008F410000}"/>
    <cellStyle name="Normal 34 4 2 4 3 2" xfId="25844" xr:uid="{00000000-0005-0000-0000-000090410000}"/>
    <cellStyle name="Normal 34 4 2 4 4" xfId="19752" xr:uid="{00000000-0005-0000-0000-000091410000}"/>
    <cellStyle name="Normal 34 4 2 5" xfId="27033" xr:uid="{00000000-0005-0000-0000-000092410000}"/>
    <cellStyle name="Normal 34 4 2 5 2" xfId="25232" xr:uid="{00000000-0005-0000-0000-000093410000}"/>
    <cellStyle name="Normal 34 4 2 5 2 2" xfId="25235" xr:uid="{00000000-0005-0000-0000-000094410000}"/>
    <cellStyle name="Normal 34 4 2 5 3" xfId="25238" xr:uid="{00000000-0005-0000-0000-000095410000}"/>
    <cellStyle name="Normal 34 4 2 6" xfId="27036" xr:uid="{00000000-0005-0000-0000-000096410000}"/>
    <cellStyle name="Normal 34 4 2 6 2" xfId="25864" xr:uid="{00000000-0005-0000-0000-000097410000}"/>
    <cellStyle name="Normal 34 4 2 6 2 2" xfId="399" xr:uid="{00000000-0005-0000-0000-000098410000}"/>
    <cellStyle name="Normal 34 4 2 6 3" xfId="27037" xr:uid="{00000000-0005-0000-0000-000099410000}"/>
    <cellStyle name="Normal 34 4 2 7" xfId="27040" xr:uid="{00000000-0005-0000-0000-00009A410000}"/>
    <cellStyle name="Normal 34 4 2 7 2" xfId="25868" xr:uid="{00000000-0005-0000-0000-00009B410000}"/>
    <cellStyle name="Normal 34 4 2 8" xfId="23377" xr:uid="{00000000-0005-0000-0000-00009C410000}"/>
    <cellStyle name="Normal 34 4 2 8 2" xfId="23379" xr:uid="{00000000-0005-0000-0000-00009D410000}"/>
    <cellStyle name="Normal 34 4 2 9" xfId="23381" xr:uid="{00000000-0005-0000-0000-00009E410000}"/>
    <cellStyle name="Normal 34 4 3" xfId="22743" xr:uid="{00000000-0005-0000-0000-00009F410000}"/>
    <cellStyle name="Normal 34 4 3 2" xfId="22746" xr:uid="{00000000-0005-0000-0000-0000A0410000}"/>
    <cellStyle name="Normal 34 4 3 2 2" xfId="24381" xr:uid="{00000000-0005-0000-0000-0000A1410000}"/>
    <cellStyle name="Normal 34 4 3 2 2 2" xfId="24386" xr:uid="{00000000-0005-0000-0000-0000A2410000}"/>
    <cellStyle name="Normal 34 4 3 2 2 2 2" xfId="17304" xr:uid="{00000000-0005-0000-0000-0000A3410000}"/>
    <cellStyle name="Normal 34 4 3 2 2 2 2 2" xfId="27041" xr:uid="{00000000-0005-0000-0000-0000A4410000}"/>
    <cellStyle name="Normal 34 4 3 2 2 2 3" xfId="27044" xr:uid="{00000000-0005-0000-0000-0000A5410000}"/>
    <cellStyle name="Normal 34 4 3 2 2 3" xfId="27049" xr:uid="{00000000-0005-0000-0000-0000A6410000}"/>
    <cellStyle name="Normal 34 4 3 2 2 3 2" xfId="27051" xr:uid="{00000000-0005-0000-0000-0000A7410000}"/>
    <cellStyle name="Normal 34 4 3 2 2 4" xfId="4493" xr:uid="{00000000-0005-0000-0000-0000A8410000}"/>
    <cellStyle name="Normal 34 4 3 2 2 5" xfId="22877" xr:uid="{00000000-0005-0000-0000-0000A9410000}"/>
    <cellStyle name="Normal 34 4 3 2 3" xfId="20783" xr:uid="{00000000-0005-0000-0000-0000AA410000}"/>
    <cellStyle name="Normal 34 4 3 2 3 2" xfId="24391" xr:uid="{00000000-0005-0000-0000-0000AB410000}"/>
    <cellStyle name="Normal 34 4 3 2 3 2 2" xfId="27052" xr:uid="{00000000-0005-0000-0000-0000AC410000}"/>
    <cellStyle name="Normal 34 4 3 2 3 3" xfId="27053" xr:uid="{00000000-0005-0000-0000-0000AD410000}"/>
    <cellStyle name="Normal 34 4 3 2 4" xfId="24394" xr:uid="{00000000-0005-0000-0000-0000AE410000}"/>
    <cellStyle name="Normal 34 4 3 2 4 2" xfId="9917" xr:uid="{00000000-0005-0000-0000-0000AF410000}"/>
    <cellStyle name="Normal 34 4 3 2 4 2 2" xfId="27054" xr:uid="{00000000-0005-0000-0000-0000B0410000}"/>
    <cellStyle name="Normal 34 4 3 2 4 3" xfId="4617" xr:uid="{00000000-0005-0000-0000-0000B1410000}"/>
    <cellStyle name="Normal 34 4 3 2 5" xfId="14495" xr:uid="{00000000-0005-0000-0000-0000B2410000}"/>
    <cellStyle name="Normal 34 4 3 2 5 2" xfId="27057" xr:uid="{00000000-0005-0000-0000-0000B3410000}"/>
    <cellStyle name="Normal 34 4 3 2 6" xfId="27061" xr:uid="{00000000-0005-0000-0000-0000B4410000}"/>
    <cellStyle name="Normal 34 4 3 2 6 2" xfId="27065" xr:uid="{00000000-0005-0000-0000-0000B5410000}"/>
    <cellStyle name="Normal 34 4 3 2 7" xfId="25450" xr:uid="{00000000-0005-0000-0000-0000B6410000}"/>
    <cellStyle name="Normal 34 4 3 2 8" xfId="27069" xr:uid="{00000000-0005-0000-0000-0000B7410000}"/>
    <cellStyle name="Normal 34 4 3 3" xfId="27071" xr:uid="{00000000-0005-0000-0000-0000B8410000}"/>
    <cellStyle name="Normal 34 4 3 3 2" xfId="24421" xr:uid="{00000000-0005-0000-0000-0000B9410000}"/>
    <cellStyle name="Normal 34 4 3 3 2 2" xfId="24425" xr:uid="{00000000-0005-0000-0000-0000BA410000}"/>
    <cellStyle name="Normal 34 4 3 3 2 2 2" xfId="27072" xr:uid="{00000000-0005-0000-0000-0000BB410000}"/>
    <cellStyle name="Normal 34 4 3 3 2 3" xfId="27073" xr:uid="{00000000-0005-0000-0000-0000BC410000}"/>
    <cellStyle name="Normal 34 4 3 3 3" xfId="24428" xr:uid="{00000000-0005-0000-0000-0000BD410000}"/>
    <cellStyle name="Normal 34 4 3 3 3 2" xfId="3923" xr:uid="{00000000-0005-0000-0000-0000BE410000}"/>
    <cellStyle name="Normal 34 4 3 3 4" xfId="19773" xr:uid="{00000000-0005-0000-0000-0000BF410000}"/>
    <cellStyle name="Normal 34 4 3 3 5" xfId="592" xr:uid="{00000000-0005-0000-0000-0000C0410000}"/>
    <cellStyle name="Normal 34 4 3 4" xfId="27077" xr:uid="{00000000-0005-0000-0000-0000C1410000}"/>
    <cellStyle name="Normal 34 4 3 4 2" xfId="27079" xr:uid="{00000000-0005-0000-0000-0000C2410000}"/>
    <cellStyle name="Normal 34 4 3 4 2 2" xfId="27081" xr:uid="{00000000-0005-0000-0000-0000C3410000}"/>
    <cellStyle name="Normal 34 4 3 4 3" xfId="27083" xr:uid="{00000000-0005-0000-0000-0000C4410000}"/>
    <cellStyle name="Normal 34 4 3 5" xfId="25929" xr:uid="{00000000-0005-0000-0000-0000C5410000}"/>
    <cellStyle name="Normal 34 4 3 5 2" xfId="25261" xr:uid="{00000000-0005-0000-0000-0000C6410000}"/>
    <cellStyle name="Normal 34 4 3 5 2 2" xfId="25263" xr:uid="{00000000-0005-0000-0000-0000C7410000}"/>
    <cellStyle name="Normal 34 4 3 5 3" xfId="25266" xr:uid="{00000000-0005-0000-0000-0000C8410000}"/>
    <cellStyle name="Normal 34 4 3 6" xfId="25934" xr:uid="{00000000-0005-0000-0000-0000C9410000}"/>
    <cellStyle name="Normal 34 4 3 6 2" xfId="25937" xr:uid="{00000000-0005-0000-0000-0000CA410000}"/>
    <cellStyle name="Normal 34 4 3 7" xfId="18625" xr:uid="{00000000-0005-0000-0000-0000CB410000}"/>
    <cellStyle name="Normal 34 4 3 7 2" xfId="27084" xr:uid="{00000000-0005-0000-0000-0000CC410000}"/>
    <cellStyle name="Normal 34 4 3 8" xfId="23386" xr:uid="{00000000-0005-0000-0000-0000CD410000}"/>
    <cellStyle name="Normal 34 4 3 9" xfId="23391" xr:uid="{00000000-0005-0000-0000-0000CE410000}"/>
    <cellStyle name="Normal 34 4 4" xfId="22749" xr:uid="{00000000-0005-0000-0000-0000CF410000}"/>
    <cellStyle name="Normal 34 4 4 2" xfId="27086" xr:uid="{00000000-0005-0000-0000-0000D0410000}"/>
    <cellStyle name="Normal 34 4 4 2 2" xfId="24488" xr:uid="{00000000-0005-0000-0000-0000D1410000}"/>
    <cellStyle name="Normal 34 4 4 2 2 2" xfId="24493" xr:uid="{00000000-0005-0000-0000-0000D2410000}"/>
    <cellStyle name="Normal 34 4 4 2 2 2 2" xfId="27087" xr:uid="{00000000-0005-0000-0000-0000D3410000}"/>
    <cellStyle name="Normal 34 4 4 2 2 2 2 2" xfId="27088" xr:uid="{00000000-0005-0000-0000-0000D4410000}"/>
    <cellStyle name="Normal 34 4 4 2 2 2 3" xfId="27090" xr:uid="{00000000-0005-0000-0000-0000D5410000}"/>
    <cellStyle name="Normal 34 4 4 2 2 3" xfId="27092" xr:uid="{00000000-0005-0000-0000-0000D6410000}"/>
    <cellStyle name="Normal 34 4 4 2 2 3 2" xfId="27094" xr:uid="{00000000-0005-0000-0000-0000D7410000}"/>
    <cellStyle name="Normal 34 4 4 2 2 4" xfId="27095" xr:uid="{00000000-0005-0000-0000-0000D8410000}"/>
    <cellStyle name="Normal 34 4 4 2 3" xfId="24498" xr:uid="{00000000-0005-0000-0000-0000D9410000}"/>
    <cellStyle name="Normal 34 4 4 2 3 2" xfId="27096" xr:uid="{00000000-0005-0000-0000-0000DA410000}"/>
    <cellStyle name="Normal 34 4 4 2 3 2 2" xfId="27098" xr:uid="{00000000-0005-0000-0000-0000DB410000}"/>
    <cellStyle name="Normal 34 4 4 2 3 3" xfId="27099" xr:uid="{00000000-0005-0000-0000-0000DC410000}"/>
    <cellStyle name="Normal 34 4 4 2 4" xfId="27103" xr:uid="{00000000-0005-0000-0000-0000DD410000}"/>
    <cellStyle name="Normal 34 4 4 2 4 2" xfId="27104" xr:uid="{00000000-0005-0000-0000-0000DE410000}"/>
    <cellStyle name="Normal 34 4 4 2 4 2 2" xfId="27105" xr:uid="{00000000-0005-0000-0000-0000DF410000}"/>
    <cellStyle name="Normal 34 4 4 2 4 3" xfId="27106" xr:uid="{00000000-0005-0000-0000-0000E0410000}"/>
    <cellStyle name="Normal 34 4 4 2 5" xfId="27109" xr:uid="{00000000-0005-0000-0000-0000E1410000}"/>
    <cellStyle name="Normal 34 4 4 2 5 2" xfId="27112" xr:uid="{00000000-0005-0000-0000-0000E2410000}"/>
    <cellStyle name="Normal 34 4 4 2 6" xfId="27116" xr:uid="{00000000-0005-0000-0000-0000E3410000}"/>
    <cellStyle name="Normal 34 4 4 2 6 2" xfId="27120" xr:uid="{00000000-0005-0000-0000-0000E4410000}"/>
    <cellStyle name="Normal 34 4 4 2 7" xfId="27125" xr:uid="{00000000-0005-0000-0000-0000E5410000}"/>
    <cellStyle name="Normal 34 4 4 2 8" xfId="27128" xr:uid="{00000000-0005-0000-0000-0000E6410000}"/>
    <cellStyle name="Normal 34 4 4 3" xfId="27130" xr:uid="{00000000-0005-0000-0000-0000E7410000}"/>
    <cellStyle name="Normal 34 4 4 3 2" xfId="25976" xr:uid="{00000000-0005-0000-0000-0000E8410000}"/>
    <cellStyle name="Normal 34 4 4 3 2 2" xfId="27131" xr:uid="{00000000-0005-0000-0000-0000E9410000}"/>
    <cellStyle name="Normal 34 4 4 3 2 2 2" xfId="27134" xr:uid="{00000000-0005-0000-0000-0000EA410000}"/>
    <cellStyle name="Normal 34 4 4 3 2 3" xfId="27135" xr:uid="{00000000-0005-0000-0000-0000EB410000}"/>
    <cellStyle name="Normal 34 4 4 3 3" xfId="27138" xr:uid="{00000000-0005-0000-0000-0000EC410000}"/>
    <cellStyle name="Normal 34 4 4 3 3 2" xfId="27139" xr:uid="{00000000-0005-0000-0000-0000ED410000}"/>
    <cellStyle name="Normal 34 4 4 3 4" xfId="19807" xr:uid="{00000000-0005-0000-0000-0000EE410000}"/>
    <cellStyle name="Normal 34 4 4 4" xfId="27141" xr:uid="{00000000-0005-0000-0000-0000EF410000}"/>
    <cellStyle name="Normal 34 4 4 4 2" xfId="25982" xr:uid="{00000000-0005-0000-0000-0000F0410000}"/>
    <cellStyle name="Normal 34 4 4 4 2 2" xfId="27142" xr:uid="{00000000-0005-0000-0000-0000F1410000}"/>
    <cellStyle name="Normal 34 4 4 4 3" xfId="27143" xr:uid="{00000000-0005-0000-0000-0000F2410000}"/>
    <cellStyle name="Normal 34 4 4 5" xfId="25940" xr:uid="{00000000-0005-0000-0000-0000F3410000}"/>
    <cellStyle name="Normal 34 4 4 5 2" xfId="25295" xr:uid="{00000000-0005-0000-0000-0000F4410000}"/>
    <cellStyle name="Normal 34 4 4 5 2 2" xfId="25297" xr:uid="{00000000-0005-0000-0000-0000F5410000}"/>
    <cellStyle name="Normal 34 4 4 5 3" xfId="25299" xr:uid="{00000000-0005-0000-0000-0000F6410000}"/>
    <cellStyle name="Normal 34 4 4 6" xfId="25942" xr:uid="{00000000-0005-0000-0000-0000F7410000}"/>
    <cellStyle name="Normal 34 4 4 6 2" xfId="27144" xr:uid="{00000000-0005-0000-0000-0000F8410000}"/>
    <cellStyle name="Normal 34 4 4 7" xfId="27145" xr:uid="{00000000-0005-0000-0000-0000F9410000}"/>
    <cellStyle name="Normal 34 4 4 7 2" xfId="27146" xr:uid="{00000000-0005-0000-0000-0000FA410000}"/>
    <cellStyle name="Normal 34 4 4 8" xfId="23396" xr:uid="{00000000-0005-0000-0000-0000FB410000}"/>
    <cellStyle name="Normal 34 4 4 9" xfId="27147" xr:uid="{00000000-0005-0000-0000-0000FC410000}"/>
    <cellStyle name="Normal 34 4 5" xfId="27149" xr:uid="{00000000-0005-0000-0000-0000FD410000}"/>
    <cellStyle name="Normal 34 4 5 2" xfId="27151" xr:uid="{00000000-0005-0000-0000-0000FE410000}"/>
    <cellStyle name="Normal 34 4 5 2 2" xfId="24553" xr:uid="{00000000-0005-0000-0000-0000FF410000}"/>
    <cellStyle name="Normal 34 4 5 2 2 2" xfId="22497" xr:uid="{00000000-0005-0000-0000-000000420000}"/>
    <cellStyle name="Normal 34 4 5 2 2 2 2" xfId="22501" xr:uid="{00000000-0005-0000-0000-000001420000}"/>
    <cellStyle name="Normal 34 4 5 2 2 2 2 2" xfId="27152" xr:uid="{00000000-0005-0000-0000-000002420000}"/>
    <cellStyle name="Normal 34 4 5 2 2 2 3" xfId="27153" xr:uid="{00000000-0005-0000-0000-000003420000}"/>
    <cellStyle name="Normal 34 4 5 2 2 3" xfId="22503" xr:uid="{00000000-0005-0000-0000-000004420000}"/>
    <cellStyle name="Normal 34 4 5 2 2 3 2" xfId="27154" xr:uid="{00000000-0005-0000-0000-000005420000}"/>
    <cellStyle name="Normal 34 4 5 2 2 4" xfId="27155" xr:uid="{00000000-0005-0000-0000-000006420000}"/>
    <cellStyle name="Normal 34 4 5 2 3" xfId="24555" xr:uid="{00000000-0005-0000-0000-000007420000}"/>
    <cellStyle name="Normal 34 4 5 2 3 2" xfId="22515" xr:uid="{00000000-0005-0000-0000-000008420000}"/>
    <cellStyle name="Normal 34 4 5 2 3 2 2" xfId="27156" xr:uid="{00000000-0005-0000-0000-000009420000}"/>
    <cellStyle name="Normal 34 4 5 2 3 3" xfId="27157" xr:uid="{00000000-0005-0000-0000-00000A420000}"/>
    <cellStyle name="Normal 34 4 5 2 4" xfId="27160" xr:uid="{00000000-0005-0000-0000-00000B420000}"/>
    <cellStyle name="Normal 34 4 5 2 4 2" xfId="22520" xr:uid="{00000000-0005-0000-0000-00000C420000}"/>
    <cellStyle name="Normal 34 4 5 2 4 2 2" xfId="27161" xr:uid="{00000000-0005-0000-0000-00000D420000}"/>
    <cellStyle name="Normal 34 4 5 2 4 3" xfId="11926" xr:uid="{00000000-0005-0000-0000-00000E420000}"/>
    <cellStyle name="Normal 34 4 5 2 5" xfId="12242" xr:uid="{00000000-0005-0000-0000-00000F420000}"/>
    <cellStyle name="Normal 34 4 5 2 5 2" xfId="27164" xr:uid="{00000000-0005-0000-0000-000010420000}"/>
    <cellStyle name="Normal 34 4 5 2 6" xfId="1600" xr:uid="{00000000-0005-0000-0000-000011420000}"/>
    <cellStyle name="Normal 34 4 5 2 6 2" xfId="27167" xr:uid="{00000000-0005-0000-0000-000012420000}"/>
    <cellStyle name="Normal 34 4 5 2 7" xfId="9725" xr:uid="{00000000-0005-0000-0000-000013420000}"/>
    <cellStyle name="Normal 34 4 5 2 8" xfId="9731" xr:uid="{00000000-0005-0000-0000-000014420000}"/>
    <cellStyle name="Normal 34 4 5 3" xfId="27169" xr:uid="{00000000-0005-0000-0000-000015420000}"/>
    <cellStyle name="Normal 34 4 5 3 2" xfId="27171" xr:uid="{00000000-0005-0000-0000-000016420000}"/>
    <cellStyle name="Normal 34 4 5 3 2 2" xfId="22532" xr:uid="{00000000-0005-0000-0000-000017420000}"/>
    <cellStyle name="Normal 34 4 5 3 2 2 2" xfId="27172" xr:uid="{00000000-0005-0000-0000-000018420000}"/>
    <cellStyle name="Normal 34 4 5 3 2 3" xfId="27173" xr:uid="{00000000-0005-0000-0000-000019420000}"/>
    <cellStyle name="Normal 34 4 5 3 3" xfId="27176" xr:uid="{00000000-0005-0000-0000-00001A420000}"/>
    <cellStyle name="Normal 34 4 5 3 3 2" xfId="27177" xr:uid="{00000000-0005-0000-0000-00001B420000}"/>
    <cellStyle name="Normal 34 4 5 3 4" xfId="27180" xr:uid="{00000000-0005-0000-0000-00001C420000}"/>
    <cellStyle name="Normal 34 4 5 4" xfId="27181" xr:uid="{00000000-0005-0000-0000-00001D420000}"/>
    <cellStyle name="Normal 34 4 5 4 2" xfId="27182" xr:uid="{00000000-0005-0000-0000-00001E420000}"/>
    <cellStyle name="Normal 34 4 5 4 2 2" xfId="27183" xr:uid="{00000000-0005-0000-0000-00001F420000}"/>
    <cellStyle name="Normal 34 4 5 4 3" xfId="27184" xr:uid="{00000000-0005-0000-0000-000020420000}"/>
    <cellStyle name="Normal 34 4 5 5" xfId="25944" xr:uid="{00000000-0005-0000-0000-000021420000}"/>
    <cellStyle name="Normal 34 4 5 5 2" xfId="6529" xr:uid="{00000000-0005-0000-0000-000022420000}"/>
    <cellStyle name="Normal 34 4 5 5 2 2" xfId="27185" xr:uid="{00000000-0005-0000-0000-000023420000}"/>
    <cellStyle name="Normal 34 4 5 5 3" xfId="6535" xr:uid="{00000000-0005-0000-0000-000024420000}"/>
    <cellStyle name="Normal 34 4 5 6" xfId="25946" xr:uid="{00000000-0005-0000-0000-000025420000}"/>
    <cellStyle name="Normal 34 4 5 6 2" xfId="27186" xr:uid="{00000000-0005-0000-0000-000026420000}"/>
    <cellStyle name="Normal 34 4 5 7" xfId="27187" xr:uid="{00000000-0005-0000-0000-000027420000}"/>
    <cellStyle name="Normal 34 4 5 7 2" xfId="3624" xr:uid="{00000000-0005-0000-0000-000028420000}"/>
    <cellStyle name="Normal 34 4 5 8" xfId="23400" xr:uid="{00000000-0005-0000-0000-000029420000}"/>
    <cellStyle name="Normal 34 4 5 9" xfId="1496" xr:uid="{00000000-0005-0000-0000-00002A420000}"/>
    <cellStyle name="Normal 34 4 6" xfId="9308" xr:uid="{00000000-0005-0000-0000-00002B420000}"/>
    <cellStyle name="Normal 34 4 6 2" xfId="27189" xr:uid="{00000000-0005-0000-0000-00002C420000}"/>
    <cellStyle name="Normal 34 4 6 2 2" xfId="24609" xr:uid="{00000000-0005-0000-0000-00002D420000}"/>
    <cellStyle name="Normal 34 4 6 2 2 2" xfId="21761" xr:uid="{00000000-0005-0000-0000-00002E420000}"/>
    <cellStyle name="Normal 34 4 6 2 2 2 2" xfId="27190" xr:uid="{00000000-0005-0000-0000-00002F420000}"/>
    <cellStyle name="Normal 34 4 6 2 2 3" xfId="27191" xr:uid="{00000000-0005-0000-0000-000030420000}"/>
    <cellStyle name="Normal 34 4 6 2 3" xfId="24611" xr:uid="{00000000-0005-0000-0000-000031420000}"/>
    <cellStyle name="Normal 34 4 6 2 3 2" xfId="27196" xr:uid="{00000000-0005-0000-0000-000032420000}"/>
    <cellStyle name="Normal 34 4 6 2 4" xfId="27199" xr:uid="{00000000-0005-0000-0000-000033420000}"/>
    <cellStyle name="Normal 34 4 6 2 5" xfId="27202" xr:uid="{00000000-0005-0000-0000-000034420000}"/>
    <cellStyle name="Normal 34 4 6 3" xfId="27204" xr:uid="{00000000-0005-0000-0000-000035420000}"/>
    <cellStyle name="Normal 34 4 6 3 2" xfId="27205" xr:uid="{00000000-0005-0000-0000-000036420000}"/>
    <cellStyle name="Normal 34 4 6 3 2 2" xfId="27206" xr:uid="{00000000-0005-0000-0000-000037420000}"/>
    <cellStyle name="Normal 34 4 6 3 3" xfId="27207" xr:uid="{00000000-0005-0000-0000-000038420000}"/>
    <cellStyle name="Normal 34 4 6 4" xfId="27208" xr:uid="{00000000-0005-0000-0000-000039420000}"/>
    <cellStyle name="Normal 34 4 6 4 2" xfId="27209" xr:uid="{00000000-0005-0000-0000-00003A420000}"/>
    <cellStyle name="Normal 34 4 6 4 2 2" xfId="27210" xr:uid="{00000000-0005-0000-0000-00003B420000}"/>
    <cellStyle name="Normal 34 4 6 4 3" xfId="27211" xr:uid="{00000000-0005-0000-0000-00003C420000}"/>
    <cellStyle name="Normal 34 4 6 5" xfId="25951" xr:uid="{00000000-0005-0000-0000-00003D420000}"/>
    <cellStyle name="Normal 34 4 6 5 2" xfId="27212" xr:uid="{00000000-0005-0000-0000-00003E420000}"/>
    <cellStyle name="Normal 34 4 6 6" xfId="27213" xr:uid="{00000000-0005-0000-0000-00003F420000}"/>
    <cellStyle name="Normal 34 4 6 6 2" xfId="27214" xr:uid="{00000000-0005-0000-0000-000040420000}"/>
    <cellStyle name="Normal 34 4 6 7" xfId="27215" xr:uid="{00000000-0005-0000-0000-000041420000}"/>
    <cellStyle name="Normal 34 4 6 8" xfId="27216" xr:uid="{00000000-0005-0000-0000-000042420000}"/>
    <cellStyle name="Normal 34 4 7" xfId="27218" xr:uid="{00000000-0005-0000-0000-000043420000}"/>
    <cellStyle name="Normal 34 4 7 2" xfId="11259" xr:uid="{00000000-0005-0000-0000-000044420000}"/>
    <cellStyle name="Normal 34 4 7 2 2" xfId="9115" xr:uid="{00000000-0005-0000-0000-000045420000}"/>
    <cellStyle name="Normal 34 4 7 2 2 2" xfId="9135" xr:uid="{00000000-0005-0000-0000-000046420000}"/>
    <cellStyle name="Normal 34 4 7 2 3" xfId="9896" xr:uid="{00000000-0005-0000-0000-000047420000}"/>
    <cellStyle name="Normal 34 4 7 3" xfId="17128" xr:uid="{00000000-0005-0000-0000-000048420000}"/>
    <cellStyle name="Normal 34 4 7 3 2" xfId="10126" xr:uid="{00000000-0005-0000-0000-000049420000}"/>
    <cellStyle name="Normal 34 4 7 4" xfId="27219" xr:uid="{00000000-0005-0000-0000-00004A420000}"/>
    <cellStyle name="Normal 34 4 7 5" xfId="25958" xr:uid="{00000000-0005-0000-0000-00004B420000}"/>
    <cellStyle name="Normal 34 4 8" xfId="27221" xr:uid="{00000000-0005-0000-0000-00004C420000}"/>
    <cellStyle name="Normal 34 4 8 2" xfId="17289" xr:uid="{00000000-0005-0000-0000-00004D420000}"/>
    <cellStyle name="Normal 34 4 8 2 2" xfId="17291" xr:uid="{00000000-0005-0000-0000-00004E420000}"/>
    <cellStyle name="Normal 34 4 8 3" xfId="17293" xr:uid="{00000000-0005-0000-0000-00004F420000}"/>
    <cellStyle name="Normal 34 4 9" xfId="27223" xr:uid="{00000000-0005-0000-0000-000050420000}"/>
    <cellStyle name="Normal 34 4 9 2" xfId="17332" xr:uid="{00000000-0005-0000-0000-000051420000}"/>
    <cellStyle name="Normal 34 4 9 2 2" xfId="27224" xr:uid="{00000000-0005-0000-0000-000052420000}"/>
    <cellStyle name="Normal 34 4 9 3" xfId="17335" xr:uid="{00000000-0005-0000-0000-000053420000}"/>
    <cellStyle name="Normal 34 5" xfId="8655" xr:uid="{00000000-0005-0000-0000-000054420000}"/>
    <cellStyle name="Normal 34 5 10" xfId="27225" xr:uid="{00000000-0005-0000-0000-000055420000}"/>
    <cellStyle name="Normal 34 5 2" xfId="8962" xr:uid="{00000000-0005-0000-0000-000056420000}"/>
    <cellStyle name="Normal 34 5 2 2" xfId="27226" xr:uid="{00000000-0005-0000-0000-000057420000}"/>
    <cellStyle name="Normal 34 5 2 2 2" xfId="27227" xr:uid="{00000000-0005-0000-0000-000058420000}"/>
    <cellStyle name="Normal 34 5 2 2 2 2" xfId="27228" xr:uid="{00000000-0005-0000-0000-000059420000}"/>
    <cellStyle name="Normal 34 5 2 2 2 2 2" xfId="16323" xr:uid="{00000000-0005-0000-0000-00005A420000}"/>
    <cellStyle name="Normal 34 5 2 2 2 2 2 2" xfId="16325" xr:uid="{00000000-0005-0000-0000-00005B420000}"/>
    <cellStyle name="Normal 34 5 2 2 2 2 3" xfId="3151" xr:uid="{00000000-0005-0000-0000-00005C420000}"/>
    <cellStyle name="Normal 34 5 2 2 2 3" xfId="27229" xr:uid="{00000000-0005-0000-0000-00005D420000}"/>
    <cellStyle name="Normal 34 5 2 2 2 3 2" xfId="27230" xr:uid="{00000000-0005-0000-0000-00005E420000}"/>
    <cellStyle name="Normal 34 5 2 2 2 4" xfId="7853" xr:uid="{00000000-0005-0000-0000-00005F420000}"/>
    <cellStyle name="Normal 34 5 2 2 2 5" xfId="7870" xr:uid="{00000000-0005-0000-0000-000060420000}"/>
    <cellStyle name="Normal 34 5 2 2 3" xfId="27233" xr:uid="{00000000-0005-0000-0000-000061420000}"/>
    <cellStyle name="Normal 34 5 2 2 3 2" xfId="27234" xr:uid="{00000000-0005-0000-0000-000062420000}"/>
    <cellStyle name="Normal 34 5 2 2 3 2 2" xfId="16380" xr:uid="{00000000-0005-0000-0000-000063420000}"/>
    <cellStyle name="Normal 34 5 2 2 3 3" xfId="27235" xr:uid="{00000000-0005-0000-0000-000064420000}"/>
    <cellStyle name="Normal 34 5 2 2 4" xfId="27236" xr:uid="{00000000-0005-0000-0000-000065420000}"/>
    <cellStyle name="Normal 34 5 2 2 4 2" xfId="8031" xr:uid="{00000000-0005-0000-0000-000066420000}"/>
    <cellStyle name="Normal 34 5 2 2 4 2 2" xfId="8044" xr:uid="{00000000-0005-0000-0000-000067420000}"/>
    <cellStyle name="Normal 34 5 2 2 4 3" xfId="3934" xr:uid="{00000000-0005-0000-0000-000068420000}"/>
    <cellStyle name="Normal 34 5 2 2 5" xfId="27239" xr:uid="{00000000-0005-0000-0000-000069420000}"/>
    <cellStyle name="Normal 34 5 2 2 5 2" xfId="8142" xr:uid="{00000000-0005-0000-0000-00006A420000}"/>
    <cellStyle name="Normal 34 5 2 2 6" xfId="25717" xr:uid="{00000000-0005-0000-0000-00006B420000}"/>
    <cellStyle name="Normal 34 5 2 2 6 2" xfId="8240" xr:uid="{00000000-0005-0000-0000-00006C420000}"/>
    <cellStyle name="Normal 34 5 2 2 7" xfId="27240" xr:uid="{00000000-0005-0000-0000-00006D420000}"/>
    <cellStyle name="Normal 34 5 2 2 8" xfId="27241" xr:uid="{00000000-0005-0000-0000-00006E420000}"/>
    <cellStyle name="Normal 34 5 2 3" xfId="27242" xr:uid="{00000000-0005-0000-0000-00006F420000}"/>
    <cellStyle name="Normal 34 5 2 3 2" xfId="27243" xr:uid="{00000000-0005-0000-0000-000070420000}"/>
    <cellStyle name="Normal 34 5 2 3 2 2" xfId="27244" xr:uid="{00000000-0005-0000-0000-000071420000}"/>
    <cellStyle name="Normal 34 5 2 3 2 2 2" xfId="16569" xr:uid="{00000000-0005-0000-0000-000072420000}"/>
    <cellStyle name="Normal 34 5 2 3 2 3" xfId="27245" xr:uid="{00000000-0005-0000-0000-000073420000}"/>
    <cellStyle name="Normal 34 5 2 3 3" xfId="27248" xr:uid="{00000000-0005-0000-0000-000074420000}"/>
    <cellStyle name="Normal 34 5 2 3 3 2" xfId="27249" xr:uid="{00000000-0005-0000-0000-000075420000}"/>
    <cellStyle name="Normal 34 5 2 3 4" xfId="23272" xr:uid="{00000000-0005-0000-0000-000076420000}"/>
    <cellStyle name="Normal 34 5 2 3 5" xfId="6260" xr:uid="{00000000-0005-0000-0000-000077420000}"/>
    <cellStyle name="Normal 34 5 2 4" xfId="27250" xr:uid="{00000000-0005-0000-0000-000078420000}"/>
    <cellStyle name="Normal 34 5 2 4 2" xfId="8404" xr:uid="{00000000-0005-0000-0000-000079420000}"/>
    <cellStyle name="Normal 34 5 2 4 2 2" xfId="8412" xr:uid="{00000000-0005-0000-0000-00007A420000}"/>
    <cellStyle name="Normal 34 5 2 4 3" xfId="8425" xr:uid="{00000000-0005-0000-0000-00007B420000}"/>
    <cellStyle name="Normal 34 5 2 5" xfId="24474" xr:uid="{00000000-0005-0000-0000-00007C420000}"/>
    <cellStyle name="Normal 34 5 2 5 2" xfId="147" xr:uid="{00000000-0005-0000-0000-00007D420000}"/>
    <cellStyle name="Normal 34 5 2 5 2 2" xfId="8477" xr:uid="{00000000-0005-0000-0000-00007E420000}"/>
    <cellStyle name="Normal 34 5 2 5 3" xfId="3034" xr:uid="{00000000-0005-0000-0000-00007F420000}"/>
    <cellStyle name="Normal 34 5 2 6" xfId="24478" xr:uid="{00000000-0005-0000-0000-000080420000}"/>
    <cellStyle name="Normal 34 5 2 6 2" xfId="26710" xr:uid="{00000000-0005-0000-0000-000081420000}"/>
    <cellStyle name="Normal 34 5 2 7" xfId="27251" xr:uid="{00000000-0005-0000-0000-000082420000}"/>
    <cellStyle name="Normal 34 5 2 7 2" xfId="27252" xr:uid="{00000000-0005-0000-0000-000083420000}"/>
    <cellStyle name="Normal 34 5 2 8" xfId="23406" xr:uid="{00000000-0005-0000-0000-000084420000}"/>
    <cellStyle name="Normal 34 5 2 9" xfId="7822" xr:uid="{00000000-0005-0000-0000-000085420000}"/>
    <cellStyle name="Normal 34 5 3" xfId="981" xr:uid="{00000000-0005-0000-0000-000086420000}"/>
    <cellStyle name="Normal 34 5 3 2" xfId="22752" xr:uid="{00000000-0005-0000-0000-000087420000}"/>
    <cellStyle name="Normal 34 5 3 2 2" xfId="24773" xr:uid="{00000000-0005-0000-0000-000088420000}"/>
    <cellStyle name="Normal 34 5 3 2 2 2" xfId="24777" xr:uid="{00000000-0005-0000-0000-000089420000}"/>
    <cellStyle name="Normal 34 5 3 2 2 2 2" xfId="17196" xr:uid="{00000000-0005-0000-0000-00008A420000}"/>
    <cellStyle name="Normal 34 5 3 2 2 3" xfId="27254" xr:uid="{00000000-0005-0000-0000-00008B420000}"/>
    <cellStyle name="Normal 34 5 3 2 2 4" xfId="687" xr:uid="{00000000-0005-0000-0000-00008C420000}"/>
    <cellStyle name="Normal 34 5 3 2 3" xfId="24780" xr:uid="{00000000-0005-0000-0000-00008D420000}"/>
    <cellStyle name="Normal 34 5 3 2 3 2" xfId="24783" xr:uid="{00000000-0005-0000-0000-00008E420000}"/>
    <cellStyle name="Normal 34 5 3 2 4" xfId="24786" xr:uid="{00000000-0005-0000-0000-00008F420000}"/>
    <cellStyle name="Normal 34 5 3 2 4 2" xfId="1198" xr:uid="{00000000-0005-0000-0000-000090420000}"/>
    <cellStyle name="Normal 34 5 3 2 5" xfId="24790" xr:uid="{00000000-0005-0000-0000-000091420000}"/>
    <cellStyle name="Normal 34 5 3 2 6" xfId="25725" xr:uid="{00000000-0005-0000-0000-000092420000}"/>
    <cellStyle name="Normal 34 5 3 3" xfId="27256" xr:uid="{00000000-0005-0000-0000-000093420000}"/>
    <cellStyle name="Normal 34 5 3 3 2" xfId="24813" xr:uid="{00000000-0005-0000-0000-000094420000}"/>
    <cellStyle name="Normal 34 5 3 3 2 2" xfId="24816" xr:uid="{00000000-0005-0000-0000-000095420000}"/>
    <cellStyle name="Normal 34 5 3 3 3" xfId="24819" xr:uid="{00000000-0005-0000-0000-000096420000}"/>
    <cellStyle name="Normal 34 5 3 3 4" xfId="23283" xr:uid="{00000000-0005-0000-0000-000097420000}"/>
    <cellStyle name="Normal 34 5 3 4" xfId="27258" xr:uid="{00000000-0005-0000-0000-000098420000}"/>
    <cellStyle name="Normal 34 5 3 4 2" xfId="9021" xr:uid="{00000000-0005-0000-0000-000099420000}"/>
    <cellStyle name="Normal 34 5 3 4 2 2" xfId="9026" xr:uid="{00000000-0005-0000-0000-00009A420000}"/>
    <cellStyle name="Normal 34 5 3 4 3" xfId="9037" xr:uid="{00000000-0005-0000-0000-00009B420000}"/>
    <cellStyle name="Normal 34 5 3 5" xfId="24484" xr:uid="{00000000-0005-0000-0000-00009C420000}"/>
    <cellStyle name="Normal 34 5 3 5 2" xfId="25966" xr:uid="{00000000-0005-0000-0000-00009D420000}"/>
    <cellStyle name="Normal 34 5 3 6" xfId="25969" xr:uid="{00000000-0005-0000-0000-00009E420000}"/>
    <cellStyle name="Normal 34 5 3 6 2" xfId="27260" xr:uid="{00000000-0005-0000-0000-00009F420000}"/>
    <cellStyle name="Normal 34 5 3 7" xfId="27262" xr:uid="{00000000-0005-0000-0000-0000A0420000}"/>
    <cellStyle name="Normal 34 5 3 8" xfId="27263" xr:uid="{00000000-0005-0000-0000-0000A1420000}"/>
    <cellStyle name="Normal 34 5 4" xfId="22755" xr:uid="{00000000-0005-0000-0000-0000A2420000}"/>
    <cellStyle name="Normal 34 5 4 2" xfId="27265" xr:uid="{00000000-0005-0000-0000-0000A3420000}"/>
    <cellStyle name="Normal 34 5 4 2 2" xfId="24840" xr:uid="{00000000-0005-0000-0000-0000A4420000}"/>
    <cellStyle name="Normal 34 5 4 2 2 2" xfId="19820" xr:uid="{00000000-0005-0000-0000-0000A5420000}"/>
    <cellStyle name="Normal 34 5 4 2 3" xfId="24843" xr:uid="{00000000-0005-0000-0000-0000A6420000}"/>
    <cellStyle name="Normal 34 5 4 2 4" xfId="27267" xr:uid="{00000000-0005-0000-0000-0000A7420000}"/>
    <cellStyle name="Normal 34 5 4 3" xfId="27269" xr:uid="{00000000-0005-0000-0000-0000A8420000}"/>
    <cellStyle name="Normal 34 5 4 3 2" xfId="27271" xr:uid="{00000000-0005-0000-0000-0000A9420000}"/>
    <cellStyle name="Normal 34 5 4 4" xfId="27273" xr:uid="{00000000-0005-0000-0000-0000AA420000}"/>
    <cellStyle name="Normal 34 5 4 4 2" xfId="1791" xr:uid="{00000000-0005-0000-0000-0000AB420000}"/>
    <cellStyle name="Normal 34 5 4 5" xfId="24494" xr:uid="{00000000-0005-0000-0000-0000AC420000}"/>
    <cellStyle name="Normal 34 5 4 6" xfId="27093" xr:uid="{00000000-0005-0000-0000-0000AD420000}"/>
    <cellStyle name="Normal 34 5 5" xfId="27275" xr:uid="{00000000-0005-0000-0000-0000AE420000}"/>
    <cellStyle name="Normal 34 5 5 2" xfId="27277" xr:uid="{00000000-0005-0000-0000-0000AF420000}"/>
    <cellStyle name="Normal 34 5 5 2 2" xfId="24859" xr:uid="{00000000-0005-0000-0000-0000B0420000}"/>
    <cellStyle name="Normal 34 5 5 2 2 2" xfId="22604" xr:uid="{00000000-0005-0000-0000-0000B1420000}"/>
    <cellStyle name="Normal 34 5 5 2 3" xfId="24862" xr:uid="{00000000-0005-0000-0000-0000B2420000}"/>
    <cellStyle name="Normal 34 5 5 2 4" xfId="27278" xr:uid="{00000000-0005-0000-0000-0000B3420000}"/>
    <cellStyle name="Normal 34 5 5 3" xfId="27280" xr:uid="{00000000-0005-0000-0000-0000B4420000}"/>
    <cellStyle name="Normal 34 5 5 3 2" xfId="27281" xr:uid="{00000000-0005-0000-0000-0000B5420000}"/>
    <cellStyle name="Normal 34 5 5 4" xfId="27282" xr:uid="{00000000-0005-0000-0000-0000B6420000}"/>
    <cellStyle name="Normal 34 5 5 4 2" xfId="11831" xr:uid="{00000000-0005-0000-0000-0000B7420000}"/>
    <cellStyle name="Normal 34 5 5 5" xfId="27097" xr:uid="{00000000-0005-0000-0000-0000B8420000}"/>
    <cellStyle name="Normal 34 5 5 6" xfId="27100" xr:uid="{00000000-0005-0000-0000-0000B9420000}"/>
    <cellStyle name="Normal 34 5 6" xfId="9316" xr:uid="{00000000-0005-0000-0000-0000BA420000}"/>
    <cellStyle name="Normal 34 5 6 2" xfId="27284" xr:uid="{00000000-0005-0000-0000-0000BB420000}"/>
    <cellStyle name="Normal 34 5 6 2 2" xfId="24887" xr:uid="{00000000-0005-0000-0000-0000BC420000}"/>
    <cellStyle name="Normal 34 5 6 3" xfId="27286" xr:uid="{00000000-0005-0000-0000-0000BD420000}"/>
    <cellStyle name="Normal 34 5 6 4" xfId="9995" xr:uid="{00000000-0005-0000-0000-0000BE420000}"/>
    <cellStyle name="Normal 34 5 7" xfId="27288" xr:uid="{00000000-0005-0000-0000-0000BF420000}"/>
    <cellStyle name="Normal 34 5 7 2" xfId="27290" xr:uid="{00000000-0005-0000-0000-0000C0420000}"/>
    <cellStyle name="Normal 34 5 8" xfId="27292" xr:uid="{00000000-0005-0000-0000-0000C1420000}"/>
    <cellStyle name="Normal 34 5 8 2" xfId="27294" xr:uid="{00000000-0005-0000-0000-0000C2420000}"/>
    <cellStyle name="Normal 34 5 9" xfId="27296" xr:uid="{00000000-0005-0000-0000-0000C3420000}"/>
    <cellStyle name="Normal 34 6" xfId="8964" xr:uid="{00000000-0005-0000-0000-0000C4420000}"/>
    <cellStyle name="Normal 34 6 2" xfId="27297" xr:uid="{00000000-0005-0000-0000-0000C5420000}"/>
    <cellStyle name="Normal 34 6 2 2" xfId="27298" xr:uid="{00000000-0005-0000-0000-0000C6420000}"/>
    <cellStyle name="Normal 34 6 2 2 2" xfId="27302" xr:uid="{00000000-0005-0000-0000-0000C7420000}"/>
    <cellStyle name="Normal 34 6 2 2 2 2" xfId="27306" xr:uid="{00000000-0005-0000-0000-0000C8420000}"/>
    <cellStyle name="Normal 34 6 2 2 2 2 2" xfId="27309" xr:uid="{00000000-0005-0000-0000-0000C9420000}"/>
    <cellStyle name="Normal 34 6 2 2 2 3" xfId="27312" xr:uid="{00000000-0005-0000-0000-0000CA420000}"/>
    <cellStyle name="Normal 34 6 2 2 3" xfId="23163" xr:uid="{00000000-0005-0000-0000-0000CB420000}"/>
    <cellStyle name="Normal 34 6 2 2 3 2" xfId="27315" xr:uid="{00000000-0005-0000-0000-0000CC420000}"/>
    <cellStyle name="Normal 34 6 2 2 4" xfId="27318" xr:uid="{00000000-0005-0000-0000-0000CD420000}"/>
    <cellStyle name="Normal 34 6 2 2 5" xfId="27321" xr:uid="{00000000-0005-0000-0000-0000CE420000}"/>
    <cellStyle name="Normal 34 6 2 3" xfId="27322" xr:uid="{00000000-0005-0000-0000-0000CF420000}"/>
    <cellStyle name="Normal 34 6 2 3 2" xfId="27328" xr:uid="{00000000-0005-0000-0000-0000D0420000}"/>
    <cellStyle name="Normal 34 6 2 3 2 2" xfId="27331" xr:uid="{00000000-0005-0000-0000-0000D1420000}"/>
    <cellStyle name="Normal 34 6 2 3 3" xfId="21980" xr:uid="{00000000-0005-0000-0000-0000D2420000}"/>
    <cellStyle name="Normal 34 6 2 4" xfId="27332" xr:uid="{00000000-0005-0000-0000-0000D3420000}"/>
    <cellStyle name="Normal 34 6 2 4 2" xfId="27337" xr:uid="{00000000-0005-0000-0000-0000D4420000}"/>
    <cellStyle name="Normal 34 6 2 4 2 2" xfId="12640" xr:uid="{00000000-0005-0000-0000-0000D5420000}"/>
    <cellStyle name="Normal 34 6 2 4 3" xfId="27340" xr:uid="{00000000-0005-0000-0000-0000D6420000}"/>
    <cellStyle name="Normal 34 6 2 5" xfId="27341" xr:uid="{00000000-0005-0000-0000-0000D7420000}"/>
    <cellStyle name="Normal 34 6 2 5 2" xfId="27344" xr:uid="{00000000-0005-0000-0000-0000D8420000}"/>
    <cellStyle name="Normal 34 6 2 6" xfId="27347" xr:uid="{00000000-0005-0000-0000-0000D9420000}"/>
    <cellStyle name="Normal 34 6 2 6 2" xfId="27352" xr:uid="{00000000-0005-0000-0000-0000DA420000}"/>
    <cellStyle name="Normal 34 6 2 7" xfId="27355" xr:uid="{00000000-0005-0000-0000-0000DB420000}"/>
    <cellStyle name="Normal 34 6 2 8" xfId="27358" xr:uid="{00000000-0005-0000-0000-0000DC420000}"/>
    <cellStyle name="Normal 34 6 3" xfId="22758" xr:uid="{00000000-0005-0000-0000-0000DD420000}"/>
    <cellStyle name="Normal 34 6 3 2" xfId="27362" xr:uid="{00000000-0005-0000-0000-0000DE420000}"/>
    <cellStyle name="Normal 34 6 3 2 2" xfId="23688" xr:uid="{00000000-0005-0000-0000-0000DF420000}"/>
    <cellStyle name="Normal 34 6 3 2 2 2" xfId="23695" xr:uid="{00000000-0005-0000-0000-0000E0420000}"/>
    <cellStyle name="Normal 34 6 3 2 3" xfId="18486" xr:uid="{00000000-0005-0000-0000-0000E1420000}"/>
    <cellStyle name="Normal 34 6 3 3" xfId="27364" xr:uid="{00000000-0005-0000-0000-0000E2420000}"/>
    <cellStyle name="Normal 34 6 3 3 2" xfId="22019" xr:uid="{00000000-0005-0000-0000-0000E3420000}"/>
    <cellStyle name="Normal 34 6 3 4" xfId="27366" xr:uid="{00000000-0005-0000-0000-0000E4420000}"/>
    <cellStyle name="Normal 34 6 3 5" xfId="22042" xr:uid="{00000000-0005-0000-0000-0000E5420000}"/>
    <cellStyle name="Normal 34 6 4" xfId="27368" xr:uid="{00000000-0005-0000-0000-0000E6420000}"/>
    <cellStyle name="Normal 34 6 4 2" xfId="21494" xr:uid="{00000000-0005-0000-0000-0000E7420000}"/>
    <cellStyle name="Normal 34 6 4 2 2" xfId="25041" xr:uid="{00000000-0005-0000-0000-0000E8420000}"/>
    <cellStyle name="Normal 34 6 4 3" xfId="27372" xr:uid="{00000000-0005-0000-0000-0000E9420000}"/>
    <cellStyle name="Normal 34 6 5" xfId="27374" xr:uid="{00000000-0005-0000-0000-0000EA420000}"/>
    <cellStyle name="Normal 34 6 5 2" xfId="19919" xr:uid="{00000000-0005-0000-0000-0000EB420000}"/>
    <cellStyle name="Normal 34 6 5 2 2" xfId="771" xr:uid="{00000000-0005-0000-0000-0000EC420000}"/>
    <cellStyle name="Normal 34 6 5 3" xfId="19066" xr:uid="{00000000-0005-0000-0000-0000ED420000}"/>
    <cellStyle name="Normal 34 6 6" xfId="27376" xr:uid="{00000000-0005-0000-0000-0000EE420000}"/>
    <cellStyle name="Normal 34 6 6 2" xfId="19958" xr:uid="{00000000-0005-0000-0000-0000EF420000}"/>
    <cellStyle name="Normal 34 6 7" xfId="27378" xr:uid="{00000000-0005-0000-0000-0000F0420000}"/>
    <cellStyle name="Normal 34 6 7 2" xfId="344" xr:uid="{00000000-0005-0000-0000-0000F1420000}"/>
    <cellStyle name="Normal 34 6 8" xfId="27380" xr:uid="{00000000-0005-0000-0000-0000F2420000}"/>
    <cellStyle name="Normal 34 6 9" xfId="23234" xr:uid="{00000000-0005-0000-0000-0000F3420000}"/>
    <cellStyle name="Normal 34 7" xfId="27381" xr:uid="{00000000-0005-0000-0000-0000F4420000}"/>
    <cellStyle name="Normal 34 7 2" xfId="6921" xr:uid="{00000000-0005-0000-0000-0000F5420000}"/>
    <cellStyle name="Normal 34 7 2 2" xfId="25531" xr:uid="{00000000-0005-0000-0000-0000F6420000}"/>
    <cellStyle name="Normal 34 7 2 2 2" xfId="25534" xr:uid="{00000000-0005-0000-0000-0000F7420000}"/>
    <cellStyle name="Normal 34 7 2 2 2 2" xfId="27382" xr:uid="{00000000-0005-0000-0000-0000F8420000}"/>
    <cellStyle name="Normal 34 7 2 2 2 2 2" xfId="27383" xr:uid="{00000000-0005-0000-0000-0000F9420000}"/>
    <cellStyle name="Normal 34 7 2 2 2 3" xfId="27386" xr:uid="{00000000-0005-0000-0000-0000FA420000}"/>
    <cellStyle name="Normal 34 7 2 2 3" xfId="27387" xr:uid="{00000000-0005-0000-0000-0000FB420000}"/>
    <cellStyle name="Normal 34 7 2 2 3 2" xfId="27388" xr:uid="{00000000-0005-0000-0000-0000FC420000}"/>
    <cellStyle name="Normal 34 7 2 2 4" xfId="27389" xr:uid="{00000000-0005-0000-0000-0000FD420000}"/>
    <cellStyle name="Normal 34 7 2 2 5" xfId="27390" xr:uid="{00000000-0005-0000-0000-0000FE420000}"/>
    <cellStyle name="Normal 34 7 2 3" xfId="22262" xr:uid="{00000000-0005-0000-0000-0000FF420000}"/>
    <cellStyle name="Normal 34 7 2 3 2" xfId="27392" xr:uid="{00000000-0005-0000-0000-000000430000}"/>
    <cellStyle name="Normal 34 7 2 3 2 2" xfId="27393" xr:uid="{00000000-0005-0000-0000-000001430000}"/>
    <cellStyle name="Normal 34 7 2 3 3" xfId="27394" xr:uid="{00000000-0005-0000-0000-000002430000}"/>
    <cellStyle name="Normal 34 7 2 4" xfId="27395" xr:uid="{00000000-0005-0000-0000-000003430000}"/>
    <cellStyle name="Normal 34 7 2 4 2" xfId="27396" xr:uid="{00000000-0005-0000-0000-000004430000}"/>
    <cellStyle name="Normal 34 7 2 4 2 2" xfId="27397" xr:uid="{00000000-0005-0000-0000-000005430000}"/>
    <cellStyle name="Normal 34 7 2 4 3" xfId="27398" xr:uid="{00000000-0005-0000-0000-000006430000}"/>
    <cellStyle name="Normal 34 7 2 5" xfId="27399" xr:uid="{00000000-0005-0000-0000-000007430000}"/>
    <cellStyle name="Normal 34 7 2 5 2" xfId="27400" xr:uid="{00000000-0005-0000-0000-000008430000}"/>
    <cellStyle name="Normal 34 7 2 6" xfId="27401" xr:uid="{00000000-0005-0000-0000-000009430000}"/>
    <cellStyle name="Normal 34 7 2 6 2" xfId="27404" xr:uid="{00000000-0005-0000-0000-00000A430000}"/>
    <cellStyle name="Normal 34 7 2 7" xfId="27407" xr:uid="{00000000-0005-0000-0000-00000B430000}"/>
    <cellStyle name="Normal 34 7 2 8" xfId="27410" xr:uid="{00000000-0005-0000-0000-00000C430000}"/>
    <cellStyle name="Normal 34 7 3" xfId="22764" xr:uid="{00000000-0005-0000-0000-00000D430000}"/>
    <cellStyle name="Normal 34 7 3 2" xfId="25537" xr:uid="{00000000-0005-0000-0000-00000E430000}"/>
    <cellStyle name="Normal 34 7 3 2 2" xfId="18298" xr:uid="{00000000-0005-0000-0000-00000F430000}"/>
    <cellStyle name="Normal 34 7 3 2 2 2" xfId="18303" xr:uid="{00000000-0005-0000-0000-000010430000}"/>
    <cellStyle name="Normal 34 7 3 2 3" xfId="18308" xr:uid="{00000000-0005-0000-0000-000011430000}"/>
    <cellStyle name="Normal 34 7 3 3" xfId="22276" xr:uid="{00000000-0005-0000-0000-000012430000}"/>
    <cellStyle name="Normal 34 7 3 3 2" xfId="27413" xr:uid="{00000000-0005-0000-0000-000013430000}"/>
    <cellStyle name="Normal 34 7 3 4" xfId="27415" xr:uid="{00000000-0005-0000-0000-000014430000}"/>
    <cellStyle name="Normal 34 7 3 5" xfId="25980" xr:uid="{00000000-0005-0000-0000-000015430000}"/>
    <cellStyle name="Normal 34 7 4" xfId="25540" xr:uid="{00000000-0005-0000-0000-000016430000}"/>
    <cellStyle name="Normal 34 7 4 2" xfId="25543" xr:uid="{00000000-0005-0000-0000-000017430000}"/>
    <cellStyle name="Normal 34 7 4 2 2" xfId="27417" xr:uid="{00000000-0005-0000-0000-000018430000}"/>
    <cellStyle name="Normal 34 7 4 3" xfId="27419" xr:uid="{00000000-0005-0000-0000-000019430000}"/>
    <cellStyle name="Normal 34 7 5" xfId="25546" xr:uid="{00000000-0005-0000-0000-00001A430000}"/>
    <cellStyle name="Normal 34 7 5 2" xfId="20036" xr:uid="{00000000-0005-0000-0000-00001B430000}"/>
    <cellStyle name="Normal 34 7 5 2 2" xfId="379" xr:uid="{00000000-0005-0000-0000-00001C430000}"/>
    <cellStyle name="Normal 34 7 5 3" xfId="27421" xr:uid="{00000000-0005-0000-0000-00001D430000}"/>
    <cellStyle name="Normal 34 7 6" xfId="25549" xr:uid="{00000000-0005-0000-0000-00001E430000}"/>
    <cellStyle name="Normal 34 7 6 2" xfId="27423" xr:uid="{00000000-0005-0000-0000-00001F430000}"/>
    <cellStyle name="Normal 34 7 7" xfId="27425" xr:uid="{00000000-0005-0000-0000-000020430000}"/>
    <cellStyle name="Normal 34 7 7 2" xfId="2172" xr:uid="{00000000-0005-0000-0000-000021430000}"/>
    <cellStyle name="Normal 34 7 8" xfId="27427" xr:uid="{00000000-0005-0000-0000-000022430000}"/>
    <cellStyle name="Normal 34 7 9" xfId="27428" xr:uid="{00000000-0005-0000-0000-000023430000}"/>
    <cellStyle name="Normal 34 8" xfId="27429" xr:uid="{00000000-0005-0000-0000-000024430000}"/>
    <cellStyle name="Normal 34 8 2" xfId="25554" xr:uid="{00000000-0005-0000-0000-000025430000}"/>
    <cellStyle name="Normal 34 8 2 2" xfId="25556" xr:uid="{00000000-0005-0000-0000-000026430000}"/>
    <cellStyle name="Normal 34 8 2 2 2" xfId="25562" xr:uid="{00000000-0005-0000-0000-000027430000}"/>
    <cellStyle name="Normal 34 8 2 2 2 2" xfId="27433" xr:uid="{00000000-0005-0000-0000-000028430000}"/>
    <cellStyle name="Normal 34 8 2 2 2 2 2" xfId="14130" xr:uid="{00000000-0005-0000-0000-000029430000}"/>
    <cellStyle name="Normal 34 8 2 2 2 3" xfId="27434" xr:uid="{00000000-0005-0000-0000-00002A430000}"/>
    <cellStyle name="Normal 34 8 2 2 3" xfId="27438" xr:uid="{00000000-0005-0000-0000-00002B430000}"/>
    <cellStyle name="Normal 34 8 2 2 3 2" xfId="13085" xr:uid="{00000000-0005-0000-0000-00002C430000}"/>
    <cellStyle name="Normal 34 8 2 2 4" xfId="27442" xr:uid="{00000000-0005-0000-0000-00002D430000}"/>
    <cellStyle name="Normal 34 8 2 3" xfId="22372" xr:uid="{00000000-0005-0000-0000-00002E430000}"/>
    <cellStyle name="Normal 34 8 2 3 2" xfId="27446" xr:uid="{00000000-0005-0000-0000-00002F430000}"/>
    <cellStyle name="Normal 34 8 2 3 2 2" xfId="19738" xr:uid="{00000000-0005-0000-0000-000030430000}"/>
    <cellStyle name="Normal 34 8 2 3 3" xfId="27447" xr:uid="{00000000-0005-0000-0000-000031430000}"/>
    <cellStyle name="Normal 34 8 2 4" xfId="27448" xr:uid="{00000000-0005-0000-0000-000032430000}"/>
    <cellStyle name="Normal 34 8 2 4 2" xfId="27449" xr:uid="{00000000-0005-0000-0000-000033430000}"/>
    <cellStyle name="Normal 34 8 2 4 2 2" xfId="27450" xr:uid="{00000000-0005-0000-0000-000034430000}"/>
    <cellStyle name="Normal 34 8 2 4 3" xfId="27451" xr:uid="{00000000-0005-0000-0000-000035430000}"/>
    <cellStyle name="Normal 34 8 2 5" xfId="25283" xr:uid="{00000000-0005-0000-0000-000036430000}"/>
    <cellStyle name="Normal 34 8 2 5 2" xfId="25285" xr:uid="{00000000-0005-0000-0000-000037430000}"/>
    <cellStyle name="Normal 34 8 2 6" xfId="25287" xr:uid="{00000000-0005-0000-0000-000038430000}"/>
    <cellStyle name="Normal 34 8 2 6 2" xfId="27452" xr:uid="{00000000-0005-0000-0000-000039430000}"/>
    <cellStyle name="Normal 34 8 2 7" xfId="27455" xr:uid="{00000000-0005-0000-0000-00003A430000}"/>
    <cellStyle name="Normal 34 8 2 8" xfId="27458" xr:uid="{00000000-0005-0000-0000-00003B430000}"/>
    <cellStyle name="Normal 34 8 3" xfId="25565" xr:uid="{00000000-0005-0000-0000-00003C430000}"/>
    <cellStyle name="Normal 34 8 3 2" xfId="25568" xr:uid="{00000000-0005-0000-0000-00003D430000}"/>
    <cellStyle name="Normal 34 8 3 2 2" xfId="27463" xr:uid="{00000000-0005-0000-0000-00003E430000}"/>
    <cellStyle name="Normal 34 8 3 2 2 2" xfId="27466" xr:uid="{00000000-0005-0000-0000-00003F430000}"/>
    <cellStyle name="Normal 34 8 3 2 3" xfId="27469" xr:uid="{00000000-0005-0000-0000-000040430000}"/>
    <cellStyle name="Normal 34 8 3 3" xfId="27471" xr:uid="{00000000-0005-0000-0000-000041430000}"/>
    <cellStyle name="Normal 34 8 3 3 2" xfId="27473" xr:uid="{00000000-0005-0000-0000-000042430000}"/>
    <cellStyle name="Normal 34 8 3 4" xfId="27474" xr:uid="{00000000-0005-0000-0000-000043430000}"/>
    <cellStyle name="Normal 34 8 4" xfId="25571" xr:uid="{00000000-0005-0000-0000-000044430000}"/>
    <cellStyle name="Normal 34 8 4 2" xfId="25574" xr:uid="{00000000-0005-0000-0000-000045430000}"/>
    <cellStyle name="Normal 34 8 4 2 2" xfId="27478" xr:uid="{00000000-0005-0000-0000-000046430000}"/>
    <cellStyle name="Normal 34 8 4 3" xfId="27479" xr:uid="{00000000-0005-0000-0000-000047430000}"/>
    <cellStyle name="Normal 34 8 5" xfId="25577" xr:uid="{00000000-0005-0000-0000-000048430000}"/>
    <cellStyle name="Normal 34 8 5 2" xfId="27480" xr:uid="{00000000-0005-0000-0000-000049430000}"/>
    <cellStyle name="Normal 34 8 5 2 2" xfId="2440" xr:uid="{00000000-0005-0000-0000-00004A430000}"/>
    <cellStyle name="Normal 34 8 5 3" xfId="27481" xr:uid="{00000000-0005-0000-0000-00004B430000}"/>
    <cellStyle name="Normal 34 8 6" xfId="27482" xr:uid="{00000000-0005-0000-0000-00004C430000}"/>
    <cellStyle name="Normal 34 8 6 2" xfId="27483" xr:uid="{00000000-0005-0000-0000-00004D430000}"/>
    <cellStyle name="Normal 34 8 7" xfId="27484" xr:uid="{00000000-0005-0000-0000-00004E430000}"/>
    <cellStyle name="Normal 34 8 7 2" xfId="27485" xr:uid="{00000000-0005-0000-0000-00004F430000}"/>
    <cellStyle name="Normal 34 8 8" xfId="27486" xr:uid="{00000000-0005-0000-0000-000050430000}"/>
    <cellStyle name="Normal 34 8 9" xfId="25705" xr:uid="{00000000-0005-0000-0000-000051430000}"/>
    <cellStyle name="Normal 34 9" xfId="27487" xr:uid="{00000000-0005-0000-0000-000052430000}"/>
    <cellStyle name="Normal 34 9 2" xfId="25579" xr:uid="{00000000-0005-0000-0000-000053430000}"/>
    <cellStyle name="Normal 34 9 2 2" xfId="27488" xr:uid="{00000000-0005-0000-0000-000054430000}"/>
    <cellStyle name="Normal 34 9 2 2 2" xfId="27491" xr:uid="{00000000-0005-0000-0000-000055430000}"/>
    <cellStyle name="Normal 34 9 2 2 2 2" xfId="27494" xr:uid="{00000000-0005-0000-0000-000056430000}"/>
    <cellStyle name="Normal 34 9 2 2 3" xfId="27497" xr:uid="{00000000-0005-0000-0000-000057430000}"/>
    <cellStyle name="Normal 34 9 2 3" xfId="27498" xr:uid="{00000000-0005-0000-0000-000058430000}"/>
    <cellStyle name="Normal 34 9 2 3 2" xfId="27501" xr:uid="{00000000-0005-0000-0000-000059430000}"/>
    <cellStyle name="Normal 34 9 2 4" xfId="27503" xr:uid="{00000000-0005-0000-0000-00005A430000}"/>
    <cellStyle name="Normal 34 9 2 5" xfId="27504" xr:uid="{00000000-0005-0000-0000-00005B430000}"/>
    <cellStyle name="Normal 34 9 3" xfId="4856" xr:uid="{00000000-0005-0000-0000-00005C430000}"/>
    <cellStyle name="Normal 34 9 3 2" xfId="27506" xr:uid="{00000000-0005-0000-0000-00005D430000}"/>
    <cellStyle name="Normal 34 9 3 2 2" xfId="27512" xr:uid="{00000000-0005-0000-0000-00005E430000}"/>
    <cellStyle name="Normal 34 9 3 3" xfId="27513" xr:uid="{00000000-0005-0000-0000-00005F430000}"/>
    <cellStyle name="Normal 34 9 4" xfId="27515" xr:uid="{00000000-0005-0000-0000-000060430000}"/>
    <cellStyle name="Normal 34 9 4 2" xfId="27516" xr:uid="{00000000-0005-0000-0000-000061430000}"/>
    <cellStyle name="Normal 34 9 4 2 2" xfId="27522" xr:uid="{00000000-0005-0000-0000-000062430000}"/>
    <cellStyle name="Normal 34 9 4 3" xfId="27523" xr:uid="{00000000-0005-0000-0000-000063430000}"/>
    <cellStyle name="Normal 34 9 5" xfId="27524" xr:uid="{00000000-0005-0000-0000-000064430000}"/>
    <cellStyle name="Normal 34 9 5 2" xfId="5730" xr:uid="{00000000-0005-0000-0000-000065430000}"/>
    <cellStyle name="Normal 34 9 6" xfId="27525" xr:uid="{00000000-0005-0000-0000-000066430000}"/>
    <cellStyle name="Normal 34 9 6 2" xfId="2524" xr:uid="{00000000-0005-0000-0000-000067430000}"/>
    <cellStyle name="Normal 34 9 7" xfId="19538" xr:uid="{00000000-0005-0000-0000-000068430000}"/>
    <cellStyle name="Normal 34 9 8" xfId="27526" xr:uid="{00000000-0005-0000-0000-000069430000}"/>
    <cellStyle name="Normal 35" xfId="27527" xr:uid="{00000000-0005-0000-0000-00006A430000}"/>
    <cellStyle name="Normal 35 10" xfId="27532" xr:uid="{00000000-0005-0000-0000-00006B430000}"/>
    <cellStyle name="Normal 35 10 2" xfId="27535" xr:uid="{00000000-0005-0000-0000-00006C430000}"/>
    <cellStyle name="Normal 35 10 2 2" xfId="27537" xr:uid="{00000000-0005-0000-0000-00006D430000}"/>
    <cellStyle name="Normal 35 10 2 2 2" xfId="27539" xr:uid="{00000000-0005-0000-0000-00006E430000}"/>
    <cellStyle name="Normal 35 10 2 3" xfId="27543" xr:uid="{00000000-0005-0000-0000-00006F430000}"/>
    <cellStyle name="Normal 35 10 2 4" xfId="27545" xr:uid="{00000000-0005-0000-0000-000070430000}"/>
    <cellStyle name="Normal 35 10 3" xfId="27547" xr:uid="{00000000-0005-0000-0000-000071430000}"/>
    <cellStyle name="Normal 35 10 3 2" xfId="27549" xr:uid="{00000000-0005-0000-0000-000072430000}"/>
    <cellStyle name="Normal 35 10 4" xfId="27551" xr:uid="{00000000-0005-0000-0000-000073430000}"/>
    <cellStyle name="Normal 35 10 4 2" xfId="27553" xr:uid="{00000000-0005-0000-0000-000074430000}"/>
    <cellStyle name="Normal 35 10 5" xfId="27556" xr:uid="{00000000-0005-0000-0000-000075430000}"/>
    <cellStyle name="Normal 35 10 6" xfId="27558" xr:uid="{00000000-0005-0000-0000-000076430000}"/>
    <cellStyle name="Normal 35 11" xfId="27561" xr:uid="{00000000-0005-0000-0000-000077430000}"/>
    <cellStyle name="Normal 35 11 2" xfId="27563" xr:uid="{00000000-0005-0000-0000-000078430000}"/>
    <cellStyle name="Normal 35 11 2 2" xfId="27565" xr:uid="{00000000-0005-0000-0000-000079430000}"/>
    <cellStyle name="Normal 35 11 3" xfId="27567" xr:uid="{00000000-0005-0000-0000-00007A430000}"/>
    <cellStyle name="Normal 35 11 4" xfId="27569" xr:uid="{00000000-0005-0000-0000-00007B430000}"/>
    <cellStyle name="Normal 35 12" xfId="27571" xr:uid="{00000000-0005-0000-0000-00007C430000}"/>
    <cellStyle name="Normal 35 12 2" xfId="27575" xr:uid="{00000000-0005-0000-0000-00007D430000}"/>
    <cellStyle name="Normal 35 12 2 2" xfId="27577" xr:uid="{00000000-0005-0000-0000-00007E430000}"/>
    <cellStyle name="Normal 35 12 3" xfId="27581" xr:uid="{00000000-0005-0000-0000-00007F430000}"/>
    <cellStyle name="Normal 35 13" xfId="27583" xr:uid="{00000000-0005-0000-0000-000080430000}"/>
    <cellStyle name="Normal 35 13 2" xfId="27587" xr:uid="{00000000-0005-0000-0000-000081430000}"/>
    <cellStyle name="Normal 35 14" xfId="27589" xr:uid="{00000000-0005-0000-0000-000082430000}"/>
    <cellStyle name="Normal 35 14 2" xfId="27594" xr:uid="{00000000-0005-0000-0000-000083430000}"/>
    <cellStyle name="Normal 35 15" xfId="17360" xr:uid="{00000000-0005-0000-0000-000084430000}"/>
    <cellStyle name="Normal 35 15 2" xfId="6918" xr:uid="{00000000-0005-0000-0000-000085430000}"/>
    <cellStyle name="Normal 35 16" xfId="17363" xr:uid="{00000000-0005-0000-0000-000086430000}"/>
    <cellStyle name="Normal 35 17" xfId="27596" xr:uid="{00000000-0005-0000-0000-000087430000}"/>
    <cellStyle name="Normal 35 2" xfId="27598" xr:uid="{00000000-0005-0000-0000-000088430000}"/>
    <cellStyle name="Normal 35 2 10" xfId="27600" xr:uid="{00000000-0005-0000-0000-000089430000}"/>
    <cellStyle name="Normal 35 2 10 2" xfId="8255" xr:uid="{00000000-0005-0000-0000-00008A430000}"/>
    <cellStyle name="Normal 35 2 11" xfId="27605" xr:uid="{00000000-0005-0000-0000-00008B430000}"/>
    <cellStyle name="Normal 35 2 11 2" xfId="27610" xr:uid="{00000000-0005-0000-0000-00008C430000}"/>
    <cellStyle name="Normal 35 2 12" xfId="27613" xr:uid="{00000000-0005-0000-0000-00008D430000}"/>
    <cellStyle name="Normal 35 2 12 2" xfId="27616" xr:uid="{00000000-0005-0000-0000-00008E430000}"/>
    <cellStyle name="Normal 35 2 13" xfId="27618" xr:uid="{00000000-0005-0000-0000-00008F430000}"/>
    <cellStyle name="Normal 35 2 14" xfId="27621" xr:uid="{00000000-0005-0000-0000-000090430000}"/>
    <cellStyle name="Normal 35 2 2" xfId="27623" xr:uid="{00000000-0005-0000-0000-000091430000}"/>
    <cellStyle name="Normal 35 2 2 10" xfId="20038" xr:uid="{00000000-0005-0000-0000-000092430000}"/>
    <cellStyle name="Normal 35 2 2 2" xfId="19681" xr:uid="{00000000-0005-0000-0000-000093430000}"/>
    <cellStyle name="Normal 35 2 2 2 2" xfId="21261" xr:uid="{00000000-0005-0000-0000-000094430000}"/>
    <cellStyle name="Normal 35 2 2 2 2 2" xfId="16456" xr:uid="{00000000-0005-0000-0000-000095430000}"/>
    <cellStyle name="Normal 35 2 2 2 2 2 2" xfId="21264" xr:uid="{00000000-0005-0000-0000-000096430000}"/>
    <cellStyle name="Normal 35 2 2 2 2 2 2 2" xfId="17806" xr:uid="{00000000-0005-0000-0000-000097430000}"/>
    <cellStyle name="Normal 35 2 2 2 2 2 2 2 2" xfId="16633" xr:uid="{00000000-0005-0000-0000-000098430000}"/>
    <cellStyle name="Normal 35 2 2 2 2 2 2 3" xfId="27625" xr:uid="{00000000-0005-0000-0000-000099430000}"/>
    <cellStyle name="Normal 35 2 2 2 2 2 3" xfId="11099" xr:uid="{00000000-0005-0000-0000-00009A430000}"/>
    <cellStyle name="Normal 35 2 2 2 2 2 3 2" xfId="27627" xr:uid="{00000000-0005-0000-0000-00009B430000}"/>
    <cellStyle name="Normal 35 2 2 2 2 2 4" xfId="27629" xr:uid="{00000000-0005-0000-0000-00009C430000}"/>
    <cellStyle name="Normal 35 2 2 2 2 3" xfId="21267" xr:uid="{00000000-0005-0000-0000-00009D430000}"/>
    <cellStyle name="Normal 35 2 2 2 2 3 2" xfId="27631" xr:uid="{00000000-0005-0000-0000-00009E430000}"/>
    <cellStyle name="Normal 35 2 2 2 2 3 2 2" xfId="27635" xr:uid="{00000000-0005-0000-0000-00009F430000}"/>
    <cellStyle name="Normal 35 2 2 2 2 3 3" xfId="27637" xr:uid="{00000000-0005-0000-0000-0000A0430000}"/>
    <cellStyle name="Normal 35 2 2 2 2 4" xfId="27640" xr:uid="{00000000-0005-0000-0000-0000A1430000}"/>
    <cellStyle name="Normal 35 2 2 2 2 4 2" xfId="27644" xr:uid="{00000000-0005-0000-0000-0000A2430000}"/>
    <cellStyle name="Normal 35 2 2 2 2 4 2 2" xfId="18642" xr:uid="{00000000-0005-0000-0000-0000A3430000}"/>
    <cellStyle name="Normal 35 2 2 2 2 4 3" xfId="27648" xr:uid="{00000000-0005-0000-0000-0000A4430000}"/>
    <cellStyle name="Normal 35 2 2 2 2 5" xfId="27650" xr:uid="{00000000-0005-0000-0000-0000A5430000}"/>
    <cellStyle name="Normal 35 2 2 2 2 5 2" xfId="27654" xr:uid="{00000000-0005-0000-0000-0000A6430000}"/>
    <cellStyle name="Normal 35 2 2 2 2 6" xfId="25491" xr:uid="{00000000-0005-0000-0000-0000A7430000}"/>
    <cellStyle name="Normal 35 2 2 2 2 6 2" xfId="23136" xr:uid="{00000000-0005-0000-0000-0000A8430000}"/>
    <cellStyle name="Normal 35 2 2 2 2 7" xfId="24999" xr:uid="{00000000-0005-0000-0000-0000A9430000}"/>
    <cellStyle name="Normal 35 2 2 2 2 8" xfId="27660" xr:uid="{00000000-0005-0000-0000-0000AA430000}"/>
    <cellStyle name="Normal 35 2 2 2 3" xfId="12684" xr:uid="{00000000-0005-0000-0000-0000AB430000}"/>
    <cellStyle name="Normal 35 2 2 2 3 2" xfId="12958" xr:uid="{00000000-0005-0000-0000-0000AC430000}"/>
    <cellStyle name="Normal 35 2 2 2 3 2 2" xfId="21270" xr:uid="{00000000-0005-0000-0000-0000AD430000}"/>
    <cellStyle name="Normal 35 2 2 2 3 2 2 2" xfId="17946" xr:uid="{00000000-0005-0000-0000-0000AE430000}"/>
    <cellStyle name="Normal 35 2 2 2 3 2 3" xfId="27664" xr:uid="{00000000-0005-0000-0000-0000AF430000}"/>
    <cellStyle name="Normal 35 2 2 2 3 3" xfId="12964" xr:uid="{00000000-0005-0000-0000-0000B0430000}"/>
    <cellStyle name="Normal 35 2 2 2 3 3 2" xfId="27666" xr:uid="{00000000-0005-0000-0000-0000B1430000}"/>
    <cellStyle name="Normal 35 2 2 2 3 4" xfId="12967" xr:uid="{00000000-0005-0000-0000-0000B2430000}"/>
    <cellStyle name="Normal 35 2 2 2 4" xfId="3205" xr:uid="{00000000-0005-0000-0000-0000B3430000}"/>
    <cellStyle name="Normal 35 2 2 2 4 2" xfId="12999" xr:uid="{00000000-0005-0000-0000-0000B4430000}"/>
    <cellStyle name="Normal 35 2 2 2 4 2 2" xfId="27670" xr:uid="{00000000-0005-0000-0000-0000B5430000}"/>
    <cellStyle name="Normal 35 2 2 2 4 3" xfId="13004" xr:uid="{00000000-0005-0000-0000-0000B6430000}"/>
    <cellStyle name="Normal 35 2 2 2 5" xfId="13015" xr:uid="{00000000-0005-0000-0000-0000B7430000}"/>
    <cellStyle name="Normal 35 2 2 2 5 2" xfId="21273" xr:uid="{00000000-0005-0000-0000-0000B8430000}"/>
    <cellStyle name="Normal 35 2 2 2 5 2 2" xfId="27674" xr:uid="{00000000-0005-0000-0000-0000B9430000}"/>
    <cellStyle name="Normal 35 2 2 2 5 3" xfId="27676" xr:uid="{00000000-0005-0000-0000-0000BA430000}"/>
    <cellStyle name="Normal 35 2 2 2 6" xfId="13022" xr:uid="{00000000-0005-0000-0000-0000BB430000}"/>
    <cellStyle name="Normal 35 2 2 2 6 2" xfId="27678" xr:uid="{00000000-0005-0000-0000-0000BC430000}"/>
    <cellStyle name="Normal 35 2 2 2 7" xfId="13035" xr:uid="{00000000-0005-0000-0000-0000BD430000}"/>
    <cellStyle name="Normal 35 2 2 2 7 2" xfId="12237" xr:uid="{00000000-0005-0000-0000-0000BE430000}"/>
    <cellStyle name="Normal 35 2 2 2 8" xfId="6094" xr:uid="{00000000-0005-0000-0000-0000BF430000}"/>
    <cellStyle name="Normal 35 2 2 2 9" xfId="6120" xr:uid="{00000000-0005-0000-0000-0000C0430000}"/>
    <cellStyle name="Normal 35 2 2 3" xfId="15658" xr:uid="{00000000-0005-0000-0000-0000C1430000}"/>
    <cellStyle name="Normal 35 2 2 3 2" xfId="15666" xr:uid="{00000000-0005-0000-0000-0000C2430000}"/>
    <cellStyle name="Normal 35 2 2 3 2 2" xfId="15670" xr:uid="{00000000-0005-0000-0000-0000C3430000}"/>
    <cellStyle name="Normal 35 2 2 3 2 2 2" xfId="27680" xr:uid="{00000000-0005-0000-0000-0000C4430000}"/>
    <cellStyle name="Normal 35 2 2 3 2 2 2 2" xfId="25110" xr:uid="{00000000-0005-0000-0000-0000C5430000}"/>
    <cellStyle name="Normal 35 2 2 3 2 2 3" xfId="27682" xr:uid="{00000000-0005-0000-0000-0000C6430000}"/>
    <cellStyle name="Normal 35 2 2 3 2 3" xfId="27685" xr:uid="{00000000-0005-0000-0000-0000C7430000}"/>
    <cellStyle name="Normal 35 2 2 3 2 3 2" xfId="27687" xr:uid="{00000000-0005-0000-0000-0000C8430000}"/>
    <cellStyle name="Normal 35 2 2 3 2 4" xfId="27689" xr:uid="{00000000-0005-0000-0000-0000C9430000}"/>
    <cellStyle name="Normal 35 2 2 3 3" xfId="12915" xr:uid="{00000000-0005-0000-0000-0000CA430000}"/>
    <cellStyle name="Normal 35 2 2 3 3 2" xfId="27691" xr:uid="{00000000-0005-0000-0000-0000CB430000}"/>
    <cellStyle name="Normal 35 2 2 3 3 2 2" xfId="27693" xr:uid="{00000000-0005-0000-0000-0000CC430000}"/>
    <cellStyle name="Normal 35 2 2 3 3 3" xfId="27695" xr:uid="{00000000-0005-0000-0000-0000CD430000}"/>
    <cellStyle name="Normal 35 2 2 3 4" xfId="27697" xr:uid="{00000000-0005-0000-0000-0000CE430000}"/>
    <cellStyle name="Normal 35 2 2 3 4 2" xfId="27701" xr:uid="{00000000-0005-0000-0000-0000CF430000}"/>
    <cellStyle name="Normal 35 2 2 3 4 2 2" xfId="27705" xr:uid="{00000000-0005-0000-0000-0000D0430000}"/>
    <cellStyle name="Normal 35 2 2 3 4 3" xfId="27707" xr:uid="{00000000-0005-0000-0000-0000D1430000}"/>
    <cellStyle name="Normal 35 2 2 3 5" xfId="27709" xr:uid="{00000000-0005-0000-0000-0000D2430000}"/>
    <cellStyle name="Normal 35 2 2 3 5 2" xfId="19567" xr:uid="{00000000-0005-0000-0000-0000D3430000}"/>
    <cellStyle name="Normal 35 2 2 3 6" xfId="13091" xr:uid="{00000000-0005-0000-0000-0000D4430000}"/>
    <cellStyle name="Normal 35 2 2 3 6 2" xfId="27711" xr:uid="{00000000-0005-0000-0000-0000D5430000}"/>
    <cellStyle name="Normal 35 2 2 3 7" xfId="11772" xr:uid="{00000000-0005-0000-0000-0000D6430000}"/>
    <cellStyle name="Normal 35 2 2 3 8" xfId="6167" xr:uid="{00000000-0005-0000-0000-0000D7430000}"/>
    <cellStyle name="Normal 35 2 2 4" xfId="15673" xr:uid="{00000000-0005-0000-0000-0000D8430000}"/>
    <cellStyle name="Normal 35 2 2 4 2" xfId="15677" xr:uid="{00000000-0005-0000-0000-0000D9430000}"/>
    <cellStyle name="Normal 35 2 2 4 2 2" xfId="17035" xr:uid="{00000000-0005-0000-0000-0000DA430000}"/>
    <cellStyle name="Normal 35 2 2 4 2 2 2" xfId="17038" xr:uid="{00000000-0005-0000-0000-0000DB430000}"/>
    <cellStyle name="Normal 35 2 2 4 2 3" xfId="17041" xr:uid="{00000000-0005-0000-0000-0000DC430000}"/>
    <cellStyle name="Normal 35 2 2 4 3" xfId="27713" xr:uid="{00000000-0005-0000-0000-0000DD430000}"/>
    <cellStyle name="Normal 35 2 2 4 3 2" xfId="1544" xr:uid="{00000000-0005-0000-0000-0000DE430000}"/>
    <cellStyle name="Normal 35 2 2 4 4" xfId="27716" xr:uid="{00000000-0005-0000-0000-0000DF430000}"/>
    <cellStyle name="Normal 35 2 2 5" xfId="15680" xr:uid="{00000000-0005-0000-0000-0000E0430000}"/>
    <cellStyle name="Normal 35 2 2 5 2" xfId="21285" xr:uid="{00000000-0005-0000-0000-0000E1430000}"/>
    <cellStyle name="Normal 35 2 2 5 2 2" xfId="17237" xr:uid="{00000000-0005-0000-0000-0000E2430000}"/>
    <cellStyle name="Normal 35 2 2 5 3" xfId="27720" xr:uid="{00000000-0005-0000-0000-0000E3430000}"/>
    <cellStyle name="Normal 35 2 2 6" xfId="15683" xr:uid="{00000000-0005-0000-0000-0000E4430000}"/>
    <cellStyle name="Normal 35 2 2 6 2" xfId="26817" xr:uid="{00000000-0005-0000-0000-0000E5430000}"/>
    <cellStyle name="Normal 35 2 2 6 2 2" xfId="17324" xr:uid="{00000000-0005-0000-0000-0000E6430000}"/>
    <cellStyle name="Normal 35 2 2 6 3" xfId="1806" xr:uid="{00000000-0005-0000-0000-0000E7430000}"/>
    <cellStyle name="Normal 35 2 2 7" xfId="27723" xr:uid="{00000000-0005-0000-0000-0000E8430000}"/>
    <cellStyle name="Normal 35 2 2 7 2" xfId="26820" xr:uid="{00000000-0005-0000-0000-0000E9430000}"/>
    <cellStyle name="Normal 35 2 2 8" xfId="27725" xr:uid="{00000000-0005-0000-0000-0000EA430000}"/>
    <cellStyle name="Normal 35 2 2 8 2" xfId="26824" xr:uid="{00000000-0005-0000-0000-0000EB430000}"/>
    <cellStyle name="Normal 35 2 2 9" xfId="27727" xr:uid="{00000000-0005-0000-0000-0000EC430000}"/>
    <cellStyle name="Normal 35 2 3" xfId="473" xr:uid="{00000000-0005-0000-0000-0000ED430000}"/>
    <cellStyle name="Normal 35 2 3 2" xfId="8557" xr:uid="{00000000-0005-0000-0000-0000EE430000}"/>
    <cellStyle name="Normal 35 2 3 2 2" xfId="8564" xr:uid="{00000000-0005-0000-0000-0000EF430000}"/>
    <cellStyle name="Normal 35 2 3 2 2 2" xfId="7963" xr:uid="{00000000-0005-0000-0000-0000F0430000}"/>
    <cellStyle name="Normal 35 2 3 2 2 2 2" xfId="3777" xr:uid="{00000000-0005-0000-0000-0000F1430000}"/>
    <cellStyle name="Normal 35 2 3 2 2 2 2 2" xfId="27729" xr:uid="{00000000-0005-0000-0000-0000F2430000}"/>
    <cellStyle name="Normal 35 2 3 2 2 2 3" xfId="8572" xr:uid="{00000000-0005-0000-0000-0000F3430000}"/>
    <cellStyle name="Normal 35 2 3 2 2 3" xfId="27731" xr:uid="{00000000-0005-0000-0000-0000F4430000}"/>
    <cellStyle name="Normal 35 2 3 2 2 3 2" xfId="8577" xr:uid="{00000000-0005-0000-0000-0000F5430000}"/>
    <cellStyle name="Normal 35 2 3 2 2 4" xfId="27733" xr:uid="{00000000-0005-0000-0000-0000F6430000}"/>
    <cellStyle name="Normal 35 2 3 2 2 5" xfId="26521" xr:uid="{00000000-0005-0000-0000-0000F7430000}"/>
    <cellStyle name="Normal 35 2 3 2 3" xfId="3684" xr:uid="{00000000-0005-0000-0000-0000F8430000}"/>
    <cellStyle name="Normal 35 2 3 2 3 2" xfId="27737" xr:uid="{00000000-0005-0000-0000-0000F9430000}"/>
    <cellStyle name="Normal 35 2 3 2 3 2 2" xfId="8586" xr:uid="{00000000-0005-0000-0000-0000FA430000}"/>
    <cellStyle name="Normal 35 2 3 2 3 3" xfId="27742" xr:uid="{00000000-0005-0000-0000-0000FB430000}"/>
    <cellStyle name="Normal 35 2 3 2 4" xfId="3702" xr:uid="{00000000-0005-0000-0000-0000FC430000}"/>
    <cellStyle name="Normal 35 2 3 2 4 2" xfId="27744" xr:uid="{00000000-0005-0000-0000-0000FD430000}"/>
    <cellStyle name="Normal 35 2 3 2 4 2 2" xfId="248" xr:uid="{00000000-0005-0000-0000-0000FE430000}"/>
    <cellStyle name="Normal 35 2 3 2 4 3" xfId="27746" xr:uid="{00000000-0005-0000-0000-0000FF430000}"/>
    <cellStyle name="Normal 35 2 3 2 5" xfId="27748" xr:uid="{00000000-0005-0000-0000-000000440000}"/>
    <cellStyle name="Normal 35 2 3 2 5 2" xfId="27750" xr:uid="{00000000-0005-0000-0000-000001440000}"/>
    <cellStyle name="Normal 35 2 3 2 6" xfId="27752" xr:uid="{00000000-0005-0000-0000-000002440000}"/>
    <cellStyle name="Normal 35 2 3 2 6 2" xfId="27754" xr:uid="{00000000-0005-0000-0000-000003440000}"/>
    <cellStyle name="Normal 35 2 3 2 7" xfId="27756" xr:uid="{00000000-0005-0000-0000-000004440000}"/>
    <cellStyle name="Normal 35 2 3 2 8" xfId="6279" xr:uid="{00000000-0005-0000-0000-000005440000}"/>
    <cellStyle name="Normal 35 2 3 3" xfId="4829" xr:uid="{00000000-0005-0000-0000-000006440000}"/>
    <cellStyle name="Normal 35 2 3 3 2" xfId="4841" xr:uid="{00000000-0005-0000-0000-000007440000}"/>
    <cellStyle name="Normal 35 2 3 3 2 2" xfId="27758" xr:uid="{00000000-0005-0000-0000-000008440000}"/>
    <cellStyle name="Normal 35 2 3 3 2 2 2" xfId="27760" xr:uid="{00000000-0005-0000-0000-000009440000}"/>
    <cellStyle name="Normal 35 2 3 3 2 3" xfId="27762" xr:uid="{00000000-0005-0000-0000-00000A440000}"/>
    <cellStyle name="Normal 35 2 3 3 3" xfId="27764" xr:uid="{00000000-0005-0000-0000-00000B440000}"/>
    <cellStyle name="Normal 35 2 3 3 3 2" xfId="27768" xr:uid="{00000000-0005-0000-0000-00000C440000}"/>
    <cellStyle name="Normal 35 2 3 3 4" xfId="27770" xr:uid="{00000000-0005-0000-0000-00000D440000}"/>
    <cellStyle name="Normal 35 2 3 3 5" xfId="27773" xr:uid="{00000000-0005-0000-0000-00000E440000}"/>
    <cellStyle name="Normal 35 2 3 4" xfId="4845" xr:uid="{00000000-0005-0000-0000-00000F440000}"/>
    <cellStyle name="Normal 35 2 3 4 2" xfId="8607" xr:uid="{00000000-0005-0000-0000-000010440000}"/>
    <cellStyle name="Normal 35 2 3 4 2 2" xfId="27775" xr:uid="{00000000-0005-0000-0000-000011440000}"/>
    <cellStyle name="Normal 35 2 3 4 3" xfId="27777" xr:uid="{00000000-0005-0000-0000-000012440000}"/>
    <cellStyle name="Normal 35 2 3 5" xfId="8611" xr:uid="{00000000-0005-0000-0000-000013440000}"/>
    <cellStyle name="Normal 35 2 3 5 2" xfId="27780" xr:uid="{00000000-0005-0000-0000-000014440000}"/>
    <cellStyle name="Normal 35 2 3 5 2 2" xfId="27782" xr:uid="{00000000-0005-0000-0000-000015440000}"/>
    <cellStyle name="Normal 35 2 3 5 3" xfId="27784" xr:uid="{00000000-0005-0000-0000-000016440000}"/>
    <cellStyle name="Normal 35 2 3 6" xfId="8617" xr:uid="{00000000-0005-0000-0000-000017440000}"/>
    <cellStyle name="Normal 35 2 3 6 2" xfId="26833" xr:uid="{00000000-0005-0000-0000-000018440000}"/>
    <cellStyle name="Normal 35 2 3 7" xfId="27787" xr:uid="{00000000-0005-0000-0000-000019440000}"/>
    <cellStyle name="Normal 35 2 3 7 2" xfId="27789" xr:uid="{00000000-0005-0000-0000-00001A440000}"/>
    <cellStyle name="Normal 35 2 3 8" xfId="27791" xr:uid="{00000000-0005-0000-0000-00001B440000}"/>
    <cellStyle name="Normal 35 2 3 9" xfId="27793" xr:uid="{00000000-0005-0000-0000-00001C440000}"/>
    <cellStyle name="Normal 35 2 4" xfId="597" xr:uid="{00000000-0005-0000-0000-00001D440000}"/>
    <cellStyle name="Normal 35 2 4 2" xfId="843" xr:uid="{00000000-0005-0000-0000-00001E440000}"/>
    <cellStyle name="Normal 35 2 4 2 2" xfId="104" xr:uid="{00000000-0005-0000-0000-00001F440000}"/>
    <cellStyle name="Normal 35 2 4 2 2 2" xfId="27795" xr:uid="{00000000-0005-0000-0000-000020440000}"/>
    <cellStyle name="Normal 35 2 4 2 2 2 2" xfId="27797" xr:uid="{00000000-0005-0000-0000-000021440000}"/>
    <cellStyle name="Normal 35 2 4 2 2 2 2 2" xfId="27800" xr:uid="{00000000-0005-0000-0000-000022440000}"/>
    <cellStyle name="Normal 35 2 4 2 2 2 3" xfId="27802" xr:uid="{00000000-0005-0000-0000-000023440000}"/>
    <cellStyle name="Normal 35 2 4 2 2 3" xfId="27804" xr:uid="{00000000-0005-0000-0000-000024440000}"/>
    <cellStyle name="Normal 35 2 4 2 2 3 2" xfId="27806" xr:uid="{00000000-0005-0000-0000-000025440000}"/>
    <cellStyle name="Normal 35 2 4 2 2 4" xfId="27808" xr:uid="{00000000-0005-0000-0000-000026440000}"/>
    <cellStyle name="Normal 35 2 4 2 3" xfId="3734" xr:uid="{00000000-0005-0000-0000-000027440000}"/>
    <cellStyle name="Normal 35 2 4 2 3 2" xfId="27812" xr:uid="{00000000-0005-0000-0000-000028440000}"/>
    <cellStyle name="Normal 35 2 4 2 3 2 2" xfId="27817" xr:uid="{00000000-0005-0000-0000-000029440000}"/>
    <cellStyle name="Normal 35 2 4 2 3 3" xfId="27821" xr:uid="{00000000-0005-0000-0000-00002A440000}"/>
    <cellStyle name="Normal 35 2 4 2 4" xfId="27825" xr:uid="{00000000-0005-0000-0000-00002B440000}"/>
    <cellStyle name="Normal 35 2 4 2 4 2" xfId="27827" xr:uid="{00000000-0005-0000-0000-00002C440000}"/>
    <cellStyle name="Normal 35 2 4 2 4 2 2" xfId="27829" xr:uid="{00000000-0005-0000-0000-00002D440000}"/>
    <cellStyle name="Normal 35 2 4 2 4 3" xfId="19872" xr:uid="{00000000-0005-0000-0000-00002E440000}"/>
    <cellStyle name="Normal 35 2 4 2 5" xfId="27831" xr:uid="{00000000-0005-0000-0000-00002F440000}"/>
    <cellStyle name="Normal 35 2 4 2 5 2" xfId="27835" xr:uid="{00000000-0005-0000-0000-000030440000}"/>
    <cellStyle name="Normal 35 2 4 2 6" xfId="27839" xr:uid="{00000000-0005-0000-0000-000031440000}"/>
    <cellStyle name="Normal 35 2 4 2 6 2" xfId="27843" xr:uid="{00000000-0005-0000-0000-000032440000}"/>
    <cellStyle name="Normal 35 2 4 2 7" xfId="27847" xr:uid="{00000000-0005-0000-0000-000033440000}"/>
    <cellStyle name="Normal 35 2 4 2 8" xfId="27850" xr:uid="{00000000-0005-0000-0000-000034440000}"/>
    <cellStyle name="Normal 35 2 4 3" xfId="1111" xr:uid="{00000000-0005-0000-0000-000035440000}"/>
    <cellStyle name="Normal 35 2 4 3 2" xfId="4859" xr:uid="{00000000-0005-0000-0000-000036440000}"/>
    <cellStyle name="Normal 35 2 4 3 2 2" xfId="27852" xr:uid="{00000000-0005-0000-0000-000037440000}"/>
    <cellStyle name="Normal 35 2 4 3 2 2 2" xfId="27854" xr:uid="{00000000-0005-0000-0000-000038440000}"/>
    <cellStyle name="Normal 35 2 4 3 2 3" xfId="27856" xr:uid="{00000000-0005-0000-0000-000039440000}"/>
    <cellStyle name="Normal 35 2 4 3 3" xfId="27858" xr:uid="{00000000-0005-0000-0000-00003A440000}"/>
    <cellStyle name="Normal 35 2 4 3 3 2" xfId="27862" xr:uid="{00000000-0005-0000-0000-00003B440000}"/>
    <cellStyle name="Normal 35 2 4 3 4" xfId="27864" xr:uid="{00000000-0005-0000-0000-00003C440000}"/>
    <cellStyle name="Normal 35 2 4 4" xfId="4573" xr:uid="{00000000-0005-0000-0000-00003D440000}"/>
    <cellStyle name="Normal 35 2 4 4 2" xfId="27866" xr:uid="{00000000-0005-0000-0000-00003E440000}"/>
    <cellStyle name="Normal 35 2 4 4 2 2" xfId="27868" xr:uid="{00000000-0005-0000-0000-00003F440000}"/>
    <cellStyle name="Normal 35 2 4 4 3" xfId="2675" xr:uid="{00000000-0005-0000-0000-000040440000}"/>
    <cellStyle name="Normal 35 2 4 5" xfId="27870" xr:uid="{00000000-0005-0000-0000-000041440000}"/>
    <cellStyle name="Normal 35 2 4 5 2" xfId="27872" xr:uid="{00000000-0005-0000-0000-000042440000}"/>
    <cellStyle name="Normal 35 2 4 5 2 2" xfId="27874" xr:uid="{00000000-0005-0000-0000-000043440000}"/>
    <cellStyle name="Normal 35 2 4 5 3" xfId="10314" xr:uid="{00000000-0005-0000-0000-000044440000}"/>
    <cellStyle name="Normal 35 2 4 6" xfId="27876" xr:uid="{00000000-0005-0000-0000-000045440000}"/>
    <cellStyle name="Normal 35 2 4 6 2" xfId="27878" xr:uid="{00000000-0005-0000-0000-000046440000}"/>
    <cellStyle name="Normal 35 2 4 7" xfId="27880" xr:uid="{00000000-0005-0000-0000-000047440000}"/>
    <cellStyle name="Normal 35 2 4 7 2" xfId="27882" xr:uid="{00000000-0005-0000-0000-000048440000}"/>
    <cellStyle name="Normal 35 2 4 8" xfId="27884" xr:uid="{00000000-0005-0000-0000-000049440000}"/>
    <cellStyle name="Normal 35 2 4 9" xfId="27886" xr:uid="{00000000-0005-0000-0000-00004A440000}"/>
    <cellStyle name="Normal 35 2 5" xfId="699" xr:uid="{00000000-0005-0000-0000-00004B440000}"/>
    <cellStyle name="Normal 35 2 5 2" xfId="4130" xr:uid="{00000000-0005-0000-0000-00004C440000}"/>
    <cellStyle name="Normal 35 2 5 2 2" xfId="4780" xr:uid="{00000000-0005-0000-0000-00004D440000}"/>
    <cellStyle name="Normal 35 2 5 2 2 2" xfId="8644" xr:uid="{00000000-0005-0000-0000-00004E440000}"/>
    <cellStyle name="Normal 35 2 5 2 2 2 2" xfId="27888" xr:uid="{00000000-0005-0000-0000-00004F440000}"/>
    <cellStyle name="Normal 35 2 5 2 2 2 2 2" xfId="27890" xr:uid="{00000000-0005-0000-0000-000050440000}"/>
    <cellStyle name="Normal 35 2 5 2 2 2 3" xfId="27892" xr:uid="{00000000-0005-0000-0000-000051440000}"/>
    <cellStyle name="Normal 35 2 5 2 2 3" xfId="19723" xr:uid="{00000000-0005-0000-0000-000052440000}"/>
    <cellStyle name="Normal 35 2 5 2 2 3 2" xfId="19727" xr:uid="{00000000-0005-0000-0000-000053440000}"/>
    <cellStyle name="Normal 35 2 5 2 2 4" xfId="3578" xr:uid="{00000000-0005-0000-0000-000054440000}"/>
    <cellStyle name="Normal 35 2 5 2 3" xfId="3805" xr:uid="{00000000-0005-0000-0000-000055440000}"/>
    <cellStyle name="Normal 35 2 5 2 3 2" xfId="17475" xr:uid="{00000000-0005-0000-0000-000056440000}"/>
    <cellStyle name="Normal 35 2 5 2 3 2 2" xfId="27894" xr:uid="{00000000-0005-0000-0000-000057440000}"/>
    <cellStyle name="Normal 35 2 5 2 3 3" xfId="19731" xr:uid="{00000000-0005-0000-0000-000058440000}"/>
    <cellStyle name="Normal 35 2 5 2 4" xfId="17479" xr:uid="{00000000-0005-0000-0000-000059440000}"/>
    <cellStyle name="Normal 35 2 5 2 4 2" xfId="17484" xr:uid="{00000000-0005-0000-0000-00005A440000}"/>
    <cellStyle name="Normal 35 2 5 2 4 2 2" xfId="27896" xr:uid="{00000000-0005-0000-0000-00005B440000}"/>
    <cellStyle name="Normal 35 2 5 2 4 3" xfId="19734" xr:uid="{00000000-0005-0000-0000-00005C440000}"/>
    <cellStyle name="Normal 35 2 5 2 5" xfId="17492" xr:uid="{00000000-0005-0000-0000-00005D440000}"/>
    <cellStyle name="Normal 35 2 5 2 5 2" xfId="27898" xr:uid="{00000000-0005-0000-0000-00005E440000}"/>
    <cellStyle name="Normal 35 2 5 2 6" xfId="13210" xr:uid="{00000000-0005-0000-0000-00005F440000}"/>
    <cellStyle name="Normal 35 2 5 2 6 2" xfId="27901" xr:uid="{00000000-0005-0000-0000-000060440000}"/>
    <cellStyle name="Normal 35 2 5 2 7" xfId="27903" xr:uid="{00000000-0005-0000-0000-000061440000}"/>
    <cellStyle name="Normal 35 2 5 2 8" xfId="27905" xr:uid="{00000000-0005-0000-0000-000062440000}"/>
    <cellStyle name="Normal 35 2 5 3" xfId="3996" xr:uid="{00000000-0005-0000-0000-000063440000}"/>
    <cellStyle name="Normal 35 2 5 3 2" xfId="27907" xr:uid="{00000000-0005-0000-0000-000064440000}"/>
    <cellStyle name="Normal 35 2 5 3 2 2" xfId="27909" xr:uid="{00000000-0005-0000-0000-000065440000}"/>
    <cellStyle name="Normal 35 2 5 3 2 2 2" xfId="7739" xr:uid="{00000000-0005-0000-0000-000066440000}"/>
    <cellStyle name="Normal 35 2 5 3 2 3" xfId="19763" xr:uid="{00000000-0005-0000-0000-000067440000}"/>
    <cellStyle name="Normal 35 2 5 3 3" xfId="19424" xr:uid="{00000000-0005-0000-0000-000068440000}"/>
    <cellStyle name="Normal 35 2 5 3 3 2" xfId="27911" xr:uid="{00000000-0005-0000-0000-000069440000}"/>
    <cellStyle name="Normal 35 2 5 3 4" xfId="27914" xr:uid="{00000000-0005-0000-0000-00006A440000}"/>
    <cellStyle name="Normal 35 2 5 4" xfId="7228" xr:uid="{00000000-0005-0000-0000-00006B440000}"/>
    <cellStyle name="Normal 35 2 5 4 2" xfId="27917" xr:uid="{00000000-0005-0000-0000-00006C440000}"/>
    <cellStyle name="Normal 35 2 5 4 2 2" xfId="27919" xr:uid="{00000000-0005-0000-0000-00006D440000}"/>
    <cellStyle name="Normal 35 2 5 4 3" xfId="10622" xr:uid="{00000000-0005-0000-0000-00006E440000}"/>
    <cellStyle name="Normal 35 2 5 5" xfId="27921" xr:uid="{00000000-0005-0000-0000-00006F440000}"/>
    <cellStyle name="Normal 35 2 5 5 2" xfId="27923" xr:uid="{00000000-0005-0000-0000-000070440000}"/>
    <cellStyle name="Normal 35 2 5 5 2 2" xfId="27925" xr:uid="{00000000-0005-0000-0000-000071440000}"/>
    <cellStyle name="Normal 35 2 5 5 3" xfId="27927" xr:uid="{00000000-0005-0000-0000-000072440000}"/>
    <cellStyle name="Normal 35 2 5 6" xfId="27929" xr:uid="{00000000-0005-0000-0000-000073440000}"/>
    <cellStyle name="Normal 35 2 5 6 2" xfId="27931" xr:uid="{00000000-0005-0000-0000-000074440000}"/>
    <cellStyle name="Normal 35 2 5 7" xfId="27933" xr:uid="{00000000-0005-0000-0000-000075440000}"/>
    <cellStyle name="Normal 35 2 5 7 2" xfId="15939" xr:uid="{00000000-0005-0000-0000-000076440000}"/>
    <cellStyle name="Normal 35 2 5 8" xfId="27935" xr:uid="{00000000-0005-0000-0000-000077440000}"/>
    <cellStyle name="Normal 35 2 5 9" xfId="19710" xr:uid="{00000000-0005-0000-0000-000078440000}"/>
    <cellStyle name="Normal 35 2 6" xfId="779" xr:uid="{00000000-0005-0000-0000-000079440000}"/>
    <cellStyle name="Normal 35 2 6 2" xfId="5806" xr:uid="{00000000-0005-0000-0000-00007A440000}"/>
    <cellStyle name="Normal 35 2 6 2 2" xfId="27937" xr:uid="{00000000-0005-0000-0000-00007B440000}"/>
    <cellStyle name="Normal 35 2 6 2 2 2" xfId="27939" xr:uid="{00000000-0005-0000-0000-00007C440000}"/>
    <cellStyle name="Normal 35 2 6 2 2 2 2" xfId="15429" xr:uid="{00000000-0005-0000-0000-00007D440000}"/>
    <cellStyle name="Normal 35 2 6 2 2 3" xfId="27942" xr:uid="{00000000-0005-0000-0000-00007E440000}"/>
    <cellStyle name="Normal 35 2 6 2 3" xfId="27947" xr:uid="{00000000-0005-0000-0000-00007F440000}"/>
    <cellStyle name="Normal 35 2 6 2 3 2" xfId="27949" xr:uid="{00000000-0005-0000-0000-000080440000}"/>
    <cellStyle name="Normal 35 2 6 2 4" xfId="27951" xr:uid="{00000000-0005-0000-0000-000081440000}"/>
    <cellStyle name="Normal 35 2 6 2 5" xfId="27953" xr:uid="{00000000-0005-0000-0000-000082440000}"/>
    <cellStyle name="Normal 35 2 6 3" xfId="4880" xr:uid="{00000000-0005-0000-0000-000083440000}"/>
    <cellStyle name="Normal 35 2 6 3 2" xfId="18674" xr:uid="{00000000-0005-0000-0000-000084440000}"/>
    <cellStyle name="Normal 35 2 6 3 2 2" xfId="27956" xr:uid="{00000000-0005-0000-0000-000085440000}"/>
    <cellStyle name="Normal 35 2 6 3 3" xfId="27958" xr:uid="{00000000-0005-0000-0000-000086440000}"/>
    <cellStyle name="Normal 35 2 6 4" xfId="27961" xr:uid="{00000000-0005-0000-0000-000087440000}"/>
    <cellStyle name="Normal 35 2 6 4 2" xfId="27963" xr:uid="{00000000-0005-0000-0000-000088440000}"/>
    <cellStyle name="Normal 35 2 6 4 2 2" xfId="27965" xr:uid="{00000000-0005-0000-0000-000089440000}"/>
    <cellStyle name="Normal 35 2 6 4 3" xfId="10666" xr:uid="{00000000-0005-0000-0000-00008A440000}"/>
    <cellStyle name="Normal 35 2 6 5" xfId="27967" xr:uid="{00000000-0005-0000-0000-00008B440000}"/>
    <cellStyle name="Normal 35 2 6 5 2" xfId="27969" xr:uid="{00000000-0005-0000-0000-00008C440000}"/>
    <cellStyle name="Normal 35 2 6 6" xfId="11104" xr:uid="{00000000-0005-0000-0000-00008D440000}"/>
    <cellStyle name="Normal 35 2 6 6 2" xfId="27971" xr:uid="{00000000-0005-0000-0000-00008E440000}"/>
    <cellStyle name="Normal 35 2 6 7" xfId="27973" xr:uid="{00000000-0005-0000-0000-00008F440000}"/>
    <cellStyle name="Normal 35 2 6 8" xfId="27975" xr:uid="{00000000-0005-0000-0000-000090440000}"/>
    <cellStyle name="Normal 35 2 7" xfId="825" xr:uid="{00000000-0005-0000-0000-000091440000}"/>
    <cellStyle name="Normal 35 2 7 2" xfId="5600" xr:uid="{00000000-0005-0000-0000-000092440000}"/>
    <cellStyle name="Normal 35 2 7 2 2" xfId="27977" xr:uid="{00000000-0005-0000-0000-000093440000}"/>
    <cellStyle name="Normal 35 2 7 2 2 2" xfId="21938" xr:uid="{00000000-0005-0000-0000-000094440000}"/>
    <cellStyle name="Normal 35 2 7 2 3" xfId="27979" xr:uid="{00000000-0005-0000-0000-000095440000}"/>
    <cellStyle name="Normal 35 2 7 3" xfId="8661" xr:uid="{00000000-0005-0000-0000-000096440000}"/>
    <cellStyle name="Normal 35 2 7 3 2" xfId="27981" xr:uid="{00000000-0005-0000-0000-000097440000}"/>
    <cellStyle name="Normal 35 2 7 4" xfId="27983" xr:uid="{00000000-0005-0000-0000-000098440000}"/>
    <cellStyle name="Normal 35 2 7 5" xfId="27668" xr:uid="{00000000-0005-0000-0000-000099440000}"/>
    <cellStyle name="Normal 35 2 8" xfId="863" xr:uid="{00000000-0005-0000-0000-00009A440000}"/>
    <cellStyle name="Normal 35 2 8 2" xfId="4064" xr:uid="{00000000-0005-0000-0000-00009B440000}"/>
    <cellStyle name="Normal 35 2 8 2 2" xfId="27985" xr:uid="{00000000-0005-0000-0000-00009C440000}"/>
    <cellStyle name="Normal 35 2 8 3" xfId="12480" xr:uid="{00000000-0005-0000-0000-00009D440000}"/>
    <cellStyle name="Normal 35 2 9" xfId="5818" xr:uid="{00000000-0005-0000-0000-00009E440000}"/>
    <cellStyle name="Normal 35 2 9 2" xfId="4241" xr:uid="{00000000-0005-0000-0000-00009F440000}"/>
    <cellStyle name="Normal 35 2 9 2 2" xfId="27987" xr:uid="{00000000-0005-0000-0000-0000A0440000}"/>
    <cellStyle name="Normal 35 2 9 3" xfId="27992" xr:uid="{00000000-0005-0000-0000-0000A1440000}"/>
    <cellStyle name="Normal 35 3" xfId="27998" xr:uid="{00000000-0005-0000-0000-0000A2440000}"/>
    <cellStyle name="Normal 35 3 10" xfId="21109" xr:uid="{00000000-0005-0000-0000-0000A3440000}"/>
    <cellStyle name="Normal 35 3 10 2" xfId="21114" xr:uid="{00000000-0005-0000-0000-0000A4440000}"/>
    <cellStyle name="Normal 35 3 11" xfId="21121" xr:uid="{00000000-0005-0000-0000-0000A5440000}"/>
    <cellStyle name="Normal 35 3 11 2" xfId="21126" xr:uid="{00000000-0005-0000-0000-0000A6440000}"/>
    <cellStyle name="Normal 35 3 12" xfId="9237" xr:uid="{00000000-0005-0000-0000-0000A7440000}"/>
    <cellStyle name="Normal 35 3 12 2" xfId="13029" xr:uid="{00000000-0005-0000-0000-0000A8440000}"/>
    <cellStyle name="Normal 35 3 13" xfId="7522" xr:uid="{00000000-0005-0000-0000-0000A9440000}"/>
    <cellStyle name="Normal 35 3 14" xfId="420" xr:uid="{00000000-0005-0000-0000-0000AA440000}"/>
    <cellStyle name="Normal 35 3 2" xfId="28004" xr:uid="{00000000-0005-0000-0000-0000AB440000}"/>
    <cellStyle name="Normal 35 3 2 10" xfId="7246" xr:uid="{00000000-0005-0000-0000-0000AC440000}"/>
    <cellStyle name="Normal 35 3 2 2" xfId="21350" xr:uid="{00000000-0005-0000-0000-0000AD440000}"/>
    <cellStyle name="Normal 35 3 2 2 2" xfId="28006" xr:uid="{00000000-0005-0000-0000-0000AE440000}"/>
    <cellStyle name="Normal 35 3 2 2 2 2" xfId="28010" xr:uid="{00000000-0005-0000-0000-0000AF440000}"/>
    <cellStyle name="Normal 35 3 2 2 2 2 2" xfId="28012" xr:uid="{00000000-0005-0000-0000-0000B0440000}"/>
    <cellStyle name="Normal 35 3 2 2 2 2 2 2" xfId="28014" xr:uid="{00000000-0005-0000-0000-0000B1440000}"/>
    <cellStyle name="Normal 35 3 2 2 2 2 2 2 2" xfId="28016" xr:uid="{00000000-0005-0000-0000-0000B2440000}"/>
    <cellStyle name="Normal 35 3 2 2 2 2 2 3" xfId="28018" xr:uid="{00000000-0005-0000-0000-0000B3440000}"/>
    <cellStyle name="Normal 35 3 2 2 2 2 3" xfId="11473" xr:uid="{00000000-0005-0000-0000-0000B4440000}"/>
    <cellStyle name="Normal 35 3 2 2 2 2 3 2" xfId="28020" xr:uid="{00000000-0005-0000-0000-0000B5440000}"/>
    <cellStyle name="Normal 35 3 2 2 2 2 4" xfId="28022" xr:uid="{00000000-0005-0000-0000-0000B6440000}"/>
    <cellStyle name="Normal 35 3 2 2 2 3" xfId="28024" xr:uid="{00000000-0005-0000-0000-0000B7440000}"/>
    <cellStyle name="Normal 35 3 2 2 2 3 2" xfId="28026" xr:uid="{00000000-0005-0000-0000-0000B8440000}"/>
    <cellStyle name="Normal 35 3 2 2 2 3 2 2" xfId="28028" xr:uid="{00000000-0005-0000-0000-0000B9440000}"/>
    <cellStyle name="Normal 35 3 2 2 2 3 3" xfId="28030" xr:uid="{00000000-0005-0000-0000-0000BA440000}"/>
    <cellStyle name="Normal 35 3 2 2 2 4" xfId="28032" xr:uid="{00000000-0005-0000-0000-0000BB440000}"/>
    <cellStyle name="Normal 35 3 2 2 2 4 2" xfId="28034" xr:uid="{00000000-0005-0000-0000-0000BC440000}"/>
    <cellStyle name="Normal 35 3 2 2 2 4 2 2" xfId="28038" xr:uid="{00000000-0005-0000-0000-0000BD440000}"/>
    <cellStyle name="Normal 35 3 2 2 2 4 3" xfId="27025" xr:uid="{00000000-0005-0000-0000-0000BE440000}"/>
    <cellStyle name="Normal 35 3 2 2 2 5" xfId="28040" xr:uid="{00000000-0005-0000-0000-0000BF440000}"/>
    <cellStyle name="Normal 35 3 2 2 2 5 2" xfId="28042" xr:uid="{00000000-0005-0000-0000-0000C0440000}"/>
    <cellStyle name="Normal 35 3 2 2 2 6" xfId="28046" xr:uid="{00000000-0005-0000-0000-0000C1440000}"/>
    <cellStyle name="Normal 35 3 2 2 2 6 2" xfId="28048" xr:uid="{00000000-0005-0000-0000-0000C2440000}"/>
    <cellStyle name="Normal 35 3 2 2 2 7" xfId="28054" xr:uid="{00000000-0005-0000-0000-0000C3440000}"/>
    <cellStyle name="Normal 35 3 2 2 2 8" xfId="28062" xr:uid="{00000000-0005-0000-0000-0000C4440000}"/>
    <cellStyle name="Normal 35 3 2 2 3" xfId="28068" xr:uid="{00000000-0005-0000-0000-0000C5440000}"/>
    <cellStyle name="Normal 35 3 2 2 3 2" xfId="28071" xr:uid="{00000000-0005-0000-0000-0000C6440000}"/>
    <cellStyle name="Normal 35 3 2 2 3 2 2" xfId="28076" xr:uid="{00000000-0005-0000-0000-0000C7440000}"/>
    <cellStyle name="Normal 35 3 2 2 3 2 2 2" xfId="28078" xr:uid="{00000000-0005-0000-0000-0000C8440000}"/>
    <cellStyle name="Normal 35 3 2 2 3 2 3" xfId="28080" xr:uid="{00000000-0005-0000-0000-0000C9440000}"/>
    <cellStyle name="Normal 35 3 2 2 3 3" xfId="28082" xr:uid="{00000000-0005-0000-0000-0000CA440000}"/>
    <cellStyle name="Normal 35 3 2 2 3 3 2" xfId="28084" xr:uid="{00000000-0005-0000-0000-0000CB440000}"/>
    <cellStyle name="Normal 35 3 2 2 3 4" xfId="28086" xr:uid="{00000000-0005-0000-0000-0000CC440000}"/>
    <cellStyle name="Normal 35 3 2 2 4" xfId="28089" xr:uid="{00000000-0005-0000-0000-0000CD440000}"/>
    <cellStyle name="Normal 35 3 2 2 4 2" xfId="28092" xr:uid="{00000000-0005-0000-0000-0000CE440000}"/>
    <cellStyle name="Normal 35 3 2 2 4 2 2" xfId="28095" xr:uid="{00000000-0005-0000-0000-0000CF440000}"/>
    <cellStyle name="Normal 35 3 2 2 4 3" xfId="28097" xr:uid="{00000000-0005-0000-0000-0000D0440000}"/>
    <cellStyle name="Normal 35 3 2 2 5" xfId="28099" xr:uid="{00000000-0005-0000-0000-0000D1440000}"/>
    <cellStyle name="Normal 35 3 2 2 5 2" xfId="28101" xr:uid="{00000000-0005-0000-0000-0000D2440000}"/>
    <cellStyle name="Normal 35 3 2 2 5 2 2" xfId="28103" xr:uid="{00000000-0005-0000-0000-0000D3440000}"/>
    <cellStyle name="Normal 35 3 2 2 5 3" xfId="28106" xr:uid="{00000000-0005-0000-0000-0000D4440000}"/>
    <cellStyle name="Normal 35 3 2 2 6" xfId="28108" xr:uid="{00000000-0005-0000-0000-0000D5440000}"/>
    <cellStyle name="Normal 35 3 2 2 6 2" xfId="28110" xr:uid="{00000000-0005-0000-0000-0000D6440000}"/>
    <cellStyle name="Normal 35 3 2 2 7" xfId="28112" xr:uid="{00000000-0005-0000-0000-0000D7440000}"/>
    <cellStyle name="Normal 35 3 2 2 7 2" xfId="28118" xr:uid="{00000000-0005-0000-0000-0000D8440000}"/>
    <cellStyle name="Normal 35 3 2 2 8" xfId="7380" xr:uid="{00000000-0005-0000-0000-0000D9440000}"/>
    <cellStyle name="Normal 35 3 2 2 9" xfId="7417" xr:uid="{00000000-0005-0000-0000-0000DA440000}"/>
    <cellStyle name="Normal 35 3 2 3" xfId="15911" xr:uid="{00000000-0005-0000-0000-0000DB440000}"/>
    <cellStyle name="Normal 35 3 2 3 2" xfId="15914" xr:uid="{00000000-0005-0000-0000-0000DC440000}"/>
    <cellStyle name="Normal 35 3 2 3 2 2" xfId="28122" xr:uid="{00000000-0005-0000-0000-0000DD440000}"/>
    <cellStyle name="Normal 35 3 2 3 2 2 2" xfId="28124" xr:uid="{00000000-0005-0000-0000-0000DE440000}"/>
    <cellStyle name="Normal 35 3 2 3 2 2 2 2" xfId="28126" xr:uid="{00000000-0005-0000-0000-0000DF440000}"/>
    <cellStyle name="Normal 35 3 2 3 2 2 3" xfId="28128" xr:uid="{00000000-0005-0000-0000-0000E0440000}"/>
    <cellStyle name="Normal 35 3 2 3 2 3" xfId="28130" xr:uid="{00000000-0005-0000-0000-0000E1440000}"/>
    <cellStyle name="Normal 35 3 2 3 2 3 2" xfId="28132" xr:uid="{00000000-0005-0000-0000-0000E2440000}"/>
    <cellStyle name="Normal 35 3 2 3 2 4" xfId="28134" xr:uid="{00000000-0005-0000-0000-0000E3440000}"/>
    <cellStyle name="Normal 35 3 2 3 3" xfId="28136" xr:uid="{00000000-0005-0000-0000-0000E4440000}"/>
    <cellStyle name="Normal 35 3 2 3 3 2" xfId="28140" xr:uid="{00000000-0005-0000-0000-0000E5440000}"/>
    <cellStyle name="Normal 35 3 2 3 3 2 2" xfId="28142" xr:uid="{00000000-0005-0000-0000-0000E6440000}"/>
    <cellStyle name="Normal 35 3 2 3 3 3" xfId="28144" xr:uid="{00000000-0005-0000-0000-0000E7440000}"/>
    <cellStyle name="Normal 35 3 2 3 4" xfId="28146" xr:uid="{00000000-0005-0000-0000-0000E8440000}"/>
    <cellStyle name="Normal 35 3 2 3 4 2" xfId="28149" xr:uid="{00000000-0005-0000-0000-0000E9440000}"/>
    <cellStyle name="Normal 35 3 2 3 4 2 2" xfId="28151" xr:uid="{00000000-0005-0000-0000-0000EA440000}"/>
    <cellStyle name="Normal 35 3 2 3 4 3" xfId="28153" xr:uid="{00000000-0005-0000-0000-0000EB440000}"/>
    <cellStyle name="Normal 35 3 2 3 5" xfId="28155" xr:uid="{00000000-0005-0000-0000-0000EC440000}"/>
    <cellStyle name="Normal 35 3 2 3 5 2" xfId="28157" xr:uid="{00000000-0005-0000-0000-0000ED440000}"/>
    <cellStyle name="Normal 35 3 2 3 6" xfId="13269" xr:uid="{00000000-0005-0000-0000-0000EE440000}"/>
    <cellStyle name="Normal 35 3 2 3 6 2" xfId="28159" xr:uid="{00000000-0005-0000-0000-0000EF440000}"/>
    <cellStyle name="Normal 35 3 2 3 7" xfId="28161" xr:uid="{00000000-0005-0000-0000-0000F0440000}"/>
    <cellStyle name="Normal 35 3 2 3 8" xfId="7495" xr:uid="{00000000-0005-0000-0000-0000F1440000}"/>
    <cellStyle name="Normal 35 3 2 4" xfId="15917" xr:uid="{00000000-0005-0000-0000-0000F2440000}"/>
    <cellStyle name="Normal 35 3 2 4 2" xfId="28163" xr:uid="{00000000-0005-0000-0000-0000F3440000}"/>
    <cellStyle name="Normal 35 3 2 4 2 2" xfId="17897" xr:uid="{00000000-0005-0000-0000-0000F4440000}"/>
    <cellStyle name="Normal 35 3 2 4 2 2 2" xfId="28165" xr:uid="{00000000-0005-0000-0000-0000F5440000}"/>
    <cellStyle name="Normal 35 3 2 4 2 3" xfId="28167" xr:uid="{00000000-0005-0000-0000-0000F6440000}"/>
    <cellStyle name="Normal 35 3 2 4 3" xfId="28169" xr:uid="{00000000-0005-0000-0000-0000F7440000}"/>
    <cellStyle name="Normal 35 3 2 4 3 2" xfId="28174" xr:uid="{00000000-0005-0000-0000-0000F8440000}"/>
    <cellStyle name="Normal 35 3 2 4 4" xfId="28176" xr:uid="{00000000-0005-0000-0000-0000F9440000}"/>
    <cellStyle name="Normal 35 3 2 5" xfId="14362" xr:uid="{00000000-0005-0000-0000-0000FA440000}"/>
    <cellStyle name="Normal 35 3 2 5 2" xfId="28178" xr:uid="{00000000-0005-0000-0000-0000FB440000}"/>
    <cellStyle name="Normal 35 3 2 5 2 2" xfId="28181" xr:uid="{00000000-0005-0000-0000-0000FC440000}"/>
    <cellStyle name="Normal 35 3 2 5 3" xfId="28183" xr:uid="{00000000-0005-0000-0000-0000FD440000}"/>
    <cellStyle name="Normal 35 3 2 6" xfId="28185" xr:uid="{00000000-0005-0000-0000-0000FE440000}"/>
    <cellStyle name="Normal 35 3 2 6 2" xfId="26875" xr:uid="{00000000-0005-0000-0000-0000FF440000}"/>
    <cellStyle name="Normal 35 3 2 6 2 2" xfId="28187" xr:uid="{00000000-0005-0000-0000-000000450000}"/>
    <cellStyle name="Normal 35 3 2 6 3" xfId="28189" xr:uid="{00000000-0005-0000-0000-000001450000}"/>
    <cellStyle name="Normal 35 3 2 7" xfId="28191" xr:uid="{00000000-0005-0000-0000-000002450000}"/>
    <cellStyle name="Normal 35 3 2 7 2" xfId="28193" xr:uid="{00000000-0005-0000-0000-000003450000}"/>
    <cellStyle name="Normal 35 3 2 8" xfId="28195" xr:uid="{00000000-0005-0000-0000-000004450000}"/>
    <cellStyle name="Normal 35 3 2 8 2" xfId="28197" xr:uid="{00000000-0005-0000-0000-000005450000}"/>
    <cellStyle name="Normal 35 3 2 9" xfId="28199" xr:uid="{00000000-0005-0000-0000-000006450000}"/>
    <cellStyle name="Normal 35 3 3" xfId="8669" xr:uid="{00000000-0005-0000-0000-000007450000}"/>
    <cellStyle name="Normal 35 3 3 2" xfId="8675" xr:uid="{00000000-0005-0000-0000-000008450000}"/>
    <cellStyle name="Normal 35 3 3 2 2" xfId="3316" xr:uid="{00000000-0005-0000-0000-000009450000}"/>
    <cellStyle name="Normal 35 3 3 2 2 2" xfId="3335" xr:uid="{00000000-0005-0000-0000-00000A450000}"/>
    <cellStyle name="Normal 35 3 3 2 2 2 2" xfId="3164" xr:uid="{00000000-0005-0000-0000-00000B450000}"/>
    <cellStyle name="Normal 35 3 3 2 2 2 2 2" xfId="28202" xr:uid="{00000000-0005-0000-0000-00000C450000}"/>
    <cellStyle name="Normal 35 3 3 2 2 2 3" xfId="28204" xr:uid="{00000000-0005-0000-0000-00000D450000}"/>
    <cellStyle name="Normal 35 3 3 2 2 3" xfId="3357" xr:uid="{00000000-0005-0000-0000-00000E450000}"/>
    <cellStyle name="Normal 35 3 3 2 2 3 2" xfId="28207" xr:uid="{00000000-0005-0000-0000-00000F450000}"/>
    <cellStyle name="Normal 35 3 3 2 2 4" xfId="22780" xr:uid="{00000000-0005-0000-0000-000010450000}"/>
    <cellStyle name="Normal 35 3 3 2 2 5" xfId="22867" xr:uid="{00000000-0005-0000-0000-000011450000}"/>
    <cellStyle name="Normal 35 3 3 2 3" xfId="3485" xr:uid="{00000000-0005-0000-0000-000012450000}"/>
    <cellStyle name="Normal 35 3 3 2 3 2" xfId="3501" xr:uid="{00000000-0005-0000-0000-000013450000}"/>
    <cellStyle name="Normal 35 3 3 2 3 2 2" xfId="28211" xr:uid="{00000000-0005-0000-0000-000014450000}"/>
    <cellStyle name="Normal 35 3 3 2 3 3" xfId="28215" xr:uid="{00000000-0005-0000-0000-000015450000}"/>
    <cellStyle name="Normal 35 3 3 2 4" xfId="3555" xr:uid="{00000000-0005-0000-0000-000016450000}"/>
    <cellStyle name="Normal 35 3 3 2 4 2" xfId="3570" xr:uid="{00000000-0005-0000-0000-000017450000}"/>
    <cellStyle name="Normal 35 3 3 2 4 2 2" xfId="28217" xr:uid="{00000000-0005-0000-0000-000018450000}"/>
    <cellStyle name="Normal 35 3 3 2 4 3" xfId="28219" xr:uid="{00000000-0005-0000-0000-000019450000}"/>
    <cellStyle name="Normal 35 3 3 2 5" xfId="3588" xr:uid="{00000000-0005-0000-0000-00001A450000}"/>
    <cellStyle name="Normal 35 3 3 2 5 2" xfId="28221" xr:uid="{00000000-0005-0000-0000-00001B450000}"/>
    <cellStyle name="Normal 35 3 3 2 6" xfId="28223" xr:uid="{00000000-0005-0000-0000-00001C450000}"/>
    <cellStyle name="Normal 35 3 3 2 6 2" xfId="28225" xr:uid="{00000000-0005-0000-0000-00001D450000}"/>
    <cellStyle name="Normal 35 3 3 2 7" xfId="28227" xr:uid="{00000000-0005-0000-0000-00001E450000}"/>
    <cellStyle name="Normal 35 3 3 2 8" xfId="7623" xr:uid="{00000000-0005-0000-0000-00001F450000}"/>
    <cellStyle name="Normal 35 3 3 3" xfId="2614" xr:uid="{00000000-0005-0000-0000-000020450000}"/>
    <cellStyle name="Normal 35 3 3 3 2" xfId="56" xr:uid="{00000000-0005-0000-0000-000021450000}"/>
    <cellStyle name="Normal 35 3 3 3 2 2" xfId="28229" xr:uid="{00000000-0005-0000-0000-000022450000}"/>
    <cellStyle name="Normal 35 3 3 3 2 2 2" xfId="28231" xr:uid="{00000000-0005-0000-0000-000023450000}"/>
    <cellStyle name="Normal 35 3 3 3 2 3" xfId="28233" xr:uid="{00000000-0005-0000-0000-000024450000}"/>
    <cellStyle name="Normal 35 3 3 3 3" xfId="28235" xr:uid="{00000000-0005-0000-0000-000025450000}"/>
    <cellStyle name="Normal 35 3 3 3 3 2" xfId="28239" xr:uid="{00000000-0005-0000-0000-000026450000}"/>
    <cellStyle name="Normal 35 3 3 3 4" xfId="28241" xr:uid="{00000000-0005-0000-0000-000027450000}"/>
    <cellStyle name="Normal 35 3 3 3 5" xfId="28243" xr:uid="{00000000-0005-0000-0000-000028450000}"/>
    <cellStyle name="Normal 35 3 3 4" xfId="4912" xr:uid="{00000000-0005-0000-0000-000029450000}"/>
    <cellStyle name="Normal 35 3 3 4 2" xfId="28245" xr:uid="{00000000-0005-0000-0000-00002A450000}"/>
    <cellStyle name="Normal 35 3 3 4 2 2" xfId="28247" xr:uid="{00000000-0005-0000-0000-00002B450000}"/>
    <cellStyle name="Normal 35 3 3 4 3" xfId="28249" xr:uid="{00000000-0005-0000-0000-00002C450000}"/>
    <cellStyle name="Normal 35 3 3 5" xfId="28253" xr:uid="{00000000-0005-0000-0000-00002D450000}"/>
    <cellStyle name="Normal 35 3 3 5 2" xfId="28255" xr:uid="{00000000-0005-0000-0000-00002E450000}"/>
    <cellStyle name="Normal 35 3 3 5 2 2" xfId="28257" xr:uid="{00000000-0005-0000-0000-00002F450000}"/>
    <cellStyle name="Normal 35 3 3 5 3" xfId="28259" xr:uid="{00000000-0005-0000-0000-000030450000}"/>
    <cellStyle name="Normal 35 3 3 6" xfId="28261" xr:uid="{00000000-0005-0000-0000-000031450000}"/>
    <cellStyle name="Normal 35 3 3 6 2" xfId="28263" xr:uid="{00000000-0005-0000-0000-000032450000}"/>
    <cellStyle name="Normal 35 3 3 7" xfId="28265" xr:uid="{00000000-0005-0000-0000-000033450000}"/>
    <cellStyle name="Normal 35 3 3 7 2" xfId="28267" xr:uid="{00000000-0005-0000-0000-000034450000}"/>
    <cellStyle name="Normal 35 3 3 8" xfId="28269" xr:uid="{00000000-0005-0000-0000-000035450000}"/>
    <cellStyle name="Normal 35 3 3 9" xfId="28271" xr:uid="{00000000-0005-0000-0000-000036450000}"/>
    <cellStyle name="Normal 35 3 4" xfId="5837" xr:uid="{00000000-0005-0000-0000-000037450000}"/>
    <cellStyle name="Normal 35 3 4 2" xfId="28273" xr:uid="{00000000-0005-0000-0000-000038450000}"/>
    <cellStyle name="Normal 35 3 4 2 2" xfId="4890" xr:uid="{00000000-0005-0000-0000-000039450000}"/>
    <cellStyle name="Normal 35 3 4 2 2 2" xfId="2449" xr:uid="{00000000-0005-0000-0000-00003A450000}"/>
    <cellStyle name="Normal 35 3 4 2 2 2 2" xfId="24133" xr:uid="{00000000-0005-0000-0000-00003B450000}"/>
    <cellStyle name="Normal 35 3 4 2 2 2 2 2" xfId="28275" xr:uid="{00000000-0005-0000-0000-00003C450000}"/>
    <cellStyle name="Normal 35 3 4 2 2 2 3" xfId="28277" xr:uid="{00000000-0005-0000-0000-00003D450000}"/>
    <cellStyle name="Normal 35 3 4 2 2 3" xfId="22785" xr:uid="{00000000-0005-0000-0000-00003E450000}"/>
    <cellStyle name="Normal 35 3 4 2 2 3 2" xfId="28280" xr:uid="{00000000-0005-0000-0000-00003F450000}"/>
    <cellStyle name="Normal 35 3 4 2 2 4" xfId="22793" xr:uid="{00000000-0005-0000-0000-000040450000}"/>
    <cellStyle name="Normal 35 3 4 2 3" xfId="4927" xr:uid="{00000000-0005-0000-0000-000041450000}"/>
    <cellStyle name="Normal 35 3 4 2 3 2" xfId="24141" xr:uid="{00000000-0005-0000-0000-000042450000}"/>
    <cellStyle name="Normal 35 3 4 2 3 2 2" xfId="24145" xr:uid="{00000000-0005-0000-0000-000043450000}"/>
    <cellStyle name="Normal 35 3 4 2 3 3" xfId="22803" xr:uid="{00000000-0005-0000-0000-000044450000}"/>
    <cellStyle name="Normal 35 3 4 2 4" xfId="12953" xr:uid="{00000000-0005-0000-0000-000045450000}"/>
    <cellStyle name="Normal 35 3 4 2 4 2" xfId="24147" xr:uid="{00000000-0005-0000-0000-000046450000}"/>
    <cellStyle name="Normal 35 3 4 2 4 2 2" xfId="28282" xr:uid="{00000000-0005-0000-0000-000047450000}"/>
    <cellStyle name="Normal 35 3 4 2 4 3" xfId="28284" xr:uid="{00000000-0005-0000-0000-000048450000}"/>
    <cellStyle name="Normal 35 3 4 2 5" xfId="12976" xr:uid="{00000000-0005-0000-0000-000049450000}"/>
    <cellStyle name="Normal 35 3 4 2 5 2" xfId="24150" xr:uid="{00000000-0005-0000-0000-00004A450000}"/>
    <cellStyle name="Normal 35 3 4 2 6" xfId="12982" xr:uid="{00000000-0005-0000-0000-00004B450000}"/>
    <cellStyle name="Normal 35 3 4 2 6 2" xfId="28286" xr:uid="{00000000-0005-0000-0000-00004C450000}"/>
    <cellStyle name="Normal 35 3 4 2 7" xfId="28288" xr:uid="{00000000-0005-0000-0000-00004D450000}"/>
    <cellStyle name="Normal 35 3 4 2 8" xfId="28290" xr:uid="{00000000-0005-0000-0000-00004E450000}"/>
    <cellStyle name="Normal 35 3 4 3" xfId="2634" xr:uid="{00000000-0005-0000-0000-00004F450000}"/>
    <cellStyle name="Normal 35 3 4 3 2" xfId="5181" xr:uid="{00000000-0005-0000-0000-000050450000}"/>
    <cellStyle name="Normal 35 3 4 3 2 2" xfId="24159" xr:uid="{00000000-0005-0000-0000-000051450000}"/>
    <cellStyle name="Normal 35 3 4 3 2 2 2" xfId="28292" xr:uid="{00000000-0005-0000-0000-000052450000}"/>
    <cellStyle name="Normal 35 3 4 3 2 3" xfId="28294" xr:uid="{00000000-0005-0000-0000-000053450000}"/>
    <cellStyle name="Normal 35 3 4 3 3" xfId="24164" xr:uid="{00000000-0005-0000-0000-000054450000}"/>
    <cellStyle name="Normal 35 3 4 3 3 2" xfId="28297" xr:uid="{00000000-0005-0000-0000-000055450000}"/>
    <cellStyle name="Normal 35 3 4 3 4" xfId="28299" xr:uid="{00000000-0005-0000-0000-000056450000}"/>
    <cellStyle name="Normal 35 3 4 4" xfId="28301" xr:uid="{00000000-0005-0000-0000-000057450000}"/>
    <cellStyle name="Normal 35 3 4 4 2" xfId="24169" xr:uid="{00000000-0005-0000-0000-000058450000}"/>
    <cellStyle name="Normal 35 3 4 4 2 2" xfId="28303" xr:uid="{00000000-0005-0000-0000-000059450000}"/>
    <cellStyle name="Normal 35 3 4 4 3" xfId="10914" xr:uid="{00000000-0005-0000-0000-00005A450000}"/>
    <cellStyle name="Normal 35 3 4 5" xfId="28305" xr:uid="{00000000-0005-0000-0000-00005B450000}"/>
    <cellStyle name="Normal 35 3 4 5 2" xfId="24175" xr:uid="{00000000-0005-0000-0000-00005C450000}"/>
    <cellStyle name="Normal 35 3 4 5 2 2" xfId="28307" xr:uid="{00000000-0005-0000-0000-00005D450000}"/>
    <cellStyle name="Normal 35 3 4 5 3" xfId="28309" xr:uid="{00000000-0005-0000-0000-00005E450000}"/>
    <cellStyle name="Normal 35 3 4 6" xfId="28311" xr:uid="{00000000-0005-0000-0000-00005F450000}"/>
    <cellStyle name="Normal 35 3 4 6 2" xfId="25877" xr:uid="{00000000-0005-0000-0000-000060450000}"/>
    <cellStyle name="Normal 35 3 4 7" xfId="28313" xr:uid="{00000000-0005-0000-0000-000061450000}"/>
    <cellStyle name="Normal 35 3 4 7 2" xfId="28315" xr:uid="{00000000-0005-0000-0000-000062450000}"/>
    <cellStyle name="Normal 35 3 4 8" xfId="28317" xr:uid="{00000000-0005-0000-0000-000063450000}"/>
    <cellStyle name="Normal 35 3 4 9" xfId="28319" xr:uid="{00000000-0005-0000-0000-000064450000}"/>
    <cellStyle name="Normal 35 3 5" xfId="28321" xr:uid="{00000000-0005-0000-0000-000065450000}"/>
    <cellStyle name="Normal 35 3 5 2" xfId="28323" xr:uid="{00000000-0005-0000-0000-000066450000}"/>
    <cellStyle name="Normal 35 3 5 2 2" xfId="6086" xr:uid="{00000000-0005-0000-0000-000067450000}"/>
    <cellStyle name="Normal 35 3 5 2 2 2" xfId="24199" xr:uid="{00000000-0005-0000-0000-000068450000}"/>
    <cellStyle name="Normal 35 3 5 2 2 2 2" xfId="28325" xr:uid="{00000000-0005-0000-0000-000069450000}"/>
    <cellStyle name="Normal 35 3 5 2 2 2 2 2" xfId="2124" xr:uid="{00000000-0005-0000-0000-00006A450000}"/>
    <cellStyle name="Normal 35 3 5 2 2 2 3" xfId="28332" xr:uid="{00000000-0005-0000-0000-00006B450000}"/>
    <cellStyle name="Normal 35 3 5 2 2 3" xfId="20131" xr:uid="{00000000-0005-0000-0000-00006C450000}"/>
    <cellStyle name="Normal 35 3 5 2 2 3 2" xfId="20135" xr:uid="{00000000-0005-0000-0000-00006D450000}"/>
    <cellStyle name="Normal 35 3 5 2 2 4" xfId="6127" xr:uid="{00000000-0005-0000-0000-00006E450000}"/>
    <cellStyle name="Normal 35 3 5 2 3" xfId="24207" xr:uid="{00000000-0005-0000-0000-00006F450000}"/>
    <cellStyle name="Normal 35 3 5 2 3 2" xfId="28336" xr:uid="{00000000-0005-0000-0000-000070450000}"/>
    <cellStyle name="Normal 35 3 5 2 3 2 2" xfId="28342" xr:uid="{00000000-0005-0000-0000-000071450000}"/>
    <cellStyle name="Normal 35 3 5 2 3 3" xfId="20140" xr:uid="{00000000-0005-0000-0000-000072450000}"/>
    <cellStyle name="Normal 35 3 5 2 4" xfId="28344" xr:uid="{00000000-0005-0000-0000-000073450000}"/>
    <cellStyle name="Normal 35 3 5 2 4 2" xfId="28347" xr:uid="{00000000-0005-0000-0000-000074450000}"/>
    <cellStyle name="Normal 35 3 5 2 4 2 2" xfId="28352" xr:uid="{00000000-0005-0000-0000-000075450000}"/>
    <cellStyle name="Normal 35 3 5 2 4 3" xfId="20144" xr:uid="{00000000-0005-0000-0000-000076450000}"/>
    <cellStyle name="Normal 35 3 5 2 5" xfId="28354" xr:uid="{00000000-0005-0000-0000-000077450000}"/>
    <cellStyle name="Normal 35 3 5 2 5 2" xfId="28357" xr:uid="{00000000-0005-0000-0000-000078450000}"/>
    <cellStyle name="Normal 35 3 5 2 6" xfId="28359" xr:uid="{00000000-0005-0000-0000-000079450000}"/>
    <cellStyle name="Normal 35 3 5 2 6 2" xfId="28365" xr:uid="{00000000-0005-0000-0000-00007A450000}"/>
    <cellStyle name="Normal 35 3 5 2 7" xfId="28367" xr:uid="{00000000-0005-0000-0000-00007B450000}"/>
    <cellStyle name="Normal 35 3 5 2 8" xfId="28369" xr:uid="{00000000-0005-0000-0000-00007C450000}"/>
    <cellStyle name="Normal 35 3 5 3" xfId="28371" xr:uid="{00000000-0005-0000-0000-00007D450000}"/>
    <cellStyle name="Normal 35 3 5 3 2" xfId="24214" xr:uid="{00000000-0005-0000-0000-00007E450000}"/>
    <cellStyle name="Normal 35 3 5 3 2 2" xfId="28373" xr:uid="{00000000-0005-0000-0000-00007F450000}"/>
    <cellStyle name="Normal 35 3 5 3 2 2 2" xfId="28375" xr:uid="{00000000-0005-0000-0000-000080450000}"/>
    <cellStyle name="Normal 35 3 5 3 2 3" xfId="20163" xr:uid="{00000000-0005-0000-0000-000081450000}"/>
    <cellStyle name="Normal 35 3 5 3 3" xfId="28377" xr:uid="{00000000-0005-0000-0000-000082450000}"/>
    <cellStyle name="Normal 35 3 5 3 3 2" xfId="28379" xr:uid="{00000000-0005-0000-0000-000083450000}"/>
    <cellStyle name="Normal 35 3 5 3 4" xfId="28382" xr:uid="{00000000-0005-0000-0000-000084450000}"/>
    <cellStyle name="Normal 35 3 5 4" xfId="28385" xr:uid="{00000000-0005-0000-0000-000085450000}"/>
    <cellStyle name="Normal 35 3 5 4 2" xfId="24221" xr:uid="{00000000-0005-0000-0000-000086450000}"/>
    <cellStyle name="Normal 35 3 5 4 2 2" xfId="28387" xr:uid="{00000000-0005-0000-0000-000087450000}"/>
    <cellStyle name="Normal 35 3 5 4 3" xfId="28389" xr:uid="{00000000-0005-0000-0000-000088450000}"/>
    <cellStyle name="Normal 35 3 5 5" xfId="28391" xr:uid="{00000000-0005-0000-0000-000089450000}"/>
    <cellStyle name="Normal 35 3 5 5 2" xfId="28393" xr:uid="{00000000-0005-0000-0000-00008A450000}"/>
    <cellStyle name="Normal 35 3 5 5 2 2" xfId="28395" xr:uid="{00000000-0005-0000-0000-00008B450000}"/>
    <cellStyle name="Normal 35 3 5 5 3" xfId="28397" xr:uid="{00000000-0005-0000-0000-00008C450000}"/>
    <cellStyle name="Normal 35 3 5 6" xfId="28399" xr:uid="{00000000-0005-0000-0000-00008D450000}"/>
    <cellStyle name="Normal 35 3 5 6 2" xfId="28401" xr:uid="{00000000-0005-0000-0000-00008E450000}"/>
    <cellStyle name="Normal 35 3 5 7" xfId="28403" xr:uid="{00000000-0005-0000-0000-00008F450000}"/>
    <cellStyle name="Normal 35 3 5 7 2" xfId="28405" xr:uid="{00000000-0005-0000-0000-000090450000}"/>
    <cellStyle name="Normal 35 3 5 8" xfId="28407" xr:uid="{00000000-0005-0000-0000-000091450000}"/>
    <cellStyle name="Normal 35 3 5 9" xfId="28409" xr:uid="{00000000-0005-0000-0000-000092450000}"/>
    <cellStyle name="Normal 35 3 6" xfId="4167" xr:uid="{00000000-0005-0000-0000-000093450000}"/>
    <cellStyle name="Normal 35 3 6 2" xfId="28411" xr:uid="{00000000-0005-0000-0000-000094450000}"/>
    <cellStyle name="Normal 35 3 6 2 2" xfId="7370" xr:uid="{00000000-0005-0000-0000-000095450000}"/>
    <cellStyle name="Normal 35 3 6 2 2 2" xfId="28413" xr:uid="{00000000-0005-0000-0000-000096450000}"/>
    <cellStyle name="Normal 35 3 6 2 2 2 2" xfId="28415" xr:uid="{00000000-0005-0000-0000-000097450000}"/>
    <cellStyle name="Normal 35 3 6 2 2 3" xfId="28417" xr:uid="{00000000-0005-0000-0000-000098450000}"/>
    <cellStyle name="Normal 35 3 6 2 3" xfId="23730" xr:uid="{00000000-0005-0000-0000-000099450000}"/>
    <cellStyle name="Normal 35 3 6 2 3 2" xfId="28421" xr:uid="{00000000-0005-0000-0000-00009A450000}"/>
    <cellStyle name="Normal 35 3 6 2 4" xfId="28423" xr:uid="{00000000-0005-0000-0000-00009B450000}"/>
    <cellStyle name="Normal 35 3 6 2 5" xfId="28425" xr:uid="{00000000-0005-0000-0000-00009C450000}"/>
    <cellStyle name="Normal 35 3 6 3" xfId="28428" xr:uid="{00000000-0005-0000-0000-00009D450000}"/>
    <cellStyle name="Normal 35 3 6 3 2" xfId="28430" xr:uid="{00000000-0005-0000-0000-00009E450000}"/>
    <cellStyle name="Normal 35 3 6 3 2 2" xfId="28432" xr:uid="{00000000-0005-0000-0000-00009F450000}"/>
    <cellStyle name="Normal 35 3 6 3 3" xfId="28434" xr:uid="{00000000-0005-0000-0000-0000A0450000}"/>
    <cellStyle name="Normal 35 3 6 4" xfId="28437" xr:uid="{00000000-0005-0000-0000-0000A1450000}"/>
    <cellStyle name="Normal 35 3 6 4 2" xfId="28439" xr:uid="{00000000-0005-0000-0000-0000A2450000}"/>
    <cellStyle name="Normal 35 3 6 4 2 2" xfId="28441" xr:uid="{00000000-0005-0000-0000-0000A3450000}"/>
    <cellStyle name="Normal 35 3 6 4 3" xfId="28443" xr:uid="{00000000-0005-0000-0000-0000A4450000}"/>
    <cellStyle name="Normal 35 3 6 5" xfId="28445" xr:uid="{00000000-0005-0000-0000-0000A5450000}"/>
    <cellStyle name="Normal 35 3 6 5 2" xfId="10143" xr:uid="{00000000-0005-0000-0000-0000A6450000}"/>
    <cellStyle name="Normal 35 3 6 6" xfId="28447" xr:uid="{00000000-0005-0000-0000-0000A7450000}"/>
    <cellStyle name="Normal 35 3 6 6 2" xfId="28449" xr:uid="{00000000-0005-0000-0000-0000A8450000}"/>
    <cellStyle name="Normal 35 3 6 7" xfId="28451" xr:uid="{00000000-0005-0000-0000-0000A9450000}"/>
    <cellStyle name="Normal 35 3 6 8" xfId="28453" xr:uid="{00000000-0005-0000-0000-0000AA450000}"/>
    <cellStyle name="Normal 35 3 7" xfId="5618" xr:uid="{00000000-0005-0000-0000-0000AB450000}"/>
    <cellStyle name="Normal 35 3 7 2" xfId="8693" xr:uid="{00000000-0005-0000-0000-0000AC450000}"/>
    <cellStyle name="Normal 35 3 7 2 2" xfId="13644" xr:uid="{00000000-0005-0000-0000-0000AD450000}"/>
    <cellStyle name="Normal 35 3 7 2 2 2" xfId="13647" xr:uid="{00000000-0005-0000-0000-0000AE450000}"/>
    <cellStyle name="Normal 35 3 7 2 3" xfId="13651" xr:uid="{00000000-0005-0000-0000-0000AF450000}"/>
    <cellStyle name="Normal 35 3 7 3" xfId="17645" xr:uid="{00000000-0005-0000-0000-0000B0450000}"/>
    <cellStyle name="Normal 35 3 7 3 2" xfId="28455" xr:uid="{00000000-0005-0000-0000-0000B1450000}"/>
    <cellStyle name="Normal 35 3 7 4" xfId="28457" xr:uid="{00000000-0005-0000-0000-0000B2450000}"/>
    <cellStyle name="Normal 35 3 7 5" xfId="27672" xr:uid="{00000000-0005-0000-0000-0000B3450000}"/>
    <cellStyle name="Normal 35 3 8" xfId="28459" xr:uid="{00000000-0005-0000-0000-0000B4450000}"/>
    <cellStyle name="Normal 35 3 8 2" xfId="437" xr:uid="{00000000-0005-0000-0000-0000B5450000}"/>
    <cellStyle name="Normal 35 3 8 2 2" xfId="13940" xr:uid="{00000000-0005-0000-0000-0000B6450000}"/>
    <cellStyle name="Normal 35 3 8 3" xfId="13999" xr:uid="{00000000-0005-0000-0000-0000B7450000}"/>
    <cellStyle name="Normal 35 3 9" xfId="3936" xr:uid="{00000000-0005-0000-0000-0000B8450000}"/>
    <cellStyle name="Normal 35 3 9 2" xfId="14060" xr:uid="{00000000-0005-0000-0000-0000B9450000}"/>
    <cellStyle name="Normal 35 3 9 2 2" xfId="28461" xr:uid="{00000000-0005-0000-0000-0000BA450000}"/>
    <cellStyle name="Normal 35 3 9 3" xfId="14094" xr:uid="{00000000-0005-0000-0000-0000BB450000}"/>
    <cellStyle name="Normal 35 4" xfId="28467" xr:uid="{00000000-0005-0000-0000-0000BC450000}"/>
    <cellStyle name="Normal 35 4 10" xfId="28469" xr:uid="{00000000-0005-0000-0000-0000BD450000}"/>
    <cellStyle name="Normal 35 4 10 2" xfId="28471" xr:uid="{00000000-0005-0000-0000-0000BE450000}"/>
    <cellStyle name="Normal 35 4 11" xfId="28473" xr:uid="{00000000-0005-0000-0000-0000BF450000}"/>
    <cellStyle name="Normal 35 4 11 2" xfId="28475" xr:uid="{00000000-0005-0000-0000-0000C0450000}"/>
    <cellStyle name="Normal 35 4 12" xfId="13224" xr:uid="{00000000-0005-0000-0000-0000C1450000}"/>
    <cellStyle name="Normal 35 4 12 2" xfId="28477" xr:uid="{00000000-0005-0000-0000-0000C2450000}"/>
    <cellStyle name="Normal 35 4 13" xfId="28481" xr:uid="{00000000-0005-0000-0000-0000C3450000}"/>
    <cellStyle name="Normal 35 4 14" xfId="28485" xr:uid="{00000000-0005-0000-0000-0000C4450000}"/>
    <cellStyle name="Normal 35 4 2" xfId="28487" xr:uid="{00000000-0005-0000-0000-0000C5450000}"/>
    <cellStyle name="Normal 35 4 2 10" xfId="2822" xr:uid="{00000000-0005-0000-0000-0000C6450000}"/>
    <cellStyle name="Normal 35 4 2 2" xfId="23306" xr:uid="{00000000-0005-0000-0000-0000C7450000}"/>
    <cellStyle name="Normal 35 4 2 2 2" xfId="28489" xr:uid="{00000000-0005-0000-0000-0000C8450000}"/>
    <cellStyle name="Normal 35 4 2 2 2 2" xfId="28491" xr:uid="{00000000-0005-0000-0000-0000C9450000}"/>
    <cellStyle name="Normal 35 4 2 2 2 2 2" xfId="28493" xr:uid="{00000000-0005-0000-0000-0000CA450000}"/>
    <cellStyle name="Normal 35 4 2 2 2 2 2 2" xfId="28497" xr:uid="{00000000-0005-0000-0000-0000CB450000}"/>
    <cellStyle name="Normal 35 4 2 2 2 2 2 2 2" xfId="28499" xr:uid="{00000000-0005-0000-0000-0000CC450000}"/>
    <cellStyle name="Normal 35 4 2 2 2 2 2 3" xfId="28503" xr:uid="{00000000-0005-0000-0000-0000CD450000}"/>
    <cellStyle name="Normal 35 4 2 2 2 2 3" xfId="11964" xr:uid="{00000000-0005-0000-0000-0000CE450000}"/>
    <cellStyle name="Normal 35 4 2 2 2 2 3 2" xfId="28505" xr:uid="{00000000-0005-0000-0000-0000CF450000}"/>
    <cellStyle name="Normal 35 4 2 2 2 2 4" xfId="28507" xr:uid="{00000000-0005-0000-0000-0000D0450000}"/>
    <cellStyle name="Normal 35 4 2 2 2 3" xfId="28509" xr:uid="{00000000-0005-0000-0000-0000D1450000}"/>
    <cellStyle name="Normal 35 4 2 2 2 3 2" xfId="16548" xr:uid="{00000000-0005-0000-0000-0000D2450000}"/>
    <cellStyle name="Normal 35 4 2 2 2 3 2 2" xfId="28511" xr:uid="{00000000-0005-0000-0000-0000D3450000}"/>
    <cellStyle name="Normal 35 4 2 2 2 3 3" xfId="28513" xr:uid="{00000000-0005-0000-0000-0000D4450000}"/>
    <cellStyle name="Normal 35 4 2 2 2 4" xfId="22192" xr:uid="{00000000-0005-0000-0000-0000D5450000}"/>
    <cellStyle name="Normal 35 4 2 2 2 4 2" xfId="22196" xr:uid="{00000000-0005-0000-0000-0000D6450000}"/>
    <cellStyle name="Normal 35 4 2 2 2 4 2 2" xfId="28516" xr:uid="{00000000-0005-0000-0000-0000D7450000}"/>
    <cellStyle name="Normal 35 4 2 2 2 4 3" xfId="28519" xr:uid="{00000000-0005-0000-0000-0000D8450000}"/>
    <cellStyle name="Normal 35 4 2 2 2 5" xfId="22200" xr:uid="{00000000-0005-0000-0000-0000D9450000}"/>
    <cellStyle name="Normal 35 4 2 2 2 5 2" xfId="28522" xr:uid="{00000000-0005-0000-0000-0000DA450000}"/>
    <cellStyle name="Normal 35 4 2 2 2 6" xfId="28527" xr:uid="{00000000-0005-0000-0000-0000DB450000}"/>
    <cellStyle name="Normal 35 4 2 2 2 6 2" xfId="28531" xr:uid="{00000000-0005-0000-0000-0000DC450000}"/>
    <cellStyle name="Normal 35 4 2 2 2 7" xfId="21029" xr:uid="{00000000-0005-0000-0000-0000DD450000}"/>
    <cellStyle name="Normal 35 4 2 2 2 8" xfId="15460" xr:uid="{00000000-0005-0000-0000-0000DE450000}"/>
    <cellStyle name="Normal 35 4 2 2 3" xfId="28533" xr:uid="{00000000-0005-0000-0000-0000DF450000}"/>
    <cellStyle name="Normal 35 4 2 2 3 2" xfId="28536" xr:uid="{00000000-0005-0000-0000-0000E0450000}"/>
    <cellStyle name="Normal 35 4 2 2 3 2 2" xfId="28539" xr:uid="{00000000-0005-0000-0000-0000E1450000}"/>
    <cellStyle name="Normal 35 4 2 2 3 2 2 2" xfId="28544" xr:uid="{00000000-0005-0000-0000-0000E2450000}"/>
    <cellStyle name="Normal 35 4 2 2 3 2 3" xfId="28548" xr:uid="{00000000-0005-0000-0000-0000E3450000}"/>
    <cellStyle name="Normal 35 4 2 2 3 3" xfId="28550" xr:uid="{00000000-0005-0000-0000-0000E4450000}"/>
    <cellStyle name="Normal 35 4 2 2 3 3 2" xfId="28552" xr:uid="{00000000-0005-0000-0000-0000E5450000}"/>
    <cellStyle name="Normal 35 4 2 2 3 4" xfId="22210" xr:uid="{00000000-0005-0000-0000-0000E6450000}"/>
    <cellStyle name="Normal 35 4 2 2 4" xfId="28554" xr:uid="{00000000-0005-0000-0000-0000E7450000}"/>
    <cellStyle name="Normal 35 4 2 2 4 2" xfId="28557" xr:uid="{00000000-0005-0000-0000-0000E8450000}"/>
    <cellStyle name="Normal 35 4 2 2 4 2 2" xfId="28560" xr:uid="{00000000-0005-0000-0000-0000E9450000}"/>
    <cellStyle name="Normal 35 4 2 2 4 3" xfId="28562" xr:uid="{00000000-0005-0000-0000-0000EA450000}"/>
    <cellStyle name="Normal 35 4 2 2 5" xfId="28564" xr:uid="{00000000-0005-0000-0000-0000EB450000}"/>
    <cellStyle name="Normal 35 4 2 2 5 2" xfId="28566" xr:uid="{00000000-0005-0000-0000-0000EC450000}"/>
    <cellStyle name="Normal 35 4 2 2 5 2 2" xfId="28568" xr:uid="{00000000-0005-0000-0000-0000ED450000}"/>
    <cellStyle name="Normal 35 4 2 2 5 3" xfId="28570" xr:uid="{00000000-0005-0000-0000-0000EE450000}"/>
    <cellStyle name="Normal 35 4 2 2 6" xfId="28572" xr:uid="{00000000-0005-0000-0000-0000EF450000}"/>
    <cellStyle name="Normal 35 4 2 2 6 2" xfId="28574" xr:uid="{00000000-0005-0000-0000-0000F0450000}"/>
    <cellStyle name="Normal 35 4 2 2 7" xfId="28576" xr:uid="{00000000-0005-0000-0000-0000F1450000}"/>
    <cellStyle name="Normal 35 4 2 2 7 2" xfId="28581" xr:uid="{00000000-0005-0000-0000-0000F2450000}"/>
    <cellStyle name="Normal 35 4 2 2 8" xfId="8244" xr:uid="{00000000-0005-0000-0000-0000F3450000}"/>
    <cellStyle name="Normal 35 4 2 2 9" xfId="5207" xr:uid="{00000000-0005-0000-0000-0000F4450000}"/>
    <cellStyle name="Normal 35 4 2 3" xfId="15952" xr:uid="{00000000-0005-0000-0000-0000F5450000}"/>
    <cellStyle name="Normal 35 4 2 3 2" xfId="28583" xr:uid="{00000000-0005-0000-0000-0000F6450000}"/>
    <cellStyle name="Normal 35 4 2 3 2 2" xfId="28586" xr:uid="{00000000-0005-0000-0000-0000F7450000}"/>
    <cellStyle name="Normal 35 4 2 3 2 2 2" xfId="28589" xr:uid="{00000000-0005-0000-0000-0000F8450000}"/>
    <cellStyle name="Normal 35 4 2 3 2 2 2 2" xfId="28593" xr:uid="{00000000-0005-0000-0000-0000F9450000}"/>
    <cellStyle name="Normal 35 4 2 3 2 2 3" xfId="28595" xr:uid="{00000000-0005-0000-0000-0000FA450000}"/>
    <cellStyle name="Normal 35 4 2 3 2 3" xfId="28598" xr:uid="{00000000-0005-0000-0000-0000FB450000}"/>
    <cellStyle name="Normal 35 4 2 3 2 3 2" xfId="28600" xr:uid="{00000000-0005-0000-0000-0000FC450000}"/>
    <cellStyle name="Normal 35 4 2 3 2 4" xfId="22249" xr:uid="{00000000-0005-0000-0000-0000FD450000}"/>
    <cellStyle name="Normal 35 4 2 3 3" xfId="28602" xr:uid="{00000000-0005-0000-0000-0000FE450000}"/>
    <cellStyle name="Normal 35 4 2 3 3 2" xfId="28605" xr:uid="{00000000-0005-0000-0000-0000FF450000}"/>
    <cellStyle name="Normal 35 4 2 3 3 2 2" xfId="28607" xr:uid="{00000000-0005-0000-0000-000000460000}"/>
    <cellStyle name="Normal 35 4 2 3 3 3" xfId="28609" xr:uid="{00000000-0005-0000-0000-000001460000}"/>
    <cellStyle name="Normal 35 4 2 3 4" xfId="28611" xr:uid="{00000000-0005-0000-0000-000002460000}"/>
    <cellStyle name="Normal 35 4 2 3 4 2" xfId="19704" xr:uid="{00000000-0005-0000-0000-000003460000}"/>
    <cellStyle name="Normal 35 4 2 3 4 2 2" xfId="28614" xr:uid="{00000000-0005-0000-0000-000004460000}"/>
    <cellStyle name="Normal 35 4 2 3 4 3" xfId="28616" xr:uid="{00000000-0005-0000-0000-000005460000}"/>
    <cellStyle name="Normal 35 4 2 3 5" xfId="547" xr:uid="{00000000-0005-0000-0000-000006460000}"/>
    <cellStyle name="Normal 35 4 2 3 5 2" xfId="1612" xr:uid="{00000000-0005-0000-0000-000007460000}"/>
    <cellStyle name="Normal 35 4 2 3 6" xfId="659" xr:uid="{00000000-0005-0000-0000-000008460000}"/>
    <cellStyle name="Normal 35 4 2 3 6 2" xfId="5444" xr:uid="{00000000-0005-0000-0000-000009460000}"/>
    <cellStyle name="Normal 35 4 2 3 7" xfId="732" xr:uid="{00000000-0005-0000-0000-00000A460000}"/>
    <cellStyle name="Normal 35 4 2 3 8" xfId="814" xr:uid="{00000000-0005-0000-0000-00000B460000}"/>
    <cellStyle name="Normal 35 4 2 4" xfId="28618" xr:uid="{00000000-0005-0000-0000-00000C460000}"/>
    <cellStyle name="Normal 35 4 2 4 2" xfId="28620" xr:uid="{00000000-0005-0000-0000-00000D460000}"/>
    <cellStyle name="Normal 35 4 2 4 2 2" xfId="28623" xr:uid="{00000000-0005-0000-0000-00000E460000}"/>
    <cellStyle name="Normal 35 4 2 4 2 2 2" xfId="28625" xr:uid="{00000000-0005-0000-0000-00000F460000}"/>
    <cellStyle name="Normal 35 4 2 4 2 3" xfId="28627" xr:uid="{00000000-0005-0000-0000-000010460000}"/>
    <cellStyle name="Normal 35 4 2 4 3" xfId="28629" xr:uid="{00000000-0005-0000-0000-000011460000}"/>
    <cellStyle name="Normal 35 4 2 4 3 2" xfId="28631" xr:uid="{00000000-0005-0000-0000-000012460000}"/>
    <cellStyle name="Normal 35 4 2 4 4" xfId="28633" xr:uid="{00000000-0005-0000-0000-000013460000}"/>
    <cellStyle name="Normal 35 4 2 5" xfId="28635" xr:uid="{00000000-0005-0000-0000-000014460000}"/>
    <cellStyle name="Normal 35 4 2 5 2" xfId="28637" xr:uid="{00000000-0005-0000-0000-000015460000}"/>
    <cellStyle name="Normal 35 4 2 5 2 2" xfId="28639" xr:uid="{00000000-0005-0000-0000-000016460000}"/>
    <cellStyle name="Normal 35 4 2 5 3" xfId="28641" xr:uid="{00000000-0005-0000-0000-000017460000}"/>
    <cellStyle name="Normal 35 4 2 6" xfId="28645" xr:uid="{00000000-0005-0000-0000-000018460000}"/>
    <cellStyle name="Normal 35 4 2 6 2" xfId="26917" xr:uid="{00000000-0005-0000-0000-000019460000}"/>
    <cellStyle name="Normal 35 4 2 6 2 2" xfId="28647" xr:uid="{00000000-0005-0000-0000-00001A460000}"/>
    <cellStyle name="Normal 35 4 2 6 3" xfId="28650" xr:uid="{00000000-0005-0000-0000-00001B460000}"/>
    <cellStyle name="Normal 35 4 2 7" xfId="28652" xr:uid="{00000000-0005-0000-0000-00001C460000}"/>
    <cellStyle name="Normal 35 4 2 7 2" xfId="28654" xr:uid="{00000000-0005-0000-0000-00001D460000}"/>
    <cellStyle name="Normal 35 4 2 8" xfId="23429" xr:uid="{00000000-0005-0000-0000-00001E460000}"/>
    <cellStyle name="Normal 35 4 2 8 2" xfId="28656" xr:uid="{00000000-0005-0000-0000-00001F460000}"/>
    <cellStyle name="Normal 35 4 2 9" xfId="28658" xr:uid="{00000000-0005-0000-0000-000020460000}"/>
    <cellStyle name="Normal 35 4 3" xfId="1200" xr:uid="{00000000-0005-0000-0000-000021460000}"/>
    <cellStyle name="Normal 35 4 3 2" xfId="1214" xr:uid="{00000000-0005-0000-0000-000022460000}"/>
    <cellStyle name="Normal 35 4 3 2 2" xfId="6625" xr:uid="{00000000-0005-0000-0000-000023460000}"/>
    <cellStyle name="Normal 35 4 3 2 2 2" xfId="6639" xr:uid="{00000000-0005-0000-0000-000024460000}"/>
    <cellStyle name="Normal 35 4 3 2 2 2 2" xfId="8700" xr:uid="{00000000-0005-0000-0000-000025460000}"/>
    <cellStyle name="Normal 35 4 3 2 2 2 2 2" xfId="28660" xr:uid="{00000000-0005-0000-0000-000026460000}"/>
    <cellStyle name="Normal 35 4 3 2 2 2 3" xfId="28663" xr:uid="{00000000-0005-0000-0000-000027460000}"/>
    <cellStyle name="Normal 35 4 3 2 2 3" xfId="28667" xr:uid="{00000000-0005-0000-0000-000028460000}"/>
    <cellStyle name="Normal 35 4 3 2 2 3 2" xfId="28669" xr:uid="{00000000-0005-0000-0000-000029460000}"/>
    <cellStyle name="Normal 35 4 3 2 2 4" xfId="22345" xr:uid="{00000000-0005-0000-0000-00002A460000}"/>
    <cellStyle name="Normal 35 4 3 2 2 5" xfId="28674" xr:uid="{00000000-0005-0000-0000-00002B460000}"/>
    <cellStyle name="Normal 35 4 3 2 3" xfId="6293" xr:uid="{00000000-0005-0000-0000-00002C460000}"/>
    <cellStyle name="Normal 35 4 3 2 3 2" xfId="6017" xr:uid="{00000000-0005-0000-0000-00002D460000}"/>
    <cellStyle name="Normal 35 4 3 2 3 2 2" xfId="28681" xr:uid="{00000000-0005-0000-0000-00002E460000}"/>
    <cellStyle name="Normal 35 4 3 2 3 3" xfId="28683" xr:uid="{00000000-0005-0000-0000-00002F460000}"/>
    <cellStyle name="Normal 35 4 3 2 4" xfId="6302" xr:uid="{00000000-0005-0000-0000-000030460000}"/>
    <cellStyle name="Normal 35 4 3 2 4 2" xfId="28685" xr:uid="{00000000-0005-0000-0000-000031460000}"/>
    <cellStyle name="Normal 35 4 3 2 4 2 2" xfId="28687" xr:uid="{00000000-0005-0000-0000-000032460000}"/>
    <cellStyle name="Normal 35 4 3 2 4 3" xfId="28689" xr:uid="{00000000-0005-0000-0000-000033460000}"/>
    <cellStyle name="Normal 35 4 3 2 5" xfId="25351" xr:uid="{00000000-0005-0000-0000-000034460000}"/>
    <cellStyle name="Normal 35 4 3 2 5 2" xfId="28693" xr:uid="{00000000-0005-0000-0000-000035460000}"/>
    <cellStyle name="Normal 35 4 3 2 6" xfId="28697" xr:uid="{00000000-0005-0000-0000-000036460000}"/>
    <cellStyle name="Normal 35 4 3 2 6 2" xfId="28701" xr:uid="{00000000-0005-0000-0000-000037460000}"/>
    <cellStyle name="Normal 35 4 3 2 7" xfId="28705" xr:uid="{00000000-0005-0000-0000-000038460000}"/>
    <cellStyle name="Normal 35 4 3 2 8" xfId="8383" xr:uid="{00000000-0005-0000-0000-000039460000}"/>
    <cellStyle name="Normal 35 4 3 3" xfId="28707" xr:uid="{00000000-0005-0000-0000-00003A460000}"/>
    <cellStyle name="Normal 35 4 3 3 2" xfId="8722" xr:uid="{00000000-0005-0000-0000-00003B460000}"/>
    <cellStyle name="Normal 35 4 3 3 2 2" xfId="8734" xr:uid="{00000000-0005-0000-0000-00003C460000}"/>
    <cellStyle name="Normal 35 4 3 3 2 2 2" xfId="28710" xr:uid="{00000000-0005-0000-0000-00003D460000}"/>
    <cellStyle name="Normal 35 4 3 3 2 3" xfId="28713" xr:uid="{00000000-0005-0000-0000-00003E460000}"/>
    <cellStyle name="Normal 35 4 3 3 3" xfId="6317" xr:uid="{00000000-0005-0000-0000-00003F460000}"/>
    <cellStyle name="Normal 35 4 3 3 3 2" xfId="28717" xr:uid="{00000000-0005-0000-0000-000040460000}"/>
    <cellStyle name="Normal 35 4 3 3 4" xfId="28719" xr:uid="{00000000-0005-0000-0000-000041460000}"/>
    <cellStyle name="Normal 35 4 3 3 5" xfId="6965" xr:uid="{00000000-0005-0000-0000-000042460000}"/>
    <cellStyle name="Normal 35 4 3 4" xfId="28721" xr:uid="{00000000-0005-0000-0000-000043460000}"/>
    <cellStyle name="Normal 35 4 3 4 2" xfId="28723" xr:uid="{00000000-0005-0000-0000-000044460000}"/>
    <cellStyle name="Normal 35 4 3 4 2 2" xfId="28727" xr:uid="{00000000-0005-0000-0000-000045460000}"/>
    <cellStyle name="Normal 35 4 3 4 3" xfId="28729" xr:uid="{00000000-0005-0000-0000-000046460000}"/>
    <cellStyle name="Normal 35 4 3 5" xfId="28731" xr:uid="{00000000-0005-0000-0000-000047460000}"/>
    <cellStyle name="Normal 35 4 3 5 2" xfId="28733" xr:uid="{00000000-0005-0000-0000-000048460000}"/>
    <cellStyle name="Normal 35 4 3 5 2 2" xfId="28736" xr:uid="{00000000-0005-0000-0000-000049460000}"/>
    <cellStyle name="Normal 35 4 3 5 3" xfId="28738" xr:uid="{00000000-0005-0000-0000-00004A460000}"/>
    <cellStyle name="Normal 35 4 3 6" xfId="1795" xr:uid="{00000000-0005-0000-0000-00004B460000}"/>
    <cellStyle name="Normal 35 4 3 6 2" xfId="8749" xr:uid="{00000000-0005-0000-0000-00004C460000}"/>
    <cellStyle name="Normal 35 4 3 7" xfId="8754" xr:uid="{00000000-0005-0000-0000-00004D460000}"/>
    <cellStyle name="Normal 35 4 3 7 2" xfId="28740" xr:uid="{00000000-0005-0000-0000-00004E460000}"/>
    <cellStyle name="Normal 35 4 3 8" xfId="28742" xr:uid="{00000000-0005-0000-0000-00004F460000}"/>
    <cellStyle name="Normal 35 4 3 9" xfId="28744" xr:uid="{00000000-0005-0000-0000-000050460000}"/>
    <cellStyle name="Normal 35 4 4" xfId="1238" xr:uid="{00000000-0005-0000-0000-000051460000}"/>
    <cellStyle name="Normal 35 4 4 2" xfId="28746" xr:uid="{00000000-0005-0000-0000-000052460000}"/>
    <cellStyle name="Normal 35 4 4 2 2" xfId="6689" xr:uid="{00000000-0005-0000-0000-000053460000}"/>
    <cellStyle name="Normal 35 4 4 2 2 2" xfId="4486" xr:uid="{00000000-0005-0000-0000-000054460000}"/>
    <cellStyle name="Normal 35 4 4 2 2 2 2" xfId="4499" xr:uid="{00000000-0005-0000-0000-000055460000}"/>
    <cellStyle name="Normal 35 4 4 2 2 2 2 2" xfId="28748" xr:uid="{00000000-0005-0000-0000-000056460000}"/>
    <cellStyle name="Normal 35 4 4 2 2 2 3" xfId="4511" xr:uid="{00000000-0005-0000-0000-000057460000}"/>
    <cellStyle name="Normal 35 4 4 2 2 3" xfId="22873" xr:uid="{00000000-0005-0000-0000-000058460000}"/>
    <cellStyle name="Normal 35 4 4 2 2 3 2" xfId="28752" xr:uid="{00000000-0005-0000-0000-000059460000}"/>
    <cellStyle name="Normal 35 4 4 2 2 4" xfId="22445" xr:uid="{00000000-0005-0000-0000-00005A460000}"/>
    <cellStyle name="Normal 35 4 4 2 3" xfId="6375" xr:uid="{00000000-0005-0000-0000-00005B460000}"/>
    <cellStyle name="Normal 35 4 4 2 3 2" xfId="28754" xr:uid="{00000000-0005-0000-0000-00005C460000}"/>
    <cellStyle name="Normal 35 4 4 2 3 2 2" xfId="28756" xr:uid="{00000000-0005-0000-0000-00005D460000}"/>
    <cellStyle name="Normal 35 4 4 2 3 3" xfId="28758" xr:uid="{00000000-0005-0000-0000-00005E460000}"/>
    <cellStyle name="Normal 35 4 4 2 4" xfId="28762" xr:uid="{00000000-0005-0000-0000-00005F460000}"/>
    <cellStyle name="Normal 35 4 4 2 4 2" xfId="28764" xr:uid="{00000000-0005-0000-0000-000060460000}"/>
    <cellStyle name="Normal 35 4 4 2 4 2 2" xfId="28766" xr:uid="{00000000-0005-0000-0000-000061460000}"/>
    <cellStyle name="Normal 35 4 4 2 4 3" xfId="28768" xr:uid="{00000000-0005-0000-0000-000062460000}"/>
    <cellStyle name="Normal 35 4 4 2 5" xfId="28772" xr:uid="{00000000-0005-0000-0000-000063460000}"/>
    <cellStyle name="Normal 35 4 4 2 5 2" xfId="28776" xr:uid="{00000000-0005-0000-0000-000064460000}"/>
    <cellStyle name="Normal 35 4 4 2 6" xfId="28780" xr:uid="{00000000-0005-0000-0000-000065460000}"/>
    <cellStyle name="Normal 35 4 4 2 6 2" xfId="28784" xr:uid="{00000000-0005-0000-0000-000066460000}"/>
    <cellStyle name="Normal 35 4 4 2 7" xfId="28788" xr:uid="{00000000-0005-0000-0000-000067460000}"/>
    <cellStyle name="Normal 35 4 4 2 8" xfId="12673" xr:uid="{00000000-0005-0000-0000-000068460000}"/>
    <cellStyle name="Normal 35 4 4 3" xfId="28790" xr:uid="{00000000-0005-0000-0000-000069460000}"/>
    <cellStyle name="Normal 35 4 4 3 2" xfId="8763" xr:uid="{00000000-0005-0000-0000-00006A460000}"/>
    <cellStyle name="Normal 35 4 4 3 2 2" xfId="28793" xr:uid="{00000000-0005-0000-0000-00006B460000}"/>
    <cellStyle name="Normal 35 4 4 3 2 2 2" xfId="28795" xr:uid="{00000000-0005-0000-0000-00006C460000}"/>
    <cellStyle name="Normal 35 4 4 3 2 3" xfId="28797" xr:uid="{00000000-0005-0000-0000-00006D460000}"/>
    <cellStyle name="Normal 35 4 4 3 3" xfId="28799" xr:uid="{00000000-0005-0000-0000-00006E460000}"/>
    <cellStyle name="Normal 35 4 4 3 3 2" xfId="28801" xr:uid="{00000000-0005-0000-0000-00006F460000}"/>
    <cellStyle name="Normal 35 4 4 3 4" xfId="28804" xr:uid="{00000000-0005-0000-0000-000070460000}"/>
    <cellStyle name="Normal 35 4 4 4" xfId="28806" xr:uid="{00000000-0005-0000-0000-000071460000}"/>
    <cellStyle name="Normal 35 4 4 4 2" xfId="24264" xr:uid="{00000000-0005-0000-0000-000072460000}"/>
    <cellStyle name="Normal 35 4 4 4 2 2" xfId="28808" xr:uid="{00000000-0005-0000-0000-000073460000}"/>
    <cellStyle name="Normal 35 4 4 4 3" xfId="28810" xr:uid="{00000000-0005-0000-0000-000074460000}"/>
    <cellStyle name="Normal 35 4 4 5" xfId="28812" xr:uid="{00000000-0005-0000-0000-000075460000}"/>
    <cellStyle name="Normal 35 4 4 5 2" xfId="28814" xr:uid="{00000000-0005-0000-0000-000076460000}"/>
    <cellStyle name="Normal 35 4 4 5 2 2" xfId="28816" xr:uid="{00000000-0005-0000-0000-000077460000}"/>
    <cellStyle name="Normal 35 4 4 5 3" xfId="28818" xr:uid="{00000000-0005-0000-0000-000078460000}"/>
    <cellStyle name="Normal 35 4 4 6" xfId="24582" xr:uid="{00000000-0005-0000-0000-000079460000}"/>
    <cellStyle name="Normal 35 4 4 6 2" xfId="28820" xr:uid="{00000000-0005-0000-0000-00007A460000}"/>
    <cellStyle name="Normal 35 4 4 7" xfId="28822" xr:uid="{00000000-0005-0000-0000-00007B460000}"/>
    <cellStyle name="Normal 35 4 4 7 2" xfId="28824" xr:uid="{00000000-0005-0000-0000-00007C460000}"/>
    <cellStyle name="Normal 35 4 4 8" xfId="28826" xr:uid="{00000000-0005-0000-0000-00007D460000}"/>
    <cellStyle name="Normal 35 4 4 9" xfId="28830" xr:uid="{00000000-0005-0000-0000-00007E460000}"/>
    <cellStyle name="Normal 35 4 5" xfId="28832" xr:uid="{00000000-0005-0000-0000-00007F460000}"/>
    <cellStyle name="Normal 35 4 5 2" xfId="28834" xr:uid="{00000000-0005-0000-0000-000080460000}"/>
    <cellStyle name="Normal 35 4 5 2 2" xfId="8769" xr:uid="{00000000-0005-0000-0000-000081460000}"/>
    <cellStyle name="Normal 35 4 5 2 2 2" xfId="25380" xr:uid="{00000000-0005-0000-0000-000082460000}"/>
    <cellStyle name="Normal 35 4 5 2 2 2 2" xfId="28836" xr:uid="{00000000-0005-0000-0000-000083460000}"/>
    <cellStyle name="Normal 35 4 5 2 2 2 2 2" xfId="28838" xr:uid="{00000000-0005-0000-0000-000084460000}"/>
    <cellStyle name="Normal 35 4 5 2 2 2 3" xfId="28840" xr:uid="{00000000-0005-0000-0000-000085460000}"/>
    <cellStyle name="Normal 35 4 5 2 2 3" xfId="28842" xr:uid="{00000000-0005-0000-0000-000086460000}"/>
    <cellStyle name="Normal 35 4 5 2 2 3 2" xfId="28844" xr:uid="{00000000-0005-0000-0000-000087460000}"/>
    <cellStyle name="Normal 35 4 5 2 2 4" xfId="7885" xr:uid="{00000000-0005-0000-0000-000088460000}"/>
    <cellStyle name="Normal 35 4 5 2 3" xfId="25383" xr:uid="{00000000-0005-0000-0000-000089460000}"/>
    <cellStyle name="Normal 35 4 5 2 3 2" xfId="28846" xr:uid="{00000000-0005-0000-0000-00008A460000}"/>
    <cellStyle name="Normal 35 4 5 2 3 2 2" xfId="28848" xr:uid="{00000000-0005-0000-0000-00008B460000}"/>
    <cellStyle name="Normal 35 4 5 2 3 3" xfId="28850" xr:uid="{00000000-0005-0000-0000-00008C460000}"/>
    <cellStyle name="Normal 35 4 5 2 4" xfId="28852" xr:uid="{00000000-0005-0000-0000-00008D460000}"/>
    <cellStyle name="Normal 35 4 5 2 4 2" xfId="28854" xr:uid="{00000000-0005-0000-0000-00008E460000}"/>
    <cellStyle name="Normal 35 4 5 2 4 2 2" xfId="28856" xr:uid="{00000000-0005-0000-0000-00008F460000}"/>
    <cellStyle name="Normal 35 4 5 2 4 3" xfId="28858" xr:uid="{00000000-0005-0000-0000-000090460000}"/>
    <cellStyle name="Normal 35 4 5 2 5" xfId="28116" xr:uid="{00000000-0005-0000-0000-000091460000}"/>
    <cellStyle name="Normal 35 4 5 2 5 2" xfId="28862" xr:uid="{00000000-0005-0000-0000-000092460000}"/>
    <cellStyle name="Normal 35 4 5 2 6" xfId="28866" xr:uid="{00000000-0005-0000-0000-000093460000}"/>
    <cellStyle name="Normal 35 4 5 2 6 2" xfId="28870" xr:uid="{00000000-0005-0000-0000-000094460000}"/>
    <cellStyle name="Normal 35 4 5 2 7" xfId="28874" xr:uid="{00000000-0005-0000-0000-000095460000}"/>
    <cellStyle name="Normal 35 4 5 2 8" xfId="28876" xr:uid="{00000000-0005-0000-0000-000096460000}"/>
    <cellStyle name="Normal 35 4 5 3" xfId="28878" xr:uid="{00000000-0005-0000-0000-000097460000}"/>
    <cellStyle name="Normal 35 4 5 3 2" xfId="28880" xr:uid="{00000000-0005-0000-0000-000098460000}"/>
    <cellStyle name="Normal 35 4 5 3 2 2" xfId="22085" xr:uid="{00000000-0005-0000-0000-000099460000}"/>
    <cellStyle name="Normal 35 4 5 3 2 2 2" xfId="22088" xr:uid="{00000000-0005-0000-0000-00009A460000}"/>
    <cellStyle name="Normal 35 4 5 3 2 3" xfId="12567" xr:uid="{00000000-0005-0000-0000-00009B460000}"/>
    <cellStyle name="Normal 35 4 5 3 3" xfId="28882" xr:uid="{00000000-0005-0000-0000-00009C460000}"/>
    <cellStyle name="Normal 35 4 5 3 3 2" xfId="15186" xr:uid="{00000000-0005-0000-0000-00009D460000}"/>
    <cellStyle name="Normal 35 4 5 3 4" xfId="28884" xr:uid="{00000000-0005-0000-0000-00009E460000}"/>
    <cellStyle name="Normal 35 4 5 4" xfId="28886" xr:uid="{00000000-0005-0000-0000-00009F460000}"/>
    <cellStyle name="Normal 35 4 5 4 2" xfId="28888" xr:uid="{00000000-0005-0000-0000-0000A0460000}"/>
    <cellStyle name="Normal 35 4 5 4 2 2" xfId="28890" xr:uid="{00000000-0005-0000-0000-0000A1460000}"/>
    <cellStyle name="Normal 35 4 5 4 3" xfId="28892" xr:uid="{00000000-0005-0000-0000-0000A2460000}"/>
    <cellStyle name="Normal 35 4 5 5" xfId="28894" xr:uid="{00000000-0005-0000-0000-0000A3460000}"/>
    <cellStyle name="Normal 35 4 5 5 2" xfId="26579" xr:uid="{00000000-0005-0000-0000-0000A4460000}"/>
    <cellStyle name="Normal 35 4 5 5 2 2" xfId="28896" xr:uid="{00000000-0005-0000-0000-0000A5460000}"/>
    <cellStyle name="Normal 35 4 5 5 3" xfId="28898" xr:uid="{00000000-0005-0000-0000-0000A6460000}"/>
    <cellStyle name="Normal 35 4 5 6" xfId="28900" xr:uid="{00000000-0005-0000-0000-0000A7460000}"/>
    <cellStyle name="Normal 35 4 5 6 2" xfId="28902" xr:uid="{00000000-0005-0000-0000-0000A8460000}"/>
    <cellStyle name="Normal 35 4 5 7" xfId="28904" xr:uid="{00000000-0005-0000-0000-0000A9460000}"/>
    <cellStyle name="Normal 35 4 5 7 2" xfId="5462" xr:uid="{00000000-0005-0000-0000-0000AA460000}"/>
    <cellStyle name="Normal 35 4 5 8" xfId="20422" xr:uid="{00000000-0005-0000-0000-0000AB460000}"/>
    <cellStyle name="Normal 35 4 5 9" xfId="3452" xr:uid="{00000000-0005-0000-0000-0000AC460000}"/>
    <cellStyle name="Normal 35 4 6" xfId="6721" xr:uid="{00000000-0005-0000-0000-0000AD460000}"/>
    <cellStyle name="Normal 35 4 6 2" xfId="28906" xr:uid="{00000000-0005-0000-0000-0000AE460000}"/>
    <cellStyle name="Normal 35 4 6 2 2" xfId="8714" xr:uid="{00000000-0005-0000-0000-0000AF460000}"/>
    <cellStyle name="Normal 35 4 6 2 2 2" xfId="25405" xr:uid="{00000000-0005-0000-0000-0000B0460000}"/>
    <cellStyle name="Normal 35 4 6 2 2 2 2" xfId="28908" xr:uid="{00000000-0005-0000-0000-0000B1460000}"/>
    <cellStyle name="Normal 35 4 6 2 2 3" xfId="28910" xr:uid="{00000000-0005-0000-0000-0000B2460000}"/>
    <cellStyle name="Normal 35 4 6 2 3" xfId="25408" xr:uid="{00000000-0005-0000-0000-0000B3460000}"/>
    <cellStyle name="Normal 35 4 6 2 3 2" xfId="28914" xr:uid="{00000000-0005-0000-0000-0000B4460000}"/>
    <cellStyle name="Normal 35 4 6 2 4" xfId="28916" xr:uid="{00000000-0005-0000-0000-0000B5460000}"/>
    <cellStyle name="Normal 35 4 6 2 5" xfId="28920" xr:uid="{00000000-0005-0000-0000-0000B6460000}"/>
    <cellStyle name="Normal 35 4 6 3" xfId="28922" xr:uid="{00000000-0005-0000-0000-0000B7460000}"/>
    <cellStyle name="Normal 35 4 6 3 2" xfId="28924" xr:uid="{00000000-0005-0000-0000-0000B8460000}"/>
    <cellStyle name="Normal 35 4 6 3 2 2" xfId="28926" xr:uid="{00000000-0005-0000-0000-0000B9460000}"/>
    <cellStyle name="Normal 35 4 6 3 3" xfId="28928" xr:uid="{00000000-0005-0000-0000-0000BA460000}"/>
    <cellStyle name="Normal 35 4 6 4" xfId="28930" xr:uid="{00000000-0005-0000-0000-0000BB460000}"/>
    <cellStyle name="Normal 35 4 6 4 2" xfId="28932" xr:uid="{00000000-0005-0000-0000-0000BC460000}"/>
    <cellStyle name="Normal 35 4 6 4 2 2" xfId="28934" xr:uid="{00000000-0005-0000-0000-0000BD460000}"/>
    <cellStyle name="Normal 35 4 6 4 3" xfId="28936" xr:uid="{00000000-0005-0000-0000-0000BE460000}"/>
    <cellStyle name="Normal 35 4 6 5" xfId="28938" xr:uid="{00000000-0005-0000-0000-0000BF460000}"/>
    <cellStyle name="Normal 35 4 6 5 2" xfId="28940" xr:uid="{00000000-0005-0000-0000-0000C0460000}"/>
    <cellStyle name="Normal 35 4 6 6" xfId="28942" xr:uid="{00000000-0005-0000-0000-0000C1460000}"/>
    <cellStyle name="Normal 35 4 6 6 2" xfId="28944" xr:uid="{00000000-0005-0000-0000-0000C2460000}"/>
    <cellStyle name="Normal 35 4 6 7" xfId="28946" xr:uid="{00000000-0005-0000-0000-0000C3460000}"/>
    <cellStyle name="Normal 35 4 6 8" xfId="28948" xr:uid="{00000000-0005-0000-0000-0000C4460000}"/>
    <cellStyle name="Normal 35 4 7" xfId="5627" xr:uid="{00000000-0005-0000-0000-0000C5460000}"/>
    <cellStyle name="Normal 35 4 7 2" xfId="8788" xr:uid="{00000000-0005-0000-0000-0000C6460000}"/>
    <cellStyle name="Normal 35 4 7 2 2" xfId="28950" xr:uid="{00000000-0005-0000-0000-0000C7460000}"/>
    <cellStyle name="Normal 35 4 7 2 2 2" xfId="21770" xr:uid="{00000000-0005-0000-0000-0000C8460000}"/>
    <cellStyle name="Normal 35 4 7 2 3" xfId="28952" xr:uid="{00000000-0005-0000-0000-0000C9460000}"/>
    <cellStyle name="Normal 35 4 7 3" xfId="17609" xr:uid="{00000000-0005-0000-0000-0000CA460000}"/>
    <cellStyle name="Normal 35 4 7 3 2" xfId="28954" xr:uid="{00000000-0005-0000-0000-0000CB460000}"/>
    <cellStyle name="Normal 35 4 7 4" xfId="28956" xr:uid="{00000000-0005-0000-0000-0000CC460000}"/>
    <cellStyle name="Normal 35 4 7 5" xfId="28960" xr:uid="{00000000-0005-0000-0000-0000CD460000}"/>
    <cellStyle name="Normal 35 4 8" xfId="28962" xr:uid="{00000000-0005-0000-0000-0000CE460000}"/>
    <cellStyle name="Normal 35 4 8 2" xfId="4483" xr:uid="{00000000-0005-0000-0000-0000CF460000}"/>
    <cellStyle name="Normal 35 4 8 2 2" xfId="28965" xr:uid="{00000000-0005-0000-0000-0000D0460000}"/>
    <cellStyle name="Normal 35 4 8 3" xfId="28967" xr:uid="{00000000-0005-0000-0000-0000D1460000}"/>
    <cellStyle name="Normal 35 4 9" xfId="6367" xr:uid="{00000000-0005-0000-0000-0000D2460000}"/>
    <cellStyle name="Normal 35 4 9 2" xfId="28969" xr:uid="{00000000-0005-0000-0000-0000D3460000}"/>
    <cellStyle name="Normal 35 4 9 2 2" xfId="28971" xr:uid="{00000000-0005-0000-0000-0000D4460000}"/>
    <cellStyle name="Normal 35 4 9 3" xfId="28973" xr:uid="{00000000-0005-0000-0000-0000D5460000}"/>
    <cellStyle name="Normal 35 5" xfId="28975" xr:uid="{00000000-0005-0000-0000-0000D6460000}"/>
    <cellStyle name="Normal 35 5 10" xfId="28977" xr:uid="{00000000-0005-0000-0000-0000D7460000}"/>
    <cellStyle name="Normal 35 5 2" xfId="28979" xr:uid="{00000000-0005-0000-0000-0000D8460000}"/>
    <cellStyle name="Normal 35 5 2 2" xfId="21379" xr:uid="{00000000-0005-0000-0000-0000D9460000}"/>
    <cellStyle name="Normal 35 5 2 2 2" xfId="28981" xr:uid="{00000000-0005-0000-0000-0000DA460000}"/>
    <cellStyle name="Normal 35 5 2 2 2 2" xfId="28983" xr:uid="{00000000-0005-0000-0000-0000DB460000}"/>
    <cellStyle name="Normal 35 5 2 2 2 2 2" xfId="28985" xr:uid="{00000000-0005-0000-0000-0000DC460000}"/>
    <cellStyle name="Normal 35 5 2 2 2 2 2 2" xfId="21513" xr:uid="{00000000-0005-0000-0000-0000DD460000}"/>
    <cellStyle name="Normal 35 5 2 2 2 2 3" xfId="2263" xr:uid="{00000000-0005-0000-0000-0000DE460000}"/>
    <cellStyle name="Normal 35 5 2 2 2 3" xfId="28987" xr:uid="{00000000-0005-0000-0000-0000DF460000}"/>
    <cellStyle name="Normal 35 5 2 2 2 3 2" xfId="28989" xr:uid="{00000000-0005-0000-0000-0000E0460000}"/>
    <cellStyle name="Normal 35 5 2 2 2 4" xfId="16048" xr:uid="{00000000-0005-0000-0000-0000E1460000}"/>
    <cellStyle name="Normal 35 5 2 2 2 5" xfId="16062" xr:uid="{00000000-0005-0000-0000-0000E2460000}"/>
    <cellStyle name="Normal 35 5 2 2 3" xfId="28993" xr:uid="{00000000-0005-0000-0000-0000E3460000}"/>
    <cellStyle name="Normal 35 5 2 2 3 2" xfId="28996" xr:uid="{00000000-0005-0000-0000-0000E4460000}"/>
    <cellStyle name="Normal 35 5 2 2 3 2 2" xfId="28999" xr:uid="{00000000-0005-0000-0000-0000E5460000}"/>
    <cellStyle name="Normal 35 5 2 2 3 3" xfId="29001" xr:uid="{00000000-0005-0000-0000-0000E6460000}"/>
    <cellStyle name="Normal 35 5 2 2 4" xfId="29003" xr:uid="{00000000-0005-0000-0000-0000E7460000}"/>
    <cellStyle name="Normal 35 5 2 2 4 2" xfId="29006" xr:uid="{00000000-0005-0000-0000-0000E8460000}"/>
    <cellStyle name="Normal 35 5 2 2 4 2 2" xfId="29008" xr:uid="{00000000-0005-0000-0000-0000E9460000}"/>
    <cellStyle name="Normal 35 5 2 2 4 3" xfId="29010" xr:uid="{00000000-0005-0000-0000-0000EA460000}"/>
    <cellStyle name="Normal 35 5 2 2 5" xfId="21389" xr:uid="{00000000-0005-0000-0000-0000EB460000}"/>
    <cellStyle name="Normal 35 5 2 2 5 2" xfId="21393" xr:uid="{00000000-0005-0000-0000-0000EC460000}"/>
    <cellStyle name="Normal 35 5 2 2 6" xfId="13406" xr:uid="{00000000-0005-0000-0000-0000ED460000}"/>
    <cellStyle name="Normal 35 5 2 2 6 2" xfId="13420" xr:uid="{00000000-0005-0000-0000-0000EE460000}"/>
    <cellStyle name="Normal 35 5 2 2 7" xfId="13454" xr:uid="{00000000-0005-0000-0000-0000EF460000}"/>
    <cellStyle name="Normal 35 5 2 2 8" xfId="3097" xr:uid="{00000000-0005-0000-0000-0000F0460000}"/>
    <cellStyle name="Normal 35 5 2 3" xfId="16028" xr:uid="{00000000-0005-0000-0000-0000F1460000}"/>
    <cellStyle name="Normal 35 5 2 3 2" xfId="29012" xr:uid="{00000000-0005-0000-0000-0000F2460000}"/>
    <cellStyle name="Normal 35 5 2 3 2 2" xfId="26303" xr:uid="{00000000-0005-0000-0000-0000F3460000}"/>
    <cellStyle name="Normal 35 5 2 3 2 2 2" xfId="29015" xr:uid="{00000000-0005-0000-0000-0000F4460000}"/>
    <cellStyle name="Normal 35 5 2 3 2 3" xfId="29018" xr:uid="{00000000-0005-0000-0000-0000F5460000}"/>
    <cellStyle name="Normal 35 5 2 3 3" xfId="29020" xr:uid="{00000000-0005-0000-0000-0000F6460000}"/>
    <cellStyle name="Normal 35 5 2 3 3 2" xfId="29023" xr:uid="{00000000-0005-0000-0000-0000F7460000}"/>
    <cellStyle name="Normal 35 5 2 3 4" xfId="29025" xr:uid="{00000000-0005-0000-0000-0000F8460000}"/>
    <cellStyle name="Normal 35 5 2 3 5" xfId="7589" xr:uid="{00000000-0005-0000-0000-0000F9460000}"/>
    <cellStyle name="Normal 35 5 2 4" xfId="29028" xr:uid="{00000000-0005-0000-0000-0000FA460000}"/>
    <cellStyle name="Normal 35 5 2 4 2" xfId="29030" xr:uid="{00000000-0005-0000-0000-0000FB460000}"/>
    <cellStyle name="Normal 35 5 2 4 2 2" xfId="21686" xr:uid="{00000000-0005-0000-0000-0000FC460000}"/>
    <cellStyle name="Normal 35 5 2 4 3" xfId="29032" xr:uid="{00000000-0005-0000-0000-0000FD460000}"/>
    <cellStyle name="Normal 35 5 2 5" xfId="24542" xr:uid="{00000000-0005-0000-0000-0000FE460000}"/>
    <cellStyle name="Normal 35 5 2 5 2" xfId="24545" xr:uid="{00000000-0005-0000-0000-0000FF460000}"/>
    <cellStyle name="Normal 35 5 2 5 2 2" xfId="15267" xr:uid="{00000000-0005-0000-0000-000000470000}"/>
    <cellStyle name="Normal 35 5 2 5 3" xfId="29035" xr:uid="{00000000-0005-0000-0000-000001470000}"/>
    <cellStyle name="Normal 35 5 2 6" xfId="24548" xr:uid="{00000000-0005-0000-0000-000002470000}"/>
    <cellStyle name="Normal 35 5 2 6 2" xfId="26949" xr:uid="{00000000-0005-0000-0000-000003470000}"/>
    <cellStyle name="Normal 35 5 2 7" xfId="29038" xr:uid="{00000000-0005-0000-0000-000004470000}"/>
    <cellStyle name="Normal 35 5 2 7 2" xfId="29040" xr:uid="{00000000-0005-0000-0000-000005470000}"/>
    <cellStyle name="Normal 35 5 2 8" xfId="29043" xr:uid="{00000000-0005-0000-0000-000006470000}"/>
    <cellStyle name="Normal 35 5 2 9" xfId="8317" xr:uid="{00000000-0005-0000-0000-000007470000}"/>
    <cellStyle name="Normal 35 5 3" xfId="1280" xr:uid="{00000000-0005-0000-0000-000008470000}"/>
    <cellStyle name="Normal 35 5 3 2" xfId="29045" xr:uid="{00000000-0005-0000-0000-000009470000}"/>
    <cellStyle name="Normal 35 5 3 2 2" xfId="8062" xr:uid="{00000000-0005-0000-0000-00000A470000}"/>
    <cellStyle name="Normal 35 5 3 2 2 2" xfId="7850" xr:uid="{00000000-0005-0000-0000-00000B470000}"/>
    <cellStyle name="Normal 35 5 3 2 2 2 2" xfId="29048" xr:uid="{00000000-0005-0000-0000-00000C470000}"/>
    <cellStyle name="Normal 35 5 3 2 2 3" xfId="29051" xr:uid="{00000000-0005-0000-0000-00000D470000}"/>
    <cellStyle name="Normal 35 5 3 2 2 4" xfId="16525" xr:uid="{00000000-0005-0000-0000-00000E470000}"/>
    <cellStyle name="Normal 35 5 3 2 3" xfId="7637" xr:uid="{00000000-0005-0000-0000-00000F470000}"/>
    <cellStyle name="Normal 35 5 3 2 3 2" xfId="29053" xr:uid="{00000000-0005-0000-0000-000010470000}"/>
    <cellStyle name="Normal 35 5 3 2 4" xfId="7648" xr:uid="{00000000-0005-0000-0000-000011470000}"/>
    <cellStyle name="Normal 35 5 3 2 4 2" xfId="4307" xr:uid="{00000000-0005-0000-0000-000012470000}"/>
    <cellStyle name="Normal 35 5 3 2 5" xfId="29057" xr:uid="{00000000-0005-0000-0000-000013470000}"/>
    <cellStyle name="Normal 35 5 3 2 6" xfId="29061" xr:uid="{00000000-0005-0000-0000-000014470000}"/>
    <cellStyle name="Normal 35 5 3 3" xfId="29063" xr:uid="{00000000-0005-0000-0000-000015470000}"/>
    <cellStyle name="Normal 35 5 3 3 2" xfId="29065" xr:uid="{00000000-0005-0000-0000-000016470000}"/>
    <cellStyle name="Normal 35 5 3 3 2 2" xfId="29070" xr:uid="{00000000-0005-0000-0000-000017470000}"/>
    <cellStyle name="Normal 35 5 3 3 3" xfId="29072" xr:uid="{00000000-0005-0000-0000-000018470000}"/>
    <cellStyle name="Normal 35 5 3 3 4" xfId="29074" xr:uid="{00000000-0005-0000-0000-000019470000}"/>
    <cellStyle name="Normal 35 5 3 4" xfId="29076" xr:uid="{00000000-0005-0000-0000-00001A470000}"/>
    <cellStyle name="Normal 35 5 3 4 2" xfId="29078" xr:uid="{00000000-0005-0000-0000-00001B470000}"/>
    <cellStyle name="Normal 35 5 3 4 2 2" xfId="29080" xr:uid="{00000000-0005-0000-0000-00001C470000}"/>
    <cellStyle name="Normal 35 5 3 4 3" xfId="29082" xr:uid="{00000000-0005-0000-0000-00001D470000}"/>
    <cellStyle name="Normal 35 5 3 5" xfId="8623" xr:uid="{00000000-0005-0000-0000-00001E470000}"/>
    <cellStyle name="Normal 35 5 3 5 2" xfId="8804" xr:uid="{00000000-0005-0000-0000-00001F470000}"/>
    <cellStyle name="Normal 35 5 3 6" xfId="8681" xr:uid="{00000000-0005-0000-0000-000020470000}"/>
    <cellStyle name="Normal 35 5 3 6 2" xfId="29084" xr:uid="{00000000-0005-0000-0000-000021470000}"/>
    <cellStyle name="Normal 35 5 3 7" xfId="29086" xr:uid="{00000000-0005-0000-0000-000022470000}"/>
    <cellStyle name="Normal 35 5 3 8" xfId="29088" xr:uid="{00000000-0005-0000-0000-000023470000}"/>
    <cellStyle name="Normal 35 5 4" xfId="5894" xr:uid="{00000000-0005-0000-0000-000024470000}"/>
    <cellStyle name="Normal 35 5 4 2" xfId="29090" xr:uid="{00000000-0005-0000-0000-000025470000}"/>
    <cellStyle name="Normal 35 5 4 2 2" xfId="4121" xr:uid="{00000000-0005-0000-0000-000026470000}"/>
    <cellStyle name="Normal 35 5 4 2 2 2" xfId="682" xr:uid="{00000000-0005-0000-0000-000027470000}"/>
    <cellStyle name="Normal 35 5 4 2 3" xfId="4137" xr:uid="{00000000-0005-0000-0000-000028470000}"/>
    <cellStyle name="Normal 35 5 4 2 4" xfId="29092" xr:uid="{00000000-0005-0000-0000-000029470000}"/>
    <cellStyle name="Normal 35 5 4 3" xfId="29095" xr:uid="{00000000-0005-0000-0000-00002A470000}"/>
    <cellStyle name="Normal 35 5 4 3 2" xfId="4263" xr:uid="{00000000-0005-0000-0000-00002B470000}"/>
    <cellStyle name="Normal 35 5 4 4" xfId="7332" xr:uid="{00000000-0005-0000-0000-00002C470000}"/>
    <cellStyle name="Normal 35 5 4 4 2" xfId="22490" xr:uid="{00000000-0005-0000-0000-00002D470000}"/>
    <cellStyle name="Normal 35 5 4 5" xfId="22498" xr:uid="{00000000-0005-0000-0000-00002E470000}"/>
    <cellStyle name="Normal 35 5 4 6" xfId="22504" xr:uid="{00000000-0005-0000-0000-00002F470000}"/>
    <cellStyle name="Normal 35 5 5" xfId="29097" xr:uid="{00000000-0005-0000-0000-000030470000}"/>
    <cellStyle name="Normal 35 5 5 2" xfId="29099" xr:uid="{00000000-0005-0000-0000-000031470000}"/>
    <cellStyle name="Normal 35 5 5 2 2" xfId="524" xr:uid="{00000000-0005-0000-0000-000032470000}"/>
    <cellStyle name="Normal 35 5 5 2 2 2" xfId="29101" xr:uid="{00000000-0005-0000-0000-000033470000}"/>
    <cellStyle name="Normal 35 5 5 2 3" xfId="29103" xr:uid="{00000000-0005-0000-0000-000034470000}"/>
    <cellStyle name="Normal 35 5 5 2 4" xfId="29105" xr:uid="{00000000-0005-0000-0000-000035470000}"/>
    <cellStyle name="Normal 35 5 5 3" xfId="29107" xr:uid="{00000000-0005-0000-0000-000036470000}"/>
    <cellStyle name="Normal 35 5 5 3 2" xfId="29109" xr:uid="{00000000-0005-0000-0000-000037470000}"/>
    <cellStyle name="Normal 35 5 5 4" xfId="22508" xr:uid="{00000000-0005-0000-0000-000038470000}"/>
    <cellStyle name="Normal 35 5 5 4 2" xfId="22512" xr:uid="{00000000-0005-0000-0000-000039470000}"/>
    <cellStyle name="Normal 35 5 5 5" xfId="22516" xr:uid="{00000000-0005-0000-0000-00003A470000}"/>
    <cellStyle name="Normal 35 5 5 6" xfId="27158" xr:uid="{00000000-0005-0000-0000-00003B470000}"/>
    <cellStyle name="Normal 35 5 6" xfId="29111" xr:uid="{00000000-0005-0000-0000-00003C470000}"/>
    <cellStyle name="Normal 35 5 6 2" xfId="29113" xr:uid="{00000000-0005-0000-0000-00003D470000}"/>
    <cellStyle name="Normal 35 5 6 2 2" xfId="29115" xr:uid="{00000000-0005-0000-0000-00003E470000}"/>
    <cellStyle name="Normal 35 5 6 3" xfId="29117" xr:uid="{00000000-0005-0000-0000-00003F470000}"/>
    <cellStyle name="Normal 35 5 6 4" xfId="10050" xr:uid="{00000000-0005-0000-0000-000040470000}"/>
    <cellStyle name="Normal 35 5 7" xfId="29119" xr:uid="{00000000-0005-0000-0000-000041470000}"/>
    <cellStyle name="Normal 35 5 7 2" xfId="8831" xr:uid="{00000000-0005-0000-0000-000042470000}"/>
    <cellStyle name="Normal 35 5 8" xfId="8761" xr:uid="{00000000-0005-0000-0000-000043470000}"/>
    <cellStyle name="Normal 35 5 8 2" xfId="4725" xr:uid="{00000000-0005-0000-0000-000044470000}"/>
    <cellStyle name="Normal 35 5 9" xfId="6419" xr:uid="{00000000-0005-0000-0000-000045470000}"/>
    <cellStyle name="Normal 35 6" xfId="29121" xr:uid="{00000000-0005-0000-0000-000046470000}"/>
    <cellStyle name="Normal 35 6 2" xfId="13461" xr:uid="{00000000-0005-0000-0000-000047470000}"/>
    <cellStyle name="Normal 35 6 2 2" xfId="13468" xr:uid="{00000000-0005-0000-0000-000048470000}"/>
    <cellStyle name="Normal 35 6 2 2 2" xfId="29123" xr:uid="{00000000-0005-0000-0000-000049470000}"/>
    <cellStyle name="Normal 35 6 2 2 2 2" xfId="29125" xr:uid="{00000000-0005-0000-0000-00004A470000}"/>
    <cellStyle name="Normal 35 6 2 2 2 2 2" xfId="29127" xr:uid="{00000000-0005-0000-0000-00004B470000}"/>
    <cellStyle name="Normal 35 6 2 2 2 3" xfId="29129" xr:uid="{00000000-0005-0000-0000-00004C470000}"/>
    <cellStyle name="Normal 35 6 2 2 3" xfId="29131" xr:uid="{00000000-0005-0000-0000-00004D470000}"/>
    <cellStyle name="Normal 35 6 2 2 3 2" xfId="29134" xr:uid="{00000000-0005-0000-0000-00004E470000}"/>
    <cellStyle name="Normal 35 6 2 2 4" xfId="29136" xr:uid="{00000000-0005-0000-0000-00004F470000}"/>
    <cellStyle name="Normal 35 6 2 2 5" xfId="29138" xr:uid="{00000000-0005-0000-0000-000050470000}"/>
    <cellStyle name="Normal 35 6 2 3" xfId="10755" xr:uid="{00000000-0005-0000-0000-000051470000}"/>
    <cellStyle name="Normal 35 6 2 3 2" xfId="29142" xr:uid="{00000000-0005-0000-0000-000052470000}"/>
    <cellStyle name="Normal 35 6 2 3 2 2" xfId="21899" xr:uid="{00000000-0005-0000-0000-000053470000}"/>
    <cellStyle name="Normal 35 6 2 3 3" xfId="29144" xr:uid="{00000000-0005-0000-0000-000054470000}"/>
    <cellStyle name="Normal 35 6 2 4" xfId="29147" xr:uid="{00000000-0005-0000-0000-000055470000}"/>
    <cellStyle name="Normal 35 6 2 4 2" xfId="29150" xr:uid="{00000000-0005-0000-0000-000056470000}"/>
    <cellStyle name="Normal 35 6 2 4 2 2" xfId="29152" xr:uid="{00000000-0005-0000-0000-000057470000}"/>
    <cellStyle name="Normal 35 6 2 4 3" xfId="29154" xr:uid="{00000000-0005-0000-0000-000058470000}"/>
    <cellStyle name="Normal 35 6 2 5" xfId="29159" xr:uid="{00000000-0005-0000-0000-000059470000}"/>
    <cellStyle name="Normal 35 6 2 5 2" xfId="29162" xr:uid="{00000000-0005-0000-0000-00005A470000}"/>
    <cellStyle name="Normal 35 6 2 6" xfId="29166" xr:uid="{00000000-0005-0000-0000-00005B470000}"/>
    <cellStyle name="Normal 35 6 2 6 2" xfId="29170" xr:uid="{00000000-0005-0000-0000-00005C470000}"/>
    <cellStyle name="Normal 35 6 2 7" xfId="29174" xr:uid="{00000000-0005-0000-0000-00005D470000}"/>
    <cellStyle name="Normal 35 6 2 8" xfId="29178" xr:uid="{00000000-0005-0000-0000-00005E470000}"/>
    <cellStyle name="Normal 35 6 3" xfId="3095" xr:uid="{00000000-0005-0000-0000-00005F470000}"/>
    <cellStyle name="Normal 35 6 3 2" xfId="29180" xr:uid="{00000000-0005-0000-0000-000060470000}"/>
    <cellStyle name="Normal 35 6 3 2 2" xfId="8181" xr:uid="{00000000-0005-0000-0000-000061470000}"/>
    <cellStyle name="Normal 35 6 3 2 2 2" xfId="29182" xr:uid="{00000000-0005-0000-0000-000062470000}"/>
    <cellStyle name="Normal 35 6 3 2 3" xfId="29184" xr:uid="{00000000-0005-0000-0000-000063470000}"/>
    <cellStyle name="Normal 35 6 3 3" xfId="8840" xr:uid="{00000000-0005-0000-0000-000064470000}"/>
    <cellStyle name="Normal 35 6 3 3 2" xfId="29186" xr:uid="{00000000-0005-0000-0000-000065470000}"/>
    <cellStyle name="Normal 35 6 3 4" xfId="29189" xr:uid="{00000000-0005-0000-0000-000066470000}"/>
    <cellStyle name="Normal 35 6 3 5" xfId="29193" xr:uid="{00000000-0005-0000-0000-000067470000}"/>
    <cellStyle name="Normal 35 6 4" xfId="29195" xr:uid="{00000000-0005-0000-0000-000068470000}"/>
    <cellStyle name="Normal 35 6 4 2" xfId="29199" xr:uid="{00000000-0005-0000-0000-000069470000}"/>
    <cellStyle name="Normal 35 6 4 2 2" xfId="29201" xr:uid="{00000000-0005-0000-0000-00006A470000}"/>
    <cellStyle name="Normal 35 6 4 3" xfId="8870" xr:uid="{00000000-0005-0000-0000-00006B470000}"/>
    <cellStyle name="Normal 35 6 5" xfId="29203" xr:uid="{00000000-0005-0000-0000-00006C470000}"/>
    <cellStyle name="Normal 35 6 5 2" xfId="8878" xr:uid="{00000000-0005-0000-0000-00006D470000}"/>
    <cellStyle name="Normal 35 6 5 2 2" xfId="8885" xr:uid="{00000000-0005-0000-0000-00006E470000}"/>
    <cellStyle name="Normal 35 6 5 3" xfId="8896" xr:uid="{00000000-0005-0000-0000-00006F470000}"/>
    <cellStyle name="Normal 35 6 6" xfId="29205" xr:uid="{00000000-0005-0000-0000-000070470000}"/>
    <cellStyle name="Normal 35 6 6 2" xfId="8915" xr:uid="{00000000-0005-0000-0000-000071470000}"/>
    <cellStyle name="Normal 35 6 7" xfId="29207" xr:uid="{00000000-0005-0000-0000-000072470000}"/>
    <cellStyle name="Normal 35 6 7 2" xfId="352" xr:uid="{00000000-0005-0000-0000-000073470000}"/>
    <cellStyle name="Normal 35 6 8" xfId="8928" xr:uid="{00000000-0005-0000-0000-000074470000}"/>
    <cellStyle name="Normal 35 6 9" xfId="14450" xr:uid="{00000000-0005-0000-0000-000075470000}"/>
    <cellStyle name="Normal 35 7" xfId="29209" xr:uid="{00000000-0005-0000-0000-000076470000}"/>
    <cellStyle name="Normal 35 7 2" xfId="13494" xr:uid="{00000000-0005-0000-0000-000077470000}"/>
    <cellStyle name="Normal 35 7 2 2" xfId="25596" xr:uid="{00000000-0005-0000-0000-000078470000}"/>
    <cellStyle name="Normal 35 7 2 2 2" xfId="25599" xr:uid="{00000000-0005-0000-0000-000079470000}"/>
    <cellStyle name="Normal 35 7 2 2 2 2" xfId="29212" xr:uid="{00000000-0005-0000-0000-00007A470000}"/>
    <cellStyle name="Normal 35 7 2 2 2 2 2" xfId="29214" xr:uid="{00000000-0005-0000-0000-00007B470000}"/>
    <cellStyle name="Normal 35 7 2 2 2 3" xfId="29216" xr:uid="{00000000-0005-0000-0000-00007C470000}"/>
    <cellStyle name="Normal 35 7 2 2 3" xfId="29218" xr:uid="{00000000-0005-0000-0000-00007D470000}"/>
    <cellStyle name="Normal 35 7 2 2 3 2" xfId="29221" xr:uid="{00000000-0005-0000-0000-00007E470000}"/>
    <cellStyle name="Normal 35 7 2 2 4" xfId="29223" xr:uid="{00000000-0005-0000-0000-00007F470000}"/>
    <cellStyle name="Normal 35 7 2 2 5" xfId="29225" xr:uid="{00000000-0005-0000-0000-000080470000}"/>
    <cellStyle name="Normal 35 7 2 3" xfId="22625" xr:uid="{00000000-0005-0000-0000-000081470000}"/>
    <cellStyle name="Normal 35 7 2 3 2" xfId="29227" xr:uid="{00000000-0005-0000-0000-000082470000}"/>
    <cellStyle name="Normal 35 7 2 3 2 2" xfId="29230" xr:uid="{00000000-0005-0000-0000-000083470000}"/>
    <cellStyle name="Normal 35 7 2 3 3" xfId="29232" xr:uid="{00000000-0005-0000-0000-000084470000}"/>
    <cellStyle name="Normal 35 7 2 4" xfId="29235" xr:uid="{00000000-0005-0000-0000-000085470000}"/>
    <cellStyle name="Normal 35 7 2 4 2" xfId="29237" xr:uid="{00000000-0005-0000-0000-000086470000}"/>
    <cellStyle name="Normal 35 7 2 4 2 2" xfId="29239" xr:uid="{00000000-0005-0000-0000-000087470000}"/>
    <cellStyle name="Normal 35 7 2 4 3" xfId="29241" xr:uid="{00000000-0005-0000-0000-000088470000}"/>
    <cellStyle name="Normal 35 7 2 5" xfId="29245" xr:uid="{00000000-0005-0000-0000-000089470000}"/>
    <cellStyle name="Normal 35 7 2 5 2" xfId="29247" xr:uid="{00000000-0005-0000-0000-00008A470000}"/>
    <cellStyle name="Normal 35 7 2 6" xfId="29249" xr:uid="{00000000-0005-0000-0000-00008B470000}"/>
    <cellStyle name="Normal 35 7 2 6 2" xfId="16182" xr:uid="{00000000-0005-0000-0000-00008C470000}"/>
    <cellStyle name="Normal 35 7 2 7" xfId="29253" xr:uid="{00000000-0005-0000-0000-00008D470000}"/>
    <cellStyle name="Normal 35 7 2 8" xfId="29257" xr:uid="{00000000-0005-0000-0000-00008E470000}"/>
    <cellStyle name="Normal 35 7 3" xfId="8933" xr:uid="{00000000-0005-0000-0000-00008F470000}"/>
    <cellStyle name="Normal 35 7 3 2" xfId="8938" xr:uid="{00000000-0005-0000-0000-000090470000}"/>
    <cellStyle name="Normal 35 7 3 2 2" xfId="29259" xr:uid="{00000000-0005-0000-0000-000091470000}"/>
    <cellStyle name="Normal 35 7 3 2 2 2" xfId="29261" xr:uid="{00000000-0005-0000-0000-000092470000}"/>
    <cellStyle name="Normal 35 7 3 2 3" xfId="29263" xr:uid="{00000000-0005-0000-0000-000093470000}"/>
    <cellStyle name="Normal 35 7 3 3" xfId="3912" xr:uid="{00000000-0005-0000-0000-000094470000}"/>
    <cellStyle name="Normal 35 7 3 3 2" xfId="17131" xr:uid="{00000000-0005-0000-0000-000095470000}"/>
    <cellStyle name="Normal 35 7 3 4" xfId="17138" xr:uid="{00000000-0005-0000-0000-000096470000}"/>
    <cellStyle name="Normal 35 7 3 5" xfId="11606" xr:uid="{00000000-0005-0000-0000-000097470000}"/>
    <cellStyle name="Normal 35 7 4" xfId="5922" xr:uid="{00000000-0005-0000-0000-000098470000}"/>
    <cellStyle name="Normal 35 7 4 2" xfId="8949" xr:uid="{00000000-0005-0000-0000-000099470000}"/>
    <cellStyle name="Normal 35 7 4 2 2" xfId="18225" xr:uid="{00000000-0005-0000-0000-00009A470000}"/>
    <cellStyle name="Normal 35 7 4 3" xfId="3854" xr:uid="{00000000-0005-0000-0000-00009B470000}"/>
    <cellStyle name="Normal 35 7 5" xfId="8958" xr:uid="{00000000-0005-0000-0000-00009C470000}"/>
    <cellStyle name="Normal 35 7 5 2" xfId="20354" xr:uid="{00000000-0005-0000-0000-00009D470000}"/>
    <cellStyle name="Normal 35 7 5 2 2" xfId="29267" xr:uid="{00000000-0005-0000-0000-00009E470000}"/>
    <cellStyle name="Normal 35 7 5 3" xfId="17154" xr:uid="{00000000-0005-0000-0000-00009F470000}"/>
    <cellStyle name="Normal 35 7 6" xfId="29269" xr:uid="{00000000-0005-0000-0000-0000A0470000}"/>
    <cellStyle name="Normal 35 7 6 2" xfId="29271" xr:uid="{00000000-0005-0000-0000-0000A1470000}"/>
    <cellStyle name="Normal 35 7 7" xfId="29273" xr:uid="{00000000-0005-0000-0000-0000A2470000}"/>
    <cellStyle name="Normal 35 7 7 2" xfId="2731" xr:uid="{00000000-0005-0000-0000-0000A3470000}"/>
    <cellStyle name="Normal 35 7 8" xfId="29275" xr:uid="{00000000-0005-0000-0000-0000A4470000}"/>
    <cellStyle name="Normal 35 7 9" xfId="29277" xr:uid="{00000000-0005-0000-0000-0000A5470000}"/>
    <cellStyle name="Normal 35 8" xfId="29279" xr:uid="{00000000-0005-0000-0000-0000A6470000}"/>
    <cellStyle name="Normal 35 8 2" xfId="13516" xr:uid="{00000000-0005-0000-0000-0000A7470000}"/>
    <cellStyle name="Normal 35 8 2 2" xfId="29281" xr:uid="{00000000-0005-0000-0000-0000A8470000}"/>
    <cellStyle name="Normal 35 8 2 2 2" xfId="29285" xr:uid="{00000000-0005-0000-0000-0000A9470000}"/>
    <cellStyle name="Normal 35 8 2 2 2 2" xfId="29289" xr:uid="{00000000-0005-0000-0000-0000AA470000}"/>
    <cellStyle name="Normal 35 8 2 2 2 2 2" xfId="29292" xr:uid="{00000000-0005-0000-0000-0000AB470000}"/>
    <cellStyle name="Normal 35 8 2 2 2 3" xfId="29294" xr:uid="{00000000-0005-0000-0000-0000AC470000}"/>
    <cellStyle name="Normal 35 8 2 2 3" xfId="29299" xr:uid="{00000000-0005-0000-0000-0000AD470000}"/>
    <cellStyle name="Normal 35 8 2 2 3 2" xfId="29307" xr:uid="{00000000-0005-0000-0000-0000AE470000}"/>
    <cellStyle name="Normal 35 8 2 2 4" xfId="29311" xr:uid="{00000000-0005-0000-0000-0000AF470000}"/>
    <cellStyle name="Normal 35 8 2 3" xfId="29313" xr:uid="{00000000-0005-0000-0000-0000B0470000}"/>
    <cellStyle name="Normal 35 8 2 3 2" xfId="12142" xr:uid="{00000000-0005-0000-0000-0000B1470000}"/>
    <cellStyle name="Normal 35 8 2 3 2 2" xfId="12145" xr:uid="{00000000-0005-0000-0000-0000B2470000}"/>
    <cellStyle name="Normal 35 8 2 3 3" xfId="12149" xr:uid="{00000000-0005-0000-0000-0000B3470000}"/>
    <cellStyle name="Normal 35 8 2 4" xfId="29316" xr:uid="{00000000-0005-0000-0000-0000B4470000}"/>
    <cellStyle name="Normal 35 8 2 4 2" xfId="29318" xr:uid="{00000000-0005-0000-0000-0000B5470000}"/>
    <cellStyle name="Normal 35 8 2 4 2 2" xfId="16033" xr:uid="{00000000-0005-0000-0000-0000B6470000}"/>
    <cellStyle name="Normal 35 8 2 4 3" xfId="29320" xr:uid="{00000000-0005-0000-0000-0000B7470000}"/>
    <cellStyle name="Normal 35 8 2 5" xfId="3548" xr:uid="{00000000-0005-0000-0000-0000B8470000}"/>
    <cellStyle name="Normal 35 8 2 5 2" xfId="29322" xr:uid="{00000000-0005-0000-0000-0000B9470000}"/>
    <cellStyle name="Normal 35 8 2 6" xfId="21749" xr:uid="{00000000-0005-0000-0000-0000BA470000}"/>
    <cellStyle name="Normal 35 8 2 6 2" xfId="29324" xr:uid="{00000000-0005-0000-0000-0000BB470000}"/>
    <cellStyle name="Normal 35 8 2 7" xfId="29326" xr:uid="{00000000-0005-0000-0000-0000BC470000}"/>
    <cellStyle name="Normal 35 8 2 8" xfId="29328" xr:uid="{00000000-0005-0000-0000-0000BD470000}"/>
    <cellStyle name="Normal 35 8 3" xfId="29330" xr:uid="{00000000-0005-0000-0000-0000BE470000}"/>
    <cellStyle name="Normal 35 8 3 2" xfId="29332" xr:uid="{00000000-0005-0000-0000-0000BF470000}"/>
    <cellStyle name="Normal 35 8 3 2 2" xfId="29337" xr:uid="{00000000-0005-0000-0000-0000C0470000}"/>
    <cellStyle name="Normal 35 8 3 2 2 2" xfId="281" xr:uid="{00000000-0005-0000-0000-0000C1470000}"/>
    <cellStyle name="Normal 35 8 3 2 3" xfId="29341" xr:uid="{00000000-0005-0000-0000-0000C2470000}"/>
    <cellStyle name="Normal 35 8 3 3" xfId="17171" xr:uid="{00000000-0005-0000-0000-0000C3470000}"/>
    <cellStyle name="Normal 35 8 3 3 2" xfId="16952" xr:uid="{00000000-0005-0000-0000-0000C4470000}"/>
    <cellStyle name="Normal 35 8 3 4" xfId="17177" xr:uid="{00000000-0005-0000-0000-0000C5470000}"/>
    <cellStyle name="Normal 35 8 4" xfId="29345" xr:uid="{00000000-0005-0000-0000-0000C6470000}"/>
    <cellStyle name="Normal 35 8 4 2" xfId="25743" xr:uid="{00000000-0005-0000-0000-0000C7470000}"/>
    <cellStyle name="Normal 35 8 4 2 2" xfId="29349" xr:uid="{00000000-0005-0000-0000-0000C8470000}"/>
    <cellStyle name="Normal 35 8 4 3" xfId="17189" xr:uid="{00000000-0005-0000-0000-0000C9470000}"/>
    <cellStyle name="Normal 35 8 5" xfId="29351" xr:uid="{00000000-0005-0000-0000-0000CA470000}"/>
    <cellStyle name="Normal 35 8 5 2" xfId="29353" xr:uid="{00000000-0005-0000-0000-0000CB470000}"/>
    <cellStyle name="Normal 35 8 5 2 2" xfId="29357" xr:uid="{00000000-0005-0000-0000-0000CC470000}"/>
    <cellStyle name="Normal 35 8 5 3" xfId="29359" xr:uid="{00000000-0005-0000-0000-0000CD470000}"/>
    <cellStyle name="Normal 35 8 6" xfId="29361" xr:uid="{00000000-0005-0000-0000-0000CE470000}"/>
    <cellStyle name="Normal 35 8 6 2" xfId="29363" xr:uid="{00000000-0005-0000-0000-0000CF470000}"/>
    <cellStyle name="Normal 35 8 7" xfId="29365" xr:uid="{00000000-0005-0000-0000-0000D0470000}"/>
    <cellStyle name="Normal 35 8 7 2" xfId="29367" xr:uid="{00000000-0005-0000-0000-0000D1470000}"/>
    <cellStyle name="Normal 35 8 8" xfId="29369" xr:uid="{00000000-0005-0000-0000-0000D2470000}"/>
    <cellStyle name="Normal 35 8 9" xfId="29371" xr:uid="{00000000-0005-0000-0000-0000D3470000}"/>
    <cellStyle name="Normal 35 9" xfId="29373" xr:uid="{00000000-0005-0000-0000-0000D4470000}"/>
    <cellStyle name="Normal 35 9 2" xfId="29375" xr:uid="{00000000-0005-0000-0000-0000D5470000}"/>
    <cellStyle name="Normal 35 9 2 2" xfId="29377" xr:uid="{00000000-0005-0000-0000-0000D6470000}"/>
    <cellStyle name="Normal 35 9 2 2 2" xfId="29381" xr:uid="{00000000-0005-0000-0000-0000D7470000}"/>
    <cellStyle name="Normal 35 9 2 2 2 2" xfId="29387" xr:uid="{00000000-0005-0000-0000-0000D8470000}"/>
    <cellStyle name="Normal 35 9 2 2 3" xfId="29391" xr:uid="{00000000-0005-0000-0000-0000D9470000}"/>
    <cellStyle name="Normal 35 9 2 3" xfId="29395" xr:uid="{00000000-0005-0000-0000-0000DA470000}"/>
    <cellStyle name="Normal 35 9 2 3 2" xfId="29399" xr:uid="{00000000-0005-0000-0000-0000DB470000}"/>
    <cellStyle name="Normal 35 9 2 4" xfId="29401" xr:uid="{00000000-0005-0000-0000-0000DC470000}"/>
    <cellStyle name="Normal 35 9 2 5" xfId="29403" xr:uid="{00000000-0005-0000-0000-0000DD470000}"/>
    <cellStyle name="Normal 35 9 3" xfId="29405" xr:uid="{00000000-0005-0000-0000-0000DE470000}"/>
    <cellStyle name="Normal 35 9 3 2" xfId="29407" xr:uid="{00000000-0005-0000-0000-0000DF470000}"/>
    <cellStyle name="Normal 35 9 3 2 2" xfId="29411" xr:uid="{00000000-0005-0000-0000-0000E0470000}"/>
    <cellStyle name="Normal 35 9 3 3" xfId="982" xr:uid="{00000000-0005-0000-0000-0000E1470000}"/>
    <cellStyle name="Normal 35 9 4" xfId="29413" xr:uid="{00000000-0005-0000-0000-0000E2470000}"/>
    <cellStyle name="Normal 35 9 4 2" xfId="29415" xr:uid="{00000000-0005-0000-0000-0000E3470000}"/>
    <cellStyle name="Normal 35 9 4 2 2" xfId="29419" xr:uid="{00000000-0005-0000-0000-0000E4470000}"/>
    <cellStyle name="Normal 35 9 4 3" xfId="29421" xr:uid="{00000000-0005-0000-0000-0000E5470000}"/>
    <cellStyle name="Normal 35 9 5" xfId="29423" xr:uid="{00000000-0005-0000-0000-0000E6470000}"/>
    <cellStyle name="Normal 35 9 5 2" xfId="6923" xr:uid="{00000000-0005-0000-0000-0000E7470000}"/>
    <cellStyle name="Normal 35 9 6" xfId="29425" xr:uid="{00000000-0005-0000-0000-0000E8470000}"/>
    <cellStyle name="Normal 35 9 6 2" xfId="29427" xr:uid="{00000000-0005-0000-0000-0000E9470000}"/>
    <cellStyle name="Normal 35 9 7" xfId="29429" xr:uid="{00000000-0005-0000-0000-0000EA470000}"/>
    <cellStyle name="Normal 35 9 8" xfId="14567" xr:uid="{00000000-0005-0000-0000-0000EB470000}"/>
    <cellStyle name="Normal 36" xfId="29431" xr:uid="{00000000-0005-0000-0000-0000EC470000}"/>
    <cellStyle name="Normal 36 10" xfId="29433" xr:uid="{00000000-0005-0000-0000-0000ED470000}"/>
    <cellStyle name="Normal 36 10 2" xfId="14577" xr:uid="{00000000-0005-0000-0000-0000EE470000}"/>
    <cellStyle name="Normal 36 10 2 2" xfId="14582" xr:uid="{00000000-0005-0000-0000-0000EF470000}"/>
    <cellStyle name="Normal 36 10 2 2 2" xfId="28464" xr:uid="{00000000-0005-0000-0000-0000F0470000}"/>
    <cellStyle name="Normal 36 10 2 3" xfId="29435" xr:uid="{00000000-0005-0000-0000-0000F1470000}"/>
    <cellStyle name="Normal 36 10 2 4" xfId="29437" xr:uid="{00000000-0005-0000-0000-0000F2470000}"/>
    <cellStyle name="Normal 36 10 3" xfId="9073" xr:uid="{00000000-0005-0000-0000-0000F3470000}"/>
    <cellStyle name="Normal 36 10 3 2" xfId="29440" xr:uid="{00000000-0005-0000-0000-0000F4470000}"/>
    <cellStyle name="Normal 36 10 4" xfId="13871" xr:uid="{00000000-0005-0000-0000-0000F5470000}"/>
    <cellStyle name="Normal 36 10 4 2" xfId="29442" xr:uid="{00000000-0005-0000-0000-0000F6470000}"/>
    <cellStyle name="Normal 36 10 5" xfId="29445" xr:uid="{00000000-0005-0000-0000-0000F7470000}"/>
    <cellStyle name="Normal 36 10 6" xfId="29447" xr:uid="{00000000-0005-0000-0000-0000F8470000}"/>
    <cellStyle name="Normal 36 11" xfId="22265" xr:uid="{00000000-0005-0000-0000-0000F9470000}"/>
    <cellStyle name="Normal 36 11 2" xfId="14870" xr:uid="{00000000-0005-0000-0000-0000FA470000}"/>
    <cellStyle name="Normal 36 11 2 2" xfId="29449" xr:uid="{00000000-0005-0000-0000-0000FB470000}"/>
    <cellStyle name="Normal 36 11 3" xfId="29453" xr:uid="{00000000-0005-0000-0000-0000FC470000}"/>
    <cellStyle name="Normal 36 11 4" xfId="29456" xr:uid="{00000000-0005-0000-0000-0000FD470000}"/>
    <cellStyle name="Normal 36 12" xfId="23570" xr:uid="{00000000-0005-0000-0000-0000FE470000}"/>
    <cellStyle name="Normal 36 12 2" xfId="11527" xr:uid="{00000000-0005-0000-0000-0000FF470000}"/>
    <cellStyle name="Normal 36 12 2 2" xfId="29459" xr:uid="{00000000-0005-0000-0000-000000480000}"/>
    <cellStyle name="Normal 36 12 3" xfId="29462" xr:uid="{00000000-0005-0000-0000-000001480000}"/>
    <cellStyle name="Normal 36 13" xfId="12076" xr:uid="{00000000-0005-0000-0000-000002480000}"/>
    <cellStyle name="Normal 36 13 2" xfId="29466" xr:uid="{00000000-0005-0000-0000-000003480000}"/>
    <cellStyle name="Normal 36 14" xfId="10867" xr:uid="{00000000-0005-0000-0000-000004480000}"/>
    <cellStyle name="Normal 36 14 2" xfId="29468" xr:uid="{00000000-0005-0000-0000-000005480000}"/>
    <cellStyle name="Normal 36 15" xfId="29470" xr:uid="{00000000-0005-0000-0000-000006480000}"/>
    <cellStyle name="Normal 36 15 2" xfId="29472" xr:uid="{00000000-0005-0000-0000-000007480000}"/>
    <cellStyle name="Normal 36 16" xfId="29474" xr:uid="{00000000-0005-0000-0000-000008480000}"/>
    <cellStyle name="Normal 36 17" xfId="29476" xr:uid="{00000000-0005-0000-0000-000009480000}"/>
    <cellStyle name="Normal 36 2" xfId="29478" xr:uid="{00000000-0005-0000-0000-00000A480000}"/>
    <cellStyle name="Normal 36 2 10" xfId="5748" xr:uid="{00000000-0005-0000-0000-00000B480000}"/>
    <cellStyle name="Normal 36 2 10 2" xfId="29480" xr:uid="{00000000-0005-0000-0000-00000C480000}"/>
    <cellStyle name="Normal 36 2 11" xfId="29482" xr:uid="{00000000-0005-0000-0000-00000D480000}"/>
    <cellStyle name="Normal 36 2 11 2" xfId="29484" xr:uid="{00000000-0005-0000-0000-00000E480000}"/>
    <cellStyle name="Normal 36 2 12" xfId="29486" xr:uid="{00000000-0005-0000-0000-00000F480000}"/>
    <cellStyle name="Normal 36 2 12 2" xfId="29488" xr:uid="{00000000-0005-0000-0000-000010480000}"/>
    <cellStyle name="Normal 36 2 13" xfId="29490" xr:uid="{00000000-0005-0000-0000-000011480000}"/>
    <cellStyle name="Normal 36 2 14" xfId="29492" xr:uid="{00000000-0005-0000-0000-000012480000}"/>
    <cellStyle name="Normal 36 2 2" xfId="29494" xr:uid="{00000000-0005-0000-0000-000013480000}"/>
    <cellStyle name="Normal 36 2 2 10" xfId="16476" xr:uid="{00000000-0005-0000-0000-000014480000}"/>
    <cellStyle name="Normal 36 2 2 2" xfId="29496" xr:uid="{00000000-0005-0000-0000-000015480000}"/>
    <cellStyle name="Normal 36 2 2 2 2" xfId="29498" xr:uid="{00000000-0005-0000-0000-000016480000}"/>
    <cellStyle name="Normal 36 2 2 2 2 2" xfId="29500" xr:uid="{00000000-0005-0000-0000-000017480000}"/>
    <cellStyle name="Normal 36 2 2 2 2 2 2" xfId="29502" xr:uid="{00000000-0005-0000-0000-000018480000}"/>
    <cellStyle name="Normal 36 2 2 2 2 2 2 2" xfId="29506" xr:uid="{00000000-0005-0000-0000-000019480000}"/>
    <cellStyle name="Normal 36 2 2 2 2 2 2 2 2" xfId="21346" xr:uid="{00000000-0005-0000-0000-00001A480000}"/>
    <cellStyle name="Normal 36 2 2 2 2 2 2 3" xfId="18665" xr:uid="{00000000-0005-0000-0000-00001B480000}"/>
    <cellStyle name="Normal 36 2 2 2 2 2 3" xfId="29508" xr:uid="{00000000-0005-0000-0000-00001C480000}"/>
    <cellStyle name="Normal 36 2 2 2 2 2 3 2" xfId="29510" xr:uid="{00000000-0005-0000-0000-00001D480000}"/>
    <cellStyle name="Normal 36 2 2 2 2 2 4" xfId="29512" xr:uid="{00000000-0005-0000-0000-00001E480000}"/>
    <cellStyle name="Normal 36 2 2 2 2 3" xfId="29514" xr:uid="{00000000-0005-0000-0000-00001F480000}"/>
    <cellStyle name="Normal 36 2 2 2 2 3 2" xfId="29516" xr:uid="{00000000-0005-0000-0000-000020480000}"/>
    <cellStyle name="Normal 36 2 2 2 2 3 2 2" xfId="29518" xr:uid="{00000000-0005-0000-0000-000021480000}"/>
    <cellStyle name="Normal 36 2 2 2 2 3 3" xfId="29520" xr:uid="{00000000-0005-0000-0000-000022480000}"/>
    <cellStyle name="Normal 36 2 2 2 2 4" xfId="29522" xr:uid="{00000000-0005-0000-0000-000023480000}"/>
    <cellStyle name="Normal 36 2 2 2 2 4 2" xfId="29524" xr:uid="{00000000-0005-0000-0000-000024480000}"/>
    <cellStyle name="Normal 36 2 2 2 2 4 2 2" xfId="1590" xr:uid="{00000000-0005-0000-0000-000025480000}"/>
    <cellStyle name="Normal 36 2 2 2 2 4 3" xfId="29526" xr:uid="{00000000-0005-0000-0000-000026480000}"/>
    <cellStyle name="Normal 36 2 2 2 2 5" xfId="29528" xr:uid="{00000000-0005-0000-0000-000027480000}"/>
    <cellStyle name="Normal 36 2 2 2 2 5 2" xfId="29530" xr:uid="{00000000-0005-0000-0000-000028480000}"/>
    <cellStyle name="Normal 36 2 2 2 2 6" xfId="29537" xr:uid="{00000000-0005-0000-0000-000029480000}"/>
    <cellStyle name="Normal 36 2 2 2 2 6 2" xfId="29541" xr:uid="{00000000-0005-0000-0000-00002A480000}"/>
    <cellStyle name="Normal 36 2 2 2 2 7" xfId="29545" xr:uid="{00000000-0005-0000-0000-00002B480000}"/>
    <cellStyle name="Normal 36 2 2 2 2 8" xfId="29551" xr:uid="{00000000-0005-0000-0000-00002C480000}"/>
    <cellStyle name="Normal 36 2 2 2 3" xfId="5456" xr:uid="{00000000-0005-0000-0000-00002D480000}"/>
    <cellStyle name="Normal 36 2 2 2 3 2" xfId="1305" xr:uid="{00000000-0005-0000-0000-00002E480000}"/>
    <cellStyle name="Normal 36 2 2 2 3 2 2" xfId="29555" xr:uid="{00000000-0005-0000-0000-00002F480000}"/>
    <cellStyle name="Normal 36 2 2 2 3 2 2 2" xfId="29561" xr:uid="{00000000-0005-0000-0000-000030480000}"/>
    <cellStyle name="Normal 36 2 2 2 3 2 3" xfId="29567" xr:uid="{00000000-0005-0000-0000-000031480000}"/>
    <cellStyle name="Normal 36 2 2 2 3 3" xfId="29569" xr:uid="{00000000-0005-0000-0000-000032480000}"/>
    <cellStyle name="Normal 36 2 2 2 3 3 2" xfId="29573" xr:uid="{00000000-0005-0000-0000-000033480000}"/>
    <cellStyle name="Normal 36 2 2 2 3 4" xfId="29575" xr:uid="{00000000-0005-0000-0000-000034480000}"/>
    <cellStyle name="Normal 36 2 2 2 4" xfId="6644" xr:uid="{00000000-0005-0000-0000-000035480000}"/>
    <cellStyle name="Normal 36 2 2 2 4 2" xfId="29577" xr:uid="{00000000-0005-0000-0000-000036480000}"/>
    <cellStyle name="Normal 36 2 2 2 4 2 2" xfId="29300" xr:uid="{00000000-0005-0000-0000-000037480000}"/>
    <cellStyle name="Normal 36 2 2 2 4 3" xfId="29579" xr:uid="{00000000-0005-0000-0000-000038480000}"/>
    <cellStyle name="Normal 36 2 2 2 5" xfId="13756" xr:uid="{00000000-0005-0000-0000-000039480000}"/>
    <cellStyle name="Normal 36 2 2 2 5 2" xfId="29581" xr:uid="{00000000-0005-0000-0000-00003A480000}"/>
    <cellStyle name="Normal 36 2 2 2 5 2 2" xfId="29342" xr:uid="{00000000-0005-0000-0000-00003B480000}"/>
    <cellStyle name="Normal 36 2 2 2 5 3" xfId="29583" xr:uid="{00000000-0005-0000-0000-00003C480000}"/>
    <cellStyle name="Normal 36 2 2 2 6" xfId="6555" xr:uid="{00000000-0005-0000-0000-00003D480000}"/>
    <cellStyle name="Normal 36 2 2 2 6 2" xfId="29585" xr:uid="{00000000-0005-0000-0000-00003E480000}"/>
    <cellStyle name="Normal 36 2 2 2 7" xfId="29587" xr:uid="{00000000-0005-0000-0000-00003F480000}"/>
    <cellStyle name="Normal 36 2 2 2 7 2" xfId="29589" xr:uid="{00000000-0005-0000-0000-000040480000}"/>
    <cellStyle name="Normal 36 2 2 2 8" xfId="29591" xr:uid="{00000000-0005-0000-0000-000041480000}"/>
    <cellStyle name="Normal 36 2 2 2 9" xfId="29593" xr:uid="{00000000-0005-0000-0000-000042480000}"/>
    <cellStyle name="Normal 36 2 2 3" xfId="12863" xr:uid="{00000000-0005-0000-0000-000043480000}"/>
    <cellStyle name="Normal 36 2 2 3 2" xfId="29595" xr:uid="{00000000-0005-0000-0000-000044480000}"/>
    <cellStyle name="Normal 36 2 2 3 2 2" xfId="29597" xr:uid="{00000000-0005-0000-0000-000045480000}"/>
    <cellStyle name="Normal 36 2 2 3 2 2 2" xfId="24758" xr:uid="{00000000-0005-0000-0000-000046480000}"/>
    <cellStyle name="Normal 36 2 2 3 2 2 2 2" xfId="29603" xr:uid="{00000000-0005-0000-0000-000047480000}"/>
    <cellStyle name="Normal 36 2 2 3 2 2 3" xfId="29605" xr:uid="{00000000-0005-0000-0000-000048480000}"/>
    <cellStyle name="Normal 36 2 2 3 2 3" xfId="29607" xr:uid="{00000000-0005-0000-0000-000049480000}"/>
    <cellStyle name="Normal 36 2 2 3 2 3 2" xfId="29609" xr:uid="{00000000-0005-0000-0000-00004A480000}"/>
    <cellStyle name="Normal 36 2 2 3 2 4" xfId="29611" xr:uid="{00000000-0005-0000-0000-00004B480000}"/>
    <cellStyle name="Normal 36 2 2 3 3" xfId="6652" xr:uid="{00000000-0005-0000-0000-00004C480000}"/>
    <cellStyle name="Normal 36 2 2 3 3 2" xfId="29613" xr:uid="{00000000-0005-0000-0000-00004D480000}"/>
    <cellStyle name="Normal 36 2 2 3 3 2 2" xfId="29617" xr:uid="{00000000-0005-0000-0000-00004E480000}"/>
    <cellStyle name="Normal 36 2 2 3 3 3" xfId="29619" xr:uid="{00000000-0005-0000-0000-00004F480000}"/>
    <cellStyle name="Normal 36 2 2 3 4" xfId="29621" xr:uid="{00000000-0005-0000-0000-000050480000}"/>
    <cellStyle name="Normal 36 2 2 3 4 2" xfId="29624" xr:uid="{00000000-0005-0000-0000-000051480000}"/>
    <cellStyle name="Normal 36 2 2 3 4 2 2" xfId="29392" xr:uid="{00000000-0005-0000-0000-000052480000}"/>
    <cellStyle name="Normal 36 2 2 3 4 3" xfId="29626" xr:uid="{00000000-0005-0000-0000-000053480000}"/>
    <cellStyle name="Normal 36 2 2 3 5" xfId="29628" xr:uid="{00000000-0005-0000-0000-000054480000}"/>
    <cellStyle name="Normal 36 2 2 3 5 2" xfId="29630" xr:uid="{00000000-0005-0000-0000-000055480000}"/>
    <cellStyle name="Normal 36 2 2 3 6" xfId="29632" xr:uid="{00000000-0005-0000-0000-000056480000}"/>
    <cellStyle name="Normal 36 2 2 3 6 2" xfId="21952" xr:uid="{00000000-0005-0000-0000-000057480000}"/>
    <cellStyle name="Normal 36 2 2 3 7" xfId="23343" xr:uid="{00000000-0005-0000-0000-000058480000}"/>
    <cellStyle name="Normal 36 2 2 3 8" xfId="24060" xr:uid="{00000000-0005-0000-0000-000059480000}"/>
    <cellStyle name="Normal 36 2 2 4" xfId="29634" xr:uid="{00000000-0005-0000-0000-00005A480000}"/>
    <cellStyle name="Normal 36 2 2 4 2" xfId="29636" xr:uid="{00000000-0005-0000-0000-00005B480000}"/>
    <cellStyle name="Normal 36 2 2 4 2 2" xfId="29638" xr:uid="{00000000-0005-0000-0000-00005C480000}"/>
    <cellStyle name="Normal 36 2 2 4 2 2 2" xfId="15663" xr:uid="{00000000-0005-0000-0000-00005D480000}"/>
    <cellStyle name="Normal 36 2 2 4 2 3" xfId="29640" xr:uid="{00000000-0005-0000-0000-00005E480000}"/>
    <cellStyle name="Normal 36 2 2 4 3" xfId="29642" xr:uid="{00000000-0005-0000-0000-00005F480000}"/>
    <cellStyle name="Normal 36 2 2 4 3 2" xfId="29645" xr:uid="{00000000-0005-0000-0000-000060480000}"/>
    <cellStyle name="Normal 36 2 2 4 4" xfId="29648" xr:uid="{00000000-0005-0000-0000-000061480000}"/>
    <cellStyle name="Normal 36 2 2 5" xfId="29650" xr:uid="{00000000-0005-0000-0000-000062480000}"/>
    <cellStyle name="Normal 36 2 2 5 2" xfId="25800" xr:uid="{00000000-0005-0000-0000-000063480000}"/>
    <cellStyle name="Normal 36 2 2 5 2 2" xfId="16384" xr:uid="{00000000-0005-0000-0000-000064480000}"/>
    <cellStyle name="Normal 36 2 2 5 3" xfId="13772" xr:uid="{00000000-0005-0000-0000-000065480000}"/>
    <cellStyle name="Normal 36 2 2 6" xfId="29652" xr:uid="{00000000-0005-0000-0000-000066480000}"/>
    <cellStyle name="Normal 36 2 2 6 2" xfId="25811" xr:uid="{00000000-0005-0000-0000-000067480000}"/>
    <cellStyle name="Normal 36 2 2 6 2 2" xfId="16628" xr:uid="{00000000-0005-0000-0000-000068480000}"/>
    <cellStyle name="Normal 36 2 2 6 3" xfId="8728" xr:uid="{00000000-0005-0000-0000-000069480000}"/>
    <cellStyle name="Normal 36 2 2 7" xfId="29654" xr:uid="{00000000-0005-0000-0000-00006A480000}"/>
    <cellStyle name="Normal 36 2 2 7 2" xfId="25819" xr:uid="{00000000-0005-0000-0000-00006B480000}"/>
    <cellStyle name="Normal 36 2 2 8" xfId="29657" xr:uid="{00000000-0005-0000-0000-00006C480000}"/>
    <cellStyle name="Normal 36 2 2 8 2" xfId="9382" xr:uid="{00000000-0005-0000-0000-00006D480000}"/>
    <cellStyle name="Normal 36 2 2 9" xfId="29659" xr:uid="{00000000-0005-0000-0000-00006E480000}"/>
    <cellStyle name="Normal 36 2 3" xfId="8971" xr:uid="{00000000-0005-0000-0000-00006F480000}"/>
    <cellStyle name="Normal 36 2 3 2" xfId="8979" xr:uid="{00000000-0005-0000-0000-000070480000}"/>
    <cellStyle name="Normal 36 2 3 2 2" xfId="29661" xr:uid="{00000000-0005-0000-0000-000071480000}"/>
    <cellStyle name="Normal 36 2 3 2 2 2" xfId="29663" xr:uid="{00000000-0005-0000-0000-000072480000}"/>
    <cellStyle name="Normal 36 2 3 2 2 2 2" xfId="29665" xr:uid="{00000000-0005-0000-0000-000073480000}"/>
    <cellStyle name="Normal 36 2 3 2 2 2 2 2" xfId="29670" xr:uid="{00000000-0005-0000-0000-000074480000}"/>
    <cellStyle name="Normal 36 2 3 2 2 2 3" xfId="29672" xr:uid="{00000000-0005-0000-0000-000075480000}"/>
    <cellStyle name="Normal 36 2 3 2 2 3" xfId="29674" xr:uid="{00000000-0005-0000-0000-000076480000}"/>
    <cellStyle name="Normal 36 2 3 2 2 3 2" xfId="29676" xr:uid="{00000000-0005-0000-0000-000077480000}"/>
    <cellStyle name="Normal 36 2 3 2 2 4" xfId="29678" xr:uid="{00000000-0005-0000-0000-000078480000}"/>
    <cellStyle name="Normal 36 2 3 2 2 5" xfId="29680" xr:uid="{00000000-0005-0000-0000-000079480000}"/>
    <cellStyle name="Normal 36 2 3 2 3" xfId="6658" xr:uid="{00000000-0005-0000-0000-00007A480000}"/>
    <cellStyle name="Normal 36 2 3 2 3 2" xfId="29682" xr:uid="{00000000-0005-0000-0000-00007B480000}"/>
    <cellStyle name="Normal 36 2 3 2 3 2 2" xfId="29687" xr:uid="{00000000-0005-0000-0000-00007C480000}"/>
    <cellStyle name="Normal 36 2 3 2 3 3" xfId="29689" xr:uid="{00000000-0005-0000-0000-00007D480000}"/>
    <cellStyle name="Normal 36 2 3 2 4" xfId="29691" xr:uid="{00000000-0005-0000-0000-00007E480000}"/>
    <cellStyle name="Normal 36 2 3 2 4 2" xfId="29693" xr:uid="{00000000-0005-0000-0000-00007F480000}"/>
    <cellStyle name="Normal 36 2 3 2 4 2 2" xfId="29695" xr:uid="{00000000-0005-0000-0000-000080480000}"/>
    <cellStyle name="Normal 36 2 3 2 4 3" xfId="27578" xr:uid="{00000000-0005-0000-0000-000081480000}"/>
    <cellStyle name="Normal 36 2 3 2 5" xfId="25557" xr:uid="{00000000-0005-0000-0000-000082480000}"/>
    <cellStyle name="Normal 36 2 3 2 5 2" xfId="27430" xr:uid="{00000000-0005-0000-0000-000083480000}"/>
    <cellStyle name="Normal 36 2 3 2 6" xfId="27435" xr:uid="{00000000-0005-0000-0000-000084480000}"/>
    <cellStyle name="Normal 36 2 3 2 6 2" xfId="13081" xr:uid="{00000000-0005-0000-0000-000085480000}"/>
    <cellStyle name="Normal 36 2 3 2 7" xfId="27439" xr:uid="{00000000-0005-0000-0000-000086480000}"/>
    <cellStyle name="Normal 36 2 3 2 8" xfId="29703" xr:uid="{00000000-0005-0000-0000-000087480000}"/>
    <cellStyle name="Normal 36 2 3 3" xfId="29705" xr:uid="{00000000-0005-0000-0000-000088480000}"/>
    <cellStyle name="Normal 36 2 3 3 2" xfId="29707" xr:uid="{00000000-0005-0000-0000-000089480000}"/>
    <cellStyle name="Normal 36 2 3 3 2 2" xfId="29709" xr:uid="{00000000-0005-0000-0000-00008A480000}"/>
    <cellStyle name="Normal 36 2 3 3 2 2 2" xfId="25009" xr:uid="{00000000-0005-0000-0000-00008B480000}"/>
    <cellStyle name="Normal 36 2 3 3 2 3" xfId="29714" xr:uid="{00000000-0005-0000-0000-00008C480000}"/>
    <cellStyle name="Normal 36 2 3 3 3" xfId="29716" xr:uid="{00000000-0005-0000-0000-00008D480000}"/>
    <cellStyle name="Normal 36 2 3 3 3 2" xfId="29718" xr:uid="{00000000-0005-0000-0000-00008E480000}"/>
    <cellStyle name="Normal 36 2 3 3 4" xfId="29720" xr:uid="{00000000-0005-0000-0000-00008F480000}"/>
    <cellStyle name="Normal 36 2 3 3 5" xfId="27443" xr:uid="{00000000-0005-0000-0000-000090480000}"/>
    <cellStyle name="Normal 36 2 3 4" xfId="8992" xr:uid="{00000000-0005-0000-0000-000091480000}"/>
    <cellStyle name="Normal 36 2 3 4 2" xfId="12467" xr:uid="{00000000-0005-0000-0000-000092480000}"/>
    <cellStyle name="Normal 36 2 3 4 2 2" xfId="29722" xr:uid="{00000000-0005-0000-0000-000093480000}"/>
    <cellStyle name="Normal 36 2 3 4 3" xfId="29724" xr:uid="{00000000-0005-0000-0000-000094480000}"/>
    <cellStyle name="Normal 36 2 3 5" xfId="1883" xr:uid="{00000000-0005-0000-0000-000095480000}"/>
    <cellStyle name="Normal 36 2 3 5 2" xfId="25826" xr:uid="{00000000-0005-0000-0000-000096480000}"/>
    <cellStyle name="Normal 36 2 3 5 2 2" xfId="17243" xr:uid="{00000000-0005-0000-0000-000097480000}"/>
    <cellStyle name="Normal 36 2 3 5 3" xfId="25829" xr:uid="{00000000-0005-0000-0000-000098480000}"/>
    <cellStyle name="Normal 36 2 3 6" xfId="1975" xr:uid="{00000000-0005-0000-0000-000099480000}"/>
    <cellStyle name="Normal 36 2 3 6 2" xfId="25839" xr:uid="{00000000-0005-0000-0000-00009A480000}"/>
    <cellStyle name="Normal 36 2 3 7" xfId="18826" xr:uid="{00000000-0005-0000-0000-00009B480000}"/>
    <cellStyle name="Normal 36 2 3 7 2" xfId="25846" xr:uid="{00000000-0005-0000-0000-00009C480000}"/>
    <cellStyle name="Normal 36 2 3 8" xfId="29728" xr:uid="{00000000-0005-0000-0000-00009D480000}"/>
    <cellStyle name="Normal 36 2 3 9" xfId="29730" xr:uid="{00000000-0005-0000-0000-00009E480000}"/>
    <cellStyle name="Normal 36 2 4" xfId="5943" xr:uid="{00000000-0005-0000-0000-00009F480000}"/>
    <cellStyle name="Normal 36 2 4 2" xfId="29732" xr:uid="{00000000-0005-0000-0000-0000A0480000}"/>
    <cellStyle name="Normal 36 2 4 2 2" xfId="12531" xr:uid="{00000000-0005-0000-0000-0000A1480000}"/>
    <cellStyle name="Normal 36 2 4 2 2 2" xfId="4235" xr:uid="{00000000-0005-0000-0000-0000A2480000}"/>
    <cellStyle name="Normal 36 2 4 2 2 2 2" xfId="26582" xr:uid="{00000000-0005-0000-0000-0000A3480000}"/>
    <cellStyle name="Normal 36 2 4 2 2 2 2 2" xfId="6867" xr:uid="{00000000-0005-0000-0000-0000A4480000}"/>
    <cellStyle name="Normal 36 2 4 2 2 2 3" xfId="29734" xr:uid="{00000000-0005-0000-0000-0000A5480000}"/>
    <cellStyle name="Normal 36 2 4 2 2 3" xfId="26516" xr:uid="{00000000-0005-0000-0000-0000A6480000}"/>
    <cellStyle name="Normal 36 2 4 2 2 3 2" xfId="29736" xr:uid="{00000000-0005-0000-0000-0000A7480000}"/>
    <cellStyle name="Normal 36 2 4 2 2 4" xfId="26525" xr:uid="{00000000-0005-0000-0000-0000A8480000}"/>
    <cellStyle name="Normal 36 2 4 2 3" xfId="5958" xr:uid="{00000000-0005-0000-0000-0000A9480000}"/>
    <cellStyle name="Normal 36 2 4 2 3 2" xfId="29738" xr:uid="{00000000-0005-0000-0000-0000AA480000}"/>
    <cellStyle name="Normal 36 2 4 2 3 2 2" xfId="29742" xr:uid="{00000000-0005-0000-0000-0000AB480000}"/>
    <cellStyle name="Normal 36 2 4 2 3 3" xfId="29744" xr:uid="{00000000-0005-0000-0000-0000AC480000}"/>
    <cellStyle name="Normal 36 2 4 2 4" xfId="29750" xr:uid="{00000000-0005-0000-0000-0000AD480000}"/>
    <cellStyle name="Normal 36 2 4 2 4 2" xfId="29752" xr:uid="{00000000-0005-0000-0000-0000AE480000}"/>
    <cellStyle name="Normal 36 2 4 2 4 2 2" xfId="29756" xr:uid="{00000000-0005-0000-0000-0000AF480000}"/>
    <cellStyle name="Normal 36 2 4 2 4 3" xfId="23544" xr:uid="{00000000-0005-0000-0000-0000B0480000}"/>
    <cellStyle name="Normal 36 2 4 2 5" xfId="27459" xr:uid="{00000000-0005-0000-0000-0000B1480000}"/>
    <cellStyle name="Normal 36 2 4 2 5 2" xfId="27464" xr:uid="{00000000-0005-0000-0000-0000B2480000}"/>
    <cellStyle name="Normal 36 2 4 2 6" xfId="27467" xr:uid="{00000000-0005-0000-0000-0000B3480000}"/>
    <cellStyle name="Normal 36 2 4 2 6 2" xfId="29760" xr:uid="{00000000-0005-0000-0000-0000B4480000}"/>
    <cellStyle name="Normal 36 2 4 2 7" xfId="29762" xr:uid="{00000000-0005-0000-0000-0000B5480000}"/>
    <cellStyle name="Normal 36 2 4 2 8" xfId="22394" xr:uid="{00000000-0005-0000-0000-0000B6480000}"/>
    <cellStyle name="Normal 36 2 4 3" xfId="29764" xr:uid="{00000000-0005-0000-0000-0000B7480000}"/>
    <cellStyle name="Normal 36 2 4 3 2" xfId="12883" xr:uid="{00000000-0005-0000-0000-0000B8480000}"/>
    <cellStyle name="Normal 36 2 4 3 2 2" xfId="29766" xr:uid="{00000000-0005-0000-0000-0000B9480000}"/>
    <cellStyle name="Normal 36 2 4 3 2 2 2" xfId="29768" xr:uid="{00000000-0005-0000-0000-0000BA480000}"/>
    <cellStyle name="Normal 36 2 4 3 2 3" xfId="29772" xr:uid="{00000000-0005-0000-0000-0000BB480000}"/>
    <cellStyle name="Normal 36 2 4 3 3" xfId="29774" xr:uid="{00000000-0005-0000-0000-0000BC480000}"/>
    <cellStyle name="Normal 36 2 4 3 3 2" xfId="29776" xr:uid="{00000000-0005-0000-0000-0000BD480000}"/>
    <cellStyle name="Normal 36 2 4 3 4" xfId="29778" xr:uid="{00000000-0005-0000-0000-0000BE480000}"/>
    <cellStyle name="Normal 36 2 4 4" xfId="5967" xr:uid="{00000000-0005-0000-0000-0000BF480000}"/>
    <cellStyle name="Normal 36 2 4 4 2" xfId="20602" xr:uid="{00000000-0005-0000-0000-0000C0480000}"/>
    <cellStyle name="Normal 36 2 4 4 2 2" xfId="29780" xr:uid="{00000000-0005-0000-0000-0000C1480000}"/>
    <cellStyle name="Normal 36 2 4 4 3" xfId="18046" xr:uid="{00000000-0005-0000-0000-0000C2480000}"/>
    <cellStyle name="Normal 36 2 4 5" xfId="29782" xr:uid="{00000000-0005-0000-0000-0000C3480000}"/>
    <cellStyle name="Normal 36 2 4 5 2" xfId="25854" xr:uid="{00000000-0005-0000-0000-0000C4480000}"/>
    <cellStyle name="Normal 36 2 4 5 2 2" xfId="29784" xr:uid="{00000000-0005-0000-0000-0000C5480000}"/>
    <cellStyle name="Normal 36 2 4 5 3" xfId="18054" xr:uid="{00000000-0005-0000-0000-0000C6480000}"/>
    <cellStyle name="Normal 36 2 4 6" xfId="29786" xr:uid="{00000000-0005-0000-0000-0000C7480000}"/>
    <cellStyle name="Normal 36 2 4 6 2" xfId="29788" xr:uid="{00000000-0005-0000-0000-0000C8480000}"/>
    <cellStyle name="Normal 36 2 4 7" xfId="29790" xr:uid="{00000000-0005-0000-0000-0000C9480000}"/>
    <cellStyle name="Normal 36 2 4 7 2" xfId="29792" xr:uid="{00000000-0005-0000-0000-0000CA480000}"/>
    <cellStyle name="Normal 36 2 4 8" xfId="29794" xr:uid="{00000000-0005-0000-0000-0000CB480000}"/>
    <cellStyle name="Normal 36 2 4 9" xfId="29796" xr:uid="{00000000-0005-0000-0000-0000CC480000}"/>
    <cellStyle name="Normal 36 2 5" xfId="29798" xr:uid="{00000000-0005-0000-0000-0000CD480000}"/>
    <cellStyle name="Normal 36 2 5 2" xfId="29803" xr:uid="{00000000-0005-0000-0000-0000CE480000}"/>
    <cellStyle name="Normal 36 2 5 2 2" xfId="12893" xr:uid="{00000000-0005-0000-0000-0000CF480000}"/>
    <cellStyle name="Normal 36 2 5 2 2 2" xfId="29805" xr:uid="{00000000-0005-0000-0000-0000D0480000}"/>
    <cellStyle name="Normal 36 2 5 2 2 2 2" xfId="29807" xr:uid="{00000000-0005-0000-0000-0000D1480000}"/>
    <cellStyle name="Normal 36 2 5 2 2 2 2 2" xfId="29809" xr:uid="{00000000-0005-0000-0000-0000D2480000}"/>
    <cellStyle name="Normal 36 2 5 2 2 2 3" xfId="29813" xr:uid="{00000000-0005-0000-0000-0000D3480000}"/>
    <cellStyle name="Normal 36 2 5 2 2 3" xfId="29815" xr:uid="{00000000-0005-0000-0000-0000D4480000}"/>
    <cellStyle name="Normal 36 2 5 2 2 3 2" xfId="29819" xr:uid="{00000000-0005-0000-0000-0000D5480000}"/>
    <cellStyle name="Normal 36 2 5 2 2 4" xfId="29821" xr:uid="{00000000-0005-0000-0000-0000D6480000}"/>
    <cellStyle name="Normal 36 2 5 2 3" xfId="29823" xr:uid="{00000000-0005-0000-0000-0000D7480000}"/>
    <cellStyle name="Normal 36 2 5 2 3 2" xfId="29825" xr:uid="{00000000-0005-0000-0000-0000D8480000}"/>
    <cellStyle name="Normal 36 2 5 2 3 2 2" xfId="29829" xr:uid="{00000000-0005-0000-0000-0000D9480000}"/>
    <cellStyle name="Normal 36 2 5 2 3 3" xfId="29831" xr:uid="{00000000-0005-0000-0000-0000DA480000}"/>
    <cellStyle name="Normal 36 2 5 2 4" xfId="29833" xr:uid="{00000000-0005-0000-0000-0000DB480000}"/>
    <cellStyle name="Normal 36 2 5 2 4 2" xfId="19876" xr:uid="{00000000-0005-0000-0000-0000DC480000}"/>
    <cellStyle name="Normal 36 2 5 2 4 2 2" xfId="29837" xr:uid="{00000000-0005-0000-0000-0000DD480000}"/>
    <cellStyle name="Normal 36 2 5 2 4 3" xfId="19879" xr:uid="{00000000-0005-0000-0000-0000DE480000}"/>
    <cellStyle name="Normal 36 2 5 2 5" xfId="27475" xr:uid="{00000000-0005-0000-0000-0000DF480000}"/>
    <cellStyle name="Normal 36 2 5 2 5 2" xfId="29841" xr:uid="{00000000-0005-0000-0000-0000E0480000}"/>
    <cellStyle name="Normal 36 2 5 2 6" xfId="29843" xr:uid="{00000000-0005-0000-0000-0000E1480000}"/>
    <cellStyle name="Normal 36 2 5 2 6 2" xfId="15161" xr:uid="{00000000-0005-0000-0000-0000E2480000}"/>
    <cellStyle name="Normal 36 2 5 2 7" xfId="29845" xr:uid="{00000000-0005-0000-0000-0000E3480000}"/>
    <cellStyle name="Normal 36 2 5 2 8" xfId="29847" xr:uid="{00000000-0005-0000-0000-0000E4480000}"/>
    <cellStyle name="Normal 36 2 5 3" xfId="29855" xr:uid="{00000000-0005-0000-0000-0000E5480000}"/>
    <cellStyle name="Normal 36 2 5 3 2" xfId="3613" xr:uid="{00000000-0005-0000-0000-0000E6480000}"/>
    <cellStyle name="Normal 36 2 5 3 2 2" xfId="121" xr:uid="{00000000-0005-0000-0000-0000E7480000}"/>
    <cellStyle name="Normal 36 2 5 3 2 2 2" xfId="3616" xr:uid="{00000000-0005-0000-0000-0000E8480000}"/>
    <cellStyle name="Normal 36 2 5 3 2 3" xfId="208" xr:uid="{00000000-0005-0000-0000-0000E9480000}"/>
    <cellStyle name="Normal 36 2 5 3 3" xfId="3681" xr:uid="{00000000-0005-0000-0000-0000EA480000}"/>
    <cellStyle name="Normal 36 2 5 3 3 2" xfId="2429" xr:uid="{00000000-0005-0000-0000-0000EB480000}"/>
    <cellStyle name="Normal 36 2 5 3 4" xfId="3718" xr:uid="{00000000-0005-0000-0000-0000EC480000}"/>
    <cellStyle name="Normal 36 2 5 4" xfId="7402" xr:uid="{00000000-0005-0000-0000-0000ED480000}"/>
    <cellStyle name="Normal 36 2 5 4 2" xfId="5018" xr:uid="{00000000-0005-0000-0000-0000EE480000}"/>
    <cellStyle name="Normal 36 2 5 4 2 2" xfId="5026" xr:uid="{00000000-0005-0000-0000-0000EF480000}"/>
    <cellStyle name="Normal 36 2 5 4 3" xfId="5201" xr:uid="{00000000-0005-0000-0000-0000F0480000}"/>
    <cellStyle name="Normal 36 2 5 5" xfId="29859" xr:uid="{00000000-0005-0000-0000-0000F1480000}"/>
    <cellStyle name="Normal 36 2 5 5 2" xfId="2228" xr:uid="{00000000-0005-0000-0000-0000F2480000}"/>
    <cellStyle name="Normal 36 2 5 5 2 2" xfId="6238" xr:uid="{00000000-0005-0000-0000-0000F3480000}"/>
    <cellStyle name="Normal 36 2 5 5 3" xfId="6286" xr:uid="{00000000-0005-0000-0000-0000F4480000}"/>
    <cellStyle name="Normal 36 2 5 6" xfId="29863" xr:uid="{00000000-0005-0000-0000-0000F5480000}"/>
    <cellStyle name="Normal 36 2 5 6 2" xfId="7546" xr:uid="{00000000-0005-0000-0000-0000F6480000}"/>
    <cellStyle name="Normal 36 2 5 7" xfId="29865" xr:uid="{00000000-0005-0000-0000-0000F7480000}"/>
    <cellStyle name="Normal 36 2 5 7 2" xfId="8294" xr:uid="{00000000-0005-0000-0000-0000F8480000}"/>
    <cellStyle name="Normal 36 2 5 8" xfId="29867" xr:uid="{00000000-0005-0000-0000-0000F9480000}"/>
    <cellStyle name="Normal 36 2 5 9" xfId="29869" xr:uid="{00000000-0005-0000-0000-0000FA480000}"/>
    <cellStyle name="Normal 36 2 6" xfId="792" xr:uid="{00000000-0005-0000-0000-0000FB480000}"/>
    <cellStyle name="Normal 36 2 6 2" xfId="5987" xr:uid="{00000000-0005-0000-0000-0000FC480000}"/>
    <cellStyle name="Normal 36 2 6 2 2" xfId="5511" xr:uid="{00000000-0005-0000-0000-0000FD480000}"/>
    <cellStyle name="Normal 36 2 6 2 2 2" xfId="3581" xr:uid="{00000000-0005-0000-0000-0000FE480000}"/>
    <cellStyle name="Normal 36 2 6 2 2 2 2" xfId="5519" xr:uid="{00000000-0005-0000-0000-0000FF480000}"/>
    <cellStyle name="Normal 36 2 6 2 2 3" xfId="5525" xr:uid="{00000000-0005-0000-0000-000000490000}"/>
    <cellStyle name="Normal 36 2 6 2 3" xfId="5536" xr:uid="{00000000-0005-0000-0000-000001490000}"/>
    <cellStyle name="Normal 36 2 6 2 3 2" xfId="2376" xr:uid="{00000000-0005-0000-0000-000002490000}"/>
    <cellStyle name="Normal 36 2 6 2 4" xfId="5553" xr:uid="{00000000-0005-0000-0000-000003490000}"/>
    <cellStyle name="Normal 36 2 6 2 5" xfId="2437" xr:uid="{00000000-0005-0000-0000-000004490000}"/>
    <cellStyle name="Normal 36 2 6 3" xfId="29871" xr:uid="{00000000-0005-0000-0000-000005490000}"/>
    <cellStyle name="Normal 36 2 6 3 2" xfId="5700" xr:uid="{00000000-0005-0000-0000-000006490000}"/>
    <cellStyle name="Normal 36 2 6 3 2 2" xfId="1014" xr:uid="{00000000-0005-0000-0000-000007490000}"/>
    <cellStyle name="Normal 36 2 6 3 3" xfId="5735" xr:uid="{00000000-0005-0000-0000-000008490000}"/>
    <cellStyle name="Normal 36 2 6 4" xfId="29873" xr:uid="{00000000-0005-0000-0000-000009490000}"/>
    <cellStyle name="Normal 36 2 6 4 2" xfId="5881" xr:uid="{00000000-0005-0000-0000-00000A490000}"/>
    <cellStyle name="Normal 36 2 6 4 2 2" xfId="5886" xr:uid="{00000000-0005-0000-0000-00000B490000}"/>
    <cellStyle name="Normal 36 2 6 4 3" xfId="2527" xr:uid="{00000000-0005-0000-0000-00000C490000}"/>
    <cellStyle name="Normal 36 2 6 5" xfId="29875" xr:uid="{00000000-0005-0000-0000-00000D490000}"/>
    <cellStyle name="Normal 36 2 6 5 2" xfId="2269" xr:uid="{00000000-0005-0000-0000-00000E490000}"/>
    <cellStyle name="Normal 36 2 6 6" xfId="29877" xr:uid="{00000000-0005-0000-0000-00000F490000}"/>
    <cellStyle name="Normal 36 2 6 6 2" xfId="5289" xr:uid="{00000000-0005-0000-0000-000010490000}"/>
    <cellStyle name="Normal 36 2 6 7" xfId="29879" xr:uid="{00000000-0005-0000-0000-000011490000}"/>
    <cellStyle name="Normal 36 2 6 8" xfId="29881" xr:uid="{00000000-0005-0000-0000-000012490000}"/>
    <cellStyle name="Normal 36 2 7" xfId="6001" xr:uid="{00000000-0005-0000-0000-000013490000}"/>
    <cellStyle name="Normal 36 2 7 2" xfId="29883" xr:uid="{00000000-0005-0000-0000-000014490000}"/>
    <cellStyle name="Normal 36 2 7 2 2" xfId="6250" xr:uid="{00000000-0005-0000-0000-000015490000}"/>
    <cellStyle name="Normal 36 2 7 2 2 2" xfId="19323" xr:uid="{00000000-0005-0000-0000-000016490000}"/>
    <cellStyle name="Normal 36 2 7 2 3" xfId="6256" xr:uid="{00000000-0005-0000-0000-000017490000}"/>
    <cellStyle name="Normal 36 2 7 3" xfId="29885" xr:uid="{00000000-0005-0000-0000-000018490000}"/>
    <cellStyle name="Normal 36 2 7 3 2" xfId="29887" xr:uid="{00000000-0005-0000-0000-000019490000}"/>
    <cellStyle name="Normal 36 2 7 4" xfId="29889" xr:uid="{00000000-0005-0000-0000-00001A490000}"/>
    <cellStyle name="Normal 36 2 7 5" xfId="27703" xr:uid="{00000000-0005-0000-0000-00001B490000}"/>
    <cellStyle name="Normal 36 2 8" xfId="29894" xr:uid="{00000000-0005-0000-0000-00001C490000}"/>
    <cellStyle name="Normal 36 2 8 2" xfId="29896" xr:uid="{00000000-0005-0000-0000-00001D490000}"/>
    <cellStyle name="Normal 36 2 8 2 2" xfId="29898" xr:uid="{00000000-0005-0000-0000-00001E490000}"/>
    <cellStyle name="Normal 36 2 8 3" xfId="29900" xr:uid="{00000000-0005-0000-0000-00001F490000}"/>
    <cellStyle name="Normal 36 2 9" xfId="29903" xr:uid="{00000000-0005-0000-0000-000020490000}"/>
    <cellStyle name="Normal 36 2 9 2" xfId="23070" xr:uid="{00000000-0005-0000-0000-000021490000}"/>
    <cellStyle name="Normal 36 2 9 2 2" xfId="29905" xr:uid="{00000000-0005-0000-0000-000022490000}"/>
    <cellStyle name="Normal 36 2 9 3" xfId="29909" xr:uid="{00000000-0005-0000-0000-000023490000}"/>
    <cellStyle name="Normal 36 3" xfId="29914" xr:uid="{00000000-0005-0000-0000-000024490000}"/>
    <cellStyle name="Normal 36 3 10" xfId="29916" xr:uid="{00000000-0005-0000-0000-000025490000}"/>
    <cellStyle name="Normal 36 3 10 2" xfId="29918" xr:uid="{00000000-0005-0000-0000-000026490000}"/>
    <cellStyle name="Normal 36 3 11" xfId="12792" xr:uid="{00000000-0005-0000-0000-000027490000}"/>
    <cellStyle name="Normal 36 3 11 2" xfId="12797" xr:uid="{00000000-0005-0000-0000-000028490000}"/>
    <cellStyle name="Normal 36 3 12" xfId="12805" xr:uid="{00000000-0005-0000-0000-000029490000}"/>
    <cellStyle name="Normal 36 3 12 2" xfId="13597" xr:uid="{00000000-0005-0000-0000-00002A490000}"/>
    <cellStyle name="Normal 36 3 13" xfId="2385" xr:uid="{00000000-0005-0000-0000-00002B490000}"/>
    <cellStyle name="Normal 36 3 14" xfId="29921" xr:uid="{00000000-0005-0000-0000-00002C490000}"/>
    <cellStyle name="Normal 36 3 2" xfId="29926" xr:uid="{00000000-0005-0000-0000-00002D490000}"/>
    <cellStyle name="Normal 36 3 2 10" xfId="29929" xr:uid="{00000000-0005-0000-0000-00002E490000}"/>
    <cellStyle name="Normal 36 3 2 2" xfId="29933" xr:uid="{00000000-0005-0000-0000-00002F490000}"/>
    <cellStyle name="Normal 36 3 2 2 2" xfId="24399" xr:uid="{00000000-0005-0000-0000-000030490000}"/>
    <cellStyle name="Normal 36 3 2 2 2 2" xfId="24402" xr:uid="{00000000-0005-0000-0000-000031490000}"/>
    <cellStyle name="Normal 36 3 2 2 2 2 2" xfId="17453" xr:uid="{00000000-0005-0000-0000-000032490000}"/>
    <cellStyle name="Normal 36 3 2 2 2 2 2 2" xfId="17457" xr:uid="{00000000-0005-0000-0000-000033490000}"/>
    <cellStyle name="Normal 36 3 2 2 2 2 2 2 2" xfId="21430" xr:uid="{00000000-0005-0000-0000-000034490000}"/>
    <cellStyle name="Normal 36 3 2 2 2 2 2 3" xfId="13142" xr:uid="{00000000-0005-0000-0000-000035490000}"/>
    <cellStyle name="Normal 36 3 2 2 2 2 3" xfId="12938" xr:uid="{00000000-0005-0000-0000-000036490000}"/>
    <cellStyle name="Normal 36 3 2 2 2 2 3 2" xfId="15249" xr:uid="{00000000-0005-0000-0000-000037490000}"/>
    <cellStyle name="Normal 36 3 2 2 2 2 4" xfId="17463" xr:uid="{00000000-0005-0000-0000-000038490000}"/>
    <cellStyle name="Normal 36 3 2 2 2 3" xfId="29935" xr:uid="{00000000-0005-0000-0000-000039490000}"/>
    <cellStyle name="Normal 36 3 2 2 2 3 2" xfId="10718" xr:uid="{00000000-0005-0000-0000-00003A490000}"/>
    <cellStyle name="Normal 36 3 2 2 2 3 2 2" xfId="29937" xr:uid="{00000000-0005-0000-0000-00003B490000}"/>
    <cellStyle name="Normal 36 3 2 2 2 3 3" xfId="10722" xr:uid="{00000000-0005-0000-0000-00003C490000}"/>
    <cellStyle name="Normal 36 3 2 2 2 4" xfId="29939" xr:uid="{00000000-0005-0000-0000-00003D490000}"/>
    <cellStyle name="Normal 36 3 2 2 2 4 2" xfId="29941" xr:uid="{00000000-0005-0000-0000-00003E490000}"/>
    <cellStyle name="Normal 36 3 2 2 2 4 2 2" xfId="29943" xr:uid="{00000000-0005-0000-0000-00003F490000}"/>
    <cellStyle name="Normal 36 3 2 2 2 4 3" xfId="29945" xr:uid="{00000000-0005-0000-0000-000040490000}"/>
    <cellStyle name="Normal 36 3 2 2 2 5" xfId="29947" xr:uid="{00000000-0005-0000-0000-000041490000}"/>
    <cellStyle name="Normal 36 3 2 2 2 5 2" xfId="29949" xr:uid="{00000000-0005-0000-0000-000042490000}"/>
    <cellStyle name="Normal 36 3 2 2 2 6" xfId="29953" xr:uid="{00000000-0005-0000-0000-000043490000}"/>
    <cellStyle name="Normal 36 3 2 2 2 6 2" xfId="29957" xr:uid="{00000000-0005-0000-0000-000044490000}"/>
    <cellStyle name="Normal 36 3 2 2 2 7" xfId="29959" xr:uid="{00000000-0005-0000-0000-000045490000}"/>
    <cellStyle name="Normal 36 3 2 2 2 8" xfId="18364" xr:uid="{00000000-0005-0000-0000-000046490000}"/>
    <cellStyle name="Normal 36 3 2 2 3" xfId="5911" xr:uid="{00000000-0005-0000-0000-000047490000}"/>
    <cellStyle name="Normal 36 3 2 2 3 2" xfId="29965" xr:uid="{00000000-0005-0000-0000-000048490000}"/>
    <cellStyle name="Normal 36 3 2 2 3 2 2" xfId="21464" xr:uid="{00000000-0005-0000-0000-000049490000}"/>
    <cellStyle name="Normal 36 3 2 2 3 2 2 2" xfId="20895" xr:uid="{00000000-0005-0000-0000-00004A490000}"/>
    <cellStyle name="Normal 36 3 2 2 3 2 3" xfId="21467" xr:uid="{00000000-0005-0000-0000-00004B490000}"/>
    <cellStyle name="Normal 36 3 2 2 3 3" xfId="4150" xr:uid="{00000000-0005-0000-0000-00004C490000}"/>
    <cellStyle name="Normal 36 3 2 2 3 3 2" xfId="4162" xr:uid="{00000000-0005-0000-0000-00004D490000}"/>
    <cellStyle name="Normal 36 3 2 2 3 4" xfId="4176" xr:uid="{00000000-0005-0000-0000-00004E490000}"/>
    <cellStyle name="Normal 36 3 2 2 4" xfId="29968" xr:uid="{00000000-0005-0000-0000-00004F490000}"/>
    <cellStyle name="Normal 36 3 2 2 4 2" xfId="29970" xr:uid="{00000000-0005-0000-0000-000050490000}"/>
    <cellStyle name="Normal 36 3 2 2 4 2 2" xfId="21499" xr:uid="{00000000-0005-0000-0000-000051490000}"/>
    <cellStyle name="Normal 36 3 2 2 4 3" xfId="2709" xr:uid="{00000000-0005-0000-0000-000052490000}"/>
    <cellStyle name="Normal 36 3 2 2 5" xfId="29972" xr:uid="{00000000-0005-0000-0000-000053490000}"/>
    <cellStyle name="Normal 36 3 2 2 5 2" xfId="29974" xr:uid="{00000000-0005-0000-0000-000054490000}"/>
    <cellStyle name="Normal 36 3 2 2 5 2 2" xfId="21522" xr:uid="{00000000-0005-0000-0000-000055490000}"/>
    <cellStyle name="Normal 36 3 2 2 5 3" xfId="7688" xr:uid="{00000000-0005-0000-0000-000056490000}"/>
    <cellStyle name="Normal 36 3 2 2 6" xfId="29976" xr:uid="{00000000-0005-0000-0000-000057490000}"/>
    <cellStyle name="Normal 36 3 2 2 6 2" xfId="29978" xr:uid="{00000000-0005-0000-0000-000058490000}"/>
    <cellStyle name="Normal 36 3 2 2 7" xfId="29980" xr:uid="{00000000-0005-0000-0000-000059490000}"/>
    <cellStyle name="Normal 36 3 2 2 7 2" xfId="29984" xr:uid="{00000000-0005-0000-0000-00005A490000}"/>
    <cellStyle name="Normal 36 3 2 2 8" xfId="29986" xr:uid="{00000000-0005-0000-0000-00005B490000}"/>
    <cellStyle name="Normal 36 3 2 2 9" xfId="12522" xr:uid="{00000000-0005-0000-0000-00005C490000}"/>
    <cellStyle name="Normal 36 3 2 3" xfId="16445" xr:uid="{00000000-0005-0000-0000-00005D490000}"/>
    <cellStyle name="Normal 36 3 2 3 2" xfId="24407" xr:uid="{00000000-0005-0000-0000-00005E490000}"/>
    <cellStyle name="Normal 36 3 2 3 2 2" xfId="29988" xr:uid="{00000000-0005-0000-0000-00005F490000}"/>
    <cellStyle name="Normal 36 3 2 3 2 2 2" xfId="29990" xr:uid="{00000000-0005-0000-0000-000060490000}"/>
    <cellStyle name="Normal 36 3 2 3 2 2 2 2" xfId="29994" xr:uid="{00000000-0005-0000-0000-000061490000}"/>
    <cellStyle name="Normal 36 3 2 3 2 2 3" xfId="16428" xr:uid="{00000000-0005-0000-0000-000062490000}"/>
    <cellStyle name="Normal 36 3 2 3 2 3" xfId="20617" xr:uid="{00000000-0005-0000-0000-000063490000}"/>
    <cellStyle name="Normal 36 3 2 3 2 3 2" xfId="11207" xr:uid="{00000000-0005-0000-0000-000064490000}"/>
    <cellStyle name="Normal 36 3 2 3 2 4" xfId="11658" xr:uid="{00000000-0005-0000-0000-000065490000}"/>
    <cellStyle name="Normal 36 3 2 3 3" xfId="29996" xr:uid="{00000000-0005-0000-0000-000066490000}"/>
    <cellStyle name="Normal 36 3 2 3 3 2" xfId="29998" xr:uid="{00000000-0005-0000-0000-000067490000}"/>
    <cellStyle name="Normal 36 3 2 3 3 2 2" xfId="26060" xr:uid="{00000000-0005-0000-0000-000068490000}"/>
    <cellStyle name="Normal 36 3 2 3 3 3" xfId="636" xr:uid="{00000000-0005-0000-0000-000069490000}"/>
    <cellStyle name="Normal 36 3 2 3 4" xfId="30000" xr:uid="{00000000-0005-0000-0000-00006A490000}"/>
    <cellStyle name="Normal 36 3 2 3 4 2" xfId="30002" xr:uid="{00000000-0005-0000-0000-00006B490000}"/>
    <cellStyle name="Normal 36 3 2 3 4 2 2" xfId="26396" xr:uid="{00000000-0005-0000-0000-00006C490000}"/>
    <cellStyle name="Normal 36 3 2 3 4 3" xfId="30004" xr:uid="{00000000-0005-0000-0000-00006D490000}"/>
    <cellStyle name="Normal 36 3 2 3 5" xfId="30006" xr:uid="{00000000-0005-0000-0000-00006E490000}"/>
    <cellStyle name="Normal 36 3 2 3 5 2" xfId="22459" xr:uid="{00000000-0005-0000-0000-00006F490000}"/>
    <cellStyle name="Normal 36 3 2 3 6" xfId="30008" xr:uid="{00000000-0005-0000-0000-000070490000}"/>
    <cellStyle name="Normal 36 3 2 3 6 2" xfId="24409" xr:uid="{00000000-0005-0000-0000-000071490000}"/>
    <cellStyle name="Normal 36 3 2 3 7" xfId="30010" xr:uid="{00000000-0005-0000-0000-000072490000}"/>
    <cellStyle name="Normal 36 3 2 3 8" xfId="30012" xr:uid="{00000000-0005-0000-0000-000073490000}"/>
    <cellStyle name="Normal 36 3 2 4" xfId="30015" xr:uid="{00000000-0005-0000-0000-000074490000}"/>
    <cellStyle name="Normal 36 3 2 4 2" xfId="24414" xr:uid="{00000000-0005-0000-0000-000075490000}"/>
    <cellStyle name="Normal 36 3 2 4 2 2" xfId="30017" xr:uid="{00000000-0005-0000-0000-000076490000}"/>
    <cellStyle name="Normal 36 3 2 4 2 2 2" xfId="26649" xr:uid="{00000000-0005-0000-0000-000077490000}"/>
    <cellStyle name="Normal 36 3 2 4 2 3" xfId="30021" xr:uid="{00000000-0005-0000-0000-000078490000}"/>
    <cellStyle name="Normal 36 3 2 4 3" xfId="30023" xr:uid="{00000000-0005-0000-0000-000079490000}"/>
    <cellStyle name="Normal 36 3 2 4 3 2" xfId="30025" xr:uid="{00000000-0005-0000-0000-00007A490000}"/>
    <cellStyle name="Normal 36 3 2 4 4" xfId="30028" xr:uid="{00000000-0005-0000-0000-00007B490000}"/>
    <cellStyle name="Normal 36 3 2 5" xfId="30030" xr:uid="{00000000-0005-0000-0000-00007C490000}"/>
    <cellStyle name="Normal 36 3 2 5 2" xfId="30033" xr:uid="{00000000-0005-0000-0000-00007D490000}"/>
    <cellStyle name="Normal 36 3 2 5 2 2" xfId="30036" xr:uid="{00000000-0005-0000-0000-00007E490000}"/>
    <cellStyle name="Normal 36 3 2 5 3" xfId="30039" xr:uid="{00000000-0005-0000-0000-00007F490000}"/>
    <cellStyle name="Normal 36 3 2 6" xfId="4675" xr:uid="{00000000-0005-0000-0000-000080490000}"/>
    <cellStyle name="Normal 36 3 2 6 2" xfId="27074" xr:uid="{00000000-0005-0000-0000-000081490000}"/>
    <cellStyle name="Normal 36 3 2 6 2 2" xfId="30041" xr:uid="{00000000-0005-0000-0000-000082490000}"/>
    <cellStyle name="Normal 36 3 2 6 3" xfId="30043" xr:uid="{00000000-0005-0000-0000-000083490000}"/>
    <cellStyle name="Normal 36 3 2 7" xfId="30045" xr:uid="{00000000-0005-0000-0000-000084490000}"/>
    <cellStyle name="Normal 36 3 2 7 2" xfId="20236" xr:uid="{00000000-0005-0000-0000-000085490000}"/>
    <cellStyle name="Normal 36 3 2 8" xfId="30047" xr:uid="{00000000-0005-0000-0000-000086490000}"/>
    <cellStyle name="Normal 36 3 2 8 2" xfId="30049" xr:uid="{00000000-0005-0000-0000-000087490000}"/>
    <cellStyle name="Normal 36 3 2 9" xfId="30051" xr:uid="{00000000-0005-0000-0000-000088490000}"/>
    <cellStyle name="Normal 36 3 3" xfId="9004" xr:uid="{00000000-0005-0000-0000-000089490000}"/>
    <cellStyle name="Normal 36 3 3 2" xfId="30053" xr:uid="{00000000-0005-0000-0000-00008A490000}"/>
    <cellStyle name="Normal 36 3 3 2 2" xfId="18330" xr:uid="{00000000-0005-0000-0000-00008B490000}"/>
    <cellStyle name="Normal 36 3 3 2 2 2" xfId="18334" xr:uid="{00000000-0005-0000-0000-00008C490000}"/>
    <cellStyle name="Normal 36 3 3 2 2 2 2" xfId="30056" xr:uid="{00000000-0005-0000-0000-00008D490000}"/>
    <cellStyle name="Normal 36 3 3 2 2 2 2 2" xfId="30059" xr:uid="{00000000-0005-0000-0000-00008E490000}"/>
    <cellStyle name="Normal 36 3 3 2 2 2 3" xfId="30063" xr:uid="{00000000-0005-0000-0000-00008F490000}"/>
    <cellStyle name="Normal 36 3 3 2 2 3" xfId="18576" xr:uid="{00000000-0005-0000-0000-000090490000}"/>
    <cellStyle name="Normal 36 3 3 2 2 3 2" xfId="30066" xr:uid="{00000000-0005-0000-0000-000091490000}"/>
    <cellStyle name="Normal 36 3 3 2 2 4" xfId="30068" xr:uid="{00000000-0005-0000-0000-000092490000}"/>
    <cellStyle name="Normal 36 3 3 2 2 5" xfId="23021" xr:uid="{00000000-0005-0000-0000-000093490000}"/>
    <cellStyle name="Normal 36 3 3 2 3" xfId="6741" xr:uid="{00000000-0005-0000-0000-000094490000}"/>
    <cellStyle name="Normal 36 3 3 2 3 2" xfId="18594" xr:uid="{00000000-0005-0000-0000-000095490000}"/>
    <cellStyle name="Normal 36 3 3 2 3 2 2" xfId="30071" xr:uid="{00000000-0005-0000-0000-000096490000}"/>
    <cellStyle name="Normal 36 3 3 2 3 3" xfId="8483" xr:uid="{00000000-0005-0000-0000-000097490000}"/>
    <cellStyle name="Normal 36 3 3 2 4" xfId="18339" xr:uid="{00000000-0005-0000-0000-000098490000}"/>
    <cellStyle name="Normal 36 3 3 2 4 2" xfId="30073" xr:uid="{00000000-0005-0000-0000-000099490000}"/>
    <cellStyle name="Normal 36 3 3 2 4 2 2" xfId="30075" xr:uid="{00000000-0005-0000-0000-00009A490000}"/>
    <cellStyle name="Normal 36 3 3 2 4 3" xfId="30077" xr:uid="{00000000-0005-0000-0000-00009B490000}"/>
    <cellStyle name="Normal 36 3 3 2 5" xfId="27489" xr:uid="{00000000-0005-0000-0000-00009C490000}"/>
    <cellStyle name="Normal 36 3 3 2 5 2" xfId="27492" xr:uid="{00000000-0005-0000-0000-00009D490000}"/>
    <cellStyle name="Normal 36 3 3 2 6" xfId="27495" xr:uid="{00000000-0005-0000-0000-00009E490000}"/>
    <cellStyle name="Normal 36 3 3 2 6 2" xfId="30079" xr:uid="{00000000-0005-0000-0000-00009F490000}"/>
    <cellStyle name="Normal 36 3 3 2 7" xfId="30081" xr:uid="{00000000-0005-0000-0000-0000A0490000}"/>
    <cellStyle name="Normal 36 3 3 2 8" xfId="30083" xr:uid="{00000000-0005-0000-0000-0000A1490000}"/>
    <cellStyle name="Normal 36 3 3 3" xfId="30085" xr:uid="{00000000-0005-0000-0000-0000A2490000}"/>
    <cellStyle name="Normal 36 3 3 3 2" xfId="30087" xr:uid="{00000000-0005-0000-0000-0000A3490000}"/>
    <cellStyle name="Normal 36 3 3 3 2 2" xfId="30089" xr:uid="{00000000-0005-0000-0000-0000A4490000}"/>
    <cellStyle name="Normal 36 3 3 3 2 2 2" xfId="30091" xr:uid="{00000000-0005-0000-0000-0000A5490000}"/>
    <cellStyle name="Normal 36 3 3 3 2 3" xfId="30097" xr:uid="{00000000-0005-0000-0000-0000A6490000}"/>
    <cellStyle name="Normal 36 3 3 3 3" xfId="30099" xr:uid="{00000000-0005-0000-0000-0000A7490000}"/>
    <cellStyle name="Normal 36 3 3 3 3 2" xfId="30101" xr:uid="{00000000-0005-0000-0000-0000A8490000}"/>
    <cellStyle name="Normal 36 3 3 3 4" xfId="30103" xr:uid="{00000000-0005-0000-0000-0000A9490000}"/>
    <cellStyle name="Normal 36 3 3 3 5" xfId="27499" xr:uid="{00000000-0005-0000-0000-0000AA490000}"/>
    <cellStyle name="Normal 36 3 3 4" xfId="12471" xr:uid="{00000000-0005-0000-0000-0000AB490000}"/>
    <cellStyle name="Normal 36 3 3 4 2" xfId="30105" xr:uid="{00000000-0005-0000-0000-0000AC490000}"/>
    <cellStyle name="Normal 36 3 3 4 2 2" xfId="30107" xr:uid="{00000000-0005-0000-0000-0000AD490000}"/>
    <cellStyle name="Normal 36 3 3 4 3" xfId="30109" xr:uid="{00000000-0005-0000-0000-0000AE490000}"/>
    <cellStyle name="Normal 36 3 3 5" xfId="30111" xr:uid="{00000000-0005-0000-0000-0000AF490000}"/>
    <cellStyle name="Normal 36 3 3 5 2" xfId="30115" xr:uid="{00000000-0005-0000-0000-0000B0490000}"/>
    <cellStyle name="Normal 36 3 3 5 2 2" xfId="30118" xr:uid="{00000000-0005-0000-0000-0000B1490000}"/>
    <cellStyle name="Normal 36 3 3 5 3" xfId="30121" xr:uid="{00000000-0005-0000-0000-0000B2490000}"/>
    <cellStyle name="Normal 36 3 3 6" xfId="30123" xr:uid="{00000000-0005-0000-0000-0000B3490000}"/>
    <cellStyle name="Normal 36 3 3 6 2" xfId="30125" xr:uid="{00000000-0005-0000-0000-0000B4490000}"/>
    <cellStyle name="Normal 36 3 3 7" xfId="30127" xr:uid="{00000000-0005-0000-0000-0000B5490000}"/>
    <cellStyle name="Normal 36 3 3 7 2" xfId="30129" xr:uid="{00000000-0005-0000-0000-0000B6490000}"/>
    <cellStyle name="Normal 36 3 3 8" xfId="30131" xr:uid="{00000000-0005-0000-0000-0000B7490000}"/>
    <cellStyle name="Normal 36 3 3 9" xfId="30133" xr:uid="{00000000-0005-0000-0000-0000B8490000}"/>
    <cellStyle name="Normal 36 3 4" xfId="30135" xr:uid="{00000000-0005-0000-0000-0000B9490000}"/>
    <cellStyle name="Normal 36 3 4 2" xfId="30137" xr:uid="{00000000-0005-0000-0000-0000BA490000}"/>
    <cellStyle name="Normal 36 3 4 2 2" xfId="22770" xr:uid="{00000000-0005-0000-0000-0000BB490000}"/>
    <cellStyle name="Normal 36 3 4 2 2 2" xfId="22775" xr:uid="{00000000-0005-0000-0000-0000BC490000}"/>
    <cellStyle name="Normal 36 3 4 2 2 2 2" xfId="16661" xr:uid="{00000000-0005-0000-0000-0000BD490000}"/>
    <cellStyle name="Normal 36 3 4 2 2 2 2 2" xfId="30139" xr:uid="{00000000-0005-0000-0000-0000BE490000}"/>
    <cellStyle name="Normal 36 3 4 2 2 2 3" xfId="16668" xr:uid="{00000000-0005-0000-0000-0000BF490000}"/>
    <cellStyle name="Normal 36 3 4 2 2 3" xfId="26796" xr:uid="{00000000-0005-0000-0000-0000C0490000}"/>
    <cellStyle name="Normal 36 3 4 2 2 3 2" xfId="30143" xr:uid="{00000000-0005-0000-0000-0000C1490000}"/>
    <cellStyle name="Normal 36 3 4 2 2 4" xfId="26801" xr:uid="{00000000-0005-0000-0000-0000C2490000}"/>
    <cellStyle name="Normal 36 3 4 2 3" xfId="22943" xr:uid="{00000000-0005-0000-0000-0000C3490000}"/>
    <cellStyle name="Normal 36 3 4 2 3 2" xfId="30145" xr:uid="{00000000-0005-0000-0000-0000C4490000}"/>
    <cellStyle name="Normal 36 3 4 2 3 2 2" xfId="30149" xr:uid="{00000000-0005-0000-0000-0000C5490000}"/>
    <cellStyle name="Normal 36 3 4 2 3 3" xfId="30153" xr:uid="{00000000-0005-0000-0000-0000C6490000}"/>
    <cellStyle name="Normal 36 3 4 2 4" xfId="30163" xr:uid="{00000000-0005-0000-0000-0000C7490000}"/>
    <cellStyle name="Normal 36 3 4 2 4 2" xfId="30167" xr:uid="{00000000-0005-0000-0000-0000C8490000}"/>
    <cellStyle name="Normal 36 3 4 2 4 2 2" xfId="30171" xr:uid="{00000000-0005-0000-0000-0000C9490000}"/>
    <cellStyle name="Normal 36 3 4 2 4 3" xfId="30175" xr:uid="{00000000-0005-0000-0000-0000CA490000}"/>
    <cellStyle name="Normal 36 3 4 2 5" xfId="27507" xr:uid="{00000000-0005-0000-0000-0000CB490000}"/>
    <cellStyle name="Normal 36 3 4 2 5 2" xfId="30182" xr:uid="{00000000-0005-0000-0000-0000CC490000}"/>
    <cellStyle name="Normal 36 3 4 2 6" xfId="30186" xr:uid="{00000000-0005-0000-0000-0000CD490000}"/>
    <cellStyle name="Normal 36 3 4 2 6 2" xfId="30190" xr:uid="{00000000-0005-0000-0000-0000CE490000}"/>
    <cellStyle name="Normal 36 3 4 2 7" xfId="30194" xr:uid="{00000000-0005-0000-0000-0000CF490000}"/>
    <cellStyle name="Normal 36 3 4 2 8" xfId="30198" xr:uid="{00000000-0005-0000-0000-0000D0490000}"/>
    <cellStyle name="Normal 36 3 4 3" xfId="30205" xr:uid="{00000000-0005-0000-0000-0000D1490000}"/>
    <cellStyle name="Normal 36 3 4 3 2" xfId="23474" xr:uid="{00000000-0005-0000-0000-0000D2490000}"/>
    <cellStyle name="Normal 36 3 4 3 2 2" xfId="30207" xr:uid="{00000000-0005-0000-0000-0000D3490000}"/>
    <cellStyle name="Normal 36 3 4 3 2 2 2" xfId="30209" xr:uid="{00000000-0005-0000-0000-0000D4490000}"/>
    <cellStyle name="Normal 36 3 4 3 2 3" xfId="30218" xr:uid="{00000000-0005-0000-0000-0000D5490000}"/>
    <cellStyle name="Normal 36 3 4 3 3" xfId="30220" xr:uid="{00000000-0005-0000-0000-0000D6490000}"/>
    <cellStyle name="Normal 36 3 4 3 3 2" xfId="30224" xr:uid="{00000000-0005-0000-0000-0000D7490000}"/>
    <cellStyle name="Normal 36 3 4 3 4" xfId="30228" xr:uid="{00000000-0005-0000-0000-0000D8490000}"/>
    <cellStyle name="Normal 36 3 4 4" xfId="30232" xr:uid="{00000000-0005-0000-0000-0000D9490000}"/>
    <cellStyle name="Normal 36 3 4 4 2" xfId="23842" xr:uid="{00000000-0005-0000-0000-0000DA490000}"/>
    <cellStyle name="Normal 36 3 4 4 2 2" xfId="30234" xr:uid="{00000000-0005-0000-0000-0000DB490000}"/>
    <cellStyle name="Normal 36 3 4 4 3" xfId="18067" xr:uid="{00000000-0005-0000-0000-0000DC490000}"/>
    <cellStyle name="Normal 36 3 4 5" xfId="30236" xr:uid="{00000000-0005-0000-0000-0000DD490000}"/>
    <cellStyle name="Normal 36 3 4 5 2" xfId="30239" xr:uid="{00000000-0005-0000-0000-0000DE490000}"/>
    <cellStyle name="Normal 36 3 4 5 2 2" xfId="30242" xr:uid="{00000000-0005-0000-0000-0000DF490000}"/>
    <cellStyle name="Normal 36 3 4 5 3" xfId="30246" xr:uid="{00000000-0005-0000-0000-0000E0490000}"/>
    <cellStyle name="Normal 36 3 4 6" xfId="30249" xr:uid="{00000000-0005-0000-0000-0000E1490000}"/>
    <cellStyle name="Normal 36 3 4 6 2" xfId="30251" xr:uid="{00000000-0005-0000-0000-0000E2490000}"/>
    <cellStyle name="Normal 36 3 4 7" xfId="30253" xr:uid="{00000000-0005-0000-0000-0000E3490000}"/>
    <cellStyle name="Normal 36 3 4 7 2" xfId="30255" xr:uid="{00000000-0005-0000-0000-0000E4490000}"/>
    <cellStyle name="Normal 36 3 4 8" xfId="30257" xr:uid="{00000000-0005-0000-0000-0000E5490000}"/>
    <cellStyle name="Normal 36 3 4 9" xfId="30259" xr:uid="{00000000-0005-0000-0000-0000E6490000}"/>
    <cellStyle name="Normal 36 3 5" xfId="30261" xr:uid="{00000000-0005-0000-0000-0000E7490000}"/>
    <cellStyle name="Normal 36 3 5 2" xfId="30263" xr:uid="{00000000-0005-0000-0000-0000E8490000}"/>
    <cellStyle name="Normal 36 3 5 2 2" xfId="24571" xr:uid="{00000000-0005-0000-0000-0000E9490000}"/>
    <cellStyle name="Normal 36 3 5 2 2 2" xfId="22797" xr:uid="{00000000-0005-0000-0000-0000EA490000}"/>
    <cellStyle name="Normal 36 3 5 2 2 2 2" xfId="30265" xr:uid="{00000000-0005-0000-0000-0000EB490000}"/>
    <cellStyle name="Normal 36 3 5 2 2 2 2 2" xfId="30269" xr:uid="{00000000-0005-0000-0000-0000EC490000}"/>
    <cellStyle name="Normal 36 3 5 2 2 2 3" xfId="30271" xr:uid="{00000000-0005-0000-0000-0000ED490000}"/>
    <cellStyle name="Normal 36 3 5 2 2 3" xfId="30275" xr:uid="{00000000-0005-0000-0000-0000EE490000}"/>
    <cellStyle name="Normal 36 3 5 2 2 3 2" xfId="30281" xr:uid="{00000000-0005-0000-0000-0000EF490000}"/>
    <cellStyle name="Normal 36 3 5 2 2 4" xfId="30285" xr:uid="{00000000-0005-0000-0000-0000F0490000}"/>
    <cellStyle name="Normal 36 3 5 2 3" xfId="30289" xr:uid="{00000000-0005-0000-0000-0000F1490000}"/>
    <cellStyle name="Normal 36 3 5 2 3 2" xfId="30293" xr:uid="{00000000-0005-0000-0000-0000F2490000}"/>
    <cellStyle name="Normal 36 3 5 2 3 2 2" xfId="30297" xr:uid="{00000000-0005-0000-0000-0000F3490000}"/>
    <cellStyle name="Normal 36 3 5 2 3 3" xfId="30304" xr:uid="{00000000-0005-0000-0000-0000F4490000}"/>
    <cellStyle name="Normal 36 3 5 2 4" xfId="30308" xr:uid="{00000000-0005-0000-0000-0000F5490000}"/>
    <cellStyle name="Normal 36 3 5 2 4 2" xfId="30312" xr:uid="{00000000-0005-0000-0000-0000F6490000}"/>
    <cellStyle name="Normal 36 3 5 2 4 2 2" xfId="30316" xr:uid="{00000000-0005-0000-0000-0000F7490000}"/>
    <cellStyle name="Normal 36 3 5 2 4 3" xfId="30320" xr:uid="{00000000-0005-0000-0000-0000F8490000}"/>
    <cellStyle name="Normal 36 3 5 2 5" xfId="27519" xr:uid="{00000000-0005-0000-0000-0000F9490000}"/>
    <cellStyle name="Normal 36 3 5 2 5 2" xfId="30324" xr:uid="{00000000-0005-0000-0000-0000FA490000}"/>
    <cellStyle name="Normal 36 3 5 2 6" xfId="30328" xr:uid="{00000000-0005-0000-0000-0000FB490000}"/>
    <cellStyle name="Normal 36 3 5 2 6 2" xfId="30332" xr:uid="{00000000-0005-0000-0000-0000FC490000}"/>
    <cellStyle name="Normal 36 3 5 2 7" xfId="30336" xr:uid="{00000000-0005-0000-0000-0000FD490000}"/>
    <cellStyle name="Normal 36 3 5 2 8" xfId="30339" xr:uid="{00000000-0005-0000-0000-0000FE490000}"/>
    <cellStyle name="Normal 36 3 5 3" xfId="30344" xr:uid="{00000000-0005-0000-0000-0000FF490000}"/>
    <cellStyle name="Normal 36 3 5 3 2" xfId="30346" xr:uid="{00000000-0005-0000-0000-0000004A0000}"/>
    <cellStyle name="Normal 36 3 5 3 2 2" xfId="30348" xr:uid="{00000000-0005-0000-0000-0000014A0000}"/>
    <cellStyle name="Normal 36 3 5 3 2 2 2" xfId="30350" xr:uid="{00000000-0005-0000-0000-0000024A0000}"/>
    <cellStyle name="Normal 36 3 5 3 2 3" xfId="30358" xr:uid="{00000000-0005-0000-0000-0000034A0000}"/>
    <cellStyle name="Normal 36 3 5 3 3" xfId="30362" xr:uid="{00000000-0005-0000-0000-0000044A0000}"/>
    <cellStyle name="Normal 36 3 5 3 3 2" xfId="30366" xr:uid="{00000000-0005-0000-0000-0000054A0000}"/>
    <cellStyle name="Normal 36 3 5 3 4" xfId="30371" xr:uid="{00000000-0005-0000-0000-0000064A0000}"/>
    <cellStyle name="Normal 36 3 5 4" xfId="30373" xr:uid="{00000000-0005-0000-0000-0000074A0000}"/>
    <cellStyle name="Normal 36 3 5 4 2" xfId="30375" xr:uid="{00000000-0005-0000-0000-0000084A0000}"/>
    <cellStyle name="Normal 36 3 5 4 2 2" xfId="30377" xr:uid="{00000000-0005-0000-0000-0000094A0000}"/>
    <cellStyle name="Normal 36 3 5 4 3" xfId="30380" xr:uid="{00000000-0005-0000-0000-00000A4A0000}"/>
    <cellStyle name="Normal 36 3 5 5" xfId="30382" xr:uid="{00000000-0005-0000-0000-00000B4A0000}"/>
    <cellStyle name="Normal 36 3 5 5 2" xfId="30384" xr:uid="{00000000-0005-0000-0000-00000C4A0000}"/>
    <cellStyle name="Normal 36 3 5 5 2 2" xfId="30386" xr:uid="{00000000-0005-0000-0000-00000D4A0000}"/>
    <cellStyle name="Normal 36 3 5 5 3" xfId="30389" xr:uid="{00000000-0005-0000-0000-00000E4A0000}"/>
    <cellStyle name="Normal 36 3 5 6" xfId="30391" xr:uid="{00000000-0005-0000-0000-00000F4A0000}"/>
    <cellStyle name="Normal 36 3 5 6 2" xfId="30393" xr:uid="{00000000-0005-0000-0000-0000104A0000}"/>
    <cellStyle name="Normal 36 3 5 7" xfId="30395" xr:uid="{00000000-0005-0000-0000-0000114A0000}"/>
    <cellStyle name="Normal 36 3 5 7 2" xfId="30397" xr:uid="{00000000-0005-0000-0000-0000124A0000}"/>
    <cellStyle name="Normal 36 3 5 8" xfId="30399" xr:uid="{00000000-0005-0000-0000-0000134A0000}"/>
    <cellStyle name="Normal 36 3 5 9" xfId="30401" xr:uid="{00000000-0005-0000-0000-0000144A0000}"/>
    <cellStyle name="Normal 36 3 6" xfId="2403" xr:uid="{00000000-0005-0000-0000-0000154A0000}"/>
    <cellStyle name="Normal 36 3 6 2" xfId="30403" xr:uid="{00000000-0005-0000-0000-0000164A0000}"/>
    <cellStyle name="Normal 36 3 6 2 2" xfId="6762" xr:uid="{00000000-0005-0000-0000-0000174A0000}"/>
    <cellStyle name="Normal 36 3 6 2 2 2" xfId="6131" xr:uid="{00000000-0005-0000-0000-0000184A0000}"/>
    <cellStyle name="Normal 36 3 6 2 2 2 2" xfId="6140" xr:uid="{00000000-0005-0000-0000-0000194A0000}"/>
    <cellStyle name="Normal 36 3 6 2 2 3" xfId="5282" xr:uid="{00000000-0005-0000-0000-00001A4A0000}"/>
    <cellStyle name="Normal 36 3 6 2 3" xfId="6772" xr:uid="{00000000-0005-0000-0000-00001B4A0000}"/>
    <cellStyle name="Normal 36 3 6 2 3 2" xfId="6208" xr:uid="{00000000-0005-0000-0000-00001C4A0000}"/>
    <cellStyle name="Normal 36 3 6 2 4" xfId="1019" xr:uid="{00000000-0005-0000-0000-00001D4A0000}"/>
    <cellStyle name="Normal 36 3 6 2 5" xfId="1070" xr:uid="{00000000-0005-0000-0000-00001E4A0000}"/>
    <cellStyle name="Normal 36 3 6 3" xfId="30405" xr:uid="{00000000-0005-0000-0000-00001F4A0000}"/>
    <cellStyle name="Normal 36 3 6 3 2" xfId="6895" xr:uid="{00000000-0005-0000-0000-0000204A0000}"/>
    <cellStyle name="Normal 36 3 6 3 2 2" xfId="6900" xr:uid="{00000000-0005-0000-0000-0000214A0000}"/>
    <cellStyle name="Normal 36 3 6 3 3" xfId="6929" xr:uid="{00000000-0005-0000-0000-0000224A0000}"/>
    <cellStyle name="Normal 36 3 6 4" xfId="10785" xr:uid="{00000000-0005-0000-0000-0000234A0000}"/>
    <cellStyle name="Normal 36 3 6 4 2" xfId="7118" xr:uid="{00000000-0005-0000-0000-0000244A0000}"/>
    <cellStyle name="Normal 36 3 6 4 2 2" xfId="7131" xr:uid="{00000000-0005-0000-0000-0000254A0000}"/>
    <cellStyle name="Normal 36 3 6 4 3" xfId="7148" xr:uid="{00000000-0005-0000-0000-0000264A0000}"/>
    <cellStyle name="Normal 36 3 6 5" xfId="19468" xr:uid="{00000000-0005-0000-0000-0000274A0000}"/>
    <cellStyle name="Normal 36 3 6 5 2" xfId="2831" xr:uid="{00000000-0005-0000-0000-0000284A0000}"/>
    <cellStyle name="Normal 36 3 6 6" xfId="19512" xr:uid="{00000000-0005-0000-0000-0000294A0000}"/>
    <cellStyle name="Normal 36 3 6 6 2" xfId="4995" xr:uid="{00000000-0005-0000-0000-00002A4A0000}"/>
    <cellStyle name="Normal 36 3 6 7" xfId="19529" xr:uid="{00000000-0005-0000-0000-00002B4A0000}"/>
    <cellStyle name="Normal 36 3 6 8" xfId="19547" xr:uid="{00000000-0005-0000-0000-00002C4A0000}"/>
    <cellStyle name="Normal 36 3 7" xfId="30407" xr:uid="{00000000-0005-0000-0000-00002D4A0000}"/>
    <cellStyle name="Normal 36 3 7 2" xfId="30409" xr:uid="{00000000-0005-0000-0000-00002E4A0000}"/>
    <cellStyle name="Normal 36 3 7 2 2" xfId="7562" xr:uid="{00000000-0005-0000-0000-00002F4A0000}"/>
    <cellStyle name="Normal 36 3 7 2 2 2" xfId="30411" xr:uid="{00000000-0005-0000-0000-0000304A0000}"/>
    <cellStyle name="Normal 36 3 7 2 3" xfId="7566" xr:uid="{00000000-0005-0000-0000-0000314A0000}"/>
    <cellStyle name="Normal 36 3 7 3" xfId="30413" xr:uid="{00000000-0005-0000-0000-0000324A0000}"/>
    <cellStyle name="Normal 36 3 7 3 2" xfId="27528" xr:uid="{00000000-0005-0000-0000-0000334A0000}"/>
    <cellStyle name="Normal 36 3 7 4" xfId="30415" xr:uid="{00000000-0005-0000-0000-0000344A0000}"/>
    <cellStyle name="Normal 36 3 7 5" xfId="19572" xr:uid="{00000000-0005-0000-0000-0000354A0000}"/>
    <cellStyle name="Normal 36 3 8" xfId="30417" xr:uid="{00000000-0005-0000-0000-0000364A0000}"/>
    <cellStyle name="Normal 36 3 8 2" xfId="30419" xr:uid="{00000000-0005-0000-0000-0000374A0000}"/>
    <cellStyle name="Normal 36 3 8 2 2" xfId="30421" xr:uid="{00000000-0005-0000-0000-0000384A0000}"/>
    <cellStyle name="Normal 36 3 8 3" xfId="30423" xr:uid="{00000000-0005-0000-0000-0000394A0000}"/>
    <cellStyle name="Normal 36 3 9" xfId="30426" xr:uid="{00000000-0005-0000-0000-00003A4A0000}"/>
    <cellStyle name="Normal 36 3 9 2" xfId="30428" xr:uid="{00000000-0005-0000-0000-00003B4A0000}"/>
    <cellStyle name="Normal 36 3 9 2 2" xfId="30430" xr:uid="{00000000-0005-0000-0000-00003C4A0000}"/>
    <cellStyle name="Normal 36 3 9 3" xfId="27384" xr:uid="{00000000-0005-0000-0000-00003D4A0000}"/>
    <cellStyle name="Normal 36 4" xfId="30435" xr:uid="{00000000-0005-0000-0000-00003E4A0000}"/>
    <cellStyle name="Normal 36 4 10" xfId="29801" xr:uid="{00000000-0005-0000-0000-00003F4A0000}"/>
    <cellStyle name="Normal 36 4 10 2" xfId="12891" xr:uid="{00000000-0005-0000-0000-0000404A0000}"/>
    <cellStyle name="Normal 36 4 11" xfId="29853" xr:uid="{00000000-0005-0000-0000-0000414A0000}"/>
    <cellStyle name="Normal 36 4 11 2" xfId="3611" xr:uid="{00000000-0005-0000-0000-0000424A0000}"/>
    <cellStyle name="Normal 36 4 12" xfId="7400" xr:uid="{00000000-0005-0000-0000-0000434A0000}"/>
    <cellStyle name="Normal 36 4 12 2" xfId="5016" xr:uid="{00000000-0005-0000-0000-0000444A0000}"/>
    <cellStyle name="Normal 36 4 13" xfId="29857" xr:uid="{00000000-0005-0000-0000-0000454A0000}"/>
    <cellStyle name="Normal 36 4 14" xfId="29861" xr:uid="{00000000-0005-0000-0000-0000464A0000}"/>
    <cellStyle name="Normal 36 4 2" xfId="30437" xr:uid="{00000000-0005-0000-0000-0000474A0000}"/>
    <cellStyle name="Normal 36 4 2 10" xfId="30443" xr:uid="{00000000-0005-0000-0000-0000484A0000}"/>
    <cellStyle name="Normal 36 4 2 2" xfId="30445" xr:uid="{00000000-0005-0000-0000-0000494A0000}"/>
    <cellStyle name="Normal 36 4 2 2 2" xfId="21852" xr:uid="{00000000-0005-0000-0000-00004A4A0000}"/>
    <cellStyle name="Normal 36 4 2 2 2 2" xfId="30450" xr:uid="{00000000-0005-0000-0000-00004B4A0000}"/>
    <cellStyle name="Normal 36 4 2 2 2 2 2" xfId="30454" xr:uid="{00000000-0005-0000-0000-00004C4A0000}"/>
    <cellStyle name="Normal 36 4 2 2 2 2 2 2" xfId="14291" xr:uid="{00000000-0005-0000-0000-00004D4A0000}"/>
    <cellStyle name="Normal 36 4 2 2 2 2 2 2 2" xfId="30457" xr:uid="{00000000-0005-0000-0000-00004E4A0000}"/>
    <cellStyle name="Normal 36 4 2 2 2 2 2 3" xfId="14300" xr:uid="{00000000-0005-0000-0000-00004F4A0000}"/>
    <cellStyle name="Normal 36 4 2 2 2 2 3" xfId="30467" xr:uid="{00000000-0005-0000-0000-0000504A0000}"/>
    <cellStyle name="Normal 36 4 2 2 2 2 3 2" xfId="30469" xr:uid="{00000000-0005-0000-0000-0000514A0000}"/>
    <cellStyle name="Normal 36 4 2 2 2 2 4" xfId="30471" xr:uid="{00000000-0005-0000-0000-0000524A0000}"/>
    <cellStyle name="Normal 36 4 2 2 2 3" xfId="30475" xr:uid="{00000000-0005-0000-0000-0000534A0000}"/>
    <cellStyle name="Normal 36 4 2 2 2 3 2" xfId="30479" xr:uid="{00000000-0005-0000-0000-0000544A0000}"/>
    <cellStyle name="Normal 36 4 2 2 2 3 2 2" xfId="14388" xr:uid="{00000000-0005-0000-0000-0000554A0000}"/>
    <cellStyle name="Normal 36 4 2 2 2 3 3" xfId="30483" xr:uid="{00000000-0005-0000-0000-0000564A0000}"/>
    <cellStyle name="Normal 36 4 2 2 2 4" xfId="254" xr:uid="{00000000-0005-0000-0000-0000574A0000}"/>
    <cellStyle name="Normal 36 4 2 2 2 4 2" xfId="30488" xr:uid="{00000000-0005-0000-0000-0000584A0000}"/>
    <cellStyle name="Normal 36 4 2 2 2 4 2 2" xfId="2899" xr:uid="{00000000-0005-0000-0000-0000594A0000}"/>
    <cellStyle name="Normal 36 4 2 2 2 4 3" xfId="30490" xr:uid="{00000000-0005-0000-0000-00005A4A0000}"/>
    <cellStyle name="Normal 36 4 2 2 2 5" xfId="30494" xr:uid="{00000000-0005-0000-0000-00005B4A0000}"/>
    <cellStyle name="Normal 36 4 2 2 2 5 2" xfId="30498" xr:uid="{00000000-0005-0000-0000-00005C4A0000}"/>
    <cellStyle name="Normal 36 4 2 2 2 6" xfId="30504" xr:uid="{00000000-0005-0000-0000-00005D4A0000}"/>
    <cellStyle name="Normal 36 4 2 2 2 6 2" xfId="30506" xr:uid="{00000000-0005-0000-0000-00005E4A0000}"/>
    <cellStyle name="Normal 36 4 2 2 2 7" xfId="30509" xr:uid="{00000000-0005-0000-0000-00005F4A0000}"/>
    <cellStyle name="Normal 36 4 2 2 2 8" xfId="9570" xr:uid="{00000000-0005-0000-0000-0000604A0000}"/>
    <cellStyle name="Normal 36 4 2 2 3" xfId="30516" xr:uid="{00000000-0005-0000-0000-0000614A0000}"/>
    <cellStyle name="Normal 36 4 2 2 3 2" xfId="30521" xr:uid="{00000000-0005-0000-0000-0000624A0000}"/>
    <cellStyle name="Normal 36 4 2 2 3 2 2" xfId="30525" xr:uid="{00000000-0005-0000-0000-0000634A0000}"/>
    <cellStyle name="Normal 36 4 2 2 3 2 2 2" xfId="14767" xr:uid="{00000000-0005-0000-0000-0000644A0000}"/>
    <cellStyle name="Normal 36 4 2 2 3 2 3" xfId="30529" xr:uid="{00000000-0005-0000-0000-0000654A0000}"/>
    <cellStyle name="Normal 36 4 2 2 3 3" xfId="30533" xr:uid="{00000000-0005-0000-0000-0000664A0000}"/>
    <cellStyle name="Normal 36 4 2 2 3 3 2" xfId="30537" xr:uid="{00000000-0005-0000-0000-0000674A0000}"/>
    <cellStyle name="Normal 36 4 2 2 3 4" xfId="23304" xr:uid="{00000000-0005-0000-0000-0000684A0000}"/>
    <cellStyle name="Normal 36 4 2 2 4" xfId="30539" xr:uid="{00000000-0005-0000-0000-0000694A0000}"/>
    <cellStyle name="Normal 36 4 2 2 4 2" xfId="30541" xr:uid="{00000000-0005-0000-0000-00006A4A0000}"/>
    <cellStyle name="Normal 36 4 2 2 4 2 2" xfId="30544" xr:uid="{00000000-0005-0000-0000-00006B4A0000}"/>
    <cellStyle name="Normal 36 4 2 2 4 3" xfId="30546" xr:uid="{00000000-0005-0000-0000-00006C4A0000}"/>
    <cellStyle name="Normal 36 4 2 2 5" xfId="30548" xr:uid="{00000000-0005-0000-0000-00006D4A0000}"/>
    <cellStyle name="Normal 36 4 2 2 5 2" xfId="30550" xr:uid="{00000000-0005-0000-0000-00006E4A0000}"/>
    <cellStyle name="Normal 36 4 2 2 5 2 2" xfId="30553" xr:uid="{00000000-0005-0000-0000-00006F4A0000}"/>
    <cellStyle name="Normal 36 4 2 2 5 3" xfId="30555" xr:uid="{00000000-0005-0000-0000-0000704A0000}"/>
    <cellStyle name="Normal 36 4 2 2 6" xfId="30557" xr:uid="{00000000-0005-0000-0000-0000714A0000}"/>
    <cellStyle name="Normal 36 4 2 2 6 2" xfId="30559" xr:uid="{00000000-0005-0000-0000-0000724A0000}"/>
    <cellStyle name="Normal 36 4 2 2 7" xfId="30561" xr:uid="{00000000-0005-0000-0000-0000734A0000}"/>
    <cellStyle name="Normal 36 4 2 2 7 2" xfId="30563" xr:uid="{00000000-0005-0000-0000-0000744A0000}"/>
    <cellStyle name="Normal 36 4 2 2 8" xfId="30565" xr:uid="{00000000-0005-0000-0000-0000754A0000}"/>
    <cellStyle name="Normal 36 4 2 2 9" xfId="30567" xr:uid="{00000000-0005-0000-0000-0000764A0000}"/>
    <cellStyle name="Normal 36 4 2 3" xfId="16499" xr:uid="{00000000-0005-0000-0000-0000774A0000}"/>
    <cellStyle name="Normal 36 4 2 3 2" xfId="30569" xr:uid="{00000000-0005-0000-0000-0000784A0000}"/>
    <cellStyle name="Normal 36 4 2 3 2 2" xfId="26736" xr:uid="{00000000-0005-0000-0000-0000794A0000}"/>
    <cellStyle name="Normal 36 4 2 3 2 2 2" xfId="30573" xr:uid="{00000000-0005-0000-0000-00007A4A0000}"/>
    <cellStyle name="Normal 36 4 2 3 2 2 2 2" xfId="30575" xr:uid="{00000000-0005-0000-0000-00007B4A0000}"/>
    <cellStyle name="Normal 36 4 2 3 2 2 3" xfId="30585" xr:uid="{00000000-0005-0000-0000-00007C4A0000}"/>
    <cellStyle name="Normal 36 4 2 3 2 3" xfId="30589" xr:uid="{00000000-0005-0000-0000-00007D4A0000}"/>
    <cellStyle name="Normal 36 4 2 3 2 3 2" xfId="30593" xr:uid="{00000000-0005-0000-0000-00007E4A0000}"/>
    <cellStyle name="Normal 36 4 2 3 2 4" xfId="30597" xr:uid="{00000000-0005-0000-0000-00007F4A0000}"/>
    <cellStyle name="Normal 36 4 2 3 3" xfId="30599" xr:uid="{00000000-0005-0000-0000-0000804A0000}"/>
    <cellStyle name="Normal 36 4 2 3 3 2" xfId="30603" xr:uid="{00000000-0005-0000-0000-0000814A0000}"/>
    <cellStyle name="Normal 36 4 2 3 3 2 2" xfId="30607" xr:uid="{00000000-0005-0000-0000-0000824A0000}"/>
    <cellStyle name="Normal 36 4 2 3 3 3" xfId="30611" xr:uid="{00000000-0005-0000-0000-0000834A0000}"/>
    <cellStyle name="Normal 36 4 2 3 4" xfId="21948" xr:uid="{00000000-0005-0000-0000-0000844A0000}"/>
    <cellStyle name="Normal 36 4 2 3 4 2" xfId="13327" xr:uid="{00000000-0005-0000-0000-0000854A0000}"/>
    <cellStyle name="Normal 36 4 2 3 4 2 2" xfId="13338" xr:uid="{00000000-0005-0000-0000-0000864A0000}"/>
    <cellStyle name="Normal 36 4 2 3 4 3" xfId="13388" xr:uid="{00000000-0005-0000-0000-0000874A0000}"/>
    <cellStyle name="Normal 36 4 2 3 5" xfId="7923" xr:uid="{00000000-0005-0000-0000-0000884A0000}"/>
    <cellStyle name="Normal 36 4 2 3 5 2" xfId="6598" xr:uid="{00000000-0005-0000-0000-0000894A0000}"/>
    <cellStyle name="Normal 36 4 2 3 6" xfId="3441" xr:uid="{00000000-0005-0000-0000-00008A4A0000}"/>
    <cellStyle name="Normal 36 4 2 3 6 2" xfId="3459" xr:uid="{00000000-0005-0000-0000-00008B4A0000}"/>
    <cellStyle name="Normal 36 4 2 3 7" xfId="1484" xr:uid="{00000000-0005-0000-0000-00008C4A0000}"/>
    <cellStyle name="Normal 36 4 2 3 8" xfId="7952" xr:uid="{00000000-0005-0000-0000-00008D4A0000}"/>
    <cellStyle name="Normal 36 4 2 4" xfId="30615" xr:uid="{00000000-0005-0000-0000-00008E4A0000}"/>
    <cellStyle name="Normal 36 4 2 4 2" xfId="27348" xr:uid="{00000000-0005-0000-0000-00008F4A0000}"/>
    <cellStyle name="Normal 36 4 2 4 2 2" xfId="27353" xr:uid="{00000000-0005-0000-0000-0000904A0000}"/>
    <cellStyle name="Normal 36 4 2 4 2 2 2" xfId="30619" xr:uid="{00000000-0005-0000-0000-0000914A0000}"/>
    <cellStyle name="Normal 36 4 2 4 2 3" xfId="30623" xr:uid="{00000000-0005-0000-0000-0000924A0000}"/>
    <cellStyle name="Normal 36 4 2 4 3" xfId="27356" xr:uid="{00000000-0005-0000-0000-0000934A0000}"/>
    <cellStyle name="Normal 36 4 2 4 3 2" xfId="30627" xr:uid="{00000000-0005-0000-0000-0000944A0000}"/>
    <cellStyle name="Normal 36 4 2 4 4" xfId="27359" xr:uid="{00000000-0005-0000-0000-0000954A0000}"/>
    <cellStyle name="Normal 36 4 2 5" xfId="30631" xr:uid="{00000000-0005-0000-0000-0000964A0000}"/>
    <cellStyle name="Normal 36 4 2 5 2" xfId="30634" xr:uid="{00000000-0005-0000-0000-0000974A0000}"/>
    <cellStyle name="Normal 36 4 2 5 2 2" xfId="30640" xr:uid="{00000000-0005-0000-0000-0000984A0000}"/>
    <cellStyle name="Normal 36 4 2 5 3" xfId="29930" xr:uid="{00000000-0005-0000-0000-0000994A0000}"/>
    <cellStyle name="Normal 36 4 2 6" xfId="30642" xr:uid="{00000000-0005-0000-0000-00009A4A0000}"/>
    <cellStyle name="Normal 36 4 2 6 2" xfId="27136" xr:uid="{00000000-0005-0000-0000-00009B4A0000}"/>
    <cellStyle name="Normal 36 4 2 6 2 2" xfId="30646" xr:uid="{00000000-0005-0000-0000-00009C4A0000}"/>
    <cellStyle name="Normal 36 4 2 6 3" xfId="30648" xr:uid="{00000000-0005-0000-0000-00009D4A0000}"/>
    <cellStyle name="Normal 36 4 2 7" xfId="30650" xr:uid="{00000000-0005-0000-0000-00009E4A0000}"/>
    <cellStyle name="Normal 36 4 2 7 2" xfId="30652" xr:uid="{00000000-0005-0000-0000-00009F4A0000}"/>
    <cellStyle name="Normal 36 4 2 8" xfId="30654" xr:uid="{00000000-0005-0000-0000-0000A04A0000}"/>
    <cellStyle name="Normal 36 4 2 8 2" xfId="30656" xr:uid="{00000000-0005-0000-0000-0000A14A0000}"/>
    <cellStyle name="Normal 36 4 2 9" xfId="30658" xr:uid="{00000000-0005-0000-0000-0000A24A0000}"/>
    <cellStyle name="Normal 36 4 3" xfId="30660" xr:uid="{00000000-0005-0000-0000-0000A34A0000}"/>
    <cellStyle name="Normal 36 4 3 2" xfId="30662" xr:uid="{00000000-0005-0000-0000-0000A44A0000}"/>
    <cellStyle name="Normal 36 4 3 2 2" xfId="22180" xr:uid="{00000000-0005-0000-0000-0000A54A0000}"/>
    <cellStyle name="Normal 36 4 3 2 2 2" xfId="22188" xr:uid="{00000000-0005-0000-0000-0000A64A0000}"/>
    <cellStyle name="Normal 36 4 3 2 2 2 2" xfId="27006" xr:uid="{00000000-0005-0000-0000-0000A74A0000}"/>
    <cellStyle name="Normal 36 4 3 2 2 2 2 2" xfId="30664" xr:uid="{00000000-0005-0000-0000-0000A84A0000}"/>
    <cellStyle name="Normal 36 4 3 2 2 2 3" xfId="30667" xr:uid="{00000000-0005-0000-0000-0000A94A0000}"/>
    <cellStyle name="Normal 36 4 3 2 2 3" xfId="30669" xr:uid="{00000000-0005-0000-0000-0000AA4A0000}"/>
    <cellStyle name="Normal 36 4 3 2 2 3 2" xfId="30671" xr:uid="{00000000-0005-0000-0000-0000AB4A0000}"/>
    <cellStyle name="Normal 36 4 3 2 2 4" xfId="23320" xr:uid="{00000000-0005-0000-0000-0000AC4A0000}"/>
    <cellStyle name="Normal 36 4 3 2 2 5" xfId="30675" xr:uid="{00000000-0005-0000-0000-0000AD4A0000}"/>
    <cellStyle name="Normal 36 4 3 2 3" xfId="22203" xr:uid="{00000000-0005-0000-0000-0000AE4A0000}"/>
    <cellStyle name="Normal 36 4 3 2 3 2" xfId="30677" xr:uid="{00000000-0005-0000-0000-0000AF4A0000}"/>
    <cellStyle name="Normal 36 4 3 2 3 2 2" xfId="30679" xr:uid="{00000000-0005-0000-0000-0000B04A0000}"/>
    <cellStyle name="Normal 36 4 3 2 3 3" xfId="30681" xr:uid="{00000000-0005-0000-0000-0000B14A0000}"/>
    <cellStyle name="Normal 36 4 3 2 4" xfId="30683" xr:uid="{00000000-0005-0000-0000-0000B24A0000}"/>
    <cellStyle name="Normal 36 4 3 2 4 2" xfId="30685" xr:uid="{00000000-0005-0000-0000-0000B34A0000}"/>
    <cellStyle name="Normal 36 4 3 2 4 2 2" xfId="30687" xr:uid="{00000000-0005-0000-0000-0000B44A0000}"/>
    <cellStyle name="Normal 36 4 3 2 4 3" xfId="30689" xr:uid="{00000000-0005-0000-0000-0000B54A0000}"/>
    <cellStyle name="Normal 36 4 3 2 5" xfId="30692" xr:uid="{00000000-0005-0000-0000-0000B64A0000}"/>
    <cellStyle name="Normal 36 4 3 2 5 2" xfId="30695" xr:uid="{00000000-0005-0000-0000-0000B74A0000}"/>
    <cellStyle name="Normal 36 4 3 2 6" xfId="21676" xr:uid="{00000000-0005-0000-0000-0000B84A0000}"/>
    <cellStyle name="Normal 36 4 3 2 6 2" xfId="30698" xr:uid="{00000000-0005-0000-0000-0000B94A0000}"/>
    <cellStyle name="Normal 36 4 3 2 7" xfId="30701" xr:uid="{00000000-0005-0000-0000-0000BA4A0000}"/>
    <cellStyle name="Normal 36 4 3 2 8" xfId="30704" xr:uid="{00000000-0005-0000-0000-0000BB4A0000}"/>
    <cellStyle name="Normal 36 4 3 3" xfId="30706" xr:uid="{00000000-0005-0000-0000-0000BC4A0000}"/>
    <cellStyle name="Normal 36 4 3 3 2" xfId="30708" xr:uid="{00000000-0005-0000-0000-0000BD4A0000}"/>
    <cellStyle name="Normal 36 4 3 3 2 2" xfId="30710" xr:uid="{00000000-0005-0000-0000-0000BE4A0000}"/>
    <cellStyle name="Normal 36 4 3 3 2 2 2" xfId="30712" xr:uid="{00000000-0005-0000-0000-0000BF4A0000}"/>
    <cellStyle name="Normal 36 4 3 3 2 3" xfId="30714" xr:uid="{00000000-0005-0000-0000-0000C04A0000}"/>
    <cellStyle name="Normal 36 4 3 3 3" xfId="30718" xr:uid="{00000000-0005-0000-0000-0000C14A0000}"/>
    <cellStyle name="Normal 36 4 3 3 3 2" xfId="30720" xr:uid="{00000000-0005-0000-0000-0000C24A0000}"/>
    <cellStyle name="Normal 36 4 3 3 4" xfId="22256" xr:uid="{00000000-0005-0000-0000-0000C34A0000}"/>
    <cellStyle name="Normal 36 4 3 3 5" xfId="8040" xr:uid="{00000000-0005-0000-0000-0000C44A0000}"/>
    <cellStyle name="Normal 36 4 3 4" xfId="30724" xr:uid="{00000000-0005-0000-0000-0000C54A0000}"/>
    <cellStyle name="Normal 36 4 3 4 2" xfId="27402" xr:uid="{00000000-0005-0000-0000-0000C64A0000}"/>
    <cellStyle name="Normal 36 4 3 4 2 2" xfId="27405" xr:uid="{00000000-0005-0000-0000-0000C74A0000}"/>
    <cellStyle name="Normal 36 4 3 4 3" xfId="27408" xr:uid="{00000000-0005-0000-0000-0000C84A0000}"/>
    <cellStyle name="Normal 36 4 3 5" xfId="30726" xr:uid="{00000000-0005-0000-0000-0000C94A0000}"/>
    <cellStyle name="Normal 36 4 3 5 2" xfId="30728" xr:uid="{00000000-0005-0000-0000-0000CA4A0000}"/>
    <cellStyle name="Normal 36 4 3 5 2 2" xfId="30730" xr:uid="{00000000-0005-0000-0000-0000CB4A0000}"/>
    <cellStyle name="Normal 36 4 3 5 3" xfId="30732" xr:uid="{00000000-0005-0000-0000-0000CC4A0000}"/>
    <cellStyle name="Normal 36 4 3 6" xfId="24616" xr:uid="{00000000-0005-0000-0000-0000CD4A0000}"/>
    <cellStyle name="Normal 36 4 3 6 2" xfId="30734" xr:uid="{00000000-0005-0000-0000-0000CE4A0000}"/>
    <cellStyle name="Normal 36 4 3 7" xfId="30736" xr:uid="{00000000-0005-0000-0000-0000CF4A0000}"/>
    <cellStyle name="Normal 36 4 3 7 2" xfId="30738" xr:uid="{00000000-0005-0000-0000-0000D04A0000}"/>
    <cellStyle name="Normal 36 4 3 8" xfId="30740" xr:uid="{00000000-0005-0000-0000-0000D14A0000}"/>
    <cellStyle name="Normal 36 4 3 9" xfId="30742" xr:uid="{00000000-0005-0000-0000-0000D24A0000}"/>
    <cellStyle name="Normal 36 4 4" xfId="30744" xr:uid="{00000000-0005-0000-0000-0000D34A0000}"/>
    <cellStyle name="Normal 36 4 4 2" xfId="30746" xr:uid="{00000000-0005-0000-0000-0000D44A0000}"/>
    <cellStyle name="Normal 36 4 4 2 2" xfId="22331" xr:uid="{00000000-0005-0000-0000-0000D54A0000}"/>
    <cellStyle name="Normal 36 4 4 2 2 2" xfId="22338" xr:uid="{00000000-0005-0000-0000-0000D64A0000}"/>
    <cellStyle name="Normal 36 4 4 2 2 2 2" xfId="27011" xr:uid="{00000000-0005-0000-0000-0000D74A0000}"/>
    <cellStyle name="Normal 36 4 4 2 2 2 2 2" xfId="30749" xr:uid="{00000000-0005-0000-0000-0000D84A0000}"/>
    <cellStyle name="Normal 36 4 4 2 2 2 3" xfId="30752" xr:uid="{00000000-0005-0000-0000-0000D94A0000}"/>
    <cellStyle name="Normal 36 4 4 2 2 3" xfId="27018" xr:uid="{00000000-0005-0000-0000-0000DA4A0000}"/>
    <cellStyle name="Normal 36 4 4 2 2 3 2" xfId="30756" xr:uid="{00000000-0005-0000-0000-0000DB4A0000}"/>
    <cellStyle name="Normal 36 4 4 2 2 4" xfId="27023" xr:uid="{00000000-0005-0000-0000-0000DC4A0000}"/>
    <cellStyle name="Normal 36 4 4 2 3" xfId="22350" xr:uid="{00000000-0005-0000-0000-0000DD4A0000}"/>
    <cellStyle name="Normal 36 4 4 2 3 2" xfId="30758" xr:uid="{00000000-0005-0000-0000-0000DE4A0000}"/>
    <cellStyle name="Normal 36 4 4 2 3 2 2" xfId="30760" xr:uid="{00000000-0005-0000-0000-0000DF4A0000}"/>
    <cellStyle name="Normal 36 4 4 2 3 3" xfId="30764" xr:uid="{00000000-0005-0000-0000-0000E04A0000}"/>
    <cellStyle name="Normal 36 4 4 2 4" xfId="22111" xr:uid="{00000000-0005-0000-0000-0000E14A0000}"/>
    <cellStyle name="Normal 36 4 4 2 4 2" xfId="9228" xr:uid="{00000000-0005-0000-0000-0000E24A0000}"/>
    <cellStyle name="Normal 36 4 4 2 4 2 2" xfId="9232" xr:uid="{00000000-0005-0000-0000-0000E34A0000}"/>
    <cellStyle name="Normal 36 4 4 2 4 3" xfId="9243" xr:uid="{00000000-0005-0000-0000-0000E44A0000}"/>
    <cellStyle name="Normal 36 4 4 2 5" xfId="22115" xr:uid="{00000000-0005-0000-0000-0000E54A0000}"/>
    <cellStyle name="Normal 36 4 4 2 5 2" xfId="9284" xr:uid="{00000000-0005-0000-0000-0000E64A0000}"/>
    <cellStyle name="Normal 36 4 4 2 6" xfId="30767" xr:uid="{00000000-0005-0000-0000-0000E74A0000}"/>
    <cellStyle name="Normal 36 4 4 2 6 2" xfId="30770" xr:uid="{00000000-0005-0000-0000-0000E84A0000}"/>
    <cellStyle name="Normal 36 4 4 2 7" xfId="30773" xr:uid="{00000000-0005-0000-0000-0000E94A0000}"/>
    <cellStyle name="Normal 36 4 4 2 8" xfId="30776" xr:uid="{00000000-0005-0000-0000-0000EA4A0000}"/>
    <cellStyle name="Normal 36 4 4 3" xfId="30781" xr:uid="{00000000-0005-0000-0000-0000EB4A0000}"/>
    <cellStyle name="Normal 36 4 4 3 2" xfId="25278" xr:uid="{00000000-0005-0000-0000-0000EC4A0000}"/>
    <cellStyle name="Normal 36 4 4 3 2 2" xfId="30783" xr:uid="{00000000-0005-0000-0000-0000ED4A0000}"/>
    <cellStyle name="Normal 36 4 4 3 2 2 2" xfId="22851" xr:uid="{00000000-0005-0000-0000-0000EE4A0000}"/>
    <cellStyle name="Normal 36 4 4 3 2 3" xfId="30785" xr:uid="{00000000-0005-0000-0000-0000EF4A0000}"/>
    <cellStyle name="Normal 36 4 4 3 3" xfId="30791" xr:uid="{00000000-0005-0000-0000-0000F04A0000}"/>
    <cellStyle name="Normal 36 4 4 3 3 2" xfId="30793" xr:uid="{00000000-0005-0000-0000-0000F14A0000}"/>
    <cellStyle name="Normal 36 4 4 3 4" xfId="22123" xr:uid="{00000000-0005-0000-0000-0000F24A0000}"/>
    <cellStyle name="Normal 36 4 4 4" xfId="30797" xr:uid="{00000000-0005-0000-0000-0000F34A0000}"/>
    <cellStyle name="Normal 36 4 4 4 2" xfId="25288" xr:uid="{00000000-0005-0000-0000-0000F44A0000}"/>
    <cellStyle name="Normal 36 4 4 4 2 2" xfId="27453" xr:uid="{00000000-0005-0000-0000-0000F54A0000}"/>
    <cellStyle name="Normal 36 4 4 4 3" xfId="27456" xr:uid="{00000000-0005-0000-0000-0000F64A0000}"/>
    <cellStyle name="Normal 36 4 4 5" xfId="30799" xr:uid="{00000000-0005-0000-0000-0000F74A0000}"/>
    <cellStyle name="Normal 36 4 4 5 2" xfId="30801" xr:uid="{00000000-0005-0000-0000-0000F84A0000}"/>
    <cellStyle name="Normal 36 4 4 5 2 2" xfId="30803" xr:uid="{00000000-0005-0000-0000-0000F94A0000}"/>
    <cellStyle name="Normal 36 4 4 5 3" xfId="30805" xr:uid="{00000000-0005-0000-0000-0000FA4A0000}"/>
    <cellStyle name="Normal 36 4 4 6" xfId="30807" xr:uid="{00000000-0005-0000-0000-0000FB4A0000}"/>
    <cellStyle name="Normal 36 4 4 6 2" xfId="30811" xr:uid="{00000000-0005-0000-0000-0000FC4A0000}"/>
    <cellStyle name="Normal 36 4 4 7" xfId="30815" xr:uid="{00000000-0005-0000-0000-0000FD4A0000}"/>
    <cellStyle name="Normal 36 4 4 7 2" xfId="30819" xr:uid="{00000000-0005-0000-0000-0000FE4A0000}"/>
    <cellStyle name="Normal 36 4 4 8" xfId="30821" xr:uid="{00000000-0005-0000-0000-0000FF4A0000}"/>
    <cellStyle name="Normal 36 4 4 9" xfId="30823" xr:uid="{00000000-0005-0000-0000-0000004B0000}"/>
    <cellStyle name="Normal 36 4 5" xfId="30825" xr:uid="{00000000-0005-0000-0000-0000014B0000}"/>
    <cellStyle name="Normal 36 4 5 2" xfId="30827" xr:uid="{00000000-0005-0000-0000-0000024B0000}"/>
    <cellStyle name="Normal 36 4 5 2 2" xfId="22436" xr:uid="{00000000-0005-0000-0000-0000034B0000}"/>
    <cellStyle name="Normal 36 4 5 2 2 2" xfId="30829" xr:uid="{00000000-0005-0000-0000-0000044B0000}"/>
    <cellStyle name="Normal 36 4 5 2 2 2 2" xfId="30831" xr:uid="{00000000-0005-0000-0000-0000054B0000}"/>
    <cellStyle name="Normal 36 4 5 2 2 2 2 2" xfId="30833" xr:uid="{00000000-0005-0000-0000-0000064B0000}"/>
    <cellStyle name="Normal 36 4 5 2 2 2 3" xfId="30835" xr:uid="{00000000-0005-0000-0000-0000074B0000}"/>
    <cellStyle name="Normal 36 4 5 2 2 3" xfId="30839" xr:uid="{00000000-0005-0000-0000-0000084B0000}"/>
    <cellStyle name="Normal 36 4 5 2 2 3 2" xfId="30843" xr:uid="{00000000-0005-0000-0000-0000094B0000}"/>
    <cellStyle name="Normal 36 4 5 2 2 4" xfId="30845" xr:uid="{00000000-0005-0000-0000-00000A4B0000}"/>
    <cellStyle name="Normal 36 4 5 2 3" xfId="30847" xr:uid="{00000000-0005-0000-0000-00000B4B0000}"/>
    <cellStyle name="Normal 36 4 5 2 3 2" xfId="30849" xr:uid="{00000000-0005-0000-0000-00000C4B0000}"/>
    <cellStyle name="Normal 36 4 5 2 3 2 2" xfId="30851" xr:uid="{00000000-0005-0000-0000-00000D4B0000}"/>
    <cellStyle name="Normal 36 4 5 2 3 3" xfId="30853" xr:uid="{00000000-0005-0000-0000-00000E4B0000}"/>
    <cellStyle name="Normal 36 4 5 2 4" xfId="22137" xr:uid="{00000000-0005-0000-0000-00000F4B0000}"/>
    <cellStyle name="Normal 36 4 5 2 4 2" xfId="30855" xr:uid="{00000000-0005-0000-0000-0000104B0000}"/>
    <cellStyle name="Normal 36 4 5 2 4 2 2" xfId="30857" xr:uid="{00000000-0005-0000-0000-0000114B0000}"/>
    <cellStyle name="Normal 36 4 5 2 4 3" xfId="30859" xr:uid="{00000000-0005-0000-0000-0000124B0000}"/>
    <cellStyle name="Normal 36 4 5 2 5" xfId="28579" xr:uid="{00000000-0005-0000-0000-0000134B0000}"/>
    <cellStyle name="Normal 36 4 5 2 5 2" xfId="30862" xr:uid="{00000000-0005-0000-0000-0000144B0000}"/>
    <cellStyle name="Normal 36 4 5 2 6" xfId="30865" xr:uid="{00000000-0005-0000-0000-0000154B0000}"/>
    <cellStyle name="Normal 36 4 5 2 6 2" xfId="30868" xr:uid="{00000000-0005-0000-0000-0000164B0000}"/>
    <cellStyle name="Normal 36 4 5 2 7" xfId="30871" xr:uid="{00000000-0005-0000-0000-0000174B0000}"/>
    <cellStyle name="Normal 36 4 5 2 8" xfId="30873" xr:uid="{00000000-0005-0000-0000-0000184B0000}"/>
    <cellStyle name="Normal 36 4 5 3" xfId="30876" xr:uid="{00000000-0005-0000-0000-0000194B0000}"/>
    <cellStyle name="Normal 36 4 5 3 2" xfId="30878" xr:uid="{00000000-0005-0000-0000-00001A4B0000}"/>
    <cellStyle name="Normal 36 4 5 3 2 2" xfId="30880" xr:uid="{00000000-0005-0000-0000-00001B4B0000}"/>
    <cellStyle name="Normal 36 4 5 3 2 2 2" xfId="24592" xr:uid="{00000000-0005-0000-0000-00001C4B0000}"/>
    <cellStyle name="Normal 36 4 5 3 2 3" xfId="30882" xr:uid="{00000000-0005-0000-0000-00001D4B0000}"/>
    <cellStyle name="Normal 36 4 5 3 3" xfId="30886" xr:uid="{00000000-0005-0000-0000-00001E4B0000}"/>
    <cellStyle name="Normal 36 4 5 3 3 2" xfId="30888" xr:uid="{00000000-0005-0000-0000-00001F4B0000}"/>
    <cellStyle name="Normal 36 4 5 3 4" xfId="30890" xr:uid="{00000000-0005-0000-0000-0000204B0000}"/>
    <cellStyle name="Normal 36 4 5 4" xfId="13608" xr:uid="{00000000-0005-0000-0000-0000214B0000}"/>
    <cellStyle name="Normal 36 4 5 4 2" xfId="13611" xr:uid="{00000000-0005-0000-0000-0000224B0000}"/>
    <cellStyle name="Normal 36 4 5 4 2 2" xfId="30892" xr:uid="{00000000-0005-0000-0000-0000234B0000}"/>
    <cellStyle name="Normal 36 4 5 4 3" xfId="30894" xr:uid="{00000000-0005-0000-0000-0000244B0000}"/>
    <cellStyle name="Normal 36 4 5 5" xfId="13614" xr:uid="{00000000-0005-0000-0000-0000254B0000}"/>
    <cellStyle name="Normal 36 4 5 5 2" xfId="30898" xr:uid="{00000000-0005-0000-0000-0000264B0000}"/>
    <cellStyle name="Normal 36 4 5 5 2 2" xfId="30901" xr:uid="{00000000-0005-0000-0000-0000274B0000}"/>
    <cellStyle name="Normal 36 4 5 5 3" xfId="30903" xr:uid="{00000000-0005-0000-0000-0000284B0000}"/>
    <cellStyle name="Normal 36 4 5 6" xfId="30905" xr:uid="{00000000-0005-0000-0000-0000294B0000}"/>
    <cellStyle name="Normal 36 4 5 6 2" xfId="12589" xr:uid="{00000000-0005-0000-0000-00002A4B0000}"/>
    <cellStyle name="Normal 36 4 5 7" xfId="30909" xr:uid="{00000000-0005-0000-0000-00002B4B0000}"/>
    <cellStyle name="Normal 36 4 5 7 2" xfId="2652" xr:uid="{00000000-0005-0000-0000-00002C4B0000}"/>
    <cellStyle name="Normal 36 4 5 8" xfId="30911" xr:uid="{00000000-0005-0000-0000-00002D4B0000}"/>
    <cellStyle name="Normal 36 4 5 9" xfId="30913" xr:uid="{00000000-0005-0000-0000-00002E4B0000}"/>
    <cellStyle name="Normal 36 4 6" xfId="9626" xr:uid="{00000000-0005-0000-0000-00002F4B0000}"/>
    <cellStyle name="Normal 36 4 6 2" xfId="30915" xr:uid="{00000000-0005-0000-0000-0000304B0000}"/>
    <cellStyle name="Normal 36 4 6 2 2" xfId="7865" xr:uid="{00000000-0005-0000-0000-0000314B0000}"/>
    <cellStyle name="Normal 36 4 6 2 2 2" xfId="7888" xr:uid="{00000000-0005-0000-0000-0000324B0000}"/>
    <cellStyle name="Normal 36 4 6 2 2 2 2" xfId="6947" xr:uid="{00000000-0005-0000-0000-0000334B0000}"/>
    <cellStyle name="Normal 36 4 6 2 2 3" xfId="3296" xr:uid="{00000000-0005-0000-0000-0000344B0000}"/>
    <cellStyle name="Normal 36 4 6 2 3" xfId="3188" xr:uid="{00000000-0005-0000-0000-0000354B0000}"/>
    <cellStyle name="Normal 36 4 6 2 3 2" xfId="3222" xr:uid="{00000000-0005-0000-0000-0000364B0000}"/>
    <cellStyle name="Normal 36 4 6 2 4" xfId="3245" xr:uid="{00000000-0005-0000-0000-0000374B0000}"/>
    <cellStyle name="Normal 36 4 6 2 5" xfId="6818" xr:uid="{00000000-0005-0000-0000-0000384B0000}"/>
    <cellStyle name="Normal 36 4 6 3" xfId="30917" xr:uid="{00000000-0005-0000-0000-0000394B0000}"/>
    <cellStyle name="Normal 36 4 6 3 2" xfId="8008" xr:uid="{00000000-0005-0000-0000-00003A4B0000}"/>
    <cellStyle name="Normal 36 4 6 3 2 2" xfId="8011" xr:uid="{00000000-0005-0000-0000-00003B4B0000}"/>
    <cellStyle name="Normal 36 4 6 3 3" xfId="1415" xr:uid="{00000000-0005-0000-0000-00003C4B0000}"/>
    <cellStyle name="Normal 36 4 6 4" xfId="13619" xr:uid="{00000000-0005-0000-0000-00003D4B0000}"/>
    <cellStyle name="Normal 36 4 6 4 2" xfId="4405" xr:uid="{00000000-0005-0000-0000-00003E4B0000}"/>
    <cellStyle name="Normal 36 4 6 4 2 2" xfId="4429" xr:uid="{00000000-0005-0000-0000-00003F4B0000}"/>
    <cellStyle name="Normal 36 4 6 4 3" xfId="3278" xr:uid="{00000000-0005-0000-0000-0000404B0000}"/>
    <cellStyle name="Normal 36 4 6 5" xfId="30919" xr:uid="{00000000-0005-0000-0000-0000414B0000}"/>
    <cellStyle name="Normal 36 4 6 5 2" xfId="3230" xr:uid="{00000000-0005-0000-0000-0000424B0000}"/>
    <cellStyle name="Normal 36 4 6 6" xfId="30921" xr:uid="{00000000-0005-0000-0000-0000434B0000}"/>
    <cellStyle name="Normal 36 4 6 6 2" xfId="1140" xr:uid="{00000000-0005-0000-0000-0000444B0000}"/>
    <cellStyle name="Normal 36 4 6 7" xfId="30925" xr:uid="{00000000-0005-0000-0000-0000454B0000}"/>
    <cellStyle name="Normal 36 4 6 8" xfId="30927" xr:uid="{00000000-0005-0000-0000-0000464B0000}"/>
    <cellStyle name="Normal 36 4 7" xfId="30929" xr:uid="{00000000-0005-0000-0000-0000474B0000}"/>
    <cellStyle name="Normal 36 4 7 2" xfId="30931" xr:uid="{00000000-0005-0000-0000-0000484B0000}"/>
    <cellStyle name="Normal 36 4 7 2 2" xfId="8327" xr:uid="{00000000-0005-0000-0000-0000494B0000}"/>
    <cellStyle name="Normal 36 4 7 2 2 2" xfId="30933" xr:uid="{00000000-0005-0000-0000-00004A4B0000}"/>
    <cellStyle name="Normal 36 4 7 2 3" xfId="3390" xr:uid="{00000000-0005-0000-0000-00004B4B0000}"/>
    <cellStyle name="Normal 36 4 7 3" xfId="30935" xr:uid="{00000000-0005-0000-0000-00004C4B0000}"/>
    <cellStyle name="Normal 36 4 7 3 2" xfId="30937" xr:uid="{00000000-0005-0000-0000-00004D4B0000}"/>
    <cellStyle name="Normal 36 4 7 4" xfId="30939" xr:uid="{00000000-0005-0000-0000-00004E4B0000}"/>
    <cellStyle name="Normal 36 4 7 5" xfId="30943" xr:uid="{00000000-0005-0000-0000-00004F4B0000}"/>
    <cellStyle name="Normal 36 4 8" xfId="14718" xr:uid="{00000000-0005-0000-0000-0000504B0000}"/>
    <cellStyle name="Normal 36 4 8 2" xfId="14722" xr:uid="{00000000-0005-0000-0000-0000514B0000}"/>
    <cellStyle name="Normal 36 4 8 2 2" xfId="30945" xr:uid="{00000000-0005-0000-0000-0000524B0000}"/>
    <cellStyle name="Normal 36 4 8 3" xfId="30947" xr:uid="{00000000-0005-0000-0000-0000534B0000}"/>
    <cellStyle name="Normal 36 4 9" xfId="14749" xr:uid="{00000000-0005-0000-0000-0000544B0000}"/>
    <cellStyle name="Normal 36 4 9 2" xfId="30949" xr:uid="{00000000-0005-0000-0000-0000554B0000}"/>
    <cellStyle name="Normal 36 4 9 2 2" xfId="30953" xr:uid="{00000000-0005-0000-0000-0000564B0000}"/>
    <cellStyle name="Normal 36 4 9 3" xfId="30955" xr:uid="{00000000-0005-0000-0000-0000574B0000}"/>
    <cellStyle name="Normal 36 5" xfId="30957" xr:uid="{00000000-0005-0000-0000-0000584B0000}"/>
    <cellStyle name="Normal 36 5 10" xfId="30959" xr:uid="{00000000-0005-0000-0000-0000594B0000}"/>
    <cellStyle name="Normal 36 5 2" xfId="30961" xr:uid="{00000000-0005-0000-0000-00005A4B0000}"/>
    <cellStyle name="Normal 36 5 2 2" xfId="30963" xr:uid="{00000000-0005-0000-0000-00005B4B0000}"/>
    <cellStyle name="Normal 36 5 2 2 2" xfId="22543" xr:uid="{00000000-0005-0000-0000-00005C4B0000}"/>
    <cellStyle name="Normal 36 5 2 2 2 2" xfId="30965" xr:uid="{00000000-0005-0000-0000-00005D4B0000}"/>
    <cellStyle name="Normal 36 5 2 2 2 2 2" xfId="30970" xr:uid="{00000000-0005-0000-0000-00005E4B0000}"/>
    <cellStyle name="Normal 36 5 2 2 2 2 2 2" xfId="30973" xr:uid="{00000000-0005-0000-0000-00005F4B0000}"/>
    <cellStyle name="Normal 36 5 2 2 2 2 3" xfId="25314" xr:uid="{00000000-0005-0000-0000-0000604B0000}"/>
    <cellStyle name="Normal 36 5 2 2 2 3" xfId="30975" xr:uid="{00000000-0005-0000-0000-0000614B0000}"/>
    <cellStyle name="Normal 36 5 2 2 2 3 2" xfId="30978" xr:uid="{00000000-0005-0000-0000-0000624B0000}"/>
    <cellStyle name="Normal 36 5 2 2 2 4" xfId="30980" xr:uid="{00000000-0005-0000-0000-0000634B0000}"/>
    <cellStyle name="Normal 36 5 2 2 2 5" xfId="30982" xr:uid="{00000000-0005-0000-0000-0000644B0000}"/>
    <cellStyle name="Normal 36 5 2 2 3" xfId="30986" xr:uid="{00000000-0005-0000-0000-0000654B0000}"/>
    <cellStyle name="Normal 36 5 2 2 3 2" xfId="30988" xr:uid="{00000000-0005-0000-0000-0000664B0000}"/>
    <cellStyle name="Normal 36 5 2 2 3 2 2" xfId="27369" xr:uid="{00000000-0005-0000-0000-0000674B0000}"/>
    <cellStyle name="Normal 36 5 2 2 3 3" xfId="30990" xr:uid="{00000000-0005-0000-0000-0000684B0000}"/>
    <cellStyle name="Normal 36 5 2 2 4" xfId="30992" xr:uid="{00000000-0005-0000-0000-0000694B0000}"/>
    <cellStyle name="Normal 36 5 2 2 4 2" xfId="30994" xr:uid="{00000000-0005-0000-0000-00006A4B0000}"/>
    <cellStyle name="Normal 36 5 2 2 4 2 2" xfId="29196" xr:uid="{00000000-0005-0000-0000-00006B4B0000}"/>
    <cellStyle name="Normal 36 5 2 2 4 3" xfId="30998" xr:uid="{00000000-0005-0000-0000-00006C4B0000}"/>
    <cellStyle name="Normal 36 5 2 2 5" xfId="31000" xr:uid="{00000000-0005-0000-0000-00006D4B0000}"/>
    <cellStyle name="Normal 36 5 2 2 5 2" xfId="31002" xr:uid="{00000000-0005-0000-0000-00006E4B0000}"/>
    <cellStyle name="Normal 36 5 2 2 6" xfId="25773" xr:uid="{00000000-0005-0000-0000-00006F4B0000}"/>
    <cellStyle name="Normal 36 5 2 2 6 2" xfId="31004" xr:uid="{00000000-0005-0000-0000-0000704B0000}"/>
    <cellStyle name="Normal 36 5 2 2 7" xfId="31006" xr:uid="{00000000-0005-0000-0000-0000714B0000}"/>
    <cellStyle name="Normal 36 5 2 2 8" xfId="28749" xr:uid="{00000000-0005-0000-0000-0000724B0000}"/>
    <cellStyle name="Normal 36 5 2 3" xfId="31008" xr:uid="{00000000-0005-0000-0000-0000734B0000}"/>
    <cellStyle name="Normal 36 5 2 3 2" xfId="31010" xr:uid="{00000000-0005-0000-0000-0000744B0000}"/>
    <cellStyle name="Normal 36 5 2 3 2 2" xfId="26968" xr:uid="{00000000-0005-0000-0000-0000754B0000}"/>
    <cellStyle name="Normal 36 5 2 3 2 2 2" xfId="31012" xr:uid="{00000000-0005-0000-0000-0000764B0000}"/>
    <cellStyle name="Normal 36 5 2 3 2 3" xfId="31014" xr:uid="{00000000-0005-0000-0000-0000774B0000}"/>
    <cellStyle name="Normal 36 5 2 3 3" xfId="31016" xr:uid="{00000000-0005-0000-0000-0000784B0000}"/>
    <cellStyle name="Normal 36 5 2 3 3 2" xfId="31018" xr:uid="{00000000-0005-0000-0000-0000794B0000}"/>
    <cellStyle name="Normal 36 5 2 3 4" xfId="22579" xr:uid="{00000000-0005-0000-0000-00007A4B0000}"/>
    <cellStyle name="Normal 36 5 2 3 5" xfId="8349" xr:uid="{00000000-0005-0000-0000-00007B4B0000}"/>
    <cellStyle name="Normal 36 5 2 4" xfId="31020" xr:uid="{00000000-0005-0000-0000-00007C4B0000}"/>
    <cellStyle name="Normal 36 5 2 4 2" xfId="29167" xr:uid="{00000000-0005-0000-0000-00007D4B0000}"/>
    <cellStyle name="Normal 36 5 2 4 2 2" xfId="29171" xr:uid="{00000000-0005-0000-0000-00007E4B0000}"/>
    <cellStyle name="Normal 36 5 2 4 3" xfId="29175" xr:uid="{00000000-0005-0000-0000-00007F4B0000}"/>
    <cellStyle name="Normal 36 5 2 5" xfId="24595" xr:uid="{00000000-0005-0000-0000-0000804B0000}"/>
    <cellStyle name="Normal 36 5 2 5 2" xfId="24598" xr:uid="{00000000-0005-0000-0000-0000814B0000}"/>
    <cellStyle name="Normal 36 5 2 5 2 2" xfId="31022" xr:uid="{00000000-0005-0000-0000-0000824B0000}"/>
    <cellStyle name="Normal 36 5 2 5 3" xfId="31024" xr:uid="{00000000-0005-0000-0000-0000834B0000}"/>
    <cellStyle name="Normal 36 5 2 6" xfId="24601" xr:uid="{00000000-0005-0000-0000-0000844B0000}"/>
    <cellStyle name="Normal 36 5 2 6 2" xfId="27174" xr:uid="{00000000-0005-0000-0000-0000854B0000}"/>
    <cellStyle name="Normal 36 5 2 7" xfId="31026" xr:uid="{00000000-0005-0000-0000-0000864B0000}"/>
    <cellStyle name="Normal 36 5 2 7 2" xfId="31028" xr:uid="{00000000-0005-0000-0000-0000874B0000}"/>
    <cellStyle name="Normal 36 5 2 8" xfId="11931" xr:uid="{00000000-0005-0000-0000-0000884B0000}"/>
    <cellStyle name="Normal 36 5 2 9" xfId="31030" xr:uid="{00000000-0005-0000-0000-0000894B0000}"/>
    <cellStyle name="Normal 36 5 3" xfId="31032" xr:uid="{00000000-0005-0000-0000-00008A4B0000}"/>
    <cellStyle name="Normal 36 5 3 2" xfId="31034" xr:uid="{00000000-0005-0000-0000-00008B4B0000}"/>
    <cellStyle name="Normal 36 5 3 2 2" xfId="31037" xr:uid="{00000000-0005-0000-0000-00008C4B0000}"/>
    <cellStyle name="Normal 36 5 3 2 2 2" xfId="16051" xr:uid="{00000000-0005-0000-0000-00008D4B0000}"/>
    <cellStyle name="Normal 36 5 3 2 2 2 2" xfId="16054" xr:uid="{00000000-0005-0000-0000-00008E4B0000}"/>
    <cellStyle name="Normal 36 5 3 2 2 3" xfId="16066" xr:uid="{00000000-0005-0000-0000-00008F4B0000}"/>
    <cellStyle name="Normal 36 5 3 2 2 4" xfId="16078" xr:uid="{00000000-0005-0000-0000-0000904B0000}"/>
    <cellStyle name="Normal 36 5 3 2 3" xfId="31039" xr:uid="{00000000-0005-0000-0000-0000914B0000}"/>
    <cellStyle name="Normal 36 5 3 2 3 2" xfId="16093" xr:uid="{00000000-0005-0000-0000-0000924B0000}"/>
    <cellStyle name="Normal 36 5 3 2 4" xfId="31041" xr:uid="{00000000-0005-0000-0000-0000934B0000}"/>
    <cellStyle name="Normal 36 5 3 2 4 2" xfId="16119" xr:uid="{00000000-0005-0000-0000-0000944B0000}"/>
    <cellStyle name="Normal 36 5 3 2 5" xfId="31044" xr:uid="{00000000-0005-0000-0000-0000954B0000}"/>
    <cellStyle name="Normal 36 5 3 2 6" xfId="31047" xr:uid="{00000000-0005-0000-0000-0000964B0000}"/>
    <cellStyle name="Normal 36 5 3 3" xfId="31049" xr:uid="{00000000-0005-0000-0000-0000974B0000}"/>
    <cellStyle name="Normal 36 5 3 3 2" xfId="31051" xr:uid="{00000000-0005-0000-0000-0000984B0000}"/>
    <cellStyle name="Normal 36 5 3 3 2 2" xfId="16165" xr:uid="{00000000-0005-0000-0000-0000994B0000}"/>
    <cellStyle name="Normal 36 5 3 3 3" xfId="31053" xr:uid="{00000000-0005-0000-0000-00009A4B0000}"/>
    <cellStyle name="Normal 36 5 3 3 4" xfId="31055" xr:uid="{00000000-0005-0000-0000-00009B4B0000}"/>
    <cellStyle name="Normal 36 5 3 4" xfId="31057" xr:uid="{00000000-0005-0000-0000-00009C4B0000}"/>
    <cellStyle name="Normal 36 5 3 4 2" xfId="29250" xr:uid="{00000000-0005-0000-0000-00009D4B0000}"/>
    <cellStyle name="Normal 36 5 3 4 2 2" xfId="16183" xr:uid="{00000000-0005-0000-0000-00009E4B0000}"/>
    <cellStyle name="Normal 36 5 3 4 3" xfId="29254" xr:uid="{00000000-0005-0000-0000-00009F4B0000}"/>
    <cellStyle name="Normal 36 5 3 5" xfId="24605" xr:uid="{00000000-0005-0000-0000-0000A04B0000}"/>
    <cellStyle name="Normal 36 5 3 5 2" xfId="17143" xr:uid="{00000000-0005-0000-0000-0000A14B0000}"/>
    <cellStyle name="Normal 36 5 3 6" xfId="31059" xr:uid="{00000000-0005-0000-0000-0000A24B0000}"/>
    <cellStyle name="Normal 36 5 3 6 2" xfId="31061" xr:uid="{00000000-0005-0000-0000-0000A34B0000}"/>
    <cellStyle name="Normal 36 5 3 7" xfId="31063" xr:uid="{00000000-0005-0000-0000-0000A44B0000}"/>
    <cellStyle name="Normal 36 5 3 8" xfId="31066" xr:uid="{00000000-0005-0000-0000-0000A54B0000}"/>
    <cellStyle name="Normal 36 5 4" xfId="31068" xr:uid="{00000000-0005-0000-0000-0000A64B0000}"/>
    <cellStyle name="Normal 36 5 4 2" xfId="31070" xr:uid="{00000000-0005-0000-0000-0000A74B0000}"/>
    <cellStyle name="Normal 36 5 4 2 2" xfId="21695" xr:uid="{00000000-0005-0000-0000-0000A84B0000}"/>
    <cellStyle name="Normal 36 5 4 2 2 2" xfId="16528" xr:uid="{00000000-0005-0000-0000-0000A94B0000}"/>
    <cellStyle name="Normal 36 5 4 2 3" xfId="31072" xr:uid="{00000000-0005-0000-0000-0000AA4B0000}"/>
    <cellStyle name="Normal 36 5 4 2 4" xfId="21719" xr:uid="{00000000-0005-0000-0000-0000AB4B0000}"/>
    <cellStyle name="Normal 36 5 4 3" xfId="31074" xr:uid="{00000000-0005-0000-0000-0000AC4B0000}"/>
    <cellStyle name="Normal 36 5 4 3 2" xfId="31076" xr:uid="{00000000-0005-0000-0000-0000AD4B0000}"/>
    <cellStyle name="Normal 36 5 4 4" xfId="21741" xr:uid="{00000000-0005-0000-0000-0000AE4B0000}"/>
    <cellStyle name="Normal 36 5 4 4 2" xfId="21750" xr:uid="{00000000-0005-0000-0000-0000AF4B0000}"/>
    <cellStyle name="Normal 36 5 4 5" xfId="21762" xr:uid="{00000000-0005-0000-0000-0000B04B0000}"/>
    <cellStyle name="Normal 36 5 4 6" xfId="27192" xr:uid="{00000000-0005-0000-0000-0000B14B0000}"/>
    <cellStyle name="Normal 36 5 5" xfId="31078" xr:uid="{00000000-0005-0000-0000-0000B24B0000}"/>
    <cellStyle name="Normal 36 5 5 2" xfId="31080" xr:uid="{00000000-0005-0000-0000-0000B34B0000}"/>
    <cellStyle name="Normal 36 5 5 2 2" xfId="31082" xr:uid="{00000000-0005-0000-0000-0000B44B0000}"/>
    <cellStyle name="Normal 36 5 5 2 2 2" xfId="31084" xr:uid="{00000000-0005-0000-0000-0000B54B0000}"/>
    <cellStyle name="Normal 36 5 5 2 3" xfId="31086" xr:uid="{00000000-0005-0000-0000-0000B64B0000}"/>
    <cellStyle name="Normal 36 5 5 2 4" xfId="31088" xr:uid="{00000000-0005-0000-0000-0000B74B0000}"/>
    <cellStyle name="Normal 36 5 5 3" xfId="31090" xr:uid="{00000000-0005-0000-0000-0000B84B0000}"/>
    <cellStyle name="Normal 36 5 5 3 2" xfId="31092" xr:uid="{00000000-0005-0000-0000-0000B94B0000}"/>
    <cellStyle name="Normal 36 5 5 4" xfId="9303" xr:uid="{00000000-0005-0000-0000-0000BA4B0000}"/>
    <cellStyle name="Normal 36 5 5 4 2" xfId="31094" xr:uid="{00000000-0005-0000-0000-0000BB4B0000}"/>
    <cellStyle name="Normal 36 5 5 5" xfId="27197" xr:uid="{00000000-0005-0000-0000-0000BC4B0000}"/>
    <cellStyle name="Normal 36 5 5 6" xfId="31096" xr:uid="{00000000-0005-0000-0000-0000BD4B0000}"/>
    <cellStyle name="Normal 36 5 6" xfId="21775" xr:uid="{00000000-0005-0000-0000-0000BE4B0000}"/>
    <cellStyle name="Normal 36 5 6 2" xfId="9444" xr:uid="{00000000-0005-0000-0000-0000BF4B0000}"/>
    <cellStyle name="Normal 36 5 6 2 2" xfId="774" xr:uid="{00000000-0005-0000-0000-0000C04B0000}"/>
    <cellStyle name="Normal 36 5 6 3" xfId="9453" xr:uid="{00000000-0005-0000-0000-0000C14B0000}"/>
    <cellStyle name="Normal 36 5 6 4" xfId="31098" xr:uid="{00000000-0005-0000-0000-0000C24B0000}"/>
    <cellStyle name="Normal 36 5 7" xfId="21784" xr:uid="{00000000-0005-0000-0000-0000C34B0000}"/>
    <cellStyle name="Normal 36 5 7 2" xfId="9612" xr:uid="{00000000-0005-0000-0000-0000C44B0000}"/>
    <cellStyle name="Normal 36 5 8" xfId="14805" xr:uid="{00000000-0005-0000-0000-0000C54B0000}"/>
    <cellStyle name="Normal 36 5 8 2" xfId="31100" xr:uid="{00000000-0005-0000-0000-0000C64B0000}"/>
    <cellStyle name="Normal 36 5 9" xfId="31102" xr:uid="{00000000-0005-0000-0000-0000C74B0000}"/>
    <cellStyle name="Normal 36 6" xfId="31104" xr:uid="{00000000-0005-0000-0000-0000C84B0000}"/>
    <cellStyle name="Normal 36 6 2" xfId="13539" xr:uid="{00000000-0005-0000-0000-0000C94B0000}"/>
    <cellStyle name="Normal 36 6 2 2" xfId="31108" xr:uid="{00000000-0005-0000-0000-0000CA4B0000}"/>
    <cellStyle name="Normal 36 6 2 2 2" xfId="24619" xr:uid="{00000000-0005-0000-0000-0000CB4B0000}"/>
    <cellStyle name="Normal 36 6 2 2 2 2" xfId="30808" xr:uid="{00000000-0005-0000-0000-0000CC4B0000}"/>
    <cellStyle name="Normal 36 6 2 2 2 2 2" xfId="30812" xr:uid="{00000000-0005-0000-0000-0000CD4B0000}"/>
    <cellStyle name="Normal 36 6 2 2 2 3" xfId="30816" xr:uid="{00000000-0005-0000-0000-0000CE4B0000}"/>
    <cellStyle name="Normal 36 6 2 2 3" xfId="31110" xr:uid="{00000000-0005-0000-0000-0000CF4B0000}"/>
    <cellStyle name="Normal 36 6 2 2 3 2" xfId="30906" xr:uid="{00000000-0005-0000-0000-0000D04B0000}"/>
    <cellStyle name="Normal 36 6 2 2 4" xfId="31112" xr:uid="{00000000-0005-0000-0000-0000D14B0000}"/>
    <cellStyle name="Normal 36 6 2 2 5" xfId="31114" xr:uid="{00000000-0005-0000-0000-0000D24B0000}"/>
    <cellStyle name="Normal 36 6 2 3" xfId="31116" xr:uid="{00000000-0005-0000-0000-0000D34B0000}"/>
    <cellStyle name="Normal 36 6 2 3 2" xfId="31118" xr:uid="{00000000-0005-0000-0000-0000D44B0000}"/>
    <cellStyle name="Normal 36 6 2 3 2 2" xfId="27193" xr:uid="{00000000-0005-0000-0000-0000D54B0000}"/>
    <cellStyle name="Normal 36 6 2 3 3" xfId="27540" xr:uid="{00000000-0005-0000-0000-0000D64B0000}"/>
    <cellStyle name="Normal 36 6 2 4" xfId="31121" xr:uid="{00000000-0005-0000-0000-0000D74B0000}"/>
    <cellStyle name="Normal 36 6 2 4 2" xfId="31123" xr:uid="{00000000-0005-0000-0000-0000D84B0000}"/>
    <cellStyle name="Normal 36 6 2 4 2 2" xfId="31127" xr:uid="{00000000-0005-0000-0000-0000D94B0000}"/>
    <cellStyle name="Normal 36 6 2 4 3" xfId="31131" xr:uid="{00000000-0005-0000-0000-0000DA4B0000}"/>
    <cellStyle name="Normal 36 6 2 5" xfId="31136" xr:uid="{00000000-0005-0000-0000-0000DB4B0000}"/>
    <cellStyle name="Normal 36 6 2 5 2" xfId="31138" xr:uid="{00000000-0005-0000-0000-0000DC4B0000}"/>
    <cellStyle name="Normal 36 6 2 6" xfId="31124" xr:uid="{00000000-0005-0000-0000-0000DD4B0000}"/>
    <cellStyle name="Normal 36 6 2 6 2" xfId="31128" xr:uid="{00000000-0005-0000-0000-0000DE4B0000}"/>
    <cellStyle name="Normal 36 6 2 7" xfId="31132" xr:uid="{00000000-0005-0000-0000-0000DF4B0000}"/>
    <cellStyle name="Normal 36 6 2 8" xfId="31141" xr:uid="{00000000-0005-0000-0000-0000E04B0000}"/>
    <cellStyle name="Normal 36 6 3" xfId="31143" xr:uid="{00000000-0005-0000-0000-0000E14B0000}"/>
    <cellStyle name="Normal 36 6 3 2" xfId="31145" xr:uid="{00000000-0005-0000-0000-0000E24B0000}"/>
    <cellStyle name="Normal 36 6 3 2 2" xfId="31152" xr:uid="{00000000-0005-0000-0000-0000E34B0000}"/>
    <cellStyle name="Normal 36 6 3 2 2 2" xfId="17120" xr:uid="{00000000-0005-0000-0000-0000E44B0000}"/>
    <cellStyle name="Normal 36 6 3 2 3" xfId="31154" xr:uid="{00000000-0005-0000-0000-0000E54B0000}"/>
    <cellStyle name="Normal 36 6 3 3" xfId="31156" xr:uid="{00000000-0005-0000-0000-0000E64B0000}"/>
    <cellStyle name="Normal 36 6 3 3 2" xfId="31158" xr:uid="{00000000-0005-0000-0000-0000E74B0000}"/>
    <cellStyle name="Normal 36 6 3 4" xfId="31160" xr:uid="{00000000-0005-0000-0000-0000E84B0000}"/>
    <cellStyle name="Normal 36 6 3 5" xfId="31163" xr:uid="{00000000-0005-0000-0000-0000E94B0000}"/>
    <cellStyle name="Normal 36 6 4" xfId="31166" xr:uid="{00000000-0005-0000-0000-0000EA4B0000}"/>
    <cellStyle name="Normal 36 6 4 2" xfId="31168" xr:uid="{00000000-0005-0000-0000-0000EB4B0000}"/>
    <cellStyle name="Normal 36 6 4 2 2" xfId="31170" xr:uid="{00000000-0005-0000-0000-0000EC4B0000}"/>
    <cellStyle name="Normal 36 6 4 3" xfId="31172" xr:uid="{00000000-0005-0000-0000-0000ED4B0000}"/>
    <cellStyle name="Normal 36 6 5" xfId="31174" xr:uid="{00000000-0005-0000-0000-0000EE4B0000}"/>
    <cellStyle name="Normal 36 6 5 2" xfId="9926" xr:uid="{00000000-0005-0000-0000-0000EF4B0000}"/>
    <cellStyle name="Normal 36 6 5 2 2" xfId="20387" xr:uid="{00000000-0005-0000-0000-0000F04B0000}"/>
    <cellStyle name="Normal 36 6 5 3" xfId="9935" xr:uid="{00000000-0005-0000-0000-0000F14B0000}"/>
    <cellStyle name="Normal 36 6 6" xfId="21821" xr:uid="{00000000-0005-0000-0000-0000F24B0000}"/>
    <cellStyle name="Normal 36 6 6 2" xfId="20391" xr:uid="{00000000-0005-0000-0000-0000F34B0000}"/>
    <cellStyle name="Normal 36 6 7" xfId="21830" xr:uid="{00000000-0005-0000-0000-0000F44B0000}"/>
    <cellStyle name="Normal 36 6 7 2" xfId="1046" xr:uid="{00000000-0005-0000-0000-0000F54B0000}"/>
    <cellStyle name="Normal 36 6 8" xfId="31176" xr:uid="{00000000-0005-0000-0000-0000F64B0000}"/>
    <cellStyle name="Normal 36 6 9" xfId="31178" xr:uid="{00000000-0005-0000-0000-0000F74B0000}"/>
    <cellStyle name="Normal 36 7" xfId="31180" xr:uid="{00000000-0005-0000-0000-0000F84B0000}"/>
    <cellStyle name="Normal 36 7 2" xfId="25632" xr:uid="{00000000-0005-0000-0000-0000F94B0000}"/>
    <cellStyle name="Normal 36 7 2 2" xfId="25635" xr:uid="{00000000-0005-0000-0000-0000FA4B0000}"/>
    <cellStyle name="Normal 36 7 2 2 2" xfId="25638" xr:uid="{00000000-0005-0000-0000-0000FB4B0000}"/>
    <cellStyle name="Normal 36 7 2 2 2 2" xfId="31182" xr:uid="{00000000-0005-0000-0000-0000FC4B0000}"/>
    <cellStyle name="Normal 36 7 2 2 2 2 2" xfId="31184" xr:uid="{00000000-0005-0000-0000-0000FD4B0000}"/>
    <cellStyle name="Normal 36 7 2 2 2 3" xfId="31186" xr:uid="{00000000-0005-0000-0000-0000FE4B0000}"/>
    <cellStyle name="Normal 36 7 2 2 3" xfId="31188" xr:uid="{00000000-0005-0000-0000-0000FF4B0000}"/>
    <cellStyle name="Normal 36 7 2 2 3 2" xfId="21459" xr:uid="{00000000-0005-0000-0000-0000004C0000}"/>
    <cellStyle name="Normal 36 7 2 2 4" xfId="28495" xr:uid="{00000000-0005-0000-0000-0000014C0000}"/>
    <cellStyle name="Normal 36 7 2 2 5" xfId="28501" xr:uid="{00000000-0005-0000-0000-0000024C0000}"/>
    <cellStyle name="Normal 36 7 2 3" xfId="25641" xr:uid="{00000000-0005-0000-0000-0000034C0000}"/>
    <cellStyle name="Normal 36 7 2 3 2" xfId="31190" xr:uid="{00000000-0005-0000-0000-0000044C0000}"/>
    <cellStyle name="Normal 36 7 2 3 2 2" xfId="31192" xr:uid="{00000000-0005-0000-0000-0000054C0000}"/>
    <cellStyle name="Normal 36 7 2 3 3" xfId="31194" xr:uid="{00000000-0005-0000-0000-0000064C0000}"/>
    <cellStyle name="Normal 36 7 2 4" xfId="31196" xr:uid="{00000000-0005-0000-0000-0000074C0000}"/>
    <cellStyle name="Normal 36 7 2 4 2" xfId="31198" xr:uid="{00000000-0005-0000-0000-0000084C0000}"/>
    <cellStyle name="Normal 36 7 2 4 2 2" xfId="31202" xr:uid="{00000000-0005-0000-0000-0000094C0000}"/>
    <cellStyle name="Normal 36 7 2 4 3" xfId="31206" xr:uid="{00000000-0005-0000-0000-00000A4C0000}"/>
    <cellStyle name="Normal 36 7 2 5" xfId="31211" xr:uid="{00000000-0005-0000-0000-00000B4C0000}"/>
    <cellStyle name="Normal 36 7 2 5 2" xfId="31213" xr:uid="{00000000-0005-0000-0000-00000C4C0000}"/>
    <cellStyle name="Normal 36 7 2 6" xfId="31215" xr:uid="{00000000-0005-0000-0000-00000D4C0000}"/>
    <cellStyle name="Normal 36 7 2 6 2" xfId="10290" xr:uid="{00000000-0005-0000-0000-00000E4C0000}"/>
    <cellStyle name="Normal 36 7 2 7" xfId="31218" xr:uid="{00000000-0005-0000-0000-00000F4C0000}"/>
    <cellStyle name="Normal 36 7 2 8" xfId="31220" xr:uid="{00000000-0005-0000-0000-0000104C0000}"/>
    <cellStyle name="Normal 36 7 3" xfId="25644" xr:uid="{00000000-0005-0000-0000-0000114C0000}"/>
    <cellStyle name="Normal 36 7 3 2" xfId="6459" xr:uid="{00000000-0005-0000-0000-0000124C0000}"/>
    <cellStyle name="Normal 36 7 3 2 2" xfId="31224" xr:uid="{00000000-0005-0000-0000-0000134C0000}"/>
    <cellStyle name="Normal 36 7 3 2 2 2" xfId="31226" xr:uid="{00000000-0005-0000-0000-0000144C0000}"/>
    <cellStyle name="Normal 36 7 3 2 3" xfId="31228" xr:uid="{00000000-0005-0000-0000-0000154C0000}"/>
    <cellStyle name="Normal 36 7 3 3" xfId="16232" xr:uid="{00000000-0005-0000-0000-0000164C0000}"/>
    <cellStyle name="Normal 36 7 3 3 2" xfId="16237" xr:uid="{00000000-0005-0000-0000-0000174C0000}"/>
    <cellStyle name="Normal 36 7 3 4" xfId="16242" xr:uid="{00000000-0005-0000-0000-0000184C0000}"/>
    <cellStyle name="Normal 36 7 3 5" xfId="16248" xr:uid="{00000000-0005-0000-0000-0000194C0000}"/>
    <cellStyle name="Normal 36 7 4" xfId="21838" xr:uid="{00000000-0005-0000-0000-00001A4C0000}"/>
    <cellStyle name="Normal 36 7 4 2" xfId="16259" xr:uid="{00000000-0005-0000-0000-00001B4C0000}"/>
    <cellStyle name="Normal 36 7 4 2 2" xfId="31232" xr:uid="{00000000-0005-0000-0000-00001C4C0000}"/>
    <cellStyle name="Normal 36 7 4 3" xfId="16269" xr:uid="{00000000-0005-0000-0000-00001D4C0000}"/>
    <cellStyle name="Normal 36 7 5" xfId="21844" xr:uid="{00000000-0005-0000-0000-00001E4C0000}"/>
    <cellStyle name="Normal 36 7 5 2" xfId="16289" xr:uid="{00000000-0005-0000-0000-00001F4C0000}"/>
    <cellStyle name="Normal 36 7 5 2 2" xfId="31238" xr:uid="{00000000-0005-0000-0000-0000204C0000}"/>
    <cellStyle name="Normal 36 7 5 3" xfId="17229" xr:uid="{00000000-0005-0000-0000-0000214C0000}"/>
    <cellStyle name="Normal 36 7 6" xfId="21847" xr:uid="{00000000-0005-0000-0000-0000224C0000}"/>
    <cellStyle name="Normal 36 7 6 2" xfId="16301" xr:uid="{00000000-0005-0000-0000-0000234C0000}"/>
    <cellStyle name="Normal 36 7 7" xfId="23294" xr:uid="{00000000-0005-0000-0000-0000244C0000}"/>
    <cellStyle name="Normal 36 7 7 2" xfId="3110" xr:uid="{00000000-0005-0000-0000-0000254C0000}"/>
    <cellStyle name="Normal 36 7 8" xfId="31240" xr:uid="{00000000-0005-0000-0000-0000264C0000}"/>
    <cellStyle name="Normal 36 7 9" xfId="31242" xr:uid="{00000000-0005-0000-0000-0000274C0000}"/>
    <cellStyle name="Normal 36 8" xfId="31246" xr:uid="{00000000-0005-0000-0000-0000284C0000}"/>
    <cellStyle name="Normal 36 8 2" xfId="25654" xr:uid="{00000000-0005-0000-0000-0000294C0000}"/>
    <cellStyle name="Normal 36 8 2 2" xfId="31250" xr:uid="{00000000-0005-0000-0000-00002A4C0000}"/>
    <cellStyle name="Normal 36 8 2 2 2" xfId="31252" xr:uid="{00000000-0005-0000-0000-00002B4C0000}"/>
    <cellStyle name="Normal 36 8 2 2 2 2" xfId="26014" xr:uid="{00000000-0005-0000-0000-00002C4C0000}"/>
    <cellStyle name="Normal 36 8 2 2 2 2 2" xfId="26021" xr:uid="{00000000-0005-0000-0000-00002D4C0000}"/>
    <cellStyle name="Normal 36 8 2 2 2 3" xfId="2395" xr:uid="{00000000-0005-0000-0000-00002E4C0000}"/>
    <cellStyle name="Normal 36 8 2 2 3" xfId="29696" xr:uid="{00000000-0005-0000-0000-00002F4C0000}"/>
    <cellStyle name="Normal 36 8 2 2 3 2" xfId="18848" xr:uid="{00000000-0005-0000-0000-0000304C0000}"/>
    <cellStyle name="Normal 36 8 2 2 4" xfId="28541" xr:uid="{00000000-0005-0000-0000-0000314C0000}"/>
    <cellStyle name="Normal 36 8 2 3" xfId="31257" xr:uid="{00000000-0005-0000-0000-0000324C0000}"/>
    <cellStyle name="Normal 36 8 2 3 2" xfId="31259" xr:uid="{00000000-0005-0000-0000-0000334C0000}"/>
    <cellStyle name="Normal 36 8 2 3 2 2" xfId="26105" xr:uid="{00000000-0005-0000-0000-0000344C0000}"/>
    <cellStyle name="Normal 36 8 2 3 3" xfId="31264" xr:uid="{00000000-0005-0000-0000-0000354C0000}"/>
    <cellStyle name="Normal 36 8 2 4" xfId="26234" xr:uid="{00000000-0005-0000-0000-0000364C0000}"/>
    <cellStyle name="Normal 36 8 2 4 2" xfId="31266" xr:uid="{00000000-0005-0000-0000-0000374C0000}"/>
    <cellStyle name="Normal 36 8 2 4 2 2" xfId="26179" xr:uid="{00000000-0005-0000-0000-0000384C0000}"/>
    <cellStyle name="Normal 36 8 2 4 3" xfId="31270" xr:uid="{00000000-0005-0000-0000-0000394C0000}"/>
    <cellStyle name="Normal 36 8 2 5" xfId="31274" xr:uid="{00000000-0005-0000-0000-00003A4C0000}"/>
    <cellStyle name="Normal 36 8 2 5 2" xfId="31276" xr:uid="{00000000-0005-0000-0000-00003B4C0000}"/>
    <cellStyle name="Normal 36 8 2 6" xfId="31278" xr:uid="{00000000-0005-0000-0000-00003C4C0000}"/>
    <cellStyle name="Normal 36 8 2 6 2" xfId="31280" xr:uid="{00000000-0005-0000-0000-00003D4C0000}"/>
    <cellStyle name="Normal 36 8 2 7" xfId="31282" xr:uid="{00000000-0005-0000-0000-00003E4C0000}"/>
    <cellStyle name="Normal 36 8 2 8" xfId="31284" xr:uid="{00000000-0005-0000-0000-00003F4C0000}"/>
    <cellStyle name="Normal 36 8 3" xfId="31288" xr:uid="{00000000-0005-0000-0000-0000404C0000}"/>
    <cellStyle name="Normal 36 8 3 2" xfId="31290" xr:uid="{00000000-0005-0000-0000-0000414C0000}"/>
    <cellStyle name="Normal 36 8 3 2 2" xfId="14114" xr:uid="{00000000-0005-0000-0000-0000424C0000}"/>
    <cellStyle name="Normal 36 8 3 2 2 2" xfId="14122" xr:uid="{00000000-0005-0000-0000-0000434C0000}"/>
    <cellStyle name="Normal 36 8 3 2 3" xfId="14134" xr:uid="{00000000-0005-0000-0000-0000444C0000}"/>
    <cellStyle name="Normal 36 8 3 3" xfId="16307" xr:uid="{00000000-0005-0000-0000-0000454C0000}"/>
    <cellStyle name="Normal 36 8 3 3 2" xfId="14178" xr:uid="{00000000-0005-0000-0000-0000464C0000}"/>
    <cellStyle name="Normal 36 8 3 4" xfId="31292" xr:uid="{00000000-0005-0000-0000-0000474C0000}"/>
    <cellStyle name="Normal 36 8 4" xfId="30447" xr:uid="{00000000-0005-0000-0000-0000484C0000}"/>
    <cellStyle name="Normal 36 8 4 2" xfId="30452" xr:uid="{00000000-0005-0000-0000-0000494C0000}"/>
    <cellStyle name="Normal 36 8 4 2 2" xfId="14298" xr:uid="{00000000-0005-0000-0000-00004A4C0000}"/>
    <cellStyle name="Normal 36 8 4 3" xfId="30464" xr:uid="{00000000-0005-0000-0000-00004B4C0000}"/>
    <cellStyle name="Normal 36 8 5" xfId="30473" xr:uid="{00000000-0005-0000-0000-00004C4C0000}"/>
    <cellStyle name="Normal 36 8 5 2" xfId="30477" xr:uid="{00000000-0005-0000-0000-00004D4C0000}"/>
    <cellStyle name="Normal 36 8 5 2 2" xfId="14386" xr:uid="{00000000-0005-0000-0000-00004E4C0000}"/>
    <cellStyle name="Normal 36 8 5 3" xfId="30481" xr:uid="{00000000-0005-0000-0000-00004F4C0000}"/>
    <cellStyle name="Normal 36 8 6" xfId="251" xr:uid="{00000000-0005-0000-0000-0000504C0000}"/>
    <cellStyle name="Normal 36 8 6 2" xfId="30486" xr:uid="{00000000-0005-0000-0000-0000514C0000}"/>
    <cellStyle name="Normal 36 8 7" xfId="30492" xr:uid="{00000000-0005-0000-0000-0000524C0000}"/>
    <cellStyle name="Normal 36 8 7 2" xfId="30496" xr:uid="{00000000-0005-0000-0000-0000534C0000}"/>
    <cellStyle name="Normal 36 8 8" xfId="30500" xr:uid="{00000000-0005-0000-0000-0000544C0000}"/>
    <cellStyle name="Normal 36 8 9" xfId="30513" xr:uid="{00000000-0005-0000-0000-0000554C0000}"/>
    <cellStyle name="Normal 36 9" xfId="31297" xr:uid="{00000000-0005-0000-0000-0000564C0000}"/>
    <cellStyle name="Normal 36 9 2" xfId="31301" xr:uid="{00000000-0005-0000-0000-0000574C0000}"/>
    <cellStyle name="Normal 36 9 2 2" xfId="31303" xr:uid="{00000000-0005-0000-0000-0000584C0000}"/>
    <cellStyle name="Normal 36 9 2 2 2" xfId="31307" xr:uid="{00000000-0005-0000-0000-0000594C0000}"/>
    <cellStyle name="Normal 36 9 2 2 2 2" xfId="21248" xr:uid="{00000000-0005-0000-0000-00005A4C0000}"/>
    <cellStyle name="Normal 36 9 2 2 3" xfId="31311" xr:uid="{00000000-0005-0000-0000-00005B4C0000}"/>
    <cellStyle name="Normal 36 9 2 3" xfId="31313" xr:uid="{00000000-0005-0000-0000-00005C4C0000}"/>
    <cellStyle name="Normal 36 9 2 3 2" xfId="31317" xr:uid="{00000000-0005-0000-0000-00005D4C0000}"/>
    <cellStyle name="Normal 36 9 2 4" xfId="31319" xr:uid="{00000000-0005-0000-0000-00005E4C0000}"/>
    <cellStyle name="Normal 36 9 2 5" xfId="31321" xr:uid="{00000000-0005-0000-0000-00005F4C0000}"/>
    <cellStyle name="Normal 36 9 3" xfId="31323" xr:uid="{00000000-0005-0000-0000-0000604C0000}"/>
    <cellStyle name="Normal 36 9 3 2" xfId="31325" xr:uid="{00000000-0005-0000-0000-0000614C0000}"/>
    <cellStyle name="Normal 36 9 3 2 2" xfId="14683" xr:uid="{00000000-0005-0000-0000-0000624C0000}"/>
    <cellStyle name="Normal 36 9 3 3" xfId="1632" xr:uid="{00000000-0005-0000-0000-0000634C0000}"/>
    <cellStyle name="Normal 36 9 4" xfId="30518" xr:uid="{00000000-0005-0000-0000-0000644C0000}"/>
    <cellStyle name="Normal 36 9 4 2" xfId="30523" xr:uid="{00000000-0005-0000-0000-0000654C0000}"/>
    <cellStyle name="Normal 36 9 4 2 2" xfId="14774" xr:uid="{00000000-0005-0000-0000-0000664C0000}"/>
    <cellStyle name="Normal 36 9 4 3" xfId="30527" xr:uid="{00000000-0005-0000-0000-0000674C0000}"/>
    <cellStyle name="Normal 36 9 5" xfId="30531" xr:uid="{00000000-0005-0000-0000-0000684C0000}"/>
    <cellStyle name="Normal 36 9 5 2" xfId="30535" xr:uid="{00000000-0005-0000-0000-0000694C0000}"/>
    <cellStyle name="Normal 36 9 6" xfId="23301" xr:uid="{00000000-0005-0000-0000-00006A4C0000}"/>
    <cellStyle name="Normal 36 9 6 2" xfId="31327" xr:uid="{00000000-0005-0000-0000-00006B4C0000}"/>
    <cellStyle name="Normal 36 9 7" xfId="31329" xr:uid="{00000000-0005-0000-0000-00006C4C0000}"/>
    <cellStyle name="Normal 36 9 8" xfId="14863" xr:uid="{00000000-0005-0000-0000-00006D4C0000}"/>
    <cellStyle name="Normal 37" xfId="20884" xr:uid="{00000000-0005-0000-0000-00006E4C0000}"/>
    <cellStyle name="Normal 37 10" xfId="31331" xr:uid="{00000000-0005-0000-0000-00006F4C0000}"/>
    <cellStyle name="Normal 37 10 2" xfId="31334" xr:uid="{00000000-0005-0000-0000-0000704C0000}"/>
    <cellStyle name="Normal 37 10 2 2" xfId="31336" xr:uid="{00000000-0005-0000-0000-0000714C0000}"/>
    <cellStyle name="Normal 37 10 2 2 2" xfId="31340" xr:uid="{00000000-0005-0000-0000-0000724C0000}"/>
    <cellStyle name="Normal 37 10 2 3" xfId="31342" xr:uid="{00000000-0005-0000-0000-0000734C0000}"/>
    <cellStyle name="Normal 37 10 2 4" xfId="9874" xr:uid="{00000000-0005-0000-0000-0000744C0000}"/>
    <cellStyle name="Normal 37 10 3" xfId="31346" xr:uid="{00000000-0005-0000-0000-0000754C0000}"/>
    <cellStyle name="Normal 37 10 3 2" xfId="31350" xr:uid="{00000000-0005-0000-0000-0000764C0000}"/>
    <cellStyle name="Normal 37 10 4" xfId="11587" xr:uid="{00000000-0005-0000-0000-0000774C0000}"/>
    <cellStyle name="Normal 37 10 4 2" xfId="31354" xr:uid="{00000000-0005-0000-0000-0000784C0000}"/>
    <cellStyle name="Normal 37 10 5" xfId="31356" xr:uid="{00000000-0005-0000-0000-0000794C0000}"/>
    <cellStyle name="Normal 37 10 6" xfId="31358" xr:uid="{00000000-0005-0000-0000-00007A4C0000}"/>
    <cellStyle name="Normal 37 11" xfId="31360" xr:uid="{00000000-0005-0000-0000-00007B4C0000}"/>
    <cellStyle name="Normal 37 11 2" xfId="31362" xr:uid="{00000000-0005-0000-0000-00007C4C0000}"/>
    <cellStyle name="Normal 37 11 2 2" xfId="31364" xr:uid="{00000000-0005-0000-0000-00007D4C0000}"/>
    <cellStyle name="Normal 37 11 3" xfId="31366" xr:uid="{00000000-0005-0000-0000-00007E4C0000}"/>
    <cellStyle name="Normal 37 11 4" xfId="31368" xr:uid="{00000000-0005-0000-0000-00007F4C0000}"/>
    <cellStyle name="Normal 37 12" xfId="31370" xr:uid="{00000000-0005-0000-0000-0000804C0000}"/>
    <cellStyle name="Normal 37 12 2" xfId="31372" xr:uid="{00000000-0005-0000-0000-0000814C0000}"/>
    <cellStyle name="Normal 37 12 2 2" xfId="31374" xr:uid="{00000000-0005-0000-0000-0000824C0000}"/>
    <cellStyle name="Normal 37 12 3" xfId="31376" xr:uid="{00000000-0005-0000-0000-0000834C0000}"/>
    <cellStyle name="Normal 37 13" xfId="25344" xr:uid="{00000000-0005-0000-0000-0000844C0000}"/>
    <cellStyle name="Normal 37 13 2" xfId="31378" xr:uid="{00000000-0005-0000-0000-0000854C0000}"/>
    <cellStyle name="Normal 37 14" xfId="31380" xr:uid="{00000000-0005-0000-0000-0000864C0000}"/>
    <cellStyle name="Normal 37 14 2" xfId="31383" xr:uid="{00000000-0005-0000-0000-0000874C0000}"/>
    <cellStyle name="Normal 37 15" xfId="31385" xr:uid="{00000000-0005-0000-0000-0000884C0000}"/>
    <cellStyle name="Normal 37 15 2" xfId="31387" xr:uid="{00000000-0005-0000-0000-0000894C0000}"/>
    <cellStyle name="Normal 37 16" xfId="31389" xr:uid="{00000000-0005-0000-0000-00008A4C0000}"/>
    <cellStyle name="Normal 37 17" xfId="31391" xr:uid="{00000000-0005-0000-0000-00008B4C0000}"/>
    <cellStyle name="Normal 37 2" xfId="20891" xr:uid="{00000000-0005-0000-0000-00008C4C0000}"/>
    <cellStyle name="Normal 37 2 10" xfId="31396" xr:uid="{00000000-0005-0000-0000-00008D4C0000}"/>
    <cellStyle name="Normal 37 2 10 2" xfId="31403" xr:uid="{00000000-0005-0000-0000-00008E4C0000}"/>
    <cellStyle name="Normal 37 2 11" xfId="31408" xr:uid="{00000000-0005-0000-0000-00008F4C0000}"/>
    <cellStyle name="Normal 37 2 11 2" xfId="31410" xr:uid="{00000000-0005-0000-0000-0000904C0000}"/>
    <cellStyle name="Normal 37 2 12" xfId="31412" xr:uid="{00000000-0005-0000-0000-0000914C0000}"/>
    <cellStyle name="Normal 37 2 12 2" xfId="31414" xr:uid="{00000000-0005-0000-0000-0000924C0000}"/>
    <cellStyle name="Normal 37 2 13" xfId="31416" xr:uid="{00000000-0005-0000-0000-0000934C0000}"/>
    <cellStyle name="Normal 37 2 14" xfId="31418" xr:uid="{00000000-0005-0000-0000-0000944C0000}"/>
    <cellStyle name="Normal 37 2 2" xfId="16902" xr:uid="{00000000-0005-0000-0000-0000954C0000}"/>
    <cellStyle name="Normal 37 2 2 10" xfId="31421" xr:uid="{00000000-0005-0000-0000-0000964C0000}"/>
    <cellStyle name="Normal 37 2 2 2" xfId="16906" xr:uid="{00000000-0005-0000-0000-0000974C0000}"/>
    <cellStyle name="Normal 37 2 2 2 2" xfId="31423" xr:uid="{00000000-0005-0000-0000-0000984C0000}"/>
    <cellStyle name="Normal 37 2 2 2 2 2" xfId="31425" xr:uid="{00000000-0005-0000-0000-0000994C0000}"/>
    <cellStyle name="Normal 37 2 2 2 2 2 2" xfId="22314" xr:uid="{00000000-0005-0000-0000-00009A4C0000}"/>
    <cellStyle name="Normal 37 2 2 2 2 2 2 2" xfId="31427" xr:uid="{00000000-0005-0000-0000-00009B4C0000}"/>
    <cellStyle name="Normal 37 2 2 2 2 2 2 2 2" xfId="31429" xr:uid="{00000000-0005-0000-0000-00009C4C0000}"/>
    <cellStyle name="Normal 37 2 2 2 2 2 2 3" xfId="31434" xr:uid="{00000000-0005-0000-0000-00009D4C0000}"/>
    <cellStyle name="Normal 37 2 2 2 2 2 3" xfId="31436" xr:uid="{00000000-0005-0000-0000-00009E4C0000}"/>
    <cellStyle name="Normal 37 2 2 2 2 2 3 2" xfId="31438" xr:uid="{00000000-0005-0000-0000-00009F4C0000}"/>
    <cellStyle name="Normal 37 2 2 2 2 2 4" xfId="31440" xr:uid="{00000000-0005-0000-0000-0000A04C0000}"/>
    <cellStyle name="Normal 37 2 2 2 2 3" xfId="31442" xr:uid="{00000000-0005-0000-0000-0000A14C0000}"/>
    <cellStyle name="Normal 37 2 2 2 2 3 2" xfId="22328" xr:uid="{00000000-0005-0000-0000-0000A24C0000}"/>
    <cellStyle name="Normal 37 2 2 2 2 3 2 2" xfId="31444" xr:uid="{00000000-0005-0000-0000-0000A34C0000}"/>
    <cellStyle name="Normal 37 2 2 2 2 3 3" xfId="31446" xr:uid="{00000000-0005-0000-0000-0000A44C0000}"/>
    <cellStyle name="Normal 37 2 2 2 2 4" xfId="22981" xr:uid="{00000000-0005-0000-0000-0000A54C0000}"/>
    <cellStyle name="Normal 37 2 2 2 2 4 2" xfId="28671" xr:uid="{00000000-0005-0000-0000-0000A64C0000}"/>
    <cellStyle name="Normal 37 2 2 2 2 4 2 2" xfId="31448" xr:uid="{00000000-0005-0000-0000-0000A74C0000}"/>
    <cellStyle name="Normal 37 2 2 2 2 4 3" xfId="31450" xr:uid="{00000000-0005-0000-0000-0000A84C0000}"/>
    <cellStyle name="Normal 37 2 2 2 2 5" xfId="31454" xr:uid="{00000000-0005-0000-0000-0000A94C0000}"/>
    <cellStyle name="Normal 37 2 2 2 2 5 2" xfId="31456" xr:uid="{00000000-0005-0000-0000-0000AA4C0000}"/>
    <cellStyle name="Normal 37 2 2 2 2 6" xfId="31460" xr:uid="{00000000-0005-0000-0000-0000AB4C0000}"/>
    <cellStyle name="Normal 37 2 2 2 2 6 2" xfId="31464" xr:uid="{00000000-0005-0000-0000-0000AC4C0000}"/>
    <cellStyle name="Normal 37 2 2 2 2 7" xfId="31468" xr:uid="{00000000-0005-0000-0000-0000AD4C0000}"/>
    <cellStyle name="Normal 37 2 2 2 2 8" xfId="31476" xr:uid="{00000000-0005-0000-0000-0000AE4C0000}"/>
    <cellStyle name="Normal 37 2 2 2 3" xfId="6801" xr:uid="{00000000-0005-0000-0000-0000AF4C0000}"/>
    <cellStyle name="Normal 37 2 2 2 3 2" xfId="25323" xr:uid="{00000000-0005-0000-0000-0000B04C0000}"/>
    <cellStyle name="Normal 37 2 2 2 3 2 2" xfId="31479" xr:uid="{00000000-0005-0000-0000-0000B14C0000}"/>
    <cellStyle name="Normal 37 2 2 2 3 2 2 2" xfId="5004" xr:uid="{00000000-0005-0000-0000-0000B24C0000}"/>
    <cellStyle name="Normal 37 2 2 2 3 2 3" xfId="31482" xr:uid="{00000000-0005-0000-0000-0000B34C0000}"/>
    <cellStyle name="Normal 37 2 2 2 3 3" xfId="31485" xr:uid="{00000000-0005-0000-0000-0000B44C0000}"/>
    <cellStyle name="Normal 37 2 2 2 3 3 2" xfId="31487" xr:uid="{00000000-0005-0000-0000-0000B54C0000}"/>
    <cellStyle name="Normal 37 2 2 2 3 4" xfId="27988" xr:uid="{00000000-0005-0000-0000-0000B64C0000}"/>
    <cellStyle name="Normal 37 2 2 2 4" xfId="31490" xr:uid="{00000000-0005-0000-0000-0000B74C0000}"/>
    <cellStyle name="Normal 37 2 2 2 4 2" xfId="31493" xr:uid="{00000000-0005-0000-0000-0000B84C0000}"/>
    <cellStyle name="Normal 37 2 2 2 4 2 2" xfId="31495" xr:uid="{00000000-0005-0000-0000-0000B94C0000}"/>
    <cellStyle name="Normal 37 2 2 2 4 3" xfId="31497" xr:uid="{00000000-0005-0000-0000-0000BA4C0000}"/>
    <cellStyle name="Normal 37 2 2 2 5" xfId="31500" xr:uid="{00000000-0005-0000-0000-0000BB4C0000}"/>
    <cellStyle name="Normal 37 2 2 2 5 2" xfId="20211" xr:uid="{00000000-0005-0000-0000-0000BC4C0000}"/>
    <cellStyle name="Normal 37 2 2 2 5 2 2" xfId="20645" xr:uid="{00000000-0005-0000-0000-0000BD4C0000}"/>
    <cellStyle name="Normal 37 2 2 2 5 3" xfId="19953" xr:uid="{00000000-0005-0000-0000-0000BE4C0000}"/>
    <cellStyle name="Normal 37 2 2 2 6" xfId="29553" xr:uid="{00000000-0005-0000-0000-0000BF4C0000}"/>
    <cellStyle name="Normal 37 2 2 2 6 2" xfId="29557" xr:uid="{00000000-0005-0000-0000-0000C04C0000}"/>
    <cellStyle name="Normal 37 2 2 2 7" xfId="29564" xr:uid="{00000000-0005-0000-0000-0000C14C0000}"/>
    <cellStyle name="Normal 37 2 2 2 7 2" xfId="31502" xr:uid="{00000000-0005-0000-0000-0000C24C0000}"/>
    <cellStyle name="Normal 37 2 2 2 8" xfId="31504" xr:uid="{00000000-0005-0000-0000-0000C34C0000}"/>
    <cellStyle name="Normal 37 2 2 2 9" xfId="31506" xr:uid="{00000000-0005-0000-0000-0000C44C0000}"/>
    <cellStyle name="Normal 37 2 2 3" xfId="31508" xr:uid="{00000000-0005-0000-0000-0000C54C0000}"/>
    <cellStyle name="Normal 37 2 2 3 2" xfId="31511" xr:uid="{00000000-0005-0000-0000-0000C64C0000}"/>
    <cellStyle name="Normal 37 2 2 3 2 2" xfId="23803" xr:uid="{00000000-0005-0000-0000-0000C74C0000}"/>
    <cellStyle name="Normal 37 2 2 3 2 2 2" xfId="22420" xr:uid="{00000000-0005-0000-0000-0000C84C0000}"/>
    <cellStyle name="Normal 37 2 2 3 2 2 2 2" xfId="31515" xr:uid="{00000000-0005-0000-0000-0000C94C0000}"/>
    <cellStyle name="Normal 37 2 2 3 2 2 3" xfId="31518" xr:uid="{00000000-0005-0000-0000-0000CA4C0000}"/>
    <cellStyle name="Normal 37 2 2 3 2 3" xfId="31521" xr:uid="{00000000-0005-0000-0000-0000CB4C0000}"/>
    <cellStyle name="Normal 37 2 2 3 2 3 2" xfId="22432" xr:uid="{00000000-0005-0000-0000-0000CC4C0000}"/>
    <cellStyle name="Normal 37 2 2 3 2 4" xfId="31523" xr:uid="{00000000-0005-0000-0000-0000CD4C0000}"/>
    <cellStyle name="Normal 37 2 2 3 3" xfId="31526" xr:uid="{00000000-0005-0000-0000-0000CE4C0000}"/>
    <cellStyle name="Normal 37 2 2 3 3 2" xfId="23810" xr:uid="{00000000-0005-0000-0000-0000CF4C0000}"/>
    <cellStyle name="Normal 37 2 2 3 3 2 2" xfId="31528" xr:uid="{00000000-0005-0000-0000-0000D04C0000}"/>
    <cellStyle name="Normal 37 2 2 3 3 3" xfId="31530" xr:uid="{00000000-0005-0000-0000-0000D14C0000}"/>
    <cellStyle name="Normal 37 2 2 3 4" xfId="31533" xr:uid="{00000000-0005-0000-0000-0000D24C0000}"/>
    <cellStyle name="Normal 37 2 2 3 4 2" xfId="31535" xr:uid="{00000000-0005-0000-0000-0000D34C0000}"/>
    <cellStyle name="Normal 37 2 2 3 4 2 2" xfId="31537" xr:uid="{00000000-0005-0000-0000-0000D44C0000}"/>
    <cellStyle name="Normal 37 2 2 3 4 3" xfId="31539" xr:uid="{00000000-0005-0000-0000-0000D54C0000}"/>
    <cellStyle name="Normal 37 2 2 3 5" xfId="31541" xr:uid="{00000000-0005-0000-0000-0000D64C0000}"/>
    <cellStyle name="Normal 37 2 2 3 5 2" xfId="31543" xr:uid="{00000000-0005-0000-0000-0000D74C0000}"/>
    <cellStyle name="Normal 37 2 2 3 6" xfId="29571" xr:uid="{00000000-0005-0000-0000-0000D84C0000}"/>
    <cellStyle name="Normal 37 2 2 3 6 2" xfId="31545" xr:uid="{00000000-0005-0000-0000-0000D94C0000}"/>
    <cellStyle name="Normal 37 2 2 3 7" xfId="31547" xr:uid="{00000000-0005-0000-0000-0000DA4C0000}"/>
    <cellStyle name="Normal 37 2 2 3 8" xfId="24086" xr:uid="{00000000-0005-0000-0000-0000DB4C0000}"/>
    <cellStyle name="Normal 37 2 2 4" xfId="31549" xr:uid="{00000000-0005-0000-0000-0000DC4C0000}"/>
    <cellStyle name="Normal 37 2 2 4 2" xfId="31551" xr:uid="{00000000-0005-0000-0000-0000DD4C0000}"/>
    <cellStyle name="Normal 37 2 2 4 2 2" xfId="31553" xr:uid="{00000000-0005-0000-0000-0000DE4C0000}"/>
    <cellStyle name="Normal 37 2 2 4 2 2 2" xfId="3196" xr:uid="{00000000-0005-0000-0000-0000DF4C0000}"/>
    <cellStyle name="Normal 37 2 2 4 2 3" xfId="31555" xr:uid="{00000000-0005-0000-0000-0000E04C0000}"/>
    <cellStyle name="Normal 37 2 2 4 3" xfId="31394" xr:uid="{00000000-0005-0000-0000-0000E14C0000}"/>
    <cellStyle name="Normal 37 2 2 4 3 2" xfId="31400" xr:uid="{00000000-0005-0000-0000-0000E24C0000}"/>
    <cellStyle name="Normal 37 2 2 4 4" xfId="31406" xr:uid="{00000000-0005-0000-0000-0000E34C0000}"/>
    <cellStyle name="Normal 37 2 2 5" xfId="31557" xr:uid="{00000000-0005-0000-0000-0000E44C0000}"/>
    <cellStyle name="Normal 37 2 2 5 2" xfId="31559" xr:uid="{00000000-0005-0000-0000-0000E54C0000}"/>
    <cellStyle name="Normal 37 2 2 5 2 2" xfId="31561" xr:uid="{00000000-0005-0000-0000-0000E64C0000}"/>
    <cellStyle name="Normal 37 2 2 5 3" xfId="31564" xr:uid="{00000000-0005-0000-0000-0000E74C0000}"/>
    <cellStyle name="Normal 37 2 2 6" xfId="31566" xr:uid="{00000000-0005-0000-0000-0000E84C0000}"/>
    <cellStyle name="Normal 37 2 2 6 2" xfId="27246" xr:uid="{00000000-0005-0000-0000-0000E94C0000}"/>
    <cellStyle name="Normal 37 2 2 6 2 2" xfId="31568" xr:uid="{00000000-0005-0000-0000-0000EA4C0000}"/>
    <cellStyle name="Normal 37 2 2 6 3" xfId="8324" xr:uid="{00000000-0005-0000-0000-0000EB4C0000}"/>
    <cellStyle name="Normal 37 2 2 7" xfId="31570" xr:uid="{00000000-0005-0000-0000-0000EC4C0000}"/>
    <cellStyle name="Normal 37 2 2 7 2" xfId="31572" xr:uid="{00000000-0005-0000-0000-0000ED4C0000}"/>
    <cellStyle name="Normal 37 2 2 8" xfId="31574" xr:uid="{00000000-0005-0000-0000-0000EE4C0000}"/>
    <cellStyle name="Normal 37 2 2 8 2" xfId="5276" xr:uid="{00000000-0005-0000-0000-0000EF4C0000}"/>
    <cellStyle name="Normal 37 2 2 9" xfId="31576" xr:uid="{00000000-0005-0000-0000-0000F04C0000}"/>
    <cellStyle name="Normal 37 2 3" xfId="9031" xr:uid="{00000000-0005-0000-0000-0000F14C0000}"/>
    <cellStyle name="Normal 37 2 3 2" xfId="31578" xr:uid="{00000000-0005-0000-0000-0000F24C0000}"/>
    <cellStyle name="Normal 37 2 3 2 2" xfId="31580" xr:uid="{00000000-0005-0000-0000-0000F34C0000}"/>
    <cellStyle name="Normal 37 2 3 2 2 2" xfId="31582" xr:uid="{00000000-0005-0000-0000-0000F44C0000}"/>
    <cellStyle name="Normal 37 2 3 2 2 2 2" xfId="22641" xr:uid="{00000000-0005-0000-0000-0000F54C0000}"/>
    <cellStyle name="Normal 37 2 3 2 2 2 2 2" xfId="31585" xr:uid="{00000000-0005-0000-0000-0000F64C0000}"/>
    <cellStyle name="Normal 37 2 3 2 2 2 3" xfId="1617" xr:uid="{00000000-0005-0000-0000-0000F74C0000}"/>
    <cellStyle name="Normal 37 2 3 2 2 3" xfId="31588" xr:uid="{00000000-0005-0000-0000-0000F84C0000}"/>
    <cellStyle name="Normal 37 2 3 2 2 3 2" xfId="22657" xr:uid="{00000000-0005-0000-0000-0000F94C0000}"/>
    <cellStyle name="Normal 37 2 3 2 2 4" xfId="17741" xr:uid="{00000000-0005-0000-0000-0000FA4C0000}"/>
    <cellStyle name="Normal 37 2 3 2 2 5" xfId="31590" xr:uid="{00000000-0005-0000-0000-0000FB4C0000}"/>
    <cellStyle name="Normal 37 2 3 2 3" xfId="1670" xr:uid="{00000000-0005-0000-0000-0000FC4C0000}"/>
    <cellStyle name="Normal 37 2 3 2 3 2" xfId="31593" xr:uid="{00000000-0005-0000-0000-0000FD4C0000}"/>
    <cellStyle name="Normal 37 2 3 2 3 2 2" xfId="26199" xr:uid="{00000000-0005-0000-0000-0000FE4C0000}"/>
    <cellStyle name="Normal 37 2 3 2 3 3" xfId="31595" xr:uid="{00000000-0005-0000-0000-0000FF4C0000}"/>
    <cellStyle name="Normal 37 2 3 2 4" xfId="31598" xr:uid="{00000000-0005-0000-0000-0000004D0000}"/>
    <cellStyle name="Normal 37 2 3 2 4 2" xfId="31600" xr:uid="{00000000-0005-0000-0000-0000014D0000}"/>
    <cellStyle name="Normal 37 2 3 2 4 2 2" xfId="26468" xr:uid="{00000000-0005-0000-0000-0000024D0000}"/>
    <cellStyle name="Normal 37 2 3 2 4 3" xfId="31602" xr:uid="{00000000-0005-0000-0000-0000034D0000}"/>
    <cellStyle name="Normal 37 2 3 2 5" xfId="29283" xr:uid="{00000000-0005-0000-0000-0000044D0000}"/>
    <cellStyle name="Normal 37 2 3 2 5 2" xfId="29287" xr:uid="{00000000-0005-0000-0000-0000054D0000}"/>
    <cellStyle name="Normal 37 2 3 2 6" xfId="29297" xr:uid="{00000000-0005-0000-0000-0000064D0000}"/>
    <cellStyle name="Normal 37 2 3 2 6 2" xfId="29303" xr:uid="{00000000-0005-0000-0000-0000074D0000}"/>
    <cellStyle name="Normal 37 2 3 2 7" xfId="29309" xr:uid="{00000000-0005-0000-0000-0000084D0000}"/>
    <cellStyle name="Normal 37 2 3 2 8" xfId="31604" xr:uid="{00000000-0005-0000-0000-0000094D0000}"/>
    <cellStyle name="Normal 37 2 3 3" xfId="31606" xr:uid="{00000000-0005-0000-0000-00000A4D0000}"/>
    <cellStyle name="Normal 37 2 3 3 2" xfId="12108" xr:uid="{00000000-0005-0000-0000-00000B4D0000}"/>
    <cellStyle name="Normal 37 2 3 3 2 2" xfId="12112" xr:uid="{00000000-0005-0000-0000-00000C4D0000}"/>
    <cellStyle name="Normal 37 2 3 3 2 2 2" xfId="1737" xr:uid="{00000000-0005-0000-0000-00000D4D0000}"/>
    <cellStyle name="Normal 37 2 3 3 2 3" xfId="12117" xr:uid="{00000000-0005-0000-0000-00000E4D0000}"/>
    <cellStyle name="Normal 37 2 3 3 3" xfId="12122" xr:uid="{00000000-0005-0000-0000-00000F4D0000}"/>
    <cellStyle name="Normal 37 2 3 3 3 2" xfId="12126" xr:uid="{00000000-0005-0000-0000-0000104D0000}"/>
    <cellStyle name="Normal 37 2 3 3 4" xfId="12132" xr:uid="{00000000-0005-0000-0000-0000114D0000}"/>
    <cellStyle name="Normal 37 2 3 3 5" xfId="12140" xr:uid="{00000000-0005-0000-0000-0000124D0000}"/>
    <cellStyle name="Normal 37 2 3 4" xfId="31608" xr:uid="{00000000-0005-0000-0000-0000134D0000}"/>
    <cellStyle name="Normal 37 2 3 4 2" xfId="10773" xr:uid="{00000000-0005-0000-0000-0000144D0000}"/>
    <cellStyle name="Normal 37 2 3 4 2 2" xfId="1822" xr:uid="{00000000-0005-0000-0000-0000154D0000}"/>
    <cellStyle name="Normal 37 2 3 4 3" xfId="1829" xr:uid="{00000000-0005-0000-0000-0000164D0000}"/>
    <cellStyle name="Normal 37 2 3 5" xfId="31610" xr:uid="{00000000-0005-0000-0000-0000174D0000}"/>
    <cellStyle name="Normal 37 2 3 5 2" xfId="12158" xr:uid="{00000000-0005-0000-0000-0000184D0000}"/>
    <cellStyle name="Normal 37 2 3 5 2 2" xfId="16393" xr:uid="{00000000-0005-0000-0000-0000194D0000}"/>
    <cellStyle name="Normal 37 2 3 5 3" xfId="31612" xr:uid="{00000000-0005-0000-0000-00001A4D0000}"/>
    <cellStyle name="Normal 37 2 3 6" xfId="31615" xr:uid="{00000000-0005-0000-0000-00001B4D0000}"/>
    <cellStyle name="Normal 37 2 3 6 2" xfId="967" xr:uid="{00000000-0005-0000-0000-00001C4D0000}"/>
    <cellStyle name="Normal 37 2 3 7" xfId="31618" xr:uid="{00000000-0005-0000-0000-00001D4D0000}"/>
    <cellStyle name="Normal 37 2 3 7 2" xfId="31620" xr:uid="{00000000-0005-0000-0000-00001E4D0000}"/>
    <cellStyle name="Normal 37 2 3 8" xfId="31622" xr:uid="{00000000-0005-0000-0000-00001F4D0000}"/>
    <cellStyle name="Normal 37 2 3 9" xfId="31624" xr:uid="{00000000-0005-0000-0000-0000204D0000}"/>
    <cellStyle name="Normal 37 2 4" xfId="6110" xr:uid="{00000000-0005-0000-0000-0000214D0000}"/>
    <cellStyle name="Normal 37 2 4 2" xfId="31626" xr:uid="{00000000-0005-0000-0000-0000224D0000}"/>
    <cellStyle name="Normal 37 2 4 2 2" xfId="2149" xr:uid="{00000000-0005-0000-0000-0000234D0000}"/>
    <cellStyle name="Normal 37 2 4 2 2 2" xfId="25488" xr:uid="{00000000-0005-0000-0000-0000244D0000}"/>
    <cellStyle name="Normal 37 2 4 2 2 2 2" xfId="23132" xr:uid="{00000000-0005-0000-0000-0000254D0000}"/>
    <cellStyle name="Normal 37 2 4 2 2 2 2 2" xfId="11784" xr:uid="{00000000-0005-0000-0000-0000264D0000}"/>
    <cellStyle name="Normal 37 2 4 2 2 2 3" xfId="31628" xr:uid="{00000000-0005-0000-0000-0000274D0000}"/>
    <cellStyle name="Normal 37 2 4 2 2 3" xfId="24996" xr:uid="{00000000-0005-0000-0000-0000284D0000}"/>
    <cellStyle name="Normal 37 2 4 2 2 3 2" xfId="31630" xr:uid="{00000000-0005-0000-0000-0000294D0000}"/>
    <cellStyle name="Normal 37 2 4 2 2 4" xfId="27656" xr:uid="{00000000-0005-0000-0000-00002A4D0000}"/>
    <cellStyle name="Normal 37 2 4 2 3" xfId="2175" xr:uid="{00000000-0005-0000-0000-00002B4D0000}"/>
    <cellStyle name="Normal 37 2 4 2 3 2" xfId="12974" xr:uid="{00000000-0005-0000-0000-00002C4D0000}"/>
    <cellStyle name="Normal 37 2 4 2 3 2 2" xfId="31633" xr:uid="{00000000-0005-0000-0000-00002D4D0000}"/>
    <cellStyle name="Normal 37 2 4 2 3 3" xfId="31635" xr:uid="{00000000-0005-0000-0000-00002E4D0000}"/>
    <cellStyle name="Normal 37 2 4 2 4" xfId="31638" xr:uid="{00000000-0005-0000-0000-00002F4D0000}"/>
    <cellStyle name="Normal 37 2 4 2 4 2" xfId="31640" xr:uid="{00000000-0005-0000-0000-0000304D0000}"/>
    <cellStyle name="Normal 37 2 4 2 4 2 2" xfId="31642" xr:uid="{00000000-0005-0000-0000-0000314D0000}"/>
    <cellStyle name="Normal 37 2 4 2 4 3" xfId="23612" xr:uid="{00000000-0005-0000-0000-0000324D0000}"/>
    <cellStyle name="Normal 37 2 4 2 5" xfId="29335" xr:uid="{00000000-0005-0000-0000-0000334D0000}"/>
    <cellStyle name="Normal 37 2 4 2 5 2" xfId="279" xr:uid="{00000000-0005-0000-0000-0000344D0000}"/>
    <cellStyle name="Normal 37 2 4 2 6" xfId="29339" xr:uid="{00000000-0005-0000-0000-0000354D0000}"/>
    <cellStyle name="Normal 37 2 4 2 6 2" xfId="31646" xr:uid="{00000000-0005-0000-0000-0000364D0000}"/>
    <cellStyle name="Normal 37 2 4 2 7" xfId="31648" xr:uid="{00000000-0005-0000-0000-0000374D0000}"/>
    <cellStyle name="Normal 37 2 4 2 8" xfId="31650" xr:uid="{00000000-0005-0000-0000-0000384D0000}"/>
    <cellStyle name="Normal 37 2 4 3" xfId="31652" xr:uid="{00000000-0005-0000-0000-0000394D0000}"/>
    <cellStyle name="Normal 37 2 4 3 2" xfId="12161" xr:uid="{00000000-0005-0000-0000-00003A4D0000}"/>
    <cellStyle name="Normal 37 2 4 3 2 2" xfId="2225" xr:uid="{00000000-0005-0000-0000-00003B4D0000}"/>
    <cellStyle name="Normal 37 2 4 3 2 2 2" xfId="31655" xr:uid="{00000000-0005-0000-0000-00003C4D0000}"/>
    <cellStyle name="Normal 37 2 4 3 2 3" xfId="25001" xr:uid="{00000000-0005-0000-0000-00003D4D0000}"/>
    <cellStyle name="Normal 37 2 4 3 3" xfId="12165" xr:uid="{00000000-0005-0000-0000-00003E4D0000}"/>
    <cellStyle name="Normal 37 2 4 3 3 2" xfId="31657" xr:uid="{00000000-0005-0000-0000-00003F4D0000}"/>
    <cellStyle name="Normal 37 2 4 3 4" xfId="31659" xr:uid="{00000000-0005-0000-0000-0000404D0000}"/>
    <cellStyle name="Normal 37 2 4 4" xfId="31663" xr:uid="{00000000-0005-0000-0000-0000414D0000}"/>
    <cellStyle name="Normal 37 2 4 4 2" xfId="12169" xr:uid="{00000000-0005-0000-0000-0000424D0000}"/>
    <cellStyle name="Normal 37 2 4 4 2 2" xfId="17048" xr:uid="{00000000-0005-0000-0000-0000434D0000}"/>
    <cellStyle name="Normal 37 2 4 4 3" xfId="16957" xr:uid="{00000000-0005-0000-0000-0000444D0000}"/>
    <cellStyle name="Normal 37 2 4 5" xfId="17076" xr:uid="{00000000-0005-0000-0000-0000454D0000}"/>
    <cellStyle name="Normal 37 2 4 5 2" xfId="12184" xr:uid="{00000000-0005-0000-0000-0000464D0000}"/>
    <cellStyle name="Normal 37 2 4 5 2 2" xfId="15732" xr:uid="{00000000-0005-0000-0000-0000474D0000}"/>
    <cellStyle name="Normal 37 2 4 5 3" xfId="15751" xr:uid="{00000000-0005-0000-0000-0000484D0000}"/>
    <cellStyle name="Normal 37 2 4 6" xfId="17080" xr:uid="{00000000-0005-0000-0000-0000494D0000}"/>
    <cellStyle name="Normal 37 2 4 6 2" xfId="15779" xr:uid="{00000000-0005-0000-0000-00004A4D0000}"/>
    <cellStyle name="Normal 37 2 4 7" xfId="611" xr:uid="{00000000-0005-0000-0000-00004B4D0000}"/>
    <cellStyle name="Normal 37 2 4 7 2" xfId="3104" xr:uid="{00000000-0005-0000-0000-00004C4D0000}"/>
    <cellStyle name="Normal 37 2 4 8" xfId="7737" xr:uid="{00000000-0005-0000-0000-00004D4D0000}"/>
    <cellStyle name="Normal 37 2 4 9" xfId="8298" xr:uid="{00000000-0005-0000-0000-00004E4D0000}"/>
    <cellStyle name="Normal 37 2 5" xfId="31665" xr:uid="{00000000-0005-0000-0000-00004F4D0000}"/>
    <cellStyle name="Normal 37 2 5 2" xfId="31671" xr:uid="{00000000-0005-0000-0000-0000504D0000}"/>
    <cellStyle name="Normal 37 2 5 2 2" xfId="25496" xr:uid="{00000000-0005-0000-0000-0000514D0000}"/>
    <cellStyle name="Normal 37 2 5 2 2 2" xfId="26530" xr:uid="{00000000-0005-0000-0000-0000524D0000}"/>
    <cellStyle name="Normal 37 2 5 2 2 2 2" xfId="26533" xr:uid="{00000000-0005-0000-0000-0000534D0000}"/>
    <cellStyle name="Normal 37 2 5 2 2 2 2 2" xfId="31673" xr:uid="{00000000-0005-0000-0000-0000544D0000}"/>
    <cellStyle name="Normal 37 2 5 2 2 2 3" xfId="31676" xr:uid="{00000000-0005-0000-0000-0000554D0000}"/>
    <cellStyle name="Normal 37 2 5 2 2 3" xfId="26536" xr:uid="{00000000-0005-0000-0000-0000564D0000}"/>
    <cellStyle name="Normal 37 2 5 2 2 3 2" xfId="26539" xr:uid="{00000000-0005-0000-0000-0000574D0000}"/>
    <cellStyle name="Normal 37 2 5 2 2 4" xfId="26542" xr:uid="{00000000-0005-0000-0000-0000584D0000}"/>
    <cellStyle name="Normal 37 2 5 2 3" xfId="31681" xr:uid="{00000000-0005-0000-0000-0000594D0000}"/>
    <cellStyle name="Normal 37 2 5 2 3 2" xfId="26549" xr:uid="{00000000-0005-0000-0000-00005A4D0000}"/>
    <cellStyle name="Normal 37 2 5 2 3 2 2" xfId="31684" xr:uid="{00000000-0005-0000-0000-00005B4D0000}"/>
    <cellStyle name="Normal 37 2 5 2 3 3" xfId="26552" xr:uid="{00000000-0005-0000-0000-00005C4D0000}"/>
    <cellStyle name="Normal 37 2 5 2 4" xfId="31686" xr:uid="{00000000-0005-0000-0000-00005D4D0000}"/>
    <cellStyle name="Normal 37 2 5 2 4 2" xfId="26561" xr:uid="{00000000-0005-0000-0000-00005E4D0000}"/>
    <cellStyle name="Normal 37 2 5 2 4 2 2" xfId="31691" xr:uid="{00000000-0005-0000-0000-00005F4D0000}"/>
    <cellStyle name="Normal 37 2 5 2 4 3" xfId="31695" xr:uid="{00000000-0005-0000-0000-0000604D0000}"/>
    <cellStyle name="Normal 37 2 5 2 5" xfId="29347" xr:uid="{00000000-0005-0000-0000-0000614D0000}"/>
    <cellStyle name="Normal 37 2 5 2 5 2" xfId="31699" xr:uid="{00000000-0005-0000-0000-0000624D0000}"/>
    <cellStyle name="Normal 37 2 5 2 6" xfId="31701" xr:uid="{00000000-0005-0000-0000-0000634D0000}"/>
    <cellStyle name="Normal 37 2 5 2 6 2" xfId="31707" xr:uid="{00000000-0005-0000-0000-0000644D0000}"/>
    <cellStyle name="Normal 37 2 5 2 7" xfId="31709" xr:uid="{00000000-0005-0000-0000-0000654D0000}"/>
    <cellStyle name="Normal 37 2 5 2 8" xfId="31711" xr:uid="{00000000-0005-0000-0000-0000664D0000}"/>
    <cellStyle name="Normal 37 2 5 3" xfId="31715" xr:uid="{00000000-0005-0000-0000-0000674D0000}"/>
    <cellStyle name="Normal 37 2 5 3 2" xfId="11720" xr:uid="{00000000-0005-0000-0000-0000684D0000}"/>
    <cellStyle name="Normal 37 2 5 3 2 2" xfId="31717" xr:uid="{00000000-0005-0000-0000-0000694D0000}"/>
    <cellStyle name="Normal 37 2 5 3 2 2 2" xfId="31719" xr:uid="{00000000-0005-0000-0000-00006A4D0000}"/>
    <cellStyle name="Normal 37 2 5 3 2 3" xfId="31721" xr:uid="{00000000-0005-0000-0000-00006B4D0000}"/>
    <cellStyle name="Normal 37 2 5 3 3" xfId="31723" xr:uid="{00000000-0005-0000-0000-00006C4D0000}"/>
    <cellStyle name="Normal 37 2 5 3 3 2" xfId="31725" xr:uid="{00000000-0005-0000-0000-00006D4D0000}"/>
    <cellStyle name="Normal 37 2 5 3 4" xfId="31728" xr:uid="{00000000-0005-0000-0000-00006E4D0000}"/>
    <cellStyle name="Normal 37 2 5 4" xfId="31732" xr:uid="{00000000-0005-0000-0000-00006F4D0000}"/>
    <cellStyle name="Normal 37 2 5 4 2" xfId="31736" xr:uid="{00000000-0005-0000-0000-0000704D0000}"/>
    <cellStyle name="Normal 37 2 5 4 2 2" xfId="16125" xr:uid="{00000000-0005-0000-0000-0000714D0000}"/>
    <cellStyle name="Normal 37 2 5 4 3" xfId="31738" xr:uid="{00000000-0005-0000-0000-0000724D0000}"/>
    <cellStyle name="Normal 37 2 5 5" xfId="17087" xr:uid="{00000000-0005-0000-0000-0000734D0000}"/>
    <cellStyle name="Normal 37 2 5 5 2" xfId="15819" xr:uid="{00000000-0005-0000-0000-0000744D0000}"/>
    <cellStyle name="Normal 37 2 5 5 2 2" xfId="15827" xr:uid="{00000000-0005-0000-0000-0000754D0000}"/>
    <cellStyle name="Normal 37 2 5 5 3" xfId="15834" xr:uid="{00000000-0005-0000-0000-0000764D0000}"/>
    <cellStyle name="Normal 37 2 5 6" xfId="17092" xr:uid="{00000000-0005-0000-0000-0000774D0000}"/>
    <cellStyle name="Normal 37 2 5 6 2" xfId="15855" xr:uid="{00000000-0005-0000-0000-0000784D0000}"/>
    <cellStyle name="Normal 37 2 5 7" xfId="2869" xr:uid="{00000000-0005-0000-0000-0000794D0000}"/>
    <cellStyle name="Normal 37 2 5 7 2" xfId="31740" xr:uid="{00000000-0005-0000-0000-00007A4D0000}"/>
    <cellStyle name="Normal 37 2 5 8" xfId="31742" xr:uid="{00000000-0005-0000-0000-00007B4D0000}"/>
    <cellStyle name="Normal 37 2 5 9" xfId="31744" xr:uid="{00000000-0005-0000-0000-00007C4D0000}"/>
    <cellStyle name="Normal 37 2 6" xfId="5300" xr:uid="{00000000-0005-0000-0000-00007D4D0000}"/>
    <cellStyle name="Normal 37 2 6 2" xfId="3023" xr:uid="{00000000-0005-0000-0000-00007E4D0000}"/>
    <cellStyle name="Normal 37 2 6 2 2" xfId="20198" xr:uid="{00000000-0005-0000-0000-00007F4D0000}"/>
    <cellStyle name="Normal 37 2 6 2 2 2" xfId="31748" xr:uid="{00000000-0005-0000-0000-0000804D0000}"/>
    <cellStyle name="Normal 37 2 6 2 2 2 2" xfId="31750" xr:uid="{00000000-0005-0000-0000-0000814D0000}"/>
    <cellStyle name="Normal 37 2 6 2 2 3" xfId="31753" xr:uid="{00000000-0005-0000-0000-0000824D0000}"/>
    <cellStyle name="Normal 37 2 6 2 3" xfId="20201" xr:uid="{00000000-0005-0000-0000-0000834D0000}"/>
    <cellStyle name="Normal 37 2 6 2 3 2" xfId="31760" xr:uid="{00000000-0005-0000-0000-0000844D0000}"/>
    <cellStyle name="Normal 37 2 6 2 4" xfId="31762" xr:uid="{00000000-0005-0000-0000-0000854D0000}"/>
    <cellStyle name="Normal 37 2 6 2 5" xfId="29355" xr:uid="{00000000-0005-0000-0000-0000864D0000}"/>
    <cellStyle name="Normal 37 2 6 3" xfId="31764" xr:uid="{00000000-0005-0000-0000-0000874D0000}"/>
    <cellStyle name="Normal 37 2 6 3 2" xfId="31766" xr:uid="{00000000-0005-0000-0000-0000884D0000}"/>
    <cellStyle name="Normal 37 2 6 3 2 2" xfId="31768" xr:uid="{00000000-0005-0000-0000-0000894D0000}"/>
    <cellStyle name="Normal 37 2 6 3 3" xfId="31770" xr:uid="{00000000-0005-0000-0000-00008A4D0000}"/>
    <cellStyle name="Normal 37 2 6 4" xfId="31772" xr:uid="{00000000-0005-0000-0000-00008B4D0000}"/>
    <cellStyle name="Normal 37 2 6 4 2" xfId="31774" xr:uid="{00000000-0005-0000-0000-00008C4D0000}"/>
    <cellStyle name="Normal 37 2 6 4 2 2" xfId="31776" xr:uid="{00000000-0005-0000-0000-00008D4D0000}"/>
    <cellStyle name="Normal 37 2 6 4 3" xfId="31778" xr:uid="{00000000-0005-0000-0000-00008E4D0000}"/>
    <cellStyle name="Normal 37 2 6 5" xfId="17097" xr:uid="{00000000-0005-0000-0000-00008F4D0000}"/>
    <cellStyle name="Normal 37 2 6 5 2" xfId="15880" xr:uid="{00000000-0005-0000-0000-0000904D0000}"/>
    <cellStyle name="Normal 37 2 6 6" xfId="1434" xr:uid="{00000000-0005-0000-0000-0000914D0000}"/>
    <cellStyle name="Normal 37 2 6 6 2" xfId="31780" xr:uid="{00000000-0005-0000-0000-0000924D0000}"/>
    <cellStyle name="Normal 37 2 6 7" xfId="31782" xr:uid="{00000000-0005-0000-0000-0000934D0000}"/>
    <cellStyle name="Normal 37 2 6 8" xfId="31784" xr:uid="{00000000-0005-0000-0000-0000944D0000}"/>
    <cellStyle name="Normal 37 2 7" xfId="9742" xr:uid="{00000000-0005-0000-0000-0000954D0000}"/>
    <cellStyle name="Normal 37 2 7 2" xfId="31786" xr:uid="{00000000-0005-0000-0000-0000964D0000}"/>
    <cellStyle name="Normal 37 2 7 2 2" xfId="31788" xr:uid="{00000000-0005-0000-0000-0000974D0000}"/>
    <cellStyle name="Normal 37 2 7 2 2 2" xfId="31790" xr:uid="{00000000-0005-0000-0000-0000984D0000}"/>
    <cellStyle name="Normal 37 2 7 2 3" xfId="31792" xr:uid="{00000000-0005-0000-0000-0000994D0000}"/>
    <cellStyle name="Normal 37 2 7 3" xfId="31794" xr:uid="{00000000-0005-0000-0000-00009A4D0000}"/>
    <cellStyle name="Normal 37 2 7 3 2" xfId="31796" xr:uid="{00000000-0005-0000-0000-00009B4D0000}"/>
    <cellStyle name="Normal 37 2 7 4" xfId="31798" xr:uid="{00000000-0005-0000-0000-00009C4D0000}"/>
    <cellStyle name="Normal 37 2 7 5" xfId="17101" xr:uid="{00000000-0005-0000-0000-00009D4D0000}"/>
    <cellStyle name="Normal 37 2 8" xfId="31800" xr:uid="{00000000-0005-0000-0000-00009E4D0000}"/>
    <cellStyle name="Normal 37 2 8 2" xfId="31802" xr:uid="{00000000-0005-0000-0000-00009F4D0000}"/>
    <cellStyle name="Normal 37 2 8 2 2" xfId="31804" xr:uid="{00000000-0005-0000-0000-0000A04D0000}"/>
    <cellStyle name="Normal 37 2 8 3" xfId="31806" xr:uid="{00000000-0005-0000-0000-0000A14D0000}"/>
    <cellStyle name="Normal 37 2 9" xfId="31808" xr:uid="{00000000-0005-0000-0000-0000A24D0000}"/>
    <cellStyle name="Normal 37 2 9 2" xfId="23149" xr:uid="{00000000-0005-0000-0000-0000A34D0000}"/>
    <cellStyle name="Normal 37 2 9 2 2" xfId="31810" xr:uid="{00000000-0005-0000-0000-0000A44D0000}"/>
    <cellStyle name="Normal 37 2 9 3" xfId="31814" xr:uid="{00000000-0005-0000-0000-0000A54D0000}"/>
    <cellStyle name="Normal 37 3" xfId="31819" xr:uid="{00000000-0005-0000-0000-0000A64D0000}"/>
    <cellStyle name="Normal 37 3 10" xfId="4697" xr:uid="{00000000-0005-0000-0000-0000A74D0000}"/>
    <cellStyle name="Normal 37 3 10 2" xfId="25608" xr:uid="{00000000-0005-0000-0000-0000A84D0000}"/>
    <cellStyle name="Normal 37 3 11" xfId="25613" xr:uid="{00000000-0005-0000-0000-0000A94D0000}"/>
    <cellStyle name="Normal 37 3 11 2" xfId="25616" xr:uid="{00000000-0005-0000-0000-0000AA4D0000}"/>
    <cellStyle name="Normal 37 3 12" xfId="25624" xr:uid="{00000000-0005-0000-0000-0000AB4D0000}"/>
    <cellStyle name="Normal 37 3 12 2" xfId="31823" xr:uid="{00000000-0005-0000-0000-0000AC4D0000}"/>
    <cellStyle name="Normal 37 3 13" xfId="24644" xr:uid="{00000000-0005-0000-0000-0000AD4D0000}"/>
    <cellStyle name="Normal 37 3 14" xfId="31148" xr:uid="{00000000-0005-0000-0000-0000AE4D0000}"/>
    <cellStyle name="Normal 37 3 2" xfId="31825" xr:uid="{00000000-0005-0000-0000-0000AF4D0000}"/>
    <cellStyle name="Normal 37 3 2 10" xfId="31829" xr:uid="{00000000-0005-0000-0000-0000B04D0000}"/>
    <cellStyle name="Normal 37 3 2 2" xfId="31833" xr:uid="{00000000-0005-0000-0000-0000B14D0000}"/>
    <cellStyle name="Normal 37 3 2 2 2" xfId="24797" xr:uid="{00000000-0005-0000-0000-0000B24D0000}"/>
    <cellStyle name="Normal 37 3 2 2 2 2" xfId="21002" xr:uid="{00000000-0005-0000-0000-0000B34D0000}"/>
    <cellStyle name="Normal 37 3 2 2 2 2 2" xfId="21005" xr:uid="{00000000-0005-0000-0000-0000B44D0000}"/>
    <cellStyle name="Normal 37 3 2 2 2 2 2 2" xfId="31835" xr:uid="{00000000-0005-0000-0000-0000B54D0000}"/>
    <cellStyle name="Normal 37 3 2 2 2 2 2 2 2" xfId="29892" xr:uid="{00000000-0005-0000-0000-0000B64D0000}"/>
    <cellStyle name="Normal 37 3 2 2 2 2 2 3" xfId="31837" xr:uid="{00000000-0005-0000-0000-0000B74D0000}"/>
    <cellStyle name="Normal 37 3 2 2 2 2 3" xfId="31840" xr:uid="{00000000-0005-0000-0000-0000B84D0000}"/>
    <cellStyle name="Normal 37 3 2 2 2 2 3 2" xfId="31842" xr:uid="{00000000-0005-0000-0000-0000B94D0000}"/>
    <cellStyle name="Normal 37 3 2 2 2 2 4" xfId="15444" xr:uid="{00000000-0005-0000-0000-0000BA4D0000}"/>
    <cellStyle name="Normal 37 3 2 2 2 3" xfId="31844" xr:uid="{00000000-0005-0000-0000-0000BB4D0000}"/>
    <cellStyle name="Normal 37 3 2 2 2 3 2" xfId="21016" xr:uid="{00000000-0005-0000-0000-0000BC4D0000}"/>
    <cellStyle name="Normal 37 3 2 2 2 3 2 2" xfId="31846" xr:uid="{00000000-0005-0000-0000-0000BD4D0000}"/>
    <cellStyle name="Normal 37 3 2 2 2 3 3" xfId="31848" xr:uid="{00000000-0005-0000-0000-0000BE4D0000}"/>
    <cellStyle name="Normal 37 3 2 2 2 4" xfId="21022" xr:uid="{00000000-0005-0000-0000-0000BF4D0000}"/>
    <cellStyle name="Normal 37 3 2 2 2 4 2" xfId="30673" xr:uid="{00000000-0005-0000-0000-0000C04D0000}"/>
    <cellStyle name="Normal 37 3 2 2 2 4 2 2" xfId="31850" xr:uid="{00000000-0005-0000-0000-0000C14D0000}"/>
    <cellStyle name="Normal 37 3 2 2 2 4 3" xfId="31852" xr:uid="{00000000-0005-0000-0000-0000C24D0000}"/>
    <cellStyle name="Normal 37 3 2 2 2 5" xfId="31855" xr:uid="{00000000-0005-0000-0000-0000C34D0000}"/>
    <cellStyle name="Normal 37 3 2 2 2 5 2" xfId="31857" xr:uid="{00000000-0005-0000-0000-0000C44D0000}"/>
    <cellStyle name="Normal 37 3 2 2 2 6" xfId="31861" xr:uid="{00000000-0005-0000-0000-0000C54D0000}"/>
    <cellStyle name="Normal 37 3 2 2 2 6 2" xfId="31865" xr:uid="{00000000-0005-0000-0000-0000C64D0000}"/>
    <cellStyle name="Normal 37 3 2 2 2 7" xfId="31869" xr:uid="{00000000-0005-0000-0000-0000C74D0000}"/>
    <cellStyle name="Normal 37 3 2 2 2 8" xfId="31875" xr:uid="{00000000-0005-0000-0000-0000C84D0000}"/>
    <cellStyle name="Normal 37 3 2 2 3" xfId="24802" xr:uid="{00000000-0005-0000-0000-0000C94D0000}"/>
    <cellStyle name="Normal 37 3 2 2 3 2" xfId="6382" xr:uid="{00000000-0005-0000-0000-0000CA4D0000}"/>
    <cellStyle name="Normal 37 3 2 2 3 2 2" xfId="31878" xr:uid="{00000000-0005-0000-0000-0000CB4D0000}"/>
    <cellStyle name="Normal 37 3 2 2 3 2 2 2" xfId="31880" xr:uid="{00000000-0005-0000-0000-0000CC4D0000}"/>
    <cellStyle name="Normal 37 3 2 2 3 2 3" xfId="31882" xr:uid="{00000000-0005-0000-0000-0000CD4D0000}"/>
    <cellStyle name="Normal 37 3 2 2 3 3" xfId="6394" xr:uid="{00000000-0005-0000-0000-0000CE4D0000}"/>
    <cellStyle name="Normal 37 3 2 2 3 3 2" xfId="12718" xr:uid="{00000000-0005-0000-0000-0000CF4D0000}"/>
    <cellStyle name="Normal 37 3 2 2 3 4" xfId="29906" xr:uid="{00000000-0005-0000-0000-0000D04D0000}"/>
    <cellStyle name="Normal 37 3 2 2 4" xfId="31885" xr:uid="{00000000-0005-0000-0000-0000D14D0000}"/>
    <cellStyle name="Normal 37 3 2 2 4 2" xfId="31887" xr:uid="{00000000-0005-0000-0000-0000D24D0000}"/>
    <cellStyle name="Normal 37 3 2 2 4 2 2" xfId="31889" xr:uid="{00000000-0005-0000-0000-0000D34D0000}"/>
    <cellStyle name="Normal 37 3 2 2 4 3" xfId="31891" xr:uid="{00000000-0005-0000-0000-0000D44D0000}"/>
    <cellStyle name="Normal 37 3 2 2 5" xfId="31893" xr:uid="{00000000-0005-0000-0000-0000D54D0000}"/>
    <cellStyle name="Normal 37 3 2 2 5 2" xfId="31895" xr:uid="{00000000-0005-0000-0000-0000D64D0000}"/>
    <cellStyle name="Normal 37 3 2 2 5 2 2" xfId="15964" xr:uid="{00000000-0005-0000-0000-0000D74D0000}"/>
    <cellStyle name="Normal 37 3 2 2 5 3" xfId="31897" xr:uid="{00000000-0005-0000-0000-0000D84D0000}"/>
    <cellStyle name="Normal 37 3 2 2 6" xfId="29615" xr:uid="{00000000-0005-0000-0000-0000D94D0000}"/>
    <cellStyle name="Normal 37 3 2 2 6 2" xfId="31899" xr:uid="{00000000-0005-0000-0000-0000DA4D0000}"/>
    <cellStyle name="Normal 37 3 2 2 7" xfId="31348" xr:uid="{00000000-0005-0000-0000-0000DB4D0000}"/>
    <cellStyle name="Normal 37 3 2 2 7 2" xfId="31901" xr:uid="{00000000-0005-0000-0000-0000DC4D0000}"/>
    <cellStyle name="Normal 37 3 2 2 8" xfId="31903" xr:uid="{00000000-0005-0000-0000-0000DD4D0000}"/>
    <cellStyle name="Normal 37 3 2 2 9" xfId="31905" xr:uid="{00000000-0005-0000-0000-0000DE4D0000}"/>
    <cellStyle name="Normal 37 3 2 3" xfId="31907" xr:uid="{00000000-0005-0000-0000-0000DF4D0000}"/>
    <cellStyle name="Normal 37 3 2 3 2" xfId="14253" xr:uid="{00000000-0005-0000-0000-0000E04D0000}"/>
    <cellStyle name="Normal 37 3 2 3 2 2" xfId="24057" xr:uid="{00000000-0005-0000-0000-0000E14D0000}"/>
    <cellStyle name="Normal 37 3 2 3 2 2 2" xfId="31909" xr:uid="{00000000-0005-0000-0000-0000E24D0000}"/>
    <cellStyle name="Normal 37 3 2 3 2 2 2 2" xfId="31911" xr:uid="{00000000-0005-0000-0000-0000E34D0000}"/>
    <cellStyle name="Normal 37 3 2 3 2 2 3" xfId="10551" xr:uid="{00000000-0005-0000-0000-0000E44D0000}"/>
    <cellStyle name="Normal 37 3 2 3 2 3" xfId="31913" xr:uid="{00000000-0005-0000-0000-0000E54D0000}"/>
    <cellStyle name="Normal 37 3 2 3 2 3 2" xfId="31915" xr:uid="{00000000-0005-0000-0000-0000E64D0000}"/>
    <cellStyle name="Normal 37 3 2 3 2 4" xfId="31918" xr:uid="{00000000-0005-0000-0000-0000E74D0000}"/>
    <cellStyle name="Normal 37 3 2 3 3" xfId="31921" xr:uid="{00000000-0005-0000-0000-0000E84D0000}"/>
    <cellStyle name="Normal 37 3 2 3 3 2" xfId="24063" xr:uid="{00000000-0005-0000-0000-0000E94D0000}"/>
    <cellStyle name="Normal 37 3 2 3 3 2 2" xfId="31923" xr:uid="{00000000-0005-0000-0000-0000EA4D0000}"/>
    <cellStyle name="Normal 37 3 2 3 3 3" xfId="31925" xr:uid="{00000000-0005-0000-0000-0000EB4D0000}"/>
    <cellStyle name="Normal 37 3 2 3 4" xfId="31927" xr:uid="{00000000-0005-0000-0000-0000EC4D0000}"/>
    <cellStyle name="Normal 37 3 2 3 4 2" xfId="31929" xr:uid="{00000000-0005-0000-0000-0000ED4D0000}"/>
    <cellStyle name="Normal 37 3 2 3 4 2 2" xfId="31931" xr:uid="{00000000-0005-0000-0000-0000EE4D0000}"/>
    <cellStyle name="Normal 37 3 2 3 4 3" xfId="31933" xr:uid="{00000000-0005-0000-0000-0000EF4D0000}"/>
    <cellStyle name="Normal 37 3 2 3 5" xfId="31935" xr:uid="{00000000-0005-0000-0000-0000F04D0000}"/>
    <cellStyle name="Normal 37 3 2 3 5 2" xfId="31937" xr:uid="{00000000-0005-0000-0000-0000F14D0000}"/>
    <cellStyle name="Normal 37 3 2 3 6" xfId="31942" xr:uid="{00000000-0005-0000-0000-0000F24D0000}"/>
    <cellStyle name="Normal 37 3 2 3 6 2" xfId="31944" xr:uid="{00000000-0005-0000-0000-0000F34D0000}"/>
    <cellStyle name="Normal 37 3 2 3 7" xfId="31352" xr:uid="{00000000-0005-0000-0000-0000F44D0000}"/>
    <cellStyle name="Normal 37 3 2 3 8" xfId="31947" xr:uid="{00000000-0005-0000-0000-0000F54D0000}"/>
    <cellStyle name="Normal 37 3 2 4" xfId="31949" xr:uid="{00000000-0005-0000-0000-0000F64D0000}"/>
    <cellStyle name="Normal 37 3 2 4 2" xfId="24808" xr:uid="{00000000-0005-0000-0000-0000F74D0000}"/>
    <cellStyle name="Normal 37 3 2 4 2 2" xfId="31951" xr:uid="{00000000-0005-0000-0000-0000F84D0000}"/>
    <cellStyle name="Normal 37 3 2 4 2 2 2" xfId="31953" xr:uid="{00000000-0005-0000-0000-0000F94D0000}"/>
    <cellStyle name="Normal 37 3 2 4 2 3" xfId="31955" xr:uid="{00000000-0005-0000-0000-0000FA4D0000}"/>
    <cellStyle name="Normal 37 3 2 4 3" xfId="31958" xr:uid="{00000000-0005-0000-0000-0000FB4D0000}"/>
    <cellStyle name="Normal 37 3 2 4 3 2" xfId="31960" xr:uid="{00000000-0005-0000-0000-0000FC4D0000}"/>
    <cellStyle name="Normal 37 3 2 4 4" xfId="31965" xr:uid="{00000000-0005-0000-0000-0000FD4D0000}"/>
    <cellStyle name="Normal 37 3 2 5" xfId="31967" xr:uid="{00000000-0005-0000-0000-0000FE4D0000}"/>
    <cellStyle name="Normal 37 3 2 5 2" xfId="31969" xr:uid="{00000000-0005-0000-0000-0000FF4D0000}"/>
    <cellStyle name="Normal 37 3 2 5 2 2" xfId="31971" xr:uid="{00000000-0005-0000-0000-0000004E0000}"/>
    <cellStyle name="Normal 37 3 2 5 3" xfId="31973" xr:uid="{00000000-0005-0000-0000-0000014E0000}"/>
    <cellStyle name="Normal 37 3 2 6" xfId="31975" xr:uid="{00000000-0005-0000-0000-0000024E0000}"/>
    <cellStyle name="Normal 37 3 2 6 2" xfId="31977" xr:uid="{00000000-0005-0000-0000-0000034E0000}"/>
    <cellStyle name="Normal 37 3 2 6 2 2" xfId="31979" xr:uid="{00000000-0005-0000-0000-0000044E0000}"/>
    <cellStyle name="Normal 37 3 2 6 3" xfId="26445" xr:uid="{00000000-0005-0000-0000-0000054E0000}"/>
    <cellStyle name="Normal 37 3 2 7" xfId="31981" xr:uid="{00000000-0005-0000-0000-0000064E0000}"/>
    <cellStyle name="Normal 37 3 2 7 2" xfId="31983" xr:uid="{00000000-0005-0000-0000-0000074E0000}"/>
    <cellStyle name="Normal 37 3 2 8" xfId="31985" xr:uid="{00000000-0005-0000-0000-0000084E0000}"/>
    <cellStyle name="Normal 37 3 2 8 2" xfId="31987" xr:uid="{00000000-0005-0000-0000-0000094E0000}"/>
    <cellStyle name="Normal 37 3 2 9" xfId="31989" xr:uid="{00000000-0005-0000-0000-00000A4E0000}"/>
    <cellStyle name="Normal 37 3 3" xfId="31991" xr:uid="{00000000-0005-0000-0000-00000B4E0000}"/>
    <cellStyle name="Normal 37 3 3 2" xfId="31993" xr:uid="{00000000-0005-0000-0000-00000C4E0000}"/>
    <cellStyle name="Normal 37 3 3 2 2" xfId="24824" xr:uid="{00000000-0005-0000-0000-00000D4E0000}"/>
    <cellStyle name="Normal 37 3 3 2 2 2" xfId="31995" xr:uid="{00000000-0005-0000-0000-00000E4E0000}"/>
    <cellStyle name="Normal 37 3 3 2 2 2 2" xfId="31997" xr:uid="{00000000-0005-0000-0000-00000F4E0000}"/>
    <cellStyle name="Normal 37 3 3 2 2 2 2 2" xfId="31999" xr:uid="{00000000-0005-0000-0000-0000104E0000}"/>
    <cellStyle name="Normal 37 3 3 2 2 2 3" xfId="32002" xr:uid="{00000000-0005-0000-0000-0000114E0000}"/>
    <cellStyle name="Normal 37 3 3 2 2 3" xfId="32004" xr:uid="{00000000-0005-0000-0000-0000124E0000}"/>
    <cellStyle name="Normal 37 3 3 2 2 3 2" xfId="32006" xr:uid="{00000000-0005-0000-0000-0000134E0000}"/>
    <cellStyle name="Normal 37 3 3 2 2 4" xfId="32008" xr:uid="{00000000-0005-0000-0000-0000144E0000}"/>
    <cellStyle name="Normal 37 3 3 2 2 5" xfId="23113" xr:uid="{00000000-0005-0000-0000-0000154E0000}"/>
    <cellStyle name="Normal 37 3 3 2 3" xfId="20944" xr:uid="{00000000-0005-0000-0000-0000164E0000}"/>
    <cellStyle name="Normal 37 3 3 2 3 2" xfId="4179" xr:uid="{00000000-0005-0000-0000-0000174E0000}"/>
    <cellStyle name="Normal 37 3 3 2 3 2 2" xfId="32010" xr:uid="{00000000-0005-0000-0000-0000184E0000}"/>
    <cellStyle name="Normal 37 3 3 2 3 3" xfId="4202" xr:uid="{00000000-0005-0000-0000-0000194E0000}"/>
    <cellStyle name="Normal 37 3 3 2 4" xfId="32012" xr:uid="{00000000-0005-0000-0000-00001A4E0000}"/>
    <cellStyle name="Normal 37 3 3 2 4 2" xfId="32014" xr:uid="{00000000-0005-0000-0000-00001B4E0000}"/>
    <cellStyle name="Normal 37 3 3 2 4 2 2" xfId="32016" xr:uid="{00000000-0005-0000-0000-00001C4E0000}"/>
    <cellStyle name="Normal 37 3 3 2 4 3" xfId="32018" xr:uid="{00000000-0005-0000-0000-00001D4E0000}"/>
    <cellStyle name="Normal 37 3 3 2 5" xfId="29379" xr:uid="{00000000-0005-0000-0000-00001E4E0000}"/>
    <cellStyle name="Normal 37 3 3 2 5 2" xfId="29383" xr:uid="{00000000-0005-0000-0000-00001F4E0000}"/>
    <cellStyle name="Normal 37 3 3 2 6" xfId="29389" xr:uid="{00000000-0005-0000-0000-0000204E0000}"/>
    <cellStyle name="Normal 37 3 3 2 6 2" xfId="32020" xr:uid="{00000000-0005-0000-0000-0000214E0000}"/>
    <cellStyle name="Normal 37 3 3 2 7" xfId="32022" xr:uid="{00000000-0005-0000-0000-0000224E0000}"/>
    <cellStyle name="Normal 37 3 3 2 8" xfId="32024" xr:uid="{00000000-0005-0000-0000-0000234E0000}"/>
    <cellStyle name="Normal 37 3 3 3" xfId="32026" xr:uid="{00000000-0005-0000-0000-0000244E0000}"/>
    <cellStyle name="Normal 37 3 3 3 2" xfId="11647" xr:uid="{00000000-0005-0000-0000-0000254E0000}"/>
    <cellStyle name="Normal 37 3 3 3 2 2" xfId="11652" xr:uid="{00000000-0005-0000-0000-0000264E0000}"/>
    <cellStyle name="Normal 37 3 3 3 2 2 2" xfId="32028" xr:uid="{00000000-0005-0000-0000-0000274E0000}"/>
    <cellStyle name="Normal 37 3 3 3 2 3" xfId="32030" xr:uid="{00000000-0005-0000-0000-0000284E0000}"/>
    <cellStyle name="Normal 37 3 3 3 3" xfId="11661" xr:uid="{00000000-0005-0000-0000-0000294E0000}"/>
    <cellStyle name="Normal 37 3 3 3 3 2" xfId="11666" xr:uid="{00000000-0005-0000-0000-00002A4E0000}"/>
    <cellStyle name="Normal 37 3 3 3 4" xfId="32032" xr:uid="{00000000-0005-0000-0000-00002B4E0000}"/>
    <cellStyle name="Normal 37 3 3 3 5" xfId="29397" xr:uid="{00000000-0005-0000-0000-00002C4E0000}"/>
    <cellStyle name="Normal 37 3 3 4" xfId="32034" xr:uid="{00000000-0005-0000-0000-00002D4E0000}"/>
    <cellStyle name="Normal 37 3 3 4 2" xfId="12232" xr:uid="{00000000-0005-0000-0000-00002E4E0000}"/>
    <cellStyle name="Normal 37 3 3 4 2 2" xfId="32038" xr:uid="{00000000-0005-0000-0000-00002F4E0000}"/>
    <cellStyle name="Normal 37 3 3 4 3" xfId="32040" xr:uid="{00000000-0005-0000-0000-0000304E0000}"/>
    <cellStyle name="Normal 37 3 3 5" xfId="32042" xr:uid="{00000000-0005-0000-0000-0000314E0000}"/>
    <cellStyle name="Normal 37 3 3 5 2" xfId="12245" xr:uid="{00000000-0005-0000-0000-0000324E0000}"/>
    <cellStyle name="Normal 37 3 3 5 2 2" xfId="32044" xr:uid="{00000000-0005-0000-0000-0000334E0000}"/>
    <cellStyle name="Normal 37 3 3 5 3" xfId="32046" xr:uid="{00000000-0005-0000-0000-0000344E0000}"/>
    <cellStyle name="Normal 37 3 3 6" xfId="32049" xr:uid="{00000000-0005-0000-0000-0000354E0000}"/>
    <cellStyle name="Normal 37 3 3 6 2" xfId="32051" xr:uid="{00000000-0005-0000-0000-0000364E0000}"/>
    <cellStyle name="Normal 37 3 3 7" xfId="32053" xr:uid="{00000000-0005-0000-0000-0000374E0000}"/>
    <cellStyle name="Normal 37 3 3 7 2" xfId="32055" xr:uid="{00000000-0005-0000-0000-0000384E0000}"/>
    <cellStyle name="Normal 37 3 3 8" xfId="32057" xr:uid="{00000000-0005-0000-0000-0000394E0000}"/>
    <cellStyle name="Normal 37 3 3 9" xfId="32059" xr:uid="{00000000-0005-0000-0000-00003A4E0000}"/>
    <cellStyle name="Normal 37 3 4" xfId="32061" xr:uid="{00000000-0005-0000-0000-00003B4E0000}"/>
    <cellStyle name="Normal 37 3 4 2" xfId="32063" xr:uid="{00000000-0005-0000-0000-00003C4E0000}"/>
    <cellStyle name="Normal 37 3 4 2 2" xfId="25500" xr:uid="{00000000-0005-0000-0000-00003D4E0000}"/>
    <cellStyle name="Normal 37 3 4 2 2 2" xfId="28044" xr:uid="{00000000-0005-0000-0000-00003E4E0000}"/>
    <cellStyle name="Normal 37 3 4 2 2 2 2" xfId="28052" xr:uid="{00000000-0005-0000-0000-00003F4E0000}"/>
    <cellStyle name="Normal 37 3 4 2 2 2 2 2" xfId="32065" xr:uid="{00000000-0005-0000-0000-0000404E0000}"/>
    <cellStyle name="Normal 37 3 4 2 2 2 3" xfId="32068" xr:uid="{00000000-0005-0000-0000-0000414E0000}"/>
    <cellStyle name="Normal 37 3 4 2 2 3" xfId="28058" xr:uid="{00000000-0005-0000-0000-0000424E0000}"/>
    <cellStyle name="Normal 37 3 4 2 2 3 2" xfId="32074" xr:uid="{00000000-0005-0000-0000-0000434E0000}"/>
    <cellStyle name="Normal 37 3 4 2 2 4" xfId="28066" xr:uid="{00000000-0005-0000-0000-0000444E0000}"/>
    <cellStyle name="Normal 37 3 4 2 3" xfId="32077" xr:uid="{00000000-0005-0000-0000-0000454E0000}"/>
    <cellStyle name="Normal 37 3 4 2 3 2" xfId="1264" xr:uid="{00000000-0005-0000-0000-0000464E0000}"/>
    <cellStyle name="Normal 37 3 4 2 3 2 2" xfId="32082" xr:uid="{00000000-0005-0000-0000-0000474E0000}"/>
    <cellStyle name="Normal 37 3 4 2 3 3" xfId="8489" xr:uid="{00000000-0005-0000-0000-0000484E0000}"/>
    <cellStyle name="Normal 37 3 4 2 4" xfId="32085" xr:uid="{00000000-0005-0000-0000-0000494E0000}"/>
    <cellStyle name="Normal 37 3 4 2 4 2" xfId="32087" xr:uid="{00000000-0005-0000-0000-00004A4E0000}"/>
    <cellStyle name="Normal 37 3 4 2 4 2 2" xfId="32089" xr:uid="{00000000-0005-0000-0000-00004B4E0000}"/>
    <cellStyle name="Normal 37 3 4 2 4 3" xfId="32093" xr:uid="{00000000-0005-0000-0000-00004C4E0000}"/>
    <cellStyle name="Normal 37 3 4 2 5" xfId="29409" xr:uid="{00000000-0005-0000-0000-00004D4E0000}"/>
    <cellStyle name="Normal 37 3 4 2 5 2" xfId="32095" xr:uid="{00000000-0005-0000-0000-00004E4E0000}"/>
    <cellStyle name="Normal 37 3 4 2 6" xfId="32097" xr:uid="{00000000-0005-0000-0000-00004F4E0000}"/>
    <cellStyle name="Normal 37 3 4 2 6 2" xfId="32101" xr:uid="{00000000-0005-0000-0000-0000504E0000}"/>
    <cellStyle name="Normal 37 3 4 2 7" xfId="32103" xr:uid="{00000000-0005-0000-0000-0000514E0000}"/>
    <cellStyle name="Normal 37 3 4 2 8" xfId="32105" xr:uid="{00000000-0005-0000-0000-0000524E0000}"/>
    <cellStyle name="Normal 37 3 4 3" xfId="32107" xr:uid="{00000000-0005-0000-0000-0000534E0000}"/>
    <cellStyle name="Normal 37 3 4 3 2" xfId="12252" xr:uid="{00000000-0005-0000-0000-0000544E0000}"/>
    <cellStyle name="Normal 37 3 4 3 2 2" xfId="32109" xr:uid="{00000000-0005-0000-0000-0000554E0000}"/>
    <cellStyle name="Normal 37 3 4 3 2 2 2" xfId="32113" xr:uid="{00000000-0005-0000-0000-0000564E0000}"/>
    <cellStyle name="Normal 37 3 4 3 2 3" xfId="32117" xr:uid="{00000000-0005-0000-0000-0000574E0000}"/>
    <cellStyle name="Normal 37 3 4 3 3" xfId="32119" xr:uid="{00000000-0005-0000-0000-0000584E0000}"/>
    <cellStyle name="Normal 37 3 4 3 3 2" xfId="32121" xr:uid="{00000000-0005-0000-0000-0000594E0000}"/>
    <cellStyle name="Normal 37 3 4 3 4" xfId="32123" xr:uid="{00000000-0005-0000-0000-00005A4E0000}"/>
    <cellStyle name="Normal 37 3 4 4" xfId="32127" xr:uid="{00000000-0005-0000-0000-00005B4E0000}"/>
    <cellStyle name="Normal 37 3 4 4 2" xfId="32129" xr:uid="{00000000-0005-0000-0000-00005C4E0000}"/>
    <cellStyle name="Normal 37 3 4 4 2 2" xfId="32131" xr:uid="{00000000-0005-0000-0000-00005D4E0000}"/>
    <cellStyle name="Normal 37 3 4 4 3" xfId="32133" xr:uid="{00000000-0005-0000-0000-00005E4E0000}"/>
    <cellStyle name="Normal 37 3 4 5" xfId="11768" xr:uid="{00000000-0005-0000-0000-00005F4E0000}"/>
    <cellStyle name="Normal 37 3 4 5 2" xfId="13103" xr:uid="{00000000-0005-0000-0000-0000604E0000}"/>
    <cellStyle name="Normal 37 3 4 5 2 2" xfId="9631" xr:uid="{00000000-0005-0000-0000-0000614E0000}"/>
    <cellStyle name="Normal 37 3 4 5 3" xfId="11802" xr:uid="{00000000-0005-0000-0000-0000624E0000}"/>
    <cellStyle name="Normal 37 3 4 6" xfId="6165" xr:uid="{00000000-0005-0000-0000-0000634E0000}"/>
    <cellStyle name="Normal 37 3 4 6 2" xfId="6177" xr:uid="{00000000-0005-0000-0000-0000644E0000}"/>
    <cellStyle name="Normal 37 3 4 7" xfId="6201" xr:uid="{00000000-0005-0000-0000-0000654E0000}"/>
    <cellStyle name="Normal 37 3 4 7 2" xfId="32135" xr:uid="{00000000-0005-0000-0000-0000664E0000}"/>
    <cellStyle name="Normal 37 3 4 8" xfId="6212" xr:uid="{00000000-0005-0000-0000-0000674E0000}"/>
    <cellStyle name="Normal 37 3 4 9" xfId="32137" xr:uid="{00000000-0005-0000-0000-0000684E0000}"/>
    <cellStyle name="Normal 37 3 5" xfId="32139" xr:uid="{00000000-0005-0000-0000-0000694E0000}"/>
    <cellStyle name="Normal 37 3 5 2" xfId="32141" xr:uid="{00000000-0005-0000-0000-00006A4E0000}"/>
    <cellStyle name="Normal 37 3 5 2 2" xfId="32143" xr:uid="{00000000-0005-0000-0000-00006B4E0000}"/>
    <cellStyle name="Normal 37 3 5 2 2 2" xfId="22914" xr:uid="{00000000-0005-0000-0000-00006C4E0000}"/>
    <cellStyle name="Normal 37 3 5 2 2 2 2" xfId="22917" xr:uid="{00000000-0005-0000-0000-00006D4E0000}"/>
    <cellStyle name="Normal 37 3 5 2 2 2 2 2" xfId="16673" xr:uid="{00000000-0005-0000-0000-00006E4E0000}"/>
    <cellStyle name="Normal 37 3 5 2 2 2 3" xfId="22920" xr:uid="{00000000-0005-0000-0000-00006F4E0000}"/>
    <cellStyle name="Normal 37 3 5 2 2 3" xfId="22928" xr:uid="{00000000-0005-0000-0000-0000704E0000}"/>
    <cellStyle name="Normal 37 3 5 2 2 3 2" xfId="22934" xr:uid="{00000000-0005-0000-0000-0000714E0000}"/>
    <cellStyle name="Normal 37 3 5 2 2 4" xfId="9801" xr:uid="{00000000-0005-0000-0000-0000724E0000}"/>
    <cellStyle name="Normal 37 3 5 2 3" xfId="32145" xr:uid="{00000000-0005-0000-0000-0000734E0000}"/>
    <cellStyle name="Normal 37 3 5 2 3 2" xfId="6185" xr:uid="{00000000-0005-0000-0000-0000744E0000}"/>
    <cellStyle name="Normal 37 3 5 2 3 2 2" xfId="22989" xr:uid="{00000000-0005-0000-0000-0000754E0000}"/>
    <cellStyle name="Normal 37 3 5 2 3 3" xfId="6198" xr:uid="{00000000-0005-0000-0000-0000764E0000}"/>
    <cellStyle name="Normal 37 3 5 2 4" xfId="32147" xr:uid="{00000000-0005-0000-0000-0000774E0000}"/>
    <cellStyle name="Normal 37 3 5 2 4 2" xfId="23081" xr:uid="{00000000-0005-0000-0000-0000784E0000}"/>
    <cellStyle name="Normal 37 3 5 2 4 2 2" xfId="23084" xr:uid="{00000000-0005-0000-0000-0000794E0000}"/>
    <cellStyle name="Normal 37 3 5 2 4 3" xfId="23094" xr:uid="{00000000-0005-0000-0000-00007A4E0000}"/>
    <cellStyle name="Normal 37 3 5 2 5" xfId="29417" xr:uid="{00000000-0005-0000-0000-00007B4E0000}"/>
    <cellStyle name="Normal 37 3 5 2 5 2" xfId="23155" xr:uid="{00000000-0005-0000-0000-00007C4E0000}"/>
    <cellStyle name="Normal 37 3 5 2 6" xfId="21956" xr:uid="{00000000-0005-0000-0000-00007D4E0000}"/>
    <cellStyle name="Normal 37 3 5 2 6 2" xfId="21962" xr:uid="{00000000-0005-0000-0000-00007E4E0000}"/>
    <cellStyle name="Normal 37 3 5 2 7" xfId="21988" xr:uid="{00000000-0005-0000-0000-00007F4E0000}"/>
    <cellStyle name="Normal 37 3 5 2 8" xfId="21994" xr:uid="{00000000-0005-0000-0000-0000804E0000}"/>
    <cellStyle name="Normal 37 3 5 3" xfId="32149" xr:uid="{00000000-0005-0000-0000-0000814E0000}"/>
    <cellStyle name="Normal 37 3 5 3 2" xfId="32151" xr:uid="{00000000-0005-0000-0000-0000824E0000}"/>
    <cellStyle name="Normal 37 3 5 3 2 2" xfId="23512" xr:uid="{00000000-0005-0000-0000-0000834E0000}"/>
    <cellStyle name="Normal 37 3 5 3 2 2 2" xfId="23515" xr:uid="{00000000-0005-0000-0000-0000844E0000}"/>
    <cellStyle name="Normal 37 3 5 3 2 3" xfId="23520" xr:uid="{00000000-0005-0000-0000-0000854E0000}"/>
    <cellStyle name="Normal 37 3 5 3 3" xfId="32153" xr:uid="{00000000-0005-0000-0000-0000864E0000}"/>
    <cellStyle name="Normal 37 3 5 3 3 2" xfId="23583" xr:uid="{00000000-0005-0000-0000-0000874E0000}"/>
    <cellStyle name="Normal 37 3 5 3 4" xfId="32156" xr:uid="{00000000-0005-0000-0000-0000884E0000}"/>
    <cellStyle name="Normal 37 3 5 4" xfId="32158" xr:uid="{00000000-0005-0000-0000-0000894E0000}"/>
    <cellStyle name="Normal 37 3 5 4 2" xfId="32160" xr:uid="{00000000-0005-0000-0000-00008A4E0000}"/>
    <cellStyle name="Normal 37 3 5 4 2 2" xfId="23870" xr:uid="{00000000-0005-0000-0000-00008B4E0000}"/>
    <cellStyle name="Normal 37 3 5 4 3" xfId="32162" xr:uid="{00000000-0005-0000-0000-00008C4E0000}"/>
    <cellStyle name="Normal 37 3 5 5" xfId="13115" xr:uid="{00000000-0005-0000-0000-00008D4E0000}"/>
    <cellStyle name="Normal 37 3 5 5 2" xfId="10033" xr:uid="{00000000-0005-0000-0000-00008E4E0000}"/>
    <cellStyle name="Normal 37 3 5 5 2 2" xfId="19849" xr:uid="{00000000-0005-0000-0000-00008F4E0000}"/>
    <cellStyle name="Normal 37 3 5 5 3" xfId="19882" xr:uid="{00000000-0005-0000-0000-0000904E0000}"/>
    <cellStyle name="Normal 37 3 5 6" xfId="6222" xr:uid="{00000000-0005-0000-0000-0000914E0000}"/>
    <cellStyle name="Normal 37 3 5 6 2" xfId="19931" xr:uid="{00000000-0005-0000-0000-0000924E0000}"/>
    <cellStyle name="Normal 37 3 5 7" xfId="19969" xr:uid="{00000000-0005-0000-0000-0000934E0000}"/>
    <cellStyle name="Normal 37 3 5 7 2" xfId="19972" xr:uid="{00000000-0005-0000-0000-0000944E0000}"/>
    <cellStyle name="Normal 37 3 5 8" xfId="19977" xr:uid="{00000000-0005-0000-0000-0000954E0000}"/>
    <cellStyle name="Normal 37 3 5 9" xfId="19983" xr:uid="{00000000-0005-0000-0000-0000964E0000}"/>
    <cellStyle name="Normal 37 3 6" xfId="9753" xr:uid="{00000000-0005-0000-0000-0000974E0000}"/>
    <cellStyle name="Normal 37 3 6 2" xfId="32164" xr:uid="{00000000-0005-0000-0000-0000984E0000}"/>
    <cellStyle name="Normal 37 3 6 2 2" xfId="32166" xr:uid="{00000000-0005-0000-0000-0000994E0000}"/>
    <cellStyle name="Normal 37 3 6 2 2 2" xfId="24633" xr:uid="{00000000-0005-0000-0000-00009A4E0000}"/>
    <cellStyle name="Normal 37 3 6 2 2 2 2" xfId="24638" xr:uid="{00000000-0005-0000-0000-00009B4E0000}"/>
    <cellStyle name="Normal 37 3 6 2 2 3" xfId="24656" xr:uid="{00000000-0005-0000-0000-00009C4E0000}"/>
    <cellStyle name="Normal 37 3 6 2 3" xfId="32168" xr:uid="{00000000-0005-0000-0000-00009D4E0000}"/>
    <cellStyle name="Normal 37 3 6 2 3 2" xfId="24691" xr:uid="{00000000-0005-0000-0000-00009E4E0000}"/>
    <cellStyle name="Normal 37 3 6 2 4" xfId="32170" xr:uid="{00000000-0005-0000-0000-00009F4E0000}"/>
    <cellStyle name="Normal 37 3 6 2 5" xfId="32172" xr:uid="{00000000-0005-0000-0000-0000A04E0000}"/>
    <cellStyle name="Normal 37 3 6 3" xfId="32174" xr:uid="{00000000-0005-0000-0000-0000A14E0000}"/>
    <cellStyle name="Normal 37 3 6 3 2" xfId="32176" xr:uid="{00000000-0005-0000-0000-0000A24E0000}"/>
    <cellStyle name="Normal 37 3 6 3 2 2" xfId="24903" xr:uid="{00000000-0005-0000-0000-0000A34E0000}"/>
    <cellStyle name="Normal 37 3 6 3 3" xfId="32178" xr:uid="{00000000-0005-0000-0000-0000A44E0000}"/>
    <cellStyle name="Normal 37 3 6 4" xfId="32180" xr:uid="{00000000-0005-0000-0000-0000A54E0000}"/>
    <cellStyle name="Normal 37 3 6 4 2" xfId="32182" xr:uid="{00000000-0005-0000-0000-0000A64E0000}"/>
    <cellStyle name="Normal 37 3 6 4 2 2" xfId="25091" xr:uid="{00000000-0005-0000-0000-0000A74E0000}"/>
    <cellStyle name="Normal 37 3 6 4 3" xfId="32184" xr:uid="{00000000-0005-0000-0000-0000A84E0000}"/>
    <cellStyle name="Normal 37 3 6 5" xfId="13125" xr:uid="{00000000-0005-0000-0000-0000A94E0000}"/>
    <cellStyle name="Normal 37 3 6 5 2" xfId="17111" xr:uid="{00000000-0005-0000-0000-0000AA4E0000}"/>
    <cellStyle name="Normal 37 3 6 6" xfId="1918" xr:uid="{00000000-0005-0000-0000-0000AB4E0000}"/>
    <cellStyle name="Normal 37 3 6 6 2" xfId="20047" xr:uid="{00000000-0005-0000-0000-0000AC4E0000}"/>
    <cellStyle name="Normal 37 3 6 7" xfId="20063" xr:uid="{00000000-0005-0000-0000-0000AD4E0000}"/>
    <cellStyle name="Normal 37 3 6 8" xfId="20069" xr:uid="{00000000-0005-0000-0000-0000AE4E0000}"/>
    <cellStyle name="Normal 37 3 7" xfId="32186" xr:uid="{00000000-0005-0000-0000-0000AF4E0000}"/>
    <cellStyle name="Normal 37 3 7 2" xfId="32188" xr:uid="{00000000-0005-0000-0000-0000B04E0000}"/>
    <cellStyle name="Normal 37 3 7 2 2" xfId="32190" xr:uid="{00000000-0005-0000-0000-0000B14E0000}"/>
    <cellStyle name="Normal 37 3 7 2 2 2" xfId="25415" xr:uid="{00000000-0005-0000-0000-0000B24E0000}"/>
    <cellStyle name="Normal 37 3 7 2 3" xfId="32192" xr:uid="{00000000-0005-0000-0000-0000B34E0000}"/>
    <cellStyle name="Normal 37 3 7 3" xfId="32194" xr:uid="{00000000-0005-0000-0000-0000B44E0000}"/>
    <cellStyle name="Normal 37 3 7 3 2" xfId="32196" xr:uid="{00000000-0005-0000-0000-0000B54E0000}"/>
    <cellStyle name="Normal 37 3 7 4" xfId="32198" xr:uid="{00000000-0005-0000-0000-0000B64E0000}"/>
    <cellStyle name="Normal 37 3 7 5" xfId="17117" xr:uid="{00000000-0005-0000-0000-0000B74E0000}"/>
    <cellStyle name="Normal 37 3 8" xfId="32200" xr:uid="{00000000-0005-0000-0000-0000B84E0000}"/>
    <cellStyle name="Normal 37 3 8 2" xfId="14560" xr:uid="{00000000-0005-0000-0000-0000B94E0000}"/>
    <cellStyle name="Normal 37 3 8 2 2" xfId="14565" xr:uid="{00000000-0005-0000-0000-0000BA4E0000}"/>
    <cellStyle name="Normal 37 3 8 3" xfId="14575" xr:uid="{00000000-0005-0000-0000-0000BB4E0000}"/>
    <cellStyle name="Normal 37 3 9" xfId="32202" xr:uid="{00000000-0005-0000-0000-0000BC4E0000}"/>
    <cellStyle name="Normal 37 3 9 2" xfId="14855" xr:uid="{00000000-0005-0000-0000-0000BD4E0000}"/>
    <cellStyle name="Normal 37 3 9 2 2" xfId="14861" xr:uid="{00000000-0005-0000-0000-0000BE4E0000}"/>
    <cellStyle name="Normal 37 3 9 3" xfId="14868" xr:uid="{00000000-0005-0000-0000-0000BF4E0000}"/>
    <cellStyle name="Normal 37 4" xfId="32204" xr:uid="{00000000-0005-0000-0000-0000C04E0000}"/>
    <cellStyle name="Normal 37 4 10" xfId="16286" xr:uid="{00000000-0005-0000-0000-0000C14E0000}"/>
    <cellStyle name="Normal 37 4 10 2" xfId="31234" xr:uid="{00000000-0005-0000-0000-0000C24E0000}"/>
    <cellStyle name="Normal 37 4 11" xfId="17227" xr:uid="{00000000-0005-0000-0000-0000C34E0000}"/>
    <cellStyle name="Normal 37 4 11 2" xfId="32206" xr:uid="{00000000-0005-0000-0000-0000C44E0000}"/>
    <cellStyle name="Normal 37 4 12" xfId="32208" xr:uid="{00000000-0005-0000-0000-0000C54E0000}"/>
    <cellStyle name="Normal 37 4 12 2" xfId="32210" xr:uid="{00000000-0005-0000-0000-0000C64E0000}"/>
    <cellStyle name="Normal 37 4 13" xfId="32212" xr:uid="{00000000-0005-0000-0000-0000C74E0000}"/>
    <cellStyle name="Normal 37 4 14" xfId="32214" xr:uid="{00000000-0005-0000-0000-0000C84E0000}"/>
    <cellStyle name="Normal 37 4 2" xfId="32216" xr:uid="{00000000-0005-0000-0000-0000C94E0000}"/>
    <cellStyle name="Normal 37 4 2 10" xfId="7767" xr:uid="{00000000-0005-0000-0000-0000CA4E0000}"/>
    <cellStyle name="Normal 37 4 2 2" xfId="32218" xr:uid="{00000000-0005-0000-0000-0000CB4E0000}"/>
    <cellStyle name="Normal 37 4 2 2 2" xfId="23248" xr:uid="{00000000-0005-0000-0000-0000CC4E0000}"/>
    <cellStyle name="Normal 37 4 2 2 2 2" xfId="32221" xr:uid="{00000000-0005-0000-0000-0000CD4E0000}"/>
    <cellStyle name="Normal 37 4 2 2 2 2 2" xfId="14827" xr:uid="{00000000-0005-0000-0000-0000CE4E0000}"/>
    <cellStyle name="Normal 37 4 2 2 2 2 2 2" xfId="92" xr:uid="{00000000-0005-0000-0000-0000CF4E0000}"/>
    <cellStyle name="Normal 37 4 2 2 2 2 2 2 2" xfId="32224" xr:uid="{00000000-0005-0000-0000-0000D04E0000}"/>
    <cellStyle name="Normal 37 4 2 2 2 2 2 3" xfId="32226" xr:uid="{00000000-0005-0000-0000-0000D14E0000}"/>
    <cellStyle name="Normal 37 4 2 2 2 2 3" xfId="9524" xr:uid="{00000000-0005-0000-0000-0000D24E0000}"/>
    <cellStyle name="Normal 37 4 2 2 2 2 3 2" xfId="9527" xr:uid="{00000000-0005-0000-0000-0000D34E0000}"/>
    <cellStyle name="Normal 37 4 2 2 2 2 4" xfId="9537" xr:uid="{00000000-0005-0000-0000-0000D44E0000}"/>
    <cellStyle name="Normal 37 4 2 2 2 3" xfId="32229" xr:uid="{00000000-0005-0000-0000-0000D54E0000}"/>
    <cellStyle name="Normal 37 4 2 2 2 3 2" xfId="14836" xr:uid="{00000000-0005-0000-0000-0000D64E0000}"/>
    <cellStyle name="Normal 37 4 2 2 2 3 2 2" xfId="14839" xr:uid="{00000000-0005-0000-0000-0000D74E0000}"/>
    <cellStyle name="Normal 37 4 2 2 2 3 3" xfId="9542" xr:uid="{00000000-0005-0000-0000-0000D84E0000}"/>
    <cellStyle name="Normal 37 4 2 2 2 4" xfId="23142" xr:uid="{00000000-0005-0000-0000-0000D94E0000}"/>
    <cellStyle name="Normal 37 4 2 2 2 4 2" xfId="14852" xr:uid="{00000000-0005-0000-0000-0000DA4E0000}"/>
    <cellStyle name="Normal 37 4 2 2 2 4 2 2" xfId="32231" xr:uid="{00000000-0005-0000-0000-0000DB4E0000}"/>
    <cellStyle name="Normal 37 4 2 2 2 4 3" xfId="9563" xr:uid="{00000000-0005-0000-0000-0000DC4E0000}"/>
    <cellStyle name="Normal 37 4 2 2 2 5" xfId="32233" xr:uid="{00000000-0005-0000-0000-0000DD4E0000}"/>
    <cellStyle name="Normal 37 4 2 2 2 5 2" xfId="32235" xr:uid="{00000000-0005-0000-0000-0000DE4E0000}"/>
    <cellStyle name="Normal 37 4 2 2 2 6" xfId="32239" xr:uid="{00000000-0005-0000-0000-0000DF4E0000}"/>
    <cellStyle name="Normal 37 4 2 2 2 6 2" xfId="32241" xr:uid="{00000000-0005-0000-0000-0000E04E0000}"/>
    <cellStyle name="Normal 37 4 2 2 2 7" xfId="32244" xr:uid="{00000000-0005-0000-0000-0000E14E0000}"/>
    <cellStyle name="Normal 37 4 2 2 2 8" xfId="6788" xr:uid="{00000000-0005-0000-0000-0000E24E0000}"/>
    <cellStyle name="Normal 37 4 2 2 3" xfId="32251" xr:uid="{00000000-0005-0000-0000-0000E34E0000}"/>
    <cellStyle name="Normal 37 4 2 2 3 2" xfId="32253" xr:uid="{00000000-0005-0000-0000-0000E44E0000}"/>
    <cellStyle name="Normal 37 4 2 2 3 2 2" xfId="14947" xr:uid="{00000000-0005-0000-0000-0000E54E0000}"/>
    <cellStyle name="Normal 37 4 2 2 3 2 2 2" xfId="10886" xr:uid="{00000000-0005-0000-0000-0000E64E0000}"/>
    <cellStyle name="Normal 37 4 2 2 3 2 3" xfId="32255" xr:uid="{00000000-0005-0000-0000-0000E74E0000}"/>
    <cellStyle name="Normal 37 4 2 2 3 3" xfId="32257" xr:uid="{00000000-0005-0000-0000-0000E84E0000}"/>
    <cellStyle name="Normal 37 4 2 2 3 3 2" xfId="32259" xr:uid="{00000000-0005-0000-0000-0000E94E0000}"/>
    <cellStyle name="Normal 37 4 2 2 3 4" xfId="31811" xr:uid="{00000000-0005-0000-0000-0000EA4E0000}"/>
    <cellStyle name="Normal 37 4 2 2 4" xfId="12662" xr:uid="{00000000-0005-0000-0000-0000EB4E0000}"/>
    <cellStyle name="Normal 37 4 2 2 4 2" xfId="32261" xr:uid="{00000000-0005-0000-0000-0000EC4E0000}"/>
    <cellStyle name="Normal 37 4 2 2 4 2 2" xfId="15049" xr:uid="{00000000-0005-0000-0000-0000ED4E0000}"/>
    <cellStyle name="Normal 37 4 2 2 4 3" xfId="32263" xr:uid="{00000000-0005-0000-0000-0000EE4E0000}"/>
    <cellStyle name="Normal 37 4 2 2 5" xfId="21354" xr:uid="{00000000-0005-0000-0000-0000EF4E0000}"/>
    <cellStyle name="Normal 37 4 2 2 5 2" xfId="32265" xr:uid="{00000000-0005-0000-0000-0000F04E0000}"/>
    <cellStyle name="Normal 37 4 2 2 5 2 2" xfId="15107" xr:uid="{00000000-0005-0000-0000-0000F14E0000}"/>
    <cellStyle name="Normal 37 4 2 2 5 3" xfId="32267" xr:uid="{00000000-0005-0000-0000-0000F24E0000}"/>
    <cellStyle name="Normal 37 4 2 2 6" xfId="32269" xr:uid="{00000000-0005-0000-0000-0000F34E0000}"/>
    <cellStyle name="Normal 37 4 2 2 6 2" xfId="32271" xr:uid="{00000000-0005-0000-0000-0000F44E0000}"/>
    <cellStyle name="Normal 37 4 2 2 7" xfId="32273" xr:uid="{00000000-0005-0000-0000-0000F54E0000}"/>
    <cellStyle name="Normal 37 4 2 2 7 2" xfId="32275" xr:uid="{00000000-0005-0000-0000-0000F64E0000}"/>
    <cellStyle name="Normal 37 4 2 2 8" xfId="14360" xr:uid="{00000000-0005-0000-0000-0000F74E0000}"/>
    <cellStyle name="Normal 37 4 2 2 9" xfId="24342" xr:uid="{00000000-0005-0000-0000-0000F84E0000}"/>
    <cellStyle name="Normal 37 4 2 3" xfId="32278" xr:uid="{00000000-0005-0000-0000-0000F94E0000}"/>
    <cellStyle name="Normal 37 4 2 3 2" xfId="32280" xr:uid="{00000000-0005-0000-0000-0000FA4E0000}"/>
    <cellStyle name="Normal 37 4 2 3 2 2" xfId="27943" xr:uid="{00000000-0005-0000-0000-0000FB4E0000}"/>
    <cellStyle name="Normal 37 4 2 3 2 2 2" xfId="15441" xr:uid="{00000000-0005-0000-0000-0000FC4E0000}"/>
    <cellStyle name="Normal 37 4 2 3 2 2 2 2" xfId="18474" xr:uid="{00000000-0005-0000-0000-0000FD4E0000}"/>
    <cellStyle name="Normal 37 4 2 3 2 2 3" xfId="19275" xr:uid="{00000000-0005-0000-0000-0000FE4E0000}"/>
    <cellStyle name="Normal 37 4 2 3 2 3" xfId="32282" xr:uid="{00000000-0005-0000-0000-0000FF4E0000}"/>
    <cellStyle name="Normal 37 4 2 3 2 3 2" xfId="19326" xr:uid="{00000000-0005-0000-0000-0000004F0000}"/>
    <cellStyle name="Normal 37 4 2 3 2 4" xfId="32285" xr:uid="{00000000-0005-0000-0000-0000014F0000}"/>
    <cellStyle name="Normal 37 4 2 3 3" xfId="32287" xr:uid="{00000000-0005-0000-0000-0000024F0000}"/>
    <cellStyle name="Normal 37 4 2 3 3 2" xfId="32289" xr:uid="{00000000-0005-0000-0000-0000034F0000}"/>
    <cellStyle name="Normal 37 4 2 3 3 2 2" xfId="15543" xr:uid="{00000000-0005-0000-0000-0000044F0000}"/>
    <cellStyle name="Normal 37 4 2 3 3 3" xfId="32291" xr:uid="{00000000-0005-0000-0000-0000054F0000}"/>
    <cellStyle name="Normal 37 4 2 3 4" xfId="12668" xr:uid="{00000000-0005-0000-0000-0000064F0000}"/>
    <cellStyle name="Normal 37 4 2 3 4 2" xfId="19491" xr:uid="{00000000-0005-0000-0000-0000074F0000}"/>
    <cellStyle name="Normal 37 4 2 3 4 2 2" xfId="15601" xr:uid="{00000000-0005-0000-0000-0000084F0000}"/>
    <cellStyle name="Normal 37 4 2 3 4 3" xfId="32293" xr:uid="{00000000-0005-0000-0000-0000094F0000}"/>
    <cellStyle name="Normal 37 4 2 3 5" xfId="8678" xr:uid="{00000000-0005-0000-0000-00000A4F0000}"/>
    <cellStyle name="Normal 37 4 2 3 5 2" xfId="3319" xr:uid="{00000000-0005-0000-0000-00000B4F0000}"/>
    <cellStyle name="Normal 37 4 2 3 6" xfId="2612" xr:uid="{00000000-0005-0000-0000-00000C4F0000}"/>
    <cellStyle name="Normal 37 4 2 3 6 2" xfId="61" xr:uid="{00000000-0005-0000-0000-00000D4F0000}"/>
    <cellStyle name="Normal 37 4 2 3 7" xfId="4917" xr:uid="{00000000-0005-0000-0000-00000E4F0000}"/>
    <cellStyle name="Normal 37 4 2 3 8" xfId="4758" xr:uid="{00000000-0005-0000-0000-00000F4F0000}"/>
    <cellStyle name="Normal 37 4 2 4" xfId="32295" xr:uid="{00000000-0005-0000-0000-0000104F0000}"/>
    <cellStyle name="Normal 37 4 2 4 2" xfId="32297" xr:uid="{00000000-0005-0000-0000-0000114F0000}"/>
    <cellStyle name="Normal 37 4 2 4 2 2" xfId="32299" xr:uid="{00000000-0005-0000-0000-0000124F0000}"/>
    <cellStyle name="Normal 37 4 2 4 2 2 2" xfId="32301" xr:uid="{00000000-0005-0000-0000-0000134F0000}"/>
    <cellStyle name="Normal 37 4 2 4 2 3" xfId="32303" xr:uid="{00000000-0005-0000-0000-0000144F0000}"/>
    <cellStyle name="Normal 37 4 2 4 3" xfId="32305" xr:uid="{00000000-0005-0000-0000-0000154F0000}"/>
    <cellStyle name="Normal 37 4 2 4 3 2" xfId="32307" xr:uid="{00000000-0005-0000-0000-0000164F0000}"/>
    <cellStyle name="Normal 37 4 2 4 4" xfId="32309" xr:uid="{00000000-0005-0000-0000-0000174F0000}"/>
    <cellStyle name="Normal 37 4 2 5" xfId="32311" xr:uid="{00000000-0005-0000-0000-0000184F0000}"/>
    <cellStyle name="Normal 37 4 2 5 2" xfId="32313" xr:uid="{00000000-0005-0000-0000-0000194F0000}"/>
    <cellStyle name="Normal 37 4 2 5 2 2" xfId="32315" xr:uid="{00000000-0005-0000-0000-00001A4F0000}"/>
    <cellStyle name="Normal 37 4 2 5 3" xfId="32318" xr:uid="{00000000-0005-0000-0000-00001B4F0000}"/>
    <cellStyle name="Normal 37 4 2 6" xfId="31821" xr:uid="{00000000-0005-0000-0000-00001C4F0000}"/>
    <cellStyle name="Normal 37 4 2 6 2" xfId="32321" xr:uid="{00000000-0005-0000-0000-00001D4F0000}"/>
    <cellStyle name="Normal 37 4 2 6 2 2" xfId="32323" xr:uid="{00000000-0005-0000-0000-00001E4F0000}"/>
    <cellStyle name="Normal 37 4 2 6 3" xfId="32325" xr:uid="{00000000-0005-0000-0000-00001F4F0000}"/>
    <cellStyle name="Normal 37 4 2 7" xfId="32327" xr:uid="{00000000-0005-0000-0000-0000204F0000}"/>
    <cellStyle name="Normal 37 4 2 7 2" xfId="32329" xr:uid="{00000000-0005-0000-0000-0000214F0000}"/>
    <cellStyle name="Normal 37 4 2 8" xfId="32331" xr:uid="{00000000-0005-0000-0000-0000224F0000}"/>
    <cellStyle name="Normal 37 4 2 8 2" xfId="32333" xr:uid="{00000000-0005-0000-0000-0000234F0000}"/>
    <cellStyle name="Normal 37 4 2 9" xfId="28049" xr:uid="{00000000-0005-0000-0000-0000244F0000}"/>
    <cellStyle name="Normal 37 4 3" xfId="32335" xr:uid="{00000000-0005-0000-0000-0000254F0000}"/>
    <cellStyle name="Normal 37 4 3 2" xfId="32337" xr:uid="{00000000-0005-0000-0000-0000264F0000}"/>
    <cellStyle name="Normal 37 4 3 2 2" xfId="32339" xr:uid="{00000000-0005-0000-0000-0000274F0000}"/>
    <cellStyle name="Normal 37 4 3 2 2 2" xfId="32343" xr:uid="{00000000-0005-0000-0000-0000284F0000}"/>
    <cellStyle name="Normal 37 4 3 2 2 2 2" xfId="32346" xr:uid="{00000000-0005-0000-0000-0000294F0000}"/>
    <cellStyle name="Normal 37 4 3 2 2 2 2 2" xfId="32348" xr:uid="{00000000-0005-0000-0000-00002A4F0000}"/>
    <cellStyle name="Normal 37 4 3 2 2 2 3" xfId="32351" xr:uid="{00000000-0005-0000-0000-00002B4F0000}"/>
    <cellStyle name="Normal 37 4 3 2 2 3" xfId="32354" xr:uid="{00000000-0005-0000-0000-00002C4F0000}"/>
    <cellStyle name="Normal 37 4 3 2 2 3 2" xfId="32356" xr:uid="{00000000-0005-0000-0000-00002D4F0000}"/>
    <cellStyle name="Normal 37 4 3 2 2 4" xfId="14846" xr:uid="{00000000-0005-0000-0000-00002E4F0000}"/>
    <cellStyle name="Normal 37 4 3 2 2 5" xfId="14850" xr:uid="{00000000-0005-0000-0000-00002F4F0000}"/>
    <cellStyle name="Normal 37 4 3 2 3" xfId="32358" xr:uid="{00000000-0005-0000-0000-0000304F0000}"/>
    <cellStyle name="Normal 37 4 3 2 3 2" xfId="32362" xr:uid="{00000000-0005-0000-0000-0000314F0000}"/>
    <cellStyle name="Normal 37 4 3 2 3 2 2" xfId="32365" xr:uid="{00000000-0005-0000-0000-0000324F0000}"/>
    <cellStyle name="Normal 37 4 3 2 3 3" xfId="32368" xr:uid="{00000000-0005-0000-0000-0000334F0000}"/>
    <cellStyle name="Normal 37 4 3 2 4" xfId="12554" xr:uid="{00000000-0005-0000-0000-0000344F0000}"/>
    <cellStyle name="Normal 37 4 3 2 4 2" xfId="32371" xr:uid="{00000000-0005-0000-0000-0000354F0000}"/>
    <cellStyle name="Normal 37 4 3 2 4 2 2" xfId="32373" xr:uid="{00000000-0005-0000-0000-0000364F0000}"/>
    <cellStyle name="Normal 37 4 3 2 4 3" xfId="32376" xr:uid="{00000000-0005-0000-0000-0000374F0000}"/>
    <cellStyle name="Normal 37 4 3 2 5" xfId="32380" xr:uid="{00000000-0005-0000-0000-0000384F0000}"/>
    <cellStyle name="Normal 37 4 3 2 5 2" xfId="32385" xr:uid="{00000000-0005-0000-0000-0000394F0000}"/>
    <cellStyle name="Normal 37 4 3 2 6" xfId="32389" xr:uid="{00000000-0005-0000-0000-00003A4F0000}"/>
    <cellStyle name="Normal 37 4 3 2 6 2" xfId="32394" xr:uid="{00000000-0005-0000-0000-00003B4F0000}"/>
    <cellStyle name="Normal 37 4 3 2 7" xfId="32398" xr:uid="{00000000-0005-0000-0000-00003C4F0000}"/>
    <cellStyle name="Normal 37 4 3 2 8" xfId="32400" xr:uid="{00000000-0005-0000-0000-00003D4F0000}"/>
    <cellStyle name="Normal 37 4 3 3" xfId="25989" xr:uid="{00000000-0005-0000-0000-00003E4F0000}"/>
    <cellStyle name="Normal 37 4 3 3 2" xfId="8595" xr:uid="{00000000-0005-0000-0000-00003F4F0000}"/>
    <cellStyle name="Normal 37 4 3 3 2 2" xfId="12299" xr:uid="{00000000-0005-0000-0000-0000404F0000}"/>
    <cellStyle name="Normal 37 4 3 3 2 2 2" xfId="32402" xr:uid="{00000000-0005-0000-0000-0000414F0000}"/>
    <cellStyle name="Normal 37 4 3 3 2 3" xfId="32404" xr:uid="{00000000-0005-0000-0000-0000424F0000}"/>
    <cellStyle name="Normal 37 4 3 3 3" xfId="12302" xr:uid="{00000000-0005-0000-0000-0000434F0000}"/>
    <cellStyle name="Normal 37 4 3 3 3 2" xfId="32406" xr:uid="{00000000-0005-0000-0000-0000444F0000}"/>
    <cellStyle name="Normal 37 4 3 3 4" xfId="32408" xr:uid="{00000000-0005-0000-0000-0000454F0000}"/>
    <cellStyle name="Normal 37 4 3 3 5" xfId="1219" xr:uid="{00000000-0005-0000-0000-0000464F0000}"/>
    <cellStyle name="Normal 37 4 3 4" xfId="32410" xr:uid="{00000000-0005-0000-0000-0000474F0000}"/>
    <cellStyle name="Normal 37 4 3 4 2" xfId="1762" xr:uid="{00000000-0005-0000-0000-0000484F0000}"/>
    <cellStyle name="Normal 37 4 3 4 2 2" xfId="32412" xr:uid="{00000000-0005-0000-0000-0000494F0000}"/>
    <cellStyle name="Normal 37 4 3 4 3" xfId="32414" xr:uid="{00000000-0005-0000-0000-00004A4F0000}"/>
    <cellStyle name="Normal 37 4 3 5" xfId="32416" xr:uid="{00000000-0005-0000-0000-00004B4F0000}"/>
    <cellStyle name="Normal 37 4 3 5 2" xfId="1752" xr:uid="{00000000-0005-0000-0000-00004C4F0000}"/>
    <cellStyle name="Normal 37 4 3 5 2 2" xfId="18608" xr:uid="{00000000-0005-0000-0000-00004D4F0000}"/>
    <cellStyle name="Normal 37 4 3 5 3" xfId="32418" xr:uid="{00000000-0005-0000-0000-00004E4F0000}"/>
    <cellStyle name="Normal 37 4 3 6" xfId="32422" xr:uid="{00000000-0005-0000-0000-00004F4F0000}"/>
    <cellStyle name="Normal 37 4 3 6 2" xfId="32424" xr:uid="{00000000-0005-0000-0000-0000504F0000}"/>
    <cellStyle name="Normal 37 4 3 7" xfId="32426" xr:uid="{00000000-0005-0000-0000-0000514F0000}"/>
    <cellStyle name="Normal 37 4 3 7 2" xfId="32428" xr:uid="{00000000-0005-0000-0000-0000524F0000}"/>
    <cellStyle name="Normal 37 4 3 8" xfId="32430" xr:uid="{00000000-0005-0000-0000-0000534F0000}"/>
    <cellStyle name="Normal 37 4 3 9" xfId="32070" xr:uid="{00000000-0005-0000-0000-0000544F0000}"/>
    <cellStyle name="Normal 37 4 4" xfId="32432" xr:uid="{00000000-0005-0000-0000-0000554F0000}"/>
    <cellStyle name="Normal 37 4 4 2" xfId="32434" xr:uid="{00000000-0005-0000-0000-0000564F0000}"/>
    <cellStyle name="Normal 37 4 4 2 2" xfId="32436" xr:uid="{00000000-0005-0000-0000-0000574F0000}"/>
    <cellStyle name="Normal 37 4 4 2 2 2" xfId="28524" xr:uid="{00000000-0005-0000-0000-0000584F0000}"/>
    <cellStyle name="Normal 37 4 4 2 2 2 2" xfId="28529" xr:uid="{00000000-0005-0000-0000-0000594F0000}"/>
    <cellStyle name="Normal 37 4 4 2 2 2 2 2" xfId="32438" xr:uid="{00000000-0005-0000-0000-00005A4F0000}"/>
    <cellStyle name="Normal 37 4 4 2 2 2 3" xfId="15691" xr:uid="{00000000-0005-0000-0000-00005B4F0000}"/>
    <cellStyle name="Normal 37 4 4 2 2 3" xfId="21033" xr:uid="{00000000-0005-0000-0000-00005C4F0000}"/>
    <cellStyle name="Normal 37 4 4 2 2 3 2" xfId="21038" xr:uid="{00000000-0005-0000-0000-00005D4F0000}"/>
    <cellStyle name="Normal 37 4 4 2 2 4" xfId="15465" xr:uid="{00000000-0005-0000-0000-00005E4F0000}"/>
    <cellStyle name="Normal 37 4 4 2 3" xfId="32440" xr:uid="{00000000-0005-0000-0000-00005F4F0000}"/>
    <cellStyle name="Normal 37 4 4 2 3 2" xfId="32442" xr:uid="{00000000-0005-0000-0000-0000604F0000}"/>
    <cellStyle name="Normal 37 4 4 2 3 2 2" xfId="32444" xr:uid="{00000000-0005-0000-0000-0000614F0000}"/>
    <cellStyle name="Normal 37 4 4 2 3 3" xfId="21046" xr:uid="{00000000-0005-0000-0000-0000624F0000}"/>
    <cellStyle name="Normal 37 4 4 2 4" xfId="22230" xr:uid="{00000000-0005-0000-0000-0000634F0000}"/>
    <cellStyle name="Normal 37 4 4 2 4 2" xfId="32446" xr:uid="{00000000-0005-0000-0000-0000644F0000}"/>
    <cellStyle name="Normal 37 4 4 2 4 2 2" xfId="32448" xr:uid="{00000000-0005-0000-0000-0000654F0000}"/>
    <cellStyle name="Normal 37 4 4 2 4 3" xfId="32450" xr:uid="{00000000-0005-0000-0000-0000664F0000}"/>
    <cellStyle name="Normal 37 4 4 2 5" xfId="21385" xr:uid="{00000000-0005-0000-0000-0000674F0000}"/>
    <cellStyle name="Normal 37 4 4 2 5 2" xfId="32454" xr:uid="{00000000-0005-0000-0000-0000684F0000}"/>
    <cellStyle name="Normal 37 4 4 2 6" xfId="32458" xr:uid="{00000000-0005-0000-0000-0000694F0000}"/>
    <cellStyle name="Normal 37 4 4 2 6 2" xfId="32461" xr:uid="{00000000-0005-0000-0000-00006A4F0000}"/>
    <cellStyle name="Normal 37 4 4 2 7" xfId="32463" xr:uid="{00000000-0005-0000-0000-00006B4F0000}"/>
    <cellStyle name="Normal 37 4 4 2 8" xfId="32465" xr:uid="{00000000-0005-0000-0000-00006C4F0000}"/>
    <cellStyle name="Normal 37 4 4 3" xfId="32467" xr:uid="{00000000-0005-0000-0000-00006D4F0000}"/>
    <cellStyle name="Normal 37 4 4 3 2" xfId="12331" xr:uid="{00000000-0005-0000-0000-00006E4F0000}"/>
    <cellStyle name="Normal 37 4 4 3 2 2" xfId="32469" xr:uid="{00000000-0005-0000-0000-00006F4F0000}"/>
    <cellStyle name="Normal 37 4 4 3 2 2 2" xfId="7750" xr:uid="{00000000-0005-0000-0000-0000704F0000}"/>
    <cellStyle name="Normal 37 4 4 3 2 3" xfId="21190" xr:uid="{00000000-0005-0000-0000-0000714F0000}"/>
    <cellStyle name="Normal 37 4 4 3 3" xfId="32471" xr:uid="{00000000-0005-0000-0000-0000724F0000}"/>
    <cellStyle name="Normal 37 4 4 3 3 2" xfId="32473" xr:uid="{00000000-0005-0000-0000-0000734F0000}"/>
    <cellStyle name="Normal 37 4 4 3 4" xfId="32475" xr:uid="{00000000-0005-0000-0000-0000744F0000}"/>
    <cellStyle name="Normal 37 4 4 4" xfId="32477" xr:uid="{00000000-0005-0000-0000-0000754F0000}"/>
    <cellStyle name="Normal 37 4 4 4 2" xfId="32479" xr:uid="{00000000-0005-0000-0000-0000764F0000}"/>
    <cellStyle name="Normal 37 4 4 4 2 2" xfId="32481" xr:uid="{00000000-0005-0000-0000-0000774F0000}"/>
    <cellStyle name="Normal 37 4 4 4 3" xfId="32483" xr:uid="{00000000-0005-0000-0000-0000784F0000}"/>
    <cellStyle name="Normal 37 4 4 5" xfId="13156" xr:uid="{00000000-0005-0000-0000-0000794F0000}"/>
    <cellStyle name="Normal 37 4 4 5 2" xfId="15974" xr:uid="{00000000-0005-0000-0000-00007A4F0000}"/>
    <cellStyle name="Normal 37 4 4 5 2 2" xfId="32485" xr:uid="{00000000-0005-0000-0000-00007B4F0000}"/>
    <cellStyle name="Normal 37 4 4 5 3" xfId="32487" xr:uid="{00000000-0005-0000-0000-00007C4F0000}"/>
    <cellStyle name="Normal 37 4 4 6" xfId="17121" xr:uid="{00000000-0005-0000-0000-00007D4F0000}"/>
    <cellStyle name="Normal 37 4 4 6 2" xfId="32489" xr:uid="{00000000-0005-0000-0000-00007E4F0000}"/>
    <cellStyle name="Normal 37 4 4 7" xfId="32491" xr:uid="{00000000-0005-0000-0000-00007F4F0000}"/>
    <cellStyle name="Normal 37 4 4 7 2" xfId="32493" xr:uid="{00000000-0005-0000-0000-0000804F0000}"/>
    <cellStyle name="Normal 37 4 4 8" xfId="32495" xr:uid="{00000000-0005-0000-0000-0000814F0000}"/>
    <cellStyle name="Normal 37 4 4 9" xfId="32497" xr:uid="{00000000-0005-0000-0000-0000824F0000}"/>
    <cellStyle name="Normal 37 4 5" xfId="32501" xr:uid="{00000000-0005-0000-0000-0000834F0000}"/>
    <cellStyle name="Normal 37 4 5 2" xfId="32503" xr:uid="{00000000-0005-0000-0000-0000844F0000}"/>
    <cellStyle name="Normal 37 4 5 2 2" xfId="32505" xr:uid="{00000000-0005-0000-0000-0000854F0000}"/>
    <cellStyle name="Normal 37 4 5 2 2 2" xfId="31451" xr:uid="{00000000-0005-0000-0000-0000864F0000}"/>
    <cellStyle name="Normal 37 4 5 2 2 2 2" xfId="32507" xr:uid="{00000000-0005-0000-0000-0000874F0000}"/>
    <cellStyle name="Normal 37 4 5 2 2 2 2 2" xfId="6512" xr:uid="{00000000-0005-0000-0000-0000884F0000}"/>
    <cellStyle name="Normal 37 4 5 2 2 2 3" xfId="15579" xr:uid="{00000000-0005-0000-0000-0000894F0000}"/>
    <cellStyle name="Normal 37 4 5 2 2 3" xfId="32511" xr:uid="{00000000-0005-0000-0000-00008A4F0000}"/>
    <cellStyle name="Normal 37 4 5 2 2 3 2" xfId="32513" xr:uid="{00000000-0005-0000-0000-00008B4F0000}"/>
    <cellStyle name="Normal 37 4 5 2 2 4" xfId="32515" xr:uid="{00000000-0005-0000-0000-00008C4F0000}"/>
    <cellStyle name="Normal 37 4 5 2 3" xfId="32517" xr:uid="{00000000-0005-0000-0000-00008D4F0000}"/>
    <cellStyle name="Normal 37 4 5 2 3 2" xfId="32519" xr:uid="{00000000-0005-0000-0000-00008E4F0000}"/>
    <cellStyle name="Normal 37 4 5 2 3 2 2" xfId="31661" xr:uid="{00000000-0005-0000-0000-00008F4F0000}"/>
    <cellStyle name="Normal 37 4 5 2 3 3" xfId="32521" xr:uid="{00000000-0005-0000-0000-0000904F0000}"/>
    <cellStyle name="Normal 37 4 5 2 4" xfId="32523" xr:uid="{00000000-0005-0000-0000-0000914F0000}"/>
    <cellStyle name="Normal 37 4 5 2 4 2" xfId="32527" xr:uid="{00000000-0005-0000-0000-0000924F0000}"/>
    <cellStyle name="Normal 37 4 5 2 4 2 2" xfId="32125" xr:uid="{00000000-0005-0000-0000-0000934F0000}"/>
    <cellStyle name="Normal 37 4 5 2 4 3" xfId="32529" xr:uid="{00000000-0005-0000-0000-0000944F0000}"/>
    <cellStyle name="Normal 37 4 5 2 5" xfId="32533" xr:uid="{00000000-0005-0000-0000-0000954F0000}"/>
    <cellStyle name="Normal 37 4 5 2 5 2" xfId="32535" xr:uid="{00000000-0005-0000-0000-0000964F0000}"/>
    <cellStyle name="Normal 37 4 5 2 6" xfId="10753" xr:uid="{00000000-0005-0000-0000-0000974F0000}"/>
    <cellStyle name="Normal 37 4 5 2 6 2" xfId="22586" xr:uid="{00000000-0005-0000-0000-0000984F0000}"/>
    <cellStyle name="Normal 37 4 5 2 7" xfId="22589" xr:uid="{00000000-0005-0000-0000-0000994F0000}"/>
    <cellStyle name="Normal 37 4 5 2 8" xfId="22594" xr:uid="{00000000-0005-0000-0000-00009A4F0000}"/>
    <cellStyle name="Normal 37 4 5 3" xfId="32537" xr:uid="{00000000-0005-0000-0000-00009B4F0000}"/>
    <cellStyle name="Normal 37 4 5 3 2" xfId="32539" xr:uid="{00000000-0005-0000-0000-00009C4F0000}"/>
    <cellStyle name="Normal 37 4 5 3 2 2" xfId="32541" xr:uid="{00000000-0005-0000-0000-00009D4F0000}"/>
    <cellStyle name="Normal 37 4 5 3 2 2 2" xfId="32543" xr:uid="{00000000-0005-0000-0000-00009E4F0000}"/>
    <cellStyle name="Normal 37 4 5 3 2 3" xfId="32545" xr:uid="{00000000-0005-0000-0000-00009F4F0000}"/>
    <cellStyle name="Normal 37 4 5 3 3" xfId="32547" xr:uid="{00000000-0005-0000-0000-0000A04F0000}"/>
    <cellStyle name="Normal 37 4 5 3 3 2" xfId="32549" xr:uid="{00000000-0005-0000-0000-0000A14F0000}"/>
    <cellStyle name="Normal 37 4 5 3 4" xfId="32551" xr:uid="{00000000-0005-0000-0000-0000A24F0000}"/>
    <cellStyle name="Normal 37 4 5 4" xfId="13164" xr:uid="{00000000-0005-0000-0000-0000A34F0000}"/>
    <cellStyle name="Normal 37 4 5 4 2" xfId="32553" xr:uid="{00000000-0005-0000-0000-0000A44F0000}"/>
    <cellStyle name="Normal 37 4 5 4 2 2" xfId="32555" xr:uid="{00000000-0005-0000-0000-0000A54F0000}"/>
    <cellStyle name="Normal 37 4 5 4 3" xfId="32557" xr:uid="{00000000-0005-0000-0000-0000A64F0000}"/>
    <cellStyle name="Normal 37 4 5 5" xfId="13174" xr:uid="{00000000-0005-0000-0000-0000A74F0000}"/>
    <cellStyle name="Normal 37 4 5 5 2" xfId="32559" xr:uid="{00000000-0005-0000-0000-0000A84F0000}"/>
    <cellStyle name="Normal 37 4 5 5 2 2" xfId="32561" xr:uid="{00000000-0005-0000-0000-0000A94F0000}"/>
    <cellStyle name="Normal 37 4 5 5 3" xfId="32563" xr:uid="{00000000-0005-0000-0000-0000AA4F0000}"/>
    <cellStyle name="Normal 37 4 5 6" xfId="32565" xr:uid="{00000000-0005-0000-0000-0000AB4F0000}"/>
    <cellStyle name="Normal 37 4 5 6 2" xfId="32567" xr:uid="{00000000-0005-0000-0000-0000AC4F0000}"/>
    <cellStyle name="Normal 37 4 5 7" xfId="32569" xr:uid="{00000000-0005-0000-0000-0000AD4F0000}"/>
    <cellStyle name="Normal 37 4 5 7 2" xfId="7800" xr:uid="{00000000-0005-0000-0000-0000AE4F0000}"/>
    <cellStyle name="Normal 37 4 5 8" xfId="32571" xr:uid="{00000000-0005-0000-0000-0000AF4F0000}"/>
    <cellStyle name="Normal 37 4 5 9" xfId="32573" xr:uid="{00000000-0005-0000-0000-0000B04F0000}"/>
    <cellStyle name="Normal 37 4 6" xfId="9766" xr:uid="{00000000-0005-0000-0000-0000B14F0000}"/>
    <cellStyle name="Normal 37 4 6 2" xfId="32575" xr:uid="{00000000-0005-0000-0000-0000B24F0000}"/>
    <cellStyle name="Normal 37 4 6 2 2" xfId="32577" xr:uid="{00000000-0005-0000-0000-0000B34F0000}"/>
    <cellStyle name="Normal 37 4 6 2 2 2" xfId="32579" xr:uid="{00000000-0005-0000-0000-0000B44F0000}"/>
    <cellStyle name="Normal 37 4 6 2 2 2 2" xfId="32582" xr:uid="{00000000-0005-0000-0000-0000B54F0000}"/>
    <cellStyle name="Normal 37 4 6 2 2 3" xfId="32585" xr:uid="{00000000-0005-0000-0000-0000B64F0000}"/>
    <cellStyle name="Normal 37 4 6 2 3" xfId="32590" xr:uid="{00000000-0005-0000-0000-0000B74F0000}"/>
    <cellStyle name="Normal 37 4 6 2 3 2" xfId="32592" xr:uid="{00000000-0005-0000-0000-0000B84F0000}"/>
    <cellStyle name="Normal 37 4 6 2 4" xfId="32595" xr:uid="{00000000-0005-0000-0000-0000B94F0000}"/>
    <cellStyle name="Normal 37 4 6 2 5" xfId="32597" xr:uid="{00000000-0005-0000-0000-0000BA4F0000}"/>
    <cellStyle name="Normal 37 4 6 3" xfId="32599" xr:uid="{00000000-0005-0000-0000-0000BB4F0000}"/>
    <cellStyle name="Normal 37 4 6 3 2" xfId="32601" xr:uid="{00000000-0005-0000-0000-0000BC4F0000}"/>
    <cellStyle name="Normal 37 4 6 3 2 2" xfId="32603" xr:uid="{00000000-0005-0000-0000-0000BD4F0000}"/>
    <cellStyle name="Normal 37 4 6 3 3" xfId="32605" xr:uid="{00000000-0005-0000-0000-0000BE4F0000}"/>
    <cellStyle name="Normal 37 4 6 4" xfId="32607" xr:uid="{00000000-0005-0000-0000-0000BF4F0000}"/>
    <cellStyle name="Normal 37 4 6 4 2" xfId="32609" xr:uid="{00000000-0005-0000-0000-0000C04F0000}"/>
    <cellStyle name="Normal 37 4 6 4 2 2" xfId="32611" xr:uid="{00000000-0005-0000-0000-0000C14F0000}"/>
    <cellStyle name="Normal 37 4 6 4 3" xfId="32613" xr:uid="{00000000-0005-0000-0000-0000C24F0000}"/>
    <cellStyle name="Normal 37 4 6 5" xfId="32615" xr:uid="{00000000-0005-0000-0000-0000C34F0000}"/>
    <cellStyle name="Normal 37 4 6 5 2" xfId="32617" xr:uid="{00000000-0005-0000-0000-0000C44F0000}"/>
    <cellStyle name="Normal 37 4 6 6" xfId="32619" xr:uid="{00000000-0005-0000-0000-0000C54F0000}"/>
    <cellStyle name="Normal 37 4 6 6 2" xfId="32621" xr:uid="{00000000-0005-0000-0000-0000C64F0000}"/>
    <cellStyle name="Normal 37 4 6 7" xfId="32623" xr:uid="{00000000-0005-0000-0000-0000C74F0000}"/>
    <cellStyle name="Normal 37 4 6 8" xfId="32625" xr:uid="{00000000-0005-0000-0000-0000C84F0000}"/>
    <cellStyle name="Normal 37 4 7" xfId="32627" xr:uid="{00000000-0005-0000-0000-0000C94F0000}"/>
    <cellStyle name="Normal 37 4 7 2" xfId="32630" xr:uid="{00000000-0005-0000-0000-0000CA4F0000}"/>
    <cellStyle name="Normal 37 4 7 2 2" xfId="32632" xr:uid="{00000000-0005-0000-0000-0000CB4F0000}"/>
    <cellStyle name="Normal 37 4 7 2 2 2" xfId="32634" xr:uid="{00000000-0005-0000-0000-0000CC4F0000}"/>
    <cellStyle name="Normal 37 4 7 2 3" xfId="32636" xr:uid="{00000000-0005-0000-0000-0000CD4F0000}"/>
    <cellStyle name="Normal 37 4 7 3" xfId="32639" xr:uid="{00000000-0005-0000-0000-0000CE4F0000}"/>
    <cellStyle name="Normal 37 4 7 3 2" xfId="32641" xr:uid="{00000000-0005-0000-0000-0000CF4F0000}"/>
    <cellStyle name="Normal 37 4 7 4" xfId="32643" xr:uid="{00000000-0005-0000-0000-0000D04F0000}"/>
    <cellStyle name="Normal 37 4 7 5" xfId="32647" xr:uid="{00000000-0005-0000-0000-0000D14F0000}"/>
    <cellStyle name="Normal 37 4 8" xfId="14907" xr:uid="{00000000-0005-0000-0000-0000D24F0000}"/>
    <cellStyle name="Normal 37 4 8 2" xfId="14912" xr:uid="{00000000-0005-0000-0000-0000D34F0000}"/>
    <cellStyle name="Normal 37 4 8 2 2" xfId="14916" xr:uid="{00000000-0005-0000-0000-0000D44F0000}"/>
    <cellStyle name="Normal 37 4 8 3" xfId="14922" xr:uid="{00000000-0005-0000-0000-0000D54F0000}"/>
    <cellStyle name="Normal 37 4 9" xfId="32649" xr:uid="{00000000-0005-0000-0000-0000D64F0000}"/>
    <cellStyle name="Normal 37 4 9 2" xfId="14930" xr:uid="{00000000-0005-0000-0000-0000D74F0000}"/>
    <cellStyle name="Normal 37 4 9 2 2" xfId="21049" xr:uid="{00000000-0005-0000-0000-0000D84F0000}"/>
    <cellStyle name="Normal 37 4 9 3" xfId="15468" xr:uid="{00000000-0005-0000-0000-0000D94F0000}"/>
    <cellStyle name="Normal 37 5" xfId="32651" xr:uid="{00000000-0005-0000-0000-0000DA4F0000}"/>
    <cellStyle name="Normal 37 5 10" xfId="32653" xr:uid="{00000000-0005-0000-0000-0000DB4F0000}"/>
    <cellStyle name="Normal 37 5 2" xfId="32655" xr:uid="{00000000-0005-0000-0000-0000DC4F0000}"/>
    <cellStyle name="Normal 37 5 2 2" xfId="32657" xr:uid="{00000000-0005-0000-0000-0000DD4F0000}"/>
    <cellStyle name="Normal 37 5 2 2 2" xfId="24866" xr:uid="{00000000-0005-0000-0000-0000DE4F0000}"/>
    <cellStyle name="Normal 37 5 2 2 2 2" xfId="32659" xr:uid="{00000000-0005-0000-0000-0000DF4F0000}"/>
    <cellStyle name="Normal 37 5 2 2 2 2 2" xfId="32661" xr:uid="{00000000-0005-0000-0000-0000E04F0000}"/>
    <cellStyle name="Normal 37 5 2 2 2 2 2 2" xfId="32663" xr:uid="{00000000-0005-0000-0000-0000E14F0000}"/>
    <cellStyle name="Normal 37 5 2 2 2 2 3" xfId="32665" xr:uid="{00000000-0005-0000-0000-0000E24F0000}"/>
    <cellStyle name="Normal 37 5 2 2 2 3" xfId="32667" xr:uid="{00000000-0005-0000-0000-0000E34F0000}"/>
    <cellStyle name="Normal 37 5 2 2 2 3 2" xfId="32669" xr:uid="{00000000-0005-0000-0000-0000E44F0000}"/>
    <cellStyle name="Normal 37 5 2 2 2 4" xfId="32671" xr:uid="{00000000-0005-0000-0000-0000E54F0000}"/>
    <cellStyle name="Normal 37 5 2 2 2 5" xfId="14545" xr:uid="{00000000-0005-0000-0000-0000E64F0000}"/>
    <cellStyle name="Normal 37 5 2 2 3" xfId="32673" xr:uid="{00000000-0005-0000-0000-0000E74F0000}"/>
    <cellStyle name="Normal 37 5 2 2 3 2" xfId="32675" xr:uid="{00000000-0005-0000-0000-0000E84F0000}"/>
    <cellStyle name="Normal 37 5 2 2 3 2 2" xfId="32677" xr:uid="{00000000-0005-0000-0000-0000E94F0000}"/>
    <cellStyle name="Normal 37 5 2 2 3 3" xfId="32681" xr:uid="{00000000-0005-0000-0000-0000EA4F0000}"/>
    <cellStyle name="Normal 37 5 2 2 4" xfId="32683" xr:uid="{00000000-0005-0000-0000-0000EB4F0000}"/>
    <cellStyle name="Normal 37 5 2 2 4 2" xfId="32685" xr:uid="{00000000-0005-0000-0000-0000EC4F0000}"/>
    <cellStyle name="Normal 37 5 2 2 4 2 2" xfId="32687" xr:uid="{00000000-0005-0000-0000-0000ED4F0000}"/>
    <cellStyle name="Normal 37 5 2 2 4 3" xfId="32691" xr:uid="{00000000-0005-0000-0000-0000EE4F0000}"/>
    <cellStyle name="Normal 37 5 2 2 5" xfId="32694" xr:uid="{00000000-0005-0000-0000-0000EF4F0000}"/>
    <cellStyle name="Normal 37 5 2 2 5 2" xfId="32697" xr:uid="{00000000-0005-0000-0000-0000F04F0000}"/>
    <cellStyle name="Normal 37 5 2 2 6" xfId="16442" xr:uid="{00000000-0005-0000-0000-0000F14F0000}"/>
    <cellStyle name="Normal 37 5 2 2 6 2" xfId="32700" xr:uid="{00000000-0005-0000-0000-0000F24F0000}"/>
    <cellStyle name="Normal 37 5 2 2 7" xfId="32703" xr:uid="{00000000-0005-0000-0000-0000F34F0000}"/>
    <cellStyle name="Normal 37 5 2 2 8" xfId="32705" xr:uid="{00000000-0005-0000-0000-0000F44F0000}"/>
    <cellStyle name="Normal 37 5 2 3" xfId="32707" xr:uid="{00000000-0005-0000-0000-0000F54F0000}"/>
    <cellStyle name="Normal 37 5 2 3 2" xfId="32709" xr:uid="{00000000-0005-0000-0000-0000F64F0000}"/>
    <cellStyle name="Normal 37 5 2 3 2 2" xfId="28418" xr:uid="{00000000-0005-0000-0000-0000F74F0000}"/>
    <cellStyle name="Normal 37 5 2 3 2 2 2" xfId="32711" xr:uid="{00000000-0005-0000-0000-0000F84F0000}"/>
    <cellStyle name="Normal 37 5 2 3 2 3" xfId="25580" xr:uid="{00000000-0005-0000-0000-0000F94F0000}"/>
    <cellStyle name="Normal 37 5 2 3 3" xfId="32713" xr:uid="{00000000-0005-0000-0000-0000FA4F0000}"/>
    <cellStyle name="Normal 37 5 2 3 3 2" xfId="32715" xr:uid="{00000000-0005-0000-0000-0000FB4F0000}"/>
    <cellStyle name="Normal 37 5 2 3 4" xfId="32717" xr:uid="{00000000-0005-0000-0000-0000FC4F0000}"/>
    <cellStyle name="Normal 37 5 2 3 5" xfId="9010" xr:uid="{00000000-0005-0000-0000-0000FD4F0000}"/>
    <cellStyle name="Normal 37 5 2 4" xfId="32719" xr:uid="{00000000-0005-0000-0000-0000FE4F0000}"/>
    <cellStyle name="Normal 37 5 2 4 2" xfId="32721" xr:uid="{00000000-0005-0000-0000-0000FF4F0000}"/>
    <cellStyle name="Normal 37 5 2 4 2 2" xfId="32723" xr:uid="{00000000-0005-0000-0000-000000500000}"/>
    <cellStyle name="Normal 37 5 2 4 3" xfId="32725" xr:uid="{00000000-0005-0000-0000-000001500000}"/>
    <cellStyle name="Normal 37 5 2 5" xfId="32727" xr:uid="{00000000-0005-0000-0000-000002500000}"/>
    <cellStyle name="Normal 37 5 2 5 2" xfId="32729" xr:uid="{00000000-0005-0000-0000-000003500000}"/>
    <cellStyle name="Normal 37 5 2 5 2 2" xfId="32731" xr:uid="{00000000-0005-0000-0000-000004500000}"/>
    <cellStyle name="Normal 37 5 2 5 3" xfId="32733" xr:uid="{00000000-0005-0000-0000-000005500000}"/>
    <cellStyle name="Normal 37 5 2 6" xfId="32735" xr:uid="{00000000-0005-0000-0000-000006500000}"/>
    <cellStyle name="Normal 37 5 2 6 2" xfId="32737" xr:uid="{00000000-0005-0000-0000-000007500000}"/>
    <cellStyle name="Normal 37 5 2 7" xfId="32739" xr:uid="{00000000-0005-0000-0000-000008500000}"/>
    <cellStyle name="Normal 37 5 2 7 2" xfId="32741" xr:uid="{00000000-0005-0000-0000-000009500000}"/>
    <cellStyle name="Normal 37 5 2 8" xfId="32744" xr:uid="{00000000-0005-0000-0000-00000A500000}"/>
    <cellStyle name="Normal 37 5 2 9" xfId="32080" xr:uid="{00000000-0005-0000-0000-00000B500000}"/>
    <cellStyle name="Normal 37 5 3" xfId="32746" xr:uid="{00000000-0005-0000-0000-00000C500000}"/>
    <cellStyle name="Normal 37 5 3 2" xfId="32748" xr:uid="{00000000-0005-0000-0000-00000D500000}"/>
    <cellStyle name="Normal 37 5 3 2 2" xfId="10088" xr:uid="{00000000-0005-0000-0000-00000E500000}"/>
    <cellStyle name="Normal 37 5 3 2 2 2" xfId="32750" xr:uid="{00000000-0005-0000-0000-00000F500000}"/>
    <cellStyle name="Normal 37 5 3 2 2 2 2" xfId="32752" xr:uid="{00000000-0005-0000-0000-000010500000}"/>
    <cellStyle name="Normal 37 5 3 2 2 3" xfId="32755" xr:uid="{00000000-0005-0000-0000-000011500000}"/>
    <cellStyle name="Normal 37 5 3 2 2 4" xfId="21968" xr:uid="{00000000-0005-0000-0000-000012500000}"/>
    <cellStyle name="Normal 37 5 3 2 3" xfId="9913" xr:uid="{00000000-0005-0000-0000-000013500000}"/>
    <cellStyle name="Normal 37 5 3 2 3 2" xfId="32757" xr:uid="{00000000-0005-0000-0000-000014500000}"/>
    <cellStyle name="Normal 37 5 3 2 4" xfId="32759" xr:uid="{00000000-0005-0000-0000-000015500000}"/>
    <cellStyle name="Normal 37 5 3 2 4 2" xfId="32761" xr:uid="{00000000-0005-0000-0000-000016500000}"/>
    <cellStyle name="Normal 37 5 3 2 5" xfId="32767" xr:uid="{00000000-0005-0000-0000-000017500000}"/>
    <cellStyle name="Normal 37 5 3 2 6" xfId="32773" xr:uid="{00000000-0005-0000-0000-000018500000}"/>
    <cellStyle name="Normal 37 5 3 3" xfId="32775" xr:uid="{00000000-0005-0000-0000-000019500000}"/>
    <cellStyle name="Normal 37 5 3 3 2" xfId="5192" xr:uid="{00000000-0005-0000-0000-00001A500000}"/>
    <cellStyle name="Normal 37 5 3 3 2 2" xfId="12354" xr:uid="{00000000-0005-0000-0000-00001B500000}"/>
    <cellStyle name="Normal 37 5 3 3 3" xfId="12357" xr:uid="{00000000-0005-0000-0000-00001C500000}"/>
    <cellStyle name="Normal 37 5 3 3 4" xfId="32777" xr:uid="{00000000-0005-0000-0000-00001D500000}"/>
    <cellStyle name="Normal 37 5 3 4" xfId="32779" xr:uid="{00000000-0005-0000-0000-00001E500000}"/>
    <cellStyle name="Normal 37 5 3 4 2" xfId="12365" xr:uid="{00000000-0005-0000-0000-00001F500000}"/>
    <cellStyle name="Normal 37 5 3 4 2 2" xfId="32781" xr:uid="{00000000-0005-0000-0000-000020500000}"/>
    <cellStyle name="Normal 37 5 3 4 3" xfId="32783" xr:uid="{00000000-0005-0000-0000-000021500000}"/>
    <cellStyle name="Normal 37 5 3 5" xfId="9107" xr:uid="{00000000-0005-0000-0000-000022500000}"/>
    <cellStyle name="Normal 37 5 3 5 2" xfId="12371" xr:uid="{00000000-0005-0000-0000-000023500000}"/>
    <cellStyle name="Normal 37 5 3 6" xfId="9110" xr:uid="{00000000-0005-0000-0000-000024500000}"/>
    <cellStyle name="Normal 37 5 3 6 2" xfId="32785" xr:uid="{00000000-0005-0000-0000-000025500000}"/>
    <cellStyle name="Normal 37 5 3 7" xfId="32789" xr:uid="{00000000-0005-0000-0000-000026500000}"/>
    <cellStyle name="Normal 37 5 3 8" xfId="32794" xr:uid="{00000000-0005-0000-0000-000027500000}"/>
    <cellStyle name="Normal 37 5 4" xfId="32796" xr:uid="{00000000-0005-0000-0000-000028500000}"/>
    <cellStyle name="Normal 37 5 4 2" xfId="13917" xr:uid="{00000000-0005-0000-0000-000029500000}"/>
    <cellStyle name="Normal 37 5 4 2 2" xfId="5721" xr:uid="{00000000-0005-0000-0000-00002A500000}"/>
    <cellStyle name="Normal 37 5 4 2 2 2" xfId="32798" xr:uid="{00000000-0005-0000-0000-00002B500000}"/>
    <cellStyle name="Normal 37 5 4 2 3" xfId="5740" xr:uid="{00000000-0005-0000-0000-00002C500000}"/>
    <cellStyle name="Normal 37 5 4 2 4" xfId="32800" xr:uid="{00000000-0005-0000-0000-00002D500000}"/>
    <cellStyle name="Normal 37 5 4 3" xfId="32802" xr:uid="{00000000-0005-0000-0000-00002E500000}"/>
    <cellStyle name="Normal 37 5 4 3 2" xfId="2520" xr:uid="{00000000-0005-0000-0000-00002F500000}"/>
    <cellStyle name="Normal 37 5 4 4" xfId="21902" xr:uid="{00000000-0005-0000-0000-000030500000}"/>
    <cellStyle name="Normal 37 5 4 4 2" xfId="32804" xr:uid="{00000000-0005-0000-0000-000031500000}"/>
    <cellStyle name="Normal 37 5 4 5" xfId="9136" xr:uid="{00000000-0005-0000-0000-000032500000}"/>
    <cellStyle name="Normal 37 5 4 6" xfId="9323" xr:uid="{00000000-0005-0000-0000-000033500000}"/>
    <cellStyle name="Normal 37 5 5" xfId="32806" xr:uid="{00000000-0005-0000-0000-000034500000}"/>
    <cellStyle name="Normal 37 5 5 2" xfId="32808" xr:uid="{00000000-0005-0000-0000-000035500000}"/>
    <cellStyle name="Normal 37 5 5 2 2" xfId="727" xr:uid="{00000000-0005-0000-0000-000036500000}"/>
    <cellStyle name="Normal 37 5 5 2 2 2" xfId="32810" xr:uid="{00000000-0005-0000-0000-000037500000}"/>
    <cellStyle name="Normal 37 5 5 2 3" xfId="807" xr:uid="{00000000-0005-0000-0000-000038500000}"/>
    <cellStyle name="Normal 37 5 5 2 4" xfId="32813" xr:uid="{00000000-0005-0000-0000-000039500000}"/>
    <cellStyle name="Normal 37 5 5 3" xfId="32815" xr:uid="{00000000-0005-0000-0000-00003A500000}"/>
    <cellStyle name="Normal 37 5 5 3 2" xfId="32817" xr:uid="{00000000-0005-0000-0000-00003B500000}"/>
    <cellStyle name="Normal 37 5 5 4" xfId="32819" xr:uid="{00000000-0005-0000-0000-00003C500000}"/>
    <cellStyle name="Normal 37 5 5 4 2" xfId="32821" xr:uid="{00000000-0005-0000-0000-00003D500000}"/>
    <cellStyle name="Normal 37 5 5 5" xfId="9904" xr:uid="{00000000-0005-0000-0000-00003E500000}"/>
    <cellStyle name="Normal 37 5 5 6" xfId="9370" xr:uid="{00000000-0005-0000-0000-00003F500000}"/>
    <cellStyle name="Normal 37 5 6" xfId="11266" xr:uid="{00000000-0005-0000-0000-000040500000}"/>
    <cellStyle name="Normal 37 5 6 2" xfId="10322" xr:uid="{00000000-0005-0000-0000-000041500000}"/>
    <cellStyle name="Normal 37 5 6 2 2" xfId="7026" xr:uid="{00000000-0005-0000-0000-000042500000}"/>
    <cellStyle name="Normal 37 5 6 3" xfId="32823" xr:uid="{00000000-0005-0000-0000-000043500000}"/>
    <cellStyle name="Normal 37 5 6 4" xfId="32825" xr:uid="{00000000-0005-0000-0000-000044500000}"/>
    <cellStyle name="Normal 37 5 7" xfId="6021" xr:uid="{00000000-0005-0000-0000-000045500000}"/>
    <cellStyle name="Normal 37 5 7 2" xfId="32827" xr:uid="{00000000-0005-0000-0000-000046500000}"/>
    <cellStyle name="Normal 37 5 8" xfId="14938" xr:uid="{00000000-0005-0000-0000-000047500000}"/>
    <cellStyle name="Normal 37 5 8 2" xfId="10510" xr:uid="{00000000-0005-0000-0000-000048500000}"/>
    <cellStyle name="Normal 37 5 9" xfId="32829" xr:uid="{00000000-0005-0000-0000-000049500000}"/>
    <cellStyle name="Normal 37 6" xfId="32831" xr:uid="{00000000-0005-0000-0000-00004A500000}"/>
    <cellStyle name="Normal 37 6 2" xfId="32833" xr:uid="{00000000-0005-0000-0000-00004B500000}"/>
    <cellStyle name="Normal 37 6 2 2" xfId="32835" xr:uid="{00000000-0005-0000-0000-00004C500000}"/>
    <cellStyle name="Normal 37 6 2 2 2" xfId="24893" xr:uid="{00000000-0005-0000-0000-00004D500000}"/>
    <cellStyle name="Normal 37 6 2 2 2 2" xfId="32838" xr:uid="{00000000-0005-0000-0000-00004E500000}"/>
    <cellStyle name="Normal 37 6 2 2 2 2 2" xfId="32840" xr:uid="{00000000-0005-0000-0000-00004F500000}"/>
    <cellStyle name="Normal 37 6 2 2 2 3" xfId="32842" xr:uid="{00000000-0005-0000-0000-000050500000}"/>
    <cellStyle name="Normal 37 6 2 2 3" xfId="32844" xr:uid="{00000000-0005-0000-0000-000051500000}"/>
    <cellStyle name="Normal 37 6 2 2 3 2" xfId="32846" xr:uid="{00000000-0005-0000-0000-000052500000}"/>
    <cellStyle name="Normal 37 6 2 2 4" xfId="32848" xr:uid="{00000000-0005-0000-0000-000053500000}"/>
    <cellStyle name="Normal 37 6 2 2 5" xfId="32850" xr:uid="{00000000-0005-0000-0000-000054500000}"/>
    <cellStyle name="Normal 37 6 2 3" xfId="32852" xr:uid="{00000000-0005-0000-0000-000055500000}"/>
    <cellStyle name="Normal 37 6 2 3 2" xfId="32855" xr:uid="{00000000-0005-0000-0000-000056500000}"/>
    <cellStyle name="Normal 37 6 2 3 2 2" xfId="28911" xr:uid="{00000000-0005-0000-0000-000057500000}"/>
    <cellStyle name="Normal 37 6 2 3 3" xfId="32857" xr:uid="{00000000-0005-0000-0000-000058500000}"/>
    <cellStyle name="Normal 37 6 2 4" xfId="32859" xr:uid="{00000000-0005-0000-0000-000059500000}"/>
    <cellStyle name="Normal 37 6 2 4 2" xfId="32861" xr:uid="{00000000-0005-0000-0000-00005A500000}"/>
    <cellStyle name="Normal 37 6 2 4 2 2" xfId="32863" xr:uid="{00000000-0005-0000-0000-00005B500000}"/>
    <cellStyle name="Normal 37 6 2 4 3" xfId="32865" xr:uid="{00000000-0005-0000-0000-00005C500000}"/>
    <cellStyle name="Normal 37 6 2 5" xfId="32867" xr:uid="{00000000-0005-0000-0000-00005D500000}"/>
    <cellStyle name="Normal 37 6 2 5 2" xfId="32869" xr:uid="{00000000-0005-0000-0000-00005E500000}"/>
    <cellStyle name="Normal 37 6 2 6" xfId="31199" xr:uid="{00000000-0005-0000-0000-00005F500000}"/>
    <cellStyle name="Normal 37 6 2 6 2" xfId="31203" xr:uid="{00000000-0005-0000-0000-000060500000}"/>
    <cellStyle name="Normal 37 6 2 7" xfId="31207" xr:uid="{00000000-0005-0000-0000-000061500000}"/>
    <cellStyle name="Normal 37 6 2 8" xfId="32872" xr:uid="{00000000-0005-0000-0000-000062500000}"/>
    <cellStyle name="Normal 37 6 3" xfId="32874" xr:uid="{00000000-0005-0000-0000-000063500000}"/>
    <cellStyle name="Normal 37 6 3 2" xfId="32876" xr:uid="{00000000-0005-0000-0000-000064500000}"/>
    <cellStyle name="Normal 37 6 3 2 2" xfId="32880" xr:uid="{00000000-0005-0000-0000-000065500000}"/>
    <cellStyle name="Normal 37 6 3 2 2 2" xfId="32882" xr:uid="{00000000-0005-0000-0000-000066500000}"/>
    <cellStyle name="Normal 37 6 3 2 3" xfId="32884" xr:uid="{00000000-0005-0000-0000-000067500000}"/>
    <cellStyle name="Normal 37 6 3 3" xfId="32886" xr:uid="{00000000-0005-0000-0000-000068500000}"/>
    <cellStyle name="Normal 37 6 3 3 2" xfId="12390" xr:uid="{00000000-0005-0000-0000-000069500000}"/>
    <cellStyle name="Normal 37 6 3 4" xfId="32888" xr:uid="{00000000-0005-0000-0000-00006A500000}"/>
    <cellStyle name="Normal 37 6 3 5" xfId="10122" xr:uid="{00000000-0005-0000-0000-00006B500000}"/>
    <cellStyle name="Normal 37 6 4" xfId="32891" xr:uid="{00000000-0005-0000-0000-00006C500000}"/>
    <cellStyle name="Normal 37 6 4 2" xfId="32893" xr:uid="{00000000-0005-0000-0000-00006D500000}"/>
    <cellStyle name="Normal 37 6 4 2 2" xfId="32896" xr:uid="{00000000-0005-0000-0000-00006E500000}"/>
    <cellStyle name="Normal 37 6 4 3" xfId="32898" xr:uid="{00000000-0005-0000-0000-00006F500000}"/>
    <cellStyle name="Normal 37 6 5" xfId="32900" xr:uid="{00000000-0005-0000-0000-000070500000}"/>
    <cellStyle name="Normal 37 6 5 2" xfId="10635" xr:uid="{00000000-0005-0000-0000-000071500000}"/>
    <cellStyle name="Normal 37 6 5 2 2" xfId="32902" xr:uid="{00000000-0005-0000-0000-000072500000}"/>
    <cellStyle name="Normal 37 6 5 3" xfId="32904" xr:uid="{00000000-0005-0000-0000-000073500000}"/>
    <cellStyle name="Normal 37 6 6" xfId="11285" xr:uid="{00000000-0005-0000-0000-000074500000}"/>
    <cellStyle name="Normal 37 6 6 2" xfId="32906" xr:uid="{00000000-0005-0000-0000-000075500000}"/>
    <cellStyle name="Normal 37 6 7" xfId="32908" xr:uid="{00000000-0005-0000-0000-000076500000}"/>
    <cellStyle name="Normal 37 6 7 2" xfId="3269" xr:uid="{00000000-0005-0000-0000-000077500000}"/>
    <cellStyle name="Normal 37 6 8" xfId="32910" xr:uid="{00000000-0005-0000-0000-000078500000}"/>
    <cellStyle name="Normal 37 6 9" xfId="32912" xr:uid="{00000000-0005-0000-0000-000079500000}"/>
    <cellStyle name="Normal 37 7" xfId="32914" xr:uid="{00000000-0005-0000-0000-00007A500000}"/>
    <cellStyle name="Normal 37 7 2" xfId="25670" xr:uid="{00000000-0005-0000-0000-00007B500000}"/>
    <cellStyle name="Normal 37 7 2 2" xfId="16818" xr:uid="{00000000-0005-0000-0000-00007C500000}"/>
    <cellStyle name="Normal 37 7 2 2 2" xfId="16822" xr:uid="{00000000-0005-0000-0000-00007D500000}"/>
    <cellStyle name="Normal 37 7 2 2 2 2" xfId="32916" xr:uid="{00000000-0005-0000-0000-00007E500000}"/>
    <cellStyle name="Normal 37 7 2 2 2 2 2" xfId="32918" xr:uid="{00000000-0005-0000-0000-00007F500000}"/>
    <cellStyle name="Normal 37 7 2 2 2 3" xfId="9609" xr:uid="{00000000-0005-0000-0000-000080500000}"/>
    <cellStyle name="Normal 37 7 2 2 3" xfId="32920" xr:uid="{00000000-0005-0000-0000-000081500000}"/>
    <cellStyle name="Normal 37 7 2 2 3 2" xfId="32922" xr:uid="{00000000-0005-0000-0000-000082500000}"/>
    <cellStyle name="Normal 37 7 2 2 4" xfId="28591" xr:uid="{00000000-0005-0000-0000-000083500000}"/>
    <cellStyle name="Normal 37 7 2 2 5" xfId="23009" xr:uid="{00000000-0005-0000-0000-000084500000}"/>
    <cellStyle name="Normal 37 7 2 3" xfId="16827" xr:uid="{00000000-0005-0000-0000-000085500000}"/>
    <cellStyle name="Normal 37 7 2 3 2" xfId="32924" xr:uid="{00000000-0005-0000-0000-000086500000}"/>
    <cellStyle name="Normal 37 7 2 3 2 2" xfId="32926" xr:uid="{00000000-0005-0000-0000-000087500000}"/>
    <cellStyle name="Normal 37 7 2 3 3" xfId="32928" xr:uid="{00000000-0005-0000-0000-000088500000}"/>
    <cellStyle name="Normal 37 7 2 4" xfId="32930" xr:uid="{00000000-0005-0000-0000-000089500000}"/>
    <cellStyle name="Normal 37 7 2 4 2" xfId="32932" xr:uid="{00000000-0005-0000-0000-00008A500000}"/>
    <cellStyle name="Normal 37 7 2 4 2 2" xfId="32934" xr:uid="{00000000-0005-0000-0000-00008B500000}"/>
    <cellStyle name="Normal 37 7 2 4 3" xfId="32936" xr:uid="{00000000-0005-0000-0000-00008C500000}"/>
    <cellStyle name="Normal 37 7 2 5" xfId="32939" xr:uid="{00000000-0005-0000-0000-00008D500000}"/>
    <cellStyle name="Normal 37 7 2 5 2" xfId="32942" xr:uid="{00000000-0005-0000-0000-00008E500000}"/>
    <cellStyle name="Normal 37 7 2 6" xfId="32944" xr:uid="{00000000-0005-0000-0000-00008F500000}"/>
    <cellStyle name="Normal 37 7 2 6 2" xfId="32946" xr:uid="{00000000-0005-0000-0000-000090500000}"/>
    <cellStyle name="Normal 37 7 2 7" xfId="32948" xr:uid="{00000000-0005-0000-0000-000091500000}"/>
    <cellStyle name="Normal 37 7 2 8" xfId="16159" xr:uid="{00000000-0005-0000-0000-000092500000}"/>
    <cellStyle name="Normal 37 7 3" xfId="25674" xr:uid="{00000000-0005-0000-0000-000093500000}"/>
    <cellStyle name="Normal 37 7 3 2" xfId="16346" xr:uid="{00000000-0005-0000-0000-000094500000}"/>
    <cellStyle name="Normal 37 7 3 2 2" xfId="12846" xr:uid="{00000000-0005-0000-0000-000095500000}"/>
    <cellStyle name="Normal 37 7 3 2 2 2" xfId="32950" xr:uid="{00000000-0005-0000-0000-000096500000}"/>
    <cellStyle name="Normal 37 7 3 2 3" xfId="32952" xr:uid="{00000000-0005-0000-0000-000097500000}"/>
    <cellStyle name="Normal 37 7 3 3" xfId="16350" xr:uid="{00000000-0005-0000-0000-000098500000}"/>
    <cellStyle name="Normal 37 7 3 3 2" xfId="32954" xr:uid="{00000000-0005-0000-0000-000099500000}"/>
    <cellStyle name="Normal 37 7 3 4" xfId="32956" xr:uid="{00000000-0005-0000-0000-00009A500000}"/>
    <cellStyle name="Normal 37 7 3 5" xfId="10745" xr:uid="{00000000-0005-0000-0000-00009B500000}"/>
    <cellStyle name="Normal 37 7 4" xfId="21926" xr:uid="{00000000-0005-0000-0000-00009C500000}"/>
    <cellStyle name="Normal 37 7 4 2" xfId="16360" xr:uid="{00000000-0005-0000-0000-00009D500000}"/>
    <cellStyle name="Normal 37 7 4 2 2" xfId="32960" xr:uid="{00000000-0005-0000-0000-00009E500000}"/>
    <cellStyle name="Normal 37 7 4 3" xfId="32962" xr:uid="{00000000-0005-0000-0000-00009F500000}"/>
    <cellStyle name="Normal 37 7 5" xfId="21931" xr:uid="{00000000-0005-0000-0000-0000A0500000}"/>
    <cellStyle name="Normal 37 7 5 2" xfId="32965" xr:uid="{00000000-0005-0000-0000-0000A1500000}"/>
    <cellStyle name="Normal 37 7 5 2 2" xfId="32969" xr:uid="{00000000-0005-0000-0000-0000A2500000}"/>
    <cellStyle name="Normal 37 7 5 3" xfId="32971" xr:uid="{00000000-0005-0000-0000-0000A3500000}"/>
    <cellStyle name="Normal 37 7 6" xfId="32973" xr:uid="{00000000-0005-0000-0000-0000A4500000}"/>
    <cellStyle name="Normal 37 7 6 2" xfId="32975" xr:uid="{00000000-0005-0000-0000-0000A5500000}"/>
    <cellStyle name="Normal 37 7 7" xfId="32977" xr:uid="{00000000-0005-0000-0000-0000A6500000}"/>
    <cellStyle name="Normal 37 7 7 2" xfId="32979" xr:uid="{00000000-0005-0000-0000-0000A7500000}"/>
    <cellStyle name="Normal 37 7 8" xfId="32981" xr:uid="{00000000-0005-0000-0000-0000A8500000}"/>
    <cellStyle name="Normal 37 7 9" xfId="32983" xr:uid="{00000000-0005-0000-0000-0000A9500000}"/>
    <cellStyle name="Normal 37 8" xfId="32987" xr:uid="{00000000-0005-0000-0000-0000AA500000}"/>
    <cellStyle name="Normal 37 8 2" xfId="25682" xr:uid="{00000000-0005-0000-0000-0000AB500000}"/>
    <cellStyle name="Normal 37 8 2 2" xfId="32989" xr:uid="{00000000-0005-0000-0000-0000AC500000}"/>
    <cellStyle name="Normal 37 8 2 2 2" xfId="32993" xr:uid="{00000000-0005-0000-0000-0000AD500000}"/>
    <cellStyle name="Normal 37 8 2 2 2 2" xfId="32997" xr:uid="{00000000-0005-0000-0000-0000AE500000}"/>
    <cellStyle name="Normal 37 8 2 2 2 2 2" xfId="24112" xr:uid="{00000000-0005-0000-0000-0000AF500000}"/>
    <cellStyle name="Normal 37 8 2 2 2 3" xfId="32999" xr:uid="{00000000-0005-0000-0000-0000B0500000}"/>
    <cellStyle name="Normal 37 8 2 2 3" xfId="29757" xr:uid="{00000000-0005-0000-0000-0000B1500000}"/>
    <cellStyle name="Normal 37 8 2 2 3 2" xfId="18711" xr:uid="{00000000-0005-0000-0000-0000B2500000}"/>
    <cellStyle name="Normal 37 8 2 2 4" xfId="33003" xr:uid="{00000000-0005-0000-0000-0000B3500000}"/>
    <cellStyle name="Normal 37 8 2 3" xfId="33005" xr:uid="{00000000-0005-0000-0000-0000B4500000}"/>
    <cellStyle name="Normal 37 8 2 3 2" xfId="33009" xr:uid="{00000000-0005-0000-0000-0000B5500000}"/>
    <cellStyle name="Normal 37 8 2 3 2 2" xfId="33012" xr:uid="{00000000-0005-0000-0000-0000B6500000}"/>
    <cellStyle name="Normal 37 8 2 3 3" xfId="33014" xr:uid="{00000000-0005-0000-0000-0000B7500000}"/>
    <cellStyle name="Normal 37 8 2 4" xfId="33016" xr:uid="{00000000-0005-0000-0000-0000B8500000}"/>
    <cellStyle name="Normal 37 8 2 4 2" xfId="33018" xr:uid="{00000000-0005-0000-0000-0000B9500000}"/>
    <cellStyle name="Normal 37 8 2 4 2 2" xfId="33021" xr:uid="{00000000-0005-0000-0000-0000BA500000}"/>
    <cellStyle name="Normal 37 8 2 4 3" xfId="33023" xr:uid="{00000000-0005-0000-0000-0000BB500000}"/>
    <cellStyle name="Normal 37 8 2 5" xfId="33027" xr:uid="{00000000-0005-0000-0000-0000BC500000}"/>
    <cellStyle name="Normal 37 8 2 5 2" xfId="23946" xr:uid="{00000000-0005-0000-0000-0000BD500000}"/>
    <cellStyle name="Normal 37 8 2 6" xfId="33029" xr:uid="{00000000-0005-0000-0000-0000BE500000}"/>
    <cellStyle name="Normal 37 8 2 6 2" xfId="33031" xr:uid="{00000000-0005-0000-0000-0000BF500000}"/>
    <cellStyle name="Normal 37 8 2 7" xfId="33033" xr:uid="{00000000-0005-0000-0000-0000C0500000}"/>
    <cellStyle name="Normal 37 8 2 8" xfId="33036" xr:uid="{00000000-0005-0000-0000-0000C1500000}"/>
    <cellStyle name="Normal 37 8 3" xfId="26727" xr:uid="{00000000-0005-0000-0000-0000C2500000}"/>
    <cellStyle name="Normal 37 8 3 2" xfId="26730" xr:uid="{00000000-0005-0000-0000-0000C3500000}"/>
    <cellStyle name="Normal 37 8 3 2 2" xfId="13385" xr:uid="{00000000-0005-0000-0000-0000C4500000}"/>
    <cellStyle name="Normal 37 8 3 2 2 2" xfId="33040" xr:uid="{00000000-0005-0000-0000-0000C5500000}"/>
    <cellStyle name="Normal 37 8 3 2 3" xfId="33044" xr:uid="{00000000-0005-0000-0000-0000C6500000}"/>
    <cellStyle name="Normal 37 8 3 3" xfId="33046" xr:uid="{00000000-0005-0000-0000-0000C7500000}"/>
    <cellStyle name="Normal 37 8 3 3 2" xfId="33048" xr:uid="{00000000-0005-0000-0000-0000C8500000}"/>
    <cellStyle name="Normal 37 8 3 4" xfId="33050" xr:uid="{00000000-0005-0000-0000-0000C9500000}"/>
    <cellStyle name="Normal 37 8 4" xfId="26733" xr:uid="{00000000-0005-0000-0000-0000CA500000}"/>
    <cellStyle name="Normal 37 8 4 2" xfId="30571" xr:uid="{00000000-0005-0000-0000-0000CB500000}"/>
    <cellStyle name="Normal 37 8 4 2 2" xfId="30581" xr:uid="{00000000-0005-0000-0000-0000CC500000}"/>
    <cellStyle name="Normal 37 8 4 3" xfId="30583" xr:uid="{00000000-0005-0000-0000-0000CD500000}"/>
    <cellStyle name="Normal 37 8 5" xfId="30587" xr:uid="{00000000-0005-0000-0000-0000CE500000}"/>
    <cellStyle name="Normal 37 8 5 2" xfId="30591" xr:uid="{00000000-0005-0000-0000-0000CF500000}"/>
    <cellStyle name="Normal 37 8 5 2 2" xfId="33052" xr:uid="{00000000-0005-0000-0000-0000D0500000}"/>
    <cellStyle name="Normal 37 8 5 3" xfId="33055" xr:uid="{00000000-0005-0000-0000-0000D1500000}"/>
    <cellStyle name="Normal 37 8 6" xfId="30595" xr:uid="{00000000-0005-0000-0000-0000D2500000}"/>
    <cellStyle name="Normal 37 8 6 2" xfId="33057" xr:uid="{00000000-0005-0000-0000-0000D3500000}"/>
    <cellStyle name="Normal 37 8 7" xfId="33059" xr:uid="{00000000-0005-0000-0000-0000D4500000}"/>
    <cellStyle name="Normal 37 8 7 2" xfId="33061" xr:uid="{00000000-0005-0000-0000-0000D5500000}"/>
    <cellStyle name="Normal 37 8 8" xfId="33063" xr:uid="{00000000-0005-0000-0000-0000D6500000}"/>
    <cellStyle name="Normal 37 8 9" xfId="33066" xr:uid="{00000000-0005-0000-0000-0000D7500000}"/>
    <cellStyle name="Normal 37 9" xfId="33072" xr:uid="{00000000-0005-0000-0000-0000D8500000}"/>
    <cellStyle name="Normal 37 9 2" xfId="33074" xr:uid="{00000000-0005-0000-0000-0000D9500000}"/>
    <cellStyle name="Normal 37 9 2 2" xfId="33076" xr:uid="{00000000-0005-0000-0000-0000DA500000}"/>
    <cellStyle name="Normal 37 9 2 2 2" xfId="20815" xr:uid="{00000000-0005-0000-0000-0000DB500000}"/>
    <cellStyle name="Normal 37 9 2 2 2 2" xfId="33080" xr:uid="{00000000-0005-0000-0000-0000DC500000}"/>
    <cellStyle name="Normal 37 9 2 2 3" xfId="33084" xr:uid="{00000000-0005-0000-0000-0000DD500000}"/>
    <cellStyle name="Normal 37 9 2 3" xfId="33086" xr:uid="{00000000-0005-0000-0000-0000DE500000}"/>
    <cellStyle name="Normal 37 9 2 3 2" xfId="33090" xr:uid="{00000000-0005-0000-0000-0000DF500000}"/>
    <cellStyle name="Normal 37 9 2 4" xfId="33092" xr:uid="{00000000-0005-0000-0000-0000E0500000}"/>
    <cellStyle name="Normal 37 9 2 5" xfId="33096" xr:uid="{00000000-0005-0000-0000-0000E1500000}"/>
    <cellStyle name="Normal 37 9 3" xfId="26739" xr:uid="{00000000-0005-0000-0000-0000E2500000}"/>
    <cellStyle name="Normal 37 9 3 2" xfId="33098" xr:uid="{00000000-0005-0000-0000-0000E3500000}"/>
    <cellStyle name="Normal 37 9 3 2 2" xfId="33102" xr:uid="{00000000-0005-0000-0000-0000E4500000}"/>
    <cellStyle name="Normal 37 9 3 3" xfId="33104" xr:uid="{00000000-0005-0000-0000-0000E5500000}"/>
    <cellStyle name="Normal 37 9 4" xfId="30601" xr:uid="{00000000-0005-0000-0000-0000E6500000}"/>
    <cellStyle name="Normal 37 9 4 2" xfId="30605" xr:uid="{00000000-0005-0000-0000-0000E7500000}"/>
    <cellStyle name="Normal 37 9 4 2 2" xfId="33110" xr:uid="{00000000-0005-0000-0000-0000E8500000}"/>
    <cellStyle name="Normal 37 9 4 3" xfId="33112" xr:uid="{00000000-0005-0000-0000-0000E9500000}"/>
    <cellStyle name="Normal 37 9 5" xfId="30609" xr:uid="{00000000-0005-0000-0000-0000EA500000}"/>
    <cellStyle name="Normal 37 9 5 2" xfId="33114" xr:uid="{00000000-0005-0000-0000-0000EB500000}"/>
    <cellStyle name="Normal 37 9 6" xfId="33116" xr:uid="{00000000-0005-0000-0000-0000EC500000}"/>
    <cellStyle name="Normal 37 9 6 2" xfId="33118" xr:uid="{00000000-0005-0000-0000-0000ED500000}"/>
    <cellStyle name="Normal 37 9 7" xfId="33120" xr:uid="{00000000-0005-0000-0000-0000EE500000}"/>
    <cellStyle name="Normal 37 9 8" xfId="14889" xr:uid="{00000000-0005-0000-0000-0000EF500000}"/>
    <cellStyle name="Normal 38" xfId="5929" xr:uid="{00000000-0005-0000-0000-0000F0500000}"/>
    <cellStyle name="Normal 38 10" xfId="33123" xr:uid="{00000000-0005-0000-0000-0000F1500000}"/>
    <cellStyle name="Normal 38 10 2" xfId="9582" xr:uid="{00000000-0005-0000-0000-0000F2500000}"/>
    <cellStyle name="Normal 38 10 2 2" xfId="9591" xr:uid="{00000000-0005-0000-0000-0000F3500000}"/>
    <cellStyle name="Normal 38 10 2 2 2" xfId="33125" xr:uid="{00000000-0005-0000-0000-0000F4500000}"/>
    <cellStyle name="Normal 38 10 2 3" xfId="33126" xr:uid="{00000000-0005-0000-0000-0000F5500000}"/>
    <cellStyle name="Normal 38 10 2 4" xfId="8025" xr:uid="{00000000-0005-0000-0000-0000F6500000}"/>
    <cellStyle name="Normal 38 10 3" xfId="9596" xr:uid="{00000000-0005-0000-0000-0000F7500000}"/>
    <cellStyle name="Normal 38 10 3 2" xfId="23619" xr:uid="{00000000-0005-0000-0000-0000F8500000}"/>
    <cellStyle name="Normal 38 10 4" xfId="33128" xr:uid="{00000000-0005-0000-0000-0000F9500000}"/>
    <cellStyle name="Normal 38 10 4 2" xfId="23640" xr:uid="{00000000-0005-0000-0000-0000FA500000}"/>
    <cellStyle name="Normal 38 10 5" xfId="33130" xr:uid="{00000000-0005-0000-0000-0000FB500000}"/>
    <cellStyle name="Normal 38 10 6" xfId="33131" xr:uid="{00000000-0005-0000-0000-0000FC500000}"/>
    <cellStyle name="Normal 38 11" xfId="33132" xr:uid="{00000000-0005-0000-0000-0000FD500000}"/>
    <cellStyle name="Normal 38 11 2" xfId="4542" xr:uid="{00000000-0005-0000-0000-0000FE500000}"/>
    <cellStyle name="Normal 38 11 2 2" xfId="33134" xr:uid="{00000000-0005-0000-0000-0000FF500000}"/>
    <cellStyle name="Normal 38 11 3" xfId="5044" xr:uid="{00000000-0005-0000-0000-000000510000}"/>
    <cellStyle name="Normal 38 11 4" xfId="5053" xr:uid="{00000000-0005-0000-0000-000001510000}"/>
    <cellStyle name="Normal 38 12" xfId="33136" xr:uid="{00000000-0005-0000-0000-000002510000}"/>
    <cellStyle name="Normal 38 12 2" xfId="33139" xr:uid="{00000000-0005-0000-0000-000003510000}"/>
    <cellStyle name="Normal 38 12 2 2" xfId="23040" xr:uid="{00000000-0005-0000-0000-000004510000}"/>
    <cellStyle name="Normal 38 12 3" xfId="5078" xr:uid="{00000000-0005-0000-0000-000005510000}"/>
    <cellStyle name="Normal 38 13" xfId="33141" xr:uid="{00000000-0005-0000-0000-000006510000}"/>
    <cellStyle name="Normal 38 13 2" xfId="33144" xr:uid="{00000000-0005-0000-0000-000007510000}"/>
    <cellStyle name="Normal 38 14" xfId="17026" xr:uid="{00000000-0005-0000-0000-000008510000}"/>
    <cellStyle name="Normal 38 14 2" xfId="14692" xr:uid="{00000000-0005-0000-0000-000009510000}"/>
    <cellStyle name="Normal 38 15" xfId="17032" xr:uid="{00000000-0005-0000-0000-00000A510000}"/>
    <cellStyle name="Normal 38 15 2" xfId="14782" xr:uid="{00000000-0005-0000-0000-00000B510000}"/>
    <cellStyle name="Normal 38 16" xfId="9480" xr:uid="{00000000-0005-0000-0000-00000C510000}"/>
    <cellStyle name="Normal 38 17" xfId="9514" xr:uid="{00000000-0005-0000-0000-00000D510000}"/>
    <cellStyle name="Normal 38 2" xfId="22944" xr:uid="{00000000-0005-0000-0000-00000E510000}"/>
    <cellStyle name="Normal 38 2 10" xfId="21218" xr:uid="{00000000-0005-0000-0000-00000F510000}"/>
    <cellStyle name="Normal 38 2 10 2" xfId="21221" xr:uid="{00000000-0005-0000-0000-000010510000}"/>
    <cellStyle name="Normal 38 2 11" xfId="21157" xr:uid="{00000000-0005-0000-0000-000011510000}"/>
    <cellStyle name="Normal 38 2 11 2" xfId="21252" xr:uid="{00000000-0005-0000-0000-000012510000}"/>
    <cellStyle name="Normal 38 2 12" xfId="21299" xr:uid="{00000000-0005-0000-0000-000013510000}"/>
    <cellStyle name="Normal 38 2 12 2" xfId="17488" xr:uid="{00000000-0005-0000-0000-000014510000}"/>
    <cellStyle name="Normal 38 2 13" xfId="21325" xr:uid="{00000000-0005-0000-0000-000015510000}"/>
    <cellStyle name="Normal 38 2 14" xfId="21341" xr:uid="{00000000-0005-0000-0000-000016510000}"/>
    <cellStyle name="Normal 38 2 2" xfId="30146" xr:uid="{00000000-0005-0000-0000-000017510000}"/>
    <cellStyle name="Normal 38 2 2 10" xfId="12320" xr:uid="{00000000-0005-0000-0000-000018510000}"/>
    <cellStyle name="Normal 38 2 2 2" xfId="30150" xr:uid="{00000000-0005-0000-0000-000019510000}"/>
    <cellStyle name="Normal 38 2 2 2 2" xfId="33146" xr:uid="{00000000-0005-0000-0000-00001A510000}"/>
    <cellStyle name="Normal 38 2 2 2 2 2" xfId="33148" xr:uid="{00000000-0005-0000-0000-00001B510000}"/>
    <cellStyle name="Normal 38 2 2 2 2 2 2" xfId="26794" xr:uid="{00000000-0005-0000-0000-00001C510000}"/>
    <cellStyle name="Normal 38 2 2 2 2 2 2 2" xfId="30141" xr:uid="{00000000-0005-0000-0000-00001D510000}"/>
    <cellStyle name="Normal 38 2 2 2 2 2 2 2 2" xfId="33150" xr:uid="{00000000-0005-0000-0000-00001E510000}"/>
    <cellStyle name="Normal 38 2 2 2 2 2 2 3" xfId="33152" xr:uid="{00000000-0005-0000-0000-00001F510000}"/>
    <cellStyle name="Normal 38 2 2 2 2 2 3" xfId="26799" xr:uid="{00000000-0005-0000-0000-000020510000}"/>
    <cellStyle name="Normal 38 2 2 2 2 2 3 2" xfId="33154" xr:uid="{00000000-0005-0000-0000-000021510000}"/>
    <cellStyle name="Normal 38 2 2 2 2 2 4" xfId="33156" xr:uid="{00000000-0005-0000-0000-000022510000}"/>
    <cellStyle name="Normal 38 2 2 2 2 3" xfId="33159" xr:uid="{00000000-0005-0000-0000-000023510000}"/>
    <cellStyle name="Normal 38 2 2 2 2 3 2" xfId="30158" xr:uid="{00000000-0005-0000-0000-000024510000}"/>
    <cellStyle name="Normal 38 2 2 2 2 3 2 2" xfId="33164" xr:uid="{00000000-0005-0000-0000-000025510000}"/>
    <cellStyle name="Normal 38 2 2 2 2 3 3" xfId="33169" xr:uid="{00000000-0005-0000-0000-000026510000}"/>
    <cellStyle name="Normal 38 2 2 2 2 4" xfId="3374" xr:uid="{00000000-0005-0000-0000-000027510000}"/>
    <cellStyle name="Normal 38 2 2 2 2 4 2" xfId="30180" xr:uid="{00000000-0005-0000-0000-000028510000}"/>
    <cellStyle name="Normal 38 2 2 2 2 4 2 2" xfId="33174" xr:uid="{00000000-0005-0000-0000-000029510000}"/>
    <cellStyle name="Normal 38 2 2 2 2 4 3" xfId="33179" xr:uid="{00000000-0005-0000-0000-00002A510000}"/>
    <cellStyle name="Normal 38 2 2 2 2 5" xfId="33182" xr:uid="{00000000-0005-0000-0000-00002B510000}"/>
    <cellStyle name="Normal 38 2 2 2 2 5 2" xfId="33187" xr:uid="{00000000-0005-0000-0000-00002C510000}"/>
    <cellStyle name="Normal 38 2 2 2 2 6" xfId="33192" xr:uid="{00000000-0005-0000-0000-00002D510000}"/>
    <cellStyle name="Normal 38 2 2 2 2 6 2" xfId="33199" xr:uid="{00000000-0005-0000-0000-00002E510000}"/>
    <cellStyle name="Normal 38 2 2 2 2 7" xfId="33204" xr:uid="{00000000-0005-0000-0000-00002F510000}"/>
    <cellStyle name="Normal 38 2 2 2 2 8" xfId="33209" xr:uid="{00000000-0005-0000-0000-000030510000}"/>
    <cellStyle name="Normal 38 2 2 2 3" xfId="7015" xr:uid="{00000000-0005-0000-0000-000031510000}"/>
    <cellStyle name="Normal 38 2 2 2 3 2" xfId="33213" xr:uid="{00000000-0005-0000-0000-000032510000}"/>
    <cellStyle name="Normal 38 2 2 2 3 2 2" xfId="30213" xr:uid="{00000000-0005-0000-0000-000033510000}"/>
    <cellStyle name="Normal 38 2 2 2 3 2 2 2" xfId="23498" xr:uid="{00000000-0005-0000-0000-000034510000}"/>
    <cellStyle name="Normal 38 2 2 2 3 2 3" xfId="33217" xr:uid="{00000000-0005-0000-0000-000035510000}"/>
    <cellStyle name="Normal 38 2 2 2 3 3" xfId="33223" xr:uid="{00000000-0005-0000-0000-000036510000}"/>
    <cellStyle name="Normal 38 2 2 2 3 3 2" xfId="33228" xr:uid="{00000000-0005-0000-0000-000037510000}"/>
    <cellStyle name="Normal 38 2 2 2 3 4" xfId="33237" xr:uid="{00000000-0005-0000-0000-000038510000}"/>
    <cellStyle name="Normal 38 2 2 2 4" xfId="22957" xr:uid="{00000000-0005-0000-0000-000039510000}"/>
    <cellStyle name="Normal 38 2 2 2 4 2" xfId="33242" xr:uid="{00000000-0005-0000-0000-00003A510000}"/>
    <cellStyle name="Normal 38 2 2 2 4 2 2" xfId="33246" xr:uid="{00000000-0005-0000-0000-00003B510000}"/>
    <cellStyle name="Normal 38 2 2 2 4 3" xfId="33251" xr:uid="{00000000-0005-0000-0000-00003C510000}"/>
    <cellStyle name="Normal 38 2 2 2 5" xfId="33255" xr:uid="{00000000-0005-0000-0000-00003D510000}"/>
    <cellStyle name="Normal 38 2 2 2 5 2" xfId="33258" xr:uid="{00000000-0005-0000-0000-00003E510000}"/>
    <cellStyle name="Normal 38 2 2 2 5 2 2" xfId="33262" xr:uid="{00000000-0005-0000-0000-00003F510000}"/>
    <cellStyle name="Normal 38 2 2 2 5 3" xfId="33266" xr:uid="{00000000-0005-0000-0000-000040510000}"/>
    <cellStyle name="Normal 38 2 2 2 6" xfId="29685" xr:uid="{00000000-0005-0000-0000-000041510000}"/>
    <cellStyle name="Normal 38 2 2 2 6 2" xfId="33270" xr:uid="{00000000-0005-0000-0000-000042510000}"/>
    <cellStyle name="Normal 38 2 2 2 7" xfId="33273" xr:uid="{00000000-0005-0000-0000-000043510000}"/>
    <cellStyle name="Normal 38 2 2 2 7 2" xfId="33276" xr:uid="{00000000-0005-0000-0000-000044510000}"/>
    <cellStyle name="Normal 38 2 2 2 8" xfId="33279" xr:uid="{00000000-0005-0000-0000-000045510000}"/>
    <cellStyle name="Normal 38 2 2 2 9" xfId="9208" xr:uid="{00000000-0005-0000-0000-000046510000}"/>
    <cellStyle name="Normal 38 2 2 3" xfId="33281" xr:uid="{00000000-0005-0000-0000-000047510000}"/>
    <cellStyle name="Normal 38 2 2 3 2" xfId="33283" xr:uid="{00000000-0005-0000-0000-000048510000}"/>
    <cellStyle name="Normal 38 2 2 3 2 2" xfId="1836" xr:uid="{00000000-0005-0000-0000-000049510000}"/>
    <cellStyle name="Normal 38 2 2 3 2 2 2" xfId="30273" xr:uid="{00000000-0005-0000-0000-00004A510000}"/>
    <cellStyle name="Normal 38 2 2 3 2 2 2 2" xfId="30277" xr:uid="{00000000-0005-0000-0000-00004B510000}"/>
    <cellStyle name="Normal 38 2 2 3 2 2 3" xfId="30283" xr:uid="{00000000-0005-0000-0000-00004C510000}"/>
    <cellStyle name="Normal 38 2 2 3 2 3" xfId="33286" xr:uid="{00000000-0005-0000-0000-00004D510000}"/>
    <cellStyle name="Normal 38 2 2 3 2 3 2" xfId="30300" xr:uid="{00000000-0005-0000-0000-00004E510000}"/>
    <cellStyle name="Normal 38 2 2 3 2 4" xfId="33289" xr:uid="{00000000-0005-0000-0000-00004F510000}"/>
    <cellStyle name="Normal 38 2 2 3 3" xfId="33292" xr:uid="{00000000-0005-0000-0000-000050510000}"/>
    <cellStyle name="Normal 38 2 2 3 3 2" xfId="918" xr:uid="{00000000-0005-0000-0000-000051510000}"/>
    <cellStyle name="Normal 38 2 2 3 3 2 2" xfId="30353" xr:uid="{00000000-0005-0000-0000-000052510000}"/>
    <cellStyle name="Normal 38 2 2 3 3 3" xfId="33296" xr:uid="{00000000-0005-0000-0000-000053510000}"/>
    <cellStyle name="Normal 38 2 2 3 4" xfId="33300" xr:uid="{00000000-0005-0000-0000-000054510000}"/>
    <cellStyle name="Normal 38 2 2 3 4 2" xfId="18146" xr:uid="{00000000-0005-0000-0000-000055510000}"/>
    <cellStyle name="Normal 38 2 2 3 4 2 2" xfId="10897" xr:uid="{00000000-0005-0000-0000-000056510000}"/>
    <cellStyle name="Normal 38 2 2 3 4 3" xfId="13575" xr:uid="{00000000-0005-0000-0000-000057510000}"/>
    <cellStyle name="Normal 38 2 2 3 5" xfId="33302" xr:uid="{00000000-0005-0000-0000-000058510000}"/>
    <cellStyle name="Normal 38 2 2 3 5 2" xfId="18177" xr:uid="{00000000-0005-0000-0000-000059510000}"/>
    <cellStyle name="Normal 38 2 2 3 6" xfId="33304" xr:uid="{00000000-0005-0000-0000-00005A510000}"/>
    <cellStyle name="Normal 38 2 2 3 6 2" xfId="33307" xr:uid="{00000000-0005-0000-0000-00005B510000}"/>
    <cellStyle name="Normal 38 2 2 3 7" xfId="33310" xr:uid="{00000000-0005-0000-0000-00005C510000}"/>
    <cellStyle name="Normal 38 2 2 3 8" xfId="33312" xr:uid="{00000000-0005-0000-0000-00005D510000}"/>
    <cellStyle name="Normal 38 2 2 4" xfId="33314" xr:uid="{00000000-0005-0000-0000-00005E510000}"/>
    <cellStyle name="Normal 38 2 2 4 2" xfId="33318" xr:uid="{00000000-0005-0000-0000-00005F510000}"/>
    <cellStyle name="Normal 38 2 2 4 2 2" xfId="2281" xr:uid="{00000000-0005-0000-0000-000060510000}"/>
    <cellStyle name="Normal 38 2 2 4 2 2 2" xfId="5287" xr:uid="{00000000-0005-0000-0000-000061510000}"/>
    <cellStyle name="Normal 38 2 2 4 2 3" xfId="33323" xr:uid="{00000000-0005-0000-0000-000062510000}"/>
    <cellStyle name="Normal 38 2 2 4 3" xfId="33329" xr:uid="{00000000-0005-0000-0000-000063510000}"/>
    <cellStyle name="Normal 38 2 2 4 3 2" xfId="33333" xr:uid="{00000000-0005-0000-0000-000064510000}"/>
    <cellStyle name="Normal 38 2 2 4 4" xfId="33342" xr:uid="{00000000-0005-0000-0000-000065510000}"/>
    <cellStyle name="Normal 38 2 2 5" xfId="33344" xr:uid="{00000000-0005-0000-0000-000066510000}"/>
    <cellStyle name="Normal 38 2 2 5 2" xfId="33348" xr:uid="{00000000-0005-0000-0000-000067510000}"/>
    <cellStyle name="Normal 38 2 2 5 2 2" xfId="2841" xr:uid="{00000000-0005-0000-0000-000068510000}"/>
    <cellStyle name="Normal 38 2 2 5 3" xfId="33353" xr:uid="{00000000-0005-0000-0000-000069510000}"/>
    <cellStyle name="Normal 38 2 2 6" xfId="33355" xr:uid="{00000000-0005-0000-0000-00006A510000}"/>
    <cellStyle name="Normal 38 2 2 6 2" xfId="33359" xr:uid="{00000000-0005-0000-0000-00006B510000}"/>
    <cellStyle name="Normal 38 2 2 6 2 2" xfId="3257" xr:uid="{00000000-0005-0000-0000-00006C510000}"/>
    <cellStyle name="Normal 38 2 2 6 3" xfId="33362" xr:uid="{00000000-0005-0000-0000-00006D510000}"/>
    <cellStyle name="Normal 38 2 2 7" xfId="33365" xr:uid="{00000000-0005-0000-0000-00006E510000}"/>
    <cellStyle name="Normal 38 2 2 7 2" xfId="33369" xr:uid="{00000000-0005-0000-0000-00006F510000}"/>
    <cellStyle name="Normal 38 2 2 8" xfId="33371" xr:uid="{00000000-0005-0000-0000-000070510000}"/>
    <cellStyle name="Normal 38 2 2 8 2" xfId="10993" xr:uid="{00000000-0005-0000-0000-000071510000}"/>
    <cellStyle name="Normal 38 2 2 9" xfId="33373" xr:uid="{00000000-0005-0000-0000-000072510000}"/>
    <cellStyle name="Normal 38 2 3" xfId="30154" xr:uid="{00000000-0005-0000-0000-000073510000}"/>
    <cellStyle name="Normal 38 2 3 2" xfId="33161" xr:uid="{00000000-0005-0000-0000-000074510000}"/>
    <cellStyle name="Normal 38 2 3 2 2" xfId="33375" xr:uid="{00000000-0005-0000-0000-000075510000}"/>
    <cellStyle name="Normal 38 2 3 2 2 2" xfId="33377" xr:uid="{00000000-0005-0000-0000-000076510000}"/>
    <cellStyle name="Normal 38 2 3 2 2 2 2" xfId="27015" xr:uid="{00000000-0005-0000-0000-000077510000}"/>
    <cellStyle name="Normal 38 2 3 2 2 2 2 2" xfId="30754" xr:uid="{00000000-0005-0000-0000-000078510000}"/>
    <cellStyle name="Normal 38 2 3 2 2 2 3" xfId="27021" xr:uid="{00000000-0005-0000-0000-000079510000}"/>
    <cellStyle name="Normal 38 2 3 2 2 3" xfId="33379" xr:uid="{00000000-0005-0000-0000-00007A510000}"/>
    <cellStyle name="Normal 38 2 3 2 2 3 2" xfId="30762" xr:uid="{00000000-0005-0000-0000-00007B510000}"/>
    <cellStyle name="Normal 38 2 3 2 2 4" xfId="33381" xr:uid="{00000000-0005-0000-0000-00007C510000}"/>
    <cellStyle name="Normal 38 2 3 2 2 5" xfId="33383" xr:uid="{00000000-0005-0000-0000-00007D510000}"/>
    <cellStyle name="Normal 38 2 3 2 3" xfId="4250" xr:uid="{00000000-0005-0000-0000-00007E510000}"/>
    <cellStyle name="Normal 38 2 3 2 3 2" xfId="33388" xr:uid="{00000000-0005-0000-0000-00007F510000}"/>
    <cellStyle name="Normal 38 2 3 2 3 2 2" xfId="30788" xr:uid="{00000000-0005-0000-0000-000080510000}"/>
    <cellStyle name="Normal 38 2 3 2 3 3" xfId="33392" xr:uid="{00000000-0005-0000-0000-000081510000}"/>
    <cellStyle name="Normal 38 2 3 2 4" xfId="33398" xr:uid="{00000000-0005-0000-0000-000082510000}"/>
    <cellStyle name="Normal 38 2 3 2 4 2" xfId="33401" xr:uid="{00000000-0005-0000-0000-000083510000}"/>
    <cellStyle name="Normal 38 2 3 2 4 2 2" xfId="33405" xr:uid="{00000000-0005-0000-0000-000084510000}"/>
    <cellStyle name="Normal 38 2 3 2 4 3" xfId="33409" xr:uid="{00000000-0005-0000-0000-000085510000}"/>
    <cellStyle name="Normal 38 2 3 2 5" xfId="31255" xr:uid="{00000000-0005-0000-0000-000086510000}"/>
    <cellStyle name="Normal 38 2 3 2 5 2" xfId="26018" xr:uid="{00000000-0005-0000-0000-000087510000}"/>
    <cellStyle name="Normal 38 2 3 2 6" xfId="29701" xr:uid="{00000000-0005-0000-0000-000088510000}"/>
    <cellStyle name="Normal 38 2 3 2 6 2" xfId="18852" xr:uid="{00000000-0005-0000-0000-000089510000}"/>
    <cellStyle name="Normal 38 2 3 2 7" xfId="28545" xr:uid="{00000000-0005-0000-0000-00008A510000}"/>
    <cellStyle name="Normal 38 2 3 2 8" xfId="33413" xr:uid="{00000000-0005-0000-0000-00008B510000}"/>
    <cellStyle name="Normal 38 2 3 3" xfId="33415" xr:uid="{00000000-0005-0000-0000-00008C510000}"/>
    <cellStyle name="Normal 38 2 3 3 2" xfId="33417" xr:uid="{00000000-0005-0000-0000-00008D510000}"/>
    <cellStyle name="Normal 38 2 3 3 2 2" xfId="25060" xr:uid="{00000000-0005-0000-0000-00008E510000}"/>
    <cellStyle name="Normal 38 2 3 3 2 2 2" xfId="30837" xr:uid="{00000000-0005-0000-0000-00008F510000}"/>
    <cellStyle name="Normal 38 2 3 3 2 3" xfId="33419" xr:uid="{00000000-0005-0000-0000-000090510000}"/>
    <cellStyle name="Normal 38 2 3 3 3" xfId="33424" xr:uid="{00000000-0005-0000-0000-000091510000}"/>
    <cellStyle name="Normal 38 2 3 3 3 2" xfId="25070" xr:uid="{00000000-0005-0000-0000-000092510000}"/>
    <cellStyle name="Normal 38 2 3 3 4" xfId="33427" xr:uid="{00000000-0005-0000-0000-000093510000}"/>
    <cellStyle name="Normal 38 2 3 3 5" xfId="31262" xr:uid="{00000000-0005-0000-0000-000094510000}"/>
    <cellStyle name="Normal 38 2 3 4" xfId="33429" xr:uid="{00000000-0005-0000-0000-000095510000}"/>
    <cellStyle name="Normal 38 2 3 4 2" xfId="33434" xr:uid="{00000000-0005-0000-0000-000096510000}"/>
    <cellStyle name="Normal 38 2 3 4 2 2" xfId="33439" xr:uid="{00000000-0005-0000-0000-000097510000}"/>
    <cellStyle name="Normal 38 2 3 4 3" xfId="33446" xr:uid="{00000000-0005-0000-0000-000098510000}"/>
    <cellStyle name="Normal 38 2 3 5" xfId="33448" xr:uid="{00000000-0005-0000-0000-000099510000}"/>
    <cellStyle name="Normal 38 2 3 5 2" xfId="33453" xr:uid="{00000000-0005-0000-0000-00009A510000}"/>
    <cellStyle name="Normal 38 2 3 5 2 2" xfId="33457" xr:uid="{00000000-0005-0000-0000-00009B510000}"/>
    <cellStyle name="Normal 38 2 3 5 3" xfId="33462" xr:uid="{00000000-0005-0000-0000-00009C510000}"/>
    <cellStyle name="Normal 38 2 3 6" xfId="336" xr:uid="{00000000-0005-0000-0000-00009D510000}"/>
    <cellStyle name="Normal 38 2 3 6 2" xfId="12495" xr:uid="{00000000-0005-0000-0000-00009E510000}"/>
    <cellStyle name="Normal 38 2 3 7" xfId="33464" xr:uid="{00000000-0005-0000-0000-00009F510000}"/>
    <cellStyle name="Normal 38 2 3 7 2" xfId="33468" xr:uid="{00000000-0005-0000-0000-0000A0510000}"/>
    <cellStyle name="Normal 38 2 3 8" xfId="33470" xr:uid="{00000000-0005-0000-0000-0000A1510000}"/>
    <cellStyle name="Normal 38 2 3 9" xfId="33472" xr:uid="{00000000-0005-0000-0000-0000A2510000}"/>
    <cellStyle name="Normal 38 2 4" xfId="33166" xr:uid="{00000000-0005-0000-0000-0000A3510000}"/>
    <cellStyle name="Normal 38 2 4 2" xfId="33474" xr:uid="{00000000-0005-0000-0000-0000A4510000}"/>
    <cellStyle name="Normal 38 2 4 2 2" xfId="17734" xr:uid="{00000000-0005-0000-0000-0000A5510000}"/>
    <cellStyle name="Normal 38 2 4 2 2 2" xfId="29534" xr:uid="{00000000-0005-0000-0000-0000A6510000}"/>
    <cellStyle name="Normal 38 2 4 2 2 2 2" xfId="29539" xr:uid="{00000000-0005-0000-0000-0000A7510000}"/>
    <cellStyle name="Normal 38 2 4 2 2 2 2 2" xfId="1147" xr:uid="{00000000-0005-0000-0000-0000A8510000}"/>
    <cellStyle name="Normal 38 2 4 2 2 2 3" xfId="6813" xr:uid="{00000000-0005-0000-0000-0000A9510000}"/>
    <cellStyle name="Normal 38 2 4 2 2 3" xfId="29543" xr:uid="{00000000-0005-0000-0000-0000AA510000}"/>
    <cellStyle name="Normal 38 2 4 2 2 3 2" xfId="33476" xr:uid="{00000000-0005-0000-0000-0000AB510000}"/>
    <cellStyle name="Normal 38 2 4 2 2 4" xfId="29547" xr:uid="{00000000-0005-0000-0000-0000AC510000}"/>
    <cellStyle name="Normal 38 2 4 2 3" xfId="14055" xr:uid="{00000000-0005-0000-0000-0000AD510000}"/>
    <cellStyle name="Normal 38 2 4 2 3 2" xfId="14065" xr:uid="{00000000-0005-0000-0000-0000AE510000}"/>
    <cellStyle name="Normal 38 2 4 2 3 2 2" xfId="14072" xr:uid="{00000000-0005-0000-0000-0000AF510000}"/>
    <cellStyle name="Normal 38 2 4 2 3 3" xfId="14077" xr:uid="{00000000-0005-0000-0000-0000B0510000}"/>
    <cellStyle name="Normal 38 2 4 2 4" xfId="14089" xr:uid="{00000000-0005-0000-0000-0000B1510000}"/>
    <cellStyle name="Normal 38 2 4 2 4 2" xfId="14097" xr:uid="{00000000-0005-0000-0000-0000B2510000}"/>
    <cellStyle name="Normal 38 2 4 2 4 2 2" xfId="14102" xr:uid="{00000000-0005-0000-0000-0000B3510000}"/>
    <cellStyle name="Normal 38 2 4 2 4 3" xfId="14106" xr:uid="{00000000-0005-0000-0000-0000B4510000}"/>
    <cellStyle name="Normal 38 2 4 2 5" xfId="14111" xr:uid="{00000000-0005-0000-0000-0000B5510000}"/>
    <cellStyle name="Normal 38 2 4 2 5 2" xfId="14119" xr:uid="{00000000-0005-0000-0000-0000B6510000}"/>
    <cellStyle name="Normal 38 2 4 2 6" xfId="14131" xr:uid="{00000000-0005-0000-0000-0000B7510000}"/>
    <cellStyle name="Normal 38 2 4 2 6 2" xfId="14138" xr:uid="{00000000-0005-0000-0000-0000B8510000}"/>
    <cellStyle name="Normal 38 2 4 2 7" xfId="14143" xr:uid="{00000000-0005-0000-0000-0000B9510000}"/>
    <cellStyle name="Normal 38 2 4 2 8" xfId="14151" xr:uid="{00000000-0005-0000-0000-0000BA510000}"/>
    <cellStyle name="Normal 38 2 4 3" xfId="33478" xr:uid="{00000000-0005-0000-0000-0000BB510000}"/>
    <cellStyle name="Normal 38 2 4 3 2" xfId="33480" xr:uid="{00000000-0005-0000-0000-0000BC510000}"/>
    <cellStyle name="Normal 38 2 4 3 2 2" xfId="33482" xr:uid="{00000000-0005-0000-0000-0000BD510000}"/>
    <cellStyle name="Normal 38 2 4 3 2 2 2" xfId="33484" xr:uid="{00000000-0005-0000-0000-0000BE510000}"/>
    <cellStyle name="Normal 38 2 4 3 2 3" xfId="33486" xr:uid="{00000000-0005-0000-0000-0000BF510000}"/>
    <cellStyle name="Normal 38 2 4 3 3" xfId="14160" xr:uid="{00000000-0005-0000-0000-0000C0510000}"/>
    <cellStyle name="Normal 38 2 4 3 3 2" xfId="14166" xr:uid="{00000000-0005-0000-0000-0000C1510000}"/>
    <cellStyle name="Normal 38 2 4 3 4" xfId="14171" xr:uid="{00000000-0005-0000-0000-0000C2510000}"/>
    <cellStyle name="Normal 38 2 4 4" xfId="33488" xr:uid="{00000000-0005-0000-0000-0000C3510000}"/>
    <cellStyle name="Normal 38 2 4 4 2" xfId="33492" xr:uid="{00000000-0005-0000-0000-0000C4510000}"/>
    <cellStyle name="Normal 38 2 4 4 2 2" xfId="33496" xr:uid="{00000000-0005-0000-0000-0000C5510000}"/>
    <cellStyle name="Normal 38 2 4 4 3" xfId="14183" xr:uid="{00000000-0005-0000-0000-0000C6510000}"/>
    <cellStyle name="Normal 38 2 4 5" xfId="17263" xr:uid="{00000000-0005-0000-0000-0000C7510000}"/>
    <cellStyle name="Normal 38 2 4 5 2" xfId="16412" xr:uid="{00000000-0005-0000-0000-0000C8510000}"/>
    <cellStyle name="Normal 38 2 4 5 2 2" xfId="33500" xr:uid="{00000000-0005-0000-0000-0000C9510000}"/>
    <cellStyle name="Normal 38 2 4 5 3" xfId="14196" xr:uid="{00000000-0005-0000-0000-0000CA510000}"/>
    <cellStyle name="Normal 38 2 4 6" xfId="17266" xr:uid="{00000000-0005-0000-0000-0000CB510000}"/>
    <cellStyle name="Normal 38 2 4 6 2" xfId="33504" xr:uid="{00000000-0005-0000-0000-0000CC510000}"/>
    <cellStyle name="Normal 38 2 4 7" xfId="17269" xr:uid="{00000000-0005-0000-0000-0000CD510000}"/>
    <cellStyle name="Normal 38 2 4 7 2" xfId="33508" xr:uid="{00000000-0005-0000-0000-0000CE510000}"/>
    <cellStyle name="Normal 38 2 4 8" xfId="33510" xr:uid="{00000000-0005-0000-0000-0000CF510000}"/>
    <cellStyle name="Normal 38 2 4 9" xfId="33512" xr:uid="{00000000-0005-0000-0000-0000D0510000}"/>
    <cellStyle name="Normal 38 2 5" xfId="33514" xr:uid="{00000000-0005-0000-0000-0000D1510000}"/>
    <cellStyle name="Normal 38 2 5 2" xfId="33516" xr:uid="{00000000-0005-0000-0000-0000D2510000}"/>
    <cellStyle name="Normal 38 2 5 2 2" xfId="33518" xr:uid="{00000000-0005-0000-0000-0000D3510000}"/>
    <cellStyle name="Normal 38 2 5 2 2 2" xfId="33520" xr:uid="{00000000-0005-0000-0000-0000D4510000}"/>
    <cellStyle name="Normal 38 2 5 2 2 2 2" xfId="33522" xr:uid="{00000000-0005-0000-0000-0000D5510000}"/>
    <cellStyle name="Normal 38 2 5 2 2 2 2 2" xfId="33526" xr:uid="{00000000-0005-0000-0000-0000D6510000}"/>
    <cellStyle name="Normal 38 2 5 2 2 2 3" xfId="33530" xr:uid="{00000000-0005-0000-0000-0000D7510000}"/>
    <cellStyle name="Normal 38 2 5 2 2 3" xfId="29817" xr:uid="{00000000-0005-0000-0000-0000D8510000}"/>
    <cellStyle name="Normal 38 2 5 2 2 3 2" xfId="33533" xr:uid="{00000000-0005-0000-0000-0000D9510000}"/>
    <cellStyle name="Normal 38 2 5 2 2 4" xfId="33536" xr:uid="{00000000-0005-0000-0000-0000DA510000}"/>
    <cellStyle name="Normal 38 2 5 2 3" xfId="14258" xr:uid="{00000000-0005-0000-0000-0000DB510000}"/>
    <cellStyle name="Normal 38 2 5 2 3 2" xfId="14262" xr:uid="{00000000-0005-0000-0000-0000DC510000}"/>
    <cellStyle name="Normal 38 2 5 2 3 2 2" xfId="14267" xr:uid="{00000000-0005-0000-0000-0000DD510000}"/>
    <cellStyle name="Normal 38 2 5 2 3 3" xfId="14273" xr:uid="{00000000-0005-0000-0000-0000DE510000}"/>
    <cellStyle name="Normal 38 2 5 2 4" xfId="14277" xr:uid="{00000000-0005-0000-0000-0000DF510000}"/>
    <cellStyle name="Normal 38 2 5 2 4 2" xfId="14283" xr:uid="{00000000-0005-0000-0000-0000E0510000}"/>
    <cellStyle name="Normal 38 2 5 2 4 2 2" xfId="33539" xr:uid="{00000000-0005-0000-0000-0000E1510000}"/>
    <cellStyle name="Normal 38 2 5 2 4 3" xfId="33545" xr:uid="{00000000-0005-0000-0000-0000E2510000}"/>
    <cellStyle name="Normal 38 2 5 2 5" xfId="14292" xr:uid="{00000000-0005-0000-0000-0000E3510000}"/>
    <cellStyle name="Normal 38 2 5 2 5 2" xfId="30458" xr:uid="{00000000-0005-0000-0000-0000E4510000}"/>
    <cellStyle name="Normal 38 2 5 2 6" xfId="14301" xr:uid="{00000000-0005-0000-0000-0000E5510000}"/>
    <cellStyle name="Normal 38 2 5 2 6 2" xfId="16197" xr:uid="{00000000-0005-0000-0000-0000E6510000}"/>
    <cellStyle name="Normal 38 2 5 2 7" xfId="33550" xr:uid="{00000000-0005-0000-0000-0000E7510000}"/>
    <cellStyle name="Normal 38 2 5 2 8" xfId="33554" xr:uid="{00000000-0005-0000-0000-0000E8510000}"/>
    <cellStyle name="Normal 38 2 5 3" xfId="33556" xr:uid="{00000000-0005-0000-0000-0000E9510000}"/>
    <cellStyle name="Normal 38 2 5 3 2" xfId="33558" xr:uid="{00000000-0005-0000-0000-0000EA510000}"/>
    <cellStyle name="Normal 38 2 5 3 2 2" xfId="33561" xr:uid="{00000000-0005-0000-0000-0000EB510000}"/>
    <cellStyle name="Normal 38 2 5 3 2 2 2" xfId="33565" xr:uid="{00000000-0005-0000-0000-0000EC510000}"/>
    <cellStyle name="Normal 38 2 5 3 2 3" xfId="33570" xr:uid="{00000000-0005-0000-0000-0000ED510000}"/>
    <cellStyle name="Normal 38 2 5 3 3" xfId="14306" xr:uid="{00000000-0005-0000-0000-0000EE510000}"/>
    <cellStyle name="Normal 38 2 5 3 3 2" xfId="14313" xr:uid="{00000000-0005-0000-0000-0000EF510000}"/>
    <cellStyle name="Normal 38 2 5 3 4" xfId="14319" xr:uid="{00000000-0005-0000-0000-0000F0510000}"/>
    <cellStyle name="Normal 38 2 5 4" xfId="33573" xr:uid="{00000000-0005-0000-0000-0000F1510000}"/>
    <cellStyle name="Normal 38 2 5 4 2" xfId="33577" xr:uid="{00000000-0005-0000-0000-0000F2510000}"/>
    <cellStyle name="Normal 38 2 5 4 2 2" xfId="33580" xr:uid="{00000000-0005-0000-0000-0000F3510000}"/>
    <cellStyle name="Normal 38 2 5 4 3" xfId="14328" xr:uid="{00000000-0005-0000-0000-0000F4510000}"/>
    <cellStyle name="Normal 38 2 5 5" xfId="17273" xr:uid="{00000000-0005-0000-0000-0000F5510000}"/>
    <cellStyle name="Normal 38 2 5 5 2" xfId="33587" xr:uid="{00000000-0005-0000-0000-0000F6510000}"/>
    <cellStyle name="Normal 38 2 5 5 2 2" xfId="33589" xr:uid="{00000000-0005-0000-0000-0000F7510000}"/>
    <cellStyle name="Normal 38 2 5 5 3" xfId="14338" xr:uid="{00000000-0005-0000-0000-0000F8510000}"/>
    <cellStyle name="Normal 38 2 5 6" xfId="33593" xr:uid="{00000000-0005-0000-0000-0000F9510000}"/>
    <cellStyle name="Normal 38 2 5 6 2" xfId="33597" xr:uid="{00000000-0005-0000-0000-0000FA510000}"/>
    <cellStyle name="Normal 38 2 5 7" xfId="33599" xr:uid="{00000000-0005-0000-0000-0000FB510000}"/>
    <cellStyle name="Normal 38 2 5 7 2" xfId="33601" xr:uid="{00000000-0005-0000-0000-0000FC510000}"/>
    <cellStyle name="Normal 38 2 5 8" xfId="33604" xr:uid="{00000000-0005-0000-0000-0000FD510000}"/>
    <cellStyle name="Normal 38 2 5 9" xfId="33606" xr:uid="{00000000-0005-0000-0000-0000FE510000}"/>
    <cellStyle name="Normal 38 2 6" xfId="9836" xr:uid="{00000000-0005-0000-0000-0000FF510000}"/>
    <cellStyle name="Normal 38 2 6 2" xfId="33608" xr:uid="{00000000-0005-0000-0000-000000520000}"/>
    <cellStyle name="Normal 38 2 6 2 2" xfId="33610" xr:uid="{00000000-0005-0000-0000-000001520000}"/>
    <cellStyle name="Normal 38 2 6 2 2 2" xfId="33612" xr:uid="{00000000-0005-0000-0000-000002520000}"/>
    <cellStyle name="Normal 38 2 6 2 2 2 2" xfId="33614" xr:uid="{00000000-0005-0000-0000-000003520000}"/>
    <cellStyle name="Normal 38 2 6 2 2 3" xfId="170" xr:uid="{00000000-0005-0000-0000-000004520000}"/>
    <cellStyle name="Normal 38 2 6 2 3" xfId="14371" xr:uid="{00000000-0005-0000-0000-000005520000}"/>
    <cellStyle name="Normal 38 2 6 2 3 2" xfId="14376" xr:uid="{00000000-0005-0000-0000-000006520000}"/>
    <cellStyle name="Normal 38 2 6 2 4" xfId="14379" xr:uid="{00000000-0005-0000-0000-000007520000}"/>
    <cellStyle name="Normal 38 2 6 2 5" xfId="14389" xr:uid="{00000000-0005-0000-0000-000008520000}"/>
    <cellStyle name="Normal 38 2 6 3" xfId="33616" xr:uid="{00000000-0005-0000-0000-000009520000}"/>
    <cellStyle name="Normal 38 2 6 3 2" xfId="33618" xr:uid="{00000000-0005-0000-0000-00000A520000}"/>
    <cellStyle name="Normal 38 2 6 3 2 2" xfId="33621" xr:uid="{00000000-0005-0000-0000-00000B520000}"/>
    <cellStyle name="Normal 38 2 6 3 3" xfId="14398" xr:uid="{00000000-0005-0000-0000-00000C520000}"/>
    <cellStyle name="Normal 38 2 6 4" xfId="33624" xr:uid="{00000000-0005-0000-0000-00000D520000}"/>
    <cellStyle name="Normal 38 2 6 4 2" xfId="33628" xr:uid="{00000000-0005-0000-0000-00000E520000}"/>
    <cellStyle name="Normal 38 2 6 4 2 2" xfId="19193" xr:uid="{00000000-0005-0000-0000-00000F520000}"/>
    <cellStyle name="Normal 38 2 6 4 3" xfId="14407" xr:uid="{00000000-0005-0000-0000-000010520000}"/>
    <cellStyle name="Normal 38 2 6 5" xfId="17277" xr:uid="{00000000-0005-0000-0000-000011520000}"/>
    <cellStyle name="Normal 38 2 6 5 2" xfId="33630" xr:uid="{00000000-0005-0000-0000-000012520000}"/>
    <cellStyle name="Normal 38 2 6 6" xfId="33633" xr:uid="{00000000-0005-0000-0000-000013520000}"/>
    <cellStyle name="Normal 38 2 6 6 2" xfId="33635" xr:uid="{00000000-0005-0000-0000-000014520000}"/>
    <cellStyle name="Normal 38 2 6 7" xfId="33638" xr:uid="{00000000-0005-0000-0000-000015520000}"/>
    <cellStyle name="Normal 38 2 6 8" xfId="33640" xr:uid="{00000000-0005-0000-0000-000016520000}"/>
    <cellStyle name="Normal 38 2 7" xfId="33642" xr:uid="{00000000-0005-0000-0000-000017520000}"/>
    <cellStyle name="Normal 38 2 7 2" xfId="33644" xr:uid="{00000000-0005-0000-0000-000018520000}"/>
    <cellStyle name="Normal 38 2 7 2 2" xfId="33646" xr:uid="{00000000-0005-0000-0000-000019520000}"/>
    <cellStyle name="Normal 38 2 7 2 2 2" xfId="33648" xr:uid="{00000000-0005-0000-0000-00001A520000}"/>
    <cellStyle name="Normal 38 2 7 2 3" xfId="2581" xr:uid="{00000000-0005-0000-0000-00001B520000}"/>
    <cellStyle name="Normal 38 2 7 3" xfId="33650" xr:uid="{00000000-0005-0000-0000-00001C520000}"/>
    <cellStyle name="Normal 38 2 7 3 2" xfId="33652" xr:uid="{00000000-0005-0000-0000-00001D520000}"/>
    <cellStyle name="Normal 38 2 7 4" xfId="33654" xr:uid="{00000000-0005-0000-0000-00001E520000}"/>
    <cellStyle name="Normal 38 2 7 5" xfId="33656" xr:uid="{00000000-0005-0000-0000-00001F520000}"/>
    <cellStyle name="Normal 38 2 8" xfId="19272" xr:uid="{00000000-0005-0000-0000-000020520000}"/>
    <cellStyle name="Normal 38 2 8 2" xfId="33657" xr:uid="{00000000-0005-0000-0000-000021520000}"/>
    <cellStyle name="Normal 38 2 8 2 2" xfId="33659" xr:uid="{00000000-0005-0000-0000-000022520000}"/>
    <cellStyle name="Normal 38 2 8 3" xfId="33661" xr:uid="{00000000-0005-0000-0000-000023520000}"/>
    <cellStyle name="Normal 38 2 9" xfId="33663" xr:uid="{00000000-0005-0000-0000-000024520000}"/>
    <cellStyle name="Normal 38 2 9 2" xfId="33665" xr:uid="{00000000-0005-0000-0000-000025520000}"/>
    <cellStyle name="Normal 38 2 9 2 2" xfId="33669" xr:uid="{00000000-0005-0000-0000-000026520000}"/>
    <cellStyle name="Normal 38 2 9 3" xfId="33671" xr:uid="{00000000-0005-0000-0000-000027520000}"/>
    <cellStyle name="Normal 38 3" xfId="30164" xr:uid="{00000000-0005-0000-0000-000028520000}"/>
    <cellStyle name="Normal 38 3 10" xfId="33674" xr:uid="{00000000-0005-0000-0000-000029520000}"/>
    <cellStyle name="Normal 38 3 10 2" xfId="33676" xr:uid="{00000000-0005-0000-0000-00002A520000}"/>
    <cellStyle name="Normal 38 3 11" xfId="33678" xr:uid="{00000000-0005-0000-0000-00002B520000}"/>
    <cellStyle name="Normal 38 3 11 2" xfId="33680" xr:uid="{00000000-0005-0000-0000-00002C520000}"/>
    <cellStyle name="Normal 38 3 12" xfId="33682" xr:uid="{00000000-0005-0000-0000-00002D520000}"/>
    <cellStyle name="Normal 38 3 12 2" xfId="27603" xr:uid="{00000000-0005-0000-0000-00002E520000}"/>
    <cellStyle name="Normal 38 3 13" xfId="33688" xr:uid="{00000000-0005-0000-0000-00002F520000}"/>
    <cellStyle name="Normal 38 3 14" xfId="33690" xr:uid="{00000000-0005-0000-0000-000030520000}"/>
    <cellStyle name="Normal 38 3 2" xfId="30168" xr:uid="{00000000-0005-0000-0000-000031520000}"/>
    <cellStyle name="Normal 38 3 2 10" xfId="33695" xr:uid="{00000000-0005-0000-0000-000032520000}"/>
    <cellStyle name="Normal 38 3 2 2" xfId="30172" xr:uid="{00000000-0005-0000-0000-000033520000}"/>
    <cellStyle name="Normal 38 3 2 2 2" xfId="23013" xr:uid="{00000000-0005-0000-0000-000034520000}"/>
    <cellStyle name="Normal 38 3 2 2 2 2" xfId="23017" xr:uid="{00000000-0005-0000-0000-000035520000}"/>
    <cellStyle name="Normal 38 3 2 2 2 2 2" xfId="28055" xr:uid="{00000000-0005-0000-0000-000036520000}"/>
    <cellStyle name="Normal 38 3 2 2 2 2 2 2" xfId="32071" xr:uid="{00000000-0005-0000-0000-000037520000}"/>
    <cellStyle name="Normal 38 3 2 2 2 2 2 2 2" xfId="33697" xr:uid="{00000000-0005-0000-0000-000038520000}"/>
    <cellStyle name="Normal 38 3 2 2 2 2 2 3" xfId="33699" xr:uid="{00000000-0005-0000-0000-000039520000}"/>
    <cellStyle name="Normal 38 3 2 2 2 2 3" xfId="28063" xr:uid="{00000000-0005-0000-0000-00003A520000}"/>
    <cellStyle name="Normal 38 3 2 2 2 2 3 2" xfId="32498" xr:uid="{00000000-0005-0000-0000-00003B520000}"/>
    <cellStyle name="Normal 38 3 2 2 2 2 4" xfId="33702" xr:uid="{00000000-0005-0000-0000-00003C520000}"/>
    <cellStyle name="Normal 38 3 2 2 2 3" xfId="23024" xr:uid="{00000000-0005-0000-0000-00003D520000}"/>
    <cellStyle name="Normal 38 3 2 2 2 3 2" xfId="8487" xr:uid="{00000000-0005-0000-0000-00003E520000}"/>
    <cellStyle name="Normal 38 3 2 2 2 3 2 2" xfId="33707" xr:uid="{00000000-0005-0000-0000-00003F520000}"/>
    <cellStyle name="Normal 38 3 2 2 2 3 3" xfId="30951" xr:uid="{00000000-0005-0000-0000-000040520000}"/>
    <cellStyle name="Normal 38 3 2 2 2 4" xfId="23633" xr:uid="{00000000-0005-0000-0000-000041520000}"/>
    <cellStyle name="Normal 38 3 2 2 2 4 2" xfId="32091" xr:uid="{00000000-0005-0000-0000-000042520000}"/>
    <cellStyle name="Normal 38 3 2 2 2 4 2 2" xfId="33712" xr:uid="{00000000-0005-0000-0000-000043520000}"/>
    <cellStyle name="Normal 38 3 2 2 2 4 3" xfId="33714" xr:uid="{00000000-0005-0000-0000-000044520000}"/>
    <cellStyle name="Normal 38 3 2 2 2 5" xfId="33716" xr:uid="{00000000-0005-0000-0000-000045520000}"/>
    <cellStyle name="Normal 38 3 2 2 2 5 2" xfId="20433" xr:uid="{00000000-0005-0000-0000-000046520000}"/>
    <cellStyle name="Normal 38 3 2 2 2 6" xfId="33720" xr:uid="{00000000-0005-0000-0000-000047520000}"/>
    <cellStyle name="Normal 38 3 2 2 2 6 2" xfId="33726" xr:uid="{00000000-0005-0000-0000-000048520000}"/>
    <cellStyle name="Normal 38 3 2 2 2 7" xfId="33730" xr:uid="{00000000-0005-0000-0000-000049520000}"/>
    <cellStyle name="Normal 38 3 2 2 2 8" xfId="18671" xr:uid="{00000000-0005-0000-0000-00004A520000}"/>
    <cellStyle name="Normal 38 3 2 2 3" xfId="23029" xr:uid="{00000000-0005-0000-0000-00004B520000}"/>
    <cellStyle name="Normal 38 3 2 2 3 2" xfId="33735" xr:uid="{00000000-0005-0000-0000-00004C520000}"/>
    <cellStyle name="Normal 38 3 2 2 3 2 2" xfId="32115" xr:uid="{00000000-0005-0000-0000-00004D520000}"/>
    <cellStyle name="Normal 38 3 2 2 3 2 2 2" xfId="33737" xr:uid="{00000000-0005-0000-0000-00004E520000}"/>
    <cellStyle name="Normal 38 3 2 2 3 2 3" xfId="33740" xr:uid="{00000000-0005-0000-0000-00004F520000}"/>
    <cellStyle name="Normal 38 3 2 2 3 3" xfId="33742" xr:uid="{00000000-0005-0000-0000-000050520000}"/>
    <cellStyle name="Normal 38 3 2 2 3 3 2" xfId="33744" xr:uid="{00000000-0005-0000-0000-000051520000}"/>
    <cellStyle name="Normal 38 3 2 2 3 4" xfId="33746" xr:uid="{00000000-0005-0000-0000-000052520000}"/>
    <cellStyle name="Normal 38 3 2 2 4" xfId="33749" xr:uid="{00000000-0005-0000-0000-000053520000}"/>
    <cellStyle name="Normal 38 3 2 2 4 2" xfId="33751" xr:uid="{00000000-0005-0000-0000-000054520000}"/>
    <cellStyle name="Normal 38 3 2 2 4 2 2" xfId="33753" xr:uid="{00000000-0005-0000-0000-000055520000}"/>
    <cellStyle name="Normal 38 3 2 2 4 3" xfId="33755" xr:uid="{00000000-0005-0000-0000-000056520000}"/>
    <cellStyle name="Normal 38 3 2 2 5" xfId="33757" xr:uid="{00000000-0005-0000-0000-000057520000}"/>
    <cellStyle name="Normal 38 3 2 2 5 2" xfId="26589" xr:uid="{00000000-0005-0000-0000-000058520000}"/>
    <cellStyle name="Normal 38 3 2 2 5 2 2" xfId="26592" xr:uid="{00000000-0005-0000-0000-000059520000}"/>
    <cellStyle name="Normal 38 3 2 2 5 3" xfId="26596" xr:uid="{00000000-0005-0000-0000-00005A520000}"/>
    <cellStyle name="Normal 38 3 2 2 6" xfId="33759" xr:uid="{00000000-0005-0000-0000-00005B520000}"/>
    <cellStyle name="Normal 38 3 2 2 6 2" xfId="26629" xr:uid="{00000000-0005-0000-0000-00005C520000}"/>
    <cellStyle name="Normal 38 3 2 2 7" xfId="33761" xr:uid="{00000000-0005-0000-0000-00005D520000}"/>
    <cellStyle name="Normal 38 3 2 2 7 2" xfId="26647" xr:uid="{00000000-0005-0000-0000-00005E520000}"/>
    <cellStyle name="Normal 38 3 2 2 8" xfId="33763" xr:uid="{00000000-0005-0000-0000-00005F520000}"/>
    <cellStyle name="Normal 38 3 2 2 9" xfId="9264" xr:uid="{00000000-0005-0000-0000-000060520000}"/>
    <cellStyle name="Normal 38 3 2 3" xfId="33767" xr:uid="{00000000-0005-0000-0000-000061520000}"/>
    <cellStyle name="Normal 38 3 2 3 2" xfId="23036" xr:uid="{00000000-0005-0000-0000-000062520000}"/>
    <cellStyle name="Normal 38 3 2 3 2 2" xfId="4295" xr:uid="{00000000-0005-0000-0000-000063520000}"/>
    <cellStyle name="Normal 38 3 2 3 2 2 2" xfId="22925" xr:uid="{00000000-0005-0000-0000-000064520000}"/>
    <cellStyle name="Normal 38 3 2 3 2 2 2 2" xfId="22931" xr:uid="{00000000-0005-0000-0000-000065520000}"/>
    <cellStyle name="Normal 38 3 2 3 2 2 3" xfId="9798" xr:uid="{00000000-0005-0000-0000-000066520000}"/>
    <cellStyle name="Normal 38 3 2 3 2 3" xfId="19474" xr:uid="{00000000-0005-0000-0000-000067520000}"/>
    <cellStyle name="Normal 38 3 2 3 2 3 2" xfId="6195" xr:uid="{00000000-0005-0000-0000-000068520000}"/>
    <cellStyle name="Normal 38 3 2 3 2 4" xfId="33770" xr:uid="{00000000-0005-0000-0000-000069520000}"/>
    <cellStyle name="Normal 38 3 2 3 3" xfId="33773" xr:uid="{00000000-0005-0000-0000-00006A520000}"/>
    <cellStyle name="Normal 38 3 2 3 3 2" xfId="1938" xr:uid="{00000000-0005-0000-0000-00006B520000}"/>
    <cellStyle name="Normal 38 3 2 3 3 2 2" xfId="23517" xr:uid="{00000000-0005-0000-0000-00006C520000}"/>
    <cellStyle name="Normal 38 3 2 3 3 3" xfId="33775" xr:uid="{00000000-0005-0000-0000-00006D520000}"/>
    <cellStyle name="Normal 38 3 2 3 4" xfId="33777" xr:uid="{00000000-0005-0000-0000-00006E520000}"/>
    <cellStyle name="Normal 38 3 2 3 4 2" xfId="33779" xr:uid="{00000000-0005-0000-0000-00006F520000}"/>
    <cellStyle name="Normal 38 3 2 3 4 2 2" xfId="23874" xr:uid="{00000000-0005-0000-0000-000070520000}"/>
    <cellStyle name="Normal 38 3 2 3 4 3" xfId="33781" xr:uid="{00000000-0005-0000-0000-000071520000}"/>
    <cellStyle name="Normal 38 3 2 3 5" xfId="33783" xr:uid="{00000000-0005-0000-0000-000072520000}"/>
    <cellStyle name="Normal 38 3 2 3 5 2" xfId="26659" xr:uid="{00000000-0005-0000-0000-000073520000}"/>
    <cellStyle name="Normal 38 3 2 3 6" xfId="33786" xr:uid="{00000000-0005-0000-0000-000074520000}"/>
    <cellStyle name="Normal 38 3 2 3 6 2" xfId="26668" xr:uid="{00000000-0005-0000-0000-000075520000}"/>
    <cellStyle name="Normal 38 3 2 3 7" xfId="33790" xr:uid="{00000000-0005-0000-0000-000076520000}"/>
    <cellStyle name="Normal 38 3 2 3 8" xfId="33793" xr:uid="{00000000-0005-0000-0000-000077520000}"/>
    <cellStyle name="Normal 38 3 2 4" xfId="33795" xr:uid="{00000000-0005-0000-0000-000078520000}"/>
    <cellStyle name="Normal 38 3 2 4 2" xfId="23046" xr:uid="{00000000-0005-0000-0000-000079520000}"/>
    <cellStyle name="Normal 38 3 2 4 2 2" xfId="4393" xr:uid="{00000000-0005-0000-0000-00007A520000}"/>
    <cellStyle name="Normal 38 3 2 4 2 2 2" xfId="24660" xr:uid="{00000000-0005-0000-0000-00007B520000}"/>
    <cellStyle name="Normal 38 3 2 4 2 3" xfId="33801" xr:uid="{00000000-0005-0000-0000-00007C520000}"/>
    <cellStyle name="Normal 38 3 2 4 3" xfId="33805" xr:uid="{00000000-0005-0000-0000-00007D520000}"/>
    <cellStyle name="Normal 38 3 2 4 3 2" xfId="33809" xr:uid="{00000000-0005-0000-0000-00007E520000}"/>
    <cellStyle name="Normal 38 3 2 4 4" xfId="33813" xr:uid="{00000000-0005-0000-0000-00007F520000}"/>
    <cellStyle name="Normal 38 3 2 5" xfId="33815" xr:uid="{00000000-0005-0000-0000-000080520000}"/>
    <cellStyle name="Normal 38 3 2 5 2" xfId="33820" xr:uid="{00000000-0005-0000-0000-000081520000}"/>
    <cellStyle name="Normal 38 3 2 5 2 2" xfId="4664" xr:uid="{00000000-0005-0000-0000-000082520000}"/>
    <cellStyle name="Normal 38 3 2 5 3" xfId="33825" xr:uid="{00000000-0005-0000-0000-000083520000}"/>
    <cellStyle name="Normal 38 3 2 6" xfId="33827" xr:uid="{00000000-0005-0000-0000-000084520000}"/>
    <cellStyle name="Normal 38 3 2 6 2" xfId="33831" xr:uid="{00000000-0005-0000-0000-000085520000}"/>
    <cellStyle name="Normal 38 3 2 6 2 2" xfId="4584" xr:uid="{00000000-0005-0000-0000-000086520000}"/>
    <cellStyle name="Normal 38 3 2 6 3" xfId="33833" xr:uid="{00000000-0005-0000-0000-000087520000}"/>
    <cellStyle name="Normal 38 3 2 7" xfId="33836" xr:uid="{00000000-0005-0000-0000-000088520000}"/>
    <cellStyle name="Normal 38 3 2 7 2" xfId="33840" xr:uid="{00000000-0005-0000-0000-000089520000}"/>
    <cellStyle name="Normal 38 3 2 8" xfId="33842" xr:uid="{00000000-0005-0000-0000-00008A520000}"/>
    <cellStyle name="Normal 38 3 2 8 2" xfId="33844" xr:uid="{00000000-0005-0000-0000-00008B520000}"/>
    <cellStyle name="Normal 38 3 2 9" xfId="33847" xr:uid="{00000000-0005-0000-0000-00008C520000}"/>
    <cellStyle name="Normal 38 3 3" xfId="30176" xr:uid="{00000000-0005-0000-0000-00008D520000}"/>
    <cellStyle name="Normal 38 3 3 2" xfId="33171" xr:uid="{00000000-0005-0000-0000-00008E520000}"/>
    <cellStyle name="Normal 38 3 3 2 2" xfId="23066" xr:uid="{00000000-0005-0000-0000-00008F520000}"/>
    <cellStyle name="Normal 38 3 3 2 2 2" xfId="21026" xr:uid="{00000000-0005-0000-0000-000090520000}"/>
    <cellStyle name="Normal 38 3 3 2 2 2 2" xfId="21030" xr:uid="{00000000-0005-0000-0000-000091520000}"/>
    <cellStyle name="Normal 38 3 3 2 2 2 2 2" xfId="21036" xr:uid="{00000000-0005-0000-0000-000092520000}"/>
    <cellStyle name="Normal 38 3 3 2 2 2 3" xfId="15461" xr:uid="{00000000-0005-0000-0000-000093520000}"/>
    <cellStyle name="Normal 38 3 3 2 2 3" xfId="21041" xr:uid="{00000000-0005-0000-0000-000094520000}"/>
    <cellStyle name="Normal 38 3 3 2 2 3 2" xfId="21044" xr:uid="{00000000-0005-0000-0000-000095520000}"/>
    <cellStyle name="Normal 38 3 3 2 2 4" xfId="33849" xr:uid="{00000000-0005-0000-0000-000096520000}"/>
    <cellStyle name="Normal 38 3 3 2 2 5" xfId="33851" xr:uid="{00000000-0005-0000-0000-000097520000}"/>
    <cellStyle name="Normal 38 3 3 2 3" xfId="33854" xr:uid="{00000000-0005-0000-0000-000098520000}"/>
    <cellStyle name="Normal 38 3 3 2 3 2" xfId="21185" xr:uid="{00000000-0005-0000-0000-000099520000}"/>
    <cellStyle name="Normal 38 3 3 2 3 2 2" xfId="21188" xr:uid="{00000000-0005-0000-0000-00009A520000}"/>
    <cellStyle name="Normal 38 3 3 2 3 3" xfId="21193" xr:uid="{00000000-0005-0000-0000-00009B520000}"/>
    <cellStyle name="Normal 38 3 3 2 4" xfId="33857" xr:uid="{00000000-0005-0000-0000-00009C520000}"/>
    <cellStyle name="Normal 38 3 3 2 4 2" xfId="21213" xr:uid="{00000000-0005-0000-0000-00009D520000}"/>
    <cellStyle name="Normal 38 3 3 2 4 2 2" xfId="33859" xr:uid="{00000000-0005-0000-0000-00009E520000}"/>
    <cellStyle name="Normal 38 3 3 2 4 3" xfId="21216" xr:uid="{00000000-0005-0000-0000-00009F520000}"/>
    <cellStyle name="Normal 38 3 3 2 5" xfId="31305" xr:uid="{00000000-0005-0000-0000-0000A0520000}"/>
    <cellStyle name="Normal 38 3 3 2 5 2" xfId="21246" xr:uid="{00000000-0005-0000-0000-0000A1520000}"/>
    <cellStyle name="Normal 38 3 3 2 6" xfId="31309" xr:uid="{00000000-0005-0000-0000-0000A2520000}"/>
    <cellStyle name="Normal 38 3 3 2 6 2" xfId="21295" xr:uid="{00000000-0005-0000-0000-0000A3520000}"/>
    <cellStyle name="Normal 38 3 3 2 7" xfId="33861" xr:uid="{00000000-0005-0000-0000-0000A4520000}"/>
    <cellStyle name="Normal 38 3 3 2 8" xfId="33863" xr:uid="{00000000-0005-0000-0000-0000A5520000}"/>
    <cellStyle name="Normal 38 3 3 3" xfId="33865" xr:uid="{00000000-0005-0000-0000-0000A6520000}"/>
    <cellStyle name="Normal 38 3 3 3 2" xfId="33867" xr:uid="{00000000-0005-0000-0000-0000A7520000}"/>
    <cellStyle name="Normal 38 3 3 3 2 2" xfId="33869" xr:uid="{00000000-0005-0000-0000-0000A8520000}"/>
    <cellStyle name="Normal 38 3 3 3 2 2 2" xfId="32509" xr:uid="{00000000-0005-0000-0000-0000A9520000}"/>
    <cellStyle name="Normal 38 3 3 3 2 3" xfId="33871" xr:uid="{00000000-0005-0000-0000-0000AA520000}"/>
    <cellStyle name="Normal 38 3 3 3 3" xfId="33873" xr:uid="{00000000-0005-0000-0000-0000AB520000}"/>
    <cellStyle name="Normal 38 3 3 3 3 2" xfId="33875" xr:uid="{00000000-0005-0000-0000-0000AC520000}"/>
    <cellStyle name="Normal 38 3 3 3 4" xfId="33877" xr:uid="{00000000-0005-0000-0000-0000AD520000}"/>
    <cellStyle name="Normal 38 3 3 3 5" xfId="31315" xr:uid="{00000000-0005-0000-0000-0000AE520000}"/>
    <cellStyle name="Normal 38 3 3 4" xfId="33879" xr:uid="{00000000-0005-0000-0000-0000AF520000}"/>
    <cellStyle name="Normal 38 3 3 4 2" xfId="33883" xr:uid="{00000000-0005-0000-0000-0000B0520000}"/>
    <cellStyle name="Normal 38 3 3 4 2 2" xfId="33887" xr:uid="{00000000-0005-0000-0000-0000B1520000}"/>
    <cellStyle name="Normal 38 3 3 4 3" xfId="33891" xr:uid="{00000000-0005-0000-0000-0000B2520000}"/>
    <cellStyle name="Normal 38 3 3 5" xfId="33893" xr:uid="{00000000-0005-0000-0000-0000B3520000}"/>
    <cellStyle name="Normal 38 3 3 5 2" xfId="33897" xr:uid="{00000000-0005-0000-0000-0000B4520000}"/>
    <cellStyle name="Normal 38 3 3 5 2 2" xfId="18033" xr:uid="{00000000-0005-0000-0000-0000B5520000}"/>
    <cellStyle name="Normal 38 3 3 5 3" xfId="33901" xr:uid="{00000000-0005-0000-0000-0000B6520000}"/>
    <cellStyle name="Normal 38 3 3 6" xfId="33904" xr:uid="{00000000-0005-0000-0000-0000B7520000}"/>
    <cellStyle name="Normal 38 3 3 6 2" xfId="33908" xr:uid="{00000000-0005-0000-0000-0000B8520000}"/>
    <cellStyle name="Normal 38 3 3 7" xfId="33910" xr:uid="{00000000-0005-0000-0000-0000B9520000}"/>
    <cellStyle name="Normal 38 3 3 7 2" xfId="33914" xr:uid="{00000000-0005-0000-0000-0000BA520000}"/>
    <cellStyle name="Normal 38 3 3 8" xfId="33916" xr:uid="{00000000-0005-0000-0000-0000BB520000}"/>
    <cellStyle name="Normal 38 3 3 9" xfId="33918" xr:uid="{00000000-0005-0000-0000-0000BC520000}"/>
    <cellStyle name="Normal 38 3 4" xfId="33176" xr:uid="{00000000-0005-0000-0000-0000BD520000}"/>
    <cellStyle name="Normal 38 3 4 2" xfId="33920" xr:uid="{00000000-0005-0000-0000-0000BE520000}"/>
    <cellStyle name="Normal 38 3 4 2 2" xfId="33922" xr:uid="{00000000-0005-0000-0000-0000BF520000}"/>
    <cellStyle name="Normal 38 3 4 2 2 2" xfId="29951" xr:uid="{00000000-0005-0000-0000-0000C0520000}"/>
    <cellStyle name="Normal 38 3 4 2 2 2 2" xfId="29955" xr:uid="{00000000-0005-0000-0000-0000C1520000}"/>
    <cellStyle name="Normal 38 3 4 2 2 2 2 2" xfId="748" xr:uid="{00000000-0005-0000-0000-0000C2520000}"/>
    <cellStyle name="Normal 38 3 4 2 2 2 3" xfId="7937" xr:uid="{00000000-0005-0000-0000-0000C3520000}"/>
    <cellStyle name="Normal 38 3 4 2 2 3" xfId="29963" xr:uid="{00000000-0005-0000-0000-0000C4520000}"/>
    <cellStyle name="Normal 38 3 4 2 2 3 2" xfId="33926" xr:uid="{00000000-0005-0000-0000-0000C5520000}"/>
    <cellStyle name="Normal 38 3 4 2 2 4" xfId="18368" xr:uid="{00000000-0005-0000-0000-0000C6520000}"/>
    <cellStyle name="Normal 38 3 4 2 3" xfId="14659" xr:uid="{00000000-0005-0000-0000-0000C7520000}"/>
    <cellStyle name="Normal 38 3 4 2 3 2" xfId="14663" xr:uid="{00000000-0005-0000-0000-0000C8520000}"/>
    <cellStyle name="Normal 38 3 4 2 3 2 2" xfId="13964" xr:uid="{00000000-0005-0000-0000-0000C9520000}"/>
    <cellStyle name="Normal 38 3 4 2 3 3" xfId="14670" xr:uid="{00000000-0005-0000-0000-0000CA520000}"/>
    <cellStyle name="Normal 38 3 4 2 4" xfId="14672" xr:uid="{00000000-0005-0000-0000-0000CB520000}"/>
    <cellStyle name="Normal 38 3 4 2 4 2" xfId="14677" xr:uid="{00000000-0005-0000-0000-0000CC520000}"/>
    <cellStyle name="Normal 38 3 4 2 4 2 2" xfId="12585" xr:uid="{00000000-0005-0000-0000-0000CD520000}"/>
    <cellStyle name="Normal 38 3 4 2 4 3" xfId="25756" xr:uid="{00000000-0005-0000-0000-0000CE520000}"/>
    <cellStyle name="Normal 38 3 4 2 5" xfId="14680" xr:uid="{00000000-0005-0000-0000-0000CF520000}"/>
    <cellStyle name="Normal 38 3 4 2 5 2" xfId="25789" xr:uid="{00000000-0005-0000-0000-0000D0520000}"/>
    <cellStyle name="Normal 38 3 4 2 6" xfId="14686" xr:uid="{00000000-0005-0000-0000-0000D1520000}"/>
    <cellStyle name="Normal 38 3 4 2 6 2" xfId="19743" xr:uid="{00000000-0005-0000-0000-0000D2520000}"/>
    <cellStyle name="Normal 38 3 4 2 7" xfId="19747" xr:uid="{00000000-0005-0000-0000-0000D3520000}"/>
    <cellStyle name="Normal 38 3 4 2 8" xfId="19757" xr:uid="{00000000-0005-0000-0000-0000D4520000}"/>
    <cellStyle name="Normal 38 3 4 3" xfId="33928" xr:uid="{00000000-0005-0000-0000-0000D5520000}"/>
    <cellStyle name="Normal 38 3 4 3 2" xfId="33930" xr:uid="{00000000-0005-0000-0000-0000D6520000}"/>
    <cellStyle name="Normal 38 3 4 3 2 2" xfId="33932" xr:uid="{00000000-0005-0000-0000-0000D7520000}"/>
    <cellStyle name="Normal 38 3 4 3 2 2 2" xfId="33935" xr:uid="{00000000-0005-0000-0000-0000D8520000}"/>
    <cellStyle name="Normal 38 3 4 3 2 3" xfId="33939" xr:uid="{00000000-0005-0000-0000-0000D9520000}"/>
    <cellStyle name="Normal 38 3 4 3 3" xfId="14694" xr:uid="{00000000-0005-0000-0000-0000DA520000}"/>
    <cellStyle name="Normal 38 3 4 3 3 2" xfId="14030" xr:uid="{00000000-0005-0000-0000-0000DB520000}"/>
    <cellStyle name="Normal 38 3 4 3 4" xfId="14698" xr:uid="{00000000-0005-0000-0000-0000DC520000}"/>
    <cellStyle name="Normal 38 3 4 4" xfId="33941" xr:uid="{00000000-0005-0000-0000-0000DD520000}"/>
    <cellStyle name="Normal 38 3 4 4 2" xfId="33945" xr:uid="{00000000-0005-0000-0000-0000DE520000}"/>
    <cellStyle name="Normal 38 3 4 4 2 2" xfId="33949" xr:uid="{00000000-0005-0000-0000-0000DF520000}"/>
    <cellStyle name="Normal 38 3 4 4 3" xfId="14709" xr:uid="{00000000-0005-0000-0000-0000E0520000}"/>
    <cellStyle name="Normal 38 3 4 5" xfId="13274" xr:uid="{00000000-0005-0000-0000-0000E1520000}"/>
    <cellStyle name="Normal 38 3 4 5 2" xfId="16465" xr:uid="{00000000-0005-0000-0000-0000E2520000}"/>
    <cellStyle name="Normal 38 3 4 5 2 2" xfId="33953" xr:uid="{00000000-0005-0000-0000-0000E3520000}"/>
    <cellStyle name="Normal 38 3 4 5 3" xfId="12223" xr:uid="{00000000-0005-0000-0000-0000E4520000}"/>
    <cellStyle name="Normal 38 3 4 6" xfId="7490" xr:uid="{00000000-0005-0000-0000-0000E5520000}"/>
    <cellStyle name="Normal 38 3 4 6 2" xfId="33957" xr:uid="{00000000-0005-0000-0000-0000E6520000}"/>
    <cellStyle name="Normal 38 3 4 7" xfId="7513" xr:uid="{00000000-0005-0000-0000-0000E7520000}"/>
    <cellStyle name="Normal 38 3 4 7 2" xfId="33961" xr:uid="{00000000-0005-0000-0000-0000E8520000}"/>
    <cellStyle name="Normal 38 3 4 8" xfId="33963" xr:uid="{00000000-0005-0000-0000-0000E9520000}"/>
    <cellStyle name="Normal 38 3 4 9" xfId="33965" xr:uid="{00000000-0005-0000-0000-0000EA520000}"/>
    <cellStyle name="Normal 38 3 5" xfId="23089" xr:uid="{00000000-0005-0000-0000-0000EB520000}"/>
    <cellStyle name="Normal 38 3 5 2" xfId="33967" xr:uid="{00000000-0005-0000-0000-0000EC520000}"/>
    <cellStyle name="Normal 38 3 5 2 2" xfId="33969" xr:uid="{00000000-0005-0000-0000-0000ED520000}"/>
    <cellStyle name="Normal 38 3 5 2 2 2" xfId="33971" xr:uid="{00000000-0005-0000-0000-0000EE520000}"/>
    <cellStyle name="Normal 38 3 5 2 2 2 2" xfId="33973" xr:uid="{00000000-0005-0000-0000-0000EF520000}"/>
    <cellStyle name="Normal 38 3 5 2 2 2 2 2" xfId="33975" xr:uid="{00000000-0005-0000-0000-0000F0520000}"/>
    <cellStyle name="Normal 38 3 5 2 2 2 3" xfId="33977" xr:uid="{00000000-0005-0000-0000-0000F1520000}"/>
    <cellStyle name="Normal 38 3 5 2 2 3" xfId="33981" xr:uid="{00000000-0005-0000-0000-0000F2520000}"/>
    <cellStyle name="Normal 38 3 5 2 2 3 2" xfId="33983" xr:uid="{00000000-0005-0000-0000-0000F3520000}"/>
    <cellStyle name="Normal 38 3 5 2 2 4" xfId="18438" xr:uid="{00000000-0005-0000-0000-0000F4520000}"/>
    <cellStyle name="Normal 38 3 5 2 3" xfId="14754" xr:uid="{00000000-0005-0000-0000-0000F5520000}"/>
    <cellStyle name="Normal 38 3 5 2 3 2" xfId="14759" xr:uid="{00000000-0005-0000-0000-0000F6520000}"/>
    <cellStyle name="Normal 38 3 5 2 3 2 2" xfId="9775" xr:uid="{00000000-0005-0000-0000-0000F7520000}"/>
    <cellStyle name="Normal 38 3 5 2 3 3" xfId="33986" xr:uid="{00000000-0005-0000-0000-0000F8520000}"/>
    <cellStyle name="Normal 38 3 5 2 4" xfId="14762" xr:uid="{00000000-0005-0000-0000-0000F9520000}"/>
    <cellStyle name="Normal 38 3 5 2 4 2" xfId="33993" xr:uid="{00000000-0005-0000-0000-0000FA520000}"/>
    <cellStyle name="Normal 38 3 5 2 4 2 2" xfId="33995" xr:uid="{00000000-0005-0000-0000-0000FB520000}"/>
    <cellStyle name="Normal 38 3 5 2 4 3" xfId="33997" xr:uid="{00000000-0005-0000-0000-0000FC520000}"/>
    <cellStyle name="Normal 38 3 5 2 5" xfId="14768" xr:uid="{00000000-0005-0000-0000-0000FD520000}"/>
    <cellStyle name="Normal 38 3 5 2 5 2" xfId="27237" xr:uid="{00000000-0005-0000-0000-0000FE520000}"/>
    <cellStyle name="Normal 38 3 5 2 6" xfId="23269" xr:uid="{00000000-0005-0000-0000-0000FF520000}"/>
    <cellStyle name="Normal 38 3 5 2 6 2" xfId="23273" xr:uid="{00000000-0005-0000-0000-000000530000}"/>
    <cellStyle name="Normal 38 3 5 2 7" xfId="23276" xr:uid="{00000000-0005-0000-0000-000001530000}"/>
    <cellStyle name="Normal 38 3 5 2 8" xfId="33999" xr:uid="{00000000-0005-0000-0000-000002530000}"/>
    <cellStyle name="Normal 38 3 5 3" xfId="34001" xr:uid="{00000000-0005-0000-0000-000003530000}"/>
    <cellStyle name="Normal 38 3 5 3 2" xfId="34003" xr:uid="{00000000-0005-0000-0000-000004530000}"/>
    <cellStyle name="Normal 38 3 5 3 2 2" xfId="34006" xr:uid="{00000000-0005-0000-0000-000005530000}"/>
    <cellStyle name="Normal 38 3 5 3 2 2 2" xfId="34010" xr:uid="{00000000-0005-0000-0000-000006530000}"/>
    <cellStyle name="Normal 38 3 5 3 2 3" xfId="34014" xr:uid="{00000000-0005-0000-0000-000007530000}"/>
    <cellStyle name="Normal 38 3 5 3 3" xfId="14783" xr:uid="{00000000-0005-0000-0000-000008530000}"/>
    <cellStyle name="Normal 38 3 5 3 3 2" xfId="14638" xr:uid="{00000000-0005-0000-0000-000009530000}"/>
    <cellStyle name="Normal 38 3 5 3 4" xfId="14786" xr:uid="{00000000-0005-0000-0000-00000A530000}"/>
    <cellStyle name="Normal 38 3 5 4" xfId="34018" xr:uid="{00000000-0005-0000-0000-00000B530000}"/>
    <cellStyle name="Normal 38 3 5 4 2" xfId="34022" xr:uid="{00000000-0005-0000-0000-00000C530000}"/>
    <cellStyle name="Normal 38 3 5 4 2 2" xfId="34025" xr:uid="{00000000-0005-0000-0000-00000D530000}"/>
    <cellStyle name="Normal 38 3 5 4 3" xfId="14796" xr:uid="{00000000-0005-0000-0000-00000E530000}"/>
    <cellStyle name="Normal 38 3 5 5" xfId="12504" xr:uid="{00000000-0005-0000-0000-00000F530000}"/>
    <cellStyle name="Normal 38 3 5 5 2" xfId="34032" xr:uid="{00000000-0005-0000-0000-000010530000}"/>
    <cellStyle name="Normal 38 3 5 5 2 2" xfId="34034" xr:uid="{00000000-0005-0000-0000-000011530000}"/>
    <cellStyle name="Normal 38 3 5 5 3" xfId="12290" xr:uid="{00000000-0005-0000-0000-000012530000}"/>
    <cellStyle name="Normal 38 3 5 6" xfId="34037" xr:uid="{00000000-0005-0000-0000-000013530000}"/>
    <cellStyle name="Normal 38 3 5 6 2" xfId="34041" xr:uid="{00000000-0005-0000-0000-000014530000}"/>
    <cellStyle name="Normal 38 3 5 7" xfId="29810" xr:uid="{00000000-0005-0000-0000-000015530000}"/>
    <cellStyle name="Normal 38 3 5 7 2" xfId="34043" xr:uid="{00000000-0005-0000-0000-000016530000}"/>
    <cellStyle name="Normal 38 3 5 8" xfId="34046" xr:uid="{00000000-0005-0000-0000-000017530000}"/>
    <cellStyle name="Normal 38 3 5 9" xfId="34048" xr:uid="{00000000-0005-0000-0000-000018530000}"/>
    <cellStyle name="Normal 38 3 6" xfId="9846" xr:uid="{00000000-0005-0000-0000-000019530000}"/>
    <cellStyle name="Normal 38 3 6 2" xfId="34050" xr:uid="{00000000-0005-0000-0000-00001A530000}"/>
    <cellStyle name="Normal 38 3 6 2 2" xfId="9793" xr:uid="{00000000-0005-0000-0000-00001B530000}"/>
    <cellStyle name="Normal 38 3 6 2 2 2" xfId="9804" xr:uid="{00000000-0005-0000-0000-00001C530000}"/>
    <cellStyle name="Normal 38 3 6 2 2 2 2" xfId="9811" xr:uid="{00000000-0005-0000-0000-00001D530000}"/>
    <cellStyle name="Normal 38 3 6 2 2 3" xfId="9820" xr:uid="{00000000-0005-0000-0000-00001E530000}"/>
    <cellStyle name="Normal 38 3 6 2 3" xfId="9826" xr:uid="{00000000-0005-0000-0000-00001F530000}"/>
    <cellStyle name="Normal 38 3 6 2 3 2" xfId="9834" xr:uid="{00000000-0005-0000-0000-000020530000}"/>
    <cellStyle name="Normal 38 3 6 2 4" xfId="9840" xr:uid="{00000000-0005-0000-0000-000021530000}"/>
    <cellStyle name="Normal 38 3 6 2 5" xfId="9852" xr:uid="{00000000-0005-0000-0000-000022530000}"/>
    <cellStyle name="Normal 38 3 6 3" xfId="34052" xr:uid="{00000000-0005-0000-0000-000023530000}"/>
    <cellStyle name="Normal 38 3 6 3 2" xfId="9862" xr:uid="{00000000-0005-0000-0000-000024530000}"/>
    <cellStyle name="Normal 38 3 6 3 2 2" xfId="34055" xr:uid="{00000000-0005-0000-0000-000025530000}"/>
    <cellStyle name="Normal 38 3 6 3 3" xfId="9489" xr:uid="{00000000-0005-0000-0000-000026530000}"/>
    <cellStyle name="Normal 38 3 6 4" xfId="34058" xr:uid="{00000000-0005-0000-0000-000027530000}"/>
    <cellStyle name="Normal 38 3 6 4 2" xfId="34062" xr:uid="{00000000-0005-0000-0000-000028530000}"/>
    <cellStyle name="Normal 38 3 6 4 2 2" xfId="34065" xr:uid="{00000000-0005-0000-0000-000029530000}"/>
    <cellStyle name="Normal 38 3 6 4 3" xfId="34069" xr:uid="{00000000-0005-0000-0000-00002A530000}"/>
    <cellStyle name="Normal 38 3 6 5" xfId="17281" xr:uid="{00000000-0005-0000-0000-00002B530000}"/>
    <cellStyle name="Normal 38 3 6 5 2" xfId="34072" xr:uid="{00000000-0005-0000-0000-00002C530000}"/>
    <cellStyle name="Normal 38 3 6 6" xfId="193" xr:uid="{00000000-0005-0000-0000-00002D530000}"/>
    <cellStyle name="Normal 38 3 6 6 2" xfId="34075" xr:uid="{00000000-0005-0000-0000-00002E530000}"/>
    <cellStyle name="Normal 38 3 6 7" xfId="34079" xr:uid="{00000000-0005-0000-0000-00002F530000}"/>
    <cellStyle name="Normal 38 3 6 8" xfId="34081" xr:uid="{00000000-0005-0000-0000-000030530000}"/>
    <cellStyle name="Normal 38 3 7" xfId="34083" xr:uid="{00000000-0005-0000-0000-000031530000}"/>
    <cellStyle name="Normal 38 3 7 2" xfId="34085" xr:uid="{00000000-0005-0000-0000-000032530000}"/>
    <cellStyle name="Normal 38 3 7 2 2" xfId="34087" xr:uid="{00000000-0005-0000-0000-000033530000}"/>
    <cellStyle name="Normal 38 3 7 2 2 2" xfId="34089" xr:uid="{00000000-0005-0000-0000-000034530000}"/>
    <cellStyle name="Normal 38 3 7 2 3" xfId="93" xr:uid="{00000000-0005-0000-0000-000035530000}"/>
    <cellStyle name="Normal 38 3 7 3" xfId="34091" xr:uid="{00000000-0005-0000-0000-000036530000}"/>
    <cellStyle name="Normal 38 3 7 3 2" xfId="34093" xr:uid="{00000000-0005-0000-0000-000037530000}"/>
    <cellStyle name="Normal 38 3 7 4" xfId="34095" xr:uid="{00000000-0005-0000-0000-000038530000}"/>
    <cellStyle name="Normal 38 3 7 5" xfId="34097" xr:uid="{00000000-0005-0000-0000-000039530000}"/>
    <cellStyle name="Normal 38 3 8" xfId="14971" xr:uid="{00000000-0005-0000-0000-00003A530000}"/>
    <cellStyle name="Normal 38 3 8 2" xfId="1624" xr:uid="{00000000-0005-0000-0000-00003B530000}"/>
    <cellStyle name="Normal 38 3 8 2 2" xfId="34098" xr:uid="{00000000-0005-0000-0000-00003C530000}"/>
    <cellStyle name="Normal 38 3 8 3" xfId="14980" xr:uid="{00000000-0005-0000-0000-00003D530000}"/>
    <cellStyle name="Normal 38 3 9" xfId="34100" xr:uid="{00000000-0005-0000-0000-00003E530000}"/>
    <cellStyle name="Normal 38 3 9 2" xfId="14993" xr:uid="{00000000-0005-0000-0000-00003F530000}"/>
    <cellStyle name="Normal 38 3 9 2 2" xfId="34102" xr:uid="{00000000-0005-0000-0000-000040530000}"/>
    <cellStyle name="Normal 38 3 9 3" xfId="34104" xr:uid="{00000000-0005-0000-0000-000041530000}"/>
    <cellStyle name="Normal 38 4" xfId="27508" xr:uid="{00000000-0005-0000-0000-000042530000}"/>
    <cellStyle name="Normal 38 4 10" xfId="34106" xr:uid="{00000000-0005-0000-0000-000043530000}"/>
    <cellStyle name="Normal 38 4 10 2" xfId="11447" xr:uid="{00000000-0005-0000-0000-000044530000}"/>
    <cellStyle name="Normal 38 4 11" xfId="34108" xr:uid="{00000000-0005-0000-0000-000045530000}"/>
    <cellStyle name="Normal 38 4 11 2" xfId="5550" xr:uid="{00000000-0005-0000-0000-000046530000}"/>
    <cellStyle name="Normal 38 4 12" xfId="12693" xr:uid="{00000000-0005-0000-0000-000047530000}"/>
    <cellStyle name="Normal 38 4 12 2" xfId="5750" xr:uid="{00000000-0005-0000-0000-000048530000}"/>
    <cellStyle name="Normal 38 4 13" xfId="12700" xr:uid="{00000000-0005-0000-0000-000049530000}"/>
    <cellStyle name="Normal 38 4 14" xfId="12326" xr:uid="{00000000-0005-0000-0000-00004A530000}"/>
    <cellStyle name="Normal 38 4 2" xfId="30183" xr:uid="{00000000-0005-0000-0000-00004B530000}"/>
    <cellStyle name="Normal 38 4 2 10" xfId="34109" xr:uid="{00000000-0005-0000-0000-00004C530000}"/>
    <cellStyle name="Normal 38 4 2 2" xfId="34110" xr:uid="{00000000-0005-0000-0000-00004D530000}"/>
    <cellStyle name="Normal 38 4 2 2 2" xfId="20915" xr:uid="{00000000-0005-0000-0000-00004E530000}"/>
    <cellStyle name="Normal 38 4 2 2 2 2" xfId="34112" xr:uid="{00000000-0005-0000-0000-00004F530000}"/>
    <cellStyle name="Normal 38 4 2 2 2 2 2" xfId="29960" xr:uid="{00000000-0005-0000-0000-000050530000}"/>
    <cellStyle name="Normal 38 4 2 2 2 2 2 2" xfId="33924" xr:uid="{00000000-0005-0000-0000-000051530000}"/>
    <cellStyle name="Normal 38 4 2 2 2 2 2 2 2" xfId="34114" xr:uid="{00000000-0005-0000-0000-000052530000}"/>
    <cellStyle name="Normal 38 4 2 2 2 2 2 3" xfId="34115" xr:uid="{00000000-0005-0000-0000-000053530000}"/>
    <cellStyle name="Normal 38 4 2 2 2 2 3" xfId="18365" xr:uid="{00000000-0005-0000-0000-000054530000}"/>
    <cellStyle name="Normal 38 4 2 2 2 2 3 2" xfId="3761" xr:uid="{00000000-0005-0000-0000-000055530000}"/>
    <cellStyle name="Normal 38 4 2 2 2 2 4" xfId="18372" xr:uid="{00000000-0005-0000-0000-000056530000}"/>
    <cellStyle name="Normal 38 4 2 2 2 3" xfId="34117" xr:uid="{00000000-0005-0000-0000-000057530000}"/>
    <cellStyle name="Normal 38 4 2 2 2 3 2" xfId="14667" xr:uid="{00000000-0005-0000-0000-000058530000}"/>
    <cellStyle name="Normal 38 4 2 2 2 3 2 2" xfId="25738" xr:uid="{00000000-0005-0000-0000-000059530000}"/>
    <cellStyle name="Normal 38 4 2 2 2 3 3" xfId="18383" xr:uid="{00000000-0005-0000-0000-00005A530000}"/>
    <cellStyle name="Normal 38 4 2 2 2 4" xfId="34119" xr:uid="{00000000-0005-0000-0000-00005B530000}"/>
    <cellStyle name="Normal 38 4 2 2 2 4 2" xfId="25758" xr:uid="{00000000-0005-0000-0000-00005C530000}"/>
    <cellStyle name="Normal 38 4 2 2 2 4 2 2" xfId="25759" xr:uid="{00000000-0005-0000-0000-00005D530000}"/>
    <cellStyle name="Normal 38 4 2 2 2 4 3" xfId="18394" xr:uid="{00000000-0005-0000-0000-00005E530000}"/>
    <cellStyle name="Normal 38 4 2 2 2 5" xfId="34121" xr:uid="{00000000-0005-0000-0000-00005F530000}"/>
    <cellStyle name="Normal 38 4 2 2 2 5 2" xfId="25791" xr:uid="{00000000-0005-0000-0000-000060530000}"/>
    <cellStyle name="Normal 38 4 2 2 2 6" xfId="5563" xr:uid="{00000000-0005-0000-0000-000061530000}"/>
    <cellStyle name="Normal 38 4 2 2 2 6 2" xfId="5568" xr:uid="{00000000-0005-0000-0000-000062530000}"/>
    <cellStyle name="Normal 38 4 2 2 2 7" xfId="5649" xr:uid="{00000000-0005-0000-0000-000063530000}"/>
    <cellStyle name="Normal 38 4 2 2 2 8" xfId="5686" xr:uid="{00000000-0005-0000-0000-000064530000}"/>
    <cellStyle name="Normal 38 4 2 2 3" xfId="34123" xr:uid="{00000000-0005-0000-0000-000065530000}"/>
    <cellStyle name="Normal 38 4 2 2 3 2" xfId="34125" xr:uid="{00000000-0005-0000-0000-000066530000}"/>
    <cellStyle name="Normal 38 4 2 2 3 2 2" xfId="33937" xr:uid="{00000000-0005-0000-0000-000067530000}"/>
    <cellStyle name="Normal 38 4 2 2 3 2 2 2" xfId="34127" xr:uid="{00000000-0005-0000-0000-000068530000}"/>
    <cellStyle name="Normal 38 4 2 2 3 2 3" xfId="6848" xr:uid="{00000000-0005-0000-0000-000069530000}"/>
    <cellStyle name="Normal 38 4 2 2 3 3" xfId="34129" xr:uid="{00000000-0005-0000-0000-00006A530000}"/>
    <cellStyle name="Normal 38 4 2 2 3 3 2" xfId="34131" xr:uid="{00000000-0005-0000-0000-00006B530000}"/>
    <cellStyle name="Normal 38 4 2 2 3 4" xfId="34132" xr:uid="{00000000-0005-0000-0000-00006C530000}"/>
    <cellStyle name="Normal 38 4 2 2 4" xfId="34133" xr:uid="{00000000-0005-0000-0000-00006D530000}"/>
    <cellStyle name="Normal 38 4 2 2 4 2" xfId="34135" xr:uid="{00000000-0005-0000-0000-00006E530000}"/>
    <cellStyle name="Normal 38 4 2 2 4 2 2" xfId="34137" xr:uid="{00000000-0005-0000-0000-00006F530000}"/>
    <cellStyle name="Normal 38 4 2 2 4 3" xfId="34141" xr:uid="{00000000-0005-0000-0000-000070530000}"/>
    <cellStyle name="Normal 38 4 2 2 5" xfId="34143" xr:uid="{00000000-0005-0000-0000-000071530000}"/>
    <cellStyle name="Normal 38 4 2 2 5 2" xfId="3206" xr:uid="{00000000-0005-0000-0000-000072530000}"/>
    <cellStyle name="Normal 38 4 2 2 5 2 2" xfId="13000" xr:uid="{00000000-0005-0000-0000-000073530000}"/>
    <cellStyle name="Normal 38 4 2 2 5 3" xfId="13016" xr:uid="{00000000-0005-0000-0000-000074530000}"/>
    <cellStyle name="Normal 38 4 2 2 6" xfId="34145" xr:uid="{00000000-0005-0000-0000-000075530000}"/>
    <cellStyle name="Normal 38 4 2 2 6 2" xfId="27698" xr:uid="{00000000-0005-0000-0000-000076530000}"/>
    <cellStyle name="Normal 38 4 2 2 7" xfId="34147" xr:uid="{00000000-0005-0000-0000-000077530000}"/>
    <cellStyle name="Normal 38 4 2 2 7 2" xfId="27717" xr:uid="{00000000-0005-0000-0000-000078530000}"/>
    <cellStyle name="Normal 38 4 2 2 8" xfId="34149" xr:uid="{00000000-0005-0000-0000-000079530000}"/>
    <cellStyle name="Normal 38 4 2 2 9" xfId="34151" xr:uid="{00000000-0005-0000-0000-00007A530000}"/>
    <cellStyle name="Normal 38 4 2 3" xfId="34152" xr:uid="{00000000-0005-0000-0000-00007B530000}"/>
    <cellStyle name="Normal 38 4 2 3 2" xfId="34154" xr:uid="{00000000-0005-0000-0000-00007C530000}"/>
    <cellStyle name="Normal 38 4 2 3 2 2" xfId="5526" xr:uid="{00000000-0005-0000-0000-00007D530000}"/>
    <cellStyle name="Normal 38 4 2 3 2 2 2" xfId="33979" xr:uid="{00000000-0005-0000-0000-00007E530000}"/>
    <cellStyle name="Normal 38 4 2 3 2 2 2 2" xfId="33985" xr:uid="{00000000-0005-0000-0000-00007F530000}"/>
    <cellStyle name="Normal 38 4 2 3 2 2 3" xfId="18441" xr:uid="{00000000-0005-0000-0000-000080530000}"/>
    <cellStyle name="Normal 38 4 2 3 2 3" xfId="34156" xr:uid="{00000000-0005-0000-0000-000081530000}"/>
    <cellStyle name="Normal 38 4 2 3 2 3 2" xfId="33988" xr:uid="{00000000-0005-0000-0000-000082530000}"/>
    <cellStyle name="Normal 38 4 2 3 2 4" xfId="34158" xr:uid="{00000000-0005-0000-0000-000083530000}"/>
    <cellStyle name="Normal 38 4 2 3 3" xfId="34159" xr:uid="{00000000-0005-0000-0000-000084530000}"/>
    <cellStyle name="Normal 38 4 2 3 3 2" xfId="5545" xr:uid="{00000000-0005-0000-0000-000085530000}"/>
    <cellStyle name="Normal 38 4 2 3 3 2 2" xfId="34017" xr:uid="{00000000-0005-0000-0000-000086530000}"/>
    <cellStyle name="Normal 38 4 2 3 3 3" xfId="34161" xr:uid="{00000000-0005-0000-0000-000087530000}"/>
    <cellStyle name="Normal 38 4 2 3 4" xfId="23560" xr:uid="{00000000-0005-0000-0000-000088530000}"/>
    <cellStyle name="Normal 38 4 2 3 4 2" xfId="34162" xr:uid="{00000000-0005-0000-0000-000089530000}"/>
    <cellStyle name="Normal 38 4 2 3 4 2 2" xfId="34163" xr:uid="{00000000-0005-0000-0000-00008A530000}"/>
    <cellStyle name="Normal 38 4 2 3 4 3" xfId="34165" xr:uid="{00000000-0005-0000-0000-00008B530000}"/>
    <cellStyle name="Normal 38 4 2 3 5" xfId="34166" xr:uid="{00000000-0005-0000-0000-00008C530000}"/>
    <cellStyle name="Normal 38 4 2 3 5 2" xfId="3703" xr:uid="{00000000-0005-0000-0000-00008D530000}"/>
    <cellStyle name="Normal 38 4 2 3 6" xfId="34168" xr:uid="{00000000-0005-0000-0000-00008E530000}"/>
    <cellStyle name="Normal 38 4 2 3 6 2" xfId="27771" xr:uid="{00000000-0005-0000-0000-00008F530000}"/>
    <cellStyle name="Normal 38 4 2 3 7" xfId="34170" xr:uid="{00000000-0005-0000-0000-000090530000}"/>
    <cellStyle name="Normal 38 4 2 3 8" xfId="34171" xr:uid="{00000000-0005-0000-0000-000091530000}"/>
    <cellStyle name="Normal 38 4 2 4" xfId="34172" xr:uid="{00000000-0005-0000-0000-000092530000}"/>
    <cellStyle name="Normal 38 4 2 4 2" xfId="34175" xr:uid="{00000000-0005-0000-0000-000093530000}"/>
    <cellStyle name="Normal 38 4 2 4 2 2" xfId="5717" xr:uid="{00000000-0005-0000-0000-000094530000}"/>
    <cellStyle name="Normal 38 4 2 4 2 2 2" xfId="9823" xr:uid="{00000000-0005-0000-0000-000095530000}"/>
    <cellStyle name="Normal 38 4 2 4 2 3" xfId="34183" xr:uid="{00000000-0005-0000-0000-000096530000}"/>
    <cellStyle name="Normal 38 4 2 4 3" xfId="34186" xr:uid="{00000000-0005-0000-0000-000097530000}"/>
    <cellStyle name="Normal 38 4 2 4 3 2" xfId="34190" xr:uid="{00000000-0005-0000-0000-000098530000}"/>
    <cellStyle name="Normal 38 4 2 4 4" xfId="34193" xr:uid="{00000000-0005-0000-0000-000099530000}"/>
    <cellStyle name="Normal 38 4 2 5" xfId="34194" xr:uid="{00000000-0005-0000-0000-00009A530000}"/>
    <cellStyle name="Normal 38 4 2 5 2" xfId="34200" xr:uid="{00000000-0005-0000-0000-00009B530000}"/>
    <cellStyle name="Normal 38 4 2 5 2 2" xfId="4211" xr:uid="{00000000-0005-0000-0000-00009C530000}"/>
    <cellStyle name="Normal 38 4 2 5 3" xfId="34207" xr:uid="{00000000-0005-0000-0000-00009D530000}"/>
    <cellStyle name="Normal 38 4 2 6" xfId="34209" xr:uid="{00000000-0005-0000-0000-00009E530000}"/>
    <cellStyle name="Normal 38 4 2 6 2" xfId="34213" xr:uid="{00000000-0005-0000-0000-00009F530000}"/>
    <cellStyle name="Normal 38 4 2 6 2 2" xfId="4809" xr:uid="{00000000-0005-0000-0000-0000A0530000}"/>
    <cellStyle name="Normal 38 4 2 6 3" xfId="34215" xr:uid="{00000000-0005-0000-0000-0000A1530000}"/>
    <cellStyle name="Normal 38 4 2 7" xfId="34216" xr:uid="{00000000-0005-0000-0000-0000A2530000}"/>
    <cellStyle name="Normal 38 4 2 7 2" xfId="34220" xr:uid="{00000000-0005-0000-0000-0000A3530000}"/>
    <cellStyle name="Normal 38 4 2 8" xfId="34222" xr:uid="{00000000-0005-0000-0000-0000A4530000}"/>
    <cellStyle name="Normal 38 4 2 8 2" xfId="34224" xr:uid="{00000000-0005-0000-0000-0000A5530000}"/>
    <cellStyle name="Normal 38 4 2 9" xfId="32111" xr:uid="{00000000-0005-0000-0000-0000A6530000}"/>
    <cellStyle name="Normal 38 4 3" xfId="33184" xr:uid="{00000000-0005-0000-0000-0000A7530000}"/>
    <cellStyle name="Normal 38 4 3 2" xfId="34225" xr:uid="{00000000-0005-0000-0000-0000A8530000}"/>
    <cellStyle name="Normal 38 4 3 2 2" xfId="20985" xr:uid="{00000000-0005-0000-0000-0000A9530000}"/>
    <cellStyle name="Normal 38 4 3 2 2 2" xfId="23140" xr:uid="{00000000-0005-0000-0000-0000AA530000}"/>
    <cellStyle name="Normal 38 4 3 2 2 2 2" xfId="30510" xr:uid="{00000000-0005-0000-0000-0000AB530000}"/>
    <cellStyle name="Normal 38 4 3 2 2 2 2 2" xfId="34228" xr:uid="{00000000-0005-0000-0000-0000AC530000}"/>
    <cellStyle name="Normal 38 4 3 2 2 2 3" xfId="9571" xr:uid="{00000000-0005-0000-0000-0000AD530000}"/>
    <cellStyle name="Normal 38 4 3 2 2 3" xfId="34229" xr:uid="{00000000-0005-0000-0000-0000AE530000}"/>
    <cellStyle name="Normal 38 4 3 2 2 3 2" xfId="34232" xr:uid="{00000000-0005-0000-0000-0000AF530000}"/>
    <cellStyle name="Normal 38 4 3 2 2 4" xfId="34233" xr:uid="{00000000-0005-0000-0000-0000B0530000}"/>
    <cellStyle name="Normal 38 4 3 2 2 5" xfId="34234" xr:uid="{00000000-0005-0000-0000-0000B1530000}"/>
    <cellStyle name="Normal 38 4 3 2 3" xfId="23146" xr:uid="{00000000-0005-0000-0000-0000B2530000}"/>
    <cellStyle name="Normal 38 4 3 2 3 2" xfId="34235" xr:uid="{00000000-0005-0000-0000-0000B3530000}"/>
    <cellStyle name="Normal 38 4 3 2 3 2 2" xfId="33069" xr:uid="{00000000-0005-0000-0000-0000B4530000}"/>
    <cellStyle name="Normal 38 4 3 2 3 3" xfId="34237" xr:uid="{00000000-0005-0000-0000-0000B5530000}"/>
    <cellStyle name="Normal 38 4 3 2 4" xfId="34238" xr:uid="{00000000-0005-0000-0000-0000B6530000}"/>
    <cellStyle name="Normal 38 4 3 2 4 2" xfId="34240" xr:uid="{00000000-0005-0000-0000-0000B7530000}"/>
    <cellStyle name="Normal 38 4 3 2 4 2 2" xfId="34242" xr:uid="{00000000-0005-0000-0000-0000B8530000}"/>
    <cellStyle name="Normal 38 4 3 2 4 3" xfId="34245" xr:uid="{00000000-0005-0000-0000-0000B9530000}"/>
    <cellStyle name="Normal 38 4 3 2 5" xfId="34247" xr:uid="{00000000-0005-0000-0000-0000BA530000}"/>
    <cellStyle name="Normal 38 4 3 2 5 2" xfId="28090" xr:uid="{00000000-0005-0000-0000-0000BB530000}"/>
    <cellStyle name="Normal 38 4 3 2 6" xfId="34249" xr:uid="{00000000-0005-0000-0000-0000BC530000}"/>
    <cellStyle name="Normal 38 4 3 2 6 2" xfId="28147" xr:uid="{00000000-0005-0000-0000-0000BD530000}"/>
    <cellStyle name="Normal 38 4 3 2 7" xfId="34250" xr:uid="{00000000-0005-0000-0000-0000BE530000}"/>
    <cellStyle name="Normal 38 4 3 2 8" xfId="34251" xr:uid="{00000000-0005-0000-0000-0000BF530000}"/>
    <cellStyle name="Normal 38 4 3 3" xfId="34252" xr:uid="{00000000-0005-0000-0000-0000C0530000}"/>
    <cellStyle name="Normal 38 4 3 3 2" xfId="34254" xr:uid="{00000000-0005-0000-0000-0000C1530000}"/>
    <cellStyle name="Normal 38 4 3 3 2 2" xfId="19341" xr:uid="{00000000-0005-0000-0000-0000C2530000}"/>
    <cellStyle name="Normal 38 4 3 3 2 2 2" xfId="19346" xr:uid="{00000000-0005-0000-0000-0000C3530000}"/>
    <cellStyle name="Normal 38 4 3 3 2 3" xfId="19356" xr:uid="{00000000-0005-0000-0000-0000C4530000}"/>
    <cellStyle name="Normal 38 4 3 3 3" xfId="34256" xr:uid="{00000000-0005-0000-0000-0000C5530000}"/>
    <cellStyle name="Normal 38 4 3 3 3 2" xfId="34260" xr:uid="{00000000-0005-0000-0000-0000C6530000}"/>
    <cellStyle name="Normal 38 4 3 3 4" xfId="34261" xr:uid="{00000000-0005-0000-0000-0000C7530000}"/>
    <cellStyle name="Normal 38 4 3 3 5" xfId="34263" xr:uid="{00000000-0005-0000-0000-0000C8530000}"/>
    <cellStyle name="Normal 38 4 3 4" xfId="8171" xr:uid="{00000000-0005-0000-0000-0000C9530000}"/>
    <cellStyle name="Normal 38 4 3 4 2" xfId="11226" xr:uid="{00000000-0005-0000-0000-0000CA530000}"/>
    <cellStyle name="Normal 38 4 3 4 2 2" xfId="34266" xr:uid="{00000000-0005-0000-0000-0000CB530000}"/>
    <cellStyle name="Normal 38 4 3 4 3" xfId="34270" xr:uid="{00000000-0005-0000-0000-0000CC530000}"/>
    <cellStyle name="Normal 38 4 3 5" xfId="11230" xr:uid="{00000000-0005-0000-0000-0000CD530000}"/>
    <cellStyle name="Normal 38 4 3 5 2" xfId="4347" xr:uid="{00000000-0005-0000-0000-0000CE530000}"/>
    <cellStyle name="Normal 38 4 3 5 2 2" xfId="34274" xr:uid="{00000000-0005-0000-0000-0000CF530000}"/>
    <cellStyle name="Normal 38 4 3 5 3" xfId="34277" xr:uid="{00000000-0005-0000-0000-0000D0530000}"/>
    <cellStyle name="Normal 38 4 3 6" xfId="7629" xr:uid="{00000000-0005-0000-0000-0000D1530000}"/>
    <cellStyle name="Normal 38 4 3 6 2" xfId="11235" xr:uid="{00000000-0005-0000-0000-0000D2530000}"/>
    <cellStyle name="Normal 38 4 3 7" xfId="11238" xr:uid="{00000000-0005-0000-0000-0000D3530000}"/>
    <cellStyle name="Normal 38 4 3 7 2" xfId="34280" xr:uid="{00000000-0005-0000-0000-0000D4530000}"/>
    <cellStyle name="Normal 38 4 3 8" xfId="11241" xr:uid="{00000000-0005-0000-0000-0000D5530000}"/>
    <cellStyle name="Normal 38 4 3 9" xfId="33738" xr:uid="{00000000-0005-0000-0000-0000D6530000}"/>
    <cellStyle name="Normal 38 4 4" xfId="27299" xr:uid="{00000000-0005-0000-0000-0000D7530000}"/>
    <cellStyle name="Normal 38 4 4 2" xfId="27303" xr:uid="{00000000-0005-0000-0000-0000D8530000}"/>
    <cellStyle name="Normal 38 4 4 2 2" xfId="27307" xr:uid="{00000000-0005-0000-0000-0000D9530000}"/>
    <cellStyle name="Normal 38 4 4 2 2 2" xfId="30501" xr:uid="{00000000-0005-0000-0000-0000DA530000}"/>
    <cellStyle name="Normal 38 4 4 2 2 2 2" xfId="30508" xr:uid="{00000000-0005-0000-0000-0000DB530000}"/>
    <cellStyle name="Normal 38 4 4 2 2 2 2 2" xfId="34281" xr:uid="{00000000-0005-0000-0000-0000DC530000}"/>
    <cellStyle name="Normal 38 4 4 2 2 2 3" xfId="2235" xr:uid="{00000000-0005-0000-0000-0000DD530000}"/>
    <cellStyle name="Normal 38 4 4 2 2 3" xfId="30514" xr:uid="{00000000-0005-0000-0000-0000DE530000}"/>
    <cellStyle name="Normal 38 4 4 2 2 3 2" xfId="34227" xr:uid="{00000000-0005-0000-0000-0000DF530000}"/>
    <cellStyle name="Normal 38 4 4 2 2 4" xfId="9573" xr:uid="{00000000-0005-0000-0000-0000E0530000}"/>
    <cellStyle name="Normal 38 4 4 2 3" xfId="14857" xr:uid="{00000000-0005-0000-0000-0000E1530000}"/>
    <cellStyle name="Normal 38 4 4 2 3 2" xfId="14864" xr:uid="{00000000-0005-0000-0000-0000E2530000}"/>
    <cellStyle name="Normal 38 4 4 2 3 2 2" xfId="34282" xr:uid="{00000000-0005-0000-0000-0000E3530000}"/>
    <cellStyle name="Normal 38 4 4 2 3 3" xfId="34231" xr:uid="{00000000-0005-0000-0000-0000E4530000}"/>
    <cellStyle name="Normal 38 4 4 2 4" xfId="14871" xr:uid="{00000000-0005-0000-0000-0000E5530000}"/>
    <cellStyle name="Normal 38 4 4 2 4 2" xfId="29450" xr:uid="{00000000-0005-0000-0000-0000E6530000}"/>
    <cellStyle name="Normal 38 4 4 2 4 2 2" xfId="34284" xr:uid="{00000000-0005-0000-0000-0000E7530000}"/>
    <cellStyle name="Normal 38 4 4 2 4 3" xfId="34286" xr:uid="{00000000-0005-0000-0000-0000E8530000}"/>
    <cellStyle name="Normal 38 4 4 2 5" xfId="29454" xr:uid="{00000000-0005-0000-0000-0000E9530000}"/>
    <cellStyle name="Normal 38 4 4 2 5 2" xfId="28555" xr:uid="{00000000-0005-0000-0000-0000EA530000}"/>
    <cellStyle name="Normal 38 4 4 2 6" xfId="29457" xr:uid="{00000000-0005-0000-0000-0000EB530000}"/>
    <cellStyle name="Normal 38 4 4 2 6 2" xfId="28612" xr:uid="{00000000-0005-0000-0000-0000EC530000}"/>
    <cellStyle name="Normal 38 4 4 2 7" xfId="34287" xr:uid="{00000000-0005-0000-0000-0000ED530000}"/>
    <cellStyle name="Normal 38 4 4 2 8" xfId="34288" xr:uid="{00000000-0005-0000-0000-0000EE530000}"/>
    <cellStyle name="Normal 38 4 4 3" xfId="27310" xr:uid="{00000000-0005-0000-0000-0000EF530000}"/>
    <cellStyle name="Normal 38 4 4 3 2" xfId="34289" xr:uid="{00000000-0005-0000-0000-0000F0530000}"/>
    <cellStyle name="Normal 38 4 4 3 2 2" xfId="33064" xr:uid="{00000000-0005-0000-0000-0000F1530000}"/>
    <cellStyle name="Normal 38 4 4 3 2 2 2" xfId="16084" xr:uid="{00000000-0005-0000-0000-0000F2530000}"/>
    <cellStyle name="Normal 38 4 4 3 2 3" xfId="33067" xr:uid="{00000000-0005-0000-0000-0000F3530000}"/>
    <cellStyle name="Normal 38 4 4 3 3" xfId="14881" xr:uid="{00000000-0005-0000-0000-0000F4530000}"/>
    <cellStyle name="Normal 38 4 4 3 3 2" xfId="14890" xr:uid="{00000000-0005-0000-0000-0000F5530000}"/>
    <cellStyle name="Normal 38 4 4 3 4" xfId="11528" xr:uid="{00000000-0005-0000-0000-0000F6530000}"/>
    <cellStyle name="Normal 38 4 4 4" xfId="391" xr:uid="{00000000-0005-0000-0000-0000F7530000}"/>
    <cellStyle name="Normal 38 4 4 4 2" xfId="34293" xr:uid="{00000000-0005-0000-0000-0000F8530000}"/>
    <cellStyle name="Normal 38 4 4 4 2 2" xfId="34296" xr:uid="{00000000-0005-0000-0000-0000F9530000}"/>
    <cellStyle name="Normal 38 4 4 4 3" xfId="14902" xr:uid="{00000000-0005-0000-0000-0000FA530000}"/>
    <cellStyle name="Normal 38 4 4 5" xfId="860" xr:uid="{00000000-0005-0000-0000-0000FB530000}"/>
    <cellStyle name="Normal 38 4 4 5 2" xfId="34300" xr:uid="{00000000-0005-0000-0000-0000FC530000}"/>
    <cellStyle name="Normal 38 4 4 5 2 2" xfId="34303" xr:uid="{00000000-0005-0000-0000-0000FD530000}"/>
    <cellStyle name="Normal 38 4 4 5 3" xfId="12071" xr:uid="{00000000-0005-0000-0000-0000FE530000}"/>
    <cellStyle name="Normal 38 4 4 6" xfId="34306" xr:uid="{00000000-0005-0000-0000-0000FF530000}"/>
    <cellStyle name="Normal 38 4 4 6 2" xfId="34309" xr:uid="{00000000-0005-0000-0000-000000540000}"/>
    <cellStyle name="Normal 38 4 4 7" xfId="33524" xr:uid="{00000000-0005-0000-0000-000001540000}"/>
    <cellStyle name="Normal 38 4 4 7 2" xfId="33529" xr:uid="{00000000-0005-0000-0000-000002540000}"/>
    <cellStyle name="Normal 38 4 4 8" xfId="33532" xr:uid="{00000000-0005-0000-0000-000003540000}"/>
    <cellStyle name="Normal 38 4 4 9" xfId="34310" xr:uid="{00000000-0005-0000-0000-000004540000}"/>
    <cellStyle name="Normal 38 4 5" xfId="23160" xr:uid="{00000000-0005-0000-0000-000005540000}"/>
    <cellStyle name="Normal 38 4 5 2" xfId="27313" xr:uid="{00000000-0005-0000-0000-000006540000}"/>
    <cellStyle name="Normal 38 4 5 2 2" xfId="34311" xr:uid="{00000000-0005-0000-0000-000007540000}"/>
    <cellStyle name="Normal 38 4 5 2 2 2" xfId="31853" xr:uid="{00000000-0005-0000-0000-000008540000}"/>
    <cellStyle name="Normal 38 4 5 2 2 2 2" xfId="34313" xr:uid="{00000000-0005-0000-0000-000009540000}"/>
    <cellStyle name="Normal 38 4 5 2 2 2 2 2" xfId="34315" xr:uid="{00000000-0005-0000-0000-00000A540000}"/>
    <cellStyle name="Normal 38 4 5 2 2 2 3" xfId="15872" xr:uid="{00000000-0005-0000-0000-00000B540000}"/>
    <cellStyle name="Normal 38 4 5 2 2 3" xfId="19343" xr:uid="{00000000-0005-0000-0000-00000C540000}"/>
    <cellStyle name="Normal 38 4 5 2 2 3 2" xfId="19347" xr:uid="{00000000-0005-0000-0000-00000D540000}"/>
    <cellStyle name="Normal 38 4 5 2 2 4" xfId="9700" xr:uid="{00000000-0005-0000-0000-00000E540000}"/>
    <cellStyle name="Normal 38 4 5 2 3" xfId="14927" xr:uid="{00000000-0005-0000-0000-00000F540000}"/>
    <cellStyle name="Normal 38 4 5 2 3 2" xfId="34316" xr:uid="{00000000-0005-0000-0000-000010540000}"/>
    <cellStyle name="Normal 38 4 5 2 3 2 2" xfId="12510" xr:uid="{00000000-0005-0000-0000-000011540000}"/>
    <cellStyle name="Normal 38 4 5 2 3 3" xfId="19357" xr:uid="{00000000-0005-0000-0000-000012540000}"/>
    <cellStyle name="Normal 38 4 5 2 4" xfId="34317" xr:uid="{00000000-0005-0000-0000-000013540000}"/>
    <cellStyle name="Normal 38 4 5 2 4 2" xfId="34322" xr:uid="{00000000-0005-0000-0000-000014540000}"/>
    <cellStyle name="Normal 38 4 5 2 4 2 2" xfId="34323" xr:uid="{00000000-0005-0000-0000-000015540000}"/>
    <cellStyle name="Normal 38 4 5 2 4 3" xfId="21358" xr:uid="{00000000-0005-0000-0000-000016540000}"/>
    <cellStyle name="Normal 38 4 5 2 5" xfId="34325" xr:uid="{00000000-0005-0000-0000-000017540000}"/>
    <cellStyle name="Normal 38 4 5 2 5 2" xfId="29004" xr:uid="{00000000-0005-0000-0000-000018540000}"/>
    <cellStyle name="Normal 38 4 5 2 6" xfId="34326" xr:uid="{00000000-0005-0000-0000-000019540000}"/>
    <cellStyle name="Normal 38 4 5 2 6 2" xfId="29026" xr:uid="{00000000-0005-0000-0000-00001A540000}"/>
    <cellStyle name="Normal 38 4 5 2 7" xfId="34327" xr:uid="{00000000-0005-0000-0000-00001B540000}"/>
    <cellStyle name="Normal 38 4 5 2 8" xfId="34328" xr:uid="{00000000-0005-0000-0000-00001C540000}"/>
    <cellStyle name="Normal 38 4 5 3" xfId="34329" xr:uid="{00000000-0005-0000-0000-00001D540000}"/>
    <cellStyle name="Normal 38 4 5 3 2" xfId="34331" xr:uid="{00000000-0005-0000-0000-00001E540000}"/>
    <cellStyle name="Normal 38 4 5 3 2 2" xfId="34332" xr:uid="{00000000-0005-0000-0000-00001F540000}"/>
    <cellStyle name="Normal 38 4 5 3 2 2 2" xfId="34334" xr:uid="{00000000-0005-0000-0000-000020540000}"/>
    <cellStyle name="Normal 38 4 5 3 2 3" xfId="34336" xr:uid="{00000000-0005-0000-0000-000021540000}"/>
    <cellStyle name="Normal 38 4 5 3 3" xfId="2553" xr:uid="{00000000-0005-0000-0000-000022540000}"/>
    <cellStyle name="Normal 38 4 5 3 3 2" xfId="34338" xr:uid="{00000000-0005-0000-0000-000023540000}"/>
    <cellStyle name="Normal 38 4 5 3 4" xfId="3626" xr:uid="{00000000-0005-0000-0000-000024540000}"/>
    <cellStyle name="Normal 38 4 5 4" xfId="34339" xr:uid="{00000000-0005-0000-0000-000025540000}"/>
    <cellStyle name="Normal 38 4 5 4 2" xfId="34342" xr:uid="{00000000-0005-0000-0000-000026540000}"/>
    <cellStyle name="Normal 38 4 5 4 2 2" xfId="34343" xr:uid="{00000000-0005-0000-0000-000027540000}"/>
    <cellStyle name="Normal 38 4 5 4 3" xfId="34349" xr:uid="{00000000-0005-0000-0000-000028540000}"/>
    <cellStyle name="Normal 38 4 5 5" xfId="34350" xr:uid="{00000000-0005-0000-0000-000029540000}"/>
    <cellStyle name="Normal 38 4 5 5 2" xfId="34354" xr:uid="{00000000-0005-0000-0000-00002A540000}"/>
    <cellStyle name="Normal 38 4 5 5 2 2" xfId="34355" xr:uid="{00000000-0005-0000-0000-00002B540000}"/>
    <cellStyle name="Normal 38 4 5 5 3" xfId="34356" xr:uid="{00000000-0005-0000-0000-00002C540000}"/>
    <cellStyle name="Normal 38 4 5 6" xfId="34357" xr:uid="{00000000-0005-0000-0000-00002D540000}"/>
    <cellStyle name="Normal 38 4 5 6 2" xfId="34360" xr:uid="{00000000-0005-0000-0000-00002E540000}"/>
    <cellStyle name="Normal 38 4 5 7" xfId="33535" xr:uid="{00000000-0005-0000-0000-00002F540000}"/>
    <cellStyle name="Normal 38 4 5 7 2" xfId="8630" xr:uid="{00000000-0005-0000-0000-000030540000}"/>
    <cellStyle name="Normal 38 4 5 8" xfId="34361" xr:uid="{00000000-0005-0000-0000-000031540000}"/>
    <cellStyle name="Normal 38 4 5 9" xfId="34362" xr:uid="{00000000-0005-0000-0000-000032540000}"/>
    <cellStyle name="Normal 38 4 6" xfId="27316" xr:uid="{00000000-0005-0000-0000-000033540000}"/>
    <cellStyle name="Normal 38 4 6 2" xfId="10797" xr:uid="{00000000-0005-0000-0000-000034540000}"/>
    <cellStyle name="Normal 38 4 6 2 2" xfId="10566" xr:uid="{00000000-0005-0000-0000-000035540000}"/>
    <cellStyle name="Normal 38 4 6 2 2 2" xfId="10573" xr:uid="{00000000-0005-0000-0000-000036540000}"/>
    <cellStyle name="Normal 38 4 6 2 2 2 2" xfId="10578" xr:uid="{00000000-0005-0000-0000-000037540000}"/>
    <cellStyle name="Normal 38 4 6 2 2 3" xfId="10585" xr:uid="{00000000-0005-0000-0000-000038540000}"/>
    <cellStyle name="Normal 38 4 6 2 3" xfId="10589" xr:uid="{00000000-0005-0000-0000-000039540000}"/>
    <cellStyle name="Normal 38 4 6 2 3 2" xfId="10595" xr:uid="{00000000-0005-0000-0000-00003A540000}"/>
    <cellStyle name="Normal 38 4 6 2 4" xfId="10599" xr:uid="{00000000-0005-0000-0000-00003B540000}"/>
    <cellStyle name="Normal 38 4 6 2 5" xfId="10612" xr:uid="{00000000-0005-0000-0000-00003C540000}"/>
    <cellStyle name="Normal 38 4 6 3" xfId="10800" xr:uid="{00000000-0005-0000-0000-00003D540000}"/>
    <cellStyle name="Normal 38 4 6 3 2" xfId="308" xr:uid="{00000000-0005-0000-0000-00003E540000}"/>
    <cellStyle name="Normal 38 4 6 3 2 2" xfId="1728" xr:uid="{00000000-0005-0000-0000-00003F540000}"/>
    <cellStyle name="Normal 38 4 6 3 3" xfId="70" xr:uid="{00000000-0005-0000-0000-000040540000}"/>
    <cellStyle name="Normal 38 4 6 4" xfId="10810" xr:uid="{00000000-0005-0000-0000-000041540000}"/>
    <cellStyle name="Normal 38 4 6 4 2" xfId="2216" xr:uid="{00000000-0005-0000-0000-000042540000}"/>
    <cellStyle name="Normal 38 4 6 4 2 2" xfId="494" xr:uid="{00000000-0005-0000-0000-000043540000}"/>
    <cellStyle name="Normal 38 4 6 4 3" xfId="2255" xr:uid="{00000000-0005-0000-0000-000044540000}"/>
    <cellStyle name="Normal 38 4 6 5" xfId="10819" xr:uid="{00000000-0005-0000-0000-000045540000}"/>
    <cellStyle name="Normal 38 4 6 5 2" xfId="2798" xr:uid="{00000000-0005-0000-0000-000046540000}"/>
    <cellStyle name="Normal 38 4 6 6" xfId="10829" xr:uid="{00000000-0005-0000-0000-000047540000}"/>
    <cellStyle name="Normal 38 4 6 6 2" xfId="3127" xr:uid="{00000000-0005-0000-0000-000048540000}"/>
    <cellStyle name="Normal 38 4 6 7" xfId="10834" xr:uid="{00000000-0005-0000-0000-000049540000}"/>
    <cellStyle name="Normal 38 4 6 8" xfId="8947" xr:uid="{00000000-0005-0000-0000-00004A540000}"/>
    <cellStyle name="Normal 38 4 7" xfId="27319" xr:uid="{00000000-0005-0000-0000-00004B540000}"/>
    <cellStyle name="Normal 38 4 7 2" xfId="1453" xr:uid="{00000000-0005-0000-0000-00004C540000}"/>
    <cellStyle name="Normal 38 4 7 2 2" xfId="10871" xr:uid="{00000000-0005-0000-0000-00004D540000}"/>
    <cellStyle name="Normal 38 4 7 2 2 2" xfId="10875" xr:uid="{00000000-0005-0000-0000-00004E540000}"/>
    <cellStyle name="Normal 38 4 7 2 3" xfId="10887" xr:uid="{00000000-0005-0000-0000-00004F540000}"/>
    <cellStyle name="Normal 38 4 7 3" xfId="10890" xr:uid="{00000000-0005-0000-0000-000050540000}"/>
    <cellStyle name="Normal 38 4 7 3 2" xfId="3654" xr:uid="{00000000-0005-0000-0000-000051540000}"/>
    <cellStyle name="Normal 38 4 7 4" xfId="10900" xr:uid="{00000000-0005-0000-0000-000052540000}"/>
    <cellStyle name="Normal 38 4 7 5" xfId="10908" xr:uid="{00000000-0005-0000-0000-000053540000}"/>
    <cellStyle name="Normal 38 4 8" xfId="15031" xr:uid="{00000000-0005-0000-0000-000054540000}"/>
    <cellStyle name="Normal 38 4 8 2" xfId="10929" xr:uid="{00000000-0005-0000-0000-000055540000}"/>
    <cellStyle name="Normal 38 4 8 2 2" xfId="10935" xr:uid="{00000000-0005-0000-0000-000056540000}"/>
    <cellStyle name="Normal 38 4 8 3" xfId="10938" xr:uid="{00000000-0005-0000-0000-000057540000}"/>
    <cellStyle name="Normal 38 4 9" xfId="34363" xr:uid="{00000000-0005-0000-0000-000058540000}"/>
    <cellStyle name="Normal 38 4 9 2" xfId="7945" xr:uid="{00000000-0005-0000-0000-000059540000}"/>
    <cellStyle name="Normal 38 4 9 2 2" xfId="34116" xr:uid="{00000000-0005-0000-0000-00005A540000}"/>
    <cellStyle name="Normal 38 4 9 3" xfId="34365" xr:uid="{00000000-0005-0000-0000-00005B540000}"/>
    <cellStyle name="Normal 38 5" xfId="30187" xr:uid="{00000000-0005-0000-0000-00005C540000}"/>
    <cellStyle name="Normal 38 5 10" xfId="5447" xr:uid="{00000000-0005-0000-0000-00005D540000}"/>
    <cellStyle name="Normal 38 5 2" xfId="30191" xr:uid="{00000000-0005-0000-0000-00005E540000}"/>
    <cellStyle name="Normal 38 5 2 2" xfId="34366" xr:uid="{00000000-0005-0000-0000-00005F540000}"/>
    <cellStyle name="Normal 38 5 2 2 2" xfId="583" xr:uid="{00000000-0005-0000-0000-000060540000}"/>
    <cellStyle name="Normal 38 5 2 2 2 2" xfId="34368" xr:uid="{00000000-0005-0000-0000-000061540000}"/>
    <cellStyle name="Normal 38 5 2 2 2 2 2" xfId="31870" xr:uid="{00000000-0005-0000-0000-000062540000}"/>
    <cellStyle name="Normal 38 5 2 2 2 2 2 2" xfId="28994" xr:uid="{00000000-0005-0000-0000-000063540000}"/>
    <cellStyle name="Normal 38 5 2 2 2 2 3" xfId="31876" xr:uid="{00000000-0005-0000-0000-000064540000}"/>
    <cellStyle name="Normal 38 5 2 2 2 3" xfId="34370" xr:uid="{00000000-0005-0000-0000-000065540000}"/>
    <cellStyle name="Normal 38 5 2 2 2 3 2" xfId="34374" xr:uid="{00000000-0005-0000-0000-000066540000}"/>
    <cellStyle name="Normal 38 5 2 2 2 4" xfId="34375" xr:uid="{00000000-0005-0000-0000-000067540000}"/>
    <cellStyle name="Normal 38 5 2 2 2 5" xfId="34376" xr:uid="{00000000-0005-0000-0000-000068540000}"/>
    <cellStyle name="Normal 38 5 2 2 3" xfId="34377" xr:uid="{00000000-0005-0000-0000-000069540000}"/>
    <cellStyle name="Normal 38 5 2 2 3 2" xfId="34379" xr:uid="{00000000-0005-0000-0000-00006A540000}"/>
    <cellStyle name="Normal 38 5 2 2 3 2 2" xfId="34384" xr:uid="{00000000-0005-0000-0000-00006B540000}"/>
    <cellStyle name="Normal 38 5 2 2 3 3" xfId="34385" xr:uid="{00000000-0005-0000-0000-00006C540000}"/>
    <cellStyle name="Normal 38 5 2 2 4" xfId="34386" xr:uid="{00000000-0005-0000-0000-00006D540000}"/>
    <cellStyle name="Normal 38 5 2 2 4 2" xfId="34388" xr:uid="{00000000-0005-0000-0000-00006E540000}"/>
    <cellStyle name="Normal 38 5 2 2 4 2 2" xfId="34389" xr:uid="{00000000-0005-0000-0000-00006F540000}"/>
    <cellStyle name="Normal 38 5 2 2 4 3" xfId="34392" xr:uid="{00000000-0005-0000-0000-000070540000}"/>
    <cellStyle name="Normal 38 5 2 2 5" xfId="34393" xr:uid="{00000000-0005-0000-0000-000071540000}"/>
    <cellStyle name="Normal 38 5 2 2 5 2" xfId="6645" xr:uid="{00000000-0005-0000-0000-000072540000}"/>
    <cellStyle name="Normal 38 5 2 2 6" xfId="34395" xr:uid="{00000000-0005-0000-0000-000073540000}"/>
    <cellStyle name="Normal 38 5 2 2 6 2" xfId="29622" xr:uid="{00000000-0005-0000-0000-000074540000}"/>
    <cellStyle name="Normal 38 5 2 2 7" xfId="34396" xr:uid="{00000000-0005-0000-0000-000075540000}"/>
    <cellStyle name="Normal 38 5 2 2 8" xfId="34397" xr:uid="{00000000-0005-0000-0000-000076540000}"/>
    <cellStyle name="Normal 38 5 2 3" xfId="33316" xr:uid="{00000000-0005-0000-0000-000077540000}"/>
    <cellStyle name="Normal 38 5 2 3 2" xfId="2279" xr:uid="{00000000-0005-0000-0000-000078540000}"/>
    <cellStyle name="Normal 38 5 2 3 2 2" xfId="5283" xr:uid="{00000000-0005-0000-0000-000079540000}"/>
    <cellStyle name="Normal 38 5 2 3 2 2 2" xfId="34400" xr:uid="{00000000-0005-0000-0000-00007A540000}"/>
    <cellStyle name="Normal 38 5 2 3 2 3" xfId="34401" xr:uid="{00000000-0005-0000-0000-00007B540000}"/>
    <cellStyle name="Normal 38 5 2 3 3" xfId="33320" xr:uid="{00000000-0005-0000-0000-00007C540000}"/>
    <cellStyle name="Normal 38 5 2 3 3 2" xfId="6778" xr:uid="{00000000-0005-0000-0000-00007D540000}"/>
    <cellStyle name="Normal 38 5 2 3 4" xfId="34402" xr:uid="{00000000-0005-0000-0000-00007E540000}"/>
    <cellStyle name="Normal 38 5 2 3 5" xfId="34403" xr:uid="{00000000-0005-0000-0000-00007F540000}"/>
    <cellStyle name="Normal 38 5 2 4" xfId="33325" xr:uid="{00000000-0005-0000-0000-000080540000}"/>
    <cellStyle name="Normal 38 5 2 4 2" xfId="33337" xr:uid="{00000000-0005-0000-0000-000081540000}"/>
    <cellStyle name="Normal 38 5 2 4 2 2" xfId="6913" xr:uid="{00000000-0005-0000-0000-000082540000}"/>
    <cellStyle name="Normal 38 5 2 4 3" xfId="34408" xr:uid="{00000000-0005-0000-0000-000083540000}"/>
    <cellStyle name="Normal 38 5 2 5" xfId="33339" xr:uid="{00000000-0005-0000-0000-000084540000}"/>
    <cellStyle name="Normal 38 5 2 5 2" xfId="34413" xr:uid="{00000000-0005-0000-0000-000085540000}"/>
    <cellStyle name="Normal 38 5 2 5 2 2" xfId="7146" xr:uid="{00000000-0005-0000-0000-000086540000}"/>
    <cellStyle name="Normal 38 5 2 5 3" xfId="34419" xr:uid="{00000000-0005-0000-0000-000087540000}"/>
    <cellStyle name="Normal 38 5 2 6" xfId="26225" xr:uid="{00000000-0005-0000-0000-000088540000}"/>
    <cellStyle name="Normal 38 5 2 6 2" xfId="34421" xr:uid="{00000000-0005-0000-0000-000089540000}"/>
    <cellStyle name="Normal 38 5 2 7" xfId="34426" xr:uid="{00000000-0005-0000-0000-00008A540000}"/>
    <cellStyle name="Normal 38 5 2 7 2" xfId="34429" xr:uid="{00000000-0005-0000-0000-00008B540000}"/>
    <cellStyle name="Normal 38 5 2 8" xfId="34434" xr:uid="{00000000-0005-0000-0000-00008C540000}"/>
    <cellStyle name="Normal 38 5 2 9" xfId="34436" xr:uid="{00000000-0005-0000-0000-00008D540000}"/>
    <cellStyle name="Normal 38 5 3" xfId="33195" xr:uid="{00000000-0005-0000-0000-00008E540000}"/>
    <cellStyle name="Normal 38 5 3 2" xfId="34438" xr:uid="{00000000-0005-0000-0000-00008F540000}"/>
    <cellStyle name="Normal 38 5 3 2 2" xfId="622" xr:uid="{00000000-0005-0000-0000-000090540000}"/>
    <cellStyle name="Normal 38 5 3 2 2 2" xfId="34441" xr:uid="{00000000-0005-0000-0000-000091540000}"/>
    <cellStyle name="Normal 38 5 3 2 2 2 2" xfId="32245" xr:uid="{00000000-0005-0000-0000-000092540000}"/>
    <cellStyle name="Normal 38 5 3 2 2 3" xfId="34443" xr:uid="{00000000-0005-0000-0000-000093540000}"/>
    <cellStyle name="Normal 38 5 3 2 2 4" xfId="14549" xr:uid="{00000000-0005-0000-0000-000094540000}"/>
    <cellStyle name="Normal 38 5 3 2 3" xfId="34444" xr:uid="{00000000-0005-0000-0000-000095540000}"/>
    <cellStyle name="Normal 38 5 3 2 3 2" xfId="34446" xr:uid="{00000000-0005-0000-0000-000096540000}"/>
    <cellStyle name="Normal 38 5 3 2 4" xfId="34447" xr:uid="{00000000-0005-0000-0000-000097540000}"/>
    <cellStyle name="Normal 38 5 3 2 4 2" xfId="34448" xr:uid="{00000000-0005-0000-0000-000098540000}"/>
    <cellStyle name="Normal 38 5 3 2 5" xfId="34450" xr:uid="{00000000-0005-0000-0000-000099540000}"/>
    <cellStyle name="Normal 38 5 3 2 6" xfId="34452" xr:uid="{00000000-0005-0000-0000-00009A540000}"/>
    <cellStyle name="Normal 38 5 3 3" xfId="33346" xr:uid="{00000000-0005-0000-0000-00009B540000}"/>
    <cellStyle name="Normal 38 5 3 3 2" xfId="2839" xr:uid="{00000000-0005-0000-0000-00009C540000}"/>
    <cellStyle name="Normal 38 5 3 3 2 2" xfId="34453" xr:uid="{00000000-0005-0000-0000-00009D540000}"/>
    <cellStyle name="Normal 38 5 3 3 3" xfId="34454" xr:uid="{00000000-0005-0000-0000-00009E540000}"/>
    <cellStyle name="Normal 38 5 3 3 4" xfId="34455" xr:uid="{00000000-0005-0000-0000-00009F540000}"/>
    <cellStyle name="Normal 38 5 3 4" xfId="33350" xr:uid="{00000000-0005-0000-0000-0000A0540000}"/>
    <cellStyle name="Normal 38 5 3 4 2" xfId="34460" xr:uid="{00000000-0005-0000-0000-0000A1540000}"/>
    <cellStyle name="Normal 38 5 3 4 2 2" xfId="27999" xr:uid="{00000000-0005-0000-0000-0000A2540000}"/>
    <cellStyle name="Normal 38 5 3 4 3" xfId="34466" xr:uid="{00000000-0005-0000-0000-0000A3540000}"/>
    <cellStyle name="Normal 38 5 3 5" xfId="34467" xr:uid="{00000000-0005-0000-0000-0000A4540000}"/>
    <cellStyle name="Normal 38 5 3 5 2" xfId="34473" xr:uid="{00000000-0005-0000-0000-0000A5540000}"/>
    <cellStyle name="Normal 38 5 3 6" xfId="34474" xr:uid="{00000000-0005-0000-0000-0000A6540000}"/>
    <cellStyle name="Normal 38 5 3 6 2" xfId="34477" xr:uid="{00000000-0005-0000-0000-0000A7540000}"/>
    <cellStyle name="Normal 38 5 3 7" xfId="34483" xr:uid="{00000000-0005-0000-0000-0000A8540000}"/>
    <cellStyle name="Normal 38 5 3 8" xfId="34486" xr:uid="{00000000-0005-0000-0000-0000A9540000}"/>
    <cellStyle name="Normal 38 5 4" xfId="27324" xr:uid="{00000000-0005-0000-0000-0000AA540000}"/>
    <cellStyle name="Normal 38 5 4 2" xfId="27329" xr:uid="{00000000-0005-0000-0000-0000AB540000}"/>
    <cellStyle name="Normal 38 5 4 2 2" xfId="1644" xr:uid="{00000000-0005-0000-0000-0000AC540000}"/>
    <cellStyle name="Normal 38 5 4 2 2 2" xfId="34487" xr:uid="{00000000-0005-0000-0000-0000AD540000}"/>
    <cellStyle name="Normal 38 5 4 2 3" xfId="14996" xr:uid="{00000000-0005-0000-0000-0000AE540000}"/>
    <cellStyle name="Normal 38 5 4 2 4" xfId="15000" xr:uid="{00000000-0005-0000-0000-0000AF540000}"/>
    <cellStyle name="Normal 38 5 4 3" xfId="33357" xr:uid="{00000000-0005-0000-0000-0000B0540000}"/>
    <cellStyle name="Normal 38 5 4 3 2" xfId="3260" xr:uid="{00000000-0005-0000-0000-0000B1540000}"/>
    <cellStyle name="Normal 38 5 4 4" xfId="33364" xr:uid="{00000000-0005-0000-0000-0000B2540000}"/>
    <cellStyle name="Normal 38 5 4 4 2" xfId="34491" xr:uid="{00000000-0005-0000-0000-0000B3540000}"/>
    <cellStyle name="Normal 38 5 4 5" xfId="34492" xr:uid="{00000000-0005-0000-0000-0000B4540000}"/>
    <cellStyle name="Normal 38 5 4 6" xfId="34493" xr:uid="{00000000-0005-0000-0000-0000B5540000}"/>
    <cellStyle name="Normal 38 5 5" xfId="21978" xr:uid="{00000000-0005-0000-0000-0000B6540000}"/>
    <cellStyle name="Normal 38 5 5 2" xfId="34494" xr:uid="{00000000-0005-0000-0000-0000B7540000}"/>
    <cellStyle name="Normal 38 5 5 2 2" xfId="1480" xr:uid="{00000000-0005-0000-0000-0000B8540000}"/>
    <cellStyle name="Normal 38 5 5 2 2 2" xfId="7939" xr:uid="{00000000-0005-0000-0000-0000B9540000}"/>
    <cellStyle name="Normal 38 5 5 2 3" xfId="7949" xr:uid="{00000000-0005-0000-0000-0000BA540000}"/>
    <cellStyle name="Normal 38 5 5 2 4" xfId="34496" xr:uid="{00000000-0005-0000-0000-0000BB540000}"/>
    <cellStyle name="Normal 38 5 5 3" xfId="33367" xr:uid="{00000000-0005-0000-0000-0000BC540000}"/>
    <cellStyle name="Normal 38 5 5 3 2" xfId="34497" xr:uid="{00000000-0005-0000-0000-0000BD540000}"/>
    <cellStyle name="Normal 38 5 5 4" xfId="34498" xr:uid="{00000000-0005-0000-0000-0000BE540000}"/>
    <cellStyle name="Normal 38 5 5 4 2" xfId="10968" xr:uid="{00000000-0005-0000-0000-0000BF540000}"/>
    <cellStyle name="Normal 38 5 5 5" xfId="34499" xr:uid="{00000000-0005-0000-0000-0000C0540000}"/>
    <cellStyle name="Normal 38 5 5 6" xfId="34500" xr:uid="{00000000-0005-0000-0000-0000C1540000}"/>
    <cellStyle name="Normal 38 5 6" xfId="11806" xr:uid="{00000000-0005-0000-0000-0000C2540000}"/>
    <cellStyle name="Normal 38 5 6 2" xfId="10987" xr:uid="{00000000-0005-0000-0000-0000C3540000}"/>
    <cellStyle name="Normal 38 5 6 2 2" xfId="8090" xr:uid="{00000000-0005-0000-0000-0000C4540000}"/>
    <cellStyle name="Normal 38 5 6 3" xfId="10995" xr:uid="{00000000-0005-0000-0000-0000C5540000}"/>
    <cellStyle name="Normal 38 5 6 4" xfId="11001" xr:uid="{00000000-0005-0000-0000-0000C6540000}"/>
    <cellStyle name="Normal 38 5 7" xfId="6326" xr:uid="{00000000-0005-0000-0000-0000C7540000}"/>
    <cellStyle name="Normal 38 5 7 2" xfId="11020" xr:uid="{00000000-0005-0000-0000-0000C8540000}"/>
    <cellStyle name="Normal 38 5 8" xfId="34501" xr:uid="{00000000-0005-0000-0000-0000C9540000}"/>
    <cellStyle name="Normal 38 5 8 2" xfId="10234" xr:uid="{00000000-0005-0000-0000-0000CA540000}"/>
    <cellStyle name="Normal 38 5 9" xfId="34503" xr:uid="{00000000-0005-0000-0000-0000CB540000}"/>
    <cellStyle name="Normal 38 6" xfId="30195" xr:uid="{00000000-0005-0000-0000-0000CC540000}"/>
    <cellStyle name="Normal 38 6 2" xfId="10837" xr:uid="{00000000-0005-0000-0000-0000CD540000}"/>
    <cellStyle name="Normal 38 6 2 2" xfId="34505" xr:uid="{00000000-0005-0000-0000-0000CE540000}"/>
    <cellStyle name="Normal 38 6 2 2 2" xfId="25082" xr:uid="{00000000-0005-0000-0000-0000CF540000}"/>
    <cellStyle name="Normal 38 6 2 2 2 2" xfId="34508" xr:uid="{00000000-0005-0000-0000-0000D0540000}"/>
    <cellStyle name="Normal 38 6 2 2 2 2 2" xfId="33731" xr:uid="{00000000-0005-0000-0000-0000D1540000}"/>
    <cellStyle name="Normal 38 6 2 2 2 3" xfId="34510" xr:uid="{00000000-0005-0000-0000-0000D2540000}"/>
    <cellStyle name="Normal 38 6 2 2 3" xfId="34512" xr:uid="{00000000-0005-0000-0000-0000D3540000}"/>
    <cellStyle name="Normal 38 6 2 2 3 2" xfId="34514" xr:uid="{00000000-0005-0000-0000-0000D4540000}"/>
    <cellStyle name="Normal 38 6 2 2 4" xfId="34516" xr:uid="{00000000-0005-0000-0000-0000D5540000}"/>
    <cellStyle name="Normal 38 6 2 2 5" xfId="34518" xr:uid="{00000000-0005-0000-0000-0000D6540000}"/>
    <cellStyle name="Normal 38 6 2 3" xfId="33432" xr:uid="{00000000-0005-0000-0000-0000D7540000}"/>
    <cellStyle name="Normal 38 6 2 3 2" xfId="33437" xr:uid="{00000000-0005-0000-0000-0000D8540000}"/>
    <cellStyle name="Normal 38 6 2 3 2 2" xfId="3297" xr:uid="{00000000-0005-0000-0000-0000D9540000}"/>
    <cellStyle name="Normal 38 6 2 3 3" xfId="34519" xr:uid="{00000000-0005-0000-0000-0000DA540000}"/>
    <cellStyle name="Normal 38 6 2 4" xfId="33442" xr:uid="{00000000-0005-0000-0000-0000DB540000}"/>
    <cellStyle name="Normal 38 6 2 4 2" xfId="34521" xr:uid="{00000000-0005-0000-0000-0000DC540000}"/>
    <cellStyle name="Normal 38 6 2 4 2 2" xfId="8019" xr:uid="{00000000-0005-0000-0000-0000DD540000}"/>
    <cellStyle name="Normal 38 6 2 4 3" xfId="34526" xr:uid="{00000000-0005-0000-0000-0000DE540000}"/>
    <cellStyle name="Normal 38 6 2 5" xfId="34528" xr:uid="{00000000-0005-0000-0000-0000DF540000}"/>
    <cellStyle name="Normal 38 6 2 5 2" xfId="34532" xr:uid="{00000000-0005-0000-0000-0000E0540000}"/>
    <cellStyle name="Normal 38 6 2 6" xfId="31267" xr:uid="{00000000-0005-0000-0000-0000E1540000}"/>
    <cellStyle name="Normal 38 6 2 6 2" xfId="26180" xr:uid="{00000000-0005-0000-0000-0000E2540000}"/>
    <cellStyle name="Normal 38 6 2 7" xfId="31271" xr:uid="{00000000-0005-0000-0000-0000E3540000}"/>
    <cellStyle name="Normal 38 6 2 8" xfId="34535" xr:uid="{00000000-0005-0000-0000-0000E4540000}"/>
    <cellStyle name="Normal 38 6 3" xfId="10848" xr:uid="{00000000-0005-0000-0000-0000E5540000}"/>
    <cellStyle name="Normal 38 6 3 2" xfId="34537" xr:uid="{00000000-0005-0000-0000-0000E6540000}"/>
    <cellStyle name="Normal 38 6 3 2 2" xfId="34541" xr:uid="{00000000-0005-0000-0000-0000E7540000}"/>
    <cellStyle name="Normal 38 6 3 2 2 2" xfId="34543" xr:uid="{00000000-0005-0000-0000-0000E8540000}"/>
    <cellStyle name="Normal 38 6 3 2 3" xfId="34545" xr:uid="{00000000-0005-0000-0000-0000E9540000}"/>
    <cellStyle name="Normal 38 6 3 3" xfId="33451" xr:uid="{00000000-0005-0000-0000-0000EA540000}"/>
    <cellStyle name="Normal 38 6 3 3 2" xfId="33455" xr:uid="{00000000-0005-0000-0000-0000EB540000}"/>
    <cellStyle name="Normal 38 6 3 4" xfId="33459" xr:uid="{00000000-0005-0000-0000-0000EC540000}"/>
    <cellStyle name="Normal 38 6 3 5" xfId="34547" xr:uid="{00000000-0005-0000-0000-0000ED540000}"/>
    <cellStyle name="Normal 38 6 4" xfId="27333" xr:uid="{00000000-0005-0000-0000-0000EE540000}"/>
    <cellStyle name="Normal 38 6 4 2" xfId="12638" xr:uid="{00000000-0005-0000-0000-0000EF540000}"/>
    <cellStyle name="Normal 38 6 4 2 2" xfId="12643" xr:uid="{00000000-0005-0000-0000-0000F0540000}"/>
    <cellStyle name="Normal 38 6 4 3" xfId="12492" xr:uid="{00000000-0005-0000-0000-0000F1540000}"/>
    <cellStyle name="Normal 38 6 5" xfId="27338" xr:uid="{00000000-0005-0000-0000-0000F2540000}"/>
    <cellStyle name="Normal 38 6 5 2" xfId="34549" xr:uid="{00000000-0005-0000-0000-0000F3540000}"/>
    <cellStyle name="Normal 38 6 5 2 2" xfId="34551" xr:uid="{00000000-0005-0000-0000-0000F4540000}"/>
    <cellStyle name="Normal 38 6 5 3" xfId="33466" xr:uid="{00000000-0005-0000-0000-0000F5540000}"/>
    <cellStyle name="Normal 38 6 6" xfId="34553" xr:uid="{00000000-0005-0000-0000-0000F6540000}"/>
    <cellStyle name="Normal 38 6 6 2" xfId="11043" xr:uid="{00000000-0005-0000-0000-0000F7540000}"/>
    <cellStyle name="Normal 38 6 7" xfId="34555" xr:uid="{00000000-0005-0000-0000-0000F8540000}"/>
    <cellStyle name="Normal 38 6 7 2" xfId="11062" xr:uid="{00000000-0005-0000-0000-0000F9540000}"/>
    <cellStyle name="Normal 38 6 8" xfId="34557" xr:uid="{00000000-0005-0000-0000-0000FA540000}"/>
    <cellStyle name="Normal 38 6 9" xfId="34559" xr:uid="{00000000-0005-0000-0000-0000FB540000}"/>
    <cellStyle name="Normal 38 7" xfId="30199" xr:uid="{00000000-0005-0000-0000-0000FC540000}"/>
    <cellStyle name="Normal 38 7 2" xfId="25690" xr:uid="{00000000-0005-0000-0000-0000FD540000}"/>
    <cellStyle name="Normal 38 7 2 2" xfId="34561" xr:uid="{00000000-0005-0000-0000-0000FE540000}"/>
    <cellStyle name="Normal 38 7 2 2 2" xfId="34564" xr:uid="{00000000-0005-0000-0000-0000FF540000}"/>
    <cellStyle name="Normal 38 7 2 2 2 2" xfId="19315" xr:uid="{00000000-0005-0000-0000-000000550000}"/>
    <cellStyle name="Normal 38 7 2 2 2 2 2" xfId="19109" xr:uid="{00000000-0005-0000-0000-000001550000}"/>
    <cellStyle name="Normal 38 7 2 2 2 3" xfId="33" xr:uid="{00000000-0005-0000-0000-000002550000}"/>
    <cellStyle name="Normal 38 7 2 2 3" xfId="34566" xr:uid="{00000000-0005-0000-0000-000003550000}"/>
    <cellStyle name="Normal 38 7 2 2 3 2" xfId="34568" xr:uid="{00000000-0005-0000-0000-000004550000}"/>
    <cellStyle name="Normal 38 7 2 2 4" xfId="34570" xr:uid="{00000000-0005-0000-0000-000005550000}"/>
    <cellStyle name="Normal 38 7 2 2 5" xfId="24717" xr:uid="{00000000-0005-0000-0000-000006550000}"/>
    <cellStyle name="Normal 38 7 2 3" xfId="33490" xr:uid="{00000000-0005-0000-0000-000007550000}"/>
    <cellStyle name="Normal 38 7 2 3 2" xfId="33494" xr:uid="{00000000-0005-0000-0000-000008550000}"/>
    <cellStyle name="Normal 38 7 2 3 2 2" xfId="4882" xr:uid="{00000000-0005-0000-0000-000009550000}"/>
    <cellStyle name="Normal 38 7 2 3 3" xfId="34572" xr:uid="{00000000-0005-0000-0000-00000A550000}"/>
    <cellStyle name="Normal 38 7 2 4" xfId="14181" xr:uid="{00000000-0005-0000-0000-00000B550000}"/>
    <cellStyle name="Normal 38 7 2 4 2" xfId="14188" xr:uid="{00000000-0005-0000-0000-00000C550000}"/>
    <cellStyle name="Normal 38 7 2 4 2 2" xfId="8687" xr:uid="{00000000-0005-0000-0000-00000D550000}"/>
    <cellStyle name="Normal 38 7 2 4 3" xfId="34574" xr:uid="{00000000-0005-0000-0000-00000E550000}"/>
    <cellStyle name="Normal 38 7 2 5" xfId="14191" xr:uid="{00000000-0005-0000-0000-00000F550000}"/>
    <cellStyle name="Normal 38 7 2 5 2" xfId="34576" xr:uid="{00000000-0005-0000-0000-000010550000}"/>
    <cellStyle name="Normal 38 7 2 6" xfId="34578" xr:uid="{00000000-0005-0000-0000-000011550000}"/>
    <cellStyle name="Normal 38 7 2 6 2" xfId="26448" xr:uid="{00000000-0005-0000-0000-000012550000}"/>
    <cellStyle name="Normal 38 7 2 7" xfId="34580" xr:uid="{00000000-0005-0000-0000-000013550000}"/>
    <cellStyle name="Normal 38 7 2 8" xfId="34582" xr:uid="{00000000-0005-0000-0000-000014550000}"/>
    <cellStyle name="Normal 38 7 3" xfId="34584" xr:uid="{00000000-0005-0000-0000-000015550000}"/>
    <cellStyle name="Normal 38 7 3 2" xfId="34588" xr:uid="{00000000-0005-0000-0000-000016550000}"/>
    <cellStyle name="Normal 38 7 3 2 2" xfId="34590" xr:uid="{00000000-0005-0000-0000-000017550000}"/>
    <cellStyle name="Normal 38 7 3 2 2 2" xfId="34592" xr:uid="{00000000-0005-0000-0000-000018550000}"/>
    <cellStyle name="Normal 38 7 3 2 3" xfId="34594" xr:uid="{00000000-0005-0000-0000-000019550000}"/>
    <cellStyle name="Normal 38 7 3 3" xfId="16409" xr:uid="{00000000-0005-0000-0000-00001A550000}"/>
    <cellStyle name="Normal 38 7 3 3 2" xfId="33498" xr:uid="{00000000-0005-0000-0000-00001B550000}"/>
    <cellStyle name="Normal 38 7 3 4" xfId="14194" xr:uid="{00000000-0005-0000-0000-00001C550000}"/>
    <cellStyle name="Normal 38 7 3 5" xfId="14200" xr:uid="{00000000-0005-0000-0000-00001D550000}"/>
    <cellStyle name="Normal 38 7 4" xfId="27342" xr:uid="{00000000-0005-0000-0000-00001E550000}"/>
    <cellStyle name="Normal 38 7 4 2" xfId="34596" xr:uid="{00000000-0005-0000-0000-00001F550000}"/>
    <cellStyle name="Normal 38 7 4 2 2" xfId="34600" xr:uid="{00000000-0005-0000-0000-000020550000}"/>
    <cellStyle name="Normal 38 7 4 3" xfId="33502" xr:uid="{00000000-0005-0000-0000-000021550000}"/>
    <cellStyle name="Normal 38 7 5" xfId="34604" xr:uid="{00000000-0005-0000-0000-000022550000}"/>
    <cellStyle name="Normal 38 7 5 2" xfId="34606" xr:uid="{00000000-0005-0000-0000-000023550000}"/>
    <cellStyle name="Normal 38 7 5 2 2" xfId="34608" xr:uid="{00000000-0005-0000-0000-000024550000}"/>
    <cellStyle name="Normal 38 7 5 3" xfId="33506" xr:uid="{00000000-0005-0000-0000-000025550000}"/>
    <cellStyle name="Normal 38 7 6" xfId="34610" xr:uid="{00000000-0005-0000-0000-000026550000}"/>
    <cellStyle name="Normal 38 7 6 2" xfId="10187" xr:uid="{00000000-0005-0000-0000-000027550000}"/>
    <cellStyle name="Normal 38 7 7" xfId="34612" xr:uid="{00000000-0005-0000-0000-000028550000}"/>
    <cellStyle name="Normal 38 7 7 2" xfId="10204" xr:uid="{00000000-0005-0000-0000-000029550000}"/>
    <cellStyle name="Normal 38 7 8" xfId="34616" xr:uid="{00000000-0005-0000-0000-00002A550000}"/>
    <cellStyle name="Normal 38 7 9" xfId="34620" xr:uid="{00000000-0005-0000-0000-00002B550000}"/>
    <cellStyle name="Normal 38 8" xfId="34624" xr:uid="{00000000-0005-0000-0000-00002C550000}"/>
    <cellStyle name="Normal 38 8 2" xfId="34631" xr:uid="{00000000-0005-0000-0000-00002D550000}"/>
    <cellStyle name="Normal 38 8 2 2" xfId="34634" xr:uid="{00000000-0005-0000-0000-00002E550000}"/>
    <cellStyle name="Normal 38 8 2 2 2" xfId="34638" xr:uid="{00000000-0005-0000-0000-00002F550000}"/>
    <cellStyle name="Normal 38 8 2 2 2 2" xfId="34641" xr:uid="{00000000-0005-0000-0000-000030550000}"/>
    <cellStyle name="Normal 38 8 2 2 2 2 2" xfId="26007" xr:uid="{00000000-0005-0000-0000-000031550000}"/>
    <cellStyle name="Normal 38 8 2 2 2 3" xfId="8953" xr:uid="{00000000-0005-0000-0000-000032550000}"/>
    <cellStyle name="Normal 38 8 2 2 3" xfId="29838" xr:uid="{00000000-0005-0000-0000-000033550000}"/>
    <cellStyle name="Normal 38 8 2 2 3 2" xfId="34647" xr:uid="{00000000-0005-0000-0000-000034550000}"/>
    <cellStyle name="Normal 38 8 2 2 4" xfId="34653" xr:uid="{00000000-0005-0000-0000-000035550000}"/>
    <cellStyle name="Normal 38 8 2 3" xfId="33575" xr:uid="{00000000-0005-0000-0000-000036550000}"/>
    <cellStyle name="Normal 38 8 2 3 2" xfId="33583" xr:uid="{00000000-0005-0000-0000-000037550000}"/>
    <cellStyle name="Normal 38 8 2 3 2 2" xfId="34655" xr:uid="{00000000-0005-0000-0000-000038550000}"/>
    <cellStyle name="Normal 38 8 2 3 3" xfId="34656" xr:uid="{00000000-0005-0000-0000-000039550000}"/>
    <cellStyle name="Normal 38 8 2 4" xfId="14325" xr:uid="{00000000-0005-0000-0000-00003A550000}"/>
    <cellStyle name="Normal 38 8 2 4 2" xfId="14333" xr:uid="{00000000-0005-0000-0000-00003B550000}"/>
    <cellStyle name="Normal 38 8 2 4 2 2" xfId="34660" xr:uid="{00000000-0005-0000-0000-00003C550000}"/>
    <cellStyle name="Normal 38 8 2 4 3" xfId="34663" xr:uid="{00000000-0005-0000-0000-00003D550000}"/>
    <cellStyle name="Normal 38 8 2 5" xfId="14337" xr:uid="{00000000-0005-0000-0000-00003E550000}"/>
    <cellStyle name="Normal 38 8 2 5 2" xfId="34666" xr:uid="{00000000-0005-0000-0000-00003F550000}"/>
    <cellStyle name="Normal 38 8 2 6" xfId="34667" xr:uid="{00000000-0005-0000-0000-000040550000}"/>
    <cellStyle name="Normal 38 8 2 6 2" xfId="34668" xr:uid="{00000000-0005-0000-0000-000041550000}"/>
    <cellStyle name="Normal 38 8 2 7" xfId="34672" xr:uid="{00000000-0005-0000-0000-000042550000}"/>
    <cellStyle name="Normal 38 8 2 8" xfId="34673" xr:uid="{00000000-0005-0000-0000-000043550000}"/>
    <cellStyle name="Normal 38 8 3" xfId="26747" xr:uid="{00000000-0005-0000-0000-000044550000}"/>
    <cellStyle name="Normal 38 8 3 2" xfId="34674" xr:uid="{00000000-0005-0000-0000-000045550000}"/>
    <cellStyle name="Normal 38 8 3 2 2" xfId="34678" xr:uid="{00000000-0005-0000-0000-000046550000}"/>
    <cellStyle name="Normal 38 8 3 2 2 2" xfId="34681" xr:uid="{00000000-0005-0000-0000-000047550000}"/>
    <cellStyle name="Normal 38 8 3 2 3" xfId="34687" xr:uid="{00000000-0005-0000-0000-000048550000}"/>
    <cellStyle name="Normal 38 8 3 3" xfId="33585" xr:uid="{00000000-0005-0000-0000-000049550000}"/>
    <cellStyle name="Normal 38 8 3 3 2" xfId="33592" xr:uid="{00000000-0005-0000-0000-00004A550000}"/>
    <cellStyle name="Normal 38 8 3 4" xfId="14341" xr:uid="{00000000-0005-0000-0000-00004B550000}"/>
    <cellStyle name="Normal 38 8 4" xfId="27350" xr:uid="{00000000-0005-0000-0000-00004C550000}"/>
    <cellStyle name="Normal 38 8 4 2" xfId="30617" xr:uid="{00000000-0005-0000-0000-00004D550000}"/>
    <cellStyle name="Normal 38 8 4 2 2" xfId="34690" xr:uid="{00000000-0005-0000-0000-00004E550000}"/>
    <cellStyle name="Normal 38 8 4 3" xfId="33595" xr:uid="{00000000-0005-0000-0000-00004F550000}"/>
    <cellStyle name="Normal 38 8 5" xfId="30621" xr:uid="{00000000-0005-0000-0000-000050550000}"/>
    <cellStyle name="Normal 38 8 5 2" xfId="34692" xr:uid="{00000000-0005-0000-0000-000051550000}"/>
    <cellStyle name="Normal 38 8 5 2 2" xfId="34694" xr:uid="{00000000-0005-0000-0000-000052550000}"/>
    <cellStyle name="Normal 38 8 5 3" xfId="33603" xr:uid="{00000000-0005-0000-0000-000053550000}"/>
    <cellStyle name="Normal 38 8 6" xfId="34695" xr:uid="{00000000-0005-0000-0000-000054550000}"/>
    <cellStyle name="Normal 38 8 6 2" xfId="5424" xr:uid="{00000000-0005-0000-0000-000055550000}"/>
    <cellStyle name="Normal 38 8 7" xfId="34697" xr:uid="{00000000-0005-0000-0000-000056550000}"/>
    <cellStyle name="Normal 38 8 7 2" xfId="7005" xr:uid="{00000000-0005-0000-0000-000057550000}"/>
    <cellStyle name="Normal 38 8 8" xfId="34297" xr:uid="{00000000-0005-0000-0000-000058550000}"/>
    <cellStyle name="Normal 38 8 9" xfId="34244" xr:uid="{00000000-0005-0000-0000-000059550000}"/>
    <cellStyle name="Normal 38 9" xfId="5781" xr:uid="{00000000-0005-0000-0000-00005A550000}"/>
    <cellStyle name="Normal 38 9 2" xfId="34698" xr:uid="{00000000-0005-0000-0000-00005B550000}"/>
    <cellStyle name="Normal 38 9 2 2" xfId="34700" xr:uid="{00000000-0005-0000-0000-00005C550000}"/>
    <cellStyle name="Normal 38 9 2 2 2" xfId="19144" xr:uid="{00000000-0005-0000-0000-00005D550000}"/>
    <cellStyle name="Normal 38 9 2 2 2 2" xfId="19152" xr:uid="{00000000-0005-0000-0000-00005E550000}"/>
    <cellStyle name="Normal 38 9 2 2 3" xfId="3743" xr:uid="{00000000-0005-0000-0000-00005F550000}"/>
    <cellStyle name="Normal 38 9 2 3" xfId="33626" xr:uid="{00000000-0005-0000-0000-000060550000}"/>
    <cellStyle name="Normal 38 9 2 3 2" xfId="19197" xr:uid="{00000000-0005-0000-0000-000061550000}"/>
    <cellStyle name="Normal 38 9 2 4" xfId="14410" xr:uid="{00000000-0005-0000-0000-000062550000}"/>
    <cellStyle name="Normal 38 9 2 5" xfId="14415" xr:uid="{00000000-0005-0000-0000-000063550000}"/>
    <cellStyle name="Normal 38 9 3" xfId="34703" xr:uid="{00000000-0005-0000-0000-000064550000}"/>
    <cellStyle name="Normal 38 9 3 2" xfId="34705" xr:uid="{00000000-0005-0000-0000-000065550000}"/>
    <cellStyle name="Normal 38 9 3 2 2" xfId="34709" xr:uid="{00000000-0005-0000-0000-000066550000}"/>
    <cellStyle name="Normal 38 9 3 3" xfId="33632" xr:uid="{00000000-0005-0000-0000-000067550000}"/>
    <cellStyle name="Normal 38 9 4" xfId="30625" xr:uid="{00000000-0005-0000-0000-000068550000}"/>
    <cellStyle name="Normal 38 9 4 2" xfId="34710" xr:uid="{00000000-0005-0000-0000-000069550000}"/>
    <cellStyle name="Normal 38 9 4 2 2" xfId="34713" xr:uid="{00000000-0005-0000-0000-00006A550000}"/>
    <cellStyle name="Normal 38 9 4 3" xfId="33637" xr:uid="{00000000-0005-0000-0000-00006B550000}"/>
    <cellStyle name="Normal 38 9 5" xfId="34714" xr:uid="{00000000-0005-0000-0000-00006C550000}"/>
    <cellStyle name="Normal 38 9 5 2" xfId="34716" xr:uid="{00000000-0005-0000-0000-00006D550000}"/>
    <cellStyle name="Normal 38 9 6" xfId="34717" xr:uid="{00000000-0005-0000-0000-00006E550000}"/>
    <cellStyle name="Normal 38 9 6 2" xfId="4078" xr:uid="{00000000-0005-0000-0000-00006F550000}"/>
    <cellStyle name="Normal 38 9 7" xfId="34718" xr:uid="{00000000-0005-0000-0000-000070550000}"/>
    <cellStyle name="Normal 38 9 8" xfId="34721" xr:uid="{00000000-0005-0000-0000-000071550000}"/>
    <cellStyle name="Normal 39" xfId="34722" xr:uid="{00000000-0005-0000-0000-000072550000}"/>
    <cellStyle name="Normal 39 10" xfId="34726" xr:uid="{00000000-0005-0000-0000-000073550000}"/>
    <cellStyle name="Normal 39 10 2" xfId="34728" xr:uid="{00000000-0005-0000-0000-000074550000}"/>
    <cellStyle name="Normal 39 10 2 2" xfId="34730" xr:uid="{00000000-0005-0000-0000-000075550000}"/>
    <cellStyle name="Normal 39 10 2 2 2" xfId="34732" xr:uid="{00000000-0005-0000-0000-000076550000}"/>
    <cellStyle name="Normal 39 10 2 3" xfId="34733" xr:uid="{00000000-0005-0000-0000-000077550000}"/>
    <cellStyle name="Normal 39 10 2 4" xfId="34737" xr:uid="{00000000-0005-0000-0000-000078550000}"/>
    <cellStyle name="Normal 39 10 3" xfId="31746" xr:uid="{00000000-0005-0000-0000-000079550000}"/>
    <cellStyle name="Normal 39 10 3 2" xfId="31752" xr:uid="{00000000-0005-0000-0000-00007A550000}"/>
    <cellStyle name="Normal 39 10 4" xfId="31757" xr:uid="{00000000-0005-0000-0000-00007B550000}"/>
    <cellStyle name="Normal 39 10 4 2" xfId="34743" xr:uid="{00000000-0005-0000-0000-00007C550000}"/>
    <cellStyle name="Normal 39 10 5" xfId="2564" xr:uid="{00000000-0005-0000-0000-00007D550000}"/>
    <cellStyle name="Normal 39 10 6" xfId="34745" xr:uid="{00000000-0005-0000-0000-00007E550000}"/>
    <cellStyle name="Normal 39 11" xfId="34746" xr:uid="{00000000-0005-0000-0000-00007F550000}"/>
    <cellStyle name="Normal 39 11 2" xfId="34748" xr:uid="{00000000-0005-0000-0000-000080550000}"/>
    <cellStyle name="Normal 39 11 2 2" xfId="34750" xr:uid="{00000000-0005-0000-0000-000081550000}"/>
    <cellStyle name="Normal 39 11 3" xfId="31758" xr:uid="{00000000-0005-0000-0000-000082550000}"/>
    <cellStyle name="Normal 39 11 4" xfId="34754" xr:uid="{00000000-0005-0000-0000-000083550000}"/>
    <cellStyle name="Normal 39 12" xfId="34755" xr:uid="{00000000-0005-0000-0000-000084550000}"/>
    <cellStyle name="Normal 39 12 2" xfId="34759" xr:uid="{00000000-0005-0000-0000-000085550000}"/>
    <cellStyle name="Normal 39 12 2 2" xfId="34763" xr:uid="{00000000-0005-0000-0000-000086550000}"/>
    <cellStyle name="Normal 39 12 3" xfId="34766" xr:uid="{00000000-0005-0000-0000-000087550000}"/>
    <cellStyle name="Normal 39 13" xfId="1347" xr:uid="{00000000-0005-0000-0000-000088550000}"/>
    <cellStyle name="Normal 39 13 2" xfId="34769" xr:uid="{00000000-0005-0000-0000-000089550000}"/>
    <cellStyle name="Normal 39 14" xfId="34773" xr:uid="{00000000-0005-0000-0000-00008A550000}"/>
    <cellStyle name="Normal 39 14 2" xfId="34777" xr:uid="{00000000-0005-0000-0000-00008B550000}"/>
    <cellStyle name="Normal 39 15" xfId="34779" xr:uid="{00000000-0005-0000-0000-00008C550000}"/>
    <cellStyle name="Normal 39 15 2" xfId="34781" xr:uid="{00000000-0005-0000-0000-00008D550000}"/>
    <cellStyle name="Normal 39 16" xfId="34784" xr:uid="{00000000-0005-0000-0000-00008E550000}"/>
    <cellStyle name="Normal 39 17" xfId="34788" xr:uid="{00000000-0005-0000-0000-00008F550000}"/>
    <cellStyle name="Normal 39 2" xfId="30221" xr:uid="{00000000-0005-0000-0000-000090550000}"/>
    <cellStyle name="Normal 39 2 10" xfId="34789" xr:uid="{00000000-0005-0000-0000-000091550000}"/>
    <cellStyle name="Normal 39 2 10 2" xfId="34791" xr:uid="{00000000-0005-0000-0000-000092550000}"/>
    <cellStyle name="Normal 39 2 11" xfId="13295" xr:uid="{00000000-0005-0000-0000-000093550000}"/>
    <cellStyle name="Normal 39 2 11 2" xfId="34793" xr:uid="{00000000-0005-0000-0000-000094550000}"/>
    <cellStyle name="Normal 39 2 12" xfId="29982" xr:uid="{00000000-0005-0000-0000-000095550000}"/>
    <cellStyle name="Normal 39 2 12 2" xfId="34795" xr:uid="{00000000-0005-0000-0000-000096550000}"/>
    <cellStyle name="Normal 39 2 13" xfId="25822" xr:uid="{00000000-0005-0000-0000-000097550000}"/>
    <cellStyle name="Normal 39 2 14" xfId="25833" xr:uid="{00000000-0005-0000-0000-000098550000}"/>
    <cellStyle name="Normal 39 2 2" xfId="30225" xr:uid="{00000000-0005-0000-0000-000099550000}"/>
    <cellStyle name="Normal 39 2 2 10" xfId="30896" xr:uid="{00000000-0005-0000-0000-00009A550000}"/>
    <cellStyle name="Normal 39 2 2 2" xfId="34797" xr:uid="{00000000-0005-0000-0000-00009B550000}"/>
    <cellStyle name="Normal 39 2 2 2 2" xfId="34799" xr:uid="{00000000-0005-0000-0000-00009C550000}"/>
    <cellStyle name="Normal 39 2 2 2 2 2" xfId="23537" xr:uid="{00000000-0005-0000-0000-00009D550000}"/>
    <cellStyle name="Normal 39 2 2 2 2 2 2" xfId="23541" xr:uid="{00000000-0005-0000-0000-00009E550000}"/>
    <cellStyle name="Normal 39 2 2 2 2 2 2 2" xfId="26556" xr:uid="{00000000-0005-0000-0000-00009F550000}"/>
    <cellStyle name="Normal 39 2 2 2 2 2 2 2 2" xfId="34801" xr:uid="{00000000-0005-0000-0000-0000A0550000}"/>
    <cellStyle name="Normal 39 2 2 2 2 2 2 3" xfId="34803" xr:uid="{00000000-0005-0000-0000-0000A1550000}"/>
    <cellStyle name="Normal 39 2 2 2 2 2 3" xfId="26559" xr:uid="{00000000-0005-0000-0000-0000A2550000}"/>
    <cellStyle name="Normal 39 2 2 2 2 2 3 2" xfId="31688" xr:uid="{00000000-0005-0000-0000-0000A3550000}"/>
    <cellStyle name="Normal 39 2 2 2 2 2 4" xfId="31693" xr:uid="{00000000-0005-0000-0000-0000A4550000}"/>
    <cellStyle name="Normal 39 2 2 2 2 3" xfId="1209" xr:uid="{00000000-0005-0000-0000-0000A5550000}"/>
    <cellStyle name="Normal 39 2 2 2 2 3 2" xfId="1222" xr:uid="{00000000-0005-0000-0000-0000A6550000}"/>
    <cellStyle name="Normal 39 2 2 2 2 3 2 2" xfId="34805" xr:uid="{00000000-0005-0000-0000-0000A7550000}"/>
    <cellStyle name="Normal 39 2 2 2 2 3 3" xfId="31697" xr:uid="{00000000-0005-0000-0000-0000A8550000}"/>
    <cellStyle name="Normal 39 2 2 2 2 4" xfId="1234" xr:uid="{00000000-0005-0000-0000-0000A9550000}"/>
    <cellStyle name="Normal 39 2 2 2 2 4 2" xfId="26564" xr:uid="{00000000-0005-0000-0000-0000AA550000}"/>
    <cellStyle name="Normal 39 2 2 2 2 4 2 2" xfId="34807" xr:uid="{00000000-0005-0000-0000-0000AB550000}"/>
    <cellStyle name="Normal 39 2 2 2 2 4 3" xfId="31703" xr:uid="{00000000-0005-0000-0000-0000AC550000}"/>
    <cellStyle name="Normal 39 2 2 2 2 5" xfId="26567" xr:uid="{00000000-0005-0000-0000-0000AD550000}"/>
    <cellStyle name="Normal 39 2 2 2 2 5 2" xfId="6704" xr:uid="{00000000-0005-0000-0000-0000AE550000}"/>
    <cellStyle name="Normal 39 2 2 2 2 6" xfId="26572" xr:uid="{00000000-0005-0000-0000-0000AF550000}"/>
    <cellStyle name="Normal 39 2 2 2 2 6 2" xfId="7982" xr:uid="{00000000-0005-0000-0000-0000B0550000}"/>
    <cellStyle name="Normal 39 2 2 2 2 7" xfId="26577" xr:uid="{00000000-0005-0000-0000-0000B1550000}"/>
    <cellStyle name="Normal 39 2 2 2 2 8" xfId="34811" xr:uid="{00000000-0005-0000-0000-0000B2550000}"/>
    <cellStyle name="Normal 39 2 2 2 3" xfId="7237" xr:uid="{00000000-0005-0000-0000-0000B3550000}"/>
    <cellStyle name="Normal 39 2 2 2 3 2" xfId="34813" xr:uid="{00000000-0005-0000-0000-0000B4550000}"/>
    <cellStyle name="Normal 39 2 2 2 3 2 2" xfId="34815" xr:uid="{00000000-0005-0000-0000-0000B5550000}"/>
    <cellStyle name="Normal 39 2 2 2 3 2 2 2" xfId="18835" xr:uid="{00000000-0005-0000-0000-0000B6550000}"/>
    <cellStyle name="Normal 39 2 2 2 3 2 3" xfId="34817" xr:uid="{00000000-0005-0000-0000-0000B7550000}"/>
    <cellStyle name="Normal 39 2 2 2 3 3" xfId="1282" xr:uid="{00000000-0005-0000-0000-0000B8550000}"/>
    <cellStyle name="Normal 39 2 2 2 3 3 2" xfId="21545" xr:uid="{00000000-0005-0000-0000-0000B9550000}"/>
    <cellStyle name="Normal 39 2 2 2 3 4" xfId="34819" xr:uid="{00000000-0005-0000-0000-0000BA550000}"/>
    <cellStyle name="Normal 39 2 2 2 4" xfId="23549" xr:uid="{00000000-0005-0000-0000-0000BB550000}"/>
    <cellStyle name="Normal 39 2 2 2 4 2" xfId="13451" xr:uid="{00000000-0005-0000-0000-0000BC550000}"/>
    <cellStyle name="Normal 39 2 2 2 4 2 2" xfId="13463" xr:uid="{00000000-0005-0000-0000-0000BD550000}"/>
    <cellStyle name="Normal 39 2 2 2 4 3" xfId="3090" xr:uid="{00000000-0005-0000-0000-0000BE550000}"/>
    <cellStyle name="Normal 39 2 2 2 5" xfId="34821" xr:uid="{00000000-0005-0000-0000-0000BF550000}"/>
    <cellStyle name="Normal 39 2 2 2 5 2" xfId="34824" xr:uid="{00000000-0005-0000-0000-0000C0550000}"/>
    <cellStyle name="Normal 39 2 2 2 5 2 2" xfId="34826" xr:uid="{00000000-0005-0000-0000-0000C1550000}"/>
    <cellStyle name="Normal 39 2 2 2 5 3" xfId="34828" xr:uid="{00000000-0005-0000-0000-0000C2550000}"/>
    <cellStyle name="Normal 39 2 2 2 6" xfId="29740" xr:uid="{00000000-0005-0000-0000-0000C3550000}"/>
    <cellStyle name="Normal 39 2 2 2 6 2" xfId="34830" xr:uid="{00000000-0005-0000-0000-0000C4550000}"/>
    <cellStyle name="Normal 39 2 2 2 7" xfId="34832" xr:uid="{00000000-0005-0000-0000-0000C5550000}"/>
    <cellStyle name="Normal 39 2 2 2 7 2" xfId="27572" xr:uid="{00000000-0005-0000-0000-0000C6550000}"/>
    <cellStyle name="Normal 39 2 2 2 8" xfId="23533" xr:uid="{00000000-0005-0000-0000-0000C7550000}"/>
    <cellStyle name="Normal 39 2 2 2 9" xfId="9394" xr:uid="{00000000-0005-0000-0000-0000C8550000}"/>
    <cellStyle name="Normal 39 2 2 3" xfId="34834" xr:uid="{00000000-0005-0000-0000-0000C9550000}"/>
    <cellStyle name="Normal 39 2 2 3 2" xfId="34836" xr:uid="{00000000-0005-0000-0000-0000CA550000}"/>
    <cellStyle name="Normal 39 2 2 3 2 2" xfId="34756" xr:uid="{00000000-0005-0000-0000-0000CB550000}"/>
    <cellStyle name="Normal 39 2 2 3 2 2 2" xfId="34760" xr:uid="{00000000-0005-0000-0000-0000CC550000}"/>
    <cellStyle name="Normal 39 2 2 3 2 2 2 2" xfId="34764" xr:uid="{00000000-0005-0000-0000-0000CD550000}"/>
    <cellStyle name="Normal 39 2 2 3 2 2 3" xfId="34767" xr:uid="{00000000-0005-0000-0000-0000CE550000}"/>
    <cellStyle name="Normal 39 2 2 3 2 3" xfId="1348" xr:uid="{00000000-0005-0000-0000-0000CF550000}"/>
    <cellStyle name="Normal 39 2 2 3 2 3 2" xfId="34770" xr:uid="{00000000-0005-0000-0000-0000D0550000}"/>
    <cellStyle name="Normal 39 2 2 3 2 4" xfId="34774" xr:uid="{00000000-0005-0000-0000-0000D1550000}"/>
    <cellStyle name="Normal 39 2 2 3 3" xfId="34838" xr:uid="{00000000-0005-0000-0000-0000D2550000}"/>
    <cellStyle name="Normal 39 2 2 3 3 2" xfId="34840" xr:uid="{00000000-0005-0000-0000-0000D3550000}"/>
    <cellStyle name="Normal 39 2 2 3 3 2 2" xfId="34842" xr:uid="{00000000-0005-0000-0000-0000D4550000}"/>
    <cellStyle name="Normal 39 2 2 3 3 3" xfId="34844" xr:uid="{00000000-0005-0000-0000-0000D5550000}"/>
    <cellStyle name="Normal 39 2 2 3 4" xfId="34846" xr:uid="{00000000-0005-0000-0000-0000D6550000}"/>
    <cellStyle name="Normal 39 2 2 3 4 2" xfId="34848" xr:uid="{00000000-0005-0000-0000-0000D7550000}"/>
    <cellStyle name="Normal 39 2 2 3 4 2 2" xfId="34850" xr:uid="{00000000-0005-0000-0000-0000D8550000}"/>
    <cellStyle name="Normal 39 2 2 3 4 3" xfId="34852" xr:uid="{00000000-0005-0000-0000-0000D9550000}"/>
    <cellStyle name="Normal 39 2 2 3 5" xfId="34854" xr:uid="{00000000-0005-0000-0000-0000DA550000}"/>
    <cellStyle name="Normal 39 2 2 3 5 2" xfId="34856" xr:uid="{00000000-0005-0000-0000-0000DB550000}"/>
    <cellStyle name="Normal 39 2 2 3 6" xfId="34858" xr:uid="{00000000-0005-0000-0000-0000DC550000}"/>
    <cellStyle name="Normal 39 2 2 3 6 2" xfId="34860" xr:uid="{00000000-0005-0000-0000-0000DD550000}"/>
    <cellStyle name="Normal 39 2 2 3 7" xfId="34862" xr:uid="{00000000-0005-0000-0000-0000DE550000}"/>
    <cellStyle name="Normal 39 2 2 3 8" xfId="23575" xr:uid="{00000000-0005-0000-0000-0000DF550000}"/>
    <cellStyle name="Normal 39 2 2 4" xfId="34864" xr:uid="{00000000-0005-0000-0000-0000E0550000}"/>
    <cellStyle name="Normal 39 2 2 4 2" xfId="34866" xr:uid="{00000000-0005-0000-0000-0000E1550000}"/>
    <cellStyle name="Normal 39 2 2 4 2 2" xfId="34869" xr:uid="{00000000-0005-0000-0000-0000E2550000}"/>
    <cellStyle name="Normal 39 2 2 4 2 2 2" xfId="34873" xr:uid="{00000000-0005-0000-0000-0000E3550000}"/>
    <cellStyle name="Normal 39 2 2 4 2 3" xfId="1403" xr:uid="{00000000-0005-0000-0000-0000E4550000}"/>
    <cellStyle name="Normal 39 2 2 4 3" xfId="34876" xr:uid="{00000000-0005-0000-0000-0000E5550000}"/>
    <cellStyle name="Normal 39 2 2 4 3 2" xfId="34878" xr:uid="{00000000-0005-0000-0000-0000E6550000}"/>
    <cellStyle name="Normal 39 2 2 4 4" xfId="34880" xr:uid="{00000000-0005-0000-0000-0000E7550000}"/>
    <cellStyle name="Normal 39 2 2 5" xfId="34882" xr:uid="{00000000-0005-0000-0000-0000E8550000}"/>
    <cellStyle name="Normal 39 2 2 5 2" xfId="34884" xr:uid="{00000000-0005-0000-0000-0000E9550000}"/>
    <cellStyle name="Normal 39 2 2 5 2 2" xfId="34888" xr:uid="{00000000-0005-0000-0000-0000EA550000}"/>
    <cellStyle name="Normal 39 2 2 5 3" xfId="34890" xr:uid="{00000000-0005-0000-0000-0000EB550000}"/>
    <cellStyle name="Normal 39 2 2 6" xfId="34892" xr:uid="{00000000-0005-0000-0000-0000EC550000}"/>
    <cellStyle name="Normal 39 2 2 6 2" xfId="34894" xr:uid="{00000000-0005-0000-0000-0000ED550000}"/>
    <cellStyle name="Normal 39 2 2 6 2 2" xfId="11533" xr:uid="{00000000-0005-0000-0000-0000EE550000}"/>
    <cellStyle name="Normal 39 2 2 6 3" xfId="34896" xr:uid="{00000000-0005-0000-0000-0000EF550000}"/>
    <cellStyle name="Normal 39 2 2 7" xfId="34898" xr:uid="{00000000-0005-0000-0000-0000F0550000}"/>
    <cellStyle name="Normal 39 2 2 7 2" xfId="34900" xr:uid="{00000000-0005-0000-0000-0000F1550000}"/>
    <cellStyle name="Normal 39 2 2 8" xfId="34903" xr:uid="{00000000-0005-0000-0000-0000F2550000}"/>
    <cellStyle name="Normal 39 2 2 8 2" xfId="165" xr:uid="{00000000-0005-0000-0000-0000F3550000}"/>
    <cellStyle name="Normal 39 2 2 9" xfId="34905" xr:uid="{00000000-0005-0000-0000-0000F4550000}"/>
    <cellStyle name="Normal 39 2 3" xfId="33233" xr:uid="{00000000-0005-0000-0000-0000F5550000}"/>
    <cellStyle name="Normal 39 2 3 2" xfId="34913" xr:uid="{00000000-0005-0000-0000-0000F6550000}"/>
    <cellStyle name="Normal 39 2 3 2 2" xfId="34919" xr:uid="{00000000-0005-0000-0000-0000F7550000}"/>
    <cellStyle name="Normal 39 2 3 2 2 2" xfId="3379" xr:uid="{00000000-0005-0000-0000-0000F8550000}"/>
    <cellStyle name="Normal 39 2 3 2 2 2 2" xfId="3398" xr:uid="{00000000-0005-0000-0000-0000F9550000}"/>
    <cellStyle name="Normal 39 2 3 2 2 2 2 2" xfId="23062" xr:uid="{00000000-0005-0000-0000-0000FA550000}"/>
    <cellStyle name="Normal 39 2 3 2 2 2 3" xfId="23078" xr:uid="{00000000-0005-0000-0000-0000FB550000}"/>
    <cellStyle name="Normal 39 2 3 2 2 3" xfId="20" xr:uid="{00000000-0005-0000-0000-0000FC550000}"/>
    <cellStyle name="Normal 39 2 3 2 2 3 2" xfId="9058" xr:uid="{00000000-0005-0000-0000-0000FD550000}"/>
    <cellStyle name="Normal 39 2 3 2 2 4" xfId="9064" xr:uid="{00000000-0005-0000-0000-0000FE550000}"/>
    <cellStyle name="Normal 39 2 3 2 2 5" xfId="4342" xr:uid="{00000000-0005-0000-0000-0000FF550000}"/>
    <cellStyle name="Normal 39 2 3 2 3" xfId="3411" xr:uid="{00000000-0005-0000-0000-000000560000}"/>
    <cellStyle name="Normal 39 2 3 2 3 2" xfId="9080" xr:uid="{00000000-0005-0000-0000-000001560000}"/>
    <cellStyle name="Normal 39 2 3 2 3 2 2" xfId="23628" xr:uid="{00000000-0005-0000-0000-000002560000}"/>
    <cellStyle name="Normal 39 2 3 2 3 3" xfId="34921" xr:uid="{00000000-0005-0000-0000-000003560000}"/>
    <cellStyle name="Normal 39 2 3 2 4" xfId="34923" xr:uid="{00000000-0005-0000-0000-000004560000}"/>
    <cellStyle name="Normal 39 2 3 2 4 2" xfId="34925" xr:uid="{00000000-0005-0000-0000-000005560000}"/>
    <cellStyle name="Normal 39 2 3 2 4 2 2" xfId="74" xr:uid="{00000000-0005-0000-0000-000006560000}"/>
    <cellStyle name="Normal 39 2 3 2 4 3" xfId="34927" xr:uid="{00000000-0005-0000-0000-000007560000}"/>
    <cellStyle name="Normal 39 2 3 2 5" xfId="32991" xr:uid="{00000000-0005-0000-0000-000008560000}"/>
    <cellStyle name="Normal 39 2 3 2 5 2" xfId="32995" xr:uid="{00000000-0005-0000-0000-000009560000}"/>
    <cellStyle name="Normal 39 2 3 2 6" xfId="29754" xr:uid="{00000000-0005-0000-0000-00000A560000}"/>
    <cellStyle name="Normal 39 2 3 2 6 2" xfId="18709" xr:uid="{00000000-0005-0000-0000-00000B560000}"/>
    <cellStyle name="Normal 39 2 3 2 7" xfId="33001" xr:uid="{00000000-0005-0000-0000-00000C560000}"/>
    <cellStyle name="Normal 39 2 3 2 8" xfId="23604" xr:uid="{00000000-0005-0000-0000-00000D560000}"/>
    <cellStyle name="Normal 39 2 3 3" xfId="34933" xr:uid="{00000000-0005-0000-0000-00000E560000}"/>
    <cellStyle name="Normal 39 2 3 3 2" xfId="34936" xr:uid="{00000000-0005-0000-0000-00000F560000}"/>
    <cellStyle name="Normal 39 2 3 3 2 2" xfId="34938" xr:uid="{00000000-0005-0000-0000-000010560000}"/>
    <cellStyle name="Normal 39 2 3 3 2 2 2" xfId="24720" xr:uid="{00000000-0005-0000-0000-000011560000}"/>
    <cellStyle name="Normal 39 2 3 3 2 3" xfId="466" xr:uid="{00000000-0005-0000-0000-000012560000}"/>
    <cellStyle name="Normal 39 2 3 3 3" xfId="34940" xr:uid="{00000000-0005-0000-0000-000013560000}"/>
    <cellStyle name="Normal 39 2 3 3 3 2" xfId="34942" xr:uid="{00000000-0005-0000-0000-000014560000}"/>
    <cellStyle name="Normal 39 2 3 3 4" xfId="34944" xr:uid="{00000000-0005-0000-0000-000015560000}"/>
    <cellStyle name="Normal 39 2 3 3 5" xfId="33007" xr:uid="{00000000-0005-0000-0000-000016560000}"/>
    <cellStyle name="Normal 39 2 3 4" xfId="34947" xr:uid="{00000000-0005-0000-0000-000017560000}"/>
    <cellStyle name="Normal 39 2 3 4 2" xfId="34950" xr:uid="{00000000-0005-0000-0000-000018560000}"/>
    <cellStyle name="Normal 39 2 3 4 2 2" xfId="34952" xr:uid="{00000000-0005-0000-0000-000019560000}"/>
    <cellStyle name="Normal 39 2 3 4 3" xfId="34954" xr:uid="{00000000-0005-0000-0000-00001A560000}"/>
    <cellStyle name="Normal 39 2 3 5" xfId="34957" xr:uid="{00000000-0005-0000-0000-00001B560000}"/>
    <cellStyle name="Normal 39 2 3 5 2" xfId="34959" xr:uid="{00000000-0005-0000-0000-00001C560000}"/>
    <cellStyle name="Normal 39 2 3 5 2 2" xfId="34961" xr:uid="{00000000-0005-0000-0000-00001D560000}"/>
    <cellStyle name="Normal 39 2 3 5 3" xfId="34963" xr:uid="{00000000-0005-0000-0000-00001E560000}"/>
    <cellStyle name="Normal 39 2 3 6" xfId="26372" xr:uid="{00000000-0005-0000-0000-00001F560000}"/>
    <cellStyle name="Normal 39 2 3 6 2" xfId="34965" xr:uid="{00000000-0005-0000-0000-000020560000}"/>
    <cellStyle name="Normal 39 2 3 7" xfId="34967" xr:uid="{00000000-0005-0000-0000-000021560000}"/>
    <cellStyle name="Normal 39 2 3 7 2" xfId="34969" xr:uid="{00000000-0005-0000-0000-000022560000}"/>
    <cellStyle name="Normal 39 2 3 8" xfId="34971" xr:uid="{00000000-0005-0000-0000-000023560000}"/>
    <cellStyle name="Normal 39 2 3 9" xfId="34973" xr:uid="{00000000-0005-0000-0000-000024560000}"/>
    <cellStyle name="Normal 39 2 4" xfId="34980" xr:uid="{00000000-0005-0000-0000-000025560000}"/>
    <cellStyle name="Normal 39 2 4 2" xfId="34986" xr:uid="{00000000-0005-0000-0000-000026560000}"/>
    <cellStyle name="Normal 39 2 4 2 2" xfId="34989" xr:uid="{00000000-0005-0000-0000-000027560000}"/>
    <cellStyle name="Normal 39 2 4 2 2 2" xfId="31458" xr:uid="{00000000-0005-0000-0000-000028560000}"/>
    <cellStyle name="Normal 39 2 4 2 2 2 2" xfId="31462" xr:uid="{00000000-0005-0000-0000-000029560000}"/>
    <cellStyle name="Normal 39 2 4 2 2 2 2 2" xfId="32035" xr:uid="{00000000-0005-0000-0000-00002A560000}"/>
    <cellStyle name="Normal 39 2 4 2 2 2 3" xfId="32525" xr:uid="{00000000-0005-0000-0000-00002B560000}"/>
    <cellStyle name="Normal 39 2 4 2 2 3" xfId="31466" xr:uid="{00000000-0005-0000-0000-00002C560000}"/>
    <cellStyle name="Normal 39 2 4 2 2 3 2" xfId="34991" xr:uid="{00000000-0005-0000-0000-00002D560000}"/>
    <cellStyle name="Normal 39 2 4 2 2 4" xfId="31472" xr:uid="{00000000-0005-0000-0000-00002E560000}"/>
    <cellStyle name="Normal 39 2 4 2 3" xfId="10708" xr:uid="{00000000-0005-0000-0000-00002F560000}"/>
    <cellStyle name="Normal 39 2 4 2 3 2" xfId="13237" xr:uid="{00000000-0005-0000-0000-000030560000}"/>
    <cellStyle name="Normal 39 2 4 2 3 2 2" xfId="13243" xr:uid="{00000000-0005-0000-0000-000031560000}"/>
    <cellStyle name="Normal 39 2 4 2 3 3" xfId="13289" xr:uid="{00000000-0005-0000-0000-000032560000}"/>
    <cellStyle name="Normal 39 2 4 2 4" xfId="13324" xr:uid="{00000000-0005-0000-0000-000033560000}"/>
    <cellStyle name="Normal 39 2 4 2 4 2" xfId="13332" xr:uid="{00000000-0005-0000-0000-000034560000}"/>
    <cellStyle name="Normal 39 2 4 2 4 2 2" xfId="34993" xr:uid="{00000000-0005-0000-0000-000035560000}"/>
    <cellStyle name="Normal 39 2 4 2 4 3" xfId="13366" xr:uid="{00000000-0005-0000-0000-000036560000}"/>
    <cellStyle name="Normal 39 2 4 2 5" xfId="13382" xr:uid="{00000000-0005-0000-0000-000037560000}"/>
    <cellStyle name="Normal 39 2 4 2 5 2" xfId="33038" xr:uid="{00000000-0005-0000-0000-000038560000}"/>
    <cellStyle name="Normal 39 2 4 2 6" xfId="33042" xr:uid="{00000000-0005-0000-0000-000039560000}"/>
    <cellStyle name="Normal 39 2 4 2 6 2" xfId="18864" xr:uid="{00000000-0005-0000-0000-00003A560000}"/>
    <cellStyle name="Normal 39 2 4 2 7" xfId="34995" xr:uid="{00000000-0005-0000-0000-00003B560000}"/>
    <cellStyle name="Normal 39 2 4 2 8" xfId="23647" xr:uid="{00000000-0005-0000-0000-00003C560000}"/>
    <cellStyle name="Normal 39 2 4 3" xfId="5680" xr:uid="{00000000-0005-0000-0000-00003D560000}"/>
    <cellStyle name="Normal 39 2 4 3 2" xfId="34998" xr:uid="{00000000-0005-0000-0000-00003E560000}"/>
    <cellStyle name="Normal 39 2 4 3 2 2" xfId="35000" xr:uid="{00000000-0005-0000-0000-00003F560000}"/>
    <cellStyle name="Normal 39 2 4 3 2 2 2" xfId="35002" xr:uid="{00000000-0005-0000-0000-000040560000}"/>
    <cellStyle name="Normal 39 2 4 3 2 3" xfId="35006" xr:uid="{00000000-0005-0000-0000-000041560000}"/>
    <cellStyle name="Normal 39 2 4 3 3" xfId="952" xr:uid="{00000000-0005-0000-0000-000042560000}"/>
    <cellStyle name="Normal 39 2 4 3 3 2" xfId="6574" xr:uid="{00000000-0005-0000-0000-000043560000}"/>
    <cellStyle name="Normal 39 2 4 3 4" xfId="6593" xr:uid="{00000000-0005-0000-0000-000044560000}"/>
    <cellStyle name="Normal 39 2 4 4" xfId="35009" xr:uid="{00000000-0005-0000-0000-000045560000}"/>
    <cellStyle name="Normal 39 2 4 4 2" xfId="35011" xr:uid="{00000000-0005-0000-0000-000046560000}"/>
    <cellStyle name="Normal 39 2 4 4 2 2" xfId="35013" xr:uid="{00000000-0005-0000-0000-000047560000}"/>
    <cellStyle name="Normal 39 2 4 4 3" xfId="5704" xr:uid="{00000000-0005-0000-0000-000048560000}"/>
    <cellStyle name="Normal 39 2 4 5" xfId="5724" xr:uid="{00000000-0005-0000-0000-000049560000}"/>
    <cellStyle name="Normal 39 2 4 5 2" xfId="35015" xr:uid="{00000000-0005-0000-0000-00004A560000}"/>
    <cellStyle name="Normal 39 2 4 5 2 2" xfId="35017" xr:uid="{00000000-0005-0000-0000-00004B560000}"/>
    <cellStyle name="Normal 39 2 4 5 3" xfId="6663" xr:uid="{00000000-0005-0000-0000-00004C560000}"/>
    <cellStyle name="Normal 39 2 4 6" xfId="35019" xr:uid="{00000000-0005-0000-0000-00004D560000}"/>
    <cellStyle name="Normal 39 2 4 6 2" xfId="5759" xr:uid="{00000000-0005-0000-0000-00004E560000}"/>
    <cellStyle name="Normal 39 2 4 7" xfId="35021" xr:uid="{00000000-0005-0000-0000-00004F560000}"/>
    <cellStyle name="Normal 39 2 4 7 2" xfId="35024" xr:uid="{00000000-0005-0000-0000-000050560000}"/>
    <cellStyle name="Normal 39 2 4 8" xfId="35026" xr:uid="{00000000-0005-0000-0000-000051560000}"/>
    <cellStyle name="Normal 39 2 4 9" xfId="35028" xr:uid="{00000000-0005-0000-0000-000052560000}"/>
    <cellStyle name="Normal 39 2 5" xfId="35033" xr:uid="{00000000-0005-0000-0000-000053560000}"/>
    <cellStyle name="Normal 39 2 5 2" xfId="35035" xr:uid="{00000000-0005-0000-0000-000054560000}"/>
    <cellStyle name="Normal 39 2 5 2 2" xfId="35037" xr:uid="{00000000-0005-0000-0000-000055560000}"/>
    <cellStyle name="Normal 39 2 5 2 2 2" xfId="35039" xr:uid="{00000000-0005-0000-0000-000056560000}"/>
    <cellStyle name="Normal 39 2 5 2 2 2 2" xfId="35042" xr:uid="{00000000-0005-0000-0000-000057560000}"/>
    <cellStyle name="Normal 39 2 5 2 2 2 2 2" xfId="35045" xr:uid="{00000000-0005-0000-0000-000058560000}"/>
    <cellStyle name="Normal 39 2 5 2 2 2 3" xfId="35048" xr:uid="{00000000-0005-0000-0000-000059560000}"/>
    <cellStyle name="Normal 39 2 5 2 2 3" xfId="30278" xr:uid="{00000000-0005-0000-0000-00005A560000}"/>
    <cellStyle name="Normal 39 2 5 2 2 3 2" xfId="35053" xr:uid="{00000000-0005-0000-0000-00005B560000}"/>
    <cellStyle name="Normal 39 2 5 2 2 4" xfId="35057" xr:uid="{00000000-0005-0000-0000-00005C560000}"/>
    <cellStyle name="Normal 39 2 5 2 3" xfId="15254" xr:uid="{00000000-0005-0000-0000-00005D560000}"/>
    <cellStyle name="Normal 39 2 5 2 3 2" xfId="14084" xr:uid="{00000000-0005-0000-0000-00005E560000}"/>
    <cellStyle name="Normal 39 2 5 2 3 2 2" xfId="26346" xr:uid="{00000000-0005-0000-0000-00005F560000}"/>
    <cellStyle name="Normal 39 2 5 2 3 3" xfId="35059" xr:uid="{00000000-0005-0000-0000-000060560000}"/>
    <cellStyle name="Normal 39 2 5 2 4" xfId="15257" xr:uid="{00000000-0005-0000-0000-000061560000}"/>
    <cellStyle name="Normal 39 2 5 2 4 2" xfId="35065" xr:uid="{00000000-0005-0000-0000-000062560000}"/>
    <cellStyle name="Normal 39 2 5 2 4 2 2" xfId="26511" xr:uid="{00000000-0005-0000-0000-000063560000}"/>
    <cellStyle name="Normal 39 2 5 2 4 3" xfId="35067" xr:uid="{00000000-0005-0000-0000-000064560000}"/>
    <cellStyle name="Normal 39 2 5 2 5" xfId="30576" xr:uid="{00000000-0005-0000-0000-000065560000}"/>
    <cellStyle name="Normal 39 2 5 2 5 2" xfId="35070" xr:uid="{00000000-0005-0000-0000-000066560000}"/>
    <cellStyle name="Normal 39 2 5 2 6" xfId="35073" xr:uid="{00000000-0005-0000-0000-000067560000}"/>
    <cellStyle name="Normal 39 2 5 2 6 2" xfId="445" xr:uid="{00000000-0005-0000-0000-000068560000}"/>
    <cellStyle name="Normal 39 2 5 2 7" xfId="35075" xr:uid="{00000000-0005-0000-0000-000069560000}"/>
    <cellStyle name="Normal 39 2 5 2 8" xfId="23703" xr:uid="{00000000-0005-0000-0000-00006A560000}"/>
    <cellStyle name="Normal 39 2 5 3" xfId="35077" xr:uid="{00000000-0005-0000-0000-00006B560000}"/>
    <cellStyle name="Normal 39 2 5 3 2" xfId="35079" xr:uid="{00000000-0005-0000-0000-00006C560000}"/>
    <cellStyle name="Normal 39 2 5 3 2 2" xfId="35081" xr:uid="{00000000-0005-0000-0000-00006D560000}"/>
    <cellStyle name="Normal 39 2 5 3 2 2 2" xfId="26780" xr:uid="{00000000-0005-0000-0000-00006E560000}"/>
    <cellStyle name="Normal 39 2 5 3 2 3" xfId="35084" xr:uid="{00000000-0005-0000-0000-00006F560000}"/>
    <cellStyle name="Normal 39 2 5 3 3" xfId="4195" xr:uid="{00000000-0005-0000-0000-000070560000}"/>
    <cellStyle name="Normal 39 2 5 3 3 2" xfId="6713" xr:uid="{00000000-0005-0000-0000-000071560000}"/>
    <cellStyle name="Normal 39 2 5 3 4" xfId="6728" xr:uid="{00000000-0005-0000-0000-000072560000}"/>
    <cellStyle name="Normal 39 2 5 4" xfId="35086" xr:uid="{00000000-0005-0000-0000-000073560000}"/>
    <cellStyle name="Normal 39 2 5 4 2" xfId="35088" xr:uid="{00000000-0005-0000-0000-000074560000}"/>
    <cellStyle name="Normal 39 2 5 4 2 2" xfId="19842" xr:uid="{00000000-0005-0000-0000-000075560000}"/>
    <cellStyle name="Normal 39 2 5 4 3" xfId="4217" xr:uid="{00000000-0005-0000-0000-000076560000}"/>
    <cellStyle name="Normal 39 2 5 5" xfId="35090" xr:uid="{00000000-0005-0000-0000-000077560000}"/>
    <cellStyle name="Normal 39 2 5 5 2" xfId="35092" xr:uid="{00000000-0005-0000-0000-000078560000}"/>
    <cellStyle name="Normal 39 2 5 5 2 2" xfId="35094" xr:uid="{00000000-0005-0000-0000-000079560000}"/>
    <cellStyle name="Normal 39 2 5 5 3" xfId="6749" xr:uid="{00000000-0005-0000-0000-00007A560000}"/>
    <cellStyle name="Normal 39 2 5 6" xfId="35096" xr:uid="{00000000-0005-0000-0000-00007B560000}"/>
    <cellStyle name="Normal 39 2 5 6 2" xfId="35098" xr:uid="{00000000-0005-0000-0000-00007C560000}"/>
    <cellStyle name="Normal 39 2 5 7" xfId="35100" xr:uid="{00000000-0005-0000-0000-00007D560000}"/>
    <cellStyle name="Normal 39 2 5 7 2" xfId="35103" xr:uid="{00000000-0005-0000-0000-00007E560000}"/>
    <cellStyle name="Normal 39 2 5 8" xfId="35105" xr:uid="{00000000-0005-0000-0000-00007F560000}"/>
    <cellStyle name="Normal 39 2 5 9" xfId="35107" xr:uid="{00000000-0005-0000-0000-000080560000}"/>
    <cellStyle name="Normal 39 2 6" xfId="35109" xr:uid="{00000000-0005-0000-0000-000081560000}"/>
    <cellStyle name="Normal 39 2 6 2" xfId="35111" xr:uid="{00000000-0005-0000-0000-000082560000}"/>
    <cellStyle name="Normal 39 2 6 2 2" xfId="35113" xr:uid="{00000000-0005-0000-0000-000083560000}"/>
    <cellStyle name="Normal 39 2 6 2 2 2" xfId="34734" xr:uid="{00000000-0005-0000-0000-000084560000}"/>
    <cellStyle name="Normal 39 2 6 2 2 2 2" xfId="35115" xr:uid="{00000000-0005-0000-0000-000085560000}"/>
    <cellStyle name="Normal 39 2 6 2 2 3" xfId="34738" xr:uid="{00000000-0005-0000-0000-000086560000}"/>
    <cellStyle name="Normal 39 2 6 2 3" xfId="15292" xr:uid="{00000000-0005-0000-0000-000087560000}"/>
    <cellStyle name="Normal 39 2 6 2 3 2" xfId="35117" xr:uid="{00000000-0005-0000-0000-000088560000}"/>
    <cellStyle name="Normal 39 2 6 2 4" xfId="35119" xr:uid="{00000000-0005-0000-0000-000089560000}"/>
    <cellStyle name="Normal 39 2 6 2 5" xfId="33054" xr:uid="{00000000-0005-0000-0000-00008A560000}"/>
    <cellStyle name="Normal 39 2 6 3" xfId="35121" xr:uid="{00000000-0005-0000-0000-00008B560000}"/>
    <cellStyle name="Normal 39 2 6 3 2" xfId="35123" xr:uid="{00000000-0005-0000-0000-00008C560000}"/>
    <cellStyle name="Normal 39 2 6 3 2 2" xfId="35125" xr:uid="{00000000-0005-0000-0000-00008D560000}"/>
    <cellStyle name="Normal 39 2 6 3 3" xfId="35127" xr:uid="{00000000-0005-0000-0000-00008E560000}"/>
    <cellStyle name="Normal 39 2 6 4" xfId="35129" xr:uid="{00000000-0005-0000-0000-00008F560000}"/>
    <cellStyle name="Normal 39 2 6 4 2" xfId="35131" xr:uid="{00000000-0005-0000-0000-000090560000}"/>
    <cellStyle name="Normal 39 2 6 4 2 2" xfId="35133" xr:uid="{00000000-0005-0000-0000-000091560000}"/>
    <cellStyle name="Normal 39 2 6 4 3" xfId="35135" xr:uid="{00000000-0005-0000-0000-000092560000}"/>
    <cellStyle name="Normal 39 2 6 5" xfId="35137" xr:uid="{00000000-0005-0000-0000-000093560000}"/>
    <cellStyle name="Normal 39 2 6 5 2" xfId="35139" xr:uid="{00000000-0005-0000-0000-000094560000}"/>
    <cellStyle name="Normal 39 2 6 6" xfId="35141" xr:uid="{00000000-0005-0000-0000-000095560000}"/>
    <cellStyle name="Normal 39 2 6 6 2" xfId="35143" xr:uid="{00000000-0005-0000-0000-000096560000}"/>
    <cellStyle name="Normal 39 2 6 7" xfId="35145" xr:uid="{00000000-0005-0000-0000-000097560000}"/>
    <cellStyle name="Normal 39 2 6 8" xfId="35147" xr:uid="{00000000-0005-0000-0000-000098560000}"/>
    <cellStyle name="Normal 39 2 7" xfId="35149" xr:uid="{00000000-0005-0000-0000-000099560000}"/>
    <cellStyle name="Normal 39 2 7 2" xfId="35151" xr:uid="{00000000-0005-0000-0000-00009A560000}"/>
    <cellStyle name="Normal 39 2 7 2 2" xfId="35154" xr:uid="{00000000-0005-0000-0000-00009B560000}"/>
    <cellStyle name="Normal 39 2 7 2 2 2" xfId="35157" xr:uid="{00000000-0005-0000-0000-00009C560000}"/>
    <cellStyle name="Normal 39 2 7 2 3" xfId="35160" xr:uid="{00000000-0005-0000-0000-00009D560000}"/>
    <cellStyle name="Normal 39 2 7 3" xfId="35162" xr:uid="{00000000-0005-0000-0000-00009E560000}"/>
    <cellStyle name="Normal 39 2 7 3 2" xfId="35164" xr:uid="{00000000-0005-0000-0000-00009F560000}"/>
    <cellStyle name="Normal 39 2 7 4" xfId="35166" xr:uid="{00000000-0005-0000-0000-0000A0560000}"/>
    <cellStyle name="Normal 39 2 7 5" xfId="35168" xr:uid="{00000000-0005-0000-0000-0000A1560000}"/>
    <cellStyle name="Normal 39 2 8" xfId="19284" xr:uid="{00000000-0005-0000-0000-0000A2560000}"/>
    <cellStyle name="Normal 39 2 8 2" xfId="35169" xr:uid="{00000000-0005-0000-0000-0000A3560000}"/>
    <cellStyle name="Normal 39 2 8 2 2" xfId="5472" xr:uid="{00000000-0005-0000-0000-0000A4560000}"/>
    <cellStyle name="Normal 39 2 8 3" xfId="35171" xr:uid="{00000000-0005-0000-0000-0000A5560000}"/>
    <cellStyle name="Normal 39 2 9" xfId="35173" xr:uid="{00000000-0005-0000-0000-0000A6560000}"/>
    <cellStyle name="Normal 39 2 9 2" xfId="35175" xr:uid="{00000000-0005-0000-0000-0000A7560000}"/>
    <cellStyle name="Normal 39 2 9 2 2" xfId="35177" xr:uid="{00000000-0005-0000-0000-0000A8560000}"/>
    <cellStyle name="Normal 39 2 9 3" xfId="35180" xr:uid="{00000000-0005-0000-0000-0000A9560000}"/>
    <cellStyle name="Normal 39 3" xfId="30229" xr:uid="{00000000-0005-0000-0000-0000AA560000}"/>
    <cellStyle name="Normal 39 3 10" xfId="25249" xr:uid="{00000000-0005-0000-0000-0000AB560000}"/>
    <cellStyle name="Normal 39 3 10 2" xfId="6306" xr:uid="{00000000-0005-0000-0000-0000AC560000}"/>
    <cellStyle name="Normal 39 3 11" xfId="18780" xr:uid="{00000000-0005-0000-0000-0000AD560000}"/>
    <cellStyle name="Normal 39 3 11 2" xfId="35182" xr:uid="{00000000-0005-0000-0000-0000AE560000}"/>
    <cellStyle name="Normal 39 3 12" xfId="20056" xr:uid="{00000000-0005-0000-0000-0000AF560000}"/>
    <cellStyle name="Normal 39 3 12 2" xfId="35184" xr:uid="{00000000-0005-0000-0000-0000B0560000}"/>
    <cellStyle name="Normal 39 3 13" xfId="35186" xr:uid="{00000000-0005-0000-0000-0000B1560000}"/>
    <cellStyle name="Normal 39 3 14" xfId="35188" xr:uid="{00000000-0005-0000-0000-0000B2560000}"/>
    <cellStyle name="Normal 39 3 2" xfId="35190" xr:uid="{00000000-0005-0000-0000-0000B3560000}"/>
    <cellStyle name="Normal 39 3 2 10" xfId="35192" xr:uid="{00000000-0005-0000-0000-0000B4560000}"/>
    <cellStyle name="Normal 39 3 2 2" xfId="35194" xr:uid="{00000000-0005-0000-0000-0000B5560000}"/>
    <cellStyle name="Normal 39 3 2 2 2" xfId="23607" xr:uid="{00000000-0005-0000-0000-0000B6560000}"/>
    <cellStyle name="Normal 39 3 2 2 2 2" xfId="35198" xr:uid="{00000000-0005-0000-0000-0000B7560000}"/>
    <cellStyle name="Normal 39 3 2 2 2 2 2" xfId="35202" xr:uid="{00000000-0005-0000-0000-0000B8560000}"/>
    <cellStyle name="Normal 39 3 2 2 2 2 2 2" xfId="35206" xr:uid="{00000000-0005-0000-0000-0000B9560000}"/>
    <cellStyle name="Normal 39 3 2 2 2 2 2 2 2" xfId="26281" xr:uid="{00000000-0005-0000-0000-0000BA560000}"/>
    <cellStyle name="Normal 39 3 2 2 2 2 2 3" xfId="35210" xr:uid="{00000000-0005-0000-0000-0000BB560000}"/>
    <cellStyle name="Normal 39 3 2 2 2 2 3" xfId="14289" xr:uid="{00000000-0005-0000-0000-0000BC560000}"/>
    <cellStyle name="Normal 39 3 2 2 2 2 3 2" xfId="33542" xr:uid="{00000000-0005-0000-0000-0000BD560000}"/>
    <cellStyle name="Normal 39 3 2 2 2 2 4" xfId="33548" xr:uid="{00000000-0005-0000-0000-0000BE560000}"/>
    <cellStyle name="Normal 39 3 2 2 2 3" xfId="237" xr:uid="{00000000-0005-0000-0000-0000BF560000}"/>
    <cellStyle name="Normal 39 3 2 2 2 3 2" xfId="35214" xr:uid="{00000000-0005-0000-0000-0000C0560000}"/>
    <cellStyle name="Normal 39 3 2 2 2 3 2 2" xfId="35218" xr:uid="{00000000-0005-0000-0000-0000C1560000}"/>
    <cellStyle name="Normal 39 3 2 2 2 3 3" xfId="30462" xr:uid="{00000000-0005-0000-0000-0000C2560000}"/>
    <cellStyle name="Normal 39 3 2 2 2 4" xfId="13796" xr:uid="{00000000-0005-0000-0000-0000C3560000}"/>
    <cellStyle name="Normal 39 3 2 2 2 4 2" xfId="13854" xr:uid="{00000000-0005-0000-0000-0000C4560000}"/>
    <cellStyle name="Normal 39 3 2 2 2 4 2 2" xfId="13909" xr:uid="{00000000-0005-0000-0000-0000C5560000}"/>
    <cellStyle name="Normal 39 3 2 2 2 4 3" xfId="16202" xr:uid="{00000000-0005-0000-0000-0000C6560000}"/>
    <cellStyle name="Normal 39 3 2 2 2 5" xfId="16887" xr:uid="{00000000-0005-0000-0000-0000C7560000}"/>
    <cellStyle name="Normal 39 3 2 2 2 5 2" xfId="11695" xr:uid="{00000000-0005-0000-0000-0000C8560000}"/>
    <cellStyle name="Normal 39 3 2 2 2 6" xfId="10343" xr:uid="{00000000-0005-0000-0000-0000C9560000}"/>
    <cellStyle name="Normal 39 3 2 2 2 6 2" xfId="11750" xr:uid="{00000000-0005-0000-0000-0000CA560000}"/>
    <cellStyle name="Normal 39 3 2 2 2 7" xfId="19110" xr:uid="{00000000-0005-0000-0000-0000CB560000}"/>
    <cellStyle name="Normal 39 3 2 2 2 8" xfId="6481" xr:uid="{00000000-0005-0000-0000-0000CC560000}"/>
    <cellStyle name="Normal 39 3 2 2 3" xfId="35220" xr:uid="{00000000-0005-0000-0000-0000CD560000}"/>
    <cellStyle name="Normal 39 3 2 2 3 2" xfId="35223" xr:uid="{00000000-0005-0000-0000-0000CE560000}"/>
    <cellStyle name="Normal 39 3 2 2 3 2 2" xfId="35230" xr:uid="{00000000-0005-0000-0000-0000CF560000}"/>
    <cellStyle name="Normal 39 3 2 2 3 2 2 2" xfId="31830" xr:uid="{00000000-0005-0000-0000-0000D0560000}"/>
    <cellStyle name="Normal 39 3 2 2 3 2 3" xfId="35234" xr:uid="{00000000-0005-0000-0000-0000D1560000}"/>
    <cellStyle name="Normal 39 3 2 2 3 3" xfId="35238" xr:uid="{00000000-0005-0000-0000-0000D2560000}"/>
    <cellStyle name="Normal 39 3 2 2 3 3 2" xfId="19821" xr:uid="{00000000-0005-0000-0000-0000D3560000}"/>
    <cellStyle name="Normal 39 3 2 2 3 4" xfId="16107" xr:uid="{00000000-0005-0000-0000-0000D4560000}"/>
    <cellStyle name="Normal 39 3 2 2 4" xfId="35240" xr:uid="{00000000-0005-0000-0000-0000D5560000}"/>
    <cellStyle name="Normal 39 3 2 2 4 2" xfId="35245" xr:uid="{00000000-0005-0000-0000-0000D6560000}"/>
    <cellStyle name="Normal 39 3 2 2 4 2 2" xfId="35249" xr:uid="{00000000-0005-0000-0000-0000D7560000}"/>
    <cellStyle name="Normal 39 3 2 2 4 3" xfId="35253" xr:uid="{00000000-0005-0000-0000-0000D8560000}"/>
    <cellStyle name="Normal 39 3 2 2 5" xfId="35255" xr:uid="{00000000-0005-0000-0000-0000D9560000}"/>
    <cellStyle name="Normal 39 3 2 2 5 2" xfId="35260" xr:uid="{00000000-0005-0000-0000-0000DA560000}"/>
    <cellStyle name="Normal 39 3 2 2 5 2 2" xfId="35264" xr:uid="{00000000-0005-0000-0000-0000DB560000}"/>
    <cellStyle name="Normal 39 3 2 2 5 3" xfId="35268" xr:uid="{00000000-0005-0000-0000-0000DC560000}"/>
    <cellStyle name="Normal 39 3 2 2 6" xfId="35270" xr:uid="{00000000-0005-0000-0000-0000DD560000}"/>
    <cellStyle name="Normal 39 3 2 2 6 2" xfId="35274" xr:uid="{00000000-0005-0000-0000-0000DE560000}"/>
    <cellStyle name="Normal 39 3 2 2 7" xfId="35276" xr:uid="{00000000-0005-0000-0000-0000DF560000}"/>
    <cellStyle name="Normal 39 3 2 2 7 2" xfId="35280" xr:uid="{00000000-0005-0000-0000-0000E0560000}"/>
    <cellStyle name="Normal 39 3 2 2 8" xfId="23882" xr:uid="{00000000-0005-0000-0000-0000E1560000}"/>
    <cellStyle name="Normal 39 3 2 2 9" xfId="23888" xr:uid="{00000000-0005-0000-0000-0000E2560000}"/>
    <cellStyle name="Normal 39 3 2 3" xfId="35282" xr:uid="{00000000-0005-0000-0000-0000E3560000}"/>
    <cellStyle name="Normal 39 3 2 3 2" xfId="35284" xr:uid="{00000000-0005-0000-0000-0000E4560000}"/>
    <cellStyle name="Normal 39 3 2 3 2 2" xfId="35286" xr:uid="{00000000-0005-0000-0000-0000E5560000}"/>
    <cellStyle name="Normal 39 3 2 3 2 2 2" xfId="35288" xr:uid="{00000000-0005-0000-0000-0000E6560000}"/>
    <cellStyle name="Normal 39 3 2 3 2 2 2 2" xfId="23950" xr:uid="{00000000-0005-0000-0000-0000E7560000}"/>
    <cellStyle name="Normal 39 3 2 3 2 2 3" xfId="14383" xr:uid="{00000000-0005-0000-0000-0000E8560000}"/>
    <cellStyle name="Normal 39 3 2 3 2 3" xfId="2056" xr:uid="{00000000-0005-0000-0000-0000E9560000}"/>
    <cellStyle name="Normal 39 3 2 3 2 3 2" xfId="35290" xr:uid="{00000000-0005-0000-0000-0000EA560000}"/>
    <cellStyle name="Normal 39 3 2 3 2 4" xfId="18120" xr:uid="{00000000-0005-0000-0000-0000EB560000}"/>
    <cellStyle name="Normal 39 3 2 3 3" xfId="35292" xr:uid="{00000000-0005-0000-0000-0000EC560000}"/>
    <cellStyle name="Normal 39 3 2 3 3 2" xfId="35295" xr:uid="{00000000-0005-0000-0000-0000ED560000}"/>
    <cellStyle name="Normal 39 3 2 3 3 2 2" xfId="35297" xr:uid="{00000000-0005-0000-0000-0000EE560000}"/>
    <cellStyle name="Normal 39 3 2 3 3 3" xfId="35299" xr:uid="{00000000-0005-0000-0000-0000EF560000}"/>
    <cellStyle name="Normal 39 3 2 3 4" xfId="35301" xr:uid="{00000000-0005-0000-0000-0000F0560000}"/>
    <cellStyle name="Normal 39 3 2 3 4 2" xfId="35303" xr:uid="{00000000-0005-0000-0000-0000F1560000}"/>
    <cellStyle name="Normal 39 3 2 3 4 2 2" xfId="35305" xr:uid="{00000000-0005-0000-0000-0000F2560000}"/>
    <cellStyle name="Normal 39 3 2 3 4 3" xfId="35307" xr:uid="{00000000-0005-0000-0000-0000F3560000}"/>
    <cellStyle name="Normal 39 3 2 3 5" xfId="35309" xr:uid="{00000000-0005-0000-0000-0000F4560000}"/>
    <cellStyle name="Normal 39 3 2 3 5 2" xfId="35311" xr:uid="{00000000-0005-0000-0000-0000F5560000}"/>
    <cellStyle name="Normal 39 3 2 3 6" xfId="35314" xr:uid="{00000000-0005-0000-0000-0000F6560000}"/>
    <cellStyle name="Normal 39 3 2 3 6 2" xfId="35318" xr:uid="{00000000-0005-0000-0000-0000F7560000}"/>
    <cellStyle name="Normal 39 3 2 3 7" xfId="35322" xr:uid="{00000000-0005-0000-0000-0000F8560000}"/>
    <cellStyle name="Normal 39 3 2 3 8" xfId="23894" xr:uid="{00000000-0005-0000-0000-0000F9560000}"/>
    <cellStyle name="Normal 39 3 2 4" xfId="35325" xr:uid="{00000000-0005-0000-0000-0000FA560000}"/>
    <cellStyle name="Normal 39 3 2 4 2" xfId="35327" xr:uid="{00000000-0005-0000-0000-0000FB560000}"/>
    <cellStyle name="Normal 39 3 2 4 2 2" xfId="35329" xr:uid="{00000000-0005-0000-0000-0000FC560000}"/>
    <cellStyle name="Normal 39 3 2 4 2 2 2" xfId="35331" xr:uid="{00000000-0005-0000-0000-0000FD560000}"/>
    <cellStyle name="Normal 39 3 2 4 2 3" xfId="35333" xr:uid="{00000000-0005-0000-0000-0000FE560000}"/>
    <cellStyle name="Normal 39 3 2 4 3" xfId="35335" xr:uid="{00000000-0005-0000-0000-0000FF560000}"/>
    <cellStyle name="Normal 39 3 2 4 3 2" xfId="35337" xr:uid="{00000000-0005-0000-0000-000000570000}"/>
    <cellStyle name="Normal 39 3 2 4 4" xfId="35339" xr:uid="{00000000-0005-0000-0000-000001570000}"/>
    <cellStyle name="Normal 39 3 2 5" xfId="7200" xr:uid="{00000000-0005-0000-0000-000002570000}"/>
    <cellStyle name="Normal 39 3 2 5 2" xfId="35341" xr:uid="{00000000-0005-0000-0000-000003570000}"/>
    <cellStyle name="Normal 39 3 2 5 2 2" xfId="35343" xr:uid="{00000000-0005-0000-0000-000004570000}"/>
    <cellStyle name="Normal 39 3 2 5 3" xfId="35345" xr:uid="{00000000-0005-0000-0000-000005570000}"/>
    <cellStyle name="Normal 39 3 2 6" xfId="35347" xr:uid="{00000000-0005-0000-0000-000006570000}"/>
    <cellStyle name="Normal 39 3 2 6 2" xfId="35349" xr:uid="{00000000-0005-0000-0000-000007570000}"/>
    <cellStyle name="Normal 39 3 2 6 2 2" xfId="35351" xr:uid="{00000000-0005-0000-0000-000008570000}"/>
    <cellStyle name="Normal 39 3 2 6 3" xfId="35353" xr:uid="{00000000-0005-0000-0000-000009570000}"/>
    <cellStyle name="Normal 39 3 2 7" xfId="35357" xr:uid="{00000000-0005-0000-0000-00000A570000}"/>
    <cellStyle name="Normal 39 3 2 7 2" xfId="35361" xr:uid="{00000000-0005-0000-0000-00000B570000}"/>
    <cellStyle name="Normal 39 3 2 8" xfId="35365" xr:uid="{00000000-0005-0000-0000-00000C570000}"/>
    <cellStyle name="Normal 39 3 2 8 2" xfId="35369" xr:uid="{00000000-0005-0000-0000-00000D570000}"/>
    <cellStyle name="Normal 39 3 2 9" xfId="35373" xr:uid="{00000000-0005-0000-0000-00000E570000}"/>
    <cellStyle name="Normal 39 3 3" xfId="35378" xr:uid="{00000000-0005-0000-0000-00000F570000}"/>
    <cellStyle name="Normal 39 3 3 2" xfId="35384" xr:uid="{00000000-0005-0000-0000-000010570000}"/>
    <cellStyle name="Normal 39 3 3 2 2" xfId="35387" xr:uid="{00000000-0005-0000-0000-000011570000}"/>
    <cellStyle name="Normal 39 3 3 2 2 2" xfId="35389" xr:uid="{00000000-0005-0000-0000-000012570000}"/>
    <cellStyle name="Normal 39 3 3 2 2 2 2" xfId="35391" xr:uid="{00000000-0005-0000-0000-000013570000}"/>
    <cellStyle name="Normal 39 3 3 2 2 2 2 2" xfId="35393" xr:uid="{00000000-0005-0000-0000-000014570000}"/>
    <cellStyle name="Normal 39 3 3 2 2 2 3" xfId="33991" xr:uid="{00000000-0005-0000-0000-000015570000}"/>
    <cellStyle name="Normal 39 3 3 2 2 3" xfId="35395" xr:uid="{00000000-0005-0000-0000-000016570000}"/>
    <cellStyle name="Normal 39 3 3 2 2 3 2" xfId="27231" xr:uid="{00000000-0005-0000-0000-000017570000}"/>
    <cellStyle name="Normal 39 3 3 2 2 4" xfId="35397" xr:uid="{00000000-0005-0000-0000-000018570000}"/>
    <cellStyle name="Normal 39 3 3 2 2 5" xfId="35399" xr:uid="{00000000-0005-0000-0000-000019570000}"/>
    <cellStyle name="Normal 39 3 3 2 3" xfId="18321" xr:uid="{00000000-0005-0000-0000-00001A570000}"/>
    <cellStyle name="Normal 39 3 3 2 3 2" xfId="20801" xr:uid="{00000000-0005-0000-0000-00001B570000}"/>
    <cellStyle name="Normal 39 3 3 2 3 2 2" xfId="20804" xr:uid="{00000000-0005-0000-0000-00001C570000}"/>
    <cellStyle name="Normal 39 3 3 2 3 3" xfId="20807" xr:uid="{00000000-0005-0000-0000-00001D570000}"/>
    <cellStyle name="Normal 39 3 3 2 4" xfId="18288" xr:uid="{00000000-0005-0000-0000-00001E570000}"/>
    <cellStyle name="Normal 39 3 3 2 4 2" xfId="20810" xr:uid="{00000000-0005-0000-0000-00001F570000}"/>
    <cellStyle name="Normal 39 3 3 2 4 2 2" xfId="35401" xr:uid="{00000000-0005-0000-0000-000020570000}"/>
    <cellStyle name="Normal 39 3 3 2 4 3" xfId="35403" xr:uid="{00000000-0005-0000-0000-000021570000}"/>
    <cellStyle name="Normal 39 3 3 2 5" xfId="20813" xr:uid="{00000000-0005-0000-0000-000022570000}"/>
    <cellStyle name="Normal 39 3 3 2 5 2" xfId="33078" xr:uid="{00000000-0005-0000-0000-000023570000}"/>
    <cellStyle name="Normal 39 3 3 2 6" xfId="33082" xr:uid="{00000000-0005-0000-0000-000024570000}"/>
    <cellStyle name="Normal 39 3 3 2 6 2" xfId="35405" xr:uid="{00000000-0005-0000-0000-000025570000}"/>
    <cellStyle name="Normal 39 3 3 2 7" xfId="35407" xr:uid="{00000000-0005-0000-0000-000026570000}"/>
    <cellStyle name="Normal 39 3 3 2 8" xfId="23908" xr:uid="{00000000-0005-0000-0000-000027570000}"/>
    <cellStyle name="Normal 39 3 3 3" xfId="35410" xr:uid="{00000000-0005-0000-0000-000028570000}"/>
    <cellStyle name="Normal 39 3 3 3 2" xfId="35413" xr:uid="{00000000-0005-0000-0000-000029570000}"/>
    <cellStyle name="Normal 39 3 3 3 2 2" xfId="25505" xr:uid="{00000000-0005-0000-0000-00002A570000}"/>
    <cellStyle name="Normal 39 3 3 3 2 2 2" xfId="23090" xr:uid="{00000000-0005-0000-0000-00002B570000}"/>
    <cellStyle name="Normal 39 3 3 3 2 3" xfId="25508" xr:uid="{00000000-0005-0000-0000-00002C570000}"/>
    <cellStyle name="Normal 39 3 3 3 3" xfId="18344" xr:uid="{00000000-0005-0000-0000-00002D570000}"/>
    <cellStyle name="Normal 39 3 3 3 3 2" xfId="18348" xr:uid="{00000000-0005-0000-0000-00002E570000}"/>
    <cellStyle name="Normal 39 3 3 3 4" xfId="18628" xr:uid="{00000000-0005-0000-0000-00002F570000}"/>
    <cellStyle name="Normal 39 3 3 3 5" xfId="33088" xr:uid="{00000000-0005-0000-0000-000030570000}"/>
    <cellStyle name="Normal 39 3 3 4" xfId="35416" xr:uid="{00000000-0005-0000-0000-000031570000}"/>
    <cellStyle name="Normal 39 3 3 4 2" xfId="35418" xr:uid="{00000000-0005-0000-0000-000032570000}"/>
    <cellStyle name="Normal 39 3 3 4 2 2" xfId="35420" xr:uid="{00000000-0005-0000-0000-000033570000}"/>
    <cellStyle name="Normal 39 3 3 4 3" xfId="19226" xr:uid="{00000000-0005-0000-0000-000034570000}"/>
    <cellStyle name="Normal 39 3 3 5" xfId="35422" xr:uid="{00000000-0005-0000-0000-000035570000}"/>
    <cellStyle name="Normal 39 3 3 5 2" xfId="35424" xr:uid="{00000000-0005-0000-0000-000036570000}"/>
    <cellStyle name="Normal 39 3 3 5 2 2" xfId="35426" xr:uid="{00000000-0005-0000-0000-000037570000}"/>
    <cellStyle name="Normal 39 3 3 5 3" xfId="20820" xr:uid="{00000000-0005-0000-0000-000038570000}"/>
    <cellStyle name="Normal 39 3 3 6" xfId="35429" xr:uid="{00000000-0005-0000-0000-000039570000}"/>
    <cellStyle name="Normal 39 3 3 6 2" xfId="35431" xr:uid="{00000000-0005-0000-0000-00003A570000}"/>
    <cellStyle name="Normal 39 3 3 7" xfId="35435" xr:uid="{00000000-0005-0000-0000-00003B570000}"/>
    <cellStyle name="Normal 39 3 3 7 2" xfId="35439" xr:uid="{00000000-0005-0000-0000-00003C570000}"/>
    <cellStyle name="Normal 39 3 3 8" xfId="27001" xr:uid="{00000000-0005-0000-0000-00003D570000}"/>
    <cellStyle name="Normal 39 3 3 9" xfId="35441" xr:uid="{00000000-0005-0000-0000-00003E570000}"/>
    <cellStyle name="Normal 39 3 4" xfId="35446" xr:uid="{00000000-0005-0000-0000-00003F570000}"/>
    <cellStyle name="Normal 39 3 4 2" xfId="35448" xr:uid="{00000000-0005-0000-0000-000040570000}"/>
    <cellStyle name="Normal 39 3 4 2 2" xfId="35450" xr:uid="{00000000-0005-0000-0000-000041570000}"/>
    <cellStyle name="Normal 39 3 4 2 2 2" xfId="31859" xr:uid="{00000000-0005-0000-0000-000042570000}"/>
    <cellStyle name="Normal 39 3 4 2 2 2 2" xfId="31863" xr:uid="{00000000-0005-0000-0000-000043570000}"/>
    <cellStyle name="Normal 39 3 4 2 2 2 2 2" xfId="35453" xr:uid="{00000000-0005-0000-0000-000044570000}"/>
    <cellStyle name="Normal 39 3 4 2 2 2 3" xfId="34320" xr:uid="{00000000-0005-0000-0000-000045570000}"/>
    <cellStyle name="Normal 39 3 4 2 2 3" xfId="31867" xr:uid="{00000000-0005-0000-0000-000046570000}"/>
    <cellStyle name="Normal 39 3 4 2 2 3 2" xfId="28991" xr:uid="{00000000-0005-0000-0000-000047570000}"/>
    <cellStyle name="Normal 39 3 4 2 2 4" xfId="31873" xr:uid="{00000000-0005-0000-0000-000048570000}"/>
    <cellStyle name="Normal 39 3 4 2 3" xfId="11198" xr:uid="{00000000-0005-0000-0000-000049570000}"/>
    <cellStyle name="Normal 39 3 4 2 3 2" xfId="15341" xr:uid="{00000000-0005-0000-0000-00004A570000}"/>
    <cellStyle name="Normal 39 3 4 2 3 2 2" xfId="35455" xr:uid="{00000000-0005-0000-0000-00004B570000}"/>
    <cellStyle name="Normal 39 3 4 2 3 3" xfId="34372" xr:uid="{00000000-0005-0000-0000-00004C570000}"/>
    <cellStyle name="Normal 39 3 4 2 4" xfId="15345" xr:uid="{00000000-0005-0000-0000-00004D570000}"/>
    <cellStyle name="Normal 39 3 4 2 4 2" xfId="35457" xr:uid="{00000000-0005-0000-0000-00004E570000}"/>
    <cellStyle name="Normal 39 3 4 2 4 2 2" xfId="35459" xr:uid="{00000000-0005-0000-0000-00004F570000}"/>
    <cellStyle name="Normal 39 3 4 2 4 3" xfId="35461" xr:uid="{00000000-0005-0000-0000-000050570000}"/>
    <cellStyle name="Normal 39 3 4 2 5" xfId="33100" xr:uid="{00000000-0005-0000-0000-000051570000}"/>
    <cellStyle name="Normal 39 3 4 2 5 2" xfId="35463" xr:uid="{00000000-0005-0000-0000-000052570000}"/>
    <cellStyle name="Normal 39 3 4 2 6" xfId="23759" xr:uid="{00000000-0005-0000-0000-000053570000}"/>
    <cellStyle name="Normal 39 3 4 2 6 2" xfId="23762" xr:uid="{00000000-0005-0000-0000-000054570000}"/>
    <cellStyle name="Normal 39 3 4 2 7" xfId="23765" xr:uid="{00000000-0005-0000-0000-000055570000}"/>
    <cellStyle name="Normal 39 3 4 2 8" xfId="23920" xr:uid="{00000000-0005-0000-0000-000056570000}"/>
    <cellStyle name="Normal 39 3 4 3" xfId="35465" xr:uid="{00000000-0005-0000-0000-000057570000}"/>
    <cellStyle name="Normal 39 3 4 3 2" xfId="35467" xr:uid="{00000000-0005-0000-0000-000058570000}"/>
    <cellStyle name="Normal 39 3 4 3 2 2" xfId="35469" xr:uid="{00000000-0005-0000-0000-000059570000}"/>
    <cellStyle name="Normal 39 3 4 3 2 2 2" xfId="35471" xr:uid="{00000000-0005-0000-0000-00005A570000}"/>
    <cellStyle name="Normal 39 3 4 3 2 3" xfId="34382" xr:uid="{00000000-0005-0000-0000-00005B570000}"/>
    <cellStyle name="Normal 39 3 4 3 3" xfId="5393" xr:uid="{00000000-0005-0000-0000-00005C570000}"/>
    <cellStyle name="Normal 39 3 4 3 3 2" xfId="5244" xr:uid="{00000000-0005-0000-0000-00005D570000}"/>
    <cellStyle name="Normal 39 3 4 3 4" xfId="5405" xr:uid="{00000000-0005-0000-0000-00005E570000}"/>
    <cellStyle name="Normal 39 3 4 4" xfId="35473" xr:uid="{00000000-0005-0000-0000-00005F570000}"/>
    <cellStyle name="Normal 39 3 4 4 2" xfId="35475" xr:uid="{00000000-0005-0000-0000-000060570000}"/>
    <cellStyle name="Normal 39 3 4 4 2 2" xfId="35477" xr:uid="{00000000-0005-0000-0000-000061570000}"/>
    <cellStyle name="Normal 39 3 4 4 3" xfId="6805" xr:uid="{00000000-0005-0000-0000-000062570000}"/>
    <cellStyle name="Normal 39 3 4 5" xfId="35479" xr:uid="{00000000-0005-0000-0000-000063570000}"/>
    <cellStyle name="Normal 39 3 4 5 2" xfId="35481" xr:uid="{00000000-0005-0000-0000-000064570000}"/>
    <cellStyle name="Normal 39 3 4 5 2 2" xfId="35483" xr:uid="{00000000-0005-0000-0000-000065570000}"/>
    <cellStyle name="Normal 39 3 4 5 3" xfId="6823" xr:uid="{00000000-0005-0000-0000-000066570000}"/>
    <cellStyle name="Normal 39 3 4 6" xfId="20381" xr:uid="{00000000-0005-0000-0000-000067570000}"/>
    <cellStyle name="Normal 39 3 4 6 2" xfId="35485" xr:uid="{00000000-0005-0000-0000-000068570000}"/>
    <cellStyle name="Normal 39 3 4 7" xfId="35489" xr:uid="{00000000-0005-0000-0000-000069570000}"/>
    <cellStyle name="Normal 39 3 4 7 2" xfId="35495" xr:uid="{00000000-0005-0000-0000-00006A570000}"/>
    <cellStyle name="Normal 39 3 4 8" xfId="35500" xr:uid="{00000000-0005-0000-0000-00006B570000}"/>
    <cellStyle name="Normal 39 3 4 9" xfId="35502" xr:uid="{00000000-0005-0000-0000-00006C570000}"/>
    <cellStyle name="Normal 39 3 5" xfId="35504" xr:uid="{00000000-0005-0000-0000-00006D570000}"/>
    <cellStyle name="Normal 39 3 5 2" xfId="35506" xr:uid="{00000000-0005-0000-0000-00006E570000}"/>
    <cellStyle name="Normal 39 3 5 2 2" xfId="35508" xr:uid="{00000000-0005-0000-0000-00006F570000}"/>
    <cellStyle name="Normal 39 3 5 2 2 2" xfId="35510" xr:uid="{00000000-0005-0000-0000-000070570000}"/>
    <cellStyle name="Normal 39 3 5 2 2 2 2" xfId="35512" xr:uid="{00000000-0005-0000-0000-000071570000}"/>
    <cellStyle name="Normal 39 3 5 2 2 2 2 2" xfId="35514" xr:uid="{00000000-0005-0000-0000-000072570000}"/>
    <cellStyle name="Normal 39 3 5 2 2 2 3" xfId="35516" xr:uid="{00000000-0005-0000-0000-000073570000}"/>
    <cellStyle name="Normal 39 3 5 2 2 3" xfId="34398" xr:uid="{00000000-0005-0000-0000-000074570000}"/>
    <cellStyle name="Normal 39 3 5 2 2 3 2" xfId="30984" xr:uid="{00000000-0005-0000-0000-000075570000}"/>
    <cellStyle name="Normal 39 3 5 2 2 4" xfId="35518" xr:uid="{00000000-0005-0000-0000-000076570000}"/>
    <cellStyle name="Normal 39 3 5 2 3" xfId="15396" xr:uid="{00000000-0005-0000-0000-000077570000}"/>
    <cellStyle name="Normal 39 3 5 2 3 2" xfId="18386" xr:uid="{00000000-0005-0000-0000-000078570000}"/>
    <cellStyle name="Normal 39 3 5 2 3 2 2" xfId="35520" xr:uid="{00000000-0005-0000-0000-000079570000}"/>
    <cellStyle name="Normal 39 3 5 2 3 3" xfId="35522" xr:uid="{00000000-0005-0000-0000-00007A570000}"/>
    <cellStyle name="Normal 39 3 5 2 4" xfId="18312" xr:uid="{00000000-0005-0000-0000-00007B570000}"/>
    <cellStyle name="Normal 39 3 5 2 4 2" xfId="35524" xr:uid="{00000000-0005-0000-0000-00007C570000}"/>
    <cellStyle name="Normal 39 3 5 2 4 2 2" xfId="35529" xr:uid="{00000000-0005-0000-0000-00007D570000}"/>
    <cellStyle name="Normal 39 3 5 2 4 3" xfId="35531" xr:uid="{00000000-0005-0000-0000-00007E570000}"/>
    <cellStyle name="Normal 39 3 5 2 5" xfId="33106" xr:uid="{00000000-0005-0000-0000-00007F570000}"/>
    <cellStyle name="Normal 39 3 5 2 5 2" xfId="35533" xr:uid="{00000000-0005-0000-0000-000080570000}"/>
    <cellStyle name="Normal 39 3 5 2 6" xfId="18405" xr:uid="{00000000-0005-0000-0000-000081570000}"/>
    <cellStyle name="Normal 39 3 5 2 6 2" xfId="5582" xr:uid="{00000000-0005-0000-0000-000082570000}"/>
    <cellStyle name="Normal 39 3 5 2 7" xfId="18409" xr:uid="{00000000-0005-0000-0000-000083570000}"/>
    <cellStyle name="Normal 39 3 5 2 8" xfId="18418" xr:uid="{00000000-0005-0000-0000-000084570000}"/>
    <cellStyle name="Normal 39 3 5 3" xfId="35535" xr:uid="{00000000-0005-0000-0000-000085570000}"/>
    <cellStyle name="Normal 39 3 5 3 2" xfId="35537" xr:uid="{00000000-0005-0000-0000-000086570000}"/>
    <cellStyle name="Normal 39 3 5 3 2 2" xfId="35539" xr:uid="{00000000-0005-0000-0000-000087570000}"/>
    <cellStyle name="Normal 39 3 5 3 2 2 2" xfId="35541" xr:uid="{00000000-0005-0000-0000-000088570000}"/>
    <cellStyle name="Normal 39 3 5 3 2 3" xfId="35544" xr:uid="{00000000-0005-0000-0000-000089570000}"/>
    <cellStyle name="Normal 39 3 5 3 3" xfId="4334" xr:uid="{00000000-0005-0000-0000-00008A570000}"/>
    <cellStyle name="Normal 39 3 5 3 3 2" xfId="14045" xr:uid="{00000000-0005-0000-0000-00008B570000}"/>
    <cellStyle name="Normal 39 3 5 3 4" xfId="3962" xr:uid="{00000000-0005-0000-0000-00008C570000}"/>
    <cellStyle name="Normal 39 3 5 4" xfId="35546" xr:uid="{00000000-0005-0000-0000-00008D570000}"/>
    <cellStyle name="Normal 39 3 5 4 2" xfId="35548" xr:uid="{00000000-0005-0000-0000-00008E570000}"/>
    <cellStyle name="Normal 39 3 5 4 2 2" xfId="35550" xr:uid="{00000000-0005-0000-0000-00008F570000}"/>
    <cellStyle name="Normal 39 3 5 4 3" xfId="18424" xr:uid="{00000000-0005-0000-0000-000090570000}"/>
    <cellStyle name="Normal 39 3 5 5" xfId="35552" xr:uid="{00000000-0005-0000-0000-000091570000}"/>
    <cellStyle name="Normal 39 3 5 5 2" xfId="35554" xr:uid="{00000000-0005-0000-0000-000092570000}"/>
    <cellStyle name="Normal 39 3 5 5 2 2" xfId="35556" xr:uid="{00000000-0005-0000-0000-000093570000}"/>
    <cellStyle name="Normal 39 3 5 5 3" xfId="18429" xr:uid="{00000000-0005-0000-0000-000094570000}"/>
    <cellStyle name="Normal 39 3 5 6" xfId="35558" xr:uid="{00000000-0005-0000-0000-000095570000}"/>
    <cellStyle name="Normal 39 3 5 6 2" xfId="35560" xr:uid="{00000000-0005-0000-0000-000096570000}"/>
    <cellStyle name="Normal 39 3 5 7" xfId="35564" xr:uid="{00000000-0005-0000-0000-000097570000}"/>
    <cellStyle name="Normal 39 3 5 7 2" xfId="35568" xr:uid="{00000000-0005-0000-0000-000098570000}"/>
    <cellStyle name="Normal 39 3 5 8" xfId="35570" xr:uid="{00000000-0005-0000-0000-000099570000}"/>
    <cellStyle name="Normal 39 3 5 9" xfId="35572" xr:uid="{00000000-0005-0000-0000-00009A570000}"/>
    <cellStyle name="Normal 39 3 6" xfId="35574" xr:uid="{00000000-0005-0000-0000-00009B570000}"/>
    <cellStyle name="Normal 39 3 6 2" xfId="35576" xr:uid="{00000000-0005-0000-0000-00009C570000}"/>
    <cellStyle name="Normal 39 3 6 2 2" xfId="35578" xr:uid="{00000000-0005-0000-0000-00009D570000}"/>
    <cellStyle name="Normal 39 3 6 2 2 2" xfId="35580" xr:uid="{00000000-0005-0000-0000-00009E570000}"/>
    <cellStyle name="Normal 39 3 6 2 2 2 2" xfId="35582" xr:uid="{00000000-0005-0000-0000-00009F570000}"/>
    <cellStyle name="Normal 39 3 6 2 2 3" xfId="35585" xr:uid="{00000000-0005-0000-0000-0000A0570000}"/>
    <cellStyle name="Normal 39 3 6 2 3" xfId="18444" xr:uid="{00000000-0005-0000-0000-0000A1570000}"/>
    <cellStyle name="Normal 39 3 6 2 3 2" xfId="18450" xr:uid="{00000000-0005-0000-0000-0000A2570000}"/>
    <cellStyle name="Normal 39 3 6 2 4" xfId="18454" xr:uid="{00000000-0005-0000-0000-0000A3570000}"/>
    <cellStyle name="Normal 39 3 6 2 5" xfId="35588" xr:uid="{00000000-0005-0000-0000-0000A4570000}"/>
    <cellStyle name="Normal 39 3 6 3" xfId="35589" xr:uid="{00000000-0005-0000-0000-0000A5570000}"/>
    <cellStyle name="Normal 39 3 6 3 2" xfId="35591" xr:uid="{00000000-0005-0000-0000-0000A6570000}"/>
    <cellStyle name="Normal 39 3 6 3 2 2" xfId="35593" xr:uid="{00000000-0005-0000-0000-0000A7570000}"/>
    <cellStyle name="Normal 39 3 6 3 3" xfId="9659" xr:uid="{00000000-0005-0000-0000-0000A8570000}"/>
    <cellStyle name="Normal 39 3 6 4" xfId="35595" xr:uid="{00000000-0005-0000-0000-0000A9570000}"/>
    <cellStyle name="Normal 39 3 6 4 2" xfId="35597" xr:uid="{00000000-0005-0000-0000-0000AA570000}"/>
    <cellStyle name="Normal 39 3 6 4 2 2" xfId="35599" xr:uid="{00000000-0005-0000-0000-0000AB570000}"/>
    <cellStyle name="Normal 39 3 6 4 3" xfId="9675" xr:uid="{00000000-0005-0000-0000-0000AC570000}"/>
    <cellStyle name="Normal 39 3 6 5" xfId="35601" xr:uid="{00000000-0005-0000-0000-0000AD570000}"/>
    <cellStyle name="Normal 39 3 6 5 2" xfId="35603" xr:uid="{00000000-0005-0000-0000-0000AE570000}"/>
    <cellStyle name="Normal 39 3 6 6" xfId="35605" xr:uid="{00000000-0005-0000-0000-0000AF570000}"/>
    <cellStyle name="Normal 39 3 6 6 2" xfId="35607" xr:uid="{00000000-0005-0000-0000-0000B0570000}"/>
    <cellStyle name="Normal 39 3 6 7" xfId="35611" xr:uid="{00000000-0005-0000-0000-0000B1570000}"/>
    <cellStyle name="Normal 39 3 6 8" xfId="35613" xr:uid="{00000000-0005-0000-0000-0000B2570000}"/>
    <cellStyle name="Normal 39 3 7" xfId="35615" xr:uid="{00000000-0005-0000-0000-0000B3570000}"/>
    <cellStyle name="Normal 39 3 7 2" xfId="35617" xr:uid="{00000000-0005-0000-0000-0000B4570000}"/>
    <cellStyle name="Normal 39 3 7 2 2" xfId="35619" xr:uid="{00000000-0005-0000-0000-0000B5570000}"/>
    <cellStyle name="Normal 39 3 7 2 2 2" xfId="18467" xr:uid="{00000000-0005-0000-0000-0000B6570000}"/>
    <cellStyle name="Normal 39 3 7 2 3" xfId="18475" xr:uid="{00000000-0005-0000-0000-0000B7570000}"/>
    <cellStyle name="Normal 39 3 7 3" xfId="35621" xr:uid="{00000000-0005-0000-0000-0000B8570000}"/>
    <cellStyle name="Normal 39 3 7 3 2" xfId="35623" xr:uid="{00000000-0005-0000-0000-0000B9570000}"/>
    <cellStyle name="Normal 39 3 7 4" xfId="35625" xr:uid="{00000000-0005-0000-0000-0000BA570000}"/>
    <cellStyle name="Normal 39 3 7 5" xfId="35627" xr:uid="{00000000-0005-0000-0000-0000BB570000}"/>
    <cellStyle name="Normal 39 3 8" xfId="15064" xr:uid="{00000000-0005-0000-0000-0000BC570000}"/>
    <cellStyle name="Normal 39 3 8 2" xfId="12624" xr:uid="{00000000-0005-0000-0000-0000BD570000}"/>
    <cellStyle name="Normal 39 3 8 2 2" xfId="35628" xr:uid="{00000000-0005-0000-0000-0000BE570000}"/>
    <cellStyle name="Normal 39 3 8 3" xfId="2951" xr:uid="{00000000-0005-0000-0000-0000BF570000}"/>
    <cellStyle name="Normal 39 3 9" xfId="35630" xr:uid="{00000000-0005-0000-0000-0000C0570000}"/>
    <cellStyle name="Normal 39 3 9 2" xfId="35632" xr:uid="{00000000-0005-0000-0000-0000C1570000}"/>
    <cellStyle name="Normal 39 3 9 2 2" xfId="35634" xr:uid="{00000000-0005-0000-0000-0000C2570000}"/>
    <cellStyle name="Normal 39 3 9 3" xfId="6934" xr:uid="{00000000-0005-0000-0000-0000C3570000}"/>
    <cellStyle name="Normal 39 4" xfId="35636" xr:uid="{00000000-0005-0000-0000-0000C4570000}"/>
    <cellStyle name="Normal 39 4 10" xfId="35638" xr:uid="{00000000-0005-0000-0000-0000C5570000}"/>
    <cellStyle name="Normal 39 4 10 2" xfId="35640" xr:uid="{00000000-0005-0000-0000-0000C6570000}"/>
    <cellStyle name="Normal 39 4 11" xfId="35641" xr:uid="{00000000-0005-0000-0000-0000C7570000}"/>
    <cellStyle name="Normal 39 4 11 2" xfId="35642" xr:uid="{00000000-0005-0000-0000-0000C8570000}"/>
    <cellStyle name="Normal 39 4 12" xfId="35643" xr:uid="{00000000-0005-0000-0000-0000C9570000}"/>
    <cellStyle name="Normal 39 4 12 2" xfId="35645" xr:uid="{00000000-0005-0000-0000-0000CA570000}"/>
    <cellStyle name="Normal 39 4 13" xfId="20512" xr:uid="{00000000-0005-0000-0000-0000CB570000}"/>
    <cellStyle name="Normal 39 4 14" xfId="15785" xr:uid="{00000000-0005-0000-0000-0000CC570000}"/>
    <cellStyle name="Normal 39 4 2" xfId="11535" xr:uid="{00000000-0005-0000-0000-0000CD570000}"/>
    <cellStyle name="Normal 39 4 2 10" xfId="35647" xr:uid="{00000000-0005-0000-0000-0000CE570000}"/>
    <cellStyle name="Normal 39 4 2 2" xfId="23643" xr:uid="{00000000-0005-0000-0000-0000CF570000}"/>
    <cellStyle name="Normal 39 4 2 2 2" xfId="23649" xr:uid="{00000000-0005-0000-0000-0000D0570000}"/>
    <cellStyle name="Normal 39 4 2 2 2 2" xfId="35649" xr:uid="{00000000-0005-0000-0000-0000D1570000}"/>
    <cellStyle name="Normal 39 4 2 2 2 2 2" xfId="35651" xr:uid="{00000000-0005-0000-0000-0000D2570000}"/>
    <cellStyle name="Normal 39 4 2 2 2 2 2 2" xfId="26504" xr:uid="{00000000-0005-0000-0000-0000D3570000}"/>
    <cellStyle name="Normal 39 4 2 2 2 2 2 2 2" xfId="333" xr:uid="{00000000-0005-0000-0000-0000D4570000}"/>
    <cellStyle name="Normal 39 4 2 2 2 2 2 3" xfId="26507" xr:uid="{00000000-0005-0000-0000-0000D5570000}"/>
    <cellStyle name="Normal 39 4 2 2 2 2 3" xfId="35063" xr:uid="{00000000-0005-0000-0000-0000D6570000}"/>
    <cellStyle name="Normal 39 4 2 2 2 2 3 2" xfId="26513" xr:uid="{00000000-0005-0000-0000-0000D7570000}"/>
    <cellStyle name="Normal 39 4 2 2 2 2 4" xfId="35069" xr:uid="{00000000-0005-0000-0000-0000D8570000}"/>
    <cellStyle name="Normal 39 4 2 2 2 3" xfId="1088" xr:uid="{00000000-0005-0000-0000-0000D9570000}"/>
    <cellStyle name="Normal 39 4 2 2 2 3 2" xfId="35653" xr:uid="{00000000-0005-0000-0000-0000DA570000}"/>
    <cellStyle name="Normal 39 4 2 2 2 3 2 2" xfId="35655" xr:uid="{00000000-0005-0000-0000-0000DB570000}"/>
    <cellStyle name="Normal 39 4 2 2 2 3 3" xfId="35072" xr:uid="{00000000-0005-0000-0000-0000DC570000}"/>
    <cellStyle name="Normal 39 4 2 2 2 4" xfId="35657" xr:uid="{00000000-0005-0000-0000-0000DD570000}"/>
    <cellStyle name="Normal 39 4 2 2 2 4 2" xfId="739" xr:uid="{00000000-0005-0000-0000-0000DE570000}"/>
    <cellStyle name="Normal 39 4 2 2 2 4 2 2" xfId="759" xr:uid="{00000000-0005-0000-0000-0000DF570000}"/>
    <cellStyle name="Normal 39 4 2 2 2 4 3" xfId="447" xr:uid="{00000000-0005-0000-0000-0000E0570000}"/>
    <cellStyle name="Normal 39 4 2 2 2 5" xfId="35659" xr:uid="{00000000-0005-0000-0000-0000E1570000}"/>
    <cellStyle name="Normal 39 4 2 2 2 5 2" xfId="35660" xr:uid="{00000000-0005-0000-0000-0000E2570000}"/>
    <cellStyle name="Normal 39 4 2 2 2 6" xfId="35663" xr:uid="{00000000-0005-0000-0000-0000E3570000}"/>
    <cellStyle name="Normal 39 4 2 2 2 6 2" xfId="35664" xr:uid="{00000000-0005-0000-0000-0000E4570000}"/>
    <cellStyle name="Normal 39 4 2 2 2 7" xfId="35665" xr:uid="{00000000-0005-0000-0000-0000E5570000}"/>
    <cellStyle name="Normal 39 4 2 2 2 8" xfId="35666" xr:uid="{00000000-0005-0000-0000-0000E6570000}"/>
    <cellStyle name="Normal 39 4 2 2 3" xfId="35667" xr:uid="{00000000-0005-0000-0000-0000E7570000}"/>
    <cellStyle name="Normal 39 4 2 2 3 2" xfId="35670" xr:uid="{00000000-0005-0000-0000-0000E8570000}"/>
    <cellStyle name="Normal 39 4 2 2 3 2 2" xfId="35672" xr:uid="{00000000-0005-0000-0000-0000E9570000}"/>
    <cellStyle name="Normal 39 4 2 2 3 2 2 2" xfId="17126" xr:uid="{00000000-0005-0000-0000-0000EA570000}"/>
    <cellStyle name="Normal 39 4 2 2 3 2 3" xfId="35674" xr:uid="{00000000-0005-0000-0000-0000EB570000}"/>
    <cellStyle name="Normal 39 4 2 2 3 3" xfId="35675" xr:uid="{00000000-0005-0000-0000-0000EC570000}"/>
    <cellStyle name="Normal 39 4 2 2 3 3 2" xfId="35677" xr:uid="{00000000-0005-0000-0000-0000ED570000}"/>
    <cellStyle name="Normal 39 4 2 2 3 4" xfId="35678" xr:uid="{00000000-0005-0000-0000-0000EE570000}"/>
    <cellStyle name="Normal 39 4 2 2 4" xfId="35679" xr:uid="{00000000-0005-0000-0000-0000EF570000}"/>
    <cellStyle name="Normal 39 4 2 2 4 2" xfId="35681" xr:uid="{00000000-0005-0000-0000-0000F0570000}"/>
    <cellStyle name="Normal 39 4 2 2 4 2 2" xfId="35683" xr:uid="{00000000-0005-0000-0000-0000F1570000}"/>
    <cellStyle name="Normal 39 4 2 2 4 3" xfId="35685" xr:uid="{00000000-0005-0000-0000-0000F2570000}"/>
    <cellStyle name="Normal 39 4 2 2 5" xfId="35687" xr:uid="{00000000-0005-0000-0000-0000F3570000}"/>
    <cellStyle name="Normal 39 4 2 2 5 2" xfId="35689" xr:uid="{00000000-0005-0000-0000-0000F4570000}"/>
    <cellStyle name="Normal 39 4 2 2 5 2 2" xfId="35691" xr:uid="{00000000-0005-0000-0000-0000F5570000}"/>
    <cellStyle name="Normal 39 4 2 2 5 3" xfId="35692" xr:uid="{00000000-0005-0000-0000-0000F6570000}"/>
    <cellStyle name="Normal 39 4 2 2 6" xfId="35693" xr:uid="{00000000-0005-0000-0000-0000F7570000}"/>
    <cellStyle name="Normal 39 4 2 2 6 2" xfId="35695" xr:uid="{00000000-0005-0000-0000-0000F8570000}"/>
    <cellStyle name="Normal 39 4 2 2 7" xfId="35697" xr:uid="{00000000-0005-0000-0000-0000F9570000}"/>
    <cellStyle name="Normal 39 4 2 2 7 2" xfId="35699" xr:uid="{00000000-0005-0000-0000-0000FA570000}"/>
    <cellStyle name="Normal 39 4 2 2 8" xfId="20628" xr:uid="{00000000-0005-0000-0000-0000FB570000}"/>
    <cellStyle name="Normal 39 4 2 2 9" xfId="24103" xr:uid="{00000000-0005-0000-0000-0000FC570000}"/>
    <cellStyle name="Normal 39 4 2 3" xfId="16908" xr:uid="{00000000-0005-0000-0000-0000FD570000}"/>
    <cellStyle name="Normal 39 4 2 3 2" xfId="16914" xr:uid="{00000000-0005-0000-0000-0000FE570000}"/>
    <cellStyle name="Normal 39 4 2 3 2 2" xfId="31754" xr:uid="{00000000-0005-0000-0000-0000FF570000}"/>
    <cellStyle name="Normal 39 4 2 3 2 2 2" xfId="34741" xr:uid="{00000000-0005-0000-0000-000000580000}"/>
    <cellStyle name="Normal 39 4 2 3 2 2 2 2" xfId="35700" xr:uid="{00000000-0005-0000-0000-000001580000}"/>
    <cellStyle name="Normal 39 4 2 3 2 2 3" xfId="35701" xr:uid="{00000000-0005-0000-0000-000002580000}"/>
    <cellStyle name="Normal 39 4 2 3 2 3" xfId="2561" xr:uid="{00000000-0005-0000-0000-000003580000}"/>
    <cellStyle name="Normal 39 4 2 3 2 3 2" xfId="35702" xr:uid="{00000000-0005-0000-0000-000004580000}"/>
    <cellStyle name="Normal 39 4 2 3 2 4" xfId="34744" xr:uid="{00000000-0005-0000-0000-000005580000}"/>
    <cellStyle name="Normal 39 4 2 3 3" xfId="35703" xr:uid="{00000000-0005-0000-0000-000006580000}"/>
    <cellStyle name="Normal 39 4 2 3 3 2" xfId="34752" xr:uid="{00000000-0005-0000-0000-000007580000}"/>
    <cellStyle name="Normal 39 4 2 3 3 2 2" xfId="35705" xr:uid="{00000000-0005-0000-0000-000008580000}"/>
    <cellStyle name="Normal 39 4 2 3 3 3" xfId="35706" xr:uid="{00000000-0005-0000-0000-000009580000}"/>
    <cellStyle name="Normal 39 4 2 3 4" xfId="23622" xr:uid="{00000000-0005-0000-0000-00000A580000}"/>
    <cellStyle name="Normal 39 4 2 3 4 2" xfId="35707" xr:uid="{00000000-0005-0000-0000-00000B580000}"/>
    <cellStyle name="Normal 39 4 2 3 4 2 2" xfId="35708" xr:uid="{00000000-0005-0000-0000-00000C580000}"/>
    <cellStyle name="Normal 39 4 2 3 4 3" xfId="35709" xr:uid="{00000000-0005-0000-0000-00000D580000}"/>
    <cellStyle name="Normal 39 4 2 3 5" xfId="35710" xr:uid="{00000000-0005-0000-0000-00000E580000}"/>
    <cellStyle name="Normal 39 4 2 3 5 2" xfId="35711" xr:uid="{00000000-0005-0000-0000-00000F580000}"/>
    <cellStyle name="Normal 39 4 2 3 6" xfId="13431" xr:uid="{00000000-0005-0000-0000-000010580000}"/>
    <cellStyle name="Normal 39 4 2 3 6 2" xfId="18760" xr:uid="{00000000-0005-0000-0000-000011580000}"/>
    <cellStyle name="Normal 39 4 2 3 7" xfId="19211" xr:uid="{00000000-0005-0000-0000-000012580000}"/>
    <cellStyle name="Normal 39 4 2 3 8" xfId="19214" xr:uid="{00000000-0005-0000-0000-000013580000}"/>
    <cellStyle name="Normal 39 4 2 4" xfId="534" xr:uid="{00000000-0005-0000-0000-000014580000}"/>
    <cellStyle name="Normal 39 4 2 4 2" xfId="16917" xr:uid="{00000000-0005-0000-0000-000015580000}"/>
    <cellStyle name="Normal 39 4 2 4 2 2" xfId="35712" xr:uid="{00000000-0005-0000-0000-000016580000}"/>
    <cellStyle name="Normal 39 4 2 4 2 2 2" xfId="35714" xr:uid="{00000000-0005-0000-0000-000017580000}"/>
    <cellStyle name="Normal 39 4 2 4 2 3" xfId="35715" xr:uid="{00000000-0005-0000-0000-000018580000}"/>
    <cellStyle name="Normal 39 4 2 4 3" xfId="35716" xr:uid="{00000000-0005-0000-0000-000019580000}"/>
    <cellStyle name="Normal 39 4 2 4 3 2" xfId="35718" xr:uid="{00000000-0005-0000-0000-00001A580000}"/>
    <cellStyle name="Normal 39 4 2 4 4" xfId="35719" xr:uid="{00000000-0005-0000-0000-00001B580000}"/>
    <cellStyle name="Normal 39 4 2 5" xfId="16920" xr:uid="{00000000-0005-0000-0000-00001C580000}"/>
    <cellStyle name="Normal 39 4 2 5 2" xfId="16923" xr:uid="{00000000-0005-0000-0000-00001D580000}"/>
    <cellStyle name="Normal 39 4 2 5 2 2" xfId="35720" xr:uid="{00000000-0005-0000-0000-00001E580000}"/>
    <cellStyle name="Normal 39 4 2 5 3" xfId="35722" xr:uid="{00000000-0005-0000-0000-00001F580000}"/>
    <cellStyle name="Normal 39 4 2 6" xfId="8370" xr:uid="{00000000-0005-0000-0000-000020580000}"/>
    <cellStyle name="Normal 39 4 2 6 2" xfId="35724" xr:uid="{00000000-0005-0000-0000-000021580000}"/>
    <cellStyle name="Normal 39 4 2 6 2 2" xfId="6272" xr:uid="{00000000-0005-0000-0000-000022580000}"/>
    <cellStyle name="Normal 39 4 2 6 3" xfId="35726" xr:uid="{00000000-0005-0000-0000-000023580000}"/>
    <cellStyle name="Normal 39 4 2 7" xfId="16929" xr:uid="{00000000-0005-0000-0000-000024580000}"/>
    <cellStyle name="Normal 39 4 2 7 2" xfId="35729" xr:uid="{00000000-0005-0000-0000-000025580000}"/>
    <cellStyle name="Normal 39 4 2 8" xfId="35733" xr:uid="{00000000-0005-0000-0000-000026580000}"/>
    <cellStyle name="Normal 39 4 2 8 2" xfId="35735" xr:uid="{00000000-0005-0000-0000-000027580000}"/>
    <cellStyle name="Normal 39 4 2 9" xfId="35736" xr:uid="{00000000-0005-0000-0000-000028580000}"/>
    <cellStyle name="Normal 39 4 3" xfId="23661" xr:uid="{00000000-0005-0000-0000-000029580000}"/>
    <cellStyle name="Normal 39 4 3 2" xfId="23669" xr:uid="{00000000-0005-0000-0000-00002A580000}"/>
    <cellStyle name="Normal 39 4 3 2 2" xfId="23673" xr:uid="{00000000-0005-0000-0000-00002B580000}"/>
    <cellStyle name="Normal 39 4 3 2 2 2" xfId="35739" xr:uid="{00000000-0005-0000-0000-00002C580000}"/>
    <cellStyle name="Normal 39 4 3 2 2 2 2" xfId="35741" xr:uid="{00000000-0005-0000-0000-00002D580000}"/>
    <cellStyle name="Normal 39 4 3 2 2 2 2 2" xfId="35743" xr:uid="{00000000-0005-0000-0000-00002E580000}"/>
    <cellStyle name="Normal 39 4 3 2 2 2 3" xfId="35528" xr:uid="{00000000-0005-0000-0000-00002F580000}"/>
    <cellStyle name="Normal 39 4 3 2 2 3" xfId="35744" xr:uid="{00000000-0005-0000-0000-000030580000}"/>
    <cellStyle name="Normal 39 4 3 2 2 3 2" xfId="35746" xr:uid="{00000000-0005-0000-0000-000031580000}"/>
    <cellStyle name="Normal 39 4 3 2 2 4" xfId="5565" xr:uid="{00000000-0005-0000-0000-000032580000}"/>
    <cellStyle name="Normal 39 4 3 2 2 5" xfId="35747" xr:uid="{00000000-0005-0000-0000-000033580000}"/>
    <cellStyle name="Normal 39 4 3 2 3" xfId="21110" xr:uid="{00000000-0005-0000-0000-000034580000}"/>
    <cellStyle name="Normal 39 4 3 2 3 2" xfId="21115" xr:uid="{00000000-0005-0000-0000-000035580000}"/>
    <cellStyle name="Normal 39 4 3 2 3 2 2" xfId="21119" xr:uid="{00000000-0005-0000-0000-000036580000}"/>
    <cellStyle name="Normal 39 4 3 2 3 3" xfId="14490" xr:uid="{00000000-0005-0000-0000-000037580000}"/>
    <cellStyle name="Normal 39 4 3 2 4" xfId="21122" xr:uid="{00000000-0005-0000-0000-000038580000}"/>
    <cellStyle name="Normal 39 4 3 2 4 2" xfId="21127" xr:uid="{00000000-0005-0000-0000-000039580000}"/>
    <cellStyle name="Normal 39 4 3 2 4 2 2" xfId="35748" xr:uid="{00000000-0005-0000-0000-00003A580000}"/>
    <cellStyle name="Normal 39 4 3 2 4 3" xfId="35749" xr:uid="{00000000-0005-0000-0000-00003B580000}"/>
    <cellStyle name="Normal 39 4 3 2 5" xfId="9238" xr:uid="{00000000-0005-0000-0000-00003C580000}"/>
    <cellStyle name="Normal 39 4 3 2 5 2" xfId="13030" xr:uid="{00000000-0005-0000-0000-00003D580000}"/>
    <cellStyle name="Normal 39 4 3 2 6" xfId="7523" xr:uid="{00000000-0005-0000-0000-00003E580000}"/>
    <cellStyle name="Normal 39 4 3 2 6 2" xfId="13087" xr:uid="{00000000-0005-0000-0000-00003F580000}"/>
    <cellStyle name="Normal 39 4 3 2 7" xfId="421" xr:uid="{00000000-0005-0000-0000-000040580000}"/>
    <cellStyle name="Normal 39 4 3 2 8" xfId="10606" xr:uid="{00000000-0005-0000-0000-000041580000}"/>
    <cellStyle name="Normal 39 4 3 3" xfId="23678" xr:uid="{00000000-0005-0000-0000-000042580000}"/>
    <cellStyle name="Normal 39 4 3 3 2" xfId="35751" xr:uid="{00000000-0005-0000-0000-000043580000}"/>
    <cellStyle name="Normal 39 4 3 3 2 2" xfId="35753" xr:uid="{00000000-0005-0000-0000-000044580000}"/>
    <cellStyle name="Normal 39 4 3 3 2 2 2" xfId="35755" xr:uid="{00000000-0005-0000-0000-000045580000}"/>
    <cellStyle name="Normal 39 4 3 3 2 3" xfId="35756" xr:uid="{00000000-0005-0000-0000-000046580000}"/>
    <cellStyle name="Normal 39 4 3 3 3" xfId="21131" xr:uid="{00000000-0005-0000-0000-000047580000}"/>
    <cellStyle name="Normal 39 4 3 3 3 2" xfId="21134" xr:uid="{00000000-0005-0000-0000-000048580000}"/>
    <cellStyle name="Normal 39 4 3 3 4" xfId="21136" xr:uid="{00000000-0005-0000-0000-000049580000}"/>
    <cellStyle name="Normal 39 4 3 3 5" xfId="13136" xr:uid="{00000000-0005-0000-0000-00004A580000}"/>
    <cellStyle name="Normal 39 4 3 4" xfId="35758" xr:uid="{00000000-0005-0000-0000-00004B580000}"/>
    <cellStyle name="Normal 39 4 3 4 2" xfId="35760" xr:uid="{00000000-0005-0000-0000-00004C580000}"/>
    <cellStyle name="Normal 39 4 3 4 2 2" xfId="35762" xr:uid="{00000000-0005-0000-0000-00004D580000}"/>
    <cellStyle name="Normal 39 4 3 4 3" xfId="21139" xr:uid="{00000000-0005-0000-0000-00004E580000}"/>
    <cellStyle name="Normal 39 4 3 5" xfId="35764" xr:uid="{00000000-0005-0000-0000-00004F580000}"/>
    <cellStyle name="Normal 39 4 3 5 2" xfId="35766" xr:uid="{00000000-0005-0000-0000-000050580000}"/>
    <cellStyle name="Normal 39 4 3 5 2 2" xfId="21201" xr:uid="{00000000-0005-0000-0000-000051580000}"/>
    <cellStyle name="Normal 39 4 3 5 3" xfId="21143" xr:uid="{00000000-0005-0000-0000-000052580000}"/>
    <cellStyle name="Normal 39 4 3 6" xfId="35768" xr:uid="{00000000-0005-0000-0000-000053580000}"/>
    <cellStyle name="Normal 39 4 3 6 2" xfId="35770" xr:uid="{00000000-0005-0000-0000-000054580000}"/>
    <cellStyle name="Normal 39 4 3 7" xfId="35774" xr:uid="{00000000-0005-0000-0000-000055580000}"/>
    <cellStyle name="Normal 39 4 3 7 2" xfId="35778" xr:uid="{00000000-0005-0000-0000-000056580000}"/>
    <cellStyle name="Normal 39 4 3 8" xfId="35781" xr:uid="{00000000-0005-0000-0000-000057580000}"/>
    <cellStyle name="Normal 39 4 3 9" xfId="35783" xr:uid="{00000000-0005-0000-0000-000058580000}"/>
    <cellStyle name="Normal 39 4 4" xfId="23682" xr:uid="{00000000-0005-0000-0000-000059580000}"/>
    <cellStyle name="Normal 39 4 4 2" xfId="23691" xr:uid="{00000000-0005-0000-0000-00005A580000}"/>
    <cellStyle name="Normal 39 4 4 2 2" xfId="9404" xr:uid="{00000000-0005-0000-0000-00005B580000}"/>
    <cellStyle name="Normal 39 4 4 2 2 2" xfId="32237" xr:uid="{00000000-0005-0000-0000-00005C580000}"/>
    <cellStyle name="Normal 39 4 4 2 2 2 2" xfId="32243" xr:uid="{00000000-0005-0000-0000-00005D580000}"/>
    <cellStyle name="Normal 39 4 4 2 2 2 2 2" xfId="35784" xr:uid="{00000000-0005-0000-0000-00005E580000}"/>
    <cellStyle name="Normal 39 4 4 2 2 2 3" xfId="35788" xr:uid="{00000000-0005-0000-0000-00005F580000}"/>
    <cellStyle name="Normal 39 4 4 2 2 3" xfId="32247" xr:uid="{00000000-0005-0000-0000-000060580000}"/>
    <cellStyle name="Normal 39 4 4 2 2 3 2" xfId="35789" xr:uid="{00000000-0005-0000-0000-000061580000}"/>
    <cellStyle name="Normal 39 4 4 2 2 4" xfId="6791" xr:uid="{00000000-0005-0000-0000-000062580000}"/>
    <cellStyle name="Normal 39 4 4 2 3" xfId="9420" xr:uid="{00000000-0005-0000-0000-000063580000}"/>
    <cellStyle name="Normal 39 4 4 2 3 2" xfId="9426" xr:uid="{00000000-0005-0000-0000-000064580000}"/>
    <cellStyle name="Normal 39 4 4 2 3 2 2" xfId="35790" xr:uid="{00000000-0005-0000-0000-000065580000}"/>
    <cellStyle name="Normal 39 4 4 2 3 3" xfId="35791" xr:uid="{00000000-0005-0000-0000-000066580000}"/>
    <cellStyle name="Normal 39 4 4 2 4" xfId="9432" xr:uid="{00000000-0005-0000-0000-000067580000}"/>
    <cellStyle name="Normal 39 4 4 2 4 2" xfId="35792" xr:uid="{00000000-0005-0000-0000-000068580000}"/>
    <cellStyle name="Normal 39 4 4 2 4 2 2" xfId="35793" xr:uid="{00000000-0005-0000-0000-000069580000}"/>
    <cellStyle name="Normal 39 4 4 2 4 3" xfId="35794" xr:uid="{00000000-0005-0000-0000-00006A580000}"/>
    <cellStyle name="Normal 39 4 4 2 5" xfId="13247" xr:uid="{00000000-0005-0000-0000-00006B580000}"/>
    <cellStyle name="Normal 39 4 4 2 5 2" xfId="13250" xr:uid="{00000000-0005-0000-0000-00006C580000}"/>
    <cellStyle name="Normal 39 4 4 2 6" xfId="13260" xr:uid="{00000000-0005-0000-0000-00006D580000}"/>
    <cellStyle name="Normal 39 4 4 2 6 2" xfId="13265" xr:uid="{00000000-0005-0000-0000-00006E580000}"/>
    <cellStyle name="Normal 39 4 4 2 7" xfId="13281" xr:uid="{00000000-0005-0000-0000-00006F580000}"/>
    <cellStyle name="Normal 39 4 4 2 8" xfId="890" xr:uid="{00000000-0005-0000-0000-000070580000}"/>
    <cellStyle name="Normal 39 4 4 3" xfId="35795" xr:uid="{00000000-0005-0000-0000-000071580000}"/>
    <cellStyle name="Normal 39 4 4 3 2" xfId="35798" xr:uid="{00000000-0005-0000-0000-000072580000}"/>
    <cellStyle name="Normal 39 4 4 3 2 2" xfId="35800" xr:uid="{00000000-0005-0000-0000-000073580000}"/>
    <cellStyle name="Normal 39 4 4 3 2 2 2" xfId="35801" xr:uid="{00000000-0005-0000-0000-000074580000}"/>
    <cellStyle name="Normal 39 4 4 3 2 3" xfId="35803" xr:uid="{00000000-0005-0000-0000-000075580000}"/>
    <cellStyle name="Normal 39 4 4 3 3" xfId="2965" xr:uid="{00000000-0005-0000-0000-000076580000}"/>
    <cellStyle name="Normal 39 4 4 3 3 2" xfId="6977" xr:uid="{00000000-0005-0000-0000-000077580000}"/>
    <cellStyle name="Normal 39 4 4 3 4" xfId="6985" xr:uid="{00000000-0005-0000-0000-000078580000}"/>
    <cellStyle name="Normal 39 4 4 4" xfId="35804" xr:uid="{00000000-0005-0000-0000-000079580000}"/>
    <cellStyle name="Normal 39 4 4 4 2" xfId="35806" xr:uid="{00000000-0005-0000-0000-00007A580000}"/>
    <cellStyle name="Normal 39 4 4 4 2 2" xfId="35807" xr:uid="{00000000-0005-0000-0000-00007B580000}"/>
    <cellStyle name="Normal 39 4 4 4 3" xfId="7019" xr:uid="{00000000-0005-0000-0000-00007C580000}"/>
    <cellStyle name="Normal 39 4 4 5" xfId="35808" xr:uid="{00000000-0005-0000-0000-00007D580000}"/>
    <cellStyle name="Normal 39 4 4 5 2" xfId="35809" xr:uid="{00000000-0005-0000-0000-00007E580000}"/>
    <cellStyle name="Normal 39 4 4 5 2 2" xfId="20204" xr:uid="{00000000-0005-0000-0000-00007F580000}"/>
    <cellStyle name="Normal 39 4 4 5 3" xfId="7032" xr:uid="{00000000-0005-0000-0000-000080580000}"/>
    <cellStyle name="Normal 39 4 4 6" xfId="35810" xr:uid="{00000000-0005-0000-0000-000081580000}"/>
    <cellStyle name="Normal 39 4 4 6 2" xfId="35811" xr:uid="{00000000-0005-0000-0000-000082580000}"/>
    <cellStyle name="Normal 39 4 4 7" xfId="33568" xr:uid="{00000000-0005-0000-0000-000083580000}"/>
    <cellStyle name="Normal 39 4 4 7 2" xfId="20449" xr:uid="{00000000-0005-0000-0000-000084580000}"/>
    <cellStyle name="Normal 39 4 4 8" xfId="35812" xr:uid="{00000000-0005-0000-0000-000085580000}"/>
    <cellStyle name="Normal 39 4 4 9" xfId="35813" xr:uid="{00000000-0005-0000-0000-000086580000}"/>
    <cellStyle name="Normal 39 4 5" xfId="18482" xr:uid="{00000000-0005-0000-0000-000087580000}"/>
    <cellStyle name="Normal 39 4 5 2" xfId="18489" xr:uid="{00000000-0005-0000-0000-000088580000}"/>
    <cellStyle name="Normal 39 4 5 2 2" xfId="35814" xr:uid="{00000000-0005-0000-0000-000089580000}"/>
    <cellStyle name="Normal 39 4 5 2 2 2" xfId="9564" xr:uid="{00000000-0005-0000-0000-00008A580000}"/>
    <cellStyle name="Normal 39 4 5 2 2 2 2" xfId="35816" xr:uid="{00000000-0005-0000-0000-00008B580000}"/>
    <cellStyle name="Normal 39 4 5 2 2 2 2 2" xfId="31107" xr:uid="{00000000-0005-0000-0000-00008C580000}"/>
    <cellStyle name="Normal 39 4 5 2 2 2 3" xfId="35817" xr:uid="{00000000-0005-0000-0000-00008D580000}"/>
    <cellStyle name="Normal 39 4 5 2 2 3" xfId="35818" xr:uid="{00000000-0005-0000-0000-00008E580000}"/>
    <cellStyle name="Normal 39 4 5 2 2 3 2" xfId="21884" xr:uid="{00000000-0005-0000-0000-00008F580000}"/>
    <cellStyle name="Normal 39 4 5 2 2 4" xfId="7913" xr:uid="{00000000-0005-0000-0000-000090580000}"/>
    <cellStyle name="Normal 39 4 5 2 3" xfId="9576" xr:uid="{00000000-0005-0000-0000-000091580000}"/>
    <cellStyle name="Normal 39 4 5 2 3 2" xfId="35819" xr:uid="{00000000-0005-0000-0000-000092580000}"/>
    <cellStyle name="Normal 39 4 5 2 3 2 2" xfId="35820" xr:uid="{00000000-0005-0000-0000-000093580000}"/>
    <cellStyle name="Normal 39 4 5 2 3 3" xfId="35821" xr:uid="{00000000-0005-0000-0000-000094580000}"/>
    <cellStyle name="Normal 39 4 5 2 4" xfId="35822" xr:uid="{00000000-0005-0000-0000-000095580000}"/>
    <cellStyle name="Normal 39 4 5 2 4 2" xfId="35785" xr:uid="{00000000-0005-0000-0000-000096580000}"/>
    <cellStyle name="Normal 39 4 5 2 4 2 2" xfId="35823" xr:uid="{00000000-0005-0000-0000-000097580000}"/>
    <cellStyle name="Normal 39 4 5 2 4 3" xfId="35824" xr:uid="{00000000-0005-0000-0000-000098580000}"/>
    <cellStyle name="Normal 39 4 5 2 5" xfId="13345" xr:uid="{00000000-0005-0000-0000-000099580000}"/>
    <cellStyle name="Normal 39 4 5 2 5 2" xfId="13350" xr:uid="{00000000-0005-0000-0000-00009A580000}"/>
    <cellStyle name="Normal 39 4 5 2 6" xfId="13359" xr:uid="{00000000-0005-0000-0000-00009B580000}"/>
    <cellStyle name="Normal 39 4 5 2 6 2" xfId="653" xr:uid="{00000000-0005-0000-0000-00009C580000}"/>
    <cellStyle name="Normal 39 4 5 2 7" xfId="8048" xr:uid="{00000000-0005-0000-0000-00009D580000}"/>
    <cellStyle name="Normal 39 4 5 2 8" xfId="1190" xr:uid="{00000000-0005-0000-0000-00009E580000}"/>
    <cellStyle name="Normal 39 4 5 3" xfId="35825" xr:uid="{00000000-0005-0000-0000-00009F580000}"/>
    <cellStyle name="Normal 39 4 5 3 2" xfId="35827" xr:uid="{00000000-0005-0000-0000-0000A0580000}"/>
    <cellStyle name="Normal 39 4 5 3 2 2" xfId="35828" xr:uid="{00000000-0005-0000-0000-0000A1580000}"/>
    <cellStyle name="Normal 39 4 5 3 2 2 2" xfId="35829" xr:uid="{00000000-0005-0000-0000-0000A2580000}"/>
    <cellStyle name="Normal 39 4 5 3 2 3" xfId="35830" xr:uid="{00000000-0005-0000-0000-0000A3580000}"/>
    <cellStyle name="Normal 39 4 5 3 3" xfId="35831" xr:uid="{00000000-0005-0000-0000-0000A4580000}"/>
    <cellStyle name="Normal 39 4 5 3 3 2" xfId="35832" xr:uid="{00000000-0005-0000-0000-0000A5580000}"/>
    <cellStyle name="Normal 39 4 5 3 4" xfId="35833" xr:uid="{00000000-0005-0000-0000-0000A6580000}"/>
    <cellStyle name="Normal 39 4 5 4" xfId="35834" xr:uid="{00000000-0005-0000-0000-0000A7580000}"/>
    <cellStyle name="Normal 39 4 5 4 2" xfId="35835" xr:uid="{00000000-0005-0000-0000-0000A8580000}"/>
    <cellStyle name="Normal 39 4 5 4 2 2" xfId="35836" xr:uid="{00000000-0005-0000-0000-0000A9580000}"/>
    <cellStyle name="Normal 39 4 5 4 3" xfId="35837" xr:uid="{00000000-0005-0000-0000-0000AA580000}"/>
    <cellStyle name="Normal 39 4 5 5" xfId="7085" xr:uid="{00000000-0005-0000-0000-0000AB580000}"/>
    <cellStyle name="Normal 39 4 5 5 2" xfId="35838" xr:uid="{00000000-0005-0000-0000-0000AC580000}"/>
    <cellStyle name="Normal 39 4 5 5 2 2" xfId="35839" xr:uid="{00000000-0005-0000-0000-0000AD580000}"/>
    <cellStyle name="Normal 39 4 5 5 3" xfId="35840" xr:uid="{00000000-0005-0000-0000-0000AE580000}"/>
    <cellStyle name="Normal 39 4 5 6" xfId="35841" xr:uid="{00000000-0005-0000-0000-0000AF580000}"/>
    <cellStyle name="Normal 39 4 5 6 2" xfId="14654" xr:uid="{00000000-0005-0000-0000-0000B0580000}"/>
    <cellStyle name="Normal 39 4 5 7" xfId="35844" xr:uid="{00000000-0005-0000-0000-0000B1580000}"/>
    <cellStyle name="Normal 39 4 5 7 2" xfId="35846" xr:uid="{00000000-0005-0000-0000-0000B2580000}"/>
    <cellStyle name="Normal 39 4 5 8" xfId="35847" xr:uid="{00000000-0005-0000-0000-0000B3580000}"/>
    <cellStyle name="Normal 39 4 5 9" xfId="35848" xr:uid="{00000000-0005-0000-0000-0000B4580000}"/>
    <cellStyle name="Normal 39 4 6" xfId="18511" xr:uid="{00000000-0005-0000-0000-0000B5580000}"/>
    <cellStyle name="Normal 39 4 6 2" xfId="243" xr:uid="{00000000-0005-0000-0000-0000B6580000}"/>
    <cellStyle name="Normal 39 4 6 2 2" xfId="35849" xr:uid="{00000000-0005-0000-0000-0000B7580000}"/>
    <cellStyle name="Normal 39 4 6 2 2 2" xfId="35851" xr:uid="{00000000-0005-0000-0000-0000B8580000}"/>
    <cellStyle name="Normal 39 4 6 2 2 2 2" xfId="35852" xr:uid="{00000000-0005-0000-0000-0000B9580000}"/>
    <cellStyle name="Normal 39 4 6 2 2 3" xfId="28002" xr:uid="{00000000-0005-0000-0000-0000BA580000}"/>
    <cellStyle name="Normal 39 4 6 2 3" xfId="18518" xr:uid="{00000000-0005-0000-0000-0000BB580000}"/>
    <cellStyle name="Normal 39 4 6 2 3 2" xfId="35853" xr:uid="{00000000-0005-0000-0000-0000BC580000}"/>
    <cellStyle name="Normal 39 4 6 2 4" xfId="35854" xr:uid="{00000000-0005-0000-0000-0000BD580000}"/>
    <cellStyle name="Normal 39 4 6 2 5" xfId="13398" xr:uid="{00000000-0005-0000-0000-0000BE580000}"/>
    <cellStyle name="Normal 39 4 6 3" xfId="7108" xr:uid="{00000000-0005-0000-0000-0000BF580000}"/>
    <cellStyle name="Normal 39 4 6 3 2" xfId="35855" xr:uid="{00000000-0005-0000-0000-0000C0580000}"/>
    <cellStyle name="Normal 39 4 6 3 2 2" xfId="35856" xr:uid="{00000000-0005-0000-0000-0000C1580000}"/>
    <cellStyle name="Normal 39 4 6 3 3" xfId="35857" xr:uid="{00000000-0005-0000-0000-0000C2580000}"/>
    <cellStyle name="Normal 39 4 6 4" xfId="35858" xr:uid="{00000000-0005-0000-0000-0000C3580000}"/>
    <cellStyle name="Normal 39 4 6 4 2" xfId="35859" xr:uid="{00000000-0005-0000-0000-0000C4580000}"/>
    <cellStyle name="Normal 39 4 6 4 2 2" xfId="35860" xr:uid="{00000000-0005-0000-0000-0000C5580000}"/>
    <cellStyle name="Normal 39 4 6 4 3" xfId="35861" xr:uid="{00000000-0005-0000-0000-0000C6580000}"/>
    <cellStyle name="Normal 39 4 6 5" xfId="35862" xr:uid="{00000000-0005-0000-0000-0000C7580000}"/>
    <cellStyle name="Normal 39 4 6 5 2" xfId="35863" xr:uid="{00000000-0005-0000-0000-0000C8580000}"/>
    <cellStyle name="Normal 39 4 6 6" xfId="35864" xr:uid="{00000000-0005-0000-0000-0000C9580000}"/>
    <cellStyle name="Normal 39 4 6 6 2" xfId="35865" xr:uid="{00000000-0005-0000-0000-0000CA580000}"/>
    <cellStyle name="Normal 39 4 6 7" xfId="35866" xr:uid="{00000000-0005-0000-0000-0000CB580000}"/>
    <cellStyle name="Normal 39 4 6 8" xfId="35868" xr:uid="{00000000-0005-0000-0000-0000CC580000}"/>
    <cellStyle name="Normal 39 4 7" xfId="35869" xr:uid="{00000000-0005-0000-0000-0000CD580000}"/>
    <cellStyle name="Normal 39 4 7 2" xfId="35871" xr:uid="{00000000-0005-0000-0000-0000CE580000}"/>
    <cellStyle name="Normal 39 4 7 2 2" xfId="35873" xr:uid="{00000000-0005-0000-0000-0000CF580000}"/>
    <cellStyle name="Normal 39 4 7 2 2 2" xfId="35874" xr:uid="{00000000-0005-0000-0000-0000D0580000}"/>
    <cellStyle name="Normal 39 4 7 2 3" xfId="21181" xr:uid="{00000000-0005-0000-0000-0000D1580000}"/>
    <cellStyle name="Normal 39 4 7 3" xfId="7126" xr:uid="{00000000-0005-0000-0000-0000D2580000}"/>
    <cellStyle name="Normal 39 4 7 3 2" xfId="35875" xr:uid="{00000000-0005-0000-0000-0000D3580000}"/>
    <cellStyle name="Normal 39 4 7 4" xfId="7139" xr:uid="{00000000-0005-0000-0000-0000D4580000}"/>
    <cellStyle name="Normal 39 4 7 5" xfId="35878" xr:uid="{00000000-0005-0000-0000-0000D5580000}"/>
    <cellStyle name="Normal 39 4 8" xfId="35879" xr:uid="{00000000-0005-0000-0000-0000D6580000}"/>
    <cellStyle name="Normal 39 4 8 2" xfId="35881" xr:uid="{00000000-0005-0000-0000-0000D7580000}"/>
    <cellStyle name="Normal 39 4 8 2 2" xfId="35883" xr:uid="{00000000-0005-0000-0000-0000D8580000}"/>
    <cellStyle name="Normal 39 4 8 3" xfId="7159" xr:uid="{00000000-0005-0000-0000-0000D9580000}"/>
    <cellStyle name="Normal 39 4 9" xfId="35884" xr:uid="{00000000-0005-0000-0000-0000DA580000}"/>
    <cellStyle name="Normal 39 4 9 2" xfId="35886" xr:uid="{00000000-0005-0000-0000-0000DB580000}"/>
    <cellStyle name="Normal 39 4 9 2 2" xfId="35887" xr:uid="{00000000-0005-0000-0000-0000DC580000}"/>
    <cellStyle name="Normal 39 4 9 3" xfId="35889" xr:uid="{00000000-0005-0000-0000-0000DD580000}"/>
    <cellStyle name="Normal 39 5" xfId="35890" xr:uid="{00000000-0005-0000-0000-0000DE580000}"/>
    <cellStyle name="Normal 39 5 10" xfId="35892" xr:uid="{00000000-0005-0000-0000-0000DF580000}"/>
    <cellStyle name="Normal 39 5 2" xfId="11989" xr:uid="{00000000-0005-0000-0000-0000E0580000}"/>
    <cellStyle name="Normal 39 5 2 2" xfId="23697" xr:uid="{00000000-0005-0000-0000-0000E1580000}"/>
    <cellStyle name="Normal 39 5 2 2 2" xfId="367" xr:uid="{00000000-0005-0000-0000-0000E2580000}"/>
    <cellStyle name="Normal 39 5 2 2 2 2" xfId="35893" xr:uid="{00000000-0005-0000-0000-0000E3580000}"/>
    <cellStyle name="Normal 39 5 2 2 2 2 2" xfId="35895" xr:uid="{00000000-0005-0000-0000-0000E4580000}"/>
    <cellStyle name="Normal 39 5 2 2 2 2 2 2" xfId="5050" xr:uid="{00000000-0005-0000-0000-0000E5580000}"/>
    <cellStyle name="Normal 39 5 2 2 2 2 3" xfId="35898" xr:uid="{00000000-0005-0000-0000-0000E6580000}"/>
    <cellStyle name="Normal 39 5 2 2 2 3" xfId="2975" xr:uid="{00000000-0005-0000-0000-0000E7580000}"/>
    <cellStyle name="Normal 39 5 2 2 2 3 2" xfId="26039" xr:uid="{00000000-0005-0000-0000-0000E8580000}"/>
    <cellStyle name="Normal 39 5 2 2 2 4" xfId="35902" xr:uid="{00000000-0005-0000-0000-0000E9580000}"/>
    <cellStyle name="Normal 39 5 2 2 2 5" xfId="35903" xr:uid="{00000000-0005-0000-0000-0000EA580000}"/>
    <cellStyle name="Normal 39 5 2 2 3" xfId="19485" xr:uid="{00000000-0005-0000-0000-0000EB580000}"/>
    <cellStyle name="Normal 39 5 2 2 3 2" xfId="33686" xr:uid="{00000000-0005-0000-0000-0000EC580000}"/>
    <cellStyle name="Normal 39 5 2 2 3 2 2" xfId="35904" xr:uid="{00000000-0005-0000-0000-0000ED580000}"/>
    <cellStyle name="Normal 39 5 2 2 3 3" xfId="33692" xr:uid="{00000000-0005-0000-0000-0000EE580000}"/>
    <cellStyle name="Normal 39 5 2 2 4" xfId="35908" xr:uid="{00000000-0005-0000-0000-0000EF580000}"/>
    <cellStyle name="Normal 39 5 2 2 4 2" xfId="35910" xr:uid="{00000000-0005-0000-0000-0000F0580000}"/>
    <cellStyle name="Normal 39 5 2 2 4 2 2" xfId="35911" xr:uid="{00000000-0005-0000-0000-0000F1580000}"/>
    <cellStyle name="Normal 39 5 2 2 4 3" xfId="11321" xr:uid="{00000000-0005-0000-0000-0000F2580000}"/>
    <cellStyle name="Normal 39 5 2 2 5" xfId="35912" xr:uid="{00000000-0005-0000-0000-0000F3580000}"/>
    <cellStyle name="Normal 39 5 2 2 5 2" xfId="35914" xr:uid="{00000000-0005-0000-0000-0000F4580000}"/>
    <cellStyle name="Normal 39 5 2 2 6" xfId="35915" xr:uid="{00000000-0005-0000-0000-0000F5580000}"/>
    <cellStyle name="Normal 39 5 2 2 6 2" xfId="22236" xr:uid="{00000000-0005-0000-0000-0000F6580000}"/>
    <cellStyle name="Normal 39 5 2 2 7" xfId="35916" xr:uid="{00000000-0005-0000-0000-0000F7580000}"/>
    <cellStyle name="Normal 39 5 2 2 8" xfId="26784" xr:uid="{00000000-0005-0000-0000-0000F8580000}"/>
    <cellStyle name="Normal 39 5 2 3" xfId="23043" xr:uid="{00000000-0005-0000-0000-0000F9580000}"/>
    <cellStyle name="Normal 39 5 2 3 2" xfId="4391" xr:uid="{00000000-0005-0000-0000-0000FA580000}"/>
    <cellStyle name="Normal 39 5 2 3 2 2" xfId="24657" xr:uid="{00000000-0005-0000-0000-0000FB580000}"/>
    <cellStyle name="Normal 39 5 2 3 2 2 2" xfId="24665" xr:uid="{00000000-0005-0000-0000-0000FC580000}"/>
    <cellStyle name="Normal 39 5 2 3 2 3" xfId="3000" xr:uid="{00000000-0005-0000-0000-0000FD580000}"/>
    <cellStyle name="Normal 39 5 2 3 3" xfId="33799" xr:uid="{00000000-0005-0000-0000-0000FE580000}"/>
    <cellStyle name="Normal 39 5 2 3 3 2" xfId="24704" xr:uid="{00000000-0005-0000-0000-0000FF580000}"/>
    <cellStyle name="Normal 39 5 2 3 4" xfId="35919" xr:uid="{00000000-0005-0000-0000-000000590000}"/>
    <cellStyle name="Normal 39 5 2 3 5" xfId="35920" xr:uid="{00000000-0005-0000-0000-000001590000}"/>
    <cellStyle name="Normal 39 5 2 4" xfId="33803" xr:uid="{00000000-0005-0000-0000-000002590000}"/>
    <cellStyle name="Normal 39 5 2 4 2" xfId="33807" xr:uid="{00000000-0005-0000-0000-000003590000}"/>
    <cellStyle name="Normal 39 5 2 4 2 2" xfId="24912" xr:uid="{00000000-0005-0000-0000-000004590000}"/>
    <cellStyle name="Normal 39 5 2 4 3" xfId="35923" xr:uid="{00000000-0005-0000-0000-000005590000}"/>
    <cellStyle name="Normal 39 5 2 5" xfId="33811" xr:uid="{00000000-0005-0000-0000-000006590000}"/>
    <cellStyle name="Normal 39 5 2 5 2" xfId="35925" xr:uid="{00000000-0005-0000-0000-000007590000}"/>
    <cellStyle name="Normal 39 5 2 5 2 2" xfId="25103" xr:uid="{00000000-0005-0000-0000-000008590000}"/>
    <cellStyle name="Normal 39 5 2 5 3" xfId="35929" xr:uid="{00000000-0005-0000-0000-000009590000}"/>
    <cellStyle name="Normal 39 5 2 6" xfId="35930" xr:uid="{00000000-0005-0000-0000-00000A590000}"/>
    <cellStyle name="Normal 39 5 2 6 2" xfId="26679" xr:uid="{00000000-0005-0000-0000-00000B590000}"/>
    <cellStyle name="Normal 39 5 2 7" xfId="16938" xr:uid="{00000000-0005-0000-0000-00000C590000}"/>
    <cellStyle name="Normal 39 5 2 7 2" xfId="26688" xr:uid="{00000000-0005-0000-0000-00000D590000}"/>
    <cellStyle name="Normal 39 5 2 8" xfId="35932" xr:uid="{00000000-0005-0000-0000-00000E590000}"/>
    <cellStyle name="Normal 39 5 2 9" xfId="35934" xr:uid="{00000000-0005-0000-0000-00000F590000}"/>
    <cellStyle name="Normal 39 5 3" xfId="23710" xr:uid="{00000000-0005-0000-0000-000010590000}"/>
    <cellStyle name="Normal 39 5 3 2" xfId="23717" xr:uid="{00000000-0005-0000-0000-000011590000}"/>
    <cellStyle name="Normal 39 5 3 2 2" xfId="4631" xr:uid="{00000000-0005-0000-0000-000012590000}"/>
    <cellStyle name="Normal 39 5 3 2 2 2" xfId="35935" xr:uid="{00000000-0005-0000-0000-000013590000}"/>
    <cellStyle name="Normal 39 5 3 2 2 2 2" xfId="10129" xr:uid="{00000000-0005-0000-0000-000014590000}"/>
    <cellStyle name="Normal 39 5 3 2 2 3" xfId="35937" xr:uid="{00000000-0005-0000-0000-000015590000}"/>
    <cellStyle name="Normal 39 5 3 2 2 4" xfId="35938" xr:uid="{00000000-0005-0000-0000-000016590000}"/>
    <cellStyle name="Normal 39 5 3 2 3" xfId="13816" xr:uid="{00000000-0005-0000-0000-000017590000}"/>
    <cellStyle name="Normal 39 5 3 2 3 2" xfId="13671" xr:uid="{00000000-0005-0000-0000-000018590000}"/>
    <cellStyle name="Normal 39 5 3 2 4" xfId="13823" xr:uid="{00000000-0005-0000-0000-000019590000}"/>
    <cellStyle name="Normal 39 5 3 2 4 2" xfId="13727" xr:uid="{00000000-0005-0000-0000-00001A590000}"/>
    <cellStyle name="Normal 39 5 3 2 5" xfId="6546" xr:uid="{00000000-0005-0000-0000-00001B590000}"/>
    <cellStyle name="Normal 39 5 3 2 6" xfId="6558" xr:uid="{00000000-0005-0000-0000-00001C590000}"/>
    <cellStyle name="Normal 39 5 3 3" xfId="33818" xr:uid="{00000000-0005-0000-0000-00001D590000}"/>
    <cellStyle name="Normal 39 5 3 3 2" xfId="4662" xr:uid="{00000000-0005-0000-0000-00001E590000}"/>
    <cellStyle name="Normal 39 5 3 3 2 2" xfId="25422" xr:uid="{00000000-0005-0000-0000-00001F590000}"/>
    <cellStyle name="Normal 39 5 3 3 3" xfId="13831" xr:uid="{00000000-0005-0000-0000-000020590000}"/>
    <cellStyle name="Normal 39 5 3 3 4" xfId="35939" xr:uid="{00000000-0005-0000-0000-000021590000}"/>
    <cellStyle name="Normal 39 5 3 4" xfId="33823" xr:uid="{00000000-0005-0000-0000-000022590000}"/>
    <cellStyle name="Normal 39 5 3 4 2" xfId="35940" xr:uid="{00000000-0005-0000-0000-000023590000}"/>
    <cellStyle name="Normal 39 5 3 4 2 2" xfId="35941" xr:uid="{00000000-0005-0000-0000-000024590000}"/>
    <cellStyle name="Normal 39 5 3 4 3" xfId="13836" xr:uid="{00000000-0005-0000-0000-000025590000}"/>
    <cellStyle name="Normal 39 5 3 5" xfId="35942" xr:uid="{00000000-0005-0000-0000-000026590000}"/>
    <cellStyle name="Normal 39 5 3 5 2" xfId="35944" xr:uid="{00000000-0005-0000-0000-000027590000}"/>
    <cellStyle name="Normal 39 5 3 6" xfId="35945" xr:uid="{00000000-0005-0000-0000-000028590000}"/>
    <cellStyle name="Normal 39 5 3 6 2" xfId="26701" xr:uid="{00000000-0005-0000-0000-000029590000}"/>
    <cellStyle name="Normal 39 5 3 7" xfId="35948" xr:uid="{00000000-0005-0000-0000-00002A590000}"/>
    <cellStyle name="Normal 39 5 3 8" xfId="35951" xr:uid="{00000000-0005-0000-0000-00002B590000}"/>
    <cellStyle name="Normal 39 5 4" xfId="22014" xr:uid="{00000000-0005-0000-0000-00002C590000}"/>
    <cellStyle name="Normal 39 5 4 2" xfId="22024" xr:uid="{00000000-0005-0000-0000-00002D590000}"/>
    <cellStyle name="Normal 39 5 4 2 2" xfId="4852" xr:uid="{00000000-0005-0000-0000-00002E590000}"/>
    <cellStyle name="Normal 39 5 4 2 2 2" xfId="14552" xr:uid="{00000000-0005-0000-0000-00002F590000}"/>
    <cellStyle name="Normal 39 5 4 2 3" xfId="15565" xr:uid="{00000000-0005-0000-0000-000030590000}"/>
    <cellStyle name="Normal 39 5 4 2 4" xfId="15570" xr:uid="{00000000-0005-0000-0000-000031590000}"/>
    <cellStyle name="Normal 39 5 4 3" xfId="33829" xr:uid="{00000000-0005-0000-0000-000032590000}"/>
    <cellStyle name="Normal 39 5 4 3 2" xfId="4587" xr:uid="{00000000-0005-0000-0000-000033590000}"/>
    <cellStyle name="Normal 39 5 4 4" xfId="33835" xr:uid="{00000000-0005-0000-0000-000034590000}"/>
    <cellStyle name="Normal 39 5 4 4 2" xfId="35952" xr:uid="{00000000-0005-0000-0000-000035590000}"/>
    <cellStyle name="Normal 39 5 4 5" xfId="35953" xr:uid="{00000000-0005-0000-0000-000036590000}"/>
    <cellStyle name="Normal 39 5 4 6" xfId="35954" xr:uid="{00000000-0005-0000-0000-000037590000}"/>
    <cellStyle name="Normal 39 5 5" xfId="18536" xr:uid="{00000000-0005-0000-0000-000038590000}"/>
    <cellStyle name="Normal 39 5 5 2" xfId="35955" xr:uid="{00000000-0005-0000-0000-000039590000}"/>
    <cellStyle name="Normal 39 5 5 2 2" xfId="4925" xr:uid="{00000000-0005-0000-0000-00003A590000}"/>
    <cellStyle name="Normal 39 5 5 2 2 2" xfId="35957" xr:uid="{00000000-0005-0000-0000-00003B590000}"/>
    <cellStyle name="Normal 39 5 5 2 3" xfId="4753" xr:uid="{00000000-0005-0000-0000-00003C590000}"/>
    <cellStyle name="Normal 39 5 5 2 4" xfId="35958" xr:uid="{00000000-0005-0000-0000-00003D590000}"/>
    <cellStyle name="Normal 39 5 5 3" xfId="33838" xr:uid="{00000000-0005-0000-0000-00003E590000}"/>
    <cellStyle name="Normal 39 5 5 3 2" xfId="35959" xr:uid="{00000000-0005-0000-0000-00003F590000}"/>
    <cellStyle name="Normal 39 5 5 4" xfId="35960" xr:uid="{00000000-0005-0000-0000-000040590000}"/>
    <cellStyle name="Normal 39 5 5 4 2" xfId="35961" xr:uid="{00000000-0005-0000-0000-000041590000}"/>
    <cellStyle name="Normal 39 5 5 5" xfId="31674" xr:uid="{00000000-0005-0000-0000-000042590000}"/>
    <cellStyle name="Normal 39 5 5 6" xfId="35962" xr:uid="{00000000-0005-0000-0000-000043590000}"/>
    <cellStyle name="Normal 39 5 6" xfId="2030" xr:uid="{00000000-0005-0000-0000-000044590000}"/>
    <cellStyle name="Normal 39 5 6 2" xfId="35963" xr:uid="{00000000-0005-0000-0000-000045590000}"/>
    <cellStyle name="Normal 39 5 6 2 2" xfId="31333" xr:uid="{00000000-0005-0000-0000-000046590000}"/>
    <cellStyle name="Normal 39 5 6 3" xfId="33846" xr:uid="{00000000-0005-0000-0000-000047590000}"/>
    <cellStyle name="Normal 39 5 6 4" xfId="35965" xr:uid="{00000000-0005-0000-0000-000048590000}"/>
    <cellStyle name="Normal 39 5 7" xfId="35966" xr:uid="{00000000-0005-0000-0000-000049590000}"/>
    <cellStyle name="Normal 39 5 7 2" xfId="35968" xr:uid="{00000000-0005-0000-0000-00004A590000}"/>
    <cellStyle name="Normal 39 5 8" xfId="35970" xr:uid="{00000000-0005-0000-0000-00004B590000}"/>
    <cellStyle name="Normal 39 5 8 2" xfId="35972" xr:uid="{00000000-0005-0000-0000-00004C590000}"/>
    <cellStyle name="Normal 39 5 9" xfId="35973" xr:uid="{00000000-0005-0000-0000-00004D590000}"/>
    <cellStyle name="Normal 39 6" xfId="35975" xr:uid="{00000000-0005-0000-0000-00004E590000}"/>
    <cellStyle name="Normal 39 6 2" xfId="10879" xr:uid="{00000000-0005-0000-0000-00004F590000}"/>
    <cellStyle name="Normal 39 6 2 2" xfId="35977" xr:uid="{00000000-0005-0000-0000-000050590000}"/>
    <cellStyle name="Normal 39 6 2 2 2" xfId="35979" xr:uid="{00000000-0005-0000-0000-000051590000}"/>
    <cellStyle name="Normal 39 6 2 2 2 2" xfId="35981" xr:uid="{00000000-0005-0000-0000-000052590000}"/>
    <cellStyle name="Normal 39 6 2 2 2 2 2" xfId="35983" xr:uid="{00000000-0005-0000-0000-000053590000}"/>
    <cellStyle name="Normal 39 6 2 2 2 3" xfId="35985" xr:uid="{00000000-0005-0000-0000-000054590000}"/>
    <cellStyle name="Normal 39 6 2 2 3" xfId="35987" xr:uid="{00000000-0005-0000-0000-000055590000}"/>
    <cellStyle name="Normal 39 6 2 2 3 2" xfId="35989" xr:uid="{00000000-0005-0000-0000-000056590000}"/>
    <cellStyle name="Normal 39 6 2 2 4" xfId="35991" xr:uid="{00000000-0005-0000-0000-000057590000}"/>
    <cellStyle name="Normal 39 6 2 2 5" xfId="13690" xr:uid="{00000000-0005-0000-0000-000058590000}"/>
    <cellStyle name="Normal 39 6 2 3" xfId="33881" xr:uid="{00000000-0005-0000-0000-000059590000}"/>
    <cellStyle name="Normal 39 6 2 3 2" xfId="33885" xr:uid="{00000000-0005-0000-0000-00005A590000}"/>
    <cellStyle name="Normal 39 6 2 3 2 2" xfId="32586" xr:uid="{00000000-0005-0000-0000-00005B590000}"/>
    <cellStyle name="Normal 39 6 2 3 3" xfId="35993" xr:uid="{00000000-0005-0000-0000-00005C590000}"/>
    <cellStyle name="Normal 39 6 2 4" xfId="33889" xr:uid="{00000000-0005-0000-0000-00005D590000}"/>
    <cellStyle name="Normal 39 6 2 4 2" xfId="35995" xr:uid="{00000000-0005-0000-0000-00005E590000}"/>
    <cellStyle name="Normal 39 6 2 4 2 2" xfId="35997" xr:uid="{00000000-0005-0000-0000-00005F590000}"/>
    <cellStyle name="Normal 39 6 2 4 3" xfId="35999" xr:uid="{00000000-0005-0000-0000-000060590000}"/>
    <cellStyle name="Normal 39 6 2 5" xfId="36001" xr:uid="{00000000-0005-0000-0000-000061590000}"/>
    <cellStyle name="Normal 39 6 2 5 2" xfId="20742" xr:uid="{00000000-0005-0000-0000-000062590000}"/>
    <cellStyle name="Normal 39 6 2 6" xfId="36003" xr:uid="{00000000-0005-0000-0000-000063590000}"/>
    <cellStyle name="Normal 39 6 2 6 2" xfId="26897" xr:uid="{00000000-0005-0000-0000-000064590000}"/>
    <cellStyle name="Normal 39 6 2 7" xfId="36005" xr:uid="{00000000-0005-0000-0000-000065590000}"/>
    <cellStyle name="Normal 39 6 2 8" xfId="36007" xr:uid="{00000000-0005-0000-0000-000066590000}"/>
    <cellStyle name="Normal 39 6 3" xfId="36012" xr:uid="{00000000-0005-0000-0000-000067590000}"/>
    <cellStyle name="Normal 39 6 3 2" xfId="36014" xr:uid="{00000000-0005-0000-0000-000068590000}"/>
    <cellStyle name="Normal 39 6 3 2 2" xfId="18000" xr:uid="{00000000-0005-0000-0000-000069590000}"/>
    <cellStyle name="Normal 39 6 3 2 2 2" xfId="18003" xr:uid="{00000000-0005-0000-0000-00006A590000}"/>
    <cellStyle name="Normal 39 6 3 2 3" xfId="18010" xr:uid="{00000000-0005-0000-0000-00006B590000}"/>
    <cellStyle name="Normal 39 6 3 3" xfId="33895" xr:uid="{00000000-0005-0000-0000-00006C590000}"/>
    <cellStyle name="Normal 39 6 3 3 2" xfId="18030" xr:uid="{00000000-0005-0000-0000-00006D590000}"/>
    <cellStyle name="Normal 39 6 3 4" xfId="33899" xr:uid="{00000000-0005-0000-0000-00006E590000}"/>
    <cellStyle name="Normal 39 6 3 5" xfId="36016" xr:uid="{00000000-0005-0000-0000-00006F590000}"/>
    <cellStyle name="Normal 39 6 4" xfId="36017" xr:uid="{00000000-0005-0000-0000-000070590000}"/>
    <cellStyle name="Normal 39 6 4 2" xfId="36020" xr:uid="{00000000-0005-0000-0000-000071590000}"/>
    <cellStyle name="Normal 39 6 4 2 2" xfId="36023" xr:uid="{00000000-0005-0000-0000-000072590000}"/>
    <cellStyle name="Normal 39 6 4 3" xfId="33906" xr:uid="{00000000-0005-0000-0000-000073590000}"/>
    <cellStyle name="Normal 39 6 5" xfId="36025" xr:uid="{00000000-0005-0000-0000-000074590000}"/>
    <cellStyle name="Normal 39 6 5 2" xfId="36028" xr:uid="{00000000-0005-0000-0000-000075590000}"/>
    <cellStyle name="Normal 39 6 5 2 2" xfId="15868" xr:uid="{00000000-0005-0000-0000-000076590000}"/>
    <cellStyle name="Normal 39 6 5 3" xfId="33912" xr:uid="{00000000-0005-0000-0000-000077590000}"/>
    <cellStyle name="Normal 39 6 6" xfId="36030" xr:uid="{00000000-0005-0000-0000-000078590000}"/>
    <cellStyle name="Normal 39 6 6 2" xfId="36032" xr:uid="{00000000-0005-0000-0000-000079590000}"/>
    <cellStyle name="Normal 39 6 7" xfId="36034" xr:uid="{00000000-0005-0000-0000-00007A590000}"/>
    <cellStyle name="Normal 39 6 7 2" xfId="36036" xr:uid="{00000000-0005-0000-0000-00007B590000}"/>
    <cellStyle name="Normal 39 6 8" xfId="36038" xr:uid="{00000000-0005-0000-0000-00007C590000}"/>
    <cellStyle name="Normal 39 6 9" xfId="28008" xr:uid="{00000000-0005-0000-0000-00007D590000}"/>
    <cellStyle name="Normal 39 7" xfId="36040" xr:uid="{00000000-0005-0000-0000-00007E590000}"/>
    <cellStyle name="Normal 39 7 2" xfId="36045" xr:uid="{00000000-0005-0000-0000-00007F590000}"/>
    <cellStyle name="Normal 39 7 2 2" xfId="36051" xr:uid="{00000000-0005-0000-0000-000080590000}"/>
    <cellStyle name="Normal 39 7 2 2 2" xfId="36053" xr:uid="{00000000-0005-0000-0000-000081590000}"/>
    <cellStyle name="Normal 39 7 2 2 2 2" xfId="36055" xr:uid="{00000000-0005-0000-0000-000082590000}"/>
    <cellStyle name="Normal 39 7 2 2 2 2 2" xfId="8918" xr:uid="{00000000-0005-0000-0000-000083590000}"/>
    <cellStyle name="Normal 39 7 2 2 2 3" xfId="11010" xr:uid="{00000000-0005-0000-0000-000084590000}"/>
    <cellStyle name="Normal 39 7 2 2 3" xfId="36057" xr:uid="{00000000-0005-0000-0000-000085590000}"/>
    <cellStyle name="Normal 39 7 2 2 3 2" xfId="36059" xr:uid="{00000000-0005-0000-0000-000086590000}"/>
    <cellStyle name="Normal 39 7 2 2 4" xfId="36061" xr:uid="{00000000-0005-0000-0000-000087590000}"/>
    <cellStyle name="Normal 39 7 2 2 5" xfId="25452" xr:uid="{00000000-0005-0000-0000-000088590000}"/>
    <cellStyle name="Normal 39 7 2 3" xfId="33943" xr:uid="{00000000-0005-0000-0000-000089590000}"/>
    <cellStyle name="Normal 39 7 2 3 2" xfId="33947" xr:uid="{00000000-0005-0000-0000-00008A590000}"/>
    <cellStyle name="Normal 39 7 2 3 2 2" xfId="26758" xr:uid="{00000000-0005-0000-0000-00008B590000}"/>
    <cellStyle name="Normal 39 7 2 3 3" xfId="34138" xr:uid="{00000000-0005-0000-0000-00008C590000}"/>
    <cellStyle name="Normal 39 7 2 4" xfId="14706" xr:uid="{00000000-0005-0000-0000-00008D590000}"/>
    <cellStyle name="Normal 39 7 2 4 2" xfId="14246" xr:uid="{00000000-0005-0000-0000-00008E590000}"/>
    <cellStyle name="Normal 39 7 2 4 2 2" xfId="25908" xr:uid="{00000000-0005-0000-0000-00008F590000}"/>
    <cellStyle name="Normal 39 7 2 4 3" xfId="25916" xr:uid="{00000000-0005-0000-0000-000090590000}"/>
    <cellStyle name="Normal 39 7 2 5" xfId="14712" xr:uid="{00000000-0005-0000-0000-000091590000}"/>
    <cellStyle name="Normal 39 7 2 5 2" xfId="25947" xr:uid="{00000000-0005-0000-0000-000092590000}"/>
    <cellStyle name="Normal 39 7 2 6" xfId="36063" xr:uid="{00000000-0005-0000-0000-000093590000}"/>
    <cellStyle name="Normal 39 7 2 6 2" xfId="27101" xr:uid="{00000000-0005-0000-0000-000094590000}"/>
    <cellStyle name="Normal 39 7 2 7" xfId="19800" xr:uid="{00000000-0005-0000-0000-000095590000}"/>
    <cellStyle name="Normal 39 7 2 8" xfId="19811" xr:uid="{00000000-0005-0000-0000-000096590000}"/>
    <cellStyle name="Normal 39 7 3" xfId="36065" xr:uid="{00000000-0005-0000-0000-000097590000}"/>
    <cellStyle name="Normal 39 7 3 2" xfId="36067" xr:uid="{00000000-0005-0000-0000-000098590000}"/>
    <cellStyle name="Normal 39 7 3 2 2" xfId="36069" xr:uid="{00000000-0005-0000-0000-000099590000}"/>
    <cellStyle name="Normal 39 7 3 2 2 2" xfId="36071" xr:uid="{00000000-0005-0000-0000-00009A590000}"/>
    <cellStyle name="Normal 39 7 3 2 3" xfId="12959" xr:uid="{00000000-0005-0000-0000-00009B590000}"/>
    <cellStyle name="Normal 39 7 3 3" xfId="16462" xr:uid="{00000000-0005-0000-0000-00009C590000}"/>
    <cellStyle name="Normal 39 7 3 3 2" xfId="33951" xr:uid="{00000000-0005-0000-0000-00009D590000}"/>
    <cellStyle name="Normal 39 7 3 4" xfId="12221" xr:uid="{00000000-0005-0000-0000-00009E590000}"/>
    <cellStyle name="Normal 39 7 3 5" xfId="36073" xr:uid="{00000000-0005-0000-0000-00009F590000}"/>
    <cellStyle name="Normal 39 7 4" xfId="36074" xr:uid="{00000000-0005-0000-0000-0000A0590000}"/>
    <cellStyle name="Normal 39 7 4 2" xfId="36077" xr:uid="{00000000-0005-0000-0000-0000A1590000}"/>
    <cellStyle name="Normal 39 7 4 2 2" xfId="36079" xr:uid="{00000000-0005-0000-0000-0000A2590000}"/>
    <cellStyle name="Normal 39 7 4 3" xfId="33955" xr:uid="{00000000-0005-0000-0000-0000A3590000}"/>
    <cellStyle name="Normal 39 7 5" xfId="36081" xr:uid="{00000000-0005-0000-0000-0000A4590000}"/>
    <cellStyle name="Normal 39 7 5 2" xfId="36083" xr:uid="{00000000-0005-0000-0000-0000A5590000}"/>
    <cellStyle name="Normal 39 7 5 2 2" xfId="17065" xr:uid="{00000000-0005-0000-0000-0000A6590000}"/>
    <cellStyle name="Normal 39 7 5 3" xfId="33959" xr:uid="{00000000-0005-0000-0000-0000A7590000}"/>
    <cellStyle name="Normal 39 7 6" xfId="36085" xr:uid="{00000000-0005-0000-0000-0000A8590000}"/>
    <cellStyle name="Normal 39 7 6 2" xfId="36087" xr:uid="{00000000-0005-0000-0000-0000A9590000}"/>
    <cellStyle name="Normal 39 7 7" xfId="36089" xr:uid="{00000000-0005-0000-0000-0000AA590000}"/>
    <cellStyle name="Normal 39 7 7 2" xfId="13927" xr:uid="{00000000-0005-0000-0000-0000AB590000}"/>
    <cellStyle name="Normal 39 7 8" xfId="36093" xr:uid="{00000000-0005-0000-0000-0000AC590000}"/>
    <cellStyle name="Normal 39 7 9" xfId="28074" xr:uid="{00000000-0005-0000-0000-0000AD590000}"/>
    <cellStyle name="Normal 39 8" xfId="36097" xr:uid="{00000000-0005-0000-0000-0000AE590000}"/>
    <cellStyle name="Normal 39 8 2" xfId="36103" xr:uid="{00000000-0005-0000-0000-0000AF590000}"/>
    <cellStyle name="Normal 39 8 2 2" xfId="36106" xr:uid="{00000000-0005-0000-0000-0000B0590000}"/>
    <cellStyle name="Normal 39 8 2 2 2" xfId="36110" xr:uid="{00000000-0005-0000-0000-0000B1590000}"/>
    <cellStyle name="Normal 39 8 2 2 2 2" xfId="16737" xr:uid="{00000000-0005-0000-0000-0000B2590000}"/>
    <cellStyle name="Normal 39 8 2 2 2 2 2" xfId="16713" xr:uid="{00000000-0005-0000-0000-0000B3590000}"/>
    <cellStyle name="Normal 39 8 2 2 2 3" xfId="1677" xr:uid="{00000000-0005-0000-0000-0000B4590000}"/>
    <cellStyle name="Normal 39 8 2 2 3" xfId="36114" xr:uid="{00000000-0005-0000-0000-0000B5590000}"/>
    <cellStyle name="Normal 39 8 2 2 3 2" xfId="16749" xr:uid="{00000000-0005-0000-0000-0000B6590000}"/>
    <cellStyle name="Normal 39 8 2 2 4" xfId="36118" xr:uid="{00000000-0005-0000-0000-0000B7590000}"/>
    <cellStyle name="Normal 39 8 2 3" xfId="34020" xr:uid="{00000000-0005-0000-0000-0000B8590000}"/>
    <cellStyle name="Normal 39 8 2 3 2" xfId="34028" xr:uid="{00000000-0005-0000-0000-0000B9590000}"/>
    <cellStyle name="Normal 39 8 2 3 2 2" xfId="16805" xr:uid="{00000000-0005-0000-0000-0000BA590000}"/>
    <cellStyle name="Normal 39 8 2 3 3" xfId="34164" xr:uid="{00000000-0005-0000-0000-0000BB590000}"/>
    <cellStyle name="Normal 39 8 2 4" xfId="14794" xr:uid="{00000000-0005-0000-0000-0000BC590000}"/>
    <cellStyle name="Normal 39 8 2 4 2" xfId="36119" xr:uid="{00000000-0005-0000-0000-0000BD590000}"/>
    <cellStyle name="Normal 39 8 2 4 2 2" xfId="16859" xr:uid="{00000000-0005-0000-0000-0000BE590000}"/>
    <cellStyle name="Normal 39 8 2 4 3" xfId="36120" xr:uid="{00000000-0005-0000-0000-0000BF590000}"/>
    <cellStyle name="Normal 39 8 2 5" xfId="36123" xr:uid="{00000000-0005-0000-0000-0000C0590000}"/>
    <cellStyle name="Normal 39 8 2 5 2" xfId="36125" xr:uid="{00000000-0005-0000-0000-0000C1590000}"/>
    <cellStyle name="Normal 39 8 2 6" xfId="36126" xr:uid="{00000000-0005-0000-0000-0000C2590000}"/>
    <cellStyle name="Normal 39 8 2 6 2" xfId="27266" xr:uid="{00000000-0005-0000-0000-0000C3590000}"/>
    <cellStyle name="Normal 39 8 2 7" xfId="23287" xr:uid="{00000000-0005-0000-0000-0000C4590000}"/>
    <cellStyle name="Normal 39 8 2 8" xfId="36127" xr:uid="{00000000-0005-0000-0000-0000C5590000}"/>
    <cellStyle name="Normal 39 8 3" xfId="26755" xr:uid="{00000000-0005-0000-0000-0000C6590000}"/>
    <cellStyle name="Normal 39 8 3 2" xfId="36129" xr:uid="{00000000-0005-0000-0000-0000C7590000}"/>
    <cellStyle name="Normal 39 8 3 2 2" xfId="36133" xr:uid="{00000000-0005-0000-0000-0000C8590000}"/>
    <cellStyle name="Normal 39 8 3 2 2 2" xfId="17353" xr:uid="{00000000-0005-0000-0000-0000C9590000}"/>
    <cellStyle name="Normal 39 8 3 2 3" xfId="27738" xr:uid="{00000000-0005-0000-0000-0000CA590000}"/>
    <cellStyle name="Normal 39 8 3 3" xfId="34030" xr:uid="{00000000-0005-0000-0000-0000CB590000}"/>
    <cellStyle name="Normal 39 8 3 3 2" xfId="34036" xr:uid="{00000000-0005-0000-0000-0000CC590000}"/>
    <cellStyle name="Normal 39 8 3 4" xfId="12293" xr:uid="{00000000-0005-0000-0000-0000CD590000}"/>
    <cellStyle name="Normal 39 8 4" xfId="30637" xr:uid="{00000000-0005-0000-0000-0000CE590000}"/>
    <cellStyle name="Normal 39 8 4 2" xfId="36135" xr:uid="{00000000-0005-0000-0000-0000CF590000}"/>
    <cellStyle name="Normal 39 8 4 2 2" xfId="36139" xr:uid="{00000000-0005-0000-0000-0000D0590000}"/>
    <cellStyle name="Normal 39 8 4 3" xfId="34039" xr:uid="{00000000-0005-0000-0000-0000D1590000}"/>
    <cellStyle name="Normal 39 8 5" xfId="36141" xr:uid="{00000000-0005-0000-0000-0000D2590000}"/>
    <cellStyle name="Normal 39 8 5 2" xfId="36143" xr:uid="{00000000-0005-0000-0000-0000D3590000}"/>
    <cellStyle name="Normal 39 8 5 2 2" xfId="36145" xr:uid="{00000000-0005-0000-0000-0000D4590000}"/>
    <cellStyle name="Normal 39 8 5 3" xfId="34045" xr:uid="{00000000-0005-0000-0000-0000D5590000}"/>
    <cellStyle name="Normal 39 8 6" xfId="36146" xr:uid="{00000000-0005-0000-0000-0000D6590000}"/>
    <cellStyle name="Normal 39 8 6 2" xfId="36148" xr:uid="{00000000-0005-0000-0000-0000D7590000}"/>
    <cellStyle name="Normal 39 8 7" xfId="36150" xr:uid="{00000000-0005-0000-0000-0000D8590000}"/>
    <cellStyle name="Normal 39 8 7 2" xfId="36152" xr:uid="{00000000-0005-0000-0000-0000D9590000}"/>
    <cellStyle name="Normal 39 8 8" xfId="34304" xr:uid="{00000000-0005-0000-0000-0000DA590000}"/>
    <cellStyle name="Normal 39 8 9" xfId="28094" xr:uid="{00000000-0005-0000-0000-0000DB590000}"/>
    <cellStyle name="Normal 39 9" xfId="24194" xr:uid="{00000000-0005-0000-0000-0000DC590000}"/>
    <cellStyle name="Normal 39 9 2" xfId="24197" xr:uid="{00000000-0005-0000-0000-0000DD590000}"/>
    <cellStyle name="Normal 39 9 2 2" xfId="9868" xr:uid="{00000000-0005-0000-0000-0000DE590000}"/>
    <cellStyle name="Normal 39 9 2 2 2" xfId="36155" xr:uid="{00000000-0005-0000-0000-0000DF590000}"/>
    <cellStyle name="Normal 39 9 2 2 2 2" xfId="17778" xr:uid="{00000000-0005-0000-0000-0000E0590000}"/>
    <cellStyle name="Normal 39 9 2 2 3" xfId="36159" xr:uid="{00000000-0005-0000-0000-0000E1590000}"/>
    <cellStyle name="Normal 39 9 2 3" xfId="34060" xr:uid="{00000000-0005-0000-0000-0000E2590000}"/>
    <cellStyle name="Normal 39 9 2 3 2" xfId="34068" xr:uid="{00000000-0005-0000-0000-0000E3590000}"/>
    <cellStyle name="Normal 39 9 2 4" xfId="34071" xr:uid="{00000000-0005-0000-0000-0000E4590000}"/>
    <cellStyle name="Normal 39 9 2 5" xfId="36160" xr:uid="{00000000-0005-0000-0000-0000E5590000}"/>
    <cellStyle name="Normal 39 9 3" xfId="36161" xr:uid="{00000000-0005-0000-0000-0000E6590000}"/>
    <cellStyle name="Normal 39 9 3 2" xfId="9892" xr:uid="{00000000-0005-0000-0000-0000E7590000}"/>
    <cellStyle name="Normal 39 9 3 2 2" xfId="36165" xr:uid="{00000000-0005-0000-0000-0000E8590000}"/>
    <cellStyle name="Normal 39 9 3 3" xfId="34074" xr:uid="{00000000-0005-0000-0000-0000E9590000}"/>
    <cellStyle name="Normal 39 9 4" xfId="36166" xr:uid="{00000000-0005-0000-0000-0000EA590000}"/>
    <cellStyle name="Normal 39 9 4 2" xfId="36168" xr:uid="{00000000-0005-0000-0000-0000EB590000}"/>
    <cellStyle name="Normal 39 9 4 2 2" xfId="36171" xr:uid="{00000000-0005-0000-0000-0000EC590000}"/>
    <cellStyle name="Normal 39 9 4 3" xfId="34078" xr:uid="{00000000-0005-0000-0000-0000ED590000}"/>
    <cellStyle name="Normal 39 9 5" xfId="36172" xr:uid="{00000000-0005-0000-0000-0000EE590000}"/>
    <cellStyle name="Normal 39 9 5 2" xfId="36174" xr:uid="{00000000-0005-0000-0000-0000EF590000}"/>
    <cellStyle name="Normal 39 9 6" xfId="36175" xr:uid="{00000000-0005-0000-0000-0000F0590000}"/>
    <cellStyle name="Normal 39 9 6 2" xfId="36176" xr:uid="{00000000-0005-0000-0000-0000F1590000}"/>
    <cellStyle name="Normal 39 9 7" xfId="36177" xr:uid="{00000000-0005-0000-0000-0000F2590000}"/>
    <cellStyle name="Normal 39 9 8" xfId="36178" xr:uid="{00000000-0005-0000-0000-0000F3590000}"/>
    <cellStyle name="Normal 4" xfId="4" xr:uid="{00000000-0005-0000-0000-0000F4590000}"/>
    <cellStyle name="Normal 4 2" xfId="22290" xr:uid="{00000000-0005-0000-0000-0000F5590000}"/>
    <cellStyle name="Normal 4 2 2" xfId="22293" xr:uid="{00000000-0005-0000-0000-0000F6590000}"/>
    <cellStyle name="Normal 4 2 2 2" xfId="22296" xr:uid="{00000000-0005-0000-0000-0000F7590000}"/>
    <cellStyle name="Normal 4 2 2 2 2" xfId="22299" xr:uid="{00000000-0005-0000-0000-0000F8590000}"/>
    <cellStyle name="Normal 4 2 2 2 3 2 2 3" xfId="24731" xr:uid="{00000000-0005-0000-0000-0000F9590000}"/>
    <cellStyle name="Normal 4 2 2 2 3 2 2 3 4 2 2" xfId="36180" xr:uid="{00000000-0005-0000-0000-0000FA590000}"/>
    <cellStyle name="Normal 4 2 2 3" xfId="22310" xr:uid="{00000000-0005-0000-0000-0000FB590000}"/>
    <cellStyle name="Normal 4 2 3" xfId="22356" xr:uid="{00000000-0005-0000-0000-0000FC590000}"/>
    <cellStyle name="Normal 4 2 3 2" xfId="22359" xr:uid="{00000000-0005-0000-0000-0000FD590000}"/>
    <cellStyle name="Normal 4 2 4" xfId="22369" xr:uid="{00000000-0005-0000-0000-0000FE590000}"/>
    <cellStyle name="Normal 4 3" xfId="613" xr:uid="{00000000-0005-0000-0000-0000FF590000}"/>
    <cellStyle name="Normal 4 3 2" xfId="3106" xr:uid="{00000000-0005-0000-0000-0000005A0000}"/>
    <cellStyle name="Normal 4 3 2 10" xfId="36183" xr:uid="{00000000-0005-0000-0000-0000015A0000}"/>
    <cellStyle name="Normal 4 3 2 10 2" xfId="36184" xr:uid="{00000000-0005-0000-0000-0000025A0000}"/>
    <cellStyle name="Normal 4 3 2 11" xfId="36185" xr:uid="{00000000-0005-0000-0000-0000035A0000}"/>
    <cellStyle name="Normal 4 3 2 11 2" xfId="36186" xr:uid="{00000000-0005-0000-0000-0000045A0000}"/>
    <cellStyle name="Normal 4 3 2 12" xfId="36187" xr:uid="{00000000-0005-0000-0000-0000055A0000}"/>
    <cellStyle name="Normal 4 3 2 12 2" xfId="36188" xr:uid="{00000000-0005-0000-0000-0000065A0000}"/>
    <cellStyle name="Normal 4 3 2 13" xfId="20252" xr:uid="{00000000-0005-0000-0000-0000075A0000}"/>
    <cellStyle name="Normal 4 3 2 14" xfId="20262" xr:uid="{00000000-0005-0000-0000-0000085A0000}"/>
    <cellStyle name="Normal 4 3 2 2" xfId="14529" xr:uid="{00000000-0005-0000-0000-0000095A0000}"/>
    <cellStyle name="Normal 4 3 2 2 10" xfId="6924" xr:uid="{00000000-0005-0000-0000-00000A5A0000}"/>
    <cellStyle name="Normal 4 3 2 2 2" xfId="14532" xr:uid="{00000000-0005-0000-0000-00000B5A0000}"/>
    <cellStyle name="Normal 4 3 2 2 2 2" xfId="22391" xr:uid="{00000000-0005-0000-0000-00000C5A0000}"/>
    <cellStyle name="Normal 4 3 2 2 2 2 2" xfId="22398" xr:uid="{00000000-0005-0000-0000-00000D5A0000}"/>
    <cellStyle name="Normal 4 3 2 2 2 2 2 2" xfId="36191" xr:uid="{00000000-0005-0000-0000-00000E5A0000}"/>
    <cellStyle name="Normal 4 3 2 2 2 2 2 2 2" xfId="36192" xr:uid="{00000000-0005-0000-0000-00000F5A0000}"/>
    <cellStyle name="Normal 4 3 2 2 2 2 2 2 2 2" xfId="36193" xr:uid="{00000000-0005-0000-0000-0000105A0000}"/>
    <cellStyle name="Normal 4 3 2 2 2 2 2 2 3" xfId="36194" xr:uid="{00000000-0005-0000-0000-0000115A0000}"/>
    <cellStyle name="Normal 4 3 2 2 2 2 2 3" xfId="36195" xr:uid="{00000000-0005-0000-0000-0000125A0000}"/>
    <cellStyle name="Normal 4 3 2 2 2 2 2 3 2" xfId="36196" xr:uid="{00000000-0005-0000-0000-0000135A0000}"/>
    <cellStyle name="Normal 4 3 2 2 2 2 2 4" xfId="8778" xr:uid="{00000000-0005-0000-0000-0000145A0000}"/>
    <cellStyle name="Normal 4 3 2 2 2 2 3" xfId="36199" xr:uid="{00000000-0005-0000-0000-0000155A0000}"/>
    <cellStyle name="Normal 4 3 2 2 2 2 3 2" xfId="36200" xr:uid="{00000000-0005-0000-0000-0000165A0000}"/>
    <cellStyle name="Normal 4 3 2 2 2 2 3 2 2" xfId="36201" xr:uid="{00000000-0005-0000-0000-0000175A0000}"/>
    <cellStyle name="Normal 4 3 2 2 2 2 3 3" xfId="36202" xr:uid="{00000000-0005-0000-0000-0000185A0000}"/>
    <cellStyle name="Normal 4 3 2 2 2 2 4" xfId="4441" xr:uid="{00000000-0005-0000-0000-0000195A0000}"/>
    <cellStyle name="Normal 4 3 2 2 2 2 4 2" xfId="4461" xr:uid="{00000000-0005-0000-0000-00001A5A0000}"/>
    <cellStyle name="Normal 4 3 2 2 2 2 4 2 2" xfId="36203" xr:uid="{00000000-0005-0000-0000-00001B5A0000}"/>
    <cellStyle name="Normal 4 3 2 2 2 2 4 3" xfId="20444" xr:uid="{00000000-0005-0000-0000-00001C5A0000}"/>
    <cellStyle name="Normal 4 3 2 2 2 2 5" xfId="4564" xr:uid="{00000000-0005-0000-0000-00001D5A0000}"/>
    <cellStyle name="Normal 4 3 2 2 2 2 5 2" xfId="36204" xr:uid="{00000000-0005-0000-0000-00001E5A0000}"/>
    <cellStyle name="Normal 4 3 2 2 2 2 6" xfId="24461" xr:uid="{00000000-0005-0000-0000-00001F5A0000}"/>
    <cellStyle name="Normal 4 3 2 2 2 2 6 2" xfId="24463" xr:uid="{00000000-0005-0000-0000-0000205A0000}"/>
    <cellStyle name="Normal 4 3 2 2 2 2 7" xfId="24499" xr:uid="{00000000-0005-0000-0000-0000215A0000}"/>
    <cellStyle name="Normal 4 3 2 2 2 2 8" xfId="24504" xr:uid="{00000000-0005-0000-0000-0000225A0000}"/>
    <cellStyle name="Normal 4 3 2 2 2 3" xfId="22402" xr:uid="{00000000-0005-0000-0000-0000235A0000}"/>
    <cellStyle name="Normal 4 3 2 2 2 3 2" xfId="36207" xr:uid="{00000000-0005-0000-0000-0000245A0000}"/>
    <cellStyle name="Normal 4 3 2 2 2 3 2 2" xfId="36210" xr:uid="{00000000-0005-0000-0000-0000255A0000}"/>
    <cellStyle name="Normal 4 3 2 2 2 3 2 2 2" xfId="15042" xr:uid="{00000000-0005-0000-0000-0000265A0000}"/>
    <cellStyle name="Normal 4 3 2 2 2 3 2 3" xfId="36211" xr:uid="{00000000-0005-0000-0000-0000275A0000}"/>
    <cellStyle name="Normal 4 3 2 2 2 3 3" xfId="36214" xr:uid="{00000000-0005-0000-0000-0000285A0000}"/>
    <cellStyle name="Normal 4 3 2 2 2 3 3 2" xfId="36215" xr:uid="{00000000-0005-0000-0000-0000295A0000}"/>
    <cellStyle name="Normal 4 3 2 2 2 3 4" xfId="4684" xr:uid="{00000000-0005-0000-0000-00002A5A0000}"/>
    <cellStyle name="Normal 4 3 2 2 2 4" xfId="31941" xr:uid="{00000000-0005-0000-0000-00002B5A0000}"/>
    <cellStyle name="Normal 4 3 2 2 2 4 2" xfId="25995" xr:uid="{00000000-0005-0000-0000-00002C5A0000}"/>
    <cellStyle name="Normal 4 3 2 2 2 4 2 2" xfId="17702" xr:uid="{00000000-0005-0000-0000-00002D5A0000}"/>
    <cellStyle name="Normal 4 3 2 2 2 4 3" xfId="2359" xr:uid="{00000000-0005-0000-0000-00002E5A0000}"/>
    <cellStyle name="Normal 4 3 2 2 2 5" xfId="36218" xr:uid="{00000000-0005-0000-0000-00002F5A0000}"/>
    <cellStyle name="Normal 4 3 2 2 2 5 2" xfId="20709" xr:uid="{00000000-0005-0000-0000-0000305A0000}"/>
    <cellStyle name="Normal 4 3 2 2 2 5 2 2" xfId="36220" xr:uid="{00000000-0005-0000-0000-0000315A0000}"/>
    <cellStyle name="Normal 4 3 2 2 2 5 3" xfId="36222" xr:uid="{00000000-0005-0000-0000-0000325A0000}"/>
    <cellStyle name="Normal 4 3 2 2 2 6" xfId="36225" xr:uid="{00000000-0005-0000-0000-0000335A0000}"/>
    <cellStyle name="Normal 4 3 2 2 2 6 2" xfId="36227" xr:uid="{00000000-0005-0000-0000-0000345A0000}"/>
    <cellStyle name="Normal 4 3 2 2 2 7" xfId="36230" xr:uid="{00000000-0005-0000-0000-0000355A0000}"/>
    <cellStyle name="Normal 4 3 2 2 2 7 2" xfId="36231" xr:uid="{00000000-0005-0000-0000-0000365A0000}"/>
    <cellStyle name="Normal 4 3 2 2 2 8" xfId="36232" xr:uid="{00000000-0005-0000-0000-0000375A0000}"/>
    <cellStyle name="Normal 4 3 2 2 2 9" xfId="36234" xr:uid="{00000000-0005-0000-0000-0000385A0000}"/>
    <cellStyle name="Normal 4 3 2 2 3" xfId="22404" xr:uid="{00000000-0005-0000-0000-0000395A0000}"/>
    <cellStyle name="Normal 4 3 2 2 3 2" xfId="22409" xr:uid="{00000000-0005-0000-0000-00003A5A0000}"/>
    <cellStyle name="Normal 4 3 2 2 3 2 2" xfId="29851" xr:uid="{00000000-0005-0000-0000-00003B5A0000}"/>
    <cellStyle name="Normal 4 3 2 2 3 2 2 2" xfId="17860" xr:uid="{00000000-0005-0000-0000-00003C5A0000}"/>
    <cellStyle name="Normal 4 3 2 2 3 2 2 2 2" xfId="12402" xr:uid="{00000000-0005-0000-0000-00003D5A0000}"/>
    <cellStyle name="Normal 4 3 2 2 3 2 2 3" xfId="36235" xr:uid="{00000000-0005-0000-0000-00003E5A0000}"/>
    <cellStyle name="Normal 4 3 2 2 3 2 3" xfId="32277" xr:uid="{00000000-0005-0000-0000-00003F5A0000}"/>
    <cellStyle name="Normal 4 3 2 2 3 2 3 2" xfId="17892" xr:uid="{00000000-0005-0000-0000-0000405A0000}"/>
    <cellStyle name="Normal 4 3 2 2 3 2 4" xfId="5146" xr:uid="{00000000-0005-0000-0000-0000415A0000}"/>
    <cellStyle name="Normal 4 3 2 2 3 3" xfId="36240" xr:uid="{00000000-0005-0000-0000-0000425A0000}"/>
    <cellStyle name="Normal 4 3 2 2 3 3 2" xfId="36241" xr:uid="{00000000-0005-0000-0000-0000435A0000}"/>
    <cellStyle name="Normal 4 3 2 2 3 3 2 2" xfId="36242" xr:uid="{00000000-0005-0000-0000-0000445A0000}"/>
    <cellStyle name="Normal 4 3 2 2 3 3 3" xfId="24338" xr:uid="{00000000-0005-0000-0000-0000455A0000}"/>
    <cellStyle name="Normal 4 3 2 2 3 4" xfId="31946" xr:uid="{00000000-0005-0000-0000-0000465A0000}"/>
    <cellStyle name="Normal 4 3 2 2 3 4 2" xfId="26050" xr:uid="{00000000-0005-0000-0000-0000475A0000}"/>
    <cellStyle name="Normal 4 3 2 2 3 4 2 2" xfId="36243" xr:uid="{00000000-0005-0000-0000-0000485A0000}"/>
    <cellStyle name="Normal 4 3 2 2 3 4 3" xfId="24344" xr:uid="{00000000-0005-0000-0000-0000495A0000}"/>
    <cellStyle name="Normal 4 3 2 2 3 5" xfId="36244" xr:uid="{00000000-0005-0000-0000-00004A5A0000}"/>
    <cellStyle name="Normal 4 3 2 2 3 5 2" xfId="36246" xr:uid="{00000000-0005-0000-0000-00004B5A0000}"/>
    <cellStyle name="Normal 4 3 2 2 3 6" xfId="36247" xr:uid="{00000000-0005-0000-0000-00004C5A0000}"/>
    <cellStyle name="Normal 4 3 2 2 3 6 2" xfId="36249" xr:uid="{00000000-0005-0000-0000-00004D5A0000}"/>
    <cellStyle name="Normal 4 3 2 2 3 7" xfId="36250" xr:uid="{00000000-0005-0000-0000-00004E5A0000}"/>
    <cellStyle name="Normal 4 3 2 2 3 8" xfId="21552" xr:uid="{00000000-0005-0000-0000-00004F5A0000}"/>
    <cellStyle name="Normal 4 3 2 2 4" xfId="22412" xr:uid="{00000000-0005-0000-0000-0000505A0000}"/>
    <cellStyle name="Normal 4 3 2 2 4 2" xfId="36253" xr:uid="{00000000-0005-0000-0000-0000515A0000}"/>
    <cellStyle name="Normal 4 3 2 2 4 2 2" xfId="36254" xr:uid="{00000000-0005-0000-0000-0000525A0000}"/>
    <cellStyle name="Normal 4 3 2 2 4 2 2 2" xfId="27786" xr:uid="{00000000-0005-0000-0000-0000535A0000}"/>
    <cellStyle name="Normal 4 3 2 2 4 2 3" xfId="2236" xr:uid="{00000000-0005-0000-0000-0000545A0000}"/>
    <cellStyle name="Normal 4 3 2 2 4 3" xfId="36256" xr:uid="{00000000-0005-0000-0000-0000555A0000}"/>
    <cellStyle name="Normal 4 3 2 2 4 3 2" xfId="2764" xr:uid="{00000000-0005-0000-0000-0000565A0000}"/>
    <cellStyle name="Normal 4 3 2 2 4 4" xfId="36257" xr:uid="{00000000-0005-0000-0000-0000575A0000}"/>
    <cellStyle name="Normal 4 3 2 2 5" xfId="36259" xr:uid="{00000000-0005-0000-0000-0000585A0000}"/>
    <cellStyle name="Normal 4 3 2 2 5 2" xfId="36262" xr:uid="{00000000-0005-0000-0000-0000595A0000}"/>
    <cellStyle name="Normal 4 3 2 2 5 2 2" xfId="36263" xr:uid="{00000000-0005-0000-0000-00005A5A0000}"/>
    <cellStyle name="Normal 4 3 2 2 5 3" xfId="36265" xr:uid="{00000000-0005-0000-0000-00005B5A0000}"/>
    <cellStyle name="Normal 4 3 2 2 6" xfId="11116" xr:uid="{00000000-0005-0000-0000-00005C5A0000}"/>
    <cellStyle name="Normal 4 3 2 2 6 2" xfId="36266" xr:uid="{00000000-0005-0000-0000-00005D5A0000}"/>
    <cellStyle name="Normal 4 3 2 2 6 2 2" xfId="36267" xr:uid="{00000000-0005-0000-0000-00005E5A0000}"/>
    <cellStyle name="Normal 4 3 2 2 6 3" xfId="36268" xr:uid="{00000000-0005-0000-0000-00005F5A0000}"/>
    <cellStyle name="Normal 4 3 2 2 7" xfId="36269" xr:uid="{00000000-0005-0000-0000-0000605A0000}"/>
    <cellStyle name="Normal 4 3 2 2 7 2" xfId="36272" xr:uid="{00000000-0005-0000-0000-0000615A0000}"/>
    <cellStyle name="Normal 4 3 2 2 8" xfId="36273" xr:uid="{00000000-0005-0000-0000-0000625A0000}"/>
    <cellStyle name="Normal 4 3 2 2 8 2" xfId="36276" xr:uid="{00000000-0005-0000-0000-0000635A0000}"/>
    <cellStyle name="Normal 4 3 2 2 9" xfId="36277" xr:uid="{00000000-0005-0000-0000-0000645A0000}"/>
    <cellStyle name="Normal 4 3 2 3" xfId="14535" xr:uid="{00000000-0005-0000-0000-0000655A0000}"/>
    <cellStyle name="Normal 4 3 2 3 2" xfId="22414" xr:uid="{00000000-0005-0000-0000-0000665A0000}"/>
    <cellStyle name="Normal 4 3 2 3 2 2" xfId="22418" xr:uid="{00000000-0005-0000-0000-0000675A0000}"/>
    <cellStyle name="Normal 4 3 2 3 2 2 2" xfId="30204" xr:uid="{00000000-0005-0000-0000-0000685A0000}"/>
    <cellStyle name="Normal 4 3 2 3 2 2 2 2" xfId="25694" xr:uid="{00000000-0005-0000-0000-0000695A0000}"/>
    <cellStyle name="Normal 4 3 2 3 2 2 2 2 2" xfId="34563" xr:uid="{00000000-0005-0000-0000-00006A5A0000}"/>
    <cellStyle name="Normal 4 3 2 3 2 2 2 3" xfId="34587" xr:uid="{00000000-0005-0000-0000-00006B5A0000}"/>
    <cellStyle name="Normal 4 3 2 3 2 2 3" xfId="34628" xr:uid="{00000000-0005-0000-0000-00006C5A0000}"/>
    <cellStyle name="Normal 4 3 2 3 2 2 3 2" xfId="34633" xr:uid="{00000000-0005-0000-0000-00006D5A0000}"/>
    <cellStyle name="Normal 4 3 2 3 2 2 4" xfId="5783" xr:uid="{00000000-0005-0000-0000-00006E5A0000}"/>
    <cellStyle name="Normal 4 3 2 3 2 2 5" xfId="20117" xr:uid="{00000000-0005-0000-0000-00006F5A0000}"/>
    <cellStyle name="Normal 4 3 2 3 2 3" xfId="36280" xr:uid="{00000000-0005-0000-0000-0000705A0000}"/>
    <cellStyle name="Normal 4 3 2 3 2 3 2" xfId="36044" xr:uid="{00000000-0005-0000-0000-0000715A0000}"/>
    <cellStyle name="Normal 4 3 2 3 2 3 2 2" xfId="36049" xr:uid="{00000000-0005-0000-0000-0000725A0000}"/>
    <cellStyle name="Normal 4 3 2 3 2 3 3" xfId="36101" xr:uid="{00000000-0005-0000-0000-0000735A0000}"/>
    <cellStyle name="Normal 4 3 2 3 2 4" xfId="36283" xr:uid="{00000000-0005-0000-0000-0000745A0000}"/>
    <cellStyle name="Normal 4 3 2 3 2 4 2" xfId="26084" xr:uid="{00000000-0005-0000-0000-0000755A0000}"/>
    <cellStyle name="Normal 4 3 2 3 2 4 2 2" xfId="36285" xr:uid="{00000000-0005-0000-0000-0000765A0000}"/>
    <cellStyle name="Normal 4 3 2 3 2 4 3" xfId="26091" xr:uid="{00000000-0005-0000-0000-0000775A0000}"/>
    <cellStyle name="Normal 4 3 2 3 2 5" xfId="36291" xr:uid="{00000000-0005-0000-0000-0000785A0000}"/>
    <cellStyle name="Normal 4 3 2 3 2 5 2" xfId="36294" xr:uid="{00000000-0005-0000-0000-0000795A0000}"/>
    <cellStyle name="Normal 4 3 2 3 2 6" xfId="36300" xr:uid="{00000000-0005-0000-0000-00007A5A0000}"/>
    <cellStyle name="Normal 4 3 2 3 2 6 2" xfId="36302" xr:uid="{00000000-0005-0000-0000-00007B5A0000}"/>
    <cellStyle name="Normal 4 3 2 3 2 7" xfId="36305" xr:uid="{00000000-0005-0000-0000-00007C5A0000}"/>
    <cellStyle name="Normal 4 3 2 3 2 8" xfId="36306" xr:uid="{00000000-0005-0000-0000-00007D5A0000}"/>
    <cellStyle name="Normal 4 3 2 3 3" xfId="22421" xr:uid="{00000000-0005-0000-0000-00007E5A0000}"/>
    <cellStyle name="Normal 4 3 2 3 3 2" xfId="31516" xr:uid="{00000000-0005-0000-0000-00007F5A0000}"/>
    <cellStyle name="Normal 4 3 2 3 3 2 2" xfId="30343" xr:uid="{00000000-0005-0000-0000-0000805A0000}"/>
    <cellStyle name="Normal 4 3 2 3 3 2 2 2" xfId="36307" xr:uid="{00000000-0005-0000-0000-0000815A0000}"/>
    <cellStyle name="Normal 4 3 2 3 3 2 3" xfId="36308" xr:uid="{00000000-0005-0000-0000-0000825A0000}"/>
    <cellStyle name="Normal 4 3 2 3 3 3" xfId="36313" xr:uid="{00000000-0005-0000-0000-0000835A0000}"/>
    <cellStyle name="Normal 4 3 2 3 3 3 2" xfId="36314" xr:uid="{00000000-0005-0000-0000-0000845A0000}"/>
    <cellStyle name="Normal 4 3 2 3 3 4" xfId="36315" xr:uid="{00000000-0005-0000-0000-0000855A0000}"/>
    <cellStyle name="Normal 4 3 2 3 3 5" xfId="36316" xr:uid="{00000000-0005-0000-0000-0000865A0000}"/>
    <cellStyle name="Normal 4 3 2 3 4" xfId="31519" xr:uid="{00000000-0005-0000-0000-0000875A0000}"/>
    <cellStyle name="Normal 4 3 2 3 4 2" xfId="36319" xr:uid="{00000000-0005-0000-0000-0000885A0000}"/>
    <cellStyle name="Normal 4 3 2 3 4 2 2" xfId="36320" xr:uid="{00000000-0005-0000-0000-0000895A0000}"/>
    <cellStyle name="Normal 4 3 2 3 4 3" xfId="36322" xr:uid="{00000000-0005-0000-0000-00008A5A0000}"/>
    <cellStyle name="Normal 4 3 2 3 5" xfId="36323" xr:uid="{00000000-0005-0000-0000-00008B5A0000}"/>
    <cellStyle name="Normal 4 3 2 3 5 2" xfId="36326" xr:uid="{00000000-0005-0000-0000-00008C5A0000}"/>
    <cellStyle name="Normal 4 3 2 3 5 2 2" xfId="36327" xr:uid="{00000000-0005-0000-0000-00008D5A0000}"/>
    <cellStyle name="Normal 4 3 2 3 5 3" xfId="36328" xr:uid="{00000000-0005-0000-0000-00008E5A0000}"/>
    <cellStyle name="Normal 4 3 2 3 6" xfId="36329" xr:uid="{00000000-0005-0000-0000-00008F5A0000}"/>
    <cellStyle name="Normal 4 3 2 3 6 2" xfId="36330" xr:uid="{00000000-0005-0000-0000-0000905A0000}"/>
    <cellStyle name="Normal 4 3 2 3 7" xfId="36331" xr:uid="{00000000-0005-0000-0000-0000915A0000}"/>
    <cellStyle name="Normal 4 3 2 3 7 2" xfId="36334" xr:uid="{00000000-0005-0000-0000-0000925A0000}"/>
    <cellStyle name="Normal 4 3 2 3 8" xfId="36335" xr:uid="{00000000-0005-0000-0000-0000935A0000}"/>
    <cellStyle name="Normal 4 3 2 3 9" xfId="36336" xr:uid="{00000000-0005-0000-0000-0000945A0000}"/>
    <cellStyle name="Normal 4 3 2 4" xfId="14539" xr:uid="{00000000-0005-0000-0000-0000955A0000}"/>
    <cellStyle name="Normal 4 3 2 4 2" xfId="22425" xr:uid="{00000000-0005-0000-0000-0000965A0000}"/>
    <cellStyle name="Normal 4 3 2 4 2 2" xfId="22429" xr:uid="{00000000-0005-0000-0000-0000975A0000}"/>
    <cellStyle name="Normal 4 3 2 4 2 2 2" xfId="30780" xr:uid="{00000000-0005-0000-0000-0000985A0000}"/>
    <cellStyle name="Normal 4 3 2 4 2 2 2 2" xfId="36337" xr:uid="{00000000-0005-0000-0000-0000995A0000}"/>
    <cellStyle name="Normal 4 3 2 4 2 2 2 2 2" xfId="16832" xr:uid="{00000000-0005-0000-0000-00009A5A0000}"/>
    <cellStyle name="Normal 4 3 2 4 2 2 2 3" xfId="36338" xr:uid="{00000000-0005-0000-0000-00009B5A0000}"/>
    <cellStyle name="Normal 4 3 2 4 2 2 3" xfId="36339" xr:uid="{00000000-0005-0000-0000-00009C5A0000}"/>
    <cellStyle name="Normal 4 3 2 4 2 2 3 2" xfId="36340" xr:uid="{00000000-0005-0000-0000-00009D5A0000}"/>
    <cellStyle name="Normal 4 3 2 4 2 2 4" xfId="36341" xr:uid="{00000000-0005-0000-0000-00009E5A0000}"/>
    <cellStyle name="Normal 4 3 2 4 2 3" xfId="36344" xr:uid="{00000000-0005-0000-0000-00009F5A0000}"/>
    <cellStyle name="Normal 4 3 2 4 2 3 2" xfId="8212" xr:uid="{00000000-0005-0000-0000-0000A05A0000}"/>
    <cellStyle name="Normal 4 3 2 4 2 3 2 2" xfId="8217" xr:uid="{00000000-0005-0000-0000-0000A15A0000}"/>
    <cellStyle name="Normal 4 3 2 4 2 3 3" xfId="8232" xr:uid="{00000000-0005-0000-0000-0000A25A0000}"/>
    <cellStyle name="Normal 4 3 2 4 2 4" xfId="36345" xr:uid="{00000000-0005-0000-0000-0000A35A0000}"/>
    <cellStyle name="Normal 4 3 2 4 2 4 2" xfId="18089" xr:uid="{00000000-0005-0000-0000-0000A45A0000}"/>
    <cellStyle name="Normal 4 3 2 4 2 4 2 2" xfId="14703" xr:uid="{00000000-0005-0000-0000-0000A55A0000}"/>
    <cellStyle name="Normal 4 3 2 4 2 4 3" xfId="36346" xr:uid="{00000000-0005-0000-0000-0000A65A0000}"/>
    <cellStyle name="Normal 4 3 2 4 2 5" xfId="36347" xr:uid="{00000000-0005-0000-0000-0000A75A0000}"/>
    <cellStyle name="Normal 4 3 2 4 2 5 2" xfId="36348" xr:uid="{00000000-0005-0000-0000-0000A85A0000}"/>
    <cellStyle name="Normal 4 3 2 4 2 6" xfId="36349" xr:uid="{00000000-0005-0000-0000-0000A95A0000}"/>
    <cellStyle name="Normal 4 3 2 4 2 6 2" xfId="36350" xr:uid="{00000000-0005-0000-0000-0000AA5A0000}"/>
    <cellStyle name="Normal 4 3 2 4 2 7" xfId="36351" xr:uid="{00000000-0005-0000-0000-0000AB5A0000}"/>
    <cellStyle name="Normal 4 3 2 4 2 8" xfId="36352" xr:uid="{00000000-0005-0000-0000-0000AC5A0000}"/>
    <cellStyle name="Normal 4 3 2 4 3" xfId="22433" xr:uid="{00000000-0005-0000-0000-0000AD5A0000}"/>
    <cellStyle name="Normal 4 3 2 4 3 2" xfId="36355" xr:uid="{00000000-0005-0000-0000-0000AE5A0000}"/>
    <cellStyle name="Normal 4 3 2 4 3 2 2" xfId="30875" xr:uid="{00000000-0005-0000-0000-0000AF5A0000}"/>
    <cellStyle name="Normal 4 3 2 4 3 2 2 2" xfId="36356" xr:uid="{00000000-0005-0000-0000-0000B05A0000}"/>
    <cellStyle name="Normal 4 3 2 4 3 2 3" xfId="36357" xr:uid="{00000000-0005-0000-0000-0000B15A0000}"/>
    <cellStyle name="Normal 4 3 2 4 3 3" xfId="36358" xr:uid="{00000000-0005-0000-0000-0000B25A0000}"/>
    <cellStyle name="Normal 4 3 2 4 3 3 2" xfId="36359" xr:uid="{00000000-0005-0000-0000-0000B35A0000}"/>
    <cellStyle name="Normal 4 3 2 4 3 4" xfId="36360" xr:uid="{00000000-0005-0000-0000-0000B45A0000}"/>
    <cellStyle name="Normal 4 3 2 4 4" xfId="36361" xr:uid="{00000000-0005-0000-0000-0000B55A0000}"/>
    <cellStyle name="Normal 4 3 2 4 4 2" xfId="36364" xr:uid="{00000000-0005-0000-0000-0000B65A0000}"/>
    <cellStyle name="Normal 4 3 2 4 4 2 2" xfId="36365" xr:uid="{00000000-0005-0000-0000-0000B75A0000}"/>
    <cellStyle name="Normal 4 3 2 4 4 3" xfId="36367" xr:uid="{00000000-0005-0000-0000-0000B85A0000}"/>
    <cellStyle name="Normal 4 3 2 4 5" xfId="36368" xr:uid="{00000000-0005-0000-0000-0000B95A0000}"/>
    <cellStyle name="Normal 4 3 2 4 5 2" xfId="36369" xr:uid="{00000000-0005-0000-0000-0000BA5A0000}"/>
    <cellStyle name="Normal 4 3 2 4 5 2 2" xfId="36370" xr:uid="{00000000-0005-0000-0000-0000BB5A0000}"/>
    <cellStyle name="Normal 4 3 2 4 5 3" xfId="11622" xr:uid="{00000000-0005-0000-0000-0000BC5A0000}"/>
    <cellStyle name="Normal 4 3 2 4 6" xfId="36371" xr:uid="{00000000-0005-0000-0000-0000BD5A0000}"/>
    <cellStyle name="Normal 4 3 2 4 6 2" xfId="36372" xr:uid="{00000000-0005-0000-0000-0000BE5A0000}"/>
    <cellStyle name="Normal 4 3 2 4 7" xfId="36373" xr:uid="{00000000-0005-0000-0000-0000BF5A0000}"/>
    <cellStyle name="Normal 4 3 2 4 7 2" xfId="36374" xr:uid="{00000000-0005-0000-0000-0000C05A0000}"/>
    <cellStyle name="Normal 4 3 2 4 8" xfId="12057" xr:uid="{00000000-0005-0000-0000-0000C15A0000}"/>
    <cellStyle name="Normal 4 3 2 4 9" xfId="11912" xr:uid="{00000000-0005-0000-0000-0000C25A0000}"/>
    <cellStyle name="Normal 4 3 2 5" xfId="22440" xr:uid="{00000000-0005-0000-0000-0000C35A0000}"/>
    <cellStyle name="Normal 4 3 2 5 2" xfId="22448" xr:uid="{00000000-0005-0000-0000-0000C45A0000}"/>
    <cellStyle name="Normal 4 3 2 5 2 2" xfId="36377" xr:uid="{00000000-0005-0000-0000-0000C55A0000}"/>
    <cellStyle name="Normal 4 3 2 5 2 2 2" xfId="36379" xr:uid="{00000000-0005-0000-0000-0000C65A0000}"/>
    <cellStyle name="Normal 4 3 2 5 2 2 2 2" xfId="31161" xr:uid="{00000000-0005-0000-0000-0000C75A0000}"/>
    <cellStyle name="Normal 4 3 2 5 2 2 2 2 2" xfId="31216" xr:uid="{00000000-0005-0000-0000-0000C85A0000}"/>
    <cellStyle name="Normal 4 3 2 5 2 2 2 3" xfId="31164" xr:uid="{00000000-0005-0000-0000-0000C95A0000}"/>
    <cellStyle name="Normal 4 3 2 5 2 2 3" xfId="22561" xr:uid="{00000000-0005-0000-0000-0000CA5A0000}"/>
    <cellStyle name="Normal 4 3 2 5 2 2 3 2" xfId="21815" xr:uid="{00000000-0005-0000-0000-0000CB5A0000}"/>
    <cellStyle name="Normal 4 3 2 5 2 2 4" xfId="13630" xr:uid="{00000000-0005-0000-0000-0000CC5A0000}"/>
    <cellStyle name="Normal 4 3 2 5 2 3" xfId="36380" xr:uid="{00000000-0005-0000-0000-0000CD5A0000}"/>
    <cellStyle name="Normal 4 3 2 5 2 3 2" xfId="36381" xr:uid="{00000000-0005-0000-0000-0000CE5A0000}"/>
    <cellStyle name="Normal 4 3 2 5 2 3 2 2" xfId="16243" xr:uid="{00000000-0005-0000-0000-0000CF5A0000}"/>
    <cellStyle name="Normal 4 3 2 5 2 3 3" xfId="22565" xr:uid="{00000000-0005-0000-0000-0000D05A0000}"/>
    <cellStyle name="Normal 4 3 2 5 2 4" xfId="36382" xr:uid="{00000000-0005-0000-0000-0000D15A0000}"/>
    <cellStyle name="Normal 4 3 2 5 2 4 2" xfId="26238" xr:uid="{00000000-0005-0000-0000-0000D25A0000}"/>
    <cellStyle name="Normal 4 3 2 5 2 4 2 2" xfId="31293" xr:uid="{00000000-0005-0000-0000-0000D35A0000}"/>
    <cellStyle name="Normal 4 3 2 5 2 4 3" xfId="22570" xr:uid="{00000000-0005-0000-0000-0000D45A0000}"/>
    <cellStyle name="Normal 4 3 2 5 2 5" xfId="35644" xr:uid="{00000000-0005-0000-0000-0000D55A0000}"/>
    <cellStyle name="Normal 4 3 2 5 2 5 2" xfId="36383" xr:uid="{00000000-0005-0000-0000-0000D65A0000}"/>
    <cellStyle name="Normal 4 3 2 5 2 6" xfId="36384" xr:uid="{00000000-0005-0000-0000-0000D75A0000}"/>
    <cellStyle name="Normal 4 3 2 5 2 6 2" xfId="36385" xr:uid="{00000000-0005-0000-0000-0000D85A0000}"/>
    <cellStyle name="Normal 4 3 2 5 2 7" xfId="12188" xr:uid="{00000000-0005-0000-0000-0000D95A0000}"/>
    <cellStyle name="Normal 4 3 2 5 2 8" xfId="22219" xr:uid="{00000000-0005-0000-0000-0000DA5A0000}"/>
    <cellStyle name="Normal 4 3 2 5 3" xfId="36386" xr:uid="{00000000-0005-0000-0000-0000DB5A0000}"/>
    <cellStyle name="Normal 4 3 2 5 3 2" xfId="36387" xr:uid="{00000000-0005-0000-0000-0000DC5A0000}"/>
    <cellStyle name="Normal 4 3 2 5 3 2 2" xfId="36388" xr:uid="{00000000-0005-0000-0000-0000DD5A0000}"/>
    <cellStyle name="Normal 4 3 2 5 3 2 2 2" xfId="32889" xr:uid="{00000000-0005-0000-0000-0000DE5A0000}"/>
    <cellStyle name="Normal 4 3 2 5 3 2 3" xfId="22591" xr:uid="{00000000-0005-0000-0000-0000DF5A0000}"/>
    <cellStyle name="Normal 4 3 2 5 3 3" xfId="36391" xr:uid="{00000000-0005-0000-0000-0000E05A0000}"/>
    <cellStyle name="Normal 4 3 2 5 3 3 2" xfId="36394" xr:uid="{00000000-0005-0000-0000-0000E15A0000}"/>
    <cellStyle name="Normal 4 3 2 5 3 4" xfId="36398" xr:uid="{00000000-0005-0000-0000-0000E25A0000}"/>
    <cellStyle name="Normal 4 3 2 5 4" xfId="32580" xr:uid="{00000000-0005-0000-0000-0000E35A0000}"/>
    <cellStyle name="Normal 4 3 2 5 4 2" xfId="32583" xr:uid="{00000000-0005-0000-0000-0000E45A0000}"/>
    <cellStyle name="Normal 4 3 2 5 4 2 2" xfId="36399" xr:uid="{00000000-0005-0000-0000-0000E55A0000}"/>
    <cellStyle name="Normal 4 3 2 5 4 3" xfId="36404" xr:uid="{00000000-0005-0000-0000-0000E65A0000}"/>
    <cellStyle name="Normal 4 3 2 5 5" xfId="32587" xr:uid="{00000000-0005-0000-0000-0000E75A0000}"/>
    <cellStyle name="Normal 4 3 2 5 5 2" xfId="36405" xr:uid="{00000000-0005-0000-0000-0000E85A0000}"/>
    <cellStyle name="Normal 4 3 2 5 5 2 2" xfId="36406" xr:uid="{00000000-0005-0000-0000-0000E95A0000}"/>
    <cellStyle name="Normal 4 3 2 5 5 3" xfId="36407" xr:uid="{00000000-0005-0000-0000-0000EA5A0000}"/>
    <cellStyle name="Normal 4 3 2 5 6" xfId="36408" xr:uid="{00000000-0005-0000-0000-0000EB5A0000}"/>
    <cellStyle name="Normal 4 3 2 5 6 2" xfId="36409" xr:uid="{00000000-0005-0000-0000-0000EC5A0000}"/>
    <cellStyle name="Normal 4 3 2 5 7" xfId="36410" xr:uid="{00000000-0005-0000-0000-0000ED5A0000}"/>
    <cellStyle name="Normal 4 3 2 5 7 2" xfId="36411" xr:uid="{00000000-0005-0000-0000-0000EE5A0000}"/>
    <cellStyle name="Normal 4 3 2 5 8" xfId="36412" xr:uid="{00000000-0005-0000-0000-0000EF5A0000}"/>
    <cellStyle name="Normal 4 3 2 5 9" xfId="19580" xr:uid="{00000000-0005-0000-0000-0000F05A0000}"/>
    <cellStyle name="Normal 4 3 2 6" xfId="22449" xr:uid="{00000000-0005-0000-0000-0000F15A0000}"/>
    <cellStyle name="Normal 4 3 2 6 2" xfId="22453" xr:uid="{00000000-0005-0000-0000-0000F25A0000}"/>
    <cellStyle name="Normal 4 3 2 6 2 2" xfId="36413" xr:uid="{00000000-0005-0000-0000-0000F35A0000}"/>
    <cellStyle name="Normal 4 3 2 6 2 2 2" xfId="36414" xr:uid="{00000000-0005-0000-0000-0000F45A0000}"/>
    <cellStyle name="Normal 4 3 2 6 2 2 2 2" xfId="36415" xr:uid="{00000000-0005-0000-0000-0000F55A0000}"/>
    <cellStyle name="Normal 4 3 2 6 2 2 3" xfId="22622" xr:uid="{00000000-0005-0000-0000-0000F65A0000}"/>
    <cellStyle name="Normal 4 3 2 6 2 3" xfId="36416" xr:uid="{00000000-0005-0000-0000-0000F75A0000}"/>
    <cellStyle name="Normal 4 3 2 6 2 3 2" xfId="36417" xr:uid="{00000000-0005-0000-0000-0000F85A0000}"/>
    <cellStyle name="Normal 4 3 2 6 2 4" xfId="36418" xr:uid="{00000000-0005-0000-0000-0000F95A0000}"/>
    <cellStyle name="Normal 4 3 2 6 3" xfId="36419" xr:uid="{00000000-0005-0000-0000-0000FA5A0000}"/>
    <cellStyle name="Normal 4 3 2 6 3 2" xfId="36421" xr:uid="{00000000-0005-0000-0000-0000FB5A0000}"/>
    <cellStyle name="Normal 4 3 2 6 3 2 2" xfId="36423" xr:uid="{00000000-0005-0000-0000-0000FC5A0000}"/>
    <cellStyle name="Normal 4 3 2 6 3 3" xfId="36427" xr:uid="{00000000-0005-0000-0000-0000FD5A0000}"/>
    <cellStyle name="Normal 4 3 2 6 4" xfId="32593" xr:uid="{00000000-0005-0000-0000-0000FE5A0000}"/>
    <cellStyle name="Normal 4 3 2 6 4 2" xfId="36429" xr:uid="{00000000-0005-0000-0000-0000FF5A0000}"/>
    <cellStyle name="Normal 4 3 2 6 4 2 2" xfId="36430" xr:uid="{00000000-0005-0000-0000-0000005B0000}"/>
    <cellStyle name="Normal 4 3 2 6 4 3" xfId="36431" xr:uid="{00000000-0005-0000-0000-0000015B0000}"/>
    <cellStyle name="Normal 4 3 2 6 5" xfId="36432" xr:uid="{00000000-0005-0000-0000-0000025B0000}"/>
    <cellStyle name="Normal 4 3 2 6 5 2" xfId="36433" xr:uid="{00000000-0005-0000-0000-0000035B0000}"/>
    <cellStyle name="Normal 4 3 2 6 6" xfId="36434" xr:uid="{00000000-0005-0000-0000-0000045B0000}"/>
    <cellStyle name="Normal 4 3 2 6 6 2" xfId="36435" xr:uid="{00000000-0005-0000-0000-0000055B0000}"/>
    <cellStyle name="Normal 4 3 2 6 7" xfId="36436" xr:uid="{00000000-0005-0000-0000-0000065B0000}"/>
    <cellStyle name="Normal 4 3 2 6 8" xfId="29920" xr:uid="{00000000-0005-0000-0000-0000075B0000}"/>
    <cellStyle name="Normal 4 3 2 7" xfId="22135" xr:uid="{00000000-0005-0000-0000-0000085B0000}"/>
    <cellStyle name="Normal 4 3 2 7 2" xfId="36437" xr:uid="{00000000-0005-0000-0000-0000095B0000}"/>
    <cellStyle name="Normal 4 3 2 7 2 2" xfId="36438" xr:uid="{00000000-0005-0000-0000-00000A5B0000}"/>
    <cellStyle name="Normal 4 3 2 7 2 2 2" xfId="36439" xr:uid="{00000000-0005-0000-0000-00000B5B0000}"/>
    <cellStyle name="Normal 4 3 2 7 2 3" xfId="36440" xr:uid="{00000000-0005-0000-0000-00000C5B0000}"/>
    <cellStyle name="Normal 4 3 2 7 3" xfId="35004" xr:uid="{00000000-0005-0000-0000-00000D5B0000}"/>
    <cellStyle name="Normal 4 3 2 7 3 2" xfId="36442" xr:uid="{00000000-0005-0000-0000-00000E5B0000}"/>
    <cellStyle name="Normal 4 3 2 7 4" xfId="36443" xr:uid="{00000000-0005-0000-0000-00000F5B0000}"/>
    <cellStyle name="Normal 4 3 2 8" xfId="13357" xr:uid="{00000000-0005-0000-0000-0000105B0000}"/>
    <cellStyle name="Normal 4 3 2 8 2" xfId="36444" xr:uid="{00000000-0005-0000-0000-0000115B0000}"/>
    <cellStyle name="Normal 4 3 2 8 2 2" xfId="36446" xr:uid="{00000000-0005-0000-0000-0000125B0000}"/>
    <cellStyle name="Normal 4 3 2 8 3" xfId="36448" xr:uid="{00000000-0005-0000-0000-0000135B0000}"/>
    <cellStyle name="Normal 4 3 2 9" xfId="31430" xr:uid="{00000000-0005-0000-0000-0000145B0000}"/>
    <cellStyle name="Normal 4 3 2 9 2" xfId="36449" xr:uid="{00000000-0005-0000-0000-0000155B0000}"/>
    <cellStyle name="Normal 4 3 2 9 2 2" xfId="36450" xr:uid="{00000000-0005-0000-0000-0000165B0000}"/>
    <cellStyle name="Normal 4 3 2 9 3" xfId="36451" xr:uid="{00000000-0005-0000-0000-0000175B0000}"/>
    <cellStyle name="Normal 4 3 3" xfId="22455" xr:uid="{00000000-0005-0000-0000-0000185B0000}"/>
    <cellStyle name="Normal 4 3 4" xfId="22470" xr:uid="{00000000-0005-0000-0000-0000195B0000}"/>
    <cellStyle name="Normal 4 4" xfId="7740" xr:uid="{00000000-0005-0000-0000-00001A5B0000}"/>
    <cellStyle name="Normal 4 4 10" xfId="34902" xr:uid="{00000000-0005-0000-0000-00001B5B0000}"/>
    <cellStyle name="Normal 4 4 10 2" xfId="3630" xr:uid="{00000000-0005-0000-0000-00001C5B0000}"/>
    <cellStyle name="Normal 4 4 11" xfId="3213" xr:uid="{00000000-0005-0000-0000-00001D5B0000}"/>
    <cellStyle name="Normal 4 4 11 2" xfId="3650" xr:uid="{00000000-0005-0000-0000-00001E5B0000}"/>
    <cellStyle name="Normal 4 4 12" xfId="36452" xr:uid="{00000000-0005-0000-0000-00001F5B0000}"/>
    <cellStyle name="Normal 4 4 13" xfId="36453" xr:uid="{00000000-0005-0000-0000-0000205B0000}"/>
    <cellStyle name="Normal 4 4 2" xfId="5362" xr:uid="{00000000-0005-0000-0000-0000215B0000}"/>
    <cellStyle name="Normal 4 4 2 10" xfId="36454" xr:uid="{00000000-0005-0000-0000-0000225B0000}"/>
    <cellStyle name="Normal 4 4 2 2" xfId="7448" xr:uid="{00000000-0005-0000-0000-0000235B0000}"/>
    <cellStyle name="Normal 4 4 2 2 2" xfId="7755" xr:uid="{00000000-0005-0000-0000-0000245B0000}"/>
    <cellStyle name="Normal 4 4 2 2 2 2" xfId="2289" xr:uid="{00000000-0005-0000-0000-0000255B0000}"/>
    <cellStyle name="Normal 4 4 2 2 2 2 2" xfId="2309" xr:uid="{00000000-0005-0000-0000-0000265B0000}"/>
    <cellStyle name="Normal 4 4 2 2 2 2 2 2" xfId="2350" xr:uid="{00000000-0005-0000-0000-0000275B0000}"/>
    <cellStyle name="Normal 4 4 2 2 2 2 2 2 2" xfId="2366" xr:uid="{00000000-0005-0000-0000-0000285B0000}"/>
    <cellStyle name="Normal 4 4 2 2 2 2 2 3" xfId="2472" xr:uid="{00000000-0005-0000-0000-0000295B0000}"/>
    <cellStyle name="Normal 4 4 2 2 2 2 3" xfId="36457" xr:uid="{00000000-0005-0000-0000-00002A5B0000}"/>
    <cellStyle name="Normal 4 4 2 2 2 2 3 2" xfId="2699" xr:uid="{00000000-0005-0000-0000-00002B5B0000}"/>
    <cellStyle name="Normal 4 4 2 2 2 2 4" xfId="36458" xr:uid="{00000000-0005-0000-0000-00002C5B0000}"/>
    <cellStyle name="Normal 4 4 2 2 2 3" xfId="2854" xr:uid="{00000000-0005-0000-0000-00002D5B0000}"/>
    <cellStyle name="Normal 4 4 2 2 2 3 2" xfId="2905" xr:uid="{00000000-0005-0000-0000-00002E5B0000}"/>
    <cellStyle name="Normal 4 4 2 2 2 3 2 2" xfId="2919" xr:uid="{00000000-0005-0000-0000-00002F5B0000}"/>
    <cellStyle name="Normal 4 4 2 2 2 3 3" xfId="36459" xr:uid="{00000000-0005-0000-0000-0000305B0000}"/>
    <cellStyle name="Normal 4 4 2 2 2 4" xfId="3321" xr:uid="{00000000-0005-0000-0000-0000315B0000}"/>
    <cellStyle name="Normal 4 4 2 2 2 4 2" xfId="3337" xr:uid="{00000000-0005-0000-0000-0000325B0000}"/>
    <cellStyle name="Normal 4 4 2 2 2 4 2 2" xfId="3167" xr:uid="{00000000-0005-0000-0000-0000335B0000}"/>
    <cellStyle name="Normal 4 4 2 2 2 4 3" xfId="3361" xr:uid="{00000000-0005-0000-0000-0000345B0000}"/>
    <cellStyle name="Normal 4 4 2 2 2 5" xfId="3490" xr:uid="{00000000-0005-0000-0000-0000355B0000}"/>
    <cellStyle name="Normal 4 4 2 2 2 5 2" xfId="3503" xr:uid="{00000000-0005-0000-0000-0000365B0000}"/>
    <cellStyle name="Normal 4 4 2 2 2 6" xfId="3559" xr:uid="{00000000-0005-0000-0000-0000375B0000}"/>
    <cellStyle name="Normal 4 4 2 2 2 6 2" xfId="36460" xr:uid="{00000000-0005-0000-0000-0000385B0000}"/>
    <cellStyle name="Normal 4 4 2 2 2 7" xfId="36461" xr:uid="{00000000-0005-0000-0000-0000395B0000}"/>
    <cellStyle name="Normal 4 4 2 2 2 8" xfId="8165" xr:uid="{00000000-0005-0000-0000-00003A5B0000}"/>
    <cellStyle name="Normal 4 4 2 2 3" xfId="3139" xr:uid="{00000000-0005-0000-0000-00003B5B0000}"/>
    <cellStyle name="Normal 4 4 2 2 3 2" xfId="1505" xr:uid="{00000000-0005-0000-0000-00003C5B0000}"/>
    <cellStyle name="Normal 4 4 2 2 3 2 2" xfId="27715" xr:uid="{00000000-0005-0000-0000-00003D5B0000}"/>
    <cellStyle name="Normal 4 4 2 2 3 2 2 2" xfId="1547" xr:uid="{00000000-0005-0000-0000-00003E5B0000}"/>
    <cellStyle name="Normal 4 4 2 2 3 2 3" xfId="27719" xr:uid="{00000000-0005-0000-0000-00003F5B0000}"/>
    <cellStyle name="Normal 4 4 2 2 3 3" xfId="36464" xr:uid="{00000000-0005-0000-0000-0000405B0000}"/>
    <cellStyle name="Normal 4 4 2 2 3 3 2" xfId="27722" xr:uid="{00000000-0005-0000-0000-0000415B0000}"/>
    <cellStyle name="Normal 4 4 2 2 3 4" xfId="63" xr:uid="{00000000-0005-0000-0000-0000425B0000}"/>
    <cellStyle name="Normal 4 4 2 2 4" xfId="1646" xr:uid="{00000000-0005-0000-0000-0000435B0000}"/>
    <cellStyle name="Normal 4 4 2 2 4 2" xfId="36465" xr:uid="{00000000-0005-0000-0000-0000445B0000}"/>
    <cellStyle name="Normal 4 4 2 2 4 2 2" xfId="27779" xr:uid="{00000000-0005-0000-0000-0000455B0000}"/>
    <cellStyle name="Normal 4 4 2 2 4 3" xfId="36255" xr:uid="{00000000-0005-0000-0000-0000465B0000}"/>
    <cellStyle name="Normal 4 4 2 2 5" xfId="7769" xr:uid="{00000000-0005-0000-0000-0000475B0000}"/>
    <cellStyle name="Normal 4 4 2 2 5 2" xfId="2641" xr:uid="{00000000-0005-0000-0000-0000485B0000}"/>
    <cellStyle name="Normal 4 4 2 2 5 2 2" xfId="2677" xr:uid="{00000000-0005-0000-0000-0000495B0000}"/>
    <cellStyle name="Normal 4 4 2 2 5 3" xfId="2765" xr:uid="{00000000-0005-0000-0000-00004A5B0000}"/>
    <cellStyle name="Normal 4 4 2 2 6" xfId="7771" xr:uid="{00000000-0005-0000-0000-00004B5B0000}"/>
    <cellStyle name="Normal 4 4 2 2 6 2" xfId="7773" xr:uid="{00000000-0005-0000-0000-00004C5B0000}"/>
    <cellStyle name="Normal 4 4 2 2 7" xfId="7783" xr:uid="{00000000-0005-0000-0000-00004D5B0000}"/>
    <cellStyle name="Normal 4 4 2 2 7 2" xfId="7791" xr:uid="{00000000-0005-0000-0000-00004E5B0000}"/>
    <cellStyle name="Normal 4 4 2 2 8" xfId="7802" xr:uid="{00000000-0005-0000-0000-00004F5B0000}"/>
    <cellStyle name="Normal 4 4 2 2 9" xfId="7810" xr:uid="{00000000-0005-0000-0000-0000505B0000}"/>
    <cellStyle name="Normal 4 4 2 3" xfId="7814" xr:uid="{00000000-0005-0000-0000-0000515B0000}"/>
    <cellStyle name="Normal 4 4 2 3 2" xfId="7819" xr:uid="{00000000-0005-0000-0000-0000525B0000}"/>
    <cellStyle name="Normal 4 4 2 3 2 2" xfId="4411" xr:uid="{00000000-0005-0000-0000-0000535B0000}"/>
    <cellStyle name="Normal 4 4 2 3 2 2 2" xfId="36466" xr:uid="{00000000-0005-0000-0000-0000545B0000}"/>
    <cellStyle name="Normal 4 4 2 3 2 2 2 2" xfId="36467" xr:uid="{00000000-0005-0000-0000-0000555B0000}"/>
    <cellStyle name="Normal 4 4 2 3 2 2 3" xfId="36468" xr:uid="{00000000-0005-0000-0000-0000565B0000}"/>
    <cellStyle name="Normal 4 4 2 3 2 3" xfId="3289" xr:uid="{00000000-0005-0000-0000-0000575B0000}"/>
    <cellStyle name="Normal 4 4 2 3 2 3 2" xfId="36469" xr:uid="{00000000-0005-0000-0000-0000585B0000}"/>
    <cellStyle name="Normal 4 4 2 3 2 4" xfId="4899" xr:uid="{00000000-0005-0000-0000-0000595B0000}"/>
    <cellStyle name="Normal 4 4 2 3 3" xfId="3197" xr:uid="{00000000-0005-0000-0000-00005A5B0000}"/>
    <cellStyle name="Normal 4 4 2 3 3 2" xfId="36470" xr:uid="{00000000-0005-0000-0000-00005B5B0000}"/>
    <cellStyle name="Normal 4 4 2 3 3 2 2" xfId="28171" xr:uid="{00000000-0005-0000-0000-00005C5B0000}"/>
    <cellStyle name="Normal 4 4 2 3 3 3" xfId="36473" xr:uid="{00000000-0005-0000-0000-00005D5B0000}"/>
    <cellStyle name="Normal 4 4 2 3 4" xfId="36474" xr:uid="{00000000-0005-0000-0000-00005E5B0000}"/>
    <cellStyle name="Normal 4 4 2 3 4 2" xfId="1145" xr:uid="{00000000-0005-0000-0000-00005F5B0000}"/>
    <cellStyle name="Normal 4 4 2 3 4 2 2" xfId="28252" xr:uid="{00000000-0005-0000-0000-0000605B0000}"/>
    <cellStyle name="Normal 4 4 2 3 4 3" xfId="36264" xr:uid="{00000000-0005-0000-0000-0000615B0000}"/>
    <cellStyle name="Normal 4 4 2 3 5" xfId="7828" xr:uid="{00000000-0005-0000-0000-0000625B0000}"/>
    <cellStyle name="Normal 4 4 2 3 5 2" xfId="1663" xr:uid="{00000000-0005-0000-0000-0000635B0000}"/>
    <cellStyle name="Normal 4 4 2 3 6" xfId="7831" xr:uid="{00000000-0005-0000-0000-0000645B0000}"/>
    <cellStyle name="Normal 4 4 2 3 6 2" xfId="7834" xr:uid="{00000000-0005-0000-0000-0000655B0000}"/>
    <cellStyle name="Normal 4 4 2 3 7" xfId="7839" xr:uid="{00000000-0005-0000-0000-0000665B0000}"/>
    <cellStyle name="Normal 4 4 2 3 8" xfId="17714" xr:uid="{00000000-0005-0000-0000-0000675B0000}"/>
    <cellStyle name="Normal 4 4 2 4" xfId="7845" xr:uid="{00000000-0005-0000-0000-0000685B0000}"/>
    <cellStyle name="Normal 4 4 2 4 2" xfId="7854" xr:uid="{00000000-0005-0000-0000-0000695B0000}"/>
    <cellStyle name="Normal 4 4 2 4 2 2" xfId="5766" xr:uid="{00000000-0005-0000-0000-00006A5B0000}"/>
    <cellStyle name="Normal 4 4 2 4 2 2 2" xfId="36475" xr:uid="{00000000-0005-0000-0000-00006B5B0000}"/>
    <cellStyle name="Normal 4 4 2 4 2 3" xfId="36476" xr:uid="{00000000-0005-0000-0000-00006C5B0000}"/>
    <cellStyle name="Normal 4 4 2 4 3" xfId="1425" xr:uid="{00000000-0005-0000-0000-00006D5B0000}"/>
    <cellStyle name="Normal 4 4 2 4 3 2" xfId="36477" xr:uid="{00000000-0005-0000-0000-00006E5B0000}"/>
    <cellStyle name="Normal 4 4 2 4 4" xfId="36478" xr:uid="{00000000-0005-0000-0000-00006F5B0000}"/>
    <cellStyle name="Normal 4 4 2 5" xfId="7861" xr:uid="{00000000-0005-0000-0000-0000705B0000}"/>
    <cellStyle name="Normal 4 4 2 5 2" xfId="7887" xr:uid="{00000000-0005-0000-0000-0000715B0000}"/>
    <cellStyle name="Normal 4 4 2 5 2 2" xfId="36479" xr:uid="{00000000-0005-0000-0000-0000725B0000}"/>
    <cellStyle name="Normal 4 4 2 5 3" xfId="36480" xr:uid="{00000000-0005-0000-0000-0000735B0000}"/>
    <cellStyle name="Normal 4 4 2 6" xfId="3184" xr:uid="{00000000-0005-0000-0000-0000745B0000}"/>
    <cellStyle name="Normal 4 4 2 6 2" xfId="3220" xr:uid="{00000000-0005-0000-0000-0000755B0000}"/>
    <cellStyle name="Normal 4 4 2 6 2 2" xfId="36481" xr:uid="{00000000-0005-0000-0000-0000765B0000}"/>
    <cellStyle name="Normal 4 4 2 6 3" xfId="36482" xr:uid="{00000000-0005-0000-0000-0000775B0000}"/>
    <cellStyle name="Normal 4 4 2 7" xfId="3241" xr:uid="{00000000-0005-0000-0000-0000785B0000}"/>
    <cellStyle name="Normal 4 4 2 7 2" xfId="36483" xr:uid="{00000000-0005-0000-0000-0000795B0000}"/>
    <cellStyle name="Normal 4 4 2 8" xfId="6816" xr:uid="{00000000-0005-0000-0000-00007A5B0000}"/>
    <cellStyle name="Normal 4 4 2 8 2" xfId="1668" xr:uid="{00000000-0005-0000-0000-00007B5B0000}"/>
    <cellStyle name="Normal 4 4 2 9" xfId="6827" xr:uid="{00000000-0005-0000-0000-00007C5B0000}"/>
    <cellStyle name="Normal 4 4 3" xfId="7906" xr:uid="{00000000-0005-0000-0000-00007D5B0000}"/>
    <cellStyle name="Normal 4 4 3 2" xfId="7914" xr:uid="{00000000-0005-0000-0000-00007E5B0000}"/>
    <cellStyle name="Normal 4 4 3 2 2" xfId="7920" xr:uid="{00000000-0005-0000-0000-00007F5B0000}"/>
    <cellStyle name="Normal 4 4 3 2 2 2" xfId="6603" xr:uid="{00000000-0005-0000-0000-0000805B0000}"/>
    <cellStyle name="Normal 4 4 3 2 2 2 2" xfId="6609" xr:uid="{00000000-0005-0000-0000-0000815B0000}"/>
    <cellStyle name="Normal 4 4 3 2 2 2 2 2" xfId="3355" xr:uid="{00000000-0005-0000-0000-0000825B0000}"/>
    <cellStyle name="Normal 4 4 3 2 2 2 3" xfId="6613" xr:uid="{00000000-0005-0000-0000-0000835B0000}"/>
    <cellStyle name="Normal 4 4 3 2 2 3" xfId="6618" xr:uid="{00000000-0005-0000-0000-0000845B0000}"/>
    <cellStyle name="Normal 4 4 3 2 2 3 2" xfId="6620" xr:uid="{00000000-0005-0000-0000-0000855B0000}"/>
    <cellStyle name="Normal 4 4 3 2 2 4" xfId="6630" xr:uid="{00000000-0005-0000-0000-0000865B0000}"/>
    <cellStyle name="Normal 4 4 3 2 2 5" xfId="6296" xr:uid="{00000000-0005-0000-0000-0000875B0000}"/>
    <cellStyle name="Normal 4 4 3 2 3" xfId="3437" xr:uid="{00000000-0005-0000-0000-0000885B0000}"/>
    <cellStyle name="Normal 4 4 3 2 3 2" xfId="3464" xr:uid="{00000000-0005-0000-0000-0000895B0000}"/>
    <cellStyle name="Normal 4 4 3 2 3 2 2" xfId="29644" xr:uid="{00000000-0005-0000-0000-00008A5B0000}"/>
    <cellStyle name="Normal 4 4 3 2 3 3" xfId="36486" xr:uid="{00000000-0005-0000-0000-00008B5B0000}"/>
    <cellStyle name="Normal 4 4 3 2 4" xfId="36487" xr:uid="{00000000-0005-0000-0000-00008C5B0000}"/>
    <cellStyle name="Normal 4 4 3 2 4 2" xfId="36488" xr:uid="{00000000-0005-0000-0000-00008D5B0000}"/>
    <cellStyle name="Normal 4 4 3 2 4 2 2" xfId="29727" xr:uid="{00000000-0005-0000-0000-00008E5B0000}"/>
    <cellStyle name="Normal 4 4 3 2 4 3" xfId="36321" xr:uid="{00000000-0005-0000-0000-00008F5B0000}"/>
    <cellStyle name="Normal 4 4 3 2 5" xfId="7954" xr:uid="{00000000-0005-0000-0000-0000905B0000}"/>
    <cellStyle name="Normal 4 4 3 2 5 2" xfId="7957" xr:uid="{00000000-0005-0000-0000-0000915B0000}"/>
    <cellStyle name="Normal 4 4 3 2 6" xfId="7966" xr:uid="{00000000-0005-0000-0000-0000925B0000}"/>
    <cellStyle name="Normal 4 4 3 2 6 2" xfId="3788" xr:uid="{00000000-0005-0000-0000-0000935B0000}"/>
    <cellStyle name="Normal 4 4 3 2 7" xfId="7972" xr:uid="{00000000-0005-0000-0000-0000945B0000}"/>
    <cellStyle name="Normal 4 4 3 2 8" xfId="17772" xr:uid="{00000000-0005-0000-0000-0000955B0000}"/>
    <cellStyle name="Normal 4 4 3 3" xfId="3866" xr:uid="{00000000-0005-0000-0000-0000965B0000}"/>
    <cellStyle name="Normal 4 4 3 3 2" xfId="7976" xr:uid="{00000000-0005-0000-0000-0000975B0000}"/>
    <cellStyle name="Normal 4 4 3 3 2 2" xfId="6737" xr:uid="{00000000-0005-0000-0000-0000985B0000}"/>
    <cellStyle name="Normal 4 4 3 3 2 2 2" xfId="36489" xr:uid="{00000000-0005-0000-0000-0000995B0000}"/>
    <cellStyle name="Normal 4 4 3 3 2 3" xfId="36490" xr:uid="{00000000-0005-0000-0000-00009A5B0000}"/>
    <cellStyle name="Normal 4 4 3 3 3" xfId="36491" xr:uid="{00000000-0005-0000-0000-00009B5B0000}"/>
    <cellStyle name="Normal 4 4 3 3 3 2" xfId="36492" xr:uid="{00000000-0005-0000-0000-00009C5B0000}"/>
    <cellStyle name="Normal 4 4 3 3 4" xfId="36493" xr:uid="{00000000-0005-0000-0000-00009D5B0000}"/>
    <cellStyle name="Normal 4 4 3 3 5" xfId="18059" xr:uid="{00000000-0005-0000-0000-00009E5B0000}"/>
    <cellStyle name="Normal 4 4 3 4" xfId="7641" xr:uid="{00000000-0005-0000-0000-00009F5B0000}"/>
    <cellStyle name="Normal 4 4 3 4 2" xfId="2416" xr:uid="{00000000-0005-0000-0000-0000A05B0000}"/>
    <cellStyle name="Normal 4 4 3 4 2 2" xfId="36494" xr:uid="{00000000-0005-0000-0000-0000A15B0000}"/>
    <cellStyle name="Normal 4 4 3 4 3" xfId="36495" xr:uid="{00000000-0005-0000-0000-0000A25B0000}"/>
    <cellStyle name="Normal 4 4 3 5" xfId="36496" xr:uid="{00000000-0005-0000-0000-0000A35B0000}"/>
    <cellStyle name="Normal 4 4 3 5 2" xfId="36497" xr:uid="{00000000-0005-0000-0000-0000A45B0000}"/>
    <cellStyle name="Normal 4 4 3 5 2 2" xfId="36498" xr:uid="{00000000-0005-0000-0000-0000A55B0000}"/>
    <cellStyle name="Normal 4 4 3 5 3" xfId="36499" xr:uid="{00000000-0005-0000-0000-0000A65B0000}"/>
    <cellStyle name="Normal 4 4 3 6" xfId="1419" xr:uid="{00000000-0005-0000-0000-0000A75B0000}"/>
    <cellStyle name="Normal 4 4 3 6 2" xfId="4719" xr:uid="{00000000-0005-0000-0000-0000A85B0000}"/>
    <cellStyle name="Normal 4 4 3 7" xfId="5449" xr:uid="{00000000-0005-0000-0000-0000A95B0000}"/>
    <cellStyle name="Normal 4 4 3 7 2" xfId="36500" xr:uid="{00000000-0005-0000-0000-0000AA5B0000}"/>
    <cellStyle name="Normal 4 4 3 8" xfId="6831" xr:uid="{00000000-0005-0000-0000-0000AB5B0000}"/>
    <cellStyle name="Normal 4 4 3 9" xfId="8279" xr:uid="{00000000-0005-0000-0000-0000AC5B0000}"/>
    <cellStyle name="Normal 4 4 4" xfId="7891" xr:uid="{00000000-0005-0000-0000-0000AD5B0000}"/>
    <cellStyle name="Normal 4 4 4 2" xfId="8021" xr:uid="{00000000-0005-0000-0000-0000AE5B0000}"/>
    <cellStyle name="Normal 4 4 4 2 2" xfId="8036" xr:uid="{00000000-0005-0000-0000-0000AF5B0000}"/>
    <cellStyle name="Normal 4 4 4 2 2 2" xfId="5413" xr:uid="{00000000-0005-0000-0000-0000B05B0000}"/>
    <cellStyle name="Normal 4 4 4 2 2 2 2" xfId="36501" xr:uid="{00000000-0005-0000-0000-0000B15B0000}"/>
    <cellStyle name="Normal 4 4 4 2 2 2 2 2" xfId="8049" xr:uid="{00000000-0005-0000-0000-0000B25B0000}"/>
    <cellStyle name="Normal 4 4 4 2 2 2 3" xfId="159" xr:uid="{00000000-0005-0000-0000-0000B35B0000}"/>
    <cellStyle name="Normal 4 4 4 2 2 3" xfId="5435" xr:uid="{00000000-0005-0000-0000-0000B45B0000}"/>
    <cellStyle name="Normal 4 4 4 2 2 3 2" xfId="36502" xr:uid="{00000000-0005-0000-0000-0000B55B0000}"/>
    <cellStyle name="Normal 4 4 4 2 2 4" xfId="8067" xr:uid="{00000000-0005-0000-0000-0000B65B0000}"/>
    <cellStyle name="Normal 4 4 4 2 3" xfId="36503" xr:uid="{00000000-0005-0000-0000-0000B75B0000}"/>
    <cellStyle name="Normal 4 4 4 2 3 2" xfId="36504" xr:uid="{00000000-0005-0000-0000-0000B85B0000}"/>
    <cellStyle name="Normal 4 4 4 2 3 2 2" xfId="31397" xr:uid="{00000000-0005-0000-0000-0000B95B0000}"/>
    <cellStyle name="Normal 4 4 4 2 3 3" xfId="36507" xr:uid="{00000000-0005-0000-0000-0000BA5B0000}"/>
    <cellStyle name="Normal 4 4 4 2 4" xfId="36508" xr:uid="{00000000-0005-0000-0000-0000BB5B0000}"/>
    <cellStyle name="Normal 4 4 4 2 4 2" xfId="36509" xr:uid="{00000000-0005-0000-0000-0000BC5B0000}"/>
    <cellStyle name="Normal 4 4 4 2 4 2 2" xfId="1831" xr:uid="{00000000-0005-0000-0000-0000BD5B0000}"/>
    <cellStyle name="Normal 4 4 4 2 4 3" xfId="36366" xr:uid="{00000000-0005-0000-0000-0000BE5B0000}"/>
    <cellStyle name="Normal 4 4 4 2 5" xfId="8108" xr:uid="{00000000-0005-0000-0000-0000BF5B0000}"/>
    <cellStyle name="Normal 4 4 4 2 5 2" xfId="8113" xr:uid="{00000000-0005-0000-0000-0000C05B0000}"/>
    <cellStyle name="Normal 4 4 4 2 6" xfId="8121" xr:uid="{00000000-0005-0000-0000-0000C15B0000}"/>
    <cellStyle name="Normal 4 4 4 2 6 2" xfId="4988" xr:uid="{00000000-0005-0000-0000-0000C25B0000}"/>
    <cellStyle name="Normal 4 4 4 2 7" xfId="8130" xr:uid="{00000000-0005-0000-0000-0000C35B0000}"/>
    <cellStyle name="Normal 4 4 4 2 8" xfId="17817" xr:uid="{00000000-0005-0000-0000-0000C45B0000}"/>
    <cellStyle name="Normal 4 4 4 3" xfId="3925" xr:uid="{00000000-0005-0000-0000-0000C55B0000}"/>
    <cellStyle name="Normal 4 4 4 3 2" xfId="36510" xr:uid="{00000000-0005-0000-0000-0000C65B0000}"/>
    <cellStyle name="Normal 4 4 4 3 2 2" xfId="36511" xr:uid="{00000000-0005-0000-0000-0000C75B0000}"/>
    <cellStyle name="Normal 4 4 4 3 2 2 2" xfId="36512" xr:uid="{00000000-0005-0000-0000-0000C85B0000}"/>
    <cellStyle name="Normal 4 4 4 3 2 3" xfId="36513" xr:uid="{00000000-0005-0000-0000-0000C95B0000}"/>
    <cellStyle name="Normal 4 4 4 3 3" xfId="36514" xr:uid="{00000000-0005-0000-0000-0000CA5B0000}"/>
    <cellStyle name="Normal 4 4 4 3 3 2" xfId="36515" xr:uid="{00000000-0005-0000-0000-0000CB5B0000}"/>
    <cellStyle name="Normal 4 4 4 3 4" xfId="36516" xr:uid="{00000000-0005-0000-0000-0000CC5B0000}"/>
    <cellStyle name="Normal 4 4 4 4" xfId="36517" xr:uid="{00000000-0005-0000-0000-0000CD5B0000}"/>
    <cellStyle name="Normal 4 4 4 4 2" xfId="36518" xr:uid="{00000000-0005-0000-0000-0000CE5B0000}"/>
    <cellStyle name="Normal 4 4 4 4 2 2" xfId="36519" xr:uid="{00000000-0005-0000-0000-0000CF5B0000}"/>
    <cellStyle name="Normal 4 4 4 4 3" xfId="36520" xr:uid="{00000000-0005-0000-0000-0000D05B0000}"/>
    <cellStyle name="Normal 4 4 4 5" xfId="36521" xr:uid="{00000000-0005-0000-0000-0000D15B0000}"/>
    <cellStyle name="Normal 4 4 4 5 2" xfId="36522" xr:uid="{00000000-0005-0000-0000-0000D25B0000}"/>
    <cellStyle name="Normal 4 4 4 5 2 2" xfId="36523" xr:uid="{00000000-0005-0000-0000-0000D35B0000}"/>
    <cellStyle name="Normal 4 4 4 5 3" xfId="36524" xr:uid="{00000000-0005-0000-0000-0000D45B0000}"/>
    <cellStyle name="Normal 4 4 4 6" xfId="3277" xr:uid="{00000000-0005-0000-0000-0000D55B0000}"/>
    <cellStyle name="Normal 4 4 4 6 2" xfId="36525" xr:uid="{00000000-0005-0000-0000-0000D65B0000}"/>
    <cellStyle name="Normal 4 4 4 7" xfId="36526" xr:uid="{00000000-0005-0000-0000-0000D75B0000}"/>
    <cellStyle name="Normal 4 4 4 7 2" xfId="2474" xr:uid="{00000000-0005-0000-0000-0000D85B0000}"/>
    <cellStyle name="Normal 4 4 4 8" xfId="4940" xr:uid="{00000000-0005-0000-0000-0000D95B0000}"/>
    <cellStyle name="Normal 4 4 4 9" xfId="4976" xr:uid="{00000000-0005-0000-0000-0000DA5B0000}"/>
    <cellStyle name="Normal 4 4 5" xfId="8136" xr:uid="{00000000-0005-0000-0000-0000DB5B0000}"/>
    <cellStyle name="Normal 4 4 5 2" xfId="8143" xr:uid="{00000000-0005-0000-0000-0000DC5B0000}"/>
    <cellStyle name="Normal 4 4 5 2 2" xfId="8149" xr:uid="{00000000-0005-0000-0000-0000DD5B0000}"/>
    <cellStyle name="Normal 4 4 5 2 2 2" xfId="6991" xr:uid="{00000000-0005-0000-0000-0000DE5B0000}"/>
    <cellStyle name="Normal 4 4 5 2 2 2 2" xfId="34173" xr:uid="{00000000-0005-0000-0000-0000DF5B0000}"/>
    <cellStyle name="Normal 4 4 5 2 2 2 2 2" xfId="34176" xr:uid="{00000000-0005-0000-0000-0000E05B0000}"/>
    <cellStyle name="Normal 4 4 5 2 2 2 3" xfId="34195" xr:uid="{00000000-0005-0000-0000-0000E15B0000}"/>
    <cellStyle name="Normal 4 4 5 2 2 3" xfId="36527" xr:uid="{00000000-0005-0000-0000-0000E25B0000}"/>
    <cellStyle name="Normal 4 4 5 2 2 3 2" xfId="8172" xr:uid="{00000000-0005-0000-0000-0000E35B0000}"/>
    <cellStyle name="Normal 4 4 5 2 2 4" xfId="8186" xr:uid="{00000000-0005-0000-0000-0000E45B0000}"/>
    <cellStyle name="Normal 4 4 5 2 3" xfId="36528" xr:uid="{00000000-0005-0000-0000-0000E55B0000}"/>
    <cellStyle name="Normal 4 4 5 2 3 2" xfId="36529" xr:uid="{00000000-0005-0000-0000-0000E65B0000}"/>
    <cellStyle name="Normal 4 4 5 2 3 2 2" xfId="33326" xr:uid="{00000000-0005-0000-0000-0000E75B0000}"/>
    <cellStyle name="Normal 4 4 5 2 3 3" xfId="36530" xr:uid="{00000000-0005-0000-0000-0000E85B0000}"/>
    <cellStyle name="Normal 4 4 5 2 4" xfId="36533" xr:uid="{00000000-0005-0000-0000-0000E95B0000}"/>
    <cellStyle name="Normal 4 4 5 2 4 2" xfId="36536" xr:uid="{00000000-0005-0000-0000-0000EA5B0000}"/>
    <cellStyle name="Normal 4 4 5 2 4 2 2" xfId="33443" xr:uid="{00000000-0005-0000-0000-0000EB5B0000}"/>
    <cellStyle name="Normal 4 4 5 2 4 3" xfId="36400" xr:uid="{00000000-0005-0000-0000-0000EC5B0000}"/>
    <cellStyle name="Normal 4 4 5 2 5" xfId="8215" xr:uid="{00000000-0005-0000-0000-0000ED5B0000}"/>
    <cellStyle name="Normal 4 4 5 2 5 2" xfId="8221" xr:uid="{00000000-0005-0000-0000-0000EE5B0000}"/>
    <cellStyle name="Normal 4 4 5 2 6" xfId="8227" xr:uid="{00000000-0005-0000-0000-0000EF5B0000}"/>
    <cellStyle name="Normal 4 4 5 2 6 2" xfId="6398" xr:uid="{00000000-0005-0000-0000-0000F05B0000}"/>
    <cellStyle name="Normal 4 4 5 2 7" xfId="7170" xr:uid="{00000000-0005-0000-0000-0000F15B0000}"/>
    <cellStyle name="Normal 4 4 5 2 8" xfId="36538" xr:uid="{00000000-0005-0000-0000-0000F25B0000}"/>
    <cellStyle name="Normal 4 4 5 3" xfId="5020" xr:uid="{00000000-0005-0000-0000-0000F35B0000}"/>
    <cellStyle name="Normal 4 4 5 3 2" xfId="36539" xr:uid="{00000000-0005-0000-0000-0000F45B0000}"/>
    <cellStyle name="Normal 4 4 5 3 2 2" xfId="36540" xr:uid="{00000000-0005-0000-0000-0000F55B0000}"/>
    <cellStyle name="Normal 4 4 5 3 2 2 2" xfId="535" xr:uid="{00000000-0005-0000-0000-0000F65B0000}"/>
    <cellStyle name="Normal 4 4 5 3 2 3" xfId="36541" xr:uid="{00000000-0005-0000-0000-0000F75B0000}"/>
    <cellStyle name="Normal 4 4 5 3 3" xfId="36542" xr:uid="{00000000-0005-0000-0000-0000F85B0000}"/>
    <cellStyle name="Normal 4 4 5 3 3 2" xfId="36543" xr:uid="{00000000-0005-0000-0000-0000F95B0000}"/>
    <cellStyle name="Normal 4 4 5 3 4" xfId="36545" xr:uid="{00000000-0005-0000-0000-0000FA5B0000}"/>
    <cellStyle name="Normal 4 4 5 4" xfId="36546" xr:uid="{00000000-0005-0000-0000-0000FB5B0000}"/>
    <cellStyle name="Normal 4 4 5 4 2" xfId="36547" xr:uid="{00000000-0005-0000-0000-0000FC5B0000}"/>
    <cellStyle name="Normal 4 4 5 4 2 2" xfId="36548" xr:uid="{00000000-0005-0000-0000-0000FD5B0000}"/>
    <cellStyle name="Normal 4 4 5 4 3" xfId="36549" xr:uid="{00000000-0005-0000-0000-0000FE5B0000}"/>
    <cellStyle name="Normal 4 4 5 5" xfId="36550" xr:uid="{00000000-0005-0000-0000-0000FF5B0000}"/>
    <cellStyle name="Normal 4 4 5 5 2" xfId="36551" xr:uid="{00000000-0005-0000-0000-0000005C0000}"/>
    <cellStyle name="Normal 4 4 5 5 2 2" xfId="36553" xr:uid="{00000000-0005-0000-0000-0000015C0000}"/>
    <cellStyle name="Normal 4 4 5 5 3" xfId="36554" xr:uid="{00000000-0005-0000-0000-0000025C0000}"/>
    <cellStyle name="Normal 4 4 5 6" xfId="5164" xr:uid="{00000000-0005-0000-0000-0000035C0000}"/>
    <cellStyle name="Normal 4 4 5 6 2" xfId="36555" xr:uid="{00000000-0005-0000-0000-0000045C0000}"/>
    <cellStyle name="Normal 4 4 5 7" xfId="36556" xr:uid="{00000000-0005-0000-0000-0000055C0000}"/>
    <cellStyle name="Normal 4 4 5 7 2" xfId="36557" xr:uid="{00000000-0005-0000-0000-0000065C0000}"/>
    <cellStyle name="Normal 4 4 5 8" xfId="1561" xr:uid="{00000000-0005-0000-0000-0000075C0000}"/>
    <cellStyle name="Normal 4 4 5 9" xfId="16724" xr:uid="{00000000-0005-0000-0000-0000085C0000}"/>
    <cellStyle name="Normal 4 4 6" xfId="8234" xr:uid="{00000000-0005-0000-0000-0000095C0000}"/>
    <cellStyle name="Normal 4 4 6 2" xfId="8241" xr:uid="{00000000-0005-0000-0000-00000A5C0000}"/>
    <cellStyle name="Normal 4 4 6 2 2" xfId="36558" xr:uid="{00000000-0005-0000-0000-00000B5C0000}"/>
    <cellStyle name="Normal 4 4 6 2 2 2" xfId="7220" xr:uid="{00000000-0005-0000-0000-00000C5C0000}"/>
    <cellStyle name="Normal 4 4 6 2 2 2 2" xfId="36559" xr:uid="{00000000-0005-0000-0000-00000D5C0000}"/>
    <cellStyle name="Normal 4 4 6 2 2 3" xfId="36561" xr:uid="{00000000-0005-0000-0000-00000E5C0000}"/>
    <cellStyle name="Normal 4 4 6 2 3" xfId="36562" xr:uid="{00000000-0005-0000-0000-00000F5C0000}"/>
    <cellStyle name="Normal 4 4 6 2 3 2" xfId="36563" xr:uid="{00000000-0005-0000-0000-0000105C0000}"/>
    <cellStyle name="Normal 4 4 6 2 4" xfId="36565" xr:uid="{00000000-0005-0000-0000-0000115C0000}"/>
    <cellStyle name="Normal 4 4 6 3" xfId="36566" xr:uid="{00000000-0005-0000-0000-0000125C0000}"/>
    <cellStyle name="Normal 4 4 6 3 2" xfId="36567" xr:uid="{00000000-0005-0000-0000-0000135C0000}"/>
    <cellStyle name="Normal 4 4 6 3 2 2" xfId="36568" xr:uid="{00000000-0005-0000-0000-0000145C0000}"/>
    <cellStyle name="Normal 4 4 6 3 3" xfId="36569" xr:uid="{00000000-0005-0000-0000-0000155C0000}"/>
    <cellStyle name="Normal 4 4 6 4" xfId="36570" xr:uid="{00000000-0005-0000-0000-0000165C0000}"/>
    <cellStyle name="Normal 4 4 6 4 2" xfId="36571" xr:uid="{00000000-0005-0000-0000-0000175C0000}"/>
    <cellStyle name="Normal 4 4 6 4 2 2" xfId="899" xr:uid="{00000000-0005-0000-0000-0000185C0000}"/>
    <cellStyle name="Normal 4 4 6 4 3" xfId="36572" xr:uid="{00000000-0005-0000-0000-0000195C0000}"/>
    <cellStyle name="Normal 4 4 6 5" xfId="36573" xr:uid="{00000000-0005-0000-0000-00001A5C0000}"/>
    <cellStyle name="Normal 4 4 6 5 2" xfId="36574" xr:uid="{00000000-0005-0000-0000-00001B5C0000}"/>
    <cellStyle name="Normal 4 4 6 6" xfId="36575" xr:uid="{00000000-0005-0000-0000-00001C5C0000}"/>
    <cellStyle name="Normal 4 4 6 6 2" xfId="36576" xr:uid="{00000000-0005-0000-0000-00001D5C0000}"/>
    <cellStyle name="Normal 4 4 6 7" xfId="36577" xr:uid="{00000000-0005-0000-0000-00001E5C0000}"/>
    <cellStyle name="Normal 4 4 6 8" xfId="36578" xr:uid="{00000000-0005-0000-0000-00001F5C0000}"/>
    <cellStyle name="Normal 4 4 7" xfId="8272" xr:uid="{00000000-0005-0000-0000-0000205C0000}"/>
    <cellStyle name="Normal 4 4 7 2" xfId="810" xr:uid="{00000000-0005-0000-0000-0000215C0000}"/>
    <cellStyle name="Normal 4 4 7 3" xfId="835" xr:uid="{00000000-0005-0000-0000-0000225C0000}"/>
    <cellStyle name="Normal 4 4 8" xfId="4086" xr:uid="{00000000-0005-0000-0000-0000235C0000}"/>
    <cellStyle name="Normal 4 4 8 2" xfId="4102" xr:uid="{00000000-0005-0000-0000-0000245C0000}"/>
    <cellStyle name="Normal 4 4 8 2 2" xfId="8284" xr:uid="{00000000-0005-0000-0000-0000255C0000}"/>
    <cellStyle name="Normal 4 4 8 2 2 2" xfId="36579" xr:uid="{00000000-0005-0000-0000-0000265C0000}"/>
    <cellStyle name="Normal 4 4 8 2 3" xfId="16990" xr:uid="{00000000-0005-0000-0000-0000275C0000}"/>
    <cellStyle name="Normal 4 4 8 3" xfId="5218" xr:uid="{00000000-0005-0000-0000-0000285C0000}"/>
    <cellStyle name="Normal 4 4 8 3 2" xfId="20960" xr:uid="{00000000-0005-0000-0000-0000295C0000}"/>
    <cellStyle name="Normal 4 4 8 3 2 2" xfId="25702" xr:uid="{00000000-0005-0000-0000-00002A5C0000}"/>
    <cellStyle name="Normal 4 4 8 3 3" xfId="16999" xr:uid="{00000000-0005-0000-0000-00002B5C0000}"/>
    <cellStyle name="Normal 4 4 8 4" xfId="25475" xr:uid="{00000000-0005-0000-0000-00002C5C0000}"/>
    <cellStyle name="Normal 4 4 8 4 2" xfId="23228" xr:uid="{00000000-0005-0000-0000-00002D5C0000}"/>
    <cellStyle name="Normal 4 4 8 5" xfId="25477" xr:uid="{00000000-0005-0000-0000-00002E5C0000}"/>
    <cellStyle name="Normal 4 4 8 5 2" xfId="25708" xr:uid="{00000000-0005-0000-0000-00002F5C0000}"/>
    <cellStyle name="Normal 4 4 8 6" xfId="36580" xr:uid="{00000000-0005-0000-0000-0000305C0000}"/>
    <cellStyle name="Normal 4 4 9" xfId="2040" xr:uid="{00000000-0005-0000-0000-0000315C0000}"/>
    <cellStyle name="Normal 4 5" xfId="8292" xr:uid="{00000000-0005-0000-0000-0000325C0000}"/>
    <cellStyle name="Normal 4 5 2" xfId="5370" xr:uid="{00000000-0005-0000-0000-0000335C0000}"/>
    <cellStyle name="Normal 4 5 2 2" xfId="8301" xr:uid="{00000000-0005-0000-0000-0000345C0000}"/>
    <cellStyle name="Normal 4 5 3" xfId="8337" xr:uid="{00000000-0005-0000-0000-0000355C0000}"/>
    <cellStyle name="Normal 4 6" xfId="8391" xr:uid="{00000000-0005-0000-0000-0000365C0000}"/>
    <cellStyle name="Normal 4 7" xfId="20559" xr:uid="{00000000-0005-0000-0000-0000375C0000}"/>
    <cellStyle name="Normal 4_Copia de Copia de ANTIDROGAS 2011" xfId="3514" xr:uid="{00000000-0005-0000-0000-0000385C0000}"/>
    <cellStyle name="Normal 40" xfId="27529" xr:uid="{00000000-0005-0000-0000-0000395C0000}"/>
    <cellStyle name="Normal 40 10" xfId="27533" xr:uid="{00000000-0005-0000-0000-00003A5C0000}"/>
    <cellStyle name="Normal 40 10 2" xfId="27536" xr:uid="{00000000-0005-0000-0000-00003B5C0000}"/>
    <cellStyle name="Normal 40 10 2 2" xfId="27538" xr:uid="{00000000-0005-0000-0000-00003C5C0000}"/>
    <cellStyle name="Normal 40 10 2 2 2" xfId="27541" xr:uid="{00000000-0005-0000-0000-00003D5C0000}"/>
    <cellStyle name="Normal 40 10 2 3" xfId="27544" xr:uid="{00000000-0005-0000-0000-00003E5C0000}"/>
    <cellStyle name="Normal 40 10 2 4" xfId="27546" xr:uid="{00000000-0005-0000-0000-00003F5C0000}"/>
    <cellStyle name="Normal 40 10 3" xfId="27548" xr:uid="{00000000-0005-0000-0000-0000405C0000}"/>
    <cellStyle name="Normal 40 10 3 2" xfId="27550" xr:uid="{00000000-0005-0000-0000-0000415C0000}"/>
    <cellStyle name="Normal 40 10 4" xfId="27552" xr:uid="{00000000-0005-0000-0000-0000425C0000}"/>
    <cellStyle name="Normal 40 10 4 2" xfId="27554" xr:uid="{00000000-0005-0000-0000-0000435C0000}"/>
    <cellStyle name="Normal 40 10 5" xfId="27557" xr:uid="{00000000-0005-0000-0000-0000445C0000}"/>
    <cellStyle name="Normal 40 10 6" xfId="27559" xr:uid="{00000000-0005-0000-0000-0000455C0000}"/>
    <cellStyle name="Normal 40 11" xfId="27562" xr:uid="{00000000-0005-0000-0000-0000465C0000}"/>
    <cellStyle name="Normal 40 11 2" xfId="27564" xr:uid="{00000000-0005-0000-0000-0000475C0000}"/>
    <cellStyle name="Normal 40 11 2 2" xfId="27566" xr:uid="{00000000-0005-0000-0000-0000485C0000}"/>
    <cellStyle name="Normal 40 11 3" xfId="27568" xr:uid="{00000000-0005-0000-0000-0000495C0000}"/>
    <cellStyle name="Normal 40 11 4" xfId="27570" xr:uid="{00000000-0005-0000-0000-00004A5C0000}"/>
    <cellStyle name="Normal 40 12" xfId="27573" xr:uid="{00000000-0005-0000-0000-00004B5C0000}"/>
    <cellStyle name="Normal 40 12 2" xfId="27576" xr:uid="{00000000-0005-0000-0000-00004C5C0000}"/>
    <cellStyle name="Normal 40 12 2 2" xfId="27579" xr:uid="{00000000-0005-0000-0000-00004D5C0000}"/>
    <cellStyle name="Normal 40 12 3" xfId="27582" xr:uid="{00000000-0005-0000-0000-00004E5C0000}"/>
    <cellStyle name="Normal 40 13" xfId="27584" xr:uid="{00000000-0005-0000-0000-00004F5C0000}"/>
    <cellStyle name="Normal 40 13 2" xfId="27588" xr:uid="{00000000-0005-0000-0000-0000505C0000}"/>
    <cellStyle name="Normal 40 14" xfId="27590" xr:uid="{00000000-0005-0000-0000-0000515C0000}"/>
    <cellStyle name="Normal 40 14 2" xfId="27595" xr:uid="{00000000-0005-0000-0000-0000525C0000}"/>
    <cellStyle name="Normal 40 15" xfId="17361" xr:uid="{00000000-0005-0000-0000-0000535C0000}"/>
    <cellStyle name="Normal 40 15 2" xfId="6919" xr:uid="{00000000-0005-0000-0000-0000545C0000}"/>
    <cellStyle name="Normal 40 16" xfId="17364" xr:uid="{00000000-0005-0000-0000-0000555C0000}"/>
    <cellStyle name="Normal 40 17" xfId="27597" xr:uid="{00000000-0005-0000-0000-0000565C0000}"/>
    <cellStyle name="Normal 40 2" xfId="27599" xr:uid="{00000000-0005-0000-0000-0000575C0000}"/>
    <cellStyle name="Normal 40 2 10" xfId="27601" xr:uid="{00000000-0005-0000-0000-0000585C0000}"/>
    <cellStyle name="Normal 40 2 10 2" xfId="8256" xr:uid="{00000000-0005-0000-0000-0000595C0000}"/>
    <cellStyle name="Normal 40 2 11" xfId="27606" xr:uid="{00000000-0005-0000-0000-00005A5C0000}"/>
    <cellStyle name="Normal 40 2 11 2" xfId="27611" xr:uid="{00000000-0005-0000-0000-00005B5C0000}"/>
    <cellStyle name="Normal 40 2 12" xfId="27614" xr:uid="{00000000-0005-0000-0000-00005C5C0000}"/>
    <cellStyle name="Normal 40 2 12 2" xfId="27617" xr:uid="{00000000-0005-0000-0000-00005D5C0000}"/>
    <cellStyle name="Normal 40 2 13" xfId="27619" xr:uid="{00000000-0005-0000-0000-00005E5C0000}"/>
    <cellStyle name="Normal 40 2 14" xfId="27622" xr:uid="{00000000-0005-0000-0000-00005F5C0000}"/>
    <cellStyle name="Normal 40 2 2" xfId="27624" xr:uid="{00000000-0005-0000-0000-0000605C0000}"/>
    <cellStyle name="Normal 40 2 2 10" xfId="20039" xr:uid="{00000000-0005-0000-0000-0000615C0000}"/>
    <cellStyle name="Normal 40 2 2 2" xfId="19682" xr:uid="{00000000-0005-0000-0000-0000625C0000}"/>
    <cellStyle name="Normal 40 2 2 2 2" xfId="21262" xr:uid="{00000000-0005-0000-0000-0000635C0000}"/>
    <cellStyle name="Normal 40 2 2 2 2 2" xfId="16457" xr:uid="{00000000-0005-0000-0000-0000645C0000}"/>
    <cellStyle name="Normal 40 2 2 2 2 2 2" xfId="21265" xr:uid="{00000000-0005-0000-0000-0000655C0000}"/>
    <cellStyle name="Normal 40 2 2 2 2 2 2 2" xfId="17807" xr:uid="{00000000-0005-0000-0000-0000665C0000}"/>
    <cellStyle name="Normal 40 2 2 2 2 2 2 2 2" xfId="16634" xr:uid="{00000000-0005-0000-0000-0000675C0000}"/>
    <cellStyle name="Normal 40 2 2 2 2 2 2 3" xfId="27626" xr:uid="{00000000-0005-0000-0000-0000685C0000}"/>
    <cellStyle name="Normal 40 2 2 2 2 2 3" xfId="11100" xr:uid="{00000000-0005-0000-0000-0000695C0000}"/>
    <cellStyle name="Normal 40 2 2 2 2 2 3 2" xfId="27628" xr:uid="{00000000-0005-0000-0000-00006A5C0000}"/>
    <cellStyle name="Normal 40 2 2 2 2 2 4" xfId="27630" xr:uid="{00000000-0005-0000-0000-00006B5C0000}"/>
    <cellStyle name="Normal 40 2 2 2 2 3" xfId="21268" xr:uid="{00000000-0005-0000-0000-00006C5C0000}"/>
    <cellStyle name="Normal 40 2 2 2 2 3 2" xfId="27632" xr:uid="{00000000-0005-0000-0000-00006D5C0000}"/>
    <cellStyle name="Normal 40 2 2 2 2 3 2 2" xfId="27636" xr:uid="{00000000-0005-0000-0000-00006E5C0000}"/>
    <cellStyle name="Normal 40 2 2 2 2 3 3" xfId="27638" xr:uid="{00000000-0005-0000-0000-00006F5C0000}"/>
    <cellStyle name="Normal 40 2 2 2 2 4" xfId="27641" xr:uid="{00000000-0005-0000-0000-0000705C0000}"/>
    <cellStyle name="Normal 40 2 2 2 2 4 2" xfId="27645" xr:uid="{00000000-0005-0000-0000-0000715C0000}"/>
    <cellStyle name="Normal 40 2 2 2 2 4 2 2" xfId="18643" xr:uid="{00000000-0005-0000-0000-0000725C0000}"/>
    <cellStyle name="Normal 40 2 2 2 2 4 3" xfId="27649" xr:uid="{00000000-0005-0000-0000-0000735C0000}"/>
    <cellStyle name="Normal 40 2 2 2 2 5" xfId="27651" xr:uid="{00000000-0005-0000-0000-0000745C0000}"/>
    <cellStyle name="Normal 40 2 2 2 2 5 2" xfId="27655" xr:uid="{00000000-0005-0000-0000-0000755C0000}"/>
    <cellStyle name="Normal 40 2 2 2 2 6" xfId="25492" xr:uid="{00000000-0005-0000-0000-0000765C0000}"/>
    <cellStyle name="Normal 40 2 2 2 2 6 2" xfId="23137" xr:uid="{00000000-0005-0000-0000-0000775C0000}"/>
    <cellStyle name="Normal 40 2 2 2 2 7" xfId="25000" xr:uid="{00000000-0005-0000-0000-0000785C0000}"/>
    <cellStyle name="Normal 40 2 2 2 2 8" xfId="27661" xr:uid="{00000000-0005-0000-0000-0000795C0000}"/>
    <cellStyle name="Normal 40 2 2 2 3" xfId="12685" xr:uid="{00000000-0005-0000-0000-00007A5C0000}"/>
    <cellStyle name="Normal 40 2 2 2 3 2" xfId="12960" xr:uid="{00000000-0005-0000-0000-00007B5C0000}"/>
    <cellStyle name="Normal 40 2 2 2 3 2 2" xfId="21271" xr:uid="{00000000-0005-0000-0000-00007C5C0000}"/>
    <cellStyle name="Normal 40 2 2 2 3 2 2 2" xfId="17947" xr:uid="{00000000-0005-0000-0000-00007D5C0000}"/>
    <cellStyle name="Normal 40 2 2 2 3 2 3" xfId="27665" xr:uid="{00000000-0005-0000-0000-00007E5C0000}"/>
    <cellStyle name="Normal 40 2 2 2 3 3" xfId="12965" xr:uid="{00000000-0005-0000-0000-00007F5C0000}"/>
    <cellStyle name="Normal 40 2 2 2 3 3 2" xfId="27667" xr:uid="{00000000-0005-0000-0000-0000805C0000}"/>
    <cellStyle name="Normal 40 2 2 2 3 4" xfId="12968" xr:uid="{00000000-0005-0000-0000-0000815C0000}"/>
    <cellStyle name="Normal 40 2 2 2 4" xfId="3207" xr:uid="{00000000-0005-0000-0000-0000825C0000}"/>
    <cellStyle name="Normal 40 2 2 2 4 2" xfId="13001" xr:uid="{00000000-0005-0000-0000-0000835C0000}"/>
    <cellStyle name="Normal 40 2 2 2 4 2 2" xfId="27671" xr:uid="{00000000-0005-0000-0000-0000845C0000}"/>
    <cellStyle name="Normal 40 2 2 2 4 3" xfId="13005" xr:uid="{00000000-0005-0000-0000-0000855C0000}"/>
    <cellStyle name="Normal 40 2 2 2 5" xfId="13017" xr:uid="{00000000-0005-0000-0000-0000865C0000}"/>
    <cellStyle name="Normal 40 2 2 2 5 2" xfId="21274" xr:uid="{00000000-0005-0000-0000-0000875C0000}"/>
    <cellStyle name="Normal 40 2 2 2 5 2 2" xfId="27675" xr:uid="{00000000-0005-0000-0000-0000885C0000}"/>
    <cellStyle name="Normal 40 2 2 2 5 3" xfId="27677" xr:uid="{00000000-0005-0000-0000-0000895C0000}"/>
    <cellStyle name="Normal 40 2 2 2 6" xfId="13023" xr:uid="{00000000-0005-0000-0000-00008A5C0000}"/>
    <cellStyle name="Normal 40 2 2 2 6 2" xfId="27679" xr:uid="{00000000-0005-0000-0000-00008B5C0000}"/>
    <cellStyle name="Normal 40 2 2 2 7" xfId="13036" xr:uid="{00000000-0005-0000-0000-00008C5C0000}"/>
    <cellStyle name="Normal 40 2 2 2 7 2" xfId="12238" xr:uid="{00000000-0005-0000-0000-00008D5C0000}"/>
    <cellStyle name="Normal 40 2 2 2 8" xfId="6095" xr:uid="{00000000-0005-0000-0000-00008E5C0000}"/>
    <cellStyle name="Normal 40 2 2 2 9" xfId="6121" xr:uid="{00000000-0005-0000-0000-00008F5C0000}"/>
    <cellStyle name="Normal 40 2 2 3" xfId="15659" xr:uid="{00000000-0005-0000-0000-0000905C0000}"/>
    <cellStyle name="Normal 40 2 2 3 2" xfId="15667" xr:uid="{00000000-0005-0000-0000-0000915C0000}"/>
    <cellStyle name="Normal 40 2 2 3 2 2" xfId="15671" xr:uid="{00000000-0005-0000-0000-0000925C0000}"/>
    <cellStyle name="Normal 40 2 2 3 2 2 2" xfId="27681" xr:uid="{00000000-0005-0000-0000-0000935C0000}"/>
    <cellStyle name="Normal 40 2 2 3 2 2 2 2" xfId="25111" xr:uid="{00000000-0005-0000-0000-0000945C0000}"/>
    <cellStyle name="Normal 40 2 2 3 2 2 3" xfId="27683" xr:uid="{00000000-0005-0000-0000-0000955C0000}"/>
    <cellStyle name="Normal 40 2 2 3 2 3" xfId="27686" xr:uid="{00000000-0005-0000-0000-0000965C0000}"/>
    <cellStyle name="Normal 40 2 2 3 2 3 2" xfId="27688" xr:uid="{00000000-0005-0000-0000-0000975C0000}"/>
    <cellStyle name="Normal 40 2 2 3 2 4" xfId="27690" xr:uid="{00000000-0005-0000-0000-0000985C0000}"/>
    <cellStyle name="Normal 40 2 2 3 3" xfId="12916" xr:uid="{00000000-0005-0000-0000-0000995C0000}"/>
    <cellStyle name="Normal 40 2 2 3 3 2" xfId="27692" xr:uid="{00000000-0005-0000-0000-00009A5C0000}"/>
    <cellStyle name="Normal 40 2 2 3 3 2 2" xfId="27694" xr:uid="{00000000-0005-0000-0000-00009B5C0000}"/>
    <cellStyle name="Normal 40 2 2 3 3 3" xfId="27696" xr:uid="{00000000-0005-0000-0000-00009C5C0000}"/>
    <cellStyle name="Normal 40 2 2 3 4" xfId="27699" xr:uid="{00000000-0005-0000-0000-00009D5C0000}"/>
    <cellStyle name="Normal 40 2 2 3 4 2" xfId="27702" xr:uid="{00000000-0005-0000-0000-00009E5C0000}"/>
    <cellStyle name="Normal 40 2 2 3 4 2 2" xfId="27706" xr:uid="{00000000-0005-0000-0000-00009F5C0000}"/>
    <cellStyle name="Normal 40 2 2 3 4 3" xfId="27708" xr:uid="{00000000-0005-0000-0000-0000A05C0000}"/>
    <cellStyle name="Normal 40 2 2 3 5" xfId="27710" xr:uid="{00000000-0005-0000-0000-0000A15C0000}"/>
    <cellStyle name="Normal 40 2 2 3 5 2" xfId="19568" xr:uid="{00000000-0005-0000-0000-0000A25C0000}"/>
    <cellStyle name="Normal 40 2 2 3 6" xfId="13092" xr:uid="{00000000-0005-0000-0000-0000A35C0000}"/>
    <cellStyle name="Normal 40 2 2 3 6 2" xfId="27712" xr:uid="{00000000-0005-0000-0000-0000A45C0000}"/>
    <cellStyle name="Normal 40 2 2 3 7" xfId="11773" xr:uid="{00000000-0005-0000-0000-0000A55C0000}"/>
    <cellStyle name="Normal 40 2 2 3 8" xfId="6168" xr:uid="{00000000-0005-0000-0000-0000A65C0000}"/>
    <cellStyle name="Normal 40 2 2 4" xfId="15674" xr:uid="{00000000-0005-0000-0000-0000A75C0000}"/>
    <cellStyle name="Normal 40 2 2 4 2" xfId="15678" xr:uid="{00000000-0005-0000-0000-0000A85C0000}"/>
    <cellStyle name="Normal 40 2 2 4 2 2" xfId="17036" xr:uid="{00000000-0005-0000-0000-0000A95C0000}"/>
    <cellStyle name="Normal 40 2 2 4 2 2 2" xfId="17039" xr:uid="{00000000-0005-0000-0000-0000AA5C0000}"/>
    <cellStyle name="Normal 40 2 2 4 2 3" xfId="17042" xr:uid="{00000000-0005-0000-0000-0000AB5C0000}"/>
    <cellStyle name="Normal 40 2 2 4 3" xfId="27714" xr:uid="{00000000-0005-0000-0000-0000AC5C0000}"/>
    <cellStyle name="Normal 40 2 2 4 3 2" xfId="1545" xr:uid="{00000000-0005-0000-0000-0000AD5C0000}"/>
    <cellStyle name="Normal 40 2 2 4 4" xfId="27718" xr:uid="{00000000-0005-0000-0000-0000AE5C0000}"/>
    <cellStyle name="Normal 40 2 2 5" xfId="15681" xr:uid="{00000000-0005-0000-0000-0000AF5C0000}"/>
    <cellStyle name="Normal 40 2 2 5 2" xfId="21286" xr:uid="{00000000-0005-0000-0000-0000B05C0000}"/>
    <cellStyle name="Normal 40 2 2 5 2 2" xfId="17238" xr:uid="{00000000-0005-0000-0000-0000B15C0000}"/>
    <cellStyle name="Normal 40 2 2 5 3" xfId="27721" xr:uid="{00000000-0005-0000-0000-0000B25C0000}"/>
    <cellStyle name="Normal 40 2 2 6" xfId="15684" xr:uid="{00000000-0005-0000-0000-0000B35C0000}"/>
    <cellStyle name="Normal 40 2 2 6 2" xfId="26818" xr:uid="{00000000-0005-0000-0000-0000B45C0000}"/>
    <cellStyle name="Normal 40 2 2 6 2 2" xfId="17325" xr:uid="{00000000-0005-0000-0000-0000B55C0000}"/>
    <cellStyle name="Normal 40 2 2 6 3" xfId="1807" xr:uid="{00000000-0005-0000-0000-0000B65C0000}"/>
    <cellStyle name="Normal 40 2 2 7" xfId="27724" xr:uid="{00000000-0005-0000-0000-0000B75C0000}"/>
    <cellStyle name="Normal 40 2 2 7 2" xfId="26821" xr:uid="{00000000-0005-0000-0000-0000B85C0000}"/>
    <cellStyle name="Normal 40 2 2 8" xfId="27726" xr:uid="{00000000-0005-0000-0000-0000B95C0000}"/>
    <cellStyle name="Normal 40 2 2 8 2" xfId="26825" xr:uid="{00000000-0005-0000-0000-0000BA5C0000}"/>
    <cellStyle name="Normal 40 2 2 9" xfId="27728" xr:uid="{00000000-0005-0000-0000-0000BB5C0000}"/>
    <cellStyle name="Normal 40 2 3" xfId="474" xr:uid="{00000000-0005-0000-0000-0000BC5C0000}"/>
    <cellStyle name="Normal 40 2 3 2" xfId="8558" xr:uid="{00000000-0005-0000-0000-0000BD5C0000}"/>
    <cellStyle name="Normal 40 2 3 2 2" xfId="8565" xr:uid="{00000000-0005-0000-0000-0000BE5C0000}"/>
    <cellStyle name="Normal 40 2 3 2 2 2" xfId="7964" xr:uid="{00000000-0005-0000-0000-0000BF5C0000}"/>
    <cellStyle name="Normal 40 2 3 2 2 2 2" xfId="3778" xr:uid="{00000000-0005-0000-0000-0000C05C0000}"/>
    <cellStyle name="Normal 40 2 3 2 2 2 2 2" xfId="27730" xr:uid="{00000000-0005-0000-0000-0000C15C0000}"/>
    <cellStyle name="Normal 40 2 3 2 2 2 3" xfId="8573" xr:uid="{00000000-0005-0000-0000-0000C25C0000}"/>
    <cellStyle name="Normal 40 2 3 2 2 3" xfId="27732" xr:uid="{00000000-0005-0000-0000-0000C35C0000}"/>
    <cellStyle name="Normal 40 2 3 2 2 3 2" xfId="8578" xr:uid="{00000000-0005-0000-0000-0000C45C0000}"/>
    <cellStyle name="Normal 40 2 3 2 2 4" xfId="27734" xr:uid="{00000000-0005-0000-0000-0000C55C0000}"/>
    <cellStyle name="Normal 40 2 3 2 2 5" xfId="26522" xr:uid="{00000000-0005-0000-0000-0000C65C0000}"/>
    <cellStyle name="Normal 40 2 3 2 3" xfId="3685" xr:uid="{00000000-0005-0000-0000-0000C75C0000}"/>
    <cellStyle name="Normal 40 2 3 2 3 2" xfId="27739" xr:uid="{00000000-0005-0000-0000-0000C85C0000}"/>
    <cellStyle name="Normal 40 2 3 2 3 2 2" xfId="8587" xr:uid="{00000000-0005-0000-0000-0000C95C0000}"/>
    <cellStyle name="Normal 40 2 3 2 3 3" xfId="27743" xr:uid="{00000000-0005-0000-0000-0000CA5C0000}"/>
    <cellStyle name="Normal 40 2 3 2 4" xfId="3704" xr:uid="{00000000-0005-0000-0000-0000CB5C0000}"/>
    <cellStyle name="Normal 40 2 3 2 4 2" xfId="27745" xr:uid="{00000000-0005-0000-0000-0000CC5C0000}"/>
    <cellStyle name="Normal 40 2 3 2 4 2 2" xfId="249" xr:uid="{00000000-0005-0000-0000-0000CD5C0000}"/>
    <cellStyle name="Normal 40 2 3 2 4 3" xfId="27747" xr:uid="{00000000-0005-0000-0000-0000CE5C0000}"/>
    <cellStyle name="Normal 40 2 3 2 5" xfId="27749" xr:uid="{00000000-0005-0000-0000-0000CF5C0000}"/>
    <cellStyle name="Normal 40 2 3 2 5 2" xfId="27751" xr:uid="{00000000-0005-0000-0000-0000D05C0000}"/>
    <cellStyle name="Normal 40 2 3 2 6" xfId="27753" xr:uid="{00000000-0005-0000-0000-0000D15C0000}"/>
    <cellStyle name="Normal 40 2 3 2 6 2" xfId="27755" xr:uid="{00000000-0005-0000-0000-0000D25C0000}"/>
    <cellStyle name="Normal 40 2 3 2 7" xfId="27757" xr:uid="{00000000-0005-0000-0000-0000D35C0000}"/>
    <cellStyle name="Normal 40 2 3 2 8" xfId="6280" xr:uid="{00000000-0005-0000-0000-0000D45C0000}"/>
    <cellStyle name="Normal 40 2 3 3" xfId="4830" xr:uid="{00000000-0005-0000-0000-0000D55C0000}"/>
    <cellStyle name="Normal 40 2 3 3 2" xfId="4842" xr:uid="{00000000-0005-0000-0000-0000D65C0000}"/>
    <cellStyle name="Normal 40 2 3 3 2 2" xfId="27759" xr:uid="{00000000-0005-0000-0000-0000D75C0000}"/>
    <cellStyle name="Normal 40 2 3 3 2 2 2" xfId="27761" xr:uid="{00000000-0005-0000-0000-0000D85C0000}"/>
    <cellStyle name="Normal 40 2 3 3 2 3" xfId="27763" xr:uid="{00000000-0005-0000-0000-0000D95C0000}"/>
    <cellStyle name="Normal 40 2 3 3 3" xfId="27765" xr:uid="{00000000-0005-0000-0000-0000DA5C0000}"/>
    <cellStyle name="Normal 40 2 3 3 3 2" xfId="27769" xr:uid="{00000000-0005-0000-0000-0000DB5C0000}"/>
    <cellStyle name="Normal 40 2 3 3 4" xfId="27772" xr:uid="{00000000-0005-0000-0000-0000DC5C0000}"/>
    <cellStyle name="Normal 40 2 3 3 5" xfId="27774" xr:uid="{00000000-0005-0000-0000-0000DD5C0000}"/>
    <cellStyle name="Normal 40 2 3 4" xfId="4846" xr:uid="{00000000-0005-0000-0000-0000DE5C0000}"/>
    <cellStyle name="Normal 40 2 3 4 2" xfId="8608" xr:uid="{00000000-0005-0000-0000-0000DF5C0000}"/>
    <cellStyle name="Normal 40 2 3 4 2 2" xfId="27776" xr:uid="{00000000-0005-0000-0000-0000E05C0000}"/>
    <cellStyle name="Normal 40 2 3 4 3" xfId="27778" xr:uid="{00000000-0005-0000-0000-0000E15C0000}"/>
    <cellStyle name="Normal 40 2 3 5" xfId="8612" xr:uid="{00000000-0005-0000-0000-0000E25C0000}"/>
    <cellStyle name="Normal 40 2 3 5 2" xfId="27781" xr:uid="{00000000-0005-0000-0000-0000E35C0000}"/>
    <cellStyle name="Normal 40 2 3 5 2 2" xfId="27783" xr:uid="{00000000-0005-0000-0000-0000E45C0000}"/>
    <cellStyle name="Normal 40 2 3 5 3" xfId="27785" xr:uid="{00000000-0005-0000-0000-0000E55C0000}"/>
    <cellStyle name="Normal 40 2 3 6" xfId="8618" xr:uid="{00000000-0005-0000-0000-0000E65C0000}"/>
    <cellStyle name="Normal 40 2 3 6 2" xfId="26834" xr:uid="{00000000-0005-0000-0000-0000E75C0000}"/>
    <cellStyle name="Normal 40 2 3 7" xfId="27788" xr:uid="{00000000-0005-0000-0000-0000E85C0000}"/>
    <cellStyle name="Normal 40 2 3 7 2" xfId="27790" xr:uid="{00000000-0005-0000-0000-0000E95C0000}"/>
    <cellStyle name="Normal 40 2 3 8" xfId="27792" xr:uid="{00000000-0005-0000-0000-0000EA5C0000}"/>
    <cellStyle name="Normal 40 2 3 9" xfId="27794" xr:uid="{00000000-0005-0000-0000-0000EB5C0000}"/>
    <cellStyle name="Normal 40 2 4" xfId="598" xr:uid="{00000000-0005-0000-0000-0000EC5C0000}"/>
    <cellStyle name="Normal 40 2 4 2" xfId="844" xr:uid="{00000000-0005-0000-0000-0000ED5C0000}"/>
    <cellStyle name="Normal 40 2 4 2 2" xfId="105" xr:uid="{00000000-0005-0000-0000-0000EE5C0000}"/>
    <cellStyle name="Normal 40 2 4 2 2 2" xfId="27796" xr:uid="{00000000-0005-0000-0000-0000EF5C0000}"/>
    <cellStyle name="Normal 40 2 4 2 2 2 2" xfId="27798" xr:uid="{00000000-0005-0000-0000-0000F05C0000}"/>
    <cellStyle name="Normal 40 2 4 2 2 2 2 2" xfId="27801" xr:uid="{00000000-0005-0000-0000-0000F15C0000}"/>
    <cellStyle name="Normal 40 2 4 2 2 2 3" xfId="27803" xr:uid="{00000000-0005-0000-0000-0000F25C0000}"/>
    <cellStyle name="Normal 40 2 4 2 2 3" xfId="27805" xr:uid="{00000000-0005-0000-0000-0000F35C0000}"/>
    <cellStyle name="Normal 40 2 4 2 2 3 2" xfId="27807" xr:uid="{00000000-0005-0000-0000-0000F45C0000}"/>
    <cellStyle name="Normal 40 2 4 2 2 4" xfId="27809" xr:uid="{00000000-0005-0000-0000-0000F55C0000}"/>
    <cellStyle name="Normal 40 2 4 2 3" xfId="3735" xr:uid="{00000000-0005-0000-0000-0000F65C0000}"/>
    <cellStyle name="Normal 40 2 4 2 3 2" xfId="27813" xr:uid="{00000000-0005-0000-0000-0000F75C0000}"/>
    <cellStyle name="Normal 40 2 4 2 3 2 2" xfId="27818" xr:uid="{00000000-0005-0000-0000-0000F85C0000}"/>
    <cellStyle name="Normal 40 2 4 2 3 3" xfId="27822" xr:uid="{00000000-0005-0000-0000-0000F95C0000}"/>
    <cellStyle name="Normal 40 2 4 2 4" xfId="27826" xr:uid="{00000000-0005-0000-0000-0000FA5C0000}"/>
    <cellStyle name="Normal 40 2 4 2 4 2" xfId="27828" xr:uid="{00000000-0005-0000-0000-0000FB5C0000}"/>
    <cellStyle name="Normal 40 2 4 2 4 2 2" xfId="27830" xr:uid="{00000000-0005-0000-0000-0000FC5C0000}"/>
    <cellStyle name="Normal 40 2 4 2 4 3" xfId="19873" xr:uid="{00000000-0005-0000-0000-0000FD5C0000}"/>
    <cellStyle name="Normal 40 2 4 2 5" xfId="27832" xr:uid="{00000000-0005-0000-0000-0000FE5C0000}"/>
    <cellStyle name="Normal 40 2 4 2 5 2" xfId="27836" xr:uid="{00000000-0005-0000-0000-0000FF5C0000}"/>
    <cellStyle name="Normal 40 2 4 2 6" xfId="27840" xr:uid="{00000000-0005-0000-0000-0000005D0000}"/>
    <cellStyle name="Normal 40 2 4 2 6 2" xfId="27844" xr:uid="{00000000-0005-0000-0000-0000015D0000}"/>
    <cellStyle name="Normal 40 2 4 2 7" xfId="27848" xr:uid="{00000000-0005-0000-0000-0000025D0000}"/>
    <cellStyle name="Normal 40 2 4 2 8" xfId="27851" xr:uid="{00000000-0005-0000-0000-0000035D0000}"/>
    <cellStyle name="Normal 40 2 4 3" xfId="1112" xr:uid="{00000000-0005-0000-0000-0000045D0000}"/>
    <cellStyle name="Normal 40 2 4 3 2" xfId="4860" xr:uid="{00000000-0005-0000-0000-0000055D0000}"/>
    <cellStyle name="Normal 40 2 4 3 2 2" xfId="27853" xr:uid="{00000000-0005-0000-0000-0000065D0000}"/>
    <cellStyle name="Normal 40 2 4 3 2 2 2" xfId="27855" xr:uid="{00000000-0005-0000-0000-0000075D0000}"/>
    <cellStyle name="Normal 40 2 4 3 2 3" xfId="27857" xr:uid="{00000000-0005-0000-0000-0000085D0000}"/>
    <cellStyle name="Normal 40 2 4 3 3" xfId="27859" xr:uid="{00000000-0005-0000-0000-0000095D0000}"/>
    <cellStyle name="Normal 40 2 4 3 3 2" xfId="27863" xr:uid="{00000000-0005-0000-0000-00000A5D0000}"/>
    <cellStyle name="Normal 40 2 4 3 4" xfId="27865" xr:uid="{00000000-0005-0000-0000-00000B5D0000}"/>
    <cellStyle name="Normal 40 2 4 4" xfId="4574" xr:uid="{00000000-0005-0000-0000-00000C5D0000}"/>
    <cellStyle name="Normal 40 2 4 4 2" xfId="27867" xr:uid="{00000000-0005-0000-0000-00000D5D0000}"/>
    <cellStyle name="Normal 40 2 4 4 2 2" xfId="27869" xr:uid="{00000000-0005-0000-0000-00000E5D0000}"/>
    <cellStyle name="Normal 40 2 4 4 3" xfId="2676" xr:uid="{00000000-0005-0000-0000-00000F5D0000}"/>
    <cellStyle name="Normal 40 2 4 5" xfId="27871" xr:uid="{00000000-0005-0000-0000-0000105D0000}"/>
    <cellStyle name="Normal 40 2 4 5 2" xfId="27873" xr:uid="{00000000-0005-0000-0000-0000115D0000}"/>
    <cellStyle name="Normal 40 2 4 5 2 2" xfId="27875" xr:uid="{00000000-0005-0000-0000-0000125D0000}"/>
    <cellStyle name="Normal 40 2 4 5 3" xfId="10315" xr:uid="{00000000-0005-0000-0000-0000135D0000}"/>
    <cellStyle name="Normal 40 2 4 6" xfId="27877" xr:uid="{00000000-0005-0000-0000-0000145D0000}"/>
    <cellStyle name="Normal 40 2 4 6 2" xfId="27879" xr:uid="{00000000-0005-0000-0000-0000155D0000}"/>
    <cellStyle name="Normal 40 2 4 7" xfId="27881" xr:uid="{00000000-0005-0000-0000-0000165D0000}"/>
    <cellStyle name="Normal 40 2 4 7 2" xfId="27883" xr:uid="{00000000-0005-0000-0000-0000175D0000}"/>
    <cellStyle name="Normal 40 2 4 8" xfId="27885" xr:uid="{00000000-0005-0000-0000-0000185D0000}"/>
    <cellStyle name="Normal 40 2 4 9" xfId="27887" xr:uid="{00000000-0005-0000-0000-0000195D0000}"/>
    <cellStyle name="Normal 40 2 5" xfId="700" xr:uid="{00000000-0005-0000-0000-00001A5D0000}"/>
    <cellStyle name="Normal 40 2 5 2" xfId="4131" xr:uid="{00000000-0005-0000-0000-00001B5D0000}"/>
    <cellStyle name="Normal 40 2 5 2 2" xfId="4781" xr:uid="{00000000-0005-0000-0000-00001C5D0000}"/>
    <cellStyle name="Normal 40 2 5 2 2 2" xfId="8645" xr:uid="{00000000-0005-0000-0000-00001D5D0000}"/>
    <cellStyle name="Normal 40 2 5 2 2 2 2" xfId="27889" xr:uid="{00000000-0005-0000-0000-00001E5D0000}"/>
    <cellStyle name="Normal 40 2 5 2 2 2 2 2" xfId="27891" xr:uid="{00000000-0005-0000-0000-00001F5D0000}"/>
    <cellStyle name="Normal 40 2 5 2 2 2 3" xfId="27893" xr:uid="{00000000-0005-0000-0000-0000205D0000}"/>
    <cellStyle name="Normal 40 2 5 2 2 3" xfId="19724" xr:uid="{00000000-0005-0000-0000-0000215D0000}"/>
    <cellStyle name="Normal 40 2 5 2 2 3 2" xfId="19728" xr:uid="{00000000-0005-0000-0000-0000225D0000}"/>
    <cellStyle name="Normal 40 2 5 2 2 4" xfId="3579" xr:uid="{00000000-0005-0000-0000-0000235D0000}"/>
    <cellStyle name="Normal 40 2 5 2 3" xfId="3806" xr:uid="{00000000-0005-0000-0000-0000245D0000}"/>
    <cellStyle name="Normal 40 2 5 2 3 2" xfId="17476" xr:uid="{00000000-0005-0000-0000-0000255D0000}"/>
    <cellStyle name="Normal 40 2 5 2 3 2 2" xfId="27895" xr:uid="{00000000-0005-0000-0000-0000265D0000}"/>
    <cellStyle name="Normal 40 2 5 2 3 3" xfId="19732" xr:uid="{00000000-0005-0000-0000-0000275D0000}"/>
    <cellStyle name="Normal 40 2 5 2 4" xfId="17480" xr:uid="{00000000-0005-0000-0000-0000285D0000}"/>
    <cellStyle name="Normal 40 2 5 2 4 2" xfId="17485" xr:uid="{00000000-0005-0000-0000-0000295D0000}"/>
    <cellStyle name="Normal 40 2 5 2 4 2 2" xfId="27897" xr:uid="{00000000-0005-0000-0000-00002A5D0000}"/>
    <cellStyle name="Normal 40 2 5 2 4 3" xfId="19735" xr:uid="{00000000-0005-0000-0000-00002B5D0000}"/>
    <cellStyle name="Normal 40 2 5 2 5" xfId="17493" xr:uid="{00000000-0005-0000-0000-00002C5D0000}"/>
    <cellStyle name="Normal 40 2 5 2 5 2" xfId="27899" xr:uid="{00000000-0005-0000-0000-00002D5D0000}"/>
    <cellStyle name="Normal 40 2 5 2 6" xfId="13211" xr:uid="{00000000-0005-0000-0000-00002E5D0000}"/>
    <cellStyle name="Normal 40 2 5 2 6 2" xfId="27902" xr:uid="{00000000-0005-0000-0000-00002F5D0000}"/>
    <cellStyle name="Normal 40 2 5 2 7" xfId="27904" xr:uid="{00000000-0005-0000-0000-0000305D0000}"/>
    <cellStyle name="Normal 40 2 5 2 8" xfId="27906" xr:uid="{00000000-0005-0000-0000-0000315D0000}"/>
    <cellStyle name="Normal 40 2 5 3" xfId="3997" xr:uid="{00000000-0005-0000-0000-0000325D0000}"/>
    <cellStyle name="Normal 40 2 5 3 2" xfId="27908" xr:uid="{00000000-0005-0000-0000-0000335D0000}"/>
    <cellStyle name="Normal 40 2 5 3 2 2" xfId="27910" xr:uid="{00000000-0005-0000-0000-0000345D0000}"/>
    <cellStyle name="Normal 40 2 5 3 2 2 2" xfId="7741" xr:uid="{00000000-0005-0000-0000-0000355D0000}"/>
    <cellStyle name="Normal 40 2 5 3 2 3" xfId="19764" xr:uid="{00000000-0005-0000-0000-0000365D0000}"/>
    <cellStyle name="Normal 40 2 5 3 3" xfId="19425" xr:uid="{00000000-0005-0000-0000-0000375D0000}"/>
    <cellStyle name="Normal 40 2 5 3 3 2" xfId="27912" xr:uid="{00000000-0005-0000-0000-0000385D0000}"/>
    <cellStyle name="Normal 40 2 5 3 4" xfId="27915" xr:uid="{00000000-0005-0000-0000-0000395D0000}"/>
    <cellStyle name="Normal 40 2 5 4" xfId="7229" xr:uid="{00000000-0005-0000-0000-00003A5D0000}"/>
    <cellStyle name="Normal 40 2 5 4 2" xfId="27918" xr:uid="{00000000-0005-0000-0000-00003B5D0000}"/>
    <cellStyle name="Normal 40 2 5 4 2 2" xfId="27920" xr:uid="{00000000-0005-0000-0000-00003C5D0000}"/>
    <cellStyle name="Normal 40 2 5 4 3" xfId="10623" xr:uid="{00000000-0005-0000-0000-00003D5D0000}"/>
    <cellStyle name="Normal 40 2 5 5" xfId="27922" xr:uid="{00000000-0005-0000-0000-00003E5D0000}"/>
    <cellStyle name="Normal 40 2 5 5 2" xfId="27924" xr:uid="{00000000-0005-0000-0000-00003F5D0000}"/>
    <cellStyle name="Normal 40 2 5 5 2 2" xfId="27926" xr:uid="{00000000-0005-0000-0000-0000405D0000}"/>
    <cellStyle name="Normal 40 2 5 5 3" xfId="27928" xr:uid="{00000000-0005-0000-0000-0000415D0000}"/>
    <cellStyle name="Normal 40 2 5 6" xfId="27930" xr:uid="{00000000-0005-0000-0000-0000425D0000}"/>
    <cellStyle name="Normal 40 2 5 6 2" xfId="27932" xr:uid="{00000000-0005-0000-0000-0000435D0000}"/>
    <cellStyle name="Normal 40 2 5 7" xfId="27934" xr:uid="{00000000-0005-0000-0000-0000445D0000}"/>
    <cellStyle name="Normal 40 2 5 7 2" xfId="15940" xr:uid="{00000000-0005-0000-0000-0000455D0000}"/>
    <cellStyle name="Normal 40 2 5 8" xfId="27936" xr:uid="{00000000-0005-0000-0000-0000465D0000}"/>
    <cellStyle name="Normal 40 2 5 9" xfId="19711" xr:uid="{00000000-0005-0000-0000-0000475D0000}"/>
    <cellStyle name="Normal 40 2 6" xfId="780" xr:uid="{00000000-0005-0000-0000-0000485D0000}"/>
    <cellStyle name="Normal 40 2 6 2" xfId="5807" xr:uid="{00000000-0005-0000-0000-0000495D0000}"/>
    <cellStyle name="Normal 40 2 6 2 2" xfId="27938" xr:uid="{00000000-0005-0000-0000-00004A5D0000}"/>
    <cellStyle name="Normal 40 2 6 2 2 2" xfId="27940" xr:uid="{00000000-0005-0000-0000-00004B5D0000}"/>
    <cellStyle name="Normal 40 2 6 2 2 2 2" xfId="15430" xr:uid="{00000000-0005-0000-0000-00004C5D0000}"/>
    <cellStyle name="Normal 40 2 6 2 2 3" xfId="27944" xr:uid="{00000000-0005-0000-0000-00004D5D0000}"/>
    <cellStyle name="Normal 40 2 6 2 3" xfId="27948" xr:uid="{00000000-0005-0000-0000-00004E5D0000}"/>
    <cellStyle name="Normal 40 2 6 2 3 2" xfId="27950" xr:uid="{00000000-0005-0000-0000-00004F5D0000}"/>
    <cellStyle name="Normal 40 2 6 2 4" xfId="27952" xr:uid="{00000000-0005-0000-0000-0000505D0000}"/>
    <cellStyle name="Normal 40 2 6 2 5" xfId="27954" xr:uid="{00000000-0005-0000-0000-0000515D0000}"/>
    <cellStyle name="Normal 40 2 6 3" xfId="4881" xr:uid="{00000000-0005-0000-0000-0000525D0000}"/>
    <cellStyle name="Normal 40 2 6 3 2" xfId="18675" xr:uid="{00000000-0005-0000-0000-0000535D0000}"/>
    <cellStyle name="Normal 40 2 6 3 2 2" xfId="27957" xr:uid="{00000000-0005-0000-0000-0000545D0000}"/>
    <cellStyle name="Normal 40 2 6 3 3" xfId="27959" xr:uid="{00000000-0005-0000-0000-0000555D0000}"/>
    <cellStyle name="Normal 40 2 6 4" xfId="27962" xr:uid="{00000000-0005-0000-0000-0000565D0000}"/>
    <cellStyle name="Normal 40 2 6 4 2" xfId="27964" xr:uid="{00000000-0005-0000-0000-0000575D0000}"/>
    <cellStyle name="Normal 40 2 6 4 2 2" xfId="27966" xr:uid="{00000000-0005-0000-0000-0000585D0000}"/>
    <cellStyle name="Normal 40 2 6 4 3" xfId="10667" xr:uid="{00000000-0005-0000-0000-0000595D0000}"/>
    <cellStyle name="Normal 40 2 6 5" xfId="27968" xr:uid="{00000000-0005-0000-0000-00005A5D0000}"/>
    <cellStyle name="Normal 40 2 6 5 2" xfId="27970" xr:uid="{00000000-0005-0000-0000-00005B5D0000}"/>
    <cellStyle name="Normal 40 2 6 6" xfId="11105" xr:uid="{00000000-0005-0000-0000-00005C5D0000}"/>
    <cellStyle name="Normal 40 2 6 6 2" xfId="27972" xr:uid="{00000000-0005-0000-0000-00005D5D0000}"/>
    <cellStyle name="Normal 40 2 6 7" xfId="27974" xr:uid="{00000000-0005-0000-0000-00005E5D0000}"/>
    <cellStyle name="Normal 40 2 6 8" xfId="27976" xr:uid="{00000000-0005-0000-0000-00005F5D0000}"/>
    <cellStyle name="Normal 40 2 7" xfId="826" xr:uid="{00000000-0005-0000-0000-0000605D0000}"/>
    <cellStyle name="Normal 40 2 7 2" xfId="5601" xr:uid="{00000000-0005-0000-0000-0000615D0000}"/>
    <cellStyle name="Normal 40 2 7 2 2" xfId="27978" xr:uid="{00000000-0005-0000-0000-0000625D0000}"/>
    <cellStyle name="Normal 40 2 7 2 2 2" xfId="21939" xr:uid="{00000000-0005-0000-0000-0000635D0000}"/>
    <cellStyle name="Normal 40 2 7 2 3" xfId="27980" xr:uid="{00000000-0005-0000-0000-0000645D0000}"/>
    <cellStyle name="Normal 40 2 7 3" xfId="8662" xr:uid="{00000000-0005-0000-0000-0000655D0000}"/>
    <cellStyle name="Normal 40 2 7 3 2" xfId="27982" xr:uid="{00000000-0005-0000-0000-0000665D0000}"/>
    <cellStyle name="Normal 40 2 7 4" xfId="27984" xr:uid="{00000000-0005-0000-0000-0000675D0000}"/>
    <cellStyle name="Normal 40 2 7 5" xfId="27669" xr:uid="{00000000-0005-0000-0000-0000685D0000}"/>
    <cellStyle name="Normal 40 2 8" xfId="864" xr:uid="{00000000-0005-0000-0000-0000695D0000}"/>
    <cellStyle name="Normal 40 2 8 2" xfId="4065" xr:uid="{00000000-0005-0000-0000-00006A5D0000}"/>
    <cellStyle name="Normal 40 2 8 2 2" xfId="27986" xr:uid="{00000000-0005-0000-0000-00006B5D0000}"/>
    <cellStyle name="Normal 40 2 8 3" xfId="12481" xr:uid="{00000000-0005-0000-0000-00006C5D0000}"/>
    <cellStyle name="Normal 40 2 9" xfId="5819" xr:uid="{00000000-0005-0000-0000-00006D5D0000}"/>
    <cellStyle name="Normal 40 2 9 2" xfId="4242" xr:uid="{00000000-0005-0000-0000-00006E5D0000}"/>
    <cellStyle name="Normal 40 2 9 2 2" xfId="27989" xr:uid="{00000000-0005-0000-0000-00006F5D0000}"/>
    <cellStyle name="Normal 40 2 9 3" xfId="27993" xr:uid="{00000000-0005-0000-0000-0000705D0000}"/>
    <cellStyle name="Normal 40 3" xfId="28000" xr:uid="{00000000-0005-0000-0000-0000715D0000}"/>
    <cellStyle name="Normal 40 3 10" xfId="21111" xr:uid="{00000000-0005-0000-0000-0000725D0000}"/>
    <cellStyle name="Normal 40 3 10 2" xfId="21116" xr:uid="{00000000-0005-0000-0000-0000735D0000}"/>
    <cellStyle name="Normal 40 3 11" xfId="21123" xr:uid="{00000000-0005-0000-0000-0000745D0000}"/>
    <cellStyle name="Normal 40 3 11 2" xfId="21128" xr:uid="{00000000-0005-0000-0000-0000755D0000}"/>
    <cellStyle name="Normal 40 3 12" xfId="9239" xr:uid="{00000000-0005-0000-0000-0000765D0000}"/>
    <cellStyle name="Normal 40 3 12 2" xfId="13031" xr:uid="{00000000-0005-0000-0000-0000775D0000}"/>
    <cellStyle name="Normal 40 3 13" xfId="7524" xr:uid="{00000000-0005-0000-0000-0000785D0000}"/>
    <cellStyle name="Normal 40 3 14" xfId="422" xr:uid="{00000000-0005-0000-0000-0000795D0000}"/>
    <cellStyle name="Normal 40 3 2" xfId="28005" xr:uid="{00000000-0005-0000-0000-00007A5D0000}"/>
    <cellStyle name="Normal 40 3 2 10" xfId="7247" xr:uid="{00000000-0005-0000-0000-00007B5D0000}"/>
    <cellStyle name="Normal 40 3 2 2" xfId="21351" xr:uid="{00000000-0005-0000-0000-00007C5D0000}"/>
    <cellStyle name="Normal 40 3 2 2 2" xfId="28007" xr:uid="{00000000-0005-0000-0000-00007D5D0000}"/>
    <cellStyle name="Normal 40 3 2 2 2 2" xfId="28011" xr:uid="{00000000-0005-0000-0000-00007E5D0000}"/>
    <cellStyle name="Normal 40 3 2 2 2 2 2" xfId="28013" xr:uid="{00000000-0005-0000-0000-00007F5D0000}"/>
    <cellStyle name="Normal 40 3 2 2 2 2 2 2" xfId="28015" xr:uid="{00000000-0005-0000-0000-0000805D0000}"/>
    <cellStyle name="Normal 40 3 2 2 2 2 2 2 2" xfId="28017" xr:uid="{00000000-0005-0000-0000-0000815D0000}"/>
    <cellStyle name="Normal 40 3 2 2 2 2 2 3" xfId="28019" xr:uid="{00000000-0005-0000-0000-0000825D0000}"/>
    <cellStyle name="Normal 40 3 2 2 2 2 3" xfId="11474" xr:uid="{00000000-0005-0000-0000-0000835D0000}"/>
    <cellStyle name="Normal 40 3 2 2 2 2 3 2" xfId="28021" xr:uid="{00000000-0005-0000-0000-0000845D0000}"/>
    <cellStyle name="Normal 40 3 2 2 2 2 4" xfId="28023" xr:uid="{00000000-0005-0000-0000-0000855D0000}"/>
    <cellStyle name="Normal 40 3 2 2 2 3" xfId="28025" xr:uid="{00000000-0005-0000-0000-0000865D0000}"/>
    <cellStyle name="Normal 40 3 2 2 2 3 2" xfId="28027" xr:uid="{00000000-0005-0000-0000-0000875D0000}"/>
    <cellStyle name="Normal 40 3 2 2 2 3 2 2" xfId="28029" xr:uid="{00000000-0005-0000-0000-0000885D0000}"/>
    <cellStyle name="Normal 40 3 2 2 2 3 3" xfId="28031" xr:uid="{00000000-0005-0000-0000-0000895D0000}"/>
    <cellStyle name="Normal 40 3 2 2 2 4" xfId="28033" xr:uid="{00000000-0005-0000-0000-00008A5D0000}"/>
    <cellStyle name="Normal 40 3 2 2 2 4 2" xfId="28035" xr:uid="{00000000-0005-0000-0000-00008B5D0000}"/>
    <cellStyle name="Normal 40 3 2 2 2 4 2 2" xfId="28039" xr:uid="{00000000-0005-0000-0000-00008C5D0000}"/>
    <cellStyle name="Normal 40 3 2 2 2 4 3" xfId="27026" xr:uid="{00000000-0005-0000-0000-00008D5D0000}"/>
    <cellStyle name="Normal 40 3 2 2 2 5" xfId="28041" xr:uid="{00000000-0005-0000-0000-00008E5D0000}"/>
    <cellStyle name="Normal 40 3 2 2 2 5 2" xfId="28043" xr:uid="{00000000-0005-0000-0000-00008F5D0000}"/>
    <cellStyle name="Normal 40 3 2 2 2 6" xfId="28047" xr:uid="{00000000-0005-0000-0000-0000905D0000}"/>
    <cellStyle name="Normal 40 3 2 2 2 6 2" xfId="28050" xr:uid="{00000000-0005-0000-0000-0000915D0000}"/>
    <cellStyle name="Normal 40 3 2 2 2 7" xfId="28056" xr:uid="{00000000-0005-0000-0000-0000925D0000}"/>
    <cellStyle name="Normal 40 3 2 2 2 8" xfId="28064" xr:uid="{00000000-0005-0000-0000-0000935D0000}"/>
    <cellStyle name="Normal 40 3 2 2 3" xfId="28069" xr:uid="{00000000-0005-0000-0000-0000945D0000}"/>
    <cellStyle name="Normal 40 3 2 2 3 2" xfId="28072" xr:uid="{00000000-0005-0000-0000-0000955D0000}"/>
    <cellStyle name="Normal 40 3 2 2 3 2 2" xfId="28077" xr:uid="{00000000-0005-0000-0000-0000965D0000}"/>
    <cellStyle name="Normal 40 3 2 2 3 2 2 2" xfId="28079" xr:uid="{00000000-0005-0000-0000-0000975D0000}"/>
    <cellStyle name="Normal 40 3 2 2 3 2 3" xfId="28081" xr:uid="{00000000-0005-0000-0000-0000985D0000}"/>
    <cellStyle name="Normal 40 3 2 2 3 3" xfId="28083" xr:uid="{00000000-0005-0000-0000-0000995D0000}"/>
    <cellStyle name="Normal 40 3 2 2 3 3 2" xfId="28085" xr:uid="{00000000-0005-0000-0000-00009A5D0000}"/>
    <cellStyle name="Normal 40 3 2 2 3 4" xfId="28087" xr:uid="{00000000-0005-0000-0000-00009B5D0000}"/>
    <cellStyle name="Normal 40 3 2 2 4" xfId="28091" xr:uid="{00000000-0005-0000-0000-00009C5D0000}"/>
    <cellStyle name="Normal 40 3 2 2 4 2" xfId="28093" xr:uid="{00000000-0005-0000-0000-00009D5D0000}"/>
    <cellStyle name="Normal 40 3 2 2 4 2 2" xfId="28096" xr:uid="{00000000-0005-0000-0000-00009E5D0000}"/>
    <cellStyle name="Normal 40 3 2 2 4 3" xfId="28098" xr:uid="{00000000-0005-0000-0000-00009F5D0000}"/>
    <cellStyle name="Normal 40 3 2 2 5" xfId="28100" xr:uid="{00000000-0005-0000-0000-0000A05D0000}"/>
    <cellStyle name="Normal 40 3 2 2 5 2" xfId="28102" xr:uid="{00000000-0005-0000-0000-0000A15D0000}"/>
    <cellStyle name="Normal 40 3 2 2 5 2 2" xfId="28104" xr:uid="{00000000-0005-0000-0000-0000A25D0000}"/>
    <cellStyle name="Normal 40 3 2 2 5 3" xfId="28107" xr:uid="{00000000-0005-0000-0000-0000A35D0000}"/>
    <cellStyle name="Normal 40 3 2 2 6" xfId="28109" xr:uid="{00000000-0005-0000-0000-0000A45D0000}"/>
    <cellStyle name="Normal 40 3 2 2 6 2" xfId="28111" xr:uid="{00000000-0005-0000-0000-0000A55D0000}"/>
    <cellStyle name="Normal 40 3 2 2 7" xfId="28113" xr:uid="{00000000-0005-0000-0000-0000A65D0000}"/>
    <cellStyle name="Normal 40 3 2 2 7 2" xfId="28119" xr:uid="{00000000-0005-0000-0000-0000A75D0000}"/>
    <cellStyle name="Normal 40 3 2 2 8" xfId="7381" xr:uid="{00000000-0005-0000-0000-0000A85D0000}"/>
    <cellStyle name="Normal 40 3 2 2 9" xfId="7418" xr:uid="{00000000-0005-0000-0000-0000A95D0000}"/>
    <cellStyle name="Normal 40 3 2 3" xfId="15912" xr:uid="{00000000-0005-0000-0000-0000AA5D0000}"/>
    <cellStyle name="Normal 40 3 2 3 2" xfId="15915" xr:uid="{00000000-0005-0000-0000-0000AB5D0000}"/>
    <cellStyle name="Normal 40 3 2 3 2 2" xfId="28123" xr:uid="{00000000-0005-0000-0000-0000AC5D0000}"/>
    <cellStyle name="Normal 40 3 2 3 2 2 2" xfId="28125" xr:uid="{00000000-0005-0000-0000-0000AD5D0000}"/>
    <cellStyle name="Normal 40 3 2 3 2 2 2 2" xfId="28127" xr:uid="{00000000-0005-0000-0000-0000AE5D0000}"/>
    <cellStyle name="Normal 40 3 2 3 2 2 3" xfId="28129" xr:uid="{00000000-0005-0000-0000-0000AF5D0000}"/>
    <cellStyle name="Normal 40 3 2 3 2 3" xfId="28131" xr:uid="{00000000-0005-0000-0000-0000B05D0000}"/>
    <cellStyle name="Normal 40 3 2 3 2 3 2" xfId="28133" xr:uid="{00000000-0005-0000-0000-0000B15D0000}"/>
    <cellStyle name="Normal 40 3 2 3 2 4" xfId="28135" xr:uid="{00000000-0005-0000-0000-0000B25D0000}"/>
    <cellStyle name="Normal 40 3 2 3 3" xfId="28137" xr:uid="{00000000-0005-0000-0000-0000B35D0000}"/>
    <cellStyle name="Normal 40 3 2 3 3 2" xfId="28141" xr:uid="{00000000-0005-0000-0000-0000B45D0000}"/>
    <cellStyle name="Normal 40 3 2 3 3 2 2" xfId="28143" xr:uid="{00000000-0005-0000-0000-0000B55D0000}"/>
    <cellStyle name="Normal 40 3 2 3 3 3" xfId="28145" xr:uid="{00000000-0005-0000-0000-0000B65D0000}"/>
    <cellStyle name="Normal 40 3 2 3 4" xfId="28148" xr:uid="{00000000-0005-0000-0000-0000B75D0000}"/>
    <cellStyle name="Normal 40 3 2 3 4 2" xfId="28150" xr:uid="{00000000-0005-0000-0000-0000B85D0000}"/>
    <cellStyle name="Normal 40 3 2 3 4 2 2" xfId="28152" xr:uid="{00000000-0005-0000-0000-0000B95D0000}"/>
    <cellStyle name="Normal 40 3 2 3 4 3" xfId="28154" xr:uid="{00000000-0005-0000-0000-0000BA5D0000}"/>
    <cellStyle name="Normal 40 3 2 3 5" xfId="28156" xr:uid="{00000000-0005-0000-0000-0000BB5D0000}"/>
    <cellStyle name="Normal 40 3 2 3 5 2" xfId="28158" xr:uid="{00000000-0005-0000-0000-0000BC5D0000}"/>
    <cellStyle name="Normal 40 3 2 3 6" xfId="13270" xr:uid="{00000000-0005-0000-0000-0000BD5D0000}"/>
    <cellStyle name="Normal 40 3 2 3 6 2" xfId="28160" xr:uid="{00000000-0005-0000-0000-0000BE5D0000}"/>
    <cellStyle name="Normal 40 3 2 3 7" xfId="28162" xr:uid="{00000000-0005-0000-0000-0000BF5D0000}"/>
    <cellStyle name="Normal 40 3 2 3 8" xfId="7496" xr:uid="{00000000-0005-0000-0000-0000C05D0000}"/>
    <cellStyle name="Normal 40 3 2 4" xfId="15918" xr:uid="{00000000-0005-0000-0000-0000C15D0000}"/>
    <cellStyle name="Normal 40 3 2 4 2" xfId="28164" xr:uid="{00000000-0005-0000-0000-0000C25D0000}"/>
    <cellStyle name="Normal 40 3 2 4 2 2" xfId="17898" xr:uid="{00000000-0005-0000-0000-0000C35D0000}"/>
    <cellStyle name="Normal 40 3 2 4 2 2 2" xfId="28166" xr:uid="{00000000-0005-0000-0000-0000C45D0000}"/>
    <cellStyle name="Normal 40 3 2 4 2 3" xfId="28168" xr:uid="{00000000-0005-0000-0000-0000C55D0000}"/>
    <cellStyle name="Normal 40 3 2 4 3" xfId="28170" xr:uid="{00000000-0005-0000-0000-0000C65D0000}"/>
    <cellStyle name="Normal 40 3 2 4 3 2" xfId="28175" xr:uid="{00000000-0005-0000-0000-0000C75D0000}"/>
    <cellStyle name="Normal 40 3 2 4 4" xfId="28177" xr:uid="{00000000-0005-0000-0000-0000C85D0000}"/>
    <cellStyle name="Normal 40 3 2 5" xfId="14363" xr:uid="{00000000-0005-0000-0000-0000C95D0000}"/>
    <cellStyle name="Normal 40 3 2 5 2" xfId="28179" xr:uid="{00000000-0005-0000-0000-0000CA5D0000}"/>
    <cellStyle name="Normal 40 3 2 5 2 2" xfId="28182" xr:uid="{00000000-0005-0000-0000-0000CB5D0000}"/>
    <cellStyle name="Normal 40 3 2 5 3" xfId="28184" xr:uid="{00000000-0005-0000-0000-0000CC5D0000}"/>
    <cellStyle name="Normal 40 3 2 6" xfId="28186" xr:uid="{00000000-0005-0000-0000-0000CD5D0000}"/>
    <cellStyle name="Normal 40 3 2 6 2" xfId="26876" xr:uid="{00000000-0005-0000-0000-0000CE5D0000}"/>
    <cellStyle name="Normal 40 3 2 6 2 2" xfId="28188" xr:uid="{00000000-0005-0000-0000-0000CF5D0000}"/>
    <cellStyle name="Normal 40 3 2 6 3" xfId="28190" xr:uid="{00000000-0005-0000-0000-0000D05D0000}"/>
    <cellStyle name="Normal 40 3 2 7" xfId="28192" xr:uid="{00000000-0005-0000-0000-0000D15D0000}"/>
    <cellStyle name="Normal 40 3 2 7 2" xfId="28194" xr:uid="{00000000-0005-0000-0000-0000D25D0000}"/>
    <cellStyle name="Normal 40 3 2 8" xfId="28196" xr:uid="{00000000-0005-0000-0000-0000D35D0000}"/>
    <cellStyle name="Normal 40 3 2 8 2" xfId="28198" xr:uid="{00000000-0005-0000-0000-0000D45D0000}"/>
    <cellStyle name="Normal 40 3 2 9" xfId="28200" xr:uid="{00000000-0005-0000-0000-0000D55D0000}"/>
    <cellStyle name="Normal 40 3 3" xfId="8670" xr:uid="{00000000-0005-0000-0000-0000D65D0000}"/>
    <cellStyle name="Normal 40 3 3 2" xfId="8676" xr:uid="{00000000-0005-0000-0000-0000D75D0000}"/>
    <cellStyle name="Normal 40 3 3 2 2" xfId="3317" xr:uid="{00000000-0005-0000-0000-0000D85D0000}"/>
    <cellStyle name="Normal 40 3 3 2 2 2" xfId="3336" xr:uid="{00000000-0005-0000-0000-0000D95D0000}"/>
    <cellStyle name="Normal 40 3 3 2 2 2 2" xfId="3165" xr:uid="{00000000-0005-0000-0000-0000DA5D0000}"/>
    <cellStyle name="Normal 40 3 3 2 2 2 2 2" xfId="28203" xr:uid="{00000000-0005-0000-0000-0000DB5D0000}"/>
    <cellStyle name="Normal 40 3 3 2 2 2 3" xfId="28205" xr:uid="{00000000-0005-0000-0000-0000DC5D0000}"/>
    <cellStyle name="Normal 40 3 3 2 2 3" xfId="3358" xr:uid="{00000000-0005-0000-0000-0000DD5D0000}"/>
    <cellStyle name="Normal 40 3 3 2 2 3 2" xfId="28208" xr:uid="{00000000-0005-0000-0000-0000DE5D0000}"/>
    <cellStyle name="Normal 40 3 3 2 2 4" xfId="22781" xr:uid="{00000000-0005-0000-0000-0000DF5D0000}"/>
    <cellStyle name="Normal 40 3 3 2 2 5" xfId="22868" xr:uid="{00000000-0005-0000-0000-0000E05D0000}"/>
    <cellStyle name="Normal 40 3 3 2 3" xfId="3486" xr:uid="{00000000-0005-0000-0000-0000E15D0000}"/>
    <cellStyle name="Normal 40 3 3 2 3 2" xfId="3502" xr:uid="{00000000-0005-0000-0000-0000E25D0000}"/>
    <cellStyle name="Normal 40 3 3 2 3 2 2" xfId="28212" xr:uid="{00000000-0005-0000-0000-0000E35D0000}"/>
    <cellStyle name="Normal 40 3 3 2 3 3" xfId="28216" xr:uid="{00000000-0005-0000-0000-0000E45D0000}"/>
    <cellStyle name="Normal 40 3 3 2 4" xfId="3556" xr:uid="{00000000-0005-0000-0000-0000E55D0000}"/>
    <cellStyle name="Normal 40 3 3 2 4 2" xfId="3571" xr:uid="{00000000-0005-0000-0000-0000E65D0000}"/>
    <cellStyle name="Normal 40 3 3 2 4 2 2" xfId="28218" xr:uid="{00000000-0005-0000-0000-0000E75D0000}"/>
    <cellStyle name="Normal 40 3 3 2 4 3" xfId="28220" xr:uid="{00000000-0005-0000-0000-0000E85D0000}"/>
    <cellStyle name="Normal 40 3 3 2 5" xfId="3589" xr:uid="{00000000-0005-0000-0000-0000E95D0000}"/>
    <cellStyle name="Normal 40 3 3 2 5 2" xfId="28222" xr:uid="{00000000-0005-0000-0000-0000EA5D0000}"/>
    <cellStyle name="Normal 40 3 3 2 6" xfId="28224" xr:uid="{00000000-0005-0000-0000-0000EB5D0000}"/>
    <cellStyle name="Normal 40 3 3 2 6 2" xfId="28226" xr:uid="{00000000-0005-0000-0000-0000EC5D0000}"/>
    <cellStyle name="Normal 40 3 3 2 7" xfId="28228" xr:uid="{00000000-0005-0000-0000-0000ED5D0000}"/>
    <cellStyle name="Normal 40 3 3 2 8" xfId="7624" xr:uid="{00000000-0005-0000-0000-0000EE5D0000}"/>
    <cellStyle name="Normal 40 3 3 3" xfId="2615" xr:uid="{00000000-0005-0000-0000-0000EF5D0000}"/>
    <cellStyle name="Normal 40 3 3 3 2" xfId="57" xr:uid="{00000000-0005-0000-0000-0000F05D0000}"/>
    <cellStyle name="Normal 40 3 3 3 2 2" xfId="28230" xr:uid="{00000000-0005-0000-0000-0000F15D0000}"/>
    <cellStyle name="Normal 40 3 3 3 2 2 2" xfId="28232" xr:uid="{00000000-0005-0000-0000-0000F25D0000}"/>
    <cellStyle name="Normal 40 3 3 3 2 3" xfId="28234" xr:uid="{00000000-0005-0000-0000-0000F35D0000}"/>
    <cellStyle name="Normal 40 3 3 3 3" xfId="28236" xr:uid="{00000000-0005-0000-0000-0000F45D0000}"/>
    <cellStyle name="Normal 40 3 3 3 3 2" xfId="28240" xr:uid="{00000000-0005-0000-0000-0000F55D0000}"/>
    <cellStyle name="Normal 40 3 3 3 4" xfId="28242" xr:uid="{00000000-0005-0000-0000-0000F65D0000}"/>
    <cellStyle name="Normal 40 3 3 3 5" xfId="28244" xr:uid="{00000000-0005-0000-0000-0000F75D0000}"/>
    <cellStyle name="Normal 40 3 3 4" xfId="4913" xr:uid="{00000000-0005-0000-0000-0000F85D0000}"/>
    <cellStyle name="Normal 40 3 3 4 2" xfId="28246" xr:uid="{00000000-0005-0000-0000-0000F95D0000}"/>
    <cellStyle name="Normal 40 3 3 4 2 2" xfId="28248" xr:uid="{00000000-0005-0000-0000-0000FA5D0000}"/>
    <cellStyle name="Normal 40 3 3 4 3" xfId="28250" xr:uid="{00000000-0005-0000-0000-0000FB5D0000}"/>
    <cellStyle name="Normal 40 3 3 5" xfId="28254" xr:uid="{00000000-0005-0000-0000-0000FC5D0000}"/>
    <cellStyle name="Normal 40 3 3 5 2" xfId="28256" xr:uid="{00000000-0005-0000-0000-0000FD5D0000}"/>
    <cellStyle name="Normal 40 3 3 5 2 2" xfId="28258" xr:uid="{00000000-0005-0000-0000-0000FE5D0000}"/>
    <cellStyle name="Normal 40 3 3 5 3" xfId="28260" xr:uid="{00000000-0005-0000-0000-0000FF5D0000}"/>
    <cellStyle name="Normal 40 3 3 6" xfId="28262" xr:uid="{00000000-0005-0000-0000-0000005E0000}"/>
    <cellStyle name="Normal 40 3 3 6 2" xfId="28264" xr:uid="{00000000-0005-0000-0000-0000015E0000}"/>
    <cellStyle name="Normal 40 3 3 7" xfId="28266" xr:uid="{00000000-0005-0000-0000-0000025E0000}"/>
    <cellStyle name="Normal 40 3 3 7 2" xfId="28268" xr:uid="{00000000-0005-0000-0000-0000035E0000}"/>
    <cellStyle name="Normal 40 3 3 8" xfId="28270" xr:uid="{00000000-0005-0000-0000-0000045E0000}"/>
    <cellStyle name="Normal 40 3 3 9" xfId="28272" xr:uid="{00000000-0005-0000-0000-0000055E0000}"/>
    <cellStyle name="Normal 40 3 4" xfId="5838" xr:uid="{00000000-0005-0000-0000-0000065E0000}"/>
    <cellStyle name="Normal 40 3 4 2" xfId="28274" xr:uid="{00000000-0005-0000-0000-0000075E0000}"/>
    <cellStyle name="Normal 40 3 4 2 2" xfId="4891" xr:uid="{00000000-0005-0000-0000-0000085E0000}"/>
    <cellStyle name="Normal 40 3 4 2 2 2" xfId="2450" xr:uid="{00000000-0005-0000-0000-0000095E0000}"/>
    <cellStyle name="Normal 40 3 4 2 2 2 2" xfId="24134" xr:uid="{00000000-0005-0000-0000-00000A5E0000}"/>
    <cellStyle name="Normal 40 3 4 2 2 2 2 2" xfId="28276" xr:uid="{00000000-0005-0000-0000-00000B5E0000}"/>
    <cellStyle name="Normal 40 3 4 2 2 2 3" xfId="28278" xr:uid="{00000000-0005-0000-0000-00000C5E0000}"/>
    <cellStyle name="Normal 40 3 4 2 2 3" xfId="22786" xr:uid="{00000000-0005-0000-0000-00000D5E0000}"/>
    <cellStyle name="Normal 40 3 4 2 2 3 2" xfId="28281" xr:uid="{00000000-0005-0000-0000-00000E5E0000}"/>
    <cellStyle name="Normal 40 3 4 2 2 4" xfId="22794" xr:uid="{00000000-0005-0000-0000-00000F5E0000}"/>
    <cellStyle name="Normal 40 3 4 2 3" xfId="4928" xr:uid="{00000000-0005-0000-0000-0000105E0000}"/>
    <cellStyle name="Normal 40 3 4 2 3 2" xfId="24142" xr:uid="{00000000-0005-0000-0000-0000115E0000}"/>
    <cellStyle name="Normal 40 3 4 2 3 2 2" xfId="24146" xr:uid="{00000000-0005-0000-0000-0000125E0000}"/>
    <cellStyle name="Normal 40 3 4 2 3 3" xfId="22804" xr:uid="{00000000-0005-0000-0000-0000135E0000}"/>
    <cellStyle name="Normal 40 3 4 2 4" xfId="12954" xr:uid="{00000000-0005-0000-0000-0000145E0000}"/>
    <cellStyle name="Normal 40 3 4 2 4 2" xfId="24148" xr:uid="{00000000-0005-0000-0000-0000155E0000}"/>
    <cellStyle name="Normal 40 3 4 2 4 2 2" xfId="28283" xr:uid="{00000000-0005-0000-0000-0000165E0000}"/>
    <cellStyle name="Normal 40 3 4 2 4 3" xfId="28285" xr:uid="{00000000-0005-0000-0000-0000175E0000}"/>
    <cellStyle name="Normal 40 3 4 2 5" xfId="12977" xr:uid="{00000000-0005-0000-0000-0000185E0000}"/>
    <cellStyle name="Normal 40 3 4 2 5 2" xfId="24151" xr:uid="{00000000-0005-0000-0000-0000195E0000}"/>
    <cellStyle name="Normal 40 3 4 2 6" xfId="12983" xr:uid="{00000000-0005-0000-0000-00001A5E0000}"/>
    <cellStyle name="Normal 40 3 4 2 6 2" xfId="28287" xr:uid="{00000000-0005-0000-0000-00001B5E0000}"/>
    <cellStyle name="Normal 40 3 4 2 7" xfId="28289" xr:uid="{00000000-0005-0000-0000-00001C5E0000}"/>
    <cellStyle name="Normal 40 3 4 2 8" xfId="28291" xr:uid="{00000000-0005-0000-0000-00001D5E0000}"/>
    <cellStyle name="Normal 40 3 4 3" xfId="2635" xr:uid="{00000000-0005-0000-0000-00001E5E0000}"/>
    <cellStyle name="Normal 40 3 4 3 2" xfId="5182" xr:uid="{00000000-0005-0000-0000-00001F5E0000}"/>
    <cellStyle name="Normal 40 3 4 3 2 2" xfId="24160" xr:uid="{00000000-0005-0000-0000-0000205E0000}"/>
    <cellStyle name="Normal 40 3 4 3 2 2 2" xfId="28293" xr:uid="{00000000-0005-0000-0000-0000215E0000}"/>
    <cellStyle name="Normal 40 3 4 3 2 3" xfId="28295" xr:uid="{00000000-0005-0000-0000-0000225E0000}"/>
    <cellStyle name="Normal 40 3 4 3 3" xfId="24165" xr:uid="{00000000-0005-0000-0000-0000235E0000}"/>
    <cellStyle name="Normal 40 3 4 3 3 2" xfId="28298" xr:uid="{00000000-0005-0000-0000-0000245E0000}"/>
    <cellStyle name="Normal 40 3 4 3 4" xfId="28300" xr:uid="{00000000-0005-0000-0000-0000255E0000}"/>
    <cellStyle name="Normal 40 3 4 4" xfId="28302" xr:uid="{00000000-0005-0000-0000-0000265E0000}"/>
    <cellStyle name="Normal 40 3 4 4 2" xfId="24170" xr:uid="{00000000-0005-0000-0000-0000275E0000}"/>
    <cellStyle name="Normal 40 3 4 4 2 2" xfId="28304" xr:uid="{00000000-0005-0000-0000-0000285E0000}"/>
    <cellStyle name="Normal 40 3 4 4 3" xfId="10915" xr:uid="{00000000-0005-0000-0000-0000295E0000}"/>
    <cellStyle name="Normal 40 3 4 5" xfId="28306" xr:uid="{00000000-0005-0000-0000-00002A5E0000}"/>
    <cellStyle name="Normal 40 3 4 5 2" xfId="24176" xr:uid="{00000000-0005-0000-0000-00002B5E0000}"/>
    <cellStyle name="Normal 40 3 4 5 2 2" xfId="28308" xr:uid="{00000000-0005-0000-0000-00002C5E0000}"/>
    <cellStyle name="Normal 40 3 4 5 3" xfId="28310" xr:uid="{00000000-0005-0000-0000-00002D5E0000}"/>
    <cellStyle name="Normal 40 3 4 6" xfId="28312" xr:uid="{00000000-0005-0000-0000-00002E5E0000}"/>
    <cellStyle name="Normal 40 3 4 6 2" xfId="25878" xr:uid="{00000000-0005-0000-0000-00002F5E0000}"/>
    <cellStyle name="Normal 40 3 4 7" xfId="28314" xr:uid="{00000000-0005-0000-0000-0000305E0000}"/>
    <cellStyle name="Normal 40 3 4 7 2" xfId="28316" xr:uid="{00000000-0005-0000-0000-0000315E0000}"/>
    <cellStyle name="Normal 40 3 4 8" xfId="28318" xr:uid="{00000000-0005-0000-0000-0000325E0000}"/>
    <cellStyle name="Normal 40 3 4 9" xfId="28320" xr:uid="{00000000-0005-0000-0000-0000335E0000}"/>
    <cellStyle name="Normal 40 3 5" xfId="28322" xr:uid="{00000000-0005-0000-0000-0000345E0000}"/>
    <cellStyle name="Normal 40 3 5 2" xfId="28324" xr:uid="{00000000-0005-0000-0000-0000355E0000}"/>
    <cellStyle name="Normal 40 3 5 2 2" xfId="6087" xr:uid="{00000000-0005-0000-0000-0000365E0000}"/>
    <cellStyle name="Normal 40 3 5 2 2 2" xfId="24200" xr:uid="{00000000-0005-0000-0000-0000375E0000}"/>
    <cellStyle name="Normal 40 3 5 2 2 2 2" xfId="28326" xr:uid="{00000000-0005-0000-0000-0000385E0000}"/>
    <cellStyle name="Normal 40 3 5 2 2 2 2 2" xfId="2125" xr:uid="{00000000-0005-0000-0000-0000395E0000}"/>
    <cellStyle name="Normal 40 3 5 2 2 2 3" xfId="28333" xr:uid="{00000000-0005-0000-0000-00003A5E0000}"/>
    <cellStyle name="Normal 40 3 5 2 2 3" xfId="20132" xr:uid="{00000000-0005-0000-0000-00003B5E0000}"/>
    <cellStyle name="Normal 40 3 5 2 2 3 2" xfId="20136" xr:uid="{00000000-0005-0000-0000-00003C5E0000}"/>
    <cellStyle name="Normal 40 3 5 2 2 4" xfId="6128" xr:uid="{00000000-0005-0000-0000-00003D5E0000}"/>
    <cellStyle name="Normal 40 3 5 2 3" xfId="24208" xr:uid="{00000000-0005-0000-0000-00003E5E0000}"/>
    <cellStyle name="Normal 40 3 5 2 3 2" xfId="28337" xr:uid="{00000000-0005-0000-0000-00003F5E0000}"/>
    <cellStyle name="Normal 40 3 5 2 3 2 2" xfId="28343" xr:uid="{00000000-0005-0000-0000-0000405E0000}"/>
    <cellStyle name="Normal 40 3 5 2 3 3" xfId="20141" xr:uid="{00000000-0005-0000-0000-0000415E0000}"/>
    <cellStyle name="Normal 40 3 5 2 4" xfId="28345" xr:uid="{00000000-0005-0000-0000-0000425E0000}"/>
    <cellStyle name="Normal 40 3 5 2 4 2" xfId="28348" xr:uid="{00000000-0005-0000-0000-0000435E0000}"/>
    <cellStyle name="Normal 40 3 5 2 4 2 2" xfId="28353" xr:uid="{00000000-0005-0000-0000-0000445E0000}"/>
    <cellStyle name="Normal 40 3 5 2 4 3" xfId="20145" xr:uid="{00000000-0005-0000-0000-0000455E0000}"/>
    <cellStyle name="Normal 40 3 5 2 5" xfId="28355" xr:uid="{00000000-0005-0000-0000-0000465E0000}"/>
    <cellStyle name="Normal 40 3 5 2 5 2" xfId="28358" xr:uid="{00000000-0005-0000-0000-0000475E0000}"/>
    <cellStyle name="Normal 40 3 5 2 6" xfId="28360" xr:uid="{00000000-0005-0000-0000-0000485E0000}"/>
    <cellStyle name="Normal 40 3 5 2 6 2" xfId="28366" xr:uid="{00000000-0005-0000-0000-0000495E0000}"/>
    <cellStyle name="Normal 40 3 5 2 7" xfId="28368" xr:uid="{00000000-0005-0000-0000-00004A5E0000}"/>
    <cellStyle name="Normal 40 3 5 2 8" xfId="28370" xr:uid="{00000000-0005-0000-0000-00004B5E0000}"/>
    <cellStyle name="Normal 40 3 5 3" xfId="28372" xr:uid="{00000000-0005-0000-0000-00004C5E0000}"/>
    <cellStyle name="Normal 40 3 5 3 2" xfId="24215" xr:uid="{00000000-0005-0000-0000-00004D5E0000}"/>
    <cellStyle name="Normal 40 3 5 3 2 2" xfId="28374" xr:uid="{00000000-0005-0000-0000-00004E5E0000}"/>
    <cellStyle name="Normal 40 3 5 3 2 2 2" xfId="28376" xr:uid="{00000000-0005-0000-0000-00004F5E0000}"/>
    <cellStyle name="Normal 40 3 5 3 2 3" xfId="20164" xr:uid="{00000000-0005-0000-0000-0000505E0000}"/>
    <cellStyle name="Normal 40 3 5 3 3" xfId="28378" xr:uid="{00000000-0005-0000-0000-0000515E0000}"/>
    <cellStyle name="Normal 40 3 5 3 3 2" xfId="28380" xr:uid="{00000000-0005-0000-0000-0000525E0000}"/>
    <cellStyle name="Normal 40 3 5 3 4" xfId="28383" xr:uid="{00000000-0005-0000-0000-0000535E0000}"/>
    <cellStyle name="Normal 40 3 5 4" xfId="28386" xr:uid="{00000000-0005-0000-0000-0000545E0000}"/>
    <cellStyle name="Normal 40 3 5 4 2" xfId="24222" xr:uid="{00000000-0005-0000-0000-0000555E0000}"/>
    <cellStyle name="Normal 40 3 5 4 2 2" xfId="28388" xr:uid="{00000000-0005-0000-0000-0000565E0000}"/>
    <cellStyle name="Normal 40 3 5 4 3" xfId="28390" xr:uid="{00000000-0005-0000-0000-0000575E0000}"/>
    <cellStyle name="Normal 40 3 5 5" xfId="28392" xr:uid="{00000000-0005-0000-0000-0000585E0000}"/>
    <cellStyle name="Normal 40 3 5 5 2" xfId="28394" xr:uid="{00000000-0005-0000-0000-0000595E0000}"/>
    <cellStyle name="Normal 40 3 5 5 2 2" xfId="28396" xr:uid="{00000000-0005-0000-0000-00005A5E0000}"/>
    <cellStyle name="Normal 40 3 5 5 3" xfId="28398" xr:uid="{00000000-0005-0000-0000-00005B5E0000}"/>
    <cellStyle name="Normal 40 3 5 6" xfId="28400" xr:uid="{00000000-0005-0000-0000-00005C5E0000}"/>
    <cellStyle name="Normal 40 3 5 6 2" xfId="28402" xr:uid="{00000000-0005-0000-0000-00005D5E0000}"/>
    <cellStyle name="Normal 40 3 5 7" xfId="28404" xr:uid="{00000000-0005-0000-0000-00005E5E0000}"/>
    <cellStyle name="Normal 40 3 5 7 2" xfId="28406" xr:uid="{00000000-0005-0000-0000-00005F5E0000}"/>
    <cellStyle name="Normal 40 3 5 8" xfId="28408" xr:uid="{00000000-0005-0000-0000-0000605E0000}"/>
    <cellStyle name="Normal 40 3 5 9" xfId="28410" xr:uid="{00000000-0005-0000-0000-0000615E0000}"/>
    <cellStyle name="Normal 40 3 6" xfId="4168" xr:uid="{00000000-0005-0000-0000-0000625E0000}"/>
    <cellStyle name="Normal 40 3 6 2" xfId="28412" xr:uid="{00000000-0005-0000-0000-0000635E0000}"/>
    <cellStyle name="Normal 40 3 6 2 2" xfId="7371" xr:uid="{00000000-0005-0000-0000-0000645E0000}"/>
    <cellStyle name="Normal 40 3 6 2 2 2" xfId="28414" xr:uid="{00000000-0005-0000-0000-0000655E0000}"/>
    <cellStyle name="Normal 40 3 6 2 2 2 2" xfId="28416" xr:uid="{00000000-0005-0000-0000-0000665E0000}"/>
    <cellStyle name="Normal 40 3 6 2 2 3" xfId="28419" xr:uid="{00000000-0005-0000-0000-0000675E0000}"/>
    <cellStyle name="Normal 40 3 6 2 3" xfId="23731" xr:uid="{00000000-0005-0000-0000-0000685E0000}"/>
    <cellStyle name="Normal 40 3 6 2 3 2" xfId="28422" xr:uid="{00000000-0005-0000-0000-0000695E0000}"/>
    <cellStyle name="Normal 40 3 6 2 4" xfId="28424" xr:uid="{00000000-0005-0000-0000-00006A5E0000}"/>
    <cellStyle name="Normal 40 3 6 2 5" xfId="28426" xr:uid="{00000000-0005-0000-0000-00006B5E0000}"/>
    <cellStyle name="Normal 40 3 6 3" xfId="28429" xr:uid="{00000000-0005-0000-0000-00006C5E0000}"/>
    <cellStyle name="Normal 40 3 6 3 2" xfId="28431" xr:uid="{00000000-0005-0000-0000-00006D5E0000}"/>
    <cellStyle name="Normal 40 3 6 3 2 2" xfId="28433" xr:uid="{00000000-0005-0000-0000-00006E5E0000}"/>
    <cellStyle name="Normal 40 3 6 3 3" xfId="28435" xr:uid="{00000000-0005-0000-0000-00006F5E0000}"/>
    <cellStyle name="Normal 40 3 6 4" xfId="28438" xr:uid="{00000000-0005-0000-0000-0000705E0000}"/>
    <cellStyle name="Normal 40 3 6 4 2" xfId="28440" xr:uid="{00000000-0005-0000-0000-0000715E0000}"/>
    <cellStyle name="Normal 40 3 6 4 2 2" xfId="28442" xr:uid="{00000000-0005-0000-0000-0000725E0000}"/>
    <cellStyle name="Normal 40 3 6 4 3" xfId="28444" xr:uid="{00000000-0005-0000-0000-0000735E0000}"/>
    <cellStyle name="Normal 40 3 6 5" xfId="28446" xr:uid="{00000000-0005-0000-0000-0000745E0000}"/>
    <cellStyle name="Normal 40 3 6 5 2" xfId="10144" xr:uid="{00000000-0005-0000-0000-0000755E0000}"/>
    <cellStyle name="Normal 40 3 6 6" xfId="28448" xr:uid="{00000000-0005-0000-0000-0000765E0000}"/>
    <cellStyle name="Normal 40 3 6 6 2" xfId="28450" xr:uid="{00000000-0005-0000-0000-0000775E0000}"/>
    <cellStyle name="Normal 40 3 6 7" xfId="28452" xr:uid="{00000000-0005-0000-0000-0000785E0000}"/>
    <cellStyle name="Normal 40 3 6 8" xfId="28454" xr:uid="{00000000-0005-0000-0000-0000795E0000}"/>
    <cellStyle name="Normal 40 3 7" xfId="5619" xr:uid="{00000000-0005-0000-0000-00007A5E0000}"/>
    <cellStyle name="Normal 40 3 7 2" xfId="8694" xr:uid="{00000000-0005-0000-0000-00007B5E0000}"/>
    <cellStyle name="Normal 40 3 7 2 2" xfId="13645" xr:uid="{00000000-0005-0000-0000-00007C5E0000}"/>
    <cellStyle name="Normal 40 3 7 2 2 2" xfId="13648" xr:uid="{00000000-0005-0000-0000-00007D5E0000}"/>
    <cellStyle name="Normal 40 3 7 2 3" xfId="13652" xr:uid="{00000000-0005-0000-0000-00007E5E0000}"/>
    <cellStyle name="Normal 40 3 7 3" xfId="17646" xr:uid="{00000000-0005-0000-0000-00007F5E0000}"/>
    <cellStyle name="Normal 40 3 7 3 2" xfId="28456" xr:uid="{00000000-0005-0000-0000-0000805E0000}"/>
    <cellStyle name="Normal 40 3 7 4" xfId="28458" xr:uid="{00000000-0005-0000-0000-0000815E0000}"/>
    <cellStyle name="Normal 40 3 7 5" xfId="27673" xr:uid="{00000000-0005-0000-0000-0000825E0000}"/>
    <cellStyle name="Normal 40 3 8" xfId="28460" xr:uid="{00000000-0005-0000-0000-0000835E0000}"/>
    <cellStyle name="Normal 40 3 8 2" xfId="438" xr:uid="{00000000-0005-0000-0000-0000845E0000}"/>
    <cellStyle name="Normal 40 3 8 2 2" xfId="13941" xr:uid="{00000000-0005-0000-0000-0000855E0000}"/>
    <cellStyle name="Normal 40 3 8 3" xfId="14000" xr:uid="{00000000-0005-0000-0000-0000865E0000}"/>
    <cellStyle name="Normal 40 3 9" xfId="3937" xr:uid="{00000000-0005-0000-0000-0000875E0000}"/>
    <cellStyle name="Normal 40 3 9 2" xfId="14061" xr:uid="{00000000-0005-0000-0000-0000885E0000}"/>
    <cellStyle name="Normal 40 3 9 2 2" xfId="28462" xr:uid="{00000000-0005-0000-0000-0000895E0000}"/>
    <cellStyle name="Normal 40 3 9 3" xfId="14095" xr:uid="{00000000-0005-0000-0000-00008A5E0000}"/>
    <cellStyle name="Normal 40 4" xfId="28468" xr:uid="{00000000-0005-0000-0000-00008B5E0000}"/>
    <cellStyle name="Normal 40 4 10" xfId="28470" xr:uid="{00000000-0005-0000-0000-00008C5E0000}"/>
    <cellStyle name="Normal 40 4 10 2" xfId="28472" xr:uid="{00000000-0005-0000-0000-00008D5E0000}"/>
    <cellStyle name="Normal 40 4 11" xfId="28474" xr:uid="{00000000-0005-0000-0000-00008E5E0000}"/>
    <cellStyle name="Normal 40 4 11 2" xfId="28476" xr:uid="{00000000-0005-0000-0000-00008F5E0000}"/>
    <cellStyle name="Normal 40 4 12" xfId="13225" xr:uid="{00000000-0005-0000-0000-0000905E0000}"/>
    <cellStyle name="Normal 40 4 12 2" xfId="28478" xr:uid="{00000000-0005-0000-0000-0000915E0000}"/>
    <cellStyle name="Normal 40 4 13" xfId="28482" xr:uid="{00000000-0005-0000-0000-0000925E0000}"/>
    <cellStyle name="Normal 40 4 14" xfId="28486" xr:uid="{00000000-0005-0000-0000-0000935E0000}"/>
    <cellStyle name="Normal 40 4 2" xfId="28488" xr:uid="{00000000-0005-0000-0000-0000945E0000}"/>
    <cellStyle name="Normal 40 4 2 10" xfId="2823" xr:uid="{00000000-0005-0000-0000-0000955E0000}"/>
    <cellStyle name="Normal 40 4 2 2" xfId="23307" xr:uid="{00000000-0005-0000-0000-0000965E0000}"/>
    <cellStyle name="Normal 40 4 2 2 2" xfId="28490" xr:uid="{00000000-0005-0000-0000-0000975E0000}"/>
    <cellStyle name="Normal 40 4 2 2 2 2" xfId="28492" xr:uid="{00000000-0005-0000-0000-0000985E0000}"/>
    <cellStyle name="Normal 40 4 2 2 2 2 2" xfId="28494" xr:uid="{00000000-0005-0000-0000-0000995E0000}"/>
    <cellStyle name="Normal 40 4 2 2 2 2 2 2" xfId="28498" xr:uid="{00000000-0005-0000-0000-00009A5E0000}"/>
    <cellStyle name="Normal 40 4 2 2 2 2 2 2 2" xfId="28500" xr:uid="{00000000-0005-0000-0000-00009B5E0000}"/>
    <cellStyle name="Normal 40 4 2 2 2 2 2 3" xfId="28504" xr:uid="{00000000-0005-0000-0000-00009C5E0000}"/>
    <cellStyle name="Normal 40 4 2 2 2 2 3" xfId="11965" xr:uid="{00000000-0005-0000-0000-00009D5E0000}"/>
    <cellStyle name="Normal 40 4 2 2 2 2 3 2" xfId="28506" xr:uid="{00000000-0005-0000-0000-00009E5E0000}"/>
    <cellStyle name="Normal 40 4 2 2 2 2 4" xfId="28508" xr:uid="{00000000-0005-0000-0000-00009F5E0000}"/>
    <cellStyle name="Normal 40 4 2 2 2 3" xfId="28510" xr:uid="{00000000-0005-0000-0000-0000A05E0000}"/>
    <cellStyle name="Normal 40 4 2 2 2 3 2" xfId="16549" xr:uid="{00000000-0005-0000-0000-0000A15E0000}"/>
    <cellStyle name="Normal 40 4 2 2 2 3 2 2" xfId="28512" xr:uid="{00000000-0005-0000-0000-0000A25E0000}"/>
    <cellStyle name="Normal 40 4 2 2 2 3 3" xfId="28514" xr:uid="{00000000-0005-0000-0000-0000A35E0000}"/>
    <cellStyle name="Normal 40 4 2 2 2 4" xfId="22193" xr:uid="{00000000-0005-0000-0000-0000A45E0000}"/>
    <cellStyle name="Normal 40 4 2 2 2 4 2" xfId="22197" xr:uid="{00000000-0005-0000-0000-0000A55E0000}"/>
    <cellStyle name="Normal 40 4 2 2 2 4 2 2" xfId="28517" xr:uid="{00000000-0005-0000-0000-0000A65E0000}"/>
    <cellStyle name="Normal 40 4 2 2 2 4 3" xfId="28520" xr:uid="{00000000-0005-0000-0000-0000A75E0000}"/>
    <cellStyle name="Normal 40 4 2 2 2 5" xfId="22201" xr:uid="{00000000-0005-0000-0000-0000A85E0000}"/>
    <cellStyle name="Normal 40 4 2 2 2 5 2" xfId="28523" xr:uid="{00000000-0005-0000-0000-0000A95E0000}"/>
    <cellStyle name="Normal 40 4 2 2 2 6" xfId="28528" xr:uid="{00000000-0005-0000-0000-0000AA5E0000}"/>
    <cellStyle name="Normal 40 4 2 2 2 6 2" xfId="28532" xr:uid="{00000000-0005-0000-0000-0000AB5E0000}"/>
    <cellStyle name="Normal 40 4 2 2 2 7" xfId="21031" xr:uid="{00000000-0005-0000-0000-0000AC5E0000}"/>
    <cellStyle name="Normal 40 4 2 2 2 8" xfId="15462" xr:uid="{00000000-0005-0000-0000-0000AD5E0000}"/>
    <cellStyle name="Normal 40 4 2 2 3" xfId="28534" xr:uid="{00000000-0005-0000-0000-0000AE5E0000}"/>
    <cellStyle name="Normal 40 4 2 2 3 2" xfId="28537" xr:uid="{00000000-0005-0000-0000-0000AF5E0000}"/>
    <cellStyle name="Normal 40 4 2 2 3 2 2" xfId="28540" xr:uid="{00000000-0005-0000-0000-0000B05E0000}"/>
    <cellStyle name="Normal 40 4 2 2 3 2 2 2" xfId="28546" xr:uid="{00000000-0005-0000-0000-0000B15E0000}"/>
    <cellStyle name="Normal 40 4 2 2 3 2 3" xfId="28549" xr:uid="{00000000-0005-0000-0000-0000B25E0000}"/>
    <cellStyle name="Normal 40 4 2 2 3 3" xfId="28551" xr:uid="{00000000-0005-0000-0000-0000B35E0000}"/>
    <cellStyle name="Normal 40 4 2 2 3 3 2" xfId="28553" xr:uid="{00000000-0005-0000-0000-0000B45E0000}"/>
    <cellStyle name="Normal 40 4 2 2 3 4" xfId="22211" xr:uid="{00000000-0005-0000-0000-0000B55E0000}"/>
    <cellStyle name="Normal 40 4 2 2 4" xfId="28556" xr:uid="{00000000-0005-0000-0000-0000B65E0000}"/>
    <cellStyle name="Normal 40 4 2 2 4 2" xfId="28558" xr:uid="{00000000-0005-0000-0000-0000B75E0000}"/>
    <cellStyle name="Normal 40 4 2 2 4 2 2" xfId="28561" xr:uid="{00000000-0005-0000-0000-0000B85E0000}"/>
    <cellStyle name="Normal 40 4 2 2 4 3" xfId="28563" xr:uid="{00000000-0005-0000-0000-0000B95E0000}"/>
    <cellStyle name="Normal 40 4 2 2 5" xfId="28565" xr:uid="{00000000-0005-0000-0000-0000BA5E0000}"/>
    <cellStyle name="Normal 40 4 2 2 5 2" xfId="28567" xr:uid="{00000000-0005-0000-0000-0000BB5E0000}"/>
    <cellStyle name="Normal 40 4 2 2 5 2 2" xfId="28569" xr:uid="{00000000-0005-0000-0000-0000BC5E0000}"/>
    <cellStyle name="Normal 40 4 2 2 5 3" xfId="28571" xr:uid="{00000000-0005-0000-0000-0000BD5E0000}"/>
    <cellStyle name="Normal 40 4 2 2 6" xfId="28573" xr:uid="{00000000-0005-0000-0000-0000BE5E0000}"/>
    <cellStyle name="Normal 40 4 2 2 6 2" xfId="28575" xr:uid="{00000000-0005-0000-0000-0000BF5E0000}"/>
    <cellStyle name="Normal 40 4 2 2 7" xfId="28577" xr:uid="{00000000-0005-0000-0000-0000C05E0000}"/>
    <cellStyle name="Normal 40 4 2 2 7 2" xfId="28582" xr:uid="{00000000-0005-0000-0000-0000C15E0000}"/>
    <cellStyle name="Normal 40 4 2 2 8" xfId="8245" xr:uid="{00000000-0005-0000-0000-0000C25E0000}"/>
    <cellStyle name="Normal 40 4 2 2 9" xfId="5208" xr:uid="{00000000-0005-0000-0000-0000C35E0000}"/>
    <cellStyle name="Normal 40 4 2 3" xfId="15953" xr:uid="{00000000-0005-0000-0000-0000C45E0000}"/>
    <cellStyle name="Normal 40 4 2 3 2" xfId="28584" xr:uid="{00000000-0005-0000-0000-0000C55E0000}"/>
    <cellStyle name="Normal 40 4 2 3 2 2" xfId="28587" xr:uid="{00000000-0005-0000-0000-0000C65E0000}"/>
    <cellStyle name="Normal 40 4 2 3 2 2 2" xfId="28590" xr:uid="{00000000-0005-0000-0000-0000C75E0000}"/>
    <cellStyle name="Normal 40 4 2 3 2 2 2 2" xfId="28594" xr:uid="{00000000-0005-0000-0000-0000C85E0000}"/>
    <cellStyle name="Normal 40 4 2 3 2 2 3" xfId="28596" xr:uid="{00000000-0005-0000-0000-0000C95E0000}"/>
    <cellStyle name="Normal 40 4 2 3 2 3" xfId="28599" xr:uid="{00000000-0005-0000-0000-0000CA5E0000}"/>
    <cellStyle name="Normal 40 4 2 3 2 3 2" xfId="28601" xr:uid="{00000000-0005-0000-0000-0000CB5E0000}"/>
    <cellStyle name="Normal 40 4 2 3 2 4" xfId="22250" xr:uid="{00000000-0005-0000-0000-0000CC5E0000}"/>
    <cellStyle name="Normal 40 4 2 3 3" xfId="28603" xr:uid="{00000000-0005-0000-0000-0000CD5E0000}"/>
    <cellStyle name="Normal 40 4 2 3 3 2" xfId="28606" xr:uid="{00000000-0005-0000-0000-0000CE5E0000}"/>
    <cellStyle name="Normal 40 4 2 3 3 2 2" xfId="28608" xr:uid="{00000000-0005-0000-0000-0000CF5E0000}"/>
    <cellStyle name="Normal 40 4 2 3 3 3" xfId="28610" xr:uid="{00000000-0005-0000-0000-0000D05E0000}"/>
    <cellStyle name="Normal 40 4 2 3 4" xfId="28613" xr:uid="{00000000-0005-0000-0000-0000D15E0000}"/>
    <cellStyle name="Normal 40 4 2 3 4 2" xfId="19705" xr:uid="{00000000-0005-0000-0000-0000D25E0000}"/>
    <cellStyle name="Normal 40 4 2 3 4 2 2" xfId="28615" xr:uid="{00000000-0005-0000-0000-0000D35E0000}"/>
    <cellStyle name="Normal 40 4 2 3 4 3" xfId="28617" xr:uid="{00000000-0005-0000-0000-0000D45E0000}"/>
    <cellStyle name="Normal 40 4 2 3 5" xfId="548" xr:uid="{00000000-0005-0000-0000-0000D55E0000}"/>
    <cellStyle name="Normal 40 4 2 3 5 2" xfId="1613" xr:uid="{00000000-0005-0000-0000-0000D65E0000}"/>
    <cellStyle name="Normal 40 4 2 3 6" xfId="660" xr:uid="{00000000-0005-0000-0000-0000D75E0000}"/>
    <cellStyle name="Normal 40 4 2 3 6 2" xfId="5445" xr:uid="{00000000-0005-0000-0000-0000D85E0000}"/>
    <cellStyle name="Normal 40 4 2 3 7" xfId="733" xr:uid="{00000000-0005-0000-0000-0000D95E0000}"/>
    <cellStyle name="Normal 40 4 2 3 8" xfId="815" xr:uid="{00000000-0005-0000-0000-0000DA5E0000}"/>
    <cellStyle name="Normal 40 4 2 4" xfId="28619" xr:uid="{00000000-0005-0000-0000-0000DB5E0000}"/>
    <cellStyle name="Normal 40 4 2 4 2" xfId="28621" xr:uid="{00000000-0005-0000-0000-0000DC5E0000}"/>
    <cellStyle name="Normal 40 4 2 4 2 2" xfId="28624" xr:uid="{00000000-0005-0000-0000-0000DD5E0000}"/>
    <cellStyle name="Normal 40 4 2 4 2 2 2" xfId="28626" xr:uid="{00000000-0005-0000-0000-0000DE5E0000}"/>
    <cellStyle name="Normal 40 4 2 4 2 3" xfId="28628" xr:uid="{00000000-0005-0000-0000-0000DF5E0000}"/>
    <cellStyle name="Normal 40 4 2 4 3" xfId="28630" xr:uid="{00000000-0005-0000-0000-0000E05E0000}"/>
    <cellStyle name="Normal 40 4 2 4 3 2" xfId="28632" xr:uid="{00000000-0005-0000-0000-0000E15E0000}"/>
    <cellStyle name="Normal 40 4 2 4 4" xfId="28634" xr:uid="{00000000-0005-0000-0000-0000E25E0000}"/>
    <cellStyle name="Normal 40 4 2 5" xfId="28636" xr:uid="{00000000-0005-0000-0000-0000E35E0000}"/>
    <cellStyle name="Normal 40 4 2 5 2" xfId="28638" xr:uid="{00000000-0005-0000-0000-0000E45E0000}"/>
    <cellStyle name="Normal 40 4 2 5 2 2" xfId="28640" xr:uid="{00000000-0005-0000-0000-0000E55E0000}"/>
    <cellStyle name="Normal 40 4 2 5 3" xfId="28642" xr:uid="{00000000-0005-0000-0000-0000E65E0000}"/>
    <cellStyle name="Normal 40 4 2 6" xfId="28646" xr:uid="{00000000-0005-0000-0000-0000E75E0000}"/>
    <cellStyle name="Normal 40 4 2 6 2" xfId="26918" xr:uid="{00000000-0005-0000-0000-0000E85E0000}"/>
    <cellStyle name="Normal 40 4 2 6 2 2" xfId="28648" xr:uid="{00000000-0005-0000-0000-0000E95E0000}"/>
    <cellStyle name="Normal 40 4 2 6 3" xfId="28651" xr:uid="{00000000-0005-0000-0000-0000EA5E0000}"/>
    <cellStyle name="Normal 40 4 2 7" xfId="28653" xr:uid="{00000000-0005-0000-0000-0000EB5E0000}"/>
    <cellStyle name="Normal 40 4 2 7 2" xfId="28655" xr:uid="{00000000-0005-0000-0000-0000EC5E0000}"/>
    <cellStyle name="Normal 40 4 2 8" xfId="23430" xr:uid="{00000000-0005-0000-0000-0000ED5E0000}"/>
    <cellStyle name="Normal 40 4 2 8 2" xfId="28657" xr:uid="{00000000-0005-0000-0000-0000EE5E0000}"/>
    <cellStyle name="Normal 40 4 2 9" xfId="28659" xr:uid="{00000000-0005-0000-0000-0000EF5E0000}"/>
    <cellStyle name="Normal 40 4 3" xfId="1201" xr:uid="{00000000-0005-0000-0000-0000F05E0000}"/>
    <cellStyle name="Normal 40 4 3 2" xfId="1215" xr:uid="{00000000-0005-0000-0000-0000F15E0000}"/>
    <cellStyle name="Normal 40 4 3 2 2" xfId="6626" xr:uid="{00000000-0005-0000-0000-0000F25E0000}"/>
    <cellStyle name="Normal 40 4 3 2 2 2" xfId="6640" xr:uid="{00000000-0005-0000-0000-0000F35E0000}"/>
    <cellStyle name="Normal 40 4 3 2 2 2 2" xfId="8701" xr:uid="{00000000-0005-0000-0000-0000F45E0000}"/>
    <cellStyle name="Normal 40 4 3 2 2 2 2 2" xfId="28661" xr:uid="{00000000-0005-0000-0000-0000F55E0000}"/>
    <cellStyle name="Normal 40 4 3 2 2 2 3" xfId="28664" xr:uid="{00000000-0005-0000-0000-0000F65E0000}"/>
    <cellStyle name="Normal 40 4 3 2 2 3" xfId="28668" xr:uid="{00000000-0005-0000-0000-0000F75E0000}"/>
    <cellStyle name="Normal 40 4 3 2 2 3 2" xfId="28670" xr:uid="{00000000-0005-0000-0000-0000F85E0000}"/>
    <cellStyle name="Normal 40 4 3 2 2 4" xfId="22346" xr:uid="{00000000-0005-0000-0000-0000F95E0000}"/>
    <cellStyle name="Normal 40 4 3 2 2 5" xfId="28675" xr:uid="{00000000-0005-0000-0000-0000FA5E0000}"/>
    <cellStyle name="Normal 40 4 3 2 3" xfId="6294" xr:uid="{00000000-0005-0000-0000-0000FB5E0000}"/>
    <cellStyle name="Normal 40 4 3 2 3 2" xfId="6018" xr:uid="{00000000-0005-0000-0000-0000FC5E0000}"/>
    <cellStyle name="Normal 40 4 3 2 3 2 2" xfId="28682" xr:uid="{00000000-0005-0000-0000-0000FD5E0000}"/>
    <cellStyle name="Normal 40 4 3 2 3 3" xfId="28684" xr:uid="{00000000-0005-0000-0000-0000FE5E0000}"/>
    <cellStyle name="Normal 40 4 3 2 4" xfId="6303" xr:uid="{00000000-0005-0000-0000-0000FF5E0000}"/>
    <cellStyle name="Normal 40 4 3 2 4 2" xfId="28686" xr:uid="{00000000-0005-0000-0000-0000005F0000}"/>
    <cellStyle name="Normal 40 4 3 2 4 2 2" xfId="28688" xr:uid="{00000000-0005-0000-0000-0000015F0000}"/>
    <cellStyle name="Normal 40 4 3 2 4 3" xfId="28690" xr:uid="{00000000-0005-0000-0000-0000025F0000}"/>
    <cellStyle name="Normal 40 4 3 2 5" xfId="25352" xr:uid="{00000000-0005-0000-0000-0000035F0000}"/>
    <cellStyle name="Normal 40 4 3 2 5 2" xfId="28694" xr:uid="{00000000-0005-0000-0000-0000045F0000}"/>
    <cellStyle name="Normal 40 4 3 2 6" xfId="28698" xr:uid="{00000000-0005-0000-0000-0000055F0000}"/>
    <cellStyle name="Normal 40 4 3 2 6 2" xfId="28702" xr:uid="{00000000-0005-0000-0000-0000065F0000}"/>
    <cellStyle name="Normal 40 4 3 2 7" xfId="28706" xr:uid="{00000000-0005-0000-0000-0000075F0000}"/>
    <cellStyle name="Normal 40 4 3 2 8" xfId="8384" xr:uid="{00000000-0005-0000-0000-0000085F0000}"/>
    <cellStyle name="Normal 40 4 3 3" xfId="28708" xr:uid="{00000000-0005-0000-0000-0000095F0000}"/>
    <cellStyle name="Normal 40 4 3 3 2" xfId="8723" xr:uid="{00000000-0005-0000-0000-00000A5F0000}"/>
    <cellStyle name="Normal 40 4 3 3 2 2" xfId="8735" xr:uid="{00000000-0005-0000-0000-00000B5F0000}"/>
    <cellStyle name="Normal 40 4 3 3 2 2 2" xfId="28711" xr:uid="{00000000-0005-0000-0000-00000C5F0000}"/>
    <cellStyle name="Normal 40 4 3 3 2 3" xfId="28714" xr:uid="{00000000-0005-0000-0000-00000D5F0000}"/>
    <cellStyle name="Normal 40 4 3 3 3" xfId="6318" xr:uid="{00000000-0005-0000-0000-00000E5F0000}"/>
    <cellStyle name="Normal 40 4 3 3 3 2" xfId="28718" xr:uid="{00000000-0005-0000-0000-00000F5F0000}"/>
    <cellStyle name="Normal 40 4 3 3 4" xfId="28720" xr:uid="{00000000-0005-0000-0000-0000105F0000}"/>
    <cellStyle name="Normal 40 4 3 3 5" xfId="6966" xr:uid="{00000000-0005-0000-0000-0000115F0000}"/>
    <cellStyle name="Normal 40 4 3 4" xfId="28722" xr:uid="{00000000-0005-0000-0000-0000125F0000}"/>
    <cellStyle name="Normal 40 4 3 4 2" xfId="28724" xr:uid="{00000000-0005-0000-0000-0000135F0000}"/>
    <cellStyle name="Normal 40 4 3 4 2 2" xfId="28728" xr:uid="{00000000-0005-0000-0000-0000145F0000}"/>
    <cellStyle name="Normal 40 4 3 4 3" xfId="28730" xr:uid="{00000000-0005-0000-0000-0000155F0000}"/>
    <cellStyle name="Normal 40 4 3 5" xfId="28732" xr:uid="{00000000-0005-0000-0000-0000165F0000}"/>
    <cellStyle name="Normal 40 4 3 5 2" xfId="28734" xr:uid="{00000000-0005-0000-0000-0000175F0000}"/>
    <cellStyle name="Normal 40 4 3 5 2 2" xfId="28737" xr:uid="{00000000-0005-0000-0000-0000185F0000}"/>
    <cellStyle name="Normal 40 4 3 5 3" xfId="28739" xr:uid="{00000000-0005-0000-0000-0000195F0000}"/>
    <cellStyle name="Normal 40 4 3 6" xfId="1796" xr:uid="{00000000-0005-0000-0000-00001A5F0000}"/>
    <cellStyle name="Normal 40 4 3 6 2" xfId="8750" xr:uid="{00000000-0005-0000-0000-00001B5F0000}"/>
    <cellStyle name="Normal 40 4 3 7" xfId="8755" xr:uid="{00000000-0005-0000-0000-00001C5F0000}"/>
    <cellStyle name="Normal 40 4 3 7 2" xfId="28741" xr:uid="{00000000-0005-0000-0000-00001D5F0000}"/>
    <cellStyle name="Normal 40 4 3 8" xfId="28743" xr:uid="{00000000-0005-0000-0000-00001E5F0000}"/>
    <cellStyle name="Normal 40 4 3 9" xfId="28745" xr:uid="{00000000-0005-0000-0000-00001F5F0000}"/>
    <cellStyle name="Normal 40 4 4" xfId="1239" xr:uid="{00000000-0005-0000-0000-0000205F0000}"/>
    <cellStyle name="Normal 40 4 4 2" xfId="28747" xr:uid="{00000000-0005-0000-0000-0000215F0000}"/>
    <cellStyle name="Normal 40 4 4 2 2" xfId="6690" xr:uid="{00000000-0005-0000-0000-0000225F0000}"/>
    <cellStyle name="Normal 40 4 4 2 2 2" xfId="4487" xr:uid="{00000000-0005-0000-0000-0000235F0000}"/>
    <cellStyle name="Normal 40 4 4 2 2 2 2" xfId="4500" xr:uid="{00000000-0005-0000-0000-0000245F0000}"/>
    <cellStyle name="Normal 40 4 4 2 2 2 2 2" xfId="28750" xr:uid="{00000000-0005-0000-0000-0000255F0000}"/>
    <cellStyle name="Normal 40 4 4 2 2 2 3" xfId="4512" xr:uid="{00000000-0005-0000-0000-0000265F0000}"/>
    <cellStyle name="Normal 40 4 4 2 2 3" xfId="22874" xr:uid="{00000000-0005-0000-0000-0000275F0000}"/>
    <cellStyle name="Normal 40 4 4 2 2 3 2" xfId="28753" xr:uid="{00000000-0005-0000-0000-0000285F0000}"/>
    <cellStyle name="Normal 40 4 4 2 2 4" xfId="22446" xr:uid="{00000000-0005-0000-0000-0000295F0000}"/>
    <cellStyle name="Normal 40 4 4 2 3" xfId="6376" xr:uid="{00000000-0005-0000-0000-00002A5F0000}"/>
    <cellStyle name="Normal 40 4 4 2 3 2" xfId="28755" xr:uid="{00000000-0005-0000-0000-00002B5F0000}"/>
    <cellStyle name="Normal 40 4 4 2 3 2 2" xfId="28757" xr:uid="{00000000-0005-0000-0000-00002C5F0000}"/>
    <cellStyle name="Normal 40 4 4 2 3 3" xfId="28759" xr:uid="{00000000-0005-0000-0000-00002D5F0000}"/>
    <cellStyle name="Normal 40 4 4 2 4" xfId="28763" xr:uid="{00000000-0005-0000-0000-00002E5F0000}"/>
    <cellStyle name="Normal 40 4 4 2 4 2" xfId="28765" xr:uid="{00000000-0005-0000-0000-00002F5F0000}"/>
    <cellStyle name="Normal 40 4 4 2 4 2 2" xfId="28767" xr:uid="{00000000-0005-0000-0000-0000305F0000}"/>
    <cellStyle name="Normal 40 4 4 2 4 3" xfId="28769" xr:uid="{00000000-0005-0000-0000-0000315F0000}"/>
    <cellStyle name="Normal 40 4 4 2 5" xfId="28773" xr:uid="{00000000-0005-0000-0000-0000325F0000}"/>
    <cellStyle name="Normal 40 4 4 2 5 2" xfId="28777" xr:uid="{00000000-0005-0000-0000-0000335F0000}"/>
    <cellStyle name="Normal 40 4 4 2 6" xfId="28781" xr:uid="{00000000-0005-0000-0000-0000345F0000}"/>
    <cellStyle name="Normal 40 4 4 2 6 2" xfId="28785" xr:uid="{00000000-0005-0000-0000-0000355F0000}"/>
    <cellStyle name="Normal 40 4 4 2 7" xfId="28789" xr:uid="{00000000-0005-0000-0000-0000365F0000}"/>
    <cellStyle name="Normal 40 4 4 2 8" xfId="12674" xr:uid="{00000000-0005-0000-0000-0000375F0000}"/>
    <cellStyle name="Normal 40 4 4 3" xfId="28791" xr:uid="{00000000-0005-0000-0000-0000385F0000}"/>
    <cellStyle name="Normal 40 4 4 3 2" xfId="8764" xr:uid="{00000000-0005-0000-0000-0000395F0000}"/>
    <cellStyle name="Normal 40 4 4 3 2 2" xfId="28794" xr:uid="{00000000-0005-0000-0000-00003A5F0000}"/>
    <cellStyle name="Normal 40 4 4 3 2 2 2" xfId="28796" xr:uid="{00000000-0005-0000-0000-00003B5F0000}"/>
    <cellStyle name="Normal 40 4 4 3 2 3" xfId="28798" xr:uid="{00000000-0005-0000-0000-00003C5F0000}"/>
    <cellStyle name="Normal 40 4 4 3 3" xfId="28800" xr:uid="{00000000-0005-0000-0000-00003D5F0000}"/>
    <cellStyle name="Normal 40 4 4 3 3 2" xfId="28802" xr:uid="{00000000-0005-0000-0000-00003E5F0000}"/>
    <cellStyle name="Normal 40 4 4 3 4" xfId="28805" xr:uid="{00000000-0005-0000-0000-00003F5F0000}"/>
    <cellStyle name="Normal 40 4 4 4" xfId="28807" xr:uid="{00000000-0005-0000-0000-0000405F0000}"/>
    <cellStyle name="Normal 40 4 4 4 2" xfId="24265" xr:uid="{00000000-0005-0000-0000-0000415F0000}"/>
    <cellStyle name="Normal 40 4 4 4 2 2" xfId="28809" xr:uid="{00000000-0005-0000-0000-0000425F0000}"/>
    <cellStyle name="Normal 40 4 4 4 3" xfId="28811" xr:uid="{00000000-0005-0000-0000-0000435F0000}"/>
    <cellStyle name="Normal 40 4 4 5" xfId="28813" xr:uid="{00000000-0005-0000-0000-0000445F0000}"/>
    <cellStyle name="Normal 40 4 4 5 2" xfId="28815" xr:uid="{00000000-0005-0000-0000-0000455F0000}"/>
    <cellStyle name="Normal 40 4 4 5 2 2" xfId="28817" xr:uid="{00000000-0005-0000-0000-0000465F0000}"/>
    <cellStyle name="Normal 40 4 4 5 3" xfId="28819" xr:uid="{00000000-0005-0000-0000-0000475F0000}"/>
    <cellStyle name="Normal 40 4 4 6" xfId="24583" xr:uid="{00000000-0005-0000-0000-0000485F0000}"/>
    <cellStyle name="Normal 40 4 4 6 2" xfId="28821" xr:uid="{00000000-0005-0000-0000-0000495F0000}"/>
    <cellStyle name="Normal 40 4 4 7" xfId="28823" xr:uid="{00000000-0005-0000-0000-00004A5F0000}"/>
    <cellStyle name="Normal 40 4 4 7 2" xfId="28825" xr:uid="{00000000-0005-0000-0000-00004B5F0000}"/>
    <cellStyle name="Normal 40 4 4 8" xfId="28827" xr:uid="{00000000-0005-0000-0000-00004C5F0000}"/>
    <cellStyle name="Normal 40 4 4 9" xfId="28831" xr:uid="{00000000-0005-0000-0000-00004D5F0000}"/>
    <cellStyle name="Normal 40 4 5" xfId="28833" xr:uid="{00000000-0005-0000-0000-00004E5F0000}"/>
    <cellStyle name="Normal 40 4 5 2" xfId="28835" xr:uid="{00000000-0005-0000-0000-00004F5F0000}"/>
    <cellStyle name="Normal 40 4 5 2 2" xfId="8770" xr:uid="{00000000-0005-0000-0000-0000505F0000}"/>
    <cellStyle name="Normal 40 4 5 2 2 2" xfId="25381" xr:uid="{00000000-0005-0000-0000-0000515F0000}"/>
    <cellStyle name="Normal 40 4 5 2 2 2 2" xfId="28837" xr:uid="{00000000-0005-0000-0000-0000525F0000}"/>
    <cellStyle name="Normal 40 4 5 2 2 2 2 2" xfId="28839" xr:uid="{00000000-0005-0000-0000-0000535F0000}"/>
    <cellStyle name="Normal 40 4 5 2 2 2 3" xfId="28841" xr:uid="{00000000-0005-0000-0000-0000545F0000}"/>
    <cellStyle name="Normal 40 4 5 2 2 3" xfId="28843" xr:uid="{00000000-0005-0000-0000-0000555F0000}"/>
    <cellStyle name="Normal 40 4 5 2 2 3 2" xfId="28845" xr:uid="{00000000-0005-0000-0000-0000565F0000}"/>
    <cellStyle name="Normal 40 4 5 2 2 4" xfId="7886" xr:uid="{00000000-0005-0000-0000-0000575F0000}"/>
    <cellStyle name="Normal 40 4 5 2 3" xfId="25384" xr:uid="{00000000-0005-0000-0000-0000585F0000}"/>
    <cellStyle name="Normal 40 4 5 2 3 2" xfId="28847" xr:uid="{00000000-0005-0000-0000-0000595F0000}"/>
    <cellStyle name="Normal 40 4 5 2 3 2 2" xfId="28849" xr:uid="{00000000-0005-0000-0000-00005A5F0000}"/>
    <cellStyle name="Normal 40 4 5 2 3 3" xfId="28851" xr:uid="{00000000-0005-0000-0000-00005B5F0000}"/>
    <cellStyle name="Normal 40 4 5 2 4" xfId="28853" xr:uid="{00000000-0005-0000-0000-00005C5F0000}"/>
    <cellStyle name="Normal 40 4 5 2 4 2" xfId="28855" xr:uid="{00000000-0005-0000-0000-00005D5F0000}"/>
    <cellStyle name="Normal 40 4 5 2 4 2 2" xfId="28857" xr:uid="{00000000-0005-0000-0000-00005E5F0000}"/>
    <cellStyle name="Normal 40 4 5 2 4 3" xfId="28859" xr:uid="{00000000-0005-0000-0000-00005F5F0000}"/>
    <cellStyle name="Normal 40 4 5 2 5" xfId="28117" xr:uid="{00000000-0005-0000-0000-0000605F0000}"/>
    <cellStyle name="Normal 40 4 5 2 5 2" xfId="28863" xr:uid="{00000000-0005-0000-0000-0000615F0000}"/>
    <cellStyle name="Normal 40 4 5 2 6" xfId="28867" xr:uid="{00000000-0005-0000-0000-0000625F0000}"/>
    <cellStyle name="Normal 40 4 5 2 6 2" xfId="28871" xr:uid="{00000000-0005-0000-0000-0000635F0000}"/>
    <cellStyle name="Normal 40 4 5 2 7" xfId="28875" xr:uid="{00000000-0005-0000-0000-0000645F0000}"/>
    <cellStyle name="Normal 40 4 5 2 8" xfId="28877" xr:uid="{00000000-0005-0000-0000-0000655F0000}"/>
    <cellStyle name="Normal 40 4 5 3" xfId="28879" xr:uid="{00000000-0005-0000-0000-0000665F0000}"/>
    <cellStyle name="Normal 40 4 5 3 2" xfId="28881" xr:uid="{00000000-0005-0000-0000-0000675F0000}"/>
    <cellStyle name="Normal 40 4 5 3 2 2" xfId="22086" xr:uid="{00000000-0005-0000-0000-0000685F0000}"/>
    <cellStyle name="Normal 40 4 5 3 2 2 2" xfId="22089" xr:uid="{00000000-0005-0000-0000-0000695F0000}"/>
    <cellStyle name="Normal 40 4 5 3 2 3" xfId="12568" xr:uid="{00000000-0005-0000-0000-00006A5F0000}"/>
    <cellStyle name="Normal 40 4 5 3 3" xfId="28883" xr:uid="{00000000-0005-0000-0000-00006B5F0000}"/>
    <cellStyle name="Normal 40 4 5 3 3 2" xfId="15187" xr:uid="{00000000-0005-0000-0000-00006C5F0000}"/>
    <cellStyle name="Normal 40 4 5 3 4" xfId="28885" xr:uid="{00000000-0005-0000-0000-00006D5F0000}"/>
    <cellStyle name="Normal 40 4 5 4" xfId="28887" xr:uid="{00000000-0005-0000-0000-00006E5F0000}"/>
    <cellStyle name="Normal 40 4 5 4 2" xfId="28889" xr:uid="{00000000-0005-0000-0000-00006F5F0000}"/>
    <cellStyle name="Normal 40 4 5 4 2 2" xfId="28891" xr:uid="{00000000-0005-0000-0000-0000705F0000}"/>
    <cellStyle name="Normal 40 4 5 4 3" xfId="28893" xr:uid="{00000000-0005-0000-0000-0000715F0000}"/>
    <cellStyle name="Normal 40 4 5 5" xfId="28895" xr:uid="{00000000-0005-0000-0000-0000725F0000}"/>
    <cellStyle name="Normal 40 4 5 5 2" xfId="26580" xr:uid="{00000000-0005-0000-0000-0000735F0000}"/>
    <cellStyle name="Normal 40 4 5 5 2 2" xfId="28897" xr:uid="{00000000-0005-0000-0000-0000745F0000}"/>
    <cellStyle name="Normal 40 4 5 5 3" xfId="28899" xr:uid="{00000000-0005-0000-0000-0000755F0000}"/>
    <cellStyle name="Normal 40 4 5 6" xfId="28901" xr:uid="{00000000-0005-0000-0000-0000765F0000}"/>
    <cellStyle name="Normal 40 4 5 6 2" xfId="28903" xr:uid="{00000000-0005-0000-0000-0000775F0000}"/>
    <cellStyle name="Normal 40 4 5 7" xfId="28905" xr:uid="{00000000-0005-0000-0000-0000785F0000}"/>
    <cellStyle name="Normal 40 4 5 7 2" xfId="5463" xr:uid="{00000000-0005-0000-0000-0000795F0000}"/>
    <cellStyle name="Normal 40 4 5 8" xfId="20423" xr:uid="{00000000-0005-0000-0000-00007A5F0000}"/>
    <cellStyle name="Normal 40 4 5 9" xfId="3453" xr:uid="{00000000-0005-0000-0000-00007B5F0000}"/>
    <cellStyle name="Normal 40 4 6" xfId="6722" xr:uid="{00000000-0005-0000-0000-00007C5F0000}"/>
    <cellStyle name="Normal 40 4 6 2" xfId="28907" xr:uid="{00000000-0005-0000-0000-00007D5F0000}"/>
    <cellStyle name="Normal 40 4 6 2 2" xfId="8715" xr:uid="{00000000-0005-0000-0000-00007E5F0000}"/>
    <cellStyle name="Normal 40 4 6 2 2 2" xfId="25406" xr:uid="{00000000-0005-0000-0000-00007F5F0000}"/>
    <cellStyle name="Normal 40 4 6 2 2 2 2" xfId="28909" xr:uid="{00000000-0005-0000-0000-0000805F0000}"/>
    <cellStyle name="Normal 40 4 6 2 2 3" xfId="28912" xr:uid="{00000000-0005-0000-0000-0000815F0000}"/>
    <cellStyle name="Normal 40 4 6 2 3" xfId="25409" xr:uid="{00000000-0005-0000-0000-0000825F0000}"/>
    <cellStyle name="Normal 40 4 6 2 3 2" xfId="28915" xr:uid="{00000000-0005-0000-0000-0000835F0000}"/>
    <cellStyle name="Normal 40 4 6 2 4" xfId="28917" xr:uid="{00000000-0005-0000-0000-0000845F0000}"/>
    <cellStyle name="Normal 40 4 6 2 5" xfId="28921" xr:uid="{00000000-0005-0000-0000-0000855F0000}"/>
    <cellStyle name="Normal 40 4 6 3" xfId="28923" xr:uid="{00000000-0005-0000-0000-0000865F0000}"/>
    <cellStyle name="Normal 40 4 6 3 2" xfId="28925" xr:uid="{00000000-0005-0000-0000-0000875F0000}"/>
    <cellStyle name="Normal 40 4 6 3 2 2" xfId="28927" xr:uid="{00000000-0005-0000-0000-0000885F0000}"/>
    <cellStyle name="Normal 40 4 6 3 3" xfId="28929" xr:uid="{00000000-0005-0000-0000-0000895F0000}"/>
    <cellStyle name="Normal 40 4 6 4" xfId="28931" xr:uid="{00000000-0005-0000-0000-00008A5F0000}"/>
    <cellStyle name="Normal 40 4 6 4 2" xfId="28933" xr:uid="{00000000-0005-0000-0000-00008B5F0000}"/>
    <cellStyle name="Normal 40 4 6 4 2 2" xfId="28935" xr:uid="{00000000-0005-0000-0000-00008C5F0000}"/>
    <cellStyle name="Normal 40 4 6 4 3" xfId="28937" xr:uid="{00000000-0005-0000-0000-00008D5F0000}"/>
    <cellStyle name="Normal 40 4 6 5" xfId="28939" xr:uid="{00000000-0005-0000-0000-00008E5F0000}"/>
    <cellStyle name="Normal 40 4 6 5 2" xfId="28941" xr:uid="{00000000-0005-0000-0000-00008F5F0000}"/>
    <cellStyle name="Normal 40 4 6 6" xfId="28943" xr:uid="{00000000-0005-0000-0000-0000905F0000}"/>
    <cellStyle name="Normal 40 4 6 6 2" xfId="28945" xr:uid="{00000000-0005-0000-0000-0000915F0000}"/>
    <cellStyle name="Normal 40 4 6 7" xfId="28947" xr:uid="{00000000-0005-0000-0000-0000925F0000}"/>
    <cellStyle name="Normal 40 4 6 8" xfId="28949" xr:uid="{00000000-0005-0000-0000-0000935F0000}"/>
    <cellStyle name="Normal 40 4 7" xfId="5628" xr:uid="{00000000-0005-0000-0000-0000945F0000}"/>
    <cellStyle name="Normal 40 4 7 2" xfId="8789" xr:uid="{00000000-0005-0000-0000-0000955F0000}"/>
    <cellStyle name="Normal 40 4 7 2 2" xfId="28951" xr:uid="{00000000-0005-0000-0000-0000965F0000}"/>
    <cellStyle name="Normal 40 4 7 2 2 2" xfId="21771" xr:uid="{00000000-0005-0000-0000-0000975F0000}"/>
    <cellStyle name="Normal 40 4 7 2 3" xfId="28953" xr:uid="{00000000-0005-0000-0000-0000985F0000}"/>
    <cellStyle name="Normal 40 4 7 3" xfId="17610" xr:uid="{00000000-0005-0000-0000-0000995F0000}"/>
    <cellStyle name="Normal 40 4 7 3 2" xfId="28955" xr:uid="{00000000-0005-0000-0000-00009A5F0000}"/>
    <cellStyle name="Normal 40 4 7 4" xfId="28957" xr:uid="{00000000-0005-0000-0000-00009B5F0000}"/>
    <cellStyle name="Normal 40 4 7 5" xfId="28961" xr:uid="{00000000-0005-0000-0000-00009C5F0000}"/>
    <cellStyle name="Normal 40 4 8" xfId="28963" xr:uid="{00000000-0005-0000-0000-00009D5F0000}"/>
    <cellStyle name="Normal 40 4 8 2" xfId="4484" xr:uid="{00000000-0005-0000-0000-00009E5F0000}"/>
    <cellStyle name="Normal 40 4 8 2 2" xfId="28966" xr:uid="{00000000-0005-0000-0000-00009F5F0000}"/>
    <cellStyle name="Normal 40 4 8 3" xfId="28968" xr:uid="{00000000-0005-0000-0000-0000A05F0000}"/>
    <cellStyle name="Normal 40 4 9" xfId="6368" xr:uid="{00000000-0005-0000-0000-0000A15F0000}"/>
    <cellStyle name="Normal 40 4 9 2" xfId="28970" xr:uid="{00000000-0005-0000-0000-0000A25F0000}"/>
    <cellStyle name="Normal 40 4 9 2 2" xfId="28972" xr:uid="{00000000-0005-0000-0000-0000A35F0000}"/>
    <cellStyle name="Normal 40 4 9 3" xfId="28974" xr:uid="{00000000-0005-0000-0000-0000A45F0000}"/>
    <cellStyle name="Normal 40 5" xfId="28976" xr:uid="{00000000-0005-0000-0000-0000A55F0000}"/>
    <cellStyle name="Normal 40 5 10" xfId="28978" xr:uid="{00000000-0005-0000-0000-0000A65F0000}"/>
    <cellStyle name="Normal 40 5 2" xfId="28980" xr:uid="{00000000-0005-0000-0000-0000A75F0000}"/>
    <cellStyle name="Normal 40 5 2 2" xfId="21380" xr:uid="{00000000-0005-0000-0000-0000A85F0000}"/>
    <cellStyle name="Normal 40 5 2 2 2" xfId="28982" xr:uid="{00000000-0005-0000-0000-0000A95F0000}"/>
    <cellStyle name="Normal 40 5 2 2 2 2" xfId="28984" xr:uid="{00000000-0005-0000-0000-0000AA5F0000}"/>
    <cellStyle name="Normal 40 5 2 2 2 2 2" xfId="28986" xr:uid="{00000000-0005-0000-0000-0000AB5F0000}"/>
    <cellStyle name="Normal 40 5 2 2 2 2 2 2" xfId="21514" xr:uid="{00000000-0005-0000-0000-0000AC5F0000}"/>
    <cellStyle name="Normal 40 5 2 2 2 2 3" xfId="2264" xr:uid="{00000000-0005-0000-0000-0000AD5F0000}"/>
    <cellStyle name="Normal 40 5 2 2 2 3" xfId="28988" xr:uid="{00000000-0005-0000-0000-0000AE5F0000}"/>
    <cellStyle name="Normal 40 5 2 2 2 3 2" xfId="28990" xr:uid="{00000000-0005-0000-0000-0000AF5F0000}"/>
    <cellStyle name="Normal 40 5 2 2 2 4" xfId="16049" xr:uid="{00000000-0005-0000-0000-0000B05F0000}"/>
    <cellStyle name="Normal 40 5 2 2 2 5" xfId="16063" xr:uid="{00000000-0005-0000-0000-0000B15F0000}"/>
    <cellStyle name="Normal 40 5 2 2 3" xfId="28995" xr:uid="{00000000-0005-0000-0000-0000B25F0000}"/>
    <cellStyle name="Normal 40 5 2 2 3 2" xfId="28997" xr:uid="{00000000-0005-0000-0000-0000B35F0000}"/>
    <cellStyle name="Normal 40 5 2 2 3 2 2" xfId="29000" xr:uid="{00000000-0005-0000-0000-0000B45F0000}"/>
    <cellStyle name="Normal 40 5 2 2 3 3" xfId="29002" xr:uid="{00000000-0005-0000-0000-0000B55F0000}"/>
    <cellStyle name="Normal 40 5 2 2 4" xfId="29005" xr:uid="{00000000-0005-0000-0000-0000B65F0000}"/>
    <cellStyle name="Normal 40 5 2 2 4 2" xfId="29007" xr:uid="{00000000-0005-0000-0000-0000B75F0000}"/>
    <cellStyle name="Normal 40 5 2 2 4 2 2" xfId="29009" xr:uid="{00000000-0005-0000-0000-0000B85F0000}"/>
    <cellStyle name="Normal 40 5 2 2 4 3" xfId="29011" xr:uid="{00000000-0005-0000-0000-0000B95F0000}"/>
    <cellStyle name="Normal 40 5 2 2 5" xfId="21390" xr:uid="{00000000-0005-0000-0000-0000BA5F0000}"/>
    <cellStyle name="Normal 40 5 2 2 5 2" xfId="21394" xr:uid="{00000000-0005-0000-0000-0000BB5F0000}"/>
    <cellStyle name="Normal 40 5 2 2 6" xfId="13407" xr:uid="{00000000-0005-0000-0000-0000BC5F0000}"/>
    <cellStyle name="Normal 40 5 2 2 6 2" xfId="13421" xr:uid="{00000000-0005-0000-0000-0000BD5F0000}"/>
    <cellStyle name="Normal 40 5 2 2 7" xfId="13455" xr:uid="{00000000-0005-0000-0000-0000BE5F0000}"/>
    <cellStyle name="Normal 40 5 2 2 8" xfId="3098" xr:uid="{00000000-0005-0000-0000-0000BF5F0000}"/>
    <cellStyle name="Normal 40 5 2 3" xfId="16029" xr:uid="{00000000-0005-0000-0000-0000C05F0000}"/>
    <cellStyle name="Normal 40 5 2 3 2" xfId="29013" xr:uid="{00000000-0005-0000-0000-0000C15F0000}"/>
    <cellStyle name="Normal 40 5 2 3 2 2" xfId="26304" xr:uid="{00000000-0005-0000-0000-0000C25F0000}"/>
    <cellStyle name="Normal 40 5 2 3 2 2 2" xfId="29016" xr:uid="{00000000-0005-0000-0000-0000C35F0000}"/>
    <cellStyle name="Normal 40 5 2 3 2 3" xfId="29019" xr:uid="{00000000-0005-0000-0000-0000C45F0000}"/>
    <cellStyle name="Normal 40 5 2 3 3" xfId="29021" xr:uid="{00000000-0005-0000-0000-0000C55F0000}"/>
    <cellStyle name="Normal 40 5 2 3 3 2" xfId="29024" xr:uid="{00000000-0005-0000-0000-0000C65F0000}"/>
    <cellStyle name="Normal 40 5 2 3 4" xfId="29027" xr:uid="{00000000-0005-0000-0000-0000C75F0000}"/>
    <cellStyle name="Normal 40 5 2 3 5" xfId="7590" xr:uid="{00000000-0005-0000-0000-0000C85F0000}"/>
    <cellStyle name="Normal 40 5 2 4" xfId="29029" xr:uid="{00000000-0005-0000-0000-0000C95F0000}"/>
    <cellStyle name="Normal 40 5 2 4 2" xfId="29031" xr:uid="{00000000-0005-0000-0000-0000CA5F0000}"/>
    <cellStyle name="Normal 40 5 2 4 2 2" xfId="21687" xr:uid="{00000000-0005-0000-0000-0000CB5F0000}"/>
    <cellStyle name="Normal 40 5 2 4 3" xfId="29033" xr:uid="{00000000-0005-0000-0000-0000CC5F0000}"/>
    <cellStyle name="Normal 40 5 2 5" xfId="24543" xr:uid="{00000000-0005-0000-0000-0000CD5F0000}"/>
    <cellStyle name="Normal 40 5 2 5 2" xfId="24546" xr:uid="{00000000-0005-0000-0000-0000CE5F0000}"/>
    <cellStyle name="Normal 40 5 2 5 2 2" xfId="15268" xr:uid="{00000000-0005-0000-0000-0000CF5F0000}"/>
    <cellStyle name="Normal 40 5 2 5 3" xfId="29036" xr:uid="{00000000-0005-0000-0000-0000D05F0000}"/>
    <cellStyle name="Normal 40 5 2 6" xfId="24549" xr:uid="{00000000-0005-0000-0000-0000D15F0000}"/>
    <cellStyle name="Normal 40 5 2 6 2" xfId="26950" xr:uid="{00000000-0005-0000-0000-0000D25F0000}"/>
    <cellStyle name="Normal 40 5 2 7" xfId="29039" xr:uid="{00000000-0005-0000-0000-0000D35F0000}"/>
    <cellStyle name="Normal 40 5 2 7 2" xfId="29041" xr:uid="{00000000-0005-0000-0000-0000D45F0000}"/>
    <cellStyle name="Normal 40 5 2 8" xfId="29044" xr:uid="{00000000-0005-0000-0000-0000D55F0000}"/>
    <cellStyle name="Normal 40 5 2 9" xfId="8318" xr:uid="{00000000-0005-0000-0000-0000D65F0000}"/>
    <cellStyle name="Normal 40 5 3" xfId="1281" xr:uid="{00000000-0005-0000-0000-0000D75F0000}"/>
    <cellStyle name="Normal 40 5 3 2" xfId="29046" xr:uid="{00000000-0005-0000-0000-0000D85F0000}"/>
    <cellStyle name="Normal 40 5 3 2 2" xfId="8063" xr:uid="{00000000-0005-0000-0000-0000D95F0000}"/>
    <cellStyle name="Normal 40 5 3 2 2 2" xfId="7851" xr:uid="{00000000-0005-0000-0000-0000DA5F0000}"/>
    <cellStyle name="Normal 40 5 3 2 2 2 2" xfId="29049" xr:uid="{00000000-0005-0000-0000-0000DB5F0000}"/>
    <cellStyle name="Normal 40 5 3 2 2 3" xfId="29052" xr:uid="{00000000-0005-0000-0000-0000DC5F0000}"/>
    <cellStyle name="Normal 40 5 3 2 2 4" xfId="16526" xr:uid="{00000000-0005-0000-0000-0000DD5F0000}"/>
    <cellStyle name="Normal 40 5 3 2 3" xfId="7638" xr:uid="{00000000-0005-0000-0000-0000DE5F0000}"/>
    <cellStyle name="Normal 40 5 3 2 3 2" xfId="29054" xr:uid="{00000000-0005-0000-0000-0000DF5F0000}"/>
    <cellStyle name="Normal 40 5 3 2 4" xfId="7649" xr:uid="{00000000-0005-0000-0000-0000E05F0000}"/>
    <cellStyle name="Normal 40 5 3 2 4 2" xfId="4308" xr:uid="{00000000-0005-0000-0000-0000E15F0000}"/>
    <cellStyle name="Normal 40 5 3 2 5" xfId="29058" xr:uid="{00000000-0005-0000-0000-0000E25F0000}"/>
    <cellStyle name="Normal 40 5 3 2 6" xfId="29062" xr:uid="{00000000-0005-0000-0000-0000E35F0000}"/>
    <cellStyle name="Normal 40 5 3 3" xfId="29064" xr:uid="{00000000-0005-0000-0000-0000E45F0000}"/>
    <cellStyle name="Normal 40 5 3 3 2" xfId="29066" xr:uid="{00000000-0005-0000-0000-0000E55F0000}"/>
    <cellStyle name="Normal 40 5 3 3 2 2" xfId="29071" xr:uid="{00000000-0005-0000-0000-0000E65F0000}"/>
    <cellStyle name="Normal 40 5 3 3 3" xfId="29073" xr:uid="{00000000-0005-0000-0000-0000E75F0000}"/>
    <cellStyle name="Normal 40 5 3 3 4" xfId="29075" xr:uid="{00000000-0005-0000-0000-0000E85F0000}"/>
    <cellStyle name="Normal 40 5 3 4" xfId="29077" xr:uid="{00000000-0005-0000-0000-0000E95F0000}"/>
    <cellStyle name="Normal 40 5 3 4 2" xfId="29079" xr:uid="{00000000-0005-0000-0000-0000EA5F0000}"/>
    <cellStyle name="Normal 40 5 3 4 2 2" xfId="29081" xr:uid="{00000000-0005-0000-0000-0000EB5F0000}"/>
    <cellStyle name="Normal 40 5 3 4 3" xfId="29083" xr:uid="{00000000-0005-0000-0000-0000EC5F0000}"/>
    <cellStyle name="Normal 40 5 3 5" xfId="8624" xr:uid="{00000000-0005-0000-0000-0000ED5F0000}"/>
    <cellStyle name="Normal 40 5 3 5 2" xfId="8805" xr:uid="{00000000-0005-0000-0000-0000EE5F0000}"/>
    <cellStyle name="Normal 40 5 3 6" xfId="8682" xr:uid="{00000000-0005-0000-0000-0000EF5F0000}"/>
    <cellStyle name="Normal 40 5 3 6 2" xfId="29085" xr:uid="{00000000-0005-0000-0000-0000F05F0000}"/>
    <cellStyle name="Normal 40 5 3 7" xfId="29087" xr:uid="{00000000-0005-0000-0000-0000F15F0000}"/>
    <cellStyle name="Normal 40 5 3 8" xfId="29089" xr:uid="{00000000-0005-0000-0000-0000F25F0000}"/>
    <cellStyle name="Normal 40 5 4" xfId="5895" xr:uid="{00000000-0005-0000-0000-0000F35F0000}"/>
    <cellStyle name="Normal 40 5 4 2" xfId="29091" xr:uid="{00000000-0005-0000-0000-0000F45F0000}"/>
    <cellStyle name="Normal 40 5 4 2 2" xfId="4122" xr:uid="{00000000-0005-0000-0000-0000F55F0000}"/>
    <cellStyle name="Normal 40 5 4 2 2 2" xfId="683" xr:uid="{00000000-0005-0000-0000-0000F65F0000}"/>
    <cellStyle name="Normal 40 5 4 2 3" xfId="4138" xr:uid="{00000000-0005-0000-0000-0000F75F0000}"/>
    <cellStyle name="Normal 40 5 4 2 4" xfId="29093" xr:uid="{00000000-0005-0000-0000-0000F85F0000}"/>
    <cellStyle name="Normal 40 5 4 3" xfId="29096" xr:uid="{00000000-0005-0000-0000-0000F95F0000}"/>
    <cellStyle name="Normal 40 5 4 3 2" xfId="4264" xr:uid="{00000000-0005-0000-0000-0000FA5F0000}"/>
    <cellStyle name="Normal 40 5 4 4" xfId="7333" xr:uid="{00000000-0005-0000-0000-0000FB5F0000}"/>
    <cellStyle name="Normal 40 5 4 4 2" xfId="22491" xr:uid="{00000000-0005-0000-0000-0000FC5F0000}"/>
    <cellStyle name="Normal 40 5 4 5" xfId="22499" xr:uid="{00000000-0005-0000-0000-0000FD5F0000}"/>
    <cellStyle name="Normal 40 5 4 6" xfId="22505" xr:uid="{00000000-0005-0000-0000-0000FE5F0000}"/>
    <cellStyle name="Normal 40 5 5" xfId="29098" xr:uid="{00000000-0005-0000-0000-0000FF5F0000}"/>
    <cellStyle name="Normal 40 5 5 2" xfId="29100" xr:uid="{00000000-0005-0000-0000-000000600000}"/>
    <cellStyle name="Normal 40 5 5 2 2" xfId="525" xr:uid="{00000000-0005-0000-0000-000001600000}"/>
    <cellStyle name="Normal 40 5 5 2 2 2" xfId="29102" xr:uid="{00000000-0005-0000-0000-000002600000}"/>
    <cellStyle name="Normal 40 5 5 2 3" xfId="29104" xr:uid="{00000000-0005-0000-0000-000003600000}"/>
    <cellStyle name="Normal 40 5 5 2 4" xfId="29106" xr:uid="{00000000-0005-0000-0000-000004600000}"/>
    <cellStyle name="Normal 40 5 5 3" xfId="29108" xr:uid="{00000000-0005-0000-0000-000005600000}"/>
    <cellStyle name="Normal 40 5 5 3 2" xfId="29110" xr:uid="{00000000-0005-0000-0000-000006600000}"/>
    <cellStyle name="Normal 40 5 5 4" xfId="22509" xr:uid="{00000000-0005-0000-0000-000007600000}"/>
    <cellStyle name="Normal 40 5 5 4 2" xfId="22513" xr:uid="{00000000-0005-0000-0000-000008600000}"/>
    <cellStyle name="Normal 40 5 5 5" xfId="22517" xr:uid="{00000000-0005-0000-0000-000009600000}"/>
    <cellStyle name="Normal 40 5 5 6" xfId="27159" xr:uid="{00000000-0005-0000-0000-00000A600000}"/>
    <cellStyle name="Normal 40 5 6" xfId="29112" xr:uid="{00000000-0005-0000-0000-00000B600000}"/>
    <cellStyle name="Normal 40 5 6 2" xfId="29114" xr:uid="{00000000-0005-0000-0000-00000C600000}"/>
    <cellStyle name="Normal 40 5 6 2 2" xfId="29116" xr:uid="{00000000-0005-0000-0000-00000D600000}"/>
    <cellStyle name="Normal 40 5 6 3" xfId="29118" xr:uid="{00000000-0005-0000-0000-00000E600000}"/>
    <cellStyle name="Normal 40 5 6 4" xfId="10051" xr:uid="{00000000-0005-0000-0000-00000F600000}"/>
    <cellStyle name="Normal 40 5 7" xfId="29120" xr:uid="{00000000-0005-0000-0000-000010600000}"/>
    <cellStyle name="Normal 40 5 7 2" xfId="8832" xr:uid="{00000000-0005-0000-0000-000011600000}"/>
    <cellStyle name="Normal 40 5 8" xfId="8762" xr:uid="{00000000-0005-0000-0000-000012600000}"/>
    <cellStyle name="Normal 40 5 8 2" xfId="4726" xr:uid="{00000000-0005-0000-0000-000013600000}"/>
    <cellStyle name="Normal 40 5 9" xfId="6420" xr:uid="{00000000-0005-0000-0000-000014600000}"/>
    <cellStyle name="Normal 40 6" xfId="29122" xr:uid="{00000000-0005-0000-0000-000015600000}"/>
    <cellStyle name="Normal 40 6 2" xfId="13462" xr:uid="{00000000-0005-0000-0000-000016600000}"/>
    <cellStyle name="Normal 40 6 2 2" xfId="13469" xr:uid="{00000000-0005-0000-0000-000017600000}"/>
    <cellStyle name="Normal 40 6 2 2 2" xfId="29124" xr:uid="{00000000-0005-0000-0000-000018600000}"/>
    <cellStyle name="Normal 40 6 2 2 2 2" xfId="29126" xr:uid="{00000000-0005-0000-0000-000019600000}"/>
    <cellStyle name="Normal 40 6 2 2 2 2 2" xfId="29128" xr:uid="{00000000-0005-0000-0000-00001A600000}"/>
    <cellStyle name="Normal 40 6 2 2 2 3" xfId="29130" xr:uid="{00000000-0005-0000-0000-00001B600000}"/>
    <cellStyle name="Normal 40 6 2 2 3" xfId="29132" xr:uid="{00000000-0005-0000-0000-00001C600000}"/>
    <cellStyle name="Normal 40 6 2 2 3 2" xfId="29135" xr:uid="{00000000-0005-0000-0000-00001D600000}"/>
    <cellStyle name="Normal 40 6 2 2 4" xfId="29137" xr:uid="{00000000-0005-0000-0000-00001E600000}"/>
    <cellStyle name="Normal 40 6 2 2 5" xfId="29139" xr:uid="{00000000-0005-0000-0000-00001F600000}"/>
    <cellStyle name="Normal 40 6 2 3" xfId="10756" xr:uid="{00000000-0005-0000-0000-000020600000}"/>
    <cellStyle name="Normal 40 6 2 3 2" xfId="29143" xr:uid="{00000000-0005-0000-0000-000021600000}"/>
    <cellStyle name="Normal 40 6 2 3 2 2" xfId="21900" xr:uid="{00000000-0005-0000-0000-000022600000}"/>
    <cellStyle name="Normal 40 6 2 3 3" xfId="29145" xr:uid="{00000000-0005-0000-0000-000023600000}"/>
    <cellStyle name="Normal 40 6 2 4" xfId="29148" xr:uid="{00000000-0005-0000-0000-000024600000}"/>
    <cellStyle name="Normal 40 6 2 4 2" xfId="29151" xr:uid="{00000000-0005-0000-0000-000025600000}"/>
    <cellStyle name="Normal 40 6 2 4 2 2" xfId="29153" xr:uid="{00000000-0005-0000-0000-000026600000}"/>
    <cellStyle name="Normal 40 6 2 4 3" xfId="29155" xr:uid="{00000000-0005-0000-0000-000027600000}"/>
    <cellStyle name="Normal 40 6 2 5" xfId="29160" xr:uid="{00000000-0005-0000-0000-000028600000}"/>
    <cellStyle name="Normal 40 6 2 5 2" xfId="29163" xr:uid="{00000000-0005-0000-0000-000029600000}"/>
    <cellStyle name="Normal 40 6 2 6" xfId="29168" xr:uid="{00000000-0005-0000-0000-00002A600000}"/>
    <cellStyle name="Normal 40 6 2 6 2" xfId="29172" xr:uid="{00000000-0005-0000-0000-00002B600000}"/>
    <cellStyle name="Normal 40 6 2 7" xfId="29176" xr:uid="{00000000-0005-0000-0000-00002C600000}"/>
    <cellStyle name="Normal 40 6 2 8" xfId="29179" xr:uid="{00000000-0005-0000-0000-00002D600000}"/>
    <cellStyle name="Normal 40 6 3" xfId="3096" xr:uid="{00000000-0005-0000-0000-00002E600000}"/>
    <cellStyle name="Normal 40 6 3 2" xfId="29181" xr:uid="{00000000-0005-0000-0000-00002F600000}"/>
    <cellStyle name="Normal 40 6 3 2 2" xfId="8182" xr:uid="{00000000-0005-0000-0000-000030600000}"/>
    <cellStyle name="Normal 40 6 3 2 2 2" xfId="29183" xr:uid="{00000000-0005-0000-0000-000031600000}"/>
    <cellStyle name="Normal 40 6 3 2 3" xfId="29185" xr:uid="{00000000-0005-0000-0000-000032600000}"/>
    <cellStyle name="Normal 40 6 3 3" xfId="8841" xr:uid="{00000000-0005-0000-0000-000033600000}"/>
    <cellStyle name="Normal 40 6 3 3 2" xfId="29187" xr:uid="{00000000-0005-0000-0000-000034600000}"/>
    <cellStyle name="Normal 40 6 3 4" xfId="29190" xr:uid="{00000000-0005-0000-0000-000035600000}"/>
    <cellStyle name="Normal 40 6 3 5" xfId="29194" xr:uid="{00000000-0005-0000-0000-000036600000}"/>
    <cellStyle name="Normal 40 6 4" xfId="29197" xr:uid="{00000000-0005-0000-0000-000037600000}"/>
    <cellStyle name="Normal 40 6 4 2" xfId="29200" xr:uid="{00000000-0005-0000-0000-000038600000}"/>
    <cellStyle name="Normal 40 6 4 2 2" xfId="29202" xr:uid="{00000000-0005-0000-0000-000039600000}"/>
    <cellStyle name="Normal 40 6 4 3" xfId="8871" xr:uid="{00000000-0005-0000-0000-00003A600000}"/>
    <cellStyle name="Normal 40 6 5" xfId="29204" xr:uid="{00000000-0005-0000-0000-00003B600000}"/>
    <cellStyle name="Normal 40 6 5 2" xfId="8879" xr:uid="{00000000-0005-0000-0000-00003C600000}"/>
    <cellStyle name="Normal 40 6 5 2 2" xfId="8886" xr:uid="{00000000-0005-0000-0000-00003D600000}"/>
    <cellStyle name="Normal 40 6 5 3" xfId="8897" xr:uid="{00000000-0005-0000-0000-00003E600000}"/>
    <cellStyle name="Normal 40 6 6" xfId="29206" xr:uid="{00000000-0005-0000-0000-00003F600000}"/>
    <cellStyle name="Normal 40 6 6 2" xfId="8916" xr:uid="{00000000-0005-0000-0000-000040600000}"/>
    <cellStyle name="Normal 40 6 7" xfId="29208" xr:uid="{00000000-0005-0000-0000-000041600000}"/>
    <cellStyle name="Normal 40 6 7 2" xfId="353" xr:uid="{00000000-0005-0000-0000-000042600000}"/>
    <cellStyle name="Normal 40 6 8" xfId="8929" xr:uid="{00000000-0005-0000-0000-000043600000}"/>
    <cellStyle name="Normal 40 6 9" xfId="14451" xr:uid="{00000000-0005-0000-0000-000044600000}"/>
    <cellStyle name="Normal 40 7" xfId="29210" xr:uid="{00000000-0005-0000-0000-000045600000}"/>
    <cellStyle name="Normal 40 7 2" xfId="13495" xr:uid="{00000000-0005-0000-0000-000046600000}"/>
    <cellStyle name="Normal 40 7 2 2" xfId="25597" xr:uid="{00000000-0005-0000-0000-000047600000}"/>
    <cellStyle name="Normal 40 7 2 2 2" xfId="25600" xr:uid="{00000000-0005-0000-0000-000048600000}"/>
    <cellStyle name="Normal 40 7 2 2 2 2" xfId="29213" xr:uid="{00000000-0005-0000-0000-000049600000}"/>
    <cellStyle name="Normal 40 7 2 2 2 2 2" xfId="29215" xr:uid="{00000000-0005-0000-0000-00004A600000}"/>
    <cellStyle name="Normal 40 7 2 2 2 3" xfId="29217" xr:uid="{00000000-0005-0000-0000-00004B600000}"/>
    <cellStyle name="Normal 40 7 2 2 3" xfId="29219" xr:uid="{00000000-0005-0000-0000-00004C600000}"/>
    <cellStyle name="Normal 40 7 2 2 3 2" xfId="29222" xr:uid="{00000000-0005-0000-0000-00004D600000}"/>
    <cellStyle name="Normal 40 7 2 2 4" xfId="29224" xr:uid="{00000000-0005-0000-0000-00004E600000}"/>
    <cellStyle name="Normal 40 7 2 2 5" xfId="29226" xr:uid="{00000000-0005-0000-0000-00004F600000}"/>
    <cellStyle name="Normal 40 7 2 3" xfId="22626" xr:uid="{00000000-0005-0000-0000-000050600000}"/>
    <cellStyle name="Normal 40 7 2 3 2" xfId="29228" xr:uid="{00000000-0005-0000-0000-000051600000}"/>
    <cellStyle name="Normal 40 7 2 3 2 2" xfId="29231" xr:uid="{00000000-0005-0000-0000-000052600000}"/>
    <cellStyle name="Normal 40 7 2 3 3" xfId="29233" xr:uid="{00000000-0005-0000-0000-000053600000}"/>
    <cellStyle name="Normal 40 7 2 4" xfId="29236" xr:uid="{00000000-0005-0000-0000-000054600000}"/>
    <cellStyle name="Normal 40 7 2 4 2" xfId="29238" xr:uid="{00000000-0005-0000-0000-000055600000}"/>
    <cellStyle name="Normal 40 7 2 4 2 2" xfId="29240" xr:uid="{00000000-0005-0000-0000-000056600000}"/>
    <cellStyle name="Normal 40 7 2 4 3" xfId="29242" xr:uid="{00000000-0005-0000-0000-000057600000}"/>
    <cellStyle name="Normal 40 7 2 5" xfId="29246" xr:uid="{00000000-0005-0000-0000-000058600000}"/>
    <cellStyle name="Normal 40 7 2 5 2" xfId="29248" xr:uid="{00000000-0005-0000-0000-000059600000}"/>
    <cellStyle name="Normal 40 7 2 6" xfId="29251" xr:uid="{00000000-0005-0000-0000-00005A600000}"/>
    <cellStyle name="Normal 40 7 2 6 2" xfId="16184" xr:uid="{00000000-0005-0000-0000-00005B600000}"/>
    <cellStyle name="Normal 40 7 2 7" xfId="29255" xr:uid="{00000000-0005-0000-0000-00005C600000}"/>
    <cellStyle name="Normal 40 7 2 8" xfId="29258" xr:uid="{00000000-0005-0000-0000-00005D600000}"/>
    <cellStyle name="Normal 40 7 3" xfId="8934" xr:uid="{00000000-0005-0000-0000-00005E600000}"/>
    <cellStyle name="Normal 40 7 3 2" xfId="8939" xr:uid="{00000000-0005-0000-0000-00005F600000}"/>
    <cellStyle name="Normal 40 7 3 2 2" xfId="29260" xr:uid="{00000000-0005-0000-0000-000060600000}"/>
    <cellStyle name="Normal 40 7 3 2 2 2" xfId="29262" xr:uid="{00000000-0005-0000-0000-000061600000}"/>
    <cellStyle name="Normal 40 7 3 2 3" xfId="29264" xr:uid="{00000000-0005-0000-0000-000062600000}"/>
    <cellStyle name="Normal 40 7 3 3" xfId="3913" xr:uid="{00000000-0005-0000-0000-000063600000}"/>
    <cellStyle name="Normal 40 7 3 3 2" xfId="17132" xr:uid="{00000000-0005-0000-0000-000064600000}"/>
    <cellStyle name="Normal 40 7 3 4" xfId="17139" xr:uid="{00000000-0005-0000-0000-000065600000}"/>
    <cellStyle name="Normal 40 7 3 5" xfId="11607" xr:uid="{00000000-0005-0000-0000-000066600000}"/>
    <cellStyle name="Normal 40 7 4" xfId="5923" xr:uid="{00000000-0005-0000-0000-000067600000}"/>
    <cellStyle name="Normal 40 7 4 2" xfId="8950" xr:uid="{00000000-0005-0000-0000-000068600000}"/>
    <cellStyle name="Normal 40 7 4 2 2" xfId="18226" xr:uid="{00000000-0005-0000-0000-000069600000}"/>
    <cellStyle name="Normal 40 7 4 3" xfId="3855" xr:uid="{00000000-0005-0000-0000-00006A600000}"/>
    <cellStyle name="Normal 40 7 5" xfId="8959" xr:uid="{00000000-0005-0000-0000-00006B600000}"/>
    <cellStyle name="Normal 40 7 5 2" xfId="20355" xr:uid="{00000000-0005-0000-0000-00006C600000}"/>
    <cellStyle name="Normal 40 7 5 2 2" xfId="29268" xr:uid="{00000000-0005-0000-0000-00006D600000}"/>
    <cellStyle name="Normal 40 7 5 3" xfId="17155" xr:uid="{00000000-0005-0000-0000-00006E600000}"/>
    <cellStyle name="Normal 40 7 6" xfId="29270" xr:uid="{00000000-0005-0000-0000-00006F600000}"/>
    <cellStyle name="Normal 40 7 6 2" xfId="29272" xr:uid="{00000000-0005-0000-0000-000070600000}"/>
    <cellStyle name="Normal 40 7 7" xfId="29274" xr:uid="{00000000-0005-0000-0000-000071600000}"/>
    <cellStyle name="Normal 40 7 7 2" xfId="2732" xr:uid="{00000000-0005-0000-0000-000072600000}"/>
    <cellStyle name="Normal 40 7 8" xfId="29276" xr:uid="{00000000-0005-0000-0000-000073600000}"/>
    <cellStyle name="Normal 40 7 9" xfId="29278" xr:uid="{00000000-0005-0000-0000-000074600000}"/>
    <cellStyle name="Normal 40 8" xfId="29280" xr:uid="{00000000-0005-0000-0000-000075600000}"/>
    <cellStyle name="Normal 40 8 2" xfId="13517" xr:uid="{00000000-0005-0000-0000-000076600000}"/>
    <cellStyle name="Normal 40 8 2 2" xfId="29282" xr:uid="{00000000-0005-0000-0000-000077600000}"/>
    <cellStyle name="Normal 40 8 2 2 2" xfId="29286" xr:uid="{00000000-0005-0000-0000-000078600000}"/>
    <cellStyle name="Normal 40 8 2 2 2 2" xfId="29290" xr:uid="{00000000-0005-0000-0000-000079600000}"/>
    <cellStyle name="Normal 40 8 2 2 2 2 2" xfId="29293" xr:uid="{00000000-0005-0000-0000-00007A600000}"/>
    <cellStyle name="Normal 40 8 2 2 2 3" xfId="29295" xr:uid="{00000000-0005-0000-0000-00007B600000}"/>
    <cellStyle name="Normal 40 8 2 2 3" xfId="29301" xr:uid="{00000000-0005-0000-0000-00007C600000}"/>
    <cellStyle name="Normal 40 8 2 2 3 2" xfId="29308" xr:uid="{00000000-0005-0000-0000-00007D600000}"/>
    <cellStyle name="Normal 40 8 2 2 4" xfId="29312" xr:uid="{00000000-0005-0000-0000-00007E600000}"/>
    <cellStyle name="Normal 40 8 2 3" xfId="29314" xr:uid="{00000000-0005-0000-0000-00007F600000}"/>
    <cellStyle name="Normal 40 8 2 3 2" xfId="12143" xr:uid="{00000000-0005-0000-0000-000080600000}"/>
    <cellStyle name="Normal 40 8 2 3 2 2" xfId="12146" xr:uid="{00000000-0005-0000-0000-000081600000}"/>
    <cellStyle name="Normal 40 8 2 3 3" xfId="12150" xr:uid="{00000000-0005-0000-0000-000082600000}"/>
    <cellStyle name="Normal 40 8 2 4" xfId="29317" xr:uid="{00000000-0005-0000-0000-000083600000}"/>
    <cellStyle name="Normal 40 8 2 4 2" xfId="29319" xr:uid="{00000000-0005-0000-0000-000084600000}"/>
    <cellStyle name="Normal 40 8 2 4 2 2" xfId="16034" xr:uid="{00000000-0005-0000-0000-000085600000}"/>
    <cellStyle name="Normal 40 8 2 4 3" xfId="29321" xr:uid="{00000000-0005-0000-0000-000086600000}"/>
    <cellStyle name="Normal 40 8 2 5" xfId="3549" xr:uid="{00000000-0005-0000-0000-000087600000}"/>
    <cellStyle name="Normal 40 8 2 5 2" xfId="29323" xr:uid="{00000000-0005-0000-0000-000088600000}"/>
    <cellStyle name="Normal 40 8 2 6" xfId="21751" xr:uid="{00000000-0005-0000-0000-000089600000}"/>
    <cellStyle name="Normal 40 8 2 6 2" xfId="29325" xr:uid="{00000000-0005-0000-0000-00008A600000}"/>
    <cellStyle name="Normal 40 8 2 7" xfId="29327" xr:uid="{00000000-0005-0000-0000-00008B600000}"/>
    <cellStyle name="Normal 40 8 2 8" xfId="29329" xr:uid="{00000000-0005-0000-0000-00008C600000}"/>
    <cellStyle name="Normal 40 8 3" xfId="29331" xr:uid="{00000000-0005-0000-0000-00008D600000}"/>
    <cellStyle name="Normal 40 8 3 2" xfId="29333" xr:uid="{00000000-0005-0000-0000-00008E600000}"/>
    <cellStyle name="Normal 40 8 3 2 2" xfId="29338" xr:uid="{00000000-0005-0000-0000-00008F600000}"/>
    <cellStyle name="Normal 40 8 3 2 2 2" xfId="282" xr:uid="{00000000-0005-0000-0000-000090600000}"/>
    <cellStyle name="Normal 40 8 3 2 3" xfId="29343" xr:uid="{00000000-0005-0000-0000-000091600000}"/>
    <cellStyle name="Normal 40 8 3 3" xfId="17172" xr:uid="{00000000-0005-0000-0000-000092600000}"/>
    <cellStyle name="Normal 40 8 3 3 2" xfId="16953" xr:uid="{00000000-0005-0000-0000-000093600000}"/>
    <cellStyle name="Normal 40 8 3 4" xfId="17178" xr:uid="{00000000-0005-0000-0000-000094600000}"/>
    <cellStyle name="Normal 40 8 4" xfId="29346" xr:uid="{00000000-0005-0000-0000-000095600000}"/>
    <cellStyle name="Normal 40 8 4 2" xfId="25744" xr:uid="{00000000-0005-0000-0000-000096600000}"/>
    <cellStyle name="Normal 40 8 4 2 2" xfId="29350" xr:uid="{00000000-0005-0000-0000-000097600000}"/>
    <cellStyle name="Normal 40 8 4 3" xfId="17190" xr:uid="{00000000-0005-0000-0000-000098600000}"/>
    <cellStyle name="Normal 40 8 5" xfId="29352" xr:uid="{00000000-0005-0000-0000-000099600000}"/>
    <cellStyle name="Normal 40 8 5 2" xfId="29354" xr:uid="{00000000-0005-0000-0000-00009A600000}"/>
    <cellStyle name="Normal 40 8 5 2 2" xfId="29358" xr:uid="{00000000-0005-0000-0000-00009B600000}"/>
    <cellStyle name="Normal 40 8 5 3" xfId="29360" xr:uid="{00000000-0005-0000-0000-00009C600000}"/>
    <cellStyle name="Normal 40 8 6" xfId="29362" xr:uid="{00000000-0005-0000-0000-00009D600000}"/>
    <cellStyle name="Normal 40 8 6 2" xfId="29364" xr:uid="{00000000-0005-0000-0000-00009E600000}"/>
    <cellStyle name="Normal 40 8 7" xfId="29366" xr:uid="{00000000-0005-0000-0000-00009F600000}"/>
    <cellStyle name="Normal 40 8 7 2" xfId="29368" xr:uid="{00000000-0005-0000-0000-0000A0600000}"/>
    <cellStyle name="Normal 40 8 8" xfId="29370" xr:uid="{00000000-0005-0000-0000-0000A1600000}"/>
    <cellStyle name="Normal 40 8 9" xfId="29372" xr:uid="{00000000-0005-0000-0000-0000A2600000}"/>
    <cellStyle name="Normal 40 9" xfId="29374" xr:uid="{00000000-0005-0000-0000-0000A3600000}"/>
    <cellStyle name="Normal 40 9 2" xfId="29376" xr:uid="{00000000-0005-0000-0000-0000A4600000}"/>
    <cellStyle name="Normal 40 9 2 2" xfId="29378" xr:uid="{00000000-0005-0000-0000-0000A5600000}"/>
    <cellStyle name="Normal 40 9 2 2 2" xfId="29382" xr:uid="{00000000-0005-0000-0000-0000A6600000}"/>
    <cellStyle name="Normal 40 9 2 2 2 2" xfId="29388" xr:uid="{00000000-0005-0000-0000-0000A7600000}"/>
    <cellStyle name="Normal 40 9 2 2 3" xfId="29393" xr:uid="{00000000-0005-0000-0000-0000A8600000}"/>
    <cellStyle name="Normal 40 9 2 3" xfId="29396" xr:uid="{00000000-0005-0000-0000-0000A9600000}"/>
    <cellStyle name="Normal 40 9 2 3 2" xfId="29400" xr:uid="{00000000-0005-0000-0000-0000AA600000}"/>
    <cellStyle name="Normal 40 9 2 4" xfId="29402" xr:uid="{00000000-0005-0000-0000-0000AB600000}"/>
    <cellStyle name="Normal 40 9 2 5" xfId="29404" xr:uid="{00000000-0005-0000-0000-0000AC600000}"/>
    <cellStyle name="Normal 40 9 3" xfId="29406" xr:uid="{00000000-0005-0000-0000-0000AD600000}"/>
    <cellStyle name="Normal 40 9 3 2" xfId="29408" xr:uid="{00000000-0005-0000-0000-0000AE600000}"/>
    <cellStyle name="Normal 40 9 3 2 2" xfId="29412" xr:uid="{00000000-0005-0000-0000-0000AF600000}"/>
    <cellStyle name="Normal 40 9 3 3" xfId="983" xr:uid="{00000000-0005-0000-0000-0000B0600000}"/>
    <cellStyle name="Normal 40 9 4" xfId="29414" xr:uid="{00000000-0005-0000-0000-0000B1600000}"/>
    <cellStyle name="Normal 40 9 4 2" xfId="29416" xr:uid="{00000000-0005-0000-0000-0000B2600000}"/>
    <cellStyle name="Normal 40 9 4 2 2" xfId="29420" xr:uid="{00000000-0005-0000-0000-0000B3600000}"/>
    <cellStyle name="Normal 40 9 4 3" xfId="29422" xr:uid="{00000000-0005-0000-0000-0000B4600000}"/>
    <cellStyle name="Normal 40 9 5" xfId="29424" xr:uid="{00000000-0005-0000-0000-0000B5600000}"/>
    <cellStyle name="Normal 40 9 5 2" xfId="6925" xr:uid="{00000000-0005-0000-0000-0000B6600000}"/>
    <cellStyle name="Normal 40 9 6" xfId="29426" xr:uid="{00000000-0005-0000-0000-0000B7600000}"/>
    <cellStyle name="Normal 40 9 6 2" xfId="29428" xr:uid="{00000000-0005-0000-0000-0000B8600000}"/>
    <cellStyle name="Normal 40 9 7" xfId="29430" xr:uid="{00000000-0005-0000-0000-0000B9600000}"/>
    <cellStyle name="Normal 40 9 8" xfId="14568" xr:uid="{00000000-0005-0000-0000-0000BA600000}"/>
    <cellStyle name="Normal 41" xfId="29432" xr:uid="{00000000-0005-0000-0000-0000BB600000}"/>
    <cellStyle name="Normal 41 10" xfId="29434" xr:uid="{00000000-0005-0000-0000-0000BC600000}"/>
    <cellStyle name="Normal 41 10 2" xfId="14578" xr:uid="{00000000-0005-0000-0000-0000BD600000}"/>
    <cellStyle name="Normal 41 10 2 2" xfId="14583" xr:uid="{00000000-0005-0000-0000-0000BE600000}"/>
    <cellStyle name="Normal 41 10 2 2 2" xfId="28465" xr:uid="{00000000-0005-0000-0000-0000BF600000}"/>
    <cellStyle name="Normal 41 10 2 3" xfId="29436" xr:uid="{00000000-0005-0000-0000-0000C0600000}"/>
    <cellStyle name="Normal 41 10 2 4" xfId="29438" xr:uid="{00000000-0005-0000-0000-0000C1600000}"/>
    <cellStyle name="Normal 41 10 3" xfId="9074" xr:uid="{00000000-0005-0000-0000-0000C2600000}"/>
    <cellStyle name="Normal 41 10 3 2" xfId="29441" xr:uid="{00000000-0005-0000-0000-0000C3600000}"/>
    <cellStyle name="Normal 41 10 4" xfId="13872" xr:uid="{00000000-0005-0000-0000-0000C4600000}"/>
    <cellStyle name="Normal 41 10 4 2" xfId="29443" xr:uid="{00000000-0005-0000-0000-0000C5600000}"/>
    <cellStyle name="Normal 41 10 5" xfId="29446" xr:uid="{00000000-0005-0000-0000-0000C6600000}"/>
    <cellStyle name="Normal 41 10 6" xfId="29448" xr:uid="{00000000-0005-0000-0000-0000C7600000}"/>
    <cellStyle name="Normal 41 11" xfId="22266" xr:uid="{00000000-0005-0000-0000-0000C8600000}"/>
    <cellStyle name="Normal 41 11 2" xfId="14872" xr:uid="{00000000-0005-0000-0000-0000C9600000}"/>
    <cellStyle name="Normal 41 11 2 2" xfId="29451" xr:uid="{00000000-0005-0000-0000-0000CA600000}"/>
    <cellStyle name="Normal 41 11 3" xfId="29455" xr:uid="{00000000-0005-0000-0000-0000CB600000}"/>
    <cellStyle name="Normal 41 11 4" xfId="29458" xr:uid="{00000000-0005-0000-0000-0000CC600000}"/>
    <cellStyle name="Normal 41 12" xfId="23571" xr:uid="{00000000-0005-0000-0000-0000CD600000}"/>
    <cellStyle name="Normal 41 12 2" xfId="11529" xr:uid="{00000000-0005-0000-0000-0000CE600000}"/>
    <cellStyle name="Normal 41 12 2 2" xfId="29460" xr:uid="{00000000-0005-0000-0000-0000CF600000}"/>
    <cellStyle name="Normal 41 12 3" xfId="29463" xr:uid="{00000000-0005-0000-0000-0000D0600000}"/>
    <cellStyle name="Normal 41 13" xfId="12077" xr:uid="{00000000-0005-0000-0000-0000D1600000}"/>
    <cellStyle name="Normal 41 13 2" xfId="29467" xr:uid="{00000000-0005-0000-0000-0000D2600000}"/>
    <cellStyle name="Normal 41 14" xfId="10868" xr:uid="{00000000-0005-0000-0000-0000D3600000}"/>
    <cellStyle name="Normal 41 14 2" xfId="29469" xr:uid="{00000000-0005-0000-0000-0000D4600000}"/>
    <cellStyle name="Normal 41 15" xfId="29471" xr:uid="{00000000-0005-0000-0000-0000D5600000}"/>
    <cellStyle name="Normal 41 15 2" xfId="29473" xr:uid="{00000000-0005-0000-0000-0000D6600000}"/>
    <cellStyle name="Normal 41 16" xfId="29475" xr:uid="{00000000-0005-0000-0000-0000D7600000}"/>
    <cellStyle name="Normal 41 17" xfId="29477" xr:uid="{00000000-0005-0000-0000-0000D8600000}"/>
    <cellStyle name="Normal 41 2" xfId="29479" xr:uid="{00000000-0005-0000-0000-0000D9600000}"/>
    <cellStyle name="Normal 41 2 10" xfId="5749" xr:uid="{00000000-0005-0000-0000-0000DA600000}"/>
    <cellStyle name="Normal 41 2 10 2" xfId="29481" xr:uid="{00000000-0005-0000-0000-0000DB600000}"/>
    <cellStyle name="Normal 41 2 11" xfId="29483" xr:uid="{00000000-0005-0000-0000-0000DC600000}"/>
    <cellStyle name="Normal 41 2 11 2" xfId="29485" xr:uid="{00000000-0005-0000-0000-0000DD600000}"/>
    <cellStyle name="Normal 41 2 12" xfId="29487" xr:uid="{00000000-0005-0000-0000-0000DE600000}"/>
    <cellStyle name="Normal 41 2 12 2" xfId="29489" xr:uid="{00000000-0005-0000-0000-0000DF600000}"/>
    <cellStyle name="Normal 41 2 13" xfId="29491" xr:uid="{00000000-0005-0000-0000-0000E0600000}"/>
    <cellStyle name="Normal 41 2 14" xfId="29493" xr:uid="{00000000-0005-0000-0000-0000E1600000}"/>
    <cellStyle name="Normal 41 2 2" xfId="29495" xr:uid="{00000000-0005-0000-0000-0000E2600000}"/>
    <cellStyle name="Normal 41 2 2 10" xfId="16477" xr:uid="{00000000-0005-0000-0000-0000E3600000}"/>
    <cellStyle name="Normal 41 2 2 2" xfId="29497" xr:uid="{00000000-0005-0000-0000-0000E4600000}"/>
    <cellStyle name="Normal 41 2 2 2 2" xfId="29499" xr:uid="{00000000-0005-0000-0000-0000E5600000}"/>
    <cellStyle name="Normal 41 2 2 2 2 2" xfId="29501" xr:uid="{00000000-0005-0000-0000-0000E6600000}"/>
    <cellStyle name="Normal 41 2 2 2 2 2 2" xfId="29503" xr:uid="{00000000-0005-0000-0000-0000E7600000}"/>
    <cellStyle name="Normal 41 2 2 2 2 2 2 2" xfId="29507" xr:uid="{00000000-0005-0000-0000-0000E8600000}"/>
    <cellStyle name="Normal 41 2 2 2 2 2 2 2 2" xfId="21347" xr:uid="{00000000-0005-0000-0000-0000E9600000}"/>
    <cellStyle name="Normal 41 2 2 2 2 2 2 3" xfId="18666" xr:uid="{00000000-0005-0000-0000-0000EA600000}"/>
    <cellStyle name="Normal 41 2 2 2 2 2 3" xfId="29509" xr:uid="{00000000-0005-0000-0000-0000EB600000}"/>
    <cellStyle name="Normal 41 2 2 2 2 2 3 2" xfId="29511" xr:uid="{00000000-0005-0000-0000-0000EC600000}"/>
    <cellStyle name="Normal 41 2 2 2 2 2 4" xfId="29513" xr:uid="{00000000-0005-0000-0000-0000ED600000}"/>
    <cellStyle name="Normal 41 2 2 2 2 3" xfId="29515" xr:uid="{00000000-0005-0000-0000-0000EE600000}"/>
    <cellStyle name="Normal 41 2 2 2 2 3 2" xfId="29517" xr:uid="{00000000-0005-0000-0000-0000EF600000}"/>
    <cellStyle name="Normal 41 2 2 2 2 3 2 2" xfId="29519" xr:uid="{00000000-0005-0000-0000-0000F0600000}"/>
    <cellStyle name="Normal 41 2 2 2 2 3 3" xfId="29521" xr:uid="{00000000-0005-0000-0000-0000F1600000}"/>
    <cellStyle name="Normal 41 2 2 2 2 4" xfId="29523" xr:uid="{00000000-0005-0000-0000-0000F2600000}"/>
    <cellStyle name="Normal 41 2 2 2 2 4 2" xfId="29525" xr:uid="{00000000-0005-0000-0000-0000F3600000}"/>
    <cellStyle name="Normal 41 2 2 2 2 4 2 2" xfId="1591" xr:uid="{00000000-0005-0000-0000-0000F4600000}"/>
    <cellStyle name="Normal 41 2 2 2 2 4 3" xfId="29527" xr:uid="{00000000-0005-0000-0000-0000F5600000}"/>
    <cellStyle name="Normal 41 2 2 2 2 5" xfId="29529" xr:uid="{00000000-0005-0000-0000-0000F6600000}"/>
    <cellStyle name="Normal 41 2 2 2 2 5 2" xfId="29531" xr:uid="{00000000-0005-0000-0000-0000F7600000}"/>
    <cellStyle name="Normal 41 2 2 2 2 6" xfId="29538" xr:uid="{00000000-0005-0000-0000-0000F8600000}"/>
    <cellStyle name="Normal 41 2 2 2 2 6 2" xfId="29542" xr:uid="{00000000-0005-0000-0000-0000F9600000}"/>
    <cellStyle name="Normal 41 2 2 2 2 7" xfId="29546" xr:uid="{00000000-0005-0000-0000-0000FA600000}"/>
    <cellStyle name="Normal 41 2 2 2 2 8" xfId="29552" xr:uid="{00000000-0005-0000-0000-0000FB600000}"/>
    <cellStyle name="Normal 41 2 2 2 3" xfId="5457" xr:uid="{00000000-0005-0000-0000-0000FC600000}"/>
    <cellStyle name="Normal 41 2 2 2 3 2" xfId="1306" xr:uid="{00000000-0005-0000-0000-0000FD600000}"/>
    <cellStyle name="Normal 41 2 2 2 3 2 2" xfId="29556" xr:uid="{00000000-0005-0000-0000-0000FE600000}"/>
    <cellStyle name="Normal 41 2 2 2 3 2 2 2" xfId="29562" xr:uid="{00000000-0005-0000-0000-0000FF600000}"/>
    <cellStyle name="Normal 41 2 2 2 3 2 3" xfId="29568" xr:uid="{00000000-0005-0000-0000-000000610000}"/>
    <cellStyle name="Normal 41 2 2 2 3 3" xfId="29570" xr:uid="{00000000-0005-0000-0000-000001610000}"/>
    <cellStyle name="Normal 41 2 2 2 3 3 2" xfId="29574" xr:uid="{00000000-0005-0000-0000-000002610000}"/>
    <cellStyle name="Normal 41 2 2 2 3 4" xfId="29576" xr:uid="{00000000-0005-0000-0000-000003610000}"/>
    <cellStyle name="Normal 41 2 2 2 4" xfId="6646" xr:uid="{00000000-0005-0000-0000-000004610000}"/>
    <cellStyle name="Normal 41 2 2 2 4 2" xfId="29578" xr:uid="{00000000-0005-0000-0000-000005610000}"/>
    <cellStyle name="Normal 41 2 2 2 4 2 2" xfId="29302" xr:uid="{00000000-0005-0000-0000-000006610000}"/>
    <cellStyle name="Normal 41 2 2 2 4 3" xfId="29580" xr:uid="{00000000-0005-0000-0000-000007610000}"/>
    <cellStyle name="Normal 41 2 2 2 5" xfId="13757" xr:uid="{00000000-0005-0000-0000-000008610000}"/>
    <cellStyle name="Normal 41 2 2 2 5 2" xfId="29582" xr:uid="{00000000-0005-0000-0000-000009610000}"/>
    <cellStyle name="Normal 41 2 2 2 5 2 2" xfId="29344" xr:uid="{00000000-0005-0000-0000-00000A610000}"/>
    <cellStyle name="Normal 41 2 2 2 5 3" xfId="29584" xr:uid="{00000000-0005-0000-0000-00000B610000}"/>
    <cellStyle name="Normal 41 2 2 2 6" xfId="6556" xr:uid="{00000000-0005-0000-0000-00000C610000}"/>
    <cellStyle name="Normal 41 2 2 2 6 2" xfId="29586" xr:uid="{00000000-0005-0000-0000-00000D610000}"/>
    <cellStyle name="Normal 41 2 2 2 7" xfId="29588" xr:uid="{00000000-0005-0000-0000-00000E610000}"/>
    <cellStyle name="Normal 41 2 2 2 7 2" xfId="29590" xr:uid="{00000000-0005-0000-0000-00000F610000}"/>
    <cellStyle name="Normal 41 2 2 2 8" xfId="29592" xr:uid="{00000000-0005-0000-0000-000010610000}"/>
    <cellStyle name="Normal 41 2 2 2 9" xfId="29594" xr:uid="{00000000-0005-0000-0000-000011610000}"/>
    <cellStyle name="Normal 41 2 2 3" xfId="12864" xr:uid="{00000000-0005-0000-0000-000012610000}"/>
    <cellStyle name="Normal 41 2 2 3 2" xfId="29596" xr:uid="{00000000-0005-0000-0000-000013610000}"/>
    <cellStyle name="Normal 41 2 2 3 2 2" xfId="29598" xr:uid="{00000000-0005-0000-0000-000014610000}"/>
    <cellStyle name="Normal 41 2 2 3 2 2 2" xfId="24759" xr:uid="{00000000-0005-0000-0000-000015610000}"/>
    <cellStyle name="Normal 41 2 2 3 2 2 2 2" xfId="29604" xr:uid="{00000000-0005-0000-0000-000016610000}"/>
    <cellStyle name="Normal 41 2 2 3 2 2 3" xfId="29606" xr:uid="{00000000-0005-0000-0000-000017610000}"/>
    <cellStyle name="Normal 41 2 2 3 2 3" xfId="29608" xr:uid="{00000000-0005-0000-0000-000018610000}"/>
    <cellStyle name="Normal 41 2 2 3 2 3 2" xfId="29610" xr:uid="{00000000-0005-0000-0000-000019610000}"/>
    <cellStyle name="Normal 41 2 2 3 2 4" xfId="29612" xr:uid="{00000000-0005-0000-0000-00001A610000}"/>
    <cellStyle name="Normal 41 2 2 3 3" xfId="6653" xr:uid="{00000000-0005-0000-0000-00001B610000}"/>
    <cellStyle name="Normal 41 2 2 3 3 2" xfId="29614" xr:uid="{00000000-0005-0000-0000-00001C610000}"/>
    <cellStyle name="Normal 41 2 2 3 3 2 2" xfId="29618" xr:uid="{00000000-0005-0000-0000-00001D610000}"/>
    <cellStyle name="Normal 41 2 2 3 3 3" xfId="29620" xr:uid="{00000000-0005-0000-0000-00001E610000}"/>
    <cellStyle name="Normal 41 2 2 3 4" xfId="29623" xr:uid="{00000000-0005-0000-0000-00001F610000}"/>
    <cellStyle name="Normal 41 2 2 3 4 2" xfId="29625" xr:uid="{00000000-0005-0000-0000-000020610000}"/>
    <cellStyle name="Normal 41 2 2 3 4 2 2" xfId="29394" xr:uid="{00000000-0005-0000-0000-000021610000}"/>
    <cellStyle name="Normal 41 2 2 3 4 3" xfId="29627" xr:uid="{00000000-0005-0000-0000-000022610000}"/>
    <cellStyle name="Normal 41 2 2 3 5" xfId="29629" xr:uid="{00000000-0005-0000-0000-000023610000}"/>
    <cellStyle name="Normal 41 2 2 3 5 2" xfId="29631" xr:uid="{00000000-0005-0000-0000-000024610000}"/>
    <cellStyle name="Normal 41 2 2 3 6" xfId="29633" xr:uid="{00000000-0005-0000-0000-000025610000}"/>
    <cellStyle name="Normal 41 2 2 3 6 2" xfId="21953" xr:uid="{00000000-0005-0000-0000-000026610000}"/>
    <cellStyle name="Normal 41 2 2 3 7" xfId="23344" xr:uid="{00000000-0005-0000-0000-000027610000}"/>
    <cellStyle name="Normal 41 2 2 3 8" xfId="24061" xr:uid="{00000000-0005-0000-0000-000028610000}"/>
    <cellStyle name="Normal 41 2 2 4" xfId="29635" xr:uid="{00000000-0005-0000-0000-000029610000}"/>
    <cellStyle name="Normal 41 2 2 4 2" xfId="29637" xr:uid="{00000000-0005-0000-0000-00002A610000}"/>
    <cellStyle name="Normal 41 2 2 4 2 2" xfId="29639" xr:uid="{00000000-0005-0000-0000-00002B610000}"/>
    <cellStyle name="Normal 41 2 2 4 2 2 2" xfId="15664" xr:uid="{00000000-0005-0000-0000-00002C610000}"/>
    <cellStyle name="Normal 41 2 2 4 2 3" xfId="29641" xr:uid="{00000000-0005-0000-0000-00002D610000}"/>
    <cellStyle name="Normal 41 2 2 4 3" xfId="29643" xr:uid="{00000000-0005-0000-0000-00002E610000}"/>
    <cellStyle name="Normal 41 2 2 4 3 2" xfId="29646" xr:uid="{00000000-0005-0000-0000-00002F610000}"/>
    <cellStyle name="Normal 41 2 2 4 4" xfId="29649" xr:uid="{00000000-0005-0000-0000-000030610000}"/>
    <cellStyle name="Normal 41 2 2 5" xfId="29651" xr:uid="{00000000-0005-0000-0000-000031610000}"/>
    <cellStyle name="Normal 41 2 2 5 2" xfId="25801" xr:uid="{00000000-0005-0000-0000-000032610000}"/>
    <cellStyle name="Normal 41 2 2 5 2 2" xfId="16385" xr:uid="{00000000-0005-0000-0000-000033610000}"/>
    <cellStyle name="Normal 41 2 2 5 3" xfId="13773" xr:uid="{00000000-0005-0000-0000-000034610000}"/>
    <cellStyle name="Normal 41 2 2 6" xfId="29653" xr:uid="{00000000-0005-0000-0000-000035610000}"/>
    <cellStyle name="Normal 41 2 2 6 2" xfId="25812" xr:uid="{00000000-0005-0000-0000-000036610000}"/>
    <cellStyle name="Normal 41 2 2 6 2 2" xfId="16629" xr:uid="{00000000-0005-0000-0000-000037610000}"/>
    <cellStyle name="Normal 41 2 2 6 3" xfId="8729" xr:uid="{00000000-0005-0000-0000-000038610000}"/>
    <cellStyle name="Normal 41 2 2 7" xfId="29655" xr:uid="{00000000-0005-0000-0000-000039610000}"/>
    <cellStyle name="Normal 41 2 2 7 2" xfId="25820" xr:uid="{00000000-0005-0000-0000-00003A610000}"/>
    <cellStyle name="Normal 41 2 2 8" xfId="29658" xr:uid="{00000000-0005-0000-0000-00003B610000}"/>
    <cellStyle name="Normal 41 2 2 8 2" xfId="9383" xr:uid="{00000000-0005-0000-0000-00003C610000}"/>
    <cellStyle name="Normal 41 2 2 9" xfId="29660" xr:uid="{00000000-0005-0000-0000-00003D610000}"/>
    <cellStyle name="Normal 41 2 3" xfId="8972" xr:uid="{00000000-0005-0000-0000-00003E610000}"/>
    <cellStyle name="Normal 41 2 3 2" xfId="8980" xr:uid="{00000000-0005-0000-0000-00003F610000}"/>
    <cellStyle name="Normal 41 2 3 2 2" xfId="29662" xr:uid="{00000000-0005-0000-0000-000040610000}"/>
    <cellStyle name="Normal 41 2 3 2 2 2" xfId="29664" xr:uid="{00000000-0005-0000-0000-000041610000}"/>
    <cellStyle name="Normal 41 2 3 2 2 2 2" xfId="29666" xr:uid="{00000000-0005-0000-0000-000042610000}"/>
    <cellStyle name="Normal 41 2 3 2 2 2 2 2" xfId="29671" xr:uid="{00000000-0005-0000-0000-000043610000}"/>
    <cellStyle name="Normal 41 2 3 2 2 2 3" xfId="29673" xr:uid="{00000000-0005-0000-0000-000044610000}"/>
    <cellStyle name="Normal 41 2 3 2 2 3" xfId="29675" xr:uid="{00000000-0005-0000-0000-000045610000}"/>
    <cellStyle name="Normal 41 2 3 2 2 3 2" xfId="29677" xr:uid="{00000000-0005-0000-0000-000046610000}"/>
    <cellStyle name="Normal 41 2 3 2 2 4" xfId="29679" xr:uid="{00000000-0005-0000-0000-000047610000}"/>
    <cellStyle name="Normal 41 2 3 2 2 5" xfId="29681" xr:uid="{00000000-0005-0000-0000-000048610000}"/>
    <cellStyle name="Normal 41 2 3 2 3" xfId="6659" xr:uid="{00000000-0005-0000-0000-000049610000}"/>
    <cellStyle name="Normal 41 2 3 2 3 2" xfId="29683" xr:uid="{00000000-0005-0000-0000-00004A610000}"/>
    <cellStyle name="Normal 41 2 3 2 3 2 2" xfId="29688" xr:uid="{00000000-0005-0000-0000-00004B610000}"/>
    <cellStyle name="Normal 41 2 3 2 3 3" xfId="29690" xr:uid="{00000000-0005-0000-0000-00004C610000}"/>
    <cellStyle name="Normal 41 2 3 2 4" xfId="29692" xr:uid="{00000000-0005-0000-0000-00004D610000}"/>
    <cellStyle name="Normal 41 2 3 2 4 2" xfId="29694" xr:uid="{00000000-0005-0000-0000-00004E610000}"/>
    <cellStyle name="Normal 41 2 3 2 4 2 2" xfId="29697" xr:uid="{00000000-0005-0000-0000-00004F610000}"/>
    <cellStyle name="Normal 41 2 3 2 4 3" xfId="27580" xr:uid="{00000000-0005-0000-0000-000050610000}"/>
    <cellStyle name="Normal 41 2 3 2 5" xfId="25558" xr:uid="{00000000-0005-0000-0000-000051610000}"/>
    <cellStyle name="Normal 41 2 3 2 5 2" xfId="27431" xr:uid="{00000000-0005-0000-0000-000052610000}"/>
    <cellStyle name="Normal 41 2 3 2 6" xfId="27436" xr:uid="{00000000-0005-0000-0000-000053610000}"/>
    <cellStyle name="Normal 41 2 3 2 6 2" xfId="13082" xr:uid="{00000000-0005-0000-0000-000054610000}"/>
    <cellStyle name="Normal 41 2 3 2 7" xfId="27440" xr:uid="{00000000-0005-0000-0000-000055610000}"/>
    <cellStyle name="Normal 41 2 3 2 8" xfId="29704" xr:uid="{00000000-0005-0000-0000-000056610000}"/>
    <cellStyle name="Normal 41 2 3 3" xfId="29706" xr:uid="{00000000-0005-0000-0000-000057610000}"/>
    <cellStyle name="Normal 41 2 3 3 2" xfId="29708" xr:uid="{00000000-0005-0000-0000-000058610000}"/>
    <cellStyle name="Normal 41 2 3 3 2 2" xfId="29710" xr:uid="{00000000-0005-0000-0000-000059610000}"/>
    <cellStyle name="Normal 41 2 3 3 2 2 2" xfId="25010" xr:uid="{00000000-0005-0000-0000-00005A610000}"/>
    <cellStyle name="Normal 41 2 3 3 2 3" xfId="29715" xr:uid="{00000000-0005-0000-0000-00005B610000}"/>
    <cellStyle name="Normal 41 2 3 3 3" xfId="29717" xr:uid="{00000000-0005-0000-0000-00005C610000}"/>
    <cellStyle name="Normal 41 2 3 3 3 2" xfId="29719" xr:uid="{00000000-0005-0000-0000-00005D610000}"/>
    <cellStyle name="Normal 41 2 3 3 4" xfId="29721" xr:uid="{00000000-0005-0000-0000-00005E610000}"/>
    <cellStyle name="Normal 41 2 3 3 5" xfId="27444" xr:uid="{00000000-0005-0000-0000-00005F610000}"/>
    <cellStyle name="Normal 41 2 3 4" xfId="8993" xr:uid="{00000000-0005-0000-0000-000060610000}"/>
    <cellStyle name="Normal 41 2 3 4 2" xfId="12468" xr:uid="{00000000-0005-0000-0000-000061610000}"/>
    <cellStyle name="Normal 41 2 3 4 2 2" xfId="29723" xr:uid="{00000000-0005-0000-0000-000062610000}"/>
    <cellStyle name="Normal 41 2 3 4 3" xfId="29725" xr:uid="{00000000-0005-0000-0000-000063610000}"/>
    <cellStyle name="Normal 41 2 3 5" xfId="1884" xr:uid="{00000000-0005-0000-0000-000064610000}"/>
    <cellStyle name="Normal 41 2 3 5 2" xfId="25827" xr:uid="{00000000-0005-0000-0000-000065610000}"/>
    <cellStyle name="Normal 41 2 3 5 2 2" xfId="17244" xr:uid="{00000000-0005-0000-0000-000066610000}"/>
    <cellStyle name="Normal 41 2 3 5 3" xfId="25830" xr:uid="{00000000-0005-0000-0000-000067610000}"/>
    <cellStyle name="Normal 41 2 3 6" xfId="1976" xr:uid="{00000000-0005-0000-0000-000068610000}"/>
    <cellStyle name="Normal 41 2 3 6 2" xfId="25840" xr:uid="{00000000-0005-0000-0000-000069610000}"/>
    <cellStyle name="Normal 41 2 3 7" xfId="18827" xr:uid="{00000000-0005-0000-0000-00006A610000}"/>
    <cellStyle name="Normal 41 2 3 7 2" xfId="25847" xr:uid="{00000000-0005-0000-0000-00006B610000}"/>
    <cellStyle name="Normal 41 2 3 8" xfId="29729" xr:uid="{00000000-0005-0000-0000-00006C610000}"/>
    <cellStyle name="Normal 41 2 3 9" xfId="29731" xr:uid="{00000000-0005-0000-0000-00006D610000}"/>
    <cellStyle name="Normal 41 2 4" xfId="5944" xr:uid="{00000000-0005-0000-0000-00006E610000}"/>
    <cellStyle name="Normal 41 2 4 2" xfId="29733" xr:uid="{00000000-0005-0000-0000-00006F610000}"/>
    <cellStyle name="Normal 41 2 4 2 2" xfId="12532" xr:uid="{00000000-0005-0000-0000-000070610000}"/>
    <cellStyle name="Normal 41 2 4 2 2 2" xfId="4236" xr:uid="{00000000-0005-0000-0000-000071610000}"/>
    <cellStyle name="Normal 41 2 4 2 2 2 2" xfId="26583" xr:uid="{00000000-0005-0000-0000-000072610000}"/>
    <cellStyle name="Normal 41 2 4 2 2 2 2 2" xfId="6868" xr:uid="{00000000-0005-0000-0000-000073610000}"/>
    <cellStyle name="Normal 41 2 4 2 2 2 3" xfId="29735" xr:uid="{00000000-0005-0000-0000-000074610000}"/>
    <cellStyle name="Normal 41 2 4 2 2 3" xfId="26517" xr:uid="{00000000-0005-0000-0000-000075610000}"/>
    <cellStyle name="Normal 41 2 4 2 2 3 2" xfId="29737" xr:uid="{00000000-0005-0000-0000-000076610000}"/>
    <cellStyle name="Normal 41 2 4 2 2 4" xfId="26526" xr:uid="{00000000-0005-0000-0000-000077610000}"/>
    <cellStyle name="Normal 41 2 4 2 3" xfId="5959" xr:uid="{00000000-0005-0000-0000-000078610000}"/>
    <cellStyle name="Normal 41 2 4 2 3 2" xfId="29739" xr:uid="{00000000-0005-0000-0000-000079610000}"/>
    <cellStyle name="Normal 41 2 4 2 3 2 2" xfId="29743" xr:uid="{00000000-0005-0000-0000-00007A610000}"/>
    <cellStyle name="Normal 41 2 4 2 3 3" xfId="29745" xr:uid="{00000000-0005-0000-0000-00007B610000}"/>
    <cellStyle name="Normal 41 2 4 2 4" xfId="29751" xr:uid="{00000000-0005-0000-0000-00007C610000}"/>
    <cellStyle name="Normal 41 2 4 2 4 2" xfId="29753" xr:uid="{00000000-0005-0000-0000-00007D610000}"/>
    <cellStyle name="Normal 41 2 4 2 4 2 2" xfId="29758" xr:uid="{00000000-0005-0000-0000-00007E610000}"/>
    <cellStyle name="Normal 41 2 4 2 4 3" xfId="23545" xr:uid="{00000000-0005-0000-0000-00007F610000}"/>
    <cellStyle name="Normal 41 2 4 2 5" xfId="27460" xr:uid="{00000000-0005-0000-0000-000080610000}"/>
    <cellStyle name="Normal 41 2 4 2 5 2" xfId="27465" xr:uid="{00000000-0005-0000-0000-000081610000}"/>
    <cellStyle name="Normal 41 2 4 2 6" xfId="27468" xr:uid="{00000000-0005-0000-0000-000082610000}"/>
    <cellStyle name="Normal 41 2 4 2 6 2" xfId="29761" xr:uid="{00000000-0005-0000-0000-000083610000}"/>
    <cellStyle name="Normal 41 2 4 2 7" xfId="29763" xr:uid="{00000000-0005-0000-0000-000084610000}"/>
    <cellStyle name="Normal 41 2 4 2 8" xfId="22395" xr:uid="{00000000-0005-0000-0000-000085610000}"/>
    <cellStyle name="Normal 41 2 4 3" xfId="29765" xr:uid="{00000000-0005-0000-0000-000086610000}"/>
    <cellStyle name="Normal 41 2 4 3 2" xfId="12884" xr:uid="{00000000-0005-0000-0000-000087610000}"/>
    <cellStyle name="Normal 41 2 4 3 2 2" xfId="29767" xr:uid="{00000000-0005-0000-0000-000088610000}"/>
    <cellStyle name="Normal 41 2 4 3 2 2 2" xfId="29769" xr:uid="{00000000-0005-0000-0000-000089610000}"/>
    <cellStyle name="Normal 41 2 4 3 2 3" xfId="29773" xr:uid="{00000000-0005-0000-0000-00008A610000}"/>
    <cellStyle name="Normal 41 2 4 3 3" xfId="29775" xr:uid="{00000000-0005-0000-0000-00008B610000}"/>
    <cellStyle name="Normal 41 2 4 3 3 2" xfId="29777" xr:uid="{00000000-0005-0000-0000-00008C610000}"/>
    <cellStyle name="Normal 41 2 4 3 4" xfId="29779" xr:uid="{00000000-0005-0000-0000-00008D610000}"/>
    <cellStyle name="Normal 41 2 4 4" xfId="5968" xr:uid="{00000000-0005-0000-0000-00008E610000}"/>
    <cellStyle name="Normal 41 2 4 4 2" xfId="20603" xr:uid="{00000000-0005-0000-0000-00008F610000}"/>
    <cellStyle name="Normal 41 2 4 4 2 2" xfId="29781" xr:uid="{00000000-0005-0000-0000-000090610000}"/>
    <cellStyle name="Normal 41 2 4 4 3" xfId="18047" xr:uid="{00000000-0005-0000-0000-000091610000}"/>
    <cellStyle name="Normal 41 2 4 5" xfId="29783" xr:uid="{00000000-0005-0000-0000-000092610000}"/>
    <cellStyle name="Normal 41 2 4 5 2" xfId="25855" xr:uid="{00000000-0005-0000-0000-000093610000}"/>
    <cellStyle name="Normal 41 2 4 5 2 2" xfId="29785" xr:uid="{00000000-0005-0000-0000-000094610000}"/>
    <cellStyle name="Normal 41 2 4 5 3" xfId="18055" xr:uid="{00000000-0005-0000-0000-000095610000}"/>
    <cellStyle name="Normal 41 2 4 6" xfId="29787" xr:uid="{00000000-0005-0000-0000-000096610000}"/>
    <cellStyle name="Normal 41 2 4 6 2" xfId="29789" xr:uid="{00000000-0005-0000-0000-000097610000}"/>
    <cellStyle name="Normal 41 2 4 7" xfId="29791" xr:uid="{00000000-0005-0000-0000-000098610000}"/>
    <cellStyle name="Normal 41 2 4 7 2" xfId="29793" xr:uid="{00000000-0005-0000-0000-000099610000}"/>
    <cellStyle name="Normal 41 2 4 8" xfId="29795" xr:uid="{00000000-0005-0000-0000-00009A610000}"/>
    <cellStyle name="Normal 41 2 4 9" xfId="29797" xr:uid="{00000000-0005-0000-0000-00009B610000}"/>
    <cellStyle name="Normal 41 2 5" xfId="29799" xr:uid="{00000000-0005-0000-0000-00009C610000}"/>
    <cellStyle name="Normal 41 2 5 2" xfId="29804" xr:uid="{00000000-0005-0000-0000-00009D610000}"/>
    <cellStyle name="Normal 41 2 5 2 2" xfId="12894" xr:uid="{00000000-0005-0000-0000-00009E610000}"/>
    <cellStyle name="Normal 41 2 5 2 2 2" xfId="29806" xr:uid="{00000000-0005-0000-0000-00009F610000}"/>
    <cellStyle name="Normal 41 2 5 2 2 2 2" xfId="29808" xr:uid="{00000000-0005-0000-0000-0000A0610000}"/>
    <cellStyle name="Normal 41 2 5 2 2 2 2 2" xfId="29811" xr:uid="{00000000-0005-0000-0000-0000A1610000}"/>
    <cellStyle name="Normal 41 2 5 2 2 2 3" xfId="29814" xr:uid="{00000000-0005-0000-0000-0000A2610000}"/>
    <cellStyle name="Normal 41 2 5 2 2 3" xfId="29816" xr:uid="{00000000-0005-0000-0000-0000A3610000}"/>
    <cellStyle name="Normal 41 2 5 2 2 3 2" xfId="29820" xr:uid="{00000000-0005-0000-0000-0000A4610000}"/>
    <cellStyle name="Normal 41 2 5 2 2 4" xfId="29822" xr:uid="{00000000-0005-0000-0000-0000A5610000}"/>
    <cellStyle name="Normal 41 2 5 2 3" xfId="29824" xr:uid="{00000000-0005-0000-0000-0000A6610000}"/>
    <cellStyle name="Normal 41 2 5 2 3 2" xfId="29826" xr:uid="{00000000-0005-0000-0000-0000A7610000}"/>
    <cellStyle name="Normal 41 2 5 2 3 2 2" xfId="29830" xr:uid="{00000000-0005-0000-0000-0000A8610000}"/>
    <cellStyle name="Normal 41 2 5 2 3 3" xfId="29832" xr:uid="{00000000-0005-0000-0000-0000A9610000}"/>
    <cellStyle name="Normal 41 2 5 2 4" xfId="29834" xr:uid="{00000000-0005-0000-0000-0000AA610000}"/>
    <cellStyle name="Normal 41 2 5 2 4 2" xfId="19877" xr:uid="{00000000-0005-0000-0000-0000AB610000}"/>
    <cellStyle name="Normal 41 2 5 2 4 2 2" xfId="29839" xr:uid="{00000000-0005-0000-0000-0000AC610000}"/>
    <cellStyle name="Normal 41 2 5 2 4 3" xfId="19880" xr:uid="{00000000-0005-0000-0000-0000AD610000}"/>
    <cellStyle name="Normal 41 2 5 2 5" xfId="27476" xr:uid="{00000000-0005-0000-0000-0000AE610000}"/>
    <cellStyle name="Normal 41 2 5 2 5 2" xfId="29842" xr:uid="{00000000-0005-0000-0000-0000AF610000}"/>
    <cellStyle name="Normal 41 2 5 2 6" xfId="29844" xr:uid="{00000000-0005-0000-0000-0000B0610000}"/>
    <cellStyle name="Normal 41 2 5 2 6 2" xfId="15162" xr:uid="{00000000-0005-0000-0000-0000B1610000}"/>
    <cellStyle name="Normal 41 2 5 2 7" xfId="29846" xr:uid="{00000000-0005-0000-0000-0000B2610000}"/>
    <cellStyle name="Normal 41 2 5 2 8" xfId="29848" xr:uid="{00000000-0005-0000-0000-0000B3610000}"/>
    <cellStyle name="Normal 41 2 5 3" xfId="29856" xr:uid="{00000000-0005-0000-0000-0000B4610000}"/>
    <cellStyle name="Normal 41 2 5 3 2" xfId="3614" xr:uid="{00000000-0005-0000-0000-0000B5610000}"/>
    <cellStyle name="Normal 41 2 5 3 2 2" xfId="122" xr:uid="{00000000-0005-0000-0000-0000B6610000}"/>
    <cellStyle name="Normal 41 2 5 3 2 2 2" xfId="3617" xr:uid="{00000000-0005-0000-0000-0000B7610000}"/>
    <cellStyle name="Normal 41 2 5 3 2 3" xfId="209" xr:uid="{00000000-0005-0000-0000-0000B8610000}"/>
    <cellStyle name="Normal 41 2 5 3 3" xfId="3682" xr:uid="{00000000-0005-0000-0000-0000B9610000}"/>
    <cellStyle name="Normal 41 2 5 3 3 2" xfId="2430" xr:uid="{00000000-0005-0000-0000-0000BA610000}"/>
    <cellStyle name="Normal 41 2 5 3 4" xfId="3719" xr:uid="{00000000-0005-0000-0000-0000BB610000}"/>
    <cellStyle name="Normal 41 2 5 4" xfId="7403" xr:uid="{00000000-0005-0000-0000-0000BC610000}"/>
    <cellStyle name="Normal 41 2 5 4 2" xfId="5019" xr:uid="{00000000-0005-0000-0000-0000BD610000}"/>
    <cellStyle name="Normal 41 2 5 4 2 2" xfId="5027" xr:uid="{00000000-0005-0000-0000-0000BE610000}"/>
    <cellStyle name="Normal 41 2 5 4 3" xfId="5202" xr:uid="{00000000-0005-0000-0000-0000BF610000}"/>
    <cellStyle name="Normal 41 2 5 5" xfId="29860" xr:uid="{00000000-0005-0000-0000-0000C0610000}"/>
    <cellStyle name="Normal 41 2 5 5 2" xfId="2229" xr:uid="{00000000-0005-0000-0000-0000C1610000}"/>
    <cellStyle name="Normal 41 2 5 5 2 2" xfId="6239" xr:uid="{00000000-0005-0000-0000-0000C2610000}"/>
    <cellStyle name="Normal 41 2 5 5 3" xfId="6287" xr:uid="{00000000-0005-0000-0000-0000C3610000}"/>
    <cellStyle name="Normal 41 2 5 6" xfId="29864" xr:uid="{00000000-0005-0000-0000-0000C4610000}"/>
    <cellStyle name="Normal 41 2 5 6 2" xfId="7547" xr:uid="{00000000-0005-0000-0000-0000C5610000}"/>
    <cellStyle name="Normal 41 2 5 7" xfId="29866" xr:uid="{00000000-0005-0000-0000-0000C6610000}"/>
    <cellStyle name="Normal 41 2 5 7 2" xfId="8295" xr:uid="{00000000-0005-0000-0000-0000C7610000}"/>
    <cellStyle name="Normal 41 2 5 8" xfId="29868" xr:uid="{00000000-0005-0000-0000-0000C8610000}"/>
    <cellStyle name="Normal 41 2 5 9" xfId="29870" xr:uid="{00000000-0005-0000-0000-0000C9610000}"/>
    <cellStyle name="Normal 41 2 6" xfId="793" xr:uid="{00000000-0005-0000-0000-0000CA610000}"/>
    <cellStyle name="Normal 41 2 6 2" xfId="5988" xr:uid="{00000000-0005-0000-0000-0000CB610000}"/>
    <cellStyle name="Normal 41 2 6 2 2" xfId="5512" xr:uid="{00000000-0005-0000-0000-0000CC610000}"/>
    <cellStyle name="Normal 41 2 6 2 2 2" xfId="3582" xr:uid="{00000000-0005-0000-0000-0000CD610000}"/>
    <cellStyle name="Normal 41 2 6 2 2 2 2" xfId="5520" xr:uid="{00000000-0005-0000-0000-0000CE610000}"/>
    <cellStyle name="Normal 41 2 6 2 2 3" xfId="5527" xr:uid="{00000000-0005-0000-0000-0000CF610000}"/>
    <cellStyle name="Normal 41 2 6 2 3" xfId="5537" xr:uid="{00000000-0005-0000-0000-0000D0610000}"/>
    <cellStyle name="Normal 41 2 6 2 3 2" xfId="2377" xr:uid="{00000000-0005-0000-0000-0000D1610000}"/>
    <cellStyle name="Normal 41 2 6 2 4" xfId="5554" xr:uid="{00000000-0005-0000-0000-0000D2610000}"/>
    <cellStyle name="Normal 41 2 6 2 5" xfId="2438" xr:uid="{00000000-0005-0000-0000-0000D3610000}"/>
    <cellStyle name="Normal 41 2 6 3" xfId="29872" xr:uid="{00000000-0005-0000-0000-0000D4610000}"/>
    <cellStyle name="Normal 41 2 6 3 2" xfId="5701" xr:uid="{00000000-0005-0000-0000-0000D5610000}"/>
    <cellStyle name="Normal 41 2 6 3 2 2" xfId="1015" xr:uid="{00000000-0005-0000-0000-0000D6610000}"/>
    <cellStyle name="Normal 41 2 6 3 3" xfId="5736" xr:uid="{00000000-0005-0000-0000-0000D7610000}"/>
    <cellStyle name="Normal 41 2 6 4" xfId="29874" xr:uid="{00000000-0005-0000-0000-0000D8610000}"/>
    <cellStyle name="Normal 41 2 6 4 2" xfId="5882" xr:uid="{00000000-0005-0000-0000-0000D9610000}"/>
    <cellStyle name="Normal 41 2 6 4 2 2" xfId="5887" xr:uid="{00000000-0005-0000-0000-0000DA610000}"/>
    <cellStyle name="Normal 41 2 6 4 3" xfId="2528" xr:uid="{00000000-0005-0000-0000-0000DB610000}"/>
    <cellStyle name="Normal 41 2 6 5" xfId="29876" xr:uid="{00000000-0005-0000-0000-0000DC610000}"/>
    <cellStyle name="Normal 41 2 6 5 2" xfId="2270" xr:uid="{00000000-0005-0000-0000-0000DD610000}"/>
    <cellStyle name="Normal 41 2 6 6" xfId="29878" xr:uid="{00000000-0005-0000-0000-0000DE610000}"/>
    <cellStyle name="Normal 41 2 6 6 2" xfId="5290" xr:uid="{00000000-0005-0000-0000-0000DF610000}"/>
    <cellStyle name="Normal 41 2 6 7" xfId="29880" xr:uid="{00000000-0005-0000-0000-0000E0610000}"/>
    <cellStyle name="Normal 41 2 6 8" xfId="29882" xr:uid="{00000000-0005-0000-0000-0000E1610000}"/>
    <cellStyle name="Normal 41 2 7" xfId="6002" xr:uid="{00000000-0005-0000-0000-0000E2610000}"/>
    <cellStyle name="Normal 41 2 7 2" xfId="29884" xr:uid="{00000000-0005-0000-0000-0000E3610000}"/>
    <cellStyle name="Normal 41 2 7 2 2" xfId="6251" xr:uid="{00000000-0005-0000-0000-0000E4610000}"/>
    <cellStyle name="Normal 41 2 7 2 2 2" xfId="19324" xr:uid="{00000000-0005-0000-0000-0000E5610000}"/>
    <cellStyle name="Normal 41 2 7 2 3" xfId="6257" xr:uid="{00000000-0005-0000-0000-0000E6610000}"/>
    <cellStyle name="Normal 41 2 7 3" xfId="29886" xr:uid="{00000000-0005-0000-0000-0000E7610000}"/>
    <cellStyle name="Normal 41 2 7 3 2" xfId="29888" xr:uid="{00000000-0005-0000-0000-0000E8610000}"/>
    <cellStyle name="Normal 41 2 7 4" xfId="29890" xr:uid="{00000000-0005-0000-0000-0000E9610000}"/>
    <cellStyle name="Normal 41 2 7 5" xfId="27704" xr:uid="{00000000-0005-0000-0000-0000EA610000}"/>
    <cellStyle name="Normal 41 2 8" xfId="29895" xr:uid="{00000000-0005-0000-0000-0000EB610000}"/>
    <cellStyle name="Normal 41 2 8 2" xfId="29897" xr:uid="{00000000-0005-0000-0000-0000EC610000}"/>
    <cellStyle name="Normal 41 2 8 2 2" xfId="29899" xr:uid="{00000000-0005-0000-0000-0000ED610000}"/>
    <cellStyle name="Normal 41 2 8 3" xfId="29901" xr:uid="{00000000-0005-0000-0000-0000EE610000}"/>
    <cellStyle name="Normal 41 2 9" xfId="29904" xr:uid="{00000000-0005-0000-0000-0000EF610000}"/>
    <cellStyle name="Normal 41 2 9 2" xfId="23071" xr:uid="{00000000-0005-0000-0000-0000F0610000}"/>
    <cellStyle name="Normal 41 2 9 2 2" xfId="29907" xr:uid="{00000000-0005-0000-0000-0000F1610000}"/>
    <cellStyle name="Normal 41 2 9 3" xfId="29910" xr:uid="{00000000-0005-0000-0000-0000F2610000}"/>
    <cellStyle name="Normal 41 3" xfId="29915" xr:uid="{00000000-0005-0000-0000-0000F3610000}"/>
    <cellStyle name="Normal 41 3 10" xfId="29917" xr:uid="{00000000-0005-0000-0000-0000F4610000}"/>
    <cellStyle name="Normal 41 3 10 2" xfId="29919" xr:uid="{00000000-0005-0000-0000-0000F5610000}"/>
    <cellStyle name="Normal 41 3 11" xfId="12793" xr:uid="{00000000-0005-0000-0000-0000F6610000}"/>
    <cellStyle name="Normal 41 3 11 2" xfId="12798" xr:uid="{00000000-0005-0000-0000-0000F7610000}"/>
    <cellStyle name="Normal 41 3 12" xfId="12806" xr:uid="{00000000-0005-0000-0000-0000F8610000}"/>
    <cellStyle name="Normal 41 3 12 2" xfId="13598" xr:uid="{00000000-0005-0000-0000-0000F9610000}"/>
    <cellStyle name="Normal 41 3 13" xfId="2386" xr:uid="{00000000-0005-0000-0000-0000FA610000}"/>
    <cellStyle name="Normal 41 3 14" xfId="29922" xr:uid="{00000000-0005-0000-0000-0000FB610000}"/>
    <cellStyle name="Normal 41 3 2" xfId="29927" xr:uid="{00000000-0005-0000-0000-0000FC610000}"/>
    <cellStyle name="Normal 41 3 2 10" xfId="29931" xr:uid="{00000000-0005-0000-0000-0000FD610000}"/>
    <cellStyle name="Normal 41 3 2 2" xfId="29934" xr:uid="{00000000-0005-0000-0000-0000FE610000}"/>
    <cellStyle name="Normal 41 3 2 2 2" xfId="24400" xr:uid="{00000000-0005-0000-0000-0000FF610000}"/>
    <cellStyle name="Normal 41 3 2 2 2 2" xfId="24403" xr:uid="{00000000-0005-0000-0000-000000620000}"/>
    <cellStyle name="Normal 41 3 2 2 2 2 2" xfId="17454" xr:uid="{00000000-0005-0000-0000-000001620000}"/>
    <cellStyle name="Normal 41 3 2 2 2 2 2 2" xfId="17458" xr:uid="{00000000-0005-0000-0000-000002620000}"/>
    <cellStyle name="Normal 41 3 2 2 2 2 2 2 2" xfId="21431" xr:uid="{00000000-0005-0000-0000-000003620000}"/>
    <cellStyle name="Normal 41 3 2 2 2 2 2 3" xfId="13143" xr:uid="{00000000-0005-0000-0000-000004620000}"/>
    <cellStyle name="Normal 41 3 2 2 2 2 3" xfId="12939" xr:uid="{00000000-0005-0000-0000-000005620000}"/>
    <cellStyle name="Normal 41 3 2 2 2 2 3 2" xfId="15250" xr:uid="{00000000-0005-0000-0000-000006620000}"/>
    <cellStyle name="Normal 41 3 2 2 2 2 4" xfId="17464" xr:uid="{00000000-0005-0000-0000-000007620000}"/>
    <cellStyle name="Normal 41 3 2 2 2 3" xfId="29936" xr:uid="{00000000-0005-0000-0000-000008620000}"/>
    <cellStyle name="Normal 41 3 2 2 2 3 2" xfId="10719" xr:uid="{00000000-0005-0000-0000-000009620000}"/>
    <cellStyle name="Normal 41 3 2 2 2 3 2 2" xfId="29938" xr:uid="{00000000-0005-0000-0000-00000A620000}"/>
    <cellStyle name="Normal 41 3 2 2 2 3 3" xfId="10723" xr:uid="{00000000-0005-0000-0000-00000B620000}"/>
    <cellStyle name="Normal 41 3 2 2 2 4" xfId="29940" xr:uid="{00000000-0005-0000-0000-00000C620000}"/>
    <cellStyle name="Normal 41 3 2 2 2 4 2" xfId="29942" xr:uid="{00000000-0005-0000-0000-00000D620000}"/>
    <cellStyle name="Normal 41 3 2 2 2 4 2 2" xfId="29944" xr:uid="{00000000-0005-0000-0000-00000E620000}"/>
    <cellStyle name="Normal 41 3 2 2 2 4 3" xfId="29946" xr:uid="{00000000-0005-0000-0000-00000F620000}"/>
    <cellStyle name="Normal 41 3 2 2 2 5" xfId="29948" xr:uid="{00000000-0005-0000-0000-000010620000}"/>
    <cellStyle name="Normal 41 3 2 2 2 5 2" xfId="29950" xr:uid="{00000000-0005-0000-0000-000011620000}"/>
    <cellStyle name="Normal 41 3 2 2 2 6" xfId="29954" xr:uid="{00000000-0005-0000-0000-000012620000}"/>
    <cellStyle name="Normal 41 3 2 2 2 6 2" xfId="29958" xr:uid="{00000000-0005-0000-0000-000013620000}"/>
    <cellStyle name="Normal 41 3 2 2 2 7" xfId="29961" xr:uid="{00000000-0005-0000-0000-000014620000}"/>
    <cellStyle name="Normal 41 3 2 2 2 8" xfId="18366" xr:uid="{00000000-0005-0000-0000-000015620000}"/>
    <cellStyle name="Normal 41 3 2 2 3" xfId="5912" xr:uid="{00000000-0005-0000-0000-000016620000}"/>
    <cellStyle name="Normal 41 3 2 2 3 2" xfId="29966" xr:uid="{00000000-0005-0000-0000-000017620000}"/>
    <cellStyle name="Normal 41 3 2 2 3 2 2" xfId="21465" xr:uid="{00000000-0005-0000-0000-000018620000}"/>
    <cellStyle name="Normal 41 3 2 2 3 2 2 2" xfId="20896" xr:uid="{00000000-0005-0000-0000-000019620000}"/>
    <cellStyle name="Normal 41 3 2 2 3 2 3" xfId="21468" xr:uid="{00000000-0005-0000-0000-00001A620000}"/>
    <cellStyle name="Normal 41 3 2 2 3 3" xfId="4151" xr:uid="{00000000-0005-0000-0000-00001B620000}"/>
    <cellStyle name="Normal 41 3 2 2 3 3 2" xfId="4163" xr:uid="{00000000-0005-0000-0000-00001C620000}"/>
    <cellStyle name="Normal 41 3 2 2 3 4" xfId="4177" xr:uid="{00000000-0005-0000-0000-00001D620000}"/>
    <cellStyle name="Normal 41 3 2 2 4" xfId="29969" xr:uid="{00000000-0005-0000-0000-00001E620000}"/>
    <cellStyle name="Normal 41 3 2 2 4 2" xfId="29971" xr:uid="{00000000-0005-0000-0000-00001F620000}"/>
    <cellStyle name="Normal 41 3 2 2 4 2 2" xfId="21500" xr:uid="{00000000-0005-0000-0000-000020620000}"/>
    <cellStyle name="Normal 41 3 2 2 4 3" xfId="2710" xr:uid="{00000000-0005-0000-0000-000021620000}"/>
    <cellStyle name="Normal 41 3 2 2 5" xfId="29973" xr:uid="{00000000-0005-0000-0000-000022620000}"/>
    <cellStyle name="Normal 41 3 2 2 5 2" xfId="29975" xr:uid="{00000000-0005-0000-0000-000023620000}"/>
    <cellStyle name="Normal 41 3 2 2 5 2 2" xfId="21523" xr:uid="{00000000-0005-0000-0000-000024620000}"/>
    <cellStyle name="Normal 41 3 2 2 5 3" xfId="7689" xr:uid="{00000000-0005-0000-0000-000025620000}"/>
    <cellStyle name="Normal 41 3 2 2 6" xfId="29977" xr:uid="{00000000-0005-0000-0000-000026620000}"/>
    <cellStyle name="Normal 41 3 2 2 6 2" xfId="29979" xr:uid="{00000000-0005-0000-0000-000027620000}"/>
    <cellStyle name="Normal 41 3 2 2 7" xfId="29981" xr:uid="{00000000-0005-0000-0000-000028620000}"/>
    <cellStyle name="Normal 41 3 2 2 7 2" xfId="29985" xr:uid="{00000000-0005-0000-0000-000029620000}"/>
    <cellStyle name="Normal 41 3 2 2 8" xfId="29987" xr:uid="{00000000-0005-0000-0000-00002A620000}"/>
    <cellStyle name="Normal 41 3 2 2 9" xfId="12523" xr:uid="{00000000-0005-0000-0000-00002B620000}"/>
    <cellStyle name="Normal 41 3 2 3" xfId="16446" xr:uid="{00000000-0005-0000-0000-00002C620000}"/>
    <cellStyle name="Normal 41 3 2 3 2" xfId="24408" xr:uid="{00000000-0005-0000-0000-00002D620000}"/>
    <cellStyle name="Normal 41 3 2 3 2 2" xfId="29989" xr:uid="{00000000-0005-0000-0000-00002E620000}"/>
    <cellStyle name="Normal 41 3 2 3 2 2 2" xfId="29991" xr:uid="{00000000-0005-0000-0000-00002F620000}"/>
    <cellStyle name="Normal 41 3 2 3 2 2 2 2" xfId="29995" xr:uid="{00000000-0005-0000-0000-000030620000}"/>
    <cellStyle name="Normal 41 3 2 3 2 2 3" xfId="16429" xr:uid="{00000000-0005-0000-0000-000031620000}"/>
    <cellStyle name="Normal 41 3 2 3 2 3" xfId="20618" xr:uid="{00000000-0005-0000-0000-000032620000}"/>
    <cellStyle name="Normal 41 3 2 3 2 3 2" xfId="11208" xr:uid="{00000000-0005-0000-0000-000033620000}"/>
    <cellStyle name="Normal 41 3 2 3 2 4" xfId="11659" xr:uid="{00000000-0005-0000-0000-000034620000}"/>
    <cellStyle name="Normal 41 3 2 3 3" xfId="29997" xr:uid="{00000000-0005-0000-0000-000035620000}"/>
    <cellStyle name="Normal 41 3 2 3 3 2" xfId="29999" xr:uid="{00000000-0005-0000-0000-000036620000}"/>
    <cellStyle name="Normal 41 3 2 3 3 2 2" xfId="26061" xr:uid="{00000000-0005-0000-0000-000037620000}"/>
    <cellStyle name="Normal 41 3 2 3 3 3" xfId="637" xr:uid="{00000000-0005-0000-0000-000038620000}"/>
    <cellStyle name="Normal 41 3 2 3 4" xfId="30001" xr:uid="{00000000-0005-0000-0000-000039620000}"/>
    <cellStyle name="Normal 41 3 2 3 4 2" xfId="30003" xr:uid="{00000000-0005-0000-0000-00003A620000}"/>
    <cellStyle name="Normal 41 3 2 3 4 2 2" xfId="26397" xr:uid="{00000000-0005-0000-0000-00003B620000}"/>
    <cellStyle name="Normal 41 3 2 3 4 3" xfId="30005" xr:uid="{00000000-0005-0000-0000-00003C620000}"/>
    <cellStyle name="Normal 41 3 2 3 5" xfId="30007" xr:uid="{00000000-0005-0000-0000-00003D620000}"/>
    <cellStyle name="Normal 41 3 2 3 5 2" xfId="22460" xr:uid="{00000000-0005-0000-0000-00003E620000}"/>
    <cellStyle name="Normal 41 3 2 3 6" xfId="30009" xr:uid="{00000000-0005-0000-0000-00003F620000}"/>
    <cellStyle name="Normal 41 3 2 3 6 2" xfId="24410" xr:uid="{00000000-0005-0000-0000-000040620000}"/>
    <cellStyle name="Normal 41 3 2 3 7" xfId="30011" xr:uid="{00000000-0005-0000-0000-000041620000}"/>
    <cellStyle name="Normal 41 3 2 3 8" xfId="30013" xr:uid="{00000000-0005-0000-0000-000042620000}"/>
    <cellStyle name="Normal 41 3 2 4" xfId="30016" xr:uid="{00000000-0005-0000-0000-000043620000}"/>
    <cellStyle name="Normal 41 3 2 4 2" xfId="24415" xr:uid="{00000000-0005-0000-0000-000044620000}"/>
    <cellStyle name="Normal 41 3 2 4 2 2" xfId="30018" xr:uid="{00000000-0005-0000-0000-000045620000}"/>
    <cellStyle name="Normal 41 3 2 4 2 2 2" xfId="26650" xr:uid="{00000000-0005-0000-0000-000046620000}"/>
    <cellStyle name="Normal 41 3 2 4 2 3" xfId="30022" xr:uid="{00000000-0005-0000-0000-000047620000}"/>
    <cellStyle name="Normal 41 3 2 4 3" xfId="30024" xr:uid="{00000000-0005-0000-0000-000048620000}"/>
    <cellStyle name="Normal 41 3 2 4 3 2" xfId="30026" xr:uid="{00000000-0005-0000-0000-000049620000}"/>
    <cellStyle name="Normal 41 3 2 4 4" xfId="30029" xr:uid="{00000000-0005-0000-0000-00004A620000}"/>
    <cellStyle name="Normal 41 3 2 5" xfId="30031" xr:uid="{00000000-0005-0000-0000-00004B620000}"/>
    <cellStyle name="Normal 41 3 2 5 2" xfId="30034" xr:uid="{00000000-0005-0000-0000-00004C620000}"/>
    <cellStyle name="Normal 41 3 2 5 2 2" xfId="30037" xr:uid="{00000000-0005-0000-0000-00004D620000}"/>
    <cellStyle name="Normal 41 3 2 5 3" xfId="30040" xr:uid="{00000000-0005-0000-0000-00004E620000}"/>
    <cellStyle name="Normal 41 3 2 6" xfId="4676" xr:uid="{00000000-0005-0000-0000-00004F620000}"/>
    <cellStyle name="Normal 41 3 2 6 2" xfId="27075" xr:uid="{00000000-0005-0000-0000-000050620000}"/>
    <cellStyle name="Normal 41 3 2 6 2 2" xfId="30042" xr:uid="{00000000-0005-0000-0000-000051620000}"/>
    <cellStyle name="Normal 41 3 2 6 3" xfId="30044" xr:uid="{00000000-0005-0000-0000-000052620000}"/>
    <cellStyle name="Normal 41 3 2 7" xfId="30046" xr:uid="{00000000-0005-0000-0000-000053620000}"/>
    <cellStyle name="Normal 41 3 2 7 2" xfId="20237" xr:uid="{00000000-0005-0000-0000-000054620000}"/>
    <cellStyle name="Normal 41 3 2 8" xfId="30048" xr:uid="{00000000-0005-0000-0000-000055620000}"/>
    <cellStyle name="Normal 41 3 2 8 2" xfId="30050" xr:uid="{00000000-0005-0000-0000-000056620000}"/>
    <cellStyle name="Normal 41 3 2 9" xfId="30052" xr:uid="{00000000-0005-0000-0000-000057620000}"/>
    <cellStyle name="Normal 41 3 3" xfId="9005" xr:uid="{00000000-0005-0000-0000-000058620000}"/>
    <cellStyle name="Normal 41 3 3 2" xfId="30054" xr:uid="{00000000-0005-0000-0000-000059620000}"/>
    <cellStyle name="Normal 41 3 3 2 2" xfId="18331" xr:uid="{00000000-0005-0000-0000-00005A620000}"/>
    <cellStyle name="Normal 41 3 3 2 2 2" xfId="18335" xr:uid="{00000000-0005-0000-0000-00005B620000}"/>
    <cellStyle name="Normal 41 3 3 2 2 2 2" xfId="30057" xr:uid="{00000000-0005-0000-0000-00005C620000}"/>
    <cellStyle name="Normal 41 3 3 2 2 2 2 2" xfId="30060" xr:uid="{00000000-0005-0000-0000-00005D620000}"/>
    <cellStyle name="Normal 41 3 3 2 2 2 3" xfId="30064" xr:uid="{00000000-0005-0000-0000-00005E620000}"/>
    <cellStyle name="Normal 41 3 3 2 2 3" xfId="18577" xr:uid="{00000000-0005-0000-0000-00005F620000}"/>
    <cellStyle name="Normal 41 3 3 2 2 3 2" xfId="30067" xr:uid="{00000000-0005-0000-0000-000060620000}"/>
    <cellStyle name="Normal 41 3 3 2 2 4" xfId="30069" xr:uid="{00000000-0005-0000-0000-000061620000}"/>
    <cellStyle name="Normal 41 3 3 2 2 5" xfId="23022" xr:uid="{00000000-0005-0000-0000-000062620000}"/>
    <cellStyle name="Normal 41 3 3 2 3" xfId="6742" xr:uid="{00000000-0005-0000-0000-000063620000}"/>
    <cellStyle name="Normal 41 3 3 2 3 2" xfId="18595" xr:uid="{00000000-0005-0000-0000-000064620000}"/>
    <cellStyle name="Normal 41 3 3 2 3 2 2" xfId="30072" xr:uid="{00000000-0005-0000-0000-000065620000}"/>
    <cellStyle name="Normal 41 3 3 2 3 3" xfId="8484" xr:uid="{00000000-0005-0000-0000-000066620000}"/>
    <cellStyle name="Normal 41 3 3 2 4" xfId="18340" xr:uid="{00000000-0005-0000-0000-000067620000}"/>
    <cellStyle name="Normal 41 3 3 2 4 2" xfId="30074" xr:uid="{00000000-0005-0000-0000-000068620000}"/>
    <cellStyle name="Normal 41 3 3 2 4 2 2" xfId="30076" xr:uid="{00000000-0005-0000-0000-000069620000}"/>
    <cellStyle name="Normal 41 3 3 2 4 3" xfId="30078" xr:uid="{00000000-0005-0000-0000-00006A620000}"/>
    <cellStyle name="Normal 41 3 3 2 5" xfId="27490" xr:uid="{00000000-0005-0000-0000-00006B620000}"/>
    <cellStyle name="Normal 41 3 3 2 5 2" xfId="27493" xr:uid="{00000000-0005-0000-0000-00006C620000}"/>
    <cellStyle name="Normal 41 3 3 2 6" xfId="27496" xr:uid="{00000000-0005-0000-0000-00006D620000}"/>
    <cellStyle name="Normal 41 3 3 2 6 2" xfId="30080" xr:uid="{00000000-0005-0000-0000-00006E620000}"/>
    <cellStyle name="Normal 41 3 3 2 7" xfId="30082" xr:uid="{00000000-0005-0000-0000-00006F620000}"/>
    <cellStyle name="Normal 41 3 3 2 8" xfId="30084" xr:uid="{00000000-0005-0000-0000-000070620000}"/>
    <cellStyle name="Normal 41 3 3 3" xfId="30086" xr:uid="{00000000-0005-0000-0000-000071620000}"/>
    <cellStyle name="Normal 41 3 3 3 2" xfId="30088" xr:uid="{00000000-0005-0000-0000-000072620000}"/>
    <cellStyle name="Normal 41 3 3 3 2 2" xfId="30090" xr:uid="{00000000-0005-0000-0000-000073620000}"/>
    <cellStyle name="Normal 41 3 3 3 2 2 2" xfId="30092" xr:uid="{00000000-0005-0000-0000-000074620000}"/>
    <cellStyle name="Normal 41 3 3 3 2 3" xfId="30098" xr:uid="{00000000-0005-0000-0000-000075620000}"/>
    <cellStyle name="Normal 41 3 3 3 3" xfId="30100" xr:uid="{00000000-0005-0000-0000-000076620000}"/>
    <cellStyle name="Normal 41 3 3 3 3 2" xfId="30102" xr:uid="{00000000-0005-0000-0000-000077620000}"/>
    <cellStyle name="Normal 41 3 3 3 4" xfId="30104" xr:uid="{00000000-0005-0000-0000-000078620000}"/>
    <cellStyle name="Normal 41 3 3 3 5" xfId="27500" xr:uid="{00000000-0005-0000-0000-000079620000}"/>
    <cellStyle name="Normal 41 3 3 4" xfId="12472" xr:uid="{00000000-0005-0000-0000-00007A620000}"/>
    <cellStyle name="Normal 41 3 3 4 2" xfId="30106" xr:uid="{00000000-0005-0000-0000-00007B620000}"/>
    <cellStyle name="Normal 41 3 3 4 2 2" xfId="30108" xr:uid="{00000000-0005-0000-0000-00007C620000}"/>
    <cellStyle name="Normal 41 3 3 4 3" xfId="30110" xr:uid="{00000000-0005-0000-0000-00007D620000}"/>
    <cellStyle name="Normal 41 3 3 5" xfId="30112" xr:uid="{00000000-0005-0000-0000-00007E620000}"/>
    <cellStyle name="Normal 41 3 3 5 2" xfId="30116" xr:uid="{00000000-0005-0000-0000-00007F620000}"/>
    <cellStyle name="Normal 41 3 3 5 2 2" xfId="30119" xr:uid="{00000000-0005-0000-0000-000080620000}"/>
    <cellStyle name="Normal 41 3 3 5 3" xfId="30122" xr:uid="{00000000-0005-0000-0000-000081620000}"/>
    <cellStyle name="Normal 41 3 3 6" xfId="30124" xr:uid="{00000000-0005-0000-0000-000082620000}"/>
    <cellStyle name="Normal 41 3 3 6 2" xfId="30126" xr:uid="{00000000-0005-0000-0000-000083620000}"/>
    <cellStyle name="Normal 41 3 3 7" xfId="30128" xr:uid="{00000000-0005-0000-0000-000084620000}"/>
    <cellStyle name="Normal 41 3 3 7 2" xfId="30130" xr:uid="{00000000-0005-0000-0000-000085620000}"/>
    <cellStyle name="Normal 41 3 3 8" xfId="30132" xr:uid="{00000000-0005-0000-0000-000086620000}"/>
    <cellStyle name="Normal 41 3 3 9" xfId="30134" xr:uid="{00000000-0005-0000-0000-000087620000}"/>
    <cellStyle name="Normal 41 3 4" xfId="30136" xr:uid="{00000000-0005-0000-0000-000088620000}"/>
    <cellStyle name="Normal 41 3 4 2" xfId="30138" xr:uid="{00000000-0005-0000-0000-000089620000}"/>
    <cellStyle name="Normal 41 3 4 2 2" xfId="22771" xr:uid="{00000000-0005-0000-0000-00008A620000}"/>
    <cellStyle name="Normal 41 3 4 2 2 2" xfId="22776" xr:uid="{00000000-0005-0000-0000-00008B620000}"/>
    <cellStyle name="Normal 41 3 4 2 2 2 2" xfId="16662" xr:uid="{00000000-0005-0000-0000-00008C620000}"/>
    <cellStyle name="Normal 41 3 4 2 2 2 2 2" xfId="30140" xr:uid="{00000000-0005-0000-0000-00008D620000}"/>
    <cellStyle name="Normal 41 3 4 2 2 2 3" xfId="16669" xr:uid="{00000000-0005-0000-0000-00008E620000}"/>
    <cellStyle name="Normal 41 3 4 2 2 3" xfId="26797" xr:uid="{00000000-0005-0000-0000-00008F620000}"/>
    <cellStyle name="Normal 41 3 4 2 2 3 2" xfId="30144" xr:uid="{00000000-0005-0000-0000-000090620000}"/>
    <cellStyle name="Normal 41 3 4 2 2 4" xfId="26802" xr:uid="{00000000-0005-0000-0000-000091620000}"/>
    <cellStyle name="Normal 41 3 4 2 3" xfId="22945" xr:uid="{00000000-0005-0000-0000-000092620000}"/>
    <cellStyle name="Normal 41 3 4 2 3 2" xfId="30147" xr:uid="{00000000-0005-0000-0000-000093620000}"/>
    <cellStyle name="Normal 41 3 4 2 3 2 2" xfId="30151" xr:uid="{00000000-0005-0000-0000-000094620000}"/>
    <cellStyle name="Normal 41 3 4 2 3 3" xfId="30155" xr:uid="{00000000-0005-0000-0000-000095620000}"/>
    <cellStyle name="Normal 41 3 4 2 4" xfId="30165" xr:uid="{00000000-0005-0000-0000-000096620000}"/>
    <cellStyle name="Normal 41 3 4 2 4 2" xfId="30169" xr:uid="{00000000-0005-0000-0000-000097620000}"/>
    <cellStyle name="Normal 41 3 4 2 4 2 2" xfId="30173" xr:uid="{00000000-0005-0000-0000-000098620000}"/>
    <cellStyle name="Normal 41 3 4 2 4 3" xfId="30177" xr:uid="{00000000-0005-0000-0000-000099620000}"/>
    <cellStyle name="Normal 41 3 4 2 5" xfId="27509" xr:uid="{00000000-0005-0000-0000-00009A620000}"/>
    <cellStyle name="Normal 41 3 4 2 5 2" xfId="30184" xr:uid="{00000000-0005-0000-0000-00009B620000}"/>
    <cellStyle name="Normal 41 3 4 2 6" xfId="30188" xr:uid="{00000000-0005-0000-0000-00009C620000}"/>
    <cellStyle name="Normal 41 3 4 2 6 2" xfId="30192" xr:uid="{00000000-0005-0000-0000-00009D620000}"/>
    <cellStyle name="Normal 41 3 4 2 7" xfId="30196" xr:uid="{00000000-0005-0000-0000-00009E620000}"/>
    <cellStyle name="Normal 41 3 4 2 8" xfId="30200" xr:uid="{00000000-0005-0000-0000-00009F620000}"/>
    <cellStyle name="Normal 41 3 4 3" xfId="30206" xr:uid="{00000000-0005-0000-0000-0000A0620000}"/>
    <cellStyle name="Normal 41 3 4 3 2" xfId="23475" xr:uid="{00000000-0005-0000-0000-0000A1620000}"/>
    <cellStyle name="Normal 41 3 4 3 2 2" xfId="30208" xr:uid="{00000000-0005-0000-0000-0000A2620000}"/>
    <cellStyle name="Normal 41 3 4 3 2 2 2" xfId="30210" xr:uid="{00000000-0005-0000-0000-0000A3620000}"/>
    <cellStyle name="Normal 41 3 4 3 2 3" xfId="30219" xr:uid="{00000000-0005-0000-0000-0000A4620000}"/>
    <cellStyle name="Normal 41 3 4 3 3" xfId="30222" xr:uid="{00000000-0005-0000-0000-0000A5620000}"/>
    <cellStyle name="Normal 41 3 4 3 3 2" xfId="30226" xr:uid="{00000000-0005-0000-0000-0000A6620000}"/>
    <cellStyle name="Normal 41 3 4 3 4" xfId="30230" xr:uid="{00000000-0005-0000-0000-0000A7620000}"/>
    <cellStyle name="Normal 41 3 4 4" xfId="30233" xr:uid="{00000000-0005-0000-0000-0000A8620000}"/>
    <cellStyle name="Normal 41 3 4 4 2" xfId="23843" xr:uid="{00000000-0005-0000-0000-0000A9620000}"/>
    <cellStyle name="Normal 41 3 4 4 2 2" xfId="30235" xr:uid="{00000000-0005-0000-0000-0000AA620000}"/>
    <cellStyle name="Normal 41 3 4 4 3" xfId="18068" xr:uid="{00000000-0005-0000-0000-0000AB620000}"/>
    <cellStyle name="Normal 41 3 4 5" xfId="30237" xr:uid="{00000000-0005-0000-0000-0000AC620000}"/>
    <cellStyle name="Normal 41 3 4 5 2" xfId="30240" xr:uid="{00000000-0005-0000-0000-0000AD620000}"/>
    <cellStyle name="Normal 41 3 4 5 2 2" xfId="30243" xr:uid="{00000000-0005-0000-0000-0000AE620000}"/>
    <cellStyle name="Normal 41 3 4 5 3" xfId="30247" xr:uid="{00000000-0005-0000-0000-0000AF620000}"/>
    <cellStyle name="Normal 41 3 4 6" xfId="30250" xr:uid="{00000000-0005-0000-0000-0000B0620000}"/>
    <cellStyle name="Normal 41 3 4 6 2" xfId="30252" xr:uid="{00000000-0005-0000-0000-0000B1620000}"/>
    <cellStyle name="Normal 41 3 4 7" xfId="30254" xr:uid="{00000000-0005-0000-0000-0000B2620000}"/>
    <cellStyle name="Normal 41 3 4 7 2" xfId="30256" xr:uid="{00000000-0005-0000-0000-0000B3620000}"/>
    <cellStyle name="Normal 41 3 4 8" xfId="30258" xr:uid="{00000000-0005-0000-0000-0000B4620000}"/>
    <cellStyle name="Normal 41 3 4 9" xfId="30260" xr:uid="{00000000-0005-0000-0000-0000B5620000}"/>
    <cellStyle name="Normal 41 3 5" xfId="30262" xr:uid="{00000000-0005-0000-0000-0000B6620000}"/>
    <cellStyle name="Normal 41 3 5 2" xfId="30264" xr:uid="{00000000-0005-0000-0000-0000B7620000}"/>
    <cellStyle name="Normal 41 3 5 2 2" xfId="24572" xr:uid="{00000000-0005-0000-0000-0000B8620000}"/>
    <cellStyle name="Normal 41 3 5 2 2 2" xfId="22798" xr:uid="{00000000-0005-0000-0000-0000B9620000}"/>
    <cellStyle name="Normal 41 3 5 2 2 2 2" xfId="30266" xr:uid="{00000000-0005-0000-0000-0000BA620000}"/>
    <cellStyle name="Normal 41 3 5 2 2 2 2 2" xfId="30270" xr:uid="{00000000-0005-0000-0000-0000BB620000}"/>
    <cellStyle name="Normal 41 3 5 2 2 2 3" xfId="30272" xr:uid="{00000000-0005-0000-0000-0000BC620000}"/>
    <cellStyle name="Normal 41 3 5 2 2 3" xfId="30276" xr:uid="{00000000-0005-0000-0000-0000BD620000}"/>
    <cellStyle name="Normal 41 3 5 2 2 3 2" xfId="30282" xr:uid="{00000000-0005-0000-0000-0000BE620000}"/>
    <cellStyle name="Normal 41 3 5 2 2 4" xfId="30286" xr:uid="{00000000-0005-0000-0000-0000BF620000}"/>
    <cellStyle name="Normal 41 3 5 2 3" xfId="30290" xr:uid="{00000000-0005-0000-0000-0000C0620000}"/>
    <cellStyle name="Normal 41 3 5 2 3 2" xfId="30294" xr:uid="{00000000-0005-0000-0000-0000C1620000}"/>
    <cellStyle name="Normal 41 3 5 2 3 2 2" xfId="30298" xr:uid="{00000000-0005-0000-0000-0000C2620000}"/>
    <cellStyle name="Normal 41 3 5 2 3 3" xfId="30305" xr:uid="{00000000-0005-0000-0000-0000C3620000}"/>
    <cellStyle name="Normal 41 3 5 2 4" xfId="30309" xr:uid="{00000000-0005-0000-0000-0000C4620000}"/>
    <cellStyle name="Normal 41 3 5 2 4 2" xfId="30313" xr:uid="{00000000-0005-0000-0000-0000C5620000}"/>
    <cellStyle name="Normal 41 3 5 2 4 2 2" xfId="30317" xr:uid="{00000000-0005-0000-0000-0000C6620000}"/>
    <cellStyle name="Normal 41 3 5 2 4 3" xfId="30321" xr:uid="{00000000-0005-0000-0000-0000C7620000}"/>
    <cellStyle name="Normal 41 3 5 2 5" xfId="27520" xr:uid="{00000000-0005-0000-0000-0000C8620000}"/>
    <cellStyle name="Normal 41 3 5 2 5 2" xfId="30325" xr:uid="{00000000-0005-0000-0000-0000C9620000}"/>
    <cellStyle name="Normal 41 3 5 2 6" xfId="30329" xr:uid="{00000000-0005-0000-0000-0000CA620000}"/>
    <cellStyle name="Normal 41 3 5 2 6 2" xfId="30333" xr:uid="{00000000-0005-0000-0000-0000CB620000}"/>
    <cellStyle name="Normal 41 3 5 2 7" xfId="30337" xr:uid="{00000000-0005-0000-0000-0000CC620000}"/>
    <cellStyle name="Normal 41 3 5 2 8" xfId="30340" xr:uid="{00000000-0005-0000-0000-0000CD620000}"/>
    <cellStyle name="Normal 41 3 5 3" xfId="30345" xr:uid="{00000000-0005-0000-0000-0000CE620000}"/>
    <cellStyle name="Normal 41 3 5 3 2" xfId="30347" xr:uid="{00000000-0005-0000-0000-0000CF620000}"/>
    <cellStyle name="Normal 41 3 5 3 2 2" xfId="30349" xr:uid="{00000000-0005-0000-0000-0000D0620000}"/>
    <cellStyle name="Normal 41 3 5 3 2 2 2" xfId="30351" xr:uid="{00000000-0005-0000-0000-0000D1620000}"/>
    <cellStyle name="Normal 41 3 5 3 2 3" xfId="30359" xr:uid="{00000000-0005-0000-0000-0000D2620000}"/>
    <cellStyle name="Normal 41 3 5 3 3" xfId="30363" xr:uid="{00000000-0005-0000-0000-0000D3620000}"/>
    <cellStyle name="Normal 41 3 5 3 3 2" xfId="30367" xr:uid="{00000000-0005-0000-0000-0000D4620000}"/>
    <cellStyle name="Normal 41 3 5 3 4" xfId="30372" xr:uid="{00000000-0005-0000-0000-0000D5620000}"/>
    <cellStyle name="Normal 41 3 5 4" xfId="30374" xr:uid="{00000000-0005-0000-0000-0000D6620000}"/>
    <cellStyle name="Normal 41 3 5 4 2" xfId="30376" xr:uid="{00000000-0005-0000-0000-0000D7620000}"/>
    <cellStyle name="Normal 41 3 5 4 2 2" xfId="30378" xr:uid="{00000000-0005-0000-0000-0000D8620000}"/>
    <cellStyle name="Normal 41 3 5 4 3" xfId="30381" xr:uid="{00000000-0005-0000-0000-0000D9620000}"/>
    <cellStyle name="Normal 41 3 5 5" xfId="30383" xr:uid="{00000000-0005-0000-0000-0000DA620000}"/>
    <cellStyle name="Normal 41 3 5 5 2" xfId="30385" xr:uid="{00000000-0005-0000-0000-0000DB620000}"/>
    <cellStyle name="Normal 41 3 5 5 2 2" xfId="30387" xr:uid="{00000000-0005-0000-0000-0000DC620000}"/>
    <cellStyle name="Normal 41 3 5 5 3" xfId="30390" xr:uid="{00000000-0005-0000-0000-0000DD620000}"/>
    <cellStyle name="Normal 41 3 5 6" xfId="30392" xr:uid="{00000000-0005-0000-0000-0000DE620000}"/>
    <cellStyle name="Normal 41 3 5 6 2" xfId="30394" xr:uid="{00000000-0005-0000-0000-0000DF620000}"/>
    <cellStyle name="Normal 41 3 5 7" xfId="30396" xr:uid="{00000000-0005-0000-0000-0000E0620000}"/>
    <cellStyle name="Normal 41 3 5 7 2" xfId="30398" xr:uid="{00000000-0005-0000-0000-0000E1620000}"/>
    <cellStyle name="Normal 41 3 5 8" xfId="30400" xr:uid="{00000000-0005-0000-0000-0000E2620000}"/>
    <cellStyle name="Normal 41 3 5 9" xfId="30402" xr:uid="{00000000-0005-0000-0000-0000E3620000}"/>
    <cellStyle name="Normal 41 3 6" xfId="2404" xr:uid="{00000000-0005-0000-0000-0000E4620000}"/>
    <cellStyle name="Normal 41 3 6 2" xfId="30404" xr:uid="{00000000-0005-0000-0000-0000E5620000}"/>
    <cellStyle name="Normal 41 3 6 2 2" xfId="6763" xr:uid="{00000000-0005-0000-0000-0000E6620000}"/>
    <cellStyle name="Normal 41 3 6 2 2 2" xfId="6132" xr:uid="{00000000-0005-0000-0000-0000E7620000}"/>
    <cellStyle name="Normal 41 3 6 2 2 2 2" xfId="6141" xr:uid="{00000000-0005-0000-0000-0000E8620000}"/>
    <cellStyle name="Normal 41 3 6 2 2 3" xfId="5284" xr:uid="{00000000-0005-0000-0000-0000E9620000}"/>
    <cellStyle name="Normal 41 3 6 2 3" xfId="6773" xr:uid="{00000000-0005-0000-0000-0000EA620000}"/>
    <cellStyle name="Normal 41 3 6 2 3 2" xfId="6209" xr:uid="{00000000-0005-0000-0000-0000EB620000}"/>
    <cellStyle name="Normal 41 3 6 2 4" xfId="1020" xr:uid="{00000000-0005-0000-0000-0000EC620000}"/>
    <cellStyle name="Normal 41 3 6 2 5" xfId="1071" xr:uid="{00000000-0005-0000-0000-0000ED620000}"/>
    <cellStyle name="Normal 41 3 6 3" xfId="30406" xr:uid="{00000000-0005-0000-0000-0000EE620000}"/>
    <cellStyle name="Normal 41 3 6 3 2" xfId="6896" xr:uid="{00000000-0005-0000-0000-0000EF620000}"/>
    <cellStyle name="Normal 41 3 6 3 2 2" xfId="6901" xr:uid="{00000000-0005-0000-0000-0000F0620000}"/>
    <cellStyle name="Normal 41 3 6 3 3" xfId="6930" xr:uid="{00000000-0005-0000-0000-0000F1620000}"/>
    <cellStyle name="Normal 41 3 6 4" xfId="10786" xr:uid="{00000000-0005-0000-0000-0000F2620000}"/>
    <cellStyle name="Normal 41 3 6 4 2" xfId="7119" xr:uid="{00000000-0005-0000-0000-0000F3620000}"/>
    <cellStyle name="Normal 41 3 6 4 2 2" xfId="7132" xr:uid="{00000000-0005-0000-0000-0000F4620000}"/>
    <cellStyle name="Normal 41 3 6 4 3" xfId="7149" xr:uid="{00000000-0005-0000-0000-0000F5620000}"/>
    <cellStyle name="Normal 41 3 6 5" xfId="19469" xr:uid="{00000000-0005-0000-0000-0000F6620000}"/>
    <cellStyle name="Normal 41 3 6 5 2" xfId="2832" xr:uid="{00000000-0005-0000-0000-0000F7620000}"/>
    <cellStyle name="Normal 41 3 6 6" xfId="19513" xr:uid="{00000000-0005-0000-0000-0000F8620000}"/>
    <cellStyle name="Normal 41 3 6 6 2" xfId="4996" xr:uid="{00000000-0005-0000-0000-0000F9620000}"/>
    <cellStyle name="Normal 41 3 6 7" xfId="19530" xr:uid="{00000000-0005-0000-0000-0000FA620000}"/>
    <cellStyle name="Normal 41 3 6 8" xfId="19548" xr:uid="{00000000-0005-0000-0000-0000FB620000}"/>
    <cellStyle name="Normal 41 3 7" xfId="30408" xr:uid="{00000000-0005-0000-0000-0000FC620000}"/>
    <cellStyle name="Normal 41 3 7 2" xfId="30410" xr:uid="{00000000-0005-0000-0000-0000FD620000}"/>
    <cellStyle name="Normal 41 3 7 2 2" xfId="7563" xr:uid="{00000000-0005-0000-0000-0000FE620000}"/>
    <cellStyle name="Normal 41 3 7 2 2 2" xfId="30412" xr:uid="{00000000-0005-0000-0000-0000FF620000}"/>
    <cellStyle name="Normal 41 3 7 2 3" xfId="7567" xr:uid="{00000000-0005-0000-0000-000000630000}"/>
    <cellStyle name="Normal 41 3 7 3" xfId="30414" xr:uid="{00000000-0005-0000-0000-000001630000}"/>
    <cellStyle name="Normal 41 3 7 3 2" xfId="27530" xr:uid="{00000000-0005-0000-0000-000002630000}"/>
    <cellStyle name="Normal 41 3 7 4" xfId="30416" xr:uid="{00000000-0005-0000-0000-000003630000}"/>
    <cellStyle name="Normal 41 3 7 5" xfId="19573" xr:uid="{00000000-0005-0000-0000-000004630000}"/>
    <cellStyle name="Normal 41 3 8" xfId="30418" xr:uid="{00000000-0005-0000-0000-000005630000}"/>
    <cellStyle name="Normal 41 3 8 2" xfId="30420" xr:uid="{00000000-0005-0000-0000-000006630000}"/>
    <cellStyle name="Normal 41 3 8 2 2" xfId="30422" xr:uid="{00000000-0005-0000-0000-000007630000}"/>
    <cellStyle name="Normal 41 3 8 3" xfId="30424" xr:uid="{00000000-0005-0000-0000-000008630000}"/>
    <cellStyle name="Normal 41 3 9" xfId="30427" xr:uid="{00000000-0005-0000-0000-000009630000}"/>
    <cellStyle name="Normal 41 3 9 2" xfId="30429" xr:uid="{00000000-0005-0000-0000-00000A630000}"/>
    <cellStyle name="Normal 41 3 9 2 2" xfId="30431" xr:uid="{00000000-0005-0000-0000-00000B630000}"/>
    <cellStyle name="Normal 41 3 9 3" xfId="27385" xr:uid="{00000000-0005-0000-0000-00000C630000}"/>
    <cellStyle name="Normal 41 4" xfId="30436" xr:uid="{00000000-0005-0000-0000-00000D630000}"/>
    <cellStyle name="Normal 41 4 10" xfId="29802" xr:uid="{00000000-0005-0000-0000-00000E630000}"/>
    <cellStyle name="Normal 41 4 10 2" xfId="12892" xr:uid="{00000000-0005-0000-0000-00000F630000}"/>
    <cellStyle name="Normal 41 4 11" xfId="29854" xr:uid="{00000000-0005-0000-0000-000010630000}"/>
    <cellStyle name="Normal 41 4 11 2" xfId="3612" xr:uid="{00000000-0005-0000-0000-000011630000}"/>
    <cellStyle name="Normal 41 4 12" xfId="7401" xr:uid="{00000000-0005-0000-0000-000012630000}"/>
    <cellStyle name="Normal 41 4 12 2" xfId="5017" xr:uid="{00000000-0005-0000-0000-000013630000}"/>
    <cellStyle name="Normal 41 4 13" xfId="29858" xr:uid="{00000000-0005-0000-0000-000014630000}"/>
    <cellStyle name="Normal 41 4 14" xfId="29862" xr:uid="{00000000-0005-0000-0000-000015630000}"/>
    <cellStyle name="Normal 41 4 2" xfId="30438" xr:uid="{00000000-0005-0000-0000-000016630000}"/>
    <cellStyle name="Normal 41 4 2 10" xfId="30444" xr:uid="{00000000-0005-0000-0000-000017630000}"/>
    <cellStyle name="Normal 41 4 2 2" xfId="30446" xr:uid="{00000000-0005-0000-0000-000018630000}"/>
    <cellStyle name="Normal 41 4 2 2 2" xfId="21853" xr:uid="{00000000-0005-0000-0000-000019630000}"/>
    <cellStyle name="Normal 41 4 2 2 2 2" xfId="30451" xr:uid="{00000000-0005-0000-0000-00001A630000}"/>
    <cellStyle name="Normal 41 4 2 2 2 2 2" xfId="30455" xr:uid="{00000000-0005-0000-0000-00001B630000}"/>
    <cellStyle name="Normal 41 4 2 2 2 2 2 2" xfId="14293" xr:uid="{00000000-0005-0000-0000-00001C630000}"/>
    <cellStyle name="Normal 41 4 2 2 2 2 2 2 2" xfId="30459" xr:uid="{00000000-0005-0000-0000-00001D630000}"/>
    <cellStyle name="Normal 41 4 2 2 2 2 2 3" xfId="14302" xr:uid="{00000000-0005-0000-0000-00001E630000}"/>
    <cellStyle name="Normal 41 4 2 2 2 2 3" xfId="30468" xr:uid="{00000000-0005-0000-0000-00001F630000}"/>
    <cellStyle name="Normal 41 4 2 2 2 2 3 2" xfId="30470" xr:uid="{00000000-0005-0000-0000-000020630000}"/>
    <cellStyle name="Normal 41 4 2 2 2 2 4" xfId="30472" xr:uid="{00000000-0005-0000-0000-000021630000}"/>
    <cellStyle name="Normal 41 4 2 2 2 3" xfId="30476" xr:uid="{00000000-0005-0000-0000-000022630000}"/>
    <cellStyle name="Normal 41 4 2 2 2 3 2" xfId="30480" xr:uid="{00000000-0005-0000-0000-000023630000}"/>
    <cellStyle name="Normal 41 4 2 2 2 3 2 2" xfId="14390" xr:uid="{00000000-0005-0000-0000-000024630000}"/>
    <cellStyle name="Normal 41 4 2 2 2 3 3" xfId="30484" xr:uid="{00000000-0005-0000-0000-000025630000}"/>
    <cellStyle name="Normal 41 4 2 2 2 4" xfId="255" xr:uid="{00000000-0005-0000-0000-000026630000}"/>
    <cellStyle name="Normal 41 4 2 2 2 4 2" xfId="30489" xr:uid="{00000000-0005-0000-0000-000027630000}"/>
    <cellStyle name="Normal 41 4 2 2 2 4 2 2" xfId="2900" xr:uid="{00000000-0005-0000-0000-000028630000}"/>
    <cellStyle name="Normal 41 4 2 2 2 4 3" xfId="30491" xr:uid="{00000000-0005-0000-0000-000029630000}"/>
    <cellStyle name="Normal 41 4 2 2 2 5" xfId="30495" xr:uid="{00000000-0005-0000-0000-00002A630000}"/>
    <cellStyle name="Normal 41 4 2 2 2 5 2" xfId="30499" xr:uid="{00000000-0005-0000-0000-00002B630000}"/>
    <cellStyle name="Normal 41 4 2 2 2 6" xfId="30505" xr:uid="{00000000-0005-0000-0000-00002C630000}"/>
    <cellStyle name="Normal 41 4 2 2 2 6 2" xfId="30507" xr:uid="{00000000-0005-0000-0000-00002D630000}"/>
    <cellStyle name="Normal 41 4 2 2 2 7" xfId="30511" xr:uid="{00000000-0005-0000-0000-00002E630000}"/>
    <cellStyle name="Normal 41 4 2 2 2 8" xfId="9572" xr:uid="{00000000-0005-0000-0000-00002F630000}"/>
    <cellStyle name="Normal 41 4 2 2 3" xfId="30517" xr:uid="{00000000-0005-0000-0000-000030630000}"/>
    <cellStyle name="Normal 41 4 2 2 3 2" xfId="30522" xr:uid="{00000000-0005-0000-0000-000031630000}"/>
    <cellStyle name="Normal 41 4 2 2 3 2 2" xfId="30526" xr:uid="{00000000-0005-0000-0000-000032630000}"/>
    <cellStyle name="Normal 41 4 2 2 3 2 2 2" xfId="14769" xr:uid="{00000000-0005-0000-0000-000033630000}"/>
    <cellStyle name="Normal 41 4 2 2 3 2 3" xfId="30530" xr:uid="{00000000-0005-0000-0000-000034630000}"/>
    <cellStyle name="Normal 41 4 2 2 3 3" xfId="30534" xr:uid="{00000000-0005-0000-0000-000035630000}"/>
    <cellStyle name="Normal 41 4 2 2 3 3 2" xfId="30538" xr:uid="{00000000-0005-0000-0000-000036630000}"/>
    <cellStyle name="Normal 41 4 2 2 3 4" xfId="23305" xr:uid="{00000000-0005-0000-0000-000037630000}"/>
    <cellStyle name="Normal 41 4 2 2 4" xfId="30540" xr:uid="{00000000-0005-0000-0000-000038630000}"/>
    <cellStyle name="Normal 41 4 2 2 4 2" xfId="30542" xr:uid="{00000000-0005-0000-0000-000039630000}"/>
    <cellStyle name="Normal 41 4 2 2 4 2 2" xfId="30545" xr:uid="{00000000-0005-0000-0000-00003A630000}"/>
    <cellStyle name="Normal 41 4 2 2 4 3" xfId="30547" xr:uid="{00000000-0005-0000-0000-00003B630000}"/>
    <cellStyle name="Normal 41 4 2 2 5" xfId="30549" xr:uid="{00000000-0005-0000-0000-00003C630000}"/>
    <cellStyle name="Normal 41 4 2 2 5 2" xfId="30551" xr:uid="{00000000-0005-0000-0000-00003D630000}"/>
    <cellStyle name="Normal 41 4 2 2 5 2 2" xfId="30554" xr:uid="{00000000-0005-0000-0000-00003E630000}"/>
    <cellStyle name="Normal 41 4 2 2 5 3" xfId="30556" xr:uid="{00000000-0005-0000-0000-00003F630000}"/>
    <cellStyle name="Normal 41 4 2 2 6" xfId="30558" xr:uid="{00000000-0005-0000-0000-000040630000}"/>
    <cellStyle name="Normal 41 4 2 2 6 2" xfId="30560" xr:uid="{00000000-0005-0000-0000-000041630000}"/>
    <cellStyle name="Normal 41 4 2 2 7" xfId="30562" xr:uid="{00000000-0005-0000-0000-000042630000}"/>
    <cellStyle name="Normal 41 4 2 2 7 2" xfId="30564" xr:uid="{00000000-0005-0000-0000-000043630000}"/>
    <cellStyle name="Normal 41 4 2 2 8" xfId="30566" xr:uid="{00000000-0005-0000-0000-000044630000}"/>
    <cellStyle name="Normal 41 4 2 2 9" xfId="30568" xr:uid="{00000000-0005-0000-0000-000045630000}"/>
    <cellStyle name="Normal 41 4 2 3" xfId="16500" xr:uid="{00000000-0005-0000-0000-000046630000}"/>
    <cellStyle name="Normal 41 4 2 3 2" xfId="30570" xr:uid="{00000000-0005-0000-0000-000047630000}"/>
    <cellStyle name="Normal 41 4 2 3 2 2" xfId="26737" xr:uid="{00000000-0005-0000-0000-000048630000}"/>
    <cellStyle name="Normal 41 4 2 3 2 2 2" xfId="30574" xr:uid="{00000000-0005-0000-0000-000049630000}"/>
    <cellStyle name="Normal 41 4 2 3 2 2 2 2" xfId="30577" xr:uid="{00000000-0005-0000-0000-00004A630000}"/>
    <cellStyle name="Normal 41 4 2 3 2 2 3" xfId="30586" xr:uid="{00000000-0005-0000-0000-00004B630000}"/>
    <cellStyle name="Normal 41 4 2 3 2 3" xfId="30590" xr:uid="{00000000-0005-0000-0000-00004C630000}"/>
    <cellStyle name="Normal 41 4 2 3 2 3 2" xfId="30594" xr:uid="{00000000-0005-0000-0000-00004D630000}"/>
    <cellStyle name="Normal 41 4 2 3 2 4" xfId="30598" xr:uid="{00000000-0005-0000-0000-00004E630000}"/>
    <cellStyle name="Normal 41 4 2 3 3" xfId="30600" xr:uid="{00000000-0005-0000-0000-00004F630000}"/>
    <cellStyle name="Normal 41 4 2 3 3 2" xfId="30604" xr:uid="{00000000-0005-0000-0000-000050630000}"/>
    <cellStyle name="Normal 41 4 2 3 3 2 2" xfId="30608" xr:uid="{00000000-0005-0000-0000-000051630000}"/>
    <cellStyle name="Normal 41 4 2 3 3 3" xfId="30612" xr:uid="{00000000-0005-0000-0000-000052630000}"/>
    <cellStyle name="Normal 41 4 2 3 4" xfId="21949" xr:uid="{00000000-0005-0000-0000-000053630000}"/>
    <cellStyle name="Normal 41 4 2 3 4 2" xfId="13328" xr:uid="{00000000-0005-0000-0000-000054630000}"/>
    <cellStyle name="Normal 41 4 2 3 4 2 2" xfId="13339" xr:uid="{00000000-0005-0000-0000-000055630000}"/>
    <cellStyle name="Normal 41 4 2 3 4 3" xfId="13389" xr:uid="{00000000-0005-0000-0000-000056630000}"/>
    <cellStyle name="Normal 41 4 2 3 5" xfId="7924" xr:uid="{00000000-0005-0000-0000-000057630000}"/>
    <cellStyle name="Normal 41 4 2 3 5 2" xfId="6599" xr:uid="{00000000-0005-0000-0000-000058630000}"/>
    <cellStyle name="Normal 41 4 2 3 6" xfId="3442" xr:uid="{00000000-0005-0000-0000-000059630000}"/>
    <cellStyle name="Normal 41 4 2 3 6 2" xfId="3460" xr:uid="{00000000-0005-0000-0000-00005A630000}"/>
    <cellStyle name="Normal 41 4 2 3 7" xfId="1485" xr:uid="{00000000-0005-0000-0000-00005B630000}"/>
    <cellStyle name="Normal 41 4 2 3 8" xfId="7953" xr:uid="{00000000-0005-0000-0000-00005C630000}"/>
    <cellStyle name="Normal 41 4 2 4" xfId="30616" xr:uid="{00000000-0005-0000-0000-00005D630000}"/>
    <cellStyle name="Normal 41 4 2 4 2" xfId="27349" xr:uid="{00000000-0005-0000-0000-00005E630000}"/>
    <cellStyle name="Normal 41 4 2 4 2 2" xfId="27354" xr:uid="{00000000-0005-0000-0000-00005F630000}"/>
    <cellStyle name="Normal 41 4 2 4 2 2 2" xfId="30620" xr:uid="{00000000-0005-0000-0000-000060630000}"/>
    <cellStyle name="Normal 41 4 2 4 2 3" xfId="30624" xr:uid="{00000000-0005-0000-0000-000061630000}"/>
    <cellStyle name="Normal 41 4 2 4 3" xfId="27357" xr:uid="{00000000-0005-0000-0000-000062630000}"/>
    <cellStyle name="Normal 41 4 2 4 3 2" xfId="30628" xr:uid="{00000000-0005-0000-0000-000063630000}"/>
    <cellStyle name="Normal 41 4 2 4 4" xfId="27360" xr:uid="{00000000-0005-0000-0000-000064630000}"/>
    <cellStyle name="Normal 41 4 2 5" xfId="30632" xr:uid="{00000000-0005-0000-0000-000065630000}"/>
    <cellStyle name="Normal 41 4 2 5 2" xfId="30635" xr:uid="{00000000-0005-0000-0000-000066630000}"/>
    <cellStyle name="Normal 41 4 2 5 2 2" xfId="30641" xr:uid="{00000000-0005-0000-0000-000067630000}"/>
    <cellStyle name="Normal 41 4 2 5 3" xfId="29932" xr:uid="{00000000-0005-0000-0000-000068630000}"/>
    <cellStyle name="Normal 41 4 2 6" xfId="30643" xr:uid="{00000000-0005-0000-0000-000069630000}"/>
    <cellStyle name="Normal 41 4 2 6 2" xfId="27137" xr:uid="{00000000-0005-0000-0000-00006A630000}"/>
    <cellStyle name="Normal 41 4 2 6 2 2" xfId="30647" xr:uid="{00000000-0005-0000-0000-00006B630000}"/>
    <cellStyle name="Normal 41 4 2 6 3" xfId="30649" xr:uid="{00000000-0005-0000-0000-00006C630000}"/>
    <cellStyle name="Normal 41 4 2 7" xfId="30651" xr:uid="{00000000-0005-0000-0000-00006D630000}"/>
    <cellStyle name="Normal 41 4 2 7 2" xfId="30653" xr:uid="{00000000-0005-0000-0000-00006E630000}"/>
    <cellStyle name="Normal 41 4 2 8" xfId="30655" xr:uid="{00000000-0005-0000-0000-00006F630000}"/>
    <cellStyle name="Normal 41 4 2 8 2" xfId="30657" xr:uid="{00000000-0005-0000-0000-000070630000}"/>
    <cellStyle name="Normal 41 4 2 9" xfId="30659" xr:uid="{00000000-0005-0000-0000-000071630000}"/>
    <cellStyle name="Normal 41 4 3" xfId="30661" xr:uid="{00000000-0005-0000-0000-000072630000}"/>
    <cellStyle name="Normal 41 4 3 2" xfId="30663" xr:uid="{00000000-0005-0000-0000-000073630000}"/>
    <cellStyle name="Normal 41 4 3 2 2" xfId="22181" xr:uid="{00000000-0005-0000-0000-000074630000}"/>
    <cellStyle name="Normal 41 4 3 2 2 2" xfId="22189" xr:uid="{00000000-0005-0000-0000-000075630000}"/>
    <cellStyle name="Normal 41 4 3 2 2 2 2" xfId="27007" xr:uid="{00000000-0005-0000-0000-000076630000}"/>
    <cellStyle name="Normal 41 4 3 2 2 2 2 2" xfId="30665" xr:uid="{00000000-0005-0000-0000-000077630000}"/>
    <cellStyle name="Normal 41 4 3 2 2 2 3" xfId="30668" xr:uid="{00000000-0005-0000-0000-000078630000}"/>
    <cellStyle name="Normal 41 4 3 2 2 3" xfId="30670" xr:uid="{00000000-0005-0000-0000-000079630000}"/>
    <cellStyle name="Normal 41 4 3 2 2 3 2" xfId="30672" xr:uid="{00000000-0005-0000-0000-00007A630000}"/>
    <cellStyle name="Normal 41 4 3 2 2 4" xfId="23321" xr:uid="{00000000-0005-0000-0000-00007B630000}"/>
    <cellStyle name="Normal 41 4 3 2 2 5" xfId="30676" xr:uid="{00000000-0005-0000-0000-00007C630000}"/>
    <cellStyle name="Normal 41 4 3 2 3" xfId="22204" xr:uid="{00000000-0005-0000-0000-00007D630000}"/>
    <cellStyle name="Normal 41 4 3 2 3 2" xfId="30678" xr:uid="{00000000-0005-0000-0000-00007E630000}"/>
    <cellStyle name="Normal 41 4 3 2 3 2 2" xfId="30680" xr:uid="{00000000-0005-0000-0000-00007F630000}"/>
    <cellStyle name="Normal 41 4 3 2 3 3" xfId="30682" xr:uid="{00000000-0005-0000-0000-000080630000}"/>
    <cellStyle name="Normal 41 4 3 2 4" xfId="30684" xr:uid="{00000000-0005-0000-0000-000081630000}"/>
    <cellStyle name="Normal 41 4 3 2 4 2" xfId="30686" xr:uid="{00000000-0005-0000-0000-000082630000}"/>
    <cellStyle name="Normal 41 4 3 2 4 2 2" xfId="30688" xr:uid="{00000000-0005-0000-0000-000083630000}"/>
    <cellStyle name="Normal 41 4 3 2 4 3" xfId="30690" xr:uid="{00000000-0005-0000-0000-000084630000}"/>
    <cellStyle name="Normal 41 4 3 2 5" xfId="30693" xr:uid="{00000000-0005-0000-0000-000085630000}"/>
    <cellStyle name="Normal 41 4 3 2 5 2" xfId="30696" xr:uid="{00000000-0005-0000-0000-000086630000}"/>
    <cellStyle name="Normal 41 4 3 2 6" xfId="21677" xr:uid="{00000000-0005-0000-0000-000087630000}"/>
    <cellStyle name="Normal 41 4 3 2 6 2" xfId="30699" xr:uid="{00000000-0005-0000-0000-000088630000}"/>
    <cellStyle name="Normal 41 4 3 2 7" xfId="30702" xr:uid="{00000000-0005-0000-0000-000089630000}"/>
    <cellStyle name="Normal 41 4 3 2 8" xfId="30705" xr:uid="{00000000-0005-0000-0000-00008A630000}"/>
    <cellStyle name="Normal 41 4 3 3" xfId="30707" xr:uid="{00000000-0005-0000-0000-00008B630000}"/>
    <cellStyle name="Normal 41 4 3 3 2" xfId="30709" xr:uid="{00000000-0005-0000-0000-00008C630000}"/>
    <cellStyle name="Normal 41 4 3 3 2 2" xfId="30711" xr:uid="{00000000-0005-0000-0000-00008D630000}"/>
    <cellStyle name="Normal 41 4 3 3 2 2 2" xfId="30713" xr:uid="{00000000-0005-0000-0000-00008E630000}"/>
    <cellStyle name="Normal 41 4 3 3 2 3" xfId="30715" xr:uid="{00000000-0005-0000-0000-00008F630000}"/>
    <cellStyle name="Normal 41 4 3 3 3" xfId="30719" xr:uid="{00000000-0005-0000-0000-000090630000}"/>
    <cellStyle name="Normal 41 4 3 3 3 2" xfId="30721" xr:uid="{00000000-0005-0000-0000-000091630000}"/>
    <cellStyle name="Normal 41 4 3 3 4" xfId="22257" xr:uid="{00000000-0005-0000-0000-000092630000}"/>
    <cellStyle name="Normal 41 4 3 3 5" xfId="8041" xr:uid="{00000000-0005-0000-0000-000093630000}"/>
    <cellStyle name="Normal 41 4 3 4" xfId="30725" xr:uid="{00000000-0005-0000-0000-000094630000}"/>
    <cellStyle name="Normal 41 4 3 4 2" xfId="27403" xr:uid="{00000000-0005-0000-0000-000095630000}"/>
    <cellStyle name="Normal 41 4 3 4 2 2" xfId="27406" xr:uid="{00000000-0005-0000-0000-000096630000}"/>
    <cellStyle name="Normal 41 4 3 4 3" xfId="27409" xr:uid="{00000000-0005-0000-0000-000097630000}"/>
    <cellStyle name="Normal 41 4 3 5" xfId="30727" xr:uid="{00000000-0005-0000-0000-000098630000}"/>
    <cellStyle name="Normal 41 4 3 5 2" xfId="30729" xr:uid="{00000000-0005-0000-0000-000099630000}"/>
    <cellStyle name="Normal 41 4 3 5 2 2" xfId="30731" xr:uid="{00000000-0005-0000-0000-00009A630000}"/>
    <cellStyle name="Normal 41 4 3 5 3" xfId="30733" xr:uid="{00000000-0005-0000-0000-00009B630000}"/>
    <cellStyle name="Normal 41 4 3 6" xfId="24617" xr:uid="{00000000-0005-0000-0000-00009C630000}"/>
    <cellStyle name="Normal 41 4 3 6 2" xfId="30735" xr:uid="{00000000-0005-0000-0000-00009D630000}"/>
    <cellStyle name="Normal 41 4 3 7" xfId="30737" xr:uid="{00000000-0005-0000-0000-00009E630000}"/>
    <cellStyle name="Normal 41 4 3 7 2" xfId="30739" xr:uid="{00000000-0005-0000-0000-00009F630000}"/>
    <cellStyle name="Normal 41 4 3 8" xfId="30741" xr:uid="{00000000-0005-0000-0000-0000A0630000}"/>
    <cellStyle name="Normal 41 4 3 9" xfId="30743" xr:uid="{00000000-0005-0000-0000-0000A1630000}"/>
    <cellStyle name="Normal 41 4 4" xfId="30745" xr:uid="{00000000-0005-0000-0000-0000A2630000}"/>
    <cellStyle name="Normal 41 4 4 2" xfId="30747" xr:uid="{00000000-0005-0000-0000-0000A3630000}"/>
    <cellStyle name="Normal 41 4 4 2 2" xfId="22332" xr:uid="{00000000-0005-0000-0000-0000A4630000}"/>
    <cellStyle name="Normal 41 4 4 2 2 2" xfId="22339" xr:uid="{00000000-0005-0000-0000-0000A5630000}"/>
    <cellStyle name="Normal 41 4 4 2 2 2 2" xfId="27012" xr:uid="{00000000-0005-0000-0000-0000A6630000}"/>
    <cellStyle name="Normal 41 4 4 2 2 2 2 2" xfId="30750" xr:uid="{00000000-0005-0000-0000-0000A7630000}"/>
    <cellStyle name="Normal 41 4 4 2 2 2 3" xfId="30753" xr:uid="{00000000-0005-0000-0000-0000A8630000}"/>
    <cellStyle name="Normal 41 4 4 2 2 3" xfId="27019" xr:uid="{00000000-0005-0000-0000-0000A9630000}"/>
    <cellStyle name="Normal 41 4 4 2 2 3 2" xfId="30757" xr:uid="{00000000-0005-0000-0000-0000AA630000}"/>
    <cellStyle name="Normal 41 4 4 2 2 4" xfId="27024" xr:uid="{00000000-0005-0000-0000-0000AB630000}"/>
    <cellStyle name="Normal 41 4 4 2 3" xfId="22351" xr:uid="{00000000-0005-0000-0000-0000AC630000}"/>
    <cellStyle name="Normal 41 4 4 2 3 2" xfId="30759" xr:uid="{00000000-0005-0000-0000-0000AD630000}"/>
    <cellStyle name="Normal 41 4 4 2 3 2 2" xfId="30761" xr:uid="{00000000-0005-0000-0000-0000AE630000}"/>
    <cellStyle name="Normal 41 4 4 2 3 3" xfId="30765" xr:uid="{00000000-0005-0000-0000-0000AF630000}"/>
    <cellStyle name="Normal 41 4 4 2 4" xfId="22112" xr:uid="{00000000-0005-0000-0000-0000B0630000}"/>
    <cellStyle name="Normal 41 4 4 2 4 2" xfId="9229" xr:uid="{00000000-0005-0000-0000-0000B1630000}"/>
    <cellStyle name="Normal 41 4 4 2 4 2 2" xfId="9233" xr:uid="{00000000-0005-0000-0000-0000B2630000}"/>
    <cellStyle name="Normal 41 4 4 2 4 3" xfId="9244" xr:uid="{00000000-0005-0000-0000-0000B3630000}"/>
    <cellStyle name="Normal 41 4 4 2 5" xfId="22116" xr:uid="{00000000-0005-0000-0000-0000B4630000}"/>
    <cellStyle name="Normal 41 4 4 2 5 2" xfId="9285" xr:uid="{00000000-0005-0000-0000-0000B5630000}"/>
    <cellStyle name="Normal 41 4 4 2 6" xfId="30768" xr:uid="{00000000-0005-0000-0000-0000B6630000}"/>
    <cellStyle name="Normal 41 4 4 2 6 2" xfId="30771" xr:uid="{00000000-0005-0000-0000-0000B7630000}"/>
    <cellStyle name="Normal 41 4 4 2 7" xfId="30774" xr:uid="{00000000-0005-0000-0000-0000B8630000}"/>
    <cellStyle name="Normal 41 4 4 2 8" xfId="30777" xr:uid="{00000000-0005-0000-0000-0000B9630000}"/>
    <cellStyle name="Normal 41 4 4 3" xfId="30782" xr:uid="{00000000-0005-0000-0000-0000BA630000}"/>
    <cellStyle name="Normal 41 4 4 3 2" xfId="25279" xr:uid="{00000000-0005-0000-0000-0000BB630000}"/>
    <cellStyle name="Normal 41 4 4 3 2 2" xfId="30784" xr:uid="{00000000-0005-0000-0000-0000BC630000}"/>
    <cellStyle name="Normal 41 4 4 3 2 2 2" xfId="22852" xr:uid="{00000000-0005-0000-0000-0000BD630000}"/>
    <cellStyle name="Normal 41 4 4 3 2 3" xfId="30786" xr:uid="{00000000-0005-0000-0000-0000BE630000}"/>
    <cellStyle name="Normal 41 4 4 3 3" xfId="30792" xr:uid="{00000000-0005-0000-0000-0000BF630000}"/>
    <cellStyle name="Normal 41 4 4 3 3 2" xfId="30794" xr:uid="{00000000-0005-0000-0000-0000C0630000}"/>
    <cellStyle name="Normal 41 4 4 3 4" xfId="22124" xr:uid="{00000000-0005-0000-0000-0000C1630000}"/>
    <cellStyle name="Normal 41 4 4 4" xfId="30798" xr:uid="{00000000-0005-0000-0000-0000C2630000}"/>
    <cellStyle name="Normal 41 4 4 4 2" xfId="25289" xr:uid="{00000000-0005-0000-0000-0000C3630000}"/>
    <cellStyle name="Normal 41 4 4 4 2 2" xfId="27454" xr:uid="{00000000-0005-0000-0000-0000C4630000}"/>
    <cellStyle name="Normal 41 4 4 4 3" xfId="27457" xr:uid="{00000000-0005-0000-0000-0000C5630000}"/>
    <cellStyle name="Normal 41 4 4 5" xfId="30800" xr:uid="{00000000-0005-0000-0000-0000C6630000}"/>
    <cellStyle name="Normal 41 4 4 5 2" xfId="30802" xr:uid="{00000000-0005-0000-0000-0000C7630000}"/>
    <cellStyle name="Normal 41 4 4 5 2 2" xfId="30804" xr:uid="{00000000-0005-0000-0000-0000C8630000}"/>
    <cellStyle name="Normal 41 4 4 5 3" xfId="30806" xr:uid="{00000000-0005-0000-0000-0000C9630000}"/>
    <cellStyle name="Normal 41 4 4 6" xfId="30809" xr:uid="{00000000-0005-0000-0000-0000CA630000}"/>
    <cellStyle name="Normal 41 4 4 6 2" xfId="30813" xr:uid="{00000000-0005-0000-0000-0000CB630000}"/>
    <cellStyle name="Normal 41 4 4 7" xfId="30817" xr:uid="{00000000-0005-0000-0000-0000CC630000}"/>
    <cellStyle name="Normal 41 4 4 7 2" xfId="30820" xr:uid="{00000000-0005-0000-0000-0000CD630000}"/>
    <cellStyle name="Normal 41 4 4 8" xfId="30822" xr:uid="{00000000-0005-0000-0000-0000CE630000}"/>
    <cellStyle name="Normal 41 4 4 9" xfId="30824" xr:uid="{00000000-0005-0000-0000-0000CF630000}"/>
    <cellStyle name="Normal 41 4 5" xfId="30826" xr:uid="{00000000-0005-0000-0000-0000D0630000}"/>
    <cellStyle name="Normal 41 4 5 2" xfId="30828" xr:uid="{00000000-0005-0000-0000-0000D1630000}"/>
    <cellStyle name="Normal 41 4 5 2 2" xfId="22437" xr:uid="{00000000-0005-0000-0000-0000D2630000}"/>
    <cellStyle name="Normal 41 4 5 2 2 2" xfId="30830" xr:uid="{00000000-0005-0000-0000-0000D3630000}"/>
    <cellStyle name="Normal 41 4 5 2 2 2 2" xfId="30832" xr:uid="{00000000-0005-0000-0000-0000D4630000}"/>
    <cellStyle name="Normal 41 4 5 2 2 2 2 2" xfId="30834" xr:uid="{00000000-0005-0000-0000-0000D5630000}"/>
    <cellStyle name="Normal 41 4 5 2 2 2 3" xfId="30836" xr:uid="{00000000-0005-0000-0000-0000D6630000}"/>
    <cellStyle name="Normal 41 4 5 2 2 3" xfId="30840" xr:uid="{00000000-0005-0000-0000-0000D7630000}"/>
    <cellStyle name="Normal 41 4 5 2 2 3 2" xfId="30844" xr:uid="{00000000-0005-0000-0000-0000D8630000}"/>
    <cellStyle name="Normal 41 4 5 2 2 4" xfId="30846" xr:uid="{00000000-0005-0000-0000-0000D9630000}"/>
    <cellStyle name="Normal 41 4 5 2 3" xfId="30848" xr:uid="{00000000-0005-0000-0000-0000DA630000}"/>
    <cellStyle name="Normal 41 4 5 2 3 2" xfId="30850" xr:uid="{00000000-0005-0000-0000-0000DB630000}"/>
    <cellStyle name="Normal 41 4 5 2 3 2 2" xfId="30852" xr:uid="{00000000-0005-0000-0000-0000DC630000}"/>
    <cellStyle name="Normal 41 4 5 2 3 3" xfId="30854" xr:uid="{00000000-0005-0000-0000-0000DD630000}"/>
    <cellStyle name="Normal 41 4 5 2 4" xfId="22138" xr:uid="{00000000-0005-0000-0000-0000DE630000}"/>
    <cellStyle name="Normal 41 4 5 2 4 2" xfId="30856" xr:uid="{00000000-0005-0000-0000-0000DF630000}"/>
    <cellStyle name="Normal 41 4 5 2 4 2 2" xfId="30858" xr:uid="{00000000-0005-0000-0000-0000E0630000}"/>
    <cellStyle name="Normal 41 4 5 2 4 3" xfId="30860" xr:uid="{00000000-0005-0000-0000-0000E1630000}"/>
    <cellStyle name="Normal 41 4 5 2 5" xfId="28580" xr:uid="{00000000-0005-0000-0000-0000E2630000}"/>
    <cellStyle name="Normal 41 4 5 2 5 2" xfId="30863" xr:uid="{00000000-0005-0000-0000-0000E3630000}"/>
    <cellStyle name="Normal 41 4 5 2 6" xfId="30866" xr:uid="{00000000-0005-0000-0000-0000E4630000}"/>
    <cellStyle name="Normal 41 4 5 2 6 2" xfId="30869" xr:uid="{00000000-0005-0000-0000-0000E5630000}"/>
    <cellStyle name="Normal 41 4 5 2 7" xfId="30872" xr:uid="{00000000-0005-0000-0000-0000E6630000}"/>
    <cellStyle name="Normal 41 4 5 2 8" xfId="30874" xr:uid="{00000000-0005-0000-0000-0000E7630000}"/>
    <cellStyle name="Normal 41 4 5 3" xfId="30877" xr:uid="{00000000-0005-0000-0000-0000E8630000}"/>
    <cellStyle name="Normal 41 4 5 3 2" xfId="30879" xr:uid="{00000000-0005-0000-0000-0000E9630000}"/>
    <cellStyle name="Normal 41 4 5 3 2 2" xfId="30881" xr:uid="{00000000-0005-0000-0000-0000EA630000}"/>
    <cellStyle name="Normal 41 4 5 3 2 2 2" xfId="24593" xr:uid="{00000000-0005-0000-0000-0000EB630000}"/>
    <cellStyle name="Normal 41 4 5 3 2 3" xfId="30883" xr:uid="{00000000-0005-0000-0000-0000EC630000}"/>
    <cellStyle name="Normal 41 4 5 3 3" xfId="30887" xr:uid="{00000000-0005-0000-0000-0000ED630000}"/>
    <cellStyle name="Normal 41 4 5 3 3 2" xfId="30889" xr:uid="{00000000-0005-0000-0000-0000EE630000}"/>
    <cellStyle name="Normal 41 4 5 3 4" xfId="30891" xr:uid="{00000000-0005-0000-0000-0000EF630000}"/>
    <cellStyle name="Normal 41 4 5 4" xfId="13609" xr:uid="{00000000-0005-0000-0000-0000F0630000}"/>
    <cellStyle name="Normal 41 4 5 4 2" xfId="13612" xr:uid="{00000000-0005-0000-0000-0000F1630000}"/>
    <cellStyle name="Normal 41 4 5 4 2 2" xfId="30893" xr:uid="{00000000-0005-0000-0000-0000F2630000}"/>
    <cellStyle name="Normal 41 4 5 4 3" xfId="30895" xr:uid="{00000000-0005-0000-0000-0000F3630000}"/>
    <cellStyle name="Normal 41 4 5 5" xfId="13615" xr:uid="{00000000-0005-0000-0000-0000F4630000}"/>
    <cellStyle name="Normal 41 4 5 5 2" xfId="30899" xr:uid="{00000000-0005-0000-0000-0000F5630000}"/>
    <cellStyle name="Normal 41 4 5 5 2 2" xfId="30902" xr:uid="{00000000-0005-0000-0000-0000F6630000}"/>
    <cellStyle name="Normal 41 4 5 5 3" xfId="30904" xr:uid="{00000000-0005-0000-0000-0000F7630000}"/>
    <cellStyle name="Normal 41 4 5 6" xfId="30907" xr:uid="{00000000-0005-0000-0000-0000F8630000}"/>
    <cellStyle name="Normal 41 4 5 6 2" xfId="12590" xr:uid="{00000000-0005-0000-0000-0000F9630000}"/>
    <cellStyle name="Normal 41 4 5 7" xfId="30910" xr:uid="{00000000-0005-0000-0000-0000FA630000}"/>
    <cellStyle name="Normal 41 4 5 7 2" xfId="2653" xr:uid="{00000000-0005-0000-0000-0000FB630000}"/>
    <cellStyle name="Normal 41 4 5 8" xfId="30912" xr:uid="{00000000-0005-0000-0000-0000FC630000}"/>
    <cellStyle name="Normal 41 4 5 9" xfId="30914" xr:uid="{00000000-0005-0000-0000-0000FD630000}"/>
    <cellStyle name="Normal 41 4 6" xfId="9627" xr:uid="{00000000-0005-0000-0000-0000FE630000}"/>
    <cellStyle name="Normal 41 4 6 2" xfId="30916" xr:uid="{00000000-0005-0000-0000-0000FF630000}"/>
    <cellStyle name="Normal 41 4 6 2 2" xfId="7866" xr:uid="{00000000-0005-0000-0000-000000640000}"/>
    <cellStyle name="Normal 41 4 6 2 2 2" xfId="7889" xr:uid="{00000000-0005-0000-0000-000001640000}"/>
    <cellStyle name="Normal 41 4 6 2 2 2 2" xfId="6948" xr:uid="{00000000-0005-0000-0000-000002640000}"/>
    <cellStyle name="Normal 41 4 6 2 2 3" xfId="3298" xr:uid="{00000000-0005-0000-0000-000003640000}"/>
    <cellStyle name="Normal 41 4 6 2 3" xfId="3189" xr:uid="{00000000-0005-0000-0000-000004640000}"/>
    <cellStyle name="Normal 41 4 6 2 3 2" xfId="3223" xr:uid="{00000000-0005-0000-0000-000005640000}"/>
    <cellStyle name="Normal 41 4 6 2 4" xfId="3246" xr:uid="{00000000-0005-0000-0000-000006640000}"/>
    <cellStyle name="Normal 41 4 6 2 5" xfId="6819" xr:uid="{00000000-0005-0000-0000-000007640000}"/>
    <cellStyle name="Normal 41 4 6 3" xfId="30918" xr:uid="{00000000-0005-0000-0000-000008640000}"/>
    <cellStyle name="Normal 41 4 6 3 2" xfId="8009" xr:uid="{00000000-0005-0000-0000-000009640000}"/>
    <cellStyle name="Normal 41 4 6 3 2 2" xfId="8012" xr:uid="{00000000-0005-0000-0000-00000A640000}"/>
    <cellStyle name="Normal 41 4 6 3 3" xfId="1416" xr:uid="{00000000-0005-0000-0000-00000B640000}"/>
    <cellStyle name="Normal 41 4 6 4" xfId="13620" xr:uid="{00000000-0005-0000-0000-00000C640000}"/>
    <cellStyle name="Normal 41 4 6 4 2" xfId="4406" xr:uid="{00000000-0005-0000-0000-00000D640000}"/>
    <cellStyle name="Normal 41 4 6 4 2 2" xfId="4430" xr:uid="{00000000-0005-0000-0000-00000E640000}"/>
    <cellStyle name="Normal 41 4 6 4 3" xfId="3279" xr:uid="{00000000-0005-0000-0000-00000F640000}"/>
    <cellStyle name="Normal 41 4 6 5" xfId="30920" xr:uid="{00000000-0005-0000-0000-000010640000}"/>
    <cellStyle name="Normal 41 4 6 5 2" xfId="3231" xr:uid="{00000000-0005-0000-0000-000011640000}"/>
    <cellStyle name="Normal 41 4 6 6" xfId="30922" xr:uid="{00000000-0005-0000-0000-000012640000}"/>
    <cellStyle name="Normal 41 4 6 6 2" xfId="1141" xr:uid="{00000000-0005-0000-0000-000013640000}"/>
    <cellStyle name="Normal 41 4 6 7" xfId="30926" xr:uid="{00000000-0005-0000-0000-000014640000}"/>
    <cellStyle name="Normal 41 4 6 8" xfId="30928" xr:uid="{00000000-0005-0000-0000-000015640000}"/>
    <cellStyle name="Normal 41 4 7" xfId="30930" xr:uid="{00000000-0005-0000-0000-000016640000}"/>
    <cellStyle name="Normal 41 4 7 2" xfId="30932" xr:uid="{00000000-0005-0000-0000-000017640000}"/>
    <cellStyle name="Normal 41 4 7 2 2" xfId="8328" xr:uid="{00000000-0005-0000-0000-000018640000}"/>
    <cellStyle name="Normal 41 4 7 2 2 2" xfId="30934" xr:uid="{00000000-0005-0000-0000-000019640000}"/>
    <cellStyle name="Normal 41 4 7 2 3" xfId="3391" xr:uid="{00000000-0005-0000-0000-00001A640000}"/>
    <cellStyle name="Normal 41 4 7 3" xfId="30936" xr:uid="{00000000-0005-0000-0000-00001B640000}"/>
    <cellStyle name="Normal 41 4 7 3 2" xfId="30938" xr:uid="{00000000-0005-0000-0000-00001C640000}"/>
    <cellStyle name="Normal 41 4 7 4" xfId="30940" xr:uid="{00000000-0005-0000-0000-00001D640000}"/>
    <cellStyle name="Normal 41 4 7 5" xfId="30944" xr:uid="{00000000-0005-0000-0000-00001E640000}"/>
    <cellStyle name="Normal 41 4 8" xfId="14719" xr:uid="{00000000-0005-0000-0000-00001F640000}"/>
    <cellStyle name="Normal 41 4 8 2" xfId="14723" xr:uid="{00000000-0005-0000-0000-000020640000}"/>
    <cellStyle name="Normal 41 4 8 2 2" xfId="30946" xr:uid="{00000000-0005-0000-0000-000021640000}"/>
    <cellStyle name="Normal 41 4 8 3" xfId="30948" xr:uid="{00000000-0005-0000-0000-000022640000}"/>
    <cellStyle name="Normal 41 4 9" xfId="14750" xr:uid="{00000000-0005-0000-0000-000023640000}"/>
    <cellStyle name="Normal 41 4 9 2" xfId="30950" xr:uid="{00000000-0005-0000-0000-000024640000}"/>
    <cellStyle name="Normal 41 4 9 2 2" xfId="30954" xr:uid="{00000000-0005-0000-0000-000025640000}"/>
    <cellStyle name="Normal 41 4 9 3" xfId="30956" xr:uid="{00000000-0005-0000-0000-000026640000}"/>
    <cellStyle name="Normal 41 5" xfId="30958" xr:uid="{00000000-0005-0000-0000-000027640000}"/>
    <cellStyle name="Normal 41 5 10" xfId="30960" xr:uid="{00000000-0005-0000-0000-000028640000}"/>
    <cellStyle name="Normal 41 5 2" xfId="30962" xr:uid="{00000000-0005-0000-0000-000029640000}"/>
    <cellStyle name="Normal 41 5 2 2" xfId="30964" xr:uid="{00000000-0005-0000-0000-00002A640000}"/>
    <cellStyle name="Normal 41 5 2 2 2" xfId="22544" xr:uid="{00000000-0005-0000-0000-00002B640000}"/>
    <cellStyle name="Normal 41 5 2 2 2 2" xfId="30966" xr:uid="{00000000-0005-0000-0000-00002C640000}"/>
    <cellStyle name="Normal 41 5 2 2 2 2 2" xfId="30971" xr:uid="{00000000-0005-0000-0000-00002D640000}"/>
    <cellStyle name="Normal 41 5 2 2 2 2 2 2" xfId="30974" xr:uid="{00000000-0005-0000-0000-00002E640000}"/>
    <cellStyle name="Normal 41 5 2 2 2 2 3" xfId="25315" xr:uid="{00000000-0005-0000-0000-00002F640000}"/>
    <cellStyle name="Normal 41 5 2 2 2 3" xfId="30976" xr:uid="{00000000-0005-0000-0000-000030640000}"/>
    <cellStyle name="Normal 41 5 2 2 2 3 2" xfId="30979" xr:uid="{00000000-0005-0000-0000-000031640000}"/>
    <cellStyle name="Normal 41 5 2 2 2 4" xfId="30981" xr:uid="{00000000-0005-0000-0000-000032640000}"/>
    <cellStyle name="Normal 41 5 2 2 2 5" xfId="30983" xr:uid="{00000000-0005-0000-0000-000033640000}"/>
    <cellStyle name="Normal 41 5 2 2 3" xfId="30987" xr:uid="{00000000-0005-0000-0000-000034640000}"/>
    <cellStyle name="Normal 41 5 2 2 3 2" xfId="30989" xr:uid="{00000000-0005-0000-0000-000035640000}"/>
    <cellStyle name="Normal 41 5 2 2 3 2 2" xfId="27370" xr:uid="{00000000-0005-0000-0000-000036640000}"/>
    <cellStyle name="Normal 41 5 2 2 3 3" xfId="30991" xr:uid="{00000000-0005-0000-0000-000037640000}"/>
    <cellStyle name="Normal 41 5 2 2 4" xfId="30993" xr:uid="{00000000-0005-0000-0000-000038640000}"/>
    <cellStyle name="Normal 41 5 2 2 4 2" xfId="30995" xr:uid="{00000000-0005-0000-0000-000039640000}"/>
    <cellStyle name="Normal 41 5 2 2 4 2 2" xfId="29198" xr:uid="{00000000-0005-0000-0000-00003A640000}"/>
    <cellStyle name="Normal 41 5 2 2 4 3" xfId="30999" xr:uid="{00000000-0005-0000-0000-00003B640000}"/>
    <cellStyle name="Normal 41 5 2 2 5" xfId="31001" xr:uid="{00000000-0005-0000-0000-00003C640000}"/>
    <cellStyle name="Normal 41 5 2 2 5 2" xfId="31003" xr:uid="{00000000-0005-0000-0000-00003D640000}"/>
    <cellStyle name="Normal 41 5 2 2 6" xfId="25774" xr:uid="{00000000-0005-0000-0000-00003E640000}"/>
    <cellStyle name="Normal 41 5 2 2 6 2" xfId="31005" xr:uid="{00000000-0005-0000-0000-00003F640000}"/>
    <cellStyle name="Normal 41 5 2 2 7" xfId="31007" xr:uid="{00000000-0005-0000-0000-000040640000}"/>
    <cellStyle name="Normal 41 5 2 2 8" xfId="28751" xr:uid="{00000000-0005-0000-0000-000041640000}"/>
    <cellStyle name="Normal 41 5 2 3" xfId="31009" xr:uid="{00000000-0005-0000-0000-000042640000}"/>
    <cellStyle name="Normal 41 5 2 3 2" xfId="31011" xr:uid="{00000000-0005-0000-0000-000043640000}"/>
    <cellStyle name="Normal 41 5 2 3 2 2" xfId="26969" xr:uid="{00000000-0005-0000-0000-000044640000}"/>
    <cellStyle name="Normal 41 5 2 3 2 2 2" xfId="31013" xr:uid="{00000000-0005-0000-0000-000045640000}"/>
    <cellStyle name="Normal 41 5 2 3 2 3" xfId="31015" xr:uid="{00000000-0005-0000-0000-000046640000}"/>
    <cellStyle name="Normal 41 5 2 3 3" xfId="31017" xr:uid="{00000000-0005-0000-0000-000047640000}"/>
    <cellStyle name="Normal 41 5 2 3 3 2" xfId="31019" xr:uid="{00000000-0005-0000-0000-000048640000}"/>
    <cellStyle name="Normal 41 5 2 3 4" xfId="22580" xr:uid="{00000000-0005-0000-0000-000049640000}"/>
    <cellStyle name="Normal 41 5 2 3 5" xfId="8350" xr:uid="{00000000-0005-0000-0000-00004A640000}"/>
    <cellStyle name="Normal 41 5 2 4" xfId="31021" xr:uid="{00000000-0005-0000-0000-00004B640000}"/>
    <cellStyle name="Normal 41 5 2 4 2" xfId="29169" xr:uid="{00000000-0005-0000-0000-00004C640000}"/>
    <cellStyle name="Normal 41 5 2 4 2 2" xfId="29173" xr:uid="{00000000-0005-0000-0000-00004D640000}"/>
    <cellStyle name="Normal 41 5 2 4 3" xfId="29177" xr:uid="{00000000-0005-0000-0000-00004E640000}"/>
    <cellStyle name="Normal 41 5 2 5" xfId="24596" xr:uid="{00000000-0005-0000-0000-00004F640000}"/>
    <cellStyle name="Normal 41 5 2 5 2" xfId="24599" xr:uid="{00000000-0005-0000-0000-000050640000}"/>
    <cellStyle name="Normal 41 5 2 5 2 2" xfId="31023" xr:uid="{00000000-0005-0000-0000-000051640000}"/>
    <cellStyle name="Normal 41 5 2 5 3" xfId="31025" xr:uid="{00000000-0005-0000-0000-000052640000}"/>
    <cellStyle name="Normal 41 5 2 6" xfId="24602" xr:uid="{00000000-0005-0000-0000-000053640000}"/>
    <cellStyle name="Normal 41 5 2 6 2" xfId="27175" xr:uid="{00000000-0005-0000-0000-000054640000}"/>
    <cellStyle name="Normal 41 5 2 7" xfId="31027" xr:uid="{00000000-0005-0000-0000-000055640000}"/>
    <cellStyle name="Normal 41 5 2 7 2" xfId="31029" xr:uid="{00000000-0005-0000-0000-000056640000}"/>
    <cellStyle name="Normal 41 5 2 8" xfId="11932" xr:uid="{00000000-0005-0000-0000-000057640000}"/>
    <cellStyle name="Normal 41 5 2 9" xfId="31031" xr:uid="{00000000-0005-0000-0000-000058640000}"/>
    <cellStyle name="Normal 41 5 3" xfId="31033" xr:uid="{00000000-0005-0000-0000-000059640000}"/>
    <cellStyle name="Normal 41 5 3 2" xfId="31035" xr:uid="{00000000-0005-0000-0000-00005A640000}"/>
    <cellStyle name="Normal 41 5 3 2 2" xfId="31038" xr:uid="{00000000-0005-0000-0000-00005B640000}"/>
    <cellStyle name="Normal 41 5 3 2 2 2" xfId="16052" xr:uid="{00000000-0005-0000-0000-00005C640000}"/>
    <cellStyle name="Normal 41 5 3 2 2 2 2" xfId="16055" xr:uid="{00000000-0005-0000-0000-00005D640000}"/>
    <cellStyle name="Normal 41 5 3 2 2 3" xfId="16067" xr:uid="{00000000-0005-0000-0000-00005E640000}"/>
    <cellStyle name="Normal 41 5 3 2 2 4" xfId="16079" xr:uid="{00000000-0005-0000-0000-00005F640000}"/>
    <cellStyle name="Normal 41 5 3 2 3" xfId="31040" xr:uid="{00000000-0005-0000-0000-000060640000}"/>
    <cellStyle name="Normal 41 5 3 2 3 2" xfId="16094" xr:uid="{00000000-0005-0000-0000-000061640000}"/>
    <cellStyle name="Normal 41 5 3 2 4" xfId="31042" xr:uid="{00000000-0005-0000-0000-000062640000}"/>
    <cellStyle name="Normal 41 5 3 2 4 2" xfId="16120" xr:uid="{00000000-0005-0000-0000-000063640000}"/>
    <cellStyle name="Normal 41 5 3 2 5" xfId="31045" xr:uid="{00000000-0005-0000-0000-000064640000}"/>
    <cellStyle name="Normal 41 5 3 2 6" xfId="31048" xr:uid="{00000000-0005-0000-0000-000065640000}"/>
    <cellStyle name="Normal 41 5 3 3" xfId="31050" xr:uid="{00000000-0005-0000-0000-000066640000}"/>
    <cellStyle name="Normal 41 5 3 3 2" xfId="31052" xr:uid="{00000000-0005-0000-0000-000067640000}"/>
    <cellStyle name="Normal 41 5 3 3 2 2" xfId="16166" xr:uid="{00000000-0005-0000-0000-000068640000}"/>
    <cellStyle name="Normal 41 5 3 3 3" xfId="31054" xr:uid="{00000000-0005-0000-0000-000069640000}"/>
    <cellStyle name="Normal 41 5 3 3 4" xfId="31056" xr:uid="{00000000-0005-0000-0000-00006A640000}"/>
    <cellStyle name="Normal 41 5 3 4" xfId="31058" xr:uid="{00000000-0005-0000-0000-00006B640000}"/>
    <cellStyle name="Normal 41 5 3 4 2" xfId="29252" xr:uid="{00000000-0005-0000-0000-00006C640000}"/>
    <cellStyle name="Normal 41 5 3 4 2 2" xfId="16185" xr:uid="{00000000-0005-0000-0000-00006D640000}"/>
    <cellStyle name="Normal 41 5 3 4 3" xfId="29256" xr:uid="{00000000-0005-0000-0000-00006E640000}"/>
    <cellStyle name="Normal 41 5 3 5" xfId="24606" xr:uid="{00000000-0005-0000-0000-00006F640000}"/>
    <cellStyle name="Normal 41 5 3 5 2" xfId="17144" xr:uid="{00000000-0005-0000-0000-000070640000}"/>
    <cellStyle name="Normal 41 5 3 6" xfId="31060" xr:uid="{00000000-0005-0000-0000-000071640000}"/>
    <cellStyle name="Normal 41 5 3 6 2" xfId="31062" xr:uid="{00000000-0005-0000-0000-000072640000}"/>
    <cellStyle name="Normal 41 5 3 7" xfId="31064" xr:uid="{00000000-0005-0000-0000-000073640000}"/>
    <cellStyle name="Normal 41 5 3 8" xfId="31067" xr:uid="{00000000-0005-0000-0000-000074640000}"/>
    <cellStyle name="Normal 41 5 4" xfId="31069" xr:uid="{00000000-0005-0000-0000-000075640000}"/>
    <cellStyle name="Normal 41 5 4 2" xfId="31071" xr:uid="{00000000-0005-0000-0000-000076640000}"/>
    <cellStyle name="Normal 41 5 4 2 2" xfId="21696" xr:uid="{00000000-0005-0000-0000-000077640000}"/>
    <cellStyle name="Normal 41 5 4 2 2 2" xfId="16529" xr:uid="{00000000-0005-0000-0000-000078640000}"/>
    <cellStyle name="Normal 41 5 4 2 3" xfId="31073" xr:uid="{00000000-0005-0000-0000-000079640000}"/>
    <cellStyle name="Normal 41 5 4 2 4" xfId="21720" xr:uid="{00000000-0005-0000-0000-00007A640000}"/>
    <cellStyle name="Normal 41 5 4 3" xfId="31075" xr:uid="{00000000-0005-0000-0000-00007B640000}"/>
    <cellStyle name="Normal 41 5 4 3 2" xfId="31077" xr:uid="{00000000-0005-0000-0000-00007C640000}"/>
    <cellStyle name="Normal 41 5 4 4" xfId="21742" xr:uid="{00000000-0005-0000-0000-00007D640000}"/>
    <cellStyle name="Normal 41 5 4 4 2" xfId="21752" xr:uid="{00000000-0005-0000-0000-00007E640000}"/>
    <cellStyle name="Normal 41 5 4 5" xfId="21763" xr:uid="{00000000-0005-0000-0000-00007F640000}"/>
    <cellStyle name="Normal 41 5 4 6" xfId="27194" xr:uid="{00000000-0005-0000-0000-000080640000}"/>
    <cellStyle name="Normal 41 5 5" xfId="31079" xr:uid="{00000000-0005-0000-0000-000081640000}"/>
    <cellStyle name="Normal 41 5 5 2" xfId="31081" xr:uid="{00000000-0005-0000-0000-000082640000}"/>
    <cellStyle name="Normal 41 5 5 2 2" xfId="31083" xr:uid="{00000000-0005-0000-0000-000083640000}"/>
    <cellStyle name="Normal 41 5 5 2 2 2" xfId="31085" xr:uid="{00000000-0005-0000-0000-000084640000}"/>
    <cellStyle name="Normal 41 5 5 2 3" xfId="31087" xr:uid="{00000000-0005-0000-0000-000085640000}"/>
    <cellStyle name="Normal 41 5 5 2 4" xfId="31089" xr:uid="{00000000-0005-0000-0000-000086640000}"/>
    <cellStyle name="Normal 41 5 5 3" xfId="31091" xr:uid="{00000000-0005-0000-0000-000087640000}"/>
    <cellStyle name="Normal 41 5 5 3 2" xfId="31093" xr:uid="{00000000-0005-0000-0000-000088640000}"/>
    <cellStyle name="Normal 41 5 5 4" xfId="9304" xr:uid="{00000000-0005-0000-0000-000089640000}"/>
    <cellStyle name="Normal 41 5 5 4 2" xfId="31095" xr:uid="{00000000-0005-0000-0000-00008A640000}"/>
    <cellStyle name="Normal 41 5 5 5" xfId="27198" xr:uid="{00000000-0005-0000-0000-00008B640000}"/>
    <cellStyle name="Normal 41 5 5 6" xfId="31097" xr:uid="{00000000-0005-0000-0000-00008C640000}"/>
    <cellStyle name="Normal 41 5 6" xfId="21776" xr:uid="{00000000-0005-0000-0000-00008D640000}"/>
    <cellStyle name="Normal 41 5 6 2" xfId="9445" xr:uid="{00000000-0005-0000-0000-00008E640000}"/>
    <cellStyle name="Normal 41 5 6 2 2" xfId="775" xr:uid="{00000000-0005-0000-0000-00008F640000}"/>
    <cellStyle name="Normal 41 5 6 3" xfId="9454" xr:uid="{00000000-0005-0000-0000-000090640000}"/>
    <cellStyle name="Normal 41 5 6 4" xfId="31099" xr:uid="{00000000-0005-0000-0000-000091640000}"/>
    <cellStyle name="Normal 41 5 7" xfId="21785" xr:uid="{00000000-0005-0000-0000-000092640000}"/>
    <cellStyle name="Normal 41 5 7 2" xfId="9613" xr:uid="{00000000-0005-0000-0000-000093640000}"/>
    <cellStyle name="Normal 41 5 8" xfId="14806" xr:uid="{00000000-0005-0000-0000-000094640000}"/>
    <cellStyle name="Normal 41 5 8 2" xfId="31101" xr:uid="{00000000-0005-0000-0000-000095640000}"/>
    <cellStyle name="Normal 41 5 9" xfId="31103" xr:uid="{00000000-0005-0000-0000-000096640000}"/>
    <cellStyle name="Normal 41 6" xfId="31105" xr:uid="{00000000-0005-0000-0000-000097640000}"/>
    <cellStyle name="Normal 41 6 2" xfId="13540" xr:uid="{00000000-0005-0000-0000-000098640000}"/>
    <cellStyle name="Normal 41 6 2 2" xfId="31109" xr:uid="{00000000-0005-0000-0000-000099640000}"/>
    <cellStyle name="Normal 41 6 2 2 2" xfId="24620" xr:uid="{00000000-0005-0000-0000-00009A640000}"/>
    <cellStyle name="Normal 41 6 2 2 2 2" xfId="30810" xr:uid="{00000000-0005-0000-0000-00009B640000}"/>
    <cellStyle name="Normal 41 6 2 2 2 2 2" xfId="30814" xr:uid="{00000000-0005-0000-0000-00009C640000}"/>
    <cellStyle name="Normal 41 6 2 2 2 3" xfId="30818" xr:uid="{00000000-0005-0000-0000-00009D640000}"/>
    <cellStyle name="Normal 41 6 2 2 3" xfId="31111" xr:uid="{00000000-0005-0000-0000-00009E640000}"/>
    <cellStyle name="Normal 41 6 2 2 3 2" xfId="30908" xr:uid="{00000000-0005-0000-0000-00009F640000}"/>
    <cellStyle name="Normal 41 6 2 2 4" xfId="31113" xr:uid="{00000000-0005-0000-0000-0000A0640000}"/>
    <cellStyle name="Normal 41 6 2 2 5" xfId="31115" xr:uid="{00000000-0005-0000-0000-0000A1640000}"/>
    <cellStyle name="Normal 41 6 2 3" xfId="31117" xr:uid="{00000000-0005-0000-0000-0000A2640000}"/>
    <cellStyle name="Normal 41 6 2 3 2" xfId="31119" xr:uid="{00000000-0005-0000-0000-0000A3640000}"/>
    <cellStyle name="Normal 41 6 2 3 2 2" xfId="27195" xr:uid="{00000000-0005-0000-0000-0000A4640000}"/>
    <cellStyle name="Normal 41 6 2 3 3" xfId="27542" xr:uid="{00000000-0005-0000-0000-0000A5640000}"/>
    <cellStyle name="Normal 41 6 2 4" xfId="31122" xr:uid="{00000000-0005-0000-0000-0000A6640000}"/>
    <cellStyle name="Normal 41 6 2 4 2" xfId="31125" xr:uid="{00000000-0005-0000-0000-0000A7640000}"/>
    <cellStyle name="Normal 41 6 2 4 2 2" xfId="31129" xr:uid="{00000000-0005-0000-0000-0000A8640000}"/>
    <cellStyle name="Normal 41 6 2 4 3" xfId="31133" xr:uid="{00000000-0005-0000-0000-0000A9640000}"/>
    <cellStyle name="Normal 41 6 2 5" xfId="31137" xr:uid="{00000000-0005-0000-0000-0000AA640000}"/>
    <cellStyle name="Normal 41 6 2 5 2" xfId="31139" xr:uid="{00000000-0005-0000-0000-0000AB640000}"/>
    <cellStyle name="Normal 41 6 2 6" xfId="31126" xr:uid="{00000000-0005-0000-0000-0000AC640000}"/>
    <cellStyle name="Normal 41 6 2 6 2" xfId="31130" xr:uid="{00000000-0005-0000-0000-0000AD640000}"/>
    <cellStyle name="Normal 41 6 2 7" xfId="31134" xr:uid="{00000000-0005-0000-0000-0000AE640000}"/>
    <cellStyle name="Normal 41 6 2 8" xfId="31142" xr:uid="{00000000-0005-0000-0000-0000AF640000}"/>
    <cellStyle name="Normal 41 6 3" xfId="31144" xr:uid="{00000000-0005-0000-0000-0000B0640000}"/>
    <cellStyle name="Normal 41 6 3 2" xfId="31146" xr:uid="{00000000-0005-0000-0000-0000B1640000}"/>
    <cellStyle name="Normal 41 6 3 2 2" xfId="31153" xr:uid="{00000000-0005-0000-0000-0000B2640000}"/>
    <cellStyle name="Normal 41 6 3 2 2 2" xfId="17122" xr:uid="{00000000-0005-0000-0000-0000B3640000}"/>
    <cellStyle name="Normal 41 6 3 2 3" xfId="31155" xr:uid="{00000000-0005-0000-0000-0000B4640000}"/>
    <cellStyle name="Normal 41 6 3 3" xfId="31157" xr:uid="{00000000-0005-0000-0000-0000B5640000}"/>
    <cellStyle name="Normal 41 6 3 3 2" xfId="31159" xr:uid="{00000000-0005-0000-0000-0000B6640000}"/>
    <cellStyle name="Normal 41 6 3 4" xfId="31162" xr:uid="{00000000-0005-0000-0000-0000B7640000}"/>
    <cellStyle name="Normal 41 6 3 5" xfId="31165" xr:uid="{00000000-0005-0000-0000-0000B8640000}"/>
    <cellStyle name="Normal 41 6 4" xfId="31167" xr:uid="{00000000-0005-0000-0000-0000B9640000}"/>
    <cellStyle name="Normal 41 6 4 2" xfId="31169" xr:uid="{00000000-0005-0000-0000-0000BA640000}"/>
    <cellStyle name="Normal 41 6 4 2 2" xfId="31171" xr:uid="{00000000-0005-0000-0000-0000BB640000}"/>
    <cellStyle name="Normal 41 6 4 3" xfId="31173" xr:uid="{00000000-0005-0000-0000-0000BC640000}"/>
    <cellStyle name="Normal 41 6 5" xfId="31175" xr:uid="{00000000-0005-0000-0000-0000BD640000}"/>
    <cellStyle name="Normal 41 6 5 2" xfId="9927" xr:uid="{00000000-0005-0000-0000-0000BE640000}"/>
    <cellStyle name="Normal 41 6 5 2 2" xfId="20388" xr:uid="{00000000-0005-0000-0000-0000BF640000}"/>
    <cellStyle name="Normal 41 6 5 3" xfId="9936" xr:uid="{00000000-0005-0000-0000-0000C0640000}"/>
    <cellStyle name="Normal 41 6 6" xfId="21822" xr:uid="{00000000-0005-0000-0000-0000C1640000}"/>
    <cellStyle name="Normal 41 6 6 2" xfId="20392" xr:uid="{00000000-0005-0000-0000-0000C2640000}"/>
    <cellStyle name="Normal 41 6 7" xfId="21831" xr:uid="{00000000-0005-0000-0000-0000C3640000}"/>
    <cellStyle name="Normal 41 6 7 2" xfId="1047" xr:uid="{00000000-0005-0000-0000-0000C4640000}"/>
    <cellStyle name="Normal 41 6 8" xfId="31177" xr:uid="{00000000-0005-0000-0000-0000C5640000}"/>
    <cellStyle name="Normal 41 6 9" xfId="31179" xr:uid="{00000000-0005-0000-0000-0000C6640000}"/>
    <cellStyle name="Normal 41 7" xfId="31181" xr:uid="{00000000-0005-0000-0000-0000C7640000}"/>
    <cellStyle name="Normal 41 7 2" xfId="25633" xr:uid="{00000000-0005-0000-0000-0000C8640000}"/>
    <cellStyle name="Normal 41 7 2 2" xfId="25636" xr:uid="{00000000-0005-0000-0000-0000C9640000}"/>
    <cellStyle name="Normal 41 7 2 2 2" xfId="25639" xr:uid="{00000000-0005-0000-0000-0000CA640000}"/>
    <cellStyle name="Normal 41 7 2 2 2 2" xfId="31183" xr:uid="{00000000-0005-0000-0000-0000CB640000}"/>
    <cellStyle name="Normal 41 7 2 2 2 2 2" xfId="31185" xr:uid="{00000000-0005-0000-0000-0000CC640000}"/>
    <cellStyle name="Normal 41 7 2 2 2 3" xfId="31187" xr:uid="{00000000-0005-0000-0000-0000CD640000}"/>
    <cellStyle name="Normal 41 7 2 2 3" xfId="31189" xr:uid="{00000000-0005-0000-0000-0000CE640000}"/>
    <cellStyle name="Normal 41 7 2 2 3 2" xfId="21460" xr:uid="{00000000-0005-0000-0000-0000CF640000}"/>
    <cellStyle name="Normal 41 7 2 2 4" xfId="28496" xr:uid="{00000000-0005-0000-0000-0000D0640000}"/>
    <cellStyle name="Normal 41 7 2 2 5" xfId="28502" xr:uid="{00000000-0005-0000-0000-0000D1640000}"/>
    <cellStyle name="Normal 41 7 2 3" xfId="25642" xr:uid="{00000000-0005-0000-0000-0000D2640000}"/>
    <cellStyle name="Normal 41 7 2 3 2" xfId="31191" xr:uid="{00000000-0005-0000-0000-0000D3640000}"/>
    <cellStyle name="Normal 41 7 2 3 2 2" xfId="31193" xr:uid="{00000000-0005-0000-0000-0000D4640000}"/>
    <cellStyle name="Normal 41 7 2 3 3" xfId="31195" xr:uid="{00000000-0005-0000-0000-0000D5640000}"/>
    <cellStyle name="Normal 41 7 2 4" xfId="31197" xr:uid="{00000000-0005-0000-0000-0000D6640000}"/>
    <cellStyle name="Normal 41 7 2 4 2" xfId="31200" xr:uid="{00000000-0005-0000-0000-0000D7640000}"/>
    <cellStyle name="Normal 41 7 2 4 2 2" xfId="31204" xr:uid="{00000000-0005-0000-0000-0000D8640000}"/>
    <cellStyle name="Normal 41 7 2 4 3" xfId="31208" xr:uid="{00000000-0005-0000-0000-0000D9640000}"/>
    <cellStyle name="Normal 41 7 2 5" xfId="31212" xr:uid="{00000000-0005-0000-0000-0000DA640000}"/>
    <cellStyle name="Normal 41 7 2 5 2" xfId="31214" xr:uid="{00000000-0005-0000-0000-0000DB640000}"/>
    <cellStyle name="Normal 41 7 2 6" xfId="31217" xr:uid="{00000000-0005-0000-0000-0000DC640000}"/>
    <cellStyle name="Normal 41 7 2 6 2" xfId="10291" xr:uid="{00000000-0005-0000-0000-0000DD640000}"/>
    <cellStyle name="Normal 41 7 2 7" xfId="31219" xr:uid="{00000000-0005-0000-0000-0000DE640000}"/>
    <cellStyle name="Normal 41 7 2 8" xfId="31221" xr:uid="{00000000-0005-0000-0000-0000DF640000}"/>
    <cellStyle name="Normal 41 7 3" xfId="25645" xr:uid="{00000000-0005-0000-0000-0000E0640000}"/>
    <cellStyle name="Normal 41 7 3 2" xfId="6460" xr:uid="{00000000-0005-0000-0000-0000E1640000}"/>
    <cellStyle name="Normal 41 7 3 2 2" xfId="31225" xr:uid="{00000000-0005-0000-0000-0000E2640000}"/>
    <cellStyle name="Normal 41 7 3 2 2 2" xfId="31227" xr:uid="{00000000-0005-0000-0000-0000E3640000}"/>
    <cellStyle name="Normal 41 7 3 2 3" xfId="31229" xr:uid="{00000000-0005-0000-0000-0000E4640000}"/>
    <cellStyle name="Normal 41 7 3 3" xfId="16233" xr:uid="{00000000-0005-0000-0000-0000E5640000}"/>
    <cellStyle name="Normal 41 7 3 3 2" xfId="16238" xr:uid="{00000000-0005-0000-0000-0000E6640000}"/>
    <cellStyle name="Normal 41 7 3 4" xfId="16244" xr:uid="{00000000-0005-0000-0000-0000E7640000}"/>
    <cellStyle name="Normal 41 7 3 5" xfId="16249" xr:uid="{00000000-0005-0000-0000-0000E8640000}"/>
    <cellStyle name="Normal 41 7 4" xfId="21839" xr:uid="{00000000-0005-0000-0000-0000E9640000}"/>
    <cellStyle name="Normal 41 7 4 2" xfId="16260" xr:uid="{00000000-0005-0000-0000-0000EA640000}"/>
    <cellStyle name="Normal 41 7 4 2 2" xfId="31233" xr:uid="{00000000-0005-0000-0000-0000EB640000}"/>
    <cellStyle name="Normal 41 7 4 3" xfId="16270" xr:uid="{00000000-0005-0000-0000-0000EC640000}"/>
    <cellStyle name="Normal 41 7 5" xfId="21845" xr:uid="{00000000-0005-0000-0000-0000ED640000}"/>
    <cellStyle name="Normal 41 7 5 2" xfId="16290" xr:uid="{00000000-0005-0000-0000-0000EE640000}"/>
    <cellStyle name="Normal 41 7 5 2 2" xfId="31239" xr:uid="{00000000-0005-0000-0000-0000EF640000}"/>
    <cellStyle name="Normal 41 7 5 3" xfId="17230" xr:uid="{00000000-0005-0000-0000-0000F0640000}"/>
    <cellStyle name="Normal 41 7 6" xfId="21848" xr:uid="{00000000-0005-0000-0000-0000F1640000}"/>
    <cellStyle name="Normal 41 7 6 2" xfId="16302" xr:uid="{00000000-0005-0000-0000-0000F2640000}"/>
    <cellStyle name="Normal 41 7 7" xfId="23295" xr:uid="{00000000-0005-0000-0000-0000F3640000}"/>
    <cellStyle name="Normal 41 7 7 2" xfId="3111" xr:uid="{00000000-0005-0000-0000-0000F4640000}"/>
    <cellStyle name="Normal 41 7 8" xfId="31241" xr:uid="{00000000-0005-0000-0000-0000F5640000}"/>
    <cellStyle name="Normal 41 7 9" xfId="31243" xr:uid="{00000000-0005-0000-0000-0000F6640000}"/>
    <cellStyle name="Normal 41 8" xfId="31247" xr:uid="{00000000-0005-0000-0000-0000F7640000}"/>
    <cellStyle name="Normal 41 8 2" xfId="25655" xr:uid="{00000000-0005-0000-0000-0000F8640000}"/>
    <cellStyle name="Normal 41 8 2 2" xfId="31251" xr:uid="{00000000-0005-0000-0000-0000F9640000}"/>
    <cellStyle name="Normal 41 8 2 2 2" xfId="31253" xr:uid="{00000000-0005-0000-0000-0000FA640000}"/>
    <cellStyle name="Normal 41 8 2 2 2 2" xfId="26015" xr:uid="{00000000-0005-0000-0000-0000FB640000}"/>
    <cellStyle name="Normal 41 8 2 2 2 2 2" xfId="26022" xr:uid="{00000000-0005-0000-0000-0000FC640000}"/>
    <cellStyle name="Normal 41 8 2 2 2 3" xfId="2396" xr:uid="{00000000-0005-0000-0000-0000FD640000}"/>
    <cellStyle name="Normal 41 8 2 2 3" xfId="29698" xr:uid="{00000000-0005-0000-0000-0000FE640000}"/>
    <cellStyle name="Normal 41 8 2 2 3 2" xfId="18849" xr:uid="{00000000-0005-0000-0000-0000FF640000}"/>
    <cellStyle name="Normal 41 8 2 2 4" xfId="28542" xr:uid="{00000000-0005-0000-0000-000000650000}"/>
    <cellStyle name="Normal 41 8 2 3" xfId="31258" xr:uid="{00000000-0005-0000-0000-000001650000}"/>
    <cellStyle name="Normal 41 8 2 3 2" xfId="31260" xr:uid="{00000000-0005-0000-0000-000002650000}"/>
    <cellStyle name="Normal 41 8 2 3 2 2" xfId="26106" xr:uid="{00000000-0005-0000-0000-000003650000}"/>
    <cellStyle name="Normal 41 8 2 3 3" xfId="31265" xr:uid="{00000000-0005-0000-0000-000004650000}"/>
    <cellStyle name="Normal 41 8 2 4" xfId="26235" xr:uid="{00000000-0005-0000-0000-000005650000}"/>
    <cellStyle name="Normal 41 8 2 4 2" xfId="31268" xr:uid="{00000000-0005-0000-0000-000006650000}"/>
    <cellStyle name="Normal 41 8 2 4 2 2" xfId="26181" xr:uid="{00000000-0005-0000-0000-000007650000}"/>
    <cellStyle name="Normal 41 8 2 4 3" xfId="31272" xr:uid="{00000000-0005-0000-0000-000008650000}"/>
    <cellStyle name="Normal 41 8 2 5" xfId="31275" xr:uid="{00000000-0005-0000-0000-000009650000}"/>
    <cellStyle name="Normal 41 8 2 5 2" xfId="31277" xr:uid="{00000000-0005-0000-0000-00000A650000}"/>
    <cellStyle name="Normal 41 8 2 6" xfId="31279" xr:uid="{00000000-0005-0000-0000-00000B650000}"/>
    <cellStyle name="Normal 41 8 2 6 2" xfId="31281" xr:uid="{00000000-0005-0000-0000-00000C650000}"/>
    <cellStyle name="Normal 41 8 2 7" xfId="31283" xr:uid="{00000000-0005-0000-0000-00000D650000}"/>
    <cellStyle name="Normal 41 8 2 8" xfId="31285" xr:uid="{00000000-0005-0000-0000-00000E650000}"/>
    <cellStyle name="Normal 41 8 3" xfId="31289" xr:uid="{00000000-0005-0000-0000-00000F650000}"/>
    <cellStyle name="Normal 41 8 3 2" xfId="31291" xr:uid="{00000000-0005-0000-0000-000010650000}"/>
    <cellStyle name="Normal 41 8 3 2 2" xfId="14115" xr:uid="{00000000-0005-0000-0000-000011650000}"/>
    <cellStyle name="Normal 41 8 3 2 2 2" xfId="14123" xr:uid="{00000000-0005-0000-0000-000012650000}"/>
    <cellStyle name="Normal 41 8 3 2 3" xfId="14135" xr:uid="{00000000-0005-0000-0000-000013650000}"/>
    <cellStyle name="Normal 41 8 3 3" xfId="16308" xr:uid="{00000000-0005-0000-0000-000014650000}"/>
    <cellStyle name="Normal 41 8 3 3 2" xfId="14179" xr:uid="{00000000-0005-0000-0000-000015650000}"/>
    <cellStyle name="Normal 41 8 3 4" xfId="31294" xr:uid="{00000000-0005-0000-0000-000016650000}"/>
    <cellStyle name="Normal 41 8 4" xfId="30448" xr:uid="{00000000-0005-0000-0000-000017650000}"/>
    <cellStyle name="Normal 41 8 4 2" xfId="30453" xr:uid="{00000000-0005-0000-0000-000018650000}"/>
    <cellStyle name="Normal 41 8 4 2 2" xfId="14299" xr:uid="{00000000-0005-0000-0000-000019650000}"/>
    <cellStyle name="Normal 41 8 4 3" xfId="30465" xr:uid="{00000000-0005-0000-0000-00001A650000}"/>
    <cellStyle name="Normal 41 8 5" xfId="30474" xr:uid="{00000000-0005-0000-0000-00001B650000}"/>
    <cellStyle name="Normal 41 8 5 2" xfId="30478" xr:uid="{00000000-0005-0000-0000-00001C650000}"/>
    <cellStyle name="Normal 41 8 5 2 2" xfId="14387" xr:uid="{00000000-0005-0000-0000-00001D650000}"/>
    <cellStyle name="Normal 41 8 5 3" xfId="30482" xr:uid="{00000000-0005-0000-0000-00001E650000}"/>
    <cellStyle name="Normal 41 8 6" xfId="252" xr:uid="{00000000-0005-0000-0000-00001F650000}"/>
    <cellStyle name="Normal 41 8 6 2" xfId="30487" xr:uid="{00000000-0005-0000-0000-000020650000}"/>
    <cellStyle name="Normal 41 8 7" xfId="30493" xr:uid="{00000000-0005-0000-0000-000021650000}"/>
    <cellStyle name="Normal 41 8 7 2" xfId="30497" xr:uid="{00000000-0005-0000-0000-000022650000}"/>
    <cellStyle name="Normal 41 8 8" xfId="30502" xr:uid="{00000000-0005-0000-0000-000023650000}"/>
    <cellStyle name="Normal 41 8 9" xfId="30515" xr:uid="{00000000-0005-0000-0000-000024650000}"/>
    <cellStyle name="Normal 41 9" xfId="31298" xr:uid="{00000000-0005-0000-0000-000025650000}"/>
    <cellStyle name="Normal 41 9 2" xfId="31302" xr:uid="{00000000-0005-0000-0000-000026650000}"/>
    <cellStyle name="Normal 41 9 2 2" xfId="31304" xr:uid="{00000000-0005-0000-0000-000027650000}"/>
    <cellStyle name="Normal 41 9 2 2 2" xfId="31308" xr:uid="{00000000-0005-0000-0000-000028650000}"/>
    <cellStyle name="Normal 41 9 2 2 2 2" xfId="21249" xr:uid="{00000000-0005-0000-0000-000029650000}"/>
    <cellStyle name="Normal 41 9 2 2 3" xfId="31312" xr:uid="{00000000-0005-0000-0000-00002A650000}"/>
    <cellStyle name="Normal 41 9 2 3" xfId="31314" xr:uid="{00000000-0005-0000-0000-00002B650000}"/>
    <cellStyle name="Normal 41 9 2 3 2" xfId="31318" xr:uid="{00000000-0005-0000-0000-00002C650000}"/>
    <cellStyle name="Normal 41 9 2 4" xfId="31320" xr:uid="{00000000-0005-0000-0000-00002D650000}"/>
    <cellStyle name="Normal 41 9 2 5" xfId="31322" xr:uid="{00000000-0005-0000-0000-00002E650000}"/>
    <cellStyle name="Normal 41 9 3" xfId="31324" xr:uid="{00000000-0005-0000-0000-00002F650000}"/>
    <cellStyle name="Normal 41 9 3 2" xfId="31326" xr:uid="{00000000-0005-0000-0000-000030650000}"/>
    <cellStyle name="Normal 41 9 3 2 2" xfId="14684" xr:uid="{00000000-0005-0000-0000-000031650000}"/>
    <cellStyle name="Normal 41 9 3 3" xfId="1633" xr:uid="{00000000-0005-0000-0000-000032650000}"/>
    <cellStyle name="Normal 41 9 4" xfId="30519" xr:uid="{00000000-0005-0000-0000-000033650000}"/>
    <cellStyle name="Normal 41 9 4 2" xfId="30524" xr:uid="{00000000-0005-0000-0000-000034650000}"/>
    <cellStyle name="Normal 41 9 4 2 2" xfId="14775" xr:uid="{00000000-0005-0000-0000-000035650000}"/>
    <cellStyle name="Normal 41 9 4 3" xfId="30528" xr:uid="{00000000-0005-0000-0000-000036650000}"/>
    <cellStyle name="Normal 41 9 5" xfId="30532" xr:uid="{00000000-0005-0000-0000-000037650000}"/>
    <cellStyle name="Normal 41 9 5 2" xfId="30536" xr:uid="{00000000-0005-0000-0000-000038650000}"/>
    <cellStyle name="Normal 41 9 6" xfId="23302" xr:uid="{00000000-0005-0000-0000-000039650000}"/>
    <cellStyle name="Normal 41 9 6 2" xfId="31328" xr:uid="{00000000-0005-0000-0000-00003A650000}"/>
    <cellStyle name="Normal 41 9 7" xfId="31330" xr:uid="{00000000-0005-0000-0000-00003B650000}"/>
    <cellStyle name="Normal 41 9 8" xfId="14865" xr:uid="{00000000-0005-0000-0000-00003C650000}"/>
    <cellStyle name="Normal 42" xfId="20885" xr:uid="{00000000-0005-0000-0000-00003D650000}"/>
    <cellStyle name="Normal 42 10" xfId="31332" xr:uid="{00000000-0005-0000-0000-00003E650000}"/>
    <cellStyle name="Normal 42 10 2" xfId="31335" xr:uid="{00000000-0005-0000-0000-00003F650000}"/>
    <cellStyle name="Normal 42 10 2 2" xfId="31337" xr:uid="{00000000-0005-0000-0000-000040650000}"/>
    <cellStyle name="Normal 42 10 2 2 2" xfId="31341" xr:uid="{00000000-0005-0000-0000-000041650000}"/>
    <cellStyle name="Normal 42 10 2 3" xfId="31343" xr:uid="{00000000-0005-0000-0000-000042650000}"/>
    <cellStyle name="Normal 42 10 2 4" xfId="9875" xr:uid="{00000000-0005-0000-0000-000043650000}"/>
    <cellStyle name="Normal 42 10 3" xfId="31347" xr:uid="{00000000-0005-0000-0000-000044650000}"/>
    <cellStyle name="Normal 42 10 3 2" xfId="31351" xr:uid="{00000000-0005-0000-0000-000045650000}"/>
    <cellStyle name="Normal 42 10 4" xfId="11588" xr:uid="{00000000-0005-0000-0000-000046650000}"/>
    <cellStyle name="Normal 42 10 4 2" xfId="31355" xr:uid="{00000000-0005-0000-0000-000047650000}"/>
    <cellStyle name="Normal 42 10 5" xfId="31357" xr:uid="{00000000-0005-0000-0000-000048650000}"/>
    <cellStyle name="Normal 42 10 6" xfId="31359" xr:uid="{00000000-0005-0000-0000-000049650000}"/>
    <cellStyle name="Normal 42 11" xfId="31361" xr:uid="{00000000-0005-0000-0000-00004A650000}"/>
    <cellStyle name="Normal 42 11 2" xfId="31363" xr:uid="{00000000-0005-0000-0000-00004B650000}"/>
    <cellStyle name="Normal 42 11 2 2" xfId="31365" xr:uid="{00000000-0005-0000-0000-00004C650000}"/>
    <cellStyle name="Normal 42 11 3" xfId="31367" xr:uid="{00000000-0005-0000-0000-00004D650000}"/>
    <cellStyle name="Normal 42 11 4" xfId="31369" xr:uid="{00000000-0005-0000-0000-00004E650000}"/>
    <cellStyle name="Normal 42 12" xfId="31371" xr:uid="{00000000-0005-0000-0000-00004F650000}"/>
    <cellStyle name="Normal 42 12 2" xfId="31373" xr:uid="{00000000-0005-0000-0000-000050650000}"/>
    <cellStyle name="Normal 42 12 2 2" xfId="31375" xr:uid="{00000000-0005-0000-0000-000051650000}"/>
    <cellStyle name="Normal 42 12 3" xfId="31377" xr:uid="{00000000-0005-0000-0000-000052650000}"/>
    <cellStyle name="Normal 42 13" xfId="25345" xr:uid="{00000000-0005-0000-0000-000053650000}"/>
    <cellStyle name="Normal 42 13 2" xfId="31379" xr:uid="{00000000-0005-0000-0000-000054650000}"/>
    <cellStyle name="Normal 42 14" xfId="31381" xr:uid="{00000000-0005-0000-0000-000055650000}"/>
    <cellStyle name="Normal 42 14 2" xfId="31384" xr:uid="{00000000-0005-0000-0000-000056650000}"/>
    <cellStyle name="Normal 42 15" xfId="31386" xr:uid="{00000000-0005-0000-0000-000057650000}"/>
    <cellStyle name="Normal 42 15 2" xfId="31388" xr:uid="{00000000-0005-0000-0000-000058650000}"/>
    <cellStyle name="Normal 42 16" xfId="31390" xr:uid="{00000000-0005-0000-0000-000059650000}"/>
    <cellStyle name="Normal 42 17" xfId="31392" xr:uid="{00000000-0005-0000-0000-00005A650000}"/>
    <cellStyle name="Normal 42 2" xfId="20892" xr:uid="{00000000-0005-0000-0000-00005B650000}"/>
    <cellStyle name="Normal 42 2 10" xfId="31398" xr:uid="{00000000-0005-0000-0000-00005C650000}"/>
    <cellStyle name="Normal 42 2 10 2" xfId="31404" xr:uid="{00000000-0005-0000-0000-00005D650000}"/>
    <cellStyle name="Normal 42 2 11" xfId="31409" xr:uid="{00000000-0005-0000-0000-00005E650000}"/>
    <cellStyle name="Normal 42 2 11 2" xfId="31411" xr:uid="{00000000-0005-0000-0000-00005F650000}"/>
    <cellStyle name="Normal 42 2 12" xfId="31413" xr:uid="{00000000-0005-0000-0000-000060650000}"/>
    <cellStyle name="Normal 42 2 12 2" xfId="31415" xr:uid="{00000000-0005-0000-0000-000061650000}"/>
    <cellStyle name="Normal 42 2 13" xfId="31417" xr:uid="{00000000-0005-0000-0000-000062650000}"/>
    <cellStyle name="Normal 42 2 14" xfId="31419" xr:uid="{00000000-0005-0000-0000-000063650000}"/>
    <cellStyle name="Normal 42 2 2" xfId="16903" xr:uid="{00000000-0005-0000-0000-000064650000}"/>
    <cellStyle name="Normal 42 2 2 10" xfId="31422" xr:uid="{00000000-0005-0000-0000-000065650000}"/>
    <cellStyle name="Normal 42 2 2 2" xfId="16907" xr:uid="{00000000-0005-0000-0000-000066650000}"/>
    <cellStyle name="Normal 42 2 2 2 2" xfId="31424" xr:uid="{00000000-0005-0000-0000-000067650000}"/>
    <cellStyle name="Normal 42 2 2 2 2 2" xfId="31426" xr:uid="{00000000-0005-0000-0000-000068650000}"/>
    <cellStyle name="Normal 42 2 2 2 2 2 2" xfId="22315" xr:uid="{00000000-0005-0000-0000-000069650000}"/>
    <cellStyle name="Normal 42 2 2 2 2 2 2 2" xfId="31428" xr:uid="{00000000-0005-0000-0000-00006A650000}"/>
    <cellStyle name="Normal 42 2 2 2 2 2 2 2 2" xfId="31431" xr:uid="{00000000-0005-0000-0000-00006B650000}"/>
    <cellStyle name="Normal 42 2 2 2 2 2 2 3" xfId="31435" xr:uid="{00000000-0005-0000-0000-00006C650000}"/>
    <cellStyle name="Normal 42 2 2 2 2 2 3" xfId="31437" xr:uid="{00000000-0005-0000-0000-00006D650000}"/>
    <cellStyle name="Normal 42 2 2 2 2 2 3 2" xfId="31439" xr:uid="{00000000-0005-0000-0000-00006E650000}"/>
    <cellStyle name="Normal 42 2 2 2 2 2 4" xfId="31441" xr:uid="{00000000-0005-0000-0000-00006F650000}"/>
    <cellStyle name="Normal 42 2 2 2 2 3" xfId="31443" xr:uid="{00000000-0005-0000-0000-000070650000}"/>
    <cellStyle name="Normal 42 2 2 2 2 3 2" xfId="22329" xr:uid="{00000000-0005-0000-0000-000071650000}"/>
    <cellStyle name="Normal 42 2 2 2 2 3 2 2" xfId="31445" xr:uid="{00000000-0005-0000-0000-000072650000}"/>
    <cellStyle name="Normal 42 2 2 2 2 3 3" xfId="31447" xr:uid="{00000000-0005-0000-0000-000073650000}"/>
    <cellStyle name="Normal 42 2 2 2 2 4" xfId="22982" xr:uid="{00000000-0005-0000-0000-000074650000}"/>
    <cellStyle name="Normal 42 2 2 2 2 4 2" xfId="28672" xr:uid="{00000000-0005-0000-0000-000075650000}"/>
    <cellStyle name="Normal 42 2 2 2 2 4 2 2" xfId="31449" xr:uid="{00000000-0005-0000-0000-000076650000}"/>
    <cellStyle name="Normal 42 2 2 2 2 4 3" xfId="31452" xr:uid="{00000000-0005-0000-0000-000077650000}"/>
    <cellStyle name="Normal 42 2 2 2 2 5" xfId="31455" xr:uid="{00000000-0005-0000-0000-000078650000}"/>
    <cellStyle name="Normal 42 2 2 2 2 5 2" xfId="31457" xr:uid="{00000000-0005-0000-0000-000079650000}"/>
    <cellStyle name="Normal 42 2 2 2 2 6" xfId="31461" xr:uid="{00000000-0005-0000-0000-00007A650000}"/>
    <cellStyle name="Normal 42 2 2 2 2 6 2" xfId="31465" xr:uid="{00000000-0005-0000-0000-00007B650000}"/>
    <cellStyle name="Normal 42 2 2 2 2 7" xfId="31469" xr:uid="{00000000-0005-0000-0000-00007C650000}"/>
    <cellStyle name="Normal 42 2 2 2 2 8" xfId="31477" xr:uid="{00000000-0005-0000-0000-00007D650000}"/>
    <cellStyle name="Normal 42 2 2 2 3" xfId="6802" xr:uid="{00000000-0005-0000-0000-00007E650000}"/>
    <cellStyle name="Normal 42 2 2 2 3 2" xfId="25324" xr:uid="{00000000-0005-0000-0000-00007F650000}"/>
    <cellStyle name="Normal 42 2 2 2 3 2 2" xfId="31480" xr:uid="{00000000-0005-0000-0000-000080650000}"/>
    <cellStyle name="Normal 42 2 2 2 3 2 2 2" xfId="5005" xr:uid="{00000000-0005-0000-0000-000081650000}"/>
    <cellStyle name="Normal 42 2 2 2 3 2 3" xfId="31483" xr:uid="{00000000-0005-0000-0000-000082650000}"/>
    <cellStyle name="Normal 42 2 2 2 3 3" xfId="31486" xr:uid="{00000000-0005-0000-0000-000083650000}"/>
    <cellStyle name="Normal 42 2 2 2 3 3 2" xfId="31488" xr:uid="{00000000-0005-0000-0000-000084650000}"/>
    <cellStyle name="Normal 42 2 2 2 3 4" xfId="27990" xr:uid="{00000000-0005-0000-0000-000085650000}"/>
    <cellStyle name="Normal 42 2 2 2 4" xfId="31491" xr:uid="{00000000-0005-0000-0000-000086650000}"/>
    <cellStyle name="Normal 42 2 2 2 4 2" xfId="31494" xr:uid="{00000000-0005-0000-0000-000087650000}"/>
    <cellStyle name="Normal 42 2 2 2 4 2 2" xfId="31496" xr:uid="{00000000-0005-0000-0000-000088650000}"/>
    <cellStyle name="Normal 42 2 2 2 4 3" xfId="31498" xr:uid="{00000000-0005-0000-0000-000089650000}"/>
    <cellStyle name="Normal 42 2 2 2 5" xfId="31501" xr:uid="{00000000-0005-0000-0000-00008A650000}"/>
    <cellStyle name="Normal 42 2 2 2 5 2" xfId="20212" xr:uid="{00000000-0005-0000-0000-00008B650000}"/>
    <cellStyle name="Normal 42 2 2 2 5 2 2" xfId="20646" xr:uid="{00000000-0005-0000-0000-00008C650000}"/>
    <cellStyle name="Normal 42 2 2 2 5 3" xfId="19954" xr:uid="{00000000-0005-0000-0000-00008D650000}"/>
    <cellStyle name="Normal 42 2 2 2 6" xfId="29554" xr:uid="{00000000-0005-0000-0000-00008E650000}"/>
    <cellStyle name="Normal 42 2 2 2 6 2" xfId="29558" xr:uid="{00000000-0005-0000-0000-00008F650000}"/>
    <cellStyle name="Normal 42 2 2 2 7" xfId="29565" xr:uid="{00000000-0005-0000-0000-000090650000}"/>
    <cellStyle name="Normal 42 2 2 2 7 2" xfId="31503" xr:uid="{00000000-0005-0000-0000-000091650000}"/>
    <cellStyle name="Normal 42 2 2 2 8" xfId="31505" xr:uid="{00000000-0005-0000-0000-000092650000}"/>
    <cellStyle name="Normal 42 2 2 2 9" xfId="31507" xr:uid="{00000000-0005-0000-0000-000093650000}"/>
    <cellStyle name="Normal 42 2 2 3" xfId="31509" xr:uid="{00000000-0005-0000-0000-000094650000}"/>
    <cellStyle name="Normal 42 2 2 3 2" xfId="31512" xr:uid="{00000000-0005-0000-0000-000095650000}"/>
    <cellStyle name="Normal 42 2 2 3 2 2" xfId="23804" xr:uid="{00000000-0005-0000-0000-000096650000}"/>
    <cellStyle name="Normal 42 2 2 3 2 2 2" xfId="22422" xr:uid="{00000000-0005-0000-0000-000097650000}"/>
    <cellStyle name="Normal 42 2 2 3 2 2 2 2" xfId="31517" xr:uid="{00000000-0005-0000-0000-000098650000}"/>
    <cellStyle name="Normal 42 2 2 3 2 2 3" xfId="31520" xr:uid="{00000000-0005-0000-0000-000099650000}"/>
    <cellStyle name="Normal 42 2 2 3 2 3" xfId="31522" xr:uid="{00000000-0005-0000-0000-00009A650000}"/>
    <cellStyle name="Normal 42 2 2 3 2 3 2" xfId="22434" xr:uid="{00000000-0005-0000-0000-00009B650000}"/>
    <cellStyle name="Normal 42 2 2 3 2 4" xfId="31524" xr:uid="{00000000-0005-0000-0000-00009C650000}"/>
    <cellStyle name="Normal 42 2 2 3 3" xfId="31527" xr:uid="{00000000-0005-0000-0000-00009D650000}"/>
    <cellStyle name="Normal 42 2 2 3 3 2" xfId="23811" xr:uid="{00000000-0005-0000-0000-00009E650000}"/>
    <cellStyle name="Normal 42 2 2 3 3 2 2" xfId="31529" xr:uid="{00000000-0005-0000-0000-00009F650000}"/>
    <cellStyle name="Normal 42 2 2 3 3 3" xfId="31531" xr:uid="{00000000-0005-0000-0000-0000A0650000}"/>
    <cellStyle name="Normal 42 2 2 3 4" xfId="31534" xr:uid="{00000000-0005-0000-0000-0000A1650000}"/>
    <cellStyle name="Normal 42 2 2 3 4 2" xfId="31536" xr:uid="{00000000-0005-0000-0000-0000A2650000}"/>
    <cellStyle name="Normal 42 2 2 3 4 2 2" xfId="31538" xr:uid="{00000000-0005-0000-0000-0000A3650000}"/>
    <cellStyle name="Normal 42 2 2 3 4 3" xfId="31540" xr:uid="{00000000-0005-0000-0000-0000A4650000}"/>
    <cellStyle name="Normal 42 2 2 3 5" xfId="31542" xr:uid="{00000000-0005-0000-0000-0000A5650000}"/>
    <cellStyle name="Normal 42 2 2 3 5 2" xfId="31544" xr:uid="{00000000-0005-0000-0000-0000A6650000}"/>
    <cellStyle name="Normal 42 2 2 3 6" xfId="29572" xr:uid="{00000000-0005-0000-0000-0000A7650000}"/>
    <cellStyle name="Normal 42 2 2 3 6 2" xfId="31546" xr:uid="{00000000-0005-0000-0000-0000A8650000}"/>
    <cellStyle name="Normal 42 2 2 3 7" xfId="31548" xr:uid="{00000000-0005-0000-0000-0000A9650000}"/>
    <cellStyle name="Normal 42 2 2 3 8" xfId="24087" xr:uid="{00000000-0005-0000-0000-0000AA650000}"/>
    <cellStyle name="Normal 42 2 2 4" xfId="31550" xr:uid="{00000000-0005-0000-0000-0000AB650000}"/>
    <cellStyle name="Normal 42 2 2 4 2" xfId="31552" xr:uid="{00000000-0005-0000-0000-0000AC650000}"/>
    <cellStyle name="Normal 42 2 2 4 2 2" xfId="31554" xr:uid="{00000000-0005-0000-0000-0000AD650000}"/>
    <cellStyle name="Normal 42 2 2 4 2 2 2" xfId="3198" xr:uid="{00000000-0005-0000-0000-0000AE650000}"/>
    <cellStyle name="Normal 42 2 2 4 2 3" xfId="31556" xr:uid="{00000000-0005-0000-0000-0000AF650000}"/>
    <cellStyle name="Normal 42 2 2 4 3" xfId="31395" xr:uid="{00000000-0005-0000-0000-0000B0650000}"/>
    <cellStyle name="Normal 42 2 2 4 3 2" xfId="31401" xr:uid="{00000000-0005-0000-0000-0000B1650000}"/>
    <cellStyle name="Normal 42 2 2 4 4" xfId="31407" xr:uid="{00000000-0005-0000-0000-0000B2650000}"/>
    <cellStyle name="Normal 42 2 2 5" xfId="31558" xr:uid="{00000000-0005-0000-0000-0000B3650000}"/>
    <cellStyle name="Normal 42 2 2 5 2" xfId="31560" xr:uid="{00000000-0005-0000-0000-0000B4650000}"/>
    <cellStyle name="Normal 42 2 2 5 2 2" xfId="31562" xr:uid="{00000000-0005-0000-0000-0000B5650000}"/>
    <cellStyle name="Normal 42 2 2 5 3" xfId="31565" xr:uid="{00000000-0005-0000-0000-0000B6650000}"/>
    <cellStyle name="Normal 42 2 2 6" xfId="31567" xr:uid="{00000000-0005-0000-0000-0000B7650000}"/>
    <cellStyle name="Normal 42 2 2 6 2" xfId="27247" xr:uid="{00000000-0005-0000-0000-0000B8650000}"/>
    <cellStyle name="Normal 42 2 2 6 2 2" xfId="31569" xr:uid="{00000000-0005-0000-0000-0000B9650000}"/>
    <cellStyle name="Normal 42 2 2 6 3" xfId="8325" xr:uid="{00000000-0005-0000-0000-0000BA650000}"/>
    <cellStyle name="Normal 42 2 2 7" xfId="31571" xr:uid="{00000000-0005-0000-0000-0000BB650000}"/>
    <cellStyle name="Normal 42 2 2 7 2" xfId="31573" xr:uid="{00000000-0005-0000-0000-0000BC650000}"/>
    <cellStyle name="Normal 42 2 2 8" xfId="31575" xr:uid="{00000000-0005-0000-0000-0000BD650000}"/>
    <cellStyle name="Normal 42 2 2 8 2" xfId="5277" xr:uid="{00000000-0005-0000-0000-0000BE650000}"/>
    <cellStyle name="Normal 42 2 2 9" xfId="31577" xr:uid="{00000000-0005-0000-0000-0000BF650000}"/>
    <cellStyle name="Normal 42 2 3" xfId="9032" xr:uid="{00000000-0005-0000-0000-0000C0650000}"/>
    <cellStyle name="Normal 42 2 3 2" xfId="31579" xr:uid="{00000000-0005-0000-0000-0000C1650000}"/>
    <cellStyle name="Normal 42 2 3 2 2" xfId="31581" xr:uid="{00000000-0005-0000-0000-0000C2650000}"/>
    <cellStyle name="Normal 42 2 3 2 2 2" xfId="31583" xr:uid="{00000000-0005-0000-0000-0000C3650000}"/>
    <cellStyle name="Normal 42 2 3 2 2 2 2" xfId="22642" xr:uid="{00000000-0005-0000-0000-0000C4650000}"/>
    <cellStyle name="Normal 42 2 3 2 2 2 2 2" xfId="31586" xr:uid="{00000000-0005-0000-0000-0000C5650000}"/>
    <cellStyle name="Normal 42 2 3 2 2 2 3" xfId="1618" xr:uid="{00000000-0005-0000-0000-0000C6650000}"/>
    <cellStyle name="Normal 42 2 3 2 2 3" xfId="31589" xr:uid="{00000000-0005-0000-0000-0000C7650000}"/>
    <cellStyle name="Normal 42 2 3 2 2 3 2" xfId="22658" xr:uid="{00000000-0005-0000-0000-0000C8650000}"/>
    <cellStyle name="Normal 42 2 3 2 2 4" xfId="17742" xr:uid="{00000000-0005-0000-0000-0000C9650000}"/>
    <cellStyle name="Normal 42 2 3 2 2 5" xfId="31591" xr:uid="{00000000-0005-0000-0000-0000CA650000}"/>
    <cellStyle name="Normal 42 2 3 2 3" xfId="1671" xr:uid="{00000000-0005-0000-0000-0000CB650000}"/>
    <cellStyle name="Normal 42 2 3 2 3 2" xfId="31594" xr:uid="{00000000-0005-0000-0000-0000CC650000}"/>
    <cellStyle name="Normal 42 2 3 2 3 2 2" xfId="26200" xr:uid="{00000000-0005-0000-0000-0000CD650000}"/>
    <cellStyle name="Normal 42 2 3 2 3 3" xfId="31596" xr:uid="{00000000-0005-0000-0000-0000CE650000}"/>
    <cellStyle name="Normal 42 2 3 2 4" xfId="31599" xr:uid="{00000000-0005-0000-0000-0000CF650000}"/>
    <cellStyle name="Normal 42 2 3 2 4 2" xfId="31601" xr:uid="{00000000-0005-0000-0000-0000D0650000}"/>
    <cellStyle name="Normal 42 2 3 2 4 2 2" xfId="26469" xr:uid="{00000000-0005-0000-0000-0000D1650000}"/>
    <cellStyle name="Normal 42 2 3 2 4 3" xfId="31603" xr:uid="{00000000-0005-0000-0000-0000D2650000}"/>
    <cellStyle name="Normal 42 2 3 2 5" xfId="29284" xr:uid="{00000000-0005-0000-0000-0000D3650000}"/>
    <cellStyle name="Normal 42 2 3 2 5 2" xfId="29288" xr:uid="{00000000-0005-0000-0000-0000D4650000}"/>
    <cellStyle name="Normal 42 2 3 2 6" xfId="29298" xr:uid="{00000000-0005-0000-0000-0000D5650000}"/>
    <cellStyle name="Normal 42 2 3 2 6 2" xfId="29304" xr:uid="{00000000-0005-0000-0000-0000D6650000}"/>
    <cellStyle name="Normal 42 2 3 2 7" xfId="29310" xr:uid="{00000000-0005-0000-0000-0000D7650000}"/>
    <cellStyle name="Normal 42 2 3 2 8" xfId="31605" xr:uid="{00000000-0005-0000-0000-0000D8650000}"/>
    <cellStyle name="Normal 42 2 3 3" xfId="31607" xr:uid="{00000000-0005-0000-0000-0000D9650000}"/>
    <cellStyle name="Normal 42 2 3 3 2" xfId="12109" xr:uid="{00000000-0005-0000-0000-0000DA650000}"/>
    <cellStyle name="Normal 42 2 3 3 2 2" xfId="12113" xr:uid="{00000000-0005-0000-0000-0000DB650000}"/>
    <cellStyle name="Normal 42 2 3 3 2 2 2" xfId="1738" xr:uid="{00000000-0005-0000-0000-0000DC650000}"/>
    <cellStyle name="Normal 42 2 3 3 2 3" xfId="12118" xr:uid="{00000000-0005-0000-0000-0000DD650000}"/>
    <cellStyle name="Normal 42 2 3 3 3" xfId="12123" xr:uid="{00000000-0005-0000-0000-0000DE650000}"/>
    <cellStyle name="Normal 42 2 3 3 3 2" xfId="12127" xr:uid="{00000000-0005-0000-0000-0000DF650000}"/>
    <cellStyle name="Normal 42 2 3 3 4" xfId="12133" xr:uid="{00000000-0005-0000-0000-0000E0650000}"/>
    <cellStyle name="Normal 42 2 3 3 5" xfId="12141" xr:uid="{00000000-0005-0000-0000-0000E1650000}"/>
    <cellStyle name="Normal 42 2 3 4" xfId="31609" xr:uid="{00000000-0005-0000-0000-0000E2650000}"/>
    <cellStyle name="Normal 42 2 3 4 2" xfId="10774" xr:uid="{00000000-0005-0000-0000-0000E3650000}"/>
    <cellStyle name="Normal 42 2 3 4 2 2" xfId="1823" xr:uid="{00000000-0005-0000-0000-0000E4650000}"/>
    <cellStyle name="Normal 42 2 3 4 3" xfId="1830" xr:uid="{00000000-0005-0000-0000-0000E5650000}"/>
    <cellStyle name="Normal 42 2 3 5" xfId="31611" xr:uid="{00000000-0005-0000-0000-0000E6650000}"/>
    <cellStyle name="Normal 42 2 3 5 2" xfId="12159" xr:uid="{00000000-0005-0000-0000-0000E7650000}"/>
    <cellStyle name="Normal 42 2 3 5 2 2" xfId="16394" xr:uid="{00000000-0005-0000-0000-0000E8650000}"/>
    <cellStyle name="Normal 42 2 3 5 3" xfId="31613" xr:uid="{00000000-0005-0000-0000-0000E9650000}"/>
    <cellStyle name="Normal 42 2 3 6" xfId="31616" xr:uid="{00000000-0005-0000-0000-0000EA650000}"/>
    <cellStyle name="Normal 42 2 3 6 2" xfId="968" xr:uid="{00000000-0005-0000-0000-0000EB650000}"/>
    <cellStyle name="Normal 42 2 3 7" xfId="31619" xr:uid="{00000000-0005-0000-0000-0000EC650000}"/>
    <cellStyle name="Normal 42 2 3 7 2" xfId="31621" xr:uid="{00000000-0005-0000-0000-0000ED650000}"/>
    <cellStyle name="Normal 42 2 3 8" xfId="31623" xr:uid="{00000000-0005-0000-0000-0000EE650000}"/>
    <cellStyle name="Normal 42 2 3 9" xfId="31625" xr:uid="{00000000-0005-0000-0000-0000EF650000}"/>
    <cellStyle name="Normal 42 2 4" xfId="6111" xr:uid="{00000000-0005-0000-0000-0000F0650000}"/>
    <cellStyle name="Normal 42 2 4 2" xfId="31627" xr:uid="{00000000-0005-0000-0000-0000F1650000}"/>
    <cellStyle name="Normal 42 2 4 2 2" xfId="2150" xr:uid="{00000000-0005-0000-0000-0000F2650000}"/>
    <cellStyle name="Normal 42 2 4 2 2 2" xfId="25489" xr:uid="{00000000-0005-0000-0000-0000F3650000}"/>
    <cellStyle name="Normal 42 2 4 2 2 2 2" xfId="23133" xr:uid="{00000000-0005-0000-0000-0000F4650000}"/>
    <cellStyle name="Normal 42 2 4 2 2 2 2 2" xfId="11785" xr:uid="{00000000-0005-0000-0000-0000F5650000}"/>
    <cellStyle name="Normal 42 2 4 2 2 2 3" xfId="31629" xr:uid="{00000000-0005-0000-0000-0000F6650000}"/>
    <cellStyle name="Normal 42 2 4 2 2 3" xfId="24997" xr:uid="{00000000-0005-0000-0000-0000F7650000}"/>
    <cellStyle name="Normal 42 2 4 2 2 3 2" xfId="31631" xr:uid="{00000000-0005-0000-0000-0000F8650000}"/>
    <cellStyle name="Normal 42 2 4 2 2 4" xfId="27657" xr:uid="{00000000-0005-0000-0000-0000F9650000}"/>
    <cellStyle name="Normal 42 2 4 2 3" xfId="2176" xr:uid="{00000000-0005-0000-0000-0000FA650000}"/>
    <cellStyle name="Normal 42 2 4 2 3 2" xfId="12975" xr:uid="{00000000-0005-0000-0000-0000FB650000}"/>
    <cellStyle name="Normal 42 2 4 2 3 2 2" xfId="31634" xr:uid="{00000000-0005-0000-0000-0000FC650000}"/>
    <cellStyle name="Normal 42 2 4 2 3 3" xfId="31636" xr:uid="{00000000-0005-0000-0000-0000FD650000}"/>
    <cellStyle name="Normal 42 2 4 2 4" xfId="31639" xr:uid="{00000000-0005-0000-0000-0000FE650000}"/>
    <cellStyle name="Normal 42 2 4 2 4 2" xfId="31641" xr:uid="{00000000-0005-0000-0000-0000FF650000}"/>
    <cellStyle name="Normal 42 2 4 2 4 2 2" xfId="31643" xr:uid="{00000000-0005-0000-0000-000000660000}"/>
    <cellStyle name="Normal 42 2 4 2 4 3" xfId="23613" xr:uid="{00000000-0005-0000-0000-000001660000}"/>
    <cellStyle name="Normal 42 2 4 2 5" xfId="29336" xr:uid="{00000000-0005-0000-0000-000002660000}"/>
    <cellStyle name="Normal 42 2 4 2 5 2" xfId="280" xr:uid="{00000000-0005-0000-0000-000003660000}"/>
    <cellStyle name="Normal 42 2 4 2 6" xfId="29340" xr:uid="{00000000-0005-0000-0000-000004660000}"/>
    <cellStyle name="Normal 42 2 4 2 6 2" xfId="31647" xr:uid="{00000000-0005-0000-0000-000005660000}"/>
    <cellStyle name="Normal 42 2 4 2 7" xfId="31649" xr:uid="{00000000-0005-0000-0000-000006660000}"/>
    <cellStyle name="Normal 42 2 4 2 8" xfId="31651" xr:uid="{00000000-0005-0000-0000-000007660000}"/>
    <cellStyle name="Normal 42 2 4 3" xfId="31653" xr:uid="{00000000-0005-0000-0000-000008660000}"/>
    <cellStyle name="Normal 42 2 4 3 2" xfId="12162" xr:uid="{00000000-0005-0000-0000-000009660000}"/>
    <cellStyle name="Normal 42 2 4 3 2 2" xfId="2226" xr:uid="{00000000-0005-0000-0000-00000A660000}"/>
    <cellStyle name="Normal 42 2 4 3 2 2 2" xfId="31656" xr:uid="{00000000-0005-0000-0000-00000B660000}"/>
    <cellStyle name="Normal 42 2 4 3 2 3" xfId="25002" xr:uid="{00000000-0005-0000-0000-00000C660000}"/>
    <cellStyle name="Normal 42 2 4 3 3" xfId="12166" xr:uid="{00000000-0005-0000-0000-00000D660000}"/>
    <cellStyle name="Normal 42 2 4 3 3 2" xfId="31658" xr:uid="{00000000-0005-0000-0000-00000E660000}"/>
    <cellStyle name="Normal 42 2 4 3 4" xfId="31660" xr:uid="{00000000-0005-0000-0000-00000F660000}"/>
    <cellStyle name="Normal 42 2 4 4" xfId="31664" xr:uid="{00000000-0005-0000-0000-000010660000}"/>
    <cellStyle name="Normal 42 2 4 4 2" xfId="12170" xr:uid="{00000000-0005-0000-0000-000011660000}"/>
    <cellStyle name="Normal 42 2 4 4 2 2" xfId="17049" xr:uid="{00000000-0005-0000-0000-000012660000}"/>
    <cellStyle name="Normal 42 2 4 4 3" xfId="16958" xr:uid="{00000000-0005-0000-0000-000013660000}"/>
    <cellStyle name="Normal 42 2 4 5" xfId="17077" xr:uid="{00000000-0005-0000-0000-000014660000}"/>
    <cellStyle name="Normal 42 2 4 5 2" xfId="12185" xr:uid="{00000000-0005-0000-0000-000015660000}"/>
    <cellStyle name="Normal 42 2 4 5 2 2" xfId="15733" xr:uid="{00000000-0005-0000-0000-000016660000}"/>
    <cellStyle name="Normal 42 2 4 5 3" xfId="15752" xr:uid="{00000000-0005-0000-0000-000017660000}"/>
    <cellStyle name="Normal 42 2 4 6" xfId="17081" xr:uid="{00000000-0005-0000-0000-000018660000}"/>
    <cellStyle name="Normal 42 2 4 6 2" xfId="15780" xr:uid="{00000000-0005-0000-0000-000019660000}"/>
    <cellStyle name="Normal 42 2 4 7" xfId="612" xr:uid="{00000000-0005-0000-0000-00001A660000}"/>
    <cellStyle name="Normal 42 2 4 7 2" xfId="3105" xr:uid="{00000000-0005-0000-0000-00001B660000}"/>
    <cellStyle name="Normal 42 2 4 8" xfId="7738" xr:uid="{00000000-0005-0000-0000-00001C660000}"/>
    <cellStyle name="Normal 42 2 4 9" xfId="8299" xr:uid="{00000000-0005-0000-0000-00001D660000}"/>
    <cellStyle name="Normal 42 2 5" xfId="31666" xr:uid="{00000000-0005-0000-0000-00001E660000}"/>
    <cellStyle name="Normal 42 2 5 2" xfId="31672" xr:uid="{00000000-0005-0000-0000-00001F660000}"/>
    <cellStyle name="Normal 42 2 5 2 2" xfId="25497" xr:uid="{00000000-0005-0000-0000-000020660000}"/>
    <cellStyle name="Normal 42 2 5 2 2 2" xfId="26531" xr:uid="{00000000-0005-0000-0000-000021660000}"/>
    <cellStyle name="Normal 42 2 5 2 2 2 2" xfId="26534" xr:uid="{00000000-0005-0000-0000-000022660000}"/>
    <cellStyle name="Normal 42 2 5 2 2 2 2 2" xfId="31675" xr:uid="{00000000-0005-0000-0000-000023660000}"/>
    <cellStyle name="Normal 42 2 5 2 2 2 3" xfId="31677" xr:uid="{00000000-0005-0000-0000-000024660000}"/>
    <cellStyle name="Normal 42 2 5 2 2 3" xfId="26537" xr:uid="{00000000-0005-0000-0000-000025660000}"/>
    <cellStyle name="Normal 42 2 5 2 2 3 2" xfId="26540" xr:uid="{00000000-0005-0000-0000-000026660000}"/>
    <cellStyle name="Normal 42 2 5 2 2 4" xfId="26543" xr:uid="{00000000-0005-0000-0000-000027660000}"/>
    <cellStyle name="Normal 42 2 5 2 3" xfId="31682" xr:uid="{00000000-0005-0000-0000-000028660000}"/>
    <cellStyle name="Normal 42 2 5 2 3 2" xfId="26550" xr:uid="{00000000-0005-0000-0000-000029660000}"/>
    <cellStyle name="Normal 42 2 5 2 3 2 2" xfId="31685" xr:uid="{00000000-0005-0000-0000-00002A660000}"/>
    <cellStyle name="Normal 42 2 5 2 3 3" xfId="26553" xr:uid="{00000000-0005-0000-0000-00002B660000}"/>
    <cellStyle name="Normal 42 2 5 2 4" xfId="31687" xr:uid="{00000000-0005-0000-0000-00002C660000}"/>
    <cellStyle name="Normal 42 2 5 2 4 2" xfId="26562" xr:uid="{00000000-0005-0000-0000-00002D660000}"/>
    <cellStyle name="Normal 42 2 5 2 4 2 2" xfId="31692" xr:uid="{00000000-0005-0000-0000-00002E660000}"/>
    <cellStyle name="Normal 42 2 5 2 4 3" xfId="31696" xr:uid="{00000000-0005-0000-0000-00002F660000}"/>
    <cellStyle name="Normal 42 2 5 2 5" xfId="29348" xr:uid="{00000000-0005-0000-0000-000030660000}"/>
    <cellStyle name="Normal 42 2 5 2 5 2" xfId="31700" xr:uid="{00000000-0005-0000-0000-000031660000}"/>
    <cellStyle name="Normal 42 2 5 2 6" xfId="31702" xr:uid="{00000000-0005-0000-0000-000032660000}"/>
    <cellStyle name="Normal 42 2 5 2 6 2" xfId="31708" xr:uid="{00000000-0005-0000-0000-000033660000}"/>
    <cellStyle name="Normal 42 2 5 2 7" xfId="31710" xr:uid="{00000000-0005-0000-0000-000034660000}"/>
    <cellStyle name="Normal 42 2 5 2 8" xfId="31712" xr:uid="{00000000-0005-0000-0000-000035660000}"/>
    <cellStyle name="Normal 42 2 5 3" xfId="31716" xr:uid="{00000000-0005-0000-0000-000036660000}"/>
    <cellStyle name="Normal 42 2 5 3 2" xfId="11721" xr:uid="{00000000-0005-0000-0000-000037660000}"/>
    <cellStyle name="Normal 42 2 5 3 2 2" xfId="31718" xr:uid="{00000000-0005-0000-0000-000038660000}"/>
    <cellStyle name="Normal 42 2 5 3 2 2 2" xfId="31720" xr:uid="{00000000-0005-0000-0000-000039660000}"/>
    <cellStyle name="Normal 42 2 5 3 2 3" xfId="31722" xr:uid="{00000000-0005-0000-0000-00003A660000}"/>
    <cellStyle name="Normal 42 2 5 3 3" xfId="31724" xr:uid="{00000000-0005-0000-0000-00003B660000}"/>
    <cellStyle name="Normal 42 2 5 3 3 2" xfId="31726" xr:uid="{00000000-0005-0000-0000-00003C660000}"/>
    <cellStyle name="Normal 42 2 5 3 4" xfId="31729" xr:uid="{00000000-0005-0000-0000-00003D660000}"/>
    <cellStyle name="Normal 42 2 5 4" xfId="31733" xr:uid="{00000000-0005-0000-0000-00003E660000}"/>
    <cellStyle name="Normal 42 2 5 4 2" xfId="31737" xr:uid="{00000000-0005-0000-0000-00003F660000}"/>
    <cellStyle name="Normal 42 2 5 4 2 2" xfId="16126" xr:uid="{00000000-0005-0000-0000-000040660000}"/>
    <cellStyle name="Normal 42 2 5 4 3" xfId="31739" xr:uid="{00000000-0005-0000-0000-000041660000}"/>
    <cellStyle name="Normal 42 2 5 5" xfId="17088" xr:uid="{00000000-0005-0000-0000-000042660000}"/>
    <cellStyle name="Normal 42 2 5 5 2" xfId="15820" xr:uid="{00000000-0005-0000-0000-000043660000}"/>
    <cellStyle name="Normal 42 2 5 5 2 2" xfId="15828" xr:uid="{00000000-0005-0000-0000-000044660000}"/>
    <cellStyle name="Normal 42 2 5 5 3" xfId="15835" xr:uid="{00000000-0005-0000-0000-000045660000}"/>
    <cellStyle name="Normal 42 2 5 6" xfId="17093" xr:uid="{00000000-0005-0000-0000-000046660000}"/>
    <cellStyle name="Normal 42 2 5 6 2" xfId="15856" xr:uid="{00000000-0005-0000-0000-000047660000}"/>
    <cellStyle name="Normal 42 2 5 7" xfId="2870" xr:uid="{00000000-0005-0000-0000-000048660000}"/>
    <cellStyle name="Normal 42 2 5 7 2" xfId="31741" xr:uid="{00000000-0005-0000-0000-000049660000}"/>
    <cellStyle name="Normal 42 2 5 8" xfId="31743" xr:uid="{00000000-0005-0000-0000-00004A660000}"/>
    <cellStyle name="Normal 42 2 5 9" xfId="31745" xr:uid="{00000000-0005-0000-0000-00004B660000}"/>
    <cellStyle name="Normal 42 2 6" xfId="5301" xr:uid="{00000000-0005-0000-0000-00004C660000}"/>
    <cellStyle name="Normal 42 2 6 2" xfId="3024" xr:uid="{00000000-0005-0000-0000-00004D660000}"/>
    <cellStyle name="Normal 42 2 6 2 2" xfId="20199" xr:uid="{00000000-0005-0000-0000-00004E660000}"/>
    <cellStyle name="Normal 42 2 6 2 2 2" xfId="31749" xr:uid="{00000000-0005-0000-0000-00004F660000}"/>
    <cellStyle name="Normal 42 2 6 2 2 2 2" xfId="31751" xr:uid="{00000000-0005-0000-0000-000050660000}"/>
    <cellStyle name="Normal 42 2 6 2 2 3" xfId="31755" xr:uid="{00000000-0005-0000-0000-000051660000}"/>
    <cellStyle name="Normal 42 2 6 2 3" xfId="20202" xr:uid="{00000000-0005-0000-0000-000052660000}"/>
    <cellStyle name="Normal 42 2 6 2 3 2" xfId="31761" xr:uid="{00000000-0005-0000-0000-000053660000}"/>
    <cellStyle name="Normal 42 2 6 2 4" xfId="31763" xr:uid="{00000000-0005-0000-0000-000054660000}"/>
    <cellStyle name="Normal 42 2 6 2 5" xfId="29356" xr:uid="{00000000-0005-0000-0000-000055660000}"/>
    <cellStyle name="Normal 42 2 6 3" xfId="31765" xr:uid="{00000000-0005-0000-0000-000056660000}"/>
    <cellStyle name="Normal 42 2 6 3 2" xfId="31767" xr:uid="{00000000-0005-0000-0000-000057660000}"/>
    <cellStyle name="Normal 42 2 6 3 2 2" xfId="31769" xr:uid="{00000000-0005-0000-0000-000058660000}"/>
    <cellStyle name="Normal 42 2 6 3 3" xfId="31771" xr:uid="{00000000-0005-0000-0000-000059660000}"/>
    <cellStyle name="Normal 42 2 6 4" xfId="31773" xr:uid="{00000000-0005-0000-0000-00005A660000}"/>
    <cellStyle name="Normal 42 2 6 4 2" xfId="31775" xr:uid="{00000000-0005-0000-0000-00005B660000}"/>
    <cellStyle name="Normal 42 2 6 4 2 2" xfId="31777" xr:uid="{00000000-0005-0000-0000-00005C660000}"/>
    <cellStyle name="Normal 42 2 6 4 3" xfId="31779" xr:uid="{00000000-0005-0000-0000-00005D660000}"/>
    <cellStyle name="Normal 42 2 6 5" xfId="17098" xr:uid="{00000000-0005-0000-0000-00005E660000}"/>
    <cellStyle name="Normal 42 2 6 5 2" xfId="15881" xr:uid="{00000000-0005-0000-0000-00005F660000}"/>
    <cellStyle name="Normal 42 2 6 6" xfId="1435" xr:uid="{00000000-0005-0000-0000-000060660000}"/>
    <cellStyle name="Normal 42 2 6 6 2" xfId="31781" xr:uid="{00000000-0005-0000-0000-000061660000}"/>
    <cellStyle name="Normal 42 2 6 7" xfId="31783" xr:uid="{00000000-0005-0000-0000-000062660000}"/>
    <cellStyle name="Normal 42 2 6 8" xfId="31785" xr:uid="{00000000-0005-0000-0000-000063660000}"/>
    <cellStyle name="Normal 42 2 7" xfId="9743" xr:uid="{00000000-0005-0000-0000-000064660000}"/>
    <cellStyle name="Normal 42 2 7 2" xfId="31787" xr:uid="{00000000-0005-0000-0000-000065660000}"/>
    <cellStyle name="Normal 42 2 7 2 2" xfId="31789" xr:uid="{00000000-0005-0000-0000-000066660000}"/>
    <cellStyle name="Normal 42 2 7 2 2 2" xfId="31791" xr:uid="{00000000-0005-0000-0000-000067660000}"/>
    <cellStyle name="Normal 42 2 7 2 3" xfId="31793" xr:uid="{00000000-0005-0000-0000-000068660000}"/>
    <cellStyle name="Normal 42 2 7 3" xfId="31795" xr:uid="{00000000-0005-0000-0000-000069660000}"/>
    <cellStyle name="Normal 42 2 7 3 2" xfId="31797" xr:uid="{00000000-0005-0000-0000-00006A660000}"/>
    <cellStyle name="Normal 42 2 7 4" xfId="31799" xr:uid="{00000000-0005-0000-0000-00006B660000}"/>
    <cellStyle name="Normal 42 2 7 5" xfId="17102" xr:uid="{00000000-0005-0000-0000-00006C660000}"/>
    <cellStyle name="Normal 42 2 8" xfId="31801" xr:uid="{00000000-0005-0000-0000-00006D660000}"/>
    <cellStyle name="Normal 42 2 8 2" xfId="31803" xr:uid="{00000000-0005-0000-0000-00006E660000}"/>
    <cellStyle name="Normal 42 2 8 2 2" xfId="31805" xr:uid="{00000000-0005-0000-0000-00006F660000}"/>
    <cellStyle name="Normal 42 2 8 3" xfId="31807" xr:uid="{00000000-0005-0000-0000-000070660000}"/>
    <cellStyle name="Normal 42 2 9" xfId="31809" xr:uid="{00000000-0005-0000-0000-000071660000}"/>
    <cellStyle name="Normal 42 2 9 2" xfId="23150" xr:uid="{00000000-0005-0000-0000-000072660000}"/>
    <cellStyle name="Normal 42 2 9 2 2" xfId="31812" xr:uid="{00000000-0005-0000-0000-000073660000}"/>
    <cellStyle name="Normal 42 2 9 3" xfId="31815" xr:uid="{00000000-0005-0000-0000-000074660000}"/>
    <cellStyle name="Normal 42 3" xfId="31820" xr:uid="{00000000-0005-0000-0000-000075660000}"/>
    <cellStyle name="Normal 42 3 10" xfId="4698" xr:uid="{00000000-0005-0000-0000-000076660000}"/>
    <cellStyle name="Normal 42 3 10 2" xfId="25609" xr:uid="{00000000-0005-0000-0000-000077660000}"/>
    <cellStyle name="Normal 42 3 11" xfId="25614" xr:uid="{00000000-0005-0000-0000-000078660000}"/>
    <cellStyle name="Normal 42 3 11 2" xfId="25617" xr:uid="{00000000-0005-0000-0000-000079660000}"/>
    <cellStyle name="Normal 42 3 12" xfId="25625" xr:uid="{00000000-0005-0000-0000-00007A660000}"/>
    <cellStyle name="Normal 42 3 12 2" xfId="31824" xr:uid="{00000000-0005-0000-0000-00007B660000}"/>
    <cellStyle name="Normal 42 3 13" xfId="24645" xr:uid="{00000000-0005-0000-0000-00007C660000}"/>
    <cellStyle name="Normal 42 3 14" xfId="31149" xr:uid="{00000000-0005-0000-0000-00007D660000}"/>
    <cellStyle name="Normal 42 3 2" xfId="31826" xr:uid="{00000000-0005-0000-0000-00007E660000}"/>
    <cellStyle name="Normal 42 3 2 10" xfId="31831" xr:uid="{00000000-0005-0000-0000-00007F660000}"/>
    <cellStyle name="Normal 42 3 2 2" xfId="31834" xr:uid="{00000000-0005-0000-0000-000080660000}"/>
    <cellStyle name="Normal 42 3 2 2 2" xfId="24798" xr:uid="{00000000-0005-0000-0000-000081660000}"/>
    <cellStyle name="Normal 42 3 2 2 2 2" xfId="21003" xr:uid="{00000000-0005-0000-0000-000082660000}"/>
    <cellStyle name="Normal 42 3 2 2 2 2 2" xfId="21006" xr:uid="{00000000-0005-0000-0000-000083660000}"/>
    <cellStyle name="Normal 42 3 2 2 2 2 2 2" xfId="31836" xr:uid="{00000000-0005-0000-0000-000084660000}"/>
    <cellStyle name="Normal 42 3 2 2 2 2 2 2 2" xfId="29893" xr:uid="{00000000-0005-0000-0000-000085660000}"/>
    <cellStyle name="Normal 42 3 2 2 2 2 2 3" xfId="31838" xr:uid="{00000000-0005-0000-0000-000086660000}"/>
    <cellStyle name="Normal 42 3 2 2 2 2 3" xfId="31841" xr:uid="{00000000-0005-0000-0000-000087660000}"/>
    <cellStyle name="Normal 42 3 2 2 2 2 3 2" xfId="31843" xr:uid="{00000000-0005-0000-0000-000088660000}"/>
    <cellStyle name="Normal 42 3 2 2 2 2 4" xfId="15445" xr:uid="{00000000-0005-0000-0000-000089660000}"/>
    <cellStyle name="Normal 42 3 2 2 2 3" xfId="31845" xr:uid="{00000000-0005-0000-0000-00008A660000}"/>
    <cellStyle name="Normal 42 3 2 2 2 3 2" xfId="21017" xr:uid="{00000000-0005-0000-0000-00008B660000}"/>
    <cellStyle name="Normal 42 3 2 2 2 3 2 2" xfId="31847" xr:uid="{00000000-0005-0000-0000-00008C660000}"/>
    <cellStyle name="Normal 42 3 2 2 2 3 3" xfId="31849" xr:uid="{00000000-0005-0000-0000-00008D660000}"/>
    <cellStyle name="Normal 42 3 2 2 2 4" xfId="21023" xr:uid="{00000000-0005-0000-0000-00008E660000}"/>
    <cellStyle name="Normal 42 3 2 2 2 4 2" xfId="30674" xr:uid="{00000000-0005-0000-0000-00008F660000}"/>
    <cellStyle name="Normal 42 3 2 2 2 4 2 2" xfId="31851" xr:uid="{00000000-0005-0000-0000-000090660000}"/>
    <cellStyle name="Normal 42 3 2 2 2 4 3" xfId="31854" xr:uid="{00000000-0005-0000-0000-000091660000}"/>
    <cellStyle name="Normal 42 3 2 2 2 5" xfId="31856" xr:uid="{00000000-0005-0000-0000-000092660000}"/>
    <cellStyle name="Normal 42 3 2 2 2 5 2" xfId="31858" xr:uid="{00000000-0005-0000-0000-000093660000}"/>
    <cellStyle name="Normal 42 3 2 2 2 6" xfId="31862" xr:uid="{00000000-0005-0000-0000-000094660000}"/>
    <cellStyle name="Normal 42 3 2 2 2 6 2" xfId="31866" xr:uid="{00000000-0005-0000-0000-000095660000}"/>
    <cellStyle name="Normal 42 3 2 2 2 7" xfId="31871" xr:uid="{00000000-0005-0000-0000-000096660000}"/>
    <cellStyle name="Normal 42 3 2 2 2 8" xfId="31877" xr:uid="{00000000-0005-0000-0000-000097660000}"/>
    <cellStyle name="Normal 42 3 2 2 3" xfId="24803" xr:uid="{00000000-0005-0000-0000-000098660000}"/>
    <cellStyle name="Normal 42 3 2 2 3 2" xfId="6383" xr:uid="{00000000-0005-0000-0000-000099660000}"/>
    <cellStyle name="Normal 42 3 2 2 3 2 2" xfId="31879" xr:uid="{00000000-0005-0000-0000-00009A660000}"/>
    <cellStyle name="Normal 42 3 2 2 3 2 2 2" xfId="31881" xr:uid="{00000000-0005-0000-0000-00009B660000}"/>
    <cellStyle name="Normal 42 3 2 2 3 2 3" xfId="31883" xr:uid="{00000000-0005-0000-0000-00009C660000}"/>
    <cellStyle name="Normal 42 3 2 2 3 3" xfId="6395" xr:uid="{00000000-0005-0000-0000-00009D660000}"/>
    <cellStyle name="Normal 42 3 2 2 3 3 2" xfId="12719" xr:uid="{00000000-0005-0000-0000-00009E660000}"/>
    <cellStyle name="Normal 42 3 2 2 3 4" xfId="29908" xr:uid="{00000000-0005-0000-0000-00009F660000}"/>
    <cellStyle name="Normal 42 3 2 2 4" xfId="31886" xr:uid="{00000000-0005-0000-0000-0000A0660000}"/>
    <cellStyle name="Normal 42 3 2 2 4 2" xfId="31888" xr:uid="{00000000-0005-0000-0000-0000A1660000}"/>
    <cellStyle name="Normal 42 3 2 2 4 2 2" xfId="31890" xr:uid="{00000000-0005-0000-0000-0000A2660000}"/>
    <cellStyle name="Normal 42 3 2 2 4 3" xfId="31892" xr:uid="{00000000-0005-0000-0000-0000A3660000}"/>
    <cellStyle name="Normal 42 3 2 2 5" xfId="31894" xr:uid="{00000000-0005-0000-0000-0000A4660000}"/>
    <cellStyle name="Normal 42 3 2 2 5 2" xfId="31896" xr:uid="{00000000-0005-0000-0000-0000A5660000}"/>
    <cellStyle name="Normal 42 3 2 2 5 2 2" xfId="15965" xr:uid="{00000000-0005-0000-0000-0000A6660000}"/>
    <cellStyle name="Normal 42 3 2 2 5 3" xfId="31898" xr:uid="{00000000-0005-0000-0000-0000A7660000}"/>
    <cellStyle name="Normal 42 3 2 2 6" xfId="29616" xr:uid="{00000000-0005-0000-0000-0000A8660000}"/>
    <cellStyle name="Normal 42 3 2 2 6 2" xfId="31900" xr:uid="{00000000-0005-0000-0000-0000A9660000}"/>
    <cellStyle name="Normal 42 3 2 2 7" xfId="31349" xr:uid="{00000000-0005-0000-0000-0000AA660000}"/>
    <cellStyle name="Normal 42 3 2 2 7 2" xfId="31902" xr:uid="{00000000-0005-0000-0000-0000AB660000}"/>
    <cellStyle name="Normal 42 3 2 2 8" xfId="31904" xr:uid="{00000000-0005-0000-0000-0000AC660000}"/>
    <cellStyle name="Normal 42 3 2 2 9" xfId="31906" xr:uid="{00000000-0005-0000-0000-0000AD660000}"/>
    <cellStyle name="Normal 42 3 2 3" xfId="31908" xr:uid="{00000000-0005-0000-0000-0000AE660000}"/>
    <cellStyle name="Normal 42 3 2 3 2" xfId="14254" xr:uid="{00000000-0005-0000-0000-0000AF660000}"/>
    <cellStyle name="Normal 42 3 2 3 2 2" xfId="24058" xr:uid="{00000000-0005-0000-0000-0000B0660000}"/>
    <cellStyle name="Normal 42 3 2 3 2 2 2" xfId="31910" xr:uid="{00000000-0005-0000-0000-0000B1660000}"/>
    <cellStyle name="Normal 42 3 2 3 2 2 2 2" xfId="31912" xr:uid="{00000000-0005-0000-0000-0000B2660000}"/>
    <cellStyle name="Normal 42 3 2 3 2 2 3" xfId="10552" xr:uid="{00000000-0005-0000-0000-0000B3660000}"/>
    <cellStyle name="Normal 42 3 2 3 2 3" xfId="31914" xr:uid="{00000000-0005-0000-0000-0000B4660000}"/>
    <cellStyle name="Normal 42 3 2 3 2 3 2" xfId="31916" xr:uid="{00000000-0005-0000-0000-0000B5660000}"/>
    <cellStyle name="Normal 42 3 2 3 2 4" xfId="31919" xr:uid="{00000000-0005-0000-0000-0000B6660000}"/>
    <cellStyle name="Normal 42 3 2 3 3" xfId="31922" xr:uid="{00000000-0005-0000-0000-0000B7660000}"/>
    <cellStyle name="Normal 42 3 2 3 3 2" xfId="24064" xr:uid="{00000000-0005-0000-0000-0000B8660000}"/>
    <cellStyle name="Normal 42 3 2 3 3 2 2" xfId="31924" xr:uid="{00000000-0005-0000-0000-0000B9660000}"/>
    <cellStyle name="Normal 42 3 2 3 3 3" xfId="31926" xr:uid="{00000000-0005-0000-0000-0000BA660000}"/>
    <cellStyle name="Normal 42 3 2 3 4" xfId="31928" xr:uid="{00000000-0005-0000-0000-0000BB660000}"/>
    <cellStyle name="Normal 42 3 2 3 4 2" xfId="31930" xr:uid="{00000000-0005-0000-0000-0000BC660000}"/>
    <cellStyle name="Normal 42 3 2 3 4 2 2" xfId="31932" xr:uid="{00000000-0005-0000-0000-0000BD660000}"/>
    <cellStyle name="Normal 42 3 2 3 4 3" xfId="31934" xr:uid="{00000000-0005-0000-0000-0000BE660000}"/>
    <cellStyle name="Normal 42 3 2 3 5" xfId="31936" xr:uid="{00000000-0005-0000-0000-0000BF660000}"/>
    <cellStyle name="Normal 42 3 2 3 5 2" xfId="31938" xr:uid="{00000000-0005-0000-0000-0000C0660000}"/>
    <cellStyle name="Normal 42 3 2 3 6" xfId="31943" xr:uid="{00000000-0005-0000-0000-0000C1660000}"/>
    <cellStyle name="Normal 42 3 2 3 6 2" xfId="31945" xr:uid="{00000000-0005-0000-0000-0000C2660000}"/>
    <cellStyle name="Normal 42 3 2 3 7" xfId="31353" xr:uid="{00000000-0005-0000-0000-0000C3660000}"/>
    <cellStyle name="Normal 42 3 2 3 8" xfId="31948" xr:uid="{00000000-0005-0000-0000-0000C4660000}"/>
    <cellStyle name="Normal 42 3 2 4" xfId="31950" xr:uid="{00000000-0005-0000-0000-0000C5660000}"/>
    <cellStyle name="Normal 42 3 2 4 2" xfId="24809" xr:uid="{00000000-0005-0000-0000-0000C6660000}"/>
    <cellStyle name="Normal 42 3 2 4 2 2" xfId="31952" xr:uid="{00000000-0005-0000-0000-0000C7660000}"/>
    <cellStyle name="Normal 42 3 2 4 2 2 2" xfId="31954" xr:uid="{00000000-0005-0000-0000-0000C8660000}"/>
    <cellStyle name="Normal 42 3 2 4 2 3" xfId="31956" xr:uid="{00000000-0005-0000-0000-0000C9660000}"/>
    <cellStyle name="Normal 42 3 2 4 3" xfId="31959" xr:uid="{00000000-0005-0000-0000-0000CA660000}"/>
    <cellStyle name="Normal 42 3 2 4 3 2" xfId="31961" xr:uid="{00000000-0005-0000-0000-0000CB660000}"/>
    <cellStyle name="Normal 42 3 2 4 4" xfId="31966" xr:uid="{00000000-0005-0000-0000-0000CC660000}"/>
    <cellStyle name="Normal 42 3 2 5" xfId="31968" xr:uid="{00000000-0005-0000-0000-0000CD660000}"/>
    <cellStyle name="Normal 42 3 2 5 2" xfId="31970" xr:uid="{00000000-0005-0000-0000-0000CE660000}"/>
    <cellStyle name="Normal 42 3 2 5 2 2" xfId="31972" xr:uid="{00000000-0005-0000-0000-0000CF660000}"/>
    <cellStyle name="Normal 42 3 2 5 3" xfId="31974" xr:uid="{00000000-0005-0000-0000-0000D0660000}"/>
    <cellStyle name="Normal 42 3 2 6" xfId="31976" xr:uid="{00000000-0005-0000-0000-0000D1660000}"/>
    <cellStyle name="Normal 42 3 2 6 2" xfId="31978" xr:uid="{00000000-0005-0000-0000-0000D2660000}"/>
    <cellStyle name="Normal 42 3 2 6 2 2" xfId="31980" xr:uid="{00000000-0005-0000-0000-0000D3660000}"/>
    <cellStyle name="Normal 42 3 2 6 3" xfId="26446" xr:uid="{00000000-0005-0000-0000-0000D4660000}"/>
    <cellStyle name="Normal 42 3 2 7" xfId="31982" xr:uid="{00000000-0005-0000-0000-0000D5660000}"/>
    <cellStyle name="Normal 42 3 2 7 2" xfId="31984" xr:uid="{00000000-0005-0000-0000-0000D6660000}"/>
    <cellStyle name="Normal 42 3 2 8" xfId="31986" xr:uid="{00000000-0005-0000-0000-0000D7660000}"/>
    <cellStyle name="Normal 42 3 2 8 2" xfId="31988" xr:uid="{00000000-0005-0000-0000-0000D8660000}"/>
    <cellStyle name="Normal 42 3 2 9" xfId="31990" xr:uid="{00000000-0005-0000-0000-0000D9660000}"/>
    <cellStyle name="Normal 42 3 3" xfId="31992" xr:uid="{00000000-0005-0000-0000-0000DA660000}"/>
    <cellStyle name="Normal 42 3 3 2" xfId="31994" xr:uid="{00000000-0005-0000-0000-0000DB660000}"/>
    <cellStyle name="Normal 42 3 3 2 2" xfId="24825" xr:uid="{00000000-0005-0000-0000-0000DC660000}"/>
    <cellStyle name="Normal 42 3 3 2 2 2" xfId="31996" xr:uid="{00000000-0005-0000-0000-0000DD660000}"/>
    <cellStyle name="Normal 42 3 3 2 2 2 2" xfId="31998" xr:uid="{00000000-0005-0000-0000-0000DE660000}"/>
    <cellStyle name="Normal 42 3 3 2 2 2 2 2" xfId="32000" xr:uid="{00000000-0005-0000-0000-0000DF660000}"/>
    <cellStyle name="Normal 42 3 3 2 2 2 3" xfId="32003" xr:uid="{00000000-0005-0000-0000-0000E0660000}"/>
    <cellStyle name="Normal 42 3 3 2 2 3" xfId="32005" xr:uid="{00000000-0005-0000-0000-0000E1660000}"/>
    <cellStyle name="Normal 42 3 3 2 2 3 2" xfId="32007" xr:uid="{00000000-0005-0000-0000-0000E2660000}"/>
    <cellStyle name="Normal 42 3 3 2 2 4" xfId="32009" xr:uid="{00000000-0005-0000-0000-0000E3660000}"/>
    <cellStyle name="Normal 42 3 3 2 2 5" xfId="23114" xr:uid="{00000000-0005-0000-0000-0000E4660000}"/>
    <cellStyle name="Normal 42 3 3 2 3" xfId="20945" xr:uid="{00000000-0005-0000-0000-0000E5660000}"/>
    <cellStyle name="Normal 42 3 3 2 3 2" xfId="4180" xr:uid="{00000000-0005-0000-0000-0000E6660000}"/>
    <cellStyle name="Normal 42 3 3 2 3 2 2" xfId="32011" xr:uid="{00000000-0005-0000-0000-0000E7660000}"/>
    <cellStyle name="Normal 42 3 3 2 3 3" xfId="4203" xr:uid="{00000000-0005-0000-0000-0000E8660000}"/>
    <cellStyle name="Normal 42 3 3 2 4" xfId="32013" xr:uid="{00000000-0005-0000-0000-0000E9660000}"/>
    <cellStyle name="Normal 42 3 3 2 4 2" xfId="32015" xr:uid="{00000000-0005-0000-0000-0000EA660000}"/>
    <cellStyle name="Normal 42 3 3 2 4 2 2" xfId="32017" xr:uid="{00000000-0005-0000-0000-0000EB660000}"/>
    <cellStyle name="Normal 42 3 3 2 4 3" xfId="32019" xr:uid="{00000000-0005-0000-0000-0000EC660000}"/>
    <cellStyle name="Normal 42 3 3 2 5" xfId="29380" xr:uid="{00000000-0005-0000-0000-0000ED660000}"/>
    <cellStyle name="Normal 42 3 3 2 5 2" xfId="29384" xr:uid="{00000000-0005-0000-0000-0000EE660000}"/>
    <cellStyle name="Normal 42 3 3 2 6" xfId="29390" xr:uid="{00000000-0005-0000-0000-0000EF660000}"/>
    <cellStyle name="Normal 42 3 3 2 6 2" xfId="32021" xr:uid="{00000000-0005-0000-0000-0000F0660000}"/>
    <cellStyle name="Normal 42 3 3 2 7" xfId="32023" xr:uid="{00000000-0005-0000-0000-0000F1660000}"/>
    <cellStyle name="Normal 42 3 3 2 8" xfId="32025" xr:uid="{00000000-0005-0000-0000-0000F2660000}"/>
    <cellStyle name="Normal 42 3 3 3" xfId="32027" xr:uid="{00000000-0005-0000-0000-0000F3660000}"/>
    <cellStyle name="Normal 42 3 3 3 2" xfId="11648" xr:uid="{00000000-0005-0000-0000-0000F4660000}"/>
    <cellStyle name="Normal 42 3 3 3 2 2" xfId="11653" xr:uid="{00000000-0005-0000-0000-0000F5660000}"/>
    <cellStyle name="Normal 42 3 3 3 2 2 2" xfId="32029" xr:uid="{00000000-0005-0000-0000-0000F6660000}"/>
    <cellStyle name="Normal 42 3 3 3 2 3" xfId="32031" xr:uid="{00000000-0005-0000-0000-0000F7660000}"/>
    <cellStyle name="Normal 42 3 3 3 3" xfId="11662" xr:uid="{00000000-0005-0000-0000-0000F8660000}"/>
    <cellStyle name="Normal 42 3 3 3 3 2" xfId="11667" xr:uid="{00000000-0005-0000-0000-0000F9660000}"/>
    <cellStyle name="Normal 42 3 3 3 4" xfId="32033" xr:uid="{00000000-0005-0000-0000-0000FA660000}"/>
    <cellStyle name="Normal 42 3 3 3 5" xfId="29398" xr:uid="{00000000-0005-0000-0000-0000FB660000}"/>
    <cellStyle name="Normal 42 3 3 4" xfId="32036" xr:uid="{00000000-0005-0000-0000-0000FC660000}"/>
    <cellStyle name="Normal 42 3 3 4 2" xfId="12233" xr:uid="{00000000-0005-0000-0000-0000FD660000}"/>
    <cellStyle name="Normal 42 3 3 4 2 2" xfId="32039" xr:uid="{00000000-0005-0000-0000-0000FE660000}"/>
    <cellStyle name="Normal 42 3 3 4 3" xfId="32041" xr:uid="{00000000-0005-0000-0000-0000FF660000}"/>
    <cellStyle name="Normal 42 3 3 5" xfId="32043" xr:uid="{00000000-0005-0000-0000-000000670000}"/>
    <cellStyle name="Normal 42 3 3 5 2" xfId="12246" xr:uid="{00000000-0005-0000-0000-000001670000}"/>
    <cellStyle name="Normal 42 3 3 5 2 2" xfId="32045" xr:uid="{00000000-0005-0000-0000-000002670000}"/>
    <cellStyle name="Normal 42 3 3 5 3" xfId="32047" xr:uid="{00000000-0005-0000-0000-000003670000}"/>
    <cellStyle name="Normal 42 3 3 6" xfId="32050" xr:uid="{00000000-0005-0000-0000-000004670000}"/>
    <cellStyle name="Normal 42 3 3 6 2" xfId="32052" xr:uid="{00000000-0005-0000-0000-000005670000}"/>
    <cellStyle name="Normal 42 3 3 7" xfId="32054" xr:uid="{00000000-0005-0000-0000-000006670000}"/>
    <cellStyle name="Normal 42 3 3 7 2" xfId="32056" xr:uid="{00000000-0005-0000-0000-000007670000}"/>
    <cellStyle name="Normal 42 3 3 8" xfId="32058" xr:uid="{00000000-0005-0000-0000-000008670000}"/>
    <cellStyle name="Normal 42 3 3 9" xfId="32060" xr:uid="{00000000-0005-0000-0000-000009670000}"/>
    <cellStyle name="Normal 42 3 4" xfId="32062" xr:uid="{00000000-0005-0000-0000-00000A670000}"/>
    <cellStyle name="Normal 42 3 4 2" xfId="32064" xr:uid="{00000000-0005-0000-0000-00000B670000}"/>
    <cellStyle name="Normal 42 3 4 2 2" xfId="25501" xr:uid="{00000000-0005-0000-0000-00000C670000}"/>
    <cellStyle name="Normal 42 3 4 2 2 2" xfId="28045" xr:uid="{00000000-0005-0000-0000-00000D670000}"/>
    <cellStyle name="Normal 42 3 4 2 2 2 2" xfId="28053" xr:uid="{00000000-0005-0000-0000-00000E670000}"/>
    <cellStyle name="Normal 42 3 4 2 2 2 2 2" xfId="32066" xr:uid="{00000000-0005-0000-0000-00000F670000}"/>
    <cellStyle name="Normal 42 3 4 2 2 2 3" xfId="32069" xr:uid="{00000000-0005-0000-0000-000010670000}"/>
    <cellStyle name="Normal 42 3 4 2 2 3" xfId="28059" xr:uid="{00000000-0005-0000-0000-000011670000}"/>
    <cellStyle name="Normal 42 3 4 2 2 3 2" xfId="32075" xr:uid="{00000000-0005-0000-0000-000012670000}"/>
    <cellStyle name="Normal 42 3 4 2 2 4" xfId="28067" xr:uid="{00000000-0005-0000-0000-000013670000}"/>
    <cellStyle name="Normal 42 3 4 2 3" xfId="32078" xr:uid="{00000000-0005-0000-0000-000014670000}"/>
    <cellStyle name="Normal 42 3 4 2 3 2" xfId="1265" xr:uid="{00000000-0005-0000-0000-000015670000}"/>
    <cellStyle name="Normal 42 3 4 2 3 2 2" xfId="32083" xr:uid="{00000000-0005-0000-0000-000016670000}"/>
    <cellStyle name="Normal 42 3 4 2 3 3" xfId="8490" xr:uid="{00000000-0005-0000-0000-000017670000}"/>
    <cellStyle name="Normal 42 3 4 2 4" xfId="32086" xr:uid="{00000000-0005-0000-0000-000018670000}"/>
    <cellStyle name="Normal 42 3 4 2 4 2" xfId="32088" xr:uid="{00000000-0005-0000-0000-000019670000}"/>
    <cellStyle name="Normal 42 3 4 2 4 2 2" xfId="32090" xr:uid="{00000000-0005-0000-0000-00001A670000}"/>
    <cellStyle name="Normal 42 3 4 2 4 3" xfId="32094" xr:uid="{00000000-0005-0000-0000-00001B670000}"/>
    <cellStyle name="Normal 42 3 4 2 5" xfId="29410" xr:uid="{00000000-0005-0000-0000-00001C670000}"/>
    <cellStyle name="Normal 42 3 4 2 5 2" xfId="32096" xr:uid="{00000000-0005-0000-0000-00001D670000}"/>
    <cellStyle name="Normal 42 3 4 2 6" xfId="32098" xr:uid="{00000000-0005-0000-0000-00001E670000}"/>
    <cellStyle name="Normal 42 3 4 2 6 2" xfId="32102" xr:uid="{00000000-0005-0000-0000-00001F670000}"/>
    <cellStyle name="Normal 42 3 4 2 7" xfId="32104" xr:uid="{00000000-0005-0000-0000-000020670000}"/>
    <cellStyle name="Normal 42 3 4 2 8" xfId="32106" xr:uid="{00000000-0005-0000-0000-000021670000}"/>
    <cellStyle name="Normal 42 3 4 3" xfId="32108" xr:uid="{00000000-0005-0000-0000-000022670000}"/>
    <cellStyle name="Normal 42 3 4 3 2" xfId="12253" xr:uid="{00000000-0005-0000-0000-000023670000}"/>
    <cellStyle name="Normal 42 3 4 3 2 2" xfId="32110" xr:uid="{00000000-0005-0000-0000-000024670000}"/>
    <cellStyle name="Normal 42 3 4 3 2 2 2" xfId="32114" xr:uid="{00000000-0005-0000-0000-000025670000}"/>
    <cellStyle name="Normal 42 3 4 3 2 3" xfId="32118" xr:uid="{00000000-0005-0000-0000-000026670000}"/>
    <cellStyle name="Normal 42 3 4 3 3" xfId="32120" xr:uid="{00000000-0005-0000-0000-000027670000}"/>
    <cellStyle name="Normal 42 3 4 3 3 2" xfId="32122" xr:uid="{00000000-0005-0000-0000-000028670000}"/>
    <cellStyle name="Normal 42 3 4 3 4" xfId="32124" xr:uid="{00000000-0005-0000-0000-000029670000}"/>
    <cellStyle name="Normal 42 3 4 4" xfId="32128" xr:uid="{00000000-0005-0000-0000-00002A670000}"/>
    <cellStyle name="Normal 42 3 4 4 2" xfId="32130" xr:uid="{00000000-0005-0000-0000-00002B670000}"/>
    <cellStyle name="Normal 42 3 4 4 2 2" xfId="32132" xr:uid="{00000000-0005-0000-0000-00002C670000}"/>
    <cellStyle name="Normal 42 3 4 4 3" xfId="32134" xr:uid="{00000000-0005-0000-0000-00002D670000}"/>
    <cellStyle name="Normal 42 3 4 5" xfId="11769" xr:uid="{00000000-0005-0000-0000-00002E670000}"/>
    <cellStyle name="Normal 42 3 4 5 2" xfId="13104" xr:uid="{00000000-0005-0000-0000-00002F670000}"/>
    <cellStyle name="Normal 42 3 4 5 2 2" xfId="9632" xr:uid="{00000000-0005-0000-0000-000030670000}"/>
    <cellStyle name="Normal 42 3 4 5 3" xfId="11803" xr:uid="{00000000-0005-0000-0000-000031670000}"/>
    <cellStyle name="Normal 42 3 4 6" xfId="6166" xr:uid="{00000000-0005-0000-0000-000032670000}"/>
    <cellStyle name="Normal 42 3 4 6 2" xfId="6178" xr:uid="{00000000-0005-0000-0000-000033670000}"/>
    <cellStyle name="Normal 42 3 4 7" xfId="6202" xr:uid="{00000000-0005-0000-0000-000034670000}"/>
    <cellStyle name="Normal 42 3 4 7 2" xfId="32136" xr:uid="{00000000-0005-0000-0000-000035670000}"/>
    <cellStyle name="Normal 42 3 4 8" xfId="6213" xr:uid="{00000000-0005-0000-0000-000036670000}"/>
    <cellStyle name="Normal 42 3 4 9" xfId="32138" xr:uid="{00000000-0005-0000-0000-000037670000}"/>
    <cellStyle name="Normal 42 3 5" xfId="32140" xr:uid="{00000000-0005-0000-0000-000038670000}"/>
    <cellStyle name="Normal 42 3 5 2" xfId="32142" xr:uid="{00000000-0005-0000-0000-000039670000}"/>
    <cellStyle name="Normal 42 3 5 2 2" xfId="32144" xr:uid="{00000000-0005-0000-0000-00003A670000}"/>
    <cellStyle name="Normal 42 3 5 2 2 2" xfId="22915" xr:uid="{00000000-0005-0000-0000-00003B670000}"/>
    <cellStyle name="Normal 42 3 5 2 2 2 2" xfId="22918" xr:uid="{00000000-0005-0000-0000-00003C670000}"/>
    <cellStyle name="Normal 42 3 5 2 2 2 2 2" xfId="16674" xr:uid="{00000000-0005-0000-0000-00003D670000}"/>
    <cellStyle name="Normal 42 3 5 2 2 2 3" xfId="22921" xr:uid="{00000000-0005-0000-0000-00003E670000}"/>
    <cellStyle name="Normal 42 3 5 2 2 3" xfId="22929" xr:uid="{00000000-0005-0000-0000-00003F670000}"/>
    <cellStyle name="Normal 42 3 5 2 2 3 2" xfId="22935" xr:uid="{00000000-0005-0000-0000-000040670000}"/>
    <cellStyle name="Normal 42 3 5 2 2 4" xfId="9802" xr:uid="{00000000-0005-0000-0000-000041670000}"/>
    <cellStyle name="Normal 42 3 5 2 3" xfId="32146" xr:uid="{00000000-0005-0000-0000-000042670000}"/>
    <cellStyle name="Normal 42 3 5 2 3 2" xfId="6186" xr:uid="{00000000-0005-0000-0000-000043670000}"/>
    <cellStyle name="Normal 42 3 5 2 3 2 2" xfId="22990" xr:uid="{00000000-0005-0000-0000-000044670000}"/>
    <cellStyle name="Normal 42 3 5 2 3 3" xfId="6199" xr:uid="{00000000-0005-0000-0000-000045670000}"/>
    <cellStyle name="Normal 42 3 5 2 4" xfId="32148" xr:uid="{00000000-0005-0000-0000-000046670000}"/>
    <cellStyle name="Normal 42 3 5 2 4 2" xfId="23082" xr:uid="{00000000-0005-0000-0000-000047670000}"/>
    <cellStyle name="Normal 42 3 5 2 4 2 2" xfId="23085" xr:uid="{00000000-0005-0000-0000-000048670000}"/>
    <cellStyle name="Normal 42 3 5 2 4 3" xfId="23095" xr:uid="{00000000-0005-0000-0000-000049670000}"/>
    <cellStyle name="Normal 42 3 5 2 5" xfId="29418" xr:uid="{00000000-0005-0000-0000-00004A670000}"/>
    <cellStyle name="Normal 42 3 5 2 5 2" xfId="23156" xr:uid="{00000000-0005-0000-0000-00004B670000}"/>
    <cellStyle name="Normal 42 3 5 2 6" xfId="21957" xr:uid="{00000000-0005-0000-0000-00004C670000}"/>
    <cellStyle name="Normal 42 3 5 2 6 2" xfId="21963" xr:uid="{00000000-0005-0000-0000-00004D670000}"/>
    <cellStyle name="Normal 42 3 5 2 7" xfId="21989" xr:uid="{00000000-0005-0000-0000-00004E670000}"/>
    <cellStyle name="Normal 42 3 5 2 8" xfId="21995" xr:uid="{00000000-0005-0000-0000-00004F670000}"/>
    <cellStyle name="Normal 42 3 5 3" xfId="32150" xr:uid="{00000000-0005-0000-0000-000050670000}"/>
    <cellStyle name="Normal 42 3 5 3 2" xfId="32152" xr:uid="{00000000-0005-0000-0000-000051670000}"/>
    <cellStyle name="Normal 42 3 5 3 2 2" xfId="23513" xr:uid="{00000000-0005-0000-0000-000052670000}"/>
    <cellStyle name="Normal 42 3 5 3 2 2 2" xfId="23516" xr:uid="{00000000-0005-0000-0000-000053670000}"/>
    <cellStyle name="Normal 42 3 5 3 2 3" xfId="23521" xr:uid="{00000000-0005-0000-0000-000054670000}"/>
    <cellStyle name="Normal 42 3 5 3 3" xfId="32154" xr:uid="{00000000-0005-0000-0000-000055670000}"/>
    <cellStyle name="Normal 42 3 5 3 3 2" xfId="23584" xr:uid="{00000000-0005-0000-0000-000056670000}"/>
    <cellStyle name="Normal 42 3 5 3 4" xfId="32157" xr:uid="{00000000-0005-0000-0000-000057670000}"/>
    <cellStyle name="Normal 42 3 5 4" xfId="32159" xr:uid="{00000000-0005-0000-0000-000058670000}"/>
    <cellStyle name="Normal 42 3 5 4 2" xfId="32161" xr:uid="{00000000-0005-0000-0000-000059670000}"/>
    <cellStyle name="Normal 42 3 5 4 2 2" xfId="23871" xr:uid="{00000000-0005-0000-0000-00005A670000}"/>
    <cellStyle name="Normal 42 3 5 4 3" xfId="32163" xr:uid="{00000000-0005-0000-0000-00005B670000}"/>
    <cellStyle name="Normal 42 3 5 5" xfId="13116" xr:uid="{00000000-0005-0000-0000-00005C670000}"/>
    <cellStyle name="Normal 42 3 5 5 2" xfId="10034" xr:uid="{00000000-0005-0000-0000-00005D670000}"/>
    <cellStyle name="Normal 42 3 5 5 2 2" xfId="19850" xr:uid="{00000000-0005-0000-0000-00005E670000}"/>
    <cellStyle name="Normal 42 3 5 5 3" xfId="19883" xr:uid="{00000000-0005-0000-0000-00005F670000}"/>
    <cellStyle name="Normal 42 3 5 6" xfId="6223" xr:uid="{00000000-0005-0000-0000-000060670000}"/>
    <cellStyle name="Normal 42 3 5 6 2" xfId="19932" xr:uid="{00000000-0005-0000-0000-000061670000}"/>
    <cellStyle name="Normal 42 3 5 7" xfId="19970" xr:uid="{00000000-0005-0000-0000-000062670000}"/>
    <cellStyle name="Normal 42 3 5 7 2" xfId="19973" xr:uid="{00000000-0005-0000-0000-000063670000}"/>
    <cellStyle name="Normal 42 3 5 8" xfId="19978" xr:uid="{00000000-0005-0000-0000-000064670000}"/>
    <cellStyle name="Normal 42 3 5 9" xfId="19984" xr:uid="{00000000-0005-0000-0000-000065670000}"/>
    <cellStyle name="Normal 42 3 6" xfId="9754" xr:uid="{00000000-0005-0000-0000-000066670000}"/>
    <cellStyle name="Normal 42 3 6 2" xfId="32165" xr:uid="{00000000-0005-0000-0000-000067670000}"/>
    <cellStyle name="Normal 42 3 6 2 2" xfId="32167" xr:uid="{00000000-0005-0000-0000-000068670000}"/>
    <cellStyle name="Normal 42 3 6 2 2 2" xfId="24634" xr:uid="{00000000-0005-0000-0000-000069670000}"/>
    <cellStyle name="Normal 42 3 6 2 2 2 2" xfId="24639" xr:uid="{00000000-0005-0000-0000-00006A670000}"/>
    <cellStyle name="Normal 42 3 6 2 2 3" xfId="24658" xr:uid="{00000000-0005-0000-0000-00006B670000}"/>
    <cellStyle name="Normal 42 3 6 2 3" xfId="32169" xr:uid="{00000000-0005-0000-0000-00006C670000}"/>
    <cellStyle name="Normal 42 3 6 2 3 2" xfId="24692" xr:uid="{00000000-0005-0000-0000-00006D670000}"/>
    <cellStyle name="Normal 42 3 6 2 4" xfId="32171" xr:uid="{00000000-0005-0000-0000-00006E670000}"/>
    <cellStyle name="Normal 42 3 6 2 5" xfId="32173" xr:uid="{00000000-0005-0000-0000-00006F670000}"/>
    <cellStyle name="Normal 42 3 6 3" xfId="32175" xr:uid="{00000000-0005-0000-0000-000070670000}"/>
    <cellStyle name="Normal 42 3 6 3 2" xfId="32177" xr:uid="{00000000-0005-0000-0000-000071670000}"/>
    <cellStyle name="Normal 42 3 6 3 2 2" xfId="24904" xr:uid="{00000000-0005-0000-0000-000072670000}"/>
    <cellStyle name="Normal 42 3 6 3 3" xfId="32179" xr:uid="{00000000-0005-0000-0000-000073670000}"/>
    <cellStyle name="Normal 42 3 6 4" xfId="32181" xr:uid="{00000000-0005-0000-0000-000074670000}"/>
    <cellStyle name="Normal 42 3 6 4 2" xfId="32183" xr:uid="{00000000-0005-0000-0000-000075670000}"/>
    <cellStyle name="Normal 42 3 6 4 2 2" xfId="25092" xr:uid="{00000000-0005-0000-0000-000076670000}"/>
    <cellStyle name="Normal 42 3 6 4 3" xfId="32185" xr:uid="{00000000-0005-0000-0000-000077670000}"/>
    <cellStyle name="Normal 42 3 6 5" xfId="13126" xr:uid="{00000000-0005-0000-0000-000078670000}"/>
    <cellStyle name="Normal 42 3 6 5 2" xfId="17112" xr:uid="{00000000-0005-0000-0000-000079670000}"/>
    <cellStyle name="Normal 42 3 6 6" xfId="1919" xr:uid="{00000000-0005-0000-0000-00007A670000}"/>
    <cellStyle name="Normal 42 3 6 6 2" xfId="20048" xr:uid="{00000000-0005-0000-0000-00007B670000}"/>
    <cellStyle name="Normal 42 3 6 7" xfId="20064" xr:uid="{00000000-0005-0000-0000-00007C670000}"/>
    <cellStyle name="Normal 42 3 6 8" xfId="20070" xr:uid="{00000000-0005-0000-0000-00007D670000}"/>
    <cellStyle name="Normal 42 3 7" xfId="32187" xr:uid="{00000000-0005-0000-0000-00007E670000}"/>
    <cellStyle name="Normal 42 3 7 2" xfId="32189" xr:uid="{00000000-0005-0000-0000-00007F670000}"/>
    <cellStyle name="Normal 42 3 7 2 2" xfId="32191" xr:uid="{00000000-0005-0000-0000-000080670000}"/>
    <cellStyle name="Normal 42 3 7 2 2 2" xfId="25416" xr:uid="{00000000-0005-0000-0000-000081670000}"/>
    <cellStyle name="Normal 42 3 7 2 3" xfId="32193" xr:uid="{00000000-0005-0000-0000-000082670000}"/>
    <cellStyle name="Normal 42 3 7 3" xfId="32195" xr:uid="{00000000-0005-0000-0000-000083670000}"/>
    <cellStyle name="Normal 42 3 7 3 2" xfId="32197" xr:uid="{00000000-0005-0000-0000-000084670000}"/>
    <cellStyle name="Normal 42 3 7 4" xfId="32199" xr:uid="{00000000-0005-0000-0000-000085670000}"/>
    <cellStyle name="Normal 42 3 7 5" xfId="17118" xr:uid="{00000000-0005-0000-0000-000086670000}"/>
    <cellStyle name="Normal 42 3 8" xfId="32201" xr:uid="{00000000-0005-0000-0000-000087670000}"/>
    <cellStyle name="Normal 42 3 8 2" xfId="14561" xr:uid="{00000000-0005-0000-0000-000088670000}"/>
    <cellStyle name="Normal 42 3 8 2 2" xfId="14566" xr:uid="{00000000-0005-0000-0000-000089670000}"/>
    <cellStyle name="Normal 42 3 8 3" xfId="14576" xr:uid="{00000000-0005-0000-0000-00008A670000}"/>
    <cellStyle name="Normal 42 3 9" xfId="32203" xr:uid="{00000000-0005-0000-0000-00008B670000}"/>
    <cellStyle name="Normal 42 3 9 2" xfId="14856" xr:uid="{00000000-0005-0000-0000-00008C670000}"/>
    <cellStyle name="Normal 42 3 9 2 2" xfId="14862" xr:uid="{00000000-0005-0000-0000-00008D670000}"/>
    <cellStyle name="Normal 42 3 9 3" xfId="14869" xr:uid="{00000000-0005-0000-0000-00008E670000}"/>
    <cellStyle name="Normal 42 4" xfId="32205" xr:uid="{00000000-0005-0000-0000-00008F670000}"/>
    <cellStyle name="Normal 42 4 10" xfId="16287" xr:uid="{00000000-0005-0000-0000-000090670000}"/>
    <cellStyle name="Normal 42 4 10 2" xfId="31235" xr:uid="{00000000-0005-0000-0000-000091670000}"/>
    <cellStyle name="Normal 42 4 11" xfId="17228" xr:uid="{00000000-0005-0000-0000-000092670000}"/>
    <cellStyle name="Normal 42 4 11 2" xfId="32207" xr:uid="{00000000-0005-0000-0000-000093670000}"/>
    <cellStyle name="Normal 42 4 12" xfId="32209" xr:uid="{00000000-0005-0000-0000-000094670000}"/>
    <cellStyle name="Normal 42 4 12 2" xfId="32211" xr:uid="{00000000-0005-0000-0000-000095670000}"/>
    <cellStyle name="Normal 42 4 13" xfId="32213" xr:uid="{00000000-0005-0000-0000-000096670000}"/>
    <cellStyle name="Normal 42 4 14" xfId="32215" xr:uid="{00000000-0005-0000-0000-000097670000}"/>
    <cellStyle name="Normal 42 4 2" xfId="32217" xr:uid="{00000000-0005-0000-0000-000098670000}"/>
    <cellStyle name="Normal 42 4 2 10" xfId="7768" xr:uid="{00000000-0005-0000-0000-000099670000}"/>
    <cellStyle name="Normal 42 4 2 2" xfId="32219" xr:uid="{00000000-0005-0000-0000-00009A670000}"/>
    <cellStyle name="Normal 42 4 2 2 2" xfId="23249" xr:uid="{00000000-0005-0000-0000-00009B670000}"/>
    <cellStyle name="Normal 42 4 2 2 2 2" xfId="32222" xr:uid="{00000000-0005-0000-0000-00009C670000}"/>
    <cellStyle name="Normal 42 4 2 2 2 2 2" xfId="14828" xr:uid="{00000000-0005-0000-0000-00009D670000}"/>
    <cellStyle name="Normal 42 4 2 2 2 2 2 2" xfId="94" xr:uid="{00000000-0005-0000-0000-00009E670000}"/>
    <cellStyle name="Normal 42 4 2 2 2 2 2 2 2" xfId="32225" xr:uid="{00000000-0005-0000-0000-00009F670000}"/>
    <cellStyle name="Normal 42 4 2 2 2 2 2 3" xfId="32227" xr:uid="{00000000-0005-0000-0000-0000A0670000}"/>
    <cellStyle name="Normal 42 4 2 2 2 2 3" xfId="9525" xr:uid="{00000000-0005-0000-0000-0000A1670000}"/>
    <cellStyle name="Normal 42 4 2 2 2 2 3 2" xfId="9528" xr:uid="{00000000-0005-0000-0000-0000A2670000}"/>
    <cellStyle name="Normal 42 4 2 2 2 2 4" xfId="9538" xr:uid="{00000000-0005-0000-0000-0000A3670000}"/>
    <cellStyle name="Normal 42 4 2 2 2 3" xfId="32230" xr:uid="{00000000-0005-0000-0000-0000A4670000}"/>
    <cellStyle name="Normal 42 4 2 2 2 3 2" xfId="14837" xr:uid="{00000000-0005-0000-0000-0000A5670000}"/>
    <cellStyle name="Normal 42 4 2 2 2 3 2 2" xfId="14840" xr:uid="{00000000-0005-0000-0000-0000A6670000}"/>
    <cellStyle name="Normal 42 4 2 2 2 3 3" xfId="9543" xr:uid="{00000000-0005-0000-0000-0000A7670000}"/>
    <cellStyle name="Normal 42 4 2 2 2 4" xfId="23143" xr:uid="{00000000-0005-0000-0000-0000A8670000}"/>
    <cellStyle name="Normal 42 4 2 2 2 4 2" xfId="14853" xr:uid="{00000000-0005-0000-0000-0000A9670000}"/>
    <cellStyle name="Normal 42 4 2 2 2 4 2 2" xfId="32232" xr:uid="{00000000-0005-0000-0000-0000AA670000}"/>
    <cellStyle name="Normal 42 4 2 2 2 4 3" xfId="9565" xr:uid="{00000000-0005-0000-0000-0000AB670000}"/>
    <cellStyle name="Normal 42 4 2 2 2 5" xfId="32234" xr:uid="{00000000-0005-0000-0000-0000AC670000}"/>
    <cellStyle name="Normal 42 4 2 2 2 5 2" xfId="32236" xr:uid="{00000000-0005-0000-0000-0000AD670000}"/>
    <cellStyle name="Normal 42 4 2 2 2 6" xfId="32240" xr:uid="{00000000-0005-0000-0000-0000AE670000}"/>
    <cellStyle name="Normal 42 4 2 2 2 6 2" xfId="32242" xr:uid="{00000000-0005-0000-0000-0000AF670000}"/>
    <cellStyle name="Normal 42 4 2 2 2 7" xfId="32246" xr:uid="{00000000-0005-0000-0000-0000B0670000}"/>
    <cellStyle name="Normal 42 4 2 2 2 8" xfId="6789" xr:uid="{00000000-0005-0000-0000-0000B1670000}"/>
    <cellStyle name="Normal 42 4 2 2 3" xfId="32252" xr:uid="{00000000-0005-0000-0000-0000B2670000}"/>
    <cellStyle name="Normal 42 4 2 2 3 2" xfId="32254" xr:uid="{00000000-0005-0000-0000-0000B3670000}"/>
    <cellStyle name="Normal 42 4 2 2 3 2 2" xfId="14948" xr:uid="{00000000-0005-0000-0000-0000B4670000}"/>
    <cellStyle name="Normal 42 4 2 2 3 2 2 2" xfId="10888" xr:uid="{00000000-0005-0000-0000-0000B5670000}"/>
    <cellStyle name="Normal 42 4 2 2 3 2 3" xfId="32256" xr:uid="{00000000-0005-0000-0000-0000B6670000}"/>
    <cellStyle name="Normal 42 4 2 2 3 3" xfId="32258" xr:uid="{00000000-0005-0000-0000-0000B7670000}"/>
    <cellStyle name="Normal 42 4 2 2 3 3 2" xfId="32260" xr:uid="{00000000-0005-0000-0000-0000B8670000}"/>
    <cellStyle name="Normal 42 4 2 2 3 4" xfId="31813" xr:uid="{00000000-0005-0000-0000-0000B9670000}"/>
    <cellStyle name="Normal 42 4 2 2 4" xfId="12663" xr:uid="{00000000-0005-0000-0000-0000BA670000}"/>
    <cellStyle name="Normal 42 4 2 2 4 2" xfId="32262" xr:uid="{00000000-0005-0000-0000-0000BB670000}"/>
    <cellStyle name="Normal 42 4 2 2 4 2 2" xfId="15050" xr:uid="{00000000-0005-0000-0000-0000BC670000}"/>
    <cellStyle name="Normal 42 4 2 2 4 3" xfId="32264" xr:uid="{00000000-0005-0000-0000-0000BD670000}"/>
    <cellStyle name="Normal 42 4 2 2 5" xfId="21355" xr:uid="{00000000-0005-0000-0000-0000BE670000}"/>
    <cellStyle name="Normal 42 4 2 2 5 2" xfId="32266" xr:uid="{00000000-0005-0000-0000-0000BF670000}"/>
    <cellStyle name="Normal 42 4 2 2 5 2 2" xfId="15108" xr:uid="{00000000-0005-0000-0000-0000C0670000}"/>
    <cellStyle name="Normal 42 4 2 2 5 3" xfId="32268" xr:uid="{00000000-0005-0000-0000-0000C1670000}"/>
    <cellStyle name="Normal 42 4 2 2 6" xfId="32270" xr:uid="{00000000-0005-0000-0000-0000C2670000}"/>
    <cellStyle name="Normal 42 4 2 2 6 2" xfId="32272" xr:uid="{00000000-0005-0000-0000-0000C3670000}"/>
    <cellStyle name="Normal 42 4 2 2 7" xfId="32274" xr:uid="{00000000-0005-0000-0000-0000C4670000}"/>
    <cellStyle name="Normal 42 4 2 2 7 2" xfId="32276" xr:uid="{00000000-0005-0000-0000-0000C5670000}"/>
    <cellStyle name="Normal 42 4 2 2 8" xfId="14361" xr:uid="{00000000-0005-0000-0000-0000C6670000}"/>
    <cellStyle name="Normal 42 4 2 2 9" xfId="24343" xr:uid="{00000000-0005-0000-0000-0000C7670000}"/>
    <cellStyle name="Normal 42 4 2 3" xfId="32279" xr:uid="{00000000-0005-0000-0000-0000C8670000}"/>
    <cellStyle name="Normal 42 4 2 3 2" xfId="32281" xr:uid="{00000000-0005-0000-0000-0000C9670000}"/>
    <cellStyle name="Normal 42 4 2 3 2 2" xfId="27945" xr:uid="{00000000-0005-0000-0000-0000CA670000}"/>
    <cellStyle name="Normal 42 4 2 3 2 2 2" xfId="15442" xr:uid="{00000000-0005-0000-0000-0000CB670000}"/>
    <cellStyle name="Normal 42 4 2 3 2 2 2 2" xfId="18476" xr:uid="{00000000-0005-0000-0000-0000CC670000}"/>
    <cellStyle name="Normal 42 4 2 3 2 2 3" xfId="19276" xr:uid="{00000000-0005-0000-0000-0000CD670000}"/>
    <cellStyle name="Normal 42 4 2 3 2 3" xfId="32283" xr:uid="{00000000-0005-0000-0000-0000CE670000}"/>
    <cellStyle name="Normal 42 4 2 3 2 3 2" xfId="19327" xr:uid="{00000000-0005-0000-0000-0000CF670000}"/>
    <cellStyle name="Normal 42 4 2 3 2 4" xfId="32286" xr:uid="{00000000-0005-0000-0000-0000D0670000}"/>
    <cellStyle name="Normal 42 4 2 3 3" xfId="32288" xr:uid="{00000000-0005-0000-0000-0000D1670000}"/>
    <cellStyle name="Normal 42 4 2 3 3 2" xfId="32290" xr:uid="{00000000-0005-0000-0000-0000D2670000}"/>
    <cellStyle name="Normal 42 4 2 3 3 2 2" xfId="15544" xr:uid="{00000000-0005-0000-0000-0000D3670000}"/>
    <cellStyle name="Normal 42 4 2 3 3 3" xfId="32292" xr:uid="{00000000-0005-0000-0000-0000D4670000}"/>
    <cellStyle name="Normal 42 4 2 3 4" xfId="12669" xr:uid="{00000000-0005-0000-0000-0000D5670000}"/>
    <cellStyle name="Normal 42 4 2 3 4 2" xfId="19492" xr:uid="{00000000-0005-0000-0000-0000D6670000}"/>
    <cellStyle name="Normal 42 4 2 3 4 2 2" xfId="15602" xr:uid="{00000000-0005-0000-0000-0000D7670000}"/>
    <cellStyle name="Normal 42 4 2 3 4 3" xfId="32294" xr:uid="{00000000-0005-0000-0000-0000D8670000}"/>
    <cellStyle name="Normal 42 4 2 3 5" xfId="8679" xr:uid="{00000000-0005-0000-0000-0000D9670000}"/>
    <cellStyle name="Normal 42 4 2 3 5 2" xfId="3320" xr:uid="{00000000-0005-0000-0000-0000DA670000}"/>
    <cellStyle name="Normal 42 4 2 3 6" xfId="2613" xr:uid="{00000000-0005-0000-0000-0000DB670000}"/>
    <cellStyle name="Normal 42 4 2 3 6 2" xfId="62" xr:uid="{00000000-0005-0000-0000-0000DC670000}"/>
    <cellStyle name="Normal 42 4 2 3 7" xfId="4918" xr:uid="{00000000-0005-0000-0000-0000DD670000}"/>
    <cellStyle name="Normal 42 4 2 3 8" xfId="4759" xr:uid="{00000000-0005-0000-0000-0000DE670000}"/>
    <cellStyle name="Normal 42 4 2 4" xfId="32296" xr:uid="{00000000-0005-0000-0000-0000DF670000}"/>
    <cellStyle name="Normal 42 4 2 4 2" xfId="32298" xr:uid="{00000000-0005-0000-0000-0000E0670000}"/>
    <cellStyle name="Normal 42 4 2 4 2 2" xfId="32300" xr:uid="{00000000-0005-0000-0000-0000E1670000}"/>
    <cellStyle name="Normal 42 4 2 4 2 2 2" xfId="32302" xr:uid="{00000000-0005-0000-0000-0000E2670000}"/>
    <cellStyle name="Normal 42 4 2 4 2 3" xfId="32304" xr:uid="{00000000-0005-0000-0000-0000E3670000}"/>
    <cellStyle name="Normal 42 4 2 4 3" xfId="32306" xr:uid="{00000000-0005-0000-0000-0000E4670000}"/>
    <cellStyle name="Normal 42 4 2 4 3 2" xfId="32308" xr:uid="{00000000-0005-0000-0000-0000E5670000}"/>
    <cellStyle name="Normal 42 4 2 4 4" xfId="32310" xr:uid="{00000000-0005-0000-0000-0000E6670000}"/>
    <cellStyle name="Normal 42 4 2 5" xfId="32312" xr:uid="{00000000-0005-0000-0000-0000E7670000}"/>
    <cellStyle name="Normal 42 4 2 5 2" xfId="32314" xr:uid="{00000000-0005-0000-0000-0000E8670000}"/>
    <cellStyle name="Normal 42 4 2 5 2 2" xfId="32316" xr:uid="{00000000-0005-0000-0000-0000E9670000}"/>
    <cellStyle name="Normal 42 4 2 5 3" xfId="32319" xr:uid="{00000000-0005-0000-0000-0000EA670000}"/>
    <cellStyle name="Normal 42 4 2 6" xfId="31822" xr:uid="{00000000-0005-0000-0000-0000EB670000}"/>
    <cellStyle name="Normal 42 4 2 6 2" xfId="32322" xr:uid="{00000000-0005-0000-0000-0000EC670000}"/>
    <cellStyle name="Normal 42 4 2 6 2 2" xfId="32324" xr:uid="{00000000-0005-0000-0000-0000ED670000}"/>
    <cellStyle name="Normal 42 4 2 6 3" xfId="32326" xr:uid="{00000000-0005-0000-0000-0000EE670000}"/>
    <cellStyle name="Normal 42 4 2 7" xfId="32328" xr:uid="{00000000-0005-0000-0000-0000EF670000}"/>
    <cellStyle name="Normal 42 4 2 7 2" xfId="32330" xr:uid="{00000000-0005-0000-0000-0000F0670000}"/>
    <cellStyle name="Normal 42 4 2 8" xfId="32332" xr:uid="{00000000-0005-0000-0000-0000F1670000}"/>
    <cellStyle name="Normal 42 4 2 8 2" xfId="32334" xr:uid="{00000000-0005-0000-0000-0000F2670000}"/>
    <cellStyle name="Normal 42 4 2 9" xfId="28051" xr:uid="{00000000-0005-0000-0000-0000F3670000}"/>
    <cellStyle name="Normal 42 4 3" xfId="32336" xr:uid="{00000000-0005-0000-0000-0000F4670000}"/>
    <cellStyle name="Normal 42 4 3 2" xfId="32338" xr:uid="{00000000-0005-0000-0000-0000F5670000}"/>
    <cellStyle name="Normal 42 4 3 2 2" xfId="32340" xr:uid="{00000000-0005-0000-0000-0000F6670000}"/>
    <cellStyle name="Normal 42 4 3 2 2 2" xfId="32344" xr:uid="{00000000-0005-0000-0000-0000F7670000}"/>
    <cellStyle name="Normal 42 4 3 2 2 2 2" xfId="32347" xr:uid="{00000000-0005-0000-0000-0000F8670000}"/>
    <cellStyle name="Normal 42 4 3 2 2 2 2 2" xfId="32349" xr:uid="{00000000-0005-0000-0000-0000F9670000}"/>
    <cellStyle name="Normal 42 4 3 2 2 2 3" xfId="32352" xr:uid="{00000000-0005-0000-0000-0000FA670000}"/>
    <cellStyle name="Normal 42 4 3 2 2 3" xfId="32355" xr:uid="{00000000-0005-0000-0000-0000FB670000}"/>
    <cellStyle name="Normal 42 4 3 2 2 3 2" xfId="32357" xr:uid="{00000000-0005-0000-0000-0000FC670000}"/>
    <cellStyle name="Normal 42 4 3 2 2 4" xfId="14847" xr:uid="{00000000-0005-0000-0000-0000FD670000}"/>
    <cellStyle name="Normal 42 4 3 2 2 5" xfId="14851" xr:uid="{00000000-0005-0000-0000-0000FE670000}"/>
    <cellStyle name="Normal 42 4 3 2 3" xfId="32359" xr:uid="{00000000-0005-0000-0000-0000FF670000}"/>
    <cellStyle name="Normal 42 4 3 2 3 2" xfId="32363" xr:uid="{00000000-0005-0000-0000-000000680000}"/>
    <cellStyle name="Normal 42 4 3 2 3 2 2" xfId="32366" xr:uid="{00000000-0005-0000-0000-000001680000}"/>
    <cellStyle name="Normal 42 4 3 2 3 3" xfId="32369" xr:uid="{00000000-0005-0000-0000-000002680000}"/>
    <cellStyle name="Normal 42 4 3 2 4" xfId="12555" xr:uid="{00000000-0005-0000-0000-000003680000}"/>
    <cellStyle name="Normal 42 4 3 2 4 2" xfId="32372" xr:uid="{00000000-0005-0000-0000-000004680000}"/>
    <cellStyle name="Normal 42 4 3 2 4 2 2" xfId="32374" xr:uid="{00000000-0005-0000-0000-000005680000}"/>
    <cellStyle name="Normal 42 4 3 2 4 3" xfId="32377" xr:uid="{00000000-0005-0000-0000-000006680000}"/>
    <cellStyle name="Normal 42 4 3 2 5" xfId="32381" xr:uid="{00000000-0005-0000-0000-000007680000}"/>
    <cellStyle name="Normal 42 4 3 2 5 2" xfId="32386" xr:uid="{00000000-0005-0000-0000-000008680000}"/>
    <cellStyle name="Normal 42 4 3 2 6" xfId="32390" xr:uid="{00000000-0005-0000-0000-000009680000}"/>
    <cellStyle name="Normal 42 4 3 2 6 2" xfId="32395" xr:uid="{00000000-0005-0000-0000-00000A680000}"/>
    <cellStyle name="Normal 42 4 3 2 7" xfId="32399" xr:uid="{00000000-0005-0000-0000-00000B680000}"/>
    <cellStyle name="Normal 42 4 3 2 8" xfId="32401" xr:uid="{00000000-0005-0000-0000-00000C680000}"/>
    <cellStyle name="Normal 42 4 3 3" xfId="25990" xr:uid="{00000000-0005-0000-0000-00000D680000}"/>
    <cellStyle name="Normal 42 4 3 3 2" xfId="8596" xr:uid="{00000000-0005-0000-0000-00000E680000}"/>
    <cellStyle name="Normal 42 4 3 3 2 2" xfId="12300" xr:uid="{00000000-0005-0000-0000-00000F680000}"/>
    <cellStyle name="Normal 42 4 3 3 2 2 2" xfId="32403" xr:uid="{00000000-0005-0000-0000-000010680000}"/>
    <cellStyle name="Normal 42 4 3 3 2 3" xfId="32405" xr:uid="{00000000-0005-0000-0000-000011680000}"/>
    <cellStyle name="Normal 42 4 3 3 3" xfId="12303" xr:uid="{00000000-0005-0000-0000-000012680000}"/>
    <cellStyle name="Normal 42 4 3 3 3 2" xfId="32407" xr:uid="{00000000-0005-0000-0000-000013680000}"/>
    <cellStyle name="Normal 42 4 3 3 4" xfId="32409" xr:uid="{00000000-0005-0000-0000-000014680000}"/>
    <cellStyle name="Normal 42 4 3 3 5" xfId="1220" xr:uid="{00000000-0005-0000-0000-000015680000}"/>
    <cellStyle name="Normal 42 4 3 4" xfId="32411" xr:uid="{00000000-0005-0000-0000-000016680000}"/>
    <cellStyle name="Normal 42 4 3 4 2" xfId="1763" xr:uid="{00000000-0005-0000-0000-000017680000}"/>
    <cellStyle name="Normal 42 4 3 4 2 2" xfId="32413" xr:uid="{00000000-0005-0000-0000-000018680000}"/>
    <cellStyle name="Normal 42 4 3 4 3" xfId="32415" xr:uid="{00000000-0005-0000-0000-000019680000}"/>
    <cellStyle name="Normal 42 4 3 5" xfId="32417" xr:uid="{00000000-0005-0000-0000-00001A680000}"/>
    <cellStyle name="Normal 42 4 3 5 2" xfId="1753" xr:uid="{00000000-0005-0000-0000-00001B680000}"/>
    <cellStyle name="Normal 42 4 3 5 2 2" xfId="18609" xr:uid="{00000000-0005-0000-0000-00001C680000}"/>
    <cellStyle name="Normal 42 4 3 5 3" xfId="32419" xr:uid="{00000000-0005-0000-0000-00001D680000}"/>
    <cellStyle name="Normal 42 4 3 6" xfId="32423" xr:uid="{00000000-0005-0000-0000-00001E680000}"/>
    <cellStyle name="Normal 42 4 3 6 2" xfId="32425" xr:uid="{00000000-0005-0000-0000-00001F680000}"/>
    <cellStyle name="Normal 42 4 3 7" xfId="32427" xr:uid="{00000000-0005-0000-0000-000020680000}"/>
    <cellStyle name="Normal 42 4 3 7 2" xfId="32429" xr:uid="{00000000-0005-0000-0000-000021680000}"/>
    <cellStyle name="Normal 42 4 3 8" xfId="32431" xr:uid="{00000000-0005-0000-0000-000022680000}"/>
    <cellStyle name="Normal 42 4 3 9" xfId="32072" xr:uid="{00000000-0005-0000-0000-000023680000}"/>
    <cellStyle name="Normal 42 4 4" xfId="32433" xr:uid="{00000000-0005-0000-0000-000024680000}"/>
    <cellStyle name="Normal 42 4 4 2" xfId="32435" xr:uid="{00000000-0005-0000-0000-000025680000}"/>
    <cellStyle name="Normal 42 4 4 2 2" xfId="32437" xr:uid="{00000000-0005-0000-0000-000026680000}"/>
    <cellStyle name="Normal 42 4 4 2 2 2" xfId="28525" xr:uid="{00000000-0005-0000-0000-000027680000}"/>
    <cellStyle name="Normal 42 4 4 2 2 2 2" xfId="28530" xr:uid="{00000000-0005-0000-0000-000028680000}"/>
    <cellStyle name="Normal 42 4 4 2 2 2 2 2" xfId="32439" xr:uid="{00000000-0005-0000-0000-000029680000}"/>
    <cellStyle name="Normal 42 4 4 2 2 2 3" xfId="15692" xr:uid="{00000000-0005-0000-0000-00002A680000}"/>
    <cellStyle name="Normal 42 4 4 2 2 3" xfId="21034" xr:uid="{00000000-0005-0000-0000-00002B680000}"/>
    <cellStyle name="Normal 42 4 4 2 2 3 2" xfId="21039" xr:uid="{00000000-0005-0000-0000-00002C680000}"/>
    <cellStyle name="Normal 42 4 4 2 2 4" xfId="15466" xr:uid="{00000000-0005-0000-0000-00002D680000}"/>
    <cellStyle name="Normal 42 4 4 2 3" xfId="32441" xr:uid="{00000000-0005-0000-0000-00002E680000}"/>
    <cellStyle name="Normal 42 4 4 2 3 2" xfId="32443" xr:uid="{00000000-0005-0000-0000-00002F680000}"/>
    <cellStyle name="Normal 42 4 4 2 3 2 2" xfId="32445" xr:uid="{00000000-0005-0000-0000-000030680000}"/>
    <cellStyle name="Normal 42 4 4 2 3 3" xfId="21047" xr:uid="{00000000-0005-0000-0000-000031680000}"/>
    <cellStyle name="Normal 42 4 4 2 4" xfId="22231" xr:uid="{00000000-0005-0000-0000-000032680000}"/>
    <cellStyle name="Normal 42 4 4 2 4 2" xfId="32447" xr:uid="{00000000-0005-0000-0000-000033680000}"/>
    <cellStyle name="Normal 42 4 4 2 4 2 2" xfId="32449" xr:uid="{00000000-0005-0000-0000-000034680000}"/>
    <cellStyle name="Normal 42 4 4 2 4 3" xfId="32451" xr:uid="{00000000-0005-0000-0000-000035680000}"/>
    <cellStyle name="Normal 42 4 4 2 5" xfId="21386" xr:uid="{00000000-0005-0000-0000-000036680000}"/>
    <cellStyle name="Normal 42 4 4 2 5 2" xfId="32455" xr:uid="{00000000-0005-0000-0000-000037680000}"/>
    <cellStyle name="Normal 42 4 4 2 6" xfId="32459" xr:uid="{00000000-0005-0000-0000-000038680000}"/>
    <cellStyle name="Normal 42 4 4 2 6 2" xfId="32462" xr:uid="{00000000-0005-0000-0000-000039680000}"/>
    <cellStyle name="Normal 42 4 4 2 7" xfId="32464" xr:uid="{00000000-0005-0000-0000-00003A680000}"/>
    <cellStyle name="Normal 42 4 4 2 8" xfId="32466" xr:uid="{00000000-0005-0000-0000-00003B680000}"/>
    <cellStyle name="Normal 42 4 4 3" xfId="32468" xr:uid="{00000000-0005-0000-0000-00003C680000}"/>
    <cellStyle name="Normal 42 4 4 3 2" xfId="12332" xr:uid="{00000000-0005-0000-0000-00003D680000}"/>
    <cellStyle name="Normal 42 4 4 3 2 2" xfId="32470" xr:uid="{00000000-0005-0000-0000-00003E680000}"/>
    <cellStyle name="Normal 42 4 4 3 2 2 2" xfId="7751" xr:uid="{00000000-0005-0000-0000-00003F680000}"/>
    <cellStyle name="Normal 42 4 4 3 2 3" xfId="21191" xr:uid="{00000000-0005-0000-0000-000040680000}"/>
    <cellStyle name="Normal 42 4 4 3 3" xfId="32472" xr:uid="{00000000-0005-0000-0000-000041680000}"/>
    <cellStyle name="Normal 42 4 4 3 3 2" xfId="32474" xr:uid="{00000000-0005-0000-0000-000042680000}"/>
    <cellStyle name="Normal 42 4 4 3 4" xfId="32476" xr:uid="{00000000-0005-0000-0000-000043680000}"/>
    <cellStyle name="Normal 42 4 4 4" xfId="32478" xr:uid="{00000000-0005-0000-0000-000044680000}"/>
    <cellStyle name="Normal 42 4 4 4 2" xfId="32480" xr:uid="{00000000-0005-0000-0000-000045680000}"/>
    <cellStyle name="Normal 42 4 4 4 2 2" xfId="32482" xr:uid="{00000000-0005-0000-0000-000046680000}"/>
    <cellStyle name="Normal 42 4 4 4 3" xfId="32484" xr:uid="{00000000-0005-0000-0000-000047680000}"/>
    <cellStyle name="Normal 42 4 4 5" xfId="13157" xr:uid="{00000000-0005-0000-0000-000048680000}"/>
    <cellStyle name="Normal 42 4 4 5 2" xfId="15975" xr:uid="{00000000-0005-0000-0000-000049680000}"/>
    <cellStyle name="Normal 42 4 4 5 2 2" xfId="32486" xr:uid="{00000000-0005-0000-0000-00004A680000}"/>
    <cellStyle name="Normal 42 4 4 5 3" xfId="32488" xr:uid="{00000000-0005-0000-0000-00004B680000}"/>
    <cellStyle name="Normal 42 4 4 6" xfId="17123" xr:uid="{00000000-0005-0000-0000-00004C680000}"/>
    <cellStyle name="Normal 42 4 4 6 2" xfId="32490" xr:uid="{00000000-0005-0000-0000-00004D680000}"/>
    <cellStyle name="Normal 42 4 4 7" xfId="32492" xr:uid="{00000000-0005-0000-0000-00004E680000}"/>
    <cellStyle name="Normal 42 4 4 7 2" xfId="32494" xr:uid="{00000000-0005-0000-0000-00004F680000}"/>
    <cellStyle name="Normal 42 4 4 8" xfId="32496" xr:uid="{00000000-0005-0000-0000-000050680000}"/>
    <cellStyle name="Normal 42 4 4 9" xfId="32499" xr:uid="{00000000-0005-0000-0000-000051680000}"/>
    <cellStyle name="Normal 42 4 5" xfId="32502" xr:uid="{00000000-0005-0000-0000-000052680000}"/>
    <cellStyle name="Normal 42 4 5 2" xfId="32504" xr:uid="{00000000-0005-0000-0000-000053680000}"/>
    <cellStyle name="Normal 42 4 5 2 2" xfId="32506" xr:uid="{00000000-0005-0000-0000-000054680000}"/>
    <cellStyle name="Normal 42 4 5 2 2 2" xfId="31453" xr:uid="{00000000-0005-0000-0000-000055680000}"/>
    <cellStyle name="Normal 42 4 5 2 2 2 2" xfId="32508" xr:uid="{00000000-0005-0000-0000-000056680000}"/>
    <cellStyle name="Normal 42 4 5 2 2 2 2 2" xfId="6513" xr:uid="{00000000-0005-0000-0000-000057680000}"/>
    <cellStyle name="Normal 42 4 5 2 2 2 3" xfId="15580" xr:uid="{00000000-0005-0000-0000-000058680000}"/>
    <cellStyle name="Normal 42 4 5 2 2 3" xfId="32512" xr:uid="{00000000-0005-0000-0000-000059680000}"/>
    <cellStyle name="Normal 42 4 5 2 2 3 2" xfId="32514" xr:uid="{00000000-0005-0000-0000-00005A680000}"/>
    <cellStyle name="Normal 42 4 5 2 2 4" xfId="32516" xr:uid="{00000000-0005-0000-0000-00005B680000}"/>
    <cellStyle name="Normal 42 4 5 2 3" xfId="32518" xr:uid="{00000000-0005-0000-0000-00005C680000}"/>
    <cellStyle name="Normal 42 4 5 2 3 2" xfId="32520" xr:uid="{00000000-0005-0000-0000-00005D680000}"/>
    <cellStyle name="Normal 42 4 5 2 3 2 2" xfId="31662" xr:uid="{00000000-0005-0000-0000-00005E680000}"/>
    <cellStyle name="Normal 42 4 5 2 3 3" xfId="32522" xr:uid="{00000000-0005-0000-0000-00005F680000}"/>
    <cellStyle name="Normal 42 4 5 2 4" xfId="32524" xr:uid="{00000000-0005-0000-0000-000060680000}"/>
    <cellStyle name="Normal 42 4 5 2 4 2" xfId="32528" xr:uid="{00000000-0005-0000-0000-000061680000}"/>
    <cellStyle name="Normal 42 4 5 2 4 2 2" xfId="32126" xr:uid="{00000000-0005-0000-0000-000062680000}"/>
    <cellStyle name="Normal 42 4 5 2 4 3" xfId="32530" xr:uid="{00000000-0005-0000-0000-000063680000}"/>
    <cellStyle name="Normal 42 4 5 2 5" xfId="32534" xr:uid="{00000000-0005-0000-0000-000064680000}"/>
    <cellStyle name="Normal 42 4 5 2 5 2" xfId="32536" xr:uid="{00000000-0005-0000-0000-000065680000}"/>
    <cellStyle name="Normal 42 4 5 2 6" xfId="10754" xr:uid="{00000000-0005-0000-0000-000066680000}"/>
    <cellStyle name="Normal 42 4 5 2 6 2" xfId="22587" xr:uid="{00000000-0005-0000-0000-000067680000}"/>
    <cellStyle name="Normal 42 4 5 2 7" xfId="22590" xr:uid="{00000000-0005-0000-0000-000068680000}"/>
    <cellStyle name="Normal 42 4 5 2 8" xfId="22595" xr:uid="{00000000-0005-0000-0000-000069680000}"/>
    <cellStyle name="Normal 42 4 5 3" xfId="32538" xr:uid="{00000000-0005-0000-0000-00006A680000}"/>
    <cellStyle name="Normal 42 4 5 3 2" xfId="32540" xr:uid="{00000000-0005-0000-0000-00006B680000}"/>
    <cellStyle name="Normal 42 4 5 3 2 2" xfId="32542" xr:uid="{00000000-0005-0000-0000-00006C680000}"/>
    <cellStyle name="Normal 42 4 5 3 2 2 2" xfId="32544" xr:uid="{00000000-0005-0000-0000-00006D680000}"/>
    <cellStyle name="Normal 42 4 5 3 2 3" xfId="32546" xr:uid="{00000000-0005-0000-0000-00006E680000}"/>
    <cellStyle name="Normal 42 4 5 3 3" xfId="32548" xr:uid="{00000000-0005-0000-0000-00006F680000}"/>
    <cellStyle name="Normal 42 4 5 3 3 2" xfId="32550" xr:uid="{00000000-0005-0000-0000-000070680000}"/>
    <cellStyle name="Normal 42 4 5 3 4" xfId="32552" xr:uid="{00000000-0005-0000-0000-000071680000}"/>
    <cellStyle name="Normal 42 4 5 4" xfId="13165" xr:uid="{00000000-0005-0000-0000-000072680000}"/>
    <cellStyle name="Normal 42 4 5 4 2" xfId="32554" xr:uid="{00000000-0005-0000-0000-000073680000}"/>
    <cellStyle name="Normal 42 4 5 4 2 2" xfId="32556" xr:uid="{00000000-0005-0000-0000-000074680000}"/>
    <cellStyle name="Normal 42 4 5 4 3" xfId="32558" xr:uid="{00000000-0005-0000-0000-000075680000}"/>
    <cellStyle name="Normal 42 4 5 5" xfId="13175" xr:uid="{00000000-0005-0000-0000-000076680000}"/>
    <cellStyle name="Normal 42 4 5 5 2" xfId="32560" xr:uid="{00000000-0005-0000-0000-000077680000}"/>
    <cellStyle name="Normal 42 4 5 5 2 2" xfId="32562" xr:uid="{00000000-0005-0000-0000-000078680000}"/>
    <cellStyle name="Normal 42 4 5 5 3" xfId="32564" xr:uid="{00000000-0005-0000-0000-000079680000}"/>
    <cellStyle name="Normal 42 4 5 6" xfId="32566" xr:uid="{00000000-0005-0000-0000-00007A680000}"/>
    <cellStyle name="Normal 42 4 5 6 2" xfId="32568" xr:uid="{00000000-0005-0000-0000-00007B680000}"/>
    <cellStyle name="Normal 42 4 5 7" xfId="32570" xr:uid="{00000000-0005-0000-0000-00007C680000}"/>
    <cellStyle name="Normal 42 4 5 7 2" xfId="7801" xr:uid="{00000000-0005-0000-0000-00007D680000}"/>
    <cellStyle name="Normal 42 4 5 8" xfId="32572" xr:uid="{00000000-0005-0000-0000-00007E680000}"/>
    <cellStyle name="Normal 42 4 5 9" xfId="32574" xr:uid="{00000000-0005-0000-0000-00007F680000}"/>
    <cellStyle name="Normal 42 4 6" xfId="9767" xr:uid="{00000000-0005-0000-0000-000080680000}"/>
    <cellStyle name="Normal 42 4 6 2" xfId="32576" xr:uid="{00000000-0005-0000-0000-000081680000}"/>
    <cellStyle name="Normal 42 4 6 2 2" xfId="32578" xr:uid="{00000000-0005-0000-0000-000082680000}"/>
    <cellStyle name="Normal 42 4 6 2 2 2" xfId="32581" xr:uid="{00000000-0005-0000-0000-000083680000}"/>
    <cellStyle name="Normal 42 4 6 2 2 2 2" xfId="32584" xr:uid="{00000000-0005-0000-0000-000084680000}"/>
    <cellStyle name="Normal 42 4 6 2 2 3" xfId="32588" xr:uid="{00000000-0005-0000-0000-000085680000}"/>
    <cellStyle name="Normal 42 4 6 2 3" xfId="32591" xr:uid="{00000000-0005-0000-0000-000086680000}"/>
    <cellStyle name="Normal 42 4 6 2 3 2" xfId="32594" xr:uid="{00000000-0005-0000-0000-000087680000}"/>
    <cellStyle name="Normal 42 4 6 2 4" xfId="32596" xr:uid="{00000000-0005-0000-0000-000088680000}"/>
    <cellStyle name="Normal 42 4 6 2 5" xfId="32598" xr:uid="{00000000-0005-0000-0000-000089680000}"/>
    <cellStyle name="Normal 42 4 6 3" xfId="32600" xr:uid="{00000000-0005-0000-0000-00008A680000}"/>
    <cellStyle name="Normal 42 4 6 3 2" xfId="32602" xr:uid="{00000000-0005-0000-0000-00008B680000}"/>
    <cellStyle name="Normal 42 4 6 3 2 2" xfId="32604" xr:uid="{00000000-0005-0000-0000-00008C680000}"/>
    <cellStyle name="Normal 42 4 6 3 3" xfId="32606" xr:uid="{00000000-0005-0000-0000-00008D680000}"/>
    <cellStyle name="Normal 42 4 6 4" xfId="32608" xr:uid="{00000000-0005-0000-0000-00008E680000}"/>
    <cellStyle name="Normal 42 4 6 4 2" xfId="32610" xr:uid="{00000000-0005-0000-0000-00008F680000}"/>
    <cellStyle name="Normal 42 4 6 4 2 2" xfId="32612" xr:uid="{00000000-0005-0000-0000-000090680000}"/>
    <cellStyle name="Normal 42 4 6 4 3" xfId="32614" xr:uid="{00000000-0005-0000-0000-000091680000}"/>
    <cellStyle name="Normal 42 4 6 5" xfId="32616" xr:uid="{00000000-0005-0000-0000-000092680000}"/>
    <cellStyle name="Normal 42 4 6 5 2" xfId="32618" xr:uid="{00000000-0005-0000-0000-000093680000}"/>
    <cellStyle name="Normal 42 4 6 6" xfId="32620" xr:uid="{00000000-0005-0000-0000-000094680000}"/>
    <cellStyle name="Normal 42 4 6 6 2" xfId="32622" xr:uid="{00000000-0005-0000-0000-000095680000}"/>
    <cellStyle name="Normal 42 4 6 7" xfId="32624" xr:uid="{00000000-0005-0000-0000-000096680000}"/>
    <cellStyle name="Normal 42 4 6 8" xfId="32626" xr:uid="{00000000-0005-0000-0000-000097680000}"/>
    <cellStyle name="Normal 42 4 7" xfId="32628" xr:uid="{00000000-0005-0000-0000-000098680000}"/>
    <cellStyle name="Normal 42 4 7 2" xfId="32631" xr:uid="{00000000-0005-0000-0000-000099680000}"/>
    <cellStyle name="Normal 42 4 7 2 2" xfId="32633" xr:uid="{00000000-0005-0000-0000-00009A680000}"/>
    <cellStyle name="Normal 42 4 7 2 2 2" xfId="32635" xr:uid="{00000000-0005-0000-0000-00009B680000}"/>
    <cellStyle name="Normal 42 4 7 2 3" xfId="32637" xr:uid="{00000000-0005-0000-0000-00009C680000}"/>
    <cellStyle name="Normal 42 4 7 3" xfId="32640" xr:uid="{00000000-0005-0000-0000-00009D680000}"/>
    <cellStyle name="Normal 42 4 7 3 2" xfId="32642" xr:uid="{00000000-0005-0000-0000-00009E680000}"/>
    <cellStyle name="Normal 42 4 7 4" xfId="32644" xr:uid="{00000000-0005-0000-0000-00009F680000}"/>
    <cellStyle name="Normal 42 4 7 5" xfId="32648" xr:uid="{00000000-0005-0000-0000-0000A0680000}"/>
    <cellStyle name="Normal 42 4 8" xfId="14908" xr:uid="{00000000-0005-0000-0000-0000A1680000}"/>
    <cellStyle name="Normal 42 4 8 2" xfId="14913" xr:uid="{00000000-0005-0000-0000-0000A2680000}"/>
    <cellStyle name="Normal 42 4 8 2 2" xfId="14917" xr:uid="{00000000-0005-0000-0000-0000A3680000}"/>
    <cellStyle name="Normal 42 4 8 3" xfId="14923" xr:uid="{00000000-0005-0000-0000-0000A4680000}"/>
    <cellStyle name="Normal 42 4 9" xfId="32650" xr:uid="{00000000-0005-0000-0000-0000A5680000}"/>
    <cellStyle name="Normal 42 4 9 2" xfId="14931" xr:uid="{00000000-0005-0000-0000-0000A6680000}"/>
    <cellStyle name="Normal 42 4 9 2 2" xfId="21050" xr:uid="{00000000-0005-0000-0000-0000A7680000}"/>
    <cellStyle name="Normal 42 4 9 3" xfId="15469" xr:uid="{00000000-0005-0000-0000-0000A8680000}"/>
    <cellStyle name="Normal 42 5" xfId="32652" xr:uid="{00000000-0005-0000-0000-0000A9680000}"/>
    <cellStyle name="Normal 42 5 10" xfId="32654" xr:uid="{00000000-0005-0000-0000-0000AA680000}"/>
    <cellStyle name="Normal 42 5 2" xfId="32656" xr:uid="{00000000-0005-0000-0000-0000AB680000}"/>
    <cellStyle name="Normal 42 5 2 2" xfId="32658" xr:uid="{00000000-0005-0000-0000-0000AC680000}"/>
    <cellStyle name="Normal 42 5 2 2 2" xfId="24867" xr:uid="{00000000-0005-0000-0000-0000AD680000}"/>
    <cellStyle name="Normal 42 5 2 2 2 2" xfId="32660" xr:uid="{00000000-0005-0000-0000-0000AE680000}"/>
    <cellStyle name="Normal 42 5 2 2 2 2 2" xfId="32662" xr:uid="{00000000-0005-0000-0000-0000AF680000}"/>
    <cellStyle name="Normal 42 5 2 2 2 2 2 2" xfId="32664" xr:uid="{00000000-0005-0000-0000-0000B0680000}"/>
    <cellStyle name="Normal 42 5 2 2 2 2 3" xfId="32666" xr:uid="{00000000-0005-0000-0000-0000B1680000}"/>
    <cellStyle name="Normal 42 5 2 2 2 3" xfId="32668" xr:uid="{00000000-0005-0000-0000-0000B2680000}"/>
    <cellStyle name="Normal 42 5 2 2 2 3 2" xfId="32670" xr:uid="{00000000-0005-0000-0000-0000B3680000}"/>
    <cellStyle name="Normal 42 5 2 2 2 4" xfId="32672" xr:uid="{00000000-0005-0000-0000-0000B4680000}"/>
    <cellStyle name="Normal 42 5 2 2 2 5" xfId="14546" xr:uid="{00000000-0005-0000-0000-0000B5680000}"/>
    <cellStyle name="Normal 42 5 2 2 3" xfId="32674" xr:uid="{00000000-0005-0000-0000-0000B6680000}"/>
    <cellStyle name="Normal 42 5 2 2 3 2" xfId="32676" xr:uid="{00000000-0005-0000-0000-0000B7680000}"/>
    <cellStyle name="Normal 42 5 2 2 3 2 2" xfId="32678" xr:uid="{00000000-0005-0000-0000-0000B8680000}"/>
    <cellStyle name="Normal 42 5 2 2 3 3" xfId="32682" xr:uid="{00000000-0005-0000-0000-0000B9680000}"/>
    <cellStyle name="Normal 42 5 2 2 4" xfId="32684" xr:uid="{00000000-0005-0000-0000-0000BA680000}"/>
    <cellStyle name="Normal 42 5 2 2 4 2" xfId="32686" xr:uid="{00000000-0005-0000-0000-0000BB680000}"/>
    <cellStyle name="Normal 42 5 2 2 4 2 2" xfId="32688" xr:uid="{00000000-0005-0000-0000-0000BC680000}"/>
    <cellStyle name="Normal 42 5 2 2 4 3" xfId="32692" xr:uid="{00000000-0005-0000-0000-0000BD680000}"/>
    <cellStyle name="Normal 42 5 2 2 5" xfId="32695" xr:uid="{00000000-0005-0000-0000-0000BE680000}"/>
    <cellStyle name="Normal 42 5 2 2 5 2" xfId="32698" xr:uid="{00000000-0005-0000-0000-0000BF680000}"/>
    <cellStyle name="Normal 42 5 2 2 6" xfId="16443" xr:uid="{00000000-0005-0000-0000-0000C0680000}"/>
    <cellStyle name="Normal 42 5 2 2 6 2" xfId="32701" xr:uid="{00000000-0005-0000-0000-0000C1680000}"/>
    <cellStyle name="Normal 42 5 2 2 7" xfId="32704" xr:uid="{00000000-0005-0000-0000-0000C2680000}"/>
    <cellStyle name="Normal 42 5 2 2 8" xfId="32706" xr:uid="{00000000-0005-0000-0000-0000C3680000}"/>
    <cellStyle name="Normal 42 5 2 3" xfId="32708" xr:uid="{00000000-0005-0000-0000-0000C4680000}"/>
    <cellStyle name="Normal 42 5 2 3 2" xfId="32710" xr:uid="{00000000-0005-0000-0000-0000C5680000}"/>
    <cellStyle name="Normal 42 5 2 3 2 2" xfId="28420" xr:uid="{00000000-0005-0000-0000-0000C6680000}"/>
    <cellStyle name="Normal 42 5 2 3 2 2 2" xfId="32712" xr:uid="{00000000-0005-0000-0000-0000C7680000}"/>
    <cellStyle name="Normal 42 5 2 3 2 3" xfId="25581" xr:uid="{00000000-0005-0000-0000-0000C8680000}"/>
    <cellStyle name="Normal 42 5 2 3 3" xfId="32714" xr:uid="{00000000-0005-0000-0000-0000C9680000}"/>
    <cellStyle name="Normal 42 5 2 3 3 2" xfId="32716" xr:uid="{00000000-0005-0000-0000-0000CA680000}"/>
    <cellStyle name="Normal 42 5 2 3 4" xfId="32718" xr:uid="{00000000-0005-0000-0000-0000CB680000}"/>
    <cellStyle name="Normal 42 5 2 3 5" xfId="9011" xr:uid="{00000000-0005-0000-0000-0000CC680000}"/>
    <cellStyle name="Normal 42 5 2 4" xfId="32720" xr:uid="{00000000-0005-0000-0000-0000CD680000}"/>
    <cellStyle name="Normal 42 5 2 4 2" xfId="32722" xr:uid="{00000000-0005-0000-0000-0000CE680000}"/>
    <cellStyle name="Normal 42 5 2 4 2 2" xfId="32724" xr:uid="{00000000-0005-0000-0000-0000CF680000}"/>
    <cellStyle name="Normal 42 5 2 4 3" xfId="32726" xr:uid="{00000000-0005-0000-0000-0000D0680000}"/>
    <cellStyle name="Normal 42 5 2 5" xfId="32728" xr:uid="{00000000-0005-0000-0000-0000D1680000}"/>
    <cellStyle name="Normal 42 5 2 5 2" xfId="32730" xr:uid="{00000000-0005-0000-0000-0000D2680000}"/>
    <cellStyle name="Normal 42 5 2 5 2 2" xfId="32732" xr:uid="{00000000-0005-0000-0000-0000D3680000}"/>
    <cellStyle name="Normal 42 5 2 5 3" xfId="32734" xr:uid="{00000000-0005-0000-0000-0000D4680000}"/>
    <cellStyle name="Normal 42 5 2 6" xfId="32736" xr:uid="{00000000-0005-0000-0000-0000D5680000}"/>
    <cellStyle name="Normal 42 5 2 6 2" xfId="32738" xr:uid="{00000000-0005-0000-0000-0000D6680000}"/>
    <cellStyle name="Normal 42 5 2 7" xfId="32740" xr:uid="{00000000-0005-0000-0000-0000D7680000}"/>
    <cellStyle name="Normal 42 5 2 7 2" xfId="32742" xr:uid="{00000000-0005-0000-0000-0000D8680000}"/>
    <cellStyle name="Normal 42 5 2 8" xfId="32745" xr:uid="{00000000-0005-0000-0000-0000D9680000}"/>
    <cellStyle name="Normal 42 5 2 9" xfId="32081" xr:uid="{00000000-0005-0000-0000-0000DA680000}"/>
    <cellStyle name="Normal 42 5 3" xfId="32747" xr:uid="{00000000-0005-0000-0000-0000DB680000}"/>
    <cellStyle name="Normal 42 5 3 2" xfId="32749" xr:uid="{00000000-0005-0000-0000-0000DC680000}"/>
    <cellStyle name="Normal 42 5 3 2 2" xfId="10089" xr:uid="{00000000-0005-0000-0000-0000DD680000}"/>
    <cellStyle name="Normal 42 5 3 2 2 2" xfId="32751" xr:uid="{00000000-0005-0000-0000-0000DE680000}"/>
    <cellStyle name="Normal 42 5 3 2 2 2 2" xfId="32753" xr:uid="{00000000-0005-0000-0000-0000DF680000}"/>
    <cellStyle name="Normal 42 5 3 2 2 3" xfId="32756" xr:uid="{00000000-0005-0000-0000-0000E0680000}"/>
    <cellStyle name="Normal 42 5 3 2 2 4" xfId="21969" xr:uid="{00000000-0005-0000-0000-0000E1680000}"/>
    <cellStyle name="Normal 42 5 3 2 3" xfId="9914" xr:uid="{00000000-0005-0000-0000-0000E2680000}"/>
    <cellStyle name="Normal 42 5 3 2 3 2" xfId="32758" xr:uid="{00000000-0005-0000-0000-0000E3680000}"/>
    <cellStyle name="Normal 42 5 3 2 4" xfId="32760" xr:uid="{00000000-0005-0000-0000-0000E4680000}"/>
    <cellStyle name="Normal 42 5 3 2 4 2" xfId="32762" xr:uid="{00000000-0005-0000-0000-0000E5680000}"/>
    <cellStyle name="Normal 42 5 3 2 5" xfId="32768" xr:uid="{00000000-0005-0000-0000-0000E6680000}"/>
    <cellStyle name="Normal 42 5 3 2 6" xfId="32774" xr:uid="{00000000-0005-0000-0000-0000E7680000}"/>
    <cellStyle name="Normal 42 5 3 3" xfId="32776" xr:uid="{00000000-0005-0000-0000-0000E8680000}"/>
    <cellStyle name="Normal 42 5 3 3 2" xfId="5193" xr:uid="{00000000-0005-0000-0000-0000E9680000}"/>
    <cellStyle name="Normal 42 5 3 3 2 2" xfId="12355" xr:uid="{00000000-0005-0000-0000-0000EA680000}"/>
    <cellStyle name="Normal 42 5 3 3 3" xfId="12358" xr:uid="{00000000-0005-0000-0000-0000EB680000}"/>
    <cellStyle name="Normal 42 5 3 3 4" xfId="32778" xr:uid="{00000000-0005-0000-0000-0000EC680000}"/>
    <cellStyle name="Normal 42 5 3 4" xfId="32780" xr:uid="{00000000-0005-0000-0000-0000ED680000}"/>
    <cellStyle name="Normal 42 5 3 4 2" xfId="12366" xr:uid="{00000000-0005-0000-0000-0000EE680000}"/>
    <cellStyle name="Normal 42 5 3 4 2 2" xfId="32782" xr:uid="{00000000-0005-0000-0000-0000EF680000}"/>
    <cellStyle name="Normal 42 5 3 4 3" xfId="32784" xr:uid="{00000000-0005-0000-0000-0000F0680000}"/>
    <cellStyle name="Normal 42 5 3 5" xfId="9108" xr:uid="{00000000-0005-0000-0000-0000F1680000}"/>
    <cellStyle name="Normal 42 5 3 5 2" xfId="12372" xr:uid="{00000000-0005-0000-0000-0000F2680000}"/>
    <cellStyle name="Normal 42 5 3 6" xfId="9111" xr:uid="{00000000-0005-0000-0000-0000F3680000}"/>
    <cellStyle name="Normal 42 5 3 6 2" xfId="32786" xr:uid="{00000000-0005-0000-0000-0000F4680000}"/>
    <cellStyle name="Normal 42 5 3 7" xfId="32790" xr:uid="{00000000-0005-0000-0000-0000F5680000}"/>
    <cellStyle name="Normal 42 5 3 8" xfId="32795" xr:uid="{00000000-0005-0000-0000-0000F6680000}"/>
    <cellStyle name="Normal 42 5 4" xfId="32797" xr:uid="{00000000-0005-0000-0000-0000F7680000}"/>
    <cellStyle name="Normal 42 5 4 2" xfId="13918" xr:uid="{00000000-0005-0000-0000-0000F8680000}"/>
    <cellStyle name="Normal 42 5 4 2 2" xfId="5722" xr:uid="{00000000-0005-0000-0000-0000F9680000}"/>
    <cellStyle name="Normal 42 5 4 2 2 2" xfId="32799" xr:uid="{00000000-0005-0000-0000-0000FA680000}"/>
    <cellStyle name="Normal 42 5 4 2 3" xfId="5741" xr:uid="{00000000-0005-0000-0000-0000FB680000}"/>
    <cellStyle name="Normal 42 5 4 2 4" xfId="32801" xr:uid="{00000000-0005-0000-0000-0000FC680000}"/>
    <cellStyle name="Normal 42 5 4 3" xfId="32803" xr:uid="{00000000-0005-0000-0000-0000FD680000}"/>
    <cellStyle name="Normal 42 5 4 3 2" xfId="2521" xr:uid="{00000000-0005-0000-0000-0000FE680000}"/>
    <cellStyle name="Normal 42 5 4 4" xfId="21903" xr:uid="{00000000-0005-0000-0000-0000FF680000}"/>
    <cellStyle name="Normal 42 5 4 4 2" xfId="32805" xr:uid="{00000000-0005-0000-0000-000000690000}"/>
    <cellStyle name="Normal 42 5 4 5" xfId="9137" xr:uid="{00000000-0005-0000-0000-000001690000}"/>
    <cellStyle name="Normal 42 5 4 6" xfId="9324" xr:uid="{00000000-0005-0000-0000-000002690000}"/>
    <cellStyle name="Normal 42 5 5" xfId="32807" xr:uid="{00000000-0005-0000-0000-000003690000}"/>
    <cellStyle name="Normal 42 5 5 2" xfId="32809" xr:uid="{00000000-0005-0000-0000-000004690000}"/>
    <cellStyle name="Normal 42 5 5 2 2" xfId="728" xr:uid="{00000000-0005-0000-0000-000005690000}"/>
    <cellStyle name="Normal 42 5 5 2 2 2" xfId="32811" xr:uid="{00000000-0005-0000-0000-000006690000}"/>
    <cellStyle name="Normal 42 5 5 2 3" xfId="808" xr:uid="{00000000-0005-0000-0000-000007690000}"/>
    <cellStyle name="Normal 42 5 5 2 4" xfId="32814" xr:uid="{00000000-0005-0000-0000-000008690000}"/>
    <cellStyle name="Normal 42 5 5 3" xfId="32816" xr:uid="{00000000-0005-0000-0000-000009690000}"/>
    <cellStyle name="Normal 42 5 5 3 2" xfId="32818" xr:uid="{00000000-0005-0000-0000-00000A690000}"/>
    <cellStyle name="Normal 42 5 5 4" xfId="32820" xr:uid="{00000000-0005-0000-0000-00000B690000}"/>
    <cellStyle name="Normal 42 5 5 4 2" xfId="32822" xr:uid="{00000000-0005-0000-0000-00000C690000}"/>
    <cellStyle name="Normal 42 5 5 5" xfId="9905" xr:uid="{00000000-0005-0000-0000-00000D690000}"/>
    <cellStyle name="Normal 42 5 5 6" xfId="9371" xr:uid="{00000000-0005-0000-0000-00000E690000}"/>
    <cellStyle name="Normal 42 5 6" xfId="11267" xr:uid="{00000000-0005-0000-0000-00000F690000}"/>
    <cellStyle name="Normal 42 5 6 2" xfId="10323" xr:uid="{00000000-0005-0000-0000-000010690000}"/>
    <cellStyle name="Normal 42 5 6 2 2" xfId="7027" xr:uid="{00000000-0005-0000-0000-000011690000}"/>
    <cellStyle name="Normal 42 5 6 3" xfId="32824" xr:uid="{00000000-0005-0000-0000-000012690000}"/>
    <cellStyle name="Normal 42 5 6 4" xfId="32826" xr:uid="{00000000-0005-0000-0000-000013690000}"/>
    <cellStyle name="Normal 42 5 7" xfId="6022" xr:uid="{00000000-0005-0000-0000-000014690000}"/>
    <cellStyle name="Normal 42 5 7 2" xfId="32828" xr:uid="{00000000-0005-0000-0000-000015690000}"/>
    <cellStyle name="Normal 42 5 8" xfId="14939" xr:uid="{00000000-0005-0000-0000-000016690000}"/>
    <cellStyle name="Normal 42 5 8 2" xfId="10511" xr:uid="{00000000-0005-0000-0000-000017690000}"/>
    <cellStyle name="Normal 42 5 9" xfId="32830" xr:uid="{00000000-0005-0000-0000-000018690000}"/>
    <cellStyle name="Normal 42 6" xfId="32832" xr:uid="{00000000-0005-0000-0000-000019690000}"/>
    <cellStyle name="Normal 42 6 2" xfId="32834" xr:uid="{00000000-0005-0000-0000-00001A690000}"/>
    <cellStyle name="Normal 42 6 2 2" xfId="32836" xr:uid="{00000000-0005-0000-0000-00001B690000}"/>
    <cellStyle name="Normal 42 6 2 2 2" xfId="24894" xr:uid="{00000000-0005-0000-0000-00001C690000}"/>
    <cellStyle name="Normal 42 6 2 2 2 2" xfId="32839" xr:uid="{00000000-0005-0000-0000-00001D690000}"/>
    <cellStyle name="Normal 42 6 2 2 2 2 2" xfId="32841" xr:uid="{00000000-0005-0000-0000-00001E690000}"/>
    <cellStyle name="Normal 42 6 2 2 2 3" xfId="32843" xr:uid="{00000000-0005-0000-0000-00001F690000}"/>
    <cellStyle name="Normal 42 6 2 2 3" xfId="32845" xr:uid="{00000000-0005-0000-0000-000020690000}"/>
    <cellStyle name="Normal 42 6 2 2 3 2" xfId="32847" xr:uid="{00000000-0005-0000-0000-000021690000}"/>
    <cellStyle name="Normal 42 6 2 2 4" xfId="32849" xr:uid="{00000000-0005-0000-0000-000022690000}"/>
    <cellStyle name="Normal 42 6 2 2 5" xfId="32851" xr:uid="{00000000-0005-0000-0000-000023690000}"/>
    <cellStyle name="Normal 42 6 2 3" xfId="32853" xr:uid="{00000000-0005-0000-0000-000024690000}"/>
    <cellStyle name="Normal 42 6 2 3 2" xfId="32856" xr:uid="{00000000-0005-0000-0000-000025690000}"/>
    <cellStyle name="Normal 42 6 2 3 2 2" xfId="28913" xr:uid="{00000000-0005-0000-0000-000026690000}"/>
    <cellStyle name="Normal 42 6 2 3 3" xfId="32858" xr:uid="{00000000-0005-0000-0000-000027690000}"/>
    <cellStyle name="Normal 42 6 2 4" xfId="32860" xr:uid="{00000000-0005-0000-0000-000028690000}"/>
    <cellStyle name="Normal 42 6 2 4 2" xfId="32862" xr:uid="{00000000-0005-0000-0000-000029690000}"/>
    <cellStyle name="Normal 42 6 2 4 2 2" xfId="32864" xr:uid="{00000000-0005-0000-0000-00002A690000}"/>
    <cellStyle name="Normal 42 6 2 4 3" xfId="32866" xr:uid="{00000000-0005-0000-0000-00002B690000}"/>
    <cellStyle name="Normal 42 6 2 5" xfId="32868" xr:uid="{00000000-0005-0000-0000-00002C690000}"/>
    <cellStyle name="Normal 42 6 2 5 2" xfId="32870" xr:uid="{00000000-0005-0000-0000-00002D690000}"/>
    <cellStyle name="Normal 42 6 2 6" xfId="31201" xr:uid="{00000000-0005-0000-0000-00002E690000}"/>
    <cellStyle name="Normal 42 6 2 6 2" xfId="31205" xr:uid="{00000000-0005-0000-0000-00002F690000}"/>
    <cellStyle name="Normal 42 6 2 7" xfId="31209" xr:uid="{00000000-0005-0000-0000-000030690000}"/>
    <cellStyle name="Normal 42 6 2 8" xfId="32873" xr:uid="{00000000-0005-0000-0000-000031690000}"/>
    <cellStyle name="Normal 42 6 3" xfId="32875" xr:uid="{00000000-0005-0000-0000-000032690000}"/>
    <cellStyle name="Normal 42 6 3 2" xfId="32877" xr:uid="{00000000-0005-0000-0000-000033690000}"/>
    <cellStyle name="Normal 42 6 3 2 2" xfId="32881" xr:uid="{00000000-0005-0000-0000-000034690000}"/>
    <cellStyle name="Normal 42 6 3 2 2 2" xfId="32883" xr:uid="{00000000-0005-0000-0000-000035690000}"/>
    <cellStyle name="Normal 42 6 3 2 3" xfId="32885" xr:uid="{00000000-0005-0000-0000-000036690000}"/>
    <cellStyle name="Normal 42 6 3 3" xfId="32887" xr:uid="{00000000-0005-0000-0000-000037690000}"/>
    <cellStyle name="Normal 42 6 3 3 2" xfId="12391" xr:uid="{00000000-0005-0000-0000-000038690000}"/>
    <cellStyle name="Normal 42 6 3 4" xfId="32890" xr:uid="{00000000-0005-0000-0000-000039690000}"/>
    <cellStyle name="Normal 42 6 3 5" xfId="10123" xr:uid="{00000000-0005-0000-0000-00003A690000}"/>
    <cellStyle name="Normal 42 6 4" xfId="32892" xr:uid="{00000000-0005-0000-0000-00003B690000}"/>
    <cellStyle name="Normal 42 6 4 2" xfId="32894" xr:uid="{00000000-0005-0000-0000-00003C690000}"/>
    <cellStyle name="Normal 42 6 4 2 2" xfId="32897" xr:uid="{00000000-0005-0000-0000-00003D690000}"/>
    <cellStyle name="Normal 42 6 4 3" xfId="32899" xr:uid="{00000000-0005-0000-0000-00003E690000}"/>
    <cellStyle name="Normal 42 6 5" xfId="32901" xr:uid="{00000000-0005-0000-0000-00003F690000}"/>
    <cellStyle name="Normal 42 6 5 2" xfId="10636" xr:uid="{00000000-0005-0000-0000-000040690000}"/>
    <cellStyle name="Normal 42 6 5 2 2" xfId="32903" xr:uid="{00000000-0005-0000-0000-000041690000}"/>
    <cellStyle name="Normal 42 6 5 3" xfId="32905" xr:uid="{00000000-0005-0000-0000-000042690000}"/>
    <cellStyle name="Normal 42 6 6" xfId="11286" xr:uid="{00000000-0005-0000-0000-000043690000}"/>
    <cellStyle name="Normal 42 6 6 2" xfId="32907" xr:uid="{00000000-0005-0000-0000-000044690000}"/>
    <cellStyle name="Normal 42 6 7" xfId="32909" xr:uid="{00000000-0005-0000-0000-000045690000}"/>
    <cellStyle name="Normal 42 6 7 2" xfId="3270" xr:uid="{00000000-0005-0000-0000-000046690000}"/>
    <cellStyle name="Normal 42 6 8" xfId="32911" xr:uid="{00000000-0005-0000-0000-000047690000}"/>
    <cellStyle name="Normal 42 6 9" xfId="32913" xr:uid="{00000000-0005-0000-0000-000048690000}"/>
    <cellStyle name="Normal 42 7" xfId="32915" xr:uid="{00000000-0005-0000-0000-000049690000}"/>
    <cellStyle name="Normal 42 7 2" xfId="25671" xr:uid="{00000000-0005-0000-0000-00004A690000}"/>
    <cellStyle name="Normal 42 7 2 2" xfId="16819" xr:uid="{00000000-0005-0000-0000-00004B690000}"/>
    <cellStyle name="Normal 42 7 2 2 2" xfId="16823" xr:uid="{00000000-0005-0000-0000-00004C690000}"/>
    <cellStyle name="Normal 42 7 2 2 2 2" xfId="32917" xr:uid="{00000000-0005-0000-0000-00004D690000}"/>
    <cellStyle name="Normal 42 7 2 2 2 2 2" xfId="32919" xr:uid="{00000000-0005-0000-0000-00004E690000}"/>
    <cellStyle name="Normal 42 7 2 2 2 3" xfId="9610" xr:uid="{00000000-0005-0000-0000-00004F690000}"/>
    <cellStyle name="Normal 42 7 2 2 3" xfId="32921" xr:uid="{00000000-0005-0000-0000-000050690000}"/>
    <cellStyle name="Normal 42 7 2 2 3 2" xfId="32923" xr:uid="{00000000-0005-0000-0000-000051690000}"/>
    <cellStyle name="Normal 42 7 2 2 4" xfId="28592" xr:uid="{00000000-0005-0000-0000-000052690000}"/>
    <cellStyle name="Normal 42 7 2 2 5" xfId="23010" xr:uid="{00000000-0005-0000-0000-000053690000}"/>
    <cellStyle name="Normal 42 7 2 3" xfId="16828" xr:uid="{00000000-0005-0000-0000-000054690000}"/>
    <cellStyle name="Normal 42 7 2 3 2" xfId="32925" xr:uid="{00000000-0005-0000-0000-000055690000}"/>
    <cellStyle name="Normal 42 7 2 3 2 2" xfId="32927" xr:uid="{00000000-0005-0000-0000-000056690000}"/>
    <cellStyle name="Normal 42 7 2 3 3" xfId="32929" xr:uid="{00000000-0005-0000-0000-000057690000}"/>
    <cellStyle name="Normal 42 7 2 4" xfId="32931" xr:uid="{00000000-0005-0000-0000-000058690000}"/>
    <cellStyle name="Normal 42 7 2 4 2" xfId="32933" xr:uid="{00000000-0005-0000-0000-000059690000}"/>
    <cellStyle name="Normal 42 7 2 4 2 2" xfId="32935" xr:uid="{00000000-0005-0000-0000-00005A690000}"/>
    <cellStyle name="Normal 42 7 2 4 3" xfId="32937" xr:uid="{00000000-0005-0000-0000-00005B690000}"/>
    <cellStyle name="Normal 42 7 2 5" xfId="32940" xr:uid="{00000000-0005-0000-0000-00005C690000}"/>
    <cellStyle name="Normal 42 7 2 5 2" xfId="32943" xr:uid="{00000000-0005-0000-0000-00005D690000}"/>
    <cellStyle name="Normal 42 7 2 6" xfId="32945" xr:uid="{00000000-0005-0000-0000-00005E690000}"/>
    <cellStyle name="Normal 42 7 2 6 2" xfId="32947" xr:uid="{00000000-0005-0000-0000-00005F690000}"/>
    <cellStyle name="Normal 42 7 2 7" xfId="32949" xr:uid="{00000000-0005-0000-0000-000060690000}"/>
    <cellStyle name="Normal 42 7 2 8" xfId="16160" xr:uid="{00000000-0005-0000-0000-000061690000}"/>
    <cellStyle name="Normal 42 7 3" xfId="25675" xr:uid="{00000000-0005-0000-0000-000062690000}"/>
    <cellStyle name="Normal 42 7 3 2" xfId="16347" xr:uid="{00000000-0005-0000-0000-000063690000}"/>
    <cellStyle name="Normal 42 7 3 2 2" xfId="12847" xr:uid="{00000000-0005-0000-0000-000064690000}"/>
    <cellStyle name="Normal 42 7 3 2 2 2" xfId="32951" xr:uid="{00000000-0005-0000-0000-000065690000}"/>
    <cellStyle name="Normal 42 7 3 2 3" xfId="32953" xr:uid="{00000000-0005-0000-0000-000066690000}"/>
    <cellStyle name="Normal 42 7 3 3" xfId="16351" xr:uid="{00000000-0005-0000-0000-000067690000}"/>
    <cellStyle name="Normal 42 7 3 3 2" xfId="32955" xr:uid="{00000000-0005-0000-0000-000068690000}"/>
    <cellStyle name="Normal 42 7 3 4" xfId="32957" xr:uid="{00000000-0005-0000-0000-000069690000}"/>
    <cellStyle name="Normal 42 7 3 5" xfId="10746" xr:uid="{00000000-0005-0000-0000-00006A690000}"/>
    <cellStyle name="Normal 42 7 4" xfId="21927" xr:uid="{00000000-0005-0000-0000-00006B690000}"/>
    <cellStyle name="Normal 42 7 4 2" xfId="16361" xr:uid="{00000000-0005-0000-0000-00006C690000}"/>
    <cellStyle name="Normal 42 7 4 2 2" xfId="32961" xr:uid="{00000000-0005-0000-0000-00006D690000}"/>
    <cellStyle name="Normal 42 7 4 3" xfId="32963" xr:uid="{00000000-0005-0000-0000-00006E690000}"/>
    <cellStyle name="Normal 42 7 5" xfId="21932" xr:uid="{00000000-0005-0000-0000-00006F690000}"/>
    <cellStyle name="Normal 42 7 5 2" xfId="32966" xr:uid="{00000000-0005-0000-0000-000070690000}"/>
    <cellStyle name="Normal 42 7 5 2 2" xfId="32970" xr:uid="{00000000-0005-0000-0000-000071690000}"/>
    <cellStyle name="Normal 42 7 5 3" xfId="32972" xr:uid="{00000000-0005-0000-0000-000072690000}"/>
    <cellStyle name="Normal 42 7 6" xfId="32974" xr:uid="{00000000-0005-0000-0000-000073690000}"/>
    <cellStyle name="Normal 42 7 6 2" xfId="32976" xr:uid="{00000000-0005-0000-0000-000074690000}"/>
    <cellStyle name="Normal 42 7 7" xfId="32978" xr:uid="{00000000-0005-0000-0000-000075690000}"/>
    <cellStyle name="Normal 42 7 7 2" xfId="32980" xr:uid="{00000000-0005-0000-0000-000076690000}"/>
    <cellStyle name="Normal 42 7 8" xfId="32982" xr:uid="{00000000-0005-0000-0000-000077690000}"/>
    <cellStyle name="Normal 42 7 9" xfId="32984" xr:uid="{00000000-0005-0000-0000-000078690000}"/>
    <cellStyle name="Normal 42 8" xfId="32988" xr:uid="{00000000-0005-0000-0000-000079690000}"/>
    <cellStyle name="Normal 42 8 2" xfId="25683" xr:uid="{00000000-0005-0000-0000-00007A690000}"/>
    <cellStyle name="Normal 42 8 2 2" xfId="32990" xr:uid="{00000000-0005-0000-0000-00007B690000}"/>
    <cellStyle name="Normal 42 8 2 2 2" xfId="32994" xr:uid="{00000000-0005-0000-0000-00007C690000}"/>
    <cellStyle name="Normal 42 8 2 2 2 2" xfId="32998" xr:uid="{00000000-0005-0000-0000-00007D690000}"/>
    <cellStyle name="Normal 42 8 2 2 2 2 2" xfId="24113" xr:uid="{00000000-0005-0000-0000-00007E690000}"/>
    <cellStyle name="Normal 42 8 2 2 2 3" xfId="33000" xr:uid="{00000000-0005-0000-0000-00007F690000}"/>
    <cellStyle name="Normal 42 8 2 2 3" xfId="29759" xr:uid="{00000000-0005-0000-0000-000080690000}"/>
    <cellStyle name="Normal 42 8 2 2 3 2" xfId="18712" xr:uid="{00000000-0005-0000-0000-000081690000}"/>
    <cellStyle name="Normal 42 8 2 2 4" xfId="33004" xr:uid="{00000000-0005-0000-0000-000082690000}"/>
    <cellStyle name="Normal 42 8 2 3" xfId="33006" xr:uid="{00000000-0005-0000-0000-000083690000}"/>
    <cellStyle name="Normal 42 8 2 3 2" xfId="33010" xr:uid="{00000000-0005-0000-0000-000084690000}"/>
    <cellStyle name="Normal 42 8 2 3 2 2" xfId="33013" xr:uid="{00000000-0005-0000-0000-000085690000}"/>
    <cellStyle name="Normal 42 8 2 3 3" xfId="33015" xr:uid="{00000000-0005-0000-0000-000086690000}"/>
    <cellStyle name="Normal 42 8 2 4" xfId="33017" xr:uid="{00000000-0005-0000-0000-000087690000}"/>
    <cellStyle name="Normal 42 8 2 4 2" xfId="33019" xr:uid="{00000000-0005-0000-0000-000088690000}"/>
    <cellStyle name="Normal 42 8 2 4 2 2" xfId="33022" xr:uid="{00000000-0005-0000-0000-000089690000}"/>
    <cellStyle name="Normal 42 8 2 4 3" xfId="33024" xr:uid="{00000000-0005-0000-0000-00008A690000}"/>
    <cellStyle name="Normal 42 8 2 5" xfId="33028" xr:uid="{00000000-0005-0000-0000-00008B690000}"/>
    <cellStyle name="Normal 42 8 2 5 2" xfId="23947" xr:uid="{00000000-0005-0000-0000-00008C690000}"/>
    <cellStyle name="Normal 42 8 2 6" xfId="33030" xr:uid="{00000000-0005-0000-0000-00008D690000}"/>
    <cellStyle name="Normal 42 8 2 6 2" xfId="33032" xr:uid="{00000000-0005-0000-0000-00008E690000}"/>
    <cellStyle name="Normal 42 8 2 7" xfId="33034" xr:uid="{00000000-0005-0000-0000-00008F690000}"/>
    <cellStyle name="Normal 42 8 2 8" xfId="33037" xr:uid="{00000000-0005-0000-0000-000090690000}"/>
    <cellStyle name="Normal 42 8 3" xfId="26728" xr:uid="{00000000-0005-0000-0000-000091690000}"/>
    <cellStyle name="Normal 42 8 3 2" xfId="26731" xr:uid="{00000000-0005-0000-0000-000092690000}"/>
    <cellStyle name="Normal 42 8 3 2 2" xfId="13386" xr:uid="{00000000-0005-0000-0000-000093690000}"/>
    <cellStyle name="Normal 42 8 3 2 2 2" xfId="33041" xr:uid="{00000000-0005-0000-0000-000094690000}"/>
    <cellStyle name="Normal 42 8 3 2 3" xfId="33045" xr:uid="{00000000-0005-0000-0000-000095690000}"/>
    <cellStyle name="Normal 42 8 3 3" xfId="33047" xr:uid="{00000000-0005-0000-0000-000096690000}"/>
    <cellStyle name="Normal 42 8 3 3 2" xfId="33049" xr:uid="{00000000-0005-0000-0000-000097690000}"/>
    <cellStyle name="Normal 42 8 3 4" xfId="33051" xr:uid="{00000000-0005-0000-0000-000098690000}"/>
    <cellStyle name="Normal 42 8 4" xfId="26734" xr:uid="{00000000-0005-0000-0000-000099690000}"/>
    <cellStyle name="Normal 42 8 4 2" xfId="30572" xr:uid="{00000000-0005-0000-0000-00009A690000}"/>
    <cellStyle name="Normal 42 8 4 2 2" xfId="30582" xr:uid="{00000000-0005-0000-0000-00009B690000}"/>
    <cellStyle name="Normal 42 8 4 3" xfId="30584" xr:uid="{00000000-0005-0000-0000-00009C690000}"/>
    <cellStyle name="Normal 42 8 5" xfId="30588" xr:uid="{00000000-0005-0000-0000-00009D690000}"/>
    <cellStyle name="Normal 42 8 5 2" xfId="30592" xr:uid="{00000000-0005-0000-0000-00009E690000}"/>
    <cellStyle name="Normal 42 8 5 2 2" xfId="33053" xr:uid="{00000000-0005-0000-0000-00009F690000}"/>
    <cellStyle name="Normal 42 8 5 3" xfId="33056" xr:uid="{00000000-0005-0000-0000-0000A0690000}"/>
    <cellStyle name="Normal 42 8 6" xfId="30596" xr:uid="{00000000-0005-0000-0000-0000A1690000}"/>
    <cellStyle name="Normal 42 8 6 2" xfId="33058" xr:uid="{00000000-0005-0000-0000-0000A2690000}"/>
    <cellStyle name="Normal 42 8 7" xfId="33060" xr:uid="{00000000-0005-0000-0000-0000A3690000}"/>
    <cellStyle name="Normal 42 8 7 2" xfId="33062" xr:uid="{00000000-0005-0000-0000-0000A4690000}"/>
    <cellStyle name="Normal 42 8 8" xfId="33065" xr:uid="{00000000-0005-0000-0000-0000A5690000}"/>
    <cellStyle name="Normal 42 8 9" xfId="33068" xr:uid="{00000000-0005-0000-0000-0000A6690000}"/>
    <cellStyle name="Normal 42 9" xfId="33073" xr:uid="{00000000-0005-0000-0000-0000A7690000}"/>
    <cellStyle name="Normal 42 9 2" xfId="33075" xr:uid="{00000000-0005-0000-0000-0000A8690000}"/>
    <cellStyle name="Normal 42 9 2 2" xfId="33077" xr:uid="{00000000-0005-0000-0000-0000A9690000}"/>
    <cellStyle name="Normal 42 9 2 2 2" xfId="20816" xr:uid="{00000000-0005-0000-0000-0000AA690000}"/>
    <cellStyle name="Normal 42 9 2 2 2 2" xfId="33081" xr:uid="{00000000-0005-0000-0000-0000AB690000}"/>
    <cellStyle name="Normal 42 9 2 2 3" xfId="33085" xr:uid="{00000000-0005-0000-0000-0000AC690000}"/>
    <cellStyle name="Normal 42 9 2 3" xfId="33087" xr:uid="{00000000-0005-0000-0000-0000AD690000}"/>
    <cellStyle name="Normal 42 9 2 3 2" xfId="33091" xr:uid="{00000000-0005-0000-0000-0000AE690000}"/>
    <cellStyle name="Normal 42 9 2 4" xfId="33093" xr:uid="{00000000-0005-0000-0000-0000AF690000}"/>
    <cellStyle name="Normal 42 9 2 5" xfId="33097" xr:uid="{00000000-0005-0000-0000-0000B0690000}"/>
    <cellStyle name="Normal 42 9 3" xfId="26740" xr:uid="{00000000-0005-0000-0000-0000B1690000}"/>
    <cellStyle name="Normal 42 9 3 2" xfId="33099" xr:uid="{00000000-0005-0000-0000-0000B2690000}"/>
    <cellStyle name="Normal 42 9 3 2 2" xfId="33103" xr:uid="{00000000-0005-0000-0000-0000B3690000}"/>
    <cellStyle name="Normal 42 9 3 3" xfId="33105" xr:uid="{00000000-0005-0000-0000-0000B4690000}"/>
    <cellStyle name="Normal 42 9 4" xfId="30602" xr:uid="{00000000-0005-0000-0000-0000B5690000}"/>
    <cellStyle name="Normal 42 9 4 2" xfId="30606" xr:uid="{00000000-0005-0000-0000-0000B6690000}"/>
    <cellStyle name="Normal 42 9 4 2 2" xfId="33111" xr:uid="{00000000-0005-0000-0000-0000B7690000}"/>
    <cellStyle name="Normal 42 9 4 3" xfId="33113" xr:uid="{00000000-0005-0000-0000-0000B8690000}"/>
    <cellStyle name="Normal 42 9 5" xfId="30610" xr:uid="{00000000-0005-0000-0000-0000B9690000}"/>
    <cellStyle name="Normal 42 9 5 2" xfId="33115" xr:uid="{00000000-0005-0000-0000-0000BA690000}"/>
    <cellStyle name="Normal 42 9 6" xfId="33117" xr:uid="{00000000-0005-0000-0000-0000BB690000}"/>
    <cellStyle name="Normal 42 9 6 2" xfId="33119" xr:uid="{00000000-0005-0000-0000-0000BC690000}"/>
    <cellStyle name="Normal 42 9 7" xfId="33121" xr:uid="{00000000-0005-0000-0000-0000BD690000}"/>
    <cellStyle name="Normal 42 9 8" xfId="14891" xr:uid="{00000000-0005-0000-0000-0000BE690000}"/>
    <cellStyle name="Normal 43" xfId="5930" xr:uid="{00000000-0005-0000-0000-0000BF690000}"/>
    <cellStyle name="Normal 43 10" xfId="33124" xr:uid="{00000000-0005-0000-0000-0000C0690000}"/>
    <cellStyle name="Normal 43 10 2" xfId="9583" xr:uid="{00000000-0005-0000-0000-0000C1690000}"/>
    <cellStyle name="Normal 43 10 2 2" xfId="9592" xr:uid="{00000000-0005-0000-0000-0000C2690000}"/>
    <cellStyle name="Normal 43 10 3" xfId="9597" xr:uid="{00000000-0005-0000-0000-0000C3690000}"/>
    <cellStyle name="Normal 43 11" xfId="33133" xr:uid="{00000000-0005-0000-0000-0000C4690000}"/>
    <cellStyle name="Normal 43 11 2" xfId="4543" xr:uid="{00000000-0005-0000-0000-0000C5690000}"/>
    <cellStyle name="Normal 43 11 2 2" xfId="33135" xr:uid="{00000000-0005-0000-0000-0000C6690000}"/>
    <cellStyle name="Normal 43 11 3" xfId="5045" xr:uid="{00000000-0005-0000-0000-0000C7690000}"/>
    <cellStyle name="Normal 43 12" xfId="33137" xr:uid="{00000000-0005-0000-0000-0000C8690000}"/>
    <cellStyle name="Normal 43 12 2" xfId="33140" xr:uid="{00000000-0005-0000-0000-0000C9690000}"/>
    <cellStyle name="Normal 43 13" xfId="33142" xr:uid="{00000000-0005-0000-0000-0000CA690000}"/>
    <cellStyle name="Normal 43 13 2" xfId="33145" xr:uid="{00000000-0005-0000-0000-0000CB690000}"/>
    <cellStyle name="Normal 43 14" xfId="17027" xr:uid="{00000000-0005-0000-0000-0000CC690000}"/>
    <cellStyle name="Normal 43 14 2" xfId="14693" xr:uid="{00000000-0005-0000-0000-0000CD690000}"/>
    <cellStyle name="Normal 43 15" xfId="17033" xr:uid="{00000000-0005-0000-0000-0000CE690000}"/>
    <cellStyle name="Normal 43 16" xfId="9481" xr:uid="{00000000-0005-0000-0000-0000CF690000}"/>
    <cellStyle name="Normal 43 2" xfId="22946" xr:uid="{00000000-0005-0000-0000-0000D0690000}"/>
    <cellStyle name="Normal 43 2 10" xfId="21219" xr:uid="{00000000-0005-0000-0000-0000D1690000}"/>
    <cellStyle name="Normal 43 2 10 2" xfId="21222" xr:uid="{00000000-0005-0000-0000-0000D2690000}"/>
    <cellStyle name="Normal 43 2 11" xfId="21158" xr:uid="{00000000-0005-0000-0000-0000D3690000}"/>
    <cellStyle name="Normal 43 2 11 2" xfId="21253" xr:uid="{00000000-0005-0000-0000-0000D4690000}"/>
    <cellStyle name="Normal 43 2 12" xfId="21300" xr:uid="{00000000-0005-0000-0000-0000D5690000}"/>
    <cellStyle name="Normal 43 2 12 2" xfId="17489" xr:uid="{00000000-0005-0000-0000-0000D6690000}"/>
    <cellStyle name="Normal 43 2 13" xfId="21326" xr:uid="{00000000-0005-0000-0000-0000D7690000}"/>
    <cellStyle name="Normal 43 2 14" xfId="21342" xr:uid="{00000000-0005-0000-0000-0000D8690000}"/>
    <cellStyle name="Normal 43 2 2" xfId="30148" xr:uid="{00000000-0005-0000-0000-0000D9690000}"/>
    <cellStyle name="Normal 43 2 2 10" xfId="12321" xr:uid="{00000000-0005-0000-0000-0000DA690000}"/>
    <cellStyle name="Normal 43 2 2 2" xfId="30152" xr:uid="{00000000-0005-0000-0000-0000DB690000}"/>
    <cellStyle name="Normal 43 2 2 2 2" xfId="33147" xr:uid="{00000000-0005-0000-0000-0000DC690000}"/>
    <cellStyle name="Normal 43 2 2 2 2 2" xfId="33149" xr:uid="{00000000-0005-0000-0000-0000DD690000}"/>
    <cellStyle name="Normal 43 2 2 2 2 2 2" xfId="26795" xr:uid="{00000000-0005-0000-0000-0000DE690000}"/>
    <cellStyle name="Normal 43 2 2 2 2 2 2 2" xfId="30142" xr:uid="{00000000-0005-0000-0000-0000DF690000}"/>
    <cellStyle name="Normal 43 2 2 2 2 2 2 2 2" xfId="33151" xr:uid="{00000000-0005-0000-0000-0000E0690000}"/>
    <cellStyle name="Normal 43 2 2 2 2 2 2 3" xfId="33153" xr:uid="{00000000-0005-0000-0000-0000E1690000}"/>
    <cellStyle name="Normal 43 2 2 2 2 2 3" xfId="26800" xr:uid="{00000000-0005-0000-0000-0000E2690000}"/>
    <cellStyle name="Normal 43 2 2 2 2 2 3 2" xfId="33155" xr:uid="{00000000-0005-0000-0000-0000E3690000}"/>
    <cellStyle name="Normal 43 2 2 2 2 2 4" xfId="33157" xr:uid="{00000000-0005-0000-0000-0000E4690000}"/>
    <cellStyle name="Normal 43 2 2 2 2 3" xfId="33160" xr:uid="{00000000-0005-0000-0000-0000E5690000}"/>
    <cellStyle name="Normal 43 2 2 2 2 3 2" xfId="30159" xr:uid="{00000000-0005-0000-0000-0000E6690000}"/>
    <cellStyle name="Normal 43 2 2 2 2 3 2 2" xfId="33165" xr:uid="{00000000-0005-0000-0000-0000E7690000}"/>
    <cellStyle name="Normal 43 2 2 2 2 3 3" xfId="33170" xr:uid="{00000000-0005-0000-0000-0000E8690000}"/>
    <cellStyle name="Normal 43 2 2 2 2 4" xfId="3375" xr:uid="{00000000-0005-0000-0000-0000E9690000}"/>
    <cellStyle name="Normal 43 2 2 2 2 4 2" xfId="30181" xr:uid="{00000000-0005-0000-0000-0000EA690000}"/>
    <cellStyle name="Normal 43 2 2 2 2 4 2 2" xfId="33175" xr:uid="{00000000-0005-0000-0000-0000EB690000}"/>
    <cellStyle name="Normal 43 2 2 2 2 4 3" xfId="33180" xr:uid="{00000000-0005-0000-0000-0000EC690000}"/>
    <cellStyle name="Normal 43 2 2 2 2 5" xfId="33183" xr:uid="{00000000-0005-0000-0000-0000ED690000}"/>
    <cellStyle name="Normal 43 2 2 2 2 5 2" xfId="33188" xr:uid="{00000000-0005-0000-0000-0000EE690000}"/>
    <cellStyle name="Normal 43 2 2 2 2 6" xfId="33193" xr:uid="{00000000-0005-0000-0000-0000EF690000}"/>
    <cellStyle name="Normal 43 2 2 2 2 6 2" xfId="33200" xr:uid="{00000000-0005-0000-0000-0000F0690000}"/>
    <cellStyle name="Normal 43 2 2 2 2 7" xfId="33205" xr:uid="{00000000-0005-0000-0000-0000F1690000}"/>
    <cellStyle name="Normal 43 2 2 2 2 8" xfId="33210" xr:uid="{00000000-0005-0000-0000-0000F2690000}"/>
    <cellStyle name="Normal 43 2 2 2 3" xfId="7016" xr:uid="{00000000-0005-0000-0000-0000F3690000}"/>
    <cellStyle name="Normal 43 2 2 2 3 2" xfId="33214" xr:uid="{00000000-0005-0000-0000-0000F4690000}"/>
    <cellStyle name="Normal 43 2 2 2 3 2 2" xfId="30214" xr:uid="{00000000-0005-0000-0000-0000F5690000}"/>
    <cellStyle name="Normal 43 2 2 2 3 2 2 2" xfId="23499" xr:uid="{00000000-0005-0000-0000-0000F6690000}"/>
    <cellStyle name="Normal 43 2 2 2 3 2 3" xfId="33218" xr:uid="{00000000-0005-0000-0000-0000F7690000}"/>
    <cellStyle name="Normal 43 2 2 2 3 3" xfId="33224" xr:uid="{00000000-0005-0000-0000-0000F8690000}"/>
    <cellStyle name="Normal 43 2 2 2 3 3 2" xfId="33229" xr:uid="{00000000-0005-0000-0000-0000F9690000}"/>
    <cellStyle name="Normal 43 2 2 2 3 4" xfId="33238" xr:uid="{00000000-0005-0000-0000-0000FA690000}"/>
    <cellStyle name="Normal 43 2 2 2 4" xfId="22958" xr:uid="{00000000-0005-0000-0000-0000FB690000}"/>
    <cellStyle name="Normal 43 2 2 2 4 2" xfId="33243" xr:uid="{00000000-0005-0000-0000-0000FC690000}"/>
    <cellStyle name="Normal 43 2 2 2 4 2 2" xfId="33247" xr:uid="{00000000-0005-0000-0000-0000FD690000}"/>
    <cellStyle name="Normal 43 2 2 2 4 3" xfId="33252" xr:uid="{00000000-0005-0000-0000-0000FE690000}"/>
    <cellStyle name="Normal 43 2 2 2 5" xfId="33256" xr:uid="{00000000-0005-0000-0000-0000FF690000}"/>
    <cellStyle name="Normal 43 2 2 2 5 2" xfId="33259" xr:uid="{00000000-0005-0000-0000-0000006A0000}"/>
    <cellStyle name="Normal 43 2 2 2 5 2 2" xfId="33263" xr:uid="{00000000-0005-0000-0000-0000016A0000}"/>
    <cellStyle name="Normal 43 2 2 2 5 3" xfId="33267" xr:uid="{00000000-0005-0000-0000-0000026A0000}"/>
    <cellStyle name="Normal 43 2 2 2 6" xfId="29686" xr:uid="{00000000-0005-0000-0000-0000036A0000}"/>
    <cellStyle name="Normal 43 2 2 2 6 2" xfId="33271" xr:uid="{00000000-0005-0000-0000-0000046A0000}"/>
    <cellStyle name="Normal 43 2 2 2 7" xfId="33274" xr:uid="{00000000-0005-0000-0000-0000056A0000}"/>
    <cellStyle name="Normal 43 2 2 2 7 2" xfId="33277" xr:uid="{00000000-0005-0000-0000-0000066A0000}"/>
    <cellStyle name="Normal 43 2 2 2 8" xfId="33280" xr:uid="{00000000-0005-0000-0000-0000076A0000}"/>
    <cellStyle name="Normal 43 2 2 2 9" xfId="9209" xr:uid="{00000000-0005-0000-0000-0000086A0000}"/>
    <cellStyle name="Normal 43 2 2 3" xfId="33282" xr:uid="{00000000-0005-0000-0000-0000096A0000}"/>
    <cellStyle name="Normal 43 2 2 3 2" xfId="33284" xr:uid="{00000000-0005-0000-0000-00000A6A0000}"/>
    <cellStyle name="Normal 43 2 2 3 2 2" xfId="1837" xr:uid="{00000000-0005-0000-0000-00000B6A0000}"/>
    <cellStyle name="Normal 43 2 2 3 2 2 2" xfId="30274" xr:uid="{00000000-0005-0000-0000-00000C6A0000}"/>
    <cellStyle name="Normal 43 2 2 3 2 2 2 2" xfId="30279" xr:uid="{00000000-0005-0000-0000-00000D6A0000}"/>
    <cellStyle name="Normal 43 2 2 3 2 2 3" xfId="30284" xr:uid="{00000000-0005-0000-0000-00000E6A0000}"/>
    <cellStyle name="Normal 43 2 2 3 2 3" xfId="33287" xr:uid="{00000000-0005-0000-0000-00000F6A0000}"/>
    <cellStyle name="Normal 43 2 2 3 2 3 2" xfId="30301" xr:uid="{00000000-0005-0000-0000-0000106A0000}"/>
    <cellStyle name="Normal 43 2 2 3 2 4" xfId="33290" xr:uid="{00000000-0005-0000-0000-0000116A0000}"/>
    <cellStyle name="Normal 43 2 2 3 3" xfId="33293" xr:uid="{00000000-0005-0000-0000-0000126A0000}"/>
    <cellStyle name="Normal 43 2 2 3 3 2" xfId="919" xr:uid="{00000000-0005-0000-0000-0000136A0000}"/>
    <cellStyle name="Normal 43 2 2 3 3 2 2" xfId="30354" xr:uid="{00000000-0005-0000-0000-0000146A0000}"/>
    <cellStyle name="Normal 43 2 2 3 3 3" xfId="33297" xr:uid="{00000000-0005-0000-0000-0000156A0000}"/>
    <cellStyle name="Normal 43 2 2 3 4" xfId="33301" xr:uid="{00000000-0005-0000-0000-0000166A0000}"/>
    <cellStyle name="Normal 43 2 2 3 4 2" xfId="18147" xr:uid="{00000000-0005-0000-0000-0000176A0000}"/>
    <cellStyle name="Normal 43 2 2 3 4 2 2" xfId="10898" xr:uid="{00000000-0005-0000-0000-0000186A0000}"/>
    <cellStyle name="Normal 43 2 2 3 4 3" xfId="13576" xr:uid="{00000000-0005-0000-0000-0000196A0000}"/>
    <cellStyle name="Normal 43 2 2 3 5" xfId="33303" xr:uid="{00000000-0005-0000-0000-00001A6A0000}"/>
    <cellStyle name="Normal 43 2 2 3 5 2" xfId="18178" xr:uid="{00000000-0005-0000-0000-00001B6A0000}"/>
    <cellStyle name="Normal 43 2 2 3 6" xfId="33305" xr:uid="{00000000-0005-0000-0000-00001C6A0000}"/>
    <cellStyle name="Normal 43 2 2 3 6 2" xfId="33308" xr:uid="{00000000-0005-0000-0000-00001D6A0000}"/>
    <cellStyle name="Normal 43 2 2 3 7" xfId="33311" xr:uid="{00000000-0005-0000-0000-00001E6A0000}"/>
    <cellStyle name="Normal 43 2 2 3 8" xfId="33313" xr:uid="{00000000-0005-0000-0000-00001F6A0000}"/>
    <cellStyle name="Normal 43 2 2 4" xfId="33315" xr:uid="{00000000-0005-0000-0000-0000206A0000}"/>
    <cellStyle name="Normal 43 2 2 4 2" xfId="33319" xr:uid="{00000000-0005-0000-0000-0000216A0000}"/>
    <cellStyle name="Normal 43 2 2 4 2 2" xfId="2282" xr:uid="{00000000-0005-0000-0000-0000226A0000}"/>
    <cellStyle name="Normal 43 2 2 4 2 2 2" xfId="5288" xr:uid="{00000000-0005-0000-0000-0000236A0000}"/>
    <cellStyle name="Normal 43 2 2 4 2 3" xfId="33324" xr:uid="{00000000-0005-0000-0000-0000246A0000}"/>
    <cellStyle name="Normal 43 2 2 4 3" xfId="33330" xr:uid="{00000000-0005-0000-0000-0000256A0000}"/>
    <cellStyle name="Normal 43 2 2 4 3 2" xfId="33334" xr:uid="{00000000-0005-0000-0000-0000266A0000}"/>
    <cellStyle name="Normal 43 2 2 4 4" xfId="33343" xr:uid="{00000000-0005-0000-0000-0000276A0000}"/>
    <cellStyle name="Normal 43 2 2 5" xfId="33345" xr:uid="{00000000-0005-0000-0000-0000286A0000}"/>
    <cellStyle name="Normal 43 2 2 5 2" xfId="33349" xr:uid="{00000000-0005-0000-0000-0000296A0000}"/>
    <cellStyle name="Normal 43 2 2 5 2 2" xfId="2842" xr:uid="{00000000-0005-0000-0000-00002A6A0000}"/>
    <cellStyle name="Normal 43 2 2 5 3" xfId="33354" xr:uid="{00000000-0005-0000-0000-00002B6A0000}"/>
    <cellStyle name="Normal 43 2 2 6" xfId="33356" xr:uid="{00000000-0005-0000-0000-00002C6A0000}"/>
    <cellStyle name="Normal 43 2 2 6 2" xfId="33360" xr:uid="{00000000-0005-0000-0000-00002D6A0000}"/>
    <cellStyle name="Normal 43 2 2 6 2 2" xfId="3258" xr:uid="{00000000-0005-0000-0000-00002E6A0000}"/>
    <cellStyle name="Normal 43 2 2 6 3" xfId="33363" xr:uid="{00000000-0005-0000-0000-00002F6A0000}"/>
    <cellStyle name="Normal 43 2 2 7" xfId="33366" xr:uid="{00000000-0005-0000-0000-0000306A0000}"/>
    <cellStyle name="Normal 43 2 2 7 2" xfId="33370" xr:uid="{00000000-0005-0000-0000-0000316A0000}"/>
    <cellStyle name="Normal 43 2 2 8" xfId="33372" xr:uid="{00000000-0005-0000-0000-0000326A0000}"/>
    <cellStyle name="Normal 43 2 2 8 2" xfId="10994" xr:uid="{00000000-0005-0000-0000-0000336A0000}"/>
    <cellStyle name="Normal 43 2 2 9" xfId="33374" xr:uid="{00000000-0005-0000-0000-0000346A0000}"/>
    <cellStyle name="Normal 43 2 3" xfId="30156" xr:uid="{00000000-0005-0000-0000-0000356A0000}"/>
    <cellStyle name="Normal 43 2 3 2" xfId="33162" xr:uid="{00000000-0005-0000-0000-0000366A0000}"/>
    <cellStyle name="Normal 43 2 3 2 2" xfId="33376" xr:uid="{00000000-0005-0000-0000-0000376A0000}"/>
    <cellStyle name="Normal 43 2 3 2 2 2" xfId="33378" xr:uid="{00000000-0005-0000-0000-0000386A0000}"/>
    <cellStyle name="Normal 43 2 3 2 2 2 2" xfId="27016" xr:uid="{00000000-0005-0000-0000-0000396A0000}"/>
    <cellStyle name="Normal 43 2 3 2 2 2 2 2" xfId="30755" xr:uid="{00000000-0005-0000-0000-00003A6A0000}"/>
    <cellStyle name="Normal 43 2 3 2 2 2 3" xfId="27022" xr:uid="{00000000-0005-0000-0000-00003B6A0000}"/>
    <cellStyle name="Normal 43 2 3 2 2 3" xfId="33380" xr:uid="{00000000-0005-0000-0000-00003C6A0000}"/>
    <cellStyle name="Normal 43 2 3 2 2 3 2" xfId="30763" xr:uid="{00000000-0005-0000-0000-00003D6A0000}"/>
    <cellStyle name="Normal 43 2 3 2 2 4" xfId="33382" xr:uid="{00000000-0005-0000-0000-00003E6A0000}"/>
    <cellStyle name="Normal 43 2 3 2 2 5" xfId="33384" xr:uid="{00000000-0005-0000-0000-00003F6A0000}"/>
    <cellStyle name="Normal 43 2 3 2 3" xfId="4251" xr:uid="{00000000-0005-0000-0000-0000406A0000}"/>
    <cellStyle name="Normal 43 2 3 2 3 2" xfId="33389" xr:uid="{00000000-0005-0000-0000-0000416A0000}"/>
    <cellStyle name="Normal 43 2 3 2 3 2 2" xfId="30789" xr:uid="{00000000-0005-0000-0000-0000426A0000}"/>
    <cellStyle name="Normal 43 2 3 2 3 3" xfId="33393" xr:uid="{00000000-0005-0000-0000-0000436A0000}"/>
    <cellStyle name="Normal 43 2 3 2 4" xfId="33399" xr:uid="{00000000-0005-0000-0000-0000446A0000}"/>
    <cellStyle name="Normal 43 2 3 2 4 2" xfId="33402" xr:uid="{00000000-0005-0000-0000-0000456A0000}"/>
    <cellStyle name="Normal 43 2 3 2 4 2 2" xfId="33406" xr:uid="{00000000-0005-0000-0000-0000466A0000}"/>
    <cellStyle name="Normal 43 2 3 2 4 3" xfId="33410" xr:uid="{00000000-0005-0000-0000-0000476A0000}"/>
    <cellStyle name="Normal 43 2 3 2 5" xfId="31256" xr:uid="{00000000-0005-0000-0000-0000486A0000}"/>
    <cellStyle name="Normal 43 2 3 2 5 2" xfId="26019" xr:uid="{00000000-0005-0000-0000-0000496A0000}"/>
    <cellStyle name="Normal 43 2 3 2 6" xfId="29702" xr:uid="{00000000-0005-0000-0000-00004A6A0000}"/>
    <cellStyle name="Normal 43 2 3 2 6 2" xfId="18853" xr:uid="{00000000-0005-0000-0000-00004B6A0000}"/>
    <cellStyle name="Normal 43 2 3 2 7" xfId="28547" xr:uid="{00000000-0005-0000-0000-00004C6A0000}"/>
    <cellStyle name="Normal 43 2 3 2 8" xfId="33414" xr:uid="{00000000-0005-0000-0000-00004D6A0000}"/>
    <cellStyle name="Normal 43 2 3 3" xfId="33416" xr:uid="{00000000-0005-0000-0000-00004E6A0000}"/>
    <cellStyle name="Normal 43 2 3 3 2" xfId="33418" xr:uid="{00000000-0005-0000-0000-00004F6A0000}"/>
    <cellStyle name="Normal 43 2 3 3 2 2" xfId="25061" xr:uid="{00000000-0005-0000-0000-0000506A0000}"/>
    <cellStyle name="Normal 43 2 3 3 2 2 2" xfId="30838" xr:uid="{00000000-0005-0000-0000-0000516A0000}"/>
    <cellStyle name="Normal 43 2 3 3 2 3" xfId="33420" xr:uid="{00000000-0005-0000-0000-0000526A0000}"/>
    <cellStyle name="Normal 43 2 3 3 3" xfId="33425" xr:uid="{00000000-0005-0000-0000-0000536A0000}"/>
    <cellStyle name="Normal 43 2 3 3 3 2" xfId="25071" xr:uid="{00000000-0005-0000-0000-0000546A0000}"/>
    <cellStyle name="Normal 43 2 3 3 4" xfId="33428" xr:uid="{00000000-0005-0000-0000-0000556A0000}"/>
    <cellStyle name="Normal 43 2 3 3 5" xfId="31263" xr:uid="{00000000-0005-0000-0000-0000566A0000}"/>
    <cellStyle name="Normal 43 2 3 4" xfId="33430" xr:uid="{00000000-0005-0000-0000-0000576A0000}"/>
    <cellStyle name="Normal 43 2 3 4 2" xfId="33435" xr:uid="{00000000-0005-0000-0000-0000586A0000}"/>
    <cellStyle name="Normal 43 2 3 4 2 2" xfId="33440" xr:uid="{00000000-0005-0000-0000-0000596A0000}"/>
    <cellStyle name="Normal 43 2 3 4 3" xfId="33447" xr:uid="{00000000-0005-0000-0000-00005A6A0000}"/>
    <cellStyle name="Normal 43 2 3 5" xfId="33449" xr:uid="{00000000-0005-0000-0000-00005B6A0000}"/>
    <cellStyle name="Normal 43 2 3 5 2" xfId="33454" xr:uid="{00000000-0005-0000-0000-00005C6A0000}"/>
    <cellStyle name="Normal 43 2 3 5 2 2" xfId="33458" xr:uid="{00000000-0005-0000-0000-00005D6A0000}"/>
    <cellStyle name="Normal 43 2 3 5 3" xfId="33463" xr:uid="{00000000-0005-0000-0000-00005E6A0000}"/>
    <cellStyle name="Normal 43 2 3 6" xfId="337" xr:uid="{00000000-0005-0000-0000-00005F6A0000}"/>
    <cellStyle name="Normal 43 2 3 6 2" xfId="12496" xr:uid="{00000000-0005-0000-0000-0000606A0000}"/>
    <cellStyle name="Normal 43 2 3 7" xfId="33465" xr:uid="{00000000-0005-0000-0000-0000616A0000}"/>
    <cellStyle name="Normal 43 2 3 7 2" xfId="33469" xr:uid="{00000000-0005-0000-0000-0000626A0000}"/>
    <cellStyle name="Normal 43 2 3 8" xfId="33471" xr:uid="{00000000-0005-0000-0000-0000636A0000}"/>
    <cellStyle name="Normal 43 2 3 9" xfId="33473" xr:uid="{00000000-0005-0000-0000-0000646A0000}"/>
    <cellStyle name="Normal 43 2 4" xfId="33167" xr:uid="{00000000-0005-0000-0000-0000656A0000}"/>
    <cellStyle name="Normal 43 2 4 2" xfId="33475" xr:uid="{00000000-0005-0000-0000-0000666A0000}"/>
    <cellStyle name="Normal 43 2 4 2 2" xfId="17735" xr:uid="{00000000-0005-0000-0000-0000676A0000}"/>
    <cellStyle name="Normal 43 2 4 2 2 2" xfId="29535" xr:uid="{00000000-0005-0000-0000-0000686A0000}"/>
    <cellStyle name="Normal 43 2 4 2 2 2 2" xfId="29540" xr:uid="{00000000-0005-0000-0000-0000696A0000}"/>
    <cellStyle name="Normal 43 2 4 2 2 2 2 2" xfId="1148" xr:uid="{00000000-0005-0000-0000-00006A6A0000}"/>
    <cellStyle name="Normal 43 2 4 2 2 2 3" xfId="6814" xr:uid="{00000000-0005-0000-0000-00006B6A0000}"/>
    <cellStyle name="Normal 43 2 4 2 2 3" xfId="29544" xr:uid="{00000000-0005-0000-0000-00006C6A0000}"/>
    <cellStyle name="Normal 43 2 4 2 2 3 2" xfId="33477" xr:uid="{00000000-0005-0000-0000-00006D6A0000}"/>
    <cellStyle name="Normal 43 2 4 2 2 4" xfId="29548" xr:uid="{00000000-0005-0000-0000-00006E6A0000}"/>
    <cellStyle name="Normal 43 2 4 2 3" xfId="14056" xr:uid="{00000000-0005-0000-0000-00006F6A0000}"/>
    <cellStyle name="Normal 43 2 4 2 3 2" xfId="14066" xr:uid="{00000000-0005-0000-0000-0000706A0000}"/>
    <cellStyle name="Normal 43 2 4 2 3 2 2" xfId="14073" xr:uid="{00000000-0005-0000-0000-0000716A0000}"/>
    <cellStyle name="Normal 43 2 4 2 3 3" xfId="14078" xr:uid="{00000000-0005-0000-0000-0000726A0000}"/>
    <cellStyle name="Normal 43 2 4 2 4" xfId="14090" xr:uid="{00000000-0005-0000-0000-0000736A0000}"/>
    <cellStyle name="Normal 43 2 4 2 4 2" xfId="14098" xr:uid="{00000000-0005-0000-0000-0000746A0000}"/>
    <cellStyle name="Normal 43 2 4 2 4 2 2" xfId="14103" xr:uid="{00000000-0005-0000-0000-0000756A0000}"/>
    <cellStyle name="Normal 43 2 4 2 4 3" xfId="14107" xr:uid="{00000000-0005-0000-0000-0000766A0000}"/>
    <cellStyle name="Normal 43 2 4 2 5" xfId="14112" xr:uid="{00000000-0005-0000-0000-0000776A0000}"/>
    <cellStyle name="Normal 43 2 4 2 5 2" xfId="14120" xr:uid="{00000000-0005-0000-0000-0000786A0000}"/>
    <cellStyle name="Normal 43 2 4 2 6" xfId="14132" xr:uid="{00000000-0005-0000-0000-0000796A0000}"/>
    <cellStyle name="Normal 43 2 4 2 6 2" xfId="14139" xr:uid="{00000000-0005-0000-0000-00007A6A0000}"/>
    <cellStyle name="Normal 43 2 4 2 7" xfId="14144" xr:uid="{00000000-0005-0000-0000-00007B6A0000}"/>
    <cellStyle name="Normal 43 2 4 2 8" xfId="14152" xr:uid="{00000000-0005-0000-0000-00007C6A0000}"/>
    <cellStyle name="Normal 43 2 4 3" xfId="33479" xr:uid="{00000000-0005-0000-0000-00007D6A0000}"/>
    <cellStyle name="Normal 43 2 4 3 2" xfId="33481" xr:uid="{00000000-0005-0000-0000-00007E6A0000}"/>
    <cellStyle name="Normal 43 2 4 3 2 2" xfId="33483" xr:uid="{00000000-0005-0000-0000-00007F6A0000}"/>
    <cellStyle name="Normal 43 2 4 3 2 2 2" xfId="33485" xr:uid="{00000000-0005-0000-0000-0000806A0000}"/>
    <cellStyle name="Normal 43 2 4 3 2 3" xfId="33487" xr:uid="{00000000-0005-0000-0000-0000816A0000}"/>
    <cellStyle name="Normal 43 2 4 3 3" xfId="14161" xr:uid="{00000000-0005-0000-0000-0000826A0000}"/>
    <cellStyle name="Normal 43 2 4 3 3 2" xfId="14167" xr:uid="{00000000-0005-0000-0000-0000836A0000}"/>
    <cellStyle name="Normal 43 2 4 3 4" xfId="14172" xr:uid="{00000000-0005-0000-0000-0000846A0000}"/>
    <cellStyle name="Normal 43 2 4 4" xfId="33489" xr:uid="{00000000-0005-0000-0000-0000856A0000}"/>
    <cellStyle name="Normal 43 2 4 4 2" xfId="33493" xr:uid="{00000000-0005-0000-0000-0000866A0000}"/>
    <cellStyle name="Normal 43 2 4 4 2 2" xfId="33497" xr:uid="{00000000-0005-0000-0000-0000876A0000}"/>
    <cellStyle name="Normal 43 2 4 4 3" xfId="14184" xr:uid="{00000000-0005-0000-0000-0000886A0000}"/>
    <cellStyle name="Normal 43 2 4 5" xfId="17264" xr:uid="{00000000-0005-0000-0000-0000896A0000}"/>
    <cellStyle name="Normal 43 2 4 5 2" xfId="16413" xr:uid="{00000000-0005-0000-0000-00008A6A0000}"/>
    <cellStyle name="Normal 43 2 4 5 2 2" xfId="33501" xr:uid="{00000000-0005-0000-0000-00008B6A0000}"/>
    <cellStyle name="Normal 43 2 4 5 3" xfId="14197" xr:uid="{00000000-0005-0000-0000-00008C6A0000}"/>
    <cellStyle name="Normal 43 2 4 6" xfId="17267" xr:uid="{00000000-0005-0000-0000-00008D6A0000}"/>
    <cellStyle name="Normal 43 2 4 6 2" xfId="33505" xr:uid="{00000000-0005-0000-0000-00008E6A0000}"/>
    <cellStyle name="Normal 43 2 4 7" xfId="17270" xr:uid="{00000000-0005-0000-0000-00008F6A0000}"/>
    <cellStyle name="Normal 43 2 4 7 2" xfId="33509" xr:uid="{00000000-0005-0000-0000-0000906A0000}"/>
    <cellStyle name="Normal 43 2 4 8" xfId="33511" xr:uid="{00000000-0005-0000-0000-0000916A0000}"/>
    <cellStyle name="Normal 43 2 4 9" xfId="33513" xr:uid="{00000000-0005-0000-0000-0000926A0000}"/>
    <cellStyle name="Normal 43 2 5" xfId="33515" xr:uid="{00000000-0005-0000-0000-0000936A0000}"/>
    <cellStyle name="Normal 43 2 5 2" xfId="33517" xr:uid="{00000000-0005-0000-0000-0000946A0000}"/>
    <cellStyle name="Normal 43 2 5 2 2" xfId="33519" xr:uid="{00000000-0005-0000-0000-0000956A0000}"/>
    <cellStyle name="Normal 43 2 5 2 2 2" xfId="33521" xr:uid="{00000000-0005-0000-0000-0000966A0000}"/>
    <cellStyle name="Normal 43 2 5 2 2 2 2" xfId="33523" xr:uid="{00000000-0005-0000-0000-0000976A0000}"/>
    <cellStyle name="Normal 43 2 5 2 2 2 2 2" xfId="33527" xr:uid="{00000000-0005-0000-0000-0000986A0000}"/>
    <cellStyle name="Normal 43 2 5 2 2 2 3" xfId="33531" xr:uid="{00000000-0005-0000-0000-0000996A0000}"/>
    <cellStyle name="Normal 43 2 5 2 2 3" xfId="29818" xr:uid="{00000000-0005-0000-0000-00009A6A0000}"/>
    <cellStyle name="Normal 43 2 5 2 2 3 2" xfId="33534" xr:uid="{00000000-0005-0000-0000-00009B6A0000}"/>
    <cellStyle name="Normal 43 2 5 2 2 4" xfId="33537" xr:uid="{00000000-0005-0000-0000-00009C6A0000}"/>
    <cellStyle name="Normal 43 2 5 2 3" xfId="14259" xr:uid="{00000000-0005-0000-0000-00009D6A0000}"/>
    <cellStyle name="Normal 43 2 5 2 3 2" xfId="14263" xr:uid="{00000000-0005-0000-0000-00009E6A0000}"/>
    <cellStyle name="Normal 43 2 5 2 3 2 2" xfId="14268" xr:uid="{00000000-0005-0000-0000-00009F6A0000}"/>
    <cellStyle name="Normal 43 2 5 2 3 3" xfId="14274" xr:uid="{00000000-0005-0000-0000-0000A06A0000}"/>
    <cellStyle name="Normal 43 2 5 2 4" xfId="14278" xr:uid="{00000000-0005-0000-0000-0000A16A0000}"/>
    <cellStyle name="Normal 43 2 5 2 4 2" xfId="14284" xr:uid="{00000000-0005-0000-0000-0000A26A0000}"/>
    <cellStyle name="Normal 43 2 5 2 4 2 2" xfId="33540" xr:uid="{00000000-0005-0000-0000-0000A36A0000}"/>
    <cellStyle name="Normal 43 2 5 2 4 3" xfId="33546" xr:uid="{00000000-0005-0000-0000-0000A46A0000}"/>
    <cellStyle name="Normal 43 2 5 2 5" xfId="14294" xr:uid="{00000000-0005-0000-0000-0000A56A0000}"/>
    <cellStyle name="Normal 43 2 5 2 5 2" xfId="30460" xr:uid="{00000000-0005-0000-0000-0000A66A0000}"/>
    <cellStyle name="Normal 43 2 5 2 6" xfId="14303" xr:uid="{00000000-0005-0000-0000-0000A76A0000}"/>
    <cellStyle name="Normal 43 2 5 2 6 2" xfId="16198" xr:uid="{00000000-0005-0000-0000-0000A86A0000}"/>
    <cellStyle name="Normal 43 2 5 2 7" xfId="33551" xr:uid="{00000000-0005-0000-0000-0000A96A0000}"/>
    <cellStyle name="Normal 43 2 5 2 8" xfId="33555" xr:uid="{00000000-0005-0000-0000-0000AA6A0000}"/>
    <cellStyle name="Normal 43 2 5 3" xfId="33557" xr:uid="{00000000-0005-0000-0000-0000AB6A0000}"/>
    <cellStyle name="Normal 43 2 5 3 2" xfId="33559" xr:uid="{00000000-0005-0000-0000-0000AC6A0000}"/>
    <cellStyle name="Normal 43 2 5 3 2 2" xfId="33562" xr:uid="{00000000-0005-0000-0000-0000AD6A0000}"/>
    <cellStyle name="Normal 43 2 5 3 2 2 2" xfId="33566" xr:uid="{00000000-0005-0000-0000-0000AE6A0000}"/>
    <cellStyle name="Normal 43 2 5 3 2 3" xfId="33571" xr:uid="{00000000-0005-0000-0000-0000AF6A0000}"/>
    <cellStyle name="Normal 43 2 5 3 3" xfId="14307" xr:uid="{00000000-0005-0000-0000-0000B06A0000}"/>
    <cellStyle name="Normal 43 2 5 3 3 2" xfId="14314" xr:uid="{00000000-0005-0000-0000-0000B16A0000}"/>
    <cellStyle name="Normal 43 2 5 3 4" xfId="14320" xr:uid="{00000000-0005-0000-0000-0000B26A0000}"/>
    <cellStyle name="Normal 43 2 5 4" xfId="33574" xr:uid="{00000000-0005-0000-0000-0000B36A0000}"/>
    <cellStyle name="Normal 43 2 5 4 2" xfId="33578" xr:uid="{00000000-0005-0000-0000-0000B46A0000}"/>
    <cellStyle name="Normal 43 2 5 4 2 2" xfId="33581" xr:uid="{00000000-0005-0000-0000-0000B56A0000}"/>
    <cellStyle name="Normal 43 2 5 4 3" xfId="14329" xr:uid="{00000000-0005-0000-0000-0000B66A0000}"/>
    <cellStyle name="Normal 43 2 5 5" xfId="17274" xr:uid="{00000000-0005-0000-0000-0000B76A0000}"/>
    <cellStyle name="Normal 43 2 5 5 2" xfId="33588" xr:uid="{00000000-0005-0000-0000-0000B86A0000}"/>
    <cellStyle name="Normal 43 2 5 5 2 2" xfId="33590" xr:uid="{00000000-0005-0000-0000-0000B96A0000}"/>
    <cellStyle name="Normal 43 2 5 5 3" xfId="14339" xr:uid="{00000000-0005-0000-0000-0000BA6A0000}"/>
    <cellStyle name="Normal 43 2 5 6" xfId="33594" xr:uid="{00000000-0005-0000-0000-0000BB6A0000}"/>
    <cellStyle name="Normal 43 2 5 6 2" xfId="33598" xr:uid="{00000000-0005-0000-0000-0000BC6A0000}"/>
    <cellStyle name="Normal 43 2 5 7" xfId="33600" xr:uid="{00000000-0005-0000-0000-0000BD6A0000}"/>
    <cellStyle name="Normal 43 2 5 7 2" xfId="33602" xr:uid="{00000000-0005-0000-0000-0000BE6A0000}"/>
    <cellStyle name="Normal 43 2 5 8" xfId="33605" xr:uid="{00000000-0005-0000-0000-0000BF6A0000}"/>
    <cellStyle name="Normal 43 2 5 9" xfId="33607" xr:uid="{00000000-0005-0000-0000-0000C06A0000}"/>
    <cellStyle name="Normal 43 2 6" xfId="9837" xr:uid="{00000000-0005-0000-0000-0000C16A0000}"/>
    <cellStyle name="Normal 43 2 6 2" xfId="33609" xr:uid="{00000000-0005-0000-0000-0000C26A0000}"/>
    <cellStyle name="Normal 43 2 6 2 2" xfId="33611" xr:uid="{00000000-0005-0000-0000-0000C36A0000}"/>
    <cellStyle name="Normal 43 2 6 2 2 2" xfId="33613" xr:uid="{00000000-0005-0000-0000-0000C46A0000}"/>
    <cellStyle name="Normal 43 2 6 2 2 2 2" xfId="33615" xr:uid="{00000000-0005-0000-0000-0000C56A0000}"/>
    <cellStyle name="Normal 43 2 6 2 2 3" xfId="171" xr:uid="{00000000-0005-0000-0000-0000C66A0000}"/>
    <cellStyle name="Normal 43 2 6 2 3" xfId="14372" xr:uid="{00000000-0005-0000-0000-0000C76A0000}"/>
    <cellStyle name="Normal 43 2 6 2 3 2" xfId="14377" xr:uid="{00000000-0005-0000-0000-0000C86A0000}"/>
    <cellStyle name="Normal 43 2 6 2 4" xfId="14380" xr:uid="{00000000-0005-0000-0000-0000C96A0000}"/>
    <cellStyle name="Normal 43 2 6 3" xfId="33617" xr:uid="{00000000-0005-0000-0000-0000CA6A0000}"/>
    <cellStyle name="Normal 43 2 6 3 2" xfId="33619" xr:uid="{00000000-0005-0000-0000-0000CB6A0000}"/>
    <cellStyle name="Normal 43 2 6 3 2 2" xfId="33622" xr:uid="{00000000-0005-0000-0000-0000CC6A0000}"/>
    <cellStyle name="Normal 43 2 6 3 3" xfId="14399" xr:uid="{00000000-0005-0000-0000-0000CD6A0000}"/>
    <cellStyle name="Normal 43 2 6 4" xfId="33625" xr:uid="{00000000-0005-0000-0000-0000CE6A0000}"/>
    <cellStyle name="Normal 43 2 6 4 2" xfId="33629" xr:uid="{00000000-0005-0000-0000-0000CF6A0000}"/>
    <cellStyle name="Normal 43 2 6 4 2 2" xfId="19194" xr:uid="{00000000-0005-0000-0000-0000D06A0000}"/>
    <cellStyle name="Normal 43 2 6 4 3" xfId="14408" xr:uid="{00000000-0005-0000-0000-0000D16A0000}"/>
    <cellStyle name="Normal 43 2 6 5" xfId="17278" xr:uid="{00000000-0005-0000-0000-0000D26A0000}"/>
    <cellStyle name="Normal 43 2 6 5 2" xfId="33631" xr:uid="{00000000-0005-0000-0000-0000D36A0000}"/>
    <cellStyle name="Normal 43 2 6 6" xfId="33634" xr:uid="{00000000-0005-0000-0000-0000D46A0000}"/>
    <cellStyle name="Normal 43 2 6 6 2" xfId="33636" xr:uid="{00000000-0005-0000-0000-0000D56A0000}"/>
    <cellStyle name="Normal 43 2 6 7" xfId="33639" xr:uid="{00000000-0005-0000-0000-0000D66A0000}"/>
    <cellStyle name="Normal 43 2 6 8" xfId="33641" xr:uid="{00000000-0005-0000-0000-0000D76A0000}"/>
    <cellStyle name="Normal 43 2 7" xfId="33643" xr:uid="{00000000-0005-0000-0000-0000D86A0000}"/>
    <cellStyle name="Normal 43 2 7 2" xfId="33645" xr:uid="{00000000-0005-0000-0000-0000D96A0000}"/>
    <cellStyle name="Normal 43 2 7 2 2" xfId="33647" xr:uid="{00000000-0005-0000-0000-0000DA6A0000}"/>
    <cellStyle name="Normal 43 2 7 2 2 2" xfId="33649" xr:uid="{00000000-0005-0000-0000-0000DB6A0000}"/>
    <cellStyle name="Normal 43 2 7 2 3" xfId="2582" xr:uid="{00000000-0005-0000-0000-0000DC6A0000}"/>
    <cellStyle name="Normal 43 2 7 3" xfId="33651" xr:uid="{00000000-0005-0000-0000-0000DD6A0000}"/>
    <cellStyle name="Normal 43 2 7 3 2" xfId="33653" xr:uid="{00000000-0005-0000-0000-0000DE6A0000}"/>
    <cellStyle name="Normal 43 2 7 4" xfId="33655" xr:uid="{00000000-0005-0000-0000-0000DF6A0000}"/>
    <cellStyle name="Normal 43 2 8" xfId="19273" xr:uid="{00000000-0005-0000-0000-0000E06A0000}"/>
    <cellStyle name="Normal 43 2 8 2" xfId="33658" xr:uid="{00000000-0005-0000-0000-0000E16A0000}"/>
    <cellStyle name="Normal 43 2 8 2 2" xfId="33660" xr:uid="{00000000-0005-0000-0000-0000E26A0000}"/>
    <cellStyle name="Normal 43 2 8 3" xfId="33662" xr:uid="{00000000-0005-0000-0000-0000E36A0000}"/>
    <cellStyle name="Normal 43 2 9" xfId="33664" xr:uid="{00000000-0005-0000-0000-0000E46A0000}"/>
    <cellStyle name="Normal 43 2 9 2" xfId="33666" xr:uid="{00000000-0005-0000-0000-0000E56A0000}"/>
    <cellStyle name="Normal 43 2 9 2 2" xfId="33670" xr:uid="{00000000-0005-0000-0000-0000E66A0000}"/>
    <cellStyle name="Normal 43 2 9 3" xfId="33672" xr:uid="{00000000-0005-0000-0000-0000E76A0000}"/>
    <cellStyle name="Normal 43 3" xfId="30166" xr:uid="{00000000-0005-0000-0000-0000E86A0000}"/>
    <cellStyle name="Normal 43 3 10" xfId="33675" xr:uid="{00000000-0005-0000-0000-0000E96A0000}"/>
    <cellStyle name="Normal 43 3 10 2" xfId="33677" xr:uid="{00000000-0005-0000-0000-0000EA6A0000}"/>
    <cellStyle name="Normal 43 3 11" xfId="33679" xr:uid="{00000000-0005-0000-0000-0000EB6A0000}"/>
    <cellStyle name="Normal 43 3 11 2" xfId="33681" xr:uid="{00000000-0005-0000-0000-0000EC6A0000}"/>
    <cellStyle name="Normal 43 3 12" xfId="33683" xr:uid="{00000000-0005-0000-0000-0000ED6A0000}"/>
    <cellStyle name="Normal 43 3 12 2" xfId="27604" xr:uid="{00000000-0005-0000-0000-0000EE6A0000}"/>
    <cellStyle name="Normal 43 3 13" xfId="33689" xr:uid="{00000000-0005-0000-0000-0000EF6A0000}"/>
    <cellStyle name="Normal 43 3 14" xfId="33691" xr:uid="{00000000-0005-0000-0000-0000F06A0000}"/>
    <cellStyle name="Normal 43 3 2" xfId="30170" xr:uid="{00000000-0005-0000-0000-0000F16A0000}"/>
    <cellStyle name="Normal 43 3 2 10" xfId="33696" xr:uid="{00000000-0005-0000-0000-0000F26A0000}"/>
    <cellStyle name="Normal 43 3 2 2" xfId="30174" xr:uid="{00000000-0005-0000-0000-0000F36A0000}"/>
    <cellStyle name="Normal 43 3 2 2 2" xfId="23014" xr:uid="{00000000-0005-0000-0000-0000F46A0000}"/>
    <cellStyle name="Normal 43 3 2 2 2 2" xfId="23018" xr:uid="{00000000-0005-0000-0000-0000F56A0000}"/>
    <cellStyle name="Normal 43 3 2 2 2 2 2" xfId="28057" xr:uid="{00000000-0005-0000-0000-0000F66A0000}"/>
    <cellStyle name="Normal 43 3 2 2 2 2 2 2" xfId="32073" xr:uid="{00000000-0005-0000-0000-0000F76A0000}"/>
    <cellStyle name="Normal 43 3 2 2 2 2 2 2 2" xfId="33698" xr:uid="{00000000-0005-0000-0000-0000F86A0000}"/>
    <cellStyle name="Normal 43 3 2 2 2 2 2 3" xfId="33700" xr:uid="{00000000-0005-0000-0000-0000F96A0000}"/>
    <cellStyle name="Normal 43 3 2 2 2 2 3" xfId="28065" xr:uid="{00000000-0005-0000-0000-0000FA6A0000}"/>
    <cellStyle name="Normal 43 3 2 2 2 2 3 2" xfId="32500" xr:uid="{00000000-0005-0000-0000-0000FB6A0000}"/>
    <cellStyle name="Normal 43 3 2 2 2 2 4" xfId="33703" xr:uid="{00000000-0005-0000-0000-0000FC6A0000}"/>
    <cellStyle name="Normal 43 3 2 2 2 3" xfId="23025" xr:uid="{00000000-0005-0000-0000-0000FD6A0000}"/>
    <cellStyle name="Normal 43 3 2 2 2 3 2" xfId="8488" xr:uid="{00000000-0005-0000-0000-0000FE6A0000}"/>
    <cellStyle name="Normal 43 3 2 2 2 3 2 2" xfId="33708" xr:uid="{00000000-0005-0000-0000-0000FF6A0000}"/>
    <cellStyle name="Normal 43 3 2 2 2 3 3" xfId="30952" xr:uid="{00000000-0005-0000-0000-0000006B0000}"/>
    <cellStyle name="Normal 43 3 2 2 2 4" xfId="23634" xr:uid="{00000000-0005-0000-0000-0000016B0000}"/>
    <cellStyle name="Normal 43 3 2 2 2 4 2" xfId="32092" xr:uid="{00000000-0005-0000-0000-0000026B0000}"/>
    <cellStyle name="Normal 43 3 2 2 2 4 2 2" xfId="33713" xr:uid="{00000000-0005-0000-0000-0000036B0000}"/>
    <cellStyle name="Normal 43 3 2 2 2 4 3" xfId="33715" xr:uid="{00000000-0005-0000-0000-0000046B0000}"/>
    <cellStyle name="Normal 43 3 2 2 2 5" xfId="33717" xr:uid="{00000000-0005-0000-0000-0000056B0000}"/>
    <cellStyle name="Normal 43 3 2 2 2 5 2" xfId="20434" xr:uid="{00000000-0005-0000-0000-0000066B0000}"/>
    <cellStyle name="Normal 43 3 2 2 2 6" xfId="33721" xr:uid="{00000000-0005-0000-0000-0000076B0000}"/>
    <cellStyle name="Normal 43 3 2 2 2 6 2" xfId="33727" xr:uid="{00000000-0005-0000-0000-0000086B0000}"/>
    <cellStyle name="Normal 43 3 2 2 2 7" xfId="33732" xr:uid="{00000000-0005-0000-0000-0000096B0000}"/>
    <cellStyle name="Normal 43 3 2 2 2 8" xfId="18672" xr:uid="{00000000-0005-0000-0000-00000A6B0000}"/>
    <cellStyle name="Normal 43 3 2 2 3" xfId="23030" xr:uid="{00000000-0005-0000-0000-00000B6B0000}"/>
    <cellStyle name="Normal 43 3 2 2 3 2" xfId="33736" xr:uid="{00000000-0005-0000-0000-00000C6B0000}"/>
    <cellStyle name="Normal 43 3 2 2 3 2 2" xfId="32116" xr:uid="{00000000-0005-0000-0000-00000D6B0000}"/>
    <cellStyle name="Normal 43 3 2 2 3 2 2 2" xfId="33739" xr:uid="{00000000-0005-0000-0000-00000E6B0000}"/>
    <cellStyle name="Normal 43 3 2 2 3 2 3" xfId="33741" xr:uid="{00000000-0005-0000-0000-00000F6B0000}"/>
    <cellStyle name="Normal 43 3 2 2 3 3" xfId="33743" xr:uid="{00000000-0005-0000-0000-0000106B0000}"/>
    <cellStyle name="Normal 43 3 2 2 3 3 2" xfId="33745" xr:uid="{00000000-0005-0000-0000-0000116B0000}"/>
    <cellStyle name="Normal 43 3 2 2 3 4" xfId="33747" xr:uid="{00000000-0005-0000-0000-0000126B0000}"/>
    <cellStyle name="Normal 43 3 2 2 4" xfId="33750" xr:uid="{00000000-0005-0000-0000-0000136B0000}"/>
    <cellStyle name="Normal 43 3 2 2 4 2" xfId="33752" xr:uid="{00000000-0005-0000-0000-0000146B0000}"/>
    <cellStyle name="Normal 43 3 2 2 4 2 2" xfId="33754" xr:uid="{00000000-0005-0000-0000-0000156B0000}"/>
    <cellStyle name="Normal 43 3 2 2 4 3" xfId="33756" xr:uid="{00000000-0005-0000-0000-0000166B0000}"/>
    <cellStyle name="Normal 43 3 2 2 5" xfId="33758" xr:uid="{00000000-0005-0000-0000-0000176B0000}"/>
    <cellStyle name="Normal 43 3 2 2 5 2" xfId="26590" xr:uid="{00000000-0005-0000-0000-0000186B0000}"/>
    <cellStyle name="Normal 43 3 2 2 5 2 2" xfId="26593" xr:uid="{00000000-0005-0000-0000-0000196B0000}"/>
    <cellStyle name="Normal 43 3 2 2 5 3" xfId="26597" xr:uid="{00000000-0005-0000-0000-00001A6B0000}"/>
    <cellStyle name="Normal 43 3 2 2 6" xfId="33760" xr:uid="{00000000-0005-0000-0000-00001B6B0000}"/>
    <cellStyle name="Normal 43 3 2 2 6 2" xfId="26630" xr:uid="{00000000-0005-0000-0000-00001C6B0000}"/>
    <cellStyle name="Normal 43 3 2 2 7" xfId="33762" xr:uid="{00000000-0005-0000-0000-00001D6B0000}"/>
    <cellStyle name="Normal 43 3 2 2 7 2" xfId="26648" xr:uid="{00000000-0005-0000-0000-00001E6B0000}"/>
    <cellStyle name="Normal 43 3 2 2 8" xfId="33764" xr:uid="{00000000-0005-0000-0000-00001F6B0000}"/>
    <cellStyle name="Normal 43 3 2 2 9" xfId="9265" xr:uid="{00000000-0005-0000-0000-0000206B0000}"/>
    <cellStyle name="Normal 43 3 2 3" xfId="33768" xr:uid="{00000000-0005-0000-0000-0000216B0000}"/>
    <cellStyle name="Normal 43 3 2 3 2" xfId="23037" xr:uid="{00000000-0005-0000-0000-0000226B0000}"/>
    <cellStyle name="Normal 43 3 2 3 2 2" xfId="4296" xr:uid="{00000000-0005-0000-0000-0000236B0000}"/>
    <cellStyle name="Normal 43 3 2 3 2 2 2" xfId="22926" xr:uid="{00000000-0005-0000-0000-0000246B0000}"/>
    <cellStyle name="Normal 43 3 2 3 2 2 2 2" xfId="22932" xr:uid="{00000000-0005-0000-0000-0000256B0000}"/>
    <cellStyle name="Normal 43 3 2 3 2 2 3" xfId="9799" xr:uid="{00000000-0005-0000-0000-0000266B0000}"/>
    <cellStyle name="Normal 43 3 2 3 2 3" xfId="19475" xr:uid="{00000000-0005-0000-0000-0000276B0000}"/>
    <cellStyle name="Normal 43 3 2 3 2 3 2" xfId="6196" xr:uid="{00000000-0005-0000-0000-0000286B0000}"/>
    <cellStyle name="Normal 43 3 2 3 2 4" xfId="33771" xr:uid="{00000000-0005-0000-0000-0000296B0000}"/>
    <cellStyle name="Normal 43 3 2 3 3" xfId="33774" xr:uid="{00000000-0005-0000-0000-00002A6B0000}"/>
    <cellStyle name="Normal 43 3 2 3 3 2" xfId="1939" xr:uid="{00000000-0005-0000-0000-00002B6B0000}"/>
    <cellStyle name="Normal 43 3 2 3 3 2 2" xfId="23518" xr:uid="{00000000-0005-0000-0000-00002C6B0000}"/>
    <cellStyle name="Normal 43 3 2 3 3 3" xfId="33776" xr:uid="{00000000-0005-0000-0000-00002D6B0000}"/>
    <cellStyle name="Normal 43 3 2 3 4" xfId="33778" xr:uid="{00000000-0005-0000-0000-00002E6B0000}"/>
    <cellStyle name="Normal 43 3 2 3 4 2" xfId="33780" xr:uid="{00000000-0005-0000-0000-00002F6B0000}"/>
    <cellStyle name="Normal 43 3 2 3 4 2 2" xfId="23875" xr:uid="{00000000-0005-0000-0000-0000306B0000}"/>
    <cellStyle name="Normal 43 3 2 3 4 3" xfId="33782" xr:uid="{00000000-0005-0000-0000-0000316B0000}"/>
    <cellStyle name="Normal 43 3 2 3 5" xfId="33784" xr:uid="{00000000-0005-0000-0000-0000326B0000}"/>
    <cellStyle name="Normal 43 3 2 3 5 2" xfId="26660" xr:uid="{00000000-0005-0000-0000-0000336B0000}"/>
    <cellStyle name="Normal 43 3 2 3 6" xfId="33787" xr:uid="{00000000-0005-0000-0000-0000346B0000}"/>
    <cellStyle name="Normal 43 3 2 3 6 2" xfId="26669" xr:uid="{00000000-0005-0000-0000-0000356B0000}"/>
    <cellStyle name="Normal 43 3 2 3 7" xfId="33791" xr:uid="{00000000-0005-0000-0000-0000366B0000}"/>
    <cellStyle name="Normal 43 3 2 3 8" xfId="33794" xr:uid="{00000000-0005-0000-0000-0000376B0000}"/>
    <cellStyle name="Normal 43 3 2 4" xfId="33796" xr:uid="{00000000-0005-0000-0000-0000386B0000}"/>
    <cellStyle name="Normal 43 3 2 4 2" xfId="23047" xr:uid="{00000000-0005-0000-0000-0000396B0000}"/>
    <cellStyle name="Normal 43 3 2 4 2 2" xfId="4394" xr:uid="{00000000-0005-0000-0000-00003A6B0000}"/>
    <cellStyle name="Normal 43 3 2 4 2 2 2" xfId="24661" xr:uid="{00000000-0005-0000-0000-00003B6B0000}"/>
    <cellStyle name="Normal 43 3 2 4 2 3" xfId="33802" xr:uid="{00000000-0005-0000-0000-00003C6B0000}"/>
    <cellStyle name="Normal 43 3 2 4 3" xfId="33806" xr:uid="{00000000-0005-0000-0000-00003D6B0000}"/>
    <cellStyle name="Normal 43 3 2 4 3 2" xfId="33810" xr:uid="{00000000-0005-0000-0000-00003E6B0000}"/>
    <cellStyle name="Normal 43 3 2 4 4" xfId="33814" xr:uid="{00000000-0005-0000-0000-00003F6B0000}"/>
    <cellStyle name="Normal 43 3 2 5" xfId="33816" xr:uid="{00000000-0005-0000-0000-0000406B0000}"/>
    <cellStyle name="Normal 43 3 2 5 2" xfId="33821" xr:uid="{00000000-0005-0000-0000-0000416B0000}"/>
    <cellStyle name="Normal 43 3 2 5 2 2" xfId="4665" xr:uid="{00000000-0005-0000-0000-0000426B0000}"/>
    <cellStyle name="Normal 43 3 2 5 3" xfId="33826" xr:uid="{00000000-0005-0000-0000-0000436B0000}"/>
    <cellStyle name="Normal 43 3 2 6" xfId="33828" xr:uid="{00000000-0005-0000-0000-0000446B0000}"/>
    <cellStyle name="Normal 43 3 2 6 2" xfId="33832" xr:uid="{00000000-0005-0000-0000-0000456B0000}"/>
    <cellStyle name="Normal 43 3 2 6 2 2" xfId="4585" xr:uid="{00000000-0005-0000-0000-0000466B0000}"/>
    <cellStyle name="Normal 43 3 2 6 3" xfId="33834" xr:uid="{00000000-0005-0000-0000-0000476B0000}"/>
    <cellStyle name="Normal 43 3 2 7" xfId="33837" xr:uid="{00000000-0005-0000-0000-0000486B0000}"/>
    <cellStyle name="Normal 43 3 2 7 2" xfId="33841" xr:uid="{00000000-0005-0000-0000-0000496B0000}"/>
    <cellStyle name="Normal 43 3 2 8" xfId="33843" xr:uid="{00000000-0005-0000-0000-00004A6B0000}"/>
    <cellStyle name="Normal 43 3 2 8 2" xfId="33845" xr:uid="{00000000-0005-0000-0000-00004B6B0000}"/>
    <cellStyle name="Normal 43 3 2 9" xfId="33848" xr:uid="{00000000-0005-0000-0000-00004C6B0000}"/>
    <cellStyle name="Normal 43 3 3" xfId="30178" xr:uid="{00000000-0005-0000-0000-00004D6B0000}"/>
    <cellStyle name="Normal 43 3 3 2" xfId="33172" xr:uid="{00000000-0005-0000-0000-00004E6B0000}"/>
    <cellStyle name="Normal 43 3 3 2 2" xfId="23067" xr:uid="{00000000-0005-0000-0000-00004F6B0000}"/>
    <cellStyle name="Normal 43 3 3 2 2 2" xfId="21027" xr:uid="{00000000-0005-0000-0000-0000506B0000}"/>
    <cellStyle name="Normal 43 3 3 2 2 2 2" xfId="21032" xr:uid="{00000000-0005-0000-0000-0000516B0000}"/>
    <cellStyle name="Normal 43 3 3 2 2 2 2 2" xfId="21037" xr:uid="{00000000-0005-0000-0000-0000526B0000}"/>
    <cellStyle name="Normal 43 3 3 2 2 2 3" xfId="15463" xr:uid="{00000000-0005-0000-0000-0000536B0000}"/>
    <cellStyle name="Normal 43 3 3 2 2 3" xfId="21042" xr:uid="{00000000-0005-0000-0000-0000546B0000}"/>
    <cellStyle name="Normal 43 3 3 2 2 3 2" xfId="21045" xr:uid="{00000000-0005-0000-0000-0000556B0000}"/>
    <cellStyle name="Normal 43 3 3 2 2 4" xfId="33850" xr:uid="{00000000-0005-0000-0000-0000566B0000}"/>
    <cellStyle name="Normal 43 3 3 2 2 5" xfId="33852" xr:uid="{00000000-0005-0000-0000-0000576B0000}"/>
    <cellStyle name="Normal 43 3 3 2 3" xfId="33855" xr:uid="{00000000-0005-0000-0000-0000586B0000}"/>
    <cellStyle name="Normal 43 3 3 2 3 2" xfId="21186" xr:uid="{00000000-0005-0000-0000-0000596B0000}"/>
    <cellStyle name="Normal 43 3 3 2 3 2 2" xfId="21189" xr:uid="{00000000-0005-0000-0000-00005A6B0000}"/>
    <cellStyle name="Normal 43 3 3 2 3 3" xfId="21194" xr:uid="{00000000-0005-0000-0000-00005B6B0000}"/>
    <cellStyle name="Normal 43 3 3 2 4" xfId="33858" xr:uid="{00000000-0005-0000-0000-00005C6B0000}"/>
    <cellStyle name="Normal 43 3 3 2 4 2" xfId="21214" xr:uid="{00000000-0005-0000-0000-00005D6B0000}"/>
    <cellStyle name="Normal 43 3 3 2 4 2 2" xfId="33860" xr:uid="{00000000-0005-0000-0000-00005E6B0000}"/>
    <cellStyle name="Normal 43 3 3 2 4 3" xfId="21217" xr:uid="{00000000-0005-0000-0000-00005F6B0000}"/>
    <cellStyle name="Normal 43 3 3 2 5" xfId="31306" xr:uid="{00000000-0005-0000-0000-0000606B0000}"/>
    <cellStyle name="Normal 43 3 3 2 5 2" xfId="21247" xr:uid="{00000000-0005-0000-0000-0000616B0000}"/>
    <cellStyle name="Normal 43 3 3 2 6" xfId="31310" xr:uid="{00000000-0005-0000-0000-0000626B0000}"/>
    <cellStyle name="Normal 43 3 3 2 6 2" xfId="21296" xr:uid="{00000000-0005-0000-0000-0000636B0000}"/>
    <cellStyle name="Normal 43 3 3 2 7" xfId="33862" xr:uid="{00000000-0005-0000-0000-0000646B0000}"/>
    <cellStyle name="Normal 43 3 3 2 8" xfId="33864" xr:uid="{00000000-0005-0000-0000-0000656B0000}"/>
    <cellStyle name="Normal 43 3 3 3" xfId="33866" xr:uid="{00000000-0005-0000-0000-0000666B0000}"/>
    <cellStyle name="Normal 43 3 3 3 2" xfId="33868" xr:uid="{00000000-0005-0000-0000-0000676B0000}"/>
    <cellStyle name="Normal 43 3 3 3 2 2" xfId="33870" xr:uid="{00000000-0005-0000-0000-0000686B0000}"/>
    <cellStyle name="Normal 43 3 3 3 2 2 2" xfId="32510" xr:uid="{00000000-0005-0000-0000-0000696B0000}"/>
    <cellStyle name="Normal 43 3 3 3 2 3" xfId="33872" xr:uid="{00000000-0005-0000-0000-00006A6B0000}"/>
    <cellStyle name="Normal 43 3 3 3 3" xfId="33874" xr:uid="{00000000-0005-0000-0000-00006B6B0000}"/>
    <cellStyle name="Normal 43 3 3 3 3 2" xfId="33876" xr:uid="{00000000-0005-0000-0000-00006C6B0000}"/>
    <cellStyle name="Normal 43 3 3 3 4" xfId="33878" xr:uid="{00000000-0005-0000-0000-00006D6B0000}"/>
    <cellStyle name="Normal 43 3 3 3 5" xfId="31316" xr:uid="{00000000-0005-0000-0000-00006E6B0000}"/>
    <cellStyle name="Normal 43 3 3 4" xfId="33880" xr:uid="{00000000-0005-0000-0000-00006F6B0000}"/>
    <cellStyle name="Normal 43 3 3 4 2" xfId="33884" xr:uid="{00000000-0005-0000-0000-0000706B0000}"/>
    <cellStyle name="Normal 43 3 3 4 2 2" xfId="33888" xr:uid="{00000000-0005-0000-0000-0000716B0000}"/>
    <cellStyle name="Normal 43 3 3 4 3" xfId="33892" xr:uid="{00000000-0005-0000-0000-0000726B0000}"/>
    <cellStyle name="Normal 43 3 3 5" xfId="33894" xr:uid="{00000000-0005-0000-0000-0000736B0000}"/>
    <cellStyle name="Normal 43 3 3 5 2" xfId="33898" xr:uid="{00000000-0005-0000-0000-0000746B0000}"/>
    <cellStyle name="Normal 43 3 3 5 2 2" xfId="18034" xr:uid="{00000000-0005-0000-0000-0000756B0000}"/>
    <cellStyle name="Normal 43 3 3 5 3" xfId="33902" xr:uid="{00000000-0005-0000-0000-0000766B0000}"/>
    <cellStyle name="Normal 43 3 3 6" xfId="33905" xr:uid="{00000000-0005-0000-0000-0000776B0000}"/>
    <cellStyle name="Normal 43 3 3 6 2" xfId="33909" xr:uid="{00000000-0005-0000-0000-0000786B0000}"/>
    <cellStyle name="Normal 43 3 3 7" xfId="33911" xr:uid="{00000000-0005-0000-0000-0000796B0000}"/>
    <cellStyle name="Normal 43 3 3 7 2" xfId="33915" xr:uid="{00000000-0005-0000-0000-00007A6B0000}"/>
    <cellStyle name="Normal 43 3 3 8" xfId="33917" xr:uid="{00000000-0005-0000-0000-00007B6B0000}"/>
    <cellStyle name="Normal 43 3 3 9" xfId="33919" xr:uid="{00000000-0005-0000-0000-00007C6B0000}"/>
    <cellStyle name="Normal 43 3 4" xfId="33177" xr:uid="{00000000-0005-0000-0000-00007D6B0000}"/>
    <cellStyle name="Normal 43 3 4 2" xfId="33921" xr:uid="{00000000-0005-0000-0000-00007E6B0000}"/>
    <cellStyle name="Normal 43 3 4 2 2" xfId="33923" xr:uid="{00000000-0005-0000-0000-00007F6B0000}"/>
    <cellStyle name="Normal 43 3 4 2 2 2" xfId="29952" xr:uid="{00000000-0005-0000-0000-0000806B0000}"/>
    <cellStyle name="Normal 43 3 4 2 2 2 2" xfId="29956" xr:uid="{00000000-0005-0000-0000-0000816B0000}"/>
    <cellStyle name="Normal 43 3 4 2 2 2 2 2" xfId="749" xr:uid="{00000000-0005-0000-0000-0000826B0000}"/>
    <cellStyle name="Normal 43 3 4 2 2 2 3" xfId="7938" xr:uid="{00000000-0005-0000-0000-0000836B0000}"/>
    <cellStyle name="Normal 43 3 4 2 2 3" xfId="29964" xr:uid="{00000000-0005-0000-0000-0000846B0000}"/>
    <cellStyle name="Normal 43 3 4 2 2 3 2" xfId="33927" xr:uid="{00000000-0005-0000-0000-0000856B0000}"/>
    <cellStyle name="Normal 43 3 4 2 2 4" xfId="18369" xr:uid="{00000000-0005-0000-0000-0000866B0000}"/>
    <cellStyle name="Normal 43 3 4 2 3" xfId="14660" xr:uid="{00000000-0005-0000-0000-0000876B0000}"/>
    <cellStyle name="Normal 43 3 4 2 3 2" xfId="14664" xr:uid="{00000000-0005-0000-0000-0000886B0000}"/>
    <cellStyle name="Normal 43 3 4 2 3 2 2" xfId="13965" xr:uid="{00000000-0005-0000-0000-0000896B0000}"/>
    <cellStyle name="Normal 43 3 4 2 3 3" xfId="14671" xr:uid="{00000000-0005-0000-0000-00008A6B0000}"/>
    <cellStyle name="Normal 43 3 4 2 4" xfId="14673" xr:uid="{00000000-0005-0000-0000-00008B6B0000}"/>
    <cellStyle name="Normal 43 3 4 2 4 2" xfId="14678" xr:uid="{00000000-0005-0000-0000-00008C6B0000}"/>
    <cellStyle name="Normal 43 3 4 2 4 2 2" xfId="12586" xr:uid="{00000000-0005-0000-0000-00008D6B0000}"/>
    <cellStyle name="Normal 43 3 4 2 4 3" xfId="25757" xr:uid="{00000000-0005-0000-0000-00008E6B0000}"/>
    <cellStyle name="Normal 43 3 4 2 5" xfId="14681" xr:uid="{00000000-0005-0000-0000-00008F6B0000}"/>
    <cellStyle name="Normal 43 3 4 2 5 2" xfId="25790" xr:uid="{00000000-0005-0000-0000-0000906B0000}"/>
    <cellStyle name="Normal 43 3 4 2 6" xfId="14687" xr:uid="{00000000-0005-0000-0000-0000916B0000}"/>
    <cellStyle name="Normal 43 3 4 2 6 2" xfId="19744" xr:uid="{00000000-0005-0000-0000-0000926B0000}"/>
    <cellStyle name="Normal 43 3 4 2 7" xfId="19748" xr:uid="{00000000-0005-0000-0000-0000936B0000}"/>
    <cellStyle name="Normal 43 3 4 2 8" xfId="19758" xr:uid="{00000000-0005-0000-0000-0000946B0000}"/>
    <cellStyle name="Normal 43 3 4 3" xfId="33929" xr:uid="{00000000-0005-0000-0000-0000956B0000}"/>
    <cellStyle name="Normal 43 3 4 3 2" xfId="33931" xr:uid="{00000000-0005-0000-0000-0000966B0000}"/>
    <cellStyle name="Normal 43 3 4 3 2 2" xfId="33933" xr:uid="{00000000-0005-0000-0000-0000976B0000}"/>
    <cellStyle name="Normal 43 3 4 3 2 2 2" xfId="33936" xr:uid="{00000000-0005-0000-0000-0000986B0000}"/>
    <cellStyle name="Normal 43 3 4 3 2 3" xfId="33940" xr:uid="{00000000-0005-0000-0000-0000996B0000}"/>
    <cellStyle name="Normal 43 3 4 3 3" xfId="14695" xr:uid="{00000000-0005-0000-0000-00009A6B0000}"/>
    <cellStyle name="Normal 43 3 4 3 3 2" xfId="14031" xr:uid="{00000000-0005-0000-0000-00009B6B0000}"/>
    <cellStyle name="Normal 43 3 4 3 4" xfId="14699" xr:uid="{00000000-0005-0000-0000-00009C6B0000}"/>
    <cellStyle name="Normal 43 3 4 4" xfId="33942" xr:uid="{00000000-0005-0000-0000-00009D6B0000}"/>
    <cellStyle name="Normal 43 3 4 4 2" xfId="33946" xr:uid="{00000000-0005-0000-0000-00009E6B0000}"/>
    <cellStyle name="Normal 43 3 4 4 2 2" xfId="33950" xr:uid="{00000000-0005-0000-0000-00009F6B0000}"/>
    <cellStyle name="Normal 43 3 4 4 3" xfId="14710" xr:uid="{00000000-0005-0000-0000-0000A06B0000}"/>
    <cellStyle name="Normal 43 3 4 5" xfId="13275" xr:uid="{00000000-0005-0000-0000-0000A16B0000}"/>
    <cellStyle name="Normal 43 3 4 5 2" xfId="16466" xr:uid="{00000000-0005-0000-0000-0000A26B0000}"/>
    <cellStyle name="Normal 43 3 4 5 2 2" xfId="33954" xr:uid="{00000000-0005-0000-0000-0000A36B0000}"/>
    <cellStyle name="Normal 43 3 4 5 3" xfId="12224" xr:uid="{00000000-0005-0000-0000-0000A46B0000}"/>
    <cellStyle name="Normal 43 3 4 6" xfId="7491" xr:uid="{00000000-0005-0000-0000-0000A56B0000}"/>
    <cellStyle name="Normal 43 3 4 6 2" xfId="33958" xr:uid="{00000000-0005-0000-0000-0000A66B0000}"/>
    <cellStyle name="Normal 43 3 4 7" xfId="7514" xr:uid="{00000000-0005-0000-0000-0000A76B0000}"/>
    <cellStyle name="Normal 43 3 4 7 2" xfId="33962" xr:uid="{00000000-0005-0000-0000-0000A86B0000}"/>
    <cellStyle name="Normal 43 3 4 8" xfId="33964" xr:uid="{00000000-0005-0000-0000-0000A96B0000}"/>
    <cellStyle name="Normal 43 3 4 9" xfId="33966" xr:uid="{00000000-0005-0000-0000-0000AA6B0000}"/>
    <cellStyle name="Normal 43 3 5" xfId="23091" xr:uid="{00000000-0005-0000-0000-0000AB6B0000}"/>
    <cellStyle name="Normal 43 3 5 2" xfId="33968" xr:uid="{00000000-0005-0000-0000-0000AC6B0000}"/>
    <cellStyle name="Normal 43 3 5 2 2" xfId="33970" xr:uid="{00000000-0005-0000-0000-0000AD6B0000}"/>
    <cellStyle name="Normal 43 3 5 2 2 2" xfId="33972" xr:uid="{00000000-0005-0000-0000-0000AE6B0000}"/>
    <cellStyle name="Normal 43 3 5 2 2 2 2" xfId="33974" xr:uid="{00000000-0005-0000-0000-0000AF6B0000}"/>
    <cellStyle name="Normal 43 3 5 2 2 2 2 2" xfId="33976" xr:uid="{00000000-0005-0000-0000-0000B06B0000}"/>
    <cellStyle name="Normal 43 3 5 2 2 2 3" xfId="33978" xr:uid="{00000000-0005-0000-0000-0000B16B0000}"/>
    <cellStyle name="Normal 43 3 5 2 2 3" xfId="33982" xr:uid="{00000000-0005-0000-0000-0000B26B0000}"/>
    <cellStyle name="Normal 43 3 5 2 2 3 2" xfId="33984" xr:uid="{00000000-0005-0000-0000-0000B36B0000}"/>
    <cellStyle name="Normal 43 3 5 2 2 4" xfId="18439" xr:uid="{00000000-0005-0000-0000-0000B46B0000}"/>
    <cellStyle name="Normal 43 3 5 2 3" xfId="14755" xr:uid="{00000000-0005-0000-0000-0000B56B0000}"/>
    <cellStyle name="Normal 43 3 5 2 3 2" xfId="14760" xr:uid="{00000000-0005-0000-0000-0000B66B0000}"/>
    <cellStyle name="Normal 43 3 5 2 3 2 2" xfId="9776" xr:uid="{00000000-0005-0000-0000-0000B76B0000}"/>
    <cellStyle name="Normal 43 3 5 2 3 3" xfId="33987" xr:uid="{00000000-0005-0000-0000-0000B86B0000}"/>
    <cellStyle name="Normal 43 3 5 2 4" xfId="14763" xr:uid="{00000000-0005-0000-0000-0000B96B0000}"/>
    <cellStyle name="Normal 43 3 5 2 4 2" xfId="33994" xr:uid="{00000000-0005-0000-0000-0000BA6B0000}"/>
    <cellStyle name="Normal 43 3 5 2 4 2 2" xfId="33996" xr:uid="{00000000-0005-0000-0000-0000BB6B0000}"/>
    <cellStyle name="Normal 43 3 5 2 4 3" xfId="33998" xr:uid="{00000000-0005-0000-0000-0000BC6B0000}"/>
    <cellStyle name="Normal 43 3 5 2 5" xfId="14770" xr:uid="{00000000-0005-0000-0000-0000BD6B0000}"/>
    <cellStyle name="Normal 43 3 5 2 5 2" xfId="27238" xr:uid="{00000000-0005-0000-0000-0000BE6B0000}"/>
    <cellStyle name="Normal 43 3 5 2 6" xfId="23270" xr:uid="{00000000-0005-0000-0000-0000BF6B0000}"/>
    <cellStyle name="Normal 43 3 5 2 6 2" xfId="23274" xr:uid="{00000000-0005-0000-0000-0000C06B0000}"/>
    <cellStyle name="Normal 43 3 5 2 7" xfId="23277" xr:uid="{00000000-0005-0000-0000-0000C16B0000}"/>
    <cellStyle name="Normal 43 3 5 2 8" xfId="34000" xr:uid="{00000000-0005-0000-0000-0000C26B0000}"/>
    <cellStyle name="Normal 43 3 5 3" xfId="34002" xr:uid="{00000000-0005-0000-0000-0000C36B0000}"/>
    <cellStyle name="Normal 43 3 5 3 2" xfId="34004" xr:uid="{00000000-0005-0000-0000-0000C46B0000}"/>
    <cellStyle name="Normal 43 3 5 3 2 2" xfId="34007" xr:uid="{00000000-0005-0000-0000-0000C56B0000}"/>
    <cellStyle name="Normal 43 3 5 3 2 2 2" xfId="34011" xr:uid="{00000000-0005-0000-0000-0000C66B0000}"/>
    <cellStyle name="Normal 43 3 5 3 2 3" xfId="34015" xr:uid="{00000000-0005-0000-0000-0000C76B0000}"/>
    <cellStyle name="Normal 43 3 5 3 3" xfId="14784" xr:uid="{00000000-0005-0000-0000-0000C86B0000}"/>
    <cellStyle name="Normal 43 3 5 3 3 2" xfId="14639" xr:uid="{00000000-0005-0000-0000-0000C96B0000}"/>
    <cellStyle name="Normal 43 3 5 3 4" xfId="14787" xr:uid="{00000000-0005-0000-0000-0000CA6B0000}"/>
    <cellStyle name="Normal 43 3 5 4" xfId="34019" xr:uid="{00000000-0005-0000-0000-0000CB6B0000}"/>
    <cellStyle name="Normal 43 3 5 4 2" xfId="34023" xr:uid="{00000000-0005-0000-0000-0000CC6B0000}"/>
    <cellStyle name="Normal 43 3 5 4 2 2" xfId="34026" xr:uid="{00000000-0005-0000-0000-0000CD6B0000}"/>
    <cellStyle name="Normal 43 3 5 4 3" xfId="14797" xr:uid="{00000000-0005-0000-0000-0000CE6B0000}"/>
    <cellStyle name="Normal 43 3 5 5" xfId="12505" xr:uid="{00000000-0005-0000-0000-0000CF6B0000}"/>
    <cellStyle name="Normal 43 3 5 5 2" xfId="34033" xr:uid="{00000000-0005-0000-0000-0000D06B0000}"/>
    <cellStyle name="Normal 43 3 5 5 2 2" xfId="34035" xr:uid="{00000000-0005-0000-0000-0000D16B0000}"/>
    <cellStyle name="Normal 43 3 5 5 3" xfId="12291" xr:uid="{00000000-0005-0000-0000-0000D26B0000}"/>
    <cellStyle name="Normal 43 3 5 6" xfId="34038" xr:uid="{00000000-0005-0000-0000-0000D36B0000}"/>
    <cellStyle name="Normal 43 3 5 6 2" xfId="34042" xr:uid="{00000000-0005-0000-0000-0000D46B0000}"/>
    <cellStyle name="Normal 43 3 5 7" xfId="29812" xr:uid="{00000000-0005-0000-0000-0000D56B0000}"/>
    <cellStyle name="Normal 43 3 5 7 2" xfId="34044" xr:uid="{00000000-0005-0000-0000-0000D66B0000}"/>
    <cellStyle name="Normal 43 3 5 8" xfId="34047" xr:uid="{00000000-0005-0000-0000-0000D76B0000}"/>
    <cellStyle name="Normal 43 3 5 9" xfId="34049" xr:uid="{00000000-0005-0000-0000-0000D86B0000}"/>
    <cellStyle name="Normal 43 3 6" xfId="9847" xr:uid="{00000000-0005-0000-0000-0000D96B0000}"/>
    <cellStyle name="Normal 43 3 6 2" xfId="34051" xr:uid="{00000000-0005-0000-0000-0000DA6B0000}"/>
    <cellStyle name="Normal 43 3 6 2 2" xfId="9794" xr:uid="{00000000-0005-0000-0000-0000DB6B0000}"/>
    <cellStyle name="Normal 43 3 6 2 2 2" xfId="9805" xr:uid="{00000000-0005-0000-0000-0000DC6B0000}"/>
    <cellStyle name="Normal 43 3 6 2 2 2 2" xfId="9812" xr:uid="{00000000-0005-0000-0000-0000DD6B0000}"/>
    <cellStyle name="Normal 43 3 6 2 2 3" xfId="9821" xr:uid="{00000000-0005-0000-0000-0000DE6B0000}"/>
    <cellStyle name="Normal 43 3 6 2 3" xfId="9827" xr:uid="{00000000-0005-0000-0000-0000DF6B0000}"/>
    <cellStyle name="Normal 43 3 6 2 3 2" xfId="9835" xr:uid="{00000000-0005-0000-0000-0000E06B0000}"/>
    <cellStyle name="Normal 43 3 6 2 4" xfId="9841" xr:uid="{00000000-0005-0000-0000-0000E16B0000}"/>
    <cellStyle name="Normal 43 3 6 3" xfId="34053" xr:uid="{00000000-0005-0000-0000-0000E26B0000}"/>
    <cellStyle name="Normal 43 3 6 3 2" xfId="9863" xr:uid="{00000000-0005-0000-0000-0000E36B0000}"/>
    <cellStyle name="Normal 43 3 6 3 2 2" xfId="34056" xr:uid="{00000000-0005-0000-0000-0000E46B0000}"/>
    <cellStyle name="Normal 43 3 6 3 3" xfId="9490" xr:uid="{00000000-0005-0000-0000-0000E56B0000}"/>
    <cellStyle name="Normal 43 3 6 4" xfId="34059" xr:uid="{00000000-0005-0000-0000-0000E66B0000}"/>
    <cellStyle name="Normal 43 3 6 4 2" xfId="34063" xr:uid="{00000000-0005-0000-0000-0000E76B0000}"/>
    <cellStyle name="Normal 43 3 6 4 2 2" xfId="34066" xr:uid="{00000000-0005-0000-0000-0000E86B0000}"/>
    <cellStyle name="Normal 43 3 6 4 3" xfId="34070" xr:uid="{00000000-0005-0000-0000-0000E96B0000}"/>
    <cellStyle name="Normal 43 3 6 5" xfId="17282" xr:uid="{00000000-0005-0000-0000-0000EA6B0000}"/>
    <cellStyle name="Normal 43 3 6 5 2" xfId="34073" xr:uid="{00000000-0005-0000-0000-0000EB6B0000}"/>
    <cellStyle name="Normal 43 3 6 6" xfId="194" xr:uid="{00000000-0005-0000-0000-0000EC6B0000}"/>
    <cellStyle name="Normal 43 3 6 6 2" xfId="34076" xr:uid="{00000000-0005-0000-0000-0000ED6B0000}"/>
    <cellStyle name="Normal 43 3 6 7" xfId="34080" xr:uid="{00000000-0005-0000-0000-0000EE6B0000}"/>
    <cellStyle name="Normal 43 3 6 8" xfId="34082" xr:uid="{00000000-0005-0000-0000-0000EF6B0000}"/>
    <cellStyle name="Normal 43 3 7" xfId="34084" xr:uid="{00000000-0005-0000-0000-0000F06B0000}"/>
    <cellStyle name="Normal 43 3 7 2" xfId="34086" xr:uid="{00000000-0005-0000-0000-0000F16B0000}"/>
    <cellStyle name="Normal 43 3 7 2 2" xfId="34088" xr:uid="{00000000-0005-0000-0000-0000F26B0000}"/>
    <cellStyle name="Normal 43 3 7 2 2 2" xfId="34090" xr:uid="{00000000-0005-0000-0000-0000F36B0000}"/>
    <cellStyle name="Normal 43 3 7 2 3" xfId="95" xr:uid="{00000000-0005-0000-0000-0000F46B0000}"/>
    <cellStyle name="Normal 43 3 7 3" xfId="34092" xr:uid="{00000000-0005-0000-0000-0000F56B0000}"/>
    <cellStyle name="Normal 43 3 7 3 2" xfId="34094" xr:uid="{00000000-0005-0000-0000-0000F66B0000}"/>
    <cellStyle name="Normal 43 3 7 4" xfId="34096" xr:uid="{00000000-0005-0000-0000-0000F76B0000}"/>
    <cellStyle name="Normal 43 3 8" xfId="14972" xr:uid="{00000000-0005-0000-0000-0000F86B0000}"/>
    <cellStyle name="Normal 43 3 8 2" xfId="1625" xr:uid="{00000000-0005-0000-0000-0000F96B0000}"/>
    <cellStyle name="Normal 43 3 8 2 2" xfId="34099" xr:uid="{00000000-0005-0000-0000-0000FA6B0000}"/>
    <cellStyle name="Normal 43 3 8 3" xfId="14981" xr:uid="{00000000-0005-0000-0000-0000FB6B0000}"/>
    <cellStyle name="Normal 43 3 9" xfId="34101" xr:uid="{00000000-0005-0000-0000-0000FC6B0000}"/>
    <cellStyle name="Normal 43 3 9 2" xfId="14994" xr:uid="{00000000-0005-0000-0000-0000FD6B0000}"/>
    <cellStyle name="Normal 43 3 9 2 2" xfId="34103" xr:uid="{00000000-0005-0000-0000-0000FE6B0000}"/>
    <cellStyle name="Normal 43 3 9 3" xfId="34105" xr:uid="{00000000-0005-0000-0000-0000FF6B0000}"/>
    <cellStyle name="Normal 43 4" xfId="27510" xr:uid="{00000000-0005-0000-0000-0000006C0000}"/>
    <cellStyle name="Normal 43 4 10" xfId="34107" xr:uid="{00000000-0005-0000-0000-0000016C0000}"/>
    <cellStyle name="Normal 43 4 2" xfId="30185" xr:uid="{00000000-0005-0000-0000-0000026C0000}"/>
    <cellStyle name="Normal 43 4 2 2" xfId="34111" xr:uid="{00000000-0005-0000-0000-0000036C0000}"/>
    <cellStyle name="Normal 43 4 2 2 2" xfId="20916" xr:uid="{00000000-0005-0000-0000-0000046C0000}"/>
    <cellStyle name="Normal 43 4 2 2 2 2" xfId="34113" xr:uid="{00000000-0005-0000-0000-0000056C0000}"/>
    <cellStyle name="Normal 43 4 2 2 2 2 2" xfId="29962" xr:uid="{00000000-0005-0000-0000-0000066C0000}"/>
    <cellStyle name="Normal 43 4 2 2 2 2 2 2" xfId="33925" xr:uid="{00000000-0005-0000-0000-0000076C0000}"/>
    <cellStyle name="Normal 43 4 2 2 2 2 3" xfId="18367" xr:uid="{00000000-0005-0000-0000-0000086C0000}"/>
    <cellStyle name="Normal 43 4 2 2 2 3" xfId="34118" xr:uid="{00000000-0005-0000-0000-0000096C0000}"/>
    <cellStyle name="Normal 43 4 2 2 2 3 2" xfId="14668" xr:uid="{00000000-0005-0000-0000-00000A6C0000}"/>
    <cellStyle name="Normal 43 4 2 2 2 4" xfId="34120" xr:uid="{00000000-0005-0000-0000-00000B6C0000}"/>
    <cellStyle name="Normal 43 4 2 2 3" xfId="34124" xr:uid="{00000000-0005-0000-0000-00000C6C0000}"/>
    <cellStyle name="Normal 43 4 2 2 3 2" xfId="34126" xr:uid="{00000000-0005-0000-0000-00000D6C0000}"/>
    <cellStyle name="Normal 43 4 2 2 3 2 2" xfId="33938" xr:uid="{00000000-0005-0000-0000-00000E6C0000}"/>
    <cellStyle name="Normal 43 4 2 2 3 3" xfId="34130" xr:uid="{00000000-0005-0000-0000-00000F6C0000}"/>
    <cellStyle name="Normal 43 4 2 2 4" xfId="34134" xr:uid="{00000000-0005-0000-0000-0000106C0000}"/>
    <cellStyle name="Normal 43 4 2 2 4 2" xfId="34136" xr:uid="{00000000-0005-0000-0000-0000116C0000}"/>
    <cellStyle name="Normal 43 4 2 2 4 2 2" xfId="34139" xr:uid="{00000000-0005-0000-0000-0000126C0000}"/>
    <cellStyle name="Normal 43 4 2 2 4 3" xfId="34142" xr:uid="{00000000-0005-0000-0000-0000136C0000}"/>
    <cellStyle name="Normal 43 4 2 2 5" xfId="34144" xr:uid="{00000000-0005-0000-0000-0000146C0000}"/>
    <cellStyle name="Normal 43 4 2 2 5 2" xfId="3208" xr:uid="{00000000-0005-0000-0000-0000156C0000}"/>
    <cellStyle name="Normal 43 4 2 2 6" xfId="34146" xr:uid="{00000000-0005-0000-0000-0000166C0000}"/>
    <cellStyle name="Normal 43 4 2 2 6 2" xfId="27700" xr:uid="{00000000-0005-0000-0000-0000176C0000}"/>
    <cellStyle name="Normal 43 4 2 2 7" xfId="34148" xr:uid="{00000000-0005-0000-0000-0000186C0000}"/>
    <cellStyle name="Normal 43 4 2 2 8" xfId="34150" xr:uid="{00000000-0005-0000-0000-0000196C0000}"/>
    <cellStyle name="Normal 43 4 2 3" xfId="34153" xr:uid="{00000000-0005-0000-0000-00001A6C0000}"/>
    <cellStyle name="Normal 43 4 2 3 2" xfId="34155" xr:uid="{00000000-0005-0000-0000-00001B6C0000}"/>
    <cellStyle name="Normal 43 4 2 3 2 2" xfId="5528" xr:uid="{00000000-0005-0000-0000-00001C6C0000}"/>
    <cellStyle name="Normal 43 4 2 3 2 2 2" xfId="33980" xr:uid="{00000000-0005-0000-0000-00001D6C0000}"/>
    <cellStyle name="Normal 43 4 2 3 2 3" xfId="34157" xr:uid="{00000000-0005-0000-0000-00001E6C0000}"/>
    <cellStyle name="Normal 43 4 2 3 3" xfId="34160" xr:uid="{00000000-0005-0000-0000-00001F6C0000}"/>
    <cellStyle name="Normal 43 4 2 3 3 2" xfId="5546" xr:uid="{00000000-0005-0000-0000-0000206C0000}"/>
    <cellStyle name="Normal 43 4 2 3 4" xfId="23561" xr:uid="{00000000-0005-0000-0000-0000216C0000}"/>
    <cellStyle name="Normal 43 4 2 4" xfId="34174" xr:uid="{00000000-0005-0000-0000-0000226C0000}"/>
    <cellStyle name="Normal 43 4 2 4 2" xfId="34177" xr:uid="{00000000-0005-0000-0000-0000236C0000}"/>
    <cellStyle name="Normal 43 4 2 4 2 2" xfId="5718" xr:uid="{00000000-0005-0000-0000-0000246C0000}"/>
    <cellStyle name="Normal 43 4 2 4 3" xfId="34187" xr:uid="{00000000-0005-0000-0000-0000256C0000}"/>
    <cellStyle name="Normal 43 4 2 5" xfId="34196" xr:uid="{00000000-0005-0000-0000-0000266C0000}"/>
    <cellStyle name="Normal 43 4 2 5 2" xfId="34201" xr:uid="{00000000-0005-0000-0000-0000276C0000}"/>
    <cellStyle name="Normal 43 4 2 5 2 2" xfId="4212" xr:uid="{00000000-0005-0000-0000-0000286C0000}"/>
    <cellStyle name="Normal 43 4 2 5 3" xfId="34208" xr:uid="{00000000-0005-0000-0000-0000296C0000}"/>
    <cellStyle name="Normal 43 4 2 6" xfId="34210" xr:uid="{00000000-0005-0000-0000-00002A6C0000}"/>
    <cellStyle name="Normal 43 4 2 6 2" xfId="34214" xr:uid="{00000000-0005-0000-0000-00002B6C0000}"/>
    <cellStyle name="Normal 43 4 2 7" xfId="34217" xr:uid="{00000000-0005-0000-0000-00002C6C0000}"/>
    <cellStyle name="Normal 43 4 2 7 2" xfId="34221" xr:uid="{00000000-0005-0000-0000-00002D6C0000}"/>
    <cellStyle name="Normal 43 4 2 8" xfId="34223" xr:uid="{00000000-0005-0000-0000-00002E6C0000}"/>
    <cellStyle name="Normal 43 4 2 9" xfId="32112" xr:uid="{00000000-0005-0000-0000-00002F6C0000}"/>
    <cellStyle name="Normal 43 4 3" xfId="33185" xr:uid="{00000000-0005-0000-0000-0000306C0000}"/>
    <cellStyle name="Normal 43 4 3 2" xfId="34226" xr:uid="{00000000-0005-0000-0000-0000316C0000}"/>
    <cellStyle name="Normal 43 4 3 2 2" xfId="20986" xr:uid="{00000000-0005-0000-0000-0000326C0000}"/>
    <cellStyle name="Normal 43 4 3 2 2 2" xfId="23141" xr:uid="{00000000-0005-0000-0000-0000336C0000}"/>
    <cellStyle name="Normal 43 4 3 2 2 2 2" xfId="30512" xr:uid="{00000000-0005-0000-0000-0000346C0000}"/>
    <cellStyle name="Normal 43 4 3 2 2 3" xfId="34230" xr:uid="{00000000-0005-0000-0000-0000356C0000}"/>
    <cellStyle name="Normal 43 4 3 2 3" xfId="23147" xr:uid="{00000000-0005-0000-0000-0000366C0000}"/>
    <cellStyle name="Normal 43 4 3 2 3 2" xfId="34236" xr:uid="{00000000-0005-0000-0000-0000376C0000}"/>
    <cellStyle name="Normal 43 4 3 2 4" xfId="34239" xr:uid="{00000000-0005-0000-0000-0000386C0000}"/>
    <cellStyle name="Normal 43 4 3 3" xfId="34253" xr:uid="{00000000-0005-0000-0000-0000396C0000}"/>
    <cellStyle name="Normal 43 4 3 3 2" xfId="34255" xr:uid="{00000000-0005-0000-0000-00003A6C0000}"/>
    <cellStyle name="Normal 43 4 3 3 2 2" xfId="19342" xr:uid="{00000000-0005-0000-0000-00003B6C0000}"/>
    <cellStyle name="Normal 43 4 3 3 3" xfId="34257" xr:uid="{00000000-0005-0000-0000-00003C6C0000}"/>
    <cellStyle name="Normal 43 4 3 4" xfId="8173" xr:uid="{00000000-0005-0000-0000-00003D6C0000}"/>
    <cellStyle name="Normal 43 4 3 4 2" xfId="11227" xr:uid="{00000000-0005-0000-0000-00003E6C0000}"/>
    <cellStyle name="Normal 43 4 3 4 2 2" xfId="34267" xr:uid="{00000000-0005-0000-0000-00003F6C0000}"/>
    <cellStyle name="Normal 43 4 3 4 3" xfId="34271" xr:uid="{00000000-0005-0000-0000-0000406C0000}"/>
    <cellStyle name="Normal 43 4 3 5" xfId="11231" xr:uid="{00000000-0005-0000-0000-0000416C0000}"/>
    <cellStyle name="Normal 43 4 3 5 2" xfId="4348" xr:uid="{00000000-0005-0000-0000-0000426C0000}"/>
    <cellStyle name="Normal 43 4 3 6" xfId="7630" xr:uid="{00000000-0005-0000-0000-0000436C0000}"/>
    <cellStyle name="Normal 43 4 3 6 2" xfId="11236" xr:uid="{00000000-0005-0000-0000-0000446C0000}"/>
    <cellStyle name="Normal 43 4 3 7" xfId="11239" xr:uid="{00000000-0005-0000-0000-0000456C0000}"/>
    <cellStyle name="Normal 43 4 3 8" xfId="11242" xr:uid="{00000000-0005-0000-0000-0000466C0000}"/>
    <cellStyle name="Normal 43 4 4" xfId="27300" xr:uid="{00000000-0005-0000-0000-0000476C0000}"/>
    <cellStyle name="Normal 43 4 4 2" xfId="27304" xr:uid="{00000000-0005-0000-0000-0000486C0000}"/>
    <cellStyle name="Normal 43 4 4 2 2" xfId="27308" xr:uid="{00000000-0005-0000-0000-0000496C0000}"/>
    <cellStyle name="Normal 43 4 4 2 2 2" xfId="30503" xr:uid="{00000000-0005-0000-0000-00004A6C0000}"/>
    <cellStyle name="Normal 43 4 4 2 3" xfId="14858" xr:uid="{00000000-0005-0000-0000-00004B6C0000}"/>
    <cellStyle name="Normal 43 4 4 3" xfId="27311" xr:uid="{00000000-0005-0000-0000-00004C6C0000}"/>
    <cellStyle name="Normal 43 4 4 3 2" xfId="34290" xr:uid="{00000000-0005-0000-0000-00004D6C0000}"/>
    <cellStyle name="Normal 43 4 4 4" xfId="392" xr:uid="{00000000-0005-0000-0000-00004E6C0000}"/>
    <cellStyle name="Normal 43 4 5" xfId="23161" xr:uid="{00000000-0005-0000-0000-00004F6C0000}"/>
    <cellStyle name="Normal 43 4 5 2" xfId="27314" xr:uid="{00000000-0005-0000-0000-0000506C0000}"/>
    <cellStyle name="Normal 43 4 5 2 2" xfId="34312" xr:uid="{00000000-0005-0000-0000-0000516C0000}"/>
    <cellStyle name="Normal 43 4 5 3" xfId="34330" xr:uid="{00000000-0005-0000-0000-0000526C0000}"/>
    <cellStyle name="Normal 43 4 6" xfId="27317" xr:uid="{00000000-0005-0000-0000-0000536C0000}"/>
    <cellStyle name="Normal 43 4 6 2" xfId="10798" xr:uid="{00000000-0005-0000-0000-0000546C0000}"/>
    <cellStyle name="Normal 43 4 6 2 2" xfId="10567" xr:uid="{00000000-0005-0000-0000-0000556C0000}"/>
    <cellStyle name="Normal 43 4 6 3" xfId="10801" xr:uid="{00000000-0005-0000-0000-0000566C0000}"/>
    <cellStyle name="Normal 43 4 7" xfId="27320" xr:uid="{00000000-0005-0000-0000-0000576C0000}"/>
    <cellStyle name="Normal 43 4 7 2" xfId="1454" xr:uid="{00000000-0005-0000-0000-0000586C0000}"/>
    <cellStyle name="Normal 43 4 8" xfId="15032" xr:uid="{00000000-0005-0000-0000-0000596C0000}"/>
    <cellStyle name="Normal 43 4 8 2" xfId="10930" xr:uid="{00000000-0005-0000-0000-00005A6C0000}"/>
    <cellStyle name="Normal 43 4 9" xfId="34364" xr:uid="{00000000-0005-0000-0000-00005B6C0000}"/>
    <cellStyle name="Normal 43 5" xfId="30189" xr:uid="{00000000-0005-0000-0000-00005C6C0000}"/>
    <cellStyle name="Normal 43 5 2" xfId="30193" xr:uid="{00000000-0005-0000-0000-00005D6C0000}"/>
    <cellStyle name="Normal 43 5 2 2" xfId="34367" xr:uid="{00000000-0005-0000-0000-00005E6C0000}"/>
    <cellStyle name="Normal 43 5 2 2 2" xfId="584" xr:uid="{00000000-0005-0000-0000-00005F6C0000}"/>
    <cellStyle name="Normal 43 5 2 2 2 2" xfId="34369" xr:uid="{00000000-0005-0000-0000-0000606C0000}"/>
    <cellStyle name="Normal 43 5 2 2 2 2 2" xfId="31872" xr:uid="{00000000-0005-0000-0000-0000616C0000}"/>
    <cellStyle name="Normal 43 5 2 2 2 3" xfId="34371" xr:uid="{00000000-0005-0000-0000-0000626C0000}"/>
    <cellStyle name="Normal 43 5 2 2 3" xfId="34378" xr:uid="{00000000-0005-0000-0000-0000636C0000}"/>
    <cellStyle name="Normal 43 5 2 2 3 2" xfId="34380" xr:uid="{00000000-0005-0000-0000-0000646C0000}"/>
    <cellStyle name="Normal 43 5 2 2 4" xfId="34387" xr:uid="{00000000-0005-0000-0000-0000656C0000}"/>
    <cellStyle name="Normal 43 5 2 2 5" xfId="34394" xr:uid="{00000000-0005-0000-0000-0000666C0000}"/>
    <cellStyle name="Normal 43 5 2 3" xfId="33317" xr:uid="{00000000-0005-0000-0000-0000676C0000}"/>
    <cellStyle name="Normal 43 5 2 3 2" xfId="2280" xr:uid="{00000000-0005-0000-0000-0000686C0000}"/>
    <cellStyle name="Normal 43 5 2 3 2 2" xfId="5285" xr:uid="{00000000-0005-0000-0000-0000696C0000}"/>
    <cellStyle name="Normal 43 5 2 3 3" xfId="33321" xr:uid="{00000000-0005-0000-0000-00006A6C0000}"/>
    <cellStyle name="Normal 43 5 2 4" xfId="33327" xr:uid="{00000000-0005-0000-0000-00006B6C0000}"/>
    <cellStyle name="Normal 43 5 2 4 2" xfId="33338" xr:uid="{00000000-0005-0000-0000-00006C6C0000}"/>
    <cellStyle name="Normal 43 5 2 4 2 2" xfId="6914" xr:uid="{00000000-0005-0000-0000-00006D6C0000}"/>
    <cellStyle name="Normal 43 5 2 4 3" xfId="34409" xr:uid="{00000000-0005-0000-0000-00006E6C0000}"/>
    <cellStyle name="Normal 43 5 2 5" xfId="33340" xr:uid="{00000000-0005-0000-0000-00006F6C0000}"/>
    <cellStyle name="Normal 43 5 2 5 2" xfId="34414" xr:uid="{00000000-0005-0000-0000-0000706C0000}"/>
    <cellStyle name="Normal 43 5 2 6" xfId="26226" xr:uid="{00000000-0005-0000-0000-0000716C0000}"/>
    <cellStyle name="Normal 43 5 2 6 2" xfId="34422" xr:uid="{00000000-0005-0000-0000-0000726C0000}"/>
    <cellStyle name="Normal 43 5 2 7" xfId="34427" xr:uid="{00000000-0005-0000-0000-0000736C0000}"/>
    <cellStyle name="Normal 43 5 2 8" xfId="34435" xr:uid="{00000000-0005-0000-0000-0000746C0000}"/>
    <cellStyle name="Normal 43 5 3" xfId="33196" xr:uid="{00000000-0005-0000-0000-0000756C0000}"/>
    <cellStyle name="Normal 43 5 3 2" xfId="34439" xr:uid="{00000000-0005-0000-0000-0000766C0000}"/>
    <cellStyle name="Normal 43 5 3 2 2" xfId="623" xr:uid="{00000000-0005-0000-0000-0000776C0000}"/>
    <cellStyle name="Normal 43 5 3 2 2 2" xfId="34442" xr:uid="{00000000-0005-0000-0000-0000786C0000}"/>
    <cellStyle name="Normal 43 5 3 2 3" xfId="34445" xr:uid="{00000000-0005-0000-0000-0000796C0000}"/>
    <cellStyle name="Normal 43 5 3 3" xfId="33347" xr:uid="{00000000-0005-0000-0000-00007A6C0000}"/>
    <cellStyle name="Normal 43 5 3 3 2" xfId="2840" xr:uid="{00000000-0005-0000-0000-00007B6C0000}"/>
    <cellStyle name="Normal 43 5 3 4" xfId="33351" xr:uid="{00000000-0005-0000-0000-00007C6C0000}"/>
    <cellStyle name="Normal 43 5 3 5" xfId="34468" xr:uid="{00000000-0005-0000-0000-00007D6C0000}"/>
    <cellStyle name="Normal 43 5 4" xfId="27325" xr:uid="{00000000-0005-0000-0000-00007E6C0000}"/>
    <cellStyle name="Normal 43 5 4 2" xfId="27330" xr:uid="{00000000-0005-0000-0000-00007F6C0000}"/>
    <cellStyle name="Normal 43 5 4 2 2" xfId="1645" xr:uid="{00000000-0005-0000-0000-0000806C0000}"/>
    <cellStyle name="Normal 43 5 4 3" xfId="33358" xr:uid="{00000000-0005-0000-0000-0000816C0000}"/>
    <cellStyle name="Normal 43 5 5" xfId="21979" xr:uid="{00000000-0005-0000-0000-0000826C0000}"/>
    <cellStyle name="Normal 43 5 5 2" xfId="34495" xr:uid="{00000000-0005-0000-0000-0000836C0000}"/>
    <cellStyle name="Normal 43 5 5 2 2" xfId="1481" xr:uid="{00000000-0005-0000-0000-0000846C0000}"/>
    <cellStyle name="Normal 43 5 5 3" xfId="33368" xr:uid="{00000000-0005-0000-0000-0000856C0000}"/>
    <cellStyle name="Normal 43 5 6" xfId="11807" xr:uid="{00000000-0005-0000-0000-0000866C0000}"/>
    <cellStyle name="Normal 43 5 6 2" xfId="10988" xr:uid="{00000000-0005-0000-0000-0000876C0000}"/>
    <cellStyle name="Normal 43 5 7" xfId="6327" xr:uid="{00000000-0005-0000-0000-0000886C0000}"/>
    <cellStyle name="Normal 43 5 7 2" xfId="11021" xr:uid="{00000000-0005-0000-0000-0000896C0000}"/>
    <cellStyle name="Normal 43 5 8" xfId="34502" xr:uid="{00000000-0005-0000-0000-00008A6C0000}"/>
    <cellStyle name="Normal 43 5 9" xfId="34504" xr:uid="{00000000-0005-0000-0000-00008B6C0000}"/>
    <cellStyle name="Normal 43 6" xfId="30197" xr:uid="{00000000-0005-0000-0000-00008C6C0000}"/>
    <cellStyle name="Normal 43 6 2" xfId="10838" xr:uid="{00000000-0005-0000-0000-00008D6C0000}"/>
    <cellStyle name="Normal 43 6 2 2" xfId="34506" xr:uid="{00000000-0005-0000-0000-00008E6C0000}"/>
    <cellStyle name="Normal 43 6 2 2 2" xfId="25083" xr:uid="{00000000-0005-0000-0000-00008F6C0000}"/>
    <cellStyle name="Normal 43 6 2 2 2 2" xfId="34509" xr:uid="{00000000-0005-0000-0000-0000906C0000}"/>
    <cellStyle name="Normal 43 6 2 2 2 2 2" xfId="33733" xr:uid="{00000000-0005-0000-0000-0000916C0000}"/>
    <cellStyle name="Normal 43 6 2 2 2 3" xfId="34511" xr:uid="{00000000-0005-0000-0000-0000926C0000}"/>
    <cellStyle name="Normal 43 6 2 2 3" xfId="34513" xr:uid="{00000000-0005-0000-0000-0000936C0000}"/>
    <cellStyle name="Normal 43 6 2 2 3 2" xfId="34515" xr:uid="{00000000-0005-0000-0000-0000946C0000}"/>
    <cellStyle name="Normal 43 6 2 2 4" xfId="34517" xr:uid="{00000000-0005-0000-0000-0000956C0000}"/>
    <cellStyle name="Normal 43 6 2 3" xfId="33433" xr:uid="{00000000-0005-0000-0000-0000966C0000}"/>
    <cellStyle name="Normal 43 6 2 3 2" xfId="33438" xr:uid="{00000000-0005-0000-0000-0000976C0000}"/>
    <cellStyle name="Normal 43 6 2 3 2 2" xfId="3299" xr:uid="{00000000-0005-0000-0000-0000986C0000}"/>
    <cellStyle name="Normal 43 6 2 3 3" xfId="34520" xr:uid="{00000000-0005-0000-0000-0000996C0000}"/>
    <cellStyle name="Normal 43 6 2 4" xfId="33444" xr:uid="{00000000-0005-0000-0000-00009A6C0000}"/>
    <cellStyle name="Normal 43 6 2 4 2" xfId="34522" xr:uid="{00000000-0005-0000-0000-00009B6C0000}"/>
    <cellStyle name="Normal 43 6 2 4 2 2" xfId="8020" xr:uid="{00000000-0005-0000-0000-00009C6C0000}"/>
    <cellStyle name="Normal 43 6 2 4 3" xfId="34527" xr:uid="{00000000-0005-0000-0000-00009D6C0000}"/>
    <cellStyle name="Normal 43 6 2 5" xfId="34529" xr:uid="{00000000-0005-0000-0000-00009E6C0000}"/>
    <cellStyle name="Normal 43 6 2 5 2" xfId="34533" xr:uid="{00000000-0005-0000-0000-00009F6C0000}"/>
    <cellStyle name="Normal 43 6 2 6" xfId="31269" xr:uid="{00000000-0005-0000-0000-0000A06C0000}"/>
    <cellStyle name="Normal 43 6 2 6 2" xfId="26182" xr:uid="{00000000-0005-0000-0000-0000A16C0000}"/>
    <cellStyle name="Normal 43 6 2 7" xfId="31273" xr:uid="{00000000-0005-0000-0000-0000A26C0000}"/>
    <cellStyle name="Normal 43 6 2 8" xfId="34536" xr:uid="{00000000-0005-0000-0000-0000A36C0000}"/>
    <cellStyle name="Normal 43 6 3" xfId="10849" xr:uid="{00000000-0005-0000-0000-0000A46C0000}"/>
    <cellStyle name="Normal 43 6 3 2" xfId="34538" xr:uid="{00000000-0005-0000-0000-0000A56C0000}"/>
    <cellStyle name="Normal 43 6 3 2 2" xfId="34542" xr:uid="{00000000-0005-0000-0000-0000A66C0000}"/>
    <cellStyle name="Normal 43 6 3 2 2 2" xfId="34544" xr:uid="{00000000-0005-0000-0000-0000A76C0000}"/>
    <cellStyle name="Normal 43 6 3 2 3" xfId="34546" xr:uid="{00000000-0005-0000-0000-0000A86C0000}"/>
    <cellStyle name="Normal 43 6 3 3" xfId="33452" xr:uid="{00000000-0005-0000-0000-0000A96C0000}"/>
    <cellStyle name="Normal 43 6 3 3 2" xfId="33456" xr:uid="{00000000-0005-0000-0000-0000AA6C0000}"/>
    <cellStyle name="Normal 43 6 3 4" xfId="33460" xr:uid="{00000000-0005-0000-0000-0000AB6C0000}"/>
    <cellStyle name="Normal 43 6 4" xfId="27334" xr:uid="{00000000-0005-0000-0000-0000AC6C0000}"/>
    <cellStyle name="Normal 43 6 4 2" xfId="12639" xr:uid="{00000000-0005-0000-0000-0000AD6C0000}"/>
    <cellStyle name="Normal 43 6 4 2 2" xfId="12644" xr:uid="{00000000-0005-0000-0000-0000AE6C0000}"/>
    <cellStyle name="Normal 43 6 4 3" xfId="12493" xr:uid="{00000000-0005-0000-0000-0000AF6C0000}"/>
    <cellStyle name="Normal 43 6 5" xfId="27339" xr:uid="{00000000-0005-0000-0000-0000B06C0000}"/>
    <cellStyle name="Normal 43 6 5 2" xfId="34550" xr:uid="{00000000-0005-0000-0000-0000B16C0000}"/>
    <cellStyle name="Normal 43 6 5 2 2" xfId="34552" xr:uid="{00000000-0005-0000-0000-0000B26C0000}"/>
    <cellStyle name="Normal 43 6 5 3" xfId="33467" xr:uid="{00000000-0005-0000-0000-0000B36C0000}"/>
    <cellStyle name="Normal 43 6 6" xfId="34554" xr:uid="{00000000-0005-0000-0000-0000B46C0000}"/>
    <cellStyle name="Normal 43 6 6 2" xfId="11044" xr:uid="{00000000-0005-0000-0000-0000B56C0000}"/>
    <cellStyle name="Normal 43 6 7" xfId="34556" xr:uid="{00000000-0005-0000-0000-0000B66C0000}"/>
    <cellStyle name="Normal 43 6 7 2" xfId="11063" xr:uid="{00000000-0005-0000-0000-0000B76C0000}"/>
    <cellStyle name="Normal 43 6 8" xfId="34558" xr:uid="{00000000-0005-0000-0000-0000B86C0000}"/>
    <cellStyle name="Normal 43 6 9" xfId="34560" xr:uid="{00000000-0005-0000-0000-0000B96C0000}"/>
    <cellStyle name="Normal 43 7" xfId="30201" xr:uid="{00000000-0005-0000-0000-0000BA6C0000}"/>
    <cellStyle name="Normal 43 7 2" xfId="25691" xr:uid="{00000000-0005-0000-0000-0000BB6C0000}"/>
    <cellStyle name="Normal 43 7 2 2" xfId="34562" xr:uid="{00000000-0005-0000-0000-0000BC6C0000}"/>
    <cellStyle name="Normal 43 7 2 2 2" xfId="34565" xr:uid="{00000000-0005-0000-0000-0000BD6C0000}"/>
    <cellStyle name="Normal 43 7 2 2 2 2" xfId="19316" xr:uid="{00000000-0005-0000-0000-0000BE6C0000}"/>
    <cellStyle name="Normal 43 7 2 2 2 2 2" xfId="19111" xr:uid="{00000000-0005-0000-0000-0000BF6C0000}"/>
    <cellStyle name="Normal 43 7 2 2 2 3" xfId="34" xr:uid="{00000000-0005-0000-0000-0000C06C0000}"/>
    <cellStyle name="Normal 43 7 2 2 3" xfId="34567" xr:uid="{00000000-0005-0000-0000-0000C16C0000}"/>
    <cellStyle name="Normal 43 7 2 2 3 2" xfId="34569" xr:uid="{00000000-0005-0000-0000-0000C26C0000}"/>
    <cellStyle name="Normal 43 7 2 2 4" xfId="34571" xr:uid="{00000000-0005-0000-0000-0000C36C0000}"/>
    <cellStyle name="Normal 43 7 2 3" xfId="33491" xr:uid="{00000000-0005-0000-0000-0000C46C0000}"/>
    <cellStyle name="Normal 43 7 2 3 2" xfId="33495" xr:uid="{00000000-0005-0000-0000-0000C56C0000}"/>
    <cellStyle name="Normal 43 7 2 3 2 2" xfId="4883" xr:uid="{00000000-0005-0000-0000-0000C66C0000}"/>
    <cellStyle name="Normal 43 7 2 3 3" xfId="34573" xr:uid="{00000000-0005-0000-0000-0000C76C0000}"/>
    <cellStyle name="Normal 43 7 2 4" xfId="14182" xr:uid="{00000000-0005-0000-0000-0000C86C0000}"/>
    <cellStyle name="Normal 43 7 2 4 2" xfId="14189" xr:uid="{00000000-0005-0000-0000-0000C96C0000}"/>
    <cellStyle name="Normal 43 7 2 4 2 2" xfId="8688" xr:uid="{00000000-0005-0000-0000-0000CA6C0000}"/>
    <cellStyle name="Normal 43 7 2 4 3" xfId="34575" xr:uid="{00000000-0005-0000-0000-0000CB6C0000}"/>
    <cellStyle name="Normal 43 7 2 5" xfId="14192" xr:uid="{00000000-0005-0000-0000-0000CC6C0000}"/>
    <cellStyle name="Normal 43 7 2 5 2" xfId="34577" xr:uid="{00000000-0005-0000-0000-0000CD6C0000}"/>
    <cellStyle name="Normal 43 7 2 6" xfId="34579" xr:uid="{00000000-0005-0000-0000-0000CE6C0000}"/>
    <cellStyle name="Normal 43 7 2 6 2" xfId="26449" xr:uid="{00000000-0005-0000-0000-0000CF6C0000}"/>
    <cellStyle name="Normal 43 7 2 7" xfId="34581" xr:uid="{00000000-0005-0000-0000-0000D06C0000}"/>
    <cellStyle name="Normal 43 7 2 8" xfId="34583" xr:uid="{00000000-0005-0000-0000-0000D16C0000}"/>
    <cellStyle name="Normal 43 7 3" xfId="34585" xr:uid="{00000000-0005-0000-0000-0000D26C0000}"/>
    <cellStyle name="Normal 43 7 3 2" xfId="34589" xr:uid="{00000000-0005-0000-0000-0000D36C0000}"/>
    <cellStyle name="Normal 43 7 3 2 2" xfId="34591" xr:uid="{00000000-0005-0000-0000-0000D46C0000}"/>
    <cellStyle name="Normal 43 7 3 2 2 2" xfId="34593" xr:uid="{00000000-0005-0000-0000-0000D56C0000}"/>
    <cellStyle name="Normal 43 7 3 2 3" xfId="34595" xr:uid="{00000000-0005-0000-0000-0000D66C0000}"/>
    <cellStyle name="Normal 43 7 3 3" xfId="16410" xr:uid="{00000000-0005-0000-0000-0000D76C0000}"/>
    <cellStyle name="Normal 43 7 3 3 2" xfId="33499" xr:uid="{00000000-0005-0000-0000-0000D86C0000}"/>
    <cellStyle name="Normal 43 7 3 4" xfId="14195" xr:uid="{00000000-0005-0000-0000-0000D96C0000}"/>
    <cellStyle name="Normal 43 7 4" xfId="27343" xr:uid="{00000000-0005-0000-0000-0000DA6C0000}"/>
    <cellStyle name="Normal 43 7 4 2" xfId="34597" xr:uid="{00000000-0005-0000-0000-0000DB6C0000}"/>
    <cellStyle name="Normal 43 7 4 2 2" xfId="34601" xr:uid="{00000000-0005-0000-0000-0000DC6C0000}"/>
    <cellStyle name="Normal 43 7 4 3" xfId="33503" xr:uid="{00000000-0005-0000-0000-0000DD6C0000}"/>
    <cellStyle name="Normal 43 7 5" xfId="34605" xr:uid="{00000000-0005-0000-0000-0000DE6C0000}"/>
    <cellStyle name="Normal 43 7 5 2" xfId="34607" xr:uid="{00000000-0005-0000-0000-0000DF6C0000}"/>
    <cellStyle name="Normal 43 7 5 2 2" xfId="34609" xr:uid="{00000000-0005-0000-0000-0000E06C0000}"/>
    <cellStyle name="Normal 43 7 5 3" xfId="33507" xr:uid="{00000000-0005-0000-0000-0000E16C0000}"/>
    <cellStyle name="Normal 43 7 6" xfId="34611" xr:uid="{00000000-0005-0000-0000-0000E26C0000}"/>
    <cellStyle name="Normal 43 7 6 2" xfId="10188" xr:uid="{00000000-0005-0000-0000-0000E36C0000}"/>
    <cellStyle name="Normal 43 7 7" xfId="34613" xr:uid="{00000000-0005-0000-0000-0000E46C0000}"/>
    <cellStyle name="Normal 43 7 7 2" xfId="10205" xr:uid="{00000000-0005-0000-0000-0000E56C0000}"/>
    <cellStyle name="Normal 43 7 8" xfId="34617" xr:uid="{00000000-0005-0000-0000-0000E66C0000}"/>
    <cellStyle name="Normal 43 7 9" xfId="34621" xr:uid="{00000000-0005-0000-0000-0000E76C0000}"/>
    <cellStyle name="Normal 43 8" xfId="34625" xr:uid="{00000000-0005-0000-0000-0000E86C0000}"/>
    <cellStyle name="Normal 43 8 2" xfId="34632" xr:uid="{00000000-0005-0000-0000-0000E96C0000}"/>
    <cellStyle name="Normal 43 8 2 2" xfId="34635" xr:uid="{00000000-0005-0000-0000-0000EA6C0000}"/>
    <cellStyle name="Normal 43 8 2 2 2" xfId="34639" xr:uid="{00000000-0005-0000-0000-0000EB6C0000}"/>
    <cellStyle name="Normal 43 8 2 2 2 2" xfId="34642" xr:uid="{00000000-0005-0000-0000-0000EC6C0000}"/>
    <cellStyle name="Normal 43 8 2 2 3" xfId="29840" xr:uid="{00000000-0005-0000-0000-0000ED6C0000}"/>
    <cellStyle name="Normal 43 8 2 3" xfId="33576" xr:uid="{00000000-0005-0000-0000-0000EE6C0000}"/>
    <cellStyle name="Normal 43 8 2 3 2" xfId="33584" xr:uid="{00000000-0005-0000-0000-0000EF6C0000}"/>
    <cellStyle name="Normal 43 8 2 4" xfId="14326" xr:uid="{00000000-0005-0000-0000-0000F06C0000}"/>
    <cellStyle name="Normal 43 8 3" xfId="26748" xr:uid="{00000000-0005-0000-0000-0000F16C0000}"/>
    <cellStyle name="Normal 43 8 3 2" xfId="34675" xr:uid="{00000000-0005-0000-0000-0000F26C0000}"/>
    <cellStyle name="Normal 43 8 3 2 2" xfId="34679" xr:uid="{00000000-0005-0000-0000-0000F36C0000}"/>
    <cellStyle name="Normal 43 8 3 3" xfId="33586" xr:uid="{00000000-0005-0000-0000-0000F46C0000}"/>
    <cellStyle name="Normal 43 8 4" xfId="27351" xr:uid="{00000000-0005-0000-0000-0000F56C0000}"/>
    <cellStyle name="Normal 43 8 4 2" xfId="30618" xr:uid="{00000000-0005-0000-0000-0000F66C0000}"/>
    <cellStyle name="Normal 43 8 4 2 2" xfId="34691" xr:uid="{00000000-0005-0000-0000-0000F76C0000}"/>
    <cellStyle name="Normal 43 8 4 3" xfId="33596" xr:uid="{00000000-0005-0000-0000-0000F86C0000}"/>
    <cellStyle name="Normal 43 8 5" xfId="30622" xr:uid="{00000000-0005-0000-0000-0000F96C0000}"/>
    <cellStyle name="Normal 43 8 5 2" xfId="34693" xr:uid="{00000000-0005-0000-0000-0000FA6C0000}"/>
    <cellStyle name="Normal 43 8 6" xfId="34696" xr:uid="{00000000-0005-0000-0000-0000FB6C0000}"/>
    <cellStyle name="Normal 43 8 6 2" xfId="5425" xr:uid="{00000000-0005-0000-0000-0000FC6C0000}"/>
    <cellStyle name="Normal 43 9" xfId="5782" xr:uid="{00000000-0005-0000-0000-0000FD6C0000}"/>
    <cellStyle name="Normal 43 9 2" xfId="34699" xr:uid="{00000000-0005-0000-0000-0000FE6C0000}"/>
    <cellStyle name="Normal 43 9 2 2" xfId="34701" xr:uid="{00000000-0005-0000-0000-0000FF6C0000}"/>
    <cellStyle name="Normal 43 9 2 2 2" xfId="19145" xr:uid="{00000000-0005-0000-0000-0000006D0000}"/>
    <cellStyle name="Normal 43 9 2 3" xfId="33627" xr:uid="{00000000-0005-0000-0000-0000016D0000}"/>
    <cellStyle name="Normal 43 9 3" xfId="34704" xr:uid="{00000000-0005-0000-0000-0000026D0000}"/>
    <cellStyle name="Normal 43 9 3 2" xfId="34706" xr:uid="{00000000-0005-0000-0000-0000036D0000}"/>
    <cellStyle name="Normal 43 9 4" xfId="30626" xr:uid="{00000000-0005-0000-0000-0000046D0000}"/>
    <cellStyle name="Normal 43 9 5" xfId="34715" xr:uid="{00000000-0005-0000-0000-0000056D0000}"/>
    <cellStyle name="Normal 44" xfId="34723" xr:uid="{00000000-0005-0000-0000-0000066D0000}"/>
    <cellStyle name="Normal 44 10" xfId="34727" xr:uid="{00000000-0005-0000-0000-0000076D0000}"/>
    <cellStyle name="Normal 44 10 2" xfId="34729" xr:uid="{00000000-0005-0000-0000-0000086D0000}"/>
    <cellStyle name="Normal 44 10 2 2" xfId="34731" xr:uid="{00000000-0005-0000-0000-0000096D0000}"/>
    <cellStyle name="Normal 44 10 3" xfId="31747" xr:uid="{00000000-0005-0000-0000-00000A6D0000}"/>
    <cellStyle name="Normal 44 11" xfId="34747" xr:uid="{00000000-0005-0000-0000-00000B6D0000}"/>
    <cellStyle name="Normal 44 11 2" xfId="34749" xr:uid="{00000000-0005-0000-0000-00000C6D0000}"/>
    <cellStyle name="Normal 44 11 2 2" xfId="34751" xr:uid="{00000000-0005-0000-0000-00000D6D0000}"/>
    <cellStyle name="Normal 44 11 3" xfId="31759" xr:uid="{00000000-0005-0000-0000-00000E6D0000}"/>
    <cellStyle name="Normal 44 12" xfId="34757" xr:uid="{00000000-0005-0000-0000-00000F6D0000}"/>
    <cellStyle name="Normal 44 12 2" xfId="34761" xr:uid="{00000000-0005-0000-0000-0000106D0000}"/>
    <cellStyle name="Normal 44 13" xfId="1349" xr:uid="{00000000-0005-0000-0000-0000116D0000}"/>
    <cellStyle name="Normal 44 13 2" xfId="34771" xr:uid="{00000000-0005-0000-0000-0000126D0000}"/>
    <cellStyle name="Normal 44 14" xfId="34775" xr:uid="{00000000-0005-0000-0000-0000136D0000}"/>
    <cellStyle name="Normal 44 14 2" xfId="34778" xr:uid="{00000000-0005-0000-0000-0000146D0000}"/>
    <cellStyle name="Normal 44 15" xfId="34780" xr:uid="{00000000-0005-0000-0000-0000156D0000}"/>
    <cellStyle name="Normal 44 16" xfId="34785" xr:uid="{00000000-0005-0000-0000-0000166D0000}"/>
    <cellStyle name="Normal 44 2" xfId="30223" xr:uid="{00000000-0005-0000-0000-0000176D0000}"/>
    <cellStyle name="Normal 44 2 10" xfId="34790" xr:uid="{00000000-0005-0000-0000-0000186D0000}"/>
    <cellStyle name="Normal 44 2 10 2" xfId="34792" xr:uid="{00000000-0005-0000-0000-0000196D0000}"/>
    <cellStyle name="Normal 44 2 11" xfId="13296" xr:uid="{00000000-0005-0000-0000-00001A6D0000}"/>
    <cellStyle name="Normal 44 2 11 2" xfId="34794" xr:uid="{00000000-0005-0000-0000-00001B6D0000}"/>
    <cellStyle name="Normal 44 2 12" xfId="29983" xr:uid="{00000000-0005-0000-0000-00001C6D0000}"/>
    <cellStyle name="Normal 44 2 12 2" xfId="34796" xr:uid="{00000000-0005-0000-0000-00001D6D0000}"/>
    <cellStyle name="Normal 44 2 13" xfId="25823" xr:uid="{00000000-0005-0000-0000-00001E6D0000}"/>
    <cellStyle name="Normal 44 2 14" xfId="25834" xr:uid="{00000000-0005-0000-0000-00001F6D0000}"/>
    <cellStyle name="Normal 44 2 2" xfId="30227" xr:uid="{00000000-0005-0000-0000-0000206D0000}"/>
    <cellStyle name="Normal 44 2 2 10" xfId="30897" xr:uid="{00000000-0005-0000-0000-0000216D0000}"/>
    <cellStyle name="Normal 44 2 2 2" xfId="34798" xr:uid="{00000000-0005-0000-0000-0000226D0000}"/>
    <cellStyle name="Normal 44 2 2 2 2" xfId="34800" xr:uid="{00000000-0005-0000-0000-0000236D0000}"/>
    <cellStyle name="Normal 44 2 2 2 2 2" xfId="23538" xr:uid="{00000000-0005-0000-0000-0000246D0000}"/>
    <cellStyle name="Normal 44 2 2 2 2 2 2" xfId="23542" xr:uid="{00000000-0005-0000-0000-0000256D0000}"/>
    <cellStyle name="Normal 44 2 2 2 2 2 2 2" xfId="26557" xr:uid="{00000000-0005-0000-0000-0000266D0000}"/>
    <cellStyle name="Normal 44 2 2 2 2 2 2 2 2" xfId="34802" xr:uid="{00000000-0005-0000-0000-0000276D0000}"/>
    <cellStyle name="Normal 44 2 2 2 2 2 2 3" xfId="34804" xr:uid="{00000000-0005-0000-0000-0000286D0000}"/>
    <cellStyle name="Normal 44 2 2 2 2 2 3" xfId="26560" xr:uid="{00000000-0005-0000-0000-0000296D0000}"/>
    <cellStyle name="Normal 44 2 2 2 2 2 3 2" xfId="31689" xr:uid="{00000000-0005-0000-0000-00002A6D0000}"/>
    <cellStyle name="Normal 44 2 2 2 2 2 4" xfId="31694" xr:uid="{00000000-0005-0000-0000-00002B6D0000}"/>
    <cellStyle name="Normal 44 2 2 2 2 3" xfId="1210" xr:uid="{00000000-0005-0000-0000-00002C6D0000}"/>
    <cellStyle name="Normal 44 2 2 2 2 3 2" xfId="1223" xr:uid="{00000000-0005-0000-0000-00002D6D0000}"/>
    <cellStyle name="Normal 44 2 2 2 2 3 2 2" xfId="34806" xr:uid="{00000000-0005-0000-0000-00002E6D0000}"/>
    <cellStyle name="Normal 44 2 2 2 2 3 3" xfId="31698" xr:uid="{00000000-0005-0000-0000-00002F6D0000}"/>
    <cellStyle name="Normal 44 2 2 2 2 4" xfId="1235" xr:uid="{00000000-0005-0000-0000-0000306D0000}"/>
    <cellStyle name="Normal 44 2 2 2 2 4 2" xfId="26565" xr:uid="{00000000-0005-0000-0000-0000316D0000}"/>
    <cellStyle name="Normal 44 2 2 2 2 4 2 2" xfId="34808" xr:uid="{00000000-0005-0000-0000-0000326D0000}"/>
    <cellStyle name="Normal 44 2 2 2 2 4 3" xfId="31704" xr:uid="{00000000-0005-0000-0000-0000336D0000}"/>
    <cellStyle name="Normal 44 2 2 2 2 5" xfId="26568" xr:uid="{00000000-0005-0000-0000-0000346D0000}"/>
    <cellStyle name="Normal 44 2 2 2 2 5 2" xfId="6705" xr:uid="{00000000-0005-0000-0000-0000356D0000}"/>
    <cellStyle name="Normal 44 2 2 2 2 6" xfId="26573" xr:uid="{00000000-0005-0000-0000-0000366D0000}"/>
    <cellStyle name="Normal 44 2 2 2 2 6 2" xfId="7983" xr:uid="{00000000-0005-0000-0000-0000376D0000}"/>
    <cellStyle name="Normal 44 2 2 2 2 7" xfId="26578" xr:uid="{00000000-0005-0000-0000-0000386D0000}"/>
    <cellStyle name="Normal 44 2 2 2 2 8" xfId="34812" xr:uid="{00000000-0005-0000-0000-0000396D0000}"/>
    <cellStyle name="Normal 44 2 2 2 3" xfId="7238" xr:uid="{00000000-0005-0000-0000-00003A6D0000}"/>
    <cellStyle name="Normal 44 2 2 2 3 2" xfId="34814" xr:uid="{00000000-0005-0000-0000-00003B6D0000}"/>
    <cellStyle name="Normal 44 2 2 2 3 2 2" xfId="34816" xr:uid="{00000000-0005-0000-0000-00003C6D0000}"/>
    <cellStyle name="Normal 44 2 2 2 3 2 2 2" xfId="18836" xr:uid="{00000000-0005-0000-0000-00003D6D0000}"/>
    <cellStyle name="Normal 44 2 2 2 3 2 3" xfId="34818" xr:uid="{00000000-0005-0000-0000-00003E6D0000}"/>
    <cellStyle name="Normal 44 2 2 2 3 3" xfId="1283" xr:uid="{00000000-0005-0000-0000-00003F6D0000}"/>
    <cellStyle name="Normal 44 2 2 2 3 3 2" xfId="21546" xr:uid="{00000000-0005-0000-0000-0000406D0000}"/>
    <cellStyle name="Normal 44 2 2 2 3 4" xfId="34820" xr:uid="{00000000-0005-0000-0000-0000416D0000}"/>
    <cellStyle name="Normal 44 2 2 2 4" xfId="23550" xr:uid="{00000000-0005-0000-0000-0000426D0000}"/>
    <cellStyle name="Normal 44 2 2 2 4 2" xfId="13452" xr:uid="{00000000-0005-0000-0000-0000436D0000}"/>
    <cellStyle name="Normal 44 2 2 2 4 2 2" xfId="13464" xr:uid="{00000000-0005-0000-0000-0000446D0000}"/>
    <cellStyle name="Normal 44 2 2 2 4 3" xfId="3091" xr:uid="{00000000-0005-0000-0000-0000456D0000}"/>
    <cellStyle name="Normal 44 2 2 2 5" xfId="34822" xr:uid="{00000000-0005-0000-0000-0000466D0000}"/>
    <cellStyle name="Normal 44 2 2 2 5 2" xfId="34825" xr:uid="{00000000-0005-0000-0000-0000476D0000}"/>
    <cellStyle name="Normal 44 2 2 2 5 2 2" xfId="34827" xr:uid="{00000000-0005-0000-0000-0000486D0000}"/>
    <cellStyle name="Normal 44 2 2 2 5 3" xfId="34829" xr:uid="{00000000-0005-0000-0000-0000496D0000}"/>
    <cellStyle name="Normal 44 2 2 2 6" xfId="29741" xr:uid="{00000000-0005-0000-0000-00004A6D0000}"/>
    <cellStyle name="Normal 44 2 2 2 6 2" xfId="34831" xr:uid="{00000000-0005-0000-0000-00004B6D0000}"/>
    <cellStyle name="Normal 44 2 2 2 7" xfId="34833" xr:uid="{00000000-0005-0000-0000-00004C6D0000}"/>
    <cellStyle name="Normal 44 2 2 2 7 2" xfId="27574" xr:uid="{00000000-0005-0000-0000-00004D6D0000}"/>
    <cellStyle name="Normal 44 2 2 2 8" xfId="23534" xr:uid="{00000000-0005-0000-0000-00004E6D0000}"/>
    <cellStyle name="Normal 44 2 2 2 9" xfId="9395" xr:uid="{00000000-0005-0000-0000-00004F6D0000}"/>
    <cellStyle name="Normal 44 2 2 3" xfId="34835" xr:uid="{00000000-0005-0000-0000-0000506D0000}"/>
    <cellStyle name="Normal 44 2 2 3 2" xfId="34837" xr:uid="{00000000-0005-0000-0000-0000516D0000}"/>
    <cellStyle name="Normal 44 2 2 3 2 2" xfId="34758" xr:uid="{00000000-0005-0000-0000-0000526D0000}"/>
    <cellStyle name="Normal 44 2 2 3 2 2 2" xfId="34762" xr:uid="{00000000-0005-0000-0000-0000536D0000}"/>
    <cellStyle name="Normal 44 2 2 3 2 2 2 2" xfId="34765" xr:uid="{00000000-0005-0000-0000-0000546D0000}"/>
    <cellStyle name="Normal 44 2 2 3 2 2 3" xfId="34768" xr:uid="{00000000-0005-0000-0000-0000556D0000}"/>
    <cellStyle name="Normal 44 2 2 3 2 3" xfId="1350" xr:uid="{00000000-0005-0000-0000-0000566D0000}"/>
    <cellStyle name="Normal 44 2 2 3 2 3 2" xfId="34772" xr:uid="{00000000-0005-0000-0000-0000576D0000}"/>
    <cellStyle name="Normal 44 2 2 3 2 4" xfId="34776" xr:uid="{00000000-0005-0000-0000-0000586D0000}"/>
    <cellStyle name="Normal 44 2 2 3 3" xfId="34839" xr:uid="{00000000-0005-0000-0000-0000596D0000}"/>
    <cellStyle name="Normal 44 2 2 3 3 2" xfId="34841" xr:uid="{00000000-0005-0000-0000-00005A6D0000}"/>
    <cellStyle name="Normal 44 2 2 3 3 2 2" xfId="34843" xr:uid="{00000000-0005-0000-0000-00005B6D0000}"/>
    <cellStyle name="Normal 44 2 2 3 3 3" xfId="34845" xr:uid="{00000000-0005-0000-0000-00005C6D0000}"/>
    <cellStyle name="Normal 44 2 2 3 4" xfId="34847" xr:uid="{00000000-0005-0000-0000-00005D6D0000}"/>
    <cellStyle name="Normal 44 2 2 3 4 2" xfId="34849" xr:uid="{00000000-0005-0000-0000-00005E6D0000}"/>
    <cellStyle name="Normal 44 2 2 3 4 2 2" xfId="34851" xr:uid="{00000000-0005-0000-0000-00005F6D0000}"/>
    <cellStyle name="Normal 44 2 2 3 4 3" xfId="34853" xr:uid="{00000000-0005-0000-0000-0000606D0000}"/>
    <cellStyle name="Normal 44 2 2 3 5" xfId="34855" xr:uid="{00000000-0005-0000-0000-0000616D0000}"/>
    <cellStyle name="Normal 44 2 2 3 5 2" xfId="34857" xr:uid="{00000000-0005-0000-0000-0000626D0000}"/>
    <cellStyle name="Normal 44 2 2 3 6" xfId="34859" xr:uid="{00000000-0005-0000-0000-0000636D0000}"/>
    <cellStyle name="Normal 44 2 2 3 6 2" xfId="34861" xr:uid="{00000000-0005-0000-0000-0000646D0000}"/>
    <cellStyle name="Normal 44 2 2 3 7" xfId="34863" xr:uid="{00000000-0005-0000-0000-0000656D0000}"/>
    <cellStyle name="Normal 44 2 2 3 8" xfId="23576" xr:uid="{00000000-0005-0000-0000-0000666D0000}"/>
    <cellStyle name="Normal 44 2 2 4" xfId="34865" xr:uid="{00000000-0005-0000-0000-0000676D0000}"/>
    <cellStyle name="Normal 44 2 2 4 2" xfId="34867" xr:uid="{00000000-0005-0000-0000-0000686D0000}"/>
    <cellStyle name="Normal 44 2 2 4 2 2" xfId="34870" xr:uid="{00000000-0005-0000-0000-0000696D0000}"/>
    <cellStyle name="Normal 44 2 2 4 2 2 2" xfId="34874" xr:uid="{00000000-0005-0000-0000-00006A6D0000}"/>
    <cellStyle name="Normal 44 2 2 4 2 3" xfId="1404" xr:uid="{00000000-0005-0000-0000-00006B6D0000}"/>
    <cellStyle name="Normal 44 2 2 4 3" xfId="34877" xr:uid="{00000000-0005-0000-0000-00006C6D0000}"/>
    <cellStyle name="Normal 44 2 2 4 3 2" xfId="34879" xr:uid="{00000000-0005-0000-0000-00006D6D0000}"/>
    <cellStyle name="Normal 44 2 2 4 4" xfId="34881" xr:uid="{00000000-0005-0000-0000-00006E6D0000}"/>
    <cellStyle name="Normal 44 2 2 5" xfId="34883" xr:uid="{00000000-0005-0000-0000-00006F6D0000}"/>
    <cellStyle name="Normal 44 2 2 5 2" xfId="34885" xr:uid="{00000000-0005-0000-0000-0000706D0000}"/>
    <cellStyle name="Normal 44 2 2 5 2 2" xfId="34889" xr:uid="{00000000-0005-0000-0000-0000716D0000}"/>
    <cellStyle name="Normal 44 2 2 5 3" xfId="34891" xr:uid="{00000000-0005-0000-0000-0000726D0000}"/>
    <cellStyle name="Normal 44 2 2 6" xfId="34893" xr:uid="{00000000-0005-0000-0000-0000736D0000}"/>
    <cellStyle name="Normal 44 2 2 6 2" xfId="34895" xr:uid="{00000000-0005-0000-0000-0000746D0000}"/>
    <cellStyle name="Normal 44 2 2 6 2 2" xfId="11534" xr:uid="{00000000-0005-0000-0000-0000756D0000}"/>
    <cellStyle name="Normal 44 2 2 6 3" xfId="34897" xr:uid="{00000000-0005-0000-0000-0000766D0000}"/>
    <cellStyle name="Normal 44 2 2 7" xfId="34899" xr:uid="{00000000-0005-0000-0000-0000776D0000}"/>
    <cellStyle name="Normal 44 2 2 7 2" xfId="34901" xr:uid="{00000000-0005-0000-0000-0000786D0000}"/>
    <cellStyle name="Normal 44 2 2 8" xfId="34904" xr:uid="{00000000-0005-0000-0000-0000796D0000}"/>
    <cellStyle name="Normal 44 2 2 8 2" xfId="166" xr:uid="{00000000-0005-0000-0000-00007A6D0000}"/>
    <cellStyle name="Normal 44 2 2 9" xfId="34906" xr:uid="{00000000-0005-0000-0000-00007B6D0000}"/>
    <cellStyle name="Normal 44 2 3" xfId="33234" xr:uid="{00000000-0005-0000-0000-00007C6D0000}"/>
    <cellStyle name="Normal 44 2 3 2" xfId="34914" xr:uid="{00000000-0005-0000-0000-00007D6D0000}"/>
    <cellStyle name="Normal 44 2 3 2 2" xfId="34920" xr:uid="{00000000-0005-0000-0000-00007E6D0000}"/>
    <cellStyle name="Normal 44 2 3 2 2 2" xfId="3380" xr:uid="{00000000-0005-0000-0000-00007F6D0000}"/>
    <cellStyle name="Normal 44 2 3 2 2 2 2" xfId="3399" xr:uid="{00000000-0005-0000-0000-0000806D0000}"/>
    <cellStyle name="Normal 44 2 3 2 2 2 2 2" xfId="23063" xr:uid="{00000000-0005-0000-0000-0000816D0000}"/>
    <cellStyle name="Normal 44 2 3 2 2 2 3" xfId="23079" xr:uid="{00000000-0005-0000-0000-0000826D0000}"/>
    <cellStyle name="Normal 44 2 3 2 2 3" xfId="21" xr:uid="{00000000-0005-0000-0000-0000836D0000}"/>
    <cellStyle name="Normal 44 2 3 2 2 3 2" xfId="9059" xr:uid="{00000000-0005-0000-0000-0000846D0000}"/>
    <cellStyle name="Normal 44 2 3 2 2 4" xfId="9065" xr:uid="{00000000-0005-0000-0000-0000856D0000}"/>
    <cellStyle name="Normal 44 2 3 2 2 5" xfId="4343" xr:uid="{00000000-0005-0000-0000-0000866D0000}"/>
    <cellStyle name="Normal 44 2 3 2 3" xfId="3412" xr:uid="{00000000-0005-0000-0000-0000876D0000}"/>
    <cellStyle name="Normal 44 2 3 2 3 2" xfId="9081" xr:uid="{00000000-0005-0000-0000-0000886D0000}"/>
    <cellStyle name="Normal 44 2 3 2 3 2 2" xfId="23629" xr:uid="{00000000-0005-0000-0000-0000896D0000}"/>
    <cellStyle name="Normal 44 2 3 2 3 3" xfId="34922" xr:uid="{00000000-0005-0000-0000-00008A6D0000}"/>
    <cellStyle name="Normal 44 2 3 2 4" xfId="34924" xr:uid="{00000000-0005-0000-0000-00008B6D0000}"/>
    <cellStyle name="Normal 44 2 3 2 4 2" xfId="34926" xr:uid="{00000000-0005-0000-0000-00008C6D0000}"/>
    <cellStyle name="Normal 44 2 3 2 4 2 2" xfId="75" xr:uid="{00000000-0005-0000-0000-00008D6D0000}"/>
    <cellStyle name="Normal 44 2 3 2 4 3" xfId="34928" xr:uid="{00000000-0005-0000-0000-00008E6D0000}"/>
    <cellStyle name="Normal 44 2 3 2 5" xfId="32992" xr:uid="{00000000-0005-0000-0000-00008F6D0000}"/>
    <cellStyle name="Normal 44 2 3 2 5 2" xfId="32996" xr:uid="{00000000-0005-0000-0000-0000906D0000}"/>
    <cellStyle name="Normal 44 2 3 2 6" xfId="29755" xr:uid="{00000000-0005-0000-0000-0000916D0000}"/>
    <cellStyle name="Normal 44 2 3 2 6 2" xfId="18710" xr:uid="{00000000-0005-0000-0000-0000926D0000}"/>
    <cellStyle name="Normal 44 2 3 2 7" xfId="33002" xr:uid="{00000000-0005-0000-0000-0000936D0000}"/>
    <cellStyle name="Normal 44 2 3 2 8" xfId="23605" xr:uid="{00000000-0005-0000-0000-0000946D0000}"/>
    <cellStyle name="Normal 44 2 3 3" xfId="34934" xr:uid="{00000000-0005-0000-0000-0000956D0000}"/>
    <cellStyle name="Normal 44 2 3 3 2" xfId="34937" xr:uid="{00000000-0005-0000-0000-0000966D0000}"/>
    <cellStyle name="Normal 44 2 3 3 2 2" xfId="34939" xr:uid="{00000000-0005-0000-0000-0000976D0000}"/>
    <cellStyle name="Normal 44 2 3 3 2 2 2" xfId="24721" xr:uid="{00000000-0005-0000-0000-0000986D0000}"/>
    <cellStyle name="Normal 44 2 3 3 2 3" xfId="467" xr:uid="{00000000-0005-0000-0000-0000996D0000}"/>
    <cellStyle name="Normal 44 2 3 3 3" xfId="34941" xr:uid="{00000000-0005-0000-0000-00009A6D0000}"/>
    <cellStyle name="Normal 44 2 3 3 3 2" xfId="34943" xr:uid="{00000000-0005-0000-0000-00009B6D0000}"/>
    <cellStyle name="Normal 44 2 3 3 4" xfId="34945" xr:uid="{00000000-0005-0000-0000-00009C6D0000}"/>
    <cellStyle name="Normal 44 2 3 3 5" xfId="33008" xr:uid="{00000000-0005-0000-0000-00009D6D0000}"/>
    <cellStyle name="Normal 44 2 3 4" xfId="34948" xr:uid="{00000000-0005-0000-0000-00009E6D0000}"/>
    <cellStyle name="Normal 44 2 3 4 2" xfId="34951" xr:uid="{00000000-0005-0000-0000-00009F6D0000}"/>
    <cellStyle name="Normal 44 2 3 4 2 2" xfId="34953" xr:uid="{00000000-0005-0000-0000-0000A06D0000}"/>
    <cellStyle name="Normal 44 2 3 4 3" xfId="34955" xr:uid="{00000000-0005-0000-0000-0000A16D0000}"/>
    <cellStyle name="Normal 44 2 3 5" xfId="34958" xr:uid="{00000000-0005-0000-0000-0000A26D0000}"/>
    <cellStyle name="Normal 44 2 3 5 2" xfId="34960" xr:uid="{00000000-0005-0000-0000-0000A36D0000}"/>
    <cellStyle name="Normal 44 2 3 5 2 2" xfId="34962" xr:uid="{00000000-0005-0000-0000-0000A46D0000}"/>
    <cellStyle name="Normal 44 2 3 5 3" xfId="34964" xr:uid="{00000000-0005-0000-0000-0000A56D0000}"/>
    <cellStyle name="Normal 44 2 3 6" xfId="26373" xr:uid="{00000000-0005-0000-0000-0000A66D0000}"/>
    <cellStyle name="Normal 44 2 3 6 2" xfId="34966" xr:uid="{00000000-0005-0000-0000-0000A76D0000}"/>
    <cellStyle name="Normal 44 2 3 7" xfId="34968" xr:uid="{00000000-0005-0000-0000-0000A86D0000}"/>
    <cellStyle name="Normal 44 2 3 7 2" xfId="34970" xr:uid="{00000000-0005-0000-0000-0000A96D0000}"/>
    <cellStyle name="Normal 44 2 3 8" xfId="34972" xr:uid="{00000000-0005-0000-0000-0000AA6D0000}"/>
    <cellStyle name="Normal 44 2 3 9" xfId="34974" xr:uid="{00000000-0005-0000-0000-0000AB6D0000}"/>
    <cellStyle name="Normal 44 2 4" xfId="34981" xr:uid="{00000000-0005-0000-0000-0000AC6D0000}"/>
    <cellStyle name="Normal 44 2 4 2" xfId="34987" xr:uid="{00000000-0005-0000-0000-0000AD6D0000}"/>
    <cellStyle name="Normal 44 2 4 2 2" xfId="34990" xr:uid="{00000000-0005-0000-0000-0000AE6D0000}"/>
    <cellStyle name="Normal 44 2 4 2 2 2" xfId="31459" xr:uid="{00000000-0005-0000-0000-0000AF6D0000}"/>
    <cellStyle name="Normal 44 2 4 2 2 2 2" xfId="31463" xr:uid="{00000000-0005-0000-0000-0000B06D0000}"/>
    <cellStyle name="Normal 44 2 4 2 2 2 2 2" xfId="32037" xr:uid="{00000000-0005-0000-0000-0000B16D0000}"/>
    <cellStyle name="Normal 44 2 4 2 2 2 3" xfId="32526" xr:uid="{00000000-0005-0000-0000-0000B26D0000}"/>
    <cellStyle name="Normal 44 2 4 2 2 3" xfId="31467" xr:uid="{00000000-0005-0000-0000-0000B36D0000}"/>
    <cellStyle name="Normal 44 2 4 2 2 3 2" xfId="34992" xr:uid="{00000000-0005-0000-0000-0000B46D0000}"/>
    <cellStyle name="Normal 44 2 4 2 2 4" xfId="31473" xr:uid="{00000000-0005-0000-0000-0000B56D0000}"/>
    <cellStyle name="Normal 44 2 4 2 3" xfId="10709" xr:uid="{00000000-0005-0000-0000-0000B66D0000}"/>
    <cellStyle name="Normal 44 2 4 2 3 2" xfId="13238" xr:uid="{00000000-0005-0000-0000-0000B76D0000}"/>
    <cellStyle name="Normal 44 2 4 2 3 2 2" xfId="13244" xr:uid="{00000000-0005-0000-0000-0000B86D0000}"/>
    <cellStyle name="Normal 44 2 4 2 3 3" xfId="13290" xr:uid="{00000000-0005-0000-0000-0000B96D0000}"/>
    <cellStyle name="Normal 44 2 4 2 4" xfId="13325" xr:uid="{00000000-0005-0000-0000-0000BA6D0000}"/>
    <cellStyle name="Normal 44 2 4 2 4 2" xfId="13333" xr:uid="{00000000-0005-0000-0000-0000BB6D0000}"/>
    <cellStyle name="Normal 44 2 4 2 4 2 2" xfId="34994" xr:uid="{00000000-0005-0000-0000-0000BC6D0000}"/>
    <cellStyle name="Normal 44 2 4 2 4 3" xfId="13367" xr:uid="{00000000-0005-0000-0000-0000BD6D0000}"/>
    <cellStyle name="Normal 44 2 4 2 5" xfId="13383" xr:uid="{00000000-0005-0000-0000-0000BE6D0000}"/>
    <cellStyle name="Normal 44 2 4 2 5 2" xfId="33039" xr:uid="{00000000-0005-0000-0000-0000BF6D0000}"/>
    <cellStyle name="Normal 44 2 4 2 6" xfId="33043" xr:uid="{00000000-0005-0000-0000-0000C06D0000}"/>
    <cellStyle name="Normal 44 2 4 2 6 2" xfId="18865" xr:uid="{00000000-0005-0000-0000-0000C16D0000}"/>
    <cellStyle name="Normal 44 2 4 2 7" xfId="34996" xr:uid="{00000000-0005-0000-0000-0000C26D0000}"/>
    <cellStyle name="Normal 44 2 4 2 8" xfId="23648" xr:uid="{00000000-0005-0000-0000-0000C36D0000}"/>
    <cellStyle name="Normal 44 2 4 3" xfId="5681" xr:uid="{00000000-0005-0000-0000-0000C46D0000}"/>
    <cellStyle name="Normal 44 2 4 3 2" xfId="34999" xr:uid="{00000000-0005-0000-0000-0000C56D0000}"/>
    <cellStyle name="Normal 44 2 4 3 2 2" xfId="35001" xr:uid="{00000000-0005-0000-0000-0000C66D0000}"/>
    <cellStyle name="Normal 44 2 4 3 2 2 2" xfId="35003" xr:uid="{00000000-0005-0000-0000-0000C76D0000}"/>
    <cellStyle name="Normal 44 2 4 3 2 3" xfId="35007" xr:uid="{00000000-0005-0000-0000-0000C86D0000}"/>
    <cellStyle name="Normal 44 2 4 3 3" xfId="953" xr:uid="{00000000-0005-0000-0000-0000C96D0000}"/>
    <cellStyle name="Normal 44 2 4 3 3 2" xfId="6575" xr:uid="{00000000-0005-0000-0000-0000CA6D0000}"/>
    <cellStyle name="Normal 44 2 4 3 4" xfId="6594" xr:uid="{00000000-0005-0000-0000-0000CB6D0000}"/>
    <cellStyle name="Normal 44 2 4 4" xfId="35010" xr:uid="{00000000-0005-0000-0000-0000CC6D0000}"/>
    <cellStyle name="Normal 44 2 4 4 2" xfId="35012" xr:uid="{00000000-0005-0000-0000-0000CD6D0000}"/>
    <cellStyle name="Normal 44 2 4 4 2 2" xfId="35014" xr:uid="{00000000-0005-0000-0000-0000CE6D0000}"/>
    <cellStyle name="Normal 44 2 4 4 3" xfId="5705" xr:uid="{00000000-0005-0000-0000-0000CF6D0000}"/>
    <cellStyle name="Normal 44 2 4 5" xfId="5725" xr:uid="{00000000-0005-0000-0000-0000D06D0000}"/>
    <cellStyle name="Normal 44 2 4 5 2" xfId="35016" xr:uid="{00000000-0005-0000-0000-0000D16D0000}"/>
    <cellStyle name="Normal 44 2 4 5 2 2" xfId="35018" xr:uid="{00000000-0005-0000-0000-0000D26D0000}"/>
    <cellStyle name="Normal 44 2 4 5 3" xfId="6664" xr:uid="{00000000-0005-0000-0000-0000D36D0000}"/>
    <cellStyle name="Normal 44 2 4 6" xfId="35020" xr:uid="{00000000-0005-0000-0000-0000D46D0000}"/>
    <cellStyle name="Normal 44 2 4 6 2" xfId="5760" xr:uid="{00000000-0005-0000-0000-0000D56D0000}"/>
    <cellStyle name="Normal 44 2 4 7" xfId="35022" xr:uid="{00000000-0005-0000-0000-0000D66D0000}"/>
    <cellStyle name="Normal 44 2 4 7 2" xfId="35025" xr:uid="{00000000-0005-0000-0000-0000D76D0000}"/>
    <cellStyle name="Normal 44 2 4 8" xfId="35027" xr:uid="{00000000-0005-0000-0000-0000D86D0000}"/>
    <cellStyle name="Normal 44 2 4 9" xfId="35029" xr:uid="{00000000-0005-0000-0000-0000D96D0000}"/>
    <cellStyle name="Normal 44 2 5" xfId="35034" xr:uid="{00000000-0005-0000-0000-0000DA6D0000}"/>
    <cellStyle name="Normal 44 2 5 2" xfId="35036" xr:uid="{00000000-0005-0000-0000-0000DB6D0000}"/>
    <cellStyle name="Normal 44 2 5 2 2" xfId="35038" xr:uid="{00000000-0005-0000-0000-0000DC6D0000}"/>
    <cellStyle name="Normal 44 2 5 2 2 2" xfId="35040" xr:uid="{00000000-0005-0000-0000-0000DD6D0000}"/>
    <cellStyle name="Normal 44 2 5 2 2 2 2" xfId="35043" xr:uid="{00000000-0005-0000-0000-0000DE6D0000}"/>
    <cellStyle name="Normal 44 2 5 2 2 2 2 2" xfId="35046" xr:uid="{00000000-0005-0000-0000-0000DF6D0000}"/>
    <cellStyle name="Normal 44 2 5 2 2 2 3" xfId="35049" xr:uid="{00000000-0005-0000-0000-0000E06D0000}"/>
    <cellStyle name="Normal 44 2 5 2 2 3" xfId="30280" xr:uid="{00000000-0005-0000-0000-0000E16D0000}"/>
    <cellStyle name="Normal 44 2 5 2 2 3 2" xfId="35054" xr:uid="{00000000-0005-0000-0000-0000E26D0000}"/>
    <cellStyle name="Normal 44 2 5 2 2 4" xfId="35058" xr:uid="{00000000-0005-0000-0000-0000E36D0000}"/>
    <cellStyle name="Normal 44 2 5 2 3" xfId="15255" xr:uid="{00000000-0005-0000-0000-0000E46D0000}"/>
    <cellStyle name="Normal 44 2 5 2 3 2" xfId="14085" xr:uid="{00000000-0005-0000-0000-0000E56D0000}"/>
    <cellStyle name="Normal 44 2 5 2 3 2 2" xfId="26347" xr:uid="{00000000-0005-0000-0000-0000E66D0000}"/>
    <cellStyle name="Normal 44 2 5 2 3 3" xfId="35060" xr:uid="{00000000-0005-0000-0000-0000E76D0000}"/>
    <cellStyle name="Normal 44 2 5 2 4" xfId="15258" xr:uid="{00000000-0005-0000-0000-0000E86D0000}"/>
    <cellStyle name="Normal 44 2 5 2 4 2" xfId="35066" xr:uid="{00000000-0005-0000-0000-0000E96D0000}"/>
    <cellStyle name="Normal 44 2 5 2 4 2 2" xfId="26512" xr:uid="{00000000-0005-0000-0000-0000EA6D0000}"/>
    <cellStyle name="Normal 44 2 5 2 4 3" xfId="35068" xr:uid="{00000000-0005-0000-0000-0000EB6D0000}"/>
    <cellStyle name="Normal 44 2 5 2 5" xfId="30578" xr:uid="{00000000-0005-0000-0000-0000EC6D0000}"/>
    <cellStyle name="Normal 44 2 5 2 5 2" xfId="35071" xr:uid="{00000000-0005-0000-0000-0000ED6D0000}"/>
    <cellStyle name="Normal 44 2 5 2 6" xfId="35074" xr:uid="{00000000-0005-0000-0000-0000EE6D0000}"/>
    <cellStyle name="Normal 44 2 5 2 6 2" xfId="446" xr:uid="{00000000-0005-0000-0000-0000EF6D0000}"/>
    <cellStyle name="Normal 44 2 5 2 7" xfId="35076" xr:uid="{00000000-0005-0000-0000-0000F06D0000}"/>
    <cellStyle name="Normal 44 2 5 2 8" xfId="23704" xr:uid="{00000000-0005-0000-0000-0000F16D0000}"/>
    <cellStyle name="Normal 44 2 5 3" xfId="35078" xr:uid="{00000000-0005-0000-0000-0000F26D0000}"/>
    <cellStyle name="Normal 44 2 5 3 2" xfId="35080" xr:uid="{00000000-0005-0000-0000-0000F36D0000}"/>
    <cellStyle name="Normal 44 2 5 3 2 2" xfId="35082" xr:uid="{00000000-0005-0000-0000-0000F46D0000}"/>
    <cellStyle name="Normal 44 2 5 3 2 2 2" xfId="26781" xr:uid="{00000000-0005-0000-0000-0000F56D0000}"/>
    <cellStyle name="Normal 44 2 5 3 2 3" xfId="35085" xr:uid="{00000000-0005-0000-0000-0000F66D0000}"/>
    <cellStyle name="Normal 44 2 5 3 3" xfId="4196" xr:uid="{00000000-0005-0000-0000-0000F76D0000}"/>
    <cellStyle name="Normal 44 2 5 3 3 2" xfId="6714" xr:uid="{00000000-0005-0000-0000-0000F86D0000}"/>
    <cellStyle name="Normal 44 2 5 3 4" xfId="6729" xr:uid="{00000000-0005-0000-0000-0000F96D0000}"/>
    <cellStyle name="Normal 44 2 5 4" xfId="35087" xr:uid="{00000000-0005-0000-0000-0000FA6D0000}"/>
    <cellStyle name="Normal 44 2 5 4 2" xfId="35089" xr:uid="{00000000-0005-0000-0000-0000FB6D0000}"/>
    <cellStyle name="Normal 44 2 5 4 2 2" xfId="19843" xr:uid="{00000000-0005-0000-0000-0000FC6D0000}"/>
    <cellStyle name="Normal 44 2 5 4 3" xfId="4218" xr:uid="{00000000-0005-0000-0000-0000FD6D0000}"/>
    <cellStyle name="Normal 44 2 5 5" xfId="35091" xr:uid="{00000000-0005-0000-0000-0000FE6D0000}"/>
    <cellStyle name="Normal 44 2 5 5 2" xfId="35093" xr:uid="{00000000-0005-0000-0000-0000FF6D0000}"/>
    <cellStyle name="Normal 44 2 5 5 2 2" xfId="35095" xr:uid="{00000000-0005-0000-0000-0000006E0000}"/>
    <cellStyle name="Normal 44 2 5 5 3" xfId="6750" xr:uid="{00000000-0005-0000-0000-0000016E0000}"/>
    <cellStyle name="Normal 44 2 5 6" xfId="35097" xr:uid="{00000000-0005-0000-0000-0000026E0000}"/>
    <cellStyle name="Normal 44 2 5 6 2" xfId="35099" xr:uid="{00000000-0005-0000-0000-0000036E0000}"/>
    <cellStyle name="Normal 44 2 5 7" xfId="35101" xr:uid="{00000000-0005-0000-0000-0000046E0000}"/>
    <cellStyle name="Normal 44 2 5 7 2" xfId="35104" xr:uid="{00000000-0005-0000-0000-0000056E0000}"/>
    <cellStyle name="Normal 44 2 5 8" xfId="35106" xr:uid="{00000000-0005-0000-0000-0000066E0000}"/>
    <cellStyle name="Normal 44 2 5 9" xfId="35108" xr:uid="{00000000-0005-0000-0000-0000076E0000}"/>
    <cellStyle name="Normal 44 2 6" xfId="35110" xr:uid="{00000000-0005-0000-0000-0000086E0000}"/>
    <cellStyle name="Normal 44 2 6 2" xfId="35112" xr:uid="{00000000-0005-0000-0000-0000096E0000}"/>
    <cellStyle name="Normal 44 2 6 2 2" xfId="35114" xr:uid="{00000000-0005-0000-0000-00000A6E0000}"/>
    <cellStyle name="Normal 44 2 6 2 2 2" xfId="34735" xr:uid="{00000000-0005-0000-0000-00000B6E0000}"/>
    <cellStyle name="Normal 44 2 6 2 2 2 2" xfId="35116" xr:uid="{00000000-0005-0000-0000-00000C6E0000}"/>
    <cellStyle name="Normal 44 2 6 2 2 3" xfId="34739" xr:uid="{00000000-0005-0000-0000-00000D6E0000}"/>
    <cellStyle name="Normal 44 2 6 2 3" xfId="15293" xr:uid="{00000000-0005-0000-0000-00000E6E0000}"/>
    <cellStyle name="Normal 44 2 6 2 3 2" xfId="35118" xr:uid="{00000000-0005-0000-0000-00000F6E0000}"/>
    <cellStyle name="Normal 44 2 6 2 4" xfId="35120" xr:uid="{00000000-0005-0000-0000-0000106E0000}"/>
    <cellStyle name="Normal 44 2 6 3" xfId="35122" xr:uid="{00000000-0005-0000-0000-0000116E0000}"/>
    <cellStyle name="Normal 44 2 6 3 2" xfId="35124" xr:uid="{00000000-0005-0000-0000-0000126E0000}"/>
    <cellStyle name="Normal 44 2 6 3 2 2" xfId="35126" xr:uid="{00000000-0005-0000-0000-0000136E0000}"/>
    <cellStyle name="Normal 44 2 6 3 3" xfId="35128" xr:uid="{00000000-0005-0000-0000-0000146E0000}"/>
    <cellStyle name="Normal 44 2 6 4" xfId="35130" xr:uid="{00000000-0005-0000-0000-0000156E0000}"/>
    <cellStyle name="Normal 44 2 6 4 2" xfId="35132" xr:uid="{00000000-0005-0000-0000-0000166E0000}"/>
    <cellStyle name="Normal 44 2 6 4 2 2" xfId="35134" xr:uid="{00000000-0005-0000-0000-0000176E0000}"/>
    <cellStyle name="Normal 44 2 6 4 3" xfId="35136" xr:uid="{00000000-0005-0000-0000-0000186E0000}"/>
    <cellStyle name="Normal 44 2 6 5" xfId="35138" xr:uid="{00000000-0005-0000-0000-0000196E0000}"/>
    <cellStyle name="Normal 44 2 6 5 2" xfId="35140" xr:uid="{00000000-0005-0000-0000-00001A6E0000}"/>
    <cellStyle name="Normal 44 2 6 6" xfId="35142" xr:uid="{00000000-0005-0000-0000-00001B6E0000}"/>
    <cellStyle name="Normal 44 2 6 6 2" xfId="35144" xr:uid="{00000000-0005-0000-0000-00001C6E0000}"/>
    <cellStyle name="Normal 44 2 6 7" xfId="35146" xr:uid="{00000000-0005-0000-0000-00001D6E0000}"/>
    <cellStyle name="Normal 44 2 6 8" xfId="35148" xr:uid="{00000000-0005-0000-0000-00001E6E0000}"/>
    <cellStyle name="Normal 44 2 7" xfId="35150" xr:uid="{00000000-0005-0000-0000-00001F6E0000}"/>
    <cellStyle name="Normal 44 2 7 2" xfId="35152" xr:uid="{00000000-0005-0000-0000-0000206E0000}"/>
    <cellStyle name="Normal 44 2 7 2 2" xfId="35155" xr:uid="{00000000-0005-0000-0000-0000216E0000}"/>
    <cellStyle name="Normal 44 2 7 2 2 2" xfId="35158" xr:uid="{00000000-0005-0000-0000-0000226E0000}"/>
    <cellStyle name="Normal 44 2 7 2 3" xfId="35161" xr:uid="{00000000-0005-0000-0000-0000236E0000}"/>
    <cellStyle name="Normal 44 2 7 3" xfId="35163" xr:uid="{00000000-0005-0000-0000-0000246E0000}"/>
    <cellStyle name="Normal 44 2 7 3 2" xfId="35165" xr:uid="{00000000-0005-0000-0000-0000256E0000}"/>
    <cellStyle name="Normal 44 2 7 4" xfId="35167" xr:uid="{00000000-0005-0000-0000-0000266E0000}"/>
    <cellStyle name="Normal 44 2 8" xfId="19285" xr:uid="{00000000-0005-0000-0000-0000276E0000}"/>
    <cellStyle name="Normal 44 2 8 2" xfId="35170" xr:uid="{00000000-0005-0000-0000-0000286E0000}"/>
    <cellStyle name="Normal 44 2 8 2 2" xfId="5473" xr:uid="{00000000-0005-0000-0000-0000296E0000}"/>
    <cellStyle name="Normal 44 2 8 3" xfId="35172" xr:uid="{00000000-0005-0000-0000-00002A6E0000}"/>
    <cellStyle name="Normal 44 2 9" xfId="35174" xr:uid="{00000000-0005-0000-0000-00002B6E0000}"/>
    <cellStyle name="Normal 44 2 9 2" xfId="35176" xr:uid="{00000000-0005-0000-0000-00002C6E0000}"/>
    <cellStyle name="Normal 44 2 9 2 2" xfId="35178" xr:uid="{00000000-0005-0000-0000-00002D6E0000}"/>
    <cellStyle name="Normal 44 2 9 3" xfId="35181" xr:uid="{00000000-0005-0000-0000-00002E6E0000}"/>
    <cellStyle name="Normal 44 3" xfId="30231" xr:uid="{00000000-0005-0000-0000-00002F6E0000}"/>
    <cellStyle name="Normal 44 3 10" xfId="25250" xr:uid="{00000000-0005-0000-0000-0000306E0000}"/>
    <cellStyle name="Normal 44 3 10 2" xfId="6307" xr:uid="{00000000-0005-0000-0000-0000316E0000}"/>
    <cellStyle name="Normal 44 3 11" xfId="18781" xr:uid="{00000000-0005-0000-0000-0000326E0000}"/>
    <cellStyle name="Normal 44 3 11 2" xfId="35183" xr:uid="{00000000-0005-0000-0000-0000336E0000}"/>
    <cellStyle name="Normal 44 3 12" xfId="20057" xr:uid="{00000000-0005-0000-0000-0000346E0000}"/>
    <cellStyle name="Normal 44 3 12 2" xfId="35185" xr:uid="{00000000-0005-0000-0000-0000356E0000}"/>
    <cellStyle name="Normal 44 3 13" xfId="35187" xr:uid="{00000000-0005-0000-0000-0000366E0000}"/>
    <cellStyle name="Normal 44 3 14" xfId="35189" xr:uid="{00000000-0005-0000-0000-0000376E0000}"/>
    <cellStyle name="Normal 44 3 2" xfId="35191" xr:uid="{00000000-0005-0000-0000-0000386E0000}"/>
    <cellStyle name="Normal 44 3 2 10" xfId="35193" xr:uid="{00000000-0005-0000-0000-0000396E0000}"/>
    <cellStyle name="Normal 44 3 2 2" xfId="35195" xr:uid="{00000000-0005-0000-0000-00003A6E0000}"/>
    <cellStyle name="Normal 44 3 2 2 2" xfId="23608" xr:uid="{00000000-0005-0000-0000-00003B6E0000}"/>
    <cellStyle name="Normal 44 3 2 2 2 2" xfId="35199" xr:uid="{00000000-0005-0000-0000-00003C6E0000}"/>
    <cellStyle name="Normal 44 3 2 2 2 2 2" xfId="35203" xr:uid="{00000000-0005-0000-0000-00003D6E0000}"/>
    <cellStyle name="Normal 44 3 2 2 2 2 2 2" xfId="35207" xr:uid="{00000000-0005-0000-0000-00003E6E0000}"/>
    <cellStyle name="Normal 44 3 2 2 2 2 2 2 2" xfId="26282" xr:uid="{00000000-0005-0000-0000-00003F6E0000}"/>
    <cellStyle name="Normal 44 3 2 2 2 2 2 3" xfId="35211" xr:uid="{00000000-0005-0000-0000-0000406E0000}"/>
    <cellStyle name="Normal 44 3 2 2 2 2 3" xfId="14290" xr:uid="{00000000-0005-0000-0000-0000416E0000}"/>
    <cellStyle name="Normal 44 3 2 2 2 2 3 2" xfId="33543" xr:uid="{00000000-0005-0000-0000-0000426E0000}"/>
    <cellStyle name="Normal 44 3 2 2 2 2 4" xfId="33549" xr:uid="{00000000-0005-0000-0000-0000436E0000}"/>
    <cellStyle name="Normal 44 3 2 2 2 3" xfId="238" xr:uid="{00000000-0005-0000-0000-0000446E0000}"/>
    <cellStyle name="Normal 44 3 2 2 2 3 2" xfId="35215" xr:uid="{00000000-0005-0000-0000-0000456E0000}"/>
    <cellStyle name="Normal 44 3 2 2 2 3 2 2" xfId="35219" xr:uid="{00000000-0005-0000-0000-0000466E0000}"/>
    <cellStyle name="Normal 44 3 2 2 2 3 3" xfId="30463" xr:uid="{00000000-0005-0000-0000-0000476E0000}"/>
    <cellStyle name="Normal 44 3 2 2 2 4" xfId="13797" xr:uid="{00000000-0005-0000-0000-0000486E0000}"/>
    <cellStyle name="Normal 44 3 2 2 2 4 2" xfId="13855" xr:uid="{00000000-0005-0000-0000-0000496E0000}"/>
    <cellStyle name="Normal 44 3 2 2 2 4 2 2" xfId="13910" xr:uid="{00000000-0005-0000-0000-00004A6E0000}"/>
    <cellStyle name="Normal 44 3 2 2 2 4 3" xfId="16203" xr:uid="{00000000-0005-0000-0000-00004B6E0000}"/>
    <cellStyle name="Normal 44 3 2 2 2 5" xfId="16888" xr:uid="{00000000-0005-0000-0000-00004C6E0000}"/>
    <cellStyle name="Normal 44 3 2 2 2 5 2" xfId="11696" xr:uid="{00000000-0005-0000-0000-00004D6E0000}"/>
    <cellStyle name="Normal 44 3 2 2 2 6" xfId="10344" xr:uid="{00000000-0005-0000-0000-00004E6E0000}"/>
    <cellStyle name="Normal 44 3 2 2 2 6 2" xfId="11751" xr:uid="{00000000-0005-0000-0000-00004F6E0000}"/>
    <cellStyle name="Normal 44 3 2 2 2 7" xfId="19112" xr:uid="{00000000-0005-0000-0000-0000506E0000}"/>
    <cellStyle name="Normal 44 3 2 2 2 8" xfId="6482" xr:uid="{00000000-0005-0000-0000-0000516E0000}"/>
    <cellStyle name="Normal 44 3 2 2 3" xfId="35221" xr:uid="{00000000-0005-0000-0000-0000526E0000}"/>
    <cellStyle name="Normal 44 3 2 2 3 2" xfId="35224" xr:uid="{00000000-0005-0000-0000-0000536E0000}"/>
    <cellStyle name="Normal 44 3 2 2 3 2 2" xfId="35231" xr:uid="{00000000-0005-0000-0000-0000546E0000}"/>
    <cellStyle name="Normal 44 3 2 2 3 2 2 2" xfId="31832" xr:uid="{00000000-0005-0000-0000-0000556E0000}"/>
    <cellStyle name="Normal 44 3 2 2 3 2 3" xfId="35235" xr:uid="{00000000-0005-0000-0000-0000566E0000}"/>
    <cellStyle name="Normal 44 3 2 2 3 3" xfId="35239" xr:uid="{00000000-0005-0000-0000-0000576E0000}"/>
    <cellStyle name="Normal 44 3 2 2 3 3 2" xfId="19822" xr:uid="{00000000-0005-0000-0000-0000586E0000}"/>
    <cellStyle name="Normal 44 3 2 2 3 4" xfId="16108" xr:uid="{00000000-0005-0000-0000-0000596E0000}"/>
    <cellStyle name="Normal 44 3 2 2 4" xfId="35241" xr:uid="{00000000-0005-0000-0000-00005A6E0000}"/>
    <cellStyle name="Normal 44 3 2 2 4 2" xfId="35246" xr:uid="{00000000-0005-0000-0000-00005B6E0000}"/>
    <cellStyle name="Normal 44 3 2 2 4 2 2" xfId="35250" xr:uid="{00000000-0005-0000-0000-00005C6E0000}"/>
    <cellStyle name="Normal 44 3 2 2 4 3" xfId="35254" xr:uid="{00000000-0005-0000-0000-00005D6E0000}"/>
    <cellStyle name="Normal 44 3 2 2 5" xfId="35256" xr:uid="{00000000-0005-0000-0000-00005E6E0000}"/>
    <cellStyle name="Normal 44 3 2 2 5 2" xfId="35261" xr:uid="{00000000-0005-0000-0000-00005F6E0000}"/>
    <cellStyle name="Normal 44 3 2 2 5 2 2" xfId="35265" xr:uid="{00000000-0005-0000-0000-0000606E0000}"/>
    <cellStyle name="Normal 44 3 2 2 5 3" xfId="35269" xr:uid="{00000000-0005-0000-0000-0000616E0000}"/>
    <cellStyle name="Normal 44 3 2 2 6" xfId="35271" xr:uid="{00000000-0005-0000-0000-0000626E0000}"/>
    <cellStyle name="Normal 44 3 2 2 6 2" xfId="35275" xr:uid="{00000000-0005-0000-0000-0000636E0000}"/>
    <cellStyle name="Normal 44 3 2 2 7" xfId="35277" xr:uid="{00000000-0005-0000-0000-0000646E0000}"/>
    <cellStyle name="Normal 44 3 2 2 7 2" xfId="35281" xr:uid="{00000000-0005-0000-0000-0000656E0000}"/>
    <cellStyle name="Normal 44 3 2 2 8" xfId="23883" xr:uid="{00000000-0005-0000-0000-0000666E0000}"/>
    <cellStyle name="Normal 44 3 2 2 9" xfId="23889" xr:uid="{00000000-0005-0000-0000-0000676E0000}"/>
    <cellStyle name="Normal 44 3 2 3" xfId="35283" xr:uid="{00000000-0005-0000-0000-0000686E0000}"/>
    <cellStyle name="Normal 44 3 2 3 2" xfId="35285" xr:uid="{00000000-0005-0000-0000-0000696E0000}"/>
    <cellStyle name="Normal 44 3 2 3 2 2" xfId="35287" xr:uid="{00000000-0005-0000-0000-00006A6E0000}"/>
    <cellStyle name="Normal 44 3 2 3 2 2 2" xfId="35289" xr:uid="{00000000-0005-0000-0000-00006B6E0000}"/>
    <cellStyle name="Normal 44 3 2 3 2 2 2 2" xfId="23951" xr:uid="{00000000-0005-0000-0000-00006C6E0000}"/>
    <cellStyle name="Normal 44 3 2 3 2 2 3" xfId="14384" xr:uid="{00000000-0005-0000-0000-00006D6E0000}"/>
    <cellStyle name="Normal 44 3 2 3 2 3" xfId="2057" xr:uid="{00000000-0005-0000-0000-00006E6E0000}"/>
    <cellStyle name="Normal 44 3 2 3 2 3 2" xfId="35291" xr:uid="{00000000-0005-0000-0000-00006F6E0000}"/>
    <cellStyle name="Normal 44 3 2 3 2 4" xfId="18121" xr:uid="{00000000-0005-0000-0000-0000706E0000}"/>
    <cellStyle name="Normal 44 3 2 3 3" xfId="35293" xr:uid="{00000000-0005-0000-0000-0000716E0000}"/>
    <cellStyle name="Normal 44 3 2 3 3 2" xfId="35296" xr:uid="{00000000-0005-0000-0000-0000726E0000}"/>
    <cellStyle name="Normal 44 3 2 3 3 2 2" xfId="35298" xr:uid="{00000000-0005-0000-0000-0000736E0000}"/>
    <cellStyle name="Normal 44 3 2 3 3 3" xfId="35300" xr:uid="{00000000-0005-0000-0000-0000746E0000}"/>
    <cellStyle name="Normal 44 3 2 3 4" xfId="35302" xr:uid="{00000000-0005-0000-0000-0000756E0000}"/>
    <cellStyle name="Normal 44 3 2 3 4 2" xfId="35304" xr:uid="{00000000-0005-0000-0000-0000766E0000}"/>
    <cellStyle name="Normal 44 3 2 3 4 2 2" xfId="35306" xr:uid="{00000000-0005-0000-0000-0000776E0000}"/>
    <cellStyle name="Normal 44 3 2 3 4 3" xfId="35308" xr:uid="{00000000-0005-0000-0000-0000786E0000}"/>
    <cellStyle name="Normal 44 3 2 3 5" xfId="35310" xr:uid="{00000000-0005-0000-0000-0000796E0000}"/>
    <cellStyle name="Normal 44 3 2 3 5 2" xfId="35312" xr:uid="{00000000-0005-0000-0000-00007A6E0000}"/>
    <cellStyle name="Normal 44 3 2 3 6" xfId="35315" xr:uid="{00000000-0005-0000-0000-00007B6E0000}"/>
    <cellStyle name="Normal 44 3 2 3 6 2" xfId="35319" xr:uid="{00000000-0005-0000-0000-00007C6E0000}"/>
    <cellStyle name="Normal 44 3 2 3 7" xfId="35323" xr:uid="{00000000-0005-0000-0000-00007D6E0000}"/>
    <cellStyle name="Normal 44 3 2 3 8" xfId="23895" xr:uid="{00000000-0005-0000-0000-00007E6E0000}"/>
    <cellStyle name="Normal 44 3 2 4" xfId="35326" xr:uid="{00000000-0005-0000-0000-00007F6E0000}"/>
    <cellStyle name="Normal 44 3 2 4 2" xfId="35328" xr:uid="{00000000-0005-0000-0000-0000806E0000}"/>
    <cellStyle name="Normal 44 3 2 4 2 2" xfId="35330" xr:uid="{00000000-0005-0000-0000-0000816E0000}"/>
    <cellStyle name="Normal 44 3 2 4 2 2 2" xfId="35332" xr:uid="{00000000-0005-0000-0000-0000826E0000}"/>
    <cellStyle name="Normal 44 3 2 4 2 3" xfId="35334" xr:uid="{00000000-0005-0000-0000-0000836E0000}"/>
    <cellStyle name="Normal 44 3 2 4 3" xfId="35336" xr:uid="{00000000-0005-0000-0000-0000846E0000}"/>
    <cellStyle name="Normal 44 3 2 4 3 2" xfId="35338" xr:uid="{00000000-0005-0000-0000-0000856E0000}"/>
    <cellStyle name="Normal 44 3 2 4 4" xfId="35340" xr:uid="{00000000-0005-0000-0000-0000866E0000}"/>
    <cellStyle name="Normal 44 3 2 5" xfId="7201" xr:uid="{00000000-0005-0000-0000-0000876E0000}"/>
    <cellStyle name="Normal 44 3 2 5 2" xfId="35342" xr:uid="{00000000-0005-0000-0000-0000886E0000}"/>
    <cellStyle name="Normal 44 3 2 5 2 2" xfId="35344" xr:uid="{00000000-0005-0000-0000-0000896E0000}"/>
    <cellStyle name="Normal 44 3 2 5 3" xfId="35346" xr:uid="{00000000-0005-0000-0000-00008A6E0000}"/>
    <cellStyle name="Normal 44 3 2 6" xfId="35348" xr:uid="{00000000-0005-0000-0000-00008B6E0000}"/>
    <cellStyle name="Normal 44 3 2 6 2" xfId="35350" xr:uid="{00000000-0005-0000-0000-00008C6E0000}"/>
    <cellStyle name="Normal 44 3 2 6 2 2" xfId="35352" xr:uid="{00000000-0005-0000-0000-00008D6E0000}"/>
    <cellStyle name="Normal 44 3 2 6 3" xfId="35354" xr:uid="{00000000-0005-0000-0000-00008E6E0000}"/>
    <cellStyle name="Normal 44 3 2 7" xfId="35358" xr:uid="{00000000-0005-0000-0000-00008F6E0000}"/>
    <cellStyle name="Normal 44 3 2 7 2" xfId="35362" xr:uid="{00000000-0005-0000-0000-0000906E0000}"/>
    <cellStyle name="Normal 44 3 2 8" xfId="35366" xr:uid="{00000000-0005-0000-0000-0000916E0000}"/>
    <cellStyle name="Normal 44 3 2 8 2" xfId="35370" xr:uid="{00000000-0005-0000-0000-0000926E0000}"/>
    <cellStyle name="Normal 44 3 2 9" xfId="35374" xr:uid="{00000000-0005-0000-0000-0000936E0000}"/>
    <cellStyle name="Normal 44 3 3" xfId="35379" xr:uid="{00000000-0005-0000-0000-0000946E0000}"/>
    <cellStyle name="Normal 44 3 3 2" xfId="35385" xr:uid="{00000000-0005-0000-0000-0000956E0000}"/>
    <cellStyle name="Normal 44 3 3 2 2" xfId="35388" xr:uid="{00000000-0005-0000-0000-0000966E0000}"/>
    <cellStyle name="Normal 44 3 3 2 2 2" xfId="35390" xr:uid="{00000000-0005-0000-0000-0000976E0000}"/>
    <cellStyle name="Normal 44 3 3 2 2 2 2" xfId="35392" xr:uid="{00000000-0005-0000-0000-0000986E0000}"/>
    <cellStyle name="Normal 44 3 3 2 2 2 2 2" xfId="35394" xr:uid="{00000000-0005-0000-0000-0000996E0000}"/>
    <cellStyle name="Normal 44 3 3 2 2 2 3" xfId="33992" xr:uid="{00000000-0005-0000-0000-00009A6E0000}"/>
    <cellStyle name="Normal 44 3 3 2 2 3" xfId="35396" xr:uid="{00000000-0005-0000-0000-00009B6E0000}"/>
    <cellStyle name="Normal 44 3 3 2 2 3 2" xfId="27232" xr:uid="{00000000-0005-0000-0000-00009C6E0000}"/>
    <cellStyle name="Normal 44 3 3 2 2 4" xfId="35398" xr:uid="{00000000-0005-0000-0000-00009D6E0000}"/>
    <cellStyle name="Normal 44 3 3 2 2 5" xfId="35400" xr:uid="{00000000-0005-0000-0000-00009E6E0000}"/>
    <cellStyle name="Normal 44 3 3 2 3" xfId="18322" xr:uid="{00000000-0005-0000-0000-00009F6E0000}"/>
    <cellStyle name="Normal 44 3 3 2 3 2" xfId="20802" xr:uid="{00000000-0005-0000-0000-0000A06E0000}"/>
    <cellStyle name="Normal 44 3 3 2 3 2 2" xfId="20805" xr:uid="{00000000-0005-0000-0000-0000A16E0000}"/>
    <cellStyle name="Normal 44 3 3 2 3 3" xfId="20808" xr:uid="{00000000-0005-0000-0000-0000A26E0000}"/>
    <cellStyle name="Normal 44 3 3 2 4" xfId="18289" xr:uid="{00000000-0005-0000-0000-0000A36E0000}"/>
    <cellStyle name="Normal 44 3 3 2 4 2" xfId="20811" xr:uid="{00000000-0005-0000-0000-0000A46E0000}"/>
    <cellStyle name="Normal 44 3 3 2 4 2 2" xfId="35402" xr:uid="{00000000-0005-0000-0000-0000A56E0000}"/>
    <cellStyle name="Normal 44 3 3 2 4 3" xfId="35404" xr:uid="{00000000-0005-0000-0000-0000A66E0000}"/>
    <cellStyle name="Normal 44 3 3 2 5" xfId="20814" xr:uid="{00000000-0005-0000-0000-0000A76E0000}"/>
    <cellStyle name="Normal 44 3 3 2 5 2" xfId="33079" xr:uid="{00000000-0005-0000-0000-0000A86E0000}"/>
    <cellStyle name="Normal 44 3 3 2 6" xfId="33083" xr:uid="{00000000-0005-0000-0000-0000A96E0000}"/>
    <cellStyle name="Normal 44 3 3 2 6 2" xfId="35406" xr:uid="{00000000-0005-0000-0000-0000AA6E0000}"/>
    <cellStyle name="Normal 44 3 3 2 7" xfId="35408" xr:uid="{00000000-0005-0000-0000-0000AB6E0000}"/>
    <cellStyle name="Normal 44 3 3 2 8" xfId="23909" xr:uid="{00000000-0005-0000-0000-0000AC6E0000}"/>
    <cellStyle name="Normal 44 3 3 3" xfId="35411" xr:uid="{00000000-0005-0000-0000-0000AD6E0000}"/>
    <cellStyle name="Normal 44 3 3 3 2" xfId="35414" xr:uid="{00000000-0005-0000-0000-0000AE6E0000}"/>
    <cellStyle name="Normal 44 3 3 3 2 2" xfId="25506" xr:uid="{00000000-0005-0000-0000-0000AF6E0000}"/>
    <cellStyle name="Normal 44 3 3 3 2 2 2" xfId="23092" xr:uid="{00000000-0005-0000-0000-0000B06E0000}"/>
    <cellStyle name="Normal 44 3 3 3 2 3" xfId="25509" xr:uid="{00000000-0005-0000-0000-0000B16E0000}"/>
    <cellStyle name="Normal 44 3 3 3 3" xfId="18345" xr:uid="{00000000-0005-0000-0000-0000B26E0000}"/>
    <cellStyle name="Normal 44 3 3 3 3 2" xfId="18349" xr:uid="{00000000-0005-0000-0000-0000B36E0000}"/>
    <cellStyle name="Normal 44 3 3 3 4" xfId="18629" xr:uid="{00000000-0005-0000-0000-0000B46E0000}"/>
    <cellStyle name="Normal 44 3 3 3 5" xfId="33089" xr:uid="{00000000-0005-0000-0000-0000B56E0000}"/>
    <cellStyle name="Normal 44 3 3 4" xfId="35417" xr:uid="{00000000-0005-0000-0000-0000B66E0000}"/>
    <cellStyle name="Normal 44 3 3 4 2" xfId="35419" xr:uid="{00000000-0005-0000-0000-0000B76E0000}"/>
    <cellStyle name="Normal 44 3 3 4 2 2" xfId="35421" xr:uid="{00000000-0005-0000-0000-0000B86E0000}"/>
    <cellStyle name="Normal 44 3 3 4 3" xfId="19227" xr:uid="{00000000-0005-0000-0000-0000B96E0000}"/>
    <cellStyle name="Normal 44 3 3 5" xfId="35423" xr:uid="{00000000-0005-0000-0000-0000BA6E0000}"/>
    <cellStyle name="Normal 44 3 3 5 2" xfId="35425" xr:uid="{00000000-0005-0000-0000-0000BB6E0000}"/>
    <cellStyle name="Normal 44 3 3 5 2 2" xfId="35427" xr:uid="{00000000-0005-0000-0000-0000BC6E0000}"/>
    <cellStyle name="Normal 44 3 3 5 3" xfId="20821" xr:uid="{00000000-0005-0000-0000-0000BD6E0000}"/>
    <cellStyle name="Normal 44 3 3 6" xfId="35430" xr:uid="{00000000-0005-0000-0000-0000BE6E0000}"/>
    <cellStyle name="Normal 44 3 3 6 2" xfId="35432" xr:uid="{00000000-0005-0000-0000-0000BF6E0000}"/>
    <cellStyle name="Normal 44 3 3 7" xfId="35436" xr:uid="{00000000-0005-0000-0000-0000C06E0000}"/>
    <cellStyle name="Normal 44 3 3 7 2" xfId="35440" xr:uid="{00000000-0005-0000-0000-0000C16E0000}"/>
    <cellStyle name="Normal 44 3 3 8" xfId="27002" xr:uid="{00000000-0005-0000-0000-0000C26E0000}"/>
    <cellStyle name="Normal 44 3 3 9" xfId="35442" xr:uid="{00000000-0005-0000-0000-0000C36E0000}"/>
    <cellStyle name="Normal 44 3 4" xfId="35447" xr:uid="{00000000-0005-0000-0000-0000C46E0000}"/>
    <cellStyle name="Normal 44 3 4 2" xfId="35449" xr:uid="{00000000-0005-0000-0000-0000C56E0000}"/>
    <cellStyle name="Normal 44 3 4 2 2" xfId="35451" xr:uid="{00000000-0005-0000-0000-0000C66E0000}"/>
    <cellStyle name="Normal 44 3 4 2 2 2" xfId="31860" xr:uid="{00000000-0005-0000-0000-0000C76E0000}"/>
    <cellStyle name="Normal 44 3 4 2 2 2 2" xfId="31864" xr:uid="{00000000-0005-0000-0000-0000C86E0000}"/>
    <cellStyle name="Normal 44 3 4 2 2 2 2 2" xfId="35454" xr:uid="{00000000-0005-0000-0000-0000C96E0000}"/>
    <cellStyle name="Normal 44 3 4 2 2 2 3" xfId="34321" xr:uid="{00000000-0005-0000-0000-0000CA6E0000}"/>
    <cellStyle name="Normal 44 3 4 2 2 3" xfId="31868" xr:uid="{00000000-0005-0000-0000-0000CB6E0000}"/>
    <cellStyle name="Normal 44 3 4 2 2 3 2" xfId="28992" xr:uid="{00000000-0005-0000-0000-0000CC6E0000}"/>
    <cellStyle name="Normal 44 3 4 2 2 4" xfId="31874" xr:uid="{00000000-0005-0000-0000-0000CD6E0000}"/>
    <cellStyle name="Normal 44 3 4 2 3" xfId="11199" xr:uid="{00000000-0005-0000-0000-0000CE6E0000}"/>
    <cellStyle name="Normal 44 3 4 2 3 2" xfId="15342" xr:uid="{00000000-0005-0000-0000-0000CF6E0000}"/>
    <cellStyle name="Normal 44 3 4 2 3 2 2" xfId="35456" xr:uid="{00000000-0005-0000-0000-0000D06E0000}"/>
    <cellStyle name="Normal 44 3 4 2 3 3" xfId="34373" xr:uid="{00000000-0005-0000-0000-0000D16E0000}"/>
    <cellStyle name="Normal 44 3 4 2 4" xfId="15346" xr:uid="{00000000-0005-0000-0000-0000D26E0000}"/>
    <cellStyle name="Normal 44 3 4 2 4 2" xfId="35458" xr:uid="{00000000-0005-0000-0000-0000D36E0000}"/>
    <cellStyle name="Normal 44 3 4 2 4 2 2" xfId="35460" xr:uid="{00000000-0005-0000-0000-0000D46E0000}"/>
    <cellStyle name="Normal 44 3 4 2 4 3" xfId="35462" xr:uid="{00000000-0005-0000-0000-0000D56E0000}"/>
    <cellStyle name="Normal 44 3 4 2 5" xfId="33101" xr:uid="{00000000-0005-0000-0000-0000D66E0000}"/>
    <cellStyle name="Normal 44 3 4 2 5 2" xfId="35464" xr:uid="{00000000-0005-0000-0000-0000D76E0000}"/>
    <cellStyle name="Normal 44 3 4 2 6" xfId="23760" xr:uid="{00000000-0005-0000-0000-0000D86E0000}"/>
    <cellStyle name="Normal 44 3 4 2 6 2" xfId="23763" xr:uid="{00000000-0005-0000-0000-0000D96E0000}"/>
    <cellStyle name="Normal 44 3 4 2 7" xfId="23766" xr:uid="{00000000-0005-0000-0000-0000DA6E0000}"/>
    <cellStyle name="Normal 44 3 4 2 8" xfId="23921" xr:uid="{00000000-0005-0000-0000-0000DB6E0000}"/>
    <cellStyle name="Normal 44 3 4 3" xfId="35466" xr:uid="{00000000-0005-0000-0000-0000DC6E0000}"/>
    <cellStyle name="Normal 44 3 4 3 2" xfId="35468" xr:uid="{00000000-0005-0000-0000-0000DD6E0000}"/>
    <cellStyle name="Normal 44 3 4 3 2 2" xfId="35470" xr:uid="{00000000-0005-0000-0000-0000DE6E0000}"/>
    <cellStyle name="Normal 44 3 4 3 2 2 2" xfId="35472" xr:uid="{00000000-0005-0000-0000-0000DF6E0000}"/>
    <cellStyle name="Normal 44 3 4 3 2 3" xfId="34383" xr:uid="{00000000-0005-0000-0000-0000E06E0000}"/>
    <cellStyle name="Normal 44 3 4 3 3" xfId="5394" xr:uid="{00000000-0005-0000-0000-0000E16E0000}"/>
    <cellStyle name="Normal 44 3 4 3 3 2" xfId="5245" xr:uid="{00000000-0005-0000-0000-0000E26E0000}"/>
    <cellStyle name="Normal 44 3 4 3 4" xfId="5406" xr:uid="{00000000-0005-0000-0000-0000E36E0000}"/>
    <cellStyle name="Normal 44 3 4 4" xfId="35474" xr:uid="{00000000-0005-0000-0000-0000E46E0000}"/>
    <cellStyle name="Normal 44 3 4 4 2" xfId="35476" xr:uid="{00000000-0005-0000-0000-0000E56E0000}"/>
    <cellStyle name="Normal 44 3 4 4 2 2" xfId="35478" xr:uid="{00000000-0005-0000-0000-0000E66E0000}"/>
    <cellStyle name="Normal 44 3 4 4 3" xfId="6806" xr:uid="{00000000-0005-0000-0000-0000E76E0000}"/>
    <cellStyle name="Normal 44 3 4 5" xfId="35480" xr:uid="{00000000-0005-0000-0000-0000E86E0000}"/>
    <cellStyle name="Normal 44 3 4 5 2" xfId="35482" xr:uid="{00000000-0005-0000-0000-0000E96E0000}"/>
    <cellStyle name="Normal 44 3 4 5 2 2" xfId="35484" xr:uid="{00000000-0005-0000-0000-0000EA6E0000}"/>
    <cellStyle name="Normal 44 3 4 5 3" xfId="6824" xr:uid="{00000000-0005-0000-0000-0000EB6E0000}"/>
    <cellStyle name="Normal 44 3 4 6" xfId="20382" xr:uid="{00000000-0005-0000-0000-0000EC6E0000}"/>
    <cellStyle name="Normal 44 3 4 6 2" xfId="35486" xr:uid="{00000000-0005-0000-0000-0000ED6E0000}"/>
    <cellStyle name="Normal 44 3 4 7" xfId="35490" xr:uid="{00000000-0005-0000-0000-0000EE6E0000}"/>
    <cellStyle name="Normal 44 3 4 7 2" xfId="35496" xr:uid="{00000000-0005-0000-0000-0000EF6E0000}"/>
    <cellStyle name="Normal 44 3 4 8" xfId="35501" xr:uid="{00000000-0005-0000-0000-0000F06E0000}"/>
    <cellStyle name="Normal 44 3 4 9" xfId="35503" xr:uid="{00000000-0005-0000-0000-0000F16E0000}"/>
    <cellStyle name="Normal 44 3 5" xfId="35505" xr:uid="{00000000-0005-0000-0000-0000F26E0000}"/>
    <cellStyle name="Normal 44 3 5 2" xfId="35507" xr:uid="{00000000-0005-0000-0000-0000F36E0000}"/>
    <cellStyle name="Normal 44 3 5 2 2" xfId="35509" xr:uid="{00000000-0005-0000-0000-0000F46E0000}"/>
    <cellStyle name="Normal 44 3 5 2 2 2" xfId="35511" xr:uid="{00000000-0005-0000-0000-0000F56E0000}"/>
    <cellStyle name="Normal 44 3 5 2 2 2 2" xfId="35513" xr:uid="{00000000-0005-0000-0000-0000F66E0000}"/>
    <cellStyle name="Normal 44 3 5 2 2 2 2 2" xfId="35515" xr:uid="{00000000-0005-0000-0000-0000F76E0000}"/>
    <cellStyle name="Normal 44 3 5 2 2 2 3" xfId="35517" xr:uid="{00000000-0005-0000-0000-0000F86E0000}"/>
    <cellStyle name="Normal 44 3 5 2 2 3" xfId="34399" xr:uid="{00000000-0005-0000-0000-0000F96E0000}"/>
    <cellStyle name="Normal 44 3 5 2 2 3 2" xfId="30985" xr:uid="{00000000-0005-0000-0000-0000FA6E0000}"/>
    <cellStyle name="Normal 44 3 5 2 2 4" xfId="35519" xr:uid="{00000000-0005-0000-0000-0000FB6E0000}"/>
    <cellStyle name="Normal 44 3 5 2 3" xfId="15397" xr:uid="{00000000-0005-0000-0000-0000FC6E0000}"/>
    <cellStyle name="Normal 44 3 5 2 3 2" xfId="18387" xr:uid="{00000000-0005-0000-0000-0000FD6E0000}"/>
    <cellStyle name="Normal 44 3 5 2 3 2 2" xfId="35521" xr:uid="{00000000-0005-0000-0000-0000FE6E0000}"/>
    <cellStyle name="Normal 44 3 5 2 3 3" xfId="35523" xr:uid="{00000000-0005-0000-0000-0000FF6E0000}"/>
    <cellStyle name="Normal 44 3 5 2 4" xfId="18313" xr:uid="{00000000-0005-0000-0000-0000006F0000}"/>
    <cellStyle name="Normal 44 3 5 2 4 2" xfId="35525" xr:uid="{00000000-0005-0000-0000-0000016F0000}"/>
    <cellStyle name="Normal 44 3 5 2 4 2 2" xfId="35530" xr:uid="{00000000-0005-0000-0000-0000026F0000}"/>
    <cellStyle name="Normal 44 3 5 2 4 3" xfId="35532" xr:uid="{00000000-0005-0000-0000-0000036F0000}"/>
    <cellStyle name="Normal 44 3 5 2 5" xfId="33107" xr:uid="{00000000-0005-0000-0000-0000046F0000}"/>
    <cellStyle name="Normal 44 3 5 2 5 2" xfId="35534" xr:uid="{00000000-0005-0000-0000-0000056F0000}"/>
    <cellStyle name="Normal 44 3 5 2 6" xfId="18406" xr:uid="{00000000-0005-0000-0000-0000066F0000}"/>
    <cellStyle name="Normal 44 3 5 2 6 2" xfId="5583" xr:uid="{00000000-0005-0000-0000-0000076F0000}"/>
    <cellStyle name="Normal 44 3 5 2 7" xfId="18410" xr:uid="{00000000-0005-0000-0000-0000086F0000}"/>
    <cellStyle name="Normal 44 3 5 2 8" xfId="18419" xr:uid="{00000000-0005-0000-0000-0000096F0000}"/>
    <cellStyle name="Normal 44 3 5 3" xfId="35536" xr:uid="{00000000-0005-0000-0000-00000A6F0000}"/>
    <cellStyle name="Normal 44 3 5 3 2" xfId="35538" xr:uid="{00000000-0005-0000-0000-00000B6F0000}"/>
    <cellStyle name="Normal 44 3 5 3 2 2" xfId="35540" xr:uid="{00000000-0005-0000-0000-00000C6F0000}"/>
    <cellStyle name="Normal 44 3 5 3 2 2 2" xfId="35542" xr:uid="{00000000-0005-0000-0000-00000D6F0000}"/>
    <cellStyle name="Normal 44 3 5 3 2 3" xfId="35545" xr:uid="{00000000-0005-0000-0000-00000E6F0000}"/>
    <cellStyle name="Normal 44 3 5 3 3" xfId="4335" xr:uid="{00000000-0005-0000-0000-00000F6F0000}"/>
    <cellStyle name="Normal 44 3 5 3 3 2" xfId="14046" xr:uid="{00000000-0005-0000-0000-0000106F0000}"/>
    <cellStyle name="Normal 44 3 5 3 4" xfId="3963" xr:uid="{00000000-0005-0000-0000-0000116F0000}"/>
    <cellStyle name="Normal 44 3 5 4" xfId="35547" xr:uid="{00000000-0005-0000-0000-0000126F0000}"/>
    <cellStyle name="Normal 44 3 5 4 2" xfId="35549" xr:uid="{00000000-0005-0000-0000-0000136F0000}"/>
    <cellStyle name="Normal 44 3 5 4 2 2" xfId="35551" xr:uid="{00000000-0005-0000-0000-0000146F0000}"/>
    <cellStyle name="Normal 44 3 5 4 3" xfId="18425" xr:uid="{00000000-0005-0000-0000-0000156F0000}"/>
    <cellStyle name="Normal 44 3 5 5" xfId="35553" xr:uid="{00000000-0005-0000-0000-0000166F0000}"/>
    <cellStyle name="Normal 44 3 5 5 2" xfId="35555" xr:uid="{00000000-0005-0000-0000-0000176F0000}"/>
    <cellStyle name="Normal 44 3 5 5 2 2" xfId="35557" xr:uid="{00000000-0005-0000-0000-0000186F0000}"/>
    <cellStyle name="Normal 44 3 5 5 3" xfId="18430" xr:uid="{00000000-0005-0000-0000-0000196F0000}"/>
    <cellStyle name="Normal 44 3 5 6" xfId="35559" xr:uid="{00000000-0005-0000-0000-00001A6F0000}"/>
    <cellStyle name="Normal 44 3 5 6 2" xfId="35561" xr:uid="{00000000-0005-0000-0000-00001B6F0000}"/>
    <cellStyle name="Normal 44 3 5 7" xfId="35565" xr:uid="{00000000-0005-0000-0000-00001C6F0000}"/>
    <cellStyle name="Normal 44 3 5 7 2" xfId="35569" xr:uid="{00000000-0005-0000-0000-00001D6F0000}"/>
    <cellStyle name="Normal 44 3 5 8" xfId="35571" xr:uid="{00000000-0005-0000-0000-00001E6F0000}"/>
    <cellStyle name="Normal 44 3 5 9" xfId="35573" xr:uid="{00000000-0005-0000-0000-00001F6F0000}"/>
    <cellStyle name="Normal 44 3 6" xfId="35575" xr:uid="{00000000-0005-0000-0000-0000206F0000}"/>
    <cellStyle name="Normal 44 3 6 2" xfId="35577" xr:uid="{00000000-0005-0000-0000-0000216F0000}"/>
    <cellStyle name="Normal 44 3 6 2 2" xfId="35579" xr:uid="{00000000-0005-0000-0000-0000226F0000}"/>
    <cellStyle name="Normal 44 3 6 2 2 2" xfId="35581" xr:uid="{00000000-0005-0000-0000-0000236F0000}"/>
    <cellStyle name="Normal 44 3 6 2 2 2 2" xfId="35583" xr:uid="{00000000-0005-0000-0000-0000246F0000}"/>
    <cellStyle name="Normal 44 3 6 2 2 3" xfId="35586" xr:uid="{00000000-0005-0000-0000-0000256F0000}"/>
    <cellStyle name="Normal 44 3 6 2 3" xfId="18445" xr:uid="{00000000-0005-0000-0000-0000266F0000}"/>
    <cellStyle name="Normal 44 3 6 2 3 2" xfId="18451" xr:uid="{00000000-0005-0000-0000-0000276F0000}"/>
    <cellStyle name="Normal 44 3 6 2 4" xfId="18455" xr:uid="{00000000-0005-0000-0000-0000286F0000}"/>
    <cellStyle name="Normal 44 3 6 3" xfId="35590" xr:uid="{00000000-0005-0000-0000-0000296F0000}"/>
    <cellStyle name="Normal 44 3 6 3 2" xfId="35592" xr:uid="{00000000-0005-0000-0000-00002A6F0000}"/>
    <cellStyle name="Normal 44 3 6 3 2 2" xfId="35594" xr:uid="{00000000-0005-0000-0000-00002B6F0000}"/>
    <cellStyle name="Normal 44 3 6 3 3" xfId="9660" xr:uid="{00000000-0005-0000-0000-00002C6F0000}"/>
    <cellStyle name="Normal 44 3 6 4" xfId="35596" xr:uid="{00000000-0005-0000-0000-00002D6F0000}"/>
    <cellStyle name="Normal 44 3 6 4 2" xfId="35598" xr:uid="{00000000-0005-0000-0000-00002E6F0000}"/>
    <cellStyle name="Normal 44 3 6 4 2 2" xfId="35600" xr:uid="{00000000-0005-0000-0000-00002F6F0000}"/>
    <cellStyle name="Normal 44 3 6 4 3" xfId="9676" xr:uid="{00000000-0005-0000-0000-0000306F0000}"/>
    <cellStyle name="Normal 44 3 6 5" xfId="35602" xr:uid="{00000000-0005-0000-0000-0000316F0000}"/>
    <cellStyle name="Normal 44 3 6 5 2" xfId="35604" xr:uid="{00000000-0005-0000-0000-0000326F0000}"/>
    <cellStyle name="Normal 44 3 6 6" xfId="35606" xr:uid="{00000000-0005-0000-0000-0000336F0000}"/>
    <cellStyle name="Normal 44 3 6 6 2" xfId="35608" xr:uid="{00000000-0005-0000-0000-0000346F0000}"/>
    <cellStyle name="Normal 44 3 6 7" xfId="35612" xr:uid="{00000000-0005-0000-0000-0000356F0000}"/>
    <cellStyle name="Normal 44 3 6 8" xfId="35614" xr:uid="{00000000-0005-0000-0000-0000366F0000}"/>
    <cellStyle name="Normal 44 3 7" xfId="35616" xr:uid="{00000000-0005-0000-0000-0000376F0000}"/>
    <cellStyle name="Normal 44 3 7 2" xfId="35618" xr:uid="{00000000-0005-0000-0000-0000386F0000}"/>
    <cellStyle name="Normal 44 3 7 2 2" xfId="35620" xr:uid="{00000000-0005-0000-0000-0000396F0000}"/>
    <cellStyle name="Normal 44 3 7 2 2 2" xfId="18468" xr:uid="{00000000-0005-0000-0000-00003A6F0000}"/>
    <cellStyle name="Normal 44 3 7 2 3" xfId="18477" xr:uid="{00000000-0005-0000-0000-00003B6F0000}"/>
    <cellStyle name="Normal 44 3 7 3" xfId="35622" xr:uid="{00000000-0005-0000-0000-00003C6F0000}"/>
    <cellStyle name="Normal 44 3 7 3 2" xfId="35624" xr:uid="{00000000-0005-0000-0000-00003D6F0000}"/>
    <cellStyle name="Normal 44 3 7 4" xfId="35626" xr:uid="{00000000-0005-0000-0000-00003E6F0000}"/>
    <cellStyle name="Normal 44 3 8" xfId="15065" xr:uid="{00000000-0005-0000-0000-00003F6F0000}"/>
    <cellStyle name="Normal 44 3 8 2" xfId="12625" xr:uid="{00000000-0005-0000-0000-0000406F0000}"/>
    <cellStyle name="Normal 44 3 8 2 2" xfId="35629" xr:uid="{00000000-0005-0000-0000-0000416F0000}"/>
    <cellStyle name="Normal 44 3 8 3" xfId="2952" xr:uid="{00000000-0005-0000-0000-0000426F0000}"/>
    <cellStyle name="Normal 44 3 9" xfId="35631" xr:uid="{00000000-0005-0000-0000-0000436F0000}"/>
    <cellStyle name="Normal 44 3 9 2" xfId="35633" xr:uid="{00000000-0005-0000-0000-0000446F0000}"/>
    <cellStyle name="Normal 44 3 9 2 2" xfId="35635" xr:uid="{00000000-0005-0000-0000-0000456F0000}"/>
    <cellStyle name="Normal 44 3 9 3" xfId="6935" xr:uid="{00000000-0005-0000-0000-0000466F0000}"/>
    <cellStyle name="Normal 44 4" xfId="35637" xr:uid="{00000000-0005-0000-0000-0000476F0000}"/>
    <cellStyle name="Normal 44 4 10" xfId="35639" xr:uid="{00000000-0005-0000-0000-0000486F0000}"/>
    <cellStyle name="Normal 44 4 2" xfId="11536" xr:uid="{00000000-0005-0000-0000-0000496F0000}"/>
    <cellStyle name="Normal 44 4 2 2" xfId="23644" xr:uid="{00000000-0005-0000-0000-00004A6F0000}"/>
    <cellStyle name="Normal 44 4 2 2 2" xfId="23650" xr:uid="{00000000-0005-0000-0000-00004B6F0000}"/>
    <cellStyle name="Normal 44 4 2 2 2 2" xfId="35650" xr:uid="{00000000-0005-0000-0000-00004C6F0000}"/>
    <cellStyle name="Normal 44 4 2 2 2 2 2" xfId="35652" xr:uid="{00000000-0005-0000-0000-00004D6F0000}"/>
    <cellStyle name="Normal 44 4 2 2 2 2 2 2" xfId="26505" xr:uid="{00000000-0005-0000-0000-00004E6F0000}"/>
    <cellStyle name="Normal 44 4 2 2 2 2 3" xfId="35064" xr:uid="{00000000-0005-0000-0000-00004F6F0000}"/>
    <cellStyle name="Normal 44 4 2 2 2 3" xfId="1089" xr:uid="{00000000-0005-0000-0000-0000506F0000}"/>
    <cellStyle name="Normal 44 4 2 2 2 3 2" xfId="35654" xr:uid="{00000000-0005-0000-0000-0000516F0000}"/>
    <cellStyle name="Normal 44 4 2 2 2 4" xfId="35658" xr:uid="{00000000-0005-0000-0000-0000526F0000}"/>
    <cellStyle name="Normal 44 4 2 2 3" xfId="35668" xr:uid="{00000000-0005-0000-0000-0000536F0000}"/>
    <cellStyle name="Normal 44 4 2 2 3 2" xfId="35671" xr:uid="{00000000-0005-0000-0000-0000546F0000}"/>
    <cellStyle name="Normal 44 4 2 2 3 2 2" xfId="35673" xr:uid="{00000000-0005-0000-0000-0000556F0000}"/>
    <cellStyle name="Normal 44 4 2 2 3 3" xfId="35676" xr:uid="{00000000-0005-0000-0000-0000566F0000}"/>
    <cellStyle name="Normal 44 4 2 2 4" xfId="35680" xr:uid="{00000000-0005-0000-0000-0000576F0000}"/>
    <cellStyle name="Normal 44 4 2 2 4 2" xfId="35682" xr:uid="{00000000-0005-0000-0000-0000586F0000}"/>
    <cellStyle name="Normal 44 4 2 2 4 2 2" xfId="35684" xr:uid="{00000000-0005-0000-0000-0000596F0000}"/>
    <cellStyle name="Normal 44 4 2 2 4 3" xfId="35686" xr:uid="{00000000-0005-0000-0000-00005A6F0000}"/>
    <cellStyle name="Normal 44 4 2 2 5" xfId="35688" xr:uid="{00000000-0005-0000-0000-00005B6F0000}"/>
    <cellStyle name="Normal 44 4 2 2 5 2" xfId="35690" xr:uid="{00000000-0005-0000-0000-00005C6F0000}"/>
    <cellStyle name="Normal 44 4 2 2 6" xfId="35694" xr:uid="{00000000-0005-0000-0000-00005D6F0000}"/>
    <cellStyle name="Normal 44 4 2 2 6 2" xfId="35696" xr:uid="{00000000-0005-0000-0000-00005E6F0000}"/>
    <cellStyle name="Normal 44 4 2 2 7" xfId="35698" xr:uid="{00000000-0005-0000-0000-00005F6F0000}"/>
    <cellStyle name="Normal 44 4 2 2 8" xfId="20629" xr:uid="{00000000-0005-0000-0000-0000606F0000}"/>
    <cellStyle name="Normal 44 4 2 3" xfId="16909" xr:uid="{00000000-0005-0000-0000-0000616F0000}"/>
    <cellStyle name="Normal 44 4 2 3 2" xfId="16915" xr:uid="{00000000-0005-0000-0000-0000626F0000}"/>
    <cellStyle name="Normal 44 4 2 3 2 2" xfId="31756" xr:uid="{00000000-0005-0000-0000-0000636F0000}"/>
    <cellStyle name="Normal 44 4 2 3 2 2 2" xfId="34742" xr:uid="{00000000-0005-0000-0000-0000646F0000}"/>
    <cellStyle name="Normal 44 4 2 3 2 3" xfId="2562" xr:uid="{00000000-0005-0000-0000-0000656F0000}"/>
    <cellStyle name="Normal 44 4 2 3 3" xfId="35704" xr:uid="{00000000-0005-0000-0000-0000666F0000}"/>
    <cellStyle name="Normal 44 4 2 3 3 2" xfId="34753" xr:uid="{00000000-0005-0000-0000-0000676F0000}"/>
    <cellStyle name="Normal 44 4 2 3 4" xfId="23623" xr:uid="{00000000-0005-0000-0000-0000686F0000}"/>
    <cellStyle name="Normal 44 4 2 4" xfId="536" xr:uid="{00000000-0005-0000-0000-0000696F0000}"/>
    <cellStyle name="Normal 44 4 2 4 2" xfId="16918" xr:uid="{00000000-0005-0000-0000-00006A6F0000}"/>
    <cellStyle name="Normal 44 4 2 4 2 2" xfId="35713" xr:uid="{00000000-0005-0000-0000-00006B6F0000}"/>
    <cellStyle name="Normal 44 4 2 4 3" xfId="35717" xr:uid="{00000000-0005-0000-0000-00006C6F0000}"/>
    <cellStyle name="Normal 44 4 2 5" xfId="16921" xr:uid="{00000000-0005-0000-0000-00006D6F0000}"/>
    <cellStyle name="Normal 44 4 2 5 2" xfId="16924" xr:uid="{00000000-0005-0000-0000-00006E6F0000}"/>
    <cellStyle name="Normal 44 4 2 5 2 2" xfId="35721" xr:uid="{00000000-0005-0000-0000-00006F6F0000}"/>
    <cellStyle name="Normal 44 4 2 5 3" xfId="35723" xr:uid="{00000000-0005-0000-0000-0000706F0000}"/>
    <cellStyle name="Normal 44 4 2 6" xfId="8371" xr:uid="{00000000-0005-0000-0000-0000716F0000}"/>
    <cellStyle name="Normal 44 4 2 6 2" xfId="35725" xr:uid="{00000000-0005-0000-0000-0000726F0000}"/>
    <cellStyle name="Normal 44 4 2 7" xfId="16930" xr:uid="{00000000-0005-0000-0000-0000736F0000}"/>
    <cellStyle name="Normal 44 4 2 7 2" xfId="35730" xr:uid="{00000000-0005-0000-0000-0000746F0000}"/>
    <cellStyle name="Normal 44 4 2 8" xfId="35734" xr:uid="{00000000-0005-0000-0000-0000756F0000}"/>
    <cellStyle name="Normal 44 4 2 9" xfId="35737" xr:uid="{00000000-0005-0000-0000-0000766F0000}"/>
    <cellStyle name="Normal 44 4 3" xfId="23662" xr:uid="{00000000-0005-0000-0000-0000776F0000}"/>
    <cellStyle name="Normal 44 4 3 2" xfId="23670" xr:uid="{00000000-0005-0000-0000-0000786F0000}"/>
    <cellStyle name="Normal 44 4 3 2 2" xfId="23674" xr:uid="{00000000-0005-0000-0000-0000796F0000}"/>
    <cellStyle name="Normal 44 4 3 2 2 2" xfId="35740" xr:uid="{00000000-0005-0000-0000-00007A6F0000}"/>
    <cellStyle name="Normal 44 4 3 2 2 2 2" xfId="35742" xr:uid="{00000000-0005-0000-0000-00007B6F0000}"/>
    <cellStyle name="Normal 44 4 3 2 2 3" xfId="35745" xr:uid="{00000000-0005-0000-0000-00007C6F0000}"/>
    <cellStyle name="Normal 44 4 3 2 3" xfId="21112" xr:uid="{00000000-0005-0000-0000-00007D6F0000}"/>
    <cellStyle name="Normal 44 4 3 2 3 2" xfId="21117" xr:uid="{00000000-0005-0000-0000-00007E6F0000}"/>
    <cellStyle name="Normal 44 4 3 2 4" xfId="21124" xr:uid="{00000000-0005-0000-0000-00007F6F0000}"/>
    <cellStyle name="Normal 44 4 3 3" xfId="23679" xr:uid="{00000000-0005-0000-0000-0000806F0000}"/>
    <cellStyle name="Normal 44 4 3 3 2" xfId="35752" xr:uid="{00000000-0005-0000-0000-0000816F0000}"/>
    <cellStyle name="Normal 44 4 3 3 2 2" xfId="35754" xr:uid="{00000000-0005-0000-0000-0000826F0000}"/>
    <cellStyle name="Normal 44 4 3 3 3" xfId="21132" xr:uid="{00000000-0005-0000-0000-0000836F0000}"/>
    <cellStyle name="Normal 44 4 3 4" xfId="35759" xr:uid="{00000000-0005-0000-0000-0000846F0000}"/>
    <cellStyle name="Normal 44 4 3 4 2" xfId="35761" xr:uid="{00000000-0005-0000-0000-0000856F0000}"/>
    <cellStyle name="Normal 44 4 3 4 2 2" xfId="35763" xr:uid="{00000000-0005-0000-0000-0000866F0000}"/>
    <cellStyle name="Normal 44 4 3 4 3" xfId="21140" xr:uid="{00000000-0005-0000-0000-0000876F0000}"/>
    <cellStyle name="Normal 44 4 3 5" xfId="35765" xr:uid="{00000000-0005-0000-0000-0000886F0000}"/>
    <cellStyle name="Normal 44 4 3 5 2" xfId="35767" xr:uid="{00000000-0005-0000-0000-0000896F0000}"/>
    <cellStyle name="Normal 44 4 3 6" xfId="35769" xr:uid="{00000000-0005-0000-0000-00008A6F0000}"/>
    <cellStyle name="Normal 44 4 3 6 2" xfId="35771" xr:uid="{00000000-0005-0000-0000-00008B6F0000}"/>
    <cellStyle name="Normal 44 4 3 7" xfId="35775" xr:uid="{00000000-0005-0000-0000-00008C6F0000}"/>
    <cellStyle name="Normal 44 4 3 8" xfId="35782" xr:uid="{00000000-0005-0000-0000-00008D6F0000}"/>
    <cellStyle name="Normal 44 4 4" xfId="23683" xr:uid="{00000000-0005-0000-0000-00008E6F0000}"/>
    <cellStyle name="Normal 44 4 4 2" xfId="23692" xr:uid="{00000000-0005-0000-0000-00008F6F0000}"/>
    <cellStyle name="Normal 44 4 4 2 2" xfId="9405" xr:uid="{00000000-0005-0000-0000-0000906F0000}"/>
    <cellStyle name="Normal 44 4 4 2 2 2" xfId="32238" xr:uid="{00000000-0005-0000-0000-0000916F0000}"/>
    <cellStyle name="Normal 44 4 4 2 3" xfId="9421" xr:uid="{00000000-0005-0000-0000-0000926F0000}"/>
    <cellStyle name="Normal 44 4 4 3" xfId="35796" xr:uid="{00000000-0005-0000-0000-0000936F0000}"/>
    <cellStyle name="Normal 44 4 4 3 2" xfId="35799" xr:uid="{00000000-0005-0000-0000-0000946F0000}"/>
    <cellStyle name="Normal 44 4 4 4" xfId="35805" xr:uid="{00000000-0005-0000-0000-0000956F0000}"/>
    <cellStyle name="Normal 44 4 5" xfId="18483" xr:uid="{00000000-0005-0000-0000-0000966F0000}"/>
    <cellStyle name="Normal 44 4 5 2" xfId="18490" xr:uid="{00000000-0005-0000-0000-0000976F0000}"/>
    <cellStyle name="Normal 44 4 5 2 2" xfId="35815" xr:uid="{00000000-0005-0000-0000-0000986F0000}"/>
    <cellStyle name="Normal 44 4 5 3" xfId="35826" xr:uid="{00000000-0005-0000-0000-0000996F0000}"/>
    <cellStyle name="Normal 44 4 6" xfId="18512" xr:uid="{00000000-0005-0000-0000-00009A6F0000}"/>
    <cellStyle name="Normal 44 4 6 2" xfId="244" xr:uid="{00000000-0005-0000-0000-00009B6F0000}"/>
    <cellStyle name="Normal 44 4 6 2 2" xfId="35850" xr:uid="{00000000-0005-0000-0000-00009C6F0000}"/>
    <cellStyle name="Normal 44 4 6 3" xfId="7109" xr:uid="{00000000-0005-0000-0000-00009D6F0000}"/>
    <cellStyle name="Normal 44 4 7" xfId="35870" xr:uid="{00000000-0005-0000-0000-00009E6F0000}"/>
    <cellStyle name="Normal 44 4 7 2" xfId="35872" xr:uid="{00000000-0005-0000-0000-00009F6F0000}"/>
    <cellStyle name="Normal 44 4 8" xfId="35880" xr:uid="{00000000-0005-0000-0000-0000A06F0000}"/>
    <cellStyle name="Normal 44 4 8 2" xfId="35882" xr:uid="{00000000-0005-0000-0000-0000A16F0000}"/>
    <cellStyle name="Normal 44 4 9" xfId="35885" xr:uid="{00000000-0005-0000-0000-0000A26F0000}"/>
    <cellStyle name="Normal 44 5" xfId="35891" xr:uid="{00000000-0005-0000-0000-0000A36F0000}"/>
    <cellStyle name="Normal 44 5 2" xfId="11990" xr:uid="{00000000-0005-0000-0000-0000A46F0000}"/>
    <cellStyle name="Normal 44 5 2 2" xfId="23698" xr:uid="{00000000-0005-0000-0000-0000A56F0000}"/>
    <cellStyle name="Normal 44 5 2 2 2" xfId="368" xr:uid="{00000000-0005-0000-0000-0000A66F0000}"/>
    <cellStyle name="Normal 44 5 2 2 2 2" xfId="35894" xr:uid="{00000000-0005-0000-0000-0000A76F0000}"/>
    <cellStyle name="Normal 44 5 2 2 2 2 2" xfId="35896" xr:uid="{00000000-0005-0000-0000-0000A86F0000}"/>
    <cellStyle name="Normal 44 5 2 2 2 3" xfId="2976" xr:uid="{00000000-0005-0000-0000-0000A96F0000}"/>
    <cellStyle name="Normal 44 5 2 2 3" xfId="19486" xr:uid="{00000000-0005-0000-0000-0000AA6F0000}"/>
    <cellStyle name="Normal 44 5 2 2 3 2" xfId="33687" xr:uid="{00000000-0005-0000-0000-0000AB6F0000}"/>
    <cellStyle name="Normal 44 5 2 2 4" xfId="35909" xr:uid="{00000000-0005-0000-0000-0000AC6F0000}"/>
    <cellStyle name="Normal 44 5 2 2 5" xfId="35913" xr:uid="{00000000-0005-0000-0000-0000AD6F0000}"/>
    <cellStyle name="Normal 44 5 2 3" xfId="23044" xr:uid="{00000000-0005-0000-0000-0000AE6F0000}"/>
    <cellStyle name="Normal 44 5 2 3 2" xfId="4392" xr:uid="{00000000-0005-0000-0000-0000AF6F0000}"/>
    <cellStyle name="Normal 44 5 2 3 2 2" xfId="24659" xr:uid="{00000000-0005-0000-0000-0000B06F0000}"/>
    <cellStyle name="Normal 44 5 2 3 3" xfId="33800" xr:uid="{00000000-0005-0000-0000-0000B16F0000}"/>
    <cellStyle name="Normal 44 5 2 4" xfId="33804" xr:uid="{00000000-0005-0000-0000-0000B26F0000}"/>
    <cellStyle name="Normal 44 5 2 4 2" xfId="33808" xr:uid="{00000000-0005-0000-0000-0000B36F0000}"/>
    <cellStyle name="Normal 44 5 2 4 2 2" xfId="24913" xr:uid="{00000000-0005-0000-0000-0000B46F0000}"/>
    <cellStyle name="Normal 44 5 2 4 3" xfId="35924" xr:uid="{00000000-0005-0000-0000-0000B56F0000}"/>
    <cellStyle name="Normal 44 5 2 5" xfId="33812" xr:uid="{00000000-0005-0000-0000-0000B66F0000}"/>
    <cellStyle name="Normal 44 5 2 5 2" xfId="35926" xr:uid="{00000000-0005-0000-0000-0000B76F0000}"/>
    <cellStyle name="Normal 44 5 2 6" xfId="35931" xr:uid="{00000000-0005-0000-0000-0000B86F0000}"/>
    <cellStyle name="Normal 44 5 2 6 2" xfId="26680" xr:uid="{00000000-0005-0000-0000-0000B96F0000}"/>
    <cellStyle name="Normal 44 5 2 7" xfId="16939" xr:uid="{00000000-0005-0000-0000-0000BA6F0000}"/>
    <cellStyle name="Normal 44 5 2 8" xfId="35933" xr:uid="{00000000-0005-0000-0000-0000BB6F0000}"/>
    <cellStyle name="Normal 44 5 3" xfId="23711" xr:uid="{00000000-0005-0000-0000-0000BC6F0000}"/>
    <cellStyle name="Normal 44 5 3 2" xfId="23718" xr:uid="{00000000-0005-0000-0000-0000BD6F0000}"/>
    <cellStyle name="Normal 44 5 3 2 2" xfId="4632" xr:uid="{00000000-0005-0000-0000-0000BE6F0000}"/>
    <cellStyle name="Normal 44 5 3 2 2 2" xfId="35936" xr:uid="{00000000-0005-0000-0000-0000BF6F0000}"/>
    <cellStyle name="Normal 44 5 3 2 3" xfId="13817" xr:uid="{00000000-0005-0000-0000-0000C06F0000}"/>
    <cellStyle name="Normal 44 5 3 3" xfId="33819" xr:uid="{00000000-0005-0000-0000-0000C16F0000}"/>
    <cellStyle name="Normal 44 5 3 3 2" xfId="4663" xr:uid="{00000000-0005-0000-0000-0000C26F0000}"/>
    <cellStyle name="Normal 44 5 3 4" xfId="33824" xr:uid="{00000000-0005-0000-0000-0000C36F0000}"/>
    <cellStyle name="Normal 44 5 3 5" xfId="35943" xr:uid="{00000000-0005-0000-0000-0000C46F0000}"/>
    <cellStyle name="Normal 44 5 4" xfId="22015" xr:uid="{00000000-0005-0000-0000-0000C56F0000}"/>
    <cellStyle name="Normal 44 5 4 2" xfId="22025" xr:uid="{00000000-0005-0000-0000-0000C66F0000}"/>
    <cellStyle name="Normal 44 5 4 2 2" xfId="4853" xr:uid="{00000000-0005-0000-0000-0000C76F0000}"/>
    <cellStyle name="Normal 44 5 4 3" xfId="33830" xr:uid="{00000000-0005-0000-0000-0000C86F0000}"/>
    <cellStyle name="Normal 44 5 5" xfId="18537" xr:uid="{00000000-0005-0000-0000-0000C96F0000}"/>
    <cellStyle name="Normal 44 5 5 2" xfId="35956" xr:uid="{00000000-0005-0000-0000-0000CA6F0000}"/>
    <cellStyle name="Normal 44 5 5 2 2" xfId="4926" xr:uid="{00000000-0005-0000-0000-0000CB6F0000}"/>
    <cellStyle name="Normal 44 5 5 3" xfId="33839" xr:uid="{00000000-0005-0000-0000-0000CC6F0000}"/>
    <cellStyle name="Normal 44 5 6" xfId="2031" xr:uid="{00000000-0005-0000-0000-0000CD6F0000}"/>
    <cellStyle name="Normal 44 5 6 2" xfId="35964" xr:uid="{00000000-0005-0000-0000-0000CE6F0000}"/>
    <cellStyle name="Normal 44 5 7" xfId="35967" xr:uid="{00000000-0005-0000-0000-0000CF6F0000}"/>
    <cellStyle name="Normal 44 5 7 2" xfId="35969" xr:uid="{00000000-0005-0000-0000-0000D06F0000}"/>
    <cellStyle name="Normal 44 5 8" xfId="35971" xr:uid="{00000000-0005-0000-0000-0000D16F0000}"/>
    <cellStyle name="Normal 44 5 9" xfId="35974" xr:uid="{00000000-0005-0000-0000-0000D26F0000}"/>
    <cellStyle name="Normal 44 6" xfId="35976" xr:uid="{00000000-0005-0000-0000-0000D36F0000}"/>
    <cellStyle name="Normal 44 6 2" xfId="10880" xr:uid="{00000000-0005-0000-0000-0000D46F0000}"/>
    <cellStyle name="Normal 44 6 2 2" xfId="35978" xr:uid="{00000000-0005-0000-0000-0000D56F0000}"/>
    <cellStyle name="Normal 44 6 2 2 2" xfId="35980" xr:uid="{00000000-0005-0000-0000-0000D66F0000}"/>
    <cellStyle name="Normal 44 6 2 2 2 2" xfId="35982" xr:uid="{00000000-0005-0000-0000-0000D76F0000}"/>
    <cellStyle name="Normal 44 6 2 2 2 2 2" xfId="35984" xr:uid="{00000000-0005-0000-0000-0000D86F0000}"/>
    <cellStyle name="Normal 44 6 2 2 2 3" xfId="35986" xr:uid="{00000000-0005-0000-0000-0000D96F0000}"/>
    <cellStyle name="Normal 44 6 2 2 3" xfId="35988" xr:uid="{00000000-0005-0000-0000-0000DA6F0000}"/>
    <cellStyle name="Normal 44 6 2 2 3 2" xfId="35990" xr:uid="{00000000-0005-0000-0000-0000DB6F0000}"/>
    <cellStyle name="Normal 44 6 2 2 4" xfId="35992" xr:uid="{00000000-0005-0000-0000-0000DC6F0000}"/>
    <cellStyle name="Normal 44 6 2 3" xfId="33882" xr:uid="{00000000-0005-0000-0000-0000DD6F0000}"/>
    <cellStyle name="Normal 44 6 2 3 2" xfId="33886" xr:uid="{00000000-0005-0000-0000-0000DE6F0000}"/>
    <cellStyle name="Normal 44 6 2 3 2 2" xfId="32589" xr:uid="{00000000-0005-0000-0000-0000DF6F0000}"/>
    <cellStyle name="Normal 44 6 2 3 3" xfId="35994" xr:uid="{00000000-0005-0000-0000-0000E06F0000}"/>
    <cellStyle name="Normal 44 6 2 4" xfId="33890" xr:uid="{00000000-0005-0000-0000-0000E16F0000}"/>
    <cellStyle name="Normal 44 6 2 4 2" xfId="35996" xr:uid="{00000000-0005-0000-0000-0000E26F0000}"/>
    <cellStyle name="Normal 44 6 2 4 2 2" xfId="35998" xr:uid="{00000000-0005-0000-0000-0000E36F0000}"/>
    <cellStyle name="Normal 44 6 2 4 3" xfId="36000" xr:uid="{00000000-0005-0000-0000-0000E46F0000}"/>
    <cellStyle name="Normal 44 6 2 5" xfId="36002" xr:uid="{00000000-0005-0000-0000-0000E56F0000}"/>
    <cellStyle name="Normal 44 6 2 5 2" xfId="20743" xr:uid="{00000000-0005-0000-0000-0000E66F0000}"/>
    <cellStyle name="Normal 44 6 2 6" xfId="36004" xr:uid="{00000000-0005-0000-0000-0000E76F0000}"/>
    <cellStyle name="Normal 44 6 2 6 2" xfId="26898" xr:uid="{00000000-0005-0000-0000-0000E86F0000}"/>
    <cellStyle name="Normal 44 6 2 7" xfId="36006" xr:uid="{00000000-0005-0000-0000-0000E96F0000}"/>
    <cellStyle name="Normal 44 6 2 8" xfId="36008" xr:uid="{00000000-0005-0000-0000-0000EA6F0000}"/>
    <cellStyle name="Normal 44 6 3" xfId="36013" xr:uid="{00000000-0005-0000-0000-0000EB6F0000}"/>
    <cellStyle name="Normal 44 6 3 2" xfId="36015" xr:uid="{00000000-0005-0000-0000-0000EC6F0000}"/>
    <cellStyle name="Normal 44 6 3 2 2" xfId="18001" xr:uid="{00000000-0005-0000-0000-0000ED6F0000}"/>
    <cellStyle name="Normal 44 6 3 2 2 2" xfId="18004" xr:uid="{00000000-0005-0000-0000-0000EE6F0000}"/>
    <cellStyle name="Normal 44 6 3 2 3" xfId="18011" xr:uid="{00000000-0005-0000-0000-0000EF6F0000}"/>
    <cellStyle name="Normal 44 6 3 3" xfId="33896" xr:uid="{00000000-0005-0000-0000-0000F06F0000}"/>
    <cellStyle name="Normal 44 6 3 3 2" xfId="18031" xr:uid="{00000000-0005-0000-0000-0000F16F0000}"/>
    <cellStyle name="Normal 44 6 3 4" xfId="33900" xr:uid="{00000000-0005-0000-0000-0000F26F0000}"/>
    <cellStyle name="Normal 44 6 4" xfId="36018" xr:uid="{00000000-0005-0000-0000-0000F36F0000}"/>
    <cellStyle name="Normal 44 6 4 2" xfId="36021" xr:uid="{00000000-0005-0000-0000-0000F46F0000}"/>
    <cellStyle name="Normal 44 6 4 2 2" xfId="36024" xr:uid="{00000000-0005-0000-0000-0000F56F0000}"/>
    <cellStyle name="Normal 44 6 4 3" xfId="33907" xr:uid="{00000000-0005-0000-0000-0000F66F0000}"/>
    <cellStyle name="Normal 44 6 5" xfId="36026" xr:uid="{00000000-0005-0000-0000-0000F76F0000}"/>
    <cellStyle name="Normal 44 6 5 2" xfId="36029" xr:uid="{00000000-0005-0000-0000-0000F86F0000}"/>
    <cellStyle name="Normal 44 6 5 2 2" xfId="15869" xr:uid="{00000000-0005-0000-0000-0000F96F0000}"/>
    <cellStyle name="Normal 44 6 5 3" xfId="33913" xr:uid="{00000000-0005-0000-0000-0000FA6F0000}"/>
    <cellStyle name="Normal 44 6 6" xfId="36031" xr:uid="{00000000-0005-0000-0000-0000FB6F0000}"/>
    <cellStyle name="Normal 44 6 6 2" xfId="36033" xr:uid="{00000000-0005-0000-0000-0000FC6F0000}"/>
    <cellStyle name="Normal 44 6 7" xfId="36035" xr:uid="{00000000-0005-0000-0000-0000FD6F0000}"/>
    <cellStyle name="Normal 44 6 7 2" xfId="36037" xr:uid="{00000000-0005-0000-0000-0000FE6F0000}"/>
    <cellStyle name="Normal 44 6 8" xfId="36039" xr:uid="{00000000-0005-0000-0000-0000FF6F0000}"/>
    <cellStyle name="Normal 44 6 9" xfId="28009" xr:uid="{00000000-0005-0000-0000-000000700000}"/>
    <cellStyle name="Normal 44 7" xfId="36041" xr:uid="{00000000-0005-0000-0000-000001700000}"/>
    <cellStyle name="Normal 44 7 2" xfId="36046" xr:uid="{00000000-0005-0000-0000-000002700000}"/>
    <cellStyle name="Normal 44 7 2 2" xfId="36052" xr:uid="{00000000-0005-0000-0000-000003700000}"/>
    <cellStyle name="Normal 44 7 2 2 2" xfId="36054" xr:uid="{00000000-0005-0000-0000-000004700000}"/>
    <cellStyle name="Normal 44 7 2 2 2 2" xfId="36056" xr:uid="{00000000-0005-0000-0000-000005700000}"/>
    <cellStyle name="Normal 44 7 2 2 2 2 2" xfId="8919" xr:uid="{00000000-0005-0000-0000-000006700000}"/>
    <cellStyle name="Normal 44 7 2 2 2 3" xfId="11011" xr:uid="{00000000-0005-0000-0000-000007700000}"/>
    <cellStyle name="Normal 44 7 2 2 3" xfId="36058" xr:uid="{00000000-0005-0000-0000-000008700000}"/>
    <cellStyle name="Normal 44 7 2 2 3 2" xfId="36060" xr:uid="{00000000-0005-0000-0000-000009700000}"/>
    <cellStyle name="Normal 44 7 2 2 4" xfId="36062" xr:uid="{00000000-0005-0000-0000-00000A700000}"/>
    <cellStyle name="Normal 44 7 2 3" xfId="33944" xr:uid="{00000000-0005-0000-0000-00000B700000}"/>
    <cellStyle name="Normal 44 7 2 3 2" xfId="33948" xr:uid="{00000000-0005-0000-0000-00000C700000}"/>
    <cellStyle name="Normal 44 7 2 3 2 2" xfId="26759" xr:uid="{00000000-0005-0000-0000-00000D700000}"/>
    <cellStyle name="Normal 44 7 2 3 3" xfId="34140" xr:uid="{00000000-0005-0000-0000-00000E700000}"/>
    <cellStyle name="Normal 44 7 2 4" xfId="14707" xr:uid="{00000000-0005-0000-0000-00000F700000}"/>
    <cellStyle name="Normal 44 7 2 4 2" xfId="14247" xr:uid="{00000000-0005-0000-0000-000010700000}"/>
    <cellStyle name="Normal 44 7 2 4 2 2" xfId="25909" xr:uid="{00000000-0005-0000-0000-000011700000}"/>
    <cellStyle name="Normal 44 7 2 4 3" xfId="25917" xr:uid="{00000000-0005-0000-0000-000012700000}"/>
    <cellStyle name="Normal 44 7 2 5" xfId="14713" xr:uid="{00000000-0005-0000-0000-000013700000}"/>
    <cellStyle name="Normal 44 7 2 5 2" xfId="25948" xr:uid="{00000000-0005-0000-0000-000014700000}"/>
    <cellStyle name="Normal 44 7 2 6" xfId="36064" xr:uid="{00000000-0005-0000-0000-000015700000}"/>
    <cellStyle name="Normal 44 7 2 6 2" xfId="27102" xr:uid="{00000000-0005-0000-0000-000016700000}"/>
    <cellStyle name="Normal 44 7 2 7" xfId="19801" xr:uid="{00000000-0005-0000-0000-000017700000}"/>
    <cellStyle name="Normal 44 7 2 8" xfId="19812" xr:uid="{00000000-0005-0000-0000-000018700000}"/>
    <cellStyle name="Normal 44 7 3" xfId="36066" xr:uid="{00000000-0005-0000-0000-000019700000}"/>
    <cellStyle name="Normal 44 7 3 2" xfId="36068" xr:uid="{00000000-0005-0000-0000-00001A700000}"/>
    <cellStyle name="Normal 44 7 3 2 2" xfId="36070" xr:uid="{00000000-0005-0000-0000-00001B700000}"/>
    <cellStyle name="Normal 44 7 3 2 2 2" xfId="36072" xr:uid="{00000000-0005-0000-0000-00001C700000}"/>
    <cellStyle name="Normal 44 7 3 2 3" xfId="12961" xr:uid="{00000000-0005-0000-0000-00001D700000}"/>
    <cellStyle name="Normal 44 7 3 3" xfId="16463" xr:uid="{00000000-0005-0000-0000-00001E700000}"/>
    <cellStyle name="Normal 44 7 3 3 2" xfId="33952" xr:uid="{00000000-0005-0000-0000-00001F700000}"/>
    <cellStyle name="Normal 44 7 3 4" xfId="12222" xr:uid="{00000000-0005-0000-0000-000020700000}"/>
    <cellStyle name="Normal 44 7 4" xfId="36075" xr:uid="{00000000-0005-0000-0000-000021700000}"/>
    <cellStyle name="Normal 44 7 4 2" xfId="36078" xr:uid="{00000000-0005-0000-0000-000022700000}"/>
    <cellStyle name="Normal 44 7 4 2 2" xfId="36080" xr:uid="{00000000-0005-0000-0000-000023700000}"/>
    <cellStyle name="Normal 44 7 4 3" xfId="33956" xr:uid="{00000000-0005-0000-0000-000024700000}"/>
    <cellStyle name="Normal 44 7 5" xfId="36082" xr:uid="{00000000-0005-0000-0000-000025700000}"/>
    <cellStyle name="Normal 44 7 5 2" xfId="36084" xr:uid="{00000000-0005-0000-0000-000026700000}"/>
    <cellStyle name="Normal 44 7 5 2 2" xfId="17066" xr:uid="{00000000-0005-0000-0000-000027700000}"/>
    <cellStyle name="Normal 44 7 5 3" xfId="33960" xr:uid="{00000000-0005-0000-0000-000028700000}"/>
    <cellStyle name="Normal 44 7 6" xfId="36086" xr:uid="{00000000-0005-0000-0000-000029700000}"/>
    <cellStyle name="Normal 44 7 6 2" xfId="36088" xr:uid="{00000000-0005-0000-0000-00002A700000}"/>
    <cellStyle name="Normal 44 7 7" xfId="36090" xr:uid="{00000000-0005-0000-0000-00002B700000}"/>
    <cellStyle name="Normal 44 7 7 2" xfId="13928" xr:uid="{00000000-0005-0000-0000-00002C700000}"/>
    <cellStyle name="Normal 44 7 8" xfId="36094" xr:uid="{00000000-0005-0000-0000-00002D700000}"/>
    <cellStyle name="Normal 44 7 9" xfId="28075" xr:uid="{00000000-0005-0000-0000-00002E700000}"/>
    <cellStyle name="Normal 44 8" xfId="36098" xr:uid="{00000000-0005-0000-0000-00002F700000}"/>
    <cellStyle name="Normal 44 8 2" xfId="36104" xr:uid="{00000000-0005-0000-0000-000030700000}"/>
    <cellStyle name="Normal 44 8 2 2" xfId="36107" xr:uid="{00000000-0005-0000-0000-000031700000}"/>
    <cellStyle name="Normal 44 8 2 2 2" xfId="36111" xr:uid="{00000000-0005-0000-0000-000032700000}"/>
    <cellStyle name="Normal 44 8 2 2 2 2" xfId="16738" xr:uid="{00000000-0005-0000-0000-000033700000}"/>
    <cellStyle name="Normal 44 8 2 2 3" xfId="36115" xr:uid="{00000000-0005-0000-0000-000034700000}"/>
    <cellStyle name="Normal 44 8 2 3" xfId="34021" xr:uid="{00000000-0005-0000-0000-000035700000}"/>
    <cellStyle name="Normal 44 8 2 3 2" xfId="34029" xr:uid="{00000000-0005-0000-0000-000036700000}"/>
    <cellStyle name="Normal 44 8 2 4" xfId="14795" xr:uid="{00000000-0005-0000-0000-000037700000}"/>
    <cellStyle name="Normal 44 8 2 5" xfId="36124" xr:uid="{00000000-0005-0000-0000-000038700000}"/>
    <cellStyle name="Normal 44 8 3" xfId="26756" xr:uid="{00000000-0005-0000-0000-000039700000}"/>
    <cellStyle name="Normal 44 8 3 2" xfId="36130" xr:uid="{00000000-0005-0000-0000-00003A700000}"/>
    <cellStyle name="Normal 44 8 3 2 2" xfId="36134" xr:uid="{00000000-0005-0000-0000-00003B700000}"/>
    <cellStyle name="Normal 44 8 3 3" xfId="34031" xr:uid="{00000000-0005-0000-0000-00003C700000}"/>
    <cellStyle name="Normal 44 8 4" xfId="30638" xr:uid="{00000000-0005-0000-0000-00003D700000}"/>
    <cellStyle name="Normal 44 8 4 2" xfId="36136" xr:uid="{00000000-0005-0000-0000-00003E700000}"/>
    <cellStyle name="Normal 44 8 4 2 2" xfId="36140" xr:uid="{00000000-0005-0000-0000-00003F700000}"/>
    <cellStyle name="Normal 44 8 4 3" xfId="34040" xr:uid="{00000000-0005-0000-0000-000040700000}"/>
    <cellStyle name="Normal 44 8 5" xfId="36142" xr:uid="{00000000-0005-0000-0000-000041700000}"/>
    <cellStyle name="Normal 44 8 5 2" xfId="36144" xr:uid="{00000000-0005-0000-0000-000042700000}"/>
    <cellStyle name="Normal 44 8 6" xfId="36147" xr:uid="{00000000-0005-0000-0000-000043700000}"/>
    <cellStyle name="Normal 44 8 6 2" xfId="36149" xr:uid="{00000000-0005-0000-0000-000044700000}"/>
    <cellStyle name="Normal 44 8 7" xfId="36151" xr:uid="{00000000-0005-0000-0000-000045700000}"/>
    <cellStyle name="Normal 44 8 8" xfId="34305" xr:uid="{00000000-0005-0000-0000-000046700000}"/>
    <cellStyle name="Normal 44 9" xfId="24195" xr:uid="{00000000-0005-0000-0000-000047700000}"/>
    <cellStyle name="Normal 44 9 2" xfId="24198" xr:uid="{00000000-0005-0000-0000-000048700000}"/>
    <cellStyle name="Normal 44 9 2 2" xfId="9869" xr:uid="{00000000-0005-0000-0000-000049700000}"/>
    <cellStyle name="Normal 44 9 2 2 2" xfId="36156" xr:uid="{00000000-0005-0000-0000-00004A700000}"/>
    <cellStyle name="Normal 44 9 2 3" xfId="34061" xr:uid="{00000000-0005-0000-0000-00004B700000}"/>
    <cellStyle name="Normal 44 9 3" xfId="36162" xr:uid="{00000000-0005-0000-0000-00004C700000}"/>
    <cellStyle name="Normal 44 9 3 2" xfId="9893" xr:uid="{00000000-0005-0000-0000-00004D700000}"/>
    <cellStyle name="Normal 44 9 4" xfId="36167" xr:uid="{00000000-0005-0000-0000-00004E700000}"/>
    <cellStyle name="Normal 44 9 5" xfId="36173" xr:uid="{00000000-0005-0000-0000-00004F700000}"/>
    <cellStyle name="Normal 45" xfId="18063" xr:uid="{00000000-0005-0000-0000-000050700000}"/>
    <cellStyle name="Normal 45 10" xfId="36582" xr:uid="{00000000-0005-0000-0000-000051700000}"/>
    <cellStyle name="Normal 45 10 2" xfId="8334" xr:uid="{00000000-0005-0000-0000-000052700000}"/>
    <cellStyle name="Normal 45 10 2 2" xfId="8345" xr:uid="{00000000-0005-0000-0000-000053700000}"/>
    <cellStyle name="Normal 45 10 3" xfId="8353" xr:uid="{00000000-0005-0000-0000-000054700000}"/>
    <cellStyle name="Normal 45 11" xfId="36584" xr:uid="{00000000-0005-0000-0000-000055700000}"/>
    <cellStyle name="Normal 45 11 2" xfId="8428" xr:uid="{00000000-0005-0000-0000-000056700000}"/>
    <cellStyle name="Normal 45 11 2 2" xfId="8436" xr:uid="{00000000-0005-0000-0000-000057700000}"/>
    <cellStyle name="Normal 45 11 3" xfId="8443" xr:uid="{00000000-0005-0000-0000-000058700000}"/>
    <cellStyle name="Normal 45 12" xfId="36586" xr:uid="{00000000-0005-0000-0000-000059700000}"/>
    <cellStyle name="Normal 45 12 2" xfId="3041" xr:uid="{00000000-0005-0000-0000-00005A700000}"/>
    <cellStyle name="Normal 45 13" xfId="36588" xr:uid="{00000000-0005-0000-0000-00005B700000}"/>
    <cellStyle name="Normal 45 13 2" xfId="3134" xr:uid="{00000000-0005-0000-0000-00005C700000}"/>
    <cellStyle name="Normal 45 14" xfId="36590" xr:uid="{00000000-0005-0000-0000-00005D700000}"/>
    <cellStyle name="Normal 45 14 2" xfId="18233" xr:uid="{00000000-0005-0000-0000-00005E700000}"/>
    <cellStyle name="Normal 45 15" xfId="17402" xr:uid="{00000000-0005-0000-0000-00005F700000}"/>
    <cellStyle name="Normal 45 16" xfId="17410" xr:uid="{00000000-0005-0000-0000-000060700000}"/>
    <cellStyle name="Normal 45 2" xfId="18069" xr:uid="{00000000-0005-0000-0000-000061700000}"/>
    <cellStyle name="Normal 45 2 10" xfId="24696" xr:uid="{00000000-0005-0000-0000-000062700000}"/>
    <cellStyle name="Normal 45 2 10 2" xfId="16695" xr:uid="{00000000-0005-0000-0000-000063700000}"/>
    <cellStyle name="Normal 45 2 11" xfId="24700" xr:uid="{00000000-0005-0000-0000-000064700000}"/>
    <cellStyle name="Normal 45 2 11 2" xfId="36593" xr:uid="{00000000-0005-0000-0000-000065700000}"/>
    <cellStyle name="Normal 45 2 12" xfId="36596" xr:uid="{00000000-0005-0000-0000-000066700000}"/>
    <cellStyle name="Normal 45 2 12 2" xfId="32941" xr:uid="{00000000-0005-0000-0000-000067700000}"/>
    <cellStyle name="Normal 45 2 13" xfId="10743" xr:uid="{00000000-0005-0000-0000-000068700000}"/>
    <cellStyle name="Normal 45 2 14" xfId="10750" xr:uid="{00000000-0005-0000-0000-000069700000}"/>
    <cellStyle name="Normal 45 2 2" xfId="36598" xr:uid="{00000000-0005-0000-0000-00006A700000}"/>
    <cellStyle name="Normal 45 2 2 10" xfId="36600" xr:uid="{00000000-0005-0000-0000-00006B700000}"/>
    <cellStyle name="Normal 45 2 2 2" xfId="36602" xr:uid="{00000000-0005-0000-0000-00006C700000}"/>
    <cellStyle name="Normal 45 2 2 2 2" xfId="36604" xr:uid="{00000000-0005-0000-0000-00006D700000}"/>
    <cellStyle name="Normal 45 2 2 2 2 2" xfId="36606" xr:uid="{00000000-0005-0000-0000-00006E700000}"/>
    <cellStyle name="Normal 45 2 2 2 2 2 2" xfId="3949" xr:uid="{00000000-0005-0000-0000-00006F700000}"/>
    <cellStyle name="Normal 45 2 2 2 2 2 2 2" xfId="3966" xr:uid="{00000000-0005-0000-0000-000070700000}"/>
    <cellStyle name="Normal 45 2 2 2 2 2 2 2 2" xfId="36608" xr:uid="{00000000-0005-0000-0000-000071700000}"/>
    <cellStyle name="Normal 45 2 2 2 2 2 2 3" xfId="36610" xr:uid="{00000000-0005-0000-0000-000072700000}"/>
    <cellStyle name="Normal 45 2 2 2 2 2 3" xfId="21531" xr:uid="{00000000-0005-0000-0000-000073700000}"/>
    <cellStyle name="Normal 45 2 2 2 2 2 3 2" xfId="36612" xr:uid="{00000000-0005-0000-0000-000074700000}"/>
    <cellStyle name="Normal 45 2 2 2 2 2 4" xfId="36614" xr:uid="{00000000-0005-0000-0000-000075700000}"/>
    <cellStyle name="Normal 45 2 2 2 2 3" xfId="36616" xr:uid="{00000000-0005-0000-0000-000076700000}"/>
    <cellStyle name="Normal 45 2 2 2 2 3 2" xfId="4316" xr:uid="{00000000-0005-0000-0000-000077700000}"/>
    <cellStyle name="Normal 45 2 2 2 2 3 2 2" xfId="36618" xr:uid="{00000000-0005-0000-0000-000078700000}"/>
    <cellStyle name="Normal 45 2 2 2 2 3 3" xfId="36620" xr:uid="{00000000-0005-0000-0000-000079700000}"/>
    <cellStyle name="Normal 45 2 2 2 2 4" xfId="36622" xr:uid="{00000000-0005-0000-0000-00007A700000}"/>
    <cellStyle name="Normal 45 2 2 2 2 4 2" xfId="36624" xr:uid="{00000000-0005-0000-0000-00007B700000}"/>
    <cellStyle name="Normal 45 2 2 2 2 4 2 2" xfId="4454" xr:uid="{00000000-0005-0000-0000-00007C700000}"/>
    <cellStyle name="Normal 45 2 2 2 2 4 3" xfId="36626" xr:uid="{00000000-0005-0000-0000-00007D700000}"/>
    <cellStyle name="Normal 45 2 2 2 2 5" xfId="3284" xr:uid="{00000000-0005-0000-0000-00007E700000}"/>
    <cellStyle name="Normal 45 2 2 2 2 5 2" xfId="36628" xr:uid="{00000000-0005-0000-0000-00007F700000}"/>
    <cellStyle name="Normal 45 2 2 2 2 6" xfId="36631" xr:uid="{00000000-0005-0000-0000-000080700000}"/>
    <cellStyle name="Normal 45 2 2 2 2 6 2" xfId="2470" xr:uid="{00000000-0005-0000-0000-000081700000}"/>
    <cellStyle name="Normal 45 2 2 2 2 7" xfId="35497" xr:uid="{00000000-0005-0000-0000-000082700000}"/>
    <cellStyle name="Normal 45 2 2 2 2 8" xfId="36634" xr:uid="{00000000-0005-0000-0000-000083700000}"/>
    <cellStyle name="Normal 45 2 2 2 3" xfId="36636" xr:uid="{00000000-0005-0000-0000-000084700000}"/>
    <cellStyle name="Normal 45 2 2 2 3 2" xfId="35356" xr:uid="{00000000-0005-0000-0000-000085700000}"/>
    <cellStyle name="Normal 45 2 2 2 3 2 2" xfId="35360" xr:uid="{00000000-0005-0000-0000-000086700000}"/>
    <cellStyle name="Normal 45 2 2 2 3 2 2 2" xfId="36639" xr:uid="{00000000-0005-0000-0000-000087700000}"/>
    <cellStyle name="Normal 45 2 2 2 3 2 3" xfId="21537" xr:uid="{00000000-0005-0000-0000-000088700000}"/>
    <cellStyle name="Normal 45 2 2 2 3 3" xfId="35364" xr:uid="{00000000-0005-0000-0000-000089700000}"/>
    <cellStyle name="Normal 45 2 2 2 3 3 2" xfId="35368" xr:uid="{00000000-0005-0000-0000-00008A700000}"/>
    <cellStyle name="Normal 45 2 2 2 3 4" xfId="35372" xr:uid="{00000000-0005-0000-0000-00008B700000}"/>
    <cellStyle name="Normal 45 2 2 2 4" xfId="5197" xr:uid="{00000000-0005-0000-0000-00008C700000}"/>
    <cellStyle name="Normal 45 2 2 2 4 2" xfId="35434" xr:uid="{00000000-0005-0000-0000-00008D700000}"/>
    <cellStyle name="Normal 45 2 2 2 4 2 2" xfId="35438" xr:uid="{00000000-0005-0000-0000-00008E700000}"/>
    <cellStyle name="Normal 45 2 2 2 4 3" xfId="27000" xr:uid="{00000000-0005-0000-0000-00008F700000}"/>
    <cellStyle name="Normal 45 2 2 2 5" xfId="36641" xr:uid="{00000000-0005-0000-0000-000090700000}"/>
    <cellStyle name="Normal 45 2 2 2 5 2" xfId="35488" xr:uid="{00000000-0005-0000-0000-000091700000}"/>
    <cellStyle name="Normal 45 2 2 2 5 2 2" xfId="35492" xr:uid="{00000000-0005-0000-0000-000092700000}"/>
    <cellStyle name="Normal 45 2 2 2 5 3" xfId="35499" xr:uid="{00000000-0005-0000-0000-000093700000}"/>
    <cellStyle name="Normal 45 2 2 2 6" xfId="29828" xr:uid="{00000000-0005-0000-0000-000094700000}"/>
    <cellStyle name="Normal 45 2 2 2 6 2" xfId="35563" xr:uid="{00000000-0005-0000-0000-000095700000}"/>
    <cellStyle name="Normal 45 2 2 2 7" xfId="36643" xr:uid="{00000000-0005-0000-0000-000096700000}"/>
    <cellStyle name="Normal 45 2 2 2 7 2" xfId="35610" xr:uid="{00000000-0005-0000-0000-000097700000}"/>
    <cellStyle name="Normal 45 2 2 2 8" xfId="24927" xr:uid="{00000000-0005-0000-0000-000098700000}"/>
    <cellStyle name="Normal 45 2 2 2 9" xfId="9550" xr:uid="{00000000-0005-0000-0000-000099700000}"/>
    <cellStyle name="Normal 45 2 2 3" xfId="36645" xr:uid="{00000000-0005-0000-0000-00009A700000}"/>
    <cellStyle name="Normal 45 2 2 3 2" xfId="29713" xr:uid="{00000000-0005-0000-0000-00009B700000}"/>
    <cellStyle name="Normal 45 2 2 3 2 2" xfId="36647" xr:uid="{00000000-0005-0000-0000-00009C700000}"/>
    <cellStyle name="Normal 45 2 2 3 2 2 2" xfId="36649" xr:uid="{00000000-0005-0000-0000-00009D700000}"/>
    <cellStyle name="Normal 45 2 2 3 2 2 2 2" xfId="36651" xr:uid="{00000000-0005-0000-0000-00009E700000}"/>
    <cellStyle name="Normal 45 2 2 3 2 2 3" xfId="36653" xr:uid="{00000000-0005-0000-0000-00009F700000}"/>
    <cellStyle name="Normal 45 2 2 3 2 3" xfId="36655" xr:uid="{00000000-0005-0000-0000-0000A0700000}"/>
    <cellStyle name="Normal 45 2 2 3 2 3 2" xfId="36657" xr:uid="{00000000-0005-0000-0000-0000A1700000}"/>
    <cellStyle name="Normal 45 2 2 3 2 4" xfId="36659" xr:uid="{00000000-0005-0000-0000-0000A2700000}"/>
    <cellStyle name="Normal 45 2 2 3 3" xfId="36661" xr:uid="{00000000-0005-0000-0000-0000A3700000}"/>
    <cellStyle name="Normal 45 2 2 3 3 2" xfId="16928" xr:uid="{00000000-0005-0000-0000-0000A4700000}"/>
    <cellStyle name="Normal 45 2 2 3 3 2 2" xfId="35728" xr:uid="{00000000-0005-0000-0000-0000A5700000}"/>
    <cellStyle name="Normal 45 2 2 3 3 3" xfId="35732" xr:uid="{00000000-0005-0000-0000-0000A6700000}"/>
    <cellStyle name="Normal 45 2 2 3 4" xfId="36663" xr:uid="{00000000-0005-0000-0000-0000A7700000}"/>
    <cellStyle name="Normal 45 2 2 3 4 2" xfId="35773" xr:uid="{00000000-0005-0000-0000-0000A8700000}"/>
    <cellStyle name="Normal 45 2 2 3 4 2 2" xfId="35777" xr:uid="{00000000-0005-0000-0000-0000A9700000}"/>
    <cellStyle name="Normal 45 2 2 3 4 3" xfId="35780" xr:uid="{00000000-0005-0000-0000-0000AA700000}"/>
    <cellStyle name="Normal 45 2 2 3 5" xfId="33563" xr:uid="{00000000-0005-0000-0000-0000AB700000}"/>
    <cellStyle name="Normal 45 2 2 3 5 2" xfId="33567" xr:uid="{00000000-0005-0000-0000-0000AC700000}"/>
    <cellStyle name="Normal 45 2 2 3 6" xfId="33572" xr:uid="{00000000-0005-0000-0000-0000AD700000}"/>
    <cellStyle name="Normal 45 2 2 3 6 2" xfId="35843" xr:uid="{00000000-0005-0000-0000-0000AE700000}"/>
    <cellStyle name="Normal 45 2 2 3 7" xfId="36665" xr:uid="{00000000-0005-0000-0000-0000AF700000}"/>
    <cellStyle name="Normal 45 2 2 3 8" xfId="24934" xr:uid="{00000000-0005-0000-0000-0000B0700000}"/>
    <cellStyle name="Normal 45 2 2 4" xfId="36667" xr:uid="{00000000-0005-0000-0000-0000B1700000}"/>
    <cellStyle name="Normal 45 2 2 4 2" xfId="36669" xr:uid="{00000000-0005-0000-0000-0000B2700000}"/>
    <cellStyle name="Normal 45 2 2 4 2 2" xfId="33788" xr:uid="{00000000-0005-0000-0000-0000B3700000}"/>
    <cellStyle name="Normal 45 2 2 4 2 2 2" xfId="26670" xr:uid="{00000000-0005-0000-0000-0000B4700000}"/>
    <cellStyle name="Normal 45 2 2 4 2 3" xfId="33792" xr:uid="{00000000-0005-0000-0000-0000B5700000}"/>
    <cellStyle name="Normal 45 2 2 4 3" xfId="16933" xr:uid="{00000000-0005-0000-0000-0000B6700000}"/>
    <cellStyle name="Normal 45 2 2 4 3 2" xfId="16936" xr:uid="{00000000-0005-0000-0000-0000B7700000}"/>
    <cellStyle name="Normal 45 2 2 4 4" xfId="16942" xr:uid="{00000000-0005-0000-0000-0000B8700000}"/>
    <cellStyle name="Normal 45 2 2 5" xfId="27586" xr:uid="{00000000-0005-0000-0000-0000B9700000}"/>
    <cellStyle name="Normal 45 2 2 5 2" xfId="36671" xr:uid="{00000000-0005-0000-0000-0000BA700000}"/>
    <cellStyle name="Normal 45 2 2 5 2 2" xfId="36673" xr:uid="{00000000-0005-0000-0000-0000BB700000}"/>
    <cellStyle name="Normal 45 2 2 5 3" xfId="16947" xr:uid="{00000000-0005-0000-0000-0000BC700000}"/>
    <cellStyle name="Normal 45 2 2 6" xfId="36675" xr:uid="{00000000-0005-0000-0000-0000BD700000}"/>
    <cellStyle name="Normal 45 2 2 6 2" xfId="999" xr:uid="{00000000-0005-0000-0000-0000BE700000}"/>
    <cellStyle name="Normal 45 2 2 6 2 2" xfId="19770" xr:uid="{00000000-0005-0000-0000-0000BF700000}"/>
    <cellStyle name="Normal 45 2 2 6 3" xfId="19798" xr:uid="{00000000-0005-0000-0000-0000C0700000}"/>
    <cellStyle name="Normal 45 2 2 7" xfId="36677" xr:uid="{00000000-0005-0000-0000-0000C1700000}"/>
    <cellStyle name="Normal 45 2 2 7 2" xfId="23280" xr:uid="{00000000-0005-0000-0000-0000C2700000}"/>
    <cellStyle name="Normal 45 2 2 8" xfId="36679" xr:uid="{00000000-0005-0000-0000-0000C3700000}"/>
    <cellStyle name="Normal 45 2 2 8 2" xfId="9816" xr:uid="{00000000-0005-0000-0000-0000C4700000}"/>
    <cellStyle name="Normal 45 2 2 9" xfId="36681" xr:uid="{00000000-0005-0000-0000-0000C5700000}"/>
    <cellStyle name="Normal 45 2 3" xfId="36688" xr:uid="{00000000-0005-0000-0000-0000C6700000}"/>
    <cellStyle name="Normal 45 2 3 2" xfId="36696" xr:uid="{00000000-0005-0000-0000-0000C7700000}"/>
    <cellStyle name="Normal 45 2 3 2 2" xfId="36699" xr:uid="{00000000-0005-0000-0000-0000C8700000}"/>
    <cellStyle name="Normal 45 2 3 2 2 2" xfId="36702" xr:uid="{00000000-0005-0000-0000-0000C9700000}"/>
    <cellStyle name="Normal 45 2 3 2 2 2 2" xfId="36704" xr:uid="{00000000-0005-0000-0000-0000CA700000}"/>
    <cellStyle name="Normal 45 2 3 2 2 2 2 2" xfId="36706" xr:uid="{00000000-0005-0000-0000-0000CB700000}"/>
    <cellStyle name="Normal 45 2 3 2 2 2 3" xfId="36708" xr:uid="{00000000-0005-0000-0000-0000CC700000}"/>
    <cellStyle name="Normal 45 2 3 2 2 3" xfId="36710" xr:uid="{00000000-0005-0000-0000-0000CD700000}"/>
    <cellStyle name="Normal 45 2 3 2 2 3 2" xfId="6708" xr:uid="{00000000-0005-0000-0000-0000CE700000}"/>
    <cellStyle name="Normal 45 2 3 2 2 4" xfId="36712" xr:uid="{00000000-0005-0000-0000-0000CF700000}"/>
    <cellStyle name="Normal 45 2 3 2 2 5" xfId="36714" xr:uid="{00000000-0005-0000-0000-0000D0700000}"/>
    <cellStyle name="Normal 45 2 3 2 3" xfId="36717" xr:uid="{00000000-0005-0000-0000-0000D1700000}"/>
    <cellStyle name="Normal 45 2 3 2 3 2" xfId="36721" xr:uid="{00000000-0005-0000-0000-0000D2700000}"/>
    <cellStyle name="Normal 45 2 3 2 3 2 2" xfId="23774" xr:uid="{00000000-0005-0000-0000-0000D3700000}"/>
    <cellStyle name="Normal 45 2 3 2 3 3" xfId="36725" xr:uid="{00000000-0005-0000-0000-0000D4700000}"/>
    <cellStyle name="Normal 45 2 3 2 4" xfId="36727" xr:uid="{00000000-0005-0000-0000-0000D5700000}"/>
    <cellStyle name="Normal 45 2 3 2 4 2" xfId="36731" xr:uid="{00000000-0005-0000-0000-0000D6700000}"/>
    <cellStyle name="Normal 45 2 3 2 4 2 2" xfId="20328" xr:uid="{00000000-0005-0000-0000-0000D7700000}"/>
    <cellStyle name="Normal 45 2 3 2 4 3" xfId="36735" xr:uid="{00000000-0005-0000-0000-0000D8700000}"/>
    <cellStyle name="Normal 45 2 3 2 5" xfId="34637" xr:uid="{00000000-0005-0000-0000-0000D9700000}"/>
    <cellStyle name="Normal 45 2 3 2 5 2" xfId="34645" xr:uid="{00000000-0005-0000-0000-0000DA700000}"/>
    <cellStyle name="Normal 45 2 3 2 6" xfId="29836" xr:uid="{00000000-0005-0000-0000-0000DB700000}"/>
    <cellStyle name="Normal 45 2 3 2 6 2" xfId="34650" xr:uid="{00000000-0005-0000-0000-0000DC700000}"/>
    <cellStyle name="Normal 45 2 3 2 7" xfId="34652" xr:uid="{00000000-0005-0000-0000-0000DD700000}"/>
    <cellStyle name="Normal 45 2 3 2 8" xfId="24960" xr:uid="{00000000-0005-0000-0000-0000DE700000}"/>
    <cellStyle name="Normal 45 2 3 3" xfId="36738" xr:uid="{00000000-0005-0000-0000-0000DF700000}"/>
    <cellStyle name="Normal 45 2 3 3 2" xfId="36741" xr:uid="{00000000-0005-0000-0000-0000E0700000}"/>
    <cellStyle name="Normal 45 2 3 3 2 2" xfId="36743" xr:uid="{00000000-0005-0000-0000-0000E1700000}"/>
    <cellStyle name="Normal 45 2 3 3 2 2 2" xfId="15166" xr:uid="{00000000-0005-0000-0000-0000E2700000}"/>
    <cellStyle name="Normal 45 2 3 3 2 3" xfId="36745" xr:uid="{00000000-0005-0000-0000-0000E3700000}"/>
    <cellStyle name="Normal 45 2 3 3 3" xfId="36747" xr:uid="{00000000-0005-0000-0000-0000E4700000}"/>
    <cellStyle name="Normal 45 2 3 3 3 2" xfId="36751" xr:uid="{00000000-0005-0000-0000-0000E5700000}"/>
    <cellStyle name="Normal 45 2 3 3 4" xfId="36753" xr:uid="{00000000-0005-0000-0000-0000E6700000}"/>
    <cellStyle name="Normal 45 2 3 3 5" xfId="33582" xr:uid="{00000000-0005-0000-0000-0000E7700000}"/>
    <cellStyle name="Normal 45 2 3 4" xfId="36756" xr:uid="{00000000-0005-0000-0000-0000E8700000}"/>
    <cellStyle name="Normal 45 2 3 4 2" xfId="36759" xr:uid="{00000000-0005-0000-0000-0000E9700000}"/>
    <cellStyle name="Normal 45 2 3 4 2 2" xfId="34169" xr:uid="{00000000-0005-0000-0000-0000EA700000}"/>
    <cellStyle name="Normal 45 2 3 4 3" xfId="16960" xr:uid="{00000000-0005-0000-0000-0000EB700000}"/>
    <cellStyle name="Normal 45 2 3 5" xfId="27593" xr:uid="{00000000-0005-0000-0000-0000EC700000}"/>
    <cellStyle name="Normal 45 2 3 5 2" xfId="36761" xr:uid="{00000000-0005-0000-0000-0000ED700000}"/>
    <cellStyle name="Normal 45 2 3 5 2 2" xfId="36764" xr:uid="{00000000-0005-0000-0000-0000EE700000}"/>
    <cellStyle name="Normal 45 2 3 5 3" xfId="36766" xr:uid="{00000000-0005-0000-0000-0000EF700000}"/>
    <cellStyle name="Normal 45 2 3 6" xfId="1026" xr:uid="{00000000-0005-0000-0000-0000F0700000}"/>
    <cellStyle name="Normal 45 2 3 6 2" xfId="1060" xr:uid="{00000000-0005-0000-0000-0000F1700000}"/>
    <cellStyle name="Normal 45 2 3 7" xfId="1078" xr:uid="{00000000-0005-0000-0000-0000F2700000}"/>
    <cellStyle name="Normal 45 2 3 7 2" xfId="36768" xr:uid="{00000000-0005-0000-0000-0000F3700000}"/>
    <cellStyle name="Normal 45 2 3 8" xfId="36770" xr:uid="{00000000-0005-0000-0000-0000F4700000}"/>
    <cellStyle name="Normal 45 2 3 9" xfId="17299" xr:uid="{00000000-0005-0000-0000-0000F5700000}"/>
    <cellStyle name="Normal 45 2 4" xfId="36777" xr:uid="{00000000-0005-0000-0000-0000F6700000}"/>
    <cellStyle name="Normal 45 2 4 2" xfId="36780" xr:uid="{00000000-0005-0000-0000-0000F7700000}"/>
    <cellStyle name="Normal 45 2 4 2 2" xfId="17208" xr:uid="{00000000-0005-0000-0000-0000F8700000}"/>
    <cellStyle name="Normal 45 2 4 2 2 2" xfId="33190" xr:uid="{00000000-0005-0000-0000-0000F9700000}"/>
    <cellStyle name="Normal 45 2 4 2 2 2 2" xfId="33197" xr:uid="{00000000-0005-0000-0000-0000FA700000}"/>
    <cellStyle name="Normal 45 2 4 2 2 2 2 2" xfId="34440" xr:uid="{00000000-0005-0000-0000-0000FB700000}"/>
    <cellStyle name="Normal 45 2 4 2 2 2 3" xfId="27326" xr:uid="{00000000-0005-0000-0000-0000FC700000}"/>
    <cellStyle name="Normal 45 2 4 2 2 3" xfId="33202" xr:uid="{00000000-0005-0000-0000-0000FD700000}"/>
    <cellStyle name="Normal 45 2 4 2 2 3 2" xfId="10850" xr:uid="{00000000-0005-0000-0000-0000FE700000}"/>
    <cellStyle name="Normal 45 2 4 2 2 4" xfId="33207" xr:uid="{00000000-0005-0000-0000-0000FF700000}"/>
    <cellStyle name="Normal 45 2 4 2 3" xfId="12180" xr:uid="{00000000-0005-0000-0000-000000710000}"/>
    <cellStyle name="Normal 45 2 4 2 3 2" xfId="15722" xr:uid="{00000000-0005-0000-0000-000001710000}"/>
    <cellStyle name="Normal 45 2 4 2 3 2 2" xfId="23712" xr:uid="{00000000-0005-0000-0000-000002710000}"/>
    <cellStyle name="Normal 45 2 4 2 3 3" xfId="36785" xr:uid="{00000000-0005-0000-0000-000003710000}"/>
    <cellStyle name="Normal 45 2 4 2 4" xfId="15724" xr:uid="{00000000-0005-0000-0000-000004710000}"/>
    <cellStyle name="Normal 45 2 4 2 4 2" xfId="36790" xr:uid="{00000000-0005-0000-0000-000005710000}"/>
    <cellStyle name="Normal 45 2 4 2 4 2 2" xfId="23941" xr:uid="{00000000-0005-0000-0000-000006710000}"/>
    <cellStyle name="Normal 45 2 4 2 4 3" xfId="36795" xr:uid="{00000000-0005-0000-0000-000007710000}"/>
    <cellStyle name="Normal 45 2 4 2 5" xfId="34677" xr:uid="{00000000-0005-0000-0000-000008710000}"/>
    <cellStyle name="Normal 45 2 4 2 5 2" xfId="34684" xr:uid="{00000000-0005-0000-0000-000009710000}"/>
    <cellStyle name="Normal 45 2 4 2 6" xfId="34686" xr:uid="{00000000-0005-0000-0000-00000A710000}"/>
    <cellStyle name="Normal 45 2 4 2 6 2" xfId="36799" xr:uid="{00000000-0005-0000-0000-00000B710000}"/>
    <cellStyle name="Normal 45 2 4 2 7" xfId="36801" xr:uid="{00000000-0005-0000-0000-00000C710000}"/>
    <cellStyle name="Normal 45 2 4 2 8" xfId="18269" xr:uid="{00000000-0005-0000-0000-00000D710000}"/>
    <cellStyle name="Normal 45 2 4 3" xfId="36804" xr:uid="{00000000-0005-0000-0000-00000E710000}"/>
    <cellStyle name="Normal 45 2 4 3 2" xfId="36807" xr:uid="{00000000-0005-0000-0000-00000F710000}"/>
    <cellStyle name="Normal 45 2 4 3 2 2" xfId="36809" xr:uid="{00000000-0005-0000-0000-000010710000}"/>
    <cellStyle name="Normal 45 2 4 3 2 2 2" xfId="36812" xr:uid="{00000000-0005-0000-0000-000011710000}"/>
    <cellStyle name="Normal 45 2 4 3 2 3" xfId="36814" xr:uid="{00000000-0005-0000-0000-000012710000}"/>
    <cellStyle name="Normal 45 2 4 3 3" xfId="15729" xr:uid="{00000000-0005-0000-0000-000013710000}"/>
    <cellStyle name="Normal 45 2 4 3 3 2" xfId="15739" xr:uid="{00000000-0005-0000-0000-000014710000}"/>
    <cellStyle name="Normal 45 2 4 3 4" xfId="15743" xr:uid="{00000000-0005-0000-0000-000015710000}"/>
    <cellStyle name="Normal 45 2 4 4" xfId="36817" xr:uid="{00000000-0005-0000-0000-000016710000}"/>
    <cellStyle name="Normal 45 2 4 4 2" xfId="36819" xr:uid="{00000000-0005-0000-0000-000017710000}"/>
    <cellStyle name="Normal 45 2 4 4 2 2" xfId="36821" xr:uid="{00000000-0005-0000-0000-000018710000}"/>
    <cellStyle name="Normal 45 2 4 4 3" xfId="15754" xr:uid="{00000000-0005-0000-0000-000019710000}"/>
    <cellStyle name="Normal 45 2 4 5" xfId="6917" xr:uid="{00000000-0005-0000-0000-00001A710000}"/>
    <cellStyle name="Normal 45 2 4 5 2" xfId="36823" xr:uid="{00000000-0005-0000-0000-00001B710000}"/>
    <cellStyle name="Normal 45 2 4 5 2 2" xfId="36825" xr:uid="{00000000-0005-0000-0000-00001C710000}"/>
    <cellStyle name="Normal 45 2 4 5 3" xfId="15762" xr:uid="{00000000-0005-0000-0000-00001D710000}"/>
    <cellStyle name="Normal 45 2 4 6" xfId="1103" xr:uid="{00000000-0005-0000-0000-00001E710000}"/>
    <cellStyle name="Normal 45 2 4 6 2" xfId="23413" xr:uid="{00000000-0005-0000-0000-00001F710000}"/>
    <cellStyle name="Normal 45 2 4 7" xfId="36827" xr:uid="{00000000-0005-0000-0000-000020710000}"/>
    <cellStyle name="Normal 45 2 4 7 2" xfId="23455" xr:uid="{00000000-0005-0000-0000-000021710000}"/>
    <cellStyle name="Normal 45 2 4 8" xfId="36829" xr:uid="{00000000-0005-0000-0000-000022710000}"/>
    <cellStyle name="Normal 45 2 4 9" xfId="17319" xr:uid="{00000000-0005-0000-0000-000023710000}"/>
    <cellStyle name="Normal 45 2 5" xfId="21069" xr:uid="{00000000-0005-0000-0000-000024710000}"/>
    <cellStyle name="Normal 45 2 5 2" xfId="17838" xr:uid="{00000000-0005-0000-0000-000025710000}"/>
    <cellStyle name="Normal 45 2 5 2 2" xfId="36831" xr:uid="{00000000-0005-0000-0000-000026710000}"/>
    <cellStyle name="Normal 45 2 5 2 2 2" xfId="36833" xr:uid="{00000000-0005-0000-0000-000027710000}"/>
    <cellStyle name="Normal 45 2 5 2 2 2 2" xfId="36835" xr:uid="{00000000-0005-0000-0000-000028710000}"/>
    <cellStyle name="Normal 45 2 5 2 2 2 2 2" xfId="22859" xr:uid="{00000000-0005-0000-0000-000029710000}"/>
    <cellStyle name="Normal 45 2 5 2 2 2 3" xfId="29141" xr:uid="{00000000-0005-0000-0000-00002A710000}"/>
    <cellStyle name="Normal 45 2 5 2 2 3" xfId="30842" xr:uid="{00000000-0005-0000-0000-00002B710000}"/>
    <cellStyle name="Normal 45 2 5 2 2 3 2" xfId="36837" xr:uid="{00000000-0005-0000-0000-00002C710000}"/>
    <cellStyle name="Normal 45 2 5 2 2 4" xfId="36839" xr:uid="{00000000-0005-0000-0000-00002D710000}"/>
    <cellStyle name="Normal 45 2 5 2 3" xfId="15774" xr:uid="{00000000-0005-0000-0000-00002E710000}"/>
    <cellStyle name="Normal 45 2 5 2 3 2" xfId="36842" xr:uid="{00000000-0005-0000-0000-00002F710000}"/>
    <cellStyle name="Normal 45 2 5 2 3 2 2" xfId="8201" xr:uid="{00000000-0005-0000-0000-000030710000}"/>
    <cellStyle name="Normal 45 2 5 2 3 3" xfId="36845" xr:uid="{00000000-0005-0000-0000-000031710000}"/>
    <cellStyle name="Normal 45 2 5 2 4" xfId="36847" xr:uid="{00000000-0005-0000-0000-000032710000}"/>
    <cellStyle name="Normal 45 2 5 2 4 2" xfId="35901" xr:uid="{00000000-0005-0000-0000-000033710000}"/>
    <cellStyle name="Normal 45 2 5 2 4 2 2" xfId="26168" xr:uid="{00000000-0005-0000-0000-000034710000}"/>
    <cellStyle name="Normal 45 2 5 2 4 3" xfId="36850" xr:uid="{00000000-0005-0000-0000-000035710000}"/>
    <cellStyle name="Normal 45 2 5 2 5" xfId="34689" xr:uid="{00000000-0005-0000-0000-000036710000}"/>
    <cellStyle name="Normal 45 2 5 2 5 2" xfId="26046" xr:uid="{00000000-0005-0000-0000-000037710000}"/>
    <cellStyle name="Normal 45 2 5 2 6" xfId="18754" xr:uid="{00000000-0005-0000-0000-000038710000}"/>
    <cellStyle name="Normal 45 2 5 2 6 2" xfId="26057" xr:uid="{00000000-0005-0000-0000-000039710000}"/>
    <cellStyle name="Normal 45 2 5 2 7" xfId="36852" xr:uid="{00000000-0005-0000-0000-00003A710000}"/>
    <cellStyle name="Normal 45 2 5 2 8" xfId="24971" xr:uid="{00000000-0005-0000-0000-00003B710000}"/>
    <cellStyle name="Normal 45 2 5 3" xfId="36854" xr:uid="{00000000-0005-0000-0000-00003C710000}"/>
    <cellStyle name="Normal 45 2 5 3 2" xfId="36856" xr:uid="{00000000-0005-0000-0000-00003D710000}"/>
    <cellStyle name="Normal 45 2 5 3 2 2" xfId="36858" xr:uid="{00000000-0005-0000-0000-00003E710000}"/>
    <cellStyle name="Normal 45 2 5 3 2 2 2" xfId="36860" xr:uid="{00000000-0005-0000-0000-00003F710000}"/>
    <cellStyle name="Normal 45 2 5 3 2 3" xfId="36862" xr:uid="{00000000-0005-0000-0000-000040710000}"/>
    <cellStyle name="Normal 45 2 5 3 3" xfId="36864" xr:uid="{00000000-0005-0000-0000-000041710000}"/>
    <cellStyle name="Normal 45 2 5 3 3 2" xfId="27609" xr:uid="{00000000-0005-0000-0000-000042710000}"/>
    <cellStyle name="Normal 45 2 5 3 4" xfId="36866" xr:uid="{00000000-0005-0000-0000-000043710000}"/>
    <cellStyle name="Normal 45 2 5 4" xfId="36868" xr:uid="{00000000-0005-0000-0000-000044710000}"/>
    <cellStyle name="Normal 45 2 5 4 2" xfId="36870" xr:uid="{00000000-0005-0000-0000-000045710000}"/>
    <cellStyle name="Normal 45 2 5 4 2 2" xfId="36872" xr:uid="{00000000-0005-0000-0000-000046710000}"/>
    <cellStyle name="Normal 45 2 5 4 3" xfId="36874" xr:uid="{00000000-0005-0000-0000-000047710000}"/>
    <cellStyle name="Normal 45 2 5 5" xfId="36876" xr:uid="{00000000-0005-0000-0000-000048710000}"/>
    <cellStyle name="Normal 45 2 5 5 2" xfId="36878" xr:uid="{00000000-0005-0000-0000-000049710000}"/>
    <cellStyle name="Normal 45 2 5 5 2 2" xfId="36880" xr:uid="{00000000-0005-0000-0000-00004A710000}"/>
    <cellStyle name="Normal 45 2 5 5 3" xfId="36882" xr:uid="{00000000-0005-0000-0000-00004B710000}"/>
    <cellStyle name="Normal 45 2 5 6" xfId="36884" xr:uid="{00000000-0005-0000-0000-00004C710000}"/>
    <cellStyle name="Normal 45 2 5 6 2" xfId="5801" xr:uid="{00000000-0005-0000-0000-00004D710000}"/>
    <cellStyle name="Normal 45 2 5 7" xfId="36886" xr:uid="{00000000-0005-0000-0000-00004E710000}"/>
    <cellStyle name="Normal 45 2 5 7 2" xfId="36889" xr:uid="{00000000-0005-0000-0000-00004F710000}"/>
    <cellStyle name="Normal 45 2 5 8" xfId="36891" xr:uid="{00000000-0005-0000-0000-000050710000}"/>
    <cellStyle name="Normal 45 2 5 9" xfId="3775" xr:uid="{00000000-0005-0000-0000-000051710000}"/>
    <cellStyle name="Normal 45 2 6" xfId="36893" xr:uid="{00000000-0005-0000-0000-000052710000}"/>
    <cellStyle name="Normal 45 2 6 2" xfId="36895" xr:uid="{00000000-0005-0000-0000-000053710000}"/>
    <cellStyle name="Normal 45 2 6 2 2" xfId="36897" xr:uid="{00000000-0005-0000-0000-000054710000}"/>
    <cellStyle name="Normal 45 2 6 2 2 2" xfId="24622" xr:uid="{00000000-0005-0000-0000-000055710000}"/>
    <cellStyle name="Normal 45 2 6 2 2 2 2" xfId="24625" xr:uid="{00000000-0005-0000-0000-000056710000}"/>
    <cellStyle name="Normal 45 2 6 2 2 3" xfId="24628" xr:uid="{00000000-0005-0000-0000-000057710000}"/>
    <cellStyle name="Normal 45 2 6 2 3" xfId="36899" xr:uid="{00000000-0005-0000-0000-000058710000}"/>
    <cellStyle name="Normal 45 2 6 2 3 2" xfId="24650" xr:uid="{00000000-0005-0000-0000-000059710000}"/>
    <cellStyle name="Normal 45 2 6 2 4" xfId="36901" xr:uid="{00000000-0005-0000-0000-00005A710000}"/>
    <cellStyle name="Normal 45 2 6 3" xfId="36903" xr:uid="{00000000-0005-0000-0000-00005B710000}"/>
    <cellStyle name="Normal 45 2 6 3 2" xfId="36905" xr:uid="{00000000-0005-0000-0000-00005C710000}"/>
    <cellStyle name="Normal 45 2 6 3 2 2" xfId="24688" xr:uid="{00000000-0005-0000-0000-00005D710000}"/>
    <cellStyle name="Normal 45 2 6 3 3" xfId="36907" xr:uid="{00000000-0005-0000-0000-00005E710000}"/>
    <cellStyle name="Normal 45 2 6 4" xfId="36909" xr:uid="{00000000-0005-0000-0000-00005F710000}"/>
    <cellStyle name="Normal 45 2 6 4 2" xfId="36911" xr:uid="{00000000-0005-0000-0000-000060710000}"/>
    <cellStyle name="Normal 45 2 6 4 2 2" xfId="36913" xr:uid="{00000000-0005-0000-0000-000061710000}"/>
    <cellStyle name="Normal 45 2 6 4 3" xfId="36915" xr:uid="{00000000-0005-0000-0000-000062710000}"/>
    <cellStyle name="Normal 45 2 6 5" xfId="36917" xr:uid="{00000000-0005-0000-0000-000063710000}"/>
    <cellStyle name="Normal 45 2 6 5 2" xfId="36919" xr:uid="{00000000-0005-0000-0000-000064710000}"/>
    <cellStyle name="Normal 45 2 6 6" xfId="36921" xr:uid="{00000000-0005-0000-0000-000065710000}"/>
    <cellStyle name="Normal 45 2 6 6 2" xfId="23565" xr:uid="{00000000-0005-0000-0000-000066710000}"/>
    <cellStyle name="Normal 45 2 6 7" xfId="36923" xr:uid="{00000000-0005-0000-0000-000067710000}"/>
    <cellStyle name="Normal 45 2 6 8" xfId="36925" xr:uid="{00000000-0005-0000-0000-000068710000}"/>
    <cellStyle name="Normal 45 2 7" xfId="36927" xr:uid="{00000000-0005-0000-0000-000069710000}"/>
    <cellStyle name="Normal 45 2 7 2" xfId="36929" xr:uid="{00000000-0005-0000-0000-00006A710000}"/>
    <cellStyle name="Normal 45 2 7 2 2" xfId="9533" xr:uid="{00000000-0005-0000-0000-00006B710000}"/>
    <cellStyle name="Normal 45 2 7 2 2 2" xfId="24897" xr:uid="{00000000-0005-0000-0000-00006C710000}"/>
    <cellStyle name="Normal 45 2 7 2 3" xfId="10459" xr:uid="{00000000-0005-0000-0000-00006D710000}"/>
    <cellStyle name="Normal 45 2 7 3" xfId="36931" xr:uid="{00000000-0005-0000-0000-00006E710000}"/>
    <cellStyle name="Normal 45 2 7 3 2" xfId="9554" xr:uid="{00000000-0005-0000-0000-00006F710000}"/>
    <cellStyle name="Normal 45 2 7 4" xfId="36933" xr:uid="{00000000-0005-0000-0000-000070710000}"/>
    <cellStyle name="Normal 45 2 8" xfId="19293" xr:uid="{00000000-0005-0000-0000-000071710000}"/>
    <cellStyle name="Normal 45 2 8 2" xfId="16402" xr:uid="{00000000-0005-0000-0000-000072710000}"/>
    <cellStyle name="Normal 45 2 8 2 2" xfId="36935" xr:uid="{00000000-0005-0000-0000-000073710000}"/>
    <cellStyle name="Normal 45 2 8 3" xfId="36937" xr:uid="{00000000-0005-0000-0000-000074710000}"/>
    <cellStyle name="Normal 45 2 9" xfId="36939" xr:uid="{00000000-0005-0000-0000-000075710000}"/>
    <cellStyle name="Normal 45 2 9 2" xfId="36941" xr:uid="{00000000-0005-0000-0000-000076710000}"/>
    <cellStyle name="Normal 45 2 9 2 2" xfId="36943" xr:uid="{00000000-0005-0000-0000-000077710000}"/>
    <cellStyle name="Normal 45 2 9 3" xfId="36945" xr:uid="{00000000-0005-0000-0000-000078710000}"/>
    <cellStyle name="Normal 45 3" xfId="36947" xr:uid="{00000000-0005-0000-0000-000079710000}"/>
    <cellStyle name="Normal 45 3 10" xfId="13818" xr:uid="{00000000-0005-0000-0000-00007A710000}"/>
    <cellStyle name="Normal 45 3 10 2" xfId="13672" xr:uid="{00000000-0005-0000-0000-00007B710000}"/>
    <cellStyle name="Normal 45 3 11" xfId="13824" xr:uid="{00000000-0005-0000-0000-00007C710000}"/>
    <cellStyle name="Normal 45 3 11 2" xfId="13728" xr:uid="{00000000-0005-0000-0000-00007D710000}"/>
    <cellStyle name="Normal 45 3 12" xfId="6547" xr:uid="{00000000-0005-0000-0000-00007E710000}"/>
    <cellStyle name="Normal 45 3 12 2" xfId="6552" xr:uid="{00000000-0005-0000-0000-00007F710000}"/>
    <cellStyle name="Normal 45 3 13" xfId="6559" xr:uid="{00000000-0005-0000-0000-000080710000}"/>
    <cellStyle name="Normal 45 3 14" xfId="25320" xr:uid="{00000000-0005-0000-0000-000081710000}"/>
    <cellStyle name="Normal 45 3 2" xfId="36949" xr:uid="{00000000-0005-0000-0000-000082710000}"/>
    <cellStyle name="Normal 45 3 2 10" xfId="36534" xr:uid="{00000000-0005-0000-0000-000083710000}"/>
    <cellStyle name="Normal 45 3 2 2" xfId="36951" xr:uid="{00000000-0005-0000-0000-000084710000}"/>
    <cellStyle name="Normal 45 3 2 2 2" xfId="36953" xr:uid="{00000000-0005-0000-0000-000085710000}"/>
    <cellStyle name="Normal 45 3 2 2 2 2" xfId="36955" xr:uid="{00000000-0005-0000-0000-000086710000}"/>
    <cellStyle name="Normal 45 3 2 2 2 2 2" xfId="36959" xr:uid="{00000000-0005-0000-0000-000087710000}"/>
    <cellStyle name="Normal 45 3 2 2 2 2 2 2" xfId="36961" xr:uid="{00000000-0005-0000-0000-000088710000}"/>
    <cellStyle name="Normal 45 3 2 2 2 2 2 2 2" xfId="36963" xr:uid="{00000000-0005-0000-0000-000089710000}"/>
    <cellStyle name="Normal 45 3 2 2 2 2 2 3" xfId="36965" xr:uid="{00000000-0005-0000-0000-00008A710000}"/>
    <cellStyle name="Normal 45 3 2 2 2 2 3" xfId="36971" xr:uid="{00000000-0005-0000-0000-00008B710000}"/>
    <cellStyle name="Normal 45 3 2 2 2 2 3 2" xfId="36973" xr:uid="{00000000-0005-0000-0000-00008C710000}"/>
    <cellStyle name="Normal 45 3 2 2 2 2 4" xfId="36975" xr:uid="{00000000-0005-0000-0000-00008D710000}"/>
    <cellStyle name="Normal 45 3 2 2 2 3" xfId="36977" xr:uid="{00000000-0005-0000-0000-00008E710000}"/>
    <cellStyle name="Normal 45 3 2 2 2 3 2" xfId="36979" xr:uid="{00000000-0005-0000-0000-00008F710000}"/>
    <cellStyle name="Normal 45 3 2 2 2 3 2 2" xfId="36981" xr:uid="{00000000-0005-0000-0000-000090710000}"/>
    <cellStyle name="Normal 45 3 2 2 2 3 3" xfId="36983" xr:uid="{00000000-0005-0000-0000-000091710000}"/>
    <cellStyle name="Normal 45 3 2 2 2 4" xfId="23819" xr:uid="{00000000-0005-0000-0000-000092710000}"/>
    <cellStyle name="Normal 45 3 2 2 2 4 2" xfId="2785" xr:uid="{00000000-0005-0000-0000-000093710000}"/>
    <cellStyle name="Normal 45 3 2 2 2 4 2 2" xfId="507" xr:uid="{00000000-0005-0000-0000-000094710000}"/>
    <cellStyle name="Normal 45 3 2 2 2 4 3" xfId="2811" xr:uid="{00000000-0005-0000-0000-000095710000}"/>
    <cellStyle name="Normal 45 3 2 2 2 5" xfId="23822" xr:uid="{00000000-0005-0000-0000-000096710000}"/>
    <cellStyle name="Normal 45 3 2 2 2 5 2" xfId="23825" xr:uid="{00000000-0005-0000-0000-000097710000}"/>
    <cellStyle name="Normal 45 3 2 2 2 6" xfId="23830" xr:uid="{00000000-0005-0000-0000-000098710000}"/>
    <cellStyle name="Normal 45 3 2 2 2 6 2" xfId="26002" xr:uid="{00000000-0005-0000-0000-000099710000}"/>
    <cellStyle name="Normal 45 3 2 2 2 7" xfId="26008" xr:uid="{00000000-0005-0000-0000-00009A710000}"/>
    <cellStyle name="Normal 45 3 2 2 2 8" xfId="3865" xr:uid="{00000000-0005-0000-0000-00009B710000}"/>
    <cellStyle name="Normal 45 3 2 2 3" xfId="36985" xr:uid="{00000000-0005-0000-0000-00009C710000}"/>
    <cellStyle name="Normal 45 3 2 2 3 2" xfId="36988" xr:uid="{00000000-0005-0000-0000-00009D710000}"/>
    <cellStyle name="Normal 45 3 2 2 3 2 2" xfId="3660" xr:uid="{00000000-0005-0000-0000-00009E710000}"/>
    <cellStyle name="Normal 45 3 2 2 3 2 2 2" xfId="3667" xr:uid="{00000000-0005-0000-0000-00009F710000}"/>
    <cellStyle name="Normal 45 3 2 2 3 2 3" xfId="3678" xr:uid="{00000000-0005-0000-0000-0000A0710000}"/>
    <cellStyle name="Normal 45 3 2 2 3 3" xfId="36990" xr:uid="{00000000-0005-0000-0000-0000A1710000}"/>
    <cellStyle name="Normal 45 3 2 2 3 3 2" xfId="36992" xr:uid="{00000000-0005-0000-0000-0000A2710000}"/>
    <cellStyle name="Normal 45 3 2 2 3 4" xfId="23834" xr:uid="{00000000-0005-0000-0000-0000A3710000}"/>
    <cellStyle name="Normal 45 3 2 2 4" xfId="36994" xr:uid="{00000000-0005-0000-0000-0000A4710000}"/>
    <cellStyle name="Normal 45 3 2 2 4 2" xfId="18215" xr:uid="{00000000-0005-0000-0000-0000A5710000}"/>
    <cellStyle name="Normal 45 3 2 2 4 2 2" xfId="36996" xr:uid="{00000000-0005-0000-0000-0000A6710000}"/>
    <cellStyle name="Normal 45 3 2 2 4 3" xfId="35648" xr:uid="{00000000-0005-0000-0000-0000A7710000}"/>
    <cellStyle name="Normal 45 3 2 2 5" xfId="36998" xr:uid="{00000000-0005-0000-0000-0000A8710000}"/>
    <cellStyle name="Normal 45 3 2 2 5 2" xfId="37000" xr:uid="{00000000-0005-0000-0000-0000A9710000}"/>
    <cellStyle name="Normal 45 3 2 2 5 2 2" xfId="37005" xr:uid="{00000000-0005-0000-0000-0000AA710000}"/>
    <cellStyle name="Normal 45 3 2 2 5 3" xfId="37007" xr:uid="{00000000-0005-0000-0000-0000AB710000}"/>
    <cellStyle name="Normal 45 3 2 2 6" xfId="3693" xr:uid="{00000000-0005-0000-0000-0000AC710000}"/>
    <cellStyle name="Normal 45 3 2 2 6 2" xfId="3700" xr:uid="{00000000-0005-0000-0000-0000AD710000}"/>
    <cellStyle name="Normal 45 3 2 2 7" xfId="3710" xr:uid="{00000000-0005-0000-0000-0000AE710000}"/>
    <cellStyle name="Normal 45 3 2 2 7 2" xfId="37009" xr:uid="{00000000-0005-0000-0000-0000AF710000}"/>
    <cellStyle name="Normal 45 3 2 2 8" xfId="3716" xr:uid="{00000000-0005-0000-0000-0000B0710000}"/>
    <cellStyle name="Normal 45 3 2 2 9" xfId="25126" xr:uid="{00000000-0005-0000-0000-0000B1710000}"/>
    <cellStyle name="Normal 45 3 2 3" xfId="6973" xr:uid="{00000000-0005-0000-0000-0000B2710000}"/>
    <cellStyle name="Normal 45 3 2 3 2" xfId="29771" xr:uid="{00000000-0005-0000-0000-0000B3710000}"/>
    <cellStyle name="Normal 45 3 2 3 2 2" xfId="37011" xr:uid="{00000000-0005-0000-0000-0000B4710000}"/>
    <cellStyle name="Normal 45 3 2 3 2 2 2" xfId="37015" xr:uid="{00000000-0005-0000-0000-0000B5710000}"/>
    <cellStyle name="Normal 45 3 2 3 2 2 2 2" xfId="37017" xr:uid="{00000000-0005-0000-0000-0000B6710000}"/>
    <cellStyle name="Normal 45 3 2 3 2 2 3" xfId="37021" xr:uid="{00000000-0005-0000-0000-0000B7710000}"/>
    <cellStyle name="Normal 45 3 2 3 2 3" xfId="37023" xr:uid="{00000000-0005-0000-0000-0000B8710000}"/>
    <cellStyle name="Normal 45 3 2 3 2 3 2" xfId="37025" xr:uid="{00000000-0005-0000-0000-0000B9710000}"/>
    <cellStyle name="Normal 45 3 2 3 2 4" xfId="23864" xr:uid="{00000000-0005-0000-0000-0000BA710000}"/>
    <cellStyle name="Normal 45 3 2 3 3" xfId="37027" xr:uid="{00000000-0005-0000-0000-0000BB710000}"/>
    <cellStyle name="Normal 45 3 2 3 3 2" xfId="37029" xr:uid="{00000000-0005-0000-0000-0000BC710000}"/>
    <cellStyle name="Normal 45 3 2 3 3 2 2" xfId="37033" xr:uid="{00000000-0005-0000-0000-0000BD710000}"/>
    <cellStyle name="Normal 45 3 2 3 3 3" xfId="37035" xr:uid="{00000000-0005-0000-0000-0000BE710000}"/>
    <cellStyle name="Normal 45 3 2 3 4" xfId="37037" xr:uid="{00000000-0005-0000-0000-0000BF710000}"/>
    <cellStyle name="Normal 45 3 2 3 4 2" xfId="37039" xr:uid="{00000000-0005-0000-0000-0000C0710000}"/>
    <cellStyle name="Normal 45 3 2 3 4 2 2" xfId="37041" xr:uid="{00000000-0005-0000-0000-0000C1710000}"/>
    <cellStyle name="Normal 45 3 2 3 4 3" xfId="37043" xr:uid="{00000000-0005-0000-0000-0000C2710000}"/>
    <cellStyle name="Normal 45 3 2 3 5" xfId="33623" xr:uid="{00000000-0005-0000-0000-0000C3710000}"/>
    <cellStyle name="Normal 45 3 2 3 5 2" xfId="37045" xr:uid="{00000000-0005-0000-0000-0000C4710000}"/>
    <cellStyle name="Normal 45 3 2 3 6" xfId="1871" xr:uid="{00000000-0005-0000-0000-0000C5710000}"/>
    <cellStyle name="Normal 45 3 2 3 6 2" xfId="1897" xr:uid="{00000000-0005-0000-0000-0000C6710000}"/>
    <cellStyle name="Normal 45 3 2 3 7" xfId="1974" xr:uid="{00000000-0005-0000-0000-0000C7710000}"/>
    <cellStyle name="Normal 45 3 2 3 8" xfId="25129" xr:uid="{00000000-0005-0000-0000-0000C8710000}"/>
    <cellStyle name="Normal 45 3 2 4" xfId="37047" xr:uid="{00000000-0005-0000-0000-0000C9710000}"/>
    <cellStyle name="Normal 45 3 2 4 2" xfId="37049" xr:uid="{00000000-0005-0000-0000-0000CA710000}"/>
    <cellStyle name="Normal 45 3 2 4 2 2" xfId="35316" xr:uid="{00000000-0005-0000-0000-0000CB710000}"/>
    <cellStyle name="Normal 45 3 2 4 2 2 2" xfId="35320" xr:uid="{00000000-0005-0000-0000-0000CC710000}"/>
    <cellStyle name="Normal 45 3 2 4 2 3" xfId="35324" xr:uid="{00000000-0005-0000-0000-0000CD710000}"/>
    <cellStyle name="Normal 45 3 2 4 3" xfId="16018" xr:uid="{00000000-0005-0000-0000-0000CE710000}"/>
    <cellStyle name="Normal 45 3 2 4 3 2" xfId="37051" xr:uid="{00000000-0005-0000-0000-0000CF710000}"/>
    <cellStyle name="Normal 45 3 2 4 4" xfId="37055" xr:uid="{00000000-0005-0000-0000-0000D0710000}"/>
    <cellStyle name="Normal 45 3 2 5" xfId="23547" xr:uid="{00000000-0005-0000-0000-0000D1710000}"/>
    <cellStyle name="Normal 45 3 2 5 2" xfId="37057" xr:uid="{00000000-0005-0000-0000-0000D2710000}"/>
    <cellStyle name="Normal 45 3 2 5 2 2" xfId="37059" xr:uid="{00000000-0005-0000-0000-0000D3710000}"/>
    <cellStyle name="Normal 45 3 2 5 3" xfId="37061" xr:uid="{00000000-0005-0000-0000-0000D4710000}"/>
    <cellStyle name="Normal 45 3 2 6" xfId="37063" xr:uid="{00000000-0005-0000-0000-0000D5710000}"/>
    <cellStyle name="Normal 45 3 2 6 2" xfId="21543" xr:uid="{00000000-0005-0000-0000-0000D6710000}"/>
    <cellStyle name="Normal 45 3 2 6 2 2" xfId="21549" xr:uid="{00000000-0005-0000-0000-0000D7710000}"/>
    <cellStyle name="Normal 45 3 2 6 3" xfId="21590" xr:uid="{00000000-0005-0000-0000-0000D8710000}"/>
    <cellStyle name="Normal 45 3 2 7" xfId="36719" xr:uid="{00000000-0005-0000-0000-0000D9710000}"/>
    <cellStyle name="Normal 45 3 2 7 2" xfId="23772" xr:uid="{00000000-0005-0000-0000-0000DA710000}"/>
    <cellStyle name="Normal 45 3 2 8" xfId="36723" xr:uid="{00000000-0005-0000-0000-0000DB710000}"/>
    <cellStyle name="Normal 45 3 2 8 2" xfId="37065" xr:uid="{00000000-0005-0000-0000-0000DC710000}"/>
    <cellStyle name="Normal 45 3 2 9" xfId="37067" xr:uid="{00000000-0005-0000-0000-0000DD710000}"/>
    <cellStyle name="Normal 45 3 3" xfId="37072" xr:uid="{00000000-0005-0000-0000-0000DE710000}"/>
    <cellStyle name="Normal 45 3 3 2" xfId="13784" xr:uid="{00000000-0005-0000-0000-0000DF710000}"/>
    <cellStyle name="Normal 45 3 3 2 2" xfId="13789" xr:uid="{00000000-0005-0000-0000-0000E0710000}"/>
    <cellStyle name="Normal 45 3 3 2 2 2" xfId="13799" xr:uid="{00000000-0005-0000-0000-0000E1710000}"/>
    <cellStyle name="Normal 45 3 3 2 2 2 2" xfId="13859" xr:uid="{00000000-0005-0000-0000-0000E2710000}"/>
    <cellStyle name="Normal 45 3 3 2 2 2 2 2" xfId="13912" xr:uid="{00000000-0005-0000-0000-0000E3710000}"/>
    <cellStyle name="Normal 45 3 3 2 2 2 3" xfId="16209" xr:uid="{00000000-0005-0000-0000-0000E4710000}"/>
    <cellStyle name="Normal 45 3 3 2 2 3" xfId="16890" xr:uid="{00000000-0005-0000-0000-0000E5710000}"/>
    <cellStyle name="Normal 45 3 3 2 2 3 2" xfId="11698" xr:uid="{00000000-0005-0000-0000-0000E6710000}"/>
    <cellStyle name="Normal 45 3 3 2 2 4" xfId="10335" xr:uid="{00000000-0005-0000-0000-0000E7710000}"/>
    <cellStyle name="Normal 45 3 3 2 2 5" xfId="19102" xr:uid="{00000000-0005-0000-0000-0000E8710000}"/>
    <cellStyle name="Normal 45 3 3 2 3" xfId="16100" xr:uid="{00000000-0005-0000-0000-0000E9710000}"/>
    <cellStyle name="Normal 45 3 3 2 3 2" xfId="16110" xr:uid="{00000000-0005-0000-0000-0000EA710000}"/>
    <cellStyle name="Normal 45 3 3 2 3 2 2" xfId="17505" xr:uid="{00000000-0005-0000-0000-0000EB710000}"/>
    <cellStyle name="Normal 45 3 3 2 3 3" xfId="17853" xr:uid="{00000000-0005-0000-0000-0000EC710000}"/>
    <cellStyle name="Normal 45 3 3 2 4" xfId="16116" xr:uid="{00000000-0005-0000-0000-0000ED710000}"/>
    <cellStyle name="Normal 45 3 3 2 4 2" xfId="19130" xr:uid="{00000000-0005-0000-0000-0000EE710000}"/>
    <cellStyle name="Normal 45 3 3 2 4 2 2" xfId="19134" xr:uid="{00000000-0005-0000-0000-0000EF710000}"/>
    <cellStyle name="Normal 45 3 3 2 4 3" xfId="17926" xr:uid="{00000000-0005-0000-0000-0000F0710000}"/>
    <cellStyle name="Normal 45 3 3 2 5" xfId="19142" xr:uid="{00000000-0005-0000-0000-0000F1710000}"/>
    <cellStyle name="Normal 45 3 3 2 5 2" xfId="19150" xr:uid="{00000000-0005-0000-0000-0000F2710000}"/>
    <cellStyle name="Normal 45 3 3 2 6" xfId="3741" xr:uid="{00000000-0005-0000-0000-0000F3710000}"/>
    <cellStyle name="Normal 45 3 3 2 6 2" xfId="3757" xr:uid="{00000000-0005-0000-0000-0000F4710000}"/>
    <cellStyle name="Normal 45 3 3 2 7" xfId="3765" xr:uid="{00000000-0005-0000-0000-0000F5710000}"/>
    <cellStyle name="Normal 45 3 3 2 8" xfId="3784" xr:uid="{00000000-0005-0000-0000-0000F6710000}"/>
    <cellStyle name="Normal 45 3 3 3" xfId="18108" xr:uid="{00000000-0005-0000-0000-0000F7710000}"/>
    <cellStyle name="Normal 45 3 3 3 2" xfId="18116" xr:uid="{00000000-0005-0000-0000-0000F8710000}"/>
    <cellStyle name="Normal 45 3 3 3 2 2" xfId="18123" xr:uid="{00000000-0005-0000-0000-0000F9710000}"/>
    <cellStyle name="Normal 45 3 3 3 2 2 2" xfId="7320" xr:uid="{00000000-0005-0000-0000-0000FA710000}"/>
    <cellStyle name="Normal 45 3 3 3 2 3" xfId="5347" xr:uid="{00000000-0005-0000-0000-0000FB710000}"/>
    <cellStyle name="Normal 45 3 3 3 3" xfId="16128" xr:uid="{00000000-0005-0000-0000-0000FC710000}"/>
    <cellStyle name="Normal 45 3 3 3 3 2" xfId="50" xr:uid="{00000000-0005-0000-0000-0000FD710000}"/>
    <cellStyle name="Normal 45 3 3 3 4" xfId="16135" xr:uid="{00000000-0005-0000-0000-0000FE710000}"/>
    <cellStyle name="Normal 45 3 3 3 5" xfId="19195" xr:uid="{00000000-0005-0000-0000-0000FF710000}"/>
    <cellStyle name="Normal 45 3 3 4" xfId="13402" xr:uid="{00000000-0005-0000-0000-000000720000}"/>
    <cellStyle name="Normal 45 3 3 4 2" xfId="13418" xr:uid="{00000000-0005-0000-0000-000001720000}"/>
    <cellStyle name="Normal 45 3 3 4 2 2" xfId="13432" xr:uid="{00000000-0005-0000-0000-000002720000}"/>
    <cellStyle name="Normal 45 3 3 4 3" xfId="13443" xr:uid="{00000000-0005-0000-0000-000003720000}"/>
    <cellStyle name="Normal 45 3 3 5" xfId="37074" xr:uid="{00000000-0005-0000-0000-000004720000}"/>
    <cellStyle name="Normal 45 3 3 5 2" xfId="37076" xr:uid="{00000000-0005-0000-0000-000005720000}"/>
    <cellStyle name="Normal 45 3 3 5 2 2" xfId="13149" xr:uid="{00000000-0005-0000-0000-000006720000}"/>
    <cellStyle name="Normal 45 3 3 5 3" xfId="37078" xr:uid="{00000000-0005-0000-0000-000007720000}"/>
    <cellStyle name="Normal 45 3 3 6" xfId="3089" xr:uid="{00000000-0005-0000-0000-000008720000}"/>
    <cellStyle name="Normal 45 3 3 6 2" xfId="86" xr:uid="{00000000-0005-0000-0000-000009720000}"/>
    <cellStyle name="Normal 45 3 3 7" xfId="36729" xr:uid="{00000000-0005-0000-0000-00000A720000}"/>
    <cellStyle name="Normal 45 3 3 7 2" xfId="20325" xr:uid="{00000000-0005-0000-0000-00000B720000}"/>
    <cellStyle name="Normal 45 3 3 8" xfId="36733" xr:uid="{00000000-0005-0000-0000-00000C720000}"/>
    <cellStyle name="Normal 45 3 3 9" xfId="8900" xr:uid="{00000000-0005-0000-0000-00000D720000}"/>
    <cellStyle name="Normal 45 3 4" xfId="21491" xr:uid="{00000000-0005-0000-0000-00000E720000}"/>
    <cellStyle name="Normal 45 3 4 2" xfId="37080" xr:uid="{00000000-0005-0000-0000-00000F720000}"/>
    <cellStyle name="Normal 45 3 4 2 2" xfId="37082" xr:uid="{00000000-0005-0000-0000-000010720000}"/>
    <cellStyle name="Normal 45 3 4 2 2 2" xfId="33719" xr:uid="{00000000-0005-0000-0000-000011720000}"/>
    <cellStyle name="Normal 45 3 4 2 2 2 2" xfId="33725" xr:uid="{00000000-0005-0000-0000-000012720000}"/>
    <cellStyle name="Normal 45 3 4 2 2 2 2 2" xfId="37085" xr:uid="{00000000-0005-0000-0000-000013720000}"/>
    <cellStyle name="Normal 45 3 4 2 2 2 3" xfId="37091" xr:uid="{00000000-0005-0000-0000-000014720000}"/>
    <cellStyle name="Normal 45 3 4 2 2 3" xfId="33729" xr:uid="{00000000-0005-0000-0000-000015720000}"/>
    <cellStyle name="Normal 45 3 4 2 2 3 2" xfId="37093" xr:uid="{00000000-0005-0000-0000-000016720000}"/>
    <cellStyle name="Normal 45 3 4 2 2 4" xfId="18669" xr:uid="{00000000-0005-0000-0000-000017720000}"/>
    <cellStyle name="Normal 45 3 4 2 3" xfId="15813" xr:uid="{00000000-0005-0000-0000-000018720000}"/>
    <cellStyle name="Normal 45 3 4 2 3 2" xfId="37095" xr:uid="{00000000-0005-0000-0000-000019720000}"/>
    <cellStyle name="Normal 45 3 4 2 3 2 2" xfId="37099" xr:uid="{00000000-0005-0000-0000-00001A720000}"/>
    <cellStyle name="Normal 45 3 4 2 3 3" xfId="37101" xr:uid="{00000000-0005-0000-0000-00001B720000}"/>
    <cellStyle name="Normal 45 3 4 2 4" xfId="37103" xr:uid="{00000000-0005-0000-0000-00001C720000}"/>
    <cellStyle name="Normal 45 3 4 2 4 2" xfId="37105" xr:uid="{00000000-0005-0000-0000-00001D720000}"/>
    <cellStyle name="Normal 45 3 4 2 4 2 2" xfId="26409" xr:uid="{00000000-0005-0000-0000-00001E720000}"/>
    <cellStyle name="Normal 45 3 4 2 4 3" xfId="37107" xr:uid="{00000000-0005-0000-0000-00001F720000}"/>
    <cellStyle name="Normal 45 3 4 2 5" xfId="34708" xr:uid="{00000000-0005-0000-0000-000020720000}"/>
    <cellStyle name="Normal 45 3 4 2 5 2" xfId="26604" xr:uid="{00000000-0005-0000-0000-000021720000}"/>
    <cellStyle name="Normal 45 3 4 2 6" xfId="3815" xr:uid="{00000000-0005-0000-0000-000022720000}"/>
    <cellStyle name="Normal 45 3 4 2 6 2" xfId="23988" xr:uid="{00000000-0005-0000-0000-000023720000}"/>
    <cellStyle name="Normal 45 3 4 2 7" xfId="23992" xr:uid="{00000000-0005-0000-0000-000024720000}"/>
    <cellStyle name="Normal 45 3 4 2 8" xfId="25161" xr:uid="{00000000-0005-0000-0000-000025720000}"/>
    <cellStyle name="Normal 45 3 4 3" xfId="37109" xr:uid="{00000000-0005-0000-0000-000026720000}"/>
    <cellStyle name="Normal 45 3 4 3 2" xfId="37111" xr:uid="{00000000-0005-0000-0000-000027720000}"/>
    <cellStyle name="Normal 45 3 4 3 2 2" xfId="37113" xr:uid="{00000000-0005-0000-0000-000028720000}"/>
    <cellStyle name="Normal 45 3 4 3 2 2 2" xfId="21986" xr:uid="{00000000-0005-0000-0000-000029720000}"/>
    <cellStyle name="Normal 45 3 4 3 2 3" xfId="37115" xr:uid="{00000000-0005-0000-0000-00002A720000}"/>
    <cellStyle name="Normal 45 3 4 3 3" xfId="15824" xr:uid="{00000000-0005-0000-0000-00002B720000}"/>
    <cellStyle name="Normal 45 3 4 3 3 2" xfId="18535" xr:uid="{00000000-0005-0000-0000-00002C720000}"/>
    <cellStyle name="Normal 45 3 4 3 4" xfId="37118" xr:uid="{00000000-0005-0000-0000-00002D720000}"/>
    <cellStyle name="Normal 45 3 4 4" xfId="37120" xr:uid="{00000000-0005-0000-0000-00002E720000}"/>
    <cellStyle name="Normal 45 3 4 4 2" xfId="37122" xr:uid="{00000000-0005-0000-0000-00002F720000}"/>
    <cellStyle name="Normal 45 3 4 4 2 2" xfId="37124" xr:uid="{00000000-0005-0000-0000-000030720000}"/>
    <cellStyle name="Normal 45 3 4 4 3" xfId="37126" xr:uid="{00000000-0005-0000-0000-000031720000}"/>
    <cellStyle name="Normal 45 3 4 5" xfId="37128" xr:uid="{00000000-0005-0000-0000-000032720000}"/>
    <cellStyle name="Normal 45 3 4 5 2" xfId="37130" xr:uid="{00000000-0005-0000-0000-000033720000}"/>
    <cellStyle name="Normal 45 3 4 5 2 2" xfId="25327" xr:uid="{00000000-0005-0000-0000-000034720000}"/>
    <cellStyle name="Normal 45 3 4 5 3" xfId="3902" xr:uid="{00000000-0005-0000-0000-000035720000}"/>
    <cellStyle name="Normal 45 3 4 6" xfId="37132" xr:uid="{00000000-0005-0000-0000-000036720000}"/>
    <cellStyle name="Normal 45 3 4 6 2" xfId="23815" xr:uid="{00000000-0005-0000-0000-000037720000}"/>
    <cellStyle name="Normal 45 3 4 7" xfId="34643" xr:uid="{00000000-0005-0000-0000-000038720000}"/>
    <cellStyle name="Normal 45 3 4 7 2" xfId="26009" xr:uid="{00000000-0005-0000-0000-000039720000}"/>
    <cellStyle name="Normal 45 3 4 8" xfId="8954" xr:uid="{00000000-0005-0000-0000-00003A720000}"/>
    <cellStyle name="Normal 45 3 4 9" xfId="17349" xr:uid="{00000000-0005-0000-0000-00003B720000}"/>
    <cellStyle name="Normal 45 3 5" xfId="37134" xr:uid="{00000000-0005-0000-0000-00003C720000}"/>
    <cellStyle name="Normal 45 3 5 2" xfId="37136" xr:uid="{00000000-0005-0000-0000-00003D720000}"/>
    <cellStyle name="Normal 45 3 5 2 2" xfId="37138" xr:uid="{00000000-0005-0000-0000-00003E720000}"/>
    <cellStyle name="Normal 45 3 5 2 2 2" xfId="37140" xr:uid="{00000000-0005-0000-0000-00003F720000}"/>
    <cellStyle name="Normal 45 3 5 2 2 2 2" xfId="37143" xr:uid="{00000000-0005-0000-0000-000040720000}"/>
    <cellStyle name="Normal 45 3 5 2 2 2 2 2" xfId="37145" xr:uid="{00000000-0005-0000-0000-000041720000}"/>
    <cellStyle name="Normal 45 3 5 2 2 2 3" xfId="37148" xr:uid="{00000000-0005-0000-0000-000042720000}"/>
    <cellStyle name="Normal 45 3 5 2 2 3" xfId="37150" xr:uid="{00000000-0005-0000-0000-000043720000}"/>
    <cellStyle name="Normal 45 3 5 2 2 3 2" xfId="37152" xr:uid="{00000000-0005-0000-0000-000044720000}"/>
    <cellStyle name="Normal 45 3 5 2 2 4" xfId="18730" xr:uid="{00000000-0005-0000-0000-000045720000}"/>
    <cellStyle name="Normal 45 3 5 2 3" xfId="37154" xr:uid="{00000000-0005-0000-0000-000046720000}"/>
    <cellStyle name="Normal 45 3 5 2 3 2" xfId="37156" xr:uid="{00000000-0005-0000-0000-000047720000}"/>
    <cellStyle name="Normal 45 3 5 2 3 2 2" xfId="7658" xr:uid="{00000000-0005-0000-0000-000048720000}"/>
    <cellStyle name="Normal 45 3 5 2 3 3" xfId="37158" xr:uid="{00000000-0005-0000-0000-000049720000}"/>
    <cellStyle name="Normal 45 3 5 2 4" xfId="37160" xr:uid="{00000000-0005-0000-0000-00004A720000}"/>
    <cellStyle name="Normal 45 3 5 2 4 2" xfId="10131" xr:uid="{00000000-0005-0000-0000-00004B720000}"/>
    <cellStyle name="Normal 45 3 5 2 4 2 2" xfId="2718" xr:uid="{00000000-0005-0000-0000-00004C720000}"/>
    <cellStyle name="Normal 45 3 5 2 4 3" xfId="10134" xr:uid="{00000000-0005-0000-0000-00004D720000}"/>
    <cellStyle name="Normal 45 3 5 2 5" xfId="34712" xr:uid="{00000000-0005-0000-0000-00004E720000}"/>
    <cellStyle name="Normal 45 3 5 2 5 2" xfId="26812" xr:uid="{00000000-0005-0000-0000-00004F720000}"/>
    <cellStyle name="Normal 45 3 5 2 6" xfId="18910" xr:uid="{00000000-0005-0000-0000-000050720000}"/>
    <cellStyle name="Normal 45 3 5 2 6 2" xfId="24018" xr:uid="{00000000-0005-0000-0000-000051720000}"/>
    <cellStyle name="Normal 45 3 5 2 7" xfId="20679" xr:uid="{00000000-0005-0000-0000-000052720000}"/>
    <cellStyle name="Normal 45 3 5 2 8" xfId="25171" xr:uid="{00000000-0005-0000-0000-000053720000}"/>
    <cellStyle name="Normal 45 3 5 3" xfId="29669" xr:uid="{00000000-0005-0000-0000-000054720000}"/>
    <cellStyle name="Normal 45 3 5 3 2" xfId="37162" xr:uid="{00000000-0005-0000-0000-000055720000}"/>
    <cellStyle name="Normal 45 3 5 3 2 2" xfId="13657" xr:uid="{00000000-0005-0000-0000-000056720000}"/>
    <cellStyle name="Normal 45 3 5 3 2 2 2" xfId="13203" xr:uid="{00000000-0005-0000-0000-000057720000}"/>
    <cellStyle name="Normal 45 3 5 3 2 3" xfId="13661" xr:uid="{00000000-0005-0000-0000-000058720000}"/>
    <cellStyle name="Normal 45 3 5 3 3" xfId="37164" xr:uid="{00000000-0005-0000-0000-000059720000}"/>
    <cellStyle name="Normal 45 3 5 3 3 2" xfId="13666" xr:uid="{00000000-0005-0000-0000-00005A720000}"/>
    <cellStyle name="Normal 45 3 5 3 4" xfId="37167" xr:uid="{00000000-0005-0000-0000-00005B720000}"/>
    <cellStyle name="Normal 45 3 5 4" xfId="37170" xr:uid="{00000000-0005-0000-0000-00005C720000}"/>
    <cellStyle name="Normal 45 3 5 4 2" xfId="37172" xr:uid="{00000000-0005-0000-0000-00005D720000}"/>
    <cellStyle name="Normal 45 3 5 4 2 2" xfId="13713" xr:uid="{00000000-0005-0000-0000-00005E720000}"/>
    <cellStyle name="Normal 45 3 5 4 3" xfId="37174" xr:uid="{00000000-0005-0000-0000-00005F720000}"/>
    <cellStyle name="Normal 45 3 5 5" xfId="37176" xr:uid="{00000000-0005-0000-0000-000060720000}"/>
    <cellStyle name="Normal 45 3 5 5 2" xfId="37178" xr:uid="{00000000-0005-0000-0000-000061720000}"/>
    <cellStyle name="Normal 45 3 5 5 2 2" xfId="18042" xr:uid="{00000000-0005-0000-0000-000062720000}"/>
    <cellStyle name="Normal 45 3 5 5 3" xfId="20242" xr:uid="{00000000-0005-0000-0000-000063720000}"/>
    <cellStyle name="Normal 45 3 5 6" xfId="37180" xr:uid="{00000000-0005-0000-0000-000064720000}"/>
    <cellStyle name="Normal 45 3 5 6 2" xfId="23856" xr:uid="{00000000-0005-0000-0000-000065720000}"/>
    <cellStyle name="Normal 45 3 5 7" xfId="34648" xr:uid="{00000000-0005-0000-0000-000066720000}"/>
    <cellStyle name="Normal 45 3 5 7 2" xfId="37183" xr:uid="{00000000-0005-0000-0000-000067720000}"/>
    <cellStyle name="Normal 45 3 5 8" xfId="37185" xr:uid="{00000000-0005-0000-0000-000068720000}"/>
    <cellStyle name="Normal 45 3 5 9" xfId="8582" xr:uid="{00000000-0005-0000-0000-000069720000}"/>
    <cellStyle name="Normal 45 3 6" xfId="37187" xr:uid="{00000000-0005-0000-0000-00006A720000}"/>
    <cellStyle name="Normal 45 3 6 2" xfId="37189" xr:uid="{00000000-0005-0000-0000-00006B720000}"/>
    <cellStyle name="Normal 45 3 6 2 2" xfId="37191" xr:uid="{00000000-0005-0000-0000-00006C720000}"/>
    <cellStyle name="Normal 45 3 6 2 2 2" xfId="18380" xr:uid="{00000000-0005-0000-0000-00006D720000}"/>
    <cellStyle name="Normal 45 3 6 2 2 2 2" xfId="22574" xr:uid="{00000000-0005-0000-0000-00006E720000}"/>
    <cellStyle name="Normal 45 3 6 2 2 3" xfId="25411" xr:uid="{00000000-0005-0000-0000-00006F720000}"/>
    <cellStyle name="Normal 45 3 6 2 3" xfId="37193" xr:uid="{00000000-0005-0000-0000-000070720000}"/>
    <cellStyle name="Normal 45 3 6 2 3 2" xfId="25418" xr:uid="{00000000-0005-0000-0000-000071720000}"/>
    <cellStyle name="Normal 45 3 6 2 4" xfId="37195" xr:uid="{00000000-0005-0000-0000-000072720000}"/>
    <cellStyle name="Normal 45 3 6 3" xfId="37197" xr:uid="{00000000-0005-0000-0000-000073720000}"/>
    <cellStyle name="Normal 45 3 6 3 2" xfId="37199" xr:uid="{00000000-0005-0000-0000-000074720000}"/>
    <cellStyle name="Normal 45 3 6 3 2 2" xfId="25435" xr:uid="{00000000-0005-0000-0000-000075720000}"/>
    <cellStyle name="Normal 45 3 6 3 3" xfId="37201" xr:uid="{00000000-0005-0000-0000-000076720000}"/>
    <cellStyle name="Normal 45 3 6 4" xfId="37203" xr:uid="{00000000-0005-0000-0000-000077720000}"/>
    <cellStyle name="Normal 45 3 6 4 2" xfId="37205" xr:uid="{00000000-0005-0000-0000-000078720000}"/>
    <cellStyle name="Normal 45 3 6 4 2 2" xfId="37207" xr:uid="{00000000-0005-0000-0000-000079720000}"/>
    <cellStyle name="Normal 45 3 6 4 3" xfId="37209" xr:uid="{00000000-0005-0000-0000-00007A720000}"/>
    <cellStyle name="Normal 45 3 6 5" xfId="37211" xr:uid="{00000000-0005-0000-0000-00007B720000}"/>
    <cellStyle name="Normal 45 3 6 5 2" xfId="37213" xr:uid="{00000000-0005-0000-0000-00007C720000}"/>
    <cellStyle name="Normal 45 3 6 6" xfId="37215" xr:uid="{00000000-0005-0000-0000-00007D720000}"/>
    <cellStyle name="Normal 45 3 6 6 2" xfId="37217" xr:uid="{00000000-0005-0000-0000-00007E720000}"/>
    <cellStyle name="Normal 45 3 6 7" xfId="37219" xr:uid="{00000000-0005-0000-0000-00007F720000}"/>
    <cellStyle name="Normal 45 3 6 8" xfId="37221" xr:uid="{00000000-0005-0000-0000-000080720000}"/>
    <cellStyle name="Normal 45 3 7" xfId="37223" xr:uid="{00000000-0005-0000-0000-000081720000}"/>
    <cellStyle name="Normal 45 3 7 2" xfId="37225" xr:uid="{00000000-0005-0000-0000-000082720000}"/>
    <cellStyle name="Normal 45 3 7 2 2" xfId="9683" xr:uid="{00000000-0005-0000-0000-000083720000}"/>
    <cellStyle name="Normal 45 3 7 2 2 2" xfId="37227" xr:uid="{00000000-0005-0000-0000-000084720000}"/>
    <cellStyle name="Normal 45 3 7 2 3" xfId="37229" xr:uid="{00000000-0005-0000-0000-000085720000}"/>
    <cellStyle name="Normal 45 3 7 3" xfId="37231" xr:uid="{00000000-0005-0000-0000-000086720000}"/>
    <cellStyle name="Normal 45 3 7 3 2" xfId="9696" xr:uid="{00000000-0005-0000-0000-000087720000}"/>
    <cellStyle name="Normal 45 3 7 4" xfId="37233" xr:uid="{00000000-0005-0000-0000-000088720000}"/>
    <cellStyle name="Normal 45 3 8" xfId="15118" xr:uid="{00000000-0005-0000-0000-000089720000}"/>
    <cellStyle name="Normal 45 3 8 2" xfId="37235" xr:uid="{00000000-0005-0000-0000-00008A720000}"/>
    <cellStyle name="Normal 45 3 8 2 2" xfId="37237" xr:uid="{00000000-0005-0000-0000-00008B720000}"/>
    <cellStyle name="Normal 45 3 8 3" xfId="9197" xr:uid="{00000000-0005-0000-0000-00008C720000}"/>
    <cellStyle name="Normal 45 3 9" xfId="37239" xr:uid="{00000000-0005-0000-0000-00008D720000}"/>
    <cellStyle name="Normal 45 3 9 2" xfId="37241" xr:uid="{00000000-0005-0000-0000-00008E720000}"/>
    <cellStyle name="Normal 45 3 9 2 2" xfId="37243" xr:uid="{00000000-0005-0000-0000-00008F720000}"/>
    <cellStyle name="Normal 45 3 9 3" xfId="37245" xr:uid="{00000000-0005-0000-0000-000090720000}"/>
    <cellStyle name="Normal 45 4" xfId="37247" xr:uid="{00000000-0005-0000-0000-000091720000}"/>
    <cellStyle name="Normal 45 4 10" xfId="37251" xr:uid="{00000000-0005-0000-0000-000092720000}"/>
    <cellStyle name="Normal 45 4 2" xfId="23913" xr:uid="{00000000-0005-0000-0000-000093720000}"/>
    <cellStyle name="Normal 45 4 2 2" xfId="23917" xr:uid="{00000000-0005-0000-0000-000094720000}"/>
    <cellStyle name="Normal 45 4 2 2 2" xfId="1843" xr:uid="{00000000-0005-0000-0000-000095720000}"/>
    <cellStyle name="Normal 45 4 2 2 2 2" xfId="1860" xr:uid="{00000000-0005-0000-0000-000096720000}"/>
    <cellStyle name="Normal 45 4 2 2 2 2 2" xfId="1878" xr:uid="{00000000-0005-0000-0000-000097720000}"/>
    <cellStyle name="Normal 45 4 2 2 2 2 2 2" xfId="1900" xr:uid="{00000000-0005-0000-0000-000098720000}"/>
    <cellStyle name="Normal 45 4 2 2 2 2 3" xfId="1985" xr:uid="{00000000-0005-0000-0000-000099720000}"/>
    <cellStyle name="Normal 45 4 2 2 2 3" xfId="2129" xr:uid="{00000000-0005-0000-0000-00009A720000}"/>
    <cellStyle name="Normal 45 4 2 2 2 3 2" xfId="2156" xr:uid="{00000000-0005-0000-0000-00009B720000}"/>
    <cellStyle name="Normal 45 4 2 2 2 4" xfId="2206" xr:uid="{00000000-0005-0000-0000-00009C720000}"/>
    <cellStyle name="Normal 45 4 2 2 3" xfId="2297" xr:uid="{00000000-0005-0000-0000-00009D720000}"/>
    <cellStyle name="Normal 45 4 2 2 3 2" xfId="2324" xr:uid="{00000000-0005-0000-0000-00009E720000}"/>
    <cellStyle name="Normal 45 4 2 2 3 2 2" xfId="2356" xr:uid="{00000000-0005-0000-0000-00009F720000}"/>
    <cellStyle name="Normal 45 4 2 2 3 3" xfId="2669" xr:uid="{00000000-0005-0000-0000-0000A0720000}"/>
    <cellStyle name="Normal 45 4 2 2 4" xfId="2861" xr:uid="{00000000-0005-0000-0000-0000A1720000}"/>
    <cellStyle name="Normal 45 4 2 2 4 2" xfId="2914" xr:uid="{00000000-0005-0000-0000-0000A2720000}"/>
    <cellStyle name="Normal 45 4 2 2 4 2 2" xfId="2924" xr:uid="{00000000-0005-0000-0000-0000A3720000}"/>
    <cellStyle name="Normal 45 4 2 2 4 3" xfId="3030" xr:uid="{00000000-0005-0000-0000-0000A4720000}"/>
    <cellStyle name="Normal 45 4 2 2 5" xfId="3324" xr:uid="{00000000-0005-0000-0000-0000A5720000}"/>
    <cellStyle name="Normal 45 4 2 2 5 2" xfId="3329" xr:uid="{00000000-0005-0000-0000-0000A6720000}"/>
    <cellStyle name="Normal 45 4 2 2 6" xfId="3495" xr:uid="{00000000-0005-0000-0000-0000A7720000}"/>
    <cellStyle name="Normal 45 4 2 2 6 2" xfId="3512" xr:uid="{00000000-0005-0000-0000-0000A8720000}"/>
    <cellStyle name="Normal 45 4 2 2 7" xfId="3565" xr:uid="{00000000-0005-0000-0000-0000A9720000}"/>
    <cellStyle name="Normal 45 4 2 2 8" xfId="3596" xr:uid="{00000000-0005-0000-0000-0000AA720000}"/>
    <cellStyle name="Normal 45 4 2 3" xfId="25034" xr:uid="{00000000-0005-0000-0000-0000AB720000}"/>
    <cellStyle name="Normal 45 4 2 3 2" xfId="207" xr:uid="{00000000-0005-0000-0000-0000AC720000}"/>
    <cellStyle name="Normal 45 4 2 3 2 2" xfId="172" xr:uid="{00000000-0005-0000-0000-0000AD720000}"/>
    <cellStyle name="Normal 45 4 2 3 2 2 2" xfId="577" xr:uid="{00000000-0005-0000-0000-0000AE720000}"/>
    <cellStyle name="Normal 45 4 2 3 2 3" xfId="1129" xr:uid="{00000000-0005-0000-0000-0000AF720000}"/>
    <cellStyle name="Normal 45 4 2 3 3" xfId="1512" xr:uid="{00000000-0005-0000-0000-0000B0720000}"/>
    <cellStyle name="Normal 45 4 2 3 3 2" xfId="1527" xr:uid="{00000000-0005-0000-0000-0000B1720000}"/>
    <cellStyle name="Normal 45 4 2 3 4" xfId="324" xr:uid="{00000000-0005-0000-0000-0000B2720000}"/>
    <cellStyle name="Normal 45 4 2 4" xfId="37253" xr:uid="{00000000-0005-0000-0000-0000B3720000}"/>
    <cellStyle name="Normal 45 4 2 4 2" xfId="1848" xr:uid="{00000000-0005-0000-0000-0000B4720000}"/>
    <cellStyle name="Normal 45 4 2 4 2 2" xfId="1872" xr:uid="{00000000-0005-0000-0000-0000B5720000}"/>
    <cellStyle name="Normal 45 4 2 4 3" xfId="2118" xr:uid="{00000000-0005-0000-0000-0000B6720000}"/>
    <cellStyle name="Normal 45 4 2 5" xfId="37255" xr:uid="{00000000-0005-0000-0000-0000B7720000}"/>
    <cellStyle name="Normal 45 4 2 5 2" xfId="2300" xr:uid="{00000000-0005-0000-0000-0000B8720000}"/>
    <cellStyle name="Normal 45 4 2 5 2 2" xfId="2343" xr:uid="{00000000-0005-0000-0000-0000B9720000}"/>
    <cellStyle name="Normal 45 4 2 5 3" xfId="2648" xr:uid="{00000000-0005-0000-0000-0000BA720000}"/>
    <cellStyle name="Normal 45 4 2 6" xfId="37257" xr:uid="{00000000-0005-0000-0000-0000BB720000}"/>
    <cellStyle name="Normal 45 4 2 6 2" xfId="2886" xr:uid="{00000000-0005-0000-0000-0000BC720000}"/>
    <cellStyle name="Normal 45 4 2 7" xfId="36749" xr:uid="{00000000-0005-0000-0000-0000BD720000}"/>
    <cellStyle name="Normal 45 4 2 7 2" xfId="18916" xr:uid="{00000000-0005-0000-0000-0000BE720000}"/>
    <cellStyle name="Normal 45 4 2 8" xfId="37259" xr:uid="{00000000-0005-0000-0000-0000BF720000}"/>
    <cellStyle name="Normal 45 4 2 9" xfId="37261" xr:uid="{00000000-0005-0000-0000-0000C0720000}"/>
    <cellStyle name="Normal 45 4 3" xfId="23927" xr:uid="{00000000-0005-0000-0000-0000C1720000}"/>
    <cellStyle name="Normal 45 4 3 2" xfId="21572" xr:uid="{00000000-0005-0000-0000-0000C2720000}"/>
    <cellStyle name="Normal 45 4 3 2 2" xfId="4305" xr:uid="{00000000-0005-0000-0000-0000C3720000}"/>
    <cellStyle name="Normal 45 4 3 2 2 2" xfId="4320" xr:uid="{00000000-0005-0000-0000-0000C4720000}"/>
    <cellStyle name="Normal 45 4 3 2 2 2 2" xfId="738" xr:uid="{00000000-0005-0000-0000-0000C5720000}"/>
    <cellStyle name="Normal 45 4 3 2 2 3" xfId="4353" xr:uid="{00000000-0005-0000-0000-0000C6720000}"/>
    <cellStyle name="Normal 45 4 3 2 3" xfId="4401" xr:uid="{00000000-0005-0000-0000-0000C7720000}"/>
    <cellStyle name="Normal 45 4 3 2 3 2" xfId="4419" xr:uid="{00000000-0005-0000-0000-0000C8720000}"/>
    <cellStyle name="Normal 45 4 3 2 4" xfId="3274" xr:uid="{00000000-0005-0000-0000-0000C9720000}"/>
    <cellStyle name="Normal 45 4 3 3" xfId="21578" xr:uid="{00000000-0005-0000-0000-0000CA720000}"/>
    <cellStyle name="Normal 45 4 3 3 2" xfId="5099" xr:uid="{00000000-0005-0000-0000-0000CB720000}"/>
    <cellStyle name="Normal 45 4 3 3 2 2" xfId="5110" xr:uid="{00000000-0005-0000-0000-0000CC720000}"/>
    <cellStyle name="Normal 45 4 3 3 3" xfId="3227" xr:uid="{00000000-0005-0000-0000-0000CD720000}"/>
    <cellStyle name="Normal 45 4 3 4" xfId="21582" xr:uid="{00000000-0005-0000-0000-0000CE720000}"/>
    <cellStyle name="Normal 45 4 3 4 2" xfId="177" xr:uid="{00000000-0005-0000-0000-0000CF720000}"/>
    <cellStyle name="Normal 45 4 3 4 2 2" xfId="560" xr:uid="{00000000-0005-0000-0000-0000D0720000}"/>
    <cellStyle name="Normal 45 4 3 4 3" xfId="1136" xr:uid="{00000000-0005-0000-0000-0000D1720000}"/>
    <cellStyle name="Normal 45 4 3 5" xfId="21585" xr:uid="{00000000-0005-0000-0000-0000D2720000}"/>
    <cellStyle name="Normal 45 4 3 5 2" xfId="1531" xr:uid="{00000000-0005-0000-0000-0000D3720000}"/>
    <cellStyle name="Normal 45 4 3 6" xfId="299" xr:uid="{00000000-0005-0000-0000-0000D4720000}"/>
    <cellStyle name="Normal 45 4 3 6 2" xfId="1720" xr:uid="{00000000-0005-0000-0000-0000D5720000}"/>
    <cellStyle name="Normal 45 4 3 7" xfId="37263" xr:uid="{00000000-0005-0000-0000-0000D6720000}"/>
    <cellStyle name="Normal 45 4 3 8" xfId="37265" xr:uid="{00000000-0005-0000-0000-0000D7720000}"/>
    <cellStyle name="Normal 45 4 4" xfId="25037" xr:uid="{00000000-0005-0000-0000-0000D8720000}"/>
    <cellStyle name="Normal 45 4 4 2" xfId="21597" xr:uid="{00000000-0005-0000-0000-0000D9720000}"/>
    <cellStyle name="Normal 45 4 4 2 2" xfId="2420" xr:uid="{00000000-0005-0000-0000-0000DA720000}"/>
    <cellStyle name="Normal 45 4 4 2 2 2" xfId="5561" xr:uid="{00000000-0005-0000-0000-0000DB720000}"/>
    <cellStyle name="Normal 45 4 4 2 3" xfId="5771" xr:uid="{00000000-0005-0000-0000-0000DC720000}"/>
    <cellStyle name="Normal 45 4 4 3" xfId="21602" xr:uid="{00000000-0005-0000-0000-0000DD720000}"/>
    <cellStyle name="Normal 45 4 4 3 2" xfId="4693" xr:uid="{00000000-0005-0000-0000-0000DE720000}"/>
    <cellStyle name="Normal 45 4 4 4" xfId="21605" xr:uid="{00000000-0005-0000-0000-0000DF720000}"/>
    <cellStyle name="Normal 45 4 5" xfId="25043" xr:uid="{00000000-0005-0000-0000-0000E0720000}"/>
    <cellStyle name="Normal 45 4 5 2" xfId="21631" xr:uid="{00000000-0005-0000-0000-0000E1720000}"/>
    <cellStyle name="Normal 45 4 5 2 2" xfId="6784" xr:uid="{00000000-0005-0000-0000-0000E2720000}"/>
    <cellStyle name="Normal 45 4 5 3" xfId="21634" xr:uid="{00000000-0005-0000-0000-0000E3720000}"/>
    <cellStyle name="Normal 45 4 6" xfId="37267" xr:uid="{00000000-0005-0000-0000-0000E4720000}"/>
    <cellStyle name="Normal 45 4 6 2" xfId="37269" xr:uid="{00000000-0005-0000-0000-0000E5720000}"/>
    <cellStyle name="Normal 45 4 6 2 2" xfId="7910" xr:uid="{00000000-0005-0000-0000-0000E6720000}"/>
    <cellStyle name="Normal 45 4 6 3" xfId="37271" xr:uid="{00000000-0005-0000-0000-0000E7720000}"/>
    <cellStyle name="Normal 45 4 7" xfId="37273" xr:uid="{00000000-0005-0000-0000-0000E8720000}"/>
    <cellStyle name="Normal 45 4 7 2" xfId="37275" xr:uid="{00000000-0005-0000-0000-0000E9720000}"/>
    <cellStyle name="Normal 45 4 8" xfId="37277" xr:uid="{00000000-0005-0000-0000-0000EA720000}"/>
    <cellStyle name="Normal 45 4 8 2" xfId="37279" xr:uid="{00000000-0005-0000-0000-0000EB720000}"/>
    <cellStyle name="Normal 45 4 9" xfId="37281" xr:uid="{00000000-0005-0000-0000-0000EC720000}"/>
    <cellStyle name="Normal 45 5" xfId="23932" xr:uid="{00000000-0005-0000-0000-0000ED720000}"/>
    <cellStyle name="Normal 45 5 2" xfId="3641" xr:uid="{00000000-0005-0000-0000-0000EE720000}"/>
    <cellStyle name="Normal 45 5 2 2" xfId="18416" xr:uid="{00000000-0005-0000-0000-0000EF720000}"/>
    <cellStyle name="Normal 45 5 2 2 2" xfId="963" xr:uid="{00000000-0005-0000-0000-0000F0720000}"/>
    <cellStyle name="Normal 45 5 2 2 2 2" xfId="9734" xr:uid="{00000000-0005-0000-0000-0000F1720000}"/>
    <cellStyle name="Normal 45 5 2 2 2 2 2" xfId="37283" xr:uid="{00000000-0005-0000-0000-0000F2720000}"/>
    <cellStyle name="Normal 45 5 2 2 2 3" xfId="37285" xr:uid="{00000000-0005-0000-0000-0000F3720000}"/>
    <cellStyle name="Normal 45 5 2 2 3" xfId="37287" xr:uid="{00000000-0005-0000-0000-0000F4720000}"/>
    <cellStyle name="Normal 45 5 2 2 3 2" xfId="9741" xr:uid="{00000000-0005-0000-0000-0000F5720000}"/>
    <cellStyle name="Normal 45 5 2 2 4" xfId="37289" xr:uid="{00000000-0005-0000-0000-0000F6720000}"/>
    <cellStyle name="Normal 45 5 2 2 5" xfId="37291" xr:uid="{00000000-0005-0000-0000-0000F7720000}"/>
    <cellStyle name="Normal 45 5 2 3" xfId="34180" xr:uid="{00000000-0005-0000-0000-0000F8720000}"/>
    <cellStyle name="Normal 45 5 2 3 2" xfId="5716" xr:uid="{00000000-0005-0000-0000-0000F9720000}"/>
    <cellStyle name="Normal 45 5 2 3 2 2" xfId="9822" xr:uid="{00000000-0005-0000-0000-0000FA720000}"/>
    <cellStyle name="Normal 45 5 2 3 3" xfId="34182" xr:uid="{00000000-0005-0000-0000-0000FB720000}"/>
    <cellStyle name="Normal 45 5 2 4" xfId="34185" xr:uid="{00000000-0005-0000-0000-0000FC720000}"/>
    <cellStyle name="Normal 45 5 2 4 2" xfId="34189" xr:uid="{00000000-0005-0000-0000-0000FD720000}"/>
    <cellStyle name="Normal 45 5 2 4 2 2" xfId="37294" xr:uid="{00000000-0005-0000-0000-0000FE720000}"/>
    <cellStyle name="Normal 45 5 2 4 3" xfId="37297" xr:uid="{00000000-0005-0000-0000-0000FF720000}"/>
    <cellStyle name="Normal 45 5 2 5" xfId="34192" xr:uid="{00000000-0005-0000-0000-000000730000}"/>
    <cellStyle name="Normal 45 5 2 5 2" xfId="37299" xr:uid="{00000000-0005-0000-0000-000001730000}"/>
    <cellStyle name="Normal 45 5 2 6" xfId="37301" xr:uid="{00000000-0005-0000-0000-000002730000}"/>
    <cellStyle name="Normal 45 5 2 6 2" xfId="27824" xr:uid="{00000000-0005-0000-0000-000003730000}"/>
    <cellStyle name="Normal 45 5 2 7" xfId="37303" xr:uid="{00000000-0005-0000-0000-000004730000}"/>
    <cellStyle name="Normal 45 5 2 8" xfId="37305" xr:uid="{00000000-0005-0000-0000-000005730000}"/>
    <cellStyle name="Normal 45 5 3" xfId="23942" xr:uid="{00000000-0005-0000-0000-000006730000}"/>
    <cellStyle name="Normal 45 5 3 2" xfId="37310" xr:uid="{00000000-0005-0000-0000-000007730000}"/>
    <cellStyle name="Normal 45 5 3 2 2" xfId="4190" xr:uid="{00000000-0005-0000-0000-000008730000}"/>
    <cellStyle name="Normal 45 5 3 2 2 2" xfId="37312" xr:uid="{00000000-0005-0000-0000-000009730000}"/>
    <cellStyle name="Normal 45 5 3 2 3" xfId="37314" xr:uid="{00000000-0005-0000-0000-00000A730000}"/>
    <cellStyle name="Normal 45 5 3 3" xfId="34199" xr:uid="{00000000-0005-0000-0000-00000B730000}"/>
    <cellStyle name="Normal 45 5 3 3 2" xfId="4210" xr:uid="{00000000-0005-0000-0000-00000C730000}"/>
    <cellStyle name="Normal 45 5 3 4" xfId="34204" xr:uid="{00000000-0005-0000-0000-00000D730000}"/>
    <cellStyle name="Normal 45 5 3 5" xfId="37316" xr:uid="{00000000-0005-0000-0000-00000E730000}"/>
    <cellStyle name="Normal 45 5 4" xfId="37318" xr:uid="{00000000-0005-0000-0000-00000F730000}"/>
    <cellStyle name="Normal 45 5 4 2" xfId="37323" xr:uid="{00000000-0005-0000-0000-000010730000}"/>
    <cellStyle name="Normal 45 5 4 2 2" xfId="3893" xr:uid="{00000000-0005-0000-0000-000011730000}"/>
    <cellStyle name="Normal 45 5 4 3" xfId="34212" xr:uid="{00000000-0005-0000-0000-000012730000}"/>
    <cellStyle name="Normal 45 5 5" xfId="37325" xr:uid="{00000000-0005-0000-0000-000013730000}"/>
    <cellStyle name="Normal 45 5 5 2" xfId="37327" xr:uid="{00000000-0005-0000-0000-000014730000}"/>
    <cellStyle name="Normal 45 5 5 2 2" xfId="6152" xr:uid="{00000000-0005-0000-0000-000015730000}"/>
    <cellStyle name="Normal 45 5 5 3" xfId="34219" xr:uid="{00000000-0005-0000-0000-000016730000}"/>
    <cellStyle name="Normal 45 5 6" xfId="37329" xr:uid="{00000000-0005-0000-0000-000017730000}"/>
    <cellStyle name="Normal 45 5 6 2" xfId="37331" xr:uid="{00000000-0005-0000-0000-000018730000}"/>
    <cellStyle name="Normal 45 5 7" xfId="37333" xr:uid="{00000000-0005-0000-0000-000019730000}"/>
    <cellStyle name="Normal 45 5 7 2" xfId="37335" xr:uid="{00000000-0005-0000-0000-00001A730000}"/>
    <cellStyle name="Normal 45 5 8" xfId="37337" xr:uid="{00000000-0005-0000-0000-00001B730000}"/>
    <cellStyle name="Normal 45 5 9" xfId="37339" xr:uid="{00000000-0005-0000-0000-00001C730000}"/>
    <cellStyle name="Normal 45 6" xfId="26077" xr:uid="{00000000-0005-0000-0000-00001D730000}"/>
    <cellStyle name="Normal 45 6 2" xfId="26081" xr:uid="{00000000-0005-0000-0000-00001E730000}"/>
    <cellStyle name="Normal 45 6 2 2" xfId="37342" xr:uid="{00000000-0005-0000-0000-00001F730000}"/>
    <cellStyle name="Normal 45 6 2 2 2" xfId="37344" xr:uid="{00000000-0005-0000-0000-000020730000}"/>
    <cellStyle name="Normal 45 6 2 2 2 2" xfId="10501" xr:uid="{00000000-0005-0000-0000-000021730000}"/>
    <cellStyle name="Normal 45 6 2 2 2 2 2" xfId="10780" xr:uid="{00000000-0005-0000-0000-000022730000}"/>
    <cellStyle name="Normal 45 6 2 2 2 3" xfId="8400" xr:uid="{00000000-0005-0000-0000-000023730000}"/>
    <cellStyle name="Normal 45 6 2 2 3" xfId="37346" xr:uid="{00000000-0005-0000-0000-000024730000}"/>
    <cellStyle name="Normal 45 6 2 2 3 2" xfId="10520" xr:uid="{00000000-0005-0000-0000-000025730000}"/>
    <cellStyle name="Normal 45 6 2 2 4" xfId="37348" xr:uid="{00000000-0005-0000-0000-000026730000}"/>
    <cellStyle name="Normal 45 6 2 3" xfId="11224" xr:uid="{00000000-0005-0000-0000-000027730000}"/>
    <cellStyle name="Normal 45 6 2 3 2" xfId="34265" xr:uid="{00000000-0005-0000-0000-000028730000}"/>
    <cellStyle name="Normal 45 6 2 3 2 2" xfId="10586" xr:uid="{00000000-0005-0000-0000-000029730000}"/>
    <cellStyle name="Normal 45 6 2 3 3" xfId="37350" xr:uid="{00000000-0005-0000-0000-00002A730000}"/>
    <cellStyle name="Normal 45 6 2 4" xfId="34269" xr:uid="{00000000-0005-0000-0000-00002B730000}"/>
    <cellStyle name="Normal 45 6 2 4 2" xfId="37352" xr:uid="{00000000-0005-0000-0000-00002C730000}"/>
    <cellStyle name="Normal 45 6 2 4 2 2" xfId="37354" xr:uid="{00000000-0005-0000-0000-00002D730000}"/>
    <cellStyle name="Normal 45 6 2 4 3" xfId="37357" xr:uid="{00000000-0005-0000-0000-00002E730000}"/>
    <cellStyle name="Normal 45 6 2 5" xfId="37359" xr:uid="{00000000-0005-0000-0000-00002F730000}"/>
    <cellStyle name="Normal 45 6 2 5 2" xfId="36181" xr:uid="{00000000-0005-0000-0000-000030730000}"/>
    <cellStyle name="Normal 45 6 2 6" xfId="37361" xr:uid="{00000000-0005-0000-0000-000031730000}"/>
    <cellStyle name="Normal 45 6 2 6 2" xfId="12952" xr:uid="{00000000-0005-0000-0000-000032730000}"/>
    <cellStyle name="Normal 45 6 2 7" xfId="37363" xr:uid="{00000000-0005-0000-0000-000033730000}"/>
    <cellStyle name="Normal 45 6 2 8" xfId="25590" xr:uid="{00000000-0005-0000-0000-000034730000}"/>
    <cellStyle name="Normal 45 6 3" xfId="37367" xr:uid="{00000000-0005-0000-0000-000035730000}"/>
    <cellStyle name="Normal 45 6 3 2" xfId="37369" xr:uid="{00000000-0005-0000-0000-000036730000}"/>
    <cellStyle name="Normal 45 6 3 2 2" xfId="37373" xr:uid="{00000000-0005-0000-0000-000037730000}"/>
    <cellStyle name="Normal 45 6 3 2 2 2" xfId="10855" xr:uid="{00000000-0005-0000-0000-000038730000}"/>
    <cellStyle name="Normal 45 6 3 2 3" xfId="37375" xr:uid="{00000000-0005-0000-0000-000039730000}"/>
    <cellStyle name="Normal 45 6 3 3" xfId="4345" xr:uid="{00000000-0005-0000-0000-00003A730000}"/>
    <cellStyle name="Normal 45 6 3 3 2" xfId="34273" xr:uid="{00000000-0005-0000-0000-00003B730000}"/>
    <cellStyle name="Normal 45 6 3 4" xfId="34276" xr:uid="{00000000-0005-0000-0000-00003C730000}"/>
    <cellStyle name="Normal 45 6 4" xfId="37377" xr:uid="{00000000-0005-0000-0000-00003D730000}"/>
    <cellStyle name="Normal 45 6 4 2" xfId="37379" xr:uid="{00000000-0005-0000-0000-00003E730000}"/>
    <cellStyle name="Normal 45 6 4 2 2" xfId="37381" xr:uid="{00000000-0005-0000-0000-00003F730000}"/>
    <cellStyle name="Normal 45 6 4 3" xfId="11233" xr:uid="{00000000-0005-0000-0000-000040730000}"/>
    <cellStyle name="Normal 45 6 5" xfId="37383" xr:uid="{00000000-0005-0000-0000-000041730000}"/>
    <cellStyle name="Normal 45 6 5 2" xfId="37385" xr:uid="{00000000-0005-0000-0000-000042730000}"/>
    <cellStyle name="Normal 45 6 5 2 2" xfId="17623" xr:uid="{00000000-0005-0000-0000-000043730000}"/>
    <cellStyle name="Normal 45 6 5 3" xfId="34279" xr:uid="{00000000-0005-0000-0000-000044730000}"/>
    <cellStyle name="Normal 45 6 6" xfId="37387" xr:uid="{00000000-0005-0000-0000-000045730000}"/>
    <cellStyle name="Normal 45 6 6 2" xfId="37389" xr:uid="{00000000-0005-0000-0000-000046730000}"/>
    <cellStyle name="Normal 45 6 7" xfId="37391" xr:uid="{00000000-0005-0000-0000-000047730000}"/>
    <cellStyle name="Normal 45 6 7 2" xfId="37393" xr:uid="{00000000-0005-0000-0000-000048730000}"/>
    <cellStyle name="Normal 45 6 8" xfId="37395" xr:uid="{00000000-0005-0000-0000-000049730000}"/>
    <cellStyle name="Normal 45 6 9" xfId="28121" xr:uid="{00000000-0005-0000-0000-00004A730000}"/>
    <cellStyle name="Normal 45 7" xfId="26088" xr:uid="{00000000-0005-0000-0000-00004B730000}"/>
    <cellStyle name="Normal 45 7 2" xfId="36288" xr:uid="{00000000-0005-0000-0000-00004C730000}"/>
    <cellStyle name="Normal 45 7 2 2" xfId="37398" xr:uid="{00000000-0005-0000-0000-00004D730000}"/>
    <cellStyle name="Normal 45 7 2 2 2" xfId="34615" xr:uid="{00000000-0005-0000-0000-00004E730000}"/>
    <cellStyle name="Normal 45 7 2 2 2 2" xfId="10226" xr:uid="{00000000-0005-0000-0000-00004F730000}"/>
    <cellStyle name="Normal 45 7 2 2 2 2 2" xfId="27663" xr:uid="{00000000-0005-0000-0000-000050730000}"/>
    <cellStyle name="Normal 45 7 2 2 2 3" xfId="11419" xr:uid="{00000000-0005-0000-0000-000051730000}"/>
    <cellStyle name="Normal 45 7 2 2 3" xfId="34619" xr:uid="{00000000-0005-0000-0000-000052730000}"/>
    <cellStyle name="Normal 45 7 2 2 3 2" xfId="11108" xr:uid="{00000000-0005-0000-0000-000053730000}"/>
    <cellStyle name="Normal 45 7 2 2 4" xfId="37400" xr:uid="{00000000-0005-0000-0000-000054730000}"/>
    <cellStyle name="Normal 45 7 2 3" xfId="34292" xr:uid="{00000000-0005-0000-0000-000055730000}"/>
    <cellStyle name="Normal 45 7 2 3 2" xfId="34295" xr:uid="{00000000-0005-0000-0000-000056730000}"/>
    <cellStyle name="Normal 45 7 2 3 2 2" xfId="8101" xr:uid="{00000000-0005-0000-0000-000057730000}"/>
    <cellStyle name="Normal 45 7 2 3 3" xfId="34243" xr:uid="{00000000-0005-0000-0000-000058730000}"/>
    <cellStyle name="Normal 45 7 2 4" xfId="14901" xr:uid="{00000000-0005-0000-0000-000059730000}"/>
    <cellStyle name="Normal 45 7 2 4 2" xfId="34720" xr:uid="{00000000-0005-0000-0000-00005A730000}"/>
    <cellStyle name="Normal 45 7 2 4 2 2" xfId="37403" xr:uid="{00000000-0005-0000-0000-00005B730000}"/>
    <cellStyle name="Normal 45 7 2 4 3" xfId="37405" xr:uid="{00000000-0005-0000-0000-00005C730000}"/>
    <cellStyle name="Normal 45 7 2 5" xfId="29465" xr:uid="{00000000-0005-0000-0000-00005D730000}"/>
    <cellStyle name="Normal 45 7 2 5 2" xfId="37407" xr:uid="{00000000-0005-0000-0000-00005E730000}"/>
    <cellStyle name="Normal 45 7 2 6" xfId="37409" xr:uid="{00000000-0005-0000-0000-00005F730000}"/>
    <cellStyle name="Normal 45 7 2 6 2" xfId="28761" xr:uid="{00000000-0005-0000-0000-000060730000}"/>
    <cellStyle name="Normal 45 7 2 7" xfId="37411" xr:uid="{00000000-0005-0000-0000-000061730000}"/>
    <cellStyle name="Normal 45 7 2 8" xfId="37414" xr:uid="{00000000-0005-0000-0000-000062730000}"/>
    <cellStyle name="Normal 45 7 3" xfId="37419" xr:uid="{00000000-0005-0000-0000-000063730000}"/>
    <cellStyle name="Normal 45 7 3 2" xfId="37421" xr:uid="{00000000-0005-0000-0000-000064730000}"/>
    <cellStyle name="Normal 45 7 3 2 2" xfId="36092" xr:uid="{00000000-0005-0000-0000-000065730000}"/>
    <cellStyle name="Normal 45 7 3 2 2 2" xfId="37423" xr:uid="{00000000-0005-0000-0000-000066730000}"/>
    <cellStyle name="Normal 45 7 3 2 3" xfId="28073" xr:uid="{00000000-0005-0000-0000-000067730000}"/>
    <cellStyle name="Normal 45 7 3 3" xfId="34299" xr:uid="{00000000-0005-0000-0000-000068730000}"/>
    <cellStyle name="Normal 45 7 3 3 2" xfId="34302" xr:uid="{00000000-0005-0000-0000-000069730000}"/>
    <cellStyle name="Normal 45 7 3 4" xfId="12070" xr:uid="{00000000-0005-0000-0000-00006A730000}"/>
    <cellStyle name="Normal 45 7 4" xfId="27133" xr:uid="{00000000-0005-0000-0000-00006B730000}"/>
    <cellStyle name="Normal 45 7 4 2" xfId="37425" xr:uid="{00000000-0005-0000-0000-00006C730000}"/>
    <cellStyle name="Normal 45 7 4 2 2" xfId="37429" xr:uid="{00000000-0005-0000-0000-00006D730000}"/>
    <cellStyle name="Normal 45 7 4 3" xfId="34308" xr:uid="{00000000-0005-0000-0000-00006E730000}"/>
    <cellStyle name="Normal 45 7 5" xfId="37431" xr:uid="{00000000-0005-0000-0000-00006F730000}"/>
    <cellStyle name="Normal 45 7 5 2" xfId="37433" xr:uid="{00000000-0005-0000-0000-000070730000}"/>
    <cellStyle name="Normal 45 7 5 2 2" xfId="37437" xr:uid="{00000000-0005-0000-0000-000071730000}"/>
    <cellStyle name="Normal 45 7 5 3" xfId="33528" xr:uid="{00000000-0005-0000-0000-000072730000}"/>
    <cellStyle name="Normal 45 7 6" xfId="37439" xr:uid="{00000000-0005-0000-0000-000073730000}"/>
    <cellStyle name="Normal 45 7 6 2" xfId="37441" xr:uid="{00000000-0005-0000-0000-000074730000}"/>
    <cellStyle name="Normal 45 7 7" xfId="37443" xr:uid="{00000000-0005-0000-0000-000075730000}"/>
    <cellStyle name="Normal 45 7 7 2" xfId="37445" xr:uid="{00000000-0005-0000-0000-000076730000}"/>
    <cellStyle name="Normal 45 7 8" xfId="37427" xr:uid="{00000000-0005-0000-0000-000077730000}"/>
    <cellStyle name="Normal 45 7 9" xfId="28139" xr:uid="{00000000-0005-0000-0000-000078730000}"/>
    <cellStyle name="Normal 45 8" xfId="26099" xr:uid="{00000000-0005-0000-0000-000079730000}"/>
    <cellStyle name="Normal 45 8 2" xfId="37449" xr:uid="{00000000-0005-0000-0000-00007A730000}"/>
    <cellStyle name="Normal 45 8 2 2" xfId="37451" xr:uid="{00000000-0005-0000-0000-00007B730000}"/>
    <cellStyle name="Normal 45 8 2 2 2" xfId="37454" xr:uid="{00000000-0005-0000-0000-00007C730000}"/>
    <cellStyle name="Normal 45 8 2 2 2 2" xfId="11041" xr:uid="{00000000-0005-0000-0000-00007D730000}"/>
    <cellStyle name="Normal 45 8 2 2 3" xfId="16896" xr:uid="{00000000-0005-0000-0000-00007E730000}"/>
    <cellStyle name="Normal 45 8 2 3" xfId="34341" xr:uid="{00000000-0005-0000-0000-00007F730000}"/>
    <cellStyle name="Normal 45 8 2 3 2" xfId="34346" xr:uid="{00000000-0005-0000-0000-000080730000}"/>
    <cellStyle name="Normal 45 8 2 4" xfId="34348" xr:uid="{00000000-0005-0000-0000-000081730000}"/>
    <cellStyle name="Normal 45 8 3" xfId="37456" xr:uid="{00000000-0005-0000-0000-000082730000}"/>
    <cellStyle name="Normal 45 8 3 2" xfId="37458" xr:uid="{00000000-0005-0000-0000-000083730000}"/>
    <cellStyle name="Normal 45 8 3 2 2" xfId="37461" xr:uid="{00000000-0005-0000-0000-000084730000}"/>
    <cellStyle name="Normal 45 8 3 3" xfId="34353" xr:uid="{00000000-0005-0000-0000-000085730000}"/>
    <cellStyle name="Normal 45 8 4" xfId="30645" xr:uid="{00000000-0005-0000-0000-000086730000}"/>
    <cellStyle name="Normal 45 8 4 2" xfId="37463" xr:uid="{00000000-0005-0000-0000-000087730000}"/>
    <cellStyle name="Normal 45 8 4 2 2" xfId="37466" xr:uid="{00000000-0005-0000-0000-000088730000}"/>
    <cellStyle name="Normal 45 8 4 3" xfId="34359" xr:uid="{00000000-0005-0000-0000-000089730000}"/>
    <cellStyle name="Normal 45 8 5" xfId="37468" xr:uid="{00000000-0005-0000-0000-00008A730000}"/>
    <cellStyle name="Normal 45 8 5 2" xfId="6587" xr:uid="{00000000-0005-0000-0000-00008B730000}"/>
    <cellStyle name="Normal 45 8 6" xfId="37470" xr:uid="{00000000-0005-0000-0000-00008C730000}"/>
    <cellStyle name="Normal 45 8 6 2" xfId="8261" xr:uid="{00000000-0005-0000-0000-00008D730000}"/>
    <cellStyle name="Normal 45 8 7" xfId="37472" xr:uid="{00000000-0005-0000-0000-00008E730000}"/>
    <cellStyle name="Normal 45 8 8" xfId="37474" xr:uid="{00000000-0005-0000-0000-00008F730000}"/>
    <cellStyle name="Normal 45 9" xfId="24206" xr:uid="{00000000-0005-0000-0000-000090730000}"/>
    <cellStyle name="Normal 45 9 2" xfId="28329" xr:uid="{00000000-0005-0000-0000-000091730000}"/>
    <cellStyle name="Normal 45 9 2 2" xfId="2122" xr:uid="{00000000-0005-0000-0000-000092730000}"/>
    <cellStyle name="Normal 45 9 2 2 2" xfId="37477" xr:uid="{00000000-0005-0000-0000-000093730000}"/>
    <cellStyle name="Normal 45 9 2 3" xfId="2215" xr:uid="{00000000-0005-0000-0000-000094730000}"/>
    <cellStyle name="Normal 45 9 3" xfId="28331" xr:uid="{00000000-0005-0000-0000-000095730000}"/>
    <cellStyle name="Normal 45 9 3 2" xfId="2662" xr:uid="{00000000-0005-0000-0000-000096730000}"/>
    <cellStyle name="Normal 45 9 4" xfId="37479" xr:uid="{00000000-0005-0000-0000-000097730000}"/>
    <cellStyle name="Normal 46" xfId="11363" xr:uid="{00000000-0005-0000-0000-000098730000}"/>
    <cellStyle name="Normal 46 10" xfId="37481" xr:uid="{00000000-0005-0000-0000-000099730000}"/>
    <cellStyle name="Normal 46 10 2" xfId="14977" xr:uid="{00000000-0005-0000-0000-00009A730000}"/>
    <cellStyle name="Normal 46 10 2 2" xfId="14983" xr:uid="{00000000-0005-0000-0000-00009B730000}"/>
    <cellStyle name="Normal 46 10 3" xfId="14987" xr:uid="{00000000-0005-0000-0000-00009C730000}"/>
    <cellStyle name="Normal 46 11" xfId="37483" xr:uid="{00000000-0005-0000-0000-00009D730000}"/>
    <cellStyle name="Normal 46 11 2" xfId="15001" xr:uid="{00000000-0005-0000-0000-00009E730000}"/>
    <cellStyle name="Normal 46 11 2 2" xfId="37485" xr:uid="{00000000-0005-0000-0000-00009F730000}"/>
    <cellStyle name="Normal 46 11 3" xfId="37487" xr:uid="{00000000-0005-0000-0000-0000A0730000}"/>
    <cellStyle name="Normal 46 12" xfId="37489" xr:uid="{00000000-0005-0000-0000-0000A1730000}"/>
    <cellStyle name="Normal 46 12 2" xfId="15018" xr:uid="{00000000-0005-0000-0000-0000A2730000}"/>
    <cellStyle name="Normal 46 13" xfId="37491" xr:uid="{00000000-0005-0000-0000-0000A3730000}"/>
    <cellStyle name="Normal 46 13 2" xfId="37495" xr:uid="{00000000-0005-0000-0000-0000A4730000}"/>
    <cellStyle name="Normal 46 14" xfId="18211" xr:uid="{00000000-0005-0000-0000-0000A5730000}"/>
    <cellStyle name="Normal 46 14 2" xfId="37497" xr:uid="{00000000-0005-0000-0000-0000A6730000}"/>
    <cellStyle name="Normal 46 15" xfId="37499" xr:uid="{00000000-0005-0000-0000-0000A7730000}"/>
    <cellStyle name="Normal 46 16" xfId="37501" xr:uid="{00000000-0005-0000-0000-0000A8730000}"/>
    <cellStyle name="Normal 46 2" xfId="30248" xr:uid="{00000000-0005-0000-0000-0000A9730000}"/>
    <cellStyle name="Normal 46 2 10" xfId="37503" xr:uid="{00000000-0005-0000-0000-0000AA730000}"/>
    <cellStyle name="Normal 46 2 10 2" xfId="6938" xr:uid="{00000000-0005-0000-0000-0000AB730000}"/>
    <cellStyle name="Normal 46 2 11" xfId="37505" xr:uid="{00000000-0005-0000-0000-0000AC730000}"/>
    <cellStyle name="Normal 46 2 11 2" xfId="5955" xr:uid="{00000000-0005-0000-0000-0000AD730000}"/>
    <cellStyle name="Normal 46 2 12" xfId="37507" xr:uid="{00000000-0005-0000-0000-0000AE730000}"/>
    <cellStyle name="Normal 46 2 12 2" xfId="37509" xr:uid="{00000000-0005-0000-0000-0000AF730000}"/>
    <cellStyle name="Normal 46 2 13" xfId="37512" xr:uid="{00000000-0005-0000-0000-0000B0730000}"/>
    <cellStyle name="Normal 46 2 14" xfId="37515" xr:uid="{00000000-0005-0000-0000-0000B1730000}"/>
    <cellStyle name="Normal 46 2 2" xfId="37517" xr:uid="{00000000-0005-0000-0000-0000B2730000}"/>
    <cellStyle name="Normal 46 2 2 10" xfId="37520" xr:uid="{00000000-0005-0000-0000-0000B3730000}"/>
    <cellStyle name="Normal 46 2 2 2" xfId="20632" xr:uid="{00000000-0005-0000-0000-0000B4730000}"/>
    <cellStyle name="Normal 46 2 2 2 2" xfId="37523" xr:uid="{00000000-0005-0000-0000-0000B5730000}"/>
    <cellStyle name="Normal 46 2 2 2 2 2" xfId="37525" xr:uid="{00000000-0005-0000-0000-0000B6730000}"/>
    <cellStyle name="Normal 46 2 2 2 2 2 2" xfId="7125" xr:uid="{00000000-0005-0000-0000-0000B7730000}"/>
    <cellStyle name="Normal 46 2 2 2 2 2 2 2" xfId="37527" xr:uid="{00000000-0005-0000-0000-0000B8730000}"/>
    <cellStyle name="Normal 46 2 2 2 2 2 2 2 2" xfId="37530" xr:uid="{00000000-0005-0000-0000-0000B9730000}"/>
    <cellStyle name="Normal 46 2 2 2 2 2 2 3" xfId="37533" xr:uid="{00000000-0005-0000-0000-0000BA730000}"/>
    <cellStyle name="Normal 46 2 2 2 2 2 3" xfId="37535" xr:uid="{00000000-0005-0000-0000-0000BB730000}"/>
    <cellStyle name="Normal 46 2 2 2 2 2 3 2" xfId="37537" xr:uid="{00000000-0005-0000-0000-0000BC730000}"/>
    <cellStyle name="Normal 46 2 2 2 2 2 4" xfId="23504" xr:uid="{00000000-0005-0000-0000-0000BD730000}"/>
    <cellStyle name="Normal 46 2 2 2 2 3" xfId="37539" xr:uid="{00000000-0005-0000-0000-0000BE730000}"/>
    <cellStyle name="Normal 46 2 2 2 2 3 2" xfId="7156" xr:uid="{00000000-0005-0000-0000-0000BF730000}"/>
    <cellStyle name="Normal 46 2 2 2 2 3 2 2" xfId="20078" xr:uid="{00000000-0005-0000-0000-0000C0730000}"/>
    <cellStyle name="Normal 46 2 2 2 2 3 3" xfId="37542" xr:uid="{00000000-0005-0000-0000-0000C1730000}"/>
    <cellStyle name="Normal 46 2 2 2 2 4" xfId="37544" xr:uid="{00000000-0005-0000-0000-0000C2730000}"/>
    <cellStyle name="Normal 46 2 2 2 2 4 2" xfId="37546" xr:uid="{00000000-0005-0000-0000-0000C3730000}"/>
    <cellStyle name="Normal 46 2 2 2 2 4 2 2" xfId="37548" xr:uid="{00000000-0005-0000-0000-0000C4730000}"/>
    <cellStyle name="Normal 46 2 2 2 2 4 3" xfId="37550" xr:uid="{00000000-0005-0000-0000-0000C5730000}"/>
    <cellStyle name="Normal 46 2 2 2 2 5" xfId="37552" xr:uid="{00000000-0005-0000-0000-0000C6730000}"/>
    <cellStyle name="Normal 46 2 2 2 2 5 2" xfId="37554" xr:uid="{00000000-0005-0000-0000-0000C7730000}"/>
    <cellStyle name="Normal 46 2 2 2 2 6" xfId="37556" xr:uid="{00000000-0005-0000-0000-0000C8730000}"/>
    <cellStyle name="Normal 46 2 2 2 2 6 2" xfId="37558" xr:uid="{00000000-0005-0000-0000-0000C9730000}"/>
    <cellStyle name="Normal 46 2 2 2 2 7" xfId="37002" xr:uid="{00000000-0005-0000-0000-0000CA730000}"/>
    <cellStyle name="Normal 46 2 2 2 2 8" xfId="37560" xr:uid="{00000000-0005-0000-0000-0000CB730000}"/>
    <cellStyle name="Normal 46 2 2 2 3" xfId="37562" xr:uid="{00000000-0005-0000-0000-0000CC730000}"/>
    <cellStyle name="Normal 46 2 2 2 3 2" xfId="37564" xr:uid="{00000000-0005-0000-0000-0000CD730000}"/>
    <cellStyle name="Normal 46 2 2 2 3 2 2" xfId="46" xr:uid="{00000000-0005-0000-0000-0000CE730000}"/>
    <cellStyle name="Normal 46 2 2 2 3 2 2 2" xfId="7329" xr:uid="{00000000-0005-0000-0000-0000CF730000}"/>
    <cellStyle name="Normal 46 2 2 2 3 2 3" xfId="291" xr:uid="{00000000-0005-0000-0000-0000D0730000}"/>
    <cellStyle name="Normal 46 2 2 2 3 3" xfId="7346" xr:uid="{00000000-0005-0000-0000-0000D1730000}"/>
    <cellStyle name="Normal 46 2 2 2 3 3 2" xfId="7354" xr:uid="{00000000-0005-0000-0000-0000D2730000}"/>
    <cellStyle name="Normal 46 2 2 2 3 4" xfId="4872" xr:uid="{00000000-0005-0000-0000-0000D3730000}"/>
    <cellStyle name="Normal 46 2 2 2 4" xfId="2844" xr:uid="{00000000-0005-0000-0000-0000D4730000}"/>
    <cellStyle name="Normal 46 2 2 2 4 2" xfId="5001" xr:uid="{00000000-0005-0000-0000-0000D5730000}"/>
    <cellStyle name="Normal 46 2 2 2 4 2 2" xfId="18572" xr:uid="{00000000-0005-0000-0000-0000D6730000}"/>
    <cellStyle name="Normal 46 2 2 2 4 3" xfId="7478" xr:uid="{00000000-0005-0000-0000-0000D7730000}"/>
    <cellStyle name="Normal 46 2 2 2 5" xfId="5009" xr:uid="{00000000-0005-0000-0000-0000D8730000}"/>
    <cellStyle name="Normal 46 2 2 2 5 2" xfId="37566" xr:uid="{00000000-0005-0000-0000-0000D9730000}"/>
    <cellStyle name="Normal 46 2 2 2 5 2 2" xfId="13931" xr:uid="{00000000-0005-0000-0000-0000DA730000}"/>
    <cellStyle name="Normal 46 2 2 2 5 3" xfId="37568" xr:uid="{00000000-0005-0000-0000-0000DB730000}"/>
    <cellStyle name="Normal 46 2 2 2 6" xfId="5544" xr:uid="{00000000-0005-0000-0000-0000DC730000}"/>
    <cellStyle name="Normal 46 2 2 2 6 2" xfId="37570" xr:uid="{00000000-0005-0000-0000-0000DD730000}"/>
    <cellStyle name="Normal 46 2 2 2 7" xfId="37572" xr:uid="{00000000-0005-0000-0000-0000DE730000}"/>
    <cellStyle name="Normal 46 2 2 2 7 2" xfId="37574" xr:uid="{00000000-0005-0000-0000-0000DF730000}"/>
    <cellStyle name="Normal 46 2 2 2 8" xfId="25483" xr:uid="{00000000-0005-0000-0000-0000E0730000}"/>
    <cellStyle name="Normal 46 2 2 2 9" xfId="9694" xr:uid="{00000000-0005-0000-0000-0000E1730000}"/>
    <cellStyle name="Normal 46 2 2 3" xfId="37576" xr:uid="{00000000-0005-0000-0000-0000E2730000}"/>
    <cellStyle name="Normal 46 2 2 3 2" xfId="30094" xr:uid="{00000000-0005-0000-0000-0000E3730000}"/>
    <cellStyle name="Normal 46 2 2 3 2 2" xfId="37578" xr:uid="{00000000-0005-0000-0000-0000E4730000}"/>
    <cellStyle name="Normal 46 2 2 3 2 2 2" xfId="37580" xr:uid="{00000000-0005-0000-0000-0000E5730000}"/>
    <cellStyle name="Normal 46 2 2 3 2 2 2 2" xfId="9001" xr:uid="{00000000-0005-0000-0000-0000E6730000}"/>
    <cellStyle name="Normal 46 2 2 3 2 2 3" xfId="37582" xr:uid="{00000000-0005-0000-0000-0000E7730000}"/>
    <cellStyle name="Normal 46 2 2 3 2 3" xfId="37584" xr:uid="{00000000-0005-0000-0000-0000E8730000}"/>
    <cellStyle name="Normal 46 2 2 3 2 3 2" xfId="37586" xr:uid="{00000000-0005-0000-0000-0000E9730000}"/>
    <cellStyle name="Normal 46 2 2 3 2 4" xfId="37588" xr:uid="{00000000-0005-0000-0000-0000EA730000}"/>
    <cellStyle name="Normal 46 2 2 3 3" xfId="37590" xr:uid="{00000000-0005-0000-0000-0000EB730000}"/>
    <cellStyle name="Normal 46 2 2 3 3 2" xfId="37592" xr:uid="{00000000-0005-0000-0000-0000EC730000}"/>
    <cellStyle name="Normal 46 2 2 3 3 2 2" xfId="11906" xr:uid="{00000000-0005-0000-0000-0000ED730000}"/>
    <cellStyle name="Normal 46 2 2 3 3 3" xfId="10305" xr:uid="{00000000-0005-0000-0000-0000EE730000}"/>
    <cellStyle name="Normal 46 2 2 3 4" xfId="37594" xr:uid="{00000000-0005-0000-0000-0000EF730000}"/>
    <cellStyle name="Normal 46 2 2 3 4 2" xfId="37596" xr:uid="{00000000-0005-0000-0000-0000F0730000}"/>
    <cellStyle name="Normal 46 2 2 3 4 2 2" xfId="37598" xr:uid="{00000000-0005-0000-0000-0000F1730000}"/>
    <cellStyle name="Normal 46 2 2 3 4 3" xfId="37600" xr:uid="{00000000-0005-0000-0000-0000F2730000}"/>
    <cellStyle name="Normal 46 2 2 3 5" xfId="34008" xr:uid="{00000000-0005-0000-0000-0000F3730000}"/>
    <cellStyle name="Normal 46 2 2 3 5 2" xfId="34012" xr:uid="{00000000-0005-0000-0000-0000F4730000}"/>
    <cellStyle name="Normal 46 2 2 3 6" xfId="34016" xr:uid="{00000000-0005-0000-0000-0000F5730000}"/>
    <cellStyle name="Normal 46 2 2 3 6 2" xfId="37602" xr:uid="{00000000-0005-0000-0000-0000F6730000}"/>
    <cellStyle name="Normal 46 2 2 3 7" xfId="12597" xr:uid="{00000000-0005-0000-0000-0000F7730000}"/>
    <cellStyle name="Normal 46 2 2 3 8" xfId="37604" xr:uid="{00000000-0005-0000-0000-0000F8730000}"/>
    <cellStyle name="Normal 46 2 2 4" xfId="8498" xr:uid="{00000000-0005-0000-0000-0000F9730000}"/>
    <cellStyle name="Normal 46 2 2 4 2" xfId="8503" xr:uid="{00000000-0005-0000-0000-0000FA730000}"/>
    <cellStyle name="Normal 46 2 2 4 2 2" xfId="37606" xr:uid="{00000000-0005-0000-0000-0000FB730000}"/>
    <cellStyle name="Normal 46 2 2 4 2 2 2" xfId="18799" xr:uid="{00000000-0005-0000-0000-0000FC730000}"/>
    <cellStyle name="Normal 46 2 2 4 2 3" xfId="37608" xr:uid="{00000000-0005-0000-0000-0000FD730000}"/>
    <cellStyle name="Normal 46 2 2 4 3" xfId="14624" xr:uid="{00000000-0005-0000-0000-0000FE730000}"/>
    <cellStyle name="Normal 46 2 2 4 3 2" xfId="37610" xr:uid="{00000000-0005-0000-0000-0000FF730000}"/>
    <cellStyle name="Normal 46 2 2 4 4" xfId="37612" xr:uid="{00000000-0005-0000-0000-000000740000}"/>
    <cellStyle name="Normal 46 2 2 5" xfId="3132" xr:uid="{00000000-0005-0000-0000-000001740000}"/>
    <cellStyle name="Normal 46 2 2 5 2" xfId="37614" xr:uid="{00000000-0005-0000-0000-000002740000}"/>
    <cellStyle name="Normal 46 2 2 5 2 2" xfId="37616" xr:uid="{00000000-0005-0000-0000-000003740000}"/>
    <cellStyle name="Normal 46 2 2 5 3" xfId="37618" xr:uid="{00000000-0005-0000-0000-000004740000}"/>
    <cellStyle name="Normal 46 2 2 6" xfId="37620" xr:uid="{00000000-0005-0000-0000-000005740000}"/>
    <cellStyle name="Normal 46 2 2 6 2" xfId="24765" xr:uid="{00000000-0005-0000-0000-000006740000}"/>
    <cellStyle name="Normal 46 2 2 6 2 2" xfId="24768" xr:uid="{00000000-0005-0000-0000-000007740000}"/>
    <cellStyle name="Normal 46 2 2 6 3" xfId="24774" xr:uid="{00000000-0005-0000-0000-000008740000}"/>
    <cellStyle name="Normal 46 2 2 7" xfId="15698" xr:uid="{00000000-0005-0000-0000-000009740000}"/>
    <cellStyle name="Normal 46 2 2 7 2" xfId="15702" xr:uid="{00000000-0005-0000-0000-00000A740000}"/>
    <cellStyle name="Normal 46 2 2 8" xfId="15705" xr:uid="{00000000-0005-0000-0000-00000B740000}"/>
    <cellStyle name="Normal 46 2 2 8 2" xfId="10582" xr:uid="{00000000-0005-0000-0000-00000C740000}"/>
    <cellStyle name="Normal 46 2 2 9" xfId="37622" xr:uid="{00000000-0005-0000-0000-00000D740000}"/>
    <cellStyle name="Normal 46 2 3" xfId="37626" xr:uid="{00000000-0005-0000-0000-00000E740000}"/>
    <cellStyle name="Normal 46 2 3 2" xfId="37632" xr:uid="{00000000-0005-0000-0000-00000F740000}"/>
    <cellStyle name="Normal 46 2 3 2 2" xfId="37634" xr:uid="{00000000-0005-0000-0000-000010740000}"/>
    <cellStyle name="Normal 46 2 3 2 2 2" xfId="37636" xr:uid="{00000000-0005-0000-0000-000011740000}"/>
    <cellStyle name="Normal 46 2 3 2 2 2 2" xfId="4425" xr:uid="{00000000-0005-0000-0000-000012740000}"/>
    <cellStyle name="Normal 46 2 3 2 2 2 2 2" xfId="4456" xr:uid="{00000000-0005-0000-0000-000013740000}"/>
    <cellStyle name="Normal 46 2 3 2 2 2 3" xfId="4557" xr:uid="{00000000-0005-0000-0000-000014740000}"/>
    <cellStyle name="Normal 46 2 3 2 2 3" xfId="37638" xr:uid="{00000000-0005-0000-0000-000015740000}"/>
    <cellStyle name="Normal 46 2 3 2 2 3 2" xfId="4678" xr:uid="{00000000-0005-0000-0000-000016740000}"/>
    <cellStyle name="Normal 46 2 3 2 2 4" xfId="37521" xr:uid="{00000000-0005-0000-0000-000017740000}"/>
    <cellStyle name="Normal 46 2 3 2 2 5" xfId="37640" xr:uid="{00000000-0005-0000-0000-000018740000}"/>
    <cellStyle name="Normal 46 2 3 2 3" xfId="37642" xr:uid="{00000000-0005-0000-0000-000019740000}"/>
    <cellStyle name="Normal 46 2 3 2 3 2" xfId="37644" xr:uid="{00000000-0005-0000-0000-00001A740000}"/>
    <cellStyle name="Normal 46 2 3 2 3 2 2" xfId="5136" xr:uid="{00000000-0005-0000-0000-00001B740000}"/>
    <cellStyle name="Normal 46 2 3 2 3 3" xfId="5169" xr:uid="{00000000-0005-0000-0000-00001C740000}"/>
    <cellStyle name="Normal 46 2 3 2 4" xfId="37646" xr:uid="{00000000-0005-0000-0000-00001D740000}"/>
    <cellStyle name="Normal 46 2 3 2 4 2" xfId="1139" xr:uid="{00000000-0005-0000-0000-00001E740000}"/>
    <cellStyle name="Normal 46 2 3 2 4 2 2" xfId="1169" xr:uid="{00000000-0005-0000-0000-00001F740000}"/>
    <cellStyle name="Normal 46 2 3 2 4 3" xfId="1296" xr:uid="{00000000-0005-0000-0000-000020740000}"/>
    <cellStyle name="Normal 46 2 3 2 5" xfId="36109" xr:uid="{00000000-0005-0000-0000-000021740000}"/>
    <cellStyle name="Normal 46 2 3 2 5 2" xfId="16736" xr:uid="{00000000-0005-0000-0000-000022740000}"/>
    <cellStyle name="Normal 46 2 3 2 6" xfId="36113" xr:uid="{00000000-0005-0000-0000-000023740000}"/>
    <cellStyle name="Normal 46 2 3 2 6 2" xfId="16747" xr:uid="{00000000-0005-0000-0000-000024740000}"/>
    <cellStyle name="Normal 46 2 3 2 7" xfId="36117" xr:uid="{00000000-0005-0000-0000-000025740000}"/>
    <cellStyle name="Normal 46 2 3 2 8" xfId="37648" xr:uid="{00000000-0005-0000-0000-000026740000}"/>
    <cellStyle name="Normal 46 2 3 3" xfId="37650" xr:uid="{00000000-0005-0000-0000-000027740000}"/>
    <cellStyle name="Normal 46 2 3 3 2" xfId="37652" xr:uid="{00000000-0005-0000-0000-000028740000}"/>
    <cellStyle name="Normal 46 2 3 3 2 2" xfId="37654" xr:uid="{00000000-0005-0000-0000-000029740000}"/>
    <cellStyle name="Normal 46 2 3 3 2 2 2" xfId="13058" xr:uid="{00000000-0005-0000-0000-00002A740000}"/>
    <cellStyle name="Normal 46 2 3 3 2 3" xfId="37656" xr:uid="{00000000-0005-0000-0000-00002B740000}"/>
    <cellStyle name="Normal 46 2 3 3 3" xfId="37658" xr:uid="{00000000-0005-0000-0000-00002C740000}"/>
    <cellStyle name="Normal 46 2 3 3 3 2" xfId="37660" xr:uid="{00000000-0005-0000-0000-00002D740000}"/>
    <cellStyle name="Normal 46 2 3 3 4" xfId="37662" xr:uid="{00000000-0005-0000-0000-00002E740000}"/>
    <cellStyle name="Normal 46 2 3 3 5" xfId="34027" xr:uid="{00000000-0005-0000-0000-00002F740000}"/>
    <cellStyle name="Normal 46 2 3 4" xfId="7879" xr:uid="{00000000-0005-0000-0000-000030740000}"/>
    <cellStyle name="Normal 46 2 3 4 2" xfId="14738" xr:uid="{00000000-0005-0000-0000-000031740000}"/>
    <cellStyle name="Normal 46 2 3 4 2 2" xfId="37664" xr:uid="{00000000-0005-0000-0000-000032740000}"/>
    <cellStyle name="Normal 46 2 3 4 3" xfId="37666" xr:uid="{00000000-0005-0000-0000-000033740000}"/>
    <cellStyle name="Normal 46 2 3 5" xfId="18231" xr:uid="{00000000-0005-0000-0000-000034740000}"/>
    <cellStyle name="Normal 46 2 3 5 2" xfId="37668" xr:uid="{00000000-0005-0000-0000-000035740000}"/>
    <cellStyle name="Normal 46 2 3 5 2 2" xfId="37670" xr:uid="{00000000-0005-0000-0000-000036740000}"/>
    <cellStyle name="Normal 46 2 3 5 3" xfId="37672" xr:uid="{00000000-0005-0000-0000-000037740000}"/>
    <cellStyle name="Normal 46 2 3 6" xfId="3252" xr:uid="{00000000-0005-0000-0000-000038740000}"/>
    <cellStyle name="Normal 46 2 3 6 2" xfId="24837" xr:uid="{00000000-0005-0000-0000-000039740000}"/>
    <cellStyle name="Normal 46 2 3 7" xfId="15711" xr:uid="{00000000-0005-0000-0000-00003A740000}"/>
    <cellStyle name="Normal 46 2 3 7 2" xfId="37674" xr:uid="{00000000-0005-0000-0000-00003B740000}"/>
    <cellStyle name="Normal 46 2 3 8" xfId="37676" xr:uid="{00000000-0005-0000-0000-00003C740000}"/>
    <cellStyle name="Normal 46 2 3 9" xfId="26611" xr:uid="{00000000-0005-0000-0000-00003D740000}"/>
    <cellStyle name="Normal 46 2 4" xfId="37680" xr:uid="{00000000-0005-0000-0000-00003E740000}"/>
    <cellStyle name="Normal 46 2 4 2" xfId="37682" xr:uid="{00000000-0005-0000-0000-00003F740000}"/>
    <cellStyle name="Normal 46 2 4 2 2" xfId="37684" xr:uid="{00000000-0005-0000-0000-000040740000}"/>
    <cellStyle name="Normal 46 2 4 2 2 2" xfId="26570" xr:uid="{00000000-0005-0000-0000-000041740000}"/>
    <cellStyle name="Normal 46 2 4 2 2 2 2" xfId="7980" xr:uid="{00000000-0005-0000-0000-000042740000}"/>
    <cellStyle name="Normal 46 2 4 2 2 2 2 2" xfId="8711" xr:uid="{00000000-0005-0000-0000-000043740000}"/>
    <cellStyle name="Normal 46 2 4 2 2 2 3" xfId="8780" xr:uid="{00000000-0005-0000-0000-000044740000}"/>
    <cellStyle name="Normal 46 2 4 2 2 3" xfId="26575" xr:uid="{00000000-0005-0000-0000-000045740000}"/>
    <cellStyle name="Normal 46 2 4 2 2 3 2" xfId="8791" xr:uid="{00000000-0005-0000-0000-000046740000}"/>
    <cellStyle name="Normal 46 2 4 2 2 4" xfId="34810" xr:uid="{00000000-0005-0000-0000-000047740000}"/>
    <cellStyle name="Normal 46 2 4 2 3" xfId="15925" xr:uid="{00000000-0005-0000-0000-000048740000}"/>
    <cellStyle name="Normal 46 2 4 2 3 2" xfId="37686" xr:uid="{00000000-0005-0000-0000-000049740000}"/>
    <cellStyle name="Normal 46 2 4 2 3 2 2" xfId="8818" xr:uid="{00000000-0005-0000-0000-00004A740000}"/>
    <cellStyle name="Normal 46 2 4 2 3 3" xfId="37688" xr:uid="{00000000-0005-0000-0000-00004B740000}"/>
    <cellStyle name="Normal 46 2 4 2 4" xfId="37690" xr:uid="{00000000-0005-0000-0000-00004C740000}"/>
    <cellStyle name="Normal 46 2 4 2 4 2" xfId="8903" xr:uid="{00000000-0005-0000-0000-00004D740000}"/>
    <cellStyle name="Normal 46 2 4 2 4 2 2" xfId="8913" xr:uid="{00000000-0005-0000-0000-00004E740000}"/>
    <cellStyle name="Normal 46 2 4 2 4 3" xfId="8923" xr:uid="{00000000-0005-0000-0000-00004F740000}"/>
    <cellStyle name="Normal 46 2 4 2 5" xfId="36132" xr:uid="{00000000-0005-0000-0000-000050740000}"/>
    <cellStyle name="Normal 46 2 4 2 5 2" xfId="17352" xr:uid="{00000000-0005-0000-0000-000051740000}"/>
    <cellStyle name="Normal 46 2 4 2 6" xfId="27736" xr:uid="{00000000-0005-0000-0000-000052740000}"/>
    <cellStyle name="Normal 46 2 4 2 6 2" xfId="8585" xr:uid="{00000000-0005-0000-0000-000053740000}"/>
    <cellStyle name="Normal 46 2 4 2 7" xfId="27741" xr:uid="{00000000-0005-0000-0000-000054740000}"/>
    <cellStyle name="Normal 46 2 4 2 8" xfId="37692" xr:uid="{00000000-0005-0000-0000-000055740000}"/>
    <cellStyle name="Normal 46 2 4 3" xfId="37694" xr:uid="{00000000-0005-0000-0000-000056740000}"/>
    <cellStyle name="Normal 46 2 4 3 2" xfId="37696" xr:uid="{00000000-0005-0000-0000-000057740000}"/>
    <cellStyle name="Normal 46 2 4 3 2 2" xfId="34783" xr:uid="{00000000-0005-0000-0000-000058740000}"/>
    <cellStyle name="Normal 46 2 4 3 2 2 2" xfId="17866" xr:uid="{00000000-0005-0000-0000-000059740000}"/>
    <cellStyle name="Normal 46 2 4 3 2 3" xfId="34787" xr:uid="{00000000-0005-0000-0000-00005A740000}"/>
    <cellStyle name="Normal 46 2 4 3 3" xfId="37698" xr:uid="{00000000-0005-0000-0000-00005B740000}"/>
    <cellStyle name="Normal 46 2 4 3 3 2" xfId="37700" xr:uid="{00000000-0005-0000-0000-00005C740000}"/>
    <cellStyle name="Normal 46 2 4 3 4" xfId="37702" xr:uid="{00000000-0005-0000-0000-00005D740000}"/>
    <cellStyle name="Normal 46 2 4 4" xfId="8005" xr:uid="{00000000-0005-0000-0000-00005E740000}"/>
    <cellStyle name="Normal 46 2 4 4 2" xfId="9759" xr:uid="{00000000-0005-0000-0000-00005F740000}"/>
    <cellStyle name="Normal 46 2 4 4 2 2" xfId="37704" xr:uid="{00000000-0005-0000-0000-000060740000}"/>
    <cellStyle name="Normal 46 2 4 4 3" xfId="37706" xr:uid="{00000000-0005-0000-0000-000061740000}"/>
    <cellStyle name="Normal 46 2 4 5" xfId="17408" xr:uid="{00000000-0005-0000-0000-000062740000}"/>
    <cellStyle name="Normal 46 2 4 5 2" xfId="37708" xr:uid="{00000000-0005-0000-0000-000063740000}"/>
    <cellStyle name="Normal 46 2 4 5 2 2" xfId="37710" xr:uid="{00000000-0005-0000-0000-000064740000}"/>
    <cellStyle name="Normal 46 2 4 5 3" xfId="37712" xr:uid="{00000000-0005-0000-0000-000065740000}"/>
    <cellStyle name="Normal 46 2 4 6" xfId="37714" xr:uid="{00000000-0005-0000-0000-000066740000}"/>
    <cellStyle name="Normal 46 2 4 6 2" xfId="24856" xr:uid="{00000000-0005-0000-0000-000067740000}"/>
    <cellStyle name="Normal 46 2 4 7" xfId="37716" xr:uid="{00000000-0005-0000-0000-000068740000}"/>
    <cellStyle name="Normal 46 2 4 7 2" xfId="37719" xr:uid="{00000000-0005-0000-0000-000069740000}"/>
    <cellStyle name="Normal 46 2 4 8" xfId="37721" xr:uid="{00000000-0005-0000-0000-00006A740000}"/>
    <cellStyle name="Normal 46 2 4 9" xfId="26619" xr:uid="{00000000-0005-0000-0000-00006B740000}"/>
    <cellStyle name="Normal 46 2 5" xfId="37723" xr:uid="{00000000-0005-0000-0000-00006C740000}"/>
    <cellStyle name="Normal 46 2 5 2" xfId="37725" xr:uid="{00000000-0005-0000-0000-00006D740000}"/>
    <cellStyle name="Normal 46 2 5 2 2" xfId="37727" xr:uid="{00000000-0005-0000-0000-00006E740000}"/>
    <cellStyle name="Normal 46 2 5 2 2 2" xfId="37729" xr:uid="{00000000-0005-0000-0000-00006F740000}"/>
    <cellStyle name="Normal 46 2 5 2 2 2 2" xfId="37731" xr:uid="{00000000-0005-0000-0000-000070740000}"/>
    <cellStyle name="Normal 46 2 5 2 2 2 2 2" xfId="16406" xr:uid="{00000000-0005-0000-0000-000071740000}"/>
    <cellStyle name="Normal 46 2 5 2 2 2 3" xfId="21998" xr:uid="{00000000-0005-0000-0000-000072740000}"/>
    <cellStyle name="Normal 46 2 5 2 2 3" xfId="37733" xr:uid="{00000000-0005-0000-0000-000073740000}"/>
    <cellStyle name="Normal 46 2 5 2 2 3 2" xfId="37735" xr:uid="{00000000-0005-0000-0000-000074740000}"/>
    <cellStyle name="Normal 46 2 5 2 2 4" xfId="37737" xr:uid="{00000000-0005-0000-0000-000075740000}"/>
    <cellStyle name="Normal 46 2 5 2 3" xfId="37739" xr:uid="{00000000-0005-0000-0000-000076740000}"/>
    <cellStyle name="Normal 46 2 5 2 3 2" xfId="37741" xr:uid="{00000000-0005-0000-0000-000077740000}"/>
    <cellStyle name="Normal 46 2 5 2 3 2 2" xfId="37743" xr:uid="{00000000-0005-0000-0000-000078740000}"/>
    <cellStyle name="Normal 46 2 5 2 3 3" xfId="37745" xr:uid="{00000000-0005-0000-0000-000079740000}"/>
    <cellStyle name="Normal 46 2 5 2 4" xfId="37747" xr:uid="{00000000-0005-0000-0000-00007A740000}"/>
    <cellStyle name="Normal 46 2 5 2 4 2" xfId="37749" xr:uid="{00000000-0005-0000-0000-00007B740000}"/>
    <cellStyle name="Normal 46 2 5 2 4 2 2" xfId="26888" xr:uid="{00000000-0005-0000-0000-00007C740000}"/>
    <cellStyle name="Normal 46 2 5 2 4 3" xfId="37751" xr:uid="{00000000-0005-0000-0000-00007D740000}"/>
    <cellStyle name="Normal 46 2 5 2 5" xfId="36138" xr:uid="{00000000-0005-0000-0000-00007E740000}"/>
    <cellStyle name="Normal 46 2 5 2 5 2" xfId="37753" xr:uid="{00000000-0005-0000-0000-00007F740000}"/>
    <cellStyle name="Normal 46 2 5 2 6" xfId="27767" xr:uid="{00000000-0005-0000-0000-000080740000}"/>
    <cellStyle name="Normal 46 2 5 2 6 2" xfId="37755" xr:uid="{00000000-0005-0000-0000-000081740000}"/>
    <cellStyle name="Normal 46 2 5 2 7" xfId="37757" xr:uid="{00000000-0005-0000-0000-000082740000}"/>
    <cellStyle name="Normal 46 2 5 2 8" xfId="37759" xr:uid="{00000000-0005-0000-0000-000083740000}"/>
    <cellStyle name="Normal 46 2 5 3" xfId="37761" xr:uid="{00000000-0005-0000-0000-000084740000}"/>
    <cellStyle name="Normal 46 2 5 3 2" xfId="37763" xr:uid="{00000000-0005-0000-0000-000085740000}"/>
    <cellStyle name="Normal 46 2 5 3 2 2" xfId="37765" xr:uid="{00000000-0005-0000-0000-000086740000}"/>
    <cellStyle name="Normal 46 2 5 3 2 2 2" xfId="37767" xr:uid="{00000000-0005-0000-0000-000087740000}"/>
    <cellStyle name="Normal 46 2 5 3 2 3" xfId="37769" xr:uid="{00000000-0005-0000-0000-000088740000}"/>
    <cellStyle name="Normal 46 2 5 3 3" xfId="37771" xr:uid="{00000000-0005-0000-0000-000089740000}"/>
    <cellStyle name="Normal 46 2 5 3 3 2" xfId="37773" xr:uid="{00000000-0005-0000-0000-00008A740000}"/>
    <cellStyle name="Normal 46 2 5 3 4" xfId="37775" xr:uid="{00000000-0005-0000-0000-00008B740000}"/>
    <cellStyle name="Normal 46 2 5 4" xfId="18237" xr:uid="{00000000-0005-0000-0000-00008C740000}"/>
    <cellStyle name="Normal 46 2 5 4 2" xfId="4436" xr:uid="{00000000-0005-0000-0000-00008D740000}"/>
    <cellStyle name="Normal 46 2 5 4 2 2" xfId="37777" xr:uid="{00000000-0005-0000-0000-00008E740000}"/>
    <cellStyle name="Normal 46 2 5 4 3" xfId="37779" xr:uid="{00000000-0005-0000-0000-00008F740000}"/>
    <cellStyle name="Normal 46 2 5 5" xfId="18241" xr:uid="{00000000-0005-0000-0000-000090740000}"/>
    <cellStyle name="Normal 46 2 5 5 2" xfId="37781" xr:uid="{00000000-0005-0000-0000-000091740000}"/>
    <cellStyle name="Normal 46 2 5 5 2 2" xfId="37783" xr:uid="{00000000-0005-0000-0000-000092740000}"/>
    <cellStyle name="Normal 46 2 5 5 3" xfId="37785" xr:uid="{00000000-0005-0000-0000-000093740000}"/>
    <cellStyle name="Normal 46 2 5 6" xfId="37787" xr:uid="{00000000-0005-0000-0000-000094740000}"/>
    <cellStyle name="Normal 46 2 5 6 2" xfId="24883" xr:uid="{00000000-0005-0000-0000-000095740000}"/>
    <cellStyle name="Normal 46 2 5 7" xfId="37789" xr:uid="{00000000-0005-0000-0000-000096740000}"/>
    <cellStyle name="Normal 46 2 5 7 2" xfId="37791" xr:uid="{00000000-0005-0000-0000-000097740000}"/>
    <cellStyle name="Normal 46 2 5 8" xfId="37793" xr:uid="{00000000-0005-0000-0000-000098740000}"/>
    <cellStyle name="Normal 46 2 5 9" xfId="4980" xr:uid="{00000000-0005-0000-0000-000099740000}"/>
    <cellStyle name="Normal 46 2 6" xfId="37795" xr:uid="{00000000-0005-0000-0000-00009A740000}"/>
    <cellStyle name="Normal 46 2 6 2" xfId="37797" xr:uid="{00000000-0005-0000-0000-00009B740000}"/>
    <cellStyle name="Normal 46 2 6 2 2" xfId="37799" xr:uid="{00000000-0005-0000-0000-00009C740000}"/>
    <cellStyle name="Normal 46 2 6 2 2 2" xfId="36390" xr:uid="{00000000-0005-0000-0000-00009D740000}"/>
    <cellStyle name="Normal 46 2 6 2 2 2 2" xfId="36393" xr:uid="{00000000-0005-0000-0000-00009E740000}"/>
    <cellStyle name="Normal 46 2 6 2 2 3" xfId="36397" xr:uid="{00000000-0005-0000-0000-00009F740000}"/>
    <cellStyle name="Normal 46 2 6 2 3" xfId="37801" xr:uid="{00000000-0005-0000-0000-0000A0740000}"/>
    <cellStyle name="Normal 46 2 6 2 3 2" xfId="36403" xr:uid="{00000000-0005-0000-0000-0000A1740000}"/>
    <cellStyle name="Normal 46 2 6 2 4" xfId="37803" xr:uid="{00000000-0005-0000-0000-0000A2740000}"/>
    <cellStyle name="Normal 46 2 6 3" xfId="37805" xr:uid="{00000000-0005-0000-0000-0000A3740000}"/>
    <cellStyle name="Normal 46 2 6 3 2" xfId="37807" xr:uid="{00000000-0005-0000-0000-0000A4740000}"/>
    <cellStyle name="Normal 46 2 6 3 2 2" xfId="36425" xr:uid="{00000000-0005-0000-0000-0000A5740000}"/>
    <cellStyle name="Normal 46 2 6 3 3" xfId="37809" xr:uid="{00000000-0005-0000-0000-0000A6740000}"/>
    <cellStyle name="Normal 46 2 6 4" xfId="3237" xr:uid="{00000000-0005-0000-0000-0000A7740000}"/>
    <cellStyle name="Normal 46 2 6 4 2" xfId="5143" xr:uid="{00000000-0005-0000-0000-0000A8740000}"/>
    <cellStyle name="Normal 46 2 6 4 2 2" xfId="37811" xr:uid="{00000000-0005-0000-0000-0000A9740000}"/>
    <cellStyle name="Normal 46 2 6 4 3" xfId="37813" xr:uid="{00000000-0005-0000-0000-0000AA740000}"/>
    <cellStyle name="Normal 46 2 6 5" xfId="18245" xr:uid="{00000000-0005-0000-0000-0000AB740000}"/>
    <cellStyle name="Normal 46 2 6 5 2" xfId="37815" xr:uid="{00000000-0005-0000-0000-0000AC740000}"/>
    <cellStyle name="Normal 46 2 6 6" xfId="37817" xr:uid="{00000000-0005-0000-0000-0000AD740000}"/>
    <cellStyle name="Normal 46 2 6 6 2" xfId="37819" xr:uid="{00000000-0005-0000-0000-0000AE740000}"/>
    <cellStyle name="Normal 46 2 6 7" xfId="37821" xr:uid="{00000000-0005-0000-0000-0000AF740000}"/>
    <cellStyle name="Normal 46 2 6 8" xfId="37823" xr:uid="{00000000-0005-0000-0000-0000B0740000}"/>
    <cellStyle name="Normal 46 2 7" xfId="27837" xr:uid="{00000000-0005-0000-0000-0000B1740000}"/>
    <cellStyle name="Normal 46 2 7 2" xfId="37825" xr:uid="{00000000-0005-0000-0000-0000B2740000}"/>
    <cellStyle name="Normal 46 2 7 2 2" xfId="37828" xr:uid="{00000000-0005-0000-0000-0000B3740000}"/>
    <cellStyle name="Normal 46 2 7 2 2 2" xfId="37830" xr:uid="{00000000-0005-0000-0000-0000B4740000}"/>
    <cellStyle name="Normal 46 2 7 2 3" xfId="37832" xr:uid="{00000000-0005-0000-0000-0000B5740000}"/>
    <cellStyle name="Normal 46 2 7 3" xfId="37834" xr:uid="{00000000-0005-0000-0000-0000B6740000}"/>
    <cellStyle name="Normal 46 2 7 3 2" xfId="37836" xr:uid="{00000000-0005-0000-0000-0000B7740000}"/>
    <cellStyle name="Normal 46 2 7 4" xfId="14603" xr:uid="{00000000-0005-0000-0000-0000B8740000}"/>
    <cellStyle name="Normal 46 2 8" xfId="19303" xr:uid="{00000000-0005-0000-0000-0000B9740000}"/>
    <cellStyle name="Normal 46 2 8 2" xfId="37838" xr:uid="{00000000-0005-0000-0000-0000BA740000}"/>
    <cellStyle name="Normal 46 2 8 2 2" xfId="37840" xr:uid="{00000000-0005-0000-0000-0000BB740000}"/>
    <cellStyle name="Normal 46 2 8 3" xfId="37842" xr:uid="{00000000-0005-0000-0000-0000BC740000}"/>
    <cellStyle name="Normal 46 2 9" xfId="37844" xr:uid="{00000000-0005-0000-0000-0000BD740000}"/>
    <cellStyle name="Normal 46 2 9 2" xfId="37846" xr:uid="{00000000-0005-0000-0000-0000BE740000}"/>
    <cellStyle name="Normal 46 2 9 2 2" xfId="18721" xr:uid="{00000000-0005-0000-0000-0000BF740000}"/>
    <cellStyle name="Normal 46 2 9 3" xfId="37848" xr:uid="{00000000-0005-0000-0000-0000C0740000}"/>
    <cellStyle name="Normal 46 3" xfId="37850" xr:uid="{00000000-0005-0000-0000-0000C1740000}"/>
    <cellStyle name="Normal 46 3 10" xfId="11481" xr:uid="{00000000-0005-0000-0000-0000C2740000}"/>
    <cellStyle name="Normal 46 3 10 2" xfId="37852" xr:uid="{00000000-0005-0000-0000-0000C3740000}"/>
    <cellStyle name="Normal 46 3 11" xfId="16620" xr:uid="{00000000-0005-0000-0000-0000C4740000}"/>
    <cellStyle name="Normal 46 3 11 2" xfId="37854" xr:uid="{00000000-0005-0000-0000-0000C5740000}"/>
    <cellStyle name="Normal 46 3 12" xfId="28678" xr:uid="{00000000-0005-0000-0000-0000C6740000}"/>
    <cellStyle name="Normal 46 3 12 2" xfId="37856" xr:uid="{00000000-0005-0000-0000-0000C7740000}"/>
    <cellStyle name="Normal 46 3 13" xfId="37858" xr:uid="{00000000-0005-0000-0000-0000C8740000}"/>
    <cellStyle name="Normal 46 3 14" xfId="37860" xr:uid="{00000000-0005-0000-0000-0000C9740000}"/>
    <cellStyle name="Normal 46 3 2" xfId="37862" xr:uid="{00000000-0005-0000-0000-0000CA740000}"/>
    <cellStyle name="Normal 46 3 2 10" xfId="32320" xr:uid="{00000000-0005-0000-0000-0000CB740000}"/>
    <cellStyle name="Normal 46 3 2 2" xfId="10604" xr:uid="{00000000-0005-0000-0000-0000CC740000}"/>
    <cellStyle name="Normal 46 3 2 2 2" xfId="37864" xr:uid="{00000000-0005-0000-0000-0000CD740000}"/>
    <cellStyle name="Normal 46 3 2 2 2 2" xfId="37866" xr:uid="{00000000-0005-0000-0000-0000CE740000}"/>
    <cellStyle name="Normal 46 3 2 2 2 2 2" xfId="10905" xr:uid="{00000000-0005-0000-0000-0000CF740000}"/>
    <cellStyle name="Normal 46 3 2 2 2 2 2 2" xfId="10912" xr:uid="{00000000-0005-0000-0000-0000D0740000}"/>
    <cellStyle name="Normal 46 3 2 2 2 2 2 2 2" xfId="37869" xr:uid="{00000000-0005-0000-0000-0000D1740000}"/>
    <cellStyle name="Normal 46 3 2 2 2 2 2 3" xfId="37871" xr:uid="{00000000-0005-0000-0000-0000D2740000}"/>
    <cellStyle name="Normal 46 3 2 2 2 2 3" xfId="10397" xr:uid="{00000000-0005-0000-0000-0000D3740000}"/>
    <cellStyle name="Normal 46 3 2 2 2 2 3 2" xfId="37873" xr:uid="{00000000-0005-0000-0000-0000D4740000}"/>
    <cellStyle name="Normal 46 3 2 2 2 2 4" xfId="23433" xr:uid="{00000000-0005-0000-0000-0000D5740000}"/>
    <cellStyle name="Normal 46 3 2 2 2 3" xfId="37875" xr:uid="{00000000-0005-0000-0000-0000D6740000}"/>
    <cellStyle name="Normal 46 3 2 2 2 3 2" xfId="37877" xr:uid="{00000000-0005-0000-0000-0000D7740000}"/>
    <cellStyle name="Normal 46 3 2 2 2 3 2 2" xfId="23441" xr:uid="{00000000-0005-0000-0000-0000D8740000}"/>
    <cellStyle name="Normal 46 3 2 2 2 3 3" xfId="37879" xr:uid="{00000000-0005-0000-0000-0000D9740000}"/>
    <cellStyle name="Normal 46 3 2 2 2 4" xfId="37881" xr:uid="{00000000-0005-0000-0000-0000DA740000}"/>
    <cellStyle name="Normal 46 3 2 2 2 4 2" xfId="37883" xr:uid="{00000000-0005-0000-0000-0000DB740000}"/>
    <cellStyle name="Normal 46 3 2 2 2 4 2 2" xfId="22582" xr:uid="{00000000-0005-0000-0000-0000DC740000}"/>
    <cellStyle name="Normal 46 3 2 2 2 4 3" xfId="37885" xr:uid="{00000000-0005-0000-0000-0000DD740000}"/>
    <cellStyle name="Normal 46 3 2 2 2 5" xfId="37887" xr:uid="{00000000-0005-0000-0000-0000DE740000}"/>
    <cellStyle name="Normal 46 3 2 2 2 5 2" xfId="37889" xr:uid="{00000000-0005-0000-0000-0000DF740000}"/>
    <cellStyle name="Normal 46 3 2 2 2 6" xfId="23459" xr:uid="{00000000-0005-0000-0000-0000E0740000}"/>
    <cellStyle name="Normal 46 3 2 2 2 6 2" xfId="22161" xr:uid="{00000000-0005-0000-0000-0000E1740000}"/>
    <cellStyle name="Normal 46 3 2 2 2 7" xfId="19155" xr:uid="{00000000-0005-0000-0000-0000E2740000}"/>
    <cellStyle name="Normal 46 3 2 2 2 8" xfId="13923" xr:uid="{00000000-0005-0000-0000-0000E3740000}"/>
    <cellStyle name="Normal 46 3 2 2 3" xfId="37891" xr:uid="{00000000-0005-0000-0000-0000E4740000}"/>
    <cellStyle name="Normal 46 3 2 2 3 2" xfId="37893" xr:uid="{00000000-0005-0000-0000-0000E5740000}"/>
    <cellStyle name="Normal 46 3 2 2 3 2 2" xfId="37895" xr:uid="{00000000-0005-0000-0000-0000E6740000}"/>
    <cellStyle name="Normal 46 3 2 2 3 2 2 2" xfId="37897" xr:uid="{00000000-0005-0000-0000-0000E7740000}"/>
    <cellStyle name="Normal 46 3 2 2 3 2 3" xfId="37899" xr:uid="{00000000-0005-0000-0000-0000E8740000}"/>
    <cellStyle name="Normal 46 3 2 2 3 3" xfId="10361" xr:uid="{00000000-0005-0000-0000-0000E9740000}"/>
    <cellStyle name="Normal 46 3 2 2 3 3 2" xfId="10367" xr:uid="{00000000-0005-0000-0000-0000EA740000}"/>
    <cellStyle name="Normal 46 3 2 2 3 4" xfId="10374" xr:uid="{00000000-0005-0000-0000-0000EB740000}"/>
    <cellStyle name="Normal 46 3 2 2 4" xfId="1924" xr:uid="{00000000-0005-0000-0000-0000EC740000}"/>
    <cellStyle name="Normal 46 3 2 2 4 2" xfId="5625" xr:uid="{00000000-0005-0000-0000-0000ED740000}"/>
    <cellStyle name="Normal 46 3 2 2 4 2 2" xfId="37901" xr:uid="{00000000-0005-0000-0000-0000EE740000}"/>
    <cellStyle name="Normal 46 3 2 2 4 3" xfId="10381" xr:uid="{00000000-0005-0000-0000-0000EF740000}"/>
    <cellStyle name="Normal 46 3 2 2 5" xfId="5643" xr:uid="{00000000-0005-0000-0000-0000F0740000}"/>
    <cellStyle name="Normal 46 3 2 2 5 2" xfId="37903" xr:uid="{00000000-0005-0000-0000-0000F1740000}"/>
    <cellStyle name="Normal 46 3 2 2 5 2 2" xfId="37905" xr:uid="{00000000-0005-0000-0000-0000F2740000}"/>
    <cellStyle name="Normal 46 3 2 2 5 3" xfId="10181" xr:uid="{00000000-0005-0000-0000-0000F3740000}"/>
    <cellStyle name="Normal 46 3 2 2 6" xfId="37907" xr:uid="{00000000-0005-0000-0000-0000F4740000}"/>
    <cellStyle name="Normal 46 3 2 2 6 2" xfId="37909" xr:uid="{00000000-0005-0000-0000-0000F5740000}"/>
    <cellStyle name="Normal 46 3 2 2 7" xfId="37911" xr:uid="{00000000-0005-0000-0000-0000F6740000}"/>
    <cellStyle name="Normal 46 3 2 2 7 2" xfId="37913" xr:uid="{00000000-0005-0000-0000-0000F7740000}"/>
    <cellStyle name="Normal 46 3 2 2 8" xfId="37915" xr:uid="{00000000-0005-0000-0000-0000F8740000}"/>
    <cellStyle name="Normal 46 3 2 2 9" xfId="37917" xr:uid="{00000000-0005-0000-0000-0000F9740000}"/>
    <cellStyle name="Normal 46 3 2 3" xfId="33215" xr:uid="{00000000-0005-0000-0000-0000FA740000}"/>
    <cellStyle name="Normal 46 3 2 3 2" xfId="30215" xr:uid="{00000000-0005-0000-0000-0000FB740000}"/>
    <cellStyle name="Normal 46 3 2 3 2 2" xfId="23500" xr:uid="{00000000-0005-0000-0000-0000FC740000}"/>
    <cellStyle name="Normal 46 3 2 3 2 2 2" xfId="35877" xr:uid="{00000000-0005-0000-0000-0000FD740000}"/>
    <cellStyle name="Normal 46 3 2 3 2 2 2 2" xfId="22808" xr:uid="{00000000-0005-0000-0000-0000FE740000}"/>
    <cellStyle name="Normal 46 3 2 3 2 2 3" xfId="37919" xr:uid="{00000000-0005-0000-0000-0000FF740000}"/>
    <cellStyle name="Normal 46 3 2 3 2 3" xfId="37921" xr:uid="{00000000-0005-0000-0000-000000750000}"/>
    <cellStyle name="Normal 46 3 2 3 2 3 2" xfId="37923" xr:uid="{00000000-0005-0000-0000-000001750000}"/>
    <cellStyle name="Normal 46 3 2 3 2 4" xfId="37925" xr:uid="{00000000-0005-0000-0000-000002750000}"/>
    <cellStyle name="Normal 46 3 2 3 3" xfId="33219" xr:uid="{00000000-0005-0000-0000-000003750000}"/>
    <cellStyle name="Normal 46 3 2 3 3 2" xfId="37927" xr:uid="{00000000-0005-0000-0000-000004750000}"/>
    <cellStyle name="Normal 46 3 2 3 3 2 2" xfId="37929" xr:uid="{00000000-0005-0000-0000-000005750000}"/>
    <cellStyle name="Normal 46 3 2 3 3 3" xfId="10062" xr:uid="{00000000-0005-0000-0000-000006750000}"/>
    <cellStyle name="Normal 46 3 2 3 4" xfId="37931" xr:uid="{00000000-0005-0000-0000-000007750000}"/>
    <cellStyle name="Normal 46 3 2 3 4 2" xfId="37933" xr:uid="{00000000-0005-0000-0000-000008750000}"/>
    <cellStyle name="Normal 46 3 2 3 4 2 2" xfId="37935" xr:uid="{00000000-0005-0000-0000-000009750000}"/>
    <cellStyle name="Normal 46 3 2 3 4 3" xfId="37937" xr:uid="{00000000-0005-0000-0000-00000A750000}"/>
    <cellStyle name="Normal 46 3 2 3 5" xfId="34057" xr:uid="{00000000-0005-0000-0000-00000B750000}"/>
    <cellStyle name="Normal 46 3 2 3 5 2" xfId="37939" xr:uid="{00000000-0005-0000-0000-00000C750000}"/>
    <cellStyle name="Normal 46 3 2 3 6" xfId="37295" xr:uid="{00000000-0005-0000-0000-00000D750000}"/>
    <cellStyle name="Normal 46 3 2 3 6 2" xfId="37941" xr:uid="{00000000-0005-0000-0000-00000E750000}"/>
    <cellStyle name="Normal 46 3 2 3 7" xfId="37943" xr:uid="{00000000-0005-0000-0000-00000F750000}"/>
    <cellStyle name="Normal 46 3 2 3 8" xfId="37945" xr:uid="{00000000-0005-0000-0000-000010750000}"/>
    <cellStyle name="Normal 46 3 2 4" xfId="33225" xr:uid="{00000000-0005-0000-0000-000011750000}"/>
    <cellStyle name="Normal 46 3 2 4 2" xfId="33230" xr:uid="{00000000-0005-0000-0000-000012750000}"/>
    <cellStyle name="Normal 46 3 2 4 2 2" xfId="34909" xr:uid="{00000000-0005-0000-0000-000013750000}"/>
    <cellStyle name="Normal 46 3 2 4 2 2 2" xfId="34917" xr:uid="{00000000-0005-0000-0000-000014750000}"/>
    <cellStyle name="Normal 46 3 2 4 2 3" xfId="34931" xr:uid="{00000000-0005-0000-0000-000015750000}"/>
    <cellStyle name="Normal 46 3 2 4 3" xfId="34977" xr:uid="{00000000-0005-0000-0000-000016750000}"/>
    <cellStyle name="Normal 46 3 2 4 3 2" xfId="34984" xr:uid="{00000000-0005-0000-0000-000017750000}"/>
    <cellStyle name="Normal 46 3 2 4 4" xfId="35032" xr:uid="{00000000-0005-0000-0000-000018750000}"/>
    <cellStyle name="Normal 46 3 2 5" xfId="33239" xr:uid="{00000000-0005-0000-0000-000019750000}"/>
    <cellStyle name="Normal 46 3 2 5 2" xfId="35377" xr:uid="{00000000-0005-0000-0000-00001A750000}"/>
    <cellStyle name="Normal 46 3 2 5 2 2" xfId="35382" xr:uid="{00000000-0005-0000-0000-00001B750000}"/>
    <cellStyle name="Normal 46 3 2 5 3" xfId="35445" xr:uid="{00000000-0005-0000-0000-00001C750000}"/>
    <cellStyle name="Normal 46 3 2 6" xfId="37948" xr:uid="{00000000-0005-0000-0000-00001D750000}"/>
    <cellStyle name="Normal 46 3 2 6 2" xfId="23660" xr:uid="{00000000-0005-0000-0000-00001E750000}"/>
    <cellStyle name="Normal 46 3 2 6 2 2" xfId="23667" xr:uid="{00000000-0005-0000-0000-00001F750000}"/>
    <cellStyle name="Normal 46 3 2 6 3" xfId="23689" xr:uid="{00000000-0005-0000-0000-000020750000}"/>
    <cellStyle name="Normal 46 3 2 7" xfId="15720" xr:uid="{00000000-0005-0000-0000-000021750000}"/>
    <cellStyle name="Normal 46 3 2 7 2" xfId="23708" xr:uid="{00000000-0005-0000-0000-000022750000}"/>
    <cellStyle name="Normal 46 3 2 8" xfId="36783" xr:uid="{00000000-0005-0000-0000-000023750000}"/>
    <cellStyle name="Normal 46 3 2 8 2" xfId="36011" xr:uid="{00000000-0005-0000-0000-000024750000}"/>
    <cellStyle name="Normal 46 3 2 9" xfId="37951" xr:uid="{00000000-0005-0000-0000-000025750000}"/>
    <cellStyle name="Normal 46 3 3" xfId="37955" xr:uid="{00000000-0005-0000-0000-000026750000}"/>
    <cellStyle name="Normal 46 3 3 2" xfId="13186" xr:uid="{00000000-0005-0000-0000-000027750000}"/>
    <cellStyle name="Normal 46 3 3 2 2" xfId="37957" xr:uid="{00000000-0005-0000-0000-000028750000}"/>
    <cellStyle name="Normal 46 3 3 2 2 2" xfId="37959" xr:uid="{00000000-0005-0000-0000-000029750000}"/>
    <cellStyle name="Normal 46 3 3 2 2 2 2" xfId="2788" xr:uid="{00000000-0005-0000-0000-00002A750000}"/>
    <cellStyle name="Normal 46 3 3 2 2 2 2 2" xfId="510" xr:uid="{00000000-0005-0000-0000-00002B750000}"/>
    <cellStyle name="Normal 46 3 3 2 2 2 3" xfId="2816" xr:uid="{00000000-0005-0000-0000-00002C750000}"/>
    <cellStyle name="Normal 46 3 3 2 2 3" xfId="37961" xr:uid="{00000000-0005-0000-0000-00002D750000}"/>
    <cellStyle name="Normal 46 3 3 2 2 3 2" xfId="37963" xr:uid="{00000000-0005-0000-0000-00002E750000}"/>
    <cellStyle name="Normal 46 3 3 2 2 4" xfId="37967" xr:uid="{00000000-0005-0000-0000-00002F750000}"/>
    <cellStyle name="Normal 46 3 3 2 2 5" xfId="37969" xr:uid="{00000000-0005-0000-0000-000030750000}"/>
    <cellStyle name="Normal 46 3 3 2 3" xfId="37971" xr:uid="{00000000-0005-0000-0000-000031750000}"/>
    <cellStyle name="Normal 46 3 3 2 3 2" xfId="37973" xr:uid="{00000000-0005-0000-0000-000032750000}"/>
    <cellStyle name="Normal 46 3 3 2 3 2 2" xfId="23837" xr:uid="{00000000-0005-0000-0000-000033750000}"/>
    <cellStyle name="Normal 46 3 3 2 3 3" xfId="10401" xr:uid="{00000000-0005-0000-0000-000034750000}"/>
    <cellStyle name="Normal 46 3 3 2 4" xfId="37975" xr:uid="{00000000-0005-0000-0000-000035750000}"/>
    <cellStyle name="Normal 46 3 3 2 4 2" xfId="17749" xr:uid="{00000000-0005-0000-0000-000036750000}"/>
    <cellStyle name="Normal 46 3 3 2 4 2 2" xfId="16563" xr:uid="{00000000-0005-0000-0000-000037750000}"/>
    <cellStyle name="Normal 46 3 3 2 4 3" xfId="17755" xr:uid="{00000000-0005-0000-0000-000038750000}"/>
    <cellStyle name="Normal 46 3 3 2 5" xfId="36154" xr:uid="{00000000-0005-0000-0000-000039750000}"/>
    <cellStyle name="Normal 46 3 3 2 5 2" xfId="17777" xr:uid="{00000000-0005-0000-0000-00003A750000}"/>
    <cellStyle name="Normal 46 3 3 2 6" xfId="36158" xr:uid="{00000000-0005-0000-0000-00003B750000}"/>
    <cellStyle name="Normal 46 3 3 2 6 2" xfId="17785" xr:uid="{00000000-0005-0000-0000-00003C750000}"/>
    <cellStyle name="Normal 46 3 3 2 7" xfId="163" xr:uid="{00000000-0005-0000-0000-00003D750000}"/>
    <cellStyle name="Normal 46 3 3 2 8" xfId="37977" xr:uid="{00000000-0005-0000-0000-00003E750000}"/>
    <cellStyle name="Normal 46 3 3 3" xfId="33244" xr:uid="{00000000-0005-0000-0000-00003F750000}"/>
    <cellStyle name="Normal 46 3 3 3 2" xfId="33248" xr:uid="{00000000-0005-0000-0000-000040750000}"/>
    <cellStyle name="Normal 46 3 3 3 2 2" xfId="37979" xr:uid="{00000000-0005-0000-0000-000041750000}"/>
    <cellStyle name="Normal 46 3 3 3 2 2 2" xfId="37981" xr:uid="{00000000-0005-0000-0000-000042750000}"/>
    <cellStyle name="Normal 46 3 3 3 2 3" xfId="37983" xr:uid="{00000000-0005-0000-0000-000043750000}"/>
    <cellStyle name="Normal 46 3 3 3 3" xfId="37985" xr:uid="{00000000-0005-0000-0000-000044750000}"/>
    <cellStyle name="Normal 46 3 3 3 3 2" xfId="37987" xr:uid="{00000000-0005-0000-0000-000045750000}"/>
    <cellStyle name="Normal 46 3 3 3 4" xfId="37989" xr:uid="{00000000-0005-0000-0000-000046750000}"/>
    <cellStyle name="Normal 46 3 3 3 5" xfId="34067" xr:uid="{00000000-0005-0000-0000-000047750000}"/>
    <cellStyle name="Normal 46 3 3 4" xfId="33253" xr:uid="{00000000-0005-0000-0000-000048750000}"/>
    <cellStyle name="Normal 46 3 3 4 2" xfId="36684" xr:uid="{00000000-0005-0000-0000-000049750000}"/>
    <cellStyle name="Normal 46 3 3 4 2 2" xfId="36691" xr:uid="{00000000-0005-0000-0000-00004A750000}"/>
    <cellStyle name="Normal 46 3 3 4 3" xfId="36773" xr:uid="{00000000-0005-0000-0000-00004B750000}"/>
    <cellStyle name="Normal 46 3 3 5" xfId="37992" xr:uid="{00000000-0005-0000-0000-00004C750000}"/>
    <cellStyle name="Normal 46 3 3 5 2" xfId="37070" xr:uid="{00000000-0005-0000-0000-00004D750000}"/>
    <cellStyle name="Normal 46 3 3 5 2 2" xfId="13781" xr:uid="{00000000-0005-0000-0000-00004E750000}"/>
    <cellStyle name="Normal 46 3 3 5 3" xfId="21489" xr:uid="{00000000-0005-0000-0000-00004F750000}"/>
    <cellStyle name="Normal 46 3 3 6" xfId="37995" xr:uid="{00000000-0005-0000-0000-000050750000}"/>
    <cellStyle name="Normal 46 3 3 6 2" xfId="23925" xr:uid="{00000000-0005-0000-0000-000051750000}"/>
    <cellStyle name="Normal 46 3 3 7" xfId="36788" xr:uid="{00000000-0005-0000-0000-000052750000}"/>
    <cellStyle name="Normal 46 3 3 7 2" xfId="23936" xr:uid="{00000000-0005-0000-0000-000053750000}"/>
    <cellStyle name="Normal 46 3 3 8" xfId="36793" xr:uid="{00000000-0005-0000-0000-000054750000}"/>
    <cellStyle name="Normal 46 3 3 9" xfId="26625" xr:uid="{00000000-0005-0000-0000-000055750000}"/>
    <cellStyle name="Normal 46 3 4" xfId="19910" xr:uid="{00000000-0005-0000-0000-000056750000}"/>
    <cellStyle name="Normal 46 3 4 2" xfId="19912" xr:uid="{00000000-0005-0000-0000-000057750000}"/>
    <cellStyle name="Normal 46 3 4 2 2" xfId="37997" xr:uid="{00000000-0005-0000-0000-000058750000}"/>
    <cellStyle name="Normal 46 3 4 2 2 2" xfId="10339" xr:uid="{00000000-0005-0000-0000-000059750000}"/>
    <cellStyle name="Normal 46 3 4 2 2 2 2" xfId="11748" xr:uid="{00000000-0005-0000-0000-00005A750000}"/>
    <cellStyle name="Normal 46 3 4 2 2 2 2 2" xfId="11757" xr:uid="{00000000-0005-0000-0000-00005B750000}"/>
    <cellStyle name="Normal 46 3 4 2 2 2 3" xfId="11766" xr:uid="{00000000-0005-0000-0000-00005C750000}"/>
    <cellStyle name="Normal 46 3 4 2 2 3" xfId="19107" xr:uid="{00000000-0005-0000-0000-00005D750000}"/>
    <cellStyle name="Normal 46 3 4 2 2 3 2" xfId="38000" xr:uid="{00000000-0005-0000-0000-00005E750000}"/>
    <cellStyle name="Normal 46 3 4 2 2 4" xfId="6477" xr:uid="{00000000-0005-0000-0000-00005F750000}"/>
    <cellStyle name="Normal 46 3 4 2 3" xfId="38002" xr:uid="{00000000-0005-0000-0000-000060750000}"/>
    <cellStyle name="Normal 46 3 4 2 3 2" xfId="9981" xr:uid="{00000000-0005-0000-0000-000061750000}"/>
    <cellStyle name="Normal 46 3 4 2 3 2 2" xfId="9991" xr:uid="{00000000-0005-0000-0000-000062750000}"/>
    <cellStyle name="Normal 46 3 4 2 3 3" xfId="9999" xr:uid="{00000000-0005-0000-0000-000063750000}"/>
    <cellStyle name="Normal 46 3 4 2 4" xfId="38004" xr:uid="{00000000-0005-0000-0000-000064750000}"/>
    <cellStyle name="Normal 46 3 4 2 4 2" xfId="10009" xr:uid="{00000000-0005-0000-0000-000065750000}"/>
    <cellStyle name="Normal 46 3 4 2 4 2 2" xfId="27045" xr:uid="{00000000-0005-0000-0000-000066750000}"/>
    <cellStyle name="Normal 46 3 4 2 4 3" xfId="10019" xr:uid="{00000000-0005-0000-0000-000067750000}"/>
    <cellStyle name="Normal 46 3 4 2 5" xfId="36164" xr:uid="{00000000-0005-0000-0000-000068750000}"/>
    <cellStyle name="Normal 46 3 4 2 5 2" xfId="38007" xr:uid="{00000000-0005-0000-0000-000069750000}"/>
    <cellStyle name="Normal 46 3 4 2 6" xfId="27811" xr:uid="{00000000-0005-0000-0000-00006A750000}"/>
    <cellStyle name="Normal 46 3 4 2 6 2" xfId="27816" xr:uid="{00000000-0005-0000-0000-00006B750000}"/>
    <cellStyle name="Normal 46 3 4 2 7" xfId="27820" xr:uid="{00000000-0005-0000-0000-00006C750000}"/>
    <cellStyle name="Normal 46 3 4 2 8" xfId="38010" xr:uid="{00000000-0005-0000-0000-00006D750000}"/>
    <cellStyle name="Normal 46 3 4 3" xfId="33260" xr:uid="{00000000-0005-0000-0000-00006E750000}"/>
    <cellStyle name="Normal 46 3 4 3 2" xfId="33264" xr:uid="{00000000-0005-0000-0000-00006F750000}"/>
    <cellStyle name="Normal 46 3 4 3 2 2" xfId="19173" xr:uid="{00000000-0005-0000-0000-000070750000}"/>
    <cellStyle name="Normal 46 3 4 3 2 2 2" xfId="38014" xr:uid="{00000000-0005-0000-0000-000071750000}"/>
    <cellStyle name="Normal 46 3 4 3 2 3" xfId="38018" xr:uid="{00000000-0005-0000-0000-000072750000}"/>
    <cellStyle name="Normal 46 3 4 3 3" xfId="38020" xr:uid="{00000000-0005-0000-0000-000073750000}"/>
    <cellStyle name="Normal 46 3 4 3 3 2" xfId="38024" xr:uid="{00000000-0005-0000-0000-000074750000}"/>
    <cellStyle name="Normal 46 3 4 3 4" xfId="38026" xr:uid="{00000000-0005-0000-0000-000075750000}"/>
    <cellStyle name="Normal 46 3 4 4" xfId="33268" xr:uid="{00000000-0005-0000-0000-000076750000}"/>
    <cellStyle name="Normal 46 3 4 4 2" xfId="37624" xr:uid="{00000000-0005-0000-0000-000077750000}"/>
    <cellStyle name="Normal 46 3 4 4 2 2" xfId="37630" xr:uid="{00000000-0005-0000-0000-000078750000}"/>
    <cellStyle name="Normal 46 3 4 4 3" xfId="37678" xr:uid="{00000000-0005-0000-0000-000079750000}"/>
    <cellStyle name="Normal 46 3 4 5" xfId="38028" xr:uid="{00000000-0005-0000-0000-00007A750000}"/>
    <cellStyle name="Normal 46 3 4 5 2" xfId="37953" xr:uid="{00000000-0005-0000-0000-00007B750000}"/>
    <cellStyle name="Normal 46 3 4 5 2 2" xfId="13183" xr:uid="{00000000-0005-0000-0000-00007C750000}"/>
    <cellStyle name="Normal 46 3 4 5 3" xfId="19908" xr:uid="{00000000-0005-0000-0000-00007D750000}"/>
    <cellStyle name="Normal 46 3 4 6" xfId="2931" xr:uid="{00000000-0005-0000-0000-00007E750000}"/>
    <cellStyle name="Normal 46 3 4 6 2" xfId="679" xr:uid="{00000000-0005-0000-0000-00007F750000}"/>
    <cellStyle name="Normal 46 3 4 7" xfId="34682" xr:uid="{00000000-0005-0000-0000-000080750000}"/>
    <cellStyle name="Normal 46 3 4 7 2" xfId="1254" xr:uid="{00000000-0005-0000-0000-000081750000}"/>
    <cellStyle name="Normal 46 3 4 8" xfId="10846" xr:uid="{00000000-0005-0000-0000-000082750000}"/>
    <cellStyle name="Normal 46 3 4 9" xfId="38030" xr:uid="{00000000-0005-0000-0000-000083750000}"/>
    <cellStyle name="Normal 46 3 5" xfId="18662" xr:uid="{00000000-0005-0000-0000-000084750000}"/>
    <cellStyle name="Normal 46 3 5 2" xfId="38032" xr:uid="{00000000-0005-0000-0000-000085750000}"/>
    <cellStyle name="Normal 46 3 5 2 2" xfId="38034" xr:uid="{00000000-0005-0000-0000-000086750000}"/>
    <cellStyle name="Normal 46 3 5 2 2 2" xfId="38036" xr:uid="{00000000-0005-0000-0000-000087750000}"/>
    <cellStyle name="Normal 46 3 5 2 2 2 2" xfId="3035" xr:uid="{00000000-0005-0000-0000-000088750000}"/>
    <cellStyle name="Normal 46 3 5 2 2 2 2 2" xfId="3059" xr:uid="{00000000-0005-0000-0000-000089750000}"/>
    <cellStyle name="Normal 46 3 5 2 2 2 3" xfId="1568" xr:uid="{00000000-0005-0000-0000-00008A750000}"/>
    <cellStyle name="Normal 46 3 5 2 2 3" xfId="38038" xr:uid="{00000000-0005-0000-0000-00008B750000}"/>
    <cellStyle name="Normal 46 3 5 2 2 3 2" xfId="38040" xr:uid="{00000000-0005-0000-0000-00008C750000}"/>
    <cellStyle name="Normal 46 3 5 2 2 4" xfId="19431" xr:uid="{00000000-0005-0000-0000-00008D750000}"/>
    <cellStyle name="Normal 46 3 5 2 3" xfId="38042" xr:uid="{00000000-0005-0000-0000-00008E750000}"/>
    <cellStyle name="Normal 46 3 5 2 3 2" xfId="38044" xr:uid="{00000000-0005-0000-0000-00008F750000}"/>
    <cellStyle name="Normal 46 3 5 2 3 2 2" xfId="38046" xr:uid="{00000000-0005-0000-0000-000090750000}"/>
    <cellStyle name="Normal 46 3 5 2 3 3" xfId="38048" xr:uid="{00000000-0005-0000-0000-000091750000}"/>
    <cellStyle name="Normal 46 3 5 2 4" xfId="38050" xr:uid="{00000000-0005-0000-0000-000092750000}"/>
    <cellStyle name="Normal 46 3 5 2 4 2" xfId="38052" xr:uid="{00000000-0005-0000-0000-000093750000}"/>
    <cellStyle name="Normal 46 3 5 2 4 2 2" xfId="27091" xr:uid="{00000000-0005-0000-0000-000094750000}"/>
    <cellStyle name="Normal 46 3 5 2 4 3" xfId="38054" xr:uid="{00000000-0005-0000-0000-000095750000}"/>
    <cellStyle name="Normal 46 3 5 2 5" xfId="36170" xr:uid="{00000000-0005-0000-0000-000096750000}"/>
    <cellStyle name="Normal 46 3 5 2 5 2" xfId="38056" xr:uid="{00000000-0005-0000-0000-000097750000}"/>
    <cellStyle name="Normal 46 3 5 2 6" xfId="27861" xr:uid="{00000000-0005-0000-0000-000098750000}"/>
    <cellStyle name="Normal 46 3 5 2 6 2" xfId="38058" xr:uid="{00000000-0005-0000-0000-000099750000}"/>
    <cellStyle name="Normal 46 3 5 2 7" xfId="38060" xr:uid="{00000000-0005-0000-0000-00009A750000}"/>
    <cellStyle name="Normal 46 3 5 2 8" xfId="38062" xr:uid="{00000000-0005-0000-0000-00009B750000}"/>
    <cellStyle name="Normal 46 3 5 3" xfId="33272" xr:uid="{00000000-0005-0000-0000-00009C750000}"/>
    <cellStyle name="Normal 46 3 5 3 2" xfId="38064" xr:uid="{00000000-0005-0000-0000-00009D750000}"/>
    <cellStyle name="Normal 46 3 5 3 2 2" xfId="38066" xr:uid="{00000000-0005-0000-0000-00009E750000}"/>
    <cellStyle name="Normal 46 3 5 3 2 2 2" xfId="34603" xr:uid="{00000000-0005-0000-0000-00009F750000}"/>
    <cellStyle name="Normal 46 3 5 3 2 3" xfId="38068" xr:uid="{00000000-0005-0000-0000-0000A0750000}"/>
    <cellStyle name="Normal 46 3 5 3 3" xfId="38070" xr:uid="{00000000-0005-0000-0000-0000A1750000}"/>
    <cellStyle name="Normal 46 3 5 3 3 2" xfId="38072" xr:uid="{00000000-0005-0000-0000-0000A2750000}"/>
    <cellStyle name="Normal 46 3 5 3 4" xfId="38074" xr:uid="{00000000-0005-0000-0000-0000A3750000}"/>
    <cellStyle name="Normal 46 3 5 4" xfId="18689" xr:uid="{00000000-0005-0000-0000-0000A4750000}"/>
    <cellStyle name="Normal 46 3 5 4 2" xfId="18697" xr:uid="{00000000-0005-0000-0000-0000A5750000}"/>
    <cellStyle name="Normal 46 3 5 4 2 2" xfId="38077" xr:uid="{00000000-0005-0000-0000-0000A6750000}"/>
    <cellStyle name="Normal 46 3 5 4 3" xfId="38080" xr:uid="{00000000-0005-0000-0000-0000A7750000}"/>
    <cellStyle name="Normal 46 3 5 5" xfId="18706" xr:uid="{00000000-0005-0000-0000-0000A8750000}"/>
    <cellStyle name="Normal 46 3 5 5 2" xfId="38083" xr:uid="{00000000-0005-0000-0000-0000A9750000}"/>
    <cellStyle name="Normal 46 3 5 5 2 2" xfId="38086" xr:uid="{00000000-0005-0000-0000-0000AA750000}"/>
    <cellStyle name="Normal 46 3 5 5 3" xfId="19949" xr:uid="{00000000-0005-0000-0000-0000AB750000}"/>
    <cellStyle name="Normal 46 3 5 6" xfId="38088" xr:uid="{00000000-0005-0000-0000-0000AC750000}"/>
    <cellStyle name="Normal 46 3 5 6 2" xfId="18718" xr:uid="{00000000-0005-0000-0000-0000AD750000}"/>
    <cellStyle name="Normal 46 3 5 7" xfId="36797" xr:uid="{00000000-0005-0000-0000-0000AE750000}"/>
    <cellStyle name="Normal 46 3 5 7 2" xfId="38091" xr:uid="{00000000-0005-0000-0000-0000AF750000}"/>
    <cellStyle name="Normal 46 3 5 8" xfId="38093" xr:uid="{00000000-0005-0000-0000-0000B0750000}"/>
    <cellStyle name="Normal 46 3 5 9" xfId="38095" xr:uid="{00000000-0005-0000-0000-0000B1750000}"/>
    <cellStyle name="Normal 46 3 6" xfId="38097" xr:uid="{00000000-0005-0000-0000-0000B2750000}"/>
    <cellStyle name="Normal 46 3 6 2" xfId="38099" xr:uid="{00000000-0005-0000-0000-0000B3750000}"/>
    <cellStyle name="Normal 46 3 6 2 2" xfId="38101" xr:uid="{00000000-0005-0000-0000-0000B4750000}"/>
    <cellStyle name="Normal 46 3 6 2 2 2" xfId="38103" xr:uid="{00000000-0005-0000-0000-0000B5750000}"/>
    <cellStyle name="Normal 46 3 6 2 2 2 2" xfId="29037" xr:uid="{00000000-0005-0000-0000-0000B6750000}"/>
    <cellStyle name="Normal 46 3 6 2 2 3" xfId="38106" xr:uid="{00000000-0005-0000-0000-0000B7750000}"/>
    <cellStyle name="Normal 46 3 6 2 3" xfId="36271" xr:uid="{00000000-0005-0000-0000-0000B8750000}"/>
    <cellStyle name="Normal 46 3 6 2 3 2" xfId="38108" xr:uid="{00000000-0005-0000-0000-0000B9750000}"/>
    <cellStyle name="Normal 46 3 6 2 4" xfId="38110" xr:uid="{00000000-0005-0000-0000-0000BA750000}"/>
    <cellStyle name="Normal 46 3 6 3" xfId="33278" xr:uid="{00000000-0005-0000-0000-0000BB750000}"/>
    <cellStyle name="Normal 46 3 6 3 2" xfId="38112" xr:uid="{00000000-0005-0000-0000-0000BC750000}"/>
    <cellStyle name="Normal 46 3 6 3 2 2" xfId="38114" xr:uid="{00000000-0005-0000-0000-0000BD750000}"/>
    <cellStyle name="Normal 46 3 6 3 3" xfId="36275" xr:uid="{00000000-0005-0000-0000-0000BE750000}"/>
    <cellStyle name="Normal 46 3 6 4" xfId="18738" xr:uid="{00000000-0005-0000-0000-0000BF750000}"/>
    <cellStyle name="Normal 46 3 6 4 2" xfId="38116" xr:uid="{00000000-0005-0000-0000-0000C0750000}"/>
    <cellStyle name="Normal 46 3 6 4 2 2" xfId="38118" xr:uid="{00000000-0005-0000-0000-0000C1750000}"/>
    <cellStyle name="Normal 46 3 6 4 3" xfId="38120" xr:uid="{00000000-0005-0000-0000-0000C2750000}"/>
    <cellStyle name="Normal 46 3 6 5" xfId="38122" xr:uid="{00000000-0005-0000-0000-0000C3750000}"/>
    <cellStyle name="Normal 46 3 6 5 2" xfId="38124" xr:uid="{00000000-0005-0000-0000-0000C4750000}"/>
    <cellStyle name="Normal 46 3 6 6" xfId="38126" xr:uid="{00000000-0005-0000-0000-0000C5750000}"/>
    <cellStyle name="Normal 46 3 6 6 2" xfId="38128" xr:uid="{00000000-0005-0000-0000-0000C6750000}"/>
    <cellStyle name="Normal 46 3 6 7" xfId="38130" xr:uid="{00000000-0005-0000-0000-0000C7750000}"/>
    <cellStyle name="Normal 46 3 6 8" xfId="38132" xr:uid="{00000000-0005-0000-0000-0000C8750000}"/>
    <cellStyle name="Normal 46 3 7" xfId="27845" xr:uid="{00000000-0005-0000-0000-0000C9750000}"/>
    <cellStyle name="Normal 46 3 7 2" xfId="38134" xr:uid="{00000000-0005-0000-0000-0000CA750000}"/>
    <cellStyle name="Normal 46 3 7 2 2" xfId="38136" xr:uid="{00000000-0005-0000-0000-0000CB750000}"/>
    <cellStyle name="Normal 46 3 7 2 2 2" xfId="38138" xr:uid="{00000000-0005-0000-0000-0000CC750000}"/>
    <cellStyle name="Normal 46 3 7 2 3" xfId="36333" xr:uid="{00000000-0005-0000-0000-0000CD750000}"/>
    <cellStyle name="Normal 46 3 7 3" xfId="38140" xr:uid="{00000000-0005-0000-0000-0000CE750000}"/>
    <cellStyle name="Normal 46 3 7 3 2" xfId="38142" xr:uid="{00000000-0005-0000-0000-0000CF750000}"/>
    <cellStyle name="Normal 46 3 7 4" xfId="25181" xr:uid="{00000000-0005-0000-0000-0000D0750000}"/>
    <cellStyle name="Normal 46 3 8" xfId="15155" xr:uid="{00000000-0005-0000-0000-0000D1750000}"/>
    <cellStyle name="Normal 46 3 8 2" xfId="38144" xr:uid="{00000000-0005-0000-0000-0000D2750000}"/>
    <cellStyle name="Normal 46 3 8 2 2" xfId="38146" xr:uid="{00000000-0005-0000-0000-0000D3750000}"/>
    <cellStyle name="Normal 46 3 8 3" xfId="38148" xr:uid="{00000000-0005-0000-0000-0000D4750000}"/>
    <cellStyle name="Normal 46 3 9" xfId="38150" xr:uid="{00000000-0005-0000-0000-0000D5750000}"/>
    <cellStyle name="Normal 46 3 9 2" xfId="38152" xr:uid="{00000000-0005-0000-0000-0000D6750000}"/>
    <cellStyle name="Normal 46 3 9 2 2" xfId="38154" xr:uid="{00000000-0005-0000-0000-0000D7750000}"/>
    <cellStyle name="Normal 46 3 9 3" xfId="38156" xr:uid="{00000000-0005-0000-0000-0000D8750000}"/>
    <cellStyle name="Normal 46 4" xfId="38158" xr:uid="{00000000-0005-0000-0000-0000D9750000}"/>
    <cellStyle name="Normal 46 4 10" xfId="31668" xr:uid="{00000000-0005-0000-0000-0000DA750000}"/>
    <cellStyle name="Normal 46 4 2" xfId="570" xr:uid="{00000000-0005-0000-0000-0000DB750000}"/>
    <cellStyle name="Normal 46 4 2 2" xfId="884" xr:uid="{00000000-0005-0000-0000-0000DC750000}"/>
    <cellStyle name="Normal 46 4 2 2 2" xfId="904" xr:uid="{00000000-0005-0000-0000-0000DD750000}"/>
    <cellStyle name="Normal 46 4 2 2 2 2" xfId="38160" xr:uid="{00000000-0005-0000-0000-0000DE750000}"/>
    <cellStyle name="Normal 46 4 2 2 2 2 2" xfId="38162" xr:uid="{00000000-0005-0000-0000-0000DF750000}"/>
    <cellStyle name="Normal 46 4 2 2 2 2 2 2" xfId="17818" xr:uid="{00000000-0005-0000-0000-0000E0750000}"/>
    <cellStyle name="Normal 46 4 2 2 2 2 3" xfId="38166" xr:uid="{00000000-0005-0000-0000-0000E1750000}"/>
    <cellStyle name="Normal 46 4 2 2 2 3" xfId="38169" xr:uid="{00000000-0005-0000-0000-0000E2750000}"/>
    <cellStyle name="Normal 46 4 2 2 2 3 2" xfId="38172" xr:uid="{00000000-0005-0000-0000-0000E3750000}"/>
    <cellStyle name="Normal 46 4 2 2 2 4" xfId="38175" xr:uid="{00000000-0005-0000-0000-0000E4750000}"/>
    <cellStyle name="Normal 46 4 2 2 3" xfId="38177" xr:uid="{00000000-0005-0000-0000-0000E5750000}"/>
    <cellStyle name="Normal 46 4 2 2 3 2" xfId="38179" xr:uid="{00000000-0005-0000-0000-0000E6750000}"/>
    <cellStyle name="Normal 46 4 2 2 3 2 2" xfId="38181" xr:uid="{00000000-0005-0000-0000-0000E7750000}"/>
    <cellStyle name="Normal 46 4 2 2 3 3" xfId="10438" xr:uid="{00000000-0005-0000-0000-0000E8750000}"/>
    <cellStyle name="Normal 46 4 2 2 4" xfId="189" xr:uid="{00000000-0005-0000-0000-0000E9750000}"/>
    <cellStyle name="Normal 46 4 2 2 4 2" xfId="5998" xr:uid="{00000000-0005-0000-0000-0000EA750000}"/>
    <cellStyle name="Normal 46 4 2 2 4 2 2" xfId="38183" xr:uid="{00000000-0005-0000-0000-0000EB750000}"/>
    <cellStyle name="Normal 46 4 2 2 4 3" xfId="10456" xr:uid="{00000000-0005-0000-0000-0000EC750000}"/>
    <cellStyle name="Normal 46 4 2 2 5" xfId="7542" xr:uid="{00000000-0005-0000-0000-0000ED750000}"/>
    <cellStyle name="Normal 46 4 2 2 5 2" xfId="38185" xr:uid="{00000000-0005-0000-0000-0000EE750000}"/>
    <cellStyle name="Normal 46 4 2 2 6" xfId="38187" xr:uid="{00000000-0005-0000-0000-0000EF750000}"/>
    <cellStyle name="Normal 46 4 2 2 6 2" xfId="38190" xr:uid="{00000000-0005-0000-0000-0000F0750000}"/>
    <cellStyle name="Normal 46 4 2 2 7" xfId="19558" xr:uid="{00000000-0005-0000-0000-0000F1750000}"/>
    <cellStyle name="Normal 46 4 2 2 8" xfId="19495" xr:uid="{00000000-0005-0000-0000-0000F2750000}"/>
    <cellStyle name="Normal 46 4 2 3" xfId="920" xr:uid="{00000000-0005-0000-0000-0000F3750000}"/>
    <cellStyle name="Normal 46 4 2 3 2" xfId="30355" xr:uid="{00000000-0005-0000-0000-0000F4750000}"/>
    <cellStyle name="Normal 46 4 2 3 2 2" xfId="34740" xr:uid="{00000000-0005-0000-0000-0000F5750000}"/>
    <cellStyle name="Normal 46 4 2 3 2 2 2" xfId="23435" xr:uid="{00000000-0005-0000-0000-0000F6750000}"/>
    <cellStyle name="Normal 46 4 2 3 2 3" xfId="38193" xr:uid="{00000000-0005-0000-0000-0000F7750000}"/>
    <cellStyle name="Normal 46 4 2 3 3" xfId="38195" xr:uid="{00000000-0005-0000-0000-0000F8750000}"/>
    <cellStyle name="Normal 46 4 2 3 3 2" xfId="38197" xr:uid="{00000000-0005-0000-0000-0000F9750000}"/>
    <cellStyle name="Normal 46 4 2 3 4" xfId="38199" xr:uid="{00000000-0005-0000-0000-0000FA750000}"/>
    <cellStyle name="Normal 46 4 2 4" xfId="33298" xr:uid="{00000000-0005-0000-0000-0000FB750000}"/>
    <cellStyle name="Normal 46 4 2 4 2" xfId="38202" xr:uid="{00000000-0005-0000-0000-0000FC750000}"/>
    <cellStyle name="Normal 46 4 2 4 2 2" xfId="38205" xr:uid="{00000000-0005-0000-0000-0000FD750000}"/>
    <cellStyle name="Normal 46 4 2 4 3" xfId="38208" xr:uid="{00000000-0005-0000-0000-0000FE750000}"/>
    <cellStyle name="Normal 46 4 2 5" xfId="38211" xr:uid="{00000000-0005-0000-0000-0000FF750000}"/>
    <cellStyle name="Normal 46 4 2 5 2" xfId="38214" xr:uid="{00000000-0005-0000-0000-000000760000}"/>
    <cellStyle name="Normal 46 4 2 5 2 2" xfId="38217" xr:uid="{00000000-0005-0000-0000-000001760000}"/>
    <cellStyle name="Normal 46 4 2 5 3" xfId="38220" xr:uid="{00000000-0005-0000-0000-000002760000}"/>
    <cellStyle name="Normal 46 4 2 6" xfId="38223" xr:uid="{00000000-0005-0000-0000-000003760000}"/>
    <cellStyle name="Normal 46 4 2 6 2" xfId="18280" xr:uid="{00000000-0005-0000-0000-000004760000}"/>
    <cellStyle name="Normal 46 4 2 7" xfId="15737" xr:uid="{00000000-0005-0000-0000-000005760000}"/>
    <cellStyle name="Normal 46 4 2 7 2" xfId="38226" xr:uid="{00000000-0005-0000-0000-000006760000}"/>
    <cellStyle name="Normal 46 4 2 8" xfId="38229" xr:uid="{00000000-0005-0000-0000-000007760000}"/>
    <cellStyle name="Normal 46 4 2 9" xfId="38232" xr:uid="{00000000-0005-0000-0000-000008760000}"/>
    <cellStyle name="Normal 46 4 3" xfId="675" xr:uid="{00000000-0005-0000-0000-000009760000}"/>
    <cellStyle name="Normal 46 4 3 2" xfId="974" xr:uid="{00000000-0005-0000-0000-00000A760000}"/>
    <cellStyle name="Normal 46 4 3 2 2" xfId="10806" xr:uid="{00000000-0005-0000-0000-00000B760000}"/>
    <cellStyle name="Normal 46 4 3 2 2 2" xfId="2209" xr:uid="{00000000-0005-0000-0000-00000C760000}"/>
    <cellStyle name="Normal 46 4 3 2 2 2 2" xfId="38234" xr:uid="{00000000-0005-0000-0000-00000D760000}"/>
    <cellStyle name="Normal 46 4 3 2 2 3" xfId="38236" xr:uid="{00000000-0005-0000-0000-00000E760000}"/>
    <cellStyle name="Normal 46 4 3 2 3" xfId="10815" xr:uid="{00000000-0005-0000-0000-00000F760000}"/>
    <cellStyle name="Normal 46 4 3 2 3 2" xfId="2794" xr:uid="{00000000-0005-0000-0000-000010760000}"/>
    <cellStyle name="Normal 46 4 3 2 4" xfId="10825" xr:uid="{00000000-0005-0000-0000-000011760000}"/>
    <cellStyle name="Normal 46 4 3 3" xfId="18148" xr:uid="{00000000-0005-0000-0000-000012760000}"/>
    <cellStyle name="Normal 46 4 3 3 2" xfId="10899" xr:uid="{00000000-0005-0000-0000-000013760000}"/>
    <cellStyle name="Normal 46 4 3 3 2 2" xfId="38241" xr:uid="{00000000-0005-0000-0000-000014760000}"/>
    <cellStyle name="Normal 46 4 3 3 3" xfId="38243" xr:uid="{00000000-0005-0000-0000-000015760000}"/>
    <cellStyle name="Normal 46 4 3 4" xfId="13577" xr:uid="{00000000-0005-0000-0000-000016760000}"/>
    <cellStyle name="Normal 46 4 3 4 2" xfId="18153" xr:uid="{00000000-0005-0000-0000-000017760000}"/>
    <cellStyle name="Normal 46 4 3 4 2 2" xfId="38246" xr:uid="{00000000-0005-0000-0000-000018760000}"/>
    <cellStyle name="Normal 46 4 3 4 3" xfId="38249" xr:uid="{00000000-0005-0000-0000-000019760000}"/>
    <cellStyle name="Normal 46 4 3 5" xfId="18157" xr:uid="{00000000-0005-0000-0000-00001A760000}"/>
    <cellStyle name="Normal 46 4 3 5 2" xfId="38252" xr:uid="{00000000-0005-0000-0000-00001B760000}"/>
    <cellStyle name="Normal 46 4 3 6" xfId="18163" xr:uid="{00000000-0005-0000-0000-00001C760000}"/>
    <cellStyle name="Normal 46 4 3 6 2" xfId="38255" xr:uid="{00000000-0005-0000-0000-00001D760000}"/>
    <cellStyle name="Normal 46 4 3 7" xfId="38259" xr:uid="{00000000-0005-0000-0000-00001E760000}"/>
    <cellStyle name="Normal 46 4 3 8" xfId="38262" xr:uid="{00000000-0005-0000-0000-00001F760000}"/>
    <cellStyle name="Normal 46 4 4" xfId="766" xr:uid="{00000000-0005-0000-0000-000020760000}"/>
    <cellStyle name="Normal 46 4 4 2" xfId="1034" xr:uid="{00000000-0005-0000-0000-000021760000}"/>
    <cellStyle name="Normal 46 4 4 2 2" xfId="10999" xr:uid="{00000000-0005-0000-0000-000022760000}"/>
    <cellStyle name="Normal 46 4 4 2 2 2" xfId="35662" xr:uid="{00000000-0005-0000-0000-000023760000}"/>
    <cellStyle name="Normal 46 4 4 2 3" xfId="38264" xr:uid="{00000000-0005-0000-0000-000024760000}"/>
    <cellStyle name="Normal 46 4 4 3" xfId="18179" xr:uid="{00000000-0005-0000-0000-000025760000}"/>
    <cellStyle name="Normal 46 4 4 3 2" xfId="38266" xr:uid="{00000000-0005-0000-0000-000026760000}"/>
    <cellStyle name="Normal 46 4 4 4" xfId="18182" xr:uid="{00000000-0005-0000-0000-000027760000}"/>
    <cellStyle name="Normal 46 4 5" xfId="405" xr:uid="{00000000-0005-0000-0000-000028760000}"/>
    <cellStyle name="Normal 46 4 5 2" xfId="18188" xr:uid="{00000000-0005-0000-0000-000029760000}"/>
    <cellStyle name="Normal 46 4 5 2 2" xfId="38268" xr:uid="{00000000-0005-0000-0000-00002A760000}"/>
    <cellStyle name="Normal 46 4 5 3" xfId="33309" xr:uid="{00000000-0005-0000-0000-00002B760000}"/>
    <cellStyle name="Normal 46 4 6" xfId="38270" xr:uid="{00000000-0005-0000-0000-00002C760000}"/>
    <cellStyle name="Normal 46 4 6 2" xfId="38272" xr:uid="{00000000-0005-0000-0000-00002D760000}"/>
    <cellStyle name="Normal 46 4 6 2 2" xfId="38274" xr:uid="{00000000-0005-0000-0000-00002E760000}"/>
    <cellStyle name="Normal 46 4 6 3" xfId="38276" xr:uid="{00000000-0005-0000-0000-00002F760000}"/>
    <cellStyle name="Normal 46 4 7" xfId="38278" xr:uid="{00000000-0005-0000-0000-000030760000}"/>
    <cellStyle name="Normal 46 4 7 2" xfId="38280" xr:uid="{00000000-0005-0000-0000-000031760000}"/>
    <cellStyle name="Normal 46 4 8" xfId="38282" xr:uid="{00000000-0005-0000-0000-000032760000}"/>
    <cellStyle name="Normal 46 4 8 2" xfId="38284" xr:uid="{00000000-0005-0000-0000-000033760000}"/>
    <cellStyle name="Normal 46 4 9" xfId="38286" xr:uid="{00000000-0005-0000-0000-000034760000}"/>
    <cellStyle name="Normal 46 5" xfId="24118" xr:uid="{00000000-0005-0000-0000-000035760000}"/>
    <cellStyle name="Normal 46 5 2" xfId="1182" xr:uid="{00000000-0005-0000-0000-000036760000}"/>
    <cellStyle name="Normal 46 5 2 2" xfId="1196" xr:uid="{00000000-0005-0000-0000-000037760000}"/>
    <cellStyle name="Normal 46 5 2 2 2" xfId="6890" xr:uid="{00000000-0005-0000-0000-000038760000}"/>
    <cellStyle name="Normal 46 5 2 2 2 2" xfId="38288" xr:uid="{00000000-0005-0000-0000-000039760000}"/>
    <cellStyle name="Normal 46 5 2 2 2 2 2" xfId="32249" xr:uid="{00000000-0005-0000-0000-00003A760000}"/>
    <cellStyle name="Normal 46 5 2 2 2 3" xfId="38290" xr:uid="{00000000-0005-0000-0000-00003B760000}"/>
    <cellStyle name="Normal 46 5 2 2 3" xfId="38292" xr:uid="{00000000-0005-0000-0000-00003C760000}"/>
    <cellStyle name="Normal 46 5 2 2 3 2" xfId="20994" xr:uid="{00000000-0005-0000-0000-00003D760000}"/>
    <cellStyle name="Normal 46 5 2 2 4" xfId="7746" xr:uid="{00000000-0005-0000-0000-00003E760000}"/>
    <cellStyle name="Normal 46 5 2 2 5" xfId="5239" xr:uid="{00000000-0005-0000-0000-00003F760000}"/>
    <cellStyle name="Normal 46 5 2 3" xfId="33335" xr:uid="{00000000-0005-0000-0000-000040760000}"/>
    <cellStyle name="Normal 46 5 2 3 2" xfId="6911" xr:uid="{00000000-0005-0000-0000-000041760000}"/>
    <cellStyle name="Normal 46 5 2 3 2 2" xfId="35587" xr:uid="{00000000-0005-0000-0000-000042760000}"/>
    <cellStyle name="Normal 46 5 2 3 3" xfId="38294" xr:uid="{00000000-0005-0000-0000-000043760000}"/>
    <cellStyle name="Normal 46 5 2 4" xfId="34406" xr:uid="{00000000-0005-0000-0000-000044760000}"/>
    <cellStyle name="Normal 46 5 2 4 2" xfId="38297" xr:uid="{00000000-0005-0000-0000-000045760000}"/>
    <cellStyle name="Normal 46 5 2 4 2 2" xfId="38300" xr:uid="{00000000-0005-0000-0000-000046760000}"/>
    <cellStyle name="Normal 46 5 2 4 3" xfId="38303" xr:uid="{00000000-0005-0000-0000-000047760000}"/>
    <cellStyle name="Normal 46 5 2 5" xfId="38306" xr:uid="{00000000-0005-0000-0000-000048760000}"/>
    <cellStyle name="Normal 46 5 2 5 2" xfId="38309" xr:uid="{00000000-0005-0000-0000-000049760000}"/>
    <cellStyle name="Normal 46 5 2 6" xfId="38312" xr:uid="{00000000-0005-0000-0000-00004A760000}"/>
    <cellStyle name="Normal 46 5 2 6 2" xfId="29749" xr:uid="{00000000-0005-0000-0000-00004B760000}"/>
    <cellStyle name="Normal 46 5 2 7" xfId="38315" xr:uid="{00000000-0005-0000-0000-00004C760000}"/>
    <cellStyle name="Normal 46 5 2 8" xfId="38318" xr:uid="{00000000-0005-0000-0000-00004D760000}"/>
    <cellStyle name="Normal 46 5 3" xfId="1257" xr:uid="{00000000-0005-0000-0000-00004E760000}"/>
    <cellStyle name="Normal 46 5 3 2" xfId="1270" xr:uid="{00000000-0005-0000-0000-00004F760000}"/>
    <cellStyle name="Normal 46 5 3 2 2" xfId="7116" xr:uid="{00000000-0005-0000-0000-000050760000}"/>
    <cellStyle name="Normal 46 5 3 2 2 2" xfId="38320" xr:uid="{00000000-0005-0000-0000-000051760000}"/>
    <cellStyle name="Normal 46 5 3 2 3" xfId="38322" xr:uid="{00000000-0005-0000-0000-000052760000}"/>
    <cellStyle name="Normal 46 5 3 3" xfId="34411" xr:uid="{00000000-0005-0000-0000-000053760000}"/>
    <cellStyle name="Normal 46 5 3 3 2" xfId="7144" xr:uid="{00000000-0005-0000-0000-000054760000}"/>
    <cellStyle name="Normal 46 5 3 4" xfId="34417" xr:uid="{00000000-0005-0000-0000-000055760000}"/>
    <cellStyle name="Normal 46 5 3 5" xfId="38325" xr:uid="{00000000-0005-0000-0000-000056760000}"/>
    <cellStyle name="Normal 46 5 4" xfId="38327" xr:uid="{00000000-0005-0000-0000-000057760000}"/>
    <cellStyle name="Normal 46 5 4 2" xfId="38331" xr:uid="{00000000-0005-0000-0000-000058760000}"/>
    <cellStyle name="Normal 46 5 4 2 2" xfId="5340" xr:uid="{00000000-0005-0000-0000-000059760000}"/>
    <cellStyle name="Normal 46 5 4 3" xfId="34425" xr:uid="{00000000-0005-0000-0000-00005A760000}"/>
    <cellStyle name="Normal 46 5 5" xfId="38333" xr:uid="{00000000-0005-0000-0000-00005B760000}"/>
    <cellStyle name="Normal 46 5 5 2" xfId="38337" xr:uid="{00000000-0005-0000-0000-00005C760000}"/>
    <cellStyle name="Normal 46 5 5 2 2" xfId="7461" xr:uid="{00000000-0005-0000-0000-00005D760000}"/>
    <cellStyle name="Normal 46 5 5 3" xfId="34432" xr:uid="{00000000-0005-0000-0000-00005E760000}"/>
    <cellStyle name="Normal 46 5 6" xfId="12376" xr:uid="{00000000-0005-0000-0000-00005F760000}"/>
    <cellStyle name="Normal 46 5 6 2" xfId="5382" xr:uid="{00000000-0005-0000-0000-000060760000}"/>
    <cellStyle name="Normal 46 5 7" xfId="17859" xr:uid="{00000000-0005-0000-0000-000061760000}"/>
    <cellStyle name="Normal 46 5 7 2" xfId="12342" xr:uid="{00000000-0005-0000-0000-000062760000}"/>
    <cellStyle name="Normal 46 5 8" xfId="15172" xr:uid="{00000000-0005-0000-0000-000063760000}"/>
    <cellStyle name="Normal 46 5 9" xfId="17864" xr:uid="{00000000-0005-0000-0000-000064760000}"/>
    <cellStyle name="Normal 46 6" xfId="26103" xr:uid="{00000000-0005-0000-0000-000065760000}"/>
    <cellStyle name="Normal 46 6 2" xfId="1315" xr:uid="{00000000-0005-0000-0000-000066760000}"/>
    <cellStyle name="Normal 46 6 2 2" xfId="1335" xr:uid="{00000000-0005-0000-0000-000067760000}"/>
    <cellStyle name="Normal 46 6 2 2 2" xfId="13521" xr:uid="{00000000-0005-0000-0000-000068760000}"/>
    <cellStyle name="Normal 46 6 2 2 2 2" xfId="21415" xr:uid="{00000000-0005-0000-0000-000069760000}"/>
    <cellStyle name="Normal 46 6 2 2 2 2 2" xfId="26789" xr:uid="{00000000-0005-0000-0000-00006A760000}"/>
    <cellStyle name="Normal 46 6 2 2 2 3" xfId="22716" xr:uid="{00000000-0005-0000-0000-00006B760000}"/>
    <cellStyle name="Normal 46 6 2 2 3" xfId="21419" xr:uid="{00000000-0005-0000-0000-00006C760000}"/>
    <cellStyle name="Normal 46 6 2 2 3 2" xfId="26996" xr:uid="{00000000-0005-0000-0000-00006D760000}"/>
    <cellStyle name="Normal 46 6 2 2 4" xfId="8652" xr:uid="{00000000-0005-0000-0000-00006E760000}"/>
    <cellStyle name="Normal 46 6 2 3" xfId="34457" xr:uid="{00000000-0005-0000-0000-00006F760000}"/>
    <cellStyle name="Normal 46 6 2 3 2" xfId="27995" xr:uid="{00000000-0005-0000-0000-000070760000}"/>
    <cellStyle name="Normal 46 6 2 3 2 2" xfId="28003" xr:uid="{00000000-0005-0000-0000-000071760000}"/>
    <cellStyle name="Normal 46 6 2 3 3" xfId="28466" xr:uid="{00000000-0005-0000-0000-000072760000}"/>
    <cellStyle name="Normal 46 6 2 4" xfId="34463" xr:uid="{00000000-0005-0000-0000-000073760000}"/>
    <cellStyle name="Normal 46 6 2 4 2" xfId="29913" xr:uid="{00000000-0005-0000-0000-000074760000}"/>
    <cellStyle name="Normal 46 6 2 4 2 2" xfId="29925" xr:uid="{00000000-0005-0000-0000-000075760000}"/>
    <cellStyle name="Normal 46 6 2 4 3" xfId="30434" xr:uid="{00000000-0005-0000-0000-000076760000}"/>
    <cellStyle name="Normal 46 6 2 5" xfId="38340" xr:uid="{00000000-0005-0000-0000-000077760000}"/>
    <cellStyle name="Normal 46 6 2 5 2" xfId="31818" xr:uid="{00000000-0005-0000-0000-000078760000}"/>
    <cellStyle name="Normal 46 6 2 6" xfId="38343" xr:uid="{00000000-0005-0000-0000-000079760000}"/>
    <cellStyle name="Normal 46 6 2 6 2" xfId="30162" xr:uid="{00000000-0005-0000-0000-00007A760000}"/>
    <cellStyle name="Normal 46 6 2 7" xfId="38346" xr:uid="{00000000-0005-0000-0000-00007B760000}"/>
    <cellStyle name="Normal 46 6 2 8" xfId="38349" xr:uid="{00000000-0005-0000-0000-00007C760000}"/>
    <cellStyle name="Normal 46 6 3" xfId="257" xr:uid="{00000000-0005-0000-0000-00007D760000}"/>
    <cellStyle name="Normal 46 6 3 2" xfId="2849" xr:uid="{00000000-0005-0000-0000-00007E760000}"/>
    <cellStyle name="Normal 46 6 3 2 2" xfId="38353" xr:uid="{00000000-0005-0000-0000-00007F760000}"/>
    <cellStyle name="Normal 46 6 3 2 2 2" xfId="38355" xr:uid="{00000000-0005-0000-0000-000080760000}"/>
    <cellStyle name="Normal 46 6 3 2 3" xfId="38357" xr:uid="{00000000-0005-0000-0000-000081760000}"/>
    <cellStyle name="Normal 46 6 3 3" xfId="34470" xr:uid="{00000000-0005-0000-0000-000082760000}"/>
    <cellStyle name="Normal 46 6 3 3 2" xfId="38359" xr:uid="{00000000-0005-0000-0000-000083760000}"/>
    <cellStyle name="Normal 46 6 3 4" xfId="38362" xr:uid="{00000000-0005-0000-0000-000084760000}"/>
    <cellStyle name="Normal 46 6 4" xfId="2880" xr:uid="{00000000-0005-0000-0000-000085760000}"/>
    <cellStyle name="Normal 46 6 4 2" xfId="38367" xr:uid="{00000000-0005-0000-0000-000086760000}"/>
    <cellStyle name="Normal 46 6 4 2 2" xfId="38372" xr:uid="{00000000-0005-0000-0000-000087760000}"/>
    <cellStyle name="Normal 46 6 4 3" xfId="34480" xr:uid="{00000000-0005-0000-0000-000088760000}"/>
    <cellStyle name="Normal 46 6 5" xfId="1004" xr:uid="{00000000-0005-0000-0000-000089760000}"/>
    <cellStyle name="Normal 46 6 5 2" xfId="38377" xr:uid="{00000000-0005-0000-0000-00008A760000}"/>
    <cellStyle name="Normal 46 6 5 2 2" xfId="38382" xr:uid="{00000000-0005-0000-0000-00008B760000}"/>
    <cellStyle name="Normal 46 6 5 3" xfId="38388" xr:uid="{00000000-0005-0000-0000-00008C760000}"/>
    <cellStyle name="Normal 46 6 6" xfId="12383" xr:uid="{00000000-0005-0000-0000-00008D760000}"/>
    <cellStyle name="Normal 46 6 6 2" xfId="17875" xr:uid="{00000000-0005-0000-0000-00008E760000}"/>
    <cellStyle name="Normal 46 6 7" xfId="17882" xr:uid="{00000000-0005-0000-0000-00008F760000}"/>
    <cellStyle name="Normal 46 6 7 2" xfId="17887" xr:uid="{00000000-0005-0000-0000-000090760000}"/>
    <cellStyle name="Normal 46 6 8" xfId="17891" xr:uid="{00000000-0005-0000-0000-000091760000}"/>
    <cellStyle name="Normal 46 6 9" xfId="17896" xr:uid="{00000000-0005-0000-0000-000092760000}"/>
    <cellStyle name="Normal 46 7" xfId="36297" xr:uid="{00000000-0005-0000-0000-000093760000}"/>
    <cellStyle name="Normal 46 7 2" xfId="1395" xr:uid="{00000000-0005-0000-0000-000094760000}"/>
    <cellStyle name="Normal 46 7 2 2" xfId="1422" xr:uid="{00000000-0005-0000-0000-000095760000}"/>
    <cellStyle name="Normal 46 7 2 2 2" xfId="38391" xr:uid="{00000000-0005-0000-0000-000096760000}"/>
    <cellStyle name="Normal 46 7 2 2 2 2" xfId="38393" xr:uid="{00000000-0005-0000-0000-000097760000}"/>
    <cellStyle name="Normal 46 7 2 2 2 2 2" xfId="29566" xr:uid="{00000000-0005-0000-0000-000098760000}"/>
    <cellStyle name="Normal 46 7 2 2 2 3" xfId="11213" xr:uid="{00000000-0005-0000-0000-000099760000}"/>
    <cellStyle name="Normal 46 7 2 2 3" xfId="38395" xr:uid="{00000000-0005-0000-0000-00009A760000}"/>
    <cellStyle name="Normal 46 7 2 2 3 2" xfId="38397" xr:uid="{00000000-0005-0000-0000-00009B760000}"/>
    <cellStyle name="Normal 46 7 2 2 4" xfId="38399" xr:uid="{00000000-0005-0000-0000-00009C760000}"/>
    <cellStyle name="Normal 46 7 2 3" xfId="34489" xr:uid="{00000000-0005-0000-0000-00009D760000}"/>
    <cellStyle name="Normal 46 7 2 3 2" xfId="38401" xr:uid="{00000000-0005-0000-0000-00009E760000}"/>
    <cellStyle name="Normal 46 7 2 3 2 2" xfId="31345" xr:uid="{00000000-0005-0000-0000-00009F760000}"/>
    <cellStyle name="Normal 46 7 2 3 3" xfId="34285" xr:uid="{00000000-0005-0000-0000-0000A0760000}"/>
    <cellStyle name="Normal 46 7 2 4" xfId="15024" xr:uid="{00000000-0005-0000-0000-0000A1760000}"/>
    <cellStyle name="Normal 46 7 2 4 2" xfId="38403" xr:uid="{00000000-0005-0000-0000-0000A2760000}"/>
    <cellStyle name="Normal 46 7 2 4 2 2" xfId="38405" xr:uid="{00000000-0005-0000-0000-0000A3760000}"/>
    <cellStyle name="Normal 46 7 2 4 3" xfId="38407" xr:uid="{00000000-0005-0000-0000-0000A4760000}"/>
    <cellStyle name="Normal 46 7 2 5" xfId="37493" xr:uid="{00000000-0005-0000-0000-0000A5760000}"/>
    <cellStyle name="Normal 46 7 2 5 2" xfId="38409" xr:uid="{00000000-0005-0000-0000-0000A6760000}"/>
    <cellStyle name="Normal 46 7 2 6" xfId="22105" xr:uid="{00000000-0005-0000-0000-0000A7760000}"/>
    <cellStyle name="Normal 46 7 2 6 2" xfId="22110" xr:uid="{00000000-0005-0000-0000-0000A8760000}"/>
    <cellStyle name="Normal 46 7 2 7" xfId="22120" xr:uid="{00000000-0005-0000-0000-0000A9760000}"/>
    <cellStyle name="Normal 46 7 2 8" xfId="22129" xr:uid="{00000000-0005-0000-0000-0000AA760000}"/>
    <cellStyle name="Normal 46 7 3" xfId="1438" xr:uid="{00000000-0005-0000-0000-0000AB760000}"/>
    <cellStyle name="Normal 46 7 3 2" xfId="3291" xr:uid="{00000000-0005-0000-0000-0000AC760000}"/>
    <cellStyle name="Normal 46 7 3 2 2" xfId="38411" xr:uid="{00000000-0005-0000-0000-0000AD760000}"/>
    <cellStyle name="Normal 46 7 3 2 2 2" xfId="38413" xr:uid="{00000000-0005-0000-0000-0000AE760000}"/>
    <cellStyle name="Normal 46 7 3 2 3" xfId="28538" xr:uid="{00000000-0005-0000-0000-0000AF760000}"/>
    <cellStyle name="Normal 46 7 3 3" xfId="38415" xr:uid="{00000000-0005-0000-0000-0000B0760000}"/>
    <cellStyle name="Normal 46 7 3 3 2" xfId="38417" xr:uid="{00000000-0005-0000-0000-0000B1760000}"/>
    <cellStyle name="Normal 46 7 3 4" xfId="12460" xr:uid="{00000000-0005-0000-0000-0000B2760000}"/>
    <cellStyle name="Normal 46 7 4" xfId="3312" xr:uid="{00000000-0005-0000-0000-0000B3760000}"/>
    <cellStyle name="Normal 46 7 4 2" xfId="38421" xr:uid="{00000000-0005-0000-0000-0000B4760000}"/>
    <cellStyle name="Normal 46 7 4 2 2" xfId="38424" xr:uid="{00000000-0005-0000-0000-0000B5760000}"/>
    <cellStyle name="Normal 46 7 4 3" xfId="38428" xr:uid="{00000000-0005-0000-0000-0000B6760000}"/>
    <cellStyle name="Normal 46 7 5" xfId="38430" xr:uid="{00000000-0005-0000-0000-0000B7760000}"/>
    <cellStyle name="Normal 46 7 5 2" xfId="38433" xr:uid="{00000000-0005-0000-0000-0000B8760000}"/>
    <cellStyle name="Normal 46 7 5 2 2" xfId="38436" xr:uid="{00000000-0005-0000-0000-0000B9760000}"/>
    <cellStyle name="Normal 46 7 5 3" xfId="38440" xr:uid="{00000000-0005-0000-0000-0000BA760000}"/>
    <cellStyle name="Normal 46 7 6" xfId="17550" xr:uid="{00000000-0005-0000-0000-0000BB760000}"/>
    <cellStyle name="Normal 46 7 6 2" xfId="17556" xr:uid="{00000000-0005-0000-0000-0000BC760000}"/>
    <cellStyle name="Normal 46 7 7" xfId="17564" xr:uid="{00000000-0005-0000-0000-0000BD760000}"/>
    <cellStyle name="Normal 46 7 7 2" xfId="38444" xr:uid="{00000000-0005-0000-0000-0000BE760000}"/>
    <cellStyle name="Normal 46 7 8" xfId="37435" xr:uid="{00000000-0005-0000-0000-0000BF760000}"/>
    <cellStyle name="Normal 46 7 9" xfId="28173" xr:uid="{00000000-0005-0000-0000-0000C0760000}"/>
    <cellStyle name="Normal 46 8" xfId="38447" xr:uid="{00000000-0005-0000-0000-0000C1760000}"/>
    <cellStyle name="Normal 46 8 2" xfId="15" xr:uid="{00000000-0005-0000-0000-0000C2760000}"/>
    <cellStyle name="Normal 46 8 2 2" xfId="3468" xr:uid="{00000000-0005-0000-0000-0000C3760000}"/>
    <cellStyle name="Normal 46 8 2 2 2" xfId="38449" xr:uid="{00000000-0005-0000-0000-0000C4760000}"/>
    <cellStyle name="Normal 46 8 2 2 2 2" xfId="12769" xr:uid="{00000000-0005-0000-0000-0000C5760000}"/>
    <cellStyle name="Normal 46 8 2 2 3" xfId="13595" xr:uid="{00000000-0005-0000-0000-0000C6760000}"/>
    <cellStyle name="Normal 46 8 2 3" xfId="10965" xr:uid="{00000000-0005-0000-0000-0000C7760000}"/>
    <cellStyle name="Normal 46 8 2 3 2" xfId="38451" xr:uid="{00000000-0005-0000-0000-0000C8760000}"/>
    <cellStyle name="Normal 46 8 2 4" xfId="38453" xr:uid="{00000000-0005-0000-0000-0000C9760000}"/>
    <cellStyle name="Normal 46 8 3" xfId="3481" xr:uid="{00000000-0005-0000-0000-0000CA760000}"/>
    <cellStyle name="Normal 46 8 3 2" xfId="38455" xr:uid="{00000000-0005-0000-0000-0000CB760000}"/>
    <cellStyle name="Normal 46 8 3 2 2" xfId="38457" xr:uid="{00000000-0005-0000-0000-0000CC760000}"/>
    <cellStyle name="Normal 46 8 3 3" xfId="38459" xr:uid="{00000000-0005-0000-0000-0000CD760000}"/>
    <cellStyle name="Normal 46 8 4" xfId="38461" xr:uid="{00000000-0005-0000-0000-0000CE760000}"/>
    <cellStyle name="Normal 46 8 4 2" xfId="38464" xr:uid="{00000000-0005-0000-0000-0000CF760000}"/>
    <cellStyle name="Normal 46 8 4 2 2" xfId="38468" xr:uid="{00000000-0005-0000-0000-0000D0760000}"/>
    <cellStyle name="Normal 46 8 4 3" xfId="38471" xr:uid="{00000000-0005-0000-0000-0000D1760000}"/>
    <cellStyle name="Normal 46 8 5" xfId="38473" xr:uid="{00000000-0005-0000-0000-0000D2760000}"/>
    <cellStyle name="Normal 46 8 5 2" xfId="38477" xr:uid="{00000000-0005-0000-0000-0000D3760000}"/>
    <cellStyle name="Normal 46 8 6" xfId="17581" xr:uid="{00000000-0005-0000-0000-0000D4760000}"/>
    <cellStyle name="Normal 46 8 6 2" xfId="17587" xr:uid="{00000000-0005-0000-0000-0000D5760000}"/>
    <cellStyle name="Normal 46 8 7" xfId="17593" xr:uid="{00000000-0005-0000-0000-0000D6760000}"/>
    <cellStyle name="Normal 46 8 8" xfId="38479" xr:uid="{00000000-0005-0000-0000-0000D7760000}"/>
    <cellStyle name="Normal 46 9" xfId="28335" xr:uid="{00000000-0005-0000-0000-0000D8760000}"/>
    <cellStyle name="Normal 46 9 2" xfId="28339" xr:uid="{00000000-0005-0000-0000-0000D9760000}"/>
    <cellStyle name="Normal 46 9 2 2" xfId="4355" xr:uid="{00000000-0005-0000-0000-0000DA760000}"/>
    <cellStyle name="Normal 46 9 2 2 2" xfId="38481" xr:uid="{00000000-0005-0000-0000-0000DB760000}"/>
    <cellStyle name="Normal 46 9 2 3" xfId="4380" xr:uid="{00000000-0005-0000-0000-0000DC760000}"/>
    <cellStyle name="Normal 46 9 3" xfId="38483" xr:uid="{00000000-0005-0000-0000-0000DD760000}"/>
    <cellStyle name="Normal 46 9 3 2" xfId="4553" xr:uid="{00000000-0005-0000-0000-0000DE760000}"/>
    <cellStyle name="Normal 46 9 4" xfId="38485" xr:uid="{00000000-0005-0000-0000-0000DF760000}"/>
    <cellStyle name="Normal 47" xfId="38487" xr:uid="{00000000-0005-0000-0000-0000E0760000}"/>
    <cellStyle name="Normal 47 10" xfId="38488" xr:uid="{00000000-0005-0000-0000-0000E1760000}"/>
    <cellStyle name="Normal 47 10 2" xfId="38489" xr:uid="{00000000-0005-0000-0000-0000E2760000}"/>
    <cellStyle name="Normal 47 10 2 2" xfId="38491" xr:uid="{00000000-0005-0000-0000-0000E3760000}"/>
    <cellStyle name="Normal 47 10 3" xfId="38492" xr:uid="{00000000-0005-0000-0000-0000E4760000}"/>
    <cellStyle name="Normal 47 11" xfId="38493" xr:uid="{00000000-0005-0000-0000-0000E5760000}"/>
    <cellStyle name="Normal 47 11 2" xfId="38494" xr:uid="{00000000-0005-0000-0000-0000E6760000}"/>
    <cellStyle name="Normal 47 11 2 2" xfId="38496" xr:uid="{00000000-0005-0000-0000-0000E7760000}"/>
    <cellStyle name="Normal 47 11 3" xfId="28559" xr:uid="{00000000-0005-0000-0000-0000E8760000}"/>
    <cellStyle name="Normal 47 12" xfId="16578" xr:uid="{00000000-0005-0000-0000-0000E9760000}"/>
    <cellStyle name="Normal 47 12 2" xfId="16581" xr:uid="{00000000-0005-0000-0000-0000EA760000}"/>
    <cellStyle name="Normal 47 13" xfId="8702" xr:uid="{00000000-0005-0000-0000-0000EB760000}"/>
    <cellStyle name="Normal 47 13 2" xfId="28662" xr:uid="{00000000-0005-0000-0000-0000EC760000}"/>
    <cellStyle name="Normal 47 14" xfId="28665" xr:uid="{00000000-0005-0000-0000-0000ED760000}"/>
    <cellStyle name="Normal 47 14 2" xfId="38497" xr:uid="{00000000-0005-0000-0000-0000EE760000}"/>
    <cellStyle name="Normal 47 15" xfId="38498" xr:uid="{00000000-0005-0000-0000-0000EF760000}"/>
    <cellStyle name="Normal 47 16" xfId="26989" xr:uid="{00000000-0005-0000-0000-0000F0760000}"/>
    <cellStyle name="Normal 47 2" xfId="38500" xr:uid="{00000000-0005-0000-0000-0000F1760000}"/>
    <cellStyle name="Normal 47 2 10" xfId="31957" xr:uid="{00000000-0005-0000-0000-0000F2760000}"/>
    <cellStyle name="Normal 47 2 10 2" xfId="31963" xr:uid="{00000000-0005-0000-0000-0000F3760000}"/>
    <cellStyle name="Normal 47 2 11" xfId="31964" xr:uid="{00000000-0005-0000-0000-0000F4760000}"/>
    <cellStyle name="Normal 47 2 11 2" xfId="38501" xr:uid="{00000000-0005-0000-0000-0000F5760000}"/>
    <cellStyle name="Normal 47 2 12" xfId="38502" xr:uid="{00000000-0005-0000-0000-0000F6760000}"/>
    <cellStyle name="Normal 47 2 12 2" xfId="36284" xr:uid="{00000000-0005-0000-0000-0000F7760000}"/>
    <cellStyle name="Normal 47 2 13" xfId="38503" xr:uid="{00000000-0005-0000-0000-0000F8760000}"/>
    <cellStyle name="Normal 47 2 14" xfId="38504" xr:uid="{00000000-0005-0000-0000-0000F9760000}"/>
    <cellStyle name="Normal 47 2 2" xfId="38505" xr:uid="{00000000-0005-0000-0000-0000FA760000}"/>
    <cellStyle name="Normal 47 2 2 10" xfId="38506" xr:uid="{00000000-0005-0000-0000-0000FB760000}"/>
    <cellStyle name="Normal 47 2 2 2" xfId="38507" xr:uid="{00000000-0005-0000-0000-0000FC760000}"/>
    <cellStyle name="Normal 47 2 2 2 2" xfId="12703" xr:uid="{00000000-0005-0000-0000-0000FD760000}"/>
    <cellStyle name="Normal 47 2 2 2 2 2" xfId="2571" xr:uid="{00000000-0005-0000-0000-0000FE760000}"/>
    <cellStyle name="Normal 47 2 2 2 2 2 2" xfId="5917" xr:uid="{00000000-0005-0000-0000-0000FF760000}"/>
    <cellStyle name="Normal 47 2 2 2 2 2 2 2" xfId="8946" xr:uid="{00000000-0005-0000-0000-000000770000}"/>
    <cellStyle name="Normal 47 2 2 2 2 2 2 2 2" xfId="38508" xr:uid="{00000000-0005-0000-0000-000001770000}"/>
    <cellStyle name="Normal 47 2 2 2 2 2 2 3" xfId="38509" xr:uid="{00000000-0005-0000-0000-000002770000}"/>
    <cellStyle name="Normal 47 2 2 2 2 2 3" xfId="32837" xr:uid="{00000000-0005-0000-0000-000003770000}"/>
    <cellStyle name="Normal 47 2 2 2 2 2 3 2" xfId="24895" xr:uid="{00000000-0005-0000-0000-000004770000}"/>
    <cellStyle name="Normal 47 2 2 2 2 2 4" xfId="32854" xr:uid="{00000000-0005-0000-0000-000005770000}"/>
    <cellStyle name="Normal 47 2 2 2 2 3" xfId="3800" xr:uid="{00000000-0005-0000-0000-000006770000}"/>
    <cellStyle name="Normal 47 2 2 2 2 3 2" xfId="3809" xr:uid="{00000000-0005-0000-0000-000007770000}"/>
    <cellStyle name="Normal 47 2 2 2 2 3 2 2" xfId="38511" xr:uid="{00000000-0005-0000-0000-000008770000}"/>
    <cellStyle name="Normal 47 2 2 2 2 3 3" xfId="32878" xr:uid="{00000000-0005-0000-0000-000009770000}"/>
    <cellStyle name="Normal 47 2 2 2 2 4" xfId="2894" xr:uid="{00000000-0005-0000-0000-00000A770000}"/>
    <cellStyle name="Normal 47 2 2 2 2 4 2" xfId="12924" xr:uid="{00000000-0005-0000-0000-00000B770000}"/>
    <cellStyle name="Normal 47 2 2 2 2 4 2 2" xfId="38513" xr:uid="{00000000-0005-0000-0000-00000C770000}"/>
    <cellStyle name="Normal 47 2 2 2 2 4 3" xfId="32895" xr:uid="{00000000-0005-0000-0000-00000D770000}"/>
    <cellStyle name="Normal 47 2 2 2 2 5" xfId="7780" xr:uid="{00000000-0005-0000-0000-00000E770000}"/>
    <cellStyle name="Normal 47 2 2 2 2 5 2" xfId="10625" xr:uid="{00000000-0005-0000-0000-00000F770000}"/>
    <cellStyle name="Normal 47 2 2 2 2 6" xfId="20401" xr:uid="{00000000-0005-0000-0000-000010770000}"/>
    <cellStyle name="Normal 47 2 2 2 2 6 2" xfId="10645" xr:uid="{00000000-0005-0000-0000-000011770000}"/>
    <cellStyle name="Normal 47 2 2 2 2 7" xfId="3154" xr:uid="{00000000-0005-0000-0000-000012770000}"/>
    <cellStyle name="Normal 47 2 2 2 2 8" xfId="1385" xr:uid="{00000000-0005-0000-0000-000013770000}"/>
    <cellStyle name="Normal 47 2 2 2 3" xfId="12329" xr:uid="{00000000-0005-0000-0000-000014770000}"/>
    <cellStyle name="Normal 47 2 2 2 3 2" xfId="4652" xr:uid="{00000000-0005-0000-0000-000015770000}"/>
    <cellStyle name="Normal 47 2 2 2 3 2 2" xfId="2244" xr:uid="{00000000-0005-0000-0000-000016770000}"/>
    <cellStyle name="Normal 47 2 2 2 3 2 2 2" xfId="35867" xr:uid="{00000000-0005-0000-0000-000017770000}"/>
    <cellStyle name="Normal 47 2 2 2 3 2 3" xfId="16820" xr:uid="{00000000-0005-0000-0000-000018770000}"/>
    <cellStyle name="Normal 47 2 2 2 3 3" xfId="3831" xr:uid="{00000000-0005-0000-0000-000019770000}"/>
    <cellStyle name="Normal 47 2 2 2 3 3 2" xfId="12706" xr:uid="{00000000-0005-0000-0000-00001A770000}"/>
    <cellStyle name="Normal 47 2 2 2 3 4" xfId="12711" xr:uid="{00000000-0005-0000-0000-00001B770000}"/>
    <cellStyle name="Normal 47 2 2 2 4" xfId="12720" xr:uid="{00000000-0005-0000-0000-00001C770000}"/>
    <cellStyle name="Normal 47 2 2 2 4 2" xfId="6160" xr:uid="{00000000-0005-0000-0000-00001D770000}"/>
    <cellStyle name="Normal 47 2 2 2 4 2 2" xfId="12723" xr:uid="{00000000-0005-0000-0000-00001E770000}"/>
    <cellStyle name="Normal 47 2 2 2 4 3" xfId="12727" xr:uid="{00000000-0005-0000-0000-00001F770000}"/>
    <cellStyle name="Normal 47 2 2 2 5" xfId="12752" xr:uid="{00000000-0005-0000-0000-000020770000}"/>
    <cellStyle name="Normal 47 2 2 2 5 2" xfId="12755" xr:uid="{00000000-0005-0000-0000-000021770000}"/>
    <cellStyle name="Normal 47 2 2 2 5 2 2" xfId="12758" xr:uid="{00000000-0005-0000-0000-000022770000}"/>
    <cellStyle name="Normal 47 2 2 2 5 3" xfId="12761" xr:uid="{00000000-0005-0000-0000-000023770000}"/>
    <cellStyle name="Normal 47 2 2 2 6" xfId="12780" xr:uid="{00000000-0005-0000-0000-000024770000}"/>
    <cellStyle name="Normal 47 2 2 2 6 2" xfId="12784" xr:uid="{00000000-0005-0000-0000-000025770000}"/>
    <cellStyle name="Normal 47 2 2 2 7" xfId="12810" xr:uid="{00000000-0005-0000-0000-000026770000}"/>
    <cellStyle name="Normal 47 2 2 2 7 2" xfId="12814" xr:uid="{00000000-0005-0000-0000-000027770000}"/>
    <cellStyle name="Normal 47 2 2 2 8" xfId="12853" xr:uid="{00000000-0005-0000-0000-000028770000}"/>
    <cellStyle name="Normal 47 2 2 2 9" xfId="8975" xr:uid="{00000000-0005-0000-0000-000029770000}"/>
    <cellStyle name="Normal 47 2 2 3" xfId="38515" xr:uid="{00000000-0005-0000-0000-00002A770000}"/>
    <cellStyle name="Normal 47 2 2 3 2" xfId="30717" xr:uid="{00000000-0005-0000-0000-00002B770000}"/>
    <cellStyle name="Normal 47 2 2 3 2 2" xfId="38517" xr:uid="{00000000-0005-0000-0000-00002C770000}"/>
    <cellStyle name="Normal 47 2 2 3 2 2 2" xfId="38519" xr:uid="{00000000-0005-0000-0000-00002D770000}"/>
    <cellStyle name="Normal 47 2 2 3 2 2 2 2" xfId="1250" xr:uid="{00000000-0005-0000-0000-00002E770000}"/>
    <cellStyle name="Normal 47 2 2 3 2 2 3" xfId="34507" xr:uid="{00000000-0005-0000-0000-00002F770000}"/>
    <cellStyle name="Normal 47 2 2 3 2 3" xfId="38521" xr:uid="{00000000-0005-0000-0000-000030770000}"/>
    <cellStyle name="Normal 47 2 2 3 2 3 2" xfId="38522" xr:uid="{00000000-0005-0000-0000-000031770000}"/>
    <cellStyle name="Normal 47 2 2 3 2 4" xfId="12575" xr:uid="{00000000-0005-0000-0000-000032770000}"/>
    <cellStyle name="Normal 47 2 2 3 3" xfId="38524" xr:uid="{00000000-0005-0000-0000-000033770000}"/>
    <cellStyle name="Normal 47 2 2 3 3 2" xfId="36456" xr:uid="{00000000-0005-0000-0000-000034770000}"/>
    <cellStyle name="Normal 47 2 2 3 3 2 2" xfId="38525" xr:uid="{00000000-0005-0000-0000-000035770000}"/>
    <cellStyle name="Normal 47 2 2 3 3 3" xfId="38526" xr:uid="{00000000-0005-0000-0000-000036770000}"/>
    <cellStyle name="Normal 47 2 2 3 4" xfId="38528" xr:uid="{00000000-0005-0000-0000-000037770000}"/>
    <cellStyle name="Normal 47 2 2 3 4 2" xfId="38529" xr:uid="{00000000-0005-0000-0000-000038770000}"/>
    <cellStyle name="Normal 47 2 2 3 4 2 2" xfId="38530" xr:uid="{00000000-0005-0000-0000-000039770000}"/>
    <cellStyle name="Normal 47 2 2 3 4 3" xfId="38531" xr:uid="{00000000-0005-0000-0000-00003A770000}"/>
    <cellStyle name="Normal 47 2 2 3 5" xfId="34333" xr:uid="{00000000-0005-0000-0000-00003B770000}"/>
    <cellStyle name="Normal 47 2 2 3 5 2" xfId="34335" xr:uid="{00000000-0005-0000-0000-00003C770000}"/>
    <cellStyle name="Normal 47 2 2 3 6" xfId="34337" xr:uid="{00000000-0005-0000-0000-00003D770000}"/>
    <cellStyle name="Normal 47 2 2 3 6 2" xfId="38532" xr:uid="{00000000-0005-0000-0000-00003E770000}"/>
    <cellStyle name="Normal 47 2 2 3 7" xfId="38533" xr:uid="{00000000-0005-0000-0000-00003F770000}"/>
    <cellStyle name="Normal 47 2 2 3 8" xfId="38534" xr:uid="{00000000-0005-0000-0000-000040770000}"/>
    <cellStyle name="Normal 47 2 2 4" xfId="38536" xr:uid="{00000000-0005-0000-0000-000041770000}"/>
    <cellStyle name="Normal 47 2 2 4 2" xfId="38538" xr:uid="{00000000-0005-0000-0000-000042770000}"/>
    <cellStyle name="Normal 47 2 2 4 2 2" xfId="38540" xr:uid="{00000000-0005-0000-0000-000043770000}"/>
    <cellStyle name="Normal 47 2 2 4 2 2 2" xfId="38541" xr:uid="{00000000-0005-0000-0000-000044770000}"/>
    <cellStyle name="Normal 47 2 2 4 2 3" xfId="38542" xr:uid="{00000000-0005-0000-0000-000045770000}"/>
    <cellStyle name="Normal 47 2 2 4 3" xfId="38544" xr:uid="{00000000-0005-0000-0000-000046770000}"/>
    <cellStyle name="Normal 47 2 2 4 3 2" xfId="38546" xr:uid="{00000000-0005-0000-0000-000047770000}"/>
    <cellStyle name="Normal 47 2 2 4 4" xfId="38547" xr:uid="{00000000-0005-0000-0000-000048770000}"/>
    <cellStyle name="Normal 47 2 2 5" xfId="38551" xr:uid="{00000000-0005-0000-0000-000049770000}"/>
    <cellStyle name="Normal 47 2 2 5 2" xfId="38553" xr:uid="{00000000-0005-0000-0000-00004A770000}"/>
    <cellStyle name="Normal 47 2 2 5 2 2" xfId="38555" xr:uid="{00000000-0005-0000-0000-00004B770000}"/>
    <cellStyle name="Normal 47 2 2 5 3" xfId="38557" xr:uid="{00000000-0005-0000-0000-00004C770000}"/>
    <cellStyle name="Normal 47 2 2 6" xfId="38559" xr:uid="{00000000-0005-0000-0000-00004D770000}"/>
    <cellStyle name="Normal 47 2 2 6 2" xfId="5434" xr:uid="{00000000-0005-0000-0000-00004E770000}"/>
    <cellStyle name="Normal 47 2 2 6 2 2" xfId="8058" xr:uid="{00000000-0005-0000-0000-00004F770000}"/>
    <cellStyle name="Normal 47 2 2 6 3" xfId="8064" xr:uid="{00000000-0005-0000-0000-000050770000}"/>
    <cellStyle name="Normal 47 2 2 7" xfId="15198" xr:uid="{00000000-0005-0000-0000-000051770000}"/>
    <cellStyle name="Normal 47 2 2 7 2" xfId="7009" xr:uid="{00000000-0005-0000-0000-000052770000}"/>
    <cellStyle name="Normal 47 2 2 8" xfId="38561" xr:uid="{00000000-0005-0000-0000-000053770000}"/>
    <cellStyle name="Normal 47 2 2 8 2" xfId="8102" xr:uid="{00000000-0005-0000-0000-000054770000}"/>
    <cellStyle name="Normal 47 2 2 9" xfId="38562" xr:uid="{00000000-0005-0000-0000-000055770000}"/>
    <cellStyle name="Normal 47 2 3" xfId="18695" xr:uid="{00000000-0005-0000-0000-000056770000}"/>
    <cellStyle name="Normal 47 2 3 2" xfId="38075" xr:uid="{00000000-0005-0000-0000-000057770000}"/>
    <cellStyle name="Normal 47 2 3 2 2" xfId="38563" xr:uid="{00000000-0005-0000-0000-000058770000}"/>
    <cellStyle name="Normal 47 2 3 2 2 2" xfId="112" xr:uid="{00000000-0005-0000-0000-000059770000}"/>
    <cellStyle name="Normal 47 2 3 2 2 2 2" xfId="35888" xr:uid="{00000000-0005-0000-0000-00005A770000}"/>
    <cellStyle name="Normal 47 2 3 2 2 2 2 2" xfId="38564" xr:uid="{00000000-0005-0000-0000-00005B770000}"/>
    <cellStyle name="Normal 47 2 3 2 2 2 3" xfId="38565" xr:uid="{00000000-0005-0000-0000-00005C770000}"/>
    <cellStyle name="Normal 47 2 3 2 2 3" xfId="35023" xr:uid="{00000000-0005-0000-0000-00005D770000}"/>
    <cellStyle name="Normal 47 2 3 2 2 3 2" xfId="38566" xr:uid="{00000000-0005-0000-0000-00005E770000}"/>
    <cellStyle name="Normal 47 2 3 2 2 4" xfId="38567" xr:uid="{00000000-0005-0000-0000-00005F770000}"/>
    <cellStyle name="Normal 47 2 3 2 2 5" xfId="38568" xr:uid="{00000000-0005-0000-0000-000060770000}"/>
    <cellStyle name="Normal 47 2 3 2 3" xfId="38569" xr:uid="{00000000-0005-0000-0000-000061770000}"/>
    <cellStyle name="Normal 47 2 3 2 3 2" xfId="4867" xr:uid="{00000000-0005-0000-0000-000062770000}"/>
    <cellStyle name="Normal 47 2 3 2 3 2 2" xfId="7367" xr:uid="{00000000-0005-0000-0000-000063770000}"/>
    <cellStyle name="Normal 47 2 3 2 3 3" xfId="2331" xr:uid="{00000000-0005-0000-0000-000064770000}"/>
    <cellStyle name="Normal 47 2 3 2 4" xfId="38570" xr:uid="{00000000-0005-0000-0000-000065770000}"/>
    <cellStyle name="Normal 47 2 3 2 4 2" xfId="7192" xr:uid="{00000000-0005-0000-0000-000066770000}"/>
    <cellStyle name="Normal 47 2 3 2 4 2 2" xfId="11475" xr:uid="{00000000-0005-0000-0000-000067770000}"/>
    <cellStyle name="Normal 47 2 3 2 4 3" xfId="2683" xr:uid="{00000000-0005-0000-0000-000068770000}"/>
    <cellStyle name="Normal 47 2 3 2 5" xfId="37452" xr:uid="{00000000-0005-0000-0000-000069770000}"/>
    <cellStyle name="Normal 47 2 3 2 5 2" xfId="11038" xr:uid="{00000000-0005-0000-0000-00006A770000}"/>
    <cellStyle name="Normal 47 2 3 2 6" xfId="16894" xr:uid="{00000000-0005-0000-0000-00006B770000}"/>
    <cellStyle name="Normal 47 2 3 2 6 2" xfId="11478" xr:uid="{00000000-0005-0000-0000-00006C770000}"/>
    <cellStyle name="Normal 47 2 3 2 7" xfId="38571" xr:uid="{00000000-0005-0000-0000-00006D770000}"/>
    <cellStyle name="Normal 47 2 3 2 8" xfId="16899" xr:uid="{00000000-0005-0000-0000-00006E770000}"/>
    <cellStyle name="Normal 47 2 3 3" xfId="38573" xr:uid="{00000000-0005-0000-0000-00006F770000}"/>
    <cellStyle name="Normal 47 2 3 3 2" xfId="38575" xr:uid="{00000000-0005-0000-0000-000070770000}"/>
    <cellStyle name="Normal 47 2 3 3 2 2" xfId="38577" xr:uid="{00000000-0005-0000-0000-000071770000}"/>
    <cellStyle name="Normal 47 2 3 3 2 2 2" xfId="38578" xr:uid="{00000000-0005-0000-0000-000072770000}"/>
    <cellStyle name="Normal 47 2 3 3 2 3" xfId="35102" xr:uid="{00000000-0005-0000-0000-000073770000}"/>
    <cellStyle name="Normal 47 2 3 3 3" xfId="38580" xr:uid="{00000000-0005-0000-0000-000074770000}"/>
    <cellStyle name="Normal 47 2 3 3 3 2" xfId="11499" xr:uid="{00000000-0005-0000-0000-000075770000}"/>
    <cellStyle name="Normal 47 2 3 3 4" xfId="38581" xr:uid="{00000000-0005-0000-0000-000076770000}"/>
    <cellStyle name="Normal 47 2 3 3 5" xfId="34344" xr:uid="{00000000-0005-0000-0000-000077770000}"/>
    <cellStyle name="Normal 47 2 3 4" xfId="38583" xr:uid="{00000000-0005-0000-0000-000078770000}"/>
    <cellStyle name="Normal 47 2 3 4 2" xfId="38585" xr:uid="{00000000-0005-0000-0000-000079770000}"/>
    <cellStyle name="Normal 47 2 3 4 2 2" xfId="38586" xr:uid="{00000000-0005-0000-0000-00007A770000}"/>
    <cellStyle name="Normal 47 2 3 4 3" xfId="38587" xr:uid="{00000000-0005-0000-0000-00007B770000}"/>
    <cellStyle name="Normal 47 2 3 5" xfId="38591" xr:uid="{00000000-0005-0000-0000-00007C770000}"/>
    <cellStyle name="Normal 47 2 3 5 2" xfId="38592" xr:uid="{00000000-0005-0000-0000-00007D770000}"/>
    <cellStyle name="Normal 47 2 3 5 2 2" xfId="38593" xr:uid="{00000000-0005-0000-0000-00007E770000}"/>
    <cellStyle name="Normal 47 2 3 5 3" xfId="38594" xr:uid="{00000000-0005-0000-0000-00007F770000}"/>
    <cellStyle name="Normal 47 2 3 6" xfId="15206" xr:uid="{00000000-0005-0000-0000-000080770000}"/>
    <cellStyle name="Normal 47 2 3 6 2" xfId="4080" xr:uid="{00000000-0005-0000-0000-000081770000}"/>
    <cellStyle name="Normal 47 2 3 7" xfId="24305" xr:uid="{00000000-0005-0000-0000-000082770000}"/>
    <cellStyle name="Normal 47 2 3 7 2" xfId="24307" xr:uid="{00000000-0005-0000-0000-000083770000}"/>
    <cellStyle name="Normal 47 2 3 8" xfId="24310" xr:uid="{00000000-0005-0000-0000-000084770000}"/>
    <cellStyle name="Normal 47 2 3 9" xfId="11619" xr:uid="{00000000-0005-0000-0000-000085770000}"/>
    <cellStyle name="Normal 47 2 4" xfId="38078" xr:uid="{00000000-0005-0000-0000-000086770000}"/>
    <cellStyle name="Normal 47 2 4 2" xfId="38595" xr:uid="{00000000-0005-0000-0000-000087770000}"/>
    <cellStyle name="Normal 47 2 4 2 2" xfId="38596" xr:uid="{00000000-0005-0000-0000-000088770000}"/>
    <cellStyle name="Normal 47 2 4 2 2 2" xfId="36629" xr:uid="{00000000-0005-0000-0000-000089770000}"/>
    <cellStyle name="Normal 47 2 4 2 2 2 2" xfId="2467" xr:uid="{00000000-0005-0000-0000-00008A770000}"/>
    <cellStyle name="Normal 47 2 4 2 2 2 2 2" xfId="15901" xr:uid="{00000000-0005-0000-0000-00008B770000}"/>
    <cellStyle name="Normal 47 2 4 2 2 2 3" xfId="29647" xr:uid="{00000000-0005-0000-0000-00008C770000}"/>
    <cellStyle name="Normal 47 2 4 2 2 3" xfId="35493" xr:uid="{00000000-0005-0000-0000-00008D770000}"/>
    <cellStyle name="Normal 47 2 4 2 2 3 2" xfId="38597" xr:uid="{00000000-0005-0000-0000-00008E770000}"/>
    <cellStyle name="Normal 47 2 4 2 2 4" xfId="36632" xr:uid="{00000000-0005-0000-0000-00008F770000}"/>
    <cellStyle name="Normal 47 2 4 2 3" xfId="15970" xr:uid="{00000000-0005-0000-0000-000090770000}"/>
    <cellStyle name="Normal 47 2 4 2 3 2" xfId="38598" xr:uid="{00000000-0005-0000-0000-000091770000}"/>
    <cellStyle name="Normal 47 2 4 2 3 2 2" xfId="38599" xr:uid="{00000000-0005-0000-0000-000092770000}"/>
    <cellStyle name="Normal 47 2 4 2 3 3" xfId="38600" xr:uid="{00000000-0005-0000-0000-000093770000}"/>
    <cellStyle name="Normal 47 2 4 2 4" xfId="38601" xr:uid="{00000000-0005-0000-0000-000094770000}"/>
    <cellStyle name="Normal 47 2 4 2 4 2" xfId="38602" xr:uid="{00000000-0005-0000-0000-000095770000}"/>
    <cellStyle name="Normal 47 2 4 2 4 2 2" xfId="28206" xr:uid="{00000000-0005-0000-0000-000096770000}"/>
    <cellStyle name="Normal 47 2 4 2 4 3" xfId="38603" xr:uid="{00000000-0005-0000-0000-000097770000}"/>
    <cellStyle name="Normal 47 2 4 2 5" xfId="37459" xr:uid="{00000000-0005-0000-0000-000098770000}"/>
    <cellStyle name="Normal 47 2 4 2 5 2" xfId="38604" xr:uid="{00000000-0005-0000-0000-000099770000}"/>
    <cellStyle name="Normal 47 2 4 2 6" xfId="3500" xr:uid="{00000000-0005-0000-0000-00009A770000}"/>
    <cellStyle name="Normal 47 2 4 2 6 2" xfId="28210" xr:uid="{00000000-0005-0000-0000-00009B770000}"/>
    <cellStyle name="Normal 47 2 4 2 7" xfId="28214" xr:uid="{00000000-0005-0000-0000-00009C770000}"/>
    <cellStyle name="Normal 47 2 4 2 8" xfId="22950" xr:uid="{00000000-0005-0000-0000-00009D770000}"/>
    <cellStyle name="Normal 47 2 4 3" xfId="38606" xr:uid="{00000000-0005-0000-0000-00009E770000}"/>
    <cellStyle name="Normal 47 2 4 3 2" xfId="38608" xr:uid="{00000000-0005-0000-0000-00009F770000}"/>
    <cellStyle name="Normal 47 2 4 3 2 2" xfId="38609" xr:uid="{00000000-0005-0000-0000-0000A0770000}"/>
    <cellStyle name="Normal 47 2 4 3 2 2 2" xfId="38610" xr:uid="{00000000-0005-0000-0000-0000A1770000}"/>
    <cellStyle name="Normal 47 2 4 3 2 3" xfId="35566" xr:uid="{00000000-0005-0000-0000-0000A2770000}"/>
    <cellStyle name="Normal 47 2 4 3 3" xfId="38611" xr:uid="{00000000-0005-0000-0000-0000A3770000}"/>
    <cellStyle name="Normal 47 2 4 3 3 2" xfId="38612" xr:uid="{00000000-0005-0000-0000-0000A4770000}"/>
    <cellStyle name="Normal 47 2 4 3 4" xfId="38613" xr:uid="{00000000-0005-0000-0000-0000A5770000}"/>
    <cellStyle name="Normal 47 2 4 4" xfId="38615" xr:uid="{00000000-0005-0000-0000-0000A6770000}"/>
    <cellStyle name="Normal 47 2 4 4 2" xfId="38616" xr:uid="{00000000-0005-0000-0000-0000A7770000}"/>
    <cellStyle name="Normal 47 2 4 4 2 2" xfId="38617" xr:uid="{00000000-0005-0000-0000-0000A8770000}"/>
    <cellStyle name="Normal 47 2 4 4 3" xfId="38618" xr:uid="{00000000-0005-0000-0000-0000A9770000}"/>
    <cellStyle name="Normal 47 2 4 5" xfId="38619" xr:uid="{00000000-0005-0000-0000-0000AA770000}"/>
    <cellStyle name="Normal 47 2 4 5 2" xfId="38620" xr:uid="{00000000-0005-0000-0000-0000AB770000}"/>
    <cellStyle name="Normal 47 2 4 5 2 2" xfId="38621" xr:uid="{00000000-0005-0000-0000-0000AC770000}"/>
    <cellStyle name="Normal 47 2 4 5 3" xfId="38622" xr:uid="{00000000-0005-0000-0000-0000AD770000}"/>
    <cellStyle name="Normal 47 2 4 6" xfId="15214" xr:uid="{00000000-0005-0000-0000-0000AE770000}"/>
    <cellStyle name="Normal 47 2 4 6 2" xfId="24322" xr:uid="{00000000-0005-0000-0000-0000AF770000}"/>
    <cellStyle name="Normal 47 2 4 7" xfId="3943" xr:uid="{00000000-0005-0000-0000-0000B0770000}"/>
    <cellStyle name="Normal 47 2 4 7 2" xfId="24324" xr:uid="{00000000-0005-0000-0000-0000B1770000}"/>
    <cellStyle name="Normal 47 2 4 8" xfId="24326" xr:uid="{00000000-0005-0000-0000-0000B2770000}"/>
    <cellStyle name="Normal 47 2 4 9" xfId="38623" xr:uid="{00000000-0005-0000-0000-0000B3770000}"/>
    <cellStyle name="Normal 47 2 5" xfId="19940" xr:uid="{00000000-0005-0000-0000-0000B4770000}"/>
    <cellStyle name="Normal 47 2 5 2" xfId="20438" xr:uid="{00000000-0005-0000-0000-0000B5770000}"/>
    <cellStyle name="Normal 47 2 5 2 2" xfId="20440" xr:uid="{00000000-0005-0000-0000-0000B6770000}"/>
    <cellStyle name="Normal 47 2 5 2 2 2" xfId="20442" xr:uid="{00000000-0005-0000-0000-0000B7770000}"/>
    <cellStyle name="Normal 47 2 5 2 2 2 2" xfId="20445" xr:uid="{00000000-0005-0000-0000-0000B8770000}"/>
    <cellStyle name="Normal 47 2 5 2 2 2 2 2" xfId="38624" xr:uid="{00000000-0005-0000-0000-0000B9770000}"/>
    <cellStyle name="Normal 47 2 5 2 2 2 3" xfId="30027" xr:uid="{00000000-0005-0000-0000-0000BA770000}"/>
    <cellStyle name="Normal 47 2 5 2 2 3" xfId="20447" xr:uid="{00000000-0005-0000-0000-0000BB770000}"/>
    <cellStyle name="Normal 47 2 5 2 2 3 2" xfId="38625" xr:uid="{00000000-0005-0000-0000-0000BC770000}"/>
    <cellStyle name="Normal 47 2 5 2 2 4" xfId="38626" xr:uid="{00000000-0005-0000-0000-0000BD770000}"/>
    <cellStyle name="Normal 47 2 5 2 3" xfId="20450" xr:uid="{00000000-0005-0000-0000-0000BE770000}"/>
    <cellStyle name="Normal 47 2 5 2 3 2" xfId="20452" xr:uid="{00000000-0005-0000-0000-0000BF770000}"/>
    <cellStyle name="Normal 47 2 5 2 3 2 2" xfId="24126" xr:uid="{00000000-0005-0000-0000-0000C0770000}"/>
    <cellStyle name="Normal 47 2 5 2 3 3" xfId="38627" xr:uid="{00000000-0005-0000-0000-0000C1770000}"/>
    <cellStyle name="Normal 47 2 5 2 4" xfId="20456" xr:uid="{00000000-0005-0000-0000-0000C2770000}"/>
    <cellStyle name="Normal 47 2 5 2 4 2" xfId="38628" xr:uid="{00000000-0005-0000-0000-0000C3770000}"/>
    <cellStyle name="Normal 47 2 5 2 4 2 2" xfId="28279" xr:uid="{00000000-0005-0000-0000-0000C4770000}"/>
    <cellStyle name="Normal 47 2 5 2 4 3" xfId="38629" xr:uid="{00000000-0005-0000-0000-0000C5770000}"/>
    <cellStyle name="Normal 47 2 5 2 5" xfId="37464" xr:uid="{00000000-0005-0000-0000-0000C6770000}"/>
    <cellStyle name="Normal 47 2 5 2 5 2" xfId="38630" xr:uid="{00000000-0005-0000-0000-0000C7770000}"/>
    <cellStyle name="Normal 47 2 5 2 6" xfId="28238" xr:uid="{00000000-0005-0000-0000-0000C8770000}"/>
    <cellStyle name="Normal 47 2 5 2 6 2" xfId="38631" xr:uid="{00000000-0005-0000-0000-0000C9770000}"/>
    <cellStyle name="Normal 47 2 5 2 7" xfId="38632" xr:uid="{00000000-0005-0000-0000-0000CA770000}"/>
    <cellStyle name="Normal 47 2 5 2 8" xfId="23531" xr:uid="{00000000-0005-0000-0000-0000CB770000}"/>
    <cellStyle name="Normal 47 2 5 3" xfId="20460" xr:uid="{00000000-0005-0000-0000-0000CC770000}"/>
    <cellStyle name="Normal 47 2 5 3 2" xfId="20463" xr:uid="{00000000-0005-0000-0000-0000CD770000}"/>
    <cellStyle name="Normal 47 2 5 3 2 2" xfId="20464" xr:uid="{00000000-0005-0000-0000-0000CE770000}"/>
    <cellStyle name="Normal 47 2 5 3 2 2 2" xfId="38633" xr:uid="{00000000-0005-0000-0000-0000CF770000}"/>
    <cellStyle name="Normal 47 2 5 3 2 3" xfId="35845" xr:uid="{00000000-0005-0000-0000-0000D0770000}"/>
    <cellStyle name="Normal 47 2 5 3 3" xfId="20466" xr:uid="{00000000-0005-0000-0000-0000D1770000}"/>
    <cellStyle name="Normal 47 2 5 3 3 2" xfId="38634" xr:uid="{00000000-0005-0000-0000-0000D2770000}"/>
    <cellStyle name="Normal 47 2 5 3 4" xfId="38635" xr:uid="{00000000-0005-0000-0000-0000D3770000}"/>
    <cellStyle name="Normal 47 2 5 4" xfId="20470" xr:uid="{00000000-0005-0000-0000-0000D4770000}"/>
    <cellStyle name="Normal 47 2 5 4 2" xfId="20471" xr:uid="{00000000-0005-0000-0000-0000D5770000}"/>
    <cellStyle name="Normal 47 2 5 4 2 2" xfId="20473" xr:uid="{00000000-0005-0000-0000-0000D6770000}"/>
    <cellStyle name="Normal 47 2 5 4 3" xfId="20475" xr:uid="{00000000-0005-0000-0000-0000D7770000}"/>
    <cellStyle name="Normal 47 2 5 5" xfId="15218" xr:uid="{00000000-0005-0000-0000-0000D8770000}"/>
    <cellStyle name="Normal 47 2 5 5 2" xfId="20477" xr:uid="{00000000-0005-0000-0000-0000D9770000}"/>
    <cellStyle name="Normal 47 2 5 5 2 2" xfId="22823" xr:uid="{00000000-0005-0000-0000-0000DA770000}"/>
    <cellStyle name="Normal 47 2 5 5 3" xfId="38636" xr:uid="{00000000-0005-0000-0000-0000DB770000}"/>
    <cellStyle name="Normal 47 2 5 6" xfId="20479" xr:uid="{00000000-0005-0000-0000-0000DC770000}"/>
    <cellStyle name="Normal 47 2 5 6 2" xfId="20482" xr:uid="{00000000-0005-0000-0000-0000DD770000}"/>
    <cellStyle name="Normal 47 2 5 7" xfId="18749" xr:uid="{00000000-0005-0000-0000-0000DE770000}"/>
    <cellStyle name="Normal 47 2 5 7 2" xfId="38637" xr:uid="{00000000-0005-0000-0000-0000DF770000}"/>
    <cellStyle name="Normal 47 2 5 8" xfId="20485" xr:uid="{00000000-0005-0000-0000-0000E0770000}"/>
    <cellStyle name="Normal 47 2 5 9" xfId="38638" xr:uid="{00000000-0005-0000-0000-0000E1770000}"/>
    <cellStyle name="Normal 47 2 6" xfId="20487" xr:uid="{00000000-0005-0000-0000-0000E2770000}"/>
    <cellStyle name="Normal 47 2 6 2" xfId="20489" xr:uid="{00000000-0005-0000-0000-0000E3770000}"/>
    <cellStyle name="Normal 47 2 6 2 2" xfId="20491" xr:uid="{00000000-0005-0000-0000-0000E4770000}"/>
    <cellStyle name="Normal 47 2 6 2 2 2" xfId="20495" xr:uid="{00000000-0005-0000-0000-0000E5770000}"/>
    <cellStyle name="Normal 47 2 6 2 2 2 2" xfId="34702" xr:uid="{00000000-0005-0000-0000-0000E6770000}"/>
    <cellStyle name="Normal 47 2 6 2 2 3" xfId="38640" xr:uid="{00000000-0005-0000-0000-0000E7770000}"/>
    <cellStyle name="Normal 47 2 6 2 3" xfId="15274" xr:uid="{00000000-0005-0000-0000-0000E8770000}"/>
    <cellStyle name="Normal 47 2 6 2 3 2" xfId="15281" xr:uid="{00000000-0005-0000-0000-0000E9770000}"/>
    <cellStyle name="Normal 47 2 6 2 4" xfId="15299" xr:uid="{00000000-0005-0000-0000-0000EA770000}"/>
    <cellStyle name="Normal 47 2 6 3" xfId="20499" xr:uid="{00000000-0005-0000-0000-0000EB770000}"/>
    <cellStyle name="Normal 47 2 6 3 2" xfId="20500" xr:uid="{00000000-0005-0000-0000-0000EC770000}"/>
    <cellStyle name="Normal 47 2 6 3 2 2" xfId="38642" xr:uid="{00000000-0005-0000-0000-0000ED770000}"/>
    <cellStyle name="Normal 47 2 6 3 3" xfId="15413" xr:uid="{00000000-0005-0000-0000-0000EE770000}"/>
    <cellStyle name="Normal 47 2 6 4" xfId="20502" xr:uid="{00000000-0005-0000-0000-0000EF770000}"/>
    <cellStyle name="Normal 47 2 6 4 2" xfId="38643" xr:uid="{00000000-0005-0000-0000-0000F0770000}"/>
    <cellStyle name="Normal 47 2 6 4 2 2" xfId="38644" xr:uid="{00000000-0005-0000-0000-0000F1770000}"/>
    <cellStyle name="Normal 47 2 6 4 3" xfId="15527" xr:uid="{00000000-0005-0000-0000-0000F2770000}"/>
    <cellStyle name="Normal 47 2 6 5" xfId="38645" xr:uid="{00000000-0005-0000-0000-0000F3770000}"/>
    <cellStyle name="Normal 47 2 6 5 2" xfId="38646" xr:uid="{00000000-0005-0000-0000-0000F4770000}"/>
    <cellStyle name="Normal 47 2 6 6" xfId="24329" xr:uid="{00000000-0005-0000-0000-0000F5770000}"/>
    <cellStyle name="Normal 47 2 6 6 2" xfId="24331" xr:uid="{00000000-0005-0000-0000-0000F6770000}"/>
    <cellStyle name="Normal 47 2 6 7" xfId="24333" xr:uid="{00000000-0005-0000-0000-0000F7770000}"/>
    <cellStyle name="Normal 47 2 6 8" xfId="19985" xr:uid="{00000000-0005-0000-0000-0000F8770000}"/>
    <cellStyle name="Normal 47 2 7" xfId="20505" xr:uid="{00000000-0005-0000-0000-0000F9770000}"/>
    <cellStyle name="Normal 47 2 7 2" xfId="20509" xr:uid="{00000000-0005-0000-0000-0000FA770000}"/>
    <cellStyle name="Normal 47 2 7 2 2" xfId="20513" xr:uid="{00000000-0005-0000-0000-0000FB770000}"/>
    <cellStyle name="Normal 47 2 7 2 2 2" xfId="20688" xr:uid="{00000000-0005-0000-0000-0000FC770000}"/>
    <cellStyle name="Normal 47 2 7 2 3" xfId="15787" xr:uid="{00000000-0005-0000-0000-0000FD770000}"/>
    <cellStyle name="Normal 47 2 7 3" xfId="20518" xr:uid="{00000000-0005-0000-0000-0000FE770000}"/>
    <cellStyle name="Normal 47 2 7 3 2" xfId="38647" xr:uid="{00000000-0005-0000-0000-0000FF770000}"/>
    <cellStyle name="Normal 47 2 7 4" xfId="23964" xr:uid="{00000000-0005-0000-0000-000000780000}"/>
    <cellStyle name="Normal 47 2 8" xfId="19307" xr:uid="{00000000-0005-0000-0000-000001780000}"/>
    <cellStyle name="Normal 47 2 8 2" xfId="20520" xr:uid="{00000000-0005-0000-0000-000002780000}"/>
    <cellStyle name="Normal 47 2 8 2 2" xfId="20523" xr:uid="{00000000-0005-0000-0000-000003780000}"/>
    <cellStyle name="Normal 47 2 8 3" xfId="20526" xr:uid="{00000000-0005-0000-0000-000004780000}"/>
    <cellStyle name="Normal 47 2 9" xfId="3795" xr:uid="{00000000-0005-0000-0000-000005780000}"/>
    <cellStyle name="Normal 47 2 9 2" xfId="3816" xr:uid="{00000000-0005-0000-0000-000006780000}"/>
    <cellStyle name="Normal 47 2 9 2 2" xfId="38648" xr:uid="{00000000-0005-0000-0000-000007780000}"/>
    <cellStyle name="Normal 47 2 9 3" xfId="38649" xr:uid="{00000000-0005-0000-0000-000008780000}"/>
    <cellStyle name="Normal 47 3" xfId="38650" xr:uid="{00000000-0005-0000-0000-000009780000}"/>
    <cellStyle name="Normal 47 3 10" xfId="4804" xr:uid="{00000000-0005-0000-0000-00000A780000}"/>
    <cellStyle name="Normal 47 3 10 2" xfId="16653" xr:uid="{00000000-0005-0000-0000-00000B780000}"/>
    <cellStyle name="Normal 47 3 11" xfId="16670" xr:uid="{00000000-0005-0000-0000-00000C780000}"/>
    <cellStyle name="Normal 47 3 11 2" xfId="16676" xr:uid="{00000000-0005-0000-0000-00000D780000}"/>
    <cellStyle name="Normal 47 3 12" xfId="16683" xr:uid="{00000000-0005-0000-0000-00000E780000}"/>
    <cellStyle name="Normal 47 3 12 2" xfId="38652" xr:uid="{00000000-0005-0000-0000-00000F780000}"/>
    <cellStyle name="Normal 47 3 13" xfId="16691" xr:uid="{00000000-0005-0000-0000-000010780000}"/>
    <cellStyle name="Normal 47 3 14" xfId="31223" xr:uid="{00000000-0005-0000-0000-000011780000}"/>
    <cellStyle name="Normal 47 3 2" xfId="38653" xr:uid="{00000000-0005-0000-0000-000012780000}"/>
    <cellStyle name="Normal 47 3 2 10" xfId="38654" xr:uid="{00000000-0005-0000-0000-000013780000}"/>
    <cellStyle name="Normal 47 3 2 2" xfId="38655" xr:uid="{00000000-0005-0000-0000-000014780000}"/>
    <cellStyle name="Normal 47 3 2 2 2" xfId="25804" xr:uid="{00000000-0005-0000-0000-000015780000}"/>
    <cellStyle name="Normal 47 3 2 2 2 2" xfId="38656" xr:uid="{00000000-0005-0000-0000-000016780000}"/>
    <cellStyle name="Normal 47 3 2 2 2 2 2" xfId="38659" xr:uid="{00000000-0005-0000-0000-000017780000}"/>
    <cellStyle name="Normal 47 3 2 2 2 2 2 2" xfId="38660" xr:uid="{00000000-0005-0000-0000-000018780000}"/>
    <cellStyle name="Normal 47 3 2 2 2 2 2 2 2" xfId="21768" xr:uid="{00000000-0005-0000-0000-000019780000}"/>
    <cellStyle name="Normal 47 3 2 2 2 2 2 3" xfId="38661" xr:uid="{00000000-0005-0000-0000-00001A780000}"/>
    <cellStyle name="Normal 47 3 2 2 2 2 3" xfId="38663" xr:uid="{00000000-0005-0000-0000-00001B780000}"/>
    <cellStyle name="Normal 47 3 2 2 2 2 3 2" xfId="38664" xr:uid="{00000000-0005-0000-0000-00001C780000}"/>
    <cellStyle name="Normal 47 3 2 2 2 2 4" xfId="38665" xr:uid="{00000000-0005-0000-0000-00001D780000}"/>
    <cellStyle name="Normal 47 3 2 2 2 3" xfId="38666" xr:uid="{00000000-0005-0000-0000-00001E780000}"/>
    <cellStyle name="Normal 47 3 2 2 2 3 2" xfId="38667" xr:uid="{00000000-0005-0000-0000-00001F780000}"/>
    <cellStyle name="Normal 47 3 2 2 2 3 2 2" xfId="38668" xr:uid="{00000000-0005-0000-0000-000020780000}"/>
    <cellStyle name="Normal 47 3 2 2 2 3 3" xfId="38669" xr:uid="{00000000-0005-0000-0000-000021780000}"/>
    <cellStyle name="Normal 47 3 2 2 2 4" xfId="26483" xr:uid="{00000000-0005-0000-0000-000022780000}"/>
    <cellStyle name="Normal 47 3 2 2 2 4 2" xfId="21804" xr:uid="{00000000-0005-0000-0000-000023780000}"/>
    <cellStyle name="Normal 47 3 2 2 2 4 2 2" xfId="21809" xr:uid="{00000000-0005-0000-0000-000024780000}"/>
    <cellStyle name="Normal 47 3 2 2 2 4 3" xfId="21813" xr:uid="{00000000-0005-0000-0000-000025780000}"/>
    <cellStyle name="Normal 47 3 2 2 2 5" xfId="19087" xr:uid="{00000000-0005-0000-0000-000026780000}"/>
    <cellStyle name="Normal 47 3 2 2 2 5 2" xfId="9931" xr:uid="{00000000-0005-0000-0000-000027780000}"/>
    <cellStyle name="Normal 47 3 2 2 2 6" xfId="26485" xr:uid="{00000000-0005-0000-0000-000028780000}"/>
    <cellStyle name="Normal 47 3 2 2 2 6 2" xfId="21829" xr:uid="{00000000-0005-0000-0000-000029780000}"/>
    <cellStyle name="Normal 47 3 2 2 2 7" xfId="2480" xr:uid="{00000000-0005-0000-0000-00002A780000}"/>
    <cellStyle name="Normal 47 3 2 2 2 8" xfId="2493" xr:uid="{00000000-0005-0000-0000-00002B780000}"/>
    <cellStyle name="Normal 47 3 2 2 3" xfId="38670" xr:uid="{00000000-0005-0000-0000-00002C780000}"/>
    <cellStyle name="Normal 47 3 2 2 3 2" xfId="38671" xr:uid="{00000000-0005-0000-0000-00002D780000}"/>
    <cellStyle name="Normal 47 3 2 2 3 2 2" xfId="38672" xr:uid="{00000000-0005-0000-0000-00002E780000}"/>
    <cellStyle name="Normal 47 3 2 2 3 2 2 2" xfId="38673" xr:uid="{00000000-0005-0000-0000-00002F780000}"/>
    <cellStyle name="Normal 47 3 2 2 3 2 3" xfId="38674" xr:uid="{00000000-0005-0000-0000-000030780000}"/>
    <cellStyle name="Normal 47 3 2 2 3 3" xfId="38675" xr:uid="{00000000-0005-0000-0000-000031780000}"/>
    <cellStyle name="Normal 47 3 2 2 3 3 2" xfId="16231" xr:uid="{00000000-0005-0000-0000-000032780000}"/>
    <cellStyle name="Normal 47 3 2 2 3 4" xfId="17215" xr:uid="{00000000-0005-0000-0000-000033780000}"/>
    <cellStyle name="Normal 47 3 2 2 4" xfId="38676" xr:uid="{00000000-0005-0000-0000-000034780000}"/>
    <cellStyle name="Normal 47 3 2 2 4 2" xfId="38677" xr:uid="{00000000-0005-0000-0000-000035780000}"/>
    <cellStyle name="Normal 47 3 2 2 4 2 2" xfId="38678" xr:uid="{00000000-0005-0000-0000-000036780000}"/>
    <cellStyle name="Normal 47 3 2 2 4 3" xfId="38679" xr:uid="{00000000-0005-0000-0000-000037780000}"/>
    <cellStyle name="Normal 47 3 2 2 5" xfId="1541" xr:uid="{00000000-0005-0000-0000-000038780000}"/>
    <cellStyle name="Normal 47 3 2 2 5 2" xfId="38680" xr:uid="{00000000-0005-0000-0000-000039780000}"/>
    <cellStyle name="Normal 47 3 2 2 5 2 2" xfId="38681" xr:uid="{00000000-0005-0000-0000-00003A780000}"/>
    <cellStyle name="Normal 47 3 2 2 5 3" xfId="38682" xr:uid="{00000000-0005-0000-0000-00003B780000}"/>
    <cellStyle name="Normal 47 3 2 2 6" xfId="38683" xr:uid="{00000000-0005-0000-0000-00003C780000}"/>
    <cellStyle name="Normal 47 3 2 2 6 2" xfId="1465" xr:uid="{00000000-0005-0000-0000-00003D780000}"/>
    <cellStyle name="Normal 47 3 2 2 7" xfId="38684" xr:uid="{00000000-0005-0000-0000-00003E780000}"/>
    <cellStyle name="Normal 47 3 2 2 7 2" xfId="1687" xr:uid="{00000000-0005-0000-0000-00003F780000}"/>
    <cellStyle name="Normal 47 3 2 2 8" xfId="38685" xr:uid="{00000000-0005-0000-0000-000040780000}"/>
    <cellStyle name="Normal 47 3 2 2 9" xfId="38686" xr:uid="{00000000-0005-0000-0000-000041780000}"/>
    <cellStyle name="Normal 47 3 2 3" xfId="33390" xr:uid="{00000000-0005-0000-0000-000042780000}"/>
    <cellStyle name="Normal 47 3 2 3 2" xfId="30790" xr:uid="{00000000-0005-0000-0000-000043780000}"/>
    <cellStyle name="Normal 47 3 2 3 2 2" xfId="22896" xr:uid="{00000000-0005-0000-0000-000044780000}"/>
    <cellStyle name="Normal 47 3 2 3 2 2 2" xfId="22897" xr:uid="{00000000-0005-0000-0000-000045780000}"/>
    <cellStyle name="Normal 47 3 2 3 2 2 2 2" xfId="22899" xr:uid="{00000000-0005-0000-0000-000046780000}"/>
    <cellStyle name="Normal 47 3 2 3 2 2 3" xfId="22901" xr:uid="{00000000-0005-0000-0000-000047780000}"/>
    <cellStyle name="Normal 47 3 2 3 2 3" xfId="22903" xr:uid="{00000000-0005-0000-0000-000048780000}"/>
    <cellStyle name="Normal 47 3 2 3 2 3 2" xfId="22905" xr:uid="{00000000-0005-0000-0000-000049780000}"/>
    <cellStyle name="Normal 47 3 2 3 2 4" xfId="22907" xr:uid="{00000000-0005-0000-0000-00004A780000}"/>
    <cellStyle name="Normal 47 3 2 3 3" xfId="38688" xr:uid="{00000000-0005-0000-0000-00004B780000}"/>
    <cellStyle name="Normal 47 3 2 3 3 2" xfId="22922" xr:uid="{00000000-0005-0000-0000-00004C780000}"/>
    <cellStyle name="Normal 47 3 2 3 3 2 2" xfId="16830" xr:uid="{00000000-0005-0000-0000-00004D780000}"/>
    <cellStyle name="Normal 47 3 2 3 3 3" xfId="38689" xr:uid="{00000000-0005-0000-0000-00004E780000}"/>
    <cellStyle name="Normal 47 3 2 3 4" xfId="38690" xr:uid="{00000000-0005-0000-0000-00004F780000}"/>
    <cellStyle name="Normal 47 3 2 3 4 2" xfId="38692" xr:uid="{00000000-0005-0000-0000-000050780000}"/>
    <cellStyle name="Normal 47 3 2 3 4 2 2" xfId="17415" xr:uid="{00000000-0005-0000-0000-000051780000}"/>
    <cellStyle name="Normal 47 3 2 3 4 3" xfId="38694" xr:uid="{00000000-0005-0000-0000-000052780000}"/>
    <cellStyle name="Normal 47 3 2 3 5" xfId="1729" xr:uid="{00000000-0005-0000-0000-000053780000}"/>
    <cellStyle name="Normal 47 3 2 3 5 2" xfId="38696" xr:uid="{00000000-0005-0000-0000-000054780000}"/>
    <cellStyle name="Normal 47 3 2 3 6" xfId="37355" xr:uid="{00000000-0005-0000-0000-000055780000}"/>
    <cellStyle name="Normal 47 3 2 3 6 2" xfId="1779" xr:uid="{00000000-0005-0000-0000-000056780000}"/>
    <cellStyle name="Normal 47 3 2 3 7" xfId="37528" xr:uid="{00000000-0005-0000-0000-000057780000}"/>
    <cellStyle name="Normal 47 3 2 3 8" xfId="38697" xr:uid="{00000000-0005-0000-0000-000058780000}"/>
    <cellStyle name="Normal 47 3 2 4" xfId="33394" xr:uid="{00000000-0005-0000-0000-000059780000}"/>
    <cellStyle name="Normal 47 3 2 4 2" xfId="38699" xr:uid="{00000000-0005-0000-0000-00005A780000}"/>
    <cellStyle name="Normal 47 3 2 4 2 2" xfId="22986" xr:uid="{00000000-0005-0000-0000-00005B780000}"/>
    <cellStyle name="Normal 47 3 2 4 2 2 2" xfId="38700" xr:uid="{00000000-0005-0000-0000-00005C780000}"/>
    <cellStyle name="Normal 47 3 2 4 2 3" xfId="38701" xr:uid="{00000000-0005-0000-0000-00005D780000}"/>
    <cellStyle name="Normal 47 3 2 4 3" xfId="38702" xr:uid="{00000000-0005-0000-0000-00005E780000}"/>
    <cellStyle name="Normal 47 3 2 4 3 2" xfId="38703" xr:uid="{00000000-0005-0000-0000-00005F780000}"/>
    <cellStyle name="Normal 47 3 2 4 4" xfId="38704" xr:uid="{00000000-0005-0000-0000-000060780000}"/>
    <cellStyle name="Normal 47 3 2 5" xfId="38706" xr:uid="{00000000-0005-0000-0000-000061780000}"/>
    <cellStyle name="Normal 47 3 2 5 2" xfId="38707" xr:uid="{00000000-0005-0000-0000-000062780000}"/>
    <cellStyle name="Normal 47 3 2 5 2 2" xfId="23076" xr:uid="{00000000-0005-0000-0000-000063780000}"/>
    <cellStyle name="Normal 47 3 2 5 3" xfId="38708" xr:uid="{00000000-0005-0000-0000-000064780000}"/>
    <cellStyle name="Normal 47 3 2 6" xfId="38709" xr:uid="{00000000-0005-0000-0000-000065780000}"/>
    <cellStyle name="Normal 47 3 2 6 2" xfId="8162" xr:uid="{00000000-0005-0000-0000-000066780000}"/>
    <cellStyle name="Normal 47 3 2 6 2 2" xfId="8167" xr:uid="{00000000-0005-0000-0000-000067780000}"/>
    <cellStyle name="Normal 47 3 2 6 3" xfId="8183" xr:uid="{00000000-0005-0000-0000-000068780000}"/>
    <cellStyle name="Normal 47 3 2 7" xfId="36840" xr:uid="{00000000-0005-0000-0000-000069780000}"/>
    <cellStyle name="Normal 47 3 2 7 2" xfId="8198" xr:uid="{00000000-0005-0000-0000-00006A780000}"/>
    <cellStyle name="Normal 47 3 2 8" xfId="36843" xr:uid="{00000000-0005-0000-0000-00006B780000}"/>
    <cellStyle name="Normal 47 3 2 8 2" xfId="8209" xr:uid="{00000000-0005-0000-0000-00006C780000}"/>
    <cellStyle name="Normal 47 3 2 9" xfId="38710" xr:uid="{00000000-0005-0000-0000-00006D780000}"/>
    <cellStyle name="Normal 47 3 3" xfId="38081" xr:uid="{00000000-0005-0000-0000-00006E780000}"/>
    <cellStyle name="Normal 47 3 3 2" xfId="38084" xr:uid="{00000000-0005-0000-0000-00006F780000}"/>
    <cellStyle name="Normal 47 3 3 2 2" xfId="38711" xr:uid="{00000000-0005-0000-0000-000070780000}"/>
    <cellStyle name="Normal 47 3 3 2 2 2" xfId="23445" xr:uid="{00000000-0005-0000-0000-000071780000}"/>
    <cellStyle name="Normal 47 3 3 2 2 2 2" xfId="23447" xr:uid="{00000000-0005-0000-0000-000072780000}"/>
    <cellStyle name="Normal 47 3 3 2 2 2 2 2" xfId="22577" xr:uid="{00000000-0005-0000-0000-000073780000}"/>
    <cellStyle name="Normal 47 3 3 2 2 2 3" xfId="23450" xr:uid="{00000000-0005-0000-0000-000074780000}"/>
    <cellStyle name="Normal 47 3 3 2 2 3" xfId="23452" xr:uid="{00000000-0005-0000-0000-000075780000}"/>
    <cellStyle name="Normal 47 3 3 2 2 3 2" xfId="23456" xr:uid="{00000000-0005-0000-0000-000076780000}"/>
    <cellStyle name="Normal 47 3 3 2 2 4" xfId="23462" xr:uid="{00000000-0005-0000-0000-000077780000}"/>
    <cellStyle name="Normal 47 3 3 2 2 5" xfId="19161" xr:uid="{00000000-0005-0000-0000-000078780000}"/>
    <cellStyle name="Normal 47 3 3 2 3" xfId="38712" xr:uid="{00000000-0005-0000-0000-000079780000}"/>
    <cellStyle name="Normal 47 3 3 2 3 2" xfId="10369" xr:uid="{00000000-0005-0000-0000-00007A780000}"/>
    <cellStyle name="Normal 47 3 3 2 3 2 2" xfId="11938" xr:uid="{00000000-0005-0000-0000-00007B780000}"/>
    <cellStyle name="Normal 47 3 3 2 3 3" xfId="11943" xr:uid="{00000000-0005-0000-0000-00007C780000}"/>
    <cellStyle name="Normal 47 3 3 2 4" xfId="38713" xr:uid="{00000000-0005-0000-0000-00007D780000}"/>
    <cellStyle name="Normal 47 3 3 2 4 2" xfId="11962" xr:uid="{00000000-0005-0000-0000-00007E780000}"/>
    <cellStyle name="Normal 47 3 3 2 4 2 2" xfId="11966" xr:uid="{00000000-0005-0000-0000-00007F780000}"/>
    <cellStyle name="Normal 47 3 3 2 4 3" xfId="11968" xr:uid="{00000000-0005-0000-0000-000080780000}"/>
    <cellStyle name="Normal 47 3 3 2 5" xfId="37475" xr:uid="{00000000-0005-0000-0000-000081780000}"/>
    <cellStyle name="Normal 47 3 3 2 5 2" xfId="2160" xr:uid="{00000000-0005-0000-0000-000082780000}"/>
    <cellStyle name="Normal 47 3 3 2 6" xfId="38714" xr:uid="{00000000-0005-0000-0000-000083780000}"/>
    <cellStyle name="Normal 47 3 3 2 6 2" xfId="2183" xr:uid="{00000000-0005-0000-0000-000084780000}"/>
    <cellStyle name="Normal 47 3 3 2 7" xfId="38715" xr:uid="{00000000-0005-0000-0000-000085780000}"/>
    <cellStyle name="Normal 47 3 3 2 8" xfId="33673" xr:uid="{00000000-0005-0000-0000-000086780000}"/>
    <cellStyle name="Normal 47 3 3 3" xfId="33403" xr:uid="{00000000-0005-0000-0000-000087780000}"/>
    <cellStyle name="Normal 47 3 3 3 2" xfId="33407" xr:uid="{00000000-0005-0000-0000-000088780000}"/>
    <cellStyle name="Normal 47 3 3 3 2 2" xfId="23509" xr:uid="{00000000-0005-0000-0000-000089780000}"/>
    <cellStyle name="Normal 47 3 3 3 2 2 2" xfId="38716" xr:uid="{00000000-0005-0000-0000-00008A780000}"/>
    <cellStyle name="Normal 47 3 3 3 2 3" xfId="36887" xr:uid="{00000000-0005-0000-0000-00008B780000}"/>
    <cellStyle name="Normal 47 3 3 3 3" xfId="38717" xr:uid="{00000000-0005-0000-0000-00008C780000}"/>
    <cellStyle name="Normal 47 3 3 3 3 2" xfId="10078" xr:uid="{00000000-0005-0000-0000-00008D780000}"/>
    <cellStyle name="Normal 47 3 3 3 4" xfId="38718" xr:uid="{00000000-0005-0000-0000-00008E780000}"/>
    <cellStyle name="Normal 47 3 3 3 5" xfId="495" xr:uid="{00000000-0005-0000-0000-00008F780000}"/>
    <cellStyle name="Normal 47 3 3 4" xfId="33411" xr:uid="{00000000-0005-0000-0000-000090780000}"/>
    <cellStyle name="Normal 47 3 3 4 2" xfId="38719" xr:uid="{00000000-0005-0000-0000-000091780000}"/>
    <cellStyle name="Normal 47 3 3 4 2 2" xfId="23580" xr:uid="{00000000-0005-0000-0000-000092780000}"/>
    <cellStyle name="Normal 47 3 3 4 3" xfId="38720" xr:uid="{00000000-0005-0000-0000-000093780000}"/>
    <cellStyle name="Normal 47 3 3 5" xfId="38721" xr:uid="{00000000-0005-0000-0000-000094780000}"/>
    <cellStyle name="Normal 47 3 3 5 2" xfId="33127" xr:uid="{00000000-0005-0000-0000-000095780000}"/>
    <cellStyle name="Normal 47 3 3 5 2 2" xfId="23638" xr:uid="{00000000-0005-0000-0000-000096780000}"/>
    <cellStyle name="Normal 47 3 3 5 3" xfId="33129" xr:uid="{00000000-0005-0000-0000-000097780000}"/>
    <cellStyle name="Normal 47 3 3 6" xfId="35897" xr:uid="{00000000-0005-0000-0000-000098780000}"/>
    <cellStyle name="Normal 47 3 3 6 2" xfId="5051" xr:uid="{00000000-0005-0000-0000-000099780000}"/>
    <cellStyle name="Normal 47 3 3 7" xfId="35899" xr:uid="{00000000-0005-0000-0000-00009A780000}"/>
    <cellStyle name="Normal 47 3 3 7 2" xfId="26163" xr:uid="{00000000-0005-0000-0000-00009B780000}"/>
    <cellStyle name="Normal 47 3 3 8" xfId="36848" xr:uid="{00000000-0005-0000-0000-00009C780000}"/>
    <cellStyle name="Normal 47 3 3 9" xfId="38722" xr:uid="{00000000-0005-0000-0000-00009D780000}"/>
    <cellStyle name="Normal 47 3 4" xfId="19946" xr:uid="{00000000-0005-0000-0000-00009E780000}"/>
    <cellStyle name="Normal 47 3 4 2" xfId="19952" xr:uid="{00000000-0005-0000-0000-00009F780000}"/>
    <cellStyle name="Normal 47 3 4 2 2" xfId="25998" xr:uid="{00000000-0005-0000-0000-0000A0780000}"/>
    <cellStyle name="Normal 47 3 4 2 2 2" xfId="23827" xr:uid="{00000000-0005-0000-0000-0000A1780000}"/>
    <cellStyle name="Normal 47 3 4 2 2 2 2" xfId="26000" xr:uid="{00000000-0005-0000-0000-0000A2780000}"/>
    <cellStyle name="Normal 47 3 4 2 2 2 2 2" xfId="3438" xr:uid="{00000000-0005-0000-0000-0000A3780000}"/>
    <cellStyle name="Normal 47 3 4 2 2 2 3" xfId="31402" xr:uid="{00000000-0005-0000-0000-0000A4780000}"/>
    <cellStyle name="Normal 47 3 4 2 2 3" xfId="26004" xr:uid="{00000000-0005-0000-0000-0000A5780000}"/>
    <cellStyle name="Normal 47 3 4 2 2 3 2" xfId="38723" xr:uid="{00000000-0005-0000-0000-0000A6780000}"/>
    <cellStyle name="Normal 47 3 4 2 2 4" xfId="3861" xr:uid="{00000000-0005-0000-0000-0000A7780000}"/>
    <cellStyle name="Normal 47 3 4 2 3" xfId="26011" xr:uid="{00000000-0005-0000-0000-0000A8780000}"/>
    <cellStyle name="Normal 47 3 4 2 3 2" xfId="26013" xr:uid="{00000000-0005-0000-0000-0000A9780000}"/>
    <cellStyle name="Normal 47 3 4 2 3 2 2" xfId="31382" xr:uid="{00000000-0005-0000-0000-0000AA780000}"/>
    <cellStyle name="Normal 47 3 4 2 3 3" xfId="38724" xr:uid="{00000000-0005-0000-0000-0000AB780000}"/>
    <cellStyle name="Normal 47 3 4 2 4" xfId="20706" xr:uid="{00000000-0005-0000-0000-0000AC780000}"/>
    <cellStyle name="Normal 47 3 4 2 4 2" xfId="36219" xr:uid="{00000000-0005-0000-0000-0000AD780000}"/>
    <cellStyle name="Normal 47 3 4 2 4 2 2" xfId="28666" xr:uid="{00000000-0005-0000-0000-0000AE780000}"/>
    <cellStyle name="Normal 47 3 4 2 4 3" xfId="38725" xr:uid="{00000000-0005-0000-0000-0000AF780000}"/>
    <cellStyle name="Normal 47 3 4 2 5" xfId="36221" xr:uid="{00000000-0005-0000-0000-0000B0780000}"/>
    <cellStyle name="Normal 47 3 4 2 5 2" xfId="38726" xr:uid="{00000000-0005-0000-0000-0000B1780000}"/>
    <cellStyle name="Normal 47 3 4 2 6" xfId="24140" xr:uid="{00000000-0005-0000-0000-0000B2780000}"/>
    <cellStyle name="Normal 47 3 4 2 6 2" xfId="24144" xr:uid="{00000000-0005-0000-0000-0000B3780000}"/>
    <cellStyle name="Normal 47 3 4 2 7" xfId="22802" xr:uid="{00000000-0005-0000-0000-0000B4780000}"/>
    <cellStyle name="Normal 47 3 4 2 8" xfId="24681" xr:uid="{00000000-0005-0000-0000-0000B5780000}"/>
    <cellStyle name="Normal 47 3 4 3" xfId="26020" xr:uid="{00000000-0005-0000-0000-0000B6780000}"/>
    <cellStyle name="Normal 47 3 4 3 2" xfId="26025" xr:uid="{00000000-0005-0000-0000-0000B7780000}"/>
    <cellStyle name="Normal 47 3 4 3 2 2" xfId="23867" xr:uid="{00000000-0005-0000-0000-0000B8780000}"/>
    <cellStyle name="Normal 47 3 4 3 2 2 2" xfId="15921" xr:uid="{00000000-0005-0000-0000-0000B9780000}"/>
    <cellStyle name="Normal 47 3 4 3 2 3" xfId="37181" xr:uid="{00000000-0005-0000-0000-0000BA780000}"/>
    <cellStyle name="Normal 47 3 4 3 3" xfId="26027" xr:uid="{00000000-0005-0000-0000-0000BB780000}"/>
    <cellStyle name="Normal 47 3 4 3 3 2" xfId="38727" xr:uid="{00000000-0005-0000-0000-0000BC780000}"/>
    <cellStyle name="Normal 47 3 4 3 4" xfId="36226" xr:uid="{00000000-0005-0000-0000-0000BD780000}"/>
    <cellStyle name="Normal 47 3 4 4" xfId="2399" xr:uid="{00000000-0005-0000-0000-0000BE780000}"/>
    <cellStyle name="Normal 47 3 4 4 2" xfId="26029" xr:uid="{00000000-0005-0000-0000-0000BF780000}"/>
    <cellStyle name="Normal 47 3 4 4 2 2" xfId="26031" xr:uid="{00000000-0005-0000-0000-0000C0780000}"/>
    <cellStyle name="Normal 47 3 4 4 3" xfId="26033" xr:uid="{00000000-0005-0000-0000-0000C1780000}"/>
    <cellStyle name="Normal 47 3 4 5" xfId="26035" xr:uid="{00000000-0005-0000-0000-0000C2780000}"/>
    <cellStyle name="Normal 47 3 4 5 2" xfId="26037" xr:uid="{00000000-0005-0000-0000-0000C3780000}"/>
    <cellStyle name="Normal 47 3 4 5 2 2" xfId="13405" xr:uid="{00000000-0005-0000-0000-0000C4780000}"/>
    <cellStyle name="Normal 47 3 4 5 3" xfId="20341" xr:uid="{00000000-0005-0000-0000-0000C5780000}"/>
    <cellStyle name="Normal 47 3 4 6" xfId="26040" xr:uid="{00000000-0005-0000-0000-0000C6780000}"/>
    <cellStyle name="Normal 47 3 4 6 2" xfId="26042" xr:uid="{00000000-0005-0000-0000-0000C7780000}"/>
    <cellStyle name="Normal 47 3 4 7" xfId="26044" xr:uid="{00000000-0005-0000-0000-0000C8780000}"/>
    <cellStyle name="Normal 47 3 4 7 2" xfId="38728" xr:uid="{00000000-0005-0000-0000-0000C9780000}"/>
    <cellStyle name="Normal 47 3 4 8" xfId="26048" xr:uid="{00000000-0005-0000-0000-0000CA780000}"/>
    <cellStyle name="Normal 47 3 4 9" xfId="38729" xr:uid="{00000000-0005-0000-0000-0000CB780000}"/>
    <cellStyle name="Normal 47 3 5" xfId="18839" xr:uid="{00000000-0005-0000-0000-0000CC780000}"/>
    <cellStyle name="Normal 47 3 5 2" xfId="18844" xr:uid="{00000000-0005-0000-0000-0000CD780000}"/>
    <cellStyle name="Normal 47 3 5 2 2" xfId="6066" xr:uid="{00000000-0005-0000-0000-0000CE780000}"/>
    <cellStyle name="Normal 47 3 5 2 2 2" xfId="6471" xr:uid="{00000000-0005-0000-0000-0000CF780000}"/>
    <cellStyle name="Normal 47 3 5 2 2 2 2" xfId="19117" xr:uid="{00000000-0005-0000-0000-0000D0780000}"/>
    <cellStyle name="Normal 47 3 5 2 2 2 2 2" xfId="30014" xr:uid="{00000000-0005-0000-0000-0000D1780000}"/>
    <cellStyle name="Normal 47 3 5 2 2 2 3" xfId="31962" xr:uid="{00000000-0005-0000-0000-0000D2780000}"/>
    <cellStyle name="Normal 47 3 5 2 2 3" xfId="19121" xr:uid="{00000000-0005-0000-0000-0000D3780000}"/>
    <cellStyle name="Normal 47 3 5 2 2 3 2" xfId="38730" xr:uid="{00000000-0005-0000-0000-0000D4780000}"/>
    <cellStyle name="Normal 47 3 5 2 2 4" xfId="19125" xr:uid="{00000000-0005-0000-0000-0000D5780000}"/>
    <cellStyle name="Normal 47 3 5 2 3" xfId="6487" xr:uid="{00000000-0005-0000-0000-0000D6780000}"/>
    <cellStyle name="Normal 47 3 5 2 3 2" xfId="6491" xr:uid="{00000000-0005-0000-0000-0000D7780000}"/>
    <cellStyle name="Normal 47 3 5 2 3 2 2" xfId="38731" xr:uid="{00000000-0005-0000-0000-0000D8780000}"/>
    <cellStyle name="Normal 47 3 5 2 3 3" xfId="38732" xr:uid="{00000000-0005-0000-0000-0000D9780000}"/>
    <cellStyle name="Normal 47 3 5 2 4" xfId="36245" xr:uid="{00000000-0005-0000-0000-0000DA780000}"/>
    <cellStyle name="Normal 47 3 5 2 4 2" xfId="38733" xr:uid="{00000000-0005-0000-0000-0000DB780000}"/>
    <cellStyle name="Normal 47 3 5 2 4 2 2" xfId="4513" xr:uid="{00000000-0005-0000-0000-0000DC780000}"/>
    <cellStyle name="Normal 47 3 5 2 4 3" xfId="38734" xr:uid="{00000000-0005-0000-0000-0000DD780000}"/>
    <cellStyle name="Normal 47 3 5 2 5" xfId="24349" xr:uid="{00000000-0005-0000-0000-0000DE780000}"/>
    <cellStyle name="Normal 47 3 5 2 5 2" xfId="38735" xr:uid="{00000000-0005-0000-0000-0000DF780000}"/>
    <cellStyle name="Normal 47 3 5 2 6" xfId="28296" xr:uid="{00000000-0005-0000-0000-0000E0780000}"/>
    <cellStyle name="Normal 47 3 5 2 6 2" xfId="38736" xr:uid="{00000000-0005-0000-0000-0000E1780000}"/>
    <cellStyle name="Normal 47 3 5 2 7" xfId="38737" xr:uid="{00000000-0005-0000-0000-0000E2780000}"/>
    <cellStyle name="Normal 47 3 5 2 8" xfId="24924" xr:uid="{00000000-0005-0000-0000-0000E3780000}"/>
    <cellStyle name="Normal 47 3 5 3" xfId="18854" xr:uid="{00000000-0005-0000-0000-0000E4780000}"/>
    <cellStyle name="Normal 47 3 5 3 2" xfId="7706" xr:uid="{00000000-0005-0000-0000-0000E5780000}"/>
    <cellStyle name="Normal 47 3 5 3 2 2" xfId="7714" xr:uid="{00000000-0005-0000-0000-0000E6780000}"/>
    <cellStyle name="Normal 47 3 5 3 2 2 2" xfId="38738" xr:uid="{00000000-0005-0000-0000-0000E7780000}"/>
    <cellStyle name="Normal 47 3 5 3 2 3" xfId="38739" xr:uid="{00000000-0005-0000-0000-0000E8780000}"/>
    <cellStyle name="Normal 47 3 5 3 3" xfId="7726" xr:uid="{00000000-0005-0000-0000-0000E9780000}"/>
    <cellStyle name="Normal 47 3 5 3 3 2" xfId="7733" xr:uid="{00000000-0005-0000-0000-0000EA780000}"/>
    <cellStyle name="Normal 47 3 5 3 4" xfId="36248" xr:uid="{00000000-0005-0000-0000-0000EB780000}"/>
    <cellStyle name="Normal 47 3 5 4" xfId="18857" xr:uid="{00000000-0005-0000-0000-0000EC780000}"/>
    <cellStyle name="Normal 47 3 5 4 2" xfId="8509" xr:uid="{00000000-0005-0000-0000-0000ED780000}"/>
    <cellStyle name="Normal 47 3 5 4 2 2" xfId="7875" xr:uid="{00000000-0005-0000-0000-0000EE780000}"/>
    <cellStyle name="Normal 47 3 5 4 3" xfId="8514" xr:uid="{00000000-0005-0000-0000-0000EF780000}"/>
    <cellStyle name="Normal 47 3 5 5" xfId="18862" xr:uid="{00000000-0005-0000-0000-0000F0780000}"/>
    <cellStyle name="Normal 47 3 5 5 2" xfId="9086" xr:uid="{00000000-0005-0000-0000-0000F1780000}"/>
    <cellStyle name="Normal 47 3 5 5 2 2" xfId="9091" xr:uid="{00000000-0005-0000-0000-0000F2780000}"/>
    <cellStyle name="Normal 47 3 5 5 3" xfId="9101" xr:uid="{00000000-0005-0000-0000-0000F3780000}"/>
    <cellStyle name="Normal 47 3 5 6" xfId="26053" xr:uid="{00000000-0005-0000-0000-0000F4780000}"/>
    <cellStyle name="Normal 47 3 5 6 2" xfId="38740" xr:uid="{00000000-0005-0000-0000-0000F5780000}"/>
    <cellStyle name="Normal 47 3 5 7" xfId="26055" xr:uid="{00000000-0005-0000-0000-0000F6780000}"/>
    <cellStyle name="Normal 47 3 5 7 2" xfId="38741" xr:uid="{00000000-0005-0000-0000-0000F7780000}"/>
    <cellStyle name="Normal 47 3 5 8" xfId="38742" xr:uid="{00000000-0005-0000-0000-0000F8780000}"/>
    <cellStyle name="Normal 47 3 5 9" xfId="38743" xr:uid="{00000000-0005-0000-0000-0000F9780000}"/>
    <cellStyle name="Normal 47 3 6" xfId="18866" xr:uid="{00000000-0005-0000-0000-0000FA780000}"/>
    <cellStyle name="Normal 47 3 6 2" xfId="18870" xr:uid="{00000000-0005-0000-0000-0000FB780000}"/>
    <cellStyle name="Normal 47 3 6 2 2" xfId="18874" xr:uid="{00000000-0005-0000-0000-0000FC780000}"/>
    <cellStyle name="Normal 47 3 6 2 2 2" xfId="27960" xr:uid="{00000000-0005-0000-0000-0000FD780000}"/>
    <cellStyle name="Normal 47 3 6 2 2 2 2" xfId="38744" xr:uid="{00000000-0005-0000-0000-0000FE780000}"/>
    <cellStyle name="Normal 47 3 6 2 2 3" xfId="38746" xr:uid="{00000000-0005-0000-0000-0000FF780000}"/>
    <cellStyle name="Normal 47 3 6 2 3" xfId="7790" xr:uid="{00000000-0005-0000-0000-000000790000}"/>
    <cellStyle name="Normal 47 3 6 2 3 2" xfId="10668" xr:uid="{00000000-0005-0000-0000-000001790000}"/>
    <cellStyle name="Normal 47 3 6 2 4" xfId="16368" xr:uid="{00000000-0005-0000-0000-000002790000}"/>
    <cellStyle name="Normal 47 3 6 3" xfId="18881" xr:uid="{00000000-0005-0000-0000-000003790000}"/>
    <cellStyle name="Normal 47 3 6 3 2" xfId="38748" xr:uid="{00000000-0005-0000-0000-000004790000}"/>
    <cellStyle name="Normal 47 3 6 3 2 2" xfId="38749" xr:uid="{00000000-0005-0000-0000-000005790000}"/>
    <cellStyle name="Normal 47 3 6 3 3" xfId="12740" xr:uid="{00000000-0005-0000-0000-000006790000}"/>
    <cellStyle name="Normal 47 3 6 4" xfId="38750" xr:uid="{00000000-0005-0000-0000-000007790000}"/>
    <cellStyle name="Normal 47 3 6 4 2" xfId="38751" xr:uid="{00000000-0005-0000-0000-000008790000}"/>
    <cellStyle name="Normal 47 3 6 4 2 2" xfId="38752" xr:uid="{00000000-0005-0000-0000-000009790000}"/>
    <cellStyle name="Normal 47 3 6 4 3" xfId="12773" xr:uid="{00000000-0005-0000-0000-00000A790000}"/>
    <cellStyle name="Normal 47 3 6 5" xfId="38753" xr:uid="{00000000-0005-0000-0000-00000B790000}"/>
    <cellStyle name="Normal 47 3 6 5 2" xfId="38754" xr:uid="{00000000-0005-0000-0000-00000C790000}"/>
    <cellStyle name="Normal 47 3 6 6" xfId="38755" xr:uid="{00000000-0005-0000-0000-00000D790000}"/>
    <cellStyle name="Normal 47 3 6 6 2" xfId="38756" xr:uid="{00000000-0005-0000-0000-00000E790000}"/>
    <cellStyle name="Normal 47 3 6 7" xfId="38757" xr:uid="{00000000-0005-0000-0000-00000F790000}"/>
    <cellStyle name="Normal 47 3 6 8" xfId="38758" xr:uid="{00000000-0005-0000-0000-000010790000}"/>
    <cellStyle name="Normal 47 3 7" xfId="18885" xr:uid="{00000000-0005-0000-0000-000011790000}"/>
    <cellStyle name="Normal 47 3 7 2" xfId="18890" xr:uid="{00000000-0005-0000-0000-000012790000}"/>
    <cellStyle name="Normal 47 3 7 2 2" xfId="18896" xr:uid="{00000000-0005-0000-0000-000013790000}"/>
    <cellStyle name="Normal 47 3 7 2 2 2" xfId="28436" xr:uid="{00000000-0005-0000-0000-000014790000}"/>
    <cellStyle name="Normal 47 3 7 2 3" xfId="38759" xr:uid="{00000000-0005-0000-0000-000015790000}"/>
    <cellStyle name="Normal 47 3 7 3" xfId="18901" xr:uid="{00000000-0005-0000-0000-000016790000}"/>
    <cellStyle name="Normal 47 3 7 3 2" xfId="38760" xr:uid="{00000000-0005-0000-0000-000017790000}"/>
    <cellStyle name="Normal 47 3 7 4" xfId="24012" xr:uid="{00000000-0005-0000-0000-000018790000}"/>
    <cellStyle name="Normal 47 3 8" xfId="15178" xr:uid="{00000000-0005-0000-0000-000019790000}"/>
    <cellStyle name="Normal 47 3 8 2" xfId="18904" xr:uid="{00000000-0005-0000-0000-00001A790000}"/>
    <cellStyle name="Normal 47 3 8 2 2" xfId="38761" xr:uid="{00000000-0005-0000-0000-00001B790000}"/>
    <cellStyle name="Normal 47 3 8 3" xfId="38762" xr:uid="{00000000-0005-0000-0000-00001C790000}"/>
    <cellStyle name="Normal 47 3 9" xfId="3827" xr:uid="{00000000-0005-0000-0000-00001D790000}"/>
    <cellStyle name="Normal 47 3 9 2" xfId="18912" xr:uid="{00000000-0005-0000-0000-00001E790000}"/>
    <cellStyle name="Normal 47 3 9 2 2" xfId="38763" xr:uid="{00000000-0005-0000-0000-00001F790000}"/>
    <cellStyle name="Normal 47 3 9 3" xfId="20680" xr:uid="{00000000-0005-0000-0000-000020790000}"/>
    <cellStyle name="Normal 47 4" xfId="30900" xr:uid="{00000000-0005-0000-0000-000021790000}"/>
    <cellStyle name="Normal 47 4 10" xfId="32964" xr:uid="{00000000-0005-0000-0000-000022790000}"/>
    <cellStyle name="Normal 47 4 2" xfId="1548" xr:uid="{00000000-0005-0000-0000-000023790000}"/>
    <cellStyle name="Normal 47 4 2 2" xfId="25064" xr:uid="{00000000-0005-0000-0000-000024790000}"/>
    <cellStyle name="Normal 47 4 2 2 2" xfId="25066" xr:uid="{00000000-0005-0000-0000-000025790000}"/>
    <cellStyle name="Normal 47 4 2 2 2 2" xfId="24558" xr:uid="{00000000-0005-0000-0000-000026790000}"/>
    <cellStyle name="Normal 47 4 2 2 2 2 2" xfId="29157" xr:uid="{00000000-0005-0000-0000-000027790000}"/>
    <cellStyle name="Normal 47 4 2 2 2 2 2 2" xfId="29161" xr:uid="{00000000-0005-0000-0000-000028790000}"/>
    <cellStyle name="Normal 47 4 2 2 2 2 3" xfId="29165" xr:uid="{00000000-0005-0000-0000-000029790000}"/>
    <cellStyle name="Normal 47 4 2 2 2 3" xfId="38764" xr:uid="{00000000-0005-0000-0000-00002A790000}"/>
    <cellStyle name="Normal 47 4 2 2 2 3 2" xfId="29192" xr:uid="{00000000-0005-0000-0000-00002B790000}"/>
    <cellStyle name="Normal 47 4 2 2 2 4" xfId="27170" xr:uid="{00000000-0005-0000-0000-00002C790000}"/>
    <cellStyle name="Normal 47 4 2 2 3" xfId="38765" xr:uid="{00000000-0005-0000-0000-00002D790000}"/>
    <cellStyle name="Normal 47 4 2 2 3 2" xfId="11601" xr:uid="{00000000-0005-0000-0000-00002E790000}"/>
    <cellStyle name="Normal 47 4 2 2 3 2 2" xfId="29243" xr:uid="{00000000-0005-0000-0000-00002F790000}"/>
    <cellStyle name="Normal 47 4 2 2 3 3" xfId="11604" xr:uid="{00000000-0005-0000-0000-000030790000}"/>
    <cellStyle name="Normal 47 4 2 2 4" xfId="38766" xr:uid="{00000000-0005-0000-0000-000031790000}"/>
    <cellStyle name="Normal 47 4 2 2 4 2" xfId="6517" xr:uid="{00000000-0005-0000-0000-000032790000}"/>
    <cellStyle name="Normal 47 4 2 2 4 2 2" xfId="3546" xr:uid="{00000000-0005-0000-0000-000033790000}"/>
    <cellStyle name="Normal 47 4 2 2 4 3" xfId="6521" xr:uid="{00000000-0005-0000-0000-000034790000}"/>
    <cellStyle name="Normal 47 4 2 2 5" xfId="38767" xr:uid="{00000000-0005-0000-0000-000035790000}"/>
    <cellStyle name="Normal 47 4 2 2 5 2" xfId="38768" xr:uid="{00000000-0005-0000-0000-000036790000}"/>
    <cellStyle name="Normal 47 4 2 2 6" xfId="38769" xr:uid="{00000000-0005-0000-0000-000037790000}"/>
    <cellStyle name="Normal 47 4 2 2 6 2" xfId="4182" xr:uid="{00000000-0005-0000-0000-000038790000}"/>
    <cellStyle name="Normal 47 4 2 2 7" xfId="20076" xr:uid="{00000000-0005-0000-0000-000039790000}"/>
    <cellStyle name="Normal 47 4 2 2 8" xfId="19583" xr:uid="{00000000-0005-0000-0000-00003A790000}"/>
    <cellStyle name="Normal 47 4 2 3" xfId="25072" xr:uid="{00000000-0005-0000-0000-00003B790000}"/>
    <cellStyle name="Normal 47 4 2 3 2" xfId="30885" xr:uid="{00000000-0005-0000-0000-00003C790000}"/>
    <cellStyle name="Normal 47 4 2 3 2 2" xfId="24629" xr:uid="{00000000-0005-0000-0000-00003D790000}"/>
    <cellStyle name="Normal 47 4 2 3 2 2 2" xfId="31135" xr:uid="{00000000-0005-0000-0000-00003E790000}"/>
    <cellStyle name="Normal 47 4 2 3 2 3" xfId="38770" xr:uid="{00000000-0005-0000-0000-00003F790000}"/>
    <cellStyle name="Normal 47 4 2 3 3" xfId="38771" xr:uid="{00000000-0005-0000-0000-000040790000}"/>
    <cellStyle name="Normal 47 4 2 3 3 2" xfId="38772" xr:uid="{00000000-0005-0000-0000-000041790000}"/>
    <cellStyle name="Normal 47 4 2 3 4" xfId="38773" xr:uid="{00000000-0005-0000-0000-000042790000}"/>
    <cellStyle name="Normal 47 4 2 4" xfId="38775" xr:uid="{00000000-0005-0000-0000-000043790000}"/>
    <cellStyle name="Normal 47 4 2 4 2" xfId="38776" xr:uid="{00000000-0005-0000-0000-000044790000}"/>
    <cellStyle name="Normal 47 4 2 4 2 2" xfId="38777" xr:uid="{00000000-0005-0000-0000-000045790000}"/>
    <cellStyle name="Normal 47 4 2 4 3" xfId="38778" xr:uid="{00000000-0005-0000-0000-000046790000}"/>
    <cellStyle name="Normal 47 4 2 5" xfId="6578" xr:uid="{00000000-0005-0000-0000-000047790000}"/>
    <cellStyle name="Normal 47 4 2 5 2" xfId="38779" xr:uid="{00000000-0005-0000-0000-000048790000}"/>
    <cellStyle name="Normal 47 4 2 5 2 2" xfId="38780" xr:uid="{00000000-0005-0000-0000-000049790000}"/>
    <cellStyle name="Normal 47 4 2 5 3" xfId="38781" xr:uid="{00000000-0005-0000-0000-00004A790000}"/>
    <cellStyle name="Normal 47 4 2 6" xfId="27602" xr:uid="{00000000-0005-0000-0000-00004B790000}"/>
    <cellStyle name="Normal 47 4 2 6 2" xfId="8257" xr:uid="{00000000-0005-0000-0000-00004C790000}"/>
    <cellStyle name="Normal 47 4 2 7" xfId="27607" xr:uid="{00000000-0005-0000-0000-00004D790000}"/>
    <cellStyle name="Normal 47 4 2 7 2" xfId="27612" xr:uid="{00000000-0005-0000-0000-00004E790000}"/>
    <cellStyle name="Normal 47 4 2 8" xfId="27615" xr:uid="{00000000-0005-0000-0000-00004F790000}"/>
    <cellStyle name="Normal 47 4 2 9" xfId="27620" xr:uid="{00000000-0005-0000-0000-000050790000}"/>
    <cellStyle name="Normal 47 4 3" xfId="18715" xr:uid="{00000000-0005-0000-0000-000051790000}"/>
    <cellStyle name="Normal 47 4 3 2" xfId="25073" xr:uid="{00000000-0005-0000-0000-000052790000}"/>
    <cellStyle name="Normal 47 4 3 2 2" xfId="38782" xr:uid="{00000000-0005-0000-0000-000053790000}"/>
    <cellStyle name="Normal 47 4 3 2 2 2" xfId="24869" xr:uid="{00000000-0005-0000-0000-000054790000}"/>
    <cellStyle name="Normal 47 4 3 2 2 2 2" xfId="38783" xr:uid="{00000000-0005-0000-0000-000055790000}"/>
    <cellStyle name="Normal 47 4 3 2 2 3" xfId="37717" xr:uid="{00000000-0005-0000-0000-000056790000}"/>
    <cellStyle name="Normal 47 4 3 2 3" xfId="38784" xr:uid="{00000000-0005-0000-0000-000057790000}"/>
    <cellStyle name="Normal 47 4 3 2 3 2" xfId="488" xr:uid="{00000000-0005-0000-0000-000058790000}"/>
    <cellStyle name="Normal 47 4 3 2 4" xfId="38785" xr:uid="{00000000-0005-0000-0000-000059790000}"/>
    <cellStyle name="Normal 47 4 3 3" xfId="38787" xr:uid="{00000000-0005-0000-0000-00005A790000}"/>
    <cellStyle name="Normal 47 4 3 3 2" xfId="38788" xr:uid="{00000000-0005-0000-0000-00005B790000}"/>
    <cellStyle name="Normal 47 4 3 3 2 2" xfId="24900" xr:uid="{00000000-0005-0000-0000-00005C790000}"/>
    <cellStyle name="Normal 47 4 3 3 3" xfId="38789" xr:uid="{00000000-0005-0000-0000-00005D790000}"/>
    <cellStyle name="Normal 47 4 3 4" xfId="38790" xr:uid="{00000000-0005-0000-0000-00005E790000}"/>
    <cellStyle name="Normal 47 4 3 4 2" xfId="38791" xr:uid="{00000000-0005-0000-0000-00005F790000}"/>
    <cellStyle name="Normal 47 4 3 4 2 2" xfId="38792" xr:uid="{00000000-0005-0000-0000-000060790000}"/>
    <cellStyle name="Normal 47 4 3 4 3" xfId="38793" xr:uid="{00000000-0005-0000-0000-000061790000}"/>
    <cellStyle name="Normal 47 4 3 5" xfId="38794" xr:uid="{00000000-0005-0000-0000-000062790000}"/>
    <cellStyle name="Normal 47 4 3 5 2" xfId="38795" xr:uid="{00000000-0005-0000-0000-000063790000}"/>
    <cellStyle name="Normal 47 4 3 6" xfId="35905" xr:uid="{00000000-0005-0000-0000-000064790000}"/>
    <cellStyle name="Normal 47 4 3 6 2" xfId="18222" xr:uid="{00000000-0005-0000-0000-000065790000}"/>
    <cellStyle name="Normal 47 4 3 7" xfId="38796" xr:uid="{00000000-0005-0000-0000-000066790000}"/>
    <cellStyle name="Normal 47 4 3 8" xfId="38797" xr:uid="{00000000-0005-0000-0000-000067790000}"/>
    <cellStyle name="Normal 47 4 4" xfId="19960" xr:uid="{00000000-0005-0000-0000-000068790000}"/>
    <cellStyle name="Normal 47 4 4 2" xfId="25078" xr:uid="{00000000-0005-0000-0000-000069790000}"/>
    <cellStyle name="Normal 47 4 4 2 2" xfId="24119" xr:uid="{00000000-0005-0000-0000-00006A790000}"/>
    <cellStyle name="Normal 47 4 4 2 2 2" xfId="1183" xr:uid="{00000000-0005-0000-0000-00006B790000}"/>
    <cellStyle name="Normal 47 4 4 2 3" xfId="26104" xr:uid="{00000000-0005-0000-0000-00006C790000}"/>
    <cellStyle name="Normal 47 4 4 3" xfId="26109" xr:uid="{00000000-0005-0000-0000-00006D790000}"/>
    <cellStyle name="Normal 47 4 4 3 2" xfId="26112" xr:uid="{00000000-0005-0000-0000-00006E790000}"/>
    <cellStyle name="Normal 47 4 4 4" xfId="26119" xr:uid="{00000000-0005-0000-0000-00006F790000}"/>
    <cellStyle name="Normal 47 4 5" xfId="18925" xr:uid="{00000000-0005-0000-0000-000070790000}"/>
    <cellStyle name="Normal 47 4 5 2" xfId="18932" xr:uid="{00000000-0005-0000-0000-000071790000}"/>
    <cellStyle name="Normal 47 4 5 2 2" xfId="18937" xr:uid="{00000000-0005-0000-0000-000072790000}"/>
    <cellStyle name="Normal 47 4 5 3" xfId="18943" xr:uid="{00000000-0005-0000-0000-000073790000}"/>
    <cellStyle name="Normal 47 4 6" xfId="18945" xr:uid="{00000000-0005-0000-0000-000074790000}"/>
    <cellStyle name="Normal 47 4 6 2" xfId="18951" xr:uid="{00000000-0005-0000-0000-000075790000}"/>
    <cellStyle name="Normal 47 4 6 2 2" xfId="19509" xr:uid="{00000000-0005-0000-0000-000076790000}"/>
    <cellStyle name="Normal 47 4 6 3" xfId="38799" xr:uid="{00000000-0005-0000-0000-000077790000}"/>
    <cellStyle name="Normal 47 4 7" xfId="18955" xr:uid="{00000000-0005-0000-0000-000078790000}"/>
    <cellStyle name="Normal 47 4 7 2" xfId="24028" xr:uid="{00000000-0005-0000-0000-000079790000}"/>
    <cellStyle name="Normal 47 4 8" xfId="38800" xr:uid="{00000000-0005-0000-0000-00007A790000}"/>
    <cellStyle name="Normal 47 4 8 2" xfId="38802" xr:uid="{00000000-0005-0000-0000-00007B790000}"/>
    <cellStyle name="Normal 47 4 9" xfId="38803" xr:uid="{00000000-0005-0000-0000-00007C790000}"/>
    <cellStyle name="Normal 47 5" xfId="26113" xr:uid="{00000000-0005-0000-0000-00007D790000}"/>
    <cellStyle name="Normal 47 5 2" xfId="25089" xr:uid="{00000000-0005-0000-0000-00007E790000}"/>
    <cellStyle name="Normal 47 5 2 2" xfId="38804" xr:uid="{00000000-0005-0000-0000-00007F790000}"/>
    <cellStyle name="Normal 47 5 2 2 2" xfId="3473" xr:uid="{00000000-0005-0000-0000-000080790000}"/>
    <cellStyle name="Normal 47 5 2 2 2 2" xfId="25386" xr:uid="{00000000-0005-0000-0000-000081790000}"/>
    <cellStyle name="Normal 47 5 2 2 2 2 2" xfId="22008" xr:uid="{00000000-0005-0000-0000-000082790000}"/>
    <cellStyle name="Normal 47 5 2 2 2 3" xfId="24287" xr:uid="{00000000-0005-0000-0000-000083790000}"/>
    <cellStyle name="Normal 47 5 2 2 3" xfId="38805" xr:uid="{00000000-0005-0000-0000-000084790000}"/>
    <cellStyle name="Normal 47 5 2 2 3 2" xfId="38806" xr:uid="{00000000-0005-0000-0000-000085790000}"/>
    <cellStyle name="Normal 47 5 2 2 4" xfId="38807" xr:uid="{00000000-0005-0000-0000-000086790000}"/>
    <cellStyle name="Normal 47 5 2 2 5" xfId="38808" xr:uid="{00000000-0005-0000-0000-000087790000}"/>
    <cellStyle name="Normal 47 5 2 3" xfId="34524" xr:uid="{00000000-0005-0000-0000-000088790000}"/>
    <cellStyle name="Normal 47 5 2 3 2" xfId="8018" xr:uid="{00000000-0005-0000-0000-000089790000}"/>
    <cellStyle name="Normal 47 5 2 3 2 2" xfId="25412" xr:uid="{00000000-0005-0000-0000-00008A790000}"/>
    <cellStyle name="Normal 47 5 2 3 3" xfId="38809" xr:uid="{00000000-0005-0000-0000-00008B790000}"/>
    <cellStyle name="Normal 47 5 2 4" xfId="34525" xr:uid="{00000000-0005-0000-0000-00008C790000}"/>
    <cellStyle name="Normal 47 5 2 4 2" xfId="38810" xr:uid="{00000000-0005-0000-0000-00008D790000}"/>
    <cellStyle name="Normal 47 5 2 4 2 2" xfId="38811" xr:uid="{00000000-0005-0000-0000-00008E790000}"/>
    <cellStyle name="Normal 47 5 2 4 3" xfId="38812" xr:uid="{00000000-0005-0000-0000-00008F790000}"/>
    <cellStyle name="Normal 47 5 2 5" xfId="38813" xr:uid="{00000000-0005-0000-0000-000090790000}"/>
    <cellStyle name="Normal 47 5 2 5 2" xfId="38814" xr:uid="{00000000-0005-0000-0000-000091790000}"/>
    <cellStyle name="Normal 47 5 2 6" xfId="38815" xr:uid="{00000000-0005-0000-0000-000092790000}"/>
    <cellStyle name="Normal 47 5 2 6 2" xfId="31637" xr:uid="{00000000-0005-0000-0000-000093790000}"/>
    <cellStyle name="Normal 47 5 2 7" xfId="38816" xr:uid="{00000000-0005-0000-0000-000094790000}"/>
    <cellStyle name="Normal 47 5 2 8" xfId="38817" xr:uid="{00000000-0005-0000-0000-000095790000}"/>
    <cellStyle name="Normal 47 5 3" xfId="38089" xr:uid="{00000000-0005-0000-0000-000096790000}"/>
    <cellStyle name="Normal 47 5 3 2" xfId="21681" xr:uid="{00000000-0005-0000-0000-000097790000}"/>
    <cellStyle name="Normal 47 5 3 2 2" xfId="4361" xr:uid="{00000000-0005-0000-0000-000098790000}"/>
    <cellStyle name="Normal 47 5 3 2 2 2" xfId="38818" xr:uid="{00000000-0005-0000-0000-000099790000}"/>
    <cellStyle name="Normal 47 5 3 2 3" xfId="38819" xr:uid="{00000000-0005-0000-0000-00009A790000}"/>
    <cellStyle name="Normal 47 5 3 3" xfId="34531" xr:uid="{00000000-0005-0000-0000-00009B790000}"/>
    <cellStyle name="Normal 47 5 3 3 2" xfId="4560" xr:uid="{00000000-0005-0000-0000-00009C790000}"/>
    <cellStyle name="Normal 47 5 3 4" xfId="38820" xr:uid="{00000000-0005-0000-0000-00009D790000}"/>
    <cellStyle name="Normal 47 5 3 5" xfId="38821" xr:uid="{00000000-0005-0000-0000-00009E790000}"/>
    <cellStyle name="Normal 47 5 4" xfId="38822" xr:uid="{00000000-0005-0000-0000-00009F790000}"/>
    <cellStyle name="Normal 47 5 4 2" xfId="26174" xr:uid="{00000000-0005-0000-0000-0000A0790000}"/>
    <cellStyle name="Normal 47 5 4 2 2" xfId="5126" xr:uid="{00000000-0005-0000-0000-0000A1790000}"/>
    <cellStyle name="Normal 47 5 4 3" xfId="26185" xr:uid="{00000000-0005-0000-0000-0000A2790000}"/>
    <cellStyle name="Normal 47 5 5" xfId="18960" xr:uid="{00000000-0005-0000-0000-0000A3790000}"/>
    <cellStyle name="Normal 47 5 5 2" xfId="18966" xr:uid="{00000000-0005-0000-0000-0000A4790000}"/>
    <cellStyle name="Normal 47 5 5 2 2" xfId="667" xr:uid="{00000000-0005-0000-0000-0000A5790000}"/>
    <cellStyle name="Normal 47 5 5 3" xfId="26210" xr:uid="{00000000-0005-0000-0000-0000A6790000}"/>
    <cellStyle name="Normal 47 5 6" xfId="16058" xr:uid="{00000000-0005-0000-0000-0000A7790000}"/>
    <cellStyle name="Normal 47 5 6 2" xfId="16978" xr:uid="{00000000-0005-0000-0000-0000A8790000}"/>
    <cellStyle name="Normal 47 5 7" xfId="9328" xr:uid="{00000000-0005-0000-0000-0000A9790000}"/>
    <cellStyle name="Normal 47 5 7 2" xfId="9334" xr:uid="{00000000-0005-0000-0000-0000AA790000}"/>
    <cellStyle name="Normal 47 5 8" xfId="9438" xr:uid="{00000000-0005-0000-0000-0000AB790000}"/>
    <cellStyle name="Normal 47 5 9" xfId="9441" xr:uid="{00000000-0005-0000-0000-0000AC790000}"/>
    <cellStyle name="Normal 47 6" xfId="26116" xr:uid="{00000000-0005-0000-0000-0000AD790000}"/>
    <cellStyle name="Normal 47 6 2" xfId="38823" xr:uid="{00000000-0005-0000-0000-0000AE790000}"/>
    <cellStyle name="Normal 47 6 2 2" xfId="38824" xr:uid="{00000000-0005-0000-0000-0000AF790000}"/>
    <cellStyle name="Normal 47 6 2 2 2" xfId="38825" xr:uid="{00000000-0005-0000-0000-0000B0790000}"/>
    <cellStyle name="Normal 47 6 2 2 2 2" xfId="38826" xr:uid="{00000000-0005-0000-0000-0000B1790000}"/>
    <cellStyle name="Normal 47 6 2 2 2 2 2" xfId="38827" xr:uid="{00000000-0005-0000-0000-0000B2790000}"/>
    <cellStyle name="Normal 47 6 2 2 2 3" xfId="22468" xr:uid="{00000000-0005-0000-0000-0000B3790000}"/>
    <cellStyle name="Normal 47 6 2 2 3" xfId="38828" xr:uid="{00000000-0005-0000-0000-0000B4790000}"/>
    <cellStyle name="Normal 47 6 2 2 3 2" xfId="27502" xr:uid="{00000000-0005-0000-0000-0000B5790000}"/>
    <cellStyle name="Normal 47 6 2 2 4" xfId="38829" xr:uid="{00000000-0005-0000-0000-0000B6790000}"/>
    <cellStyle name="Normal 47 6 2 3" xfId="38831" xr:uid="{00000000-0005-0000-0000-0000B7790000}"/>
    <cellStyle name="Normal 47 6 2 3 2" xfId="38832" xr:uid="{00000000-0005-0000-0000-0000B8790000}"/>
    <cellStyle name="Normal 47 6 2 3 2 2" xfId="3869" xr:uid="{00000000-0005-0000-0000-0000B9790000}"/>
    <cellStyle name="Normal 47 6 2 3 3" xfId="38833" xr:uid="{00000000-0005-0000-0000-0000BA790000}"/>
    <cellStyle name="Normal 47 6 2 4" xfId="12872" xr:uid="{00000000-0005-0000-0000-0000BB790000}"/>
    <cellStyle name="Normal 47 6 2 4 2" xfId="38834" xr:uid="{00000000-0005-0000-0000-0000BC790000}"/>
    <cellStyle name="Normal 47 6 2 4 2 2" xfId="5263" xr:uid="{00000000-0005-0000-0000-0000BD790000}"/>
    <cellStyle name="Normal 47 6 2 4 3" xfId="38835" xr:uid="{00000000-0005-0000-0000-0000BE790000}"/>
    <cellStyle name="Normal 47 6 2 5" xfId="38836" xr:uid="{00000000-0005-0000-0000-0000BF790000}"/>
    <cellStyle name="Normal 47 6 2 5 2" xfId="38837" xr:uid="{00000000-0005-0000-0000-0000C0790000}"/>
    <cellStyle name="Normal 47 6 2 6" xfId="38838" xr:uid="{00000000-0005-0000-0000-0000C1790000}"/>
    <cellStyle name="Normal 47 6 2 6 2" xfId="32084" xr:uid="{00000000-0005-0000-0000-0000C2790000}"/>
    <cellStyle name="Normal 47 6 2 7" xfId="38839" xr:uid="{00000000-0005-0000-0000-0000C3790000}"/>
    <cellStyle name="Normal 47 6 2 8" xfId="29211" xr:uid="{00000000-0005-0000-0000-0000C4790000}"/>
    <cellStyle name="Normal 47 6 3" xfId="38840" xr:uid="{00000000-0005-0000-0000-0000C5790000}"/>
    <cellStyle name="Normal 47 6 3 2" xfId="38841" xr:uid="{00000000-0005-0000-0000-0000C6790000}"/>
    <cellStyle name="Normal 47 6 3 2 2" xfId="38843" xr:uid="{00000000-0005-0000-0000-0000C7790000}"/>
    <cellStyle name="Normal 47 6 3 2 2 2" xfId="38844" xr:uid="{00000000-0005-0000-0000-0000C8790000}"/>
    <cellStyle name="Normal 47 6 3 2 3" xfId="38845" xr:uid="{00000000-0005-0000-0000-0000C9790000}"/>
    <cellStyle name="Normal 47 6 3 3" xfId="38846" xr:uid="{00000000-0005-0000-0000-0000CA790000}"/>
    <cellStyle name="Normal 47 6 3 3 2" xfId="38847" xr:uid="{00000000-0005-0000-0000-0000CB790000}"/>
    <cellStyle name="Normal 47 6 3 4" xfId="38848" xr:uid="{00000000-0005-0000-0000-0000CC790000}"/>
    <cellStyle name="Normal 47 6 4" xfId="38849" xr:uid="{00000000-0005-0000-0000-0000CD790000}"/>
    <cellStyle name="Normal 47 6 4 2" xfId="26243" xr:uid="{00000000-0005-0000-0000-0000CE790000}"/>
    <cellStyle name="Normal 47 6 4 2 2" xfId="26246" xr:uid="{00000000-0005-0000-0000-0000CF790000}"/>
    <cellStyle name="Normal 47 6 4 3" xfId="26253" xr:uid="{00000000-0005-0000-0000-0000D0790000}"/>
    <cellStyle name="Normal 47 6 5" xfId="18970" xr:uid="{00000000-0005-0000-0000-0000D1790000}"/>
    <cellStyle name="Normal 47 6 5 2" xfId="18976" xr:uid="{00000000-0005-0000-0000-0000D2790000}"/>
    <cellStyle name="Normal 47 6 5 2 2" xfId="26280" xr:uid="{00000000-0005-0000-0000-0000D3790000}"/>
    <cellStyle name="Normal 47 6 5 3" xfId="26286" xr:uid="{00000000-0005-0000-0000-0000D4790000}"/>
    <cellStyle name="Normal 47 6 6" xfId="16073" xr:uid="{00000000-0005-0000-0000-0000D5790000}"/>
    <cellStyle name="Normal 47 6 6 2" xfId="17012" xr:uid="{00000000-0005-0000-0000-0000D6790000}"/>
    <cellStyle name="Normal 47 6 7" xfId="9468" xr:uid="{00000000-0005-0000-0000-0000D7790000}"/>
    <cellStyle name="Normal 47 6 7 2" xfId="9476" xr:uid="{00000000-0005-0000-0000-0000D8790000}"/>
    <cellStyle name="Normal 47 6 8" xfId="9601" xr:uid="{00000000-0005-0000-0000-0000D9790000}"/>
    <cellStyle name="Normal 47 6 9" xfId="28180" xr:uid="{00000000-0005-0000-0000-0000DA790000}"/>
    <cellStyle name="Normal 47 7" xfId="36301" xr:uid="{00000000-0005-0000-0000-0000DB790000}"/>
    <cellStyle name="Normal 47 7 2" xfId="38850" xr:uid="{00000000-0005-0000-0000-0000DC790000}"/>
    <cellStyle name="Normal 47 7 2 2" xfId="38851" xr:uid="{00000000-0005-0000-0000-0000DD790000}"/>
    <cellStyle name="Normal 47 7 2 2 2" xfId="38852" xr:uid="{00000000-0005-0000-0000-0000DE790000}"/>
    <cellStyle name="Normal 47 7 2 2 2 2" xfId="38853" xr:uid="{00000000-0005-0000-0000-0000DF790000}"/>
    <cellStyle name="Normal 47 7 2 2 2 2 2" xfId="31481" xr:uid="{00000000-0005-0000-0000-0000E0790000}"/>
    <cellStyle name="Normal 47 7 2 2 2 3" xfId="12334" xr:uid="{00000000-0005-0000-0000-0000E1790000}"/>
    <cellStyle name="Normal 47 7 2 2 3" xfId="35452" xr:uid="{00000000-0005-0000-0000-0000E2790000}"/>
    <cellStyle name="Normal 47 7 2 2 3 2" xfId="38854" xr:uid="{00000000-0005-0000-0000-0000E3790000}"/>
    <cellStyle name="Normal 47 7 2 2 4" xfId="38855" xr:uid="{00000000-0005-0000-0000-0000E4790000}"/>
    <cellStyle name="Normal 47 7 2 3" xfId="12565" xr:uid="{00000000-0005-0000-0000-0000E5790000}"/>
    <cellStyle name="Normal 47 7 2 3 2" xfId="38856" xr:uid="{00000000-0005-0000-0000-0000E6790000}"/>
    <cellStyle name="Normal 47 7 2 3 2 2" xfId="38857" xr:uid="{00000000-0005-0000-0000-0000E7790000}"/>
    <cellStyle name="Normal 47 7 2 3 3" xfId="34324" xr:uid="{00000000-0005-0000-0000-0000E8790000}"/>
    <cellStyle name="Normal 47 7 2 4" xfId="12880" xr:uid="{00000000-0005-0000-0000-0000E9790000}"/>
    <cellStyle name="Normal 47 7 2 4 2" xfId="38858" xr:uid="{00000000-0005-0000-0000-0000EA790000}"/>
    <cellStyle name="Normal 47 7 2 4 2 2" xfId="38859" xr:uid="{00000000-0005-0000-0000-0000EB790000}"/>
    <cellStyle name="Normal 47 7 2 4 3" xfId="21361" xr:uid="{00000000-0005-0000-0000-0000EC790000}"/>
    <cellStyle name="Normal 47 7 2 5" xfId="37510" xr:uid="{00000000-0005-0000-0000-0000ED790000}"/>
    <cellStyle name="Normal 47 7 2 5 2" xfId="38860" xr:uid="{00000000-0005-0000-0000-0000EE790000}"/>
    <cellStyle name="Normal 47 7 2 6" xfId="22226" xr:uid="{00000000-0005-0000-0000-0000EF790000}"/>
    <cellStyle name="Normal 47 7 2 6 2" xfId="22229" xr:uid="{00000000-0005-0000-0000-0000F0790000}"/>
    <cellStyle name="Normal 47 7 2 7" xfId="22233" xr:uid="{00000000-0005-0000-0000-0000F1790000}"/>
    <cellStyle name="Normal 47 7 2 8" xfId="29229" xr:uid="{00000000-0005-0000-0000-0000F2790000}"/>
    <cellStyle name="Normal 47 7 3" xfId="38861" xr:uid="{00000000-0005-0000-0000-0000F3790000}"/>
    <cellStyle name="Normal 47 7 3 2" xfId="38862" xr:uid="{00000000-0005-0000-0000-0000F4790000}"/>
    <cellStyle name="Normal 47 7 3 2 2" xfId="19319" xr:uid="{00000000-0005-0000-0000-0000F5790000}"/>
    <cellStyle name="Normal 47 7 3 2 2 2" xfId="6838" xr:uid="{00000000-0005-0000-0000-0000F6790000}"/>
    <cellStyle name="Normal 47 7 3 2 3" xfId="28998" xr:uid="{00000000-0005-0000-0000-0000F7790000}"/>
    <cellStyle name="Normal 47 7 3 3" xfId="38863" xr:uid="{00000000-0005-0000-0000-0000F8790000}"/>
    <cellStyle name="Normal 47 7 3 3 2" xfId="38864" xr:uid="{00000000-0005-0000-0000-0000F9790000}"/>
    <cellStyle name="Normal 47 7 3 4" xfId="15076" xr:uid="{00000000-0005-0000-0000-0000FA790000}"/>
    <cellStyle name="Normal 47 7 4" xfId="38865" xr:uid="{00000000-0005-0000-0000-0000FB790000}"/>
    <cellStyle name="Normal 47 7 4 2" xfId="26307" xr:uid="{00000000-0005-0000-0000-0000FC790000}"/>
    <cellStyle name="Normal 47 7 4 2 2" xfId="26310" xr:uid="{00000000-0005-0000-0000-0000FD790000}"/>
    <cellStyle name="Normal 47 7 4 3" xfId="26313" xr:uid="{00000000-0005-0000-0000-0000FE790000}"/>
    <cellStyle name="Normal 47 7 5" xfId="18980" xr:uid="{00000000-0005-0000-0000-0000FF790000}"/>
    <cellStyle name="Normal 47 7 5 2" xfId="26319" xr:uid="{00000000-0005-0000-0000-0000007A0000}"/>
    <cellStyle name="Normal 47 7 5 2 2" xfId="38867" xr:uid="{00000000-0005-0000-0000-0000017A0000}"/>
    <cellStyle name="Normal 47 7 5 3" xfId="38870" xr:uid="{00000000-0005-0000-0000-0000027A0000}"/>
    <cellStyle name="Normal 47 7 6" xfId="17617" xr:uid="{00000000-0005-0000-0000-0000037A0000}"/>
    <cellStyle name="Normal 47 7 6 2" xfId="10156" xr:uid="{00000000-0005-0000-0000-0000047A0000}"/>
    <cellStyle name="Normal 47 7 7" xfId="9645" xr:uid="{00000000-0005-0000-0000-0000057A0000}"/>
    <cellStyle name="Normal 47 7 7 2" xfId="38872" xr:uid="{00000000-0005-0000-0000-0000067A0000}"/>
    <cellStyle name="Normal 47 7 8" xfId="38873" xr:uid="{00000000-0005-0000-0000-0000077A0000}"/>
    <cellStyle name="Normal 47 7 9" xfId="38874" xr:uid="{00000000-0005-0000-0000-0000087A0000}"/>
    <cellStyle name="Normal 47 8" xfId="37867" xr:uid="{00000000-0005-0000-0000-0000097A0000}"/>
    <cellStyle name="Normal 47 8 2" xfId="38875" xr:uid="{00000000-0005-0000-0000-00000A7A0000}"/>
    <cellStyle name="Normal 47 8 2 2" xfId="38876" xr:uid="{00000000-0005-0000-0000-00000B7A0000}"/>
    <cellStyle name="Normal 47 8 2 2 2" xfId="38878" xr:uid="{00000000-0005-0000-0000-00000C7A0000}"/>
    <cellStyle name="Normal 47 8 2 2 2 2" xfId="38879" xr:uid="{00000000-0005-0000-0000-00000D7A0000}"/>
    <cellStyle name="Normal 47 8 2 2 3" xfId="38881" xr:uid="{00000000-0005-0000-0000-00000E7A0000}"/>
    <cellStyle name="Normal 47 8 2 3" xfId="38882" xr:uid="{00000000-0005-0000-0000-00000F7A0000}"/>
    <cellStyle name="Normal 47 8 2 3 2" xfId="132" xr:uid="{00000000-0005-0000-0000-0000107A0000}"/>
    <cellStyle name="Normal 47 8 2 4" xfId="38883" xr:uid="{00000000-0005-0000-0000-0000117A0000}"/>
    <cellStyle name="Normal 47 8 3" xfId="38884" xr:uid="{00000000-0005-0000-0000-0000127A0000}"/>
    <cellStyle name="Normal 47 8 3 2" xfId="38885" xr:uid="{00000000-0005-0000-0000-0000137A0000}"/>
    <cellStyle name="Normal 47 8 3 2 2" xfId="38887" xr:uid="{00000000-0005-0000-0000-0000147A0000}"/>
    <cellStyle name="Normal 47 8 3 3" xfId="38888" xr:uid="{00000000-0005-0000-0000-0000157A0000}"/>
    <cellStyle name="Normal 47 8 4" xfId="38889" xr:uid="{00000000-0005-0000-0000-0000167A0000}"/>
    <cellStyle name="Normal 47 8 4 2" xfId="26332" xr:uid="{00000000-0005-0000-0000-0000177A0000}"/>
    <cellStyle name="Normal 47 8 4 2 2" xfId="38893" xr:uid="{00000000-0005-0000-0000-0000187A0000}"/>
    <cellStyle name="Normal 47 8 4 3" xfId="38895" xr:uid="{00000000-0005-0000-0000-0000197A0000}"/>
    <cellStyle name="Normal 47 8 5" xfId="18986" xr:uid="{00000000-0005-0000-0000-00001A7A0000}"/>
    <cellStyle name="Normal 47 8 5 2" xfId="38897" xr:uid="{00000000-0005-0000-0000-00001B7A0000}"/>
    <cellStyle name="Normal 47 8 6" xfId="449" xr:uid="{00000000-0005-0000-0000-00001C7A0000}"/>
    <cellStyle name="Normal 47 8 6 2" xfId="38899" xr:uid="{00000000-0005-0000-0000-00001D7A0000}"/>
    <cellStyle name="Normal 47 8 7" xfId="38900" xr:uid="{00000000-0005-0000-0000-00001E7A0000}"/>
    <cellStyle name="Normal 47 8 8" xfId="38901" xr:uid="{00000000-0005-0000-0000-00001F7A0000}"/>
    <cellStyle name="Normal 47 9" xfId="28346" xr:uid="{00000000-0005-0000-0000-0000207A0000}"/>
    <cellStyle name="Normal 47 9 2" xfId="28349" xr:uid="{00000000-0005-0000-0000-0000217A0000}"/>
    <cellStyle name="Normal 47 9 2 2" xfId="5651" xr:uid="{00000000-0005-0000-0000-0000227A0000}"/>
    <cellStyle name="Normal 47 9 2 2 2" xfId="38902" xr:uid="{00000000-0005-0000-0000-0000237A0000}"/>
    <cellStyle name="Normal 47 9 2 3" xfId="5689" xr:uid="{00000000-0005-0000-0000-0000247A0000}"/>
    <cellStyle name="Normal 47 9 3" xfId="38903" xr:uid="{00000000-0005-0000-0000-0000257A0000}"/>
    <cellStyle name="Normal 47 9 3 2" xfId="5827" xr:uid="{00000000-0005-0000-0000-0000267A0000}"/>
    <cellStyle name="Normal 47 9 4" xfId="38904" xr:uid="{00000000-0005-0000-0000-0000277A0000}"/>
    <cellStyle name="Normal 48" xfId="38906" xr:uid="{00000000-0005-0000-0000-0000287A0000}"/>
    <cellStyle name="Normal 48 2" xfId="38908" xr:uid="{00000000-0005-0000-0000-0000297A0000}"/>
    <cellStyle name="Normal 49" xfId="38910" xr:uid="{00000000-0005-0000-0000-00002A7A0000}"/>
    <cellStyle name="Normal 49 10" xfId="23122" xr:uid="{00000000-0005-0000-0000-00002B7A0000}"/>
    <cellStyle name="Normal 49 10 2" xfId="5523" xr:uid="{00000000-0005-0000-0000-00002C7A0000}"/>
    <cellStyle name="Normal 49 11" xfId="23125" xr:uid="{00000000-0005-0000-0000-00002D7A0000}"/>
    <cellStyle name="Normal 49 11 2" xfId="38912" xr:uid="{00000000-0005-0000-0000-00002E7A0000}"/>
    <cellStyle name="Normal 49 12" xfId="34871" xr:uid="{00000000-0005-0000-0000-00002F7A0000}"/>
    <cellStyle name="Normal 49 12 2" xfId="34875" xr:uid="{00000000-0005-0000-0000-0000307A0000}"/>
    <cellStyle name="Normal 49 13" xfId="1405" xr:uid="{00000000-0005-0000-0000-0000317A0000}"/>
    <cellStyle name="Normal 49 14" xfId="38914" xr:uid="{00000000-0005-0000-0000-0000327A0000}"/>
    <cellStyle name="Normal 49 2" xfId="38916" xr:uid="{00000000-0005-0000-0000-0000337A0000}"/>
    <cellStyle name="Normal 49 2 10" xfId="13258" xr:uid="{00000000-0005-0000-0000-0000347A0000}"/>
    <cellStyle name="Normal 49 2 2" xfId="38918" xr:uid="{00000000-0005-0000-0000-0000357A0000}"/>
    <cellStyle name="Normal 49 2 2 2" xfId="38920" xr:uid="{00000000-0005-0000-0000-0000367A0000}"/>
    <cellStyle name="Normal 49 2 2 2 2" xfId="32788" xr:uid="{00000000-0005-0000-0000-0000377A0000}"/>
    <cellStyle name="Normal 49 2 2 2 2 2" xfId="38922" xr:uid="{00000000-0005-0000-0000-0000387A0000}"/>
    <cellStyle name="Normal 49 2 2 2 2 2 2" xfId="38924" xr:uid="{00000000-0005-0000-0000-0000397A0000}"/>
    <cellStyle name="Normal 49 2 2 2 2 2 2 2" xfId="38926" xr:uid="{00000000-0005-0000-0000-00003A7A0000}"/>
    <cellStyle name="Normal 49 2 2 2 2 2 3" xfId="19708" xr:uid="{00000000-0005-0000-0000-00003B7A0000}"/>
    <cellStyle name="Normal 49 2 2 2 2 3" xfId="38928" xr:uid="{00000000-0005-0000-0000-00003C7A0000}"/>
    <cellStyle name="Normal 49 2 2 2 2 3 2" xfId="38930" xr:uid="{00000000-0005-0000-0000-00003D7A0000}"/>
    <cellStyle name="Normal 49 2 2 2 2 4" xfId="38932" xr:uid="{00000000-0005-0000-0000-00003E7A0000}"/>
    <cellStyle name="Normal 49 2 2 2 3" xfId="32792" xr:uid="{00000000-0005-0000-0000-00003F7A0000}"/>
    <cellStyle name="Normal 49 2 2 2 3 2" xfId="17567" xr:uid="{00000000-0005-0000-0000-0000407A0000}"/>
    <cellStyle name="Normal 49 2 2 2 3 2 2" xfId="17571" xr:uid="{00000000-0005-0000-0000-0000417A0000}"/>
    <cellStyle name="Normal 49 2 2 2 3 3" xfId="17574" xr:uid="{00000000-0005-0000-0000-0000427A0000}"/>
    <cellStyle name="Normal 49 2 2 2 4" xfId="33705" xr:uid="{00000000-0005-0000-0000-0000437A0000}"/>
    <cellStyle name="Normal 49 2 2 2 4 2" xfId="17597" xr:uid="{00000000-0005-0000-0000-0000447A0000}"/>
    <cellStyle name="Normal 49 2 2 2 4 2 2" xfId="38934" xr:uid="{00000000-0005-0000-0000-0000457A0000}"/>
    <cellStyle name="Normal 49 2 2 2 4 3" xfId="24978" xr:uid="{00000000-0005-0000-0000-0000467A0000}"/>
    <cellStyle name="Normal 49 2 2 2 5" xfId="38936" xr:uid="{00000000-0005-0000-0000-0000477A0000}"/>
    <cellStyle name="Normal 49 2 2 2 5 2" xfId="17602" xr:uid="{00000000-0005-0000-0000-0000487A0000}"/>
    <cellStyle name="Normal 49 2 2 2 6" xfId="38938" xr:uid="{00000000-0005-0000-0000-0000497A0000}"/>
    <cellStyle name="Normal 49 2 2 2 6 2" xfId="38940" xr:uid="{00000000-0005-0000-0000-00004A7A0000}"/>
    <cellStyle name="Normal 49 2 2 2 7" xfId="38942" xr:uid="{00000000-0005-0000-0000-00004B7A0000}"/>
    <cellStyle name="Normal 49 2 2 2 8" xfId="38944" xr:uid="{00000000-0005-0000-0000-00004C7A0000}"/>
    <cellStyle name="Normal 49 2 2 3" xfId="14209" xr:uid="{00000000-0005-0000-0000-00004D7A0000}"/>
    <cellStyle name="Normal 49 2 2 3 2" xfId="9464" xr:uid="{00000000-0005-0000-0000-00004E7A0000}"/>
    <cellStyle name="Normal 49 2 2 3 2 2" xfId="9472" xr:uid="{00000000-0005-0000-0000-00004F7A0000}"/>
    <cellStyle name="Normal 49 2 2 3 2 2 2" xfId="9484" xr:uid="{00000000-0005-0000-0000-0000507A0000}"/>
    <cellStyle name="Normal 49 2 2 3 2 3" xfId="9604" xr:uid="{00000000-0005-0000-0000-0000517A0000}"/>
    <cellStyle name="Normal 49 2 2 3 3" xfId="9640" xr:uid="{00000000-0005-0000-0000-0000527A0000}"/>
    <cellStyle name="Normal 49 2 2 3 3 2" xfId="9650" xr:uid="{00000000-0005-0000-0000-0000537A0000}"/>
    <cellStyle name="Normal 49 2 2 3 4" xfId="9780" xr:uid="{00000000-0005-0000-0000-0000547A0000}"/>
    <cellStyle name="Normal 49 2 2 4" xfId="9879" xr:uid="{00000000-0005-0000-0000-0000557A0000}"/>
    <cellStyle name="Normal 49 2 2 4 2" xfId="9883" xr:uid="{00000000-0005-0000-0000-0000567A0000}"/>
    <cellStyle name="Normal 49 2 2 4 2 2" xfId="9961" xr:uid="{00000000-0005-0000-0000-0000577A0000}"/>
    <cellStyle name="Normal 49 2 2 4 3" xfId="5798" xr:uid="{00000000-0005-0000-0000-0000587A0000}"/>
    <cellStyle name="Normal 49 2 2 5" xfId="9889" xr:uid="{00000000-0005-0000-0000-0000597A0000}"/>
    <cellStyle name="Normal 49 2 2 5 2" xfId="10024" xr:uid="{00000000-0005-0000-0000-00005A7A0000}"/>
    <cellStyle name="Normal 49 2 2 5 2 2" xfId="10027" xr:uid="{00000000-0005-0000-0000-00005B7A0000}"/>
    <cellStyle name="Normal 49 2 2 5 3" xfId="3753" xr:uid="{00000000-0005-0000-0000-00005C7A0000}"/>
    <cellStyle name="Normal 49 2 2 6" xfId="14213" xr:uid="{00000000-0005-0000-0000-00005D7A0000}"/>
    <cellStyle name="Normal 49 2 2 6 2" xfId="10083" xr:uid="{00000000-0005-0000-0000-00005E7A0000}"/>
    <cellStyle name="Normal 49 2 2 7" xfId="10434" xr:uid="{00000000-0005-0000-0000-00005F7A0000}"/>
    <cellStyle name="Normal 49 2 2 7 2" xfId="10441" xr:uid="{00000000-0005-0000-0000-0000607A0000}"/>
    <cellStyle name="Normal 49 2 2 8" xfId="487" xr:uid="{00000000-0005-0000-0000-0000617A0000}"/>
    <cellStyle name="Normal 49 2 2 9" xfId="580" xr:uid="{00000000-0005-0000-0000-0000627A0000}"/>
    <cellStyle name="Normal 49 2 3" xfId="24992" xr:uid="{00000000-0005-0000-0000-0000637A0000}"/>
    <cellStyle name="Normal 49 2 3 2" xfId="38946" xr:uid="{00000000-0005-0000-0000-0000647A0000}"/>
    <cellStyle name="Normal 49 2 3 2 2" xfId="38948" xr:uid="{00000000-0005-0000-0000-0000657A0000}"/>
    <cellStyle name="Normal 49 2 3 2 2 2" xfId="38950" xr:uid="{00000000-0005-0000-0000-0000667A0000}"/>
    <cellStyle name="Normal 49 2 3 2 2 2 2" xfId="38952" xr:uid="{00000000-0005-0000-0000-0000677A0000}"/>
    <cellStyle name="Normal 49 2 3 2 2 3" xfId="38954" xr:uid="{00000000-0005-0000-0000-0000687A0000}"/>
    <cellStyle name="Normal 49 2 3 2 3" xfId="38956" xr:uid="{00000000-0005-0000-0000-0000697A0000}"/>
    <cellStyle name="Normal 49 2 3 2 3 2" xfId="15304" xr:uid="{00000000-0005-0000-0000-00006A7A0000}"/>
    <cellStyle name="Normal 49 2 3 2 4" xfId="33710" xr:uid="{00000000-0005-0000-0000-00006B7A0000}"/>
    <cellStyle name="Normal 49 2 3 3" xfId="14219" xr:uid="{00000000-0005-0000-0000-00006C7A0000}"/>
    <cellStyle name="Normal 49 2 3 3 2" xfId="10348" xr:uid="{00000000-0005-0000-0000-00006D7A0000}"/>
    <cellStyle name="Normal 49 2 3 3 2 2" xfId="10352" xr:uid="{00000000-0005-0000-0000-00006E7A0000}"/>
    <cellStyle name="Normal 49 2 3 3 3" xfId="10422" xr:uid="{00000000-0005-0000-0000-00006F7A0000}"/>
    <cellStyle name="Normal 49 2 3 4" xfId="14224" xr:uid="{00000000-0005-0000-0000-0000707A0000}"/>
    <cellStyle name="Normal 49 2 3 4 2" xfId="10649" xr:uid="{00000000-0005-0000-0000-0000717A0000}"/>
    <cellStyle name="Normal 49 2 3 4 2 2" xfId="10652" xr:uid="{00000000-0005-0000-0000-0000727A0000}"/>
    <cellStyle name="Normal 49 2 3 4 3" xfId="7362" xr:uid="{00000000-0005-0000-0000-0000737A0000}"/>
    <cellStyle name="Normal 49 2 3 5" xfId="38958" xr:uid="{00000000-0005-0000-0000-0000747A0000}"/>
    <cellStyle name="Normal 49 2 3 5 2" xfId="10681" xr:uid="{00000000-0005-0000-0000-0000757A0000}"/>
    <cellStyle name="Normal 49 2 3 6" xfId="5995" xr:uid="{00000000-0005-0000-0000-0000767A0000}"/>
    <cellStyle name="Normal 49 2 3 6 2" xfId="5699" xr:uid="{00000000-0005-0000-0000-0000777A0000}"/>
    <cellStyle name="Normal 49 2 3 7" xfId="10452" xr:uid="{00000000-0005-0000-0000-0000787A0000}"/>
    <cellStyle name="Normal 49 2 3 8" xfId="2260" xr:uid="{00000000-0005-0000-0000-0000797A0000}"/>
    <cellStyle name="Normal 49 2 4" xfId="38960" xr:uid="{00000000-0005-0000-0000-00007A7A0000}"/>
    <cellStyle name="Normal 49 2 4 2" xfId="38962" xr:uid="{00000000-0005-0000-0000-00007B7A0000}"/>
    <cellStyle name="Normal 49 2 4 2 2" xfId="38964" xr:uid="{00000000-0005-0000-0000-00007C7A0000}"/>
    <cellStyle name="Normal 49 2 4 2 2 2" xfId="20399" xr:uid="{00000000-0005-0000-0000-00007D7A0000}"/>
    <cellStyle name="Normal 49 2 4 2 3" xfId="38966" xr:uid="{00000000-0005-0000-0000-00007E7A0000}"/>
    <cellStyle name="Normal 49 2 4 3" xfId="14231" xr:uid="{00000000-0005-0000-0000-00007F7A0000}"/>
    <cellStyle name="Normal 49 2 4 3 2" xfId="9587" xr:uid="{00000000-0005-0000-0000-0000807A0000}"/>
    <cellStyle name="Normal 49 2 4 4" xfId="14234" xr:uid="{00000000-0005-0000-0000-0000817A0000}"/>
    <cellStyle name="Normal 49 2 5" xfId="20569" xr:uid="{00000000-0005-0000-0000-0000827A0000}"/>
    <cellStyle name="Normal 49 2 5 2" xfId="20572" xr:uid="{00000000-0005-0000-0000-0000837A0000}"/>
    <cellStyle name="Normal 49 2 5 2 2" xfId="20575" xr:uid="{00000000-0005-0000-0000-0000847A0000}"/>
    <cellStyle name="Normal 49 2 5 3" xfId="14237" xr:uid="{00000000-0005-0000-0000-0000857A0000}"/>
    <cellStyle name="Normal 49 2 6" xfId="20582" xr:uid="{00000000-0005-0000-0000-0000867A0000}"/>
    <cellStyle name="Normal 49 2 6 2" xfId="20585" xr:uid="{00000000-0005-0000-0000-0000877A0000}"/>
    <cellStyle name="Normal 49 2 6 2 2" xfId="20588" xr:uid="{00000000-0005-0000-0000-0000887A0000}"/>
    <cellStyle name="Normal 49 2 6 3" xfId="14242" xr:uid="{00000000-0005-0000-0000-0000897A0000}"/>
    <cellStyle name="Normal 49 2 7" xfId="20592" xr:uid="{00000000-0005-0000-0000-00008A7A0000}"/>
    <cellStyle name="Normal 49 2 7 2" xfId="5979" xr:uid="{00000000-0005-0000-0000-00008B7A0000}"/>
    <cellStyle name="Normal 49 2 8" xfId="19313" xr:uid="{00000000-0005-0000-0000-00008C7A0000}"/>
    <cellStyle name="Normal 49 2 8 2" xfId="20600" xr:uid="{00000000-0005-0000-0000-00008D7A0000}"/>
    <cellStyle name="Normal 49 2 9" xfId="6450" xr:uid="{00000000-0005-0000-0000-00008E7A0000}"/>
    <cellStyle name="Normal 49 3" xfId="38968" xr:uid="{00000000-0005-0000-0000-00008F7A0000}"/>
    <cellStyle name="Normal 49 3 2" xfId="38970" xr:uid="{00000000-0005-0000-0000-0000907A0000}"/>
    <cellStyle name="Normal 49 3 2 2" xfId="38972" xr:uid="{00000000-0005-0000-0000-0000917A0000}"/>
    <cellStyle name="Normal 49 3 2 2 2" xfId="34482" xr:uid="{00000000-0005-0000-0000-0000927A0000}"/>
    <cellStyle name="Normal 49 3 2 2 2 2" xfId="38389" xr:uid="{00000000-0005-0000-0000-0000937A0000}"/>
    <cellStyle name="Normal 49 3 2 2 2 2 2" xfId="19614" xr:uid="{00000000-0005-0000-0000-0000947A0000}"/>
    <cellStyle name="Normal 49 3 2 2 2 3" xfId="38974" xr:uid="{00000000-0005-0000-0000-0000957A0000}"/>
    <cellStyle name="Normal 49 3 2 2 3" xfId="34485" xr:uid="{00000000-0005-0000-0000-0000967A0000}"/>
    <cellStyle name="Normal 49 3 2 2 3 2" xfId="17878" xr:uid="{00000000-0005-0000-0000-0000977A0000}"/>
    <cellStyle name="Normal 49 3 2 2 4" xfId="38976" xr:uid="{00000000-0005-0000-0000-0000987A0000}"/>
    <cellStyle name="Normal 49 3 2 2 5" xfId="3347" xr:uid="{00000000-0005-0000-0000-0000997A0000}"/>
    <cellStyle name="Normal 49 3 2 3" xfId="14264" xr:uid="{00000000-0005-0000-0000-00009A7A0000}"/>
    <cellStyle name="Normal 49 3 2 3 2" xfId="14269" xr:uid="{00000000-0005-0000-0000-00009B7A0000}"/>
    <cellStyle name="Normal 49 3 2 3 2 2" xfId="38441" xr:uid="{00000000-0005-0000-0000-00009C7A0000}"/>
    <cellStyle name="Normal 49 3 2 3 3" xfId="38978" xr:uid="{00000000-0005-0000-0000-00009D7A0000}"/>
    <cellStyle name="Normal 49 3 2 4" xfId="14275" xr:uid="{00000000-0005-0000-0000-00009E7A0000}"/>
    <cellStyle name="Normal 49 3 2 4 2" xfId="38980" xr:uid="{00000000-0005-0000-0000-00009F7A0000}"/>
    <cellStyle name="Normal 49 3 2 4 2 2" xfId="38984" xr:uid="{00000000-0005-0000-0000-0000A07A0000}"/>
    <cellStyle name="Normal 49 3 2 4 3" xfId="38986" xr:uid="{00000000-0005-0000-0000-0000A17A0000}"/>
    <cellStyle name="Normal 49 3 2 5" xfId="38988" xr:uid="{00000000-0005-0000-0000-0000A27A0000}"/>
    <cellStyle name="Normal 49 3 2 5 2" xfId="38990" xr:uid="{00000000-0005-0000-0000-0000A37A0000}"/>
    <cellStyle name="Normal 49 3 2 6" xfId="24907" xr:uid="{00000000-0005-0000-0000-0000A47A0000}"/>
    <cellStyle name="Normal 49 3 2 6 2" xfId="24910" xr:uid="{00000000-0005-0000-0000-0000A57A0000}"/>
    <cellStyle name="Normal 49 3 2 7" xfId="10466" xr:uid="{00000000-0005-0000-0000-0000A67A0000}"/>
    <cellStyle name="Normal 49 3 2 8" xfId="514" xr:uid="{00000000-0005-0000-0000-0000A77A0000}"/>
    <cellStyle name="Normal 49 3 3" xfId="35197" xr:uid="{00000000-0005-0000-0000-0000A87A0000}"/>
    <cellStyle name="Normal 49 3 3 2" xfId="35201" xr:uid="{00000000-0005-0000-0000-0000A97A0000}"/>
    <cellStyle name="Normal 49 3 3 2 2" xfId="35205" xr:uid="{00000000-0005-0000-0000-0000AA7A0000}"/>
    <cellStyle name="Normal 49 3 3 2 2 2" xfId="26287" xr:uid="{00000000-0005-0000-0000-0000AB7A0000}"/>
    <cellStyle name="Normal 49 3 3 2 3" xfId="35209" xr:uid="{00000000-0005-0000-0000-0000AC7A0000}"/>
    <cellStyle name="Normal 49 3 3 3" xfId="14285" xr:uid="{00000000-0005-0000-0000-0000AD7A0000}"/>
    <cellStyle name="Normal 49 3 3 3 2" xfId="33541" xr:uid="{00000000-0005-0000-0000-0000AE7A0000}"/>
    <cellStyle name="Normal 49 3 3 4" xfId="33547" xr:uid="{00000000-0005-0000-0000-0000AF7A0000}"/>
    <cellStyle name="Normal 49 3 3 5" xfId="38992" xr:uid="{00000000-0005-0000-0000-0000B07A0000}"/>
    <cellStyle name="Normal 49 3 4" xfId="236" xr:uid="{00000000-0005-0000-0000-0000B17A0000}"/>
    <cellStyle name="Normal 49 3 4 2" xfId="35213" xr:uid="{00000000-0005-0000-0000-0000B27A0000}"/>
    <cellStyle name="Normal 49 3 4 2 2" xfId="35217" xr:uid="{00000000-0005-0000-0000-0000B37A0000}"/>
    <cellStyle name="Normal 49 3 4 3" xfId="30461" xr:uid="{00000000-0005-0000-0000-0000B47A0000}"/>
    <cellStyle name="Normal 49 3 5" xfId="13793" xr:uid="{00000000-0005-0000-0000-0000B57A0000}"/>
    <cellStyle name="Normal 49 3 5 2" xfId="13851" xr:uid="{00000000-0005-0000-0000-0000B67A0000}"/>
    <cellStyle name="Normal 49 3 5 2 2" xfId="13906" xr:uid="{00000000-0005-0000-0000-0000B77A0000}"/>
    <cellStyle name="Normal 49 3 5 3" xfId="16199" xr:uid="{00000000-0005-0000-0000-0000B87A0000}"/>
    <cellStyle name="Normal 49 3 6" xfId="16884" xr:uid="{00000000-0005-0000-0000-0000B97A0000}"/>
    <cellStyle name="Normal 49 3 6 2" xfId="11692" xr:uid="{00000000-0005-0000-0000-0000BA7A0000}"/>
    <cellStyle name="Normal 49 3 7" xfId="10340" xr:uid="{00000000-0005-0000-0000-0000BB7A0000}"/>
    <cellStyle name="Normal 49 3 7 2" xfId="11749" xr:uid="{00000000-0005-0000-0000-0000BC7A0000}"/>
    <cellStyle name="Normal 49 3 8" xfId="19108" xr:uid="{00000000-0005-0000-0000-0000BD7A0000}"/>
    <cellStyle name="Normal 49 3 9" xfId="6478" xr:uid="{00000000-0005-0000-0000-0000BE7A0000}"/>
    <cellStyle name="Normal 49 4" xfId="38994" xr:uid="{00000000-0005-0000-0000-0000BF7A0000}"/>
    <cellStyle name="Normal 49 4 2" xfId="38996" xr:uid="{00000000-0005-0000-0000-0000C07A0000}"/>
    <cellStyle name="Normal 49 4 2 2" xfId="16943" xr:uid="{00000000-0005-0000-0000-0000C17A0000}"/>
    <cellStyle name="Normal 49 4 2 2 2" xfId="35947" xr:uid="{00000000-0005-0000-0000-0000C27A0000}"/>
    <cellStyle name="Normal 49 4 2 2 2 2" xfId="26715" xr:uid="{00000000-0005-0000-0000-0000C37A0000}"/>
    <cellStyle name="Normal 49 4 2 2 2 2 2" xfId="20088" xr:uid="{00000000-0005-0000-0000-0000C47A0000}"/>
    <cellStyle name="Normal 49 4 2 2 2 3" xfId="37249" xr:uid="{00000000-0005-0000-0000-0000C57A0000}"/>
    <cellStyle name="Normal 49 4 2 2 3" xfId="35950" xr:uid="{00000000-0005-0000-0000-0000C67A0000}"/>
    <cellStyle name="Normal 49 4 2 2 3 2" xfId="38998" xr:uid="{00000000-0005-0000-0000-0000C77A0000}"/>
    <cellStyle name="Normal 49 4 2 2 4" xfId="39000" xr:uid="{00000000-0005-0000-0000-0000C87A0000}"/>
    <cellStyle name="Normal 49 4 2 3" xfId="14315" xr:uid="{00000000-0005-0000-0000-0000C97A0000}"/>
    <cellStyle name="Normal 49 4 2 3 2" xfId="39002" xr:uid="{00000000-0005-0000-0000-0000CA7A0000}"/>
    <cellStyle name="Normal 49 4 2 3 2 2" xfId="38641" xr:uid="{00000000-0005-0000-0000-0000CB7A0000}"/>
    <cellStyle name="Normal 49 4 2 3 3" xfId="39004" xr:uid="{00000000-0005-0000-0000-0000CC7A0000}"/>
    <cellStyle name="Normal 49 4 2 4" xfId="39006" xr:uid="{00000000-0005-0000-0000-0000CD7A0000}"/>
    <cellStyle name="Normal 49 4 2 4 2" xfId="39008" xr:uid="{00000000-0005-0000-0000-0000CE7A0000}"/>
    <cellStyle name="Normal 49 4 2 4 2 2" xfId="39010" xr:uid="{00000000-0005-0000-0000-0000CF7A0000}"/>
    <cellStyle name="Normal 49 4 2 4 3" xfId="39012" xr:uid="{00000000-0005-0000-0000-0000D07A0000}"/>
    <cellStyle name="Normal 49 4 2 5" xfId="39014" xr:uid="{00000000-0005-0000-0000-0000D17A0000}"/>
    <cellStyle name="Normal 49 4 2 5 2" xfId="39016" xr:uid="{00000000-0005-0000-0000-0000D27A0000}"/>
    <cellStyle name="Normal 49 4 2 6" xfId="24942" xr:uid="{00000000-0005-0000-0000-0000D37A0000}"/>
    <cellStyle name="Normal 49 4 2 6 2" xfId="12840" xr:uid="{00000000-0005-0000-0000-0000D47A0000}"/>
    <cellStyle name="Normal 49 4 2 7" xfId="7762" xr:uid="{00000000-0005-0000-0000-0000D57A0000}"/>
    <cellStyle name="Normal 49 4 2 8" xfId="3146" xr:uid="{00000000-0005-0000-0000-0000D67A0000}"/>
    <cellStyle name="Normal 49 4 3" xfId="35227" xr:uid="{00000000-0005-0000-0000-0000D77A0000}"/>
    <cellStyle name="Normal 49 4 3 2" xfId="35229" xr:uid="{00000000-0005-0000-0000-0000D87A0000}"/>
    <cellStyle name="Normal 49 4 3 2 2" xfId="31828" xr:uid="{00000000-0005-0000-0000-0000D97A0000}"/>
    <cellStyle name="Normal 49 4 3 2 2 2" xfId="26954" xr:uid="{00000000-0005-0000-0000-0000DA7A0000}"/>
    <cellStyle name="Normal 49 4 3 2 3" xfId="39018" xr:uid="{00000000-0005-0000-0000-0000DB7A0000}"/>
    <cellStyle name="Normal 49 4 3 3" xfId="35233" xr:uid="{00000000-0005-0000-0000-0000DC7A0000}"/>
    <cellStyle name="Normal 49 4 3 3 2" xfId="39020" xr:uid="{00000000-0005-0000-0000-0000DD7A0000}"/>
    <cellStyle name="Normal 49 4 3 4" xfId="39024" xr:uid="{00000000-0005-0000-0000-0000DE7A0000}"/>
    <cellStyle name="Normal 49 4 4" xfId="35237" xr:uid="{00000000-0005-0000-0000-0000DF7A0000}"/>
    <cellStyle name="Normal 49 4 4 2" xfId="19826" xr:uid="{00000000-0005-0000-0000-0000E07A0000}"/>
    <cellStyle name="Normal 49 4 4 2 2" xfId="19831" xr:uid="{00000000-0005-0000-0000-0000E17A0000}"/>
    <cellStyle name="Normal 49 4 4 3" xfId="23214" xr:uid="{00000000-0005-0000-0000-0000E27A0000}"/>
    <cellStyle name="Normal 49 4 5" xfId="16104" xr:uid="{00000000-0005-0000-0000-0000E37A0000}"/>
    <cellStyle name="Normal 49 4 5 2" xfId="17501" xr:uid="{00000000-0005-0000-0000-0000E47A0000}"/>
    <cellStyle name="Normal 49 4 5 2 2" xfId="1787" xr:uid="{00000000-0005-0000-0000-0000E57A0000}"/>
    <cellStyle name="Normal 49 4 5 3" xfId="17651" xr:uid="{00000000-0005-0000-0000-0000E67A0000}"/>
    <cellStyle name="Normal 49 4 6" xfId="17849" xr:uid="{00000000-0005-0000-0000-0000E77A0000}"/>
    <cellStyle name="Normal 49 4 6 2" xfId="11824" xr:uid="{00000000-0005-0000-0000-0000E87A0000}"/>
    <cellStyle name="Normal 49 4 7" xfId="9982" xr:uid="{00000000-0005-0000-0000-0000E97A0000}"/>
    <cellStyle name="Normal 49 4 7 2" xfId="9992" xr:uid="{00000000-0005-0000-0000-0000EA7A0000}"/>
    <cellStyle name="Normal 49 4 8" xfId="10000" xr:uid="{00000000-0005-0000-0000-0000EB7A0000}"/>
    <cellStyle name="Normal 49 4 9" xfId="6494" xr:uid="{00000000-0005-0000-0000-0000EC7A0000}"/>
    <cellStyle name="Normal 49 5" xfId="26127" xr:uid="{00000000-0005-0000-0000-0000ED7A0000}"/>
    <cellStyle name="Normal 49 5 2" xfId="39027" xr:uid="{00000000-0005-0000-0000-0000EE7A0000}"/>
    <cellStyle name="Normal 49 5 2 2" xfId="39029" xr:uid="{00000000-0005-0000-0000-0000EF7A0000}"/>
    <cellStyle name="Normal 49 5 2 2 2" xfId="39031" xr:uid="{00000000-0005-0000-0000-0000F07A0000}"/>
    <cellStyle name="Normal 49 5 2 2 2 2" xfId="27916" xr:uid="{00000000-0005-0000-0000-0000F17A0000}"/>
    <cellStyle name="Normal 49 5 2 2 2 2 2" xfId="39033" xr:uid="{00000000-0005-0000-0000-0000F27A0000}"/>
    <cellStyle name="Normal 49 5 2 2 2 3" xfId="39035" xr:uid="{00000000-0005-0000-0000-0000F37A0000}"/>
    <cellStyle name="Normal 49 5 2 2 3" xfId="39038" xr:uid="{00000000-0005-0000-0000-0000F47A0000}"/>
    <cellStyle name="Normal 49 5 2 2 3 2" xfId="39040" xr:uid="{00000000-0005-0000-0000-0000F57A0000}"/>
    <cellStyle name="Normal 49 5 2 2 4" xfId="11282" xr:uid="{00000000-0005-0000-0000-0000F67A0000}"/>
    <cellStyle name="Normal 49 5 2 3" xfId="14331" xr:uid="{00000000-0005-0000-0000-0000F77A0000}"/>
    <cellStyle name="Normal 49 5 2 3 2" xfId="34658" xr:uid="{00000000-0005-0000-0000-0000F87A0000}"/>
    <cellStyle name="Normal 49 5 2 3 2 2" xfId="38747" xr:uid="{00000000-0005-0000-0000-0000F97A0000}"/>
    <cellStyle name="Normal 49 5 2 3 3" xfId="39042" xr:uid="{00000000-0005-0000-0000-0000FA7A0000}"/>
    <cellStyle name="Normal 49 5 2 4" xfId="34662" xr:uid="{00000000-0005-0000-0000-0000FB7A0000}"/>
    <cellStyle name="Normal 49 5 2 4 2" xfId="39044" xr:uid="{00000000-0005-0000-0000-0000FC7A0000}"/>
    <cellStyle name="Normal 49 5 2 4 2 2" xfId="39046" xr:uid="{00000000-0005-0000-0000-0000FD7A0000}"/>
    <cellStyle name="Normal 49 5 2 4 3" xfId="39048" xr:uid="{00000000-0005-0000-0000-0000FE7A0000}"/>
    <cellStyle name="Normal 49 5 2 5" xfId="39050" xr:uid="{00000000-0005-0000-0000-0000FF7A0000}"/>
    <cellStyle name="Normal 49 5 2 5 2" xfId="15201" xr:uid="{00000000-0005-0000-0000-0000007B0000}"/>
    <cellStyle name="Normal 49 5 2 6" xfId="39052" xr:uid="{00000000-0005-0000-0000-0000017B0000}"/>
    <cellStyle name="Normal 49 5 2 6 2" xfId="13323" xr:uid="{00000000-0005-0000-0000-0000027B0000}"/>
    <cellStyle name="Normal 49 5 2 7" xfId="7927" xr:uid="{00000000-0005-0000-0000-0000037B0000}"/>
    <cellStyle name="Normal 49 5 2 8" xfId="39054" xr:uid="{00000000-0005-0000-0000-0000047B0000}"/>
    <cellStyle name="Normal 49 5 3" xfId="35244" xr:uid="{00000000-0005-0000-0000-0000057B0000}"/>
    <cellStyle name="Normal 49 5 3 2" xfId="35248" xr:uid="{00000000-0005-0000-0000-0000067B0000}"/>
    <cellStyle name="Normal 49 5 3 2 2" xfId="39056" xr:uid="{00000000-0005-0000-0000-0000077B0000}"/>
    <cellStyle name="Normal 49 5 3 2 2 2" xfId="28384" xr:uid="{00000000-0005-0000-0000-0000087B0000}"/>
    <cellStyle name="Normal 49 5 3 2 3" xfId="39058" xr:uid="{00000000-0005-0000-0000-0000097B0000}"/>
    <cellStyle name="Normal 49 5 3 3" xfId="34665" xr:uid="{00000000-0005-0000-0000-00000A7B0000}"/>
    <cellStyle name="Normal 49 5 3 3 2" xfId="39060" xr:uid="{00000000-0005-0000-0000-00000B7B0000}"/>
    <cellStyle name="Normal 49 5 3 4" xfId="39064" xr:uid="{00000000-0005-0000-0000-00000C7B0000}"/>
    <cellStyle name="Normal 49 5 4" xfId="35252" xr:uid="{00000000-0005-0000-0000-00000D7B0000}"/>
    <cellStyle name="Normal 49 5 4 2" xfId="39067" xr:uid="{00000000-0005-0000-0000-00000E7B0000}"/>
    <cellStyle name="Normal 49 5 4 2 2" xfId="39070" xr:uid="{00000000-0005-0000-0000-00000F7B0000}"/>
    <cellStyle name="Normal 49 5 4 3" xfId="34671" xr:uid="{00000000-0005-0000-0000-0000107B0000}"/>
    <cellStyle name="Normal 49 5 5" xfId="19127" xr:uid="{00000000-0005-0000-0000-0000117B0000}"/>
    <cellStyle name="Normal 49 5 5 2" xfId="19139" xr:uid="{00000000-0005-0000-0000-0000127B0000}"/>
    <cellStyle name="Normal 49 5 5 2 2" xfId="39072" xr:uid="{00000000-0005-0000-0000-0000137B0000}"/>
    <cellStyle name="Normal 49 5 5 3" xfId="39074" xr:uid="{00000000-0005-0000-0000-0000147B0000}"/>
    <cellStyle name="Normal 49 5 6" xfId="17923" xr:uid="{00000000-0005-0000-0000-0000157B0000}"/>
    <cellStyle name="Normal 49 5 6 2" xfId="11892" xr:uid="{00000000-0005-0000-0000-0000167B0000}"/>
    <cellStyle name="Normal 49 5 7" xfId="10010" xr:uid="{00000000-0005-0000-0000-0000177B0000}"/>
    <cellStyle name="Normal 49 5 7 2" xfId="27046" xr:uid="{00000000-0005-0000-0000-0000187B0000}"/>
    <cellStyle name="Normal 49 5 8" xfId="10020" xr:uid="{00000000-0005-0000-0000-0000197B0000}"/>
    <cellStyle name="Normal 49 5 9" xfId="39076" xr:uid="{00000000-0005-0000-0000-00001A7B0000}"/>
    <cellStyle name="Normal 49 6" xfId="20352" xr:uid="{00000000-0005-0000-0000-00001B7B0000}"/>
    <cellStyle name="Normal 49 6 2" xfId="39078" xr:uid="{00000000-0005-0000-0000-00001C7B0000}"/>
    <cellStyle name="Normal 49 6 2 2" xfId="39080" xr:uid="{00000000-0005-0000-0000-00001D7B0000}"/>
    <cellStyle name="Normal 49 6 2 2 2" xfId="39082" xr:uid="{00000000-0005-0000-0000-00001E7B0000}"/>
    <cellStyle name="Normal 49 6 2 2 2 2" xfId="3720" xr:uid="{00000000-0005-0000-0000-00001F7B0000}"/>
    <cellStyle name="Normal 49 6 2 2 3" xfId="39084" xr:uid="{00000000-0005-0000-0000-0000207B0000}"/>
    <cellStyle name="Normal 49 6 2 3" xfId="39086" xr:uid="{00000000-0005-0000-0000-0000217B0000}"/>
    <cellStyle name="Normal 49 6 2 3 2" xfId="39088" xr:uid="{00000000-0005-0000-0000-0000227B0000}"/>
    <cellStyle name="Normal 49 6 2 4" xfId="39091" xr:uid="{00000000-0005-0000-0000-0000237B0000}"/>
    <cellStyle name="Normal 49 6 3" xfId="35258" xr:uid="{00000000-0005-0000-0000-0000247B0000}"/>
    <cellStyle name="Normal 49 6 3 2" xfId="35263" xr:uid="{00000000-0005-0000-0000-0000257B0000}"/>
    <cellStyle name="Normal 49 6 3 2 2" xfId="39093" xr:uid="{00000000-0005-0000-0000-0000267B0000}"/>
    <cellStyle name="Normal 49 6 3 3" xfId="39095" xr:uid="{00000000-0005-0000-0000-0000277B0000}"/>
    <cellStyle name="Normal 49 6 4" xfId="35267" xr:uid="{00000000-0005-0000-0000-0000287B0000}"/>
    <cellStyle name="Normal 49 6 4 2" xfId="23421" xr:uid="{00000000-0005-0000-0000-0000297B0000}"/>
    <cellStyle name="Normal 49 6 4 2 2" xfId="22142" xr:uid="{00000000-0005-0000-0000-00002A7B0000}"/>
    <cellStyle name="Normal 49 6 4 3" xfId="23424" xr:uid="{00000000-0005-0000-0000-00002B7B0000}"/>
    <cellStyle name="Normal 49 6 5" xfId="19147" xr:uid="{00000000-0005-0000-0000-00002C7B0000}"/>
    <cellStyle name="Normal 49 6 5 2" xfId="19160" xr:uid="{00000000-0005-0000-0000-00002D7B0000}"/>
    <cellStyle name="Normal 49 6 6" xfId="17932" xr:uid="{00000000-0005-0000-0000-00002E7B0000}"/>
    <cellStyle name="Normal 49 6 6 2" xfId="11953" xr:uid="{00000000-0005-0000-0000-00002F7B0000}"/>
    <cellStyle name="Normal 49 6 7" xfId="38008" xr:uid="{00000000-0005-0000-0000-0000307B0000}"/>
    <cellStyle name="Normal 49 6 8" xfId="39097" xr:uid="{00000000-0005-0000-0000-0000317B0000}"/>
    <cellStyle name="Normal 49 7" xfId="39099" xr:uid="{00000000-0005-0000-0000-0000327B0000}"/>
    <cellStyle name="Normal 49 7 2" xfId="39101" xr:uid="{00000000-0005-0000-0000-0000337B0000}"/>
    <cellStyle name="Normal 49 7 2 2" xfId="39103" xr:uid="{00000000-0005-0000-0000-0000347B0000}"/>
    <cellStyle name="Normal 49 7 2 2 2" xfId="39105" xr:uid="{00000000-0005-0000-0000-0000357B0000}"/>
    <cellStyle name="Normal 49 7 2 3" xfId="39107" xr:uid="{00000000-0005-0000-0000-0000367B0000}"/>
    <cellStyle name="Normal 49 7 3" xfId="35273" xr:uid="{00000000-0005-0000-0000-0000377B0000}"/>
    <cellStyle name="Normal 49 7 3 2" xfId="39109" xr:uid="{00000000-0005-0000-0000-0000387B0000}"/>
    <cellStyle name="Normal 49 7 4" xfId="5984" xr:uid="{00000000-0005-0000-0000-0000397B0000}"/>
    <cellStyle name="Normal 49 8" xfId="39111" xr:uid="{00000000-0005-0000-0000-00003A7B0000}"/>
    <cellStyle name="Normal 49 8 2" xfId="39113" xr:uid="{00000000-0005-0000-0000-00003B7B0000}"/>
    <cellStyle name="Normal 49 8 2 2" xfId="39115" xr:uid="{00000000-0005-0000-0000-00003C7B0000}"/>
    <cellStyle name="Normal 49 8 3" xfId="35279" xr:uid="{00000000-0005-0000-0000-00003D7B0000}"/>
    <cellStyle name="Normal 49 9" xfId="28364" xr:uid="{00000000-0005-0000-0000-00003E7B0000}"/>
    <cellStyle name="Normal 49 9 2" xfId="39117" xr:uid="{00000000-0005-0000-0000-00003F7B0000}"/>
    <cellStyle name="Normal 49 9 2 2" xfId="3871" xr:uid="{00000000-0005-0000-0000-0000407B0000}"/>
    <cellStyle name="Normal 49 9 3" xfId="23885" xr:uid="{00000000-0005-0000-0000-0000417B0000}"/>
    <cellStyle name="Normal 5" xfId="39119" xr:uid="{00000000-0005-0000-0000-0000427B0000}"/>
    <cellStyle name="Normal 5 10" xfId="867" xr:uid="{00000000-0005-0000-0000-0000437B0000}"/>
    <cellStyle name="Normal 5 10 2" xfId="4067" xr:uid="{00000000-0005-0000-0000-0000447B0000}"/>
    <cellStyle name="Normal 5 10 2 2" xfId="38514" xr:uid="{00000000-0005-0000-0000-0000457B0000}"/>
    <cellStyle name="Normal 5 10 2 2 2" xfId="30716" xr:uid="{00000000-0005-0000-0000-0000467B0000}"/>
    <cellStyle name="Normal 5 10 2 2 2 2" xfId="38516" xr:uid="{00000000-0005-0000-0000-0000477B0000}"/>
    <cellStyle name="Normal 5 10 2 2 2 2 2" xfId="38518" xr:uid="{00000000-0005-0000-0000-0000487B0000}"/>
    <cellStyle name="Normal 5 10 2 2 2 3" xfId="38520" xr:uid="{00000000-0005-0000-0000-0000497B0000}"/>
    <cellStyle name="Normal 5 10 2 2 3" xfId="38523" xr:uid="{00000000-0005-0000-0000-00004A7B0000}"/>
    <cellStyle name="Normal 5 10 2 2 3 2" xfId="36455" xr:uid="{00000000-0005-0000-0000-00004B7B0000}"/>
    <cellStyle name="Normal 5 10 2 2 4" xfId="38527" xr:uid="{00000000-0005-0000-0000-00004C7B0000}"/>
    <cellStyle name="Normal 5 10 2 3" xfId="38535" xr:uid="{00000000-0005-0000-0000-00004D7B0000}"/>
    <cellStyle name="Normal 5 10 2 3 2" xfId="38537" xr:uid="{00000000-0005-0000-0000-00004E7B0000}"/>
    <cellStyle name="Normal 5 10 2 3 2 2" xfId="38539" xr:uid="{00000000-0005-0000-0000-00004F7B0000}"/>
    <cellStyle name="Normal 5 10 2 3 3" xfId="38543" xr:uid="{00000000-0005-0000-0000-0000507B0000}"/>
    <cellStyle name="Normal 5 10 2 4" xfId="38550" xr:uid="{00000000-0005-0000-0000-0000517B0000}"/>
    <cellStyle name="Normal 5 10 2 4 2" xfId="38552" xr:uid="{00000000-0005-0000-0000-0000527B0000}"/>
    <cellStyle name="Normal 5 10 2 4 2 2" xfId="38554" xr:uid="{00000000-0005-0000-0000-0000537B0000}"/>
    <cellStyle name="Normal 5 10 2 4 3" xfId="38556" xr:uid="{00000000-0005-0000-0000-0000547B0000}"/>
    <cellStyle name="Normal 5 10 2 5" xfId="38558" xr:uid="{00000000-0005-0000-0000-0000557B0000}"/>
    <cellStyle name="Normal 5 10 2 5 2" xfId="5431" xr:uid="{00000000-0005-0000-0000-0000567B0000}"/>
    <cellStyle name="Normal 5 10 2 6" xfId="15196" xr:uid="{00000000-0005-0000-0000-0000577B0000}"/>
    <cellStyle name="Normal 5 10 2 6 2" xfId="7008" xr:uid="{00000000-0005-0000-0000-0000587B0000}"/>
    <cellStyle name="Normal 5 10 2 7" xfId="38560" xr:uid="{00000000-0005-0000-0000-0000597B0000}"/>
    <cellStyle name="Normal 5 10 3" xfId="39120" xr:uid="{00000000-0005-0000-0000-00005A7B0000}"/>
    <cellStyle name="Normal 5 10 3 2" xfId="38572" xr:uid="{00000000-0005-0000-0000-00005B7B0000}"/>
    <cellStyle name="Normal 5 10 3 2 2" xfId="38574" xr:uid="{00000000-0005-0000-0000-00005C7B0000}"/>
    <cellStyle name="Normal 5 10 3 2 2 2" xfId="38576" xr:uid="{00000000-0005-0000-0000-00005D7B0000}"/>
    <cellStyle name="Normal 5 10 3 2 3" xfId="38579" xr:uid="{00000000-0005-0000-0000-00005E7B0000}"/>
    <cellStyle name="Normal 5 10 3 3" xfId="38582" xr:uid="{00000000-0005-0000-0000-00005F7B0000}"/>
    <cellStyle name="Normal 5 10 3 3 2" xfId="38584" xr:uid="{00000000-0005-0000-0000-0000607B0000}"/>
    <cellStyle name="Normal 5 10 3 4" xfId="38590" xr:uid="{00000000-0005-0000-0000-0000617B0000}"/>
    <cellStyle name="Normal 5 10 4" xfId="39121" xr:uid="{00000000-0005-0000-0000-0000627B0000}"/>
    <cellStyle name="Normal 5 10 4 2" xfId="38605" xr:uid="{00000000-0005-0000-0000-0000637B0000}"/>
    <cellStyle name="Normal 5 10 4 2 2" xfId="38607" xr:uid="{00000000-0005-0000-0000-0000647B0000}"/>
    <cellStyle name="Normal 5 10 4 3" xfId="38614" xr:uid="{00000000-0005-0000-0000-0000657B0000}"/>
    <cellStyle name="Normal 5 10 5" xfId="39122" xr:uid="{00000000-0005-0000-0000-0000667B0000}"/>
    <cellStyle name="Normal 5 10 5 2" xfId="20459" xr:uid="{00000000-0005-0000-0000-0000677B0000}"/>
    <cellStyle name="Normal 5 10 5 2 2" xfId="20462" xr:uid="{00000000-0005-0000-0000-0000687B0000}"/>
    <cellStyle name="Normal 5 10 5 3" xfId="20469" xr:uid="{00000000-0005-0000-0000-0000697B0000}"/>
    <cellStyle name="Normal 5 10 6" xfId="39123" xr:uid="{00000000-0005-0000-0000-00006A7B0000}"/>
    <cellStyle name="Normal 5 10 6 2" xfId="20498" xr:uid="{00000000-0005-0000-0000-00006B7B0000}"/>
    <cellStyle name="Normal 5 10 7" xfId="39124" xr:uid="{00000000-0005-0000-0000-00006C7B0000}"/>
    <cellStyle name="Normal 5 10 7 2" xfId="20517" xr:uid="{00000000-0005-0000-0000-00006D7B0000}"/>
    <cellStyle name="Normal 5 10 8" xfId="39125" xr:uid="{00000000-0005-0000-0000-00006E7B0000}"/>
    <cellStyle name="Normal 5 11" xfId="5823" xr:uid="{00000000-0005-0000-0000-00006F7B0000}"/>
    <cellStyle name="Normal 5 11 2" xfId="4248" xr:uid="{00000000-0005-0000-0000-0000707B0000}"/>
    <cellStyle name="Normal 5 11 2 2" xfId="33386" xr:uid="{00000000-0005-0000-0000-0000717B0000}"/>
    <cellStyle name="Normal 5 11 2 2 2" xfId="30787" xr:uid="{00000000-0005-0000-0000-0000727B0000}"/>
    <cellStyle name="Normal 5 11 2 2 2 2" xfId="22895" xr:uid="{00000000-0005-0000-0000-0000737B0000}"/>
    <cellStyle name="Normal 5 11 2 2 3" xfId="38687" xr:uid="{00000000-0005-0000-0000-0000747B0000}"/>
    <cellStyle name="Normal 5 11 2 3" xfId="33391" xr:uid="{00000000-0005-0000-0000-0000757B0000}"/>
    <cellStyle name="Normal 5 11 2 3 2" xfId="38698" xr:uid="{00000000-0005-0000-0000-0000767B0000}"/>
    <cellStyle name="Normal 5 11 2 4" xfId="38705" xr:uid="{00000000-0005-0000-0000-0000777B0000}"/>
    <cellStyle name="Normal 5 11 3" xfId="33396" xr:uid="{00000000-0005-0000-0000-0000787B0000}"/>
    <cellStyle name="Normal 5 11 3 2" xfId="33400" xr:uid="{00000000-0005-0000-0000-0000797B0000}"/>
    <cellStyle name="Normal 5 11 3 2 2" xfId="33404" xr:uid="{00000000-0005-0000-0000-00007A7B0000}"/>
    <cellStyle name="Normal 5 11 3 3" xfId="33408" xr:uid="{00000000-0005-0000-0000-00007B7B0000}"/>
    <cellStyle name="Normal 5 11 4" xfId="31254" xr:uid="{00000000-0005-0000-0000-00007C7B0000}"/>
    <cellStyle name="Normal 5 11 4 2" xfId="26016" xr:uid="{00000000-0005-0000-0000-00007D7B0000}"/>
    <cellStyle name="Normal 5 11 4 2 2" xfId="26023" xr:uid="{00000000-0005-0000-0000-00007E7B0000}"/>
    <cellStyle name="Normal 5 11 4 3" xfId="2397" xr:uid="{00000000-0005-0000-0000-00007F7B0000}"/>
    <cellStyle name="Normal 5 11 5" xfId="29699" xr:uid="{00000000-0005-0000-0000-0000807B0000}"/>
    <cellStyle name="Normal 5 11 5 2" xfId="18850" xr:uid="{00000000-0005-0000-0000-0000817B0000}"/>
    <cellStyle name="Normal 5 11 6" xfId="28543" xr:uid="{00000000-0005-0000-0000-0000827B0000}"/>
    <cellStyle name="Normal 5 11 6 2" xfId="18879" xr:uid="{00000000-0005-0000-0000-0000837B0000}"/>
    <cellStyle name="Normal 5 11 7" xfId="33412" xr:uid="{00000000-0005-0000-0000-0000847B0000}"/>
    <cellStyle name="Normal 5 12" xfId="7037" xr:uid="{00000000-0005-0000-0000-0000857B0000}"/>
    <cellStyle name="Normal 5 12 2" xfId="33422" xr:uid="{00000000-0005-0000-0000-0000867B0000}"/>
    <cellStyle name="Normal 5 12 2 2" xfId="25069" xr:uid="{00000000-0005-0000-0000-0000877B0000}"/>
    <cellStyle name="Normal 5 12 2 2 2" xfId="30884" xr:uid="{00000000-0005-0000-0000-0000887B0000}"/>
    <cellStyle name="Normal 5 12 2 3" xfId="38774" xr:uid="{00000000-0005-0000-0000-0000897B0000}"/>
    <cellStyle name="Normal 5 12 3" xfId="33426" xr:uid="{00000000-0005-0000-0000-00008A7B0000}"/>
    <cellStyle name="Normal 5 12 3 2" xfId="38786" xr:uid="{00000000-0005-0000-0000-00008B7B0000}"/>
    <cellStyle name="Normal 5 12 4" xfId="31261" xr:uid="{00000000-0005-0000-0000-00008C7B0000}"/>
    <cellStyle name="Normal 5 13" xfId="36537" xr:uid="{00000000-0005-0000-0000-00008D7B0000}"/>
    <cellStyle name="Normal 5 13 2" xfId="33445" xr:uid="{00000000-0005-0000-0000-00008E7B0000}"/>
    <cellStyle name="Normal 5 13 2 2" xfId="34523" xr:uid="{00000000-0005-0000-0000-00008F7B0000}"/>
    <cellStyle name="Normal 5 13 3" xfId="34530" xr:uid="{00000000-0005-0000-0000-0000907B0000}"/>
    <cellStyle name="Normal 5 14" xfId="36401" xr:uid="{00000000-0005-0000-0000-0000917B0000}"/>
    <cellStyle name="Normal 5 14 2" xfId="33461" xr:uid="{00000000-0005-0000-0000-0000927B0000}"/>
    <cellStyle name="Normal 5 14 2 2" xfId="38830" xr:uid="{00000000-0005-0000-0000-0000937B0000}"/>
    <cellStyle name="Normal 5 14 3" xfId="34548" xr:uid="{00000000-0005-0000-0000-0000947B0000}"/>
    <cellStyle name="Normal 5 15" xfId="39126" xr:uid="{00000000-0005-0000-0000-0000957B0000}"/>
    <cellStyle name="Normal 5 15 2" xfId="12562" xr:uid="{00000000-0005-0000-0000-0000967B0000}"/>
    <cellStyle name="Normal 5 16" xfId="39127" xr:uid="{00000000-0005-0000-0000-0000977B0000}"/>
    <cellStyle name="Normal 5 16 2" xfId="39128" xr:uid="{00000000-0005-0000-0000-0000987B0000}"/>
    <cellStyle name="Normal 5 17" xfId="39129" xr:uid="{00000000-0005-0000-0000-0000997B0000}"/>
    <cellStyle name="Normal 5 17 2" xfId="11054" xr:uid="{00000000-0005-0000-0000-00009A7B0000}"/>
    <cellStyle name="Normal 5 2" xfId="19244" xr:uid="{00000000-0005-0000-0000-00009B7B0000}"/>
    <cellStyle name="Normal 5 2 10" xfId="3646" xr:uid="{00000000-0005-0000-0000-00009C7B0000}"/>
    <cellStyle name="Normal 5 2 10 2" xfId="39130" xr:uid="{00000000-0005-0000-0000-00009D7B0000}"/>
    <cellStyle name="Normal 5 2 10 2 2" xfId="39131" xr:uid="{00000000-0005-0000-0000-00009E7B0000}"/>
    <cellStyle name="Normal 5 2 10 2 2 2" xfId="39132" xr:uid="{00000000-0005-0000-0000-00009F7B0000}"/>
    <cellStyle name="Normal 5 2 10 2 3" xfId="39133" xr:uid="{00000000-0005-0000-0000-0000A07B0000}"/>
    <cellStyle name="Normal 5 2 10 3" xfId="39136" xr:uid="{00000000-0005-0000-0000-0000A17B0000}"/>
    <cellStyle name="Normal 5 2 10 3 2" xfId="21055" xr:uid="{00000000-0005-0000-0000-0000A27B0000}"/>
    <cellStyle name="Normal 5 2 10 4" xfId="39139" xr:uid="{00000000-0005-0000-0000-0000A37B0000}"/>
    <cellStyle name="Normal 5 2 11" xfId="39140" xr:uid="{00000000-0005-0000-0000-0000A47B0000}"/>
    <cellStyle name="Normal 5 2 11 2" xfId="29094" xr:uid="{00000000-0005-0000-0000-0000A57B0000}"/>
    <cellStyle name="Normal 5 2 11 2 2" xfId="39141" xr:uid="{00000000-0005-0000-0000-0000A67B0000}"/>
    <cellStyle name="Normal 5 2 11 3" xfId="39144" xr:uid="{00000000-0005-0000-0000-0000A77B0000}"/>
    <cellStyle name="Normal 5 2 12" xfId="39146" xr:uid="{00000000-0005-0000-0000-0000A87B0000}"/>
    <cellStyle name="Normal 5 2 12 2" xfId="39147" xr:uid="{00000000-0005-0000-0000-0000A97B0000}"/>
    <cellStyle name="Normal 5 2 12 2 2" xfId="3889" xr:uid="{00000000-0005-0000-0000-0000AA7B0000}"/>
    <cellStyle name="Normal 5 2 12 3" xfId="39150" xr:uid="{00000000-0005-0000-0000-0000AB7B0000}"/>
    <cellStyle name="Normal 5 2 13" xfId="39151" xr:uid="{00000000-0005-0000-0000-0000AC7B0000}"/>
    <cellStyle name="Normal 5 2 13 2" xfId="39152" xr:uid="{00000000-0005-0000-0000-0000AD7B0000}"/>
    <cellStyle name="Normal 5 2 14" xfId="39153" xr:uid="{00000000-0005-0000-0000-0000AE7B0000}"/>
    <cellStyle name="Normal 5 2 14 2" xfId="39154" xr:uid="{00000000-0005-0000-0000-0000AF7B0000}"/>
    <cellStyle name="Normal 5 2 15" xfId="39156" xr:uid="{00000000-0005-0000-0000-0000B07B0000}"/>
    <cellStyle name="Normal 5 2 15 2" xfId="39157" xr:uid="{00000000-0005-0000-0000-0000B17B0000}"/>
    <cellStyle name="Normal 5 2 2" xfId="15857" xr:uid="{00000000-0005-0000-0000-0000B27B0000}"/>
    <cellStyle name="Normal 5 2 2 10" xfId="39158" xr:uid="{00000000-0005-0000-0000-0000B37B0000}"/>
    <cellStyle name="Normal 5 2 2 10 2" xfId="16849" xr:uid="{00000000-0005-0000-0000-0000B47B0000}"/>
    <cellStyle name="Normal 5 2 2 10 2 2" xfId="39159" xr:uid="{00000000-0005-0000-0000-0000B57B0000}"/>
    <cellStyle name="Normal 5 2 2 10 3" xfId="18638" xr:uid="{00000000-0005-0000-0000-0000B67B0000}"/>
    <cellStyle name="Normal 5 2 2 11" xfId="39160" xr:uid="{00000000-0005-0000-0000-0000B77B0000}"/>
    <cellStyle name="Normal 5 2 2 11 2" xfId="16852" xr:uid="{00000000-0005-0000-0000-0000B87B0000}"/>
    <cellStyle name="Normal 5 2 2 12" xfId="28735" xr:uid="{00000000-0005-0000-0000-0000B97B0000}"/>
    <cellStyle name="Normal 5 2 2 12 2" xfId="39162" xr:uid="{00000000-0005-0000-0000-0000BA7B0000}"/>
    <cellStyle name="Normal 5 2 2 13" xfId="39163" xr:uid="{00000000-0005-0000-0000-0000BB7B0000}"/>
    <cellStyle name="Normal 5 2 2 13 2" xfId="39164" xr:uid="{00000000-0005-0000-0000-0000BC7B0000}"/>
    <cellStyle name="Normal 5 2 2 2" xfId="22631" xr:uid="{00000000-0005-0000-0000-0000BD7B0000}"/>
    <cellStyle name="Normal 5 2 2 3" xfId="22634" xr:uid="{00000000-0005-0000-0000-0000BE7B0000}"/>
    <cellStyle name="Normal 5 2 2 3 2" xfId="22636" xr:uid="{00000000-0005-0000-0000-0000BF7B0000}"/>
    <cellStyle name="Normal 5 2 2 3 2 2" xfId="22639" xr:uid="{00000000-0005-0000-0000-0000C07B0000}"/>
    <cellStyle name="Normal 5 2 2 3 2 2 2" xfId="3075" xr:uid="{00000000-0005-0000-0000-0000C17B0000}"/>
    <cellStyle name="Normal 5 2 2 3 2 2 2 2" xfId="5310" xr:uid="{00000000-0005-0000-0000-0000C27B0000}"/>
    <cellStyle name="Normal 5 2 2 3 2 2 2 2 2" xfId="35222" xr:uid="{00000000-0005-0000-0000-0000C37B0000}"/>
    <cellStyle name="Normal 5 2 2 3 2 2 2 2 2 2" xfId="35225" xr:uid="{00000000-0005-0000-0000-0000C47B0000}"/>
    <cellStyle name="Normal 5 2 2 3 2 2 2 2 3" xfId="35242" xr:uid="{00000000-0005-0000-0000-0000C57B0000}"/>
    <cellStyle name="Normal 5 2 2 3 2 2 2 3" xfId="39165" xr:uid="{00000000-0005-0000-0000-0000C67B0000}"/>
    <cellStyle name="Normal 5 2 2 3 2 2 2 3 2" xfId="35294" xr:uid="{00000000-0005-0000-0000-0000C77B0000}"/>
    <cellStyle name="Normal 5 2 2 3 2 2 2 4" xfId="39166" xr:uid="{00000000-0005-0000-0000-0000C87B0000}"/>
    <cellStyle name="Normal 5 2 2 3 2 2 3" xfId="5323" xr:uid="{00000000-0005-0000-0000-0000C97B0000}"/>
    <cellStyle name="Normal 5 2 2 3 2 2 3 2" xfId="11350" xr:uid="{00000000-0005-0000-0000-0000CA7B0000}"/>
    <cellStyle name="Normal 5 2 2 3 2 2 3 2 2" xfId="18323" xr:uid="{00000000-0005-0000-0000-0000CB7B0000}"/>
    <cellStyle name="Normal 5 2 2 3 2 2 3 3" xfId="18325" xr:uid="{00000000-0005-0000-0000-0000CC7B0000}"/>
    <cellStyle name="Normal 5 2 2 3 2 2 4" xfId="39167" xr:uid="{00000000-0005-0000-0000-0000CD7B0000}"/>
    <cellStyle name="Normal 5 2 2 3 2 2 4 2" xfId="15338" xr:uid="{00000000-0005-0000-0000-0000CE7B0000}"/>
    <cellStyle name="Normal 5 2 2 3 2 2 4 2 2" xfId="11200" xr:uid="{00000000-0005-0000-0000-0000CF7B0000}"/>
    <cellStyle name="Normal 5 2 2 3 2 2 4 3" xfId="15355" xr:uid="{00000000-0005-0000-0000-0000D07B0000}"/>
    <cellStyle name="Normal 5 2 2 3 2 2 5" xfId="39170" xr:uid="{00000000-0005-0000-0000-0000D17B0000}"/>
    <cellStyle name="Normal 5 2 2 3 2 2 5 2" xfId="15392" xr:uid="{00000000-0005-0000-0000-0000D27B0000}"/>
    <cellStyle name="Normal 5 2 2 3 2 2 6" xfId="27941" xr:uid="{00000000-0005-0000-0000-0000D37B0000}"/>
    <cellStyle name="Normal 5 2 2 3 2 2 6 2" xfId="15431" xr:uid="{00000000-0005-0000-0000-0000D47B0000}"/>
    <cellStyle name="Normal 5 2 2 3 2 2 7" xfId="27946" xr:uid="{00000000-0005-0000-0000-0000D57B0000}"/>
    <cellStyle name="Normal 5 2 2 3 2 3" xfId="38329" xr:uid="{00000000-0005-0000-0000-0000D67B0000}"/>
    <cellStyle name="Normal 5 2 2 3 2 3 2" xfId="5337" xr:uid="{00000000-0005-0000-0000-0000D77B0000}"/>
    <cellStyle name="Normal 5 2 2 3 2 3 2 2" xfId="39171" xr:uid="{00000000-0005-0000-0000-0000D87B0000}"/>
    <cellStyle name="Normal 5 2 2 3 2 3 2 2 2" xfId="35669" xr:uid="{00000000-0005-0000-0000-0000D97B0000}"/>
    <cellStyle name="Normal 5 2 2 3 2 3 2 3" xfId="39172" xr:uid="{00000000-0005-0000-0000-0000DA7B0000}"/>
    <cellStyle name="Normal 5 2 2 3 2 3 3" xfId="39173" xr:uid="{00000000-0005-0000-0000-0000DB7B0000}"/>
    <cellStyle name="Normal 5 2 2 3 2 3 3 2" xfId="21107" xr:uid="{00000000-0005-0000-0000-0000DC7B0000}"/>
    <cellStyle name="Normal 5 2 2 3 2 3 4" xfId="39174" xr:uid="{00000000-0005-0000-0000-0000DD7B0000}"/>
    <cellStyle name="Normal 5 2 2 3 2 4" xfId="34423" xr:uid="{00000000-0005-0000-0000-0000DE7B0000}"/>
    <cellStyle name="Normal 5 2 2 3 2 4 2" xfId="287" xr:uid="{00000000-0005-0000-0000-0000DF7B0000}"/>
    <cellStyle name="Normal 5 2 2 3 2 4 2 2" xfId="19481" xr:uid="{00000000-0005-0000-0000-0000E07B0000}"/>
    <cellStyle name="Normal 5 2 2 3 2 4 3" xfId="19379" xr:uid="{00000000-0005-0000-0000-0000E17B0000}"/>
    <cellStyle name="Normal 5 2 2 3 2 5" xfId="39176" xr:uid="{00000000-0005-0000-0000-0000E27B0000}"/>
    <cellStyle name="Normal 5 2 2 3 2 5 2" xfId="19500" xr:uid="{00000000-0005-0000-0000-0000E37B0000}"/>
    <cellStyle name="Normal 5 2 2 3 2 5 2 2" xfId="19502" xr:uid="{00000000-0005-0000-0000-0000E47B0000}"/>
    <cellStyle name="Normal 5 2 2 3 2 5 3" xfId="19396" xr:uid="{00000000-0005-0000-0000-0000E57B0000}"/>
    <cellStyle name="Normal 5 2 2 3 2 6" xfId="39177" xr:uid="{00000000-0005-0000-0000-0000E67B0000}"/>
    <cellStyle name="Normal 5 2 2 3 2 6 2" xfId="19505" xr:uid="{00000000-0005-0000-0000-0000E77B0000}"/>
    <cellStyle name="Normal 5 2 2 3 2 7" xfId="39178" xr:uid="{00000000-0005-0000-0000-0000E87B0000}"/>
    <cellStyle name="Normal 5 2 2 3 2 7 2" xfId="5555" xr:uid="{00000000-0005-0000-0000-0000E97B0000}"/>
    <cellStyle name="Normal 5 2 2 3 2 8" xfId="39089" xr:uid="{00000000-0005-0000-0000-0000EA7B0000}"/>
    <cellStyle name="Normal 5 2 2 3 3" xfId="22643" xr:uid="{00000000-0005-0000-0000-0000EB7B0000}"/>
    <cellStyle name="Normal 5 2 2 3 3 2" xfId="31587" xr:uid="{00000000-0005-0000-0000-0000EC7B0000}"/>
    <cellStyle name="Normal 5 2 2 3 3 2 2" xfId="5352" xr:uid="{00000000-0005-0000-0000-0000ED7B0000}"/>
    <cellStyle name="Normal 5 2 2 3 3 2 2 2" xfId="39179" xr:uid="{00000000-0005-0000-0000-0000EE7B0000}"/>
    <cellStyle name="Normal 5 2 2 3 3 2 2 2 2" xfId="36986" xr:uid="{00000000-0005-0000-0000-0000EF7B0000}"/>
    <cellStyle name="Normal 5 2 2 3 3 2 2 3" xfId="39180" xr:uid="{00000000-0005-0000-0000-0000F07B0000}"/>
    <cellStyle name="Normal 5 2 2 3 3 2 3" xfId="39181" xr:uid="{00000000-0005-0000-0000-0000F17B0000}"/>
    <cellStyle name="Normal 5 2 2 3 3 2 3 2" xfId="39182" xr:uid="{00000000-0005-0000-0000-0000F27B0000}"/>
    <cellStyle name="Normal 5 2 2 3 3 2 4" xfId="39183" xr:uid="{00000000-0005-0000-0000-0000F37B0000}"/>
    <cellStyle name="Normal 5 2 2 3 3 3" xfId="38335" xr:uid="{00000000-0005-0000-0000-0000F47B0000}"/>
    <cellStyle name="Normal 5 2 2 3 3 3 2" xfId="7458" xr:uid="{00000000-0005-0000-0000-0000F57B0000}"/>
    <cellStyle name="Normal 5 2 2 3 3 3 2 2" xfId="39184" xr:uid="{00000000-0005-0000-0000-0000F67B0000}"/>
    <cellStyle name="Normal 5 2 2 3 3 3 3" xfId="39185" xr:uid="{00000000-0005-0000-0000-0000F77B0000}"/>
    <cellStyle name="Normal 5 2 2 3 3 4" xfId="34430" xr:uid="{00000000-0005-0000-0000-0000F87B0000}"/>
    <cellStyle name="Normal 5 2 2 3 3 4 2" xfId="12206" xr:uid="{00000000-0005-0000-0000-0000F97B0000}"/>
    <cellStyle name="Normal 5 2 2 3 3 4 2 2" xfId="9297" xr:uid="{00000000-0005-0000-0000-0000FA7B0000}"/>
    <cellStyle name="Normal 5 2 2 3 3 4 3" xfId="10101" xr:uid="{00000000-0005-0000-0000-0000FB7B0000}"/>
    <cellStyle name="Normal 5 2 2 3 3 5" xfId="7898" xr:uid="{00000000-0005-0000-0000-0000FC7B0000}"/>
    <cellStyle name="Normal 5 2 2 3 3 5 2" xfId="11468" xr:uid="{00000000-0005-0000-0000-0000FD7B0000}"/>
    <cellStyle name="Normal 5 2 2 3 3 6" xfId="39186" xr:uid="{00000000-0005-0000-0000-0000FE7B0000}"/>
    <cellStyle name="Normal 5 2 2 3 3 6 2" xfId="12209" xr:uid="{00000000-0005-0000-0000-0000FF7B0000}"/>
    <cellStyle name="Normal 5 2 2 3 3 7" xfId="12211" xr:uid="{00000000-0005-0000-0000-0000007C0000}"/>
    <cellStyle name="Normal 5 2 2 3 4" xfId="1619" xr:uid="{00000000-0005-0000-0000-0000017C0000}"/>
    <cellStyle name="Normal 5 2 2 3 4 2" xfId="39188" xr:uid="{00000000-0005-0000-0000-0000027C0000}"/>
    <cellStyle name="Normal 5 2 2 3 4 2 2" xfId="39190" xr:uid="{00000000-0005-0000-0000-0000037C0000}"/>
    <cellStyle name="Normal 5 2 2 3 4 2 2 2" xfId="39191" xr:uid="{00000000-0005-0000-0000-0000047C0000}"/>
    <cellStyle name="Normal 5 2 2 3 4 2 3" xfId="39192" xr:uid="{00000000-0005-0000-0000-0000057C0000}"/>
    <cellStyle name="Normal 5 2 2 3 4 3" xfId="5379" xr:uid="{00000000-0005-0000-0000-0000067C0000}"/>
    <cellStyle name="Normal 5 2 2 3 4 3 2" xfId="12263" xr:uid="{00000000-0005-0000-0000-0000077C0000}"/>
    <cellStyle name="Normal 5 2 2 3 4 4" xfId="12272" xr:uid="{00000000-0005-0000-0000-0000087C0000}"/>
    <cellStyle name="Normal 5 2 2 3 5" xfId="39193" xr:uid="{00000000-0005-0000-0000-0000097C0000}"/>
    <cellStyle name="Normal 5 2 2 3 5 2" xfId="39195" xr:uid="{00000000-0005-0000-0000-00000A7C0000}"/>
    <cellStyle name="Normal 5 2 2 3 5 2 2" xfId="39197" xr:uid="{00000000-0005-0000-0000-00000B7C0000}"/>
    <cellStyle name="Normal 5 2 2 3 5 3" xfId="12339" xr:uid="{00000000-0005-0000-0000-00000C7C0000}"/>
    <cellStyle name="Normal 5 2 2 3 6" xfId="5402" xr:uid="{00000000-0005-0000-0000-00000D7C0000}"/>
    <cellStyle name="Normal 5 2 2 3 6 2" xfId="5418" xr:uid="{00000000-0005-0000-0000-00000E7C0000}"/>
    <cellStyle name="Normal 5 2 2 3 6 2 2" xfId="39199" xr:uid="{00000000-0005-0000-0000-00000F7C0000}"/>
    <cellStyle name="Normal 5 2 2 3 6 3" xfId="154" xr:uid="{00000000-0005-0000-0000-0000107C0000}"/>
    <cellStyle name="Normal 5 2 2 3 7" xfId="5427" xr:uid="{00000000-0005-0000-0000-0000117C0000}"/>
    <cellStyle name="Normal 5 2 2 3 7 2" xfId="39200" xr:uid="{00000000-0005-0000-0000-0000127C0000}"/>
    <cellStyle name="Normal 5 2 2 3 8" xfId="39201" xr:uid="{00000000-0005-0000-0000-0000137C0000}"/>
    <cellStyle name="Normal 5 2 2 3 8 2" xfId="39202" xr:uid="{00000000-0005-0000-0000-0000147C0000}"/>
    <cellStyle name="Normal 5 2 2 3 9" xfId="39203" xr:uid="{00000000-0005-0000-0000-0000157C0000}"/>
    <cellStyle name="Normal 5 2 2 4" xfId="22648" xr:uid="{00000000-0005-0000-0000-0000167C0000}"/>
    <cellStyle name="Normal 5 2 2 4 2" xfId="22651" xr:uid="{00000000-0005-0000-0000-0000177C0000}"/>
    <cellStyle name="Normal 5 2 2 4 2 2" xfId="22655" xr:uid="{00000000-0005-0000-0000-0000187C0000}"/>
    <cellStyle name="Normal 5 2 2 4 2 2 2" xfId="39206" xr:uid="{00000000-0005-0000-0000-0000197C0000}"/>
    <cellStyle name="Normal 5 2 2 4 2 2 2 2" xfId="11793" xr:uid="{00000000-0005-0000-0000-00001A7C0000}"/>
    <cellStyle name="Normal 5 2 2 4 2 2 2 2 2" xfId="17366" xr:uid="{00000000-0005-0000-0000-00001B7C0000}"/>
    <cellStyle name="Normal 5 2 2 4 2 2 2 3" xfId="17368" xr:uid="{00000000-0005-0000-0000-00001C7C0000}"/>
    <cellStyle name="Normal 5 2 2 4 2 2 3" xfId="39207" xr:uid="{00000000-0005-0000-0000-00001D7C0000}"/>
    <cellStyle name="Normal 5 2 2 4 2 2 3 2" xfId="11797" xr:uid="{00000000-0005-0000-0000-00001E7C0000}"/>
    <cellStyle name="Normal 5 2 2 4 2 2 4" xfId="39208" xr:uid="{00000000-0005-0000-0000-00001F7C0000}"/>
    <cellStyle name="Normal 5 2 2 4 2 3" xfId="38365" xr:uid="{00000000-0005-0000-0000-0000207C0000}"/>
    <cellStyle name="Normal 5 2 2 4 2 3 2" xfId="38370" xr:uid="{00000000-0005-0000-0000-0000217C0000}"/>
    <cellStyle name="Normal 5 2 2 4 2 3 2 2" xfId="39209" xr:uid="{00000000-0005-0000-0000-0000227C0000}"/>
    <cellStyle name="Normal 5 2 2 4 2 3 3" xfId="39210" xr:uid="{00000000-0005-0000-0000-0000237C0000}"/>
    <cellStyle name="Normal 5 2 2 4 2 4" xfId="34478" xr:uid="{00000000-0005-0000-0000-0000247C0000}"/>
    <cellStyle name="Normal 5 2 2 4 2 4 2" xfId="11920" xr:uid="{00000000-0005-0000-0000-0000257C0000}"/>
    <cellStyle name="Normal 5 2 2 4 2 4 2 2" xfId="19581" xr:uid="{00000000-0005-0000-0000-0000267C0000}"/>
    <cellStyle name="Normal 5 2 2 4 2 4 3" xfId="10697" xr:uid="{00000000-0005-0000-0000-0000277C0000}"/>
    <cellStyle name="Normal 5 2 2 4 2 5" xfId="39213" xr:uid="{00000000-0005-0000-0000-0000287C0000}"/>
    <cellStyle name="Normal 5 2 2 4 2 5 2" xfId="19587" xr:uid="{00000000-0005-0000-0000-0000297C0000}"/>
    <cellStyle name="Normal 5 2 2 4 2 6" xfId="39214" xr:uid="{00000000-0005-0000-0000-00002A7C0000}"/>
    <cellStyle name="Normal 5 2 2 4 2 6 2" xfId="11987" xr:uid="{00000000-0005-0000-0000-00002B7C0000}"/>
    <cellStyle name="Normal 5 2 2 4 2 7" xfId="39215" xr:uid="{00000000-0005-0000-0000-00002C7C0000}"/>
    <cellStyle name="Normal 5 2 2 4 3" xfId="22659" xr:uid="{00000000-0005-0000-0000-00002D7C0000}"/>
    <cellStyle name="Normal 5 2 2 4 3 2" xfId="39218" xr:uid="{00000000-0005-0000-0000-00002E7C0000}"/>
    <cellStyle name="Normal 5 2 2 4 3 2 2" xfId="39221" xr:uid="{00000000-0005-0000-0000-00002F7C0000}"/>
    <cellStyle name="Normal 5 2 2 4 3 2 2 2" xfId="17933" xr:uid="{00000000-0005-0000-0000-0000307C0000}"/>
    <cellStyle name="Normal 5 2 2 4 3 2 3" xfId="39222" xr:uid="{00000000-0005-0000-0000-0000317C0000}"/>
    <cellStyle name="Normal 5 2 2 4 3 3" xfId="38375" xr:uid="{00000000-0005-0000-0000-0000327C0000}"/>
    <cellStyle name="Normal 5 2 2 4 3 3 2" xfId="38380" xr:uid="{00000000-0005-0000-0000-0000337C0000}"/>
    <cellStyle name="Normal 5 2 2 4 3 4" xfId="38385" xr:uid="{00000000-0005-0000-0000-0000347C0000}"/>
    <cellStyle name="Normal 5 2 2 4 4" xfId="5439" xr:uid="{00000000-0005-0000-0000-0000357C0000}"/>
    <cellStyle name="Normal 5 2 2 4 4 2" xfId="39225" xr:uid="{00000000-0005-0000-0000-0000367C0000}"/>
    <cellStyle name="Normal 5 2 2 4 4 2 2" xfId="39228" xr:uid="{00000000-0005-0000-0000-0000377C0000}"/>
    <cellStyle name="Normal 5 2 2 4 4 3" xfId="17872" xr:uid="{00000000-0005-0000-0000-0000387C0000}"/>
    <cellStyle name="Normal 5 2 2 4 5" xfId="39229" xr:uid="{00000000-0005-0000-0000-0000397C0000}"/>
    <cellStyle name="Normal 5 2 2 4 5 2" xfId="39230" xr:uid="{00000000-0005-0000-0000-00003A7C0000}"/>
    <cellStyle name="Normal 5 2 2 4 5 2 2" xfId="39233" xr:uid="{00000000-0005-0000-0000-00003B7C0000}"/>
    <cellStyle name="Normal 5 2 2 4 5 3" xfId="17884" xr:uid="{00000000-0005-0000-0000-00003C7C0000}"/>
    <cellStyle name="Normal 5 2 2 4 6" xfId="8079" xr:uid="{00000000-0005-0000-0000-00003D7C0000}"/>
    <cellStyle name="Normal 5 2 2 4 6 2" xfId="39234" xr:uid="{00000000-0005-0000-0000-00003E7C0000}"/>
    <cellStyle name="Normal 5 2 2 4 7" xfId="39235" xr:uid="{00000000-0005-0000-0000-00003F7C0000}"/>
    <cellStyle name="Normal 5 2 2 4 7 2" xfId="39236" xr:uid="{00000000-0005-0000-0000-0000407C0000}"/>
    <cellStyle name="Normal 5 2 2 4 8" xfId="39237" xr:uid="{00000000-0005-0000-0000-0000417C0000}"/>
    <cellStyle name="Normal 5 2 2 5" xfId="21700" xr:uid="{00000000-0005-0000-0000-0000427C0000}"/>
    <cellStyle name="Normal 5 2 2 5 2" xfId="16522" xr:uid="{00000000-0005-0000-0000-0000437C0000}"/>
    <cellStyle name="Normal 5 2 2 5 2 2" xfId="21705" xr:uid="{00000000-0005-0000-0000-0000447C0000}"/>
    <cellStyle name="Normal 5 2 2 5 2 2 2" xfId="39239" xr:uid="{00000000-0005-0000-0000-0000457C0000}"/>
    <cellStyle name="Normal 5 2 2 5 2 2 2 2" xfId="39240" xr:uid="{00000000-0005-0000-0000-0000467C0000}"/>
    <cellStyle name="Normal 5 2 2 5 2 2 2 2 2" xfId="39241" xr:uid="{00000000-0005-0000-0000-0000477C0000}"/>
    <cellStyle name="Normal 5 2 2 5 2 2 2 3" xfId="11874" xr:uid="{00000000-0005-0000-0000-0000487C0000}"/>
    <cellStyle name="Normal 5 2 2 5 2 2 3" xfId="28585" xr:uid="{00000000-0005-0000-0000-0000497C0000}"/>
    <cellStyle name="Normal 5 2 2 5 2 2 3 2" xfId="28588" xr:uid="{00000000-0005-0000-0000-00004A7C0000}"/>
    <cellStyle name="Normal 5 2 2 5 2 2 4" xfId="28597" xr:uid="{00000000-0005-0000-0000-00004B7C0000}"/>
    <cellStyle name="Normal 5 2 2 5 2 3" xfId="38419" xr:uid="{00000000-0005-0000-0000-00004C7C0000}"/>
    <cellStyle name="Normal 5 2 2 5 2 3 2" xfId="38422" xr:uid="{00000000-0005-0000-0000-00004D7C0000}"/>
    <cellStyle name="Normal 5 2 2 5 2 3 2 2" xfId="39242" xr:uid="{00000000-0005-0000-0000-00004E7C0000}"/>
    <cellStyle name="Normal 5 2 2 5 2 3 3" xfId="28604" xr:uid="{00000000-0005-0000-0000-00004F7C0000}"/>
    <cellStyle name="Normal 5 2 2 5 2 4" xfId="38426" xr:uid="{00000000-0005-0000-0000-0000507C0000}"/>
    <cellStyle name="Normal 5 2 2 5 2 4 2" xfId="19696" xr:uid="{00000000-0005-0000-0000-0000517C0000}"/>
    <cellStyle name="Normal 5 2 2 5 2 4 2 2" xfId="19700" xr:uid="{00000000-0005-0000-0000-0000527C0000}"/>
    <cellStyle name="Normal 5 2 2 5 2 4 3" xfId="19703" xr:uid="{00000000-0005-0000-0000-0000537C0000}"/>
    <cellStyle name="Normal 5 2 2 5 2 5" xfId="39243" xr:uid="{00000000-0005-0000-0000-0000547C0000}"/>
    <cellStyle name="Normal 5 2 2 5 2 5 2" xfId="1573" xr:uid="{00000000-0005-0000-0000-0000557C0000}"/>
    <cellStyle name="Normal 5 2 2 5 2 6" xfId="39244" xr:uid="{00000000-0005-0000-0000-0000567C0000}"/>
    <cellStyle name="Normal 5 2 2 5 2 6 2" xfId="1637" xr:uid="{00000000-0005-0000-0000-0000577C0000}"/>
    <cellStyle name="Normal 5 2 2 5 2 7" xfId="22149" xr:uid="{00000000-0005-0000-0000-0000587C0000}"/>
    <cellStyle name="Normal 5 2 2 5 3" xfId="21707" xr:uid="{00000000-0005-0000-0000-0000597C0000}"/>
    <cellStyle name="Normal 5 2 2 5 3 2" xfId="39246" xr:uid="{00000000-0005-0000-0000-00005A7C0000}"/>
    <cellStyle name="Normal 5 2 2 5 3 2 2" xfId="39247" xr:uid="{00000000-0005-0000-0000-00005B7C0000}"/>
    <cellStyle name="Normal 5 2 2 5 3 2 2 2" xfId="39248" xr:uid="{00000000-0005-0000-0000-00005C7C0000}"/>
    <cellStyle name="Normal 5 2 2 5 3 2 3" xfId="28622" xr:uid="{00000000-0005-0000-0000-00005D7C0000}"/>
    <cellStyle name="Normal 5 2 2 5 3 3" xfId="38431" xr:uid="{00000000-0005-0000-0000-00005E7C0000}"/>
    <cellStyle name="Normal 5 2 2 5 3 3 2" xfId="38434" xr:uid="{00000000-0005-0000-0000-00005F7C0000}"/>
    <cellStyle name="Normal 5 2 2 5 3 4" xfId="38437" xr:uid="{00000000-0005-0000-0000-0000607C0000}"/>
    <cellStyle name="Normal 5 2 2 5 4" xfId="32812" xr:uid="{00000000-0005-0000-0000-0000617C0000}"/>
    <cellStyle name="Normal 5 2 2 5 4 2" xfId="39250" xr:uid="{00000000-0005-0000-0000-0000627C0000}"/>
    <cellStyle name="Normal 5 2 2 5 4 2 2" xfId="39251" xr:uid="{00000000-0005-0000-0000-0000637C0000}"/>
    <cellStyle name="Normal 5 2 2 5 4 3" xfId="17553" xr:uid="{00000000-0005-0000-0000-0000647C0000}"/>
    <cellStyle name="Normal 5 2 2 5 5" xfId="33934" xr:uid="{00000000-0005-0000-0000-0000657C0000}"/>
    <cellStyle name="Normal 5 2 2 5 5 2" xfId="39252" xr:uid="{00000000-0005-0000-0000-0000667C0000}"/>
    <cellStyle name="Normal 5 2 2 5 5 2 2" xfId="39254" xr:uid="{00000000-0005-0000-0000-0000677C0000}"/>
    <cellStyle name="Normal 5 2 2 5 5 3" xfId="38442" xr:uid="{00000000-0005-0000-0000-0000687C0000}"/>
    <cellStyle name="Normal 5 2 2 5 6" xfId="8096" xr:uid="{00000000-0005-0000-0000-0000697C0000}"/>
    <cellStyle name="Normal 5 2 2 5 6 2" xfId="39255" xr:uid="{00000000-0005-0000-0000-00006A7C0000}"/>
    <cellStyle name="Normal 5 2 2 5 7" xfId="39256" xr:uid="{00000000-0005-0000-0000-00006B7C0000}"/>
    <cellStyle name="Normal 5 2 2 5 7 2" xfId="39257" xr:uid="{00000000-0005-0000-0000-00006C7C0000}"/>
    <cellStyle name="Normal 5 2 2 5 8" xfId="38490" xr:uid="{00000000-0005-0000-0000-00006D7C0000}"/>
    <cellStyle name="Normal 5 2 2 6" xfId="21710" xr:uid="{00000000-0005-0000-0000-00006E7C0000}"/>
    <cellStyle name="Normal 5 2 2 6 2" xfId="21714" xr:uid="{00000000-0005-0000-0000-00006F7C0000}"/>
    <cellStyle name="Normal 5 2 2 6 2 2" xfId="39259" xr:uid="{00000000-0005-0000-0000-0000707C0000}"/>
    <cellStyle name="Normal 5 2 2 6 2 2 2" xfId="39260" xr:uid="{00000000-0005-0000-0000-0000717C0000}"/>
    <cellStyle name="Normal 5 2 2 6 2 2 2 2" xfId="16631" xr:uid="{00000000-0005-0000-0000-0000727C0000}"/>
    <cellStyle name="Normal 5 2 2 6 2 2 2 2 2" xfId="31510" xr:uid="{00000000-0005-0000-0000-0000737C0000}"/>
    <cellStyle name="Normal 5 2 2 6 2 2 2 3" xfId="16635" xr:uid="{00000000-0005-0000-0000-0000747C0000}"/>
    <cellStyle name="Normal 5 2 2 6 2 2 3" xfId="8731" xr:uid="{00000000-0005-0000-0000-0000757C0000}"/>
    <cellStyle name="Normal 5 2 2 6 2 2 3 2" xfId="28709" xr:uid="{00000000-0005-0000-0000-0000767C0000}"/>
    <cellStyle name="Normal 5 2 2 6 2 2 4" xfId="28712" xr:uid="{00000000-0005-0000-0000-0000777C0000}"/>
    <cellStyle name="Normal 5 2 2 6 2 3" xfId="38462" xr:uid="{00000000-0005-0000-0000-0000787C0000}"/>
    <cellStyle name="Normal 5 2 2 6 2 3 2" xfId="38466" xr:uid="{00000000-0005-0000-0000-0000797C0000}"/>
    <cellStyle name="Normal 5 2 2 6 2 3 2 2" xfId="39262" xr:uid="{00000000-0005-0000-0000-00007A7C0000}"/>
    <cellStyle name="Normal 5 2 2 6 2 3 3" xfId="28716" xr:uid="{00000000-0005-0000-0000-00007B7C0000}"/>
    <cellStyle name="Normal 5 2 2 6 2 4" xfId="38469" xr:uid="{00000000-0005-0000-0000-00007C7C0000}"/>
    <cellStyle name="Normal 5 2 2 6 2 4 2" xfId="9385" xr:uid="{00000000-0005-0000-0000-00007D7C0000}"/>
    <cellStyle name="Normal 5 2 2 6 2 4 2 2" xfId="9388" xr:uid="{00000000-0005-0000-0000-00007E7C0000}"/>
    <cellStyle name="Normal 5 2 2 6 2 4 3" xfId="9410" xr:uid="{00000000-0005-0000-0000-00007F7C0000}"/>
    <cellStyle name="Normal 5 2 2 6 2 5" xfId="39263" xr:uid="{00000000-0005-0000-0000-0000807C0000}"/>
    <cellStyle name="Normal 5 2 2 6 2 5 2" xfId="1743" xr:uid="{00000000-0005-0000-0000-0000817C0000}"/>
    <cellStyle name="Normal 5 2 2 6 2 6" xfId="39264" xr:uid="{00000000-0005-0000-0000-0000827C0000}"/>
    <cellStyle name="Normal 5 2 2 6 2 6 2" xfId="5586" xr:uid="{00000000-0005-0000-0000-0000837C0000}"/>
    <cellStyle name="Normal 5 2 2 6 2 7" xfId="39265" xr:uid="{00000000-0005-0000-0000-0000847C0000}"/>
    <cellStyle name="Normal 5 2 2 6 3" xfId="39266" xr:uid="{00000000-0005-0000-0000-0000857C0000}"/>
    <cellStyle name="Normal 5 2 2 6 3 2" xfId="39268" xr:uid="{00000000-0005-0000-0000-0000867C0000}"/>
    <cellStyle name="Normal 5 2 2 6 3 2 2" xfId="39270" xr:uid="{00000000-0005-0000-0000-0000877C0000}"/>
    <cellStyle name="Normal 5 2 2 6 3 2 2 2" xfId="16798" xr:uid="{00000000-0005-0000-0000-0000887C0000}"/>
    <cellStyle name="Normal 5 2 2 6 3 2 3" xfId="28726" xr:uid="{00000000-0005-0000-0000-0000897C0000}"/>
    <cellStyle name="Normal 5 2 2 6 3 3" xfId="38475" xr:uid="{00000000-0005-0000-0000-00008A7C0000}"/>
    <cellStyle name="Normal 5 2 2 6 3 3 2" xfId="39271" xr:uid="{00000000-0005-0000-0000-00008B7C0000}"/>
    <cellStyle name="Normal 5 2 2 6 3 4" xfId="38982" xr:uid="{00000000-0005-0000-0000-00008C7C0000}"/>
    <cellStyle name="Normal 5 2 2 6 4" xfId="39272" xr:uid="{00000000-0005-0000-0000-00008D7C0000}"/>
    <cellStyle name="Normal 5 2 2 6 4 2" xfId="39273" xr:uid="{00000000-0005-0000-0000-00008E7C0000}"/>
    <cellStyle name="Normal 5 2 2 6 4 2 2" xfId="39161" xr:uid="{00000000-0005-0000-0000-00008F7C0000}"/>
    <cellStyle name="Normal 5 2 2 6 4 3" xfId="17584" xr:uid="{00000000-0005-0000-0000-0000907C0000}"/>
    <cellStyle name="Normal 5 2 2 6 5" xfId="34128" xr:uid="{00000000-0005-0000-0000-0000917C0000}"/>
    <cellStyle name="Normal 5 2 2 6 5 2" xfId="39274" xr:uid="{00000000-0005-0000-0000-0000927C0000}"/>
    <cellStyle name="Normal 5 2 2 6 5 2 2" xfId="7544" xr:uid="{00000000-0005-0000-0000-0000937C0000}"/>
    <cellStyle name="Normal 5 2 2 6 5 3" xfId="39275" xr:uid="{00000000-0005-0000-0000-0000947C0000}"/>
    <cellStyle name="Normal 5 2 2 6 6" xfId="39276" xr:uid="{00000000-0005-0000-0000-0000957C0000}"/>
    <cellStyle name="Normal 5 2 2 6 6 2" xfId="39277" xr:uid="{00000000-0005-0000-0000-0000967C0000}"/>
    <cellStyle name="Normal 5 2 2 6 7" xfId="39278" xr:uid="{00000000-0005-0000-0000-0000977C0000}"/>
    <cellStyle name="Normal 5 2 2 6 7 2" xfId="39279" xr:uid="{00000000-0005-0000-0000-0000987C0000}"/>
    <cellStyle name="Normal 5 2 2 6 8" xfId="38495" xr:uid="{00000000-0005-0000-0000-0000997C0000}"/>
    <cellStyle name="Normal 5 2 2 7" xfId="21717" xr:uid="{00000000-0005-0000-0000-00009A7C0000}"/>
    <cellStyle name="Normal 5 2 2 7 2" xfId="39280" xr:uid="{00000000-0005-0000-0000-00009B7C0000}"/>
    <cellStyle name="Normal 5 2 2 7 2 2" xfId="39281" xr:uid="{00000000-0005-0000-0000-00009C7C0000}"/>
    <cellStyle name="Normal 5 2 2 7 2 2 2" xfId="39282" xr:uid="{00000000-0005-0000-0000-00009D7C0000}"/>
    <cellStyle name="Normal 5 2 2 7 2 2 2 2" xfId="2443" xr:uid="{00000000-0005-0000-0000-00009E7C0000}"/>
    <cellStyle name="Normal 5 2 2 7 2 2 3" xfId="28792" xr:uid="{00000000-0005-0000-0000-00009F7C0000}"/>
    <cellStyle name="Normal 5 2 2 7 2 3" xfId="39283" xr:uid="{00000000-0005-0000-0000-0000A07C0000}"/>
    <cellStyle name="Normal 5 2 2 7 2 3 2" xfId="39285" xr:uid="{00000000-0005-0000-0000-0000A17C0000}"/>
    <cellStyle name="Normal 5 2 2 7 2 4" xfId="39286" xr:uid="{00000000-0005-0000-0000-0000A27C0000}"/>
    <cellStyle name="Normal 5 2 2 7 3" xfId="35041" xr:uid="{00000000-0005-0000-0000-0000A37C0000}"/>
    <cellStyle name="Normal 5 2 2 7 3 2" xfId="35044" xr:uid="{00000000-0005-0000-0000-0000A47C0000}"/>
    <cellStyle name="Normal 5 2 2 7 3 2 2" xfId="39287" xr:uid="{00000000-0005-0000-0000-0000A57C0000}"/>
    <cellStyle name="Normal 5 2 2 7 3 3" xfId="39288" xr:uid="{00000000-0005-0000-0000-0000A67C0000}"/>
    <cellStyle name="Normal 5 2 2 7 4" xfId="35047" xr:uid="{00000000-0005-0000-0000-0000A77C0000}"/>
    <cellStyle name="Normal 5 2 2 7 4 2" xfId="39289" xr:uid="{00000000-0005-0000-0000-0000A87C0000}"/>
    <cellStyle name="Normal 5 2 2 7 4 2 2" xfId="39290" xr:uid="{00000000-0005-0000-0000-0000A97C0000}"/>
    <cellStyle name="Normal 5 2 2 7 4 3" xfId="39291" xr:uid="{00000000-0005-0000-0000-0000AA7C0000}"/>
    <cellStyle name="Normal 5 2 2 7 5" xfId="4966" xr:uid="{00000000-0005-0000-0000-0000AB7C0000}"/>
    <cellStyle name="Normal 5 2 2 7 5 2" xfId="39292" xr:uid="{00000000-0005-0000-0000-0000AC7C0000}"/>
    <cellStyle name="Normal 5 2 2 7 6" xfId="4985" xr:uid="{00000000-0005-0000-0000-0000AD7C0000}"/>
    <cellStyle name="Normal 5 2 2 7 6 2" xfId="39293" xr:uid="{00000000-0005-0000-0000-0000AE7C0000}"/>
    <cellStyle name="Normal 5 2 2 7 7" xfId="39294" xr:uid="{00000000-0005-0000-0000-0000AF7C0000}"/>
    <cellStyle name="Normal 5 2 2 8" xfId="39295" xr:uid="{00000000-0005-0000-0000-0000B07C0000}"/>
    <cellStyle name="Normal 5 2 2 8 2" xfId="39298" xr:uid="{00000000-0005-0000-0000-0000B17C0000}"/>
    <cellStyle name="Normal 5 2 2 8 2 2" xfId="39302" xr:uid="{00000000-0005-0000-0000-0000B27C0000}"/>
    <cellStyle name="Normal 5 2 2 8 2 2 2" xfId="22083" xr:uid="{00000000-0005-0000-0000-0000B37C0000}"/>
    <cellStyle name="Normal 5 2 2 8 2 3" xfId="39306" xr:uid="{00000000-0005-0000-0000-0000B47C0000}"/>
    <cellStyle name="Normal 5 2 2 8 3" xfId="35052" xr:uid="{00000000-0005-0000-0000-0000B57C0000}"/>
    <cellStyle name="Normal 5 2 2 8 3 2" xfId="39310" xr:uid="{00000000-0005-0000-0000-0000B67C0000}"/>
    <cellStyle name="Normal 5 2 2 8 4" xfId="39315" xr:uid="{00000000-0005-0000-0000-0000B77C0000}"/>
    <cellStyle name="Normal 5 2 2 9" xfId="39316" xr:uid="{00000000-0005-0000-0000-0000B87C0000}"/>
    <cellStyle name="Normal 5 2 2 9 2" xfId="39319" xr:uid="{00000000-0005-0000-0000-0000B97C0000}"/>
    <cellStyle name="Normal 5 2 2 9 2 2" xfId="39321" xr:uid="{00000000-0005-0000-0000-0000BA7C0000}"/>
    <cellStyle name="Normal 5 2 2 9 3" xfId="39323" xr:uid="{00000000-0005-0000-0000-0000BB7C0000}"/>
    <cellStyle name="Normal 5 2 3" xfId="16189" xr:uid="{00000000-0005-0000-0000-0000BC7C0000}"/>
    <cellStyle name="Normal 5 2 3 10" xfId="39324" xr:uid="{00000000-0005-0000-0000-0000BD7C0000}"/>
    <cellStyle name="Normal 5 2 3 10 2" xfId="39325" xr:uid="{00000000-0005-0000-0000-0000BE7C0000}"/>
    <cellStyle name="Normal 5 2 3 11" xfId="21013" xr:uid="{00000000-0005-0000-0000-0000BF7C0000}"/>
    <cellStyle name="Normal 5 2 3 11 2" xfId="39326" xr:uid="{00000000-0005-0000-0000-0000C07C0000}"/>
    <cellStyle name="Normal 5 2 3 12" xfId="39328" xr:uid="{00000000-0005-0000-0000-0000C17C0000}"/>
    <cellStyle name="Normal 5 2 3 12 2" xfId="23148" xr:uid="{00000000-0005-0000-0000-0000C27C0000}"/>
    <cellStyle name="Normal 5 2 3 2" xfId="22661" xr:uid="{00000000-0005-0000-0000-0000C37C0000}"/>
    <cellStyle name="Normal 5 2 3 2 2" xfId="22664" xr:uid="{00000000-0005-0000-0000-0000C47C0000}"/>
    <cellStyle name="Normal 5 2 3 2 2 2" xfId="22667" xr:uid="{00000000-0005-0000-0000-0000C57C0000}"/>
    <cellStyle name="Normal 5 2 3 2 2 2 2" xfId="23929" xr:uid="{00000000-0005-0000-0000-0000C67C0000}"/>
    <cellStyle name="Normal 5 2 3 2 2 2 2 2" xfId="3638" xr:uid="{00000000-0005-0000-0000-0000C77C0000}"/>
    <cellStyle name="Normal 5 2 3 2 2 2 2 2 2" xfId="18413" xr:uid="{00000000-0005-0000-0000-0000C87C0000}"/>
    <cellStyle name="Normal 5 2 3 2 2 2 2 2 2 2" xfId="960" xr:uid="{00000000-0005-0000-0000-0000C97C0000}"/>
    <cellStyle name="Normal 5 2 3 2 2 2 2 2 3" xfId="34178" xr:uid="{00000000-0005-0000-0000-0000CA7C0000}"/>
    <cellStyle name="Normal 5 2 3 2 2 2 2 3" xfId="23937" xr:uid="{00000000-0005-0000-0000-0000CB7C0000}"/>
    <cellStyle name="Normal 5 2 3 2 2 2 2 3 2" xfId="37307" xr:uid="{00000000-0005-0000-0000-0000CC7C0000}"/>
    <cellStyle name="Normal 5 2 3 2 2 2 2 4" xfId="37321" xr:uid="{00000000-0005-0000-0000-0000CD7C0000}"/>
    <cellStyle name="Normal 5 2 3 2 2 2 3" xfId="26074" xr:uid="{00000000-0005-0000-0000-0000CE7C0000}"/>
    <cellStyle name="Normal 5 2 3 2 2 2 3 2" xfId="26078" xr:uid="{00000000-0005-0000-0000-0000CF7C0000}"/>
    <cellStyle name="Normal 5 2 3 2 2 2 3 2 2" xfId="37340" xr:uid="{00000000-0005-0000-0000-0000D07C0000}"/>
    <cellStyle name="Normal 5 2 3 2 2 2 3 3" xfId="37365" xr:uid="{00000000-0005-0000-0000-0000D17C0000}"/>
    <cellStyle name="Normal 5 2 3 2 2 2 4" xfId="26085" xr:uid="{00000000-0005-0000-0000-0000D27C0000}"/>
    <cellStyle name="Normal 5 2 3 2 2 2 4 2" xfId="36286" xr:uid="{00000000-0005-0000-0000-0000D37C0000}"/>
    <cellStyle name="Normal 5 2 3 2 2 2 4 2 2" xfId="37396" xr:uid="{00000000-0005-0000-0000-0000D47C0000}"/>
    <cellStyle name="Normal 5 2 3 2 2 2 4 3" xfId="37417" xr:uid="{00000000-0005-0000-0000-0000D57C0000}"/>
    <cellStyle name="Normal 5 2 3 2 2 2 5" xfId="26092" xr:uid="{00000000-0005-0000-0000-0000D67C0000}"/>
    <cellStyle name="Normal 5 2 3 2 2 2 5 2" xfId="37446" xr:uid="{00000000-0005-0000-0000-0000D77C0000}"/>
    <cellStyle name="Normal 5 2 3 2 2 2 6" xfId="24201" xr:uid="{00000000-0005-0000-0000-0000D87C0000}"/>
    <cellStyle name="Normal 5 2 3 2 2 2 6 2" xfId="28327" xr:uid="{00000000-0005-0000-0000-0000D97C0000}"/>
    <cellStyle name="Normal 5 2 3 2 2 2 7" xfId="20133" xr:uid="{00000000-0005-0000-0000-0000DA7C0000}"/>
    <cellStyle name="Normal 5 2 3 2 2 3" xfId="25076" xr:uid="{00000000-0005-0000-0000-0000DB7C0000}"/>
    <cellStyle name="Normal 5 2 3 2 2 3 2" xfId="24115" xr:uid="{00000000-0005-0000-0000-0000DC7C0000}"/>
    <cellStyle name="Normal 5 2 3 2 2 3 2 2" xfId="1179" xr:uid="{00000000-0005-0000-0000-0000DD7C0000}"/>
    <cellStyle name="Normal 5 2 3 2 2 3 2 2 2" xfId="1194" xr:uid="{00000000-0005-0000-0000-0000DE7C0000}"/>
    <cellStyle name="Normal 5 2 3 2 2 3 2 3" xfId="1255" xr:uid="{00000000-0005-0000-0000-0000DF7C0000}"/>
    <cellStyle name="Normal 5 2 3 2 2 3 3" xfId="26100" xr:uid="{00000000-0005-0000-0000-0000E07C0000}"/>
    <cellStyle name="Normal 5 2 3 2 2 3 3 2" xfId="1313" xr:uid="{00000000-0005-0000-0000-0000E17C0000}"/>
    <cellStyle name="Normal 5 2 3 2 2 3 4" xfId="36295" xr:uid="{00000000-0005-0000-0000-0000E27C0000}"/>
    <cellStyle name="Normal 5 2 3 2 2 4" xfId="26107" xr:uid="{00000000-0005-0000-0000-0000E37C0000}"/>
    <cellStyle name="Normal 5 2 3 2 2 4 2" xfId="26110" xr:uid="{00000000-0005-0000-0000-0000E47C0000}"/>
    <cellStyle name="Normal 5 2 3 2 2 4 2 2" xfId="25087" xr:uid="{00000000-0005-0000-0000-0000E57C0000}"/>
    <cellStyle name="Normal 5 2 3 2 2 4 3" xfId="26114" xr:uid="{00000000-0005-0000-0000-0000E67C0000}"/>
    <cellStyle name="Normal 5 2 3 2 2 5" xfId="26117" xr:uid="{00000000-0005-0000-0000-0000E77C0000}"/>
    <cellStyle name="Normal 5 2 3 2 2 5 2" xfId="24246" xr:uid="{00000000-0005-0000-0000-0000E87C0000}"/>
    <cellStyle name="Normal 5 2 3 2 2 5 2 2" xfId="39329" xr:uid="{00000000-0005-0000-0000-0000E97C0000}"/>
    <cellStyle name="Normal 5 2 3 2 2 5 3" xfId="39330" xr:uid="{00000000-0005-0000-0000-0000EA7C0000}"/>
    <cellStyle name="Normal 5 2 3 2 2 6" xfId="26120" xr:uid="{00000000-0005-0000-0000-0000EB7C0000}"/>
    <cellStyle name="Normal 5 2 3 2 2 6 2" xfId="26123" xr:uid="{00000000-0005-0000-0000-0000EC7C0000}"/>
    <cellStyle name="Normal 5 2 3 2 2 7" xfId="26128" xr:uid="{00000000-0005-0000-0000-0000ED7C0000}"/>
    <cellStyle name="Normal 5 2 3 2 2 7 2" xfId="39331" xr:uid="{00000000-0005-0000-0000-0000EE7C0000}"/>
    <cellStyle name="Normal 5 2 3 2 2 8" xfId="26131" xr:uid="{00000000-0005-0000-0000-0000EF7C0000}"/>
    <cellStyle name="Normal 5 2 3 2 3" xfId="22670" xr:uid="{00000000-0005-0000-0000-0000F07C0000}"/>
    <cellStyle name="Normal 5 2 3 2 3 2" xfId="26134" xr:uid="{00000000-0005-0000-0000-0000F17C0000}"/>
    <cellStyle name="Normal 5 2 3 2 3 2 2" xfId="25163" xr:uid="{00000000-0005-0000-0000-0000F27C0000}"/>
    <cellStyle name="Normal 5 2 3 2 3 2 2 2" xfId="25166" xr:uid="{00000000-0005-0000-0000-0000F37C0000}"/>
    <cellStyle name="Normal 5 2 3 2 3 2 2 2 2" xfId="39332" xr:uid="{00000000-0005-0000-0000-0000F47C0000}"/>
    <cellStyle name="Normal 5 2 3 2 3 2 2 3" xfId="39334" xr:uid="{00000000-0005-0000-0000-0000F57C0000}"/>
    <cellStyle name="Normal 5 2 3 2 3 2 3" xfId="26136" xr:uid="{00000000-0005-0000-0000-0000F67C0000}"/>
    <cellStyle name="Normal 5 2 3 2 3 2 3 2" xfId="39335" xr:uid="{00000000-0005-0000-0000-0000F77C0000}"/>
    <cellStyle name="Normal 5 2 3 2 3 2 4" xfId="39336" xr:uid="{00000000-0005-0000-0000-0000F87C0000}"/>
    <cellStyle name="Normal 5 2 3 2 3 3" xfId="18930" xr:uid="{00000000-0005-0000-0000-0000F97C0000}"/>
    <cellStyle name="Normal 5 2 3 2 3 3 2" xfId="18935" xr:uid="{00000000-0005-0000-0000-0000FA7C0000}"/>
    <cellStyle name="Normal 5 2 3 2 3 3 2 2" xfId="4398" xr:uid="{00000000-0005-0000-0000-0000FB7C0000}"/>
    <cellStyle name="Normal 5 2 3 2 3 3 3" xfId="39337" xr:uid="{00000000-0005-0000-0000-0000FC7C0000}"/>
    <cellStyle name="Normal 5 2 3 2 3 4" xfId="18941" xr:uid="{00000000-0005-0000-0000-0000FD7C0000}"/>
    <cellStyle name="Normal 5 2 3 2 3 4 2" xfId="39338" xr:uid="{00000000-0005-0000-0000-0000FE7C0000}"/>
    <cellStyle name="Normal 5 2 3 2 3 4 2 2" xfId="39339" xr:uid="{00000000-0005-0000-0000-0000FF7C0000}"/>
    <cellStyle name="Normal 5 2 3 2 3 4 3" xfId="39340" xr:uid="{00000000-0005-0000-0000-0000007D0000}"/>
    <cellStyle name="Normal 5 2 3 2 3 5" xfId="26138" xr:uid="{00000000-0005-0000-0000-0000017D0000}"/>
    <cellStyle name="Normal 5 2 3 2 3 5 2" xfId="39341" xr:uid="{00000000-0005-0000-0000-0000027D0000}"/>
    <cellStyle name="Normal 5 2 3 2 3 6" xfId="39342" xr:uid="{00000000-0005-0000-0000-0000037D0000}"/>
    <cellStyle name="Normal 5 2 3 2 3 6 2" xfId="39343" xr:uid="{00000000-0005-0000-0000-0000047D0000}"/>
    <cellStyle name="Normal 5 2 3 2 3 7" xfId="21062" xr:uid="{00000000-0005-0000-0000-0000057D0000}"/>
    <cellStyle name="Normal 5 2 3 2 4" xfId="11217" xr:uid="{00000000-0005-0000-0000-0000067D0000}"/>
    <cellStyle name="Normal 5 2 3 2 4 2" xfId="26140" xr:uid="{00000000-0005-0000-0000-0000077D0000}"/>
    <cellStyle name="Normal 5 2 3 2 4 2 2" xfId="3768" xr:uid="{00000000-0005-0000-0000-0000087D0000}"/>
    <cellStyle name="Normal 5 2 3 2 4 2 2 2" xfId="3680" xr:uid="{00000000-0005-0000-0000-0000097D0000}"/>
    <cellStyle name="Normal 5 2 3 2 4 2 3" xfId="3789" xr:uid="{00000000-0005-0000-0000-00000A7D0000}"/>
    <cellStyle name="Normal 5 2 3 2 4 3" xfId="18949" xr:uid="{00000000-0005-0000-0000-00000B7D0000}"/>
    <cellStyle name="Normal 5 2 3 2 4 3 2" xfId="19507" xr:uid="{00000000-0005-0000-0000-00000C7D0000}"/>
    <cellStyle name="Normal 5 2 3 2 4 4" xfId="38798" xr:uid="{00000000-0005-0000-0000-00000D7D0000}"/>
    <cellStyle name="Normal 5 2 3 2 5" xfId="24084" xr:uid="{00000000-0005-0000-0000-00000E7D0000}"/>
    <cellStyle name="Normal 5 2 3 2 5 2" xfId="26142" xr:uid="{00000000-0005-0000-0000-00000F7D0000}"/>
    <cellStyle name="Normal 5 2 3 2 5 2 2" xfId="26144" xr:uid="{00000000-0005-0000-0000-0000107D0000}"/>
    <cellStyle name="Normal 5 2 3 2 5 3" xfId="24026" xr:uid="{00000000-0005-0000-0000-0000117D0000}"/>
    <cellStyle name="Normal 5 2 3 2 6" xfId="26148" xr:uid="{00000000-0005-0000-0000-0000127D0000}"/>
    <cellStyle name="Normal 5 2 3 2 6 2" xfId="26150" xr:uid="{00000000-0005-0000-0000-0000137D0000}"/>
    <cellStyle name="Normal 5 2 3 2 6 2 2" xfId="39344" xr:uid="{00000000-0005-0000-0000-0000147D0000}"/>
    <cellStyle name="Normal 5 2 3 2 6 3" xfId="38801" xr:uid="{00000000-0005-0000-0000-0000157D0000}"/>
    <cellStyle name="Normal 5 2 3 2 7" xfId="26152" xr:uid="{00000000-0005-0000-0000-0000167D0000}"/>
    <cellStyle name="Normal 5 2 3 2 7 2" xfId="26154" xr:uid="{00000000-0005-0000-0000-0000177D0000}"/>
    <cellStyle name="Normal 5 2 3 2 8" xfId="26156" xr:uid="{00000000-0005-0000-0000-0000187D0000}"/>
    <cellStyle name="Normal 5 2 3 2 8 2" xfId="27555" xr:uid="{00000000-0005-0000-0000-0000197D0000}"/>
    <cellStyle name="Normal 5 2 3 2 9" xfId="26158" xr:uid="{00000000-0005-0000-0000-00001A7D0000}"/>
    <cellStyle name="Normal 5 2 3 3" xfId="22673" xr:uid="{00000000-0005-0000-0000-00001B7D0000}"/>
    <cellStyle name="Normal 5 2 3 3 2" xfId="16214" xr:uid="{00000000-0005-0000-0000-00001C7D0000}"/>
    <cellStyle name="Normal 5 2 3 3 2 2" xfId="26160" xr:uid="{00000000-0005-0000-0000-00001D7D0000}"/>
    <cellStyle name="Normal 5 2 3 3 2 2 2" xfId="5068" xr:uid="{00000000-0005-0000-0000-00001E7D0000}"/>
    <cellStyle name="Normal 5 2 3 3 2 2 2 2" xfId="5074" xr:uid="{00000000-0005-0000-0000-00001F7D0000}"/>
    <cellStyle name="Normal 5 2 3 3 2 2 2 2 2" xfId="23053" xr:uid="{00000000-0005-0000-0000-0000207D0000}"/>
    <cellStyle name="Normal 5 2 3 3 2 2 2 3" xfId="26164" xr:uid="{00000000-0005-0000-0000-0000217D0000}"/>
    <cellStyle name="Normal 5 2 3 3 2 2 3" xfId="5082" xr:uid="{00000000-0005-0000-0000-0000227D0000}"/>
    <cellStyle name="Normal 5 2 3 3 2 2 3 2" xfId="26169" xr:uid="{00000000-0005-0000-0000-0000237D0000}"/>
    <cellStyle name="Normal 5 2 3 3 2 2 4" xfId="18090" xr:uid="{00000000-0005-0000-0000-0000247D0000}"/>
    <cellStyle name="Normal 5 2 3 3 2 3" xfId="26172" xr:uid="{00000000-0005-0000-0000-0000257D0000}"/>
    <cellStyle name="Normal 5 2 3 3 2 3 2" xfId="5123" xr:uid="{00000000-0005-0000-0000-0000267D0000}"/>
    <cellStyle name="Normal 5 2 3 3 2 3 2 2" xfId="26175" xr:uid="{00000000-0005-0000-0000-0000277D0000}"/>
    <cellStyle name="Normal 5 2 3 3 2 3 3" xfId="26177" xr:uid="{00000000-0005-0000-0000-0000287D0000}"/>
    <cellStyle name="Normal 5 2 3 3 2 4" xfId="26183" xr:uid="{00000000-0005-0000-0000-0000297D0000}"/>
    <cellStyle name="Normal 5 2 3 3 2 4 2" xfId="5160" xr:uid="{00000000-0005-0000-0000-00002A7D0000}"/>
    <cellStyle name="Normal 5 2 3 3 2 4 2 2" xfId="26186" xr:uid="{00000000-0005-0000-0000-00002B7D0000}"/>
    <cellStyle name="Normal 5 2 3 3 2 4 3" xfId="26188" xr:uid="{00000000-0005-0000-0000-00002C7D0000}"/>
    <cellStyle name="Normal 5 2 3 3 2 5" xfId="4710" xr:uid="{00000000-0005-0000-0000-00002D7D0000}"/>
    <cellStyle name="Normal 5 2 3 3 2 5 2" xfId="26190" xr:uid="{00000000-0005-0000-0000-00002E7D0000}"/>
    <cellStyle name="Normal 5 2 3 3 2 6" xfId="26192" xr:uid="{00000000-0005-0000-0000-00002F7D0000}"/>
    <cellStyle name="Normal 5 2 3 3 2 6 2" xfId="26195" xr:uid="{00000000-0005-0000-0000-0000307D0000}"/>
    <cellStyle name="Normal 5 2 3 3 2 7" xfId="11322" xr:uid="{00000000-0005-0000-0000-0000317D0000}"/>
    <cellStyle name="Normal 5 2 3 3 3" xfId="26201" xr:uid="{00000000-0005-0000-0000-0000327D0000}"/>
    <cellStyle name="Normal 5 2 3 3 3 2" xfId="26203" xr:uid="{00000000-0005-0000-0000-0000337D0000}"/>
    <cellStyle name="Normal 5 2 3 3 3 2 2" xfId="3566" xr:uid="{00000000-0005-0000-0000-0000347D0000}"/>
    <cellStyle name="Normal 5 2 3 3 3 2 2 2" xfId="18261" xr:uid="{00000000-0005-0000-0000-0000357D0000}"/>
    <cellStyle name="Normal 5 2 3 3 3 2 3" xfId="26206" xr:uid="{00000000-0005-0000-0000-0000367D0000}"/>
    <cellStyle name="Normal 5 2 3 3 3 3" xfId="18964" xr:uid="{00000000-0005-0000-0000-0000377D0000}"/>
    <cellStyle name="Normal 5 2 3 3 3 3 2" xfId="664" xr:uid="{00000000-0005-0000-0000-0000387D0000}"/>
    <cellStyle name="Normal 5 2 3 3 3 4" xfId="26208" xr:uid="{00000000-0005-0000-0000-0000397D0000}"/>
    <cellStyle name="Normal 5 2 3 3 4" xfId="26211" xr:uid="{00000000-0005-0000-0000-00003A7D0000}"/>
    <cellStyle name="Normal 5 2 3 3 4 2" xfId="15369" xr:uid="{00000000-0005-0000-0000-00003B7D0000}"/>
    <cellStyle name="Normal 5 2 3 3 4 2 2" xfId="4973" xr:uid="{00000000-0005-0000-0000-00003C7D0000}"/>
    <cellStyle name="Normal 5 2 3 3 4 3" xfId="16975" xr:uid="{00000000-0005-0000-0000-00003D7D0000}"/>
    <cellStyle name="Normal 5 2 3 3 5" xfId="26213" xr:uid="{00000000-0005-0000-0000-00003E7D0000}"/>
    <cellStyle name="Normal 5 2 3 3 5 2" xfId="14021" xr:uid="{00000000-0005-0000-0000-00003F7D0000}"/>
    <cellStyle name="Normal 5 2 3 3 5 2 2" xfId="16995" xr:uid="{00000000-0005-0000-0000-0000407D0000}"/>
    <cellStyle name="Normal 5 2 3 3 5 3" xfId="9331" xr:uid="{00000000-0005-0000-0000-0000417D0000}"/>
    <cellStyle name="Normal 5 2 3 3 6" xfId="3957" xr:uid="{00000000-0005-0000-0000-0000427D0000}"/>
    <cellStyle name="Normal 5 2 3 3 6 2" xfId="1999" xr:uid="{00000000-0005-0000-0000-0000437D0000}"/>
    <cellStyle name="Normal 5 2 3 3 7" xfId="4076" xr:uid="{00000000-0005-0000-0000-0000447D0000}"/>
    <cellStyle name="Normal 5 2 3 3 7 2" xfId="2185" xr:uid="{00000000-0005-0000-0000-0000457D0000}"/>
    <cellStyle name="Normal 5 2 3 3 8" xfId="26215" xr:uid="{00000000-0005-0000-0000-0000467D0000}"/>
    <cellStyle name="Normal 5 2 3 4" xfId="3419" xr:uid="{00000000-0005-0000-0000-0000477D0000}"/>
    <cellStyle name="Normal 5 2 3 4 2" xfId="25309" xr:uid="{00000000-0005-0000-0000-0000487D0000}"/>
    <cellStyle name="Normal 5 2 3 4 2 2" xfId="26218" xr:uid="{00000000-0005-0000-0000-0000497D0000}"/>
    <cellStyle name="Normal 5 2 3 4 2 2 2" xfId="26220" xr:uid="{00000000-0005-0000-0000-00004A7D0000}"/>
    <cellStyle name="Normal 5 2 3 4 2 2 2 2" xfId="26223" xr:uid="{00000000-0005-0000-0000-00004B7D0000}"/>
    <cellStyle name="Normal 5 2 3 4 2 2 2 2 2" xfId="26227" xr:uid="{00000000-0005-0000-0000-00004C7D0000}"/>
    <cellStyle name="Normal 5 2 3 4 2 2 2 3" xfId="26230" xr:uid="{00000000-0005-0000-0000-00004D7D0000}"/>
    <cellStyle name="Normal 5 2 3 4 2 2 3" xfId="26232" xr:uid="{00000000-0005-0000-0000-00004E7D0000}"/>
    <cellStyle name="Normal 5 2 3 4 2 2 3 2" xfId="26236" xr:uid="{00000000-0005-0000-0000-00004F7D0000}"/>
    <cellStyle name="Normal 5 2 3 4 2 2 4" xfId="26239" xr:uid="{00000000-0005-0000-0000-0000507D0000}"/>
    <cellStyle name="Normal 5 2 3 4 2 3" xfId="26241" xr:uid="{00000000-0005-0000-0000-0000517D0000}"/>
    <cellStyle name="Normal 5 2 3 4 2 3 2" xfId="26244" xr:uid="{00000000-0005-0000-0000-0000527D0000}"/>
    <cellStyle name="Normal 5 2 3 4 2 3 2 2" xfId="26247" xr:uid="{00000000-0005-0000-0000-0000537D0000}"/>
    <cellStyle name="Normal 5 2 3 4 2 3 3" xfId="26249" xr:uid="{00000000-0005-0000-0000-0000547D0000}"/>
    <cellStyle name="Normal 5 2 3 4 2 4" xfId="26251" xr:uid="{00000000-0005-0000-0000-0000557D0000}"/>
    <cellStyle name="Normal 5 2 3 4 2 4 2" xfId="23221" xr:uid="{00000000-0005-0000-0000-0000567D0000}"/>
    <cellStyle name="Normal 5 2 3 4 2 4 2 2" xfId="1447" xr:uid="{00000000-0005-0000-0000-0000577D0000}"/>
    <cellStyle name="Normal 5 2 3 4 2 4 3" xfId="26254" xr:uid="{00000000-0005-0000-0000-0000587D0000}"/>
    <cellStyle name="Normal 5 2 3 4 2 5" xfId="26256" xr:uid="{00000000-0005-0000-0000-0000597D0000}"/>
    <cellStyle name="Normal 5 2 3 4 2 5 2" xfId="26258" xr:uid="{00000000-0005-0000-0000-00005A7D0000}"/>
    <cellStyle name="Normal 5 2 3 4 2 6" xfId="26260" xr:uid="{00000000-0005-0000-0000-00005B7D0000}"/>
    <cellStyle name="Normal 5 2 3 4 2 6 2" xfId="26263" xr:uid="{00000000-0005-0000-0000-00005C7D0000}"/>
    <cellStyle name="Normal 5 2 3 4 2 7" xfId="26265" xr:uid="{00000000-0005-0000-0000-00005D7D0000}"/>
    <cellStyle name="Normal 5 2 3 4 3" xfId="26268" xr:uid="{00000000-0005-0000-0000-00005E7D0000}"/>
    <cellStyle name="Normal 5 2 3 4 3 2" xfId="26270" xr:uid="{00000000-0005-0000-0000-00005F7D0000}"/>
    <cellStyle name="Normal 5 2 3 4 3 2 2" xfId="26272" xr:uid="{00000000-0005-0000-0000-0000607D0000}"/>
    <cellStyle name="Normal 5 2 3 4 3 2 2 2" xfId="17373" xr:uid="{00000000-0005-0000-0000-0000617D0000}"/>
    <cellStyle name="Normal 5 2 3 4 3 2 3" xfId="26276" xr:uid="{00000000-0005-0000-0000-0000627D0000}"/>
    <cellStyle name="Normal 5 2 3 4 3 3" xfId="18974" xr:uid="{00000000-0005-0000-0000-0000637D0000}"/>
    <cellStyle name="Normal 5 2 3 4 3 3 2" xfId="26278" xr:uid="{00000000-0005-0000-0000-0000647D0000}"/>
    <cellStyle name="Normal 5 2 3 4 3 4" xfId="26283" xr:uid="{00000000-0005-0000-0000-0000657D0000}"/>
    <cellStyle name="Normal 5 2 3 4 4" xfId="26288" xr:uid="{00000000-0005-0000-0000-0000667D0000}"/>
    <cellStyle name="Normal 5 2 3 4 4 2" xfId="15500" xr:uid="{00000000-0005-0000-0000-0000677D0000}"/>
    <cellStyle name="Normal 5 2 3 4 4 2 2" xfId="6387" xr:uid="{00000000-0005-0000-0000-0000687D0000}"/>
    <cellStyle name="Normal 5 2 3 4 4 3" xfId="17008" xr:uid="{00000000-0005-0000-0000-0000697D0000}"/>
    <cellStyle name="Normal 5 2 3 4 5" xfId="26290" xr:uid="{00000000-0005-0000-0000-00006A7D0000}"/>
    <cellStyle name="Normal 5 2 3 4 5 2" xfId="17028" xr:uid="{00000000-0005-0000-0000-00006B7D0000}"/>
    <cellStyle name="Normal 5 2 3 4 5 2 2" xfId="14778" xr:uid="{00000000-0005-0000-0000-00006C7D0000}"/>
    <cellStyle name="Normal 5 2 3 4 5 3" xfId="9474" xr:uid="{00000000-0005-0000-0000-00006D7D0000}"/>
    <cellStyle name="Normal 5 2 3 4 6" xfId="4224" xr:uid="{00000000-0005-0000-0000-00006E7D0000}"/>
    <cellStyle name="Normal 5 2 3 4 6 2" xfId="2498" xr:uid="{00000000-0005-0000-0000-00006F7D0000}"/>
    <cellStyle name="Normal 5 2 3 4 7" xfId="26292" xr:uid="{00000000-0005-0000-0000-0000707D0000}"/>
    <cellStyle name="Normal 5 2 3 4 7 2" xfId="2745" xr:uid="{00000000-0005-0000-0000-0000717D0000}"/>
    <cellStyle name="Normal 5 2 3 4 8" xfId="26294" xr:uid="{00000000-0005-0000-0000-0000727D0000}"/>
    <cellStyle name="Normal 5 2 3 5" xfId="21726" xr:uid="{00000000-0005-0000-0000-0000737D0000}"/>
    <cellStyle name="Normal 5 2 3 5 2" xfId="21731" xr:uid="{00000000-0005-0000-0000-0000747D0000}"/>
    <cellStyle name="Normal 5 2 3 5 2 2" xfId="26297" xr:uid="{00000000-0005-0000-0000-0000757D0000}"/>
    <cellStyle name="Normal 5 2 3 5 2 2 2" xfId="26299" xr:uid="{00000000-0005-0000-0000-0000767D0000}"/>
    <cellStyle name="Normal 5 2 3 5 2 2 2 2" xfId="7092" xr:uid="{00000000-0005-0000-0000-0000777D0000}"/>
    <cellStyle name="Normal 5 2 3 5 2 2 2 2 2" xfId="39346" xr:uid="{00000000-0005-0000-0000-0000787D0000}"/>
    <cellStyle name="Normal 5 2 3 5 2 2 2 3" xfId="12397" xr:uid="{00000000-0005-0000-0000-0000797D0000}"/>
    <cellStyle name="Normal 5 2 3 5 2 2 3" xfId="26301" xr:uid="{00000000-0005-0000-0000-00007A7D0000}"/>
    <cellStyle name="Normal 5 2 3 5 2 2 3 2" xfId="29014" xr:uid="{00000000-0005-0000-0000-00007B7D0000}"/>
    <cellStyle name="Normal 5 2 3 5 2 2 4" xfId="29017" xr:uid="{00000000-0005-0000-0000-00007C7D0000}"/>
    <cellStyle name="Normal 5 2 3 5 2 3" xfId="26305" xr:uid="{00000000-0005-0000-0000-00007D7D0000}"/>
    <cellStyle name="Normal 5 2 3 5 2 3 2" xfId="26308" xr:uid="{00000000-0005-0000-0000-00007E7D0000}"/>
    <cellStyle name="Normal 5 2 3 5 2 3 2 2" xfId="39347" xr:uid="{00000000-0005-0000-0000-00007F7D0000}"/>
    <cellStyle name="Normal 5 2 3 5 2 3 3" xfId="29022" xr:uid="{00000000-0005-0000-0000-0000807D0000}"/>
    <cellStyle name="Normal 5 2 3 5 2 4" xfId="26311" xr:uid="{00000000-0005-0000-0000-0000817D0000}"/>
    <cellStyle name="Normal 5 2 3 5 2 4 2" xfId="39348" xr:uid="{00000000-0005-0000-0000-0000827D0000}"/>
    <cellStyle name="Normal 5 2 3 5 2 4 2 2" xfId="39349" xr:uid="{00000000-0005-0000-0000-0000837D0000}"/>
    <cellStyle name="Normal 5 2 3 5 2 4 3" xfId="39350" xr:uid="{00000000-0005-0000-0000-0000847D0000}"/>
    <cellStyle name="Normal 5 2 3 5 2 5" xfId="39351" xr:uid="{00000000-0005-0000-0000-0000857D0000}"/>
    <cellStyle name="Normal 5 2 3 5 2 5 2" xfId="39352" xr:uid="{00000000-0005-0000-0000-0000867D0000}"/>
    <cellStyle name="Normal 5 2 3 5 2 6" xfId="39353" xr:uid="{00000000-0005-0000-0000-0000877D0000}"/>
    <cellStyle name="Normal 5 2 3 5 2 6 2" xfId="39354" xr:uid="{00000000-0005-0000-0000-0000887D0000}"/>
    <cellStyle name="Normal 5 2 3 5 2 7" xfId="39355" xr:uid="{00000000-0005-0000-0000-0000897D0000}"/>
    <cellStyle name="Normal 5 2 3 5 3" xfId="14068" xr:uid="{00000000-0005-0000-0000-00008A7D0000}"/>
    <cellStyle name="Normal 5 2 3 5 3 2" xfId="13846" xr:uid="{00000000-0005-0000-0000-00008B7D0000}"/>
    <cellStyle name="Normal 5 2 3 5 3 2 2" xfId="26315" xr:uid="{00000000-0005-0000-0000-00008C7D0000}"/>
    <cellStyle name="Normal 5 2 3 5 3 2 2 2" xfId="39356" xr:uid="{00000000-0005-0000-0000-00008D7D0000}"/>
    <cellStyle name="Normal 5 2 3 5 3 2 3" xfId="21684" xr:uid="{00000000-0005-0000-0000-00008E7D0000}"/>
    <cellStyle name="Normal 5 2 3 5 3 3" xfId="26317" xr:uid="{00000000-0005-0000-0000-00008F7D0000}"/>
    <cellStyle name="Normal 5 2 3 5 3 3 2" xfId="38866" xr:uid="{00000000-0005-0000-0000-0000907D0000}"/>
    <cellStyle name="Normal 5 2 3 5 3 4" xfId="38868" xr:uid="{00000000-0005-0000-0000-0000917D0000}"/>
    <cellStyle name="Normal 5 2 3 5 4" xfId="10282" xr:uid="{00000000-0005-0000-0000-0000927D0000}"/>
    <cellStyle name="Normal 5 2 3 5 4 2" xfId="15583" xr:uid="{00000000-0005-0000-0000-0000937D0000}"/>
    <cellStyle name="Normal 5 2 3 5 4 2 2" xfId="15263" xr:uid="{00000000-0005-0000-0000-0000947D0000}"/>
    <cellStyle name="Normal 5 2 3 5 4 3" xfId="10153" xr:uid="{00000000-0005-0000-0000-0000957D0000}"/>
    <cellStyle name="Normal 5 2 3 5 5" xfId="26320" xr:uid="{00000000-0005-0000-0000-0000967D0000}"/>
    <cellStyle name="Normal 5 2 3 5 5 2" xfId="17059" xr:uid="{00000000-0005-0000-0000-0000977D0000}"/>
    <cellStyle name="Normal 5 2 3 5 5 2 2" xfId="15404" xr:uid="{00000000-0005-0000-0000-0000987D0000}"/>
    <cellStyle name="Normal 5 2 3 5 5 3" xfId="38871" xr:uid="{00000000-0005-0000-0000-0000997D0000}"/>
    <cellStyle name="Normal 5 2 3 5 6" xfId="456" xr:uid="{00000000-0005-0000-0000-00009A7D0000}"/>
    <cellStyle name="Normal 5 2 3 5 6 2" xfId="2978" xr:uid="{00000000-0005-0000-0000-00009B7D0000}"/>
    <cellStyle name="Normal 5 2 3 5 7" xfId="39357" xr:uid="{00000000-0005-0000-0000-00009C7D0000}"/>
    <cellStyle name="Normal 5 2 3 5 7 2" xfId="39358" xr:uid="{00000000-0005-0000-0000-00009D7D0000}"/>
    <cellStyle name="Normal 5 2 3 5 8" xfId="39359" xr:uid="{00000000-0005-0000-0000-00009E7D0000}"/>
    <cellStyle name="Normal 5 2 3 6" xfId="21736" xr:uid="{00000000-0005-0000-0000-00009F7D0000}"/>
    <cellStyle name="Normal 5 2 3 6 2" xfId="26323" xr:uid="{00000000-0005-0000-0000-0000A07D0000}"/>
    <cellStyle name="Normal 5 2 3 6 2 2" xfId="26325" xr:uid="{00000000-0005-0000-0000-0000A17D0000}"/>
    <cellStyle name="Normal 5 2 3 6 2 2 2" xfId="26327" xr:uid="{00000000-0005-0000-0000-0000A27D0000}"/>
    <cellStyle name="Normal 5 2 3 6 2 2 2 2" xfId="17760" xr:uid="{00000000-0005-0000-0000-0000A37D0000}"/>
    <cellStyle name="Normal 5 2 3 6 2 2 3" xfId="29068" xr:uid="{00000000-0005-0000-0000-0000A47D0000}"/>
    <cellStyle name="Normal 5 2 3 6 2 3" xfId="26330" xr:uid="{00000000-0005-0000-0000-0000A57D0000}"/>
    <cellStyle name="Normal 5 2 3 6 2 3 2" xfId="38891" xr:uid="{00000000-0005-0000-0000-0000A67D0000}"/>
    <cellStyle name="Normal 5 2 3 6 2 4" xfId="38894" xr:uid="{00000000-0005-0000-0000-0000A77D0000}"/>
    <cellStyle name="Normal 5 2 3 6 3" xfId="14080" xr:uid="{00000000-0005-0000-0000-0000A87D0000}"/>
    <cellStyle name="Normal 5 2 3 6 3 2" xfId="26333" xr:uid="{00000000-0005-0000-0000-0000A97D0000}"/>
    <cellStyle name="Normal 5 2 3 6 3 2 2" xfId="39360" xr:uid="{00000000-0005-0000-0000-0000AA7D0000}"/>
    <cellStyle name="Normal 5 2 3 6 3 3" xfId="38896" xr:uid="{00000000-0005-0000-0000-0000AB7D0000}"/>
    <cellStyle name="Normal 5 2 3 6 4" xfId="26335" xr:uid="{00000000-0005-0000-0000-0000AC7D0000}"/>
    <cellStyle name="Normal 5 2 3 6 4 2" xfId="39361" xr:uid="{00000000-0005-0000-0000-0000AD7D0000}"/>
    <cellStyle name="Normal 5 2 3 6 4 2 2" xfId="15777" xr:uid="{00000000-0005-0000-0000-0000AE7D0000}"/>
    <cellStyle name="Normal 5 2 3 6 4 3" xfId="38898" xr:uid="{00000000-0005-0000-0000-0000AF7D0000}"/>
    <cellStyle name="Normal 5 2 3 6 5" xfId="26337" xr:uid="{00000000-0005-0000-0000-0000B07D0000}"/>
    <cellStyle name="Normal 5 2 3 6 5 2" xfId="39362" xr:uid="{00000000-0005-0000-0000-0000B17D0000}"/>
    <cellStyle name="Normal 5 2 3 6 6" xfId="39363" xr:uid="{00000000-0005-0000-0000-0000B27D0000}"/>
    <cellStyle name="Normal 5 2 3 6 6 2" xfId="39364" xr:uid="{00000000-0005-0000-0000-0000B37D0000}"/>
    <cellStyle name="Normal 5 2 3 6 7" xfId="39365" xr:uid="{00000000-0005-0000-0000-0000B47D0000}"/>
    <cellStyle name="Normal 5 2 3 7" xfId="26339" xr:uid="{00000000-0005-0000-0000-0000B57D0000}"/>
    <cellStyle name="Normal 5 2 3 7 2" xfId="5492" xr:uid="{00000000-0005-0000-0000-0000B67D0000}"/>
    <cellStyle name="Normal 5 2 3 7 2 2" xfId="26342" xr:uid="{00000000-0005-0000-0000-0000B77D0000}"/>
    <cellStyle name="Normal 5 2 3 7 2 2 2" xfId="39366" xr:uid="{00000000-0005-0000-0000-0000B87D0000}"/>
    <cellStyle name="Normal 5 2 3 7 2 3" xfId="39367" xr:uid="{00000000-0005-0000-0000-0000B97D0000}"/>
    <cellStyle name="Normal 5 2 3 7 3" xfId="26344" xr:uid="{00000000-0005-0000-0000-0000BA7D0000}"/>
    <cellStyle name="Normal 5 2 3 7 3 2" xfId="39368" xr:uid="{00000000-0005-0000-0000-0000BB7D0000}"/>
    <cellStyle name="Normal 5 2 3 7 4" xfId="39369" xr:uid="{00000000-0005-0000-0000-0000BC7D0000}"/>
    <cellStyle name="Normal 5 2 3 8" xfId="26348" xr:uid="{00000000-0005-0000-0000-0000BD7D0000}"/>
    <cellStyle name="Normal 5 2 3 8 2" xfId="25621" xr:uid="{00000000-0005-0000-0000-0000BE7D0000}"/>
    <cellStyle name="Normal 5 2 3 8 2 2" xfId="26352" xr:uid="{00000000-0005-0000-0000-0000BF7D0000}"/>
    <cellStyle name="Normal 5 2 3 8 3" xfId="24642" xr:uid="{00000000-0005-0000-0000-0000C07D0000}"/>
    <cellStyle name="Normal 5 2 3 9" xfId="39370" xr:uid="{00000000-0005-0000-0000-0000C17D0000}"/>
    <cellStyle name="Normal 5 2 3 9 2" xfId="39373" xr:uid="{00000000-0005-0000-0000-0000C27D0000}"/>
    <cellStyle name="Normal 5 2 3 9 2 2" xfId="39375" xr:uid="{00000000-0005-0000-0000-0000C37D0000}"/>
    <cellStyle name="Normal 5 2 3 9 3" xfId="39377" xr:uid="{00000000-0005-0000-0000-0000C47D0000}"/>
    <cellStyle name="Normal 5 2 4" xfId="22676" xr:uid="{00000000-0005-0000-0000-0000C57D0000}"/>
    <cellStyle name="Normal 5 2 5" xfId="17164" xr:uid="{00000000-0005-0000-0000-0000C67D0000}"/>
    <cellStyle name="Normal 5 2 5 2" xfId="17167" xr:uid="{00000000-0005-0000-0000-0000C77D0000}"/>
    <cellStyle name="Normal 5 2 5 2 2" xfId="16950" xr:uid="{00000000-0005-0000-0000-0000C87D0000}"/>
    <cellStyle name="Normal 5 2 5 2 2 2" xfId="19795" xr:uid="{00000000-0005-0000-0000-0000C97D0000}"/>
    <cellStyle name="Normal 5 2 5 2 2 2 2" xfId="19802" xr:uid="{00000000-0005-0000-0000-0000CA7D0000}"/>
    <cellStyle name="Normal 5 2 5 2 2 2 2 2" xfId="19805" xr:uid="{00000000-0005-0000-0000-0000CB7D0000}"/>
    <cellStyle name="Normal 5 2 5 2 2 2 2 2 2" xfId="39378" xr:uid="{00000000-0005-0000-0000-0000CC7D0000}"/>
    <cellStyle name="Normal 5 2 5 2 2 2 2 3" xfId="5937" xr:uid="{00000000-0005-0000-0000-0000CD7D0000}"/>
    <cellStyle name="Normal 5 2 5 2 2 2 3" xfId="19813" xr:uid="{00000000-0005-0000-0000-0000CE7D0000}"/>
    <cellStyle name="Normal 5 2 5 2 2 2 3 2" xfId="39379" xr:uid="{00000000-0005-0000-0000-0000CF7D0000}"/>
    <cellStyle name="Normal 5 2 5 2 2 2 4" xfId="39381" xr:uid="{00000000-0005-0000-0000-0000D07D0000}"/>
    <cellStyle name="Normal 5 2 5 2 2 3" xfId="19823" xr:uid="{00000000-0005-0000-0000-0000D17D0000}"/>
    <cellStyle name="Normal 5 2 5 2 2 3 2" xfId="19828" xr:uid="{00000000-0005-0000-0000-0000D27D0000}"/>
    <cellStyle name="Normal 5 2 5 2 2 3 2 2" xfId="27178" xr:uid="{00000000-0005-0000-0000-0000D37D0000}"/>
    <cellStyle name="Normal 5 2 5 2 2 3 3" xfId="39382" xr:uid="{00000000-0005-0000-0000-0000D47D0000}"/>
    <cellStyle name="Normal 5 2 5 2 2 4" xfId="23211" xr:uid="{00000000-0005-0000-0000-0000D57D0000}"/>
    <cellStyle name="Normal 5 2 5 2 2 4 2" xfId="23215" xr:uid="{00000000-0005-0000-0000-0000D67D0000}"/>
    <cellStyle name="Normal 5 2 5 2 2 4 2 2" xfId="39383" xr:uid="{00000000-0005-0000-0000-0000D77D0000}"/>
    <cellStyle name="Normal 5 2 5 2 2 4 3" xfId="39384" xr:uid="{00000000-0005-0000-0000-0000D87D0000}"/>
    <cellStyle name="Normal 5 2 5 2 2 5" xfId="14455" xr:uid="{00000000-0005-0000-0000-0000D97D0000}"/>
    <cellStyle name="Normal 5 2 5 2 2 5 2" xfId="39385" xr:uid="{00000000-0005-0000-0000-0000DA7D0000}"/>
    <cellStyle name="Normal 5 2 5 2 2 6" xfId="39386" xr:uid="{00000000-0005-0000-0000-0000DB7D0000}"/>
    <cellStyle name="Normal 5 2 5 2 2 6 2" xfId="39387" xr:uid="{00000000-0005-0000-0000-0000DC7D0000}"/>
    <cellStyle name="Normal 5 2 5 2 2 7" xfId="24951" xr:uid="{00000000-0005-0000-0000-0000DD7D0000}"/>
    <cellStyle name="Normal 5 2 5 2 3" xfId="39388" xr:uid="{00000000-0005-0000-0000-0000DE7D0000}"/>
    <cellStyle name="Normal 5 2 5 2 3 2" xfId="23285" xr:uid="{00000000-0005-0000-0000-0000DF7D0000}"/>
    <cellStyle name="Normal 5 2 5 2 3 2 2" xfId="23288" xr:uid="{00000000-0005-0000-0000-0000E07D0000}"/>
    <cellStyle name="Normal 5 2 5 2 3 2 2 2" xfId="39389" xr:uid="{00000000-0005-0000-0000-0000E17D0000}"/>
    <cellStyle name="Normal 5 2 5 2 3 2 3" xfId="36128" xr:uid="{00000000-0005-0000-0000-0000E27D0000}"/>
    <cellStyle name="Normal 5 2 5 2 3 3" xfId="17498" xr:uid="{00000000-0005-0000-0000-0000E37D0000}"/>
    <cellStyle name="Normal 5 2 5 2 3 3 2" xfId="1784" xr:uid="{00000000-0005-0000-0000-0000E47D0000}"/>
    <cellStyle name="Normal 5 2 5 2 3 4" xfId="17648" xr:uid="{00000000-0005-0000-0000-0000E57D0000}"/>
    <cellStyle name="Normal 5 2 5 2 4" xfId="39390" xr:uid="{00000000-0005-0000-0000-0000E67D0000}"/>
    <cellStyle name="Normal 5 2 5 2 4 2" xfId="11816" xr:uid="{00000000-0005-0000-0000-0000E77D0000}"/>
    <cellStyle name="Normal 5 2 5 2 4 2 2" xfId="2192" xr:uid="{00000000-0005-0000-0000-0000E87D0000}"/>
    <cellStyle name="Normal 5 2 5 2 4 3" xfId="11820" xr:uid="{00000000-0005-0000-0000-0000E97D0000}"/>
    <cellStyle name="Normal 5 2 5 2 5" xfId="24375" xr:uid="{00000000-0005-0000-0000-0000EA7D0000}"/>
    <cellStyle name="Normal 5 2 5 2 5 2" xfId="23330" xr:uid="{00000000-0005-0000-0000-0000EB7D0000}"/>
    <cellStyle name="Normal 5 2 5 2 5 2 2" xfId="23333" xr:uid="{00000000-0005-0000-0000-0000EC7D0000}"/>
    <cellStyle name="Normal 5 2 5 2 5 3" xfId="9987" xr:uid="{00000000-0005-0000-0000-0000ED7D0000}"/>
    <cellStyle name="Normal 5 2 5 2 6" xfId="24377" xr:uid="{00000000-0005-0000-0000-0000EE7D0000}"/>
    <cellStyle name="Normal 5 2 5 2 6 2" xfId="23352" xr:uid="{00000000-0005-0000-0000-0000EF7D0000}"/>
    <cellStyle name="Normal 5 2 5 2 7" xfId="39391" xr:uid="{00000000-0005-0000-0000-0000F07D0000}"/>
    <cellStyle name="Normal 5 2 5 2 7 2" xfId="39392" xr:uid="{00000000-0005-0000-0000-0000F17D0000}"/>
    <cellStyle name="Normal 5 2 5 2 8" xfId="39393" xr:uid="{00000000-0005-0000-0000-0000F27D0000}"/>
    <cellStyle name="Normal 5 2 5 3" xfId="17175" xr:uid="{00000000-0005-0000-0000-0000F37D0000}"/>
    <cellStyle name="Normal 5 2 5 3 2" xfId="39394" xr:uid="{00000000-0005-0000-0000-0000F47D0000}"/>
    <cellStyle name="Normal 5 2 5 3 2 2" xfId="39395" xr:uid="{00000000-0005-0000-0000-0000F57D0000}"/>
    <cellStyle name="Normal 5 2 5 3 2 2 2" xfId="37412" xr:uid="{00000000-0005-0000-0000-0000F67D0000}"/>
    <cellStyle name="Normal 5 2 5 3 2 2 2 2" xfId="28803" xr:uid="{00000000-0005-0000-0000-0000F77D0000}"/>
    <cellStyle name="Normal 5 2 5 3 2 2 3" xfId="37415" xr:uid="{00000000-0005-0000-0000-0000F87D0000}"/>
    <cellStyle name="Normal 5 2 5 3 2 3" xfId="39065" xr:uid="{00000000-0005-0000-0000-0000F97D0000}"/>
    <cellStyle name="Normal 5 2 5 3 2 3 2" xfId="39068" xr:uid="{00000000-0005-0000-0000-0000FA7D0000}"/>
    <cellStyle name="Normal 5 2 5 3 2 4" xfId="34669" xr:uid="{00000000-0005-0000-0000-0000FB7D0000}"/>
    <cellStyle name="Normal 5 2 5 3 3" xfId="29291" xr:uid="{00000000-0005-0000-0000-0000FC7D0000}"/>
    <cellStyle name="Normal 5 2 5 3 3 2" xfId="39396" xr:uid="{00000000-0005-0000-0000-0000FD7D0000}"/>
    <cellStyle name="Normal 5 2 5 3 3 2 2" xfId="39145" xr:uid="{00000000-0005-0000-0000-0000FE7D0000}"/>
    <cellStyle name="Normal 5 2 5 3 3 3" xfId="19137" xr:uid="{00000000-0005-0000-0000-0000FF7D0000}"/>
    <cellStyle name="Normal 5 2 5 3 4" xfId="39397" xr:uid="{00000000-0005-0000-0000-0000007E0000}"/>
    <cellStyle name="Normal 5 2 5 3 4 2" xfId="11880" xr:uid="{00000000-0005-0000-0000-0000017E0000}"/>
    <cellStyle name="Normal 5 2 5 3 4 2 2" xfId="11884" xr:uid="{00000000-0005-0000-0000-0000027E0000}"/>
    <cellStyle name="Normal 5 2 5 3 4 3" xfId="11888" xr:uid="{00000000-0005-0000-0000-0000037E0000}"/>
    <cellStyle name="Normal 5 2 5 3 5" xfId="24383" xr:uid="{00000000-0005-0000-0000-0000047E0000}"/>
    <cellStyle name="Normal 5 2 5 3 5 2" xfId="17301" xr:uid="{00000000-0005-0000-0000-0000057E0000}"/>
    <cellStyle name="Normal 5 2 5 3 6" xfId="27047" xr:uid="{00000000-0005-0000-0000-0000067E0000}"/>
    <cellStyle name="Normal 5 2 5 3 6 2" xfId="27050" xr:uid="{00000000-0005-0000-0000-0000077E0000}"/>
    <cellStyle name="Normal 5 2 5 3 7" xfId="4491" xr:uid="{00000000-0005-0000-0000-0000087E0000}"/>
    <cellStyle name="Normal 5 2 5 4" xfId="5530" xr:uid="{00000000-0005-0000-0000-0000097E0000}"/>
    <cellStyle name="Normal 5 2 5 4 2" xfId="15765" xr:uid="{00000000-0005-0000-0000-00000A7E0000}"/>
    <cellStyle name="Normal 5 2 5 4 2 2" xfId="23416" xr:uid="{00000000-0005-0000-0000-00000B7E0000}"/>
    <cellStyle name="Normal 5 2 5 4 2 2 2" xfId="22121" xr:uid="{00000000-0005-0000-0000-00000C7E0000}"/>
    <cellStyle name="Normal 5 2 5 4 2 3" xfId="23418" xr:uid="{00000000-0005-0000-0000-00000D7E0000}"/>
    <cellStyle name="Normal 5 2 5 4 3" xfId="15769" xr:uid="{00000000-0005-0000-0000-00000E7E0000}"/>
    <cellStyle name="Normal 5 2 5 4 3 2" xfId="23463" xr:uid="{00000000-0005-0000-0000-00000F7E0000}"/>
    <cellStyle name="Normal 5 2 5 4 4" xfId="39398" xr:uid="{00000000-0005-0000-0000-0000107E0000}"/>
    <cellStyle name="Normal 5 2 5 5" xfId="21766" xr:uid="{00000000-0005-0000-0000-0000117E0000}"/>
    <cellStyle name="Normal 5 2 5 5 2" xfId="39399" xr:uid="{00000000-0005-0000-0000-0000127E0000}"/>
    <cellStyle name="Normal 5 2 5 5 2 2" xfId="23492" xr:uid="{00000000-0005-0000-0000-0000137E0000}"/>
    <cellStyle name="Normal 5 2 5 5 3" xfId="39400" xr:uid="{00000000-0005-0000-0000-0000147E0000}"/>
    <cellStyle name="Normal 5 2 5 6" xfId="39401" xr:uid="{00000000-0005-0000-0000-0000157E0000}"/>
    <cellStyle name="Normal 5 2 5 6 2" xfId="39402" xr:uid="{00000000-0005-0000-0000-0000167E0000}"/>
    <cellStyle name="Normal 5 2 5 6 2 2" xfId="23567" xr:uid="{00000000-0005-0000-0000-0000177E0000}"/>
    <cellStyle name="Normal 5 2 5 6 3" xfId="35656" xr:uid="{00000000-0005-0000-0000-0000187E0000}"/>
    <cellStyle name="Normal 5 2 5 7" xfId="39403" xr:uid="{00000000-0005-0000-0000-0000197E0000}"/>
    <cellStyle name="Normal 5 2 5 7 2" xfId="39404" xr:uid="{00000000-0005-0000-0000-00001A7E0000}"/>
    <cellStyle name="Normal 5 2 5 8" xfId="39405" xr:uid="{00000000-0005-0000-0000-00001B7E0000}"/>
    <cellStyle name="Normal 5 2 5 8 2" xfId="39408" xr:uid="{00000000-0005-0000-0000-00001C7E0000}"/>
    <cellStyle name="Normal 5 2 5 9" xfId="39409" xr:uid="{00000000-0005-0000-0000-00001D7E0000}"/>
    <cellStyle name="Normal 5 2 6" xfId="17180" xr:uid="{00000000-0005-0000-0000-00001E7E0000}"/>
    <cellStyle name="Normal 5 2 6 2" xfId="17186" xr:uid="{00000000-0005-0000-0000-00001F7E0000}"/>
    <cellStyle name="Normal 5 2 6 2 2" xfId="39410" xr:uid="{00000000-0005-0000-0000-0000207E0000}"/>
    <cellStyle name="Normal 5 2 6 2 2 2" xfId="21587" xr:uid="{00000000-0005-0000-0000-0000217E0000}"/>
    <cellStyle name="Normal 5 2 6 2 2 2 2" xfId="21592" xr:uid="{00000000-0005-0000-0000-0000227E0000}"/>
    <cellStyle name="Normal 5 2 6 2 2 2 2 2" xfId="20184" xr:uid="{00000000-0005-0000-0000-0000237E0000}"/>
    <cellStyle name="Normal 5 2 6 2 2 2 3" xfId="39411" xr:uid="{00000000-0005-0000-0000-0000247E0000}"/>
    <cellStyle name="Normal 5 2 6 2 2 3" xfId="21608" xr:uid="{00000000-0005-0000-0000-0000257E0000}"/>
    <cellStyle name="Normal 5 2 6 2 2 3 2" xfId="21613" xr:uid="{00000000-0005-0000-0000-0000267E0000}"/>
    <cellStyle name="Normal 5 2 6 2 2 4" xfId="21637" xr:uid="{00000000-0005-0000-0000-0000277E0000}"/>
    <cellStyle name="Normal 5 2 6 2 3" xfId="39412" xr:uid="{00000000-0005-0000-0000-0000287E0000}"/>
    <cellStyle name="Normal 5 2 6 2 3 2" xfId="23776" xr:uid="{00000000-0005-0000-0000-0000297E0000}"/>
    <cellStyle name="Normal 5 2 6 2 3 2 2" xfId="23778" xr:uid="{00000000-0005-0000-0000-00002A7E0000}"/>
    <cellStyle name="Normal 5 2 6 2 3 3" xfId="19178" xr:uid="{00000000-0005-0000-0000-00002B7E0000}"/>
    <cellStyle name="Normal 5 2 6 2 4" xfId="39413" xr:uid="{00000000-0005-0000-0000-00002C7E0000}"/>
    <cellStyle name="Normal 5 2 6 2 4 2" xfId="39414" xr:uid="{00000000-0005-0000-0000-00002D7E0000}"/>
    <cellStyle name="Normal 5 2 6 2 4 2 2" xfId="39415" xr:uid="{00000000-0005-0000-0000-00002E7E0000}"/>
    <cellStyle name="Normal 5 2 6 2 4 3" xfId="39416" xr:uid="{00000000-0005-0000-0000-00002F7E0000}"/>
    <cellStyle name="Normal 5 2 6 2 5" xfId="24417" xr:uid="{00000000-0005-0000-0000-0000307E0000}"/>
    <cellStyle name="Normal 5 2 6 2 5 2" xfId="39417" xr:uid="{00000000-0005-0000-0000-0000317E0000}"/>
    <cellStyle name="Normal 5 2 6 2 6" xfId="30032" xr:uid="{00000000-0005-0000-0000-0000327E0000}"/>
    <cellStyle name="Normal 5 2 6 2 6 2" xfId="30035" xr:uid="{00000000-0005-0000-0000-0000337E0000}"/>
    <cellStyle name="Normal 5 2 6 2 7" xfId="30038" xr:uid="{00000000-0005-0000-0000-0000347E0000}"/>
    <cellStyle name="Normal 5 2 6 3" xfId="30969" xr:uid="{00000000-0005-0000-0000-0000357E0000}"/>
    <cellStyle name="Normal 5 2 6 3 2" xfId="30972" xr:uid="{00000000-0005-0000-0000-0000367E0000}"/>
    <cellStyle name="Normal 5 2 6 3 2 2" xfId="8836" xr:uid="{00000000-0005-0000-0000-0000377E0000}"/>
    <cellStyle name="Normal 5 2 6 3 2 2 2" xfId="8850" xr:uid="{00000000-0005-0000-0000-0000387E0000}"/>
    <cellStyle name="Normal 5 2 6 3 2 3" xfId="8861" xr:uid="{00000000-0005-0000-0000-0000397E0000}"/>
    <cellStyle name="Normal 5 2 6 3 3" xfId="39418" xr:uid="{00000000-0005-0000-0000-00003A7E0000}"/>
    <cellStyle name="Normal 5 2 6 3 3 2" xfId="20334" xr:uid="{00000000-0005-0000-0000-00003B7E0000}"/>
    <cellStyle name="Normal 5 2 6 3 4" xfId="39419" xr:uid="{00000000-0005-0000-0000-00003C7E0000}"/>
    <cellStyle name="Normal 5 2 6 4" xfId="25312" xr:uid="{00000000-0005-0000-0000-00003D7E0000}"/>
    <cellStyle name="Normal 5 2 6 4 2" xfId="3907" xr:uid="{00000000-0005-0000-0000-00003E7E0000}"/>
    <cellStyle name="Normal 5 2 6 4 2 2" xfId="3916" xr:uid="{00000000-0005-0000-0000-00003F7E0000}"/>
    <cellStyle name="Normal 5 2 6 4 3" xfId="3848" xr:uid="{00000000-0005-0000-0000-0000407E0000}"/>
    <cellStyle name="Normal 5 2 6 5" xfId="19465" xr:uid="{00000000-0005-0000-0000-0000417E0000}"/>
    <cellStyle name="Normal 5 2 6 5 2" xfId="20246" xr:uid="{00000000-0005-0000-0000-0000427E0000}"/>
    <cellStyle name="Normal 5 2 6 5 2 2" xfId="20248" xr:uid="{00000000-0005-0000-0000-0000437E0000}"/>
    <cellStyle name="Normal 5 2 6 5 3" xfId="19002" xr:uid="{00000000-0005-0000-0000-0000447E0000}"/>
    <cellStyle name="Normal 5 2 6 6" xfId="39420" xr:uid="{00000000-0005-0000-0000-0000457E0000}"/>
    <cellStyle name="Normal 5 2 6 6 2" xfId="672" xr:uid="{00000000-0005-0000-0000-0000467E0000}"/>
    <cellStyle name="Normal 5 2 6 7" xfId="39421" xr:uid="{00000000-0005-0000-0000-0000477E0000}"/>
    <cellStyle name="Normal 5 2 6 7 2" xfId="1262" xr:uid="{00000000-0005-0000-0000-0000487E0000}"/>
    <cellStyle name="Normal 5 2 6 8" xfId="23219" xr:uid="{00000000-0005-0000-0000-0000497E0000}"/>
    <cellStyle name="Normal 5 2 7" xfId="9945" xr:uid="{00000000-0005-0000-0000-00004A7E0000}"/>
    <cellStyle name="Normal 5 2 7 2" xfId="22682" xr:uid="{00000000-0005-0000-0000-00004B7E0000}"/>
    <cellStyle name="Normal 5 2 7 2 2" xfId="39422" xr:uid="{00000000-0005-0000-0000-00004C7E0000}"/>
    <cellStyle name="Normal 5 2 7 2 2 2" xfId="20531" xr:uid="{00000000-0005-0000-0000-00004D7E0000}"/>
    <cellStyle name="Normal 5 2 7 2 2 2 2" xfId="23994" xr:uid="{00000000-0005-0000-0000-00004E7E0000}"/>
    <cellStyle name="Normal 5 2 7 2 2 2 2 2" xfId="39423" xr:uid="{00000000-0005-0000-0000-00004F7E0000}"/>
    <cellStyle name="Normal 5 2 7 2 2 2 3" xfId="39424" xr:uid="{00000000-0005-0000-0000-0000507E0000}"/>
    <cellStyle name="Normal 5 2 7 2 2 3" xfId="20534" xr:uid="{00000000-0005-0000-0000-0000517E0000}"/>
    <cellStyle name="Normal 5 2 7 2 2 3 2" xfId="23998" xr:uid="{00000000-0005-0000-0000-0000527E0000}"/>
    <cellStyle name="Normal 5 2 7 2 2 4" xfId="24004" xr:uid="{00000000-0005-0000-0000-0000537E0000}"/>
    <cellStyle name="Normal 5 2 7 2 3" xfId="39425" xr:uid="{00000000-0005-0000-0000-0000547E0000}"/>
    <cellStyle name="Normal 5 2 7 2 3 2" xfId="18920" xr:uid="{00000000-0005-0000-0000-0000557E0000}"/>
    <cellStyle name="Normal 5 2 7 2 3 2 2" xfId="24021" xr:uid="{00000000-0005-0000-0000-0000567E0000}"/>
    <cellStyle name="Normal 5 2 7 2 3 3" xfId="20634" xr:uid="{00000000-0005-0000-0000-0000577E0000}"/>
    <cellStyle name="Normal 5 2 7 2 4" xfId="39426" xr:uid="{00000000-0005-0000-0000-0000587E0000}"/>
    <cellStyle name="Normal 5 2 7 2 4 2" xfId="39427" xr:uid="{00000000-0005-0000-0000-0000597E0000}"/>
    <cellStyle name="Normal 5 2 7 2 4 2 2" xfId="39428" xr:uid="{00000000-0005-0000-0000-00005A7E0000}"/>
    <cellStyle name="Normal 5 2 7 2 4 3" xfId="39429" xr:uid="{00000000-0005-0000-0000-00005B7E0000}"/>
    <cellStyle name="Normal 5 2 7 2 5" xfId="39430" xr:uid="{00000000-0005-0000-0000-00005C7E0000}"/>
    <cellStyle name="Normal 5 2 7 2 5 2" xfId="39431" xr:uid="{00000000-0005-0000-0000-00005D7E0000}"/>
    <cellStyle name="Normal 5 2 7 2 6" xfId="30114" xr:uid="{00000000-0005-0000-0000-00005E7E0000}"/>
    <cellStyle name="Normal 5 2 7 2 6 2" xfId="30117" xr:uid="{00000000-0005-0000-0000-00005F7E0000}"/>
    <cellStyle name="Normal 5 2 7 2 7" xfId="30120" xr:uid="{00000000-0005-0000-0000-0000607E0000}"/>
    <cellStyle name="Normal 5 2 7 3" xfId="30977" xr:uid="{00000000-0005-0000-0000-0000617E0000}"/>
    <cellStyle name="Normal 5 2 7 3 2" xfId="39432" xr:uid="{00000000-0005-0000-0000-0000627E0000}"/>
    <cellStyle name="Normal 5 2 7 3 2 2" xfId="20560" xr:uid="{00000000-0005-0000-0000-0000637E0000}"/>
    <cellStyle name="Normal 5 2 7 3 2 2 2" xfId="6351" xr:uid="{00000000-0005-0000-0000-0000647E0000}"/>
    <cellStyle name="Normal 5 2 7 3 2 3" xfId="24046" xr:uid="{00000000-0005-0000-0000-0000657E0000}"/>
    <cellStyle name="Normal 5 2 7 3 3" xfId="39433" xr:uid="{00000000-0005-0000-0000-0000667E0000}"/>
    <cellStyle name="Normal 5 2 7 3 3 2" xfId="19049" xr:uid="{00000000-0005-0000-0000-0000677E0000}"/>
    <cellStyle name="Normal 5 2 7 3 4" xfId="39434" xr:uid="{00000000-0005-0000-0000-0000687E0000}"/>
    <cellStyle name="Normal 5 2 7 4" xfId="12942" xr:uid="{00000000-0005-0000-0000-0000697E0000}"/>
    <cellStyle name="Normal 5 2 7 4 2" xfId="12945" xr:uid="{00000000-0005-0000-0000-00006A7E0000}"/>
    <cellStyle name="Normal 5 2 7 4 2 2" xfId="20255" xr:uid="{00000000-0005-0000-0000-00006B7E0000}"/>
    <cellStyle name="Normal 5 2 7 4 3" xfId="19013" xr:uid="{00000000-0005-0000-0000-00006C7E0000}"/>
    <cellStyle name="Normal 5 2 7 5" xfId="39435" xr:uid="{00000000-0005-0000-0000-00006D7E0000}"/>
    <cellStyle name="Normal 5 2 7 5 2" xfId="20265" xr:uid="{00000000-0005-0000-0000-00006E7E0000}"/>
    <cellStyle name="Normal 5 2 7 5 2 2" xfId="20620" xr:uid="{00000000-0005-0000-0000-00006F7E0000}"/>
    <cellStyle name="Normal 5 2 7 5 3" xfId="39436" xr:uid="{00000000-0005-0000-0000-0000707E0000}"/>
    <cellStyle name="Normal 5 2 7 6" xfId="39437" xr:uid="{00000000-0005-0000-0000-0000717E0000}"/>
    <cellStyle name="Normal 5 2 7 6 2" xfId="1630" xr:uid="{00000000-0005-0000-0000-0000727E0000}"/>
    <cellStyle name="Normal 5 2 7 7" xfId="39438" xr:uid="{00000000-0005-0000-0000-0000737E0000}"/>
    <cellStyle name="Normal 5 2 7 7 2" xfId="1471" xr:uid="{00000000-0005-0000-0000-0000747E0000}"/>
    <cellStyle name="Normal 5 2 7 8" xfId="23225" xr:uid="{00000000-0005-0000-0000-0000757E0000}"/>
    <cellStyle name="Normal 5 2 8" xfId="17192" xr:uid="{00000000-0005-0000-0000-0000767E0000}"/>
    <cellStyle name="Normal 5 2 8 2" xfId="39439" xr:uid="{00000000-0005-0000-0000-0000777E0000}"/>
    <cellStyle name="Normal 5 2 8 2 2" xfId="39440" xr:uid="{00000000-0005-0000-0000-0000787E0000}"/>
    <cellStyle name="Normal 5 2 8 2 2 2" xfId="27833" xr:uid="{00000000-0005-0000-0000-0000797E0000}"/>
    <cellStyle name="Normal 5 2 8 2 2 2 2" xfId="27838" xr:uid="{00000000-0005-0000-0000-00007A7E0000}"/>
    <cellStyle name="Normal 5 2 8 2 2 2 2 2" xfId="37826" xr:uid="{00000000-0005-0000-0000-00007B7E0000}"/>
    <cellStyle name="Normal 5 2 8 2 2 2 3" xfId="19304" xr:uid="{00000000-0005-0000-0000-00007C7E0000}"/>
    <cellStyle name="Normal 5 2 8 2 2 3" xfId="27841" xr:uid="{00000000-0005-0000-0000-00007D7E0000}"/>
    <cellStyle name="Normal 5 2 8 2 2 3 2" xfId="27846" xr:uid="{00000000-0005-0000-0000-00007E7E0000}"/>
    <cellStyle name="Normal 5 2 8 2 2 4" xfId="27849" xr:uid="{00000000-0005-0000-0000-00007F7E0000}"/>
    <cellStyle name="Normal 5 2 8 2 3" xfId="39441" xr:uid="{00000000-0005-0000-0000-0000807E0000}"/>
    <cellStyle name="Normal 5 2 8 2 3 2" xfId="39442" xr:uid="{00000000-0005-0000-0000-0000817E0000}"/>
    <cellStyle name="Normal 5 2 8 2 3 2 2" xfId="20506" xr:uid="{00000000-0005-0000-0000-0000827E0000}"/>
    <cellStyle name="Normal 5 2 8 2 3 3" xfId="39443" xr:uid="{00000000-0005-0000-0000-0000837E0000}"/>
    <cellStyle name="Normal 5 2 8 2 4" xfId="39444" xr:uid="{00000000-0005-0000-0000-0000847E0000}"/>
    <cellStyle name="Normal 5 2 8 2 4 2" xfId="39445" xr:uid="{00000000-0005-0000-0000-0000857E0000}"/>
    <cellStyle name="Normal 5 2 8 2 4 2 2" xfId="20552" xr:uid="{00000000-0005-0000-0000-0000867E0000}"/>
    <cellStyle name="Normal 5 2 8 2 4 3" xfId="39446" xr:uid="{00000000-0005-0000-0000-0000877E0000}"/>
    <cellStyle name="Normal 5 2 8 2 5" xfId="24054" xr:uid="{00000000-0005-0000-0000-0000887E0000}"/>
    <cellStyle name="Normal 5 2 8 2 5 2" xfId="39447" xr:uid="{00000000-0005-0000-0000-0000897E0000}"/>
    <cellStyle name="Normal 5 2 8 2 6" xfId="30238" xr:uid="{00000000-0005-0000-0000-00008A7E0000}"/>
    <cellStyle name="Normal 5 2 8 2 6 2" xfId="30241" xr:uid="{00000000-0005-0000-0000-00008B7E0000}"/>
    <cellStyle name="Normal 5 2 8 2 7" xfId="30244" xr:uid="{00000000-0005-0000-0000-00008C7E0000}"/>
    <cellStyle name="Normal 5 2 8 3" xfId="39448" xr:uid="{00000000-0005-0000-0000-00008D7E0000}"/>
    <cellStyle name="Normal 5 2 8 3 2" xfId="39449" xr:uid="{00000000-0005-0000-0000-00008E7E0000}"/>
    <cellStyle name="Normal 5 2 8 3 2 2" xfId="17494" xr:uid="{00000000-0005-0000-0000-00008F7E0000}"/>
    <cellStyle name="Normal 5 2 8 3 2 2 2" xfId="27900" xr:uid="{00000000-0005-0000-0000-0000907E0000}"/>
    <cellStyle name="Normal 5 2 8 3 2 3" xfId="13212" xr:uid="{00000000-0005-0000-0000-0000917E0000}"/>
    <cellStyle name="Normal 5 2 8 3 3" xfId="39450" xr:uid="{00000000-0005-0000-0000-0000927E0000}"/>
    <cellStyle name="Normal 5 2 8 3 3 2" xfId="39036" xr:uid="{00000000-0005-0000-0000-0000937E0000}"/>
    <cellStyle name="Normal 5 2 8 3 4" xfId="39451" xr:uid="{00000000-0005-0000-0000-0000947E0000}"/>
    <cellStyle name="Normal 5 2 8 4" xfId="39452" xr:uid="{00000000-0005-0000-0000-0000957E0000}"/>
    <cellStyle name="Normal 5 2 8 4 2" xfId="20278" xr:uid="{00000000-0005-0000-0000-0000967E0000}"/>
    <cellStyle name="Normal 5 2 8 4 2 2" xfId="27955" xr:uid="{00000000-0005-0000-0000-0000977E0000}"/>
    <cellStyle name="Normal 5 2 8 4 3" xfId="19028" xr:uid="{00000000-0005-0000-0000-0000987E0000}"/>
    <cellStyle name="Normal 5 2 8 5" xfId="39453" xr:uid="{00000000-0005-0000-0000-0000997E0000}"/>
    <cellStyle name="Normal 5 2 8 5 2" xfId="39454" xr:uid="{00000000-0005-0000-0000-00009A7E0000}"/>
    <cellStyle name="Normal 5 2 8 5 2 2" xfId="39455" xr:uid="{00000000-0005-0000-0000-00009B7E0000}"/>
    <cellStyle name="Normal 5 2 8 5 3" xfId="39456" xr:uid="{00000000-0005-0000-0000-00009C7E0000}"/>
    <cellStyle name="Normal 5 2 8 6" xfId="39457" xr:uid="{00000000-0005-0000-0000-00009D7E0000}"/>
    <cellStyle name="Normal 5 2 8 6 2" xfId="1767" xr:uid="{00000000-0005-0000-0000-00009E7E0000}"/>
    <cellStyle name="Normal 5 2 8 7" xfId="39458" xr:uid="{00000000-0005-0000-0000-00009F7E0000}"/>
    <cellStyle name="Normal 5 2 8 7 2" xfId="39459" xr:uid="{00000000-0005-0000-0000-0000A07E0000}"/>
    <cellStyle name="Normal 5 2 8 8" xfId="25704" xr:uid="{00000000-0005-0000-0000-0000A17E0000}"/>
    <cellStyle name="Normal 5 2 9" xfId="4834" xr:uid="{00000000-0005-0000-0000-0000A27E0000}"/>
    <cellStyle name="Normal 5 2 9 2" xfId="4838" xr:uid="{00000000-0005-0000-0000-0000A37E0000}"/>
    <cellStyle name="Normal 5 2 9 2 2" xfId="39460" xr:uid="{00000000-0005-0000-0000-0000A47E0000}"/>
    <cellStyle name="Normal 5 2 9 2 2 2" xfId="12978" xr:uid="{00000000-0005-0000-0000-0000A57E0000}"/>
    <cellStyle name="Normal 5 2 9 2 2 2 2" xfId="24152" xr:uid="{00000000-0005-0000-0000-0000A67E0000}"/>
    <cellStyle name="Normal 5 2 9 2 2 3" xfId="12984" xr:uid="{00000000-0005-0000-0000-0000A77E0000}"/>
    <cellStyle name="Normal 5 2 9 2 3" xfId="39461" xr:uid="{00000000-0005-0000-0000-0000A87E0000}"/>
    <cellStyle name="Normal 5 2 9 2 3 2" xfId="39462" xr:uid="{00000000-0005-0000-0000-0000A97E0000}"/>
    <cellStyle name="Normal 5 2 9 2 4" xfId="39463" xr:uid="{00000000-0005-0000-0000-0000AA7E0000}"/>
    <cellStyle name="Normal 5 2 9 3" xfId="39464" xr:uid="{00000000-0005-0000-0000-0000AB7E0000}"/>
    <cellStyle name="Normal 5 2 9 3 2" xfId="39465" xr:uid="{00000000-0005-0000-0000-0000AC7E0000}"/>
    <cellStyle name="Normal 5 2 9 3 2 2" xfId="28356" xr:uid="{00000000-0005-0000-0000-0000AD7E0000}"/>
    <cellStyle name="Normal 5 2 9 3 3" xfId="39466" xr:uid="{00000000-0005-0000-0000-0000AE7E0000}"/>
    <cellStyle name="Normal 5 2 9 4" xfId="39467" xr:uid="{00000000-0005-0000-0000-0000AF7E0000}"/>
    <cellStyle name="Normal 5 2 9 4 2" xfId="39468" xr:uid="{00000000-0005-0000-0000-0000B07E0000}"/>
    <cellStyle name="Normal 5 2 9 4 2 2" xfId="28427" xr:uid="{00000000-0005-0000-0000-0000B17E0000}"/>
    <cellStyle name="Normal 5 2 9 4 3" xfId="39469" xr:uid="{00000000-0005-0000-0000-0000B27E0000}"/>
    <cellStyle name="Normal 5 2 9 5" xfId="39470" xr:uid="{00000000-0005-0000-0000-0000B37E0000}"/>
    <cellStyle name="Normal 5 2 9 5 2" xfId="39471" xr:uid="{00000000-0005-0000-0000-0000B47E0000}"/>
    <cellStyle name="Normal 5 2 9 6" xfId="39472" xr:uid="{00000000-0005-0000-0000-0000B57E0000}"/>
    <cellStyle name="Normal 5 2 9 6 2" xfId="39473" xr:uid="{00000000-0005-0000-0000-0000B67E0000}"/>
    <cellStyle name="Normal 5 2 9 7" xfId="11254" xr:uid="{00000000-0005-0000-0000-0000B77E0000}"/>
    <cellStyle name="Normal 5 3" xfId="2872" xr:uid="{00000000-0005-0000-0000-0000B87E0000}"/>
    <cellStyle name="Normal 5 3 10" xfId="35153" xr:uid="{00000000-0005-0000-0000-0000B97E0000}"/>
    <cellStyle name="Normal 5 3 10 2" xfId="35156" xr:uid="{00000000-0005-0000-0000-0000BA7E0000}"/>
    <cellStyle name="Normal 5 3 10 2 2" xfId="39474" xr:uid="{00000000-0005-0000-0000-0000BB7E0000}"/>
    <cellStyle name="Normal 5 3 10 3" xfId="38239" xr:uid="{00000000-0005-0000-0000-0000BC7E0000}"/>
    <cellStyle name="Normal 5 3 11" xfId="35159" xr:uid="{00000000-0005-0000-0000-0000BD7E0000}"/>
    <cellStyle name="Normal 5 3 11 2" xfId="39475" xr:uid="{00000000-0005-0000-0000-0000BE7E0000}"/>
    <cellStyle name="Normal 5 3 12" xfId="21233" xr:uid="{00000000-0005-0000-0000-0000BF7E0000}"/>
    <cellStyle name="Normal 5 3 12 2" xfId="39476" xr:uid="{00000000-0005-0000-0000-0000C07E0000}"/>
    <cellStyle name="Normal 5 3 13" xfId="39477" xr:uid="{00000000-0005-0000-0000-0000C17E0000}"/>
    <cellStyle name="Normal 5 3 13 2" xfId="39478" xr:uid="{00000000-0005-0000-0000-0000C27E0000}"/>
    <cellStyle name="Normal 5 3 2" xfId="310" xr:uid="{00000000-0005-0000-0000-0000C37E0000}"/>
    <cellStyle name="Normal 5 3 3" xfId="9784" xr:uid="{00000000-0005-0000-0000-0000C47E0000}"/>
    <cellStyle name="Normal 5 3 3 2" xfId="22717" xr:uid="{00000000-0005-0000-0000-0000C57E0000}"/>
    <cellStyle name="Normal 5 3 3 2 2" xfId="22721" xr:uid="{00000000-0005-0000-0000-0000C67E0000}"/>
    <cellStyle name="Normal 5 3 3 2 2 2" xfId="22724" xr:uid="{00000000-0005-0000-0000-0000C77E0000}"/>
    <cellStyle name="Normal 5 3 3 2 2 2 2" xfId="26844" xr:uid="{00000000-0005-0000-0000-0000C87E0000}"/>
    <cellStyle name="Normal 5 3 3 2 2 2 2 2" xfId="17705" xr:uid="{00000000-0005-0000-0000-0000C97E0000}"/>
    <cellStyle name="Normal 5 3 3 2 2 2 2 2 2" xfId="9097" xr:uid="{00000000-0005-0000-0000-0000CA7E0000}"/>
    <cellStyle name="Normal 5 3 3 2 2 2 2 3" xfId="8908" xr:uid="{00000000-0005-0000-0000-0000CB7E0000}"/>
    <cellStyle name="Normal 5 3 3 2 2 2 3" xfId="26846" xr:uid="{00000000-0005-0000-0000-0000CC7E0000}"/>
    <cellStyle name="Normal 5 3 3 2 2 2 3 2" xfId="20403" xr:uid="{00000000-0005-0000-0000-0000CD7E0000}"/>
    <cellStyle name="Normal 5 3 3 2 2 2 4" xfId="2454" xr:uid="{00000000-0005-0000-0000-0000CE7E0000}"/>
    <cellStyle name="Normal 5 3 3 2 2 3" xfId="20703" xr:uid="{00000000-0005-0000-0000-0000CF7E0000}"/>
    <cellStyle name="Normal 5 3 3 2 2 3 2" xfId="20711" xr:uid="{00000000-0005-0000-0000-0000D07E0000}"/>
    <cellStyle name="Normal 5 3 3 2 2 3 2 2" xfId="17762" xr:uid="{00000000-0005-0000-0000-0000D17E0000}"/>
    <cellStyle name="Normal 5 3 3 2 2 3 3" xfId="26848" xr:uid="{00000000-0005-0000-0000-0000D27E0000}"/>
    <cellStyle name="Normal 5 3 3 2 2 4" xfId="20714" xr:uid="{00000000-0005-0000-0000-0000D37E0000}"/>
    <cellStyle name="Normal 5 3 3 2 2 4 2" xfId="26850" xr:uid="{00000000-0005-0000-0000-0000D47E0000}"/>
    <cellStyle name="Normal 5 3 3 2 2 4 2 2" xfId="17810" xr:uid="{00000000-0005-0000-0000-0000D57E0000}"/>
    <cellStyle name="Normal 5 3 3 2 2 4 3" xfId="26852" xr:uid="{00000000-0005-0000-0000-0000D67E0000}"/>
    <cellStyle name="Normal 5 3 3 2 2 5" xfId="26854" xr:uid="{00000000-0005-0000-0000-0000D77E0000}"/>
    <cellStyle name="Normal 5 3 3 2 2 5 2" xfId="26856" xr:uid="{00000000-0005-0000-0000-0000D87E0000}"/>
    <cellStyle name="Normal 5 3 3 2 2 6" xfId="26858" xr:uid="{00000000-0005-0000-0000-0000D97E0000}"/>
    <cellStyle name="Normal 5 3 3 2 2 6 2" xfId="26861" xr:uid="{00000000-0005-0000-0000-0000DA7E0000}"/>
    <cellStyle name="Normal 5 3 3 2 2 7" xfId="13678" xr:uid="{00000000-0005-0000-0000-0000DB7E0000}"/>
    <cellStyle name="Normal 5 3 3 2 3" xfId="22727" xr:uid="{00000000-0005-0000-0000-0000DC7E0000}"/>
    <cellStyle name="Normal 5 3 3 2 3 2" xfId="26866" xr:uid="{00000000-0005-0000-0000-0000DD7E0000}"/>
    <cellStyle name="Normal 5 3 3 2 3 2 2" xfId="26868" xr:uid="{00000000-0005-0000-0000-0000DE7E0000}"/>
    <cellStyle name="Normal 5 3 3 2 3 2 2 2" xfId="26871" xr:uid="{00000000-0005-0000-0000-0000DF7E0000}"/>
    <cellStyle name="Normal 5 3 3 2 3 2 3" xfId="26873" xr:uid="{00000000-0005-0000-0000-0000E07E0000}"/>
    <cellStyle name="Normal 5 3 3 2 3 3" xfId="20718" xr:uid="{00000000-0005-0000-0000-0000E17E0000}"/>
    <cellStyle name="Normal 5 3 3 2 3 3 2" xfId="20721" xr:uid="{00000000-0005-0000-0000-0000E27E0000}"/>
    <cellStyle name="Normal 5 3 3 2 3 4" xfId="20724" xr:uid="{00000000-0005-0000-0000-0000E37E0000}"/>
    <cellStyle name="Normal 5 3 3 2 4" xfId="9557" xr:uid="{00000000-0005-0000-0000-0000E47E0000}"/>
    <cellStyle name="Normal 5 3 3 2 4 2" xfId="26878" xr:uid="{00000000-0005-0000-0000-0000E57E0000}"/>
    <cellStyle name="Normal 5 3 3 2 4 2 2" xfId="18020" xr:uid="{00000000-0005-0000-0000-0000E67E0000}"/>
    <cellStyle name="Normal 5 3 3 2 4 3" xfId="20728" xr:uid="{00000000-0005-0000-0000-0000E77E0000}"/>
    <cellStyle name="Normal 5 3 3 2 5" xfId="25872" xr:uid="{00000000-0005-0000-0000-0000E87E0000}"/>
    <cellStyle name="Normal 5 3 3 2 5 2" xfId="24180" xr:uid="{00000000-0005-0000-0000-0000E97E0000}"/>
    <cellStyle name="Normal 5 3 3 2 5 2 2" xfId="24184" xr:uid="{00000000-0005-0000-0000-0000EA7E0000}"/>
    <cellStyle name="Normal 5 3 3 2 5 3" xfId="20734" xr:uid="{00000000-0005-0000-0000-0000EB7E0000}"/>
    <cellStyle name="Normal 5 3 3 2 6" xfId="25879" xr:uid="{00000000-0005-0000-0000-0000EC7E0000}"/>
    <cellStyle name="Normal 5 3 3 2 6 2" xfId="24228" xr:uid="{00000000-0005-0000-0000-0000ED7E0000}"/>
    <cellStyle name="Normal 5 3 3 2 7" xfId="18617" xr:uid="{00000000-0005-0000-0000-0000EE7E0000}"/>
    <cellStyle name="Normal 5 3 3 2 7 2" xfId="25882" xr:uid="{00000000-0005-0000-0000-0000EF7E0000}"/>
    <cellStyle name="Normal 5 3 3 2 8" xfId="25887" xr:uid="{00000000-0005-0000-0000-0000F07E0000}"/>
    <cellStyle name="Normal 5 3 3 3" xfId="22731" xr:uid="{00000000-0005-0000-0000-0000F17E0000}"/>
    <cellStyle name="Normal 5 3 3 3 2" xfId="22735" xr:uid="{00000000-0005-0000-0000-0000F27E0000}"/>
    <cellStyle name="Normal 5 3 3 3 2 2" xfId="26880" xr:uid="{00000000-0005-0000-0000-0000F37E0000}"/>
    <cellStyle name="Normal 5 3 3 3 2 2 2" xfId="26882" xr:uid="{00000000-0005-0000-0000-0000F47E0000}"/>
    <cellStyle name="Normal 5 3 3 3 2 2 2 2" xfId="26884" xr:uid="{00000000-0005-0000-0000-0000F57E0000}"/>
    <cellStyle name="Normal 5 3 3 3 2 2 3" xfId="26889" xr:uid="{00000000-0005-0000-0000-0000F67E0000}"/>
    <cellStyle name="Normal 5 3 3 3 2 3" xfId="20746" xr:uid="{00000000-0005-0000-0000-0000F77E0000}"/>
    <cellStyle name="Normal 5 3 3 3 2 3 2" xfId="26893" xr:uid="{00000000-0005-0000-0000-0000F87E0000}"/>
    <cellStyle name="Normal 5 3 3 3 2 4" xfId="26899" xr:uid="{00000000-0005-0000-0000-0000F97E0000}"/>
    <cellStyle name="Normal 5 3 3 3 3" xfId="2105" xr:uid="{00000000-0005-0000-0000-0000FA7E0000}"/>
    <cellStyle name="Normal 5 3 3 3 3 2" xfId="26911" xr:uid="{00000000-0005-0000-0000-0000FB7E0000}"/>
    <cellStyle name="Normal 5 3 3 3 3 2 2" xfId="26913" xr:uid="{00000000-0005-0000-0000-0000FC7E0000}"/>
    <cellStyle name="Normal 5 3 3 3 3 3" xfId="26919" xr:uid="{00000000-0005-0000-0000-0000FD7E0000}"/>
    <cellStyle name="Normal 5 3 3 3 4" xfId="26923" xr:uid="{00000000-0005-0000-0000-0000FE7E0000}"/>
    <cellStyle name="Normal 5 3 3 3 4 2" xfId="26925" xr:uid="{00000000-0005-0000-0000-0000FF7E0000}"/>
    <cellStyle name="Normal 5 3 3 3 4 2 2" xfId="26927" xr:uid="{00000000-0005-0000-0000-0000007F0000}"/>
    <cellStyle name="Normal 5 3 3 3 4 3" xfId="17987" xr:uid="{00000000-0005-0000-0000-0000017F0000}"/>
    <cellStyle name="Normal 5 3 3 3 5" xfId="25894" xr:uid="{00000000-0005-0000-0000-0000027F0000}"/>
    <cellStyle name="Normal 5 3 3 3 5 2" xfId="24269" xr:uid="{00000000-0005-0000-0000-0000037F0000}"/>
    <cellStyle name="Normal 5 3 3 3 6" xfId="5038" xr:uid="{00000000-0005-0000-0000-0000047F0000}"/>
    <cellStyle name="Normal 5 3 3 3 6 2" xfId="25897" xr:uid="{00000000-0005-0000-0000-0000057F0000}"/>
    <cellStyle name="Normal 5 3 3 3 7" xfId="25900" xr:uid="{00000000-0005-0000-0000-0000067F0000}"/>
    <cellStyle name="Normal 5 3 3 4" xfId="22738" xr:uid="{00000000-0005-0000-0000-0000077F0000}"/>
    <cellStyle name="Normal 5 3 3 4 2" xfId="26933" xr:uid="{00000000-0005-0000-0000-0000087F0000}"/>
    <cellStyle name="Normal 5 3 3 4 2 2" xfId="18086" xr:uid="{00000000-0005-0000-0000-0000097F0000}"/>
    <cellStyle name="Normal 5 3 3 4 2 2 2" xfId="18092" xr:uid="{00000000-0005-0000-0000-00000A7F0000}"/>
    <cellStyle name="Normal 5 3 3 4 2 3" xfId="18095" xr:uid="{00000000-0005-0000-0000-00000B7F0000}"/>
    <cellStyle name="Normal 5 3 3 4 3" xfId="26945" xr:uid="{00000000-0005-0000-0000-00000C7F0000}"/>
    <cellStyle name="Normal 5 3 3 4 3 2" xfId="18103" xr:uid="{00000000-0005-0000-0000-00000D7F0000}"/>
    <cellStyle name="Normal 5 3 3 4 4" xfId="26955" xr:uid="{00000000-0005-0000-0000-00000E7F0000}"/>
    <cellStyle name="Normal 5 3 3 5" xfId="5668" xr:uid="{00000000-0005-0000-0000-00000F7F0000}"/>
    <cellStyle name="Normal 5 3 3 5 2" xfId="6010" xr:uid="{00000000-0005-0000-0000-0000107F0000}"/>
    <cellStyle name="Normal 5 3 3 5 2 2" xfId="26963" xr:uid="{00000000-0005-0000-0000-0000117F0000}"/>
    <cellStyle name="Normal 5 3 3 5 3" xfId="26973" xr:uid="{00000000-0005-0000-0000-0000127F0000}"/>
    <cellStyle name="Normal 5 3 3 6" xfId="8530" xr:uid="{00000000-0005-0000-0000-0000137F0000}"/>
    <cellStyle name="Normal 5 3 3 6 2" xfId="16146" xr:uid="{00000000-0005-0000-0000-0000147F0000}"/>
    <cellStyle name="Normal 5 3 3 6 2 2" xfId="16149" xr:uid="{00000000-0005-0000-0000-0000157F0000}"/>
    <cellStyle name="Normal 5 3 3 6 3" xfId="16174" xr:uid="{00000000-0005-0000-0000-0000167F0000}"/>
    <cellStyle name="Normal 5 3 3 7" xfId="26984" xr:uid="{00000000-0005-0000-0000-0000177F0000}"/>
    <cellStyle name="Normal 5 3 3 7 2" xfId="16533" xr:uid="{00000000-0005-0000-0000-0000187F0000}"/>
    <cellStyle name="Normal 5 3 3 8" xfId="26986" xr:uid="{00000000-0005-0000-0000-0000197F0000}"/>
    <cellStyle name="Normal 5 3 3 8 2" xfId="16686" xr:uid="{00000000-0005-0000-0000-00001A7F0000}"/>
    <cellStyle name="Normal 5 3 3 9" xfId="39479" xr:uid="{00000000-0005-0000-0000-00001B7F0000}"/>
    <cellStyle name="Normal 5 3 4" xfId="567" xr:uid="{00000000-0005-0000-0000-00001C7F0000}"/>
    <cellStyle name="Normal 5 3 4 2" xfId="22741" xr:uid="{00000000-0005-0000-0000-00001D7F0000}"/>
    <cellStyle name="Normal 5 3 4 2 2" xfId="22744" xr:uid="{00000000-0005-0000-0000-00001E7F0000}"/>
    <cellStyle name="Normal 5 3 4 2 2 2" xfId="24379" xr:uid="{00000000-0005-0000-0000-00001F7F0000}"/>
    <cellStyle name="Normal 5 3 4 2 2 2 2" xfId="24384" xr:uid="{00000000-0005-0000-0000-0000207F0000}"/>
    <cellStyle name="Normal 5 3 4 2 2 2 2 2" xfId="17302" xr:uid="{00000000-0005-0000-0000-0000217F0000}"/>
    <cellStyle name="Normal 5 3 4 2 2 2 3" xfId="27048" xr:uid="{00000000-0005-0000-0000-0000227F0000}"/>
    <cellStyle name="Normal 5 3 4 2 2 3" xfId="20781" xr:uid="{00000000-0005-0000-0000-0000237F0000}"/>
    <cellStyle name="Normal 5 3 4 2 2 3 2" xfId="24389" xr:uid="{00000000-0005-0000-0000-0000247F0000}"/>
    <cellStyle name="Normal 5 3 4 2 2 4" xfId="24392" xr:uid="{00000000-0005-0000-0000-0000257F0000}"/>
    <cellStyle name="Normal 5 3 4 2 3" xfId="27070" xr:uid="{00000000-0005-0000-0000-0000267F0000}"/>
    <cellStyle name="Normal 5 3 4 2 3 2" xfId="24419" xr:uid="{00000000-0005-0000-0000-0000277F0000}"/>
    <cellStyle name="Normal 5 3 4 2 3 2 2" xfId="24423" xr:uid="{00000000-0005-0000-0000-0000287F0000}"/>
    <cellStyle name="Normal 5 3 4 2 3 3" xfId="24426" xr:uid="{00000000-0005-0000-0000-0000297F0000}"/>
    <cellStyle name="Normal 5 3 4 2 4" xfId="27076" xr:uid="{00000000-0005-0000-0000-00002A7F0000}"/>
    <cellStyle name="Normal 5 3 4 2 4 2" xfId="27078" xr:uid="{00000000-0005-0000-0000-00002B7F0000}"/>
    <cellStyle name="Normal 5 3 4 2 4 2 2" xfId="27080" xr:uid="{00000000-0005-0000-0000-00002C7F0000}"/>
    <cellStyle name="Normal 5 3 4 2 4 3" xfId="27082" xr:uid="{00000000-0005-0000-0000-00002D7F0000}"/>
    <cellStyle name="Normal 5 3 4 2 5" xfId="25927" xr:uid="{00000000-0005-0000-0000-00002E7F0000}"/>
    <cellStyle name="Normal 5 3 4 2 5 2" xfId="25259" xr:uid="{00000000-0005-0000-0000-00002F7F0000}"/>
    <cellStyle name="Normal 5 3 4 2 6" xfId="25930" xr:uid="{00000000-0005-0000-0000-0000307F0000}"/>
    <cellStyle name="Normal 5 3 4 2 6 2" xfId="25935" xr:uid="{00000000-0005-0000-0000-0000317F0000}"/>
    <cellStyle name="Normal 5 3 4 2 7" xfId="18623" xr:uid="{00000000-0005-0000-0000-0000327F0000}"/>
    <cellStyle name="Normal 5 3 4 3" xfId="22747" xr:uid="{00000000-0005-0000-0000-0000337F0000}"/>
    <cellStyle name="Normal 5 3 4 3 2" xfId="27085" xr:uid="{00000000-0005-0000-0000-0000347F0000}"/>
    <cellStyle name="Normal 5 3 4 3 2 2" xfId="24485" xr:uid="{00000000-0005-0000-0000-0000357F0000}"/>
    <cellStyle name="Normal 5 3 4 3 2 2 2" xfId="24490" xr:uid="{00000000-0005-0000-0000-0000367F0000}"/>
    <cellStyle name="Normal 5 3 4 3 2 3" xfId="24495" xr:uid="{00000000-0005-0000-0000-0000377F0000}"/>
    <cellStyle name="Normal 5 3 4 3 3" xfId="27129" xr:uid="{00000000-0005-0000-0000-0000387F0000}"/>
    <cellStyle name="Normal 5 3 4 3 3 2" xfId="25974" xr:uid="{00000000-0005-0000-0000-0000397F0000}"/>
    <cellStyle name="Normal 5 3 4 3 4" xfId="27140" xr:uid="{00000000-0005-0000-0000-00003A7F0000}"/>
    <cellStyle name="Normal 5 3 4 4" xfId="27148" xr:uid="{00000000-0005-0000-0000-00003B7F0000}"/>
    <cellStyle name="Normal 5 3 4 4 2" xfId="27150" xr:uid="{00000000-0005-0000-0000-00003C7F0000}"/>
    <cellStyle name="Normal 5 3 4 4 2 2" xfId="24551" xr:uid="{00000000-0005-0000-0000-00003D7F0000}"/>
    <cellStyle name="Normal 5 3 4 4 3" xfId="27168" xr:uid="{00000000-0005-0000-0000-00003E7F0000}"/>
    <cellStyle name="Normal 5 3 4 5" xfId="9307" xr:uid="{00000000-0005-0000-0000-00003F7F0000}"/>
    <cellStyle name="Normal 5 3 4 5 2" xfId="27188" xr:uid="{00000000-0005-0000-0000-0000407F0000}"/>
    <cellStyle name="Normal 5 3 4 5 2 2" xfId="24607" xr:uid="{00000000-0005-0000-0000-0000417F0000}"/>
    <cellStyle name="Normal 5 3 4 5 3" xfId="27203" xr:uid="{00000000-0005-0000-0000-0000427F0000}"/>
    <cellStyle name="Normal 5 3 4 6" xfId="27217" xr:uid="{00000000-0005-0000-0000-0000437F0000}"/>
    <cellStyle name="Normal 5 3 4 6 2" xfId="11257" xr:uid="{00000000-0005-0000-0000-0000447F0000}"/>
    <cellStyle name="Normal 5 3 4 7" xfId="27220" xr:uid="{00000000-0005-0000-0000-0000457F0000}"/>
    <cellStyle name="Normal 5 3 4 7 2" xfId="17287" xr:uid="{00000000-0005-0000-0000-0000467F0000}"/>
    <cellStyle name="Normal 5 3 4 8" xfId="27222" xr:uid="{00000000-0005-0000-0000-0000477F0000}"/>
    <cellStyle name="Normal 5 3 5" xfId="668" xr:uid="{00000000-0005-0000-0000-0000487F0000}"/>
    <cellStyle name="Normal 5 3 5 2" xfId="979" xr:uid="{00000000-0005-0000-0000-0000497F0000}"/>
    <cellStyle name="Normal 5 3 5 2 2" xfId="22750" xr:uid="{00000000-0005-0000-0000-00004A7F0000}"/>
    <cellStyle name="Normal 5 3 5 2 2 2" xfId="24770" xr:uid="{00000000-0005-0000-0000-00004B7F0000}"/>
    <cellStyle name="Normal 5 3 5 2 2 2 2" xfId="24775" xr:uid="{00000000-0005-0000-0000-00004C7F0000}"/>
    <cellStyle name="Normal 5 3 5 2 2 2 2 2" xfId="17195" xr:uid="{00000000-0005-0000-0000-00004D7F0000}"/>
    <cellStyle name="Normal 5 3 5 2 2 2 3" xfId="27253" xr:uid="{00000000-0005-0000-0000-00004E7F0000}"/>
    <cellStyle name="Normal 5 3 5 2 2 3" xfId="24778" xr:uid="{00000000-0005-0000-0000-00004F7F0000}"/>
    <cellStyle name="Normal 5 3 5 2 2 3 2" xfId="24781" xr:uid="{00000000-0005-0000-0000-0000507F0000}"/>
    <cellStyle name="Normal 5 3 5 2 2 4" xfId="24784" xr:uid="{00000000-0005-0000-0000-0000517F0000}"/>
    <cellStyle name="Normal 5 3 5 2 3" xfId="27255" xr:uid="{00000000-0005-0000-0000-0000527F0000}"/>
    <cellStyle name="Normal 5 3 5 2 3 2" xfId="24811" xr:uid="{00000000-0005-0000-0000-0000537F0000}"/>
    <cellStyle name="Normal 5 3 5 2 3 2 2" xfId="24814" xr:uid="{00000000-0005-0000-0000-0000547F0000}"/>
    <cellStyle name="Normal 5 3 5 2 3 3" xfId="24817" xr:uid="{00000000-0005-0000-0000-0000557F0000}"/>
    <cellStyle name="Normal 5 3 5 2 4" xfId="27257" xr:uid="{00000000-0005-0000-0000-0000567F0000}"/>
    <cellStyle name="Normal 5 3 5 2 4 2" xfId="9019" xr:uid="{00000000-0005-0000-0000-0000577F0000}"/>
    <cellStyle name="Normal 5 3 5 2 4 2 2" xfId="9024" xr:uid="{00000000-0005-0000-0000-0000587F0000}"/>
    <cellStyle name="Normal 5 3 5 2 4 3" xfId="9035" xr:uid="{00000000-0005-0000-0000-0000597F0000}"/>
    <cellStyle name="Normal 5 3 5 2 5" xfId="24481" xr:uid="{00000000-0005-0000-0000-00005A7F0000}"/>
    <cellStyle name="Normal 5 3 5 2 5 2" xfId="25964" xr:uid="{00000000-0005-0000-0000-00005B7F0000}"/>
    <cellStyle name="Normal 5 3 5 2 6" xfId="25967" xr:uid="{00000000-0005-0000-0000-00005C7F0000}"/>
    <cellStyle name="Normal 5 3 5 2 6 2" xfId="27259" xr:uid="{00000000-0005-0000-0000-00005D7F0000}"/>
    <cellStyle name="Normal 5 3 5 2 7" xfId="27261" xr:uid="{00000000-0005-0000-0000-00005E7F0000}"/>
    <cellStyle name="Normal 5 3 5 3" xfId="22753" xr:uid="{00000000-0005-0000-0000-00005F7F0000}"/>
    <cellStyle name="Normal 5 3 5 3 2" xfId="27264" xr:uid="{00000000-0005-0000-0000-0000607F0000}"/>
    <cellStyle name="Normal 5 3 5 3 2 2" xfId="24838" xr:uid="{00000000-0005-0000-0000-0000617F0000}"/>
    <cellStyle name="Normal 5 3 5 3 2 2 2" xfId="19818" xr:uid="{00000000-0005-0000-0000-0000627F0000}"/>
    <cellStyle name="Normal 5 3 5 3 2 3" xfId="24841" xr:uid="{00000000-0005-0000-0000-0000637F0000}"/>
    <cellStyle name="Normal 5 3 5 3 3" xfId="27268" xr:uid="{00000000-0005-0000-0000-0000647F0000}"/>
    <cellStyle name="Normal 5 3 5 3 3 2" xfId="27270" xr:uid="{00000000-0005-0000-0000-0000657F0000}"/>
    <cellStyle name="Normal 5 3 5 3 4" xfId="27272" xr:uid="{00000000-0005-0000-0000-0000667F0000}"/>
    <cellStyle name="Normal 5 3 5 4" xfId="27274" xr:uid="{00000000-0005-0000-0000-0000677F0000}"/>
    <cellStyle name="Normal 5 3 5 4 2" xfId="27276" xr:uid="{00000000-0005-0000-0000-0000687F0000}"/>
    <cellStyle name="Normal 5 3 5 4 2 2" xfId="24857" xr:uid="{00000000-0005-0000-0000-0000697F0000}"/>
    <cellStyle name="Normal 5 3 5 4 3" xfId="27279" xr:uid="{00000000-0005-0000-0000-00006A7F0000}"/>
    <cellStyle name="Normal 5 3 5 5" xfId="9315" xr:uid="{00000000-0005-0000-0000-00006B7F0000}"/>
    <cellStyle name="Normal 5 3 5 5 2" xfId="27283" xr:uid="{00000000-0005-0000-0000-00006C7F0000}"/>
    <cellStyle name="Normal 5 3 5 5 2 2" xfId="24885" xr:uid="{00000000-0005-0000-0000-00006D7F0000}"/>
    <cellStyle name="Normal 5 3 5 5 3" xfId="27285" xr:uid="{00000000-0005-0000-0000-00006E7F0000}"/>
    <cellStyle name="Normal 5 3 5 6" xfId="27287" xr:uid="{00000000-0005-0000-0000-00006F7F0000}"/>
    <cellStyle name="Normal 5 3 5 6 2" xfId="27289" xr:uid="{00000000-0005-0000-0000-0000707F0000}"/>
    <cellStyle name="Normal 5 3 5 7" xfId="27291" xr:uid="{00000000-0005-0000-0000-0000717F0000}"/>
    <cellStyle name="Normal 5 3 5 7 2" xfId="27293" xr:uid="{00000000-0005-0000-0000-0000727F0000}"/>
    <cellStyle name="Normal 5 3 5 8" xfId="27295" xr:uid="{00000000-0005-0000-0000-0000737F0000}"/>
    <cellStyle name="Normal 5 3 6" xfId="751" xr:uid="{00000000-0005-0000-0000-0000747F0000}"/>
    <cellStyle name="Normal 5 3 6 2" xfId="22756" xr:uid="{00000000-0005-0000-0000-0000757F0000}"/>
    <cellStyle name="Normal 5 3 6 2 2" xfId="27361" xr:uid="{00000000-0005-0000-0000-0000767F0000}"/>
    <cellStyle name="Normal 5 3 6 2 2 2" xfId="23684" xr:uid="{00000000-0005-0000-0000-0000777F0000}"/>
    <cellStyle name="Normal 5 3 6 2 2 2 2" xfId="23693" xr:uid="{00000000-0005-0000-0000-0000787F0000}"/>
    <cellStyle name="Normal 5 3 6 2 2 2 2 2" xfId="9406" xr:uid="{00000000-0005-0000-0000-0000797F0000}"/>
    <cellStyle name="Normal 5 3 6 2 2 2 3" xfId="35797" xr:uid="{00000000-0005-0000-0000-00007A7F0000}"/>
    <cellStyle name="Normal 5 3 6 2 2 3" xfId="18484" xr:uid="{00000000-0005-0000-0000-00007B7F0000}"/>
    <cellStyle name="Normal 5 3 6 2 2 3 2" xfId="18491" xr:uid="{00000000-0005-0000-0000-00007C7F0000}"/>
    <cellStyle name="Normal 5 3 6 2 2 4" xfId="18513" xr:uid="{00000000-0005-0000-0000-00007D7F0000}"/>
    <cellStyle name="Normal 5 3 6 2 3" xfId="27363" xr:uid="{00000000-0005-0000-0000-00007E7F0000}"/>
    <cellStyle name="Normal 5 3 6 2 3 2" xfId="22016" xr:uid="{00000000-0005-0000-0000-00007F7F0000}"/>
    <cellStyle name="Normal 5 3 6 2 3 2 2" xfId="22026" xr:uid="{00000000-0005-0000-0000-0000807F0000}"/>
    <cellStyle name="Normal 5 3 6 2 3 3" xfId="18538" xr:uid="{00000000-0005-0000-0000-0000817F0000}"/>
    <cellStyle name="Normal 5 3 6 2 4" xfId="27365" xr:uid="{00000000-0005-0000-0000-0000827F0000}"/>
    <cellStyle name="Normal 5 3 6 2 4 2" xfId="36019" xr:uid="{00000000-0005-0000-0000-0000837F0000}"/>
    <cellStyle name="Normal 5 3 6 2 4 2 2" xfId="36022" xr:uid="{00000000-0005-0000-0000-0000847F0000}"/>
    <cellStyle name="Normal 5 3 6 2 4 3" xfId="36027" xr:uid="{00000000-0005-0000-0000-0000857F0000}"/>
    <cellStyle name="Normal 5 3 6 2 5" xfId="22040" xr:uid="{00000000-0005-0000-0000-0000867F0000}"/>
    <cellStyle name="Normal 5 3 6 2 5 2" xfId="36076" xr:uid="{00000000-0005-0000-0000-0000877F0000}"/>
    <cellStyle name="Normal 5 3 6 2 6" xfId="30633" xr:uid="{00000000-0005-0000-0000-0000887F0000}"/>
    <cellStyle name="Normal 5 3 6 2 6 2" xfId="30639" xr:uid="{00000000-0005-0000-0000-0000897F0000}"/>
    <cellStyle name="Normal 5 3 6 2 7" xfId="29928" xr:uid="{00000000-0005-0000-0000-00008A7F0000}"/>
    <cellStyle name="Normal 5 3 6 3" xfId="27367" xr:uid="{00000000-0005-0000-0000-00008B7F0000}"/>
    <cellStyle name="Normal 5 3 6 3 2" xfId="21492" xr:uid="{00000000-0005-0000-0000-00008C7F0000}"/>
    <cellStyle name="Normal 5 3 6 3 2 2" xfId="25038" xr:uid="{00000000-0005-0000-0000-00008D7F0000}"/>
    <cellStyle name="Normal 5 3 6 3 2 2 2" xfId="21598" xr:uid="{00000000-0005-0000-0000-00008E7F0000}"/>
    <cellStyle name="Normal 5 3 6 3 2 3" xfId="25044" xr:uid="{00000000-0005-0000-0000-00008F7F0000}"/>
    <cellStyle name="Normal 5 3 6 3 3" xfId="27371" xr:uid="{00000000-0005-0000-0000-0000907F0000}"/>
    <cellStyle name="Normal 5 3 6 3 3 2" xfId="37319" xr:uid="{00000000-0005-0000-0000-0000917F0000}"/>
    <cellStyle name="Normal 5 3 6 3 4" xfId="39480" xr:uid="{00000000-0005-0000-0000-0000927F0000}"/>
    <cellStyle name="Normal 5 3 6 4" xfId="27373" xr:uid="{00000000-0005-0000-0000-0000937F0000}"/>
    <cellStyle name="Normal 5 3 6 4 2" xfId="19917" xr:uid="{00000000-0005-0000-0000-0000947F0000}"/>
    <cellStyle name="Normal 5 3 6 4 2 2" xfId="767" xr:uid="{00000000-0005-0000-0000-0000957F0000}"/>
    <cellStyle name="Normal 5 3 6 4 3" xfId="19063" xr:uid="{00000000-0005-0000-0000-0000967F0000}"/>
    <cellStyle name="Normal 5 3 6 5" xfId="27375" xr:uid="{00000000-0005-0000-0000-0000977F0000}"/>
    <cellStyle name="Normal 5 3 6 5 2" xfId="19956" xr:uid="{00000000-0005-0000-0000-0000987F0000}"/>
    <cellStyle name="Normal 5 3 6 5 2 2" xfId="19961" xr:uid="{00000000-0005-0000-0000-0000997F0000}"/>
    <cellStyle name="Normal 5 3 6 5 3" xfId="39481" xr:uid="{00000000-0005-0000-0000-00009A7F0000}"/>
    <cellStyle name="Normal 5 3 6 6" xfId="27377" xr:uid="{00000000-0005-0000-0000-00009B7F0000}"/>
    <cellStyle name="Normal 5 3 6 6 2" xfId="342" xr:uid="{00000000-0005-0000-0000-00009C7F0000}"/>
    <cellStyle name="Normal 5 3 6 7" xfId="27379" xr:uid="{00000000-0005-0000-0000-00009D7F0000}"/>
    <cellStyle name="Normal 5 3 6 7 2" xfId="1998" xr:uid="{00000000-0005-0000-0000-00009E7F0000}"/>
    <cellStyle name="Normal 5 3 6 8" xfId="23232" xr:uid="{00000000-0005-0000-0000-00009F7F0000}"/>
    <cellStyle name="Normal 5 3 7" xfId="22759" xr:uid="{00000000-0005-0000-0000-0000A07F0000}"/>
    <cellStyle name="Normal 5 3 7 2" xfId="22761" xr:uid="{00000000-0005-0000-0000-0000A17F0000}"/>
    <cellStyle name="Normal 5 3 7 2 2" xfId="25535" xr:uid="{00000000-0005-0000-0000-0000A27F0000}"/>
    <cellStyle name="Normal 5 3 7 2 2 2" xfId="18292" xr:uid="{00000000-0005-0000-0000-0000A37F0000}"/>
    <cellStyle name="Normal 5 3 7 2 2 2 2" xfId="18299" xr:uid="{00000000-0005-0000-0000-0000A47F0000}"/>
    <cellStyle name="Normal 5 3 7 2 2 3" xfId="18304" xr:uid="{00000000-0005-0000-0000-0000A57F0000}"/>
    <cellStyle name="Normal 5 3 7 2 3" xfId="22274" xr:uid="{00000000-0005-0000-0000-0000A67F0000}"/>
    <cellStyle name="Normal 5 3 7 2 3 2" xfId="27411" xr:uid="{00000000-0005-0000-0000-0000A77F0000}"/>
    <cellStyle name="Normal 5 3 7 2 4" xfId="27414" xr:uid="{00000000-0005-0000-0000-0000A87F0000}"/>
    <cellStyle name="Normal 5 3 7 3" xfId="25538" xr:uid="{00000000-0005-0000-0000-0000A97F0000}"/>
    <cellStyle name="Normal 5 3 7 3 2" xfId="25541" xr:uid="{00000000-0005-0000-0000-0000AA7F0000}"/>
    <cellStyle name="Normal 5 3 7 3 2 2" xfId="27416" xr:uid="{00000000-0005-0000-0000-0000AB7F0000}"/>
    <cellStyle name="Normal 5 3 7 3 3" xfId="27418" xr:uid="{00000000-0005-0000-0000-0000AC7F0000}"/>
    <cellStyle name="Normal 5 3 7 4" xfId="25544" xr:uid="{00000000-0005-0000-0000-0000AD7F0000}"/>
    <cellStyle name="Normal 5 3 7 4 2" xfId="20033" xr:uid="{00000000-0005-0000-0000-0000AE7F0000}"/>
    <cellStyle name="Normal 5 3 7 4 2 2" xfId="377" xr:uid="{00000000-0005-0000-0000-0000AF7F0000}"/>
    <cellStyle name="Normal 5 3 7 4 3" xfId="27420" xr:uid="{00000000-0005-0000-0000-0000B07F0000}"/>
    <cellStyle name="Normal 5 3 7 5" xfId="25547" xr:uid="{00000000-0005-0000-0000-0000B17F0000}"/>
    <cellStyle name="Normal 5 3 7 5 2" xfId="27422" xr:uid="{00000000-0005-0000-0000-0000B27F0000}"/>
    <cellStyle name="Normal 5 3 7 6" xfId="27424" xr:uid="{00000000-0005-0000-0000-0000B37F0000}"/>
    <cellStyle name="Normal 5 3 7 6 2" xfId="2171" xr:uid="{00000000-0005-0000-0000-0000B47F0000}"/>
    <cellStyle name="Normal 5 3 7 7" xfId="27426" xr:uid="{00000000-0005-0000-0000-0000B57F0000}"/>
    <cellStyle name="Normal 5 3 8" xfId="22765" xr:uid="{00000000-0005-0000-0000-0000B67F0000}"/>
    <cellStyle name="Normal 5 3 8 2" xfId="25563" xr:uid="{00000000-0005-0000-0000-0000B77F0000}"/>
    <cellStyle name="Normal 5 3 8 2 2" xfId="25566" xr:uid="{00000000-0005-0000-0000-0000B87F0000}"/>
    <cellStyle name="Normal 5 3 8 2 2 2" xfId="27461" xr:uid="{00000000-0005-0000-0000-0000B97F0000}"/>
    <cellStyle name="Normal 5 3 8 2 3" xfId="27470" xr:uid="{00000000-0005-0000-0000-0000BA7F0000}"/>
    <cellStyle name="Normal 5 3 8 3" xfId="25569" xr:uid="{00000000-0005-0000-0000-0000BB7F0000}"/>
    <cellStyle name="Normal 5 3 8 3 2" xfId="25572" xr:uid="{00000000-0005-0000-0000-0000BC7F0000}"/>
    <cellStyle name="Normal 5 3 8 4" xfId="25575" xr:uid="{00000000-0005-0000-0000-0000BD7F0000}"/>
    <cellStyle name="Normal 5 3 9" xfId="1118" xr:uid="{00000000-0005-0000-0000-0000BE7F0000}"/>
    <cellStyle name="Normal 5 3 9 2" xfId="4854" xr:uid="{00000000-0005-0000-0000-0000BF7F0000}"/>
    <cellStyle name="Normal 5 3 9 2 2" xfId="27505" xr:uid="{00000000-0005-0000-0000-0000C07F0000}"/>
    <cellStyle name="Normal 5 3 9 3" xfId="27514" xr:uid="{00000000-0005-0000-0000-0000C17F0000}"/>
    <cellStyle name="Normal 5 4" xfId="992" xr:uid="{00000000-0005-0000-0000-0000C27F0000}"/>
    <cellStyle name="Normal 5 4 10" xfId="39482" xr:uid="{00000000-0005-0000-0000-0000C37F0000}"/>
    <cellStyle name="Normal 5 4 10 2" xfId="39483" xr:uid="{00000000-0005-0000-0000-0000C47F0000}"/>
    <cellStyle name="Normal 5 4 10 2 2" xfId="20828" xr:uid="{00000000-0005-0000-0000-0000C57F0000}"/>
    <cellStyle name="Normal 5 4 10 3" xfId="39484" xr:uid="{00000000-0005-0000-0000-0000C67F0000}"/>
    <cellStyle name="Normal 5 4 11" xfId="39485" xr:uid="{00000000-0005-0000-0000-0000C77F0000}"/>
    <cellStyle name="Normal 5 4 11 2" xfId="39486" xr:uid="{00000000-0005-0000-0000-0000C87F0000}"/>
    <cellStyle name="Normal 5 4 12" xfId="8536" xr:uid="{00000000-0005-0000-0000-0000C97F0000}"/>
    <cellStyle name="Normal 5 4 12 2" xfId="39487" xr:uid="{00000000-0005-0000-0000-0000CA7F0000}"/>
    <cellStyle name="Normal 5 4 13" xfId="8539" xr:uid="{00000000-0005-0000-0000-0000CB7F0000}"/>
    <cellStyle name="Normal 5 4 13 2" xfId="39488" xr:uid="{00000000-0005-0000-0000-0000CC7F0000}"/>
    <cellStyle name="Normal 5 4 2" xfId="8544" xr:uid="{00000000-0005-0000-0000-0000CD7F0000}"/>
    <cellStyle name="Normal 5 4 3" xfId="8664" xr:uid="{00000000-0005-0000-0000-0000CE7F0000}"/>
    <cellStyle name="Normal 5 4 3 2" xfId="8667" xr:uid="{00000000-0005-0000-0000-0000CF7F0000}"/>
    <cellStyle name="Normal 5 4 3 2 2" xfId="8673" xr:uid="{00000000-0005-0000-0000-0000D07F0000}"/>
    <cellStyle name="Normal 5 4 3 2 2 2" xfId="3315" xr:uid="{00000000-0005-0000-0000-0000D17F0000}"/>
    <cellStyle name="Normal 5 4 3 2 2 2 2" xfId="3334" xr:uid="{00000000-0005-0000-0000-0000D27F0000}"/>
    <cellStyle name="Normal 5 4 3 2 2 2 2 2" xfId="3163" xr:uid="{00000000-0005-0000-0000-0000D37F0000}"/>
    <cellStyle name="Normal 5 4 3 2 2 2 2 2 2" xfId="28201" xr:uid="{00000000-0005-0000-0000-0000D47F0000}"/>
    <cellStyle name="Normal 5 4 3 2 2 2 2 3" xfId="39489" xr:uid="{00000000-0005-0000-0000-0000D57F0000}"/>
    <cellStyle name="Normal 5 4 3 2 2 2 3" xfId="3359" xr:uid="{00000000-0005-0000-0000-0000D67F0000}"/>
    <cellStyle name="Normal 5 4 3 2 2 2 3 2" xfId="39490" xr:uid="{00000000-0005-0000-0000-0000D77F0000}"/>
    <cellStyle name="Normal 5 4 3 2 2 2 4" xfId="22782" xr:uid="{00000000-0005-0000-0000-0000D87F0000}"/>
    <cellStyle name="Normal 5 4 3 2 2 3" xfId="3487" xr:uid="{00000000-0005-0000-0000-0000D97F0000}"/>
    <cellStyle name="Normal 5 4 3 2 2 3 2" xfId="3498" xr:uid="{00000000-0005-0000-0000-0000DA7F0000}"/>
    <cellStyle name="Normal 5 4 3 2 2 3 2 2" xfId="28209" xr:uid="{00000000-0005-0000-0000-0000DB7F0000}"/>
    <cellStyle name="Normal 5 4 3 2 2 3 3" xfId="28213" xr:uid="{00000000-0005-0000-0000-0000DC7F0000}"/>
    <cellStyle name="Normal 5 4 3 2 2 4" xfId="3557" xr:uid="{00000000-0005-0000-0000-0000DD7F0000}"/>
    <cellStyle name="Normal 5 4 3 2 2 4 2" xfId="3572" xr:uid="{00000000-0005-0000-0000-0000DE7F0000}"/>
    <cellStyle name="Normal 5 4 3 2 2 4 2 2" xfId="39491" xr:uid="{00000000-0005-0000-0000-0000DF7F0000}"/>
    <cellStyle name="Normal 5 4 3 2 2 4 3" xfId="39492" xr:uid="{00000000-0005-0000-0000-0000E07F0000}"/>
    <cellStyle name="Normal 5 4 3 2 2 5" xfId="3590" xr:uid="{00000000-0005-0000-0000-0000E17F0000}"/>
    <cellStyle name="Normal 5 4 3 2 2 5 2" xfId="39493" xr:uid="{00000000-0005-0000-0000-0000E27F0000}"/>
    <cellStyle name="Normal 5 4 3 2 2 6" xfId="39496" xr:uid="{00000000-0005-0000-0000-0000E37F0000}"/>
    <cellStyle name="Normal 5 4 3 2 2 6 2" xfId="39499" xr:uid="{00000000-0005-0000-0000-0000E47F0000}"/>
    <cellStyle name="Normal 5 4 3 2 2 7" xfId="39502" xr:uid="{00000000-0005-0000-0000-0000E57F0000}"/>
    <cellStyle name="Normal 5 4 3 2 3" xfId="2616" xr:uid="{00000000-0005-0000-0000-0000E67F0000}"/>
    <cellStyle name="Normal 5 4 3 2 3 2" xfId="58" xr:uid="{00000000-0005-0000-0000-0000E77F0000}"/>
    <cellStyle name="Normal 5 4 3 2 3 2 2" xfId="39503" xr:uid="{00000000-0005-0000-0000-0000E87F0000}"/>
    <cellStyle name="Normal 5 4 3 2 3 2 2 2" xfId="39504" xr:uid="{00000000-0005-0000-0000-0000E97F0000}"/>
    <cellStyle name="Normal 5 4 3 2 3 2 3" xfId="39505" xr:uid="{00000000-0005-0000-0000-0000EA7F0000}"/>
    <cellStyle name="Normal 5 4 3 2 3 3" xfId="39506" xr:uid="{00000000-0005-0000-0000-0000EB7F0000}"/>
    <cellStyle name="Normal 5 4 3 2 3 3 2" xfId="28237" xr:uid="{00000000-0005-0000-0000-0000EC7F0000}"/>
    <cellStyle name="Normal 5 4 3 2 3 4" xfId="39507" xr:uid="{00000000-0005-0000-0000-0000ED7F0000}"/>
    <cellStyle name="Normal 5 4 3 2 4" xfId="4914" xr:uid="{00000000-0005-0000-0000-0000EE7F0000}"/>
    <cellStyle name="Normal 5 4 3 2 4 2" xfId="39508" xr:uid="{00000000-0005-0000-0000-0000EF7F0000}"/>
    <cellStyle name="Normal 5 4 3 2 4 2 2" xfId="39509" xr:uid="{00000000-0005-0000-0000-0000F07F0000}"/>
    <cellStyle name="Normal 5 4 3 2 4 3" xfId="28251" xr:uid="{00000000-0005-0000-0000-0000F17F0000}"/>
    <cellStyle name="Normal 5 4 3 2 5" xfId="39510" xr:uid="{00000000-0005-0000-0000-0000F27F0000}"/>
    <cellStyle name="Normal 5 4 3 2 5 2" xfId="39511" xr:uid="{00000000-0005-0000-0000-0000F37F0000}"/>
    <cellStyle name="Normal 5 4 3 2 5 2 2" xfId="39512" xr:uid="{00000000-0005-0000-0000-0000F47F0000}"/>
    <cellStyle name="Normal 5 4 3 2 5 3" xfId="39513" xr:uid="{00000000-0005-0000-0000-0000F57F0000}"/>
    <cellStyle name="Normal 5 4 3 2 6" xfId="39514" xr:uid="{00000000-0005-0000-0000-0000F67F0000}"/>
    <cellStyle name="Normal 5 4 3 2 6 2" xfId="39515" xr:uid="{00000000-0005-0000-0000-0000F77F0000}"/>
    <cellStyle name="Normal 5 4 3 2 7" xfId="39516" xr:uid="{00000000-0005-0000-0000-0000F87F0000}"/>
    <cellStyle name="Normal 5 4 3 2 7 2" xfId="39517" xr:uid="{00000000-0005-0000-0000-0000F97F0000}"/>
    <cellStyle name="Normal 5 4 3 2 8" xfId="39518" xr:uid="{00000000-0005-0000-0000-0000FA7F0000}"/>
    <cellStyle name="Normal 5 4 3 3" xfId="5839" xr:uid="{00000000-0005-0000-0000-0000FB7F0000}"/>
    <cellStyle name="Normal 5 4 3 3 2" xfId="39519" xr:uid="{00000000-0005-0000-0000-0000FC7F0000}"/>
    <cellStyle name="Normal 5 4 3 3 2 2" xfId="4892" xr:uid="{00000000-0005-0000-0000-0000FD7F0000}"/>
    <cellStyle name="Normal 5 4 3 3 2 2 2" xfId="2451" xr:uid="{00000000-0005-0000-0000-0000FE7F0000}"/>
    <cellStyle name="Normal 5 4 3 3 2 2 2 2" xfId="24135" xr:uid="{00000000-0005-0000-0000-0000FF7F0000}"/>
    <cellStyle name="Normal 5 4 3 3 2 2 3" xfId="22787" xr:uid="{00000000-0005-0000-0000-000000800000}"/>
    <cellStyle name="Normal 5 4 3 3 2 3" xfId="4929" xr:uid="{00000000-0005-0000-0000-000001800000}"/>
    <cellStyle name="Normal 5 4 3 3 2 3 2" xfId="24138" xr:uid="{00000000-0005-0000-0000-000002800000}"/>
    <cellStyle name="Normal 5 4 3 3 2 4" xfId="12950" xr:uid="{00000000-0005-0000-0000-000003800000}"/>
    <cellStyle name="Normal 5 4 3 3 3" xfId="2636" xr:uid="{00000000-0005-0000-0000-000004800000}"/>
    <cellStyle name="Normal 5 4 3 3 3 2" xfId="5183" xr:uid="{00000000-0005-0000-0000-000005800000}"/>
    <cellStyle name="Normal 5 4 3 3 3 2 2" xfId="24161" xr:uid="{00000000-0005-0000-0000-000006800000}"/>
    <cellStyle name="Normal 5 4 3 3 3 3" xfId="24166" xr:uid="{00000000-0005-0000-0000-000007800000}"/>
    <cellStyle name="Normal 5 4 3 3 4" xfId="39520" xr:uid="{00000000-0005-0000-0000-000008800000}"/>
    <cellStyle name="Normal 5 4 3 3 4 2" xfId="24171" xr:uid="{00000000-0005-0000-0000-000009800000}"/>
    <cellStyle name="Normal 5 4 3 3 4 2 2" xfId="39521" xr:uid="{00000000-0005-0000-0000-00000A800000}"/>
    <cellStyle name="Normal 5 4 3 3 4 3" xfId="39522" xr:uid="{00000000-0005-0000-0000-00000B800000}"/>
    <cellStyle name="Normal 5 4 3 3 5" xfId="39523" xr:uid="{00000000-0005-0000-0000-00000C800000}"/>
    <cellStyle name="Normal 5 4 3 3 5 2" xfId="24177" xr:uid="{00000000-0005-0000-0000-00000D800000}"/>
    <cellStyle name="Normal 5 4 3 3 6" xfId="39524" xr:uid="{00000000-0005-0000-0000-00000E800000}"/>
    <cellStyle name="Normal 5 4 3 3 6 2" xfId="39525" xr:uid="{00000000-0005-0000-0000-00000F800000}"/>
    <cellStyle name="Normal 5 4 3 3 7" xfId="39526" xr:uid="{00000000-0005-0000-0000-000010800000}"/>
    <cellStyle name="Normal 5 4 3 4" xfId="39527" xr:uid="{00000000-0005-0000-0000-000011800000}"/>
    <cellStyle name="Normal 5 4 3 4 2" xfId="39528" xr:uid="{00000000-0005-0000-0000-000012800000}"/>
    <cellStyle name="Normal 5 4 3 4 2 2" xfId="6088" xr:uid="{00000000-0005-0000-0000-000013800000}"/>
    <cellStyle name="Normal 5 4 3 4 2 2 2" xfId="24204" xr:uid="{00000000-0005-0000-0000-000014800000}"/>
    <cellStyle name="Normal 5 4 3 4 2 3" xfId="24209" xr:uid="{00000000-0005-0000-0000-000015800000}"/>
    <cellStyle name="Normal 5 4 3 4 3" xfId="39529" xr:uid="{00000000-0005-0000-0000-000016800000}"/>
    <cellStyle name="Normal 5 4 3 4 3 2" xfId="24216" xr:uid="{00000000-0005-0000-0000-000017800000}"/>
    <cellStyle name="Normal 5 4 3 4 4" xfId="39530" xr:uid="{00000000-0005-0000-0000-000018800000}"/>
    <cellStyle name="Normal 5 4 3 5" xfId="4169" xr:uid="{00000000-0005-0000-0000-000019800000}"/>
    <cellStyle name="Normal 5 4 3 5 2" xfId="39531" xr:uid="{00000000-0005-0000-0000-00001A800000}"/>
    <cellStyle name="Normal 5 4 3 5 2 2" xfId="7372" xr:uid="{00000000-0005-0000-0000-00001B800000}"/>
    <cellStyle name="Normal 5 4 3 5 3" xfId="39532" xr:uid="{00000000-0005-0000-0000-00001C800000}"/>
    <cellStyle name="Normal 5 4 3 6" xfId="5620" xr:uid="{00000000-0005-0000-0000-00001D800000}"/>
    <cellStyle name="Normal 5 4 3 6 2" xfId="39533" xr:uid="{00000000-0005-0000-0000-00001E800000}"/>
    <cellStyle name="Normal 5 4 3 6 2 2" xfId="39534" xr:uid="{00000000-0005-0000-0000-00001F800000}"/>
    <cellStyle name="Normal 5 4 3 6 3" xfId="39535" xr:uid="{00000000-0005-0000-0000-000020800000}"/>
    <cellStyle name="Normal 5 4 3 7" xfId="39536" xr:uid="{00000000-0005-0000-0000-000021800000}"/>
    <cellStyle name="Normal 5 4 3 7 2" xfId="39537" xr:uid="{00000000-0005-0000-0000-000022800000}"/>
    <cellStyle name="Normal 5 4 3 8" xfId="3938" xr:uid="{00000000-0005-0000-0000-000023800000}"/>
    <cellStyle name="Normal 5 4 3 8 2" xfId="39538" xr:uid="{00000000-0005-0000-0000-000024800000}"/>
    <cellStyle name="Normal 5 4 3 9" xfId="39539" xr:uid="{00000000-0005-0000-0000-000025800000}"/>
    <cellStyle name="Normal 5 4 4" xfId="39540" xr:uid="{00000000-0005-0000-0000-000026800000}"/>
    <cellStyle name="Normal 5 4 4 2" xfId="39541" xr:uid="{00000000-0005-0000-0000-000027800000}"/>
    <cellStyle name="Normal 5 4 4 2 2" xfId="39542" xr:uid="{00000000-0005-0000-0000-000028800000}"/>
    <cellStyle name="Normal 5 4 4 2 2 2" xfId="6627" xr:uid="{00000000-0005-0000-0000-000029800000}"/>
    <cellStyle name="Normal 5 4 4 2 2 2 2" xfId="39543" xr:uid="{00000000-0005-0000-0000-00002A800000}"/>
    <cellStyle name="Normal 5 4 4 2 2 2 2 2" xfId="8703" xr:uid="{00000000-0005-0000-0000-00002B800000}"/>
    <cellStyle name="Normal 5 4 4 2 2 2 3" xfId="39544" xr:uid="{00000000-0005-0000-0000-00002C800000}"/>
    <cellStyle name="Normal 5 4 4 2 2 3" xfId="39545" xr:uid="{00000000-0005-0000-0000-00002D800000}"/>
    <cellStyle name="Normal 5 4 4 2 2 3 2" xfId="39547" xr:uid="{00000000-0005-0000-0000-00002E800000}"/>
    <cellStyle name="Normal 5 4 4 2 2 4" xfId="39548" xr:uid="{00000000-0005-0000-0000-00002F800000}"/>
    <cellStyle name="Normal 5 4 4 2 3" xfId="39549" xr:uid="{00000000-0005-0000-0000-000030800000}"/>
    <cellStyle name="Normal 5 4 4 2 3 2" xfId="39550" xr:uid="{00000000-0005-0000-0000-000031800000}"/>
    <cellStyle name="Normal 5 4 4 2 3 2 2" xfId="8730" xr:uid="{00000000-0005-0000-0000-000032800000}"/>
    <cellStyle name="Normal 5 4 4 2 3 3" xfId="39551" xr:uid="{00000000-0005-0000-0000-000033800000}"/>
    <cellStyle name="Normal 5 4 4 2 4" xfId="39552" xr:uid="{00000000-0005-0000-0000-000034800000}"/>
    <cellStyle name="Normal 5 4 4 2 4 2" xfId="39553" xr:uid="{00000000-0005-0000-0000-000035800000}"/>
    <cellStyle name="Normal 5 4 4 2 4 2 2" xfId="28725" xr:uid="{00000000-0005-0000-0000-000036800000}"/>
    <cellStyle name="Normal 5 4 4 2 4 3" xfId="39554" xr:uid="{00000000-0005-0000-0000-000037800000}"/>
    <cellStyle name="Normal 5 4 4 2 5" xfId="39555" xr:uid="{00000000-0005-0000-0000-000038800000}"/>
    <cellStyle name="Normal 5 4 4 2 5 2" xfId="39556" xr:uid="{00000000-0005-0000-0000-000039800000}"/>
    <cellStyle name="Normal 5 4 4 2 6" xfId="39558" xr:uid="{00000000-0005-0000-0000-00003A800000}"/>
    <cellStyle name="Normal 5 4 4 2 6 2" xfId="39559" xr:uid="{00000000-0005-0000-0000-00003B800000}"/>
    <cellStyle name="Normal 5 4 4 2 7" xfId="39560" xr:uid="{00000000-0005-0000-0000-00003C800000}"/>
    <cellStyle name="Normal 5 4 4 3" xfId="1240" xr:uid="{00000000-0005-0000-0000-00003D800000}"/>
    <cellStyle name="Normal 5 4 4 3 2" xfId="39561" xr:uid="{00000000-0005-0000-0000-00003E800000}"/>
    <cellStyle name="Normal 5 4 4 3 2 2" xfId="6691" xr:uid="{00000000-0005-0000-0000-00003F800000}"/>
    <cellStyle name="Normal 5 4 4 3 2 2 2" xfId="4488" xr:uid="{00000000-0005-0000-0000-000040800000}"/>
    <cellStyle name="Normal 5 4 4 3 2 3" xfId="6377" xr:uid="{00000000-0005-0000-0000-000041800000}"/>
    <cellStyle name="Normal 5 4 4 3 3" xfId="39562" xr:uid="{00000000-0005-0000-0000-000042800000}"/>
    <cellStyle name="Normal 5 4 4 3 3 2" xfId="8765" xr:uid="{00000000-0005-0000-0000-000043800000}"/>
    <cellStyle name="Normal 5 4 4 3 4" xfId="39563" xr:uid="{00000000-0005-0000-0000-000044800000}"/>
    <cellStyle name="Normal 5 4 4 4" xfId="39564" xr:uid="{00000000-0005-0000-0000-000045800000}"/>
    <cellStyle name="Normal 5 4 4 4 2" xfId="39565" xr:uid="{00000000-0005-0000-0000-000046800000}"/>
    <cellStyle name="Normal 5 4 4 4 2 2" xfId="8771" xr:uid="{00000000-0005-0000-0000-000047800000}"/>
    <cellStyle name="Normal 5 4 4 4 3" xfId="39566" xr:uid="{00000000-0005-0000-0000-000048800000}"/>
    <cellStyle name="Normal 5 4 4 5" xfId="6723" xr:uid="{00000000-0005-0000-0000-000049800000}"/>
    <cellStyle name="Normal 5 4 4 5 2" xfId="39567" xr:uid="{00000000-0005-0000-0000-00004A800000}"/>
    <cellStyle name="Normal 5 4 4 5 2 2" xfId="39568" xr:uid="{00000000-0005-0000-0000-00004B800000}"/>
    <cellStyle name="Normal 5 4 4 5 3" xfId="39569" xr:uid="{00000000-0005-0000-0000-00004C800000}"/>
    <cellStyle name="Normal 5 4 4 6" xfId="5629" xr:uid="{00000000-0005-0000-0000-00004D800000}"/>
    <cellStyle name="Normal 5 4 4 6 2" xfId="39572" xr:uid="{00000000-0005-0000-0000-00004E800000}"/>
    <cellStyle name="Normal 5 4 4 7" xfId="39573" xr:uid="{00000000-0005-0000-0000-00004F800000}"/>
    <cellStyle name="Normal 5 4 4 7 2" xfId="39576" xr:uid="{00000000-0005-0000-0000-000050800000}"/>
    <cellStyle name="Normal 5 4 4 8" xfId="6369" xr:uid="{00000000-0005-0000-0000-000051800000}"/>
    <cellStyle name="Normal 5 4 5" xfId="39577" xr:uid="{00000000-0005-0000-0000-000052800000}"/>
    <cellStyle name="Normal 5 4 5 2" xfId="39578" xr:uid="{00000000-0005-0000-0000-000053800000}"/>
    <cellStyle name="Normal 5 4 5 2 2" xfId="39579" xr:uid="{00000000-0005-0000-0000-000054800000}"/>
    <cellStyle name="Normal 5 4 5 2 2 2" xfId="8065" xr:uid="{00000000-0005-0000-0000-000055800000}"/>
    <cellStyle name="Normal 5 4 5 2 2 2 2" xfId="39580" xr:uid="{00000000-0005-0000-0000-000056800000}"/>
    <cellStyle name="Normal 5 4 5 2 2 2 2 2" xfId="39582" xr:uid="{00000000-0005-0000-0000-000057800000}"/>
    <cellStyle name="Normal 5 4 5 2 2 2 3" xfId="39583" xr:uid="{00000000-0005-0000-0000-000058800000}"/>
    <cellStyle name="Normal 5 4 5 2 2 3" xfId="39584" xr:uid="{00000000-0005-0000-0000-000059800000}"/>
    <cellStyle name="Normal 5 4 5 2 2 3 2" xfId="39586" xr:uid="{00000000-0005-0000-0000-00005A800000}"/>
    <cellStyle name="Normal 5 4 5 2 2 4" xfId="39587" xr:uid="{00000000-0005-0000-0000-00005B800000}"/>
    <cellStyle name="Normal 5 4 5 2 3" xfId="39588" xr:uid="{00000000-0005-0000-0000-00005C800000}"/>
    <cellStyle name="Normal 5 4 5 2 3 2" xfId="39589" xr:uid="{00000000-0005-0000-0000-00005D800000}"/>
    <cellStyle name="Normal 5 4 5 2 3 2 2" xfId="29067" xr:uid="{00000000-0005-0000-0000-00005E800000}"/>
    <cellStyle name="Normal 5 4 5 2 3 3" xfId="39590" xr:uid="{00000000-0005-0000-0000-00005F800000}"/>
    <cellStyle name="Normal 5 4 5 2 4" xfId="39594" xr:uid="{00000000-0005-0000-0000-000060800000}"/>
    <cellStyle name="Normal 5 4 5 2 4 2" xfId="39596" xr:uid="{00000000-0005-0000-0000-000061800000}"/>
    <cellStyle name="Normal 5 4 5 2 4 2 2" xfId="39597" xr:uid="{00000000-0005-0000-0000-000062800000}"/>
    <cellStyle name="Normal 5 4 5 2 4 3" xfId="39598" xr:uid="{00000000-0005-0000-0000-000063800000}"/>
    <cellStyle name="Normal 5 4 5 2 5" xfId="39600" xr:uid="{00000000-0005-0000-0000-000064800000}"/>
    <cellStyle name="Normal 5 4 5 2 5 2" xfId="8806" xr:uid="{00000000-0005-0000-0000-000065800000}"/>
    <cellStyle name="Normal 5 4 5 2 6" xfId="39601" xr:uid="{00000000-0005-0000-0000-000066800000}"/>
    <cellStyle name="Normal 5 4 5 2 6 2" xfId="39602" xr:uid="{00000000-0005-0000-0000-000067800000}"/>
    <cellStyle name="Normal 5 4 5 2 7" xfId="39603" xr:uid="{00000000-0005-0000-0000-000068800000}"/>
    <cellStyle name="Normal 5 4 5 3" xfId="5896" xr:uid="{00000000-0005-0000-0000-000069800000}"/>
    <cellStyle name="Normal 5 4 5 3 2" xfId="39604" xr:uid="{00000000-0005-0000-0000-00006A800000}"/>
    <cellStyle name="Normal 5 4 5 3 2 2" xfId="4123" xr:uid="{00000000-0005-0000-0000-00006B800000}"/>
    <cellStyle name="Normal 5 4 5 3 2 2 2" xfId="684" xr:uid="{00000000-0005-0000-0000-00006C800000}"/>
    <cellStyle name="Normal 5 4 5 3 2 3" xfId="4139" xr:uid="{00000000-0005-0000-0000-00006D800000}"/>
    <cellStyle name="Normal 5 4 5 3 3" xfId="39605" xr:uid="{00000000-0005-0000-0000-00006E800000}"/>
    <cellStyle name="Normal 5 4 5 3 3 2" xfId="4265" xr:uid="{00000000-0005-0000-0000-00006F800000}"/>
    <cellStyle name="Normal 5 4 5 3 4" xfId="7335" xr:uid="{00000000-0005-0000-0000-000070800000}"/>
    <cellStyle name="Normal 5 4 5 4" xfId="39606" xr:uid="{00000000-0005-0000-0000-000071800000}"/>
    <cellStyle name="Normal 5 4 5 4 2" xfId="39607" xr:uid="{00000000-0005-0000-0000-000072800000}"/>
    <cellStyle name="Normal 5 4 5 4 2 2" xfId="526" xr:uid="{00000000-0005-0000-0000-000073800000}"/>
    <cellStyle name="Normal 5 4 5 4 3" xfId="39608" xr:uid="{00000000-0005-0000-0000-000074800000}"/>
    <cellStyle name="Normal 5 4 5 5" xfId="39609" xr:uid="{00000000-0005-0000-0000-000075800000}"/>
    <cellStyle name="Normal 5 4 5 5 2" xfId="39610" xr:uid="{00000000-0005-0000-0000-000076800000}"/>
    <cellStyle name="Normal 5 4 5 5 2 2" xfId="39611" xr:uid="{00000000-0005-0000-0000-000077800000}"/>
    <cellStyle name="Normal 5 4 5 5 3" xfId="39612" xr:uid="{00000000-0005-0000-0000-000078800000}"/>
    <cellStyle name="Normal 5 4 5 6" xfId="39613" xr:uid="{00000000-0005-0000-0000-000079800000}"/>
    <cellStyle name="Normal 5 4 5 6 2" xfId="39616" xr:uid="{00000000-0005-0000-0000-00007A800000}"/>
    <cellStyle name="Normal 5 4 5 7" xfId="39617" xr:uid="{00000000-0005-0000-0000-00007B800000}"/>
    <cellStyle name="Normal 5 4 5 7 2" xfId="39620" xr:uid="{00000000-0005-0000-0000-00007C800000}"/>
    <cellStyle name="Normal 5 4 5 8" xfId="39621" xr:uid="{00000000-0005-0000-0000-00007D800000}"/>
    <cellStyle name="Normal 5 4 6" xfId="39622" xr:uid="{00000000-0005-0000-0000-00007E800000}"/>
    <cellStyle name="Normal 5 4 6 2" xfId="39623" xr:uid="{00000000-0005-0000-0000-00007F800000}"/>
    <cellStyle name="Normal 5 4 6 2 2" xfId="39624" xr:uid="{00000000-0005-0000-0000-000080800000}"/>
    <cellStyle name="Normal 5 4 6 2 2 2" xfId="8184" xr:uid="{00000000-0005-0000-0000-000081800000}"/>
    <cellStyle name="Normal 5 4 6 2 2 2 2" xfId="39625" xr:uid="{00000000-0005-0000-0000-000082800000}"/>
    <cellStyle name="Normal 5 4 6 2 2 2 2 2" xfId="39626" xr:uid="{00000000-0005-0000-0000-000083800000}"/>
    <cellStyle name="Normal 5 4 6 2 2 2 3" xfId="39627" xr:uid="{00000000-0005-0000-0000-000084800000}"/>
    <cellStyle name="Normal 5 4 6 2 2 3" xfId="39629" xr:uid="{00000000-0005-0000-0000-000085800000}"/>
    <cellStyle name="Normal 5 4 6 2 2 3 2" xfId="39633" xr:uid="{00000000-0005-0000-0000-000086800000}"/>
    <cellStyle name="Normal 5 4 6 2 2 4" xfId="39635" xr:uid="{00000000-0005-0000-0000-000087800000}"/>
    <cellStyle name="Normal 5 4 6 2 3" xfId="8842" xr:uid="{00000000-0005-0000-0000-000088800000}"/>
    <cellStyle name="Normal 5 4 6 2 3 2" xfId="39636" xr:uid="{00000000-0005-0000-0000-000089800000}"/>
    <cellStyle name="Normal 5 4 6 2 3 2 2" xfId="21975" xr:uid="{00000000-0005-0000-0000-00008A800000}"/>
    <cellStyle name="Normal 5 4 6 2 3 3" xfId="39638" xr:uid="{00000000-0005-0000-0000-00008B800000}"/>
    <cellStyle name="Normal 5 4 6 2 4" xfId="39640" xr:uid="{00000000-0005-0000-0000-00008C800000}"/>
    <cellStyle name="Normal 5 4 6 2 4 2" xfId="39641" xr:uid="{00000000-0005-0000-0000-00008D800000}"/>
    <cellStyle name="Normal 5 4 6 2 4 2 2" xfId="39642" xr:uid="{00000000-0005-0000-0000-00008E800000}"/>
    <cellStyle name="Normal 5 4 6 2 4 3" xfId="39643" xr:uid="{00000000-0005-0000-0000-00008F800000}"/>
    <cellStyle name="Normal 5 4 6 2 5" xfId="29191" xr:uid="{00000000-0005-0000-0000-000090800000}"/>
    <cellStyle name="Normal 5 4 6 2 5 2" xfId="14203" xr:uid="{00000000-0005-0000-0000-000091800000}"/>
    <cellStyle name="Normal 5 4 6 2 6" xfId="39644" xr:uid="{00000000-0005-0000-0000-000092800000}"/>
    <cellStyle name="Normal 5 4 6 2 6 2" xfId="39645" xr:uid="{00000000-0005-0000-0000-000093800000}"/>
    <cellStyle name="Normal 5 4 6 2 7" xfId="39646" xr:uid="{00000000-0005-0000-0000-000094800000}"/>
    <cellStyle name="Normal 5 4 6 3" xfId="39647" xr:uid="{00000000-0005-0000-0000-000095800000}"/>
    <cellStyle name="Normal 5 4 6 3 2" xfId="39648" xr:uid="{00000000-0005-0000-0000-000096800000}"/>
    <cellStyle name="Normal 5 4 6 3 2 2" xfId="39649" xr:uid="{00000000-0005-0000-0000-000097800000}"/>
    <cellStyle name="Normal 5 4 6 3 2 2 2" xfId="39650" xr:uid="{00000000-0005-0000-0000-000098800000}"/>
    <cellStyle name="Normal 5 4 6 3 2 3" xfId="39652" xr:uid="{00000000-0005-0000-0000-000099800000}"/>
    <cellStyle name="Normal 5 4 6 3 3" xfId="8872" xr:uid="{00000000-0005-0000-0000-00009A800000}"/>
    <cellStyle name="Normal 5 4 6 3 3 2" xfId="39654" xr:uid="{00000000-0005-0000-0000-00009B800000}"/>
    <cellStyle name="Normal 5 4 6 3 4" xfId="22528" xr:uid="{00000000-0005-0000-0000-00009C800000}"/>
    <cellStyle name="Normal 5 4 6 4" xfId="39655" xr:uid="{00000000-0005-0000-0000-00009D800000}"/>
    <cellStyle name="Normal 5 4 6 4 2" xfId="39656" xr:uid="{00000000-0005-0000-0000-00009E800000}"/>
    <cellStyle name="Normal 5 4 6 4 2 2" xfId="39657" xr:uid="{00000000-0005-0000-0000-00009F800000}"/>
    <cellStyle name="Normal 5 4 6 4 3" xfId="39658" xr:uid="{00000000-0005-0000-0000-0000A0800000}"/>
    <cellStyle name="Normal 5 4 6 5" xfId="39659" xr:uid="{00000000-0005-0000-0000-0000A1800000}"/>
    <cellStyle name="Normal 5 4 6 5 2" xfId="39660" xr:uid="{00000000-0005-0000-0000-0000A2800000}"/>
    <cellStyle name="Normal 5 4 6 5 2 2" xfId="39661" xr:uid="{00000000-0005-0000-0000-0000A3800000}"/>
    <cellStyle name="Normal 5 4 6 5 3" xfId="39662" xr:uid="{00000000-0005-0000-0000-0000A4800000}"/>
    <cellStyle name="Normal 5 4 6 6" xfId="39663" xr:uid="{00000000-0005-0000-0000-0000A5800000}"/>
    <cellStyle name="Normal 5 4 6 6 2" xfId="356" xr:uid="{00000000-0005-0000-0000-0000A6800000}"/>
    <cellStyle name="Normal 5 4 6 7" xfId="39665" xr:uid="{00000000-0005-0000-0000-0000A7800000}"/>
    <cellStyle name="Normal 5 4 6 7 2" xfId="2487" xr:uid="{00000000-0005-0000-0000-0000A8800000}"/>
    <cellStyle name="Normal 5 4 6 8" xfId="39667" xr:uid="{00000000-0005-0000-0000-0000A9800000}"/>
    <cellStyle name="Normal 5 4 7" xfId="39668" xr:uid="{00000000-0005-0000-0000-0000AA800000}"/>
    <cellStyle name="Normal 5 4 7 2" xfId="39669" xr:uid="{00000000-0005-0000-0000-0000AB800000}"/>
    <cellStyle name="Normal 5 4 7 2 2" xfId="39670" xr:uid="{00000000-0005-0000-0000-0000AC800000}"/>
    <cellStyle name="Normal 5 4 7 2 2 2" xfId="39671" xr:uid="{00000000-0005-0000-0000-0000AD800000}"/>
    <cellStyle name="Normal 5 4 7 2 2 2 2" xfId="39673" xr:uid="{00000000-0005-0000-0000-0000AE800000}"/>
    <cellStyle name="Normal 5 4 7 2 2 3" xfId="39675" xr:uid="{00000000-0005-0000-0000-0000AF800000}"/>
    <cellStyle name="Normal 5 4 7 2 3" xfId="3914" xr:uid="{00000000-0005-0000-0000-0000B0800000}"/>
    <cellStyle name="Normal 5 4 7 2 3 2" xfId="17133" xr:uid="{00000000-0005-0000-0000-0000B1800000}"/>
    <cellStyle name="Normal 5 4 7 2 4" xfId="17140" xr:uid="{00000000-0005-0000-0000-0000B2800000}"/>
    <cellStyle name="Normal 5 4 7 3" xfId="39676" xr:uid="{00000000-0005-0000-0000-0000B3800000}"/>
    <cellStyle name="Normal 5 4 7 3 2" xfId="39677" xr:uid="{00000000-0005-0000-0000-0000B4800000}"/>
    <cellStyle name="Normal 5 4 7 3 2 2" xfId="39678" xr:uid="{00000000-0005-0000-0000-0000B5800000}"/>
    <cellStyle name="Normal 5 4 7 3 3" xfId="3856" xr:uid="{00000000-0005-0000-0000-0000B6800000}"/>
    <cellStyle name="Normal 5 4 7 4" xfId="39679" xr:uid="{00000000-0005-0000-0000-0000B7800000}"/>
    <cellStyle name="Normal 5 4 7 4 2" xfId="39680" xr:uid="{00000000-0005-0000-0000-0000B8800000}"/>
    <cellStyle name="Normal 5 4 7 4 2 2" xfId="39681" xr:uid="{00000000-0005-0000-0000-0000B9800000}"/>
    <cellStyle name="Normal 5 4 7 4 3" xfId="17156" xr:uid="{00000000-0005-0000-0000-0000BA800000}"/>
    <cellStyle name="Normal 5 4 7 5" xfId="39682" xr:uid="{00000000-0005-0000-0000-0000BB800000}"/>
    <cellStyle name="Normal 5 4 7 5 2" xfId="39683" xr:uid="{00000000-0005-0000-0000-0000BC800000}"/>
    <cellStyle name="Normal 5 4 7 6" xfId="39684" xr:uid="{00000000-0005-0000-0000-0000BD800000}"/>
    <cellStyle name="Normal 5 4 7 6 2" xfId="2733" xr:uid="{00000000-0005-0000-0000-0000BE800000}"/>
    <cellStyle name="Normal 5 4 7 7" xfId="39686" xr:uid="{00000000-0005-0000-0000-0000BF800000}"/>
    <cellStyle name="Normal 5 4 8" xfId="39687" xr:uid="{00000000-0005-0000-0000-0000C0800000}"/>
    <cellStyle name="Normal 5 4 8 2" xfId="39688" xr:uid="{00000000-0005-0000-0000-0000C1800000}"/>
    <cellStyle name="Normal 5 4 8 2 2" xfId="39689" xr:uid="{00000000-0005-0000-0000-0000C2800000}"/>
    <cellStyle name="Normal 5 4 8 2 2 2" xfId="29334" xr:uid="{00000000-0005-0000-0000-0000C3800000}"/>
    <cellStyle name="Normal 5 4 8 2 3" xfId="17173" xr:uid="{00000000-0005-0000-0000-0000C4800000}"/>
    <cellStyle name="Normal 5 4 8 3" xfId="39690" xr:uid="{00000000-0005-0000-0000-0000C5800000}"/>
    <cellStyle name="Normal 5 4 8 3 2" xfId="25745" xr:uid="{00000000-0005-0000-0000-0000C6800000}"/>
    <cellStyle name="Normal 5 4 8 4" xfId="39691" xr:uid="{00000000-0005-0000-0000-0000C7800000}"/>
    <cellStyle name="Normal 5 4 9" xfId="39692" xr:uid="{00000000-0005-0000-0000-0000C8800000}"/>
    <cellStyle name="Normal 5 4 9 2" xfId="39693" xr:uid="{00000000-0005-0000-0000-0000C9800000}"/>
    <cellStyle name="Normal 5 4 9 2 2" xfId="39694" xr:uid="{00000000-0005-0000-0000-0000CA800000}"/>
    <cellStyle name="Normal 5 4 9 3" xfId="39695" xr:uid="{00000000-0005-0000-0000-0000CB800000}"/>
    <cellStyle name="Normal 5 5" xfId="39696" xr:uid="{00000000-0005-0000-0000-0000CC800000}"/>
    <cellStyle name="Normal 5 5 10" xfId="39699" xr:uid="{00000000-0005-0000-0000-0000CD800000}"/>
    <cellStyle name="Normal 5 5 10 2" xfId="39701" xr:uid="{00000000-0005-0000-0000-0000CE800000}"/>
    <cellStyle name="Normal 5 5 11" xfId="39702" xr:uid="{00000000-0005-0000-0000-0000CF800000}"/>
    <cellStyle name="Normal 5 5 11 2" xfId="39703" xr:uid="{00000000-0005-0000-0000-0000D0800000}"/>
    <cellStyle name="Normal 5 5 12" xfId="39704" xr:uid="{00000000-0005-0000-0000-0000D1800000}"/>
    <cellStyle name="Normal 5 5 12 2" xfId="39705" xr:uid="{00000000-0005-0000-0000-0000D2800000}"/>
    <cellStyle name="Normal 5 5 13" xfId="39706" xr:uid="{00000000-0005-0000-0000-0000D3800000}"/>
    <cellStyle name="Normal 5 5 2" xfId="39707" xr:uid="{00000000-0005-0000-0000-0000D4800000}"/>
    <cellStyle name="Normal 5 5 2 2" xfId="39708" xr:uid="{00000000-0005-0000-0000-0000D5800000}"/>
    <cellStyle name="Normal 5 5 2 2 2" xfId="39709" xr:uid="{00000000-0005-0000-0000-0000D6800000}"/>
    <cellStyle name="Normal 5 5 2 2 2 2" xfId="39710" xr:uid="{00000000-0005-0000-0000-0000D7800000}"/>
    <cellStyle name="Normal 5 5 2 2 2 2 2" xfId="39711" xr:uid="{00000000-0005-0000-0000-0000D8800000}"/>
    <cellStyle name="Normal 5 5 2 2 2 2 2 2" xfId="39712" xr:uid="{00000000-0005-0000-0000-0000D9800000}"/>
    <cellStyle name="Normal 5 5 2 2 2 2 2 2 2" xfId="29668" xr:uid="{00000000-0005-0000-0000-0000DA800000}"/>
    <cellStyle name="Normal 5 5 2 2 2 2 2 3" xfId="39713" xr:uid="{00000000-0005-0000-0000-0000DB800000}"/>
    <cellStyle name="Normal 5 5 2 2 2 2 3" xfId="39714" xr:uid="{00000000-0005-0000-0000-0000DC800000}"/>
    <cellStyle name="Normal 5 5 2 2 2 2 3 2" xfId="39715" xr:uid="{00000000-0005-0000-0000-0000DD800000}"/>
    <cellStyle name="Normal 5 5 2 2 2 2 4" xfId="39716" xr:uid="{00000000-0005-0000-0000-0000DE800000}"/>
    <cellStyle name="Normal 5 5 2 2 2 3" xfId="6660" xr:uid="{00000000-0005-0000-0000-0000DF800000}"/>
    <cellStyle name="Normal 5 5 2 2 2 3 2" xfId="39717" xr:uid="{00000000-0005-0000-0000-0000E0800000}"/>
    <cellStyle name="Normal 5 5 2 2 2 3 2 2" xfId="29684" xr:uid="{00000000-0005-0000-0000-0000E1800000}"/>
    <cellStyle name="Normal 5 5 2 2 2 3 3" xfId="39718" xr:uid="{00000000-0005-0000-0000-0000E2800000}"/>
    <cellStyle name="Normal 5 5 2 2 2 4" xfId="39720" xr:uid="{00000000-0005-0000-0000-0000E3800000}"/>
    <cellStyle name="Normal 5 5 2 2 2 4 2" xfId="39722" xr:uid="{00000000-0005-0000-0000-0000E4800000}"/>
    <cellStyle name="Normal 5 5 2 2 2 4 2 2" xfId="29700" xr:uid="{00000000-0005-0000-0000-0000E5800000}"/>
    <cellStyle name="Normal 5 5 2 2 2 4 3" xfId="39723" xr:uid="{00000000-0005-0000-0000-0000E6800000}"/>
    <cellStyle name="Normal 5 5 2 2 2 5" xfId="25560" xr:uid="{00000000-0005-0000-0000-0000E7800000}"/>
    <cellStyle name="Normal 5 5 2 2 2 5 2" xfId="27432" xr:uid="{00000000-0005-0000-0000-0000E8800000}"/>
    <cellStyle name="Normal 5 5 2 2 2 6" xfId="27437" xr:uid="{00000000-0005-0000-0000-0000E9800000}"/>
    <cellStyle name="Normal 5 5 2 2 2 6 2" xfId="13083" xr:uid="{00000000-0005-0000-0000-0000EA800000}"/>
    <cellStyle name="Normal 5 5 2 2 2 7" xfId="27441" xr:uid="{00000000-0005-0000-0000-0000EB800000}"/>
    <cellStyle name="Normal 5 5 2 2 3" xfId="39724" xr:uid="{00000000-0005-0000-0000-0000EC800000}"/>
    <cellStyle name="Normal 5 5 2 2 3 2" xfId="39725" xr:uid="{00000000-0005-0000-0000-0000ED800000}"/>
    <cellStyle name="Normal 5 5 2 2 3 2 2" xfId="39726" xr:uid="{00000000-0005-0000-0000-0000EE800000}"/>
    <cellStyle name="Normal 5 5 2 2 3 2 2 2" xfId="25011" xr:uid="{00000000-0005-0000-0000-0000EF800000}"/>
    <cellStyle name="Normal 5 5 2 2 3 2 3" xfId="29712" xr:uid="{00000000-0005-0000-0000-0000F0800000}"/>
    <cellStyle name="Normal 5 5 2 2 3 3" xfId="39727" xr:uid="{00000000-0005-0000-0000-0000F1800000}"/>
    <cellStyle name="Normal 5 5 2 2 3 3 2" xfId="39728" xr:uid="{00000000-0005-0000-0000-0000F2800000}"/>
    <cellStyle name="Normal 5 5 2 2 3 4" xfId="39730" xr:uid="{00000000-0005-0000-0000-0000F3800000}"/>
    <cellStyle name="Normal 5 5 2 2 4" xfId="8994" xr:uid="{00000000-0005-0000-0000-0000F4800000}"/>
    <cellStyle name="Normal 5 5 2 2 4 2" xfId="12469" xr:uid="{00000000-0005-0000-0000-0000F5800000}"/>
    <cellStyle name="Normal 5 5 2 2 4 2 2" xfId="39732" xr:uid="{00000000-0005-0000-0000-0000F6800000}"/>
    <cellStyle name="Normal 5 5 2 2 4 3" xfId="29726" xr:uid="{00000000-0005-0000-0000-0000F7800000}"/>
    <cellStyle name="Normal 5 5 2 2 5" xfId="1885" xr:uid="{00000000-0005-0000-0000-0000F8800000}"/>
    <cellStyle name="Normal 5 5 2 2 5 2" xfId="39733" xr:uid="{00000000-0005-0000-0000-0000F9800000}"/>
    <cellStyle name="Normal 5 5 2 2 5 2 2" xfId="39734" xr:uid="{00000000-0005-0000-0000-0000FA800000}"/>
    <cellStyle name="Normal 5 5 2 2 5 3" xfId="39735" xr:uid="{00000000-0005-0000-0000-0000FB800000}"/>
    <cellStyle name="Normal 5 5 2 2 6" xfId="1977" xr:uid="{00000000-0005-0000-0000-0000FC800000}"/>
    <cellStyle name="Normal 5 5 2 2 6 2" xfId="39736" xr:uid="{00000000-0005-0000-0000-0000FD800000}"/>
    <cellStyle name="Normal 5 5 2 2 7" xfId="18828" xr:uid="{00000000-0005-0000-0000-0000FE800000}"/>
    <cellStyle name="Normal 5 5 2 2 7 2" xfId="39737" xr:uid="{00000000-0005-0000-0000-0000FF800000}"/>
    <cellStyle name="Normal 5 5 2 2 8" xfId="39738" xr:uid="{00000000-0005-0000-0000-000000810000}"/>
    <cellStyle name="Normal 5 5 2 3" xfId="39739" xr:uid="{00000000-0005-0000-0000-000001810000}"/>
    <cellStyle name="Normal 5 5 2 3 2" xfId="39740" xr:uid="{00000000-0005-0000-0000-000002810000}"/>
    <cellStyle name="Normal 5 5 2 3 2 2" xfId="12533" xr:uid="{00000000-0005-0000-0000-000003810000}"/>
    <cellStyle name="Normal 5 5 2 3 2 2 2" xfId="4237" xr:uid="{00000000-0005-0000-0000-000004810000}"/>
    <cellStyle name="Normal 5 5 2 3 2 2 2 2" xfId="26584" xr:uid="{00000000-0005-0000-0000-000005810000}"/>
    <cellStyle name="Normal 5 5 2 3 2 2 3" xfId="26518" xr:uid="{00000000-0005-0000-0000-000006810000}"/>
    <cellStyle name="Normal 5 5 2 3 2 3" xfId="5960" xr:uid="{00000000-0005-0000-0000-000007810000}"/>
    <cellStyle name="Normal 5 5 2 3 2 3 2" xfId="39741" xr:uid="{00000000-0005-0000-0000-000008810000}"/>
    <cellStyle name="Normal 5 5 2 3 2 4" xfId="29748" xr:uid="{00000000-0005-0000-0000-000009810000}"/>
    <cellStyle name="Normal 5 5 2 3 3" xfId="39742" xr:uid="{00000000-0005-0000-0000-00000A810000}"/>
    <cellStyle name="Normal 5 5 2 3 3 2" xfId="12885" xr:uid="{00000000-0005-0000-0000-00000B810000}"/>
    <cellStyle name="Normal 5 5 2 3 3 2 2" xfId="39743" xr:uid="{00000000-0005-0000-0000-00000C810000}"/>
    <cellStyle name="Normal 5 5 2 3 3 3" xfId="39744" xr:uid="{00000000-0005-0000-0000-00000D810000}"/>
    <cellStyle name="Normal 5 5 2 3 4" xfId="5969" xr:uid="{00000000-0005-0000-0000-00000E810000}"/>
    <cellStyle name="Normal 5 5 2 3 4 2" xfId="20604" xr:uid="{00000000-0005-0000-0000-00000F810000}"/>
    <cellStyle name="Normal 5 5 2 3 4 2 2" xfId="39745" xr:uid="{00000000-0005-0000-0000-000010810000}"/>
    <cellStyle name="Normal 5 5 2 3 4 3" xfId="39746" xr:uid="{00000000-0005-0000-0000-000011810000}"/>
    <cellStyle name="Normal 5 5 2 3 5" xfId="39747" xr:uid="{00000000-0005-0000-0000-000012810000}"/>
    <cellStyle name="Normal 5 5 2 3 5 2" xfId="39748" xr:uid="{00000000-0005-0000-0000-000013810000}"/>
    <cellStyle name="Normal 5 5 2 3 6" xfId="39749" xr:uid="{00000000-0005-0000-0000-000014810000}"/>
    <cellStyle name="Normal 5 5 2 3 6 2" xfId="39750" xr:uid="{00000000-0005-0000-0000-000015810000}"/>
    <cellStyle name="Normal 5 5 2 3 7" xfId="39751" xr:uid="{00000000-0005-0000-0000-000016810000}"/>
    <cellStyle name="Normal 5 5 2 4" xfId="39752" xr:uid="{00000000-0005-0000-0000-000017810000}"/>
    <cellStyle name="Normal 5 5 2 4 2" xfId="29800" xr:uid="{00000000-0005-0000-0000-000018810000}"/>
    <cellStyle name="Normal 5 5 2 4 2 2" xfId="12889" xr:uid="{00000000-0005-0000-0000-000019810000}"/>
    <cellStyle name="Normal 5 5 2 4 2 2 2" xfId="39753" xr:uid="{00000000-0005-0000-0000-00001A810000}"/>
    <cellStyle name="Normal 5 5 2 4 2 3" xfId="39754" xr:uid="{00000000-0005-0000-0000-00001B810000}"/>
    <cellStyle name="Normal 5 5 2 4 3" xfId="29852" xr:uid="{00000000-0005-0000-0000-00001C810000}"/>
    <cellStyle name="Normal 5 5 2 4 3 2" xfId="3609" xr:uid="{00000000-0005-0000-0000-00001D810000}"/>
    <cellStyle name="Normal 5 5 2 4 4" xfId="7398" xr:uid="{00000000-0005-0000-0000-00001E810000}"/>
    <cellStyle name="Normal 5 5 2 5" xfId="794" xr:uid="{00000000-0005-0000-0000-00001F810000}"/>
    <cellStyle name="Normal 5 5 2 5 2" xfId="5989" xr:uid="{00000000-0005-0000-0000-000020810000}"/>
    <cellStyle name="Normal 5 5 2 5 2 2" xfId="5513" xr:uid="{00000000-0005-0000-0000-000021810000}"/>
    <cellStyle name="Normal 5 5 2 5 3" xfId="39755" xr:uid="{00000000-0005-0000-0000-000022810000}"/>
    <cellStyle name="Normal 5 5 2 6" xfId="6003" xr:uid="{00000000-0005-0000-0000-000023810000}"/>
    <cellStyle name="Normal 5 5 2 6 2" xfId="39756" xr:uid="{00000000-0005-0000-0000-000024810000}"/>
    <cellStyle name="Normal 5 5 2 6 2 2" xfId="6252" xr:uid="{00000000-0005-0000-0000-000025810000}"/>
    <cellStyle name="Normal 5 5 2 6 3" xfId="39757" xr:uid="{00000000-0005-0000-0000-000026810000}"/>
    <cellStyle name="Normal 5 5 2 7" xfId="29891" xr:uid="{00000000-0005-0000-0000-000027810000}"/>
    <cellStyle name="Normal 5 5 2 7 2" xfId="39758" xr:uid="{00000000-0005-0000-0000-000028810000}"/>
    <cellStyle name="Normal 5 5 2 8" xfId="39759" xr:uid="{00000000-0005-0000-0000-000029810000}"/>
    <cellStyle name="Normal 5 5 2 8 2" xfId="23072" xr:uid="{00000000-0005-0000-0000-00002A810000}"/>
    <cellStyle name="Normal 5 5 2 9" xfId="39760" xr:uid="{00000000-0005-0000-0000-00002B810000}"/>
    <cellStyle name="Normal 5 5 3" xfId="39762" xr:uid="{00000000-0005-0000-0000-00002C810000}"/>
    <cellStyle name="Normal 5 5 3 2" xfId="39764" xr:uid="{00000000-0005-0000-0000-00002D810000}"/>
    <cellStyle name="Normal 5 5 3 2 2" xfId="39766" xr:uid="{00000000-0005-0000-0000-00002E810000}"/>
    <cellStyle name="Normal 5 5 3 2 2 2" xfId="18332" xr:uid="{00000000-0005-0000-0000-00002F810000}"/>
    <cellStyle name="Normal 5 5 3 2 2 2 2" xfId="18336" xr:uid="{00000000-0005-0000-0000-000030810000}"/>
    <cellStyle name="Normal 5 5 3 2 2 2 2 2" xfId="39768" xr:uid="{00000000-0005-0000-0000-000031810000}"/>
    <cellStyle name="Normal 5 5 3 2 2 2 3" xfId="18578" xr:uid="{00000000-0005-0000-0000-000032810000}"/>
    <cellStyle name="Normal 5 5 3 2 2 3" xfId="6743" xr:uid="{00000000-0005-0000-0000-000033810000}"/>
    <cellStyle name="Normal 5 5 3 2 2 3 2" xfId="18596" xr:uid="{00000000-0005-0000-0000-000034810000}"/>
    <cellStyle name="Normal 5 5 3 2 2 4" xfId="18341" xr:uid="{00000000-0005-0000-0000-000035810000}"/>
    <cellStyle name="Normal 5 5 3 2 3" xfId="39769" xr:uid="{00000000-0005-0000-0000-000036810000}"/>
    <cellStyle name="Normal 5 5 3 2 3 2" xfId="39770" xr:uid="{00000000-0005-0000-0000-000037810000}"/>
    <cellStyle name="Normal 5 5 3 2 3 2 2" xfId="39771" xr:uid="{00000000-0005-0000-0000-000038810000}"/>
    <cellStyle name="Normal 5 5 3 2 3 3" xfId="39772" xr:uid="{00000000-0005-0000-0000-000039810000}"/>
    <cellStyle name="Normal 5 5 3 2 4" xfId="12473" xr:uid="{00000000-0005-0000-0000-00003A810000}"/>
    <cellStyle name="Normal 5 5 3 2 4 2" xfId="39773" xr:uid="{00000000-0005-0000-0000-00003B810000}"/>
    <cellStyle name="Normal 5 5 3 2 4 2 2" xfId="39774" xr:uid="{00000000-0005-0000-0000-00003C810000}"/>
    <cellStyle name="Normal 5 5 3 2 4 3" xfId="39775" xr:uid="{00000000-0005-0000-0000-00003D810000}"/>
    <cellStyle name="Normal 5 5 3 2 5" xfId="39776" xr:uid="{00000000-0005-0000-0000-00003E810000}"/>
    <cellStyle name="Normal 5 5 3 2 5 2" xfId="30113" xr:uid="{00000000-0005-0000-0000-00003F810000}"/>
    <cellStyle name="Normal 5 5 3 2 6" xfId="39777" xr:uid="{00000000-0005-0000-0000-000040810000}"/>
    <cellStyle name="Normal 5 5 3 2 6 2" xfId="39778" xr:uid="{00000000-0005-0000-0000-000041810000}"/>
    <cellStyle name="Normal 5 5 3 2 7" xfId="39779" xr:uid="{00000000-0005-0000-0000-000042810000}"/>
    <cellStyle name="Normal 5 5 3 3" xfId="39781" xr:uid="{00000000-0005-0000-0000-000043810000}"/>
    <cellStyle name="Normal 5 5 3 3 2" xfId="39782" xr:uid="{00000000-0005-0000-0000-000044810000}"/>
    <cellStyle name="Normal 5 5 3 3 2 2" xfId="22772" xr:uid="{00000000-0005-0000-0000-000045810000}"/>
    <cellStyle name="Normal 5 5 3 3 2 2 2" xfId="22777" xr:uid="{00000000-0005-0000-0000-000046810000}"/>
    <cellStyle name="Normal 5 5 3 3 2 3" xfId="22947" xr:uid="{00000000-0005-0000-0000-000047810000}"/>
    <cellStyle name="Normal 5 5 3 3 3" xfId="39783" xr:uid="{00000000-0005-0000-0000-000048810000}"/>
    <cellStyle name="Normal 5 5 3 3 3 2" xfId="23476" xr:uid="{00000000-0005-0000-0000-000049810000}"/>
    <cellStyle name="Normal 5 5 3 3 4" xfId="39784" xr:uid="{00000000-0005-0000-0000-00004A810000}"/>
    <cellStyle name="Normal 5 5 3 4" xfId="39785" xr:uid="{00000000-0005-0000-0000-00004B810000}"/>
    <cellStyle name="Normal 5 5 3 4 2" xfId="39786" xr:uid="{00000000-0005-0000-0000-00004C810000}"/>
    <cellStyle name="Normal 5 5 3 4 2 2" xfId="24573" xr:uid="{00000000-0005-0000-0000-00004D810000}"/>
    <cellStyle name="Normal 5 5 3 4 3" xfId="39787" xr:uid="{00000000-0005-0000-0000-00004E810000}"/>
    <cellStyle name="Normal 5 5 3 5" xfId="2405" xr:uid="{00000000-0005-0000-0000-00004F810000}"/>
    <cellStyle name="Normal 5 5 3 5 2" xfId="39788" xr:uid="{00000000-0005-0000-0000-000050810000}"/>
    <cellStyle name="Normal 5 5 3 5 2 2" xfId="6764" xr:uid="{00000000-0005-0000-0000-000051810000}"/>
    <cellStyle name="Normal 5 5 3 5 3" xfId="39789" xr:uid="{00000000-0005-0000-0000-000052810000}"/>
    <cellStyle name="Normal 5 5 3 6" xfId="39790" xr:uid="{00000000-0005-0000-0000-000053810000}"/>
    <cellStyle name="Normal 5 5 3 6 2" xfId="39791" xr:uid="{00000000-0005-0000-0000-000054810000}"/>
    <cellStyle name="Normal 5 5 3 7" xfId="39792" xr:uid="{00000000-0005-0000-0000-000055810000}"/>
    <cellStyle name="Normal 5 5 3 7 2" xfId="39793" xr:uid="{00000000-0005-0000-0000-000056810000}"/>
    <cellStyle name="Normal 5 5 3 8" xfId="39794" xr:uid="{00000000-0005-0000-0000-000057810000}"/>
    <cellStyle name="Normal 5 5 4" xfId="39795" xr:uid="{00000000-0005-0000-0000-000058810000}"/>
    <cellStyle name="Normal 5 5 4 2" xfId="39797" xr:uid="{00000000-0005-0000-0000-000059810000}"/>
    <cellStyle name="Normal 5 5 4 2 2" xfId="39798" xr:uid="{00000000-0005-0000-0000-00005A810000}"/>
    <cellStyle name="Normal 5 5 4 2 2 2" xfId="39799" xr:uid="{00000000-0005-0000-0000-00005B810000}"/>
    <cellStyle name="Normal 5 5 4 2 2 2 2" xfId="39800" xr:uid="{00000000-0005-0000-0000-00005C810000}"/>
    <cellStyle name="Normal 5 5 4 2 2 2 2 2" xfId="39801" xr:uid="{00000000-0005-0000-0000-00005D810000}"/>
    <cellStyle name="Normal 5 5 4 2 2 2 3" xfId="39802" xr:uid="{00000000-0005-0000-0000-00005E810000}"/>
    <cellStyle name="Normal 5 5 4 2 2 3" xfId="39803" xr:uid="{00000000-0005-0000-0000-00005F810000}"/>
    <cellStyle name="Normal 5 5 4 2 2 3 2" xfId="39804" xr:uid="{00000000-0005-0000-0000-000060810000}"/>
    <cellStyle name="Normal 5 5 4 2 2 4" xfId="39805" xr:uid="{00000000-0005-0000-0000-000061810000}"/>
    <cellStyle name="Normal 5 5 4 2 3" xfId="39806" xr:uid="{00000000-0005-0000-0000-000062810000}"/>
    <cellStyle name="Normal 5 5 4 2 3 2" xfId="39807" xr:uid="{00000000-0005-0000-0000-000063810000}"/>
    <cellStyle name="Normal 5 5 4 2 3 2 2" xfId="39808" xr:uid="{00000000-0005-0000-0000-000064810000}"/>
    <cellStyle name="Normal 5 5 4 2 3 3" xfId="39809" xr:uid="{00000000-0005-0000-0000-000065810000}"/>
    <cellStyle name="Normal 5 5 4 2 4" xfId="39810" xr:uid="{00000000-0005-0000-0000-000066810000}"/>
    <cellStyle name="Normal 5 5 4 2 4 2" xfId="39811" xr:uid="{00000000-0005-0000-0000-000067810000}"/>
    <cellStyle name="Normal 5 5 4 2 4 2 2" xfId="39812" xr:uid="{00000000-0005-0000-0000-000068810000}"/>
    <cellStyle name="Normal 5 5 4 2 4 3" xfId="39813" xr:uid="{00000000-0005-0000-0000-000069810000}"/>
    <cellStyle name="Normal 5 5 4 2 5" xfId="39814" xr:uid="{00000000-0005-0000-0000-00006A810000}"/>
    <cellStyle name="Normal 5 5 4 2 5 2" xfId="39815" xr:uid="{00000000-0005-0000-0000-00006B810000}"/>
    <cellStyle name="Normal 5 5 4 2 6" xfId="39816" xr:uid="{00000000-0005-0000-0000-00006C810000}"/>
    <cellStyle name="Normal 5 5 4 2 6 2" xfId="39817" xr:uid="{00000000-0005-0000-0000-00006D810000}"/>
    <cellStyle name="Normal 5 5 4 2 7" xfId="39818" xr:uid="{00000000-0005-0000-0000-00006E810000}"/>
    <cellStyle name="Normal 5 5 4 3" xfId="39819" xr:uid="{00000000-0005-0000-0000-00006F810000}"/>
    <cellStyle name="Normal 5 5 4 3 2" xfId="39820" xr:uid="{00000000-0005-0000-0000-000070810000}"/>
    <cellStyle name="Normal 5 5 4 3 2 2" xfId="22333" xr:uid="{00000000-0005-0000-0000-000071810000}"/>
    <cellStyle name="Normal 5 5 4 3 2 2 2" xfId="22340" xr:uid="{00000000-0005-0000-0000-000072810000}"/>
    <cellStyle name="Normal 5 5 4 3 2 3" xfId="22352" xr:uid="{00000000-0005-0000-0000-000073810000}"/>
    <cellStyle name="Normal 5 5 4 3 3" xfId="39821" xr:uid="{00000000-0005-0000-0000-000074810000}"/>
    <cellStyle name="Normal 5 5 4 3 3 2" xfId="25280" xr:uid="{00000000-0005-0000-0000-000075810000}"/>
    <cellStyle name="Normal 5 5 4 3 4" xfId="39822" xr:uid="{00000000-0005-0000-0000-000076810000}"/>
    <cellStyle name="Normal 5 5 4 4" xfId="39823" xr:uid="{00000000-0005-0000-0000-000077810000}"/>
    <cellStyle name="Normal 5 5 4 4 2" xfId="39824" xr:uid="{00000000-0005-0000-0000-000078810000}"/>
    <cellStyle name="Normal 5 5 4 4 2 2" xfId="22438" xr:uid="{00000000-0005-0000-0000-000079810000}"/>
    <cellStyle name="Normal 5 5 4 4 3" xfId="39825" xr:uid="{00000000-0005-0000-0000-00007A810000}"/>
    <cellStyle name="Normal 5 5 4 5" xfId="9628" xr:uid="{00000000-0005-0000-0000-00007B810000}"/>
    <cellStyle name="Normal 5 5 4 5 2" xfId="39826" xr:uid="{00000000-0005-0000-0000-00007C810000}"/>
    <cellStyle name="Normal 5 5 4 5 2 2" xfId="7867" xr:uid="{00000000-0005-0000-0000-00007D810000}"/>
    <cellStyle name="Normal 5 5 4 5 3" xfId="39827" xr:uid="{00000000-0005-0000-0000-00007E810000}"/>
    <cellStyle name="Normal 5 5 4 6" xfId="39828" xr:uid="{00000000-0005-0000-0000-00007F810000}"/>
    <cellStyle name="Normal 5 5 4 6 2" xfId="39831" xr:uid="{00000000-0005-0000-0000-000080810000}"/>
    <cellStyle name="Normal 5 5 4 7" xfId="39832" xr:uid="{00000000-0005-0000-0000-000081810000}"/>
    <cellStyle name="Normal 5 5 4 7 2" xfId="39835" xr:uid="{00000000-0005-0000-0000-000082810000}"/>
    <cellStyle name="Normal 5 5 4 8" xfId="39836" xr:uid="{00000000-0005-0000-0000-000083810000}"/>
    <cellStyle name="Normal 5 5 5" xfId="39837" xr:uid="{00000000-0005-0000-0000-000084810000}"/>
    <cellStyle name="Normal 5 5 5 2" xfId="39839" xr:uid="{00000000-0005-0000-0000-000085810000}"/>
    <cellStyle name="Normal 5 5 5 2 2" xfId="39840" xr:uid="{00000000-0005-0000-0000-000086810000}"/>
    <cellStyle name="Normal 5 5 5 2 2 2" xfId="39841" xr:uid="{00000000-0005-0000-0000-000087810000}"/>
    <cellStyle name="Normal 5 5 5 2 2 2 2" xfId="39842" xr:uid="{00000000-0005-0000-0000-000088810000}"/>
    <cellStyle name="Normal 5 5 5 2 2 2 2 2" xfId="39843" xr:uid="{00000000-0005-0000-0000-000089810000}"/>
    <cellStyle name="Normal 5 5 5 2 2 2 3" xfId="39844" xr:uid="{00000000-0005-0000-0000-00008A810000}"/>
    <cellStyle name="Normal 5 5 5 2 2 3" xfId="39845" xr:uid="{00000000-0005-0000-0000-00008B810000}"/>
    <cellStyle name="Normal 5 5 5 2 2 3 2" xfId="39846" xr:uid="{00000000-0005-0000-0000-00008C810000}"/>
    <cellStyle name="Normal 5 5 5 2 2 4" xfId="39847" xr:uid="{00000000-0005-0000-0000-00008D810000}"/>
    <cellStyle name="Normal 5 5 5 2 3" xfId="39848" xr:uid="{00000000-0005-0000-0000-00008E810000}"/>
    <cellStyle name="Normal 5 5 5 2 3 2" xfId="39849" xr:uid="{00000000-0005-0000-0000-00008F810000}"/>
    <cellStyle name="Normal 5 5 5 2 3 2 2" xfId="39850" xr:uid="{00000000-0005-0000-0000-000090810000}"/>
    <cellStyle name="Normal 5 5 5 2 3 3" xfId="39851" xr:uid="{00000000-0005-0000-0000-000091810000}"/>
    <cellStyle name="Normal 5 5 5 2 4" xfId="39853" xr:uid="{00000000-0005-0000-0000-000092810000}"/>
    <cellStyle name="Normal 5 5 5 2 4 2" xfId="39854" xr:uid="{00000000-0005-0000-0000-000093810000}"/>
    <cellStyle name="Normal 5 5 5 2 4 2 2" xfId="39855" xr:uid="{00000000-0005-0000-0000-000094810000}"/>
    <cellStyle name="Normal 5 5 5 2 4 3" xfId="39856" xr:uid="{00000000-0005-0000-0000-000095810000}"/>
    <cellStyle name="Normal 5 5 5 2 5" xfId="39857" xr:uid="{00000000-0005-0000-0000-000096810000}"/>
    <cellStyle name="Normal 5 5 5 2 5 2" xfId="17145" xr:uid="{00000000-0005-0000-0000-000097810000}"/>
    <cellStyle name="Normal 5 5 5 2 6" xfId="39858" xr:uid="{00000000-0005-0000-0000-000098810000}"/>
    <cellStyle name="Normal 5 5 5 2 6 2" xfId="39859" xr:uid="{00000000-0005-0000-0000-000099810000}"/>
    <cellStyle name="Normal 5 5 5 2 7" xfId="39860" xr:uid="{00000000-0005-0000-0000-00009A810000}"/>
    <cellStyle name="Normal 5 5 5 3" xfId="39861" xr:uid="{00000000-0005-0000-0000-00009B810000}"/>
    <cellStyle name="Normal 5 5 5 3 2" xfId="39862" xr:uid="{00000000-0005-0000-0000-00009C810000}"/>
    <cellStyle name="Normal 5 5 5 3 2 2" xfId="21697" xr:uid="{00000000-0005-0000-0000-00009D810000}"/>
    <cellStyle name="Normal 5 5 5 3 2 2 2" xfId="39863" xr:uid="{00000000-0005-0000-0000-00009E810000}"/>
    <cellStyle name="Normal 5 5 5 3 2 3" xfId="39864" xr:uid="{00000000-0005-0000-0000-00009F810000}"/>
    <cellStyle name="Normal 5 5 5 3 3" xfId="39865" xr:uid="{00000000-0005-0000-0000-0000A0810000}"/>
    <cellStyle name="Normal 5 5 5 3 3 2" xfId="39866" xr:uid="{00000000-0005-0000-0000-0000A1810000}"/>
    <cellStyle name="Normal 5 5 5 3 4" xfId="21744" xr:uid="{00000000-0005-0000-0000-0000A2810000}"/>
    <cellStyle name="Normal 5 5 5 4" xfId="39867" xr:uid="{00000000-0005-0000-0000-0000A3810000}"/>
    <cellStyle name="Normal 5 5 5 4 2" xfId="39868" xr:uid="{00000000-0005-0000-0000-0000A4810000}"/>
    <cellStyle name="Normal 5 5 5 4 2 2" xfId="39869" xr:uid="{00000000-0005-0000-0000-0000A5810000}"/>
    <cellStyle name="Normal 5 5 5 4 3" xfId="39870" xr:uid="{00000000-0005-0000-0000-0000A6810000}"/>
    <cellStyle name="Normal 5 5 5 5" xfId="21777" xr:uid="{00000000-0005-0000-0000-0000A7810000}"/>
    <cellStyle name="Normal 5 5 5 5 2" xfId="9446" xr:uid="{00000000-0005-0000-0000-0000A8810000}"/>
    <cellStyle name="Normal 5 5 5 5 2 2" xfId="776" xr:uid="{00000000-0005-0000-0000-0000A9810000}"/>
    <cellStyle name="Normal 5 5 5 5 3" xfId="9455" xr:uid="{00000000-0005-0000-0000-0000AA810000}"/>
    <cellStyle name="Normal 5 5 5 6" xfId="21786" xr:uid="{00000000-0005-0000-0000-0000AB810000}"/>
    <cellStyle name="Normal 5 5 5 6 2" xfId="9616" xr:uid="{00000000-0005-0000-0000-0000AC810000}"/>
    <cellStyle name="Normal 5 5 5 7" xfId="14807" xr:uid="{00000000-0005-0000-0000-0000AD810000}"/>
    <cellStyle name="Normal 5 5 5 7 2" xfId="39871" xr:uid="{00000000-0005-0000-0000-0000AE810000}"/>
    <cellStyle name="Normal 5 5 5 8" xfId="39872" xr:uid="{00000000-0005-0000-0000-0000AF810000}"/>
    <cellStyle name="Normal 5 5 6" xfId="39873" xr:uid="{00000000-0005-0000-0000-0000B0810000}"/>
    <cellStyle name="Normal 5 5 6 2" xfId="39874" xr:uid="{00000000-0005-0000-0000-0000B1810000}"/>
    <cellStyle name="Normal 5 5 6 2 2" xfId="39875" xr:uid="{00000000-0005-0000-0000-0000B2810000}"/>
    <cellStyle name="Normal 5 5 6 2 2 2" xfId="31147" xr:uid="{00000000-0005-0000-0000-0000B3810000}"/>
    <cellStyle name="Normal 5 5 6 2 2 2 2" xfId="39876" xr:uid="{00000000-0005-0000-0000-0000B4810000}"/>
    <cellStyle name="Normal 5 5 6 2 2 3" xfId="39878" xr:uid="{00000000-0005-0000-0000-0000B5810000}"/>
    <cellStyle name="Normal 5 5 6 2 3" xfId="39879" xr:uid="{00000000-0005-0000-0000-0000B6810000}"/>
    <cellStyle name="Normal 5 5 6 2 3 2" xfId="39880" xr:uid="{00000000-0005-0000-0000-0000B7810000}"/>
    <cellStyle name="Normal 5 5 6 2 4" xfId="39881" xr:uid="{00000000-0005-0000-0000-0000B8810000}"/>
    <cellStyle name="Normal 5 5 6 3" xfId="39882" xr:uid="{00000000-0005-0000-0000-0000B9810000}"/>
    <cellStyle name="Normal 5 5 6 3 2" xfId="39883" xr:uid="{00000000-0005-0000-0000-0000BA810000}"/>
    <cellStyle name="Normal 5 5 6 3 2 2" xfId="39884" xr:uid="{00000000-0005-0000-0000-0000BB810000}"/>
    <cellStyle name="Normal 5 5 6 3 3" xfId="39886" xr:uid="{00000000-0005-0000-0000-0000BC810000}"/>
    <cellStyle name="Normal 5 5 6 4" xfId="39887" xr:uid="{00000000-0005-0000-0000-0000BD810000}"/>
    <cellStyle name="Normal 5 5 6 4 2" xfId="39888" xr:uid="{00000000-0005-0000-0000-0000BE810000}"/>
    <cellStyle name="Normal 5 5 6 4 2 2" xfId="39889" xr:uid="{00000000-0005-0000-0000-0000BF810000}"/>
    <cellStyle name="Normal 5 5 6 4 3" xfId="39891" xr:uid="{00000000-0005-0000-0000-0000C0810000}"/>
    <cellStyle name="Normal 5 5 6 5" xfId="21823" xr:uid="{00000000-0005-0000-0000-0000C1810000}"/>
    <cellStyle name="Normal 5 5 6 5 2" xfId="20393" xr:uid="{00000000-0005-0000-0000-0000C2810000}"/>
    <cellStyle name="Normal 5 5 6 6" xfId="21832" xr:uid="{00000000-0005-0000-0000-0000C3810000}"/>
    <cellStyle name="Normal 5 5 6 6 2" xfId="1048" xr:uid="{00000000-0005-0000-0000-0000C4810000}"/>
    <cellStyle name="Normal 5 5 6 7" xfId="39893" xr:uid="{00000000-0005-0000-0000-0000C5810000}"/>
    <cellStyle name="Normal 5 5 7" xfId="987" xr:uid="{00000000-0005-0000-0000-0000C6810000}"/>
    <cellStyle name="Normal 5 5 7 2" xfId="39894" xr:uid="{00000000-0005-0000-0000-0000C7810000}"/>
    <cellStyle name="Normal 5 5 7 2 2" xfId="39895" xr:uid="{00000000-0005-0000-0000-0000C8810000}"/>
    <cellStyle name="Normal 5 5 7 2 2 2" xfId="31222" xr:uid="{00000000-0005-0000-0000-0000C9810000}"/>
    <cellStyle name="Normal 5 5 7 2 3" xfId="16234" xr:uid="{00000000-0005-0000-0000-0000CA810000}"/>
    <cellStyle name="Normal 5 5 7 3" xfId="21840" xr:uid="{00000000-0005-0000-0000-0000CB810000}"/>
    <cellStyle name="Normal 5 5 7 3 2" xfId="39896" xr:uid="{00000000-0005-0000-0000-0000CC810000}"/>
    <cellStyle name="Normal 5 5 7 4" xfId="39897" xr:uid="{00000000-0005-0000-0000-0000CD810000}"/>
    <cellStyle name="Normal 5 5 8" xfId="39898" xr:uid="{00000000-0005-0000-0000-0000CE810000}"/>
    <cellStyle name="Normal 5 5 8 2" xfId="39899" xr:uid="{00000000-0005-0000-0000-0000CF810000}"/>
    <cellStyle name="Normal 5 5 8 2 2" xfId="39900" xr:uid="{00000000-0005-0000-0000-0000D0810000}"/>
    <cellStyle name="Normal 5 5 8 3" xfId="30449" xr:uid="{00000000-0005-0000-0000-0000D1810000}"/>
    <cellStyle name="Normal 5 5 9" xfId="39901" xr:uid="{00000000-0005-0000-0000-0000D2810000}"/>
    <cellStyle name="Normal 5 5 9 2" xfId="39902" xr:uid="{00000000-0005-0000-0000-0000D3810000}"/>
    <cellStyle name="Normal 5 5 9 2 2" xfId="39903" xr:uid="{00000000-0005-0000-0000-0000D4810000}"/>
    <cellStyle name="Normal 5 5 9 3" xfId="30520" xr:uid="{00000000-0005-0000-0000-0000D5810000}"/>
    <cellStyle name="Normal 5 6" xfId="39904" xr:uid="{00000000-0005-0000-0000-0000D6810000}"/>
    <cellStyle name="Normal 5 7" xfId="39905" xr:uid="{00000000-0005-0000-0000-0000D7810000}"/>
    <cellStyle name="Normal 5 7 2" xfId="33158" xr:uid="{00000000-0005-0000-0000-0000D8810000}"/>
    <cellStyle name="Normal 5 7 2 2" xfId="30157" xr:uid="{00000000-0005-0000-0000-0000D9810000}"/>
    <cellStyle name="Normal 5 7 2 2 2" xfId="33163" xr:uid="{00000000-0005-0000-0000-0000DA810000}"/>
    <cellStyle name="Normal 5 7 2 2 2 2" xfId="39906" xr:uid="{00000000-0005-0000-0000-0000DB810000}"/>
    <cellStyle name="Normal 5 7 2 2 2 2 2" xfId="39907" xr:uid="{00000000-0005-0000-0000-0000DC810000}"/>
    <cellStyle name="Normal 5 7 2 2 2 2 2 2" xfId="27017" xr:uid="{00000000-0005-0000-0000-0000DD810000}"/>
    <cellStyle name="Normal 5 7 2 2 2 2 3" xfId="39908" xr:uid="{00000000-0005-0000-0000-0000DE810000}"/>
    <cellStyle name="Normal 5 7 2 2 2 3" xfId="4245" xr:uid="{00000000-0005-0000-0000-0000DF810000}"/>
    <cellStyle name="Normal 5 7 2 2 2 3 2" xfId="33385" xr:uid="{00000000-0005-0000-0000-0000E0810000}"/>
    <cellStyle name="Normal 5 7 2 2 2 4" xfId="33395" xr:uid="{00000000-0005-0000-0000-0000E1810000}"/>
    <cellStyle name="Normal 5 7 2 2 3" xfId="39909" xr:uid="{00000000-0005-0000-0000-0000E2810000}"/>
    <cellStyle name="Normal 5 7 2 2 3 2" xfId="39910" xr:uid="{00000000-0005-0000-0000-0000E3810000}"/>
    <cellStyle name="Normal 5 7 2 2 3 2 2" xfId="25062" xr:uid="{00000000-0005-0000-0000-0000E4810000}"/>
    <cellStyle name="Normal 5 7 2 2 3 3" xfId="33421" xr:uid="{00000000-0005-0000-0000-0000E5810000}"/>
    <cellStyle name="Normal 5 7 2 2 4" xfId="39911" xr:uid="{00000000-0005-0000-0000-0000E6810000}"/>
    <cellStyle name="Normal 5 7 2 2 4 2" xfId="33431" xr:uid="{00000000-0005-0000-0000-0000E7810000}"/>
    <cellStyle name="Normal 5 7 2 2 4 2 2" xfId="33436" xr:uid="{00000000-0005-0000-0000-0000E8810000}"/>
    <cellStyle name="Normal 5 7 2 2 4 3" xfId="33441" xr:uid="{00000000-0005-0000-0000-0000E9810000}"/>
    <cellStyle name="Normal 5 7 2 2 5" xfId="39912" xr:uid="{00000000-0005-0000-0000-0000EA810000}"/>
    <cellStyle name="Normal 5 7 2 2 5 2" xfId="33450" xr:uid="{00000000-0005-0000-0000-0000EB810000}"/>
    <cellStyle name="Normal 5 7 2 2 6" xfId="39913" xr:uid="{00000000-0005-0000-0000-0000EC810000}"/>
    <cellStyle name="Normal 5 7 2 2 6 2" xfId="12490" xr:uid="{00000000-0005-0000-0000-0000ED810000}"/>
    <cellStyle name="Normal 5 7 2 2 7" xfId="39914" xr:uid="{00000000-0005-0000-0000-0000EE810000}"/>
    <cellStyle name="Normal 5 7 2 3" xfId="33168" xr:uid="{00000000-0005-0000-0000-0000EF810000}"/>
    <cellStyle name="Normal 5 7 2 3 2" xfId="39915" xr:uid="{00000000-0005-0000-0000-0000F0810000}"/>
    <cellStyle name="Normal 5 7 2 3 2 2" xfId="17736" xr:uid="{00000000-0005-0000-0000-0000F1810000}"/>
    <cellStyle name="Normal 5 7 2 3 2 2 2" xfId="29536" xr:uid="{00000000-0005-0000-0000-0000F2810000}"/>
    <cellStyle name="Normal 5 7 2 3 2 3" xfId="14057" xr:uid="{00000000-0005-0000-0000-0000F3810000}"/>
    <cellStyle name="Normal 5 7 2 3 3" xfId="39916" xr:uid="{00000000-0005-0000-0000-0000F4810000}"/>
    <cellStyle name="Normal 5 7 2 3 3 2" xfId="39917" xr:uid="{00000000-0005-0000-0000-0000F5810000}"/>
    <cellStyle name="Normal 5 7 2 3 4" xfId="39918" xr:uid="{00000000-0005-0000-0000-0000F6810000}"/>
    <cellStyle name="Normal 5 7 2 4" xfId="39919" xr:uid="{00000000-0005-0000-0000-0000F7810000}"/>
    <cellStyle name="Normal 5 7 2 4 2" xfId="39922" xr:uid="{00000000-0005-0000-0000-0000F8810000}"/>
    <cellStyle name="Normal 5 7 2 4 2 2" xfId="39923" xr:uid="{00000000-0005-0000-0000-0000F9810000}"/>
    <cellStyle name="Normal 5 7 2 4 3" xfId="39924" xr:uid="{00000000-0005-0000-0000-0000FA810000}"/>
    <cellStyle name="Normal 5 7 2 5" xfId="9832" xr:uid="{00000000-0005-0000-0000-0000FB810000}"/>
    <cellStyle name="Normal 5 7 2 5 2" xfId="39925" xr:uid="{00000000-0005-0000-0000-0000FC810000}"/>
    <cellStyle name="Normal 5 7 2 5 2 2" xfId="39926" xr:uid="{00000000-0005-0000-0000-0000FD810000}"/>
    <cellStyle name="Normal 5 7 2 5 3" xfId="39927" xr:uid="{00000000-0005-0000-0000-0000FE810000}"/>
    <cellStyle name="Normal 5 7 2 6" xfId="39928" xr:uid="{00000000-0005-0000-0000-0000FF810000}"/>
    <cellStyle name="Normal 5 7 2 6 2" xfId="39929" xr:uid="{00000000-0005-0000-0000-000000820000}"/>
    <cellStyle name="Normal 5 7 2 7" xfId="39930" xr:uid="{00000000-0005-0000-0000-000001820000}"/>
    <cellStyle name="Normal 5 7 2 7 2" xfId="39931" xr:uid="{00000000-0005-0000-0000-000002820000}"/>
    <cellStyle name="Normal 5 7 2 8" xfId="39932" xr:uid="{00000000-0005-0000-0000-000003820000}"/>
    <cellStyle name="Normal 5 7 3" xfId="3373" xr:uid="{00000000-0005-0000-0000-000004820000}"/>
    <cellStyle name="Normal 5 7 3 2" xfId="30179" xr:uid="{00000000-0005-0000-0000-000005820000}"/>
    <cellStyle name="Normal 5 7 3 2 2" xfId="33173" xr:uid="{00000000-0005-0000-0000-000006820000}"/>
    <cellStyle name="Normal 5 7 3 2 2 2" xfId="39933" xr:uid="{00000000-0005-0000-0000-000007820000}"/>
    <cellStyle name="Normal 5 7 3 2 2 2 2" xfId="39934" xr:uid="{00000000-0005-0000-0000-000008820000}"/>
    <cellStyle name="Normal 5 7 3 2 2 3" xfId="39935" xr:uid="{00000000-0005-0000-0000-000009820000}"/>
    <cellStyle name="Normal 5 7 3 2 3" xfId="39936" xr:uid="{00000000-0005-0000-0000-00000A820000}"/>
    <cellStyle name="Normal 5 7 3 2 3 2" xfId="39937" xr:uid="{00000000-0005-0000-0000-00000B820000}"/>
    <cellStyle name="Normal 5 7 3 2 4" xfId="39938" xr:uid="{00000000-0005-0000-0000-00000C820000}"/>
    <cellStyle name="Normal 5 7 3 3" xfId="33178" xr:uid="{00000000-0005-0000-0000-00000D820000}"/>
    <cellStyle name="Normal 5 7 3 3 2" xfId="39939" xr:uid="{00000000-0005-0000-0000-00000E820000}"/>
    <cellStyle name="Normal 5 7 3 3 2 2" xfId="39941" xr:uid="{00000000-0005-0000-0000-00000F820000}"/>
    <cellStyle name="Normal 5 7 3 3 3" xfId="39942" xr:uid="{00000000-0005-0000-0000-000010820000}"/>
    <cellStyle name="Normal 5 7 3 4" xfId="39943" xr:uid="{00000000-0005-0000-0000-000011820000}"/>
    <cellStyle name="Normal 5 7 3 4 2" xfId="39944" xr:uid="{00000000-0005-0000-0000-000012820000}"/>
    <cellStyle name="Normal 5 7 3 4 2 2" xfId="39946" xr:uid="{00000000-0005-0000-0000-000013820000}"/>
    <cellStyle name="Normal 5 7 3 4 3" xfId="39947" xr:uid="{00000000-0005-0000-0000-000014820000}"/>
    <cellStyle name="Normal 5 7 3 5" xfId="9848" xr:uid="{00000000-0005-0000-0000-000015820000}"/>
    <cellStyle name="Normal 5 7 3 5 2" xfId="39948" xr:uid="{00000000-0005-0000-0000-000016820000}"/>
    <cellStyle name="Normal 5 7 3 6" xfId="39949" xr:uid="{00000000-0005-0000-0000-000017820000}"/>
    <cellStyle name="Normal 5 7 3 6 2" xfId="39950" xr:uid="{00000000-0005-0000-0000-000018820000}"/>
    <cellStyle name="Normal 5 7 3 7" xfId="39951" xr:uid="{00000000-0005-0000-0000-000019820000}"/>
    <cellStyle name="Normal 5 7 4" xfId="33181" xr:uid="{00000000-0005-0000-0000-00001A820000}"/>
    <cellStyle name="Normal 5 7 4 2" xfId="33186" xr:uid="{00000000-0005-0000-0000-00001B820000}"/>
    <cellStyle name="Normal 5 7 4 2 2" xfId="39952" xr:uid="{00000000-0005-0000-0000-00001C820000}"/>
    <cellStyle name="Normal 5 7 4 2 2 2" xfId="39953" xr:uid="{00000000-0005-0000-0000-00001D820000}"/>
    <cellStyle name="Normal 5 7 4 2 3" xfId="39954" xr:uid="{00000000-0005-0000-0000-00001E820000}"/>
    <cellStyle name="Normal 5 7 4 3" xfId="27301" xr:uid="{00000000-0005-0000-0000-00001F820000}"/>
    <cellStyle name="Normal 5 7 4 3 2" xfId="27305" xr:uid="{00000000-0005-0000-0000-000020820000}"/>
    <cellStyle name="Normal 5 7 4 4" xfId="23162" xr:uid="{00000000-0005-0000-0000-000021820000}"/>
    <cellStyle name="Normal 5 7 5" xfId="33191" xr:uid="{00000000-0005-0000-0000-000022820000}"/>
    <cellStyle name="Normal 5 7 5 2" xfId="33198" xr:uid="{00000000-0005-0000-0000-000023820000}"/>
    <cellStyle name="Normal 5 7 5 2 2" xfId="39955" xr:uid="{00000000-0005-0000-0000-000024820000}"/>
    <cellStyle name="Normal 5 7 5 3" xfId="27327" xr:uid="{00000000-0005-0000-0000-000025820000}"/>
    <cellStyle name="Normal 5 7 6" xfId="33203" xr:uid="{00000000-0005-0000-0000-000026820000}"/>
    <cellStyle name="Normal 5 7 6 2" xfId="10852" xr:uid="{00000000-0005-0000-0000-000027820000}"/>
    <cellStyle name="Normal 5 7 6 2 2" xfId="39956" xr:uid="{00000000-0005-0000-0000-000028820000}"/>
    <cellStyle name="Normal 5 7 6 3" xfId="27336" xr:uid="{00000000-0005-0000-0000-000029820000}"/>
    <cellStyle name="Normal 5 7 7" xfId="33208" xr:uid="{00000000-0005-0000-0000-00002A820000}"/>
    <cellStyle name="Normal 5 7 7 2" xfId="34586" xr:uid="{00000000-0005-0000-0000-00002B820000}"/>
    <cellStyle name="Normal 5 7 8" xfId="26745" xr:uid="{00000000-0005-0000-0000-00002C820000}"/>
    <cellStyle name="Normal 5 7 8 2" xfId="26749" xr:uid="{00000000-0005-0000-0000-00002D820000}"/>
    <cellStyle name="Normal 5 7 9" xfId="20493" xr:uid="{00000000-0005-0000-0000-00002E820000}"/>
    <cellStyle name="Normal 5 8" xfId="39957" xr:uid="{00000000-0005-0000-0000-00002F820000}"/>
    <cellStyle name="Normal 5 8 2" xfId="33222" xr:uid="{00000000-0005-0000-0000-000030820000}"/>
    <cellStyle name="Normal 5 8 2 2" xfId="33227" xr:uid="{00000000-0005-0000-0000-000031820000}"/>
    <cellStyle name="Normal 5 8 2 2 2" xfId="34908" xr:uid="{00000000-0005-0000-0000-000032820000}"/>
    <cellStyle name="Normal 5 8 2 2 2 2" xfId="34916" xr:uid="{00000000-0005-0000-0000-000033820000}"/>
    <cellStyle name="Normal 5 8 2 2 2 2 2" xfId="39958" xr:uid="{00000000-0005-0000-0000-000034820000}"/>
    <cellStyle name="Normal 5 8 2 2 2 3" xfId="3413" xr:uid="{00000000-0005-0000-0000-000035820000}"/>
    <cellStyle name="Normal 5 8 2 2 3" xfId="34930" xr:uid="{00000000-0005-0000-0000-000036820000}"/>
    <cellStyle name="Normal 5 8 2 2 3 2" xfId="39959" xr:uid="{00000000-0005-0000-0000-000037820000}"/>
    <cellStyle name="Normal 5 8 2 2 4" xfId="39960" xr:uid="{00000000-0005-0000-0000-000038820000}"/>
    <cellStyle name="Normal 5 8 2 3" xfId="34976" xr:uid="{00000000-0005-0000-0000-000039820000}"/>
    <cellStyle name="Normal 5 8 2 3 2" xfId="34983" xr:uid="{00000000-0005-0000-0000-00003A820000}"/>
    <cellStyle name="Normal 5 8 2 3 2 2" xfId="39961" xr:uid="{00000000-0005-0000-0000-00003B820000}"/>
    <cellStyle name="Normal 5 8 2 3 3" xfId="5682" xr:uid="{00000000-0005-0000-0000-00003C820000}"/>
    <cellStyle name="Normal 5 8 2 4" xfId="35031" xr:uid="{00000000-0005-0000-0000-00003D820000}"/>
    <cellStyle name="Normal 5 8 2 4 2" xfId="39962" xr:uid="{00000000-0005-0000-0000-00003E820000}"/>
    <cellStyle name="Normal 5 8 2 4 2 2" xfId="39963" xr:uid="{00000000-0005-0000-0000-00003F820000}"/>
    <cellStyle name="Normal 5 8 2 4 3" xfId="39964" xr:uid="{00000000-0005-0000-0000-000040820000}"/>
    <cellStyle name="Normal 5 8 2 5" xfId="39965" xr:uid="{00000000-0005-0000-0000-000041820000}"/>
    <cellStyle name="Normal 5 8 2 5 2" xfId="39966" xr:uid="{00000000-0005-0000-0000-000042820000}"/>
    <cellStyle name="Normal 5 8 2 6" xfId="39967" xr:uid="{00000000-0005-0000-0000-000043820000}"/>
    <cellStyle name="Normal 5 8 2 6 2" xfId="39968" xr:uid="{00000000-0005-0000-0000-000044820000}"/>
    <cellStyle name="Normal 5 8 2 7" xfId="39969" xr:uid="{00000000-0005-0000-0000-000045820000}"/>
    <cellStyle name="Normal 5 8 3" xfId="33236" xr:uid="{00000000-0005-0000-0000-000046820000}"/>
    <cellStyle name="Normal 5 8 3 2" xfId="35376" xr:uid="{00000000-0005-0000-0000-000047820000}"/>
    <cellStyle name="Normal 5 8 3 2 2" xfId="35381" xr:uid="{00000000-0005-0000-0000-000048820000}"/>
    <cellStyle name="Normal 5 8 3 2 2 2" xfId="39970" xr:uid="{00000000-0005-0000-0000-000049820000}"/>
    <cellStyle name="Normal 5 8 3 2 3" xfId="39971" xr:uid="{00000000-0005-0000-0000-00004A820000}"/>
    <cellStyle name="Normal 5 8 3 3" xfId="35444" xr:uid="{00000000-0005-0000-0000-00004B820000}"/>
    <cellStyle name="Normal 5 8 3 3 2" xfId="39972" xr:uid="{00000000-0005-0000-0000-00004C820000}"/>
    <cellStyle name="Normal 5 8 3 4" xfId="39973" xr:uid="{00000000-0005-0000-0000-00004D820000}"/>
    <cellStyle name="Normal 5 8 4" xfId="37947" xr:uid="{00000000-0005-0000-0000-00004E820000}"/>
    <cellStyle name="Normal 5 8 4 2" xfId="23658" xr:uid="{00000000-0005-0000-0000-00004F820000}"/>
    <cellStyle name="Normal 5 8 4 2 2" xfId="23665" xr:uid="{00000000-0005-0000-0000-000050820000}"/>
    <cellStyle name="Normal 5 8 4 3" xfId="23686" xr:uid="{00000000-0005-0000-0000-000051820000}"/>
    <cellStyle name="Normal 5 8 5" xfId="15718" xr:uid="{00000000-0005-0000-0000-000052820000}"/>
    <cellStyle name="Normal 5 8 5 2" xfId="23706" xr:uid="{00000000-0005-0000-0000-000053820000}"/>
    <cellStyle name="Normal 5 8 5 2 2" xfId="23719" xr:uid="{00000000-0005-0000-0000-000054820000}"/>
    <cellStyle name="Normal 5 8 5 3" xfId="22017" xr:uid="{00000000-0005-0000-0000-000055820000}"/>
    <cellStyle name="Normal 5 8 6" xfId="36782" xr:uid="{00000000-0005-0000-0000-000056820000}"/>
    <cellStyle name="Normal 5 8 6 2" xfId="36010" xr:uid="{00000000-0005-0000-0000-000057820000}"/>
    <cellStyle name="Normal 5 8 7" xfId="37950" xr:uid="{00000000-0005-0000-0000-000058820000}"/>
    <cellStyle name="Normal 5 8 7 2" xfId="39974" xr:uid="{00000000-0005-0000-0000-000059820000}"/>
    <cellStyle name="Normal 5 8 8" xfId="26752" xr:uid="{00000000-0005-0000-0000-00005A820000}"/>
    <cellStyle name="Normal 5 9" xfId="39975" xr:uid="{00000000-0005-0000-0000-00005B820000}"/>
    <cellStyle name="Normal 5 9 2" xfId="33250" xr:uid="{00000000-0005-0000-0000-00005C820000}"/>
    <cellStyle name="Normal 5 9 2 2" xfId="36683" xr:uid="{00000000-0005-0000-0000-00005D820000}"/>
    <cellStyle name="Normal 5 9 2 2 2" xfId="36690" xr:uid="{00000000-0005-0000-0000-00005E820000}"/>
    <cellStyle name="Normal 5 9 2 2 2 2" xfId="39976" xr:uid="{00000000-0005-0000-0000-00005F820000}"/>
    <cellStyle name="Normal 5 9 2 2 2 2 2" xfId="39977" xr:uid="{00000000-0005-0000-0000-000060820000}"/>
    <cellStyle name="Normal 5 9 2 2 2 3" xfId="39978" xr:uid="{00000000-0005-0000-0000-000061820000}"/>
    <cellStyle name="Normal 5 9 2 2 3" xfId="39979" xr:uid="{00000000-0005-0000-0000-000062820000}"/>
    <cellStyle name="Normal 5 9 2 2 3 2" xfId="39980" xr:uid="{00000000-0005-0000-0000-000063820000}"/>
    <cellStyle name="Normal 5 9 2 2 4" xfId="39981" xr:uid="{00000000-0005-0000-0000-000064820000}"/>
    <cellStyle name="Normal 5 9 2 3" xfId="36772" xr:uid="{00000000-0005-0000-0000-000065820000}"/>
    <cellStyle name="Normal 5 9 2 3 2" xfId="39982" xr:uid="{00000000-0005-0000-0000-000066820000}"/>
    <cellStyle name="Normal 5 9 2 3 2 2" xfId="17209" xr:uid="{00000000-0005-0000-0000-000067820000}"/>
    <cellStyle name="Normal 5 9 2 3 3" xfId="39983" xr:uid="{00000000-0005-0000-0000-000068820000}"/>
    <cellStyle name="Normal 5 9 2 4" xfId="21070" xr:uid="{00000000-0005-0000-0000-000069820000}"/>
    <cellStyle name="Normal 5 9 2 4 2" xfId="17839" xr:uid="{00000000-0005-0000-0000-00006A820000}"/>
    <cellStyle name="Normal 5 9 2 4 2 2" xfId="39984" xr:uid="{00000000-0005-0000-0000-00006B820000}"/>
    <cellStyle name="Normal 5 9 2 4 3" xfId="39985" xr:uid="{00000000-0005-0000-0000-00006C820000}"/>
    <cellStyle name="Normal 5 9 2 5" xfId="39986" xr:uid="{00000000-0005-0000-0000-00006D820000}"/>
    <cellStyle name="Normal 5 9 2 5 2" xfId="39987" xr:uid="{00000000-0005-0000-0000-00006E820000}"/>
    <cellStyle name="Normal 5 9 2 6" xfId="39988" xr:uid="{00000000-0005-0000-0000-00006F820000}"/>
    <cellStyle name="Normal 5 9 2 6 2" xfId="39989" xr:uid="{00000000-0005-0000-0000-000070820000}"/>
    <cellStyle name="Normal 5 9 2 7" xfId="39990" xr:uid="{00000000-0005-0000-0000-000071820000}"/>
    <cellStyle name="Normal 5 9 3" xfId="37991" xr:uid="{00000000-0005-0000-0000-000072820000}"/>
    <cellStyle name="Normal 5 9 3 2" xfId="37069" xr:uid="{00000000-0005-0000-0000-000073820000}"/>
    <cellStyle name="Normal 5 9 3 2 2" xfId="13779" xr:uid="{00000000-0005-0000-0000-000074820000}"/>
    <cellStyle name="Normal 5 9 3 2 2 2" xfId="13790" xr:uid="{00000000-0005-0000-0000-000075820000}"/>
    <cellStyle name="Normal 5 9 3 2 3" xfId="18109" xr:uid="{00000000-0005-0000-0000-000076820000}"/>
    <cellStyle name="Normal 5 9 3 3" xfId="21487" xr:uid="{00000000-0005-0000-0000-000077820000}"/>
    <cellStyle name="Normal 5 9 3 3 2" xfId="39991" xr:uid="{00000000-0005-0000-0000-000078820000}"/>
    <cellStyle name="Normal 5 9 3 4" xfId="39992" xr:uid="{00000000-0005-0000-0000-000079820000}"/>
    <cellStyle name="Normal 5 9 4" xfId="37994" xr:uid="{00000000-0005-0000-0000-00007A820000}"/>
    <cellStyle name="Normal 5 9 4 2" xfId="23923" xr:uid="{00000000-0005-0000-0000-00007B820000}"/>
    <cellStyle name="Normal 5 9 4 2 2" xfId="21573" xr:uid="{00000000-0005-0000-0000-00007C820000}"/>
    <cellStyle name="Normal 5 9 4 3" xfId="25039" xr:uid="{00000000-0005-0000-0000-00007D820000}"/>
    <cellStyle name="Normal 5 9 5" xfId="36787" xr:uid="{00000000-0005-0000-0000-00007E820000}"/>
    <cellStyle name="Normal 5 9 5 2" xfId="23935" xr:uid="{00000000-0005-0000-0000-00007F820000}"/>
    <cellStyle name="Normal 5 9 5 2 2" xfId="37306" xr:uid="{00000000-0005-0000-0000-000080820000}"/>
    <cellStyle name="Normal 5 9 5 3" xfId="37320" xr:uid="{00000000-0005-0000-0000-000081820000}"/>
    <cellStyle name="Normal 5 9 6" xfId="36792" xr:uid="{00000000-0005-0000-0000-000082820000}"/>
    <cellStyle name="Normal 5 9 6 2" xfId="37364" xr:uid="{00000000-0005-0000-0000-000083820000}"/>
    <cellStyle name="Normal 5 9 7" xfId="26623" xr:uid="{00000000-0005-0000-0000-000084820000}"/>
    <cellStyle name="Normal 5 9 7 2" xfId="37416" xr:uid="{00000000-0005-0000-0000-000085820000}"/>
    <cellStyle name="Normal 5 9 8" xfId="26761" xr:uid="{00000000-0005-0000-0000-000086820000}"/>
    <cellStyle name="Normal 50" xfId="18061" xr:uid="{00000000-0005-0000-0000-000087820000}"/>
    <cellStyle name="Normal 50 10" xfId="36581" xr:uid="{00000000-0005-0000-0000-000088820000}"/>
    <cellStyle name="Normal 50 10 2" xfId="8332" xr:uid="{00000000-0005-0000-0000-000089820000}"/>
    <cellStyle name="Normal 50 10 2 2" xfId="8343" xr:uid="{00000000-0005-0000-0000-00008A820000}"/>
    <cellStyle name="Normal 50 10 3" xfId="8351" xr:uid="{00000000-0005-0000-0000-00008B820000}"/>
    <cellStyle name="Normal 50 11" xfId="36583" xr:uid="{00000000-0005-0000-0000-00008C820000}"/>
    <cellStyle name="Normal 50 11 2" xfId="8426" xr:uid="{00000000-0005-0000-0000-00008D820000}"/>
    <cellStyle name="Normal 50 11 2 2" xfId="8434" xr:uid="{00000000-0005-0000-0000-00008E820000}"/>
    <cellStyle name="Normal 50 11 3" xfId="8441" xr:uid="{00000000-0005-0000-0000-00008F820000}"/>
    <cellStyle name="Normal 50 12" xfId="36585" xr:uid="{00000000-0005-0000-0000-000090820000}"/>
    <cellStyle name="Normal 50 12 2" xfId="3040" xr:uid="{00000000-0005-0000-0000-000091820000}"/>
    <cellStyle name="Normal 50 13" xfId="36587" xr:uid="{00000000-0005-0000-0000-000092820000}"/>
    <cellStyle name="Normal 50 13 2" xfId="3133" xr:uid="{00000000-0005-0000-0000-000093820000}"/>
    <cellStyle name="Normal 50 14" xfId="36589" xr:uid="{00000000-0005-0000-0000-000094820000}"/>
    <cellStyle name="Normal 50 14 2" xfId="18232" xr:uid="{00000000-0005-0000-0000-000095820000}"/>
    <cellStyle name="Normal 50 15" xfId="17401" xr:uid="{00000000-0005-0000-0000-000096820000}"/>
    <cellStyle name="Normal 50 16" xfId="17409" xr:uid="{00000000-0005-0000-0000-000097820000}"/>
    <cellStyle name="Normal 50 2" xfId="18065" xr:uid="{00000000-0005-0000-0000-000098820000}"/>
    <cellStyle name="Normal 50 2 10" xfId="24694" xr:uid="{00000000-0005-0000-0000-000099820000}"/>
    <cellStyle name="Normal 50 2 10 2" xfId="16693" xr:uid="{00000000-0005-0000-0000-00009A820000}"/>
    <cellStyle name="Normal 50 2 11" xfId="24698" xr:uid="{00000000-0005-0000-0000-00009B820000}"/>
    <cellStyle name="Normal 50 2 11 2" xfId="36592" xr:uid="{00000000-0005-0000-0000-00009C820000}"/>
    <cellStyle name="Normal 50 2 12" xfId="36595" xr:uid="{00000000-0005-0000-0000-00009D820000}"/>
    <cellStyle name="Normal 50 2 12 2" xfId="32938" xr:uid="{00000000-0005-0000-0000-00009E820000}"/>
    <cellStyle name="Normal 50 2 13" xfId="10742" xr:uid="{00000000-0005-0000-0000-00009F820000}"/>
    <cellStyle name="Normal 50 2 14" xfId="10749" xr:uid="{00000000-0005-0000-0000-0000A0820000}"/>
    <cellStyle name="Normal 50 2 2" xfId="36597" xr:uid="{00000000-0005-0000-0000-0000A1820000}"/>
    <cellStyle name="Normal 50 2 2 10" xfId="36599" xr:uid="{00000000-0005-0000-0000-0000A2820000}"/>
    <cellStyle name="Normal 50 2 2 2" xfId="36601" xr:uid="{00000000-0005-0000-0000-0000A3820000}"/>
    <cellStyle name="Normal 50 2 2 2 2" xfId="36603" xr:uid="{00000000-0005-0000-0000-0000A4820000}"/>
    <cellStyle name="Normal 50 2 2 2 2 2" xfId="36605" xr:uid="{00000000-0005-0000-0000-0000A5820000}"/>
    <cellStyle name="Normal 50 2 2 2 2 2 2" xfId="3948" xr:uid="{00000000-0005-0000-0000-0000A6820000}"/>
    <cellStyle name="Normal 50 2 2 2 2 2 2 2" xfId="3964" xr:uid="{00000000-0005-0000-0000-0000A7820000}"/>
    <cellStyle name="Normal 50 2 2 2 2 2 2 2 2" xfId="36607" xr:uid="{00000000-0005-0000-0000-0000A8820000}"/>
    <cellStyle name="Normal 50 2 2 2 2 2 2 3" xfId="36609" xr:uid="{00000000-0005-0000-0000-0000A9820000}"/>
    <cellStyle name="Normal 50 2 2 2 2 2 3" xfId="21529" xr:uid="{00000000-0005-0000-0000-0000AA820000}"/>
    <cellStyle name="Normal 50 2 2 2 2 2 3 2" xfId="36611" xr:uid="{00000000-0005-0000-0000-0000AB820000}"/>
    <cellStyle name="Normal 50 2 2 2 2 2 4" xfId="36613" xr:uid="{00000000-0005-0000-0000-0000AC820000}"/>
    <cellStyle name="Normal 50 2 2 2 2 3" xfId="36615" xr:uid="{00000000-0005-0000-0000-0000AD820000}"/>
    <cellStyle name="Normal 50 2 2 2 2 3 2" xfId="4315" xr:uid="{00000000-0005-0000-0000-0000AE820000}"/>
    <cellStyle name="Normal 50 2 2 2 2 3 2 2" xfId="36617" xr:uid="{00000000-0005-0000-0000-0000AF820000}"/>
    <cellStyle name="Normal 50 2 2 2 2 3 3" xfId="36619" xr:uid="{00000000-0005-0000-0000-0000B0820000}"/>
    <cellStyle name="Normal 50 2 2 2 2 4" xfId="36621" xr:uid="{00000000-0005-0000-0000-0000B1820000}"/>
    <cellStyle name="Normal 50 2 2 2 2 4 2" xfId="36623" xr:uid="{00000000-0005-0000-0000-0000B2820000}"/>
    <cellStyle name="Normal 50 2 2 2 2 4 2 2" xfId="4452" xr:uid="{00000000-0005-0000-0000-0000B3820000}"/>
    <cellStyle name="Normal 50 2 2 2 2 4 3" xfId="36625" xr:uid="{00000000-0005-0000-0000-0000B4820000}"/>
    <cellStyle name="Normal 50 2 2 2 2 5" xfId="3282" xr:uid="{00000000-0005-0000-0000-0000B5820000}"/>
    <cellStyle name="Normal 50 2 2 2 2 5 2" xfId="36627" xr:uid="{00000000-0005-0000-0000-0000B6820000}"/>
    <cellStyle name="Normal 50 2 2 2 2 6" xfId="36630" xr:uid="{00000000-0005-0000-0000-0000B7820000}"/>
    <cellStyle name="Normal 50 2 2 2 2 6 2" xfId="2468" xr:uid="{00000000-0005-0000-0000-0000B8820000}"/>
    <cellStyle name="Normal 50 2 2 2 2 7" xfId="35494" xr:uid="{00000000-0005-0000-0000-0000B9820000}"/>
    <cellStyle name="Normal 50 2 2 2 2 8" xfId="36633" xr:uid="{00000000-0005-0000-0000-0000BA820000}"/>
    <cellStyle name="Normal 50 2 2 2 3" xfId="36635" xr:uid="{00000000-0005-0000-0000-0000BB820000}"/>
    <cellStyle name="Normal 50 2 2 2 3 2" xfId="35355" xr:uid="{00000000-0005-0000-0000-0000BC820000}"/>
    <cellStyle name="Normal 50 2 2 2 3 2 2" xfId="35359" xr:uid="{00000000-0005-0000-0000-0000BD820000}"/>
    <cellStyle name="Normal 50 2 2 2 3 2 2 2" xfId="36638" xr:uid="{00000000-0005-0000-0000-0000BE820000}"/>
    <cellStyle name="Normal 50 2 2 2 3 2 3" xfId="21535" xr:uid="{00000000-0005-0000-0000-0000BF820000}"/>
    <cellStyle name="Normal 50 2 2 2 3 3" xfId="35363" xr:uid="{00000000-0005-0000-0000-0000C0820000}"/>
    <cellStyle name="Normal 50 2 2 2 3 3 2" xfId="35367" xr:uid="{00000000-0005-0000-0000-0000C1820000}"/>
    <cellStyle name="Normal 50 2 2 2 3 4" xfId="35371" xr:uid="{00000000-0005-0000-0000-0000C2820000}"/>
    <cellStyle name="Normal 50 2 2 2 4" xfId="5196" xr:uid="{00000000-0005-0000-0000-0000C3820000}"/>
    <cellStyle name="Normal 50 2 2 2 4 2" xfId="35433" xr:uid="{00000000-0005-0000-0000-0000C4820000}"/>
    <cellStyle name="Normal 50 2 2 2 4 2 2" xfId="35437" xr:uid="{00000000-0005-0000-0000-0000C5820000}"/>
    <cellStyle name="Normal 50 2 2 2 4 3" xfId="26998" xr:uid="{00000000-0005-0000-0000-0000C6820000}"/>
    <cellStyle name="Normal 50 2 2 2 5" xfId="36640" xr:uid="{00000000-0005-0000-0000-0000C7820000}"/>
    <cellStyle name="Normal 50 2 2 2 5 2" xfId="35487" xr:uid="{00000000-0005-0000-0000-0000C8820000}"/>
    <cellStyle name="Normal 50 2 2 2 5 2 2" xfId="35491" xr:uid="{00000000-0005-0000-0000-0000C9820000}"/>
    <cellStyle name="Normal 50 2 2 2 5 3" xfId="35498" xr:uid="{00000000-0005-0000-0000-0000CA820000}"/>
    <cellStyle name="Normal 50 2 2 2 6" xfId="29827" xr:uid="{00000000-0005-0000-0000-0000CB820000}"/>
    <cellStyle name="Normal 50 2 2 2 6 2" xfId="35562" xr:uid="{00000000-0005-0000-0000-0000CC820000}"/>
    <cellStyle name="Normal 50 2 2 2 7" xfId="36642" xr:uid="{00000000-0005-0000-0000-0000CD820000}"/>
    <cellStyle name="Normal 50 2 2 2 7 2" xfId="35609" xr:uid="{00000000-0005-0000-0000-0000CE820000}"/>
    <cellStyle name="Normal 50 2 2 2 8" xfId="24925" xr:uid="{00000000-0005-0000-0000-0000CF820000}"/>
    <cellStyle name="Normal 50 2 2 2 9" xfId="9547" xr:uid="{00000000-0005-0000-0000-0000D0820000}"/>
    <cellStyle name="Normal 50 2 2 3" xfId="36644" xr:uid="{00000000-0005-0000-0000-0000D1820000}"/>
    <cellStyle name="Normal 50 2 2 3 2" xfId="29711" xr:uid="{00000000-0005-0000-0000-0000D2820000}"/>
    <cellStyle name="Normal 50 2 2 3 2 2" xfId="36646" xr:uid="{00000000-0005-0000-0000-0000D3820000}"/>
    <cellStyle name="Normal 50 2 2 3 2 2 2" xfId="36648" xr:uid="{00000000-0005-0000-0000-0000D4820000}"/>
    <cellStyle name="Normal 50 2 2 3 2 2 2 2" xfId="36650" xr:uid="{00000000-0005-0000-0000-0000D5820000}"/>
    <cellStyle name="Normal 50 2 2 3 2 2 3" xfId="36652" xr:uid="{00000000-0005-0000-0000-0000D6820000}"/>
    <cellStyle name="Normal 50 2 2 3 2 3" xfId="36654" xr:uid="{00000000-0005-0000-0000-0000D7820000}"/>
    <cellStyle name="Normal 50 2 2 3 2 3 2" xfId="36656" xr:uid="{00000000-0005-0000-0000-0000D8820000}"/>
    <cellStyle name="Normal 50 2 2 3 2 4" xfId="36658" xr:uid="{00000000-0005-0000-0000-0000D9820000}"/>
    <cellStyle name="Normal 50 2 2 3 3" xfId="36660" xr:uid="{00000000-0005-0000-0000-0000DA820000}"/>
    <cellStyle name="Normal 50 2 2 3 3 2" xfId="16926" xr:uid="{00000000-0005-0000-0000-0000DB820000}"/>
    <cellStyle name="Normal 50 2 2 3 3 2 2" xfId="35727" xr:uid="{00000000-0005-0000-0000-0000DC820000}"/>
    <cellStyle name="Normal 50 2 2 3 3 3" xfId="35731" xr:uid="{00000000-0005-0000-0000-0000DD820000}"/>
    <cellStyle name="Normal 50 2 2 3 4" xfId="36662" xr:uid="{00000000-0005-0000-0000-0000DE820000}"/>
    <cellStyle name="Normal 50 2 2 3 4 2" xfId="35772" xr:uid="{00000000-0005-0000-0000-0000DF820000}"/>
    <cellStyle name="Normal 50 2 2 3 4 2 2" xfId="35776" xr:uid="{00000000-0005-0000-0000-0000E0820000}"/>
    <cellStyle name="Normal 50 2 2 3 4 3" xfId="35779" xr:uid="{00000000-0005-0000-0000-0000E1820000}"/>
    <cellStyle name="Normal 50 2 2 3 5" xfId="33560" xr:uid="{00000000-0005-0000-0000-0000E2820000}"/>
    <cellStyle name="Normal 50 2 2 3 5 2" xfId="33564" xr:uid="{00000000-0005-0000-0000-0000E3820000}"/>
    <cellStyle name="Normal 50 2 2 3 6" xfId="33569" xr:uid="{00000000-0005-0000-0000-0000E4820000}"/>
    <cellStyle name="Normal 50 2 2 3 6 2" xfId="35842" xr:uid="{00000000-0005-0000-0000-0000E5820000}"/>
    <cellStyle name="Normal 50 2 2 3 7" xfId="36664" xr:uid="{00000000-0005-0000-0000-0000E6820000}"/>
    <cellStyle name="Normal 50 2 2 3 8" xfId="24932" xr:uid="{00000000-0005-0000-0000-0000E7820000}"/>
    <cellStyle name="Normal 50 2 2 4" xfId="36666" xr:uid="{00000000-0005-0000-0000-0000E8820000}"/>
    <cellStyle name="Normal 50 2 2 4 2" xfId="36668" xr:uid="{00000000-0005-0000-0000-0000E9820000}"/>
    <cellStyle name="Normal 50 2 2 4 2 2" xfId="33785" xr:uid="{00000000-0005-0000-0000-0000EA820000}"/>
    <cellStyle name="Normal 50 2 2 4 2 2 2" xfId="26666" xr:uid="{00000000-0005-0000-0000-0000EB820000}"/>
    <cellStyle name="Normal 50 2 2 4 2 3" xfId="33789" xr:uid="{00000000-0005-0000-0000-0000EC820000}"/>
    <cellStyle name="Normal 50 2 2 4 3" xfId="16932" xr:uid="{00000000-0005-0000-0000-0000ED820000}"/>
    <cellStyle name="Normal 50 2 2 4 3 2" xfId="16935" xr:uid="{00000000-0005-0000-0000-0000EE820000}"/>
    <cellStyle name="Normal 50 2 2 4 4" xfId="16941" xr:uid="{00000000-0005-0000-0000-0000EF820000}"/>
    <cellStyle name="Normal 50 2 2 5" xfId="27585" xr:uid="{00000000-0005-0000-0000-0000F0820000}"/>
    <cellStyle name="Normal 50 2 2 5 2" xfId="36670" xr:uid="{00000000-0005-0000-0000-0000F1820000}"/>
    <cellStyle name="Normal 50 2 2 5 2 2" xfId="36672" xr:uid="{00000000-0005-0000-0000-0000F2820000}"/>
    <cellStyle name="Normal 50 2 2 5 3" xfId="16946" xr:uid="{00000000-0005-0000-0000-0000F3820000}"/>
    <cellStyle name="Normal 50 2 2 6" xfId="36674" xr:uid="{00000000-0005-0000-0000-0000F4820000}"/>
    <cellStyle name="Normal 50 2 2 6 2" xfId="997" xr:uid="{00000000-0005-0000-0000-0000F5820000}"/>
    <cellStyle name="Normal 50 2 2 6 2 2" xfId="19768" xr:uid="{00000000-0005-0000-0000-0000F6820000}"/>
    <cellStyle name="Normal 50 2 2 6 3" xfId="19796" xr:uid="{00000000-0005-0000-0000-0000F7820000}"/>
    <cellStyle name="Normal 50 2 2 7" xfId="36676" xr:uid="{00000000-0005-0000-0000-0000F8820000}"/>
    <cellStyle name="Normal 50 2 2 7 2" xfId="23278" xr:uid="{00000000-0005-0000-0000-0000F9820000}"/>
    <cellStyle name="Normal 50 2 2 8" xfId="36678" xr:uid="{00000000-0005-0000-0000-0000FA820000}"/>
    <cellStyle name="Normal 50 2 2 8 2" xfId="9813" xr:uid="{00000000-0005-0000-0000-0000FB820000}"/>
    <cellStyle name="Normal 50 2 2 9" xfId="36680" xr:uid="{00000000-0005-0000-0000-0000FC820000}"/>
    <cellStyle name="Normal 50 2 3" xfId="36687" xr:uid="{00000000-0005-0000-0000-0000FD820000}"/>
    <cellStyle name="Normal 50 2 3 2" xfId="36695" xr:uid="{00000000-0005-0000-0000-0000FE820000}"/>
    <cellStyle name="Normal 50 2 3 2 2" xfId="36698" xr:uid="{00000000-0005-0000-0000-0000FF820000}"/>
    <cellStyle name="Normal 50 2 3 2 2 2" xfId="36701" xr:uid="{00000000-0005-0000-0000-000000830000}"/>
    <cellStyle name="Normal 50 2 3 2 2 2 2" xfId="36703" xr:uid="{00000000-0005-0000-0000-000001830000}"/>
    <cellStyle name="Normal 50 2 3 2 2 2 2 2" xfId="36705" xr:uid="{00000000-0005-0000-0000-000002830000}"/>
    <cellStyle name="Normal 50 2 3 2 2 2 3" xfId="36707" xr:uid="{00000000-0005-0000-0000-000003830000}"/>
    <cellStyle name="Normal 50 2 3 2 2 3" xfId="36709" xr:uid="{00000000-0005-0000-0000-000004830000}"/>
    <cellStyle name="Normal 50 2 3 2 2 3 2" xfId="6706" xr:uid="{00000000-0005-0000-0000-000005830000}"/>
    <cellStyle name="Normal 50 2 3 2 2 4" xfId="36711" xr:uid="{00000000-0005-0000-0000-000006830000}"/>
    <cellStyle name="Normal 50 2 3 2 2 5" xfId="36713" xr:uid="{00000000-0005-0000-0000-000007830000}"/>
    <cellStyle name="Normal 50 2 3 2 3" xfId="36716" xr:uid="{00000000-0005-0000-0000-000008830000}"/>
    <cellStyle name="Normal 50 2 3 2 3 2" xfId="36720" xr:uid="{00000000-0005-0000-0000-000009830000}"/>
    <cellStyle name="Normal 50 2 3 2 3 2 2" xfId="23773" xr:uid="{00000000-0005-0000-0000-00000A830000}"/>
    <cellStyle name="Normal 50 2 3 2 3 3" xfId="36724" xr:uid="{00000000-0005-0000-0000-00000B830000}"/>
    <cellStyle name="Normal 50 2 3 2 4" xfId="36726" xr:uid="{00000000-0005-0000-0000-00000C830000}"/>
    <cellStyle name="Normal 50 2 3 2 4 2" xfId="36730" xr:uid="{00000000-0005-0000-0000-00000D830000}"/>
    <cellStyle name="Normal 50 2 3 2 4 2 2" xfId="20326" xr:uid="{00000000-0005-0000-0000-00000E830000}"/>
    <cellStyle name="Normal 50 2 3 2 4 3" xfId="36734" xr:uid="{00000000-0005-0000-0000-00000F830000}"/>
    <cellStyle name="Normal 50 2 3 2 5" xfId="34636" xr:uid="{00000000-0005-0000-0000-000010830000}"/>
    <cellStyle name="Normal 50 2 3 2 5 2" xfId="34644" xr:uid="{00000000-0005-0000-0000-000011830000}"/>
    <cellStyle name="Normal 50 2 3 2 6" xfId="29835" xr:uid="{00000000-0005-0000-0000-000012830000}"/>
    <cellStyle name="Normal 50 2 3 2 6 2" xfId="34649" xr:uid="{00000000-0005-0000-0000-000013830000}"/>
    <cellStyle name="Normal 50 2 3 2 7" xfId="34651" xr:uid="{00000000-0005-0000-0000-000014830000}"/>
    <cellStyle name="Normal 50 2 3 2 8" xfId="24958" xr:uid="{00000000-0005-0000-0000-000015830000}"/>
    <cellStyle name="Normal 50 2 3 3" xfId="36737" xr:uid="{00000000-0005-0000-0000-000016830000}"/>
    <cellStyle name="Normal 50 2 3 3 2" xfId="36740" xr:uid="{00000000-0005-0000-0000-000017830000}"/>
    <cellStyle name="Normal 50 2 3 3 2 2" xfId="36742" xr:uid="{00000000-0005-0000-0000-000018830000}"/>
    <cellStyle name="Normal 50 2 3 3 2 2 2" xfId="15164" xr:uid="{00000000-0005-0000-0000-000019830000}"/>
    <cellStyle name="Normal 50 2 3 3 2 3" xfId="36744" xr:uid="{00000000-0005-0000-0000-00001A830000}"/>
    <cellStyle name="Normal 50 2 3 3 3" xfId="36746" xr:uid="{00000000-0005-0000-0000-00001B830000}"/>
    <cellStyle name="Normal 50 2 3 3 3 2" xfId="36750" xr:uid="{00000000-0005-0000-0000-00001C830000}"/>
    <cellStyle name="Normal 50 2 3 3 4" xfId="36752" xr:uid="{00000000-0005-0000-0000-00001D830000}"/>
    <cellStyle name="Normal 50 2 3 3 5" xfId="33579" xr:uid="{00000000-0005-0000-0000-00001E830000}"/>
    <cellStyle name="Normal 50 2 3 4" xfId="36755" xr:uid="{00000000-0005-0000-0000-00001F830000}"/>
    <cellStyle name="Normal 50 2 3 4 2" xfId="36758" xr:uid="{00000000-0005-0000-0000-000020830000}"/>
    <cellStyle name="Normal 50 2 3 4 2 2" xfId="34167" xr:uid="{00000000-0005-0000-0000-000021830000}"/>
    <cellStyle name="Normal 50 2 3 4 3" xfId="16959" xr:uid="{00000000-0005-0000-0000-000022830000}"/>
    <cellStyle name="Normal 50 2 3 5" xfId="27592" xr:uid="{00000000-0005-0000-0000-000023830000}"/>
    <cellStyle name="Normal 50 2 3 5 2" xfId="36760" xr:uid="{00000000-0005-0000-0000-000024830000}"/>
    <cellStyle name="Normal 50 2 3 5 2 2" xfId="36763" xr:uid="{00000000-0005-0000-0000-000025830000}"/>
    <cellStyle name="Normal 50 2 3 5 3" xfId="36765" xr:uid="{00000000-0005-0000-0000-000026830000}"/>
    <cellStyle name="Normal 50 2 3 6" xfId="1024" xr:uid="{00000000-0005-0000-0000-000027830000}"/>
    <cellStyle name="Normal 50 2 3 6 2" xfId="1058" xr:uid="{00000000-0005-0000-0000-000028830000}"/>
    <cellStyle name="Normal 50 2 3 7" xfId="1076" xr:uid="{00000000-0005-0000-0000-000029830000}"/>
    <cellStyle name="Normal 50 2 3 7 2" xfId="36767" xr:uid="{00000000-0005-0000-0000-00002A830000}"/>
    <cellStyle name="Normal 50 2 3 8" xfId="36769" xr:uid="{00000000-0005-0000-0000-00002B830000}"/>
    <cellStyle name="Normal 50 2 3 9" xfId="17297" xr:uid="{00000000-0005-0000-0000-00002C830000}"/>
    <cellStyle name="Normal 50 2 4" xfId="36776" xr:uid="{00000000-0005-0000-0000-00002D830000}"/>
    <cellStyle name="Normal 50 2 4 2" xfId="36779" xr:uid="{00000000-0005-0000-0000-00002E830000}"/>
    <cellStyle name="Normal 50 2 4 2 2" xfId="17207" xr:uid="{00000000-0005-0000-0000-00002F830000}"/>
    <cellStyle name="Normal 50 2 4 2 2 2" xfId="33189" xr:uid="{00000000-0005-0000-0000-000030830000}"/>
    <cellStyle name="Normal 50 2 4 2 2 2 2" xfId="33194" xr:uid="{00000000-0005-0000-0000-000031830000}"/>
    <cellStyle name="Normal 50 2 4 2 2 2 2 2" xfId="34437" xr:uid="{00000000-0005-0000-0000-000032830000}"/>
    <cellStyle name="Normal 50 2 4 2 2 2 3" xfId="27323" xr:uid="{00000000-0005-0000-0000-000033830000}"/>
    <cellStyle name="Normal 50 2 4 2 2 3" xfId="33201" xr:uid="{00000000-0005-0000-0000-000034830000}"/>
    <cellStyle name="Normal 50 2 4 2 2 3 2" xfId="10847" xr:uid="{00000000-0005-0000-0000-000035830000}"/>
    <cellStyle name="Normal 50 2 4 2 2 4" xfId="33206" xr:uid="{00000000-0005-0000-0000-000036830000}"/>
    <cellStyle name="Normal 50 2 4 2 3" xfId="12179" xr:uid="{00000000-0005-0000-0000-000037830000}"/>
    <cellStyle name="Normal 50 2 4 2 3 2" xfId="15721" xr:uid="{00000000-0005-0000-0000-000038830000}"/>
    <cellStyle name="Normal 50 2 4 2 3 2 2" xfId="23709" xr:uid="{00000000-0005-0000-0000-000039830000}"/>
    <cellStyle name="Normal 50 2 4 2 3 3" xfId="36784" xr:uid="{00000000-0005-0000-0000-00003A830000}"/>
    <cellStyle name="Normal 50 2 4 2 4" xfId="15723" xr:uid="{00000000-0005-0000-0000-00003B830000}"/>
    <cellStyle name="Normal 50 2 4 2 4 2" xfId="36789" xr:uid="{00000000-0005-0000-0000-00003C830000}"/>
    <cellStyle name="Normal 50 2 4 2 4 2 2" xfId="23939" xr:uid="{00000000-0005-0000-0000-00003D830000}"/>
    <cellStyle name="Normal 50 2 4 2 4 3" xfId="36794" xr:uid="{00000000-0005-0000-0000-00003E830000}"/>
    <cellStyle name="Normal 50 2 4 2 5" xfId="34676" xr:uid="{00000000-0005-0000-0000-00003F830000}"/>
    <cellStyle name="Normal 50 2 4 2 5 2" xfId="34683" xr:uid="{00000000-0005-0000-0000-000040830000}"/>
    <cellStyle name="Normal 50 2 4 2 6" xfId="34685" xr:uid="{00000000-0005-0000-0000-000041830000}"/>
    <cellStyle name="Normal 50 2 4 2 6 2" xfId="36798" xr:uid="{00000000-0005-0000-0000-000042830000}"/>
    <cellStyle name="Normal 50 2 4 2 7" xfId="36800" xr:uid="{00000000-0005-0000-0000-000043830000}"/>
    <cellStyle name="Normal 50 2 4 2 8" xfId="18267" xr:uid="{00000000-0005-0000-0000-000044830000}"/>
    <cellStyle name="Normal 50 2 4 3" xfId="36803" xr:uid="{00000000-0005-0000-0000-000045830000}"/>
    <cellStyle name="Normal 50 2 4 3 2" xfId="36806" xr:uid="{00000000-0005-0000-0000-000046830000}"/>
    <cellStyle name="Normal 50 2 4 3 2 2" xfId="36808" xr:uid="{00000000-0005-0000-0000-000047830000}"/>
    <cellStyle name="Normal 50 2 4 3 2 2 2" xfId="36811" xr:uid="{00000000-0005-0000-0000-000048830000}"/>
    <cellStyle name="Normal 50 2 4 3 2 3" xfId="36813" xr:uid="{00000000-0005-0000-0000-000049830000}"/>
    <cellStyle name="Normal 50 2 4 3 3" xfId="15728" xr:uid="{00000000-0005-0000-0000-00004A830000}"/>
    <cellStyle name="Normal 50 2 4 3 3 2" xfId="15738" xr:uid="{00000000-0005-0000-0000-00004B830000}"/>
    <cellStyle name="Normal 50 2 4 3 4" xfId="15742" xr:uid="{00000000-0005-0000-0000-00004C830000}"/>
    <cellStyle name="Normal 50 2 4 4" xfId="36816" xr:uid="{00000000-0005-0000-0000-00004D830000}"/>
    <cellStyle name="Normal 50 2 4 4 2" xfId="36818" xr:uid="{00000000-0005-0000-0000-00004E830000}"/>
    <cellStyle name="Normal 50 2 4 4 2 2" xfId="36820" xr:uid="{00000000-0005-0000-0000-00004F830000}"/>
    <cellStyle name="Normal 50 2 4 4 3" xfId="15753" xr:uid="{00000000-0005-0000-0000-000050830000}"/>
    <cellStyle name="Normal 50 2 4 5" xfId="6915" xr:uid="{00000000-0005-0000-0000-000051830000}"/>
    <cellStyle name="Normal 50 2 4 5 2" xfId="36822" xr:uid="{00000000-0005-0000-0000-000052830000}"/>
    <cellStyle name="Normal 50 2 4 5 2 2" xfId="36824" xr:uid="{00000000-0005-0000-0000-000053830000}"/>
    <cellStyle name="Normal 50 2 4 5 3" xfId="15761" xr:uid="{00000000-0005-0000-0000-000054830000}"/>
    <cellStyle name="Normal 50 2 4 6" xfId="1101" xr:uid="{00000000-0005-0000-0000-000055830000}"/>
    <cellStyle name="Normal 50 2 4 6 2" xfId="23411" xr:uid="{00000000-0005-0000-0000-000056830000}"/>
    <cellStyle name="Normal 50 2 4 7" xfId="36826" xr:uid="{00000000-0005-0000-0000-000057830000}"/>
    <cellStyle name="Normal 50 2 4 7 2" xfId="23453" xr:uid="{00000000-0005-0000-0000-000058830000}"/>
    <cellStyle name="Normal 50 2 4 8" xfId="36828" xr:uid="{00000000-0005-0000-0000-000059830000}"/>
    <cellStyle name="Normal 50 2 4 9" xfId="17317" xr:uid="{00000000-0005-0000-0000-00005A830000}"/>
    <cellStyle name="Normal 50 2 5" xfId="21068" xr:uid="{00000000-0005-0000-0000-00005B830000}"/>
    <cellStyle name="Normal 50 2 5 2" xfId="17837" xr:uid="{00000000-0005-0000-0000-00005C830000}"/>
    <cellStyle name="Normal 50 2 5 2 2" xfId="36830" xr:uid="{00000000-0005-0000-0000-00005D830000}"/>
    <cellStyle name="Normal 50 2 5 2 2 2" xfId="36832" xr:uid="{00000000-0005-0000-0000-00005E830000}"/>
    <cellStyle name="Normal 50 2 5 2 2 2 2" xfId="36834" xr:uid="{00000000-0005-0000-0000-00005F830000}"/>
    <cellStyle name="Normal 50 2 5 2 2 2 2 2" xfId="22858" xr:uid="{00000000-0005-0000-0000-000060830000}"/>
    <cellStyle name="Normal 50 2 5 2 2 2 3" xfId="29140" xr:uid="{00000000-0005-0000-0000-000061830000}"/>
    <cellStyle name="Normal 50 2 5 2 2 3" xfId="30841" xr:uid="{00000000-0005-0000-0000-000062830000}"/>
    <cellStyle name="Normal 50 2 5 2 2 3 2" xfId="36836" xr:uid="{00000000-0005-0000-0000-000063830000}"/>
    <cellStyle name="Normal 50 2 5 2 2 4" xfId="36838" xr:uid="{00000000-0005-0000-0000-000064830000}"/>
    <cellStyle name="Normal 50 2 5 2 3" xfId="15773" xr:uid="{00000000-0005-0000-0000-000065830000}"/>
    <cellStyle name="Normal 50 2 5 2 3 2" xfId="36841" xr:uid="{00000000-0005-0000-0000-000066830000}"/>
    <cellStyle name="Normal 50 2 5 2 3 2 2" xfId="8199" xr:uid="{00000000-0005-0000-0000-000067830000}"/>
    <cellStyle name="Normal 50 2 5 2 3 3" xfId="36844" xr:uid="{00000000-0005-0000-0000-000068830000}"/>
    <cellStyle name="Normal 50 2 5 2 4" xfId="36846" xr:uid="{00000000-0005-0000-0000-000069830000}"/>
    <cellStyle name="Normal 50 2 5 2 4 2" xfId="35900" xr:uid="{00000000-0005-0000-0000-00006A830000}"/>
    <cellStyle name="Normal 50 2 5 2 4 2 2" xfId="26166" xr:uid="{00000000-0005-0000-0000-00006B830000}"/>
    <cellStyle name="Normal 50 2 5 2 4 3" xfId="36849" xr:uid="{00000000-0005-0000-0000-00006C830000}"/>
    <cellStyle name="Normal 50 2 5 2 5" xfId="34688" xr:uid="{00000000-0005-0000-0000-00006D830000}"/>
    <cellStyle name="Normal 50 2 5 2 5 2" xfId="26045" xr:uid="{00000000-0005-0000-0000-00006E830000}"/>
    <cellStyle name="Normal 50 2 5 2 6" xfId="18753" xr:uid="{00000000-0005-0000-0000-00006F830000}"/>
    <cellStyle name="Normal 50 2 5 2 6 2" xfId="26056" xr:uid="{00000000-0005-0000-0000-000070830000}"/>
    <cellStyle name="Normal 50 2 5 2 7" xfId="36851" xr:uid="{00000000-0005-0000-0000-000071830000}"/>
    <cellStyle name="Normal 50 2 5 2 8" xfId="24969" xr:uid="{00000000-0005-0000-0000-000072830000}"/>
    <cellStyle name="Normal 50 2 5 3" xfId="36853" xr:uid="{00000000-0005-0000-0000-000073830000}"/>
    <cellStyle name="Normal 50 2 5 3 2" xfId="36855" xr:uid="{00000000-0005-0000-0000-000074830000}"/>
    <cellStyle name="Normal 50 2 5 3 2 2" xfId="36857" xr:uid="{00000000-0005-0000-0000-000075830000}"/>
    <cellStyle name="Normal 50 2 5 3 2 2 2" xfId="36859" xr:uid="{00000000-0005-0000-0000-000076830000}"/>
    <cellStyle name="Normal 50 2 5 3 2 3" xfId="36861" xr:uid="{00000000-0005-0000-0000-000077830000}"/>
    <cellStyle name="Normal 50 2 5 3 3" xfId="36863" xr:uid="{00000000-0005-0000-0000-000078830000}"/>
    <cellStyle name="Normal 50 2 5 3 3 2" xfId="27608" xr:uid="{00000000-0005-0000-0000-000079830000}"/>
    <cellStyle name="Normal 50 2 5 3 4" xfId="36865" xr:uid="{00000000-0005-0000-0000-00007A830000}"/>
    <cellStyle name="Normal 50 2 5 4" xfId="36867" xr:uid="{00000000-0005-0000-0000-00007B830000}"/>
    <cellStyle name="Normal 50 2 5 4 2" xfId="36869" xr:uid="{00000000-0005-0000-0000-00007C830000}"/>
    <cellStyle name="Normal 50 2 5 4 2 2" xfId="36871" xr:uid="{00000000-0005-0000-0000-00007D830000}"/>
    <cellStyle name="Normal 50 2 5 4 3" xfId="36873" xr:uid="{00000000-0005-0000-0000-00007E830000}"/>
    <cellStyle name="Normal 50 2 5 5" xfId="36875" xr:uid="{00000000-0005-0000-0000-00007F830000}"/>
    <cellStyle name="Normal 50 2 5 5 2" xfId="36877" xr:uid="{00000000-0005-0000-0000-000080830000}"/>
    <cellStyle name="Normal 50 2 5 5 2 2" xfId="36879" xr:uid="{00000000-0005-0000-0000-000081830000}"/>
    <cellStyle name="Normal 50 2 5 5 3" xfId="36881" xr:uid="{00000000-0005-0000-0000-000082830000}"/>
    <cellStyle name="Normal 50 2 5 6" xfId="36883" xr:uid="{00000000-0005-0000-0000-000083830000}"/>
    <cellStyle name="Normal 50 2 5 6 2" xfId="5799" xr:uid="{00000000-0005-0000-0000-000084830000}"/>
    <cellStyle name="Normal 50 2 5 7" xfId="36885" xr:uid="{00000000-0005-0000-0000-000085830000}"/>
    <cellStyle name="Normal 50 2 5 7 2" xfId="36888" xr:uid="{00000000-0005-0000-0000-000086830000}"/>
    <cellStyle name="Normal 50 2 5 8" xfId="36890" xr:uid="{00000000-0005-0000-0000-000087830000}"/>
    <cellStyle name="Normal 50 2 5 9" xfId="3772" xr:uid="{00000000-0005-0000-0000-000088830000}"/>
    <cellStyle name="Normal 50 2 6" xfId="36892" xr:uid="{00000000-0005-0000-0000-000089830000}"/>
    <cellStyle name="Normal 50 2 6 2" xfId="36894" xr:uid="{00000000-0005-0000-0000-00008A830000}"/>
    <cellStyle name="Normal 50 2 6 2 2" xfId="36896" xr:uid="{00000000-0005-0000-0000-00008B830000}"/>
    <cellStyle name="Normal 50 2 6 2 2 2" xfId="24621" xr:uid="{00000000-0005-0000-0000-00008C830000}"/>
    <cellStyle name="Normal 50 2 6 2 2 2 2" xfId="24624" xr:uid="{00000000-0005-0000-0000-00008D830000}"/>
    <cellStyle name="Normal 50 2 6 2 2 3" xfId="24627" xr:uid="{00000000-0005-0000-0000-00008E830000}"/>
    <cellStyle name="Normal 50 2 6 2 3" xfId="36898" xr:uid="{00000000-0005-0000-0000-00008F830000}"/>
    <cellStyle name="Normal 50 2 6 2 3 2" xfId="24649" xr:uid="{00000000-0005-0000-0000-000090830000}"/>
    <cellStyle name="Normal 50 2 6 2 4" xfId="36900" xr:uid="{00000000-0005-0000-0000-000091830000}"/>
    <cellStyle name="Normal 50 2 6 3" xfId="36902" xr:uid="{00000000-0005-0000-0000-000092830000}"/>
    <cellStyle name="Normal 50 2 6 3 2" xfId="36904" xr:uid="{00000000-0005-0000-0000-000093830000}"/>
    <cellStyle name="Normal 50 2 6 3 2 2" xfId="24687" xr:uid="{00000000-0005-0000-0000-000094830000}"/>
    <cellStyle name="Normal 50 2 6 3 3" xfId="36906" xr:uid="{00000000-0005-0000-0000-000095830000}"/>
    <cellStyle name="Normal 50 2 6 4" xfId="36908" xr:uid="{00000000-0005-0000-0000-000096830000}"/>
    <cellStyle name="Normal 50 2 6 4 2" xfId="36910" xr:uid="{00000000-0005-0000-0000-000097830000}"/>
    <cellStyle name="Normal 50 2 6 4 2 2" xfId="36912" xr:uid="{00000000-0005-0000-0000-000098830000}"/>
    <cellStyle name="Normal 50 2 6 4 3" xfId="36914" xr:uid="{00000000-0005-0000-0000-000099830000}"/>
    <cellStyle name="Normal 50 2 6 5" xfId="36916" xr:uid="{00000000-0005-0000-0000-00009A830000}"/>
    <cellStyle name="Normal 50 2 6 5 2" xfId="36918" xr:uid="{00000000-0005-0000-0000-00009B830000}"/>
    <cellStyle name="Normal 50 2 6 6" xfId="36920" xr:uid="{00000000-0005-0000-0000-00009C830000}"/>
    <cellStyle name="Normal 50 2 6 6 2" xfId="23563" xr:uid="{00000000-0005-0000-0000-00009D830000}"/>
    <cellStyle name="Normal 50 2 6 7" xfId="36922" xr:uid="{00000000-0005-0000-0000-00009E830000}"/>
    <cellStyle name="Normal 50 2 6 8" xfId="36924" xr:uid="{00000000-0005-0000-0000-00009F830000}"/>
    <cellStyle name="Normal 50 2 7" xfId="36926" xr:uid="{00000000-0005-0000-0000-0000A0830000}"/>
    <cellStyle name="Normal 50 2 7 2" xfId="36928" xr:uid="{00000000-0005-0000-0000-0000A1830000}"/>
    <cellStyle name="Normal 50 2 7 2 2" xfId="9532" xr:uid="{00000000-0005-0000-0000-0000A2830000}"/>
    <cellStyle name="Normal 50 2 7 2 2 2" xfId="24896" xr:uid="{00000000-0005-0000-0000-0000A3830000}"/>
    <cellStyle name="Normal 50 2 7 2 3" xfId="10458" xr:uid="{00000000-0005-0000-0000-0000A4830000}"/>
    <cellStyle name="Normal 50 2 7 3" xfId="36930" xr:uid="{00000000-0005-0000-0000-0000A5830000}"/>
    <cellStyle name="Normal 50 2 7 3 2" xfId="9553" xr:uid="{00000000-0005-0000-0000-0000A6830000}"/>
    <cellStyle name="Normal 50 2 7 4" xfId="36932" xr:uid="{00000000-0005-0000-0000-0000A7830000}"/>
    <cellStyle name="Normal 50 2 8" xfId="19291" xr:uid="{00000000-0005-0000-0000-0000A8830000}"/>
    <cellStyle name="Normal 50 2 8 2" xfId="16401" xr:uid="{00000000-0005-0000-0000-0000A9830000}"/>
    <cellStyle name="Normal 50 2 8 2 2" xfId="36934" xr:uid="{00000000-0005-0000-0000-0000AA830000}"/>
    <cellStyle name="Normal 50 2 8 3" xfId="36936" xr:uid="{00000000-0005-0000-0000-0000AB830000}"/>
    <cellStyle name="Normal 50 2 9" xfId="36938" xr:uid="{00000000-0005-0000-0000-0000AC830000}"/>
    <cellStyle name="Normal 50 2 9 2" xfId="36940" xr:uid="{00000000-0005-0000-0000-0000AD830000}"/>
    <cellStyle name="Normal 50 2 9 2 2" xfId="36942" xr:uid="{00000000-0005-0000-0000-0000AE830000}"/>
    <cellStyle name="Normal 50 2 9 3" xfId="36944" xr:uid="{00000000-0005-0000-0000-0000AF830000}"/>
    <cellStyle name="Normal 50 3" xfId="36946" xr:uid="{00000000-0005-0000-0000-0000B0830000}"/>
    <cellStyle name="Normal 50 3 10" xfId="13813" xr:uid="{00000000-0005-0000-0000-0000B1830000}"/>
    <cellStyle name="Normal 50 3 10 2" xfId="13668" xr:uid="{00000000-0005-0000-0000-0000B2830000}"/>
    <cellStyle name="Normal 50 3 11" xfId="13821" xr:uid="{00000000-0005-0000-0000-0000B3830000}"/>
    <cellStyle name="Normal 50 3 11 2" xfId="13724" xr:uid="{00000000-0005-0000-0000-0000B4830000}"/>
    <cellStyle name="Normal 50 3 12" xfId="6545" xr:uid="{00000000-0005-0000-0000-0000B5830000}"/>
    <cellStyle name="Normal 50 3 12 2" xfId="6551" xr:uid="{00000000-0005-0000-0000-0000B6830000}"/>
    <cellStyle name="Normal 50 3 13" xfId="6557" xr:uid="{00000000-0005-0000-0000-0000B7830000}"/>
    <cellStyle name="Normal 50 3 14" xfId="25319" xr:uid="{00000000-0005-0000-0000-0000B8830000}"/>
    <cellStyle name="Normal 50 3 2" xfId="36948" xr:uid="{00000000-0005-0000-0000-0000B9830000}"/>
    <cellStyle name="Normal 50 3 2 10" xfId="36532" xr:uid="{00000000-0005-0000-0000-0000BA830000}"/>
    <cellStyle name="Normal 50 3 2 2" xfId="36950" xr:uid="{00000000-0005-0000-0000-0000BB830000}"/>
    <cellStyle name="Normal 50 3 2 2 2" xfId="36952" xr:uid="{00000000-0005-0000-0000-0000BC830000}"/>
    <cellStyle name="Normal 50 3 2 2 2 2" xfId="36954" xr:uid="{00000000-0005-0000-0000-0000BD830000}"/>
    <cellStyle name="Normal 50 3 2 2 2 2 2" xfId="36958" xr:uid="{00000000-0005-0000-0000-0000BE830000}"/>
    <cellStyle name="Normal 50 3 2 2 2 2 2 2" xfId="36960" xr:uid="{00000000-0005-0000-0000-0000BF830000}"/>
    <cellStyle name="Normal 50 3 2 2 2 2 2 2 2" xfId="36962" xr:uid="{00000000-0005-0000-0000-0000C0830000}"/>
    <cellStyle name="Normal 50 3 2 2 2 2 2 3" xfId="36964" xr:uid="{00000000-0005-0000-0000-0000C1830000}"/>
    <cellStyle name="Normal 50 3 2 2 2 2 3" xfId="36970" xr:uid="{00000000-0005-0000-0000-0000C2830000}"/>
    <cellStyle name="Normal 50 3 2 2 2 2 3 2" xfId="36972" xr:uid="{00000000-0005-0000-0000-0000C3830000}"/>
    <cellStyle name="Normal 50 3 2 2 2 2 4" xfId="36974" xr:uid="{00000000-0005-0000-0000-0000C4830000}"/>
    <cellStyle name="Normal 50 3 2 2 2 3" xfId="36976" xr:uid="{00000000-0005-0000-0000-0000C5830000}"/>
    <cellStyle name="Normal 50 3 2 2 2 3 2" xfId="36978" xr:uid="{00000000-0005-0000-0000-0000C6830000}"/>
    <cellStyle name="Normal 50 3 2 2 2 3 2 2" xfId="36980" xr:uid="{00000000-0005-0000-0000-0000C7830000}"/>
    <cellStyle name="Normal 50 3 2 2 2 3 3" xfId="36982" xr:uid="{00000000-0005-0000-0000-0000C8830000}"/>
    <cellStyle name="Normal 50 3 2 2 2 4" xfId="23817" xr:uid="{00000000-0005-0000-0000-0000C9830000}"/>
    <cellStyle name="Normal 50 3 2 2 2 4 2" xfId="2783" xr:uid="{00000000-0005-0000-0000-0000CA830000}"/>
    <cellStyle name="Normal 50 3 2 2 2 4 2 2" xfId="505" xr:uid="{00000000-0005-0000-0000-0000CB830000}"/>
    <cellStyle name="Normal 50 3 2 2 2 4 3" xfId="2809" xr:uid="{00000000-0005-0000-0000-0000CC830000}"/>
    <cellStyle name="Normal 50 3 2 2 2 5" xfId="23820" xr:uid="{00000000-0005-0000-0000-0000CD830000}"/>
    <cellStyle name="Normal 50 3 2 2 2 5 2" xfId="23823" xr:uid="{00000000-0005-0000-0000-0000CE830000}"/>
    <cellStyle name="Normal 50 3 2 2 2 6" xfId="23828" xr:uid="{00000000-0005-0000-0000-0000CF830000}"/>
    <cellStyle name="Normal 50 3 2 2 2 6 2" xfId="26001" xr:uid="{00000000-0005-0000-0000-0000D0830000}"/>
    <cellStyle name="Normal 50 3 2 2 2 7" xfId="26006" xr:uid="{00000000-0005-0000-0000-0000D1830000}"/>
    <cellStyle name="Normal 50 3 2 2 2 8" xfId="3862" xr:uid="{00000000-0005-0000-0000-0000D2830000}"/>
    <cellStyle name="Normal 50 3 2 2 3" xfId="36984" xr:uid="{00000000-0005-0000-0000-0000D3830000}"/>
    <cellStyle name="Normal 50 3 2 2 3 2" xfId="36987" xr:uid="{00000000-0005-0000-0000-0000D4830000}"/>
    <cellStyle name="Normal 50 3 2 2 3 2 2" xfId="3658" xr:uid="{00000000-0005-0000-0000-0000D5830000}"/>
    <cellStyle name="Normal 50 3 2 2 3 2 2 2" xfId="3665" xr:uid="{00000000-0005-0000-0000-0000D6830000}"/>
    <cellStyle name="Normal 50 3 2 2 3 2 3" xfId="3676" xr:uid="{00000000-0005-0000-0000-0000D7830000}"/>
    <cellStyle name="Normal 50 3 2 2 3 3" xfId="36989" xr:uid="{00000000-0005-0000-0000-0000D8830000}"/>
    <cellStyle name="Normal 50 3 2 2 3 3 2" xfId="36991" xr:uid="{00000000-0005-0000-0000-0000D9830000}"/>
    <cellStyle name="Normal 50 3 2 2 3 4" xfId="23832" xr:uid="{00000000-0005-0000-0000-0000DA830000}"/>
    <cellStyle name="Normal 50 3 2 2 4" xfId="36993" xr:uid="{00000000-0005-0000-0000-0000DB830000}"/>
    <cellStyle name="Normal 50 3 2 2 4 2" xfId="18213" xr:uid="{00000000-0005-0000-0000-0000DC830000}"/>
    <cellStyle name="Normal 50 3 2 2 4 2 2" xfId="36995" xr:uid="{00000000-0005-0000-0000-0000DD830000}"/>
    <cellStyle name="Normal 50 3 2 2 4 3" xfId="35646" xr:uid="{00000000-0005-0000-0000-0000DE830000}"/>
    <cellStyle name="Normal 50 3 2 2 5" xfId="36997" xr:uid="{00000000-0005-0000-0000-0000DF830000}"/>
    <cellStyle name="Normal 50 3 2 2 5 2" xfId="36999" xr:uid="{00000000-0005-0000-0000-0000E0830000}"/>
    <cellStyle name="Normal 50 3 2 2 5 2 2" xfId="37004" xr:uid="{00000000-0005-0000-0000-0000E1830000}"/>
    <cellStyle name="Normal 50 3 2 2 5 3" xfId="37006" xr:uid="{00000000-0005-0000-0000-0000E2830000}"/>
    <cellStyle name="Normal 50 3 2 2 6" xfId="3691" xr:uid="{00000000-0005-0000-0000-0000E3830000}"/>
    <cellStyle name="Normal 50 3 2 2 6 2" xfId="3698" xr:uid="{00000000-0005-0000-0000-0000E4830000}"/>
    <cellStyle name="Normal 50 3 2 2 7" xfId="3708" xr:uid="{00000000-0005-0000-0000-0000E5830000}"/>
    <cellStyle name="Normal 50 3 2 2 7 2" xfId="37008" xr:uid="{00000000-0005-0000-0000-0000E6830000}"/>
    <cellStyle name="Normal 50 3 2 2 8" xfId="3713" xr:uid="{00000000-0005-0000-0000-0000E7830000}"/>
    <cellStyle name="Normal 50 3 2 2 9" xfId="25124" xr:uid="{00000000-0005-0000-0000-0000E8830000}"/>
    <cellStyle name="Normal 50 3 2 3" xfId="6972" xr:uid="{00000000-0005-0000-0000-0000E9830000}"/>
    <cellStyle name="Normal 50 3 2 3 2" xfId="29770" xr:uid="{00000000-0005-0000-0000-0000EA830000}"/>
    <cellStyle name="Normal 50 3 2 3 2 2" xfId="37010" xr:uid="{00000000-0005-0000-0000-0000EB830000}"/>
    <cellStyle name="Normal 50 3 2 3 2 2 2" xfId="37014" xr:uid="{00000000-0005-0000-0000-0000EC830000}"/>
    <cellStyle name="Normal 50 3 2 3 2 2 2 2" xfId="37016" xr:uid="{00000000-0005-0000-0000-0000ED830000}"/>
    <cellStyle name="Normal 50 3 2 3 2 2 3" xfId="37020" xr:uid="{00000000-0005-0000-0000-0000EE830000}"/>
    <cellStyle name="Normal 50 3 2 3 2 3" xfId="37022" xr:uid="{00000000-0005-0000-0000-0000EF830000}"/>
    <cellStyle name="Normal 50 3 2 3 2 3 2" xfId="37024" xr:uid="{00000000-0005-0000-0000-0000F0830000}"/>
    <cellStyle name="Normal 50 3 2 3 2 4" xfId="23862" xr:uid="{00000000-0005-0000-0000-0000F1830000}"/>
    <cellStyle name="Normal 50 3 2 3 3" xfId="37026" xr:uid="{00000000-0005-0000-0000-0000F2830000}"/>
    <cellStyle name="Normal 50 3 2 3 3 2" xfId="37028" xr:uid="{00000000-0005-0000-0000-0000F3830000}"/>
    <cellStyle name="Normal 50 3 2 3 3 2 2" xfId="37032" xr:uid="{00000000-0005-0000-0000-0000F4830000}"/>
    <cellStyle name="Normal 50 3 2 3 3 3" xfId="37034" xr:uid="{00000000-0005-0000-0000-0000F5830000}"/>
    <cellStyle name="Normal 50 3 2 3 4" xfId="37036" xr:uid="{00000000-0005-0000-0000-0000F6830000}"/>
    <cellStyle name="Normal 50 3 2 3 4 2" xfId="37038" xr:uid="{00000000-0005-0000-0000-0000F7830000}"/>
    <cellStyle name="Normal 50 3 2 3 4 2 2" xfId="37040" xr:uid="{00000000-0005-0000-0000-0000F8830000}"/>
    <cellStyle name="Normal 50 3 2 3 4 3" xfId="37042" xr:uid="{00000000-0005-0000-0000-0000F9830000}"/>
    <cellStyle name="Normal 50 3 2 3 5" xfId="33620" xr:uid="{00000000-0005-0000-0000-0000FA830000}"/>
    <cellStyle name="Normal 50 3 2 3 5 2" xfId="37044" xr:uid="{00000000-0005-0000-0000-0000FB830000}"/>
    <cellStyle name="Normal 50 3 2 3 6" xfId="1869" xr:uid="{00000000-0005-0000-0000-0000FC830000}"/>
    <cellStyle name="Normal 50 3 2 3 6 2" xfId="1895" xr:uid="{00000000-0005-0000-0000-0000FD830000}"/>
    <cellStyle name="Normal 50 3 2 3 7" xfId="1972" xr:uid="{00000000-0005-0000-0000-0000FE830000}"/>
    <cellStyle name="Normal 50 3 2 3 8" xfId="25127" xr:uid="{00000000-0005-0000-0000-0000FF830000}"/>
    <cellStyle name="Normal 50 3 2 4" xfId="37046" xr:uid="{00000000-0005-0000-0000-000000840000}"/>
    <cellStyle name="Normal 50 3 2 4 2" xfId="37048" xr:uid="{00000000-0005-0000-0000-000001840000}"/>
    <cellStyle name="Normal 50 3 2 4 2 2" xfId="35313" xr:uid="{00000000-0005-0000-0000-000002840000}"/>
    <cellStyle name="Normal 50 3 2 4 2 2 2" xfId="35317" xr:uid="{00000000-0005-0000-0000-000003840000}"/>
    <cellStyle name="Normal 50 3 2 4 2 3" xfId="35321" xr:uid="{00000000-0005-0000-0000-000004840000}"/>
    <cellStyle name="Normal 50 3 2 4 3" xfId="16017" xr:uid="{00000000-0005-0000-0000-000005840000}"/>
    <cellStyle name="Normal 50 3 2 4 3 2" xfId="37050" xr:uid="{00000000-0005-0000-0000-000006840000}"/>
    <cellStyle name="Normal 50 3 2 4 4" xfId="37054" xr:uid="{00000000-0005-0000-0000-000007840000}"/>
    <cellStyle name="Normal 50 3 2 5" xfId="23546" xr:uid="{00000000-0005-0000-0000-000008840000}"/>
    <cellStyle name="Normal 50 3 2 5 2" xfId="37056" xr:uid="{00000000-0005-0000-0000-000009840000}"/>
    <cellStyle name="Normal 50 3 2 5 2 2" xfId="37058" xr:uid="{00000000-0005-0000-0000-00000A840000}"/>
    <cellStyle name="Normal 50 3 2 5 3" xfId="37060" xr:uid="{00000000-0005-0000-0000-00000B840000}"/>
    <cellStyle name="Normal 50 3 2 6" xfId="37062" xr:uid="{00000000-0005-0000-0000-00000C840000}"/>
    <cellStyle name="Normal 50 3 2 6 2" xfId="21541" xr:uid="{00000000-0005-0000-0000-00000D840000}"/>
    <cellStyle name="Normal 50 3 2 6 2 2" xfId="21547" xr:uid="{00000000-0005-0000-0000-00000E840000}"/>
    <cellStyle name="Normal 50 3 2 6 3" xfId="21588" xr:uid="{00000000-0005-0000-0000-00000F840000}"/>
    <cellStyle name="Normal 50 3 2 7" xfId="36718" xr:uid="{00000000-0005-0000-0000-000010840000}"/>
    <cellStyle name="Normal 50 3 2 7 2" xfId="23770" xr:uid="{00000000-0005-0000-0000-000011840000}"/>
    <cellStyle name="Normal 50 3 2 8" xfId="36722" xr:uid="{00000000-0005-0000-0000-000012840000}"/>
    <cellStyle name="Normal 50 3 2 8 2" xfId="37064" xr:uid="{00000000-0005-0000-0000-000013840000}"/>
    <cellStyle name="Normal 50 3 2 9" xfId="37066" xr:uid="{00000000-0005-0000-0000-000014840000}"/>
    <cellStyle name="Normal 50 3 3" xfId="37071" xr:uid="{00000000-0005-0000-0000-000015840000}"/>
    <cellStyle name="Normal 50 3 3 2" xfId="13783" xr:uid="{00000000-0005-0000-0000-000016840000}"/>
    <cellStyle name="Normal 50 3 3 2 2" xfId="13788" xr:uid="{00000000-0005-0000-0000-000017840000}"/>
    <cellStyle name="Normal 50 3 3 2 2 2" xfId="13798" xr:uid="{00000000-0005-0000-0000-000018840000}"/>
    <cellStyle name="Normal 50 3 3 2 2 2 2" xfId="13858" xr:uid="{00000000-0005-0000-0000-000019840000}"/>
    <cellStyle name="Normal 50 3 3 2 2 2 2 2" xfId="13911" xr:uid="{00000000-0005-0000-0000-00001A840000}"/>
    <cellStyle name="Normal 50 3 3 2 2 2 3" xfId="16208" xr:uid="{00000000-0005-0000-0000-00001B840000}"/>
    <cellStyle name="Normal 50 3 3 2 2 3" xfId="16889" xr:uid="{00000000-0005-0000-0000-00001C840000}"/>
    <cellStyle name="Normal 50 3 3 2 2 3 2" xfId="11697" xr:uid="{00000000-0005-0000-0000-00001D840000}"/>
    <cellStyle name="Normal 50 3 3 2 2 4" xfId="10333" xr:uid="{00000000-0005-0000-0000-00001E840000}"/>
    <cellStyle name="Normal 50 3 3 2 2 5" xfId="19100" xr:uid="{00000000-0005-0000-0000-00001F840000}"/>
    <cellStyle name="Normal 50 3 3 2 3" xfId="16099" xr:uid="{00000000-0005-0000-0000-000020840000}"/>
    <cellStyle name="Normal 50 3 3 2 3 2" xfId="16109" xr:uid="{00000000-0005-0000-0000-000021840000}"/>
    <cellStyle name="Normal 50 3 3 2 3 2 2" xfId="17504" xr:uid="{00000000-0005-0000-0000-000022840000}"/>
    <cellStyle name="Normal 50 3 3 2 3 3" xfId="17852" xr:uid="{00000000-0005-0000-0000-000023840000}"/>
    <cellStyle name="Normal 50 3 3 2 4" xfId="16115" xr:uid="{00000000-0005-0000-0000-000024840000}"/>
    <cellStyle name="Normal 50 3 3 2 4 2" xfId="19129" xr:uid="{00000000-0005-0000-0000-000025840000}"/>
    <cellStyle name="Normal 50 3 3 2 4 2 2" xfId="19132" xr:uid="{00000000-0005-0000-0000-000026840000}"/>
    <cellStyle name="Normal 50 3 3 2 4 3" xfId="17925" xr:uid="{00000000-0005-0000-0000-000027840000}"/>
    <cellStyle name="Normal 50 3 3 2 5" xfId="19141" xr:uid="{00000000-0005-0000-0000-000028840000}"/>
    <cellStyle name="Normal 50 3 3 2 5 2" xfId="19149" xr:uid="{00000000-0005-0000-0000-000029840000}"/>
    <cellStyle name="Normal 50 3 3 2 6" xfId="3739" xr:uid="{00000000-0005-0000-0000-00002A840000}"/>
    <cellStyle name="Normal 50 3 3 2 6 2" xfId="3755" xr:uid="{00000000-0005-0000-0000-00002B840000}"/>
    <cellStyle name="Normal 50 3 3 2 7" xfId="3763" xr:uid="{00000000-0005-0000-0000-00002C840000}"/>
    <cellStyle name="Normal 50 3 3 2 8" xfId="3781" xr:uid="{00000000-0005-0000-0000-00002D840000}"/>
    <cellStyle name="Normal 50 3 3 3" xfId="18107" xr:uid="{00000000-0005-0000-0000-00002E840000}"/>
    <cellStyle name="Normal 50 3 3 3 2" xfId="18115" xr:uid="{00000000-0005-0000-0000-00002F840000}"/>
    <cellStyle name="Normal 50 3 3 3 2 2" xfId="18122" xr:uid="{00000000-0005-0000-0000-000030840000}"/>
    <cellStyle name="Normal 50 3 3 3 2 2 2" xfId="7319" xr:uid="{00000000-0005-0000-0000-000031840000}"/>
    <cellStyle name="Normal 50 3 3 3 2 3" xfId="5346" xr:uid="{00000000-0005-0000-0000-000032840000}"/>
    <cellStyle name="Normal 50 3 3 3 3" xfId="16127" xr:uid="{00000000-0005-0000-0000-000033840000}"/>
    <cellStyle name="Normal 50 3 3 3 3 2" xfId="49" xr:uid="{00000000-0005-0000-0000-000034840000}"/>
    <cellStyle name="Normal 50 3 3 3 4" xfId="16134" xr:uid="{00000000-0005-0000-0000-000035840000}"/>
    <cellStyle name="Normal 50 3 3 3 5" xfId="19192" xr:uid="{00000000-0005-0000-0000-000036840000}"/>
    <cellStyle name="Normal 50 3 3 4" xfId="13401" xr:uid="{00000000-0005-0000-0000-000037840000}"/>
    <cellStyle name="Normal 50 3 3 4 2" xfId="13417" xr:uid="{00000000-0005-0000-0000-000038840000}"/>
    <cellStyle name="Normal 50 3 3 4 2 2" xfId="13430" xr:uid="{00000000-0005-0000-0000-000039840000}"/>
    <cellStyle name="Normal 50 3 3 4 3" xfId="13442" xr:uid="{00000000-0005-0000-0000-00003A840000}"/>
    <cellStyle name="Normal 50 3 3 5" xfId="37073" xr:uid="{00000000-0005-0000-0000-00003B840000}"/>
    <cellStyle name="Normal 50 3 3 5 2" xfId="37075" xr:uid="{00000000-0005-0000-0000-00003C840000}"/>
    <cellStyle name="Normal 50 3 3 5 2 2" xfId="13148" xr:uid="{00000000-0005-0000-0000-00003D840000}"/>
    <cellStyle name="Normal 50 3 3 5 3" xfId="37077" xr:uid="{00000000-0005-0000-0000-00003E840000}"/>
    <cellStyle name="Normal 50 3 3 6" xfId="3087" xr:uid="{00000000-0005-0000-0000-00003F840000}"/>
    <cellStyle name="Normal 50 3 3 6 2" xfId="84" xr:uid="{00000000-0005-0000-0000-000040840000}"/>
    <cellStyle name="Normal 50 3 3 7" xfId="36728" xr:uid="{00000000-0005-0000-0000-000041840000}"/>
    <cellStyle name="Normal 50 3 3 7 2" xfId="20324" xr:uid="{00000000-0005-0000-0000-000042840000}"/>
    <cellStyle name="Normal 50 3 3 8" xfId="36732" xr:uid="{00000000-0005-0000-0000-000043840000}"/>
    <cellStyle name="Normal 50 3 3 9" xfId="8898" xr:uid="{00000000-0005-0000-0000-000044840000}"/>
    <cellStyle name="Normal 50 3 4" xfId="21490" xr:uid="{00000000-0005-0000-0000-000045840000}"/>
    <cellStyle name="Normal 50 3 4 2" xfId="37079" xr:uid="{00000000-0005-0000-0000-000046840000}"/>
    <cellStyle name="Normal 50 3 4 2 2" xfId="37081" xr:uid="{00000000-0005-0000-0000-000047840000}"/>
    <cellStyle name="Normal 50 3 4 2 2 2" xfId="33718" xr:uid="{00000000-0005-0000-0000-000048840000}"/>
    <cellStyle name="Normal 50 3 4 2 2 2 2" xfId="33724" xr:uid="{00000000-0005-0000-0000-000049840000}"/>
    <cellStyle name="Normal 50 3 4 2 2 2 2 2" xfId="37084" xr:uid="{00000000-0005-0000-0000-00004A840000}"/>
    <cellStyle name="Normal 50 3 4 2 2 2 3" xfId="37090" xr:uid="{00000000-0005-0000-0000-00004B840000}"/>
    <cellStyle name="Normal 50 3 4 2 2 3" xfId="33728" xr:uid="{00000000-0005-0000-0000-00004C840000}"/>
    <cellStyle name="Normal 50 3 4 2 2 3 2" xfId="37092" xr:uid="{00000000-0005-0000-0000-00004D840000}"/>
    <cellStyle name="Normal 50 3 4 2 2 4" xfId="18668" xr:uid="{00000000-0005-0000-0000-00004E840000}"/>
    <cellStyle name="Normal 50 3 4 2 3" xfId="15812" xr:uid="{00000000-0005-0000-0000-00004F840000}"/>
    <cellStyle name="Normal 50 3 4 2 3 2" xfId="37094" xr:uid="{00000000-0005-0000-0000-000050840000}"/>
    <cellStyle name="Normal 50 3 4 2 3 2 2" xfId="37098" xr:uid="{00000000-0005-0000-0000-000051840000}"/>
    <cellStyle name="Normal 50 3 4 2 3 3" xfId="37100" xr:uid="{00000000-0005-0000-0000-000052840000}"/>
    <cellStyle name="Normal 50 3 4 2 4" xfId="37102" xr:uid="{00000000-0005-0000-0000-000053840000}"/>
    <cellStyle name="Normal 50 3 4 2 4 2" xfId="37104" xr:uid="{00000000-0005-0000-0000-000054840000}"/>
    <cellStyle name="Normal 50 3 4 2 4 2 2" xfId="26407" xr:uid="{00000000-0005-0000-0000-000055840000}"/>
    <cellStyle name="Normal 50 3 4 2 4 3" xfId="37106" xr:uid="{00000000-0005-0000-0000-000056840000}"/>
    <cellStyle name="Normal 50 3 4 2 5" xfId="34707" xr:uid="{00000000-0005-0000-0000-000057840000}"/>
    <cellStyle name="Normal 50 3 4 2 5 2" xfId="26603" xr:uid="{00000000-0005-0000-0000-000058840000}"/>
    <cellStyle name="Normal 50 3 4 2 6" xfId="3812" xr:uid="{00000000-0005-0000-0000-000059840000}"/>
    <cellStyle name="Normal 50 3 4 2 6 2" xfId="23986" xr:uid="{00000000-0005-0000-0000-00005A840000}"/>
    <cellStyle name="Normal 50 3 4 2 7" xfId="23990" xr:uid="{00000000-0005-0000-0000-00005B840000}"/>
    <cellStyle name="Normal 50 3 4 2 8" xfId="25159" xr:uid="{00000000-0005-0000-0000-00005C840000}"/>
    <cellStyle name="Normal 50 3 4 3" xfId="37108" xr:uid="{00000000-0005-0000-0000-00005D840000}"/>
    <cellStyle name="Normal 50 3 4 3 2" xfId="37110" xr:uid="{00000000-0005-0000-0000-00005E840000}"/>
    <cellStyle name="Normal 50 3 4 3 2 2" xfId="37112" xr:uid="{00000000-0005-0000-0000-00005F840000}"/>
    <cellStyle name="Normal 50 3 4 3 2 2 2" xfId="21983" xr:uid="{00000000-0005-0000-0000-000060840000}"/>
    <cellStyle name="Normal 50 3 4 3 2 3" xfId="37114" xr:uid="{00000000-0005-0000-0000-000061840000}"/>
    <cellStyle name="Normal 50 3 4 3 3" xfId="15823" xr:uid="{00000000-0005-0000-0000-000062840000}"/>
    <cellStyle name="Normal 50 3 4 3 3 2" xfId="18533" xr:uid="{00000000-0005-0000-0000-000063840000}"/>
    <cellStyle name="Normal 50 3 4 3 4" xfId="37117" xr:uid="{00000000-0005-0000-0000-000064840000}"/>
    <cellStyle name="Normal 50 3 4 4" xfId="37119" xr:uid="{00000000-0005-0000-0000-000065840000}"/>
    <cellStyle name="Normal 50 3 4 4 2" xfId="37121" xr:uid="{00000000-0005-0000-0000-000066840000}"/>
    <cellStyle name="Normal 50 3 4 4 2 2" xfId="37123" xr:uid="{00000000-0005-0000-0000-000067840000}"/>
    <cellStyle name="Normal 50 3 4 4 3" xfId="37125" xr:uid="{00000000-0005-0000-0000-000068840000}"/>
    <cellStyle name="Normal 50 3 4 5" xfId="37127" xr:uid="{00000000-0005-0000-0000-000069840000}"/>
    <cellStyle name="Normal 50 3 4 5 2" xfId="37129" xr:uid="{00000000-0005-0000-0000-00006A840000}"/>
    <cellStyle name="Normal 50 3 4 5 2 2" xfId="25326" xr:uid="{00000000-0005-0000-0000-00006B840000}"/>
    <cellStyle name="Normal 50 3 4 5 3" xfId="3900" xr:uid="{00000000-0005-0000-0000-00006C840000}"/>
    <cellStyle name="Normal 50 3 4 6" xfId="37131" xr:uid="{00000000-0005-0000-0000-00006D840000}"/>
    <cellStyle name="Normal 50 3 4 6 2" xfId="23813" xr:uid="{00000000-0005-0000-0000-00006E840000}"/>
    <cellStyle name="Normal 50 3 4 7" xfId="34640" xr:uid="{00000000-0005-0000-0000-00006F840000}"/>
    <cellStyle name="Normal 50 3 4 7 2" xfId="26005" xr:uid="{00000000-0005-0000-0000-000070840000}"/>
    <cellStyle name="Normal 50 3 4 8" xfId="8952" xr:uid="{00000000-0005-0000-0000-000071840000}"/>
    <cellStyle name="Normal 50 3 4 9" xfId="17347" xr:uid="{00000000-0005-0000-0000-000072840000}"/>
    <cellStyle name="Normal 50 3 5" xfId="37133" xr:uid="{00000000-0005-0000-0000-000073840000}"/>
    <cellStyle name="Normal 50 3 5 2" xfId="37135" xr:uid="{00000000-0005-0000-0000-000074840000}"/>
    <cellStyle name="Normal 50 3 5 2 2" xfId="37137" xr:uid="{00000000-0005-0000-0000-000075840000}"/>
    <cellStyle name="Normal 50 3 5 2 2 2" xfId="37139" xr:uid="{00000000-0005-0000-0000-000076840000}"/>
    <cellStyle name="Normal 50 3 5 2 2 2 2" xfId="37142" xr:uid="{00000000-0005-0000-0000-000077840000}"/>
    <cellStyle name="Normal 50 3 5 2 2 2 2 2" xfId="37144" xr:uid="{00000000-0005-0000-0000-000078840000}"/>
    <cellStyle name="Normal 50 3 5 2 2 2 3" xfId="37147" xr:uid="{00000000-0005-0000-0000-000079840000}"/>
    <cellStyle name="Normal 50 3 5 2 2 3" xfId="37149" xr:uid="{00000000-0005-0000-0000-00007A840000}"/>
    <cellStyle name="Normal 50 3 5 2 2 3 2" xfId="37151" xr:uid="{00000000-0005-0000-0000-00007B840000}"/>
    <cellStyle name="Normal 50 3 5 2 2 4" xfId="18728" xr:uid="{00000000-0005-0000-0000-00007C840000}"/>
    <cellStyle name="Normal 50 3 5 2 3" xfId="37153" xr:uid="{00000000-0005-0000-0000-00007D840000}"/>
    <cellStyle name="Normal 50 3 5 2 3 2" xfId="37155" xr:uid="{00000000-0005-0000-0000-00007E840000}"/>
    <cellStyle name="Normal 50 3 5 2 3 2 2" xfId="7656" xr:uid="{00000000-0005-0000-0000-00007F840000}"/>
    <cellStyle name="Normal 50 3 5 2 3 3" xfId="37157" xr:uid="{00000000-0005-0000-0000-000080840000}"/>
    <cellStyle name="Normal 50 3 5 2 4" xfId="37159" xr:uid="{00000000-0005-0000-0000-000081840000}"/>
    <cellStyle name="Normal 50 3 5 2 4 2" xfId="10130" xr:uid="{00000000-0005-0000-0000-000082840000}"/>
    <cellStyle name="Normal 50 3 5 2 4 2 2" xfId="2716" xr:uid="{00000000-0005-0000-0000-000083840000}"/>
    <cellStyle name="Normal 50 3 5 2 4 3" xfId="10133" xr:uid="{00000000-0005-0000-0000-000084840000}"/>
    <cellStyle name="Normal 50 3 5 2 5" xfId="34711" xr:uid="{00000000-0005-0000-0000-000085840000}"/>
    <cellStyle name="Normal 50 3 5 2 5 2" xfId="26811" xr:uid="{00000000-0005-0000-0000-000086840000}"/>
    <cellStyle name="Normal 50 3 5 2 6" xfId="18908" xr:uid="{00000000-0005-0000-0000-000087840000}"/>
    <cellStyle name="Normal 50 3 5 2 6 2" xfId="24016" xr:uid="{00000000-0005-0000-0000-000088840000}"/>
    <cellStyle name="Normal 50 3 5 2 7" xfId="20677" xr:uid="{00000000-0005-0000-0000-000089840000}"/>
    <cellStyle name="Normal 50 3 5 2 8" xfId="25169" xr:uid="{00000000-0005-0000-0000-00008A840000}"/>
    <cellStyle name="Normal 50 3 5 3" xfId="29667" xr:uid="{00000000-0005-0000-0000-00008B840000}"/>
    <cellStyle name="Normal 50 3 5 3 2" xfId="37161" xr:uid="{00000000-0005-0000-0000-00008C840000}"/>
    <cellStyle name="Normal 50 3 5 3 2 2" xfId="13656" xr:uid="{00000000-0005-0000-0000-00008D840000}"/>
    <cellStyle name="Normal 50 3 5 3 2 2 2" xfId="13201" xr:uid="{00000000-0005-0000-0000-00008E840000}"/>
    <cellStyle name="Normal 50 3 5 3 2 3" xfId="13660" xr:uid="{00000000-0005-0000-0000-00008F840000}"/>
    <cellStyle name="Normal 50 3 5 3 3" xfId="37163" xr:uid="{00000000-0005-0000-0000-000090840000}"/>
    <cellStyle name="Normal 50 3 5 3 3 2" xfId="13665" xr:uid="{00000000-0005-0000-0000-000091840000}"/>
    <cellStyle name="Normal 50 3 5 3 4" xfId="37166" xr:uid="{00000000-0005-0000-0000-000092840000}"/>
    <cellStyle name="Normal 50 3 5 4" xfId="37169" xr:uid="{00000000-0005-0000-0000-000093840000}"/>
    <cellStyle name="Normal 50 3 5 4 2" xfId="37171" xr:uid="{00000000-0005-0000-0000-000094840000}"/>
    <cellStyle name="Normal 50 3 5 4 2 2" xfId="13712" xr:uid="{00000000-0005-0000-0000-000095840000}"/>
    <cellStyle name="Normal 50 3 5 4 3" xfId="37173" xr:uid="{00000000-0005-0000-0000-000096840000}"/>
    <cellStyle name="Normal 50 3 5 5" xfId="37175" xr:uid="{00000000-0005-0000-0000-000097840000}"/>
    <cellStyle name="Normal 50 3 5 5 2" xfId="37177" xr:uid="{00000000-0005-0000-0000-000098840000}"/>
    <cellStyle name="Normal 50 3 5 5 2 2" xfId="18041" xr:uid="{00000000-0005-0000-0000-000099840000}"/>
    <cellStyle name="Normal 50 3 5 5 3" xfId="20240" xr:uid="{00000000-0005-0000-0000-00009A840000}"/>
    <cellStyle name="Normal 50 3 5 6" xfId="37179" xr:uid="{00000000-0005-0000-0000-00009B840000}"/>
    <cellStyle name="Normal 50 3 5 6 2" xfId="23854" xr:uid="{00000000-0005-0000-0000-00009C840000}"/>
    <cellStyle name="Normal 50 3 5 7" xfId="34646" xr:uid="{00000000-0005-0000-0000-00009D840000}"/>
    <cellStyle name="Normal 50 3 5 7 2" xfId="37182" xr:uid="{00000000-0005-0000-0000-00009E840000}"/>
    <cellStyle name="Normal 50 3 5 8" xfId="37184" xr:uid="{00000000-0005-0000-0000-00009F840000}"/>
    <cellStyle name="Normal 50 3 5 9" xfId="8580" xr:uid="{00000000-0005-0000-0000-0000A0840000}"/>
    <cellStyle name="Normal 50 3 6" xfId="37186" xr:uid="{00000000-0005-0000-0000-0000A1840000}"/>
    <cellStyle name="Normal 50 3 6 2" xfId="37188" xr:uid="{00000000-0005-0000-0000-0000A2840000}"/>
    <cellStyle name="Normal 50 3 6 2 2" xfId="37190" xr:uid="{00000000-0005-0000-0000-0000A3840000}"/>
    <cellStyle name="Normal 50 3 6 2 2 2" xfId="18378" xr:uid="{00000000-0005-0000-0000-0000A4840000}"/>
    <cellStyle name="Normal 50 3 6 2 2 2 2" xfId="22572" xr:uid="{00000000-0005-0000-0000-0000A5840000}"/>
    <cellStyle name="Normal 50 3 6 2 2 3" xfId="25410" xr:uid="{00000000-0005-0000-0000-0000A6840000}"/>
    <cellStyle name="Normal 50 3 6 2 3" xfId="37192" xr:uid="{00000000-0005-0000-0000-0000A7840000}"/>
    <cellStyle name="Normal 50 3 6 2 3 2" xfId="25417" xr:uid="{00000000-0005-0000-0000-0000A8840000}"/>
    <cellStyle name="Normal 50 3 6 2 4" xfId="37194" xr:uid="{00000000-0005-0000-0000-0000A9840000}"/>
    <cellStyle name="Normal 50 3 6 3" xfId="37196" xr:uid="{00000000-0005-0000-0000-0000AA840000}"/>
    <cellStyle name="Normal 50 3 6 3 2" xfId="37198" xr:uid="{00000000-0005-0000-0000-0000AB840000}"/>
    <cellStyle name="Normal 50 3 6 3 2 2" xfId="25434" xr:uid="{00000000-0005-0000-0000-0000AC840000}"/>
    <cellStyle name="Normal 50 3 6 3 3" xfId="37200" xr:uid="{00000000-0005-0000-0000-0000AD840000}"/>
    <cellStyle name="Normal 50 3 6 4" xfId="37202" xr:uid="{00000000-0005-0000-0000-0000AE840000}"/>
    <cellStyle name="Normal 50 3 6 4 2" xfId="37204" xr:uid="{00000000-0005-0000-0000-0000AF840000}"/>
    <cellStyle name="Normal 50 3 6 4 2 2" xfId="37206" xr:uid="{00000000-0005-0000-0000-0000B0840000}"/>
    <cellStyle name="Normal 50 3 6 4 3" xfId="37208" xr:uid="{00000000-0005-0000-0000-0000B1840000}"/>
    <cellStyle name="Normal 50 3 6 5" xfId="37210" xr:uid="{00000000-0005-0000-0000-0000B2840000}"/>
    <cellStyle name="Normal 50 3 6 5 2" xfId="37212" xr:uid="{00000000-0005-0000-0000-0000B3840000}"/>
    <cellStyle name="Normal 50 3 6 6" xfId="37214" xr:uid="{00000000-0005-0000-0000-0000B4840000}"/>
    <cellStyle name="Normal 50 3 6 6 2" xfId="37216" xr:uid="{00000000-0005-0000-0000-0000B5840000}"/>
    <cellStyle name="Normal 50 3 6 7" xfId="37218" xr:uid="{00000000-0005-0000-0000-0000B6840000}"/>
    <cellStyle name="Normal 50 3 6 8" xfId="37220" xr:uid="{00000000-0005-0000-0000-0000B7840000}"/>
    <cellStyle name="Normal 50 3 7" xfId="37222" xr:uid="{00000000-0005-0000-0000-0000B8840000}"/>
    <cellStyle name="Normal 50 3 7 2" xfId="37224" xr:uid="{00000000-0005-0000-0000-0000B9840000}"/>
    <cellStyle name="Normal 50 3 7 2 2" xfId="9682" xr:uid="{00000000-0005-0000-0000-0000BA840000}"/>
    <cellStyle name="Normal 50 3 7 2 2 2" xfId="37226" xr:uid="{00000000-0005-0000-0000-0000BB840000}"/>
    <cellStyle name="Normal 50 3 7 2 3" xfId="37228" xr:uid="{00000000-0005-0000-0000-0000BC840000}"/>
    <cellStyle name="Normal 50 3 7 3" xfId="37230" xr:uid="{00000000-0005-0000-0000-0000BD840000}"/>
    <cellStyle name="Normal 50 3 7 3 2" xfId="9695" xr:uid="{00000000-0005-0000-0000-0000BE840000}"/>
    <cellStyle name="Normal 50 3 7 4" xfId="37232" xr:uid="{00000000-0005-0000-0000-0000BF840000}"/>
    <cellStyle name="Normal 50 3 8" xfId="15116" xr:uid="{00000000-0005-0000-0000-0000C0840000}"/>
    <cellStyle name="Normal 50 3 8 2" xfId="37234" xr:uid="{00000000-0005-0000-0000-0000C1840000}"/>
    <cellStyle name="Normal 50 3 8 2 2" xfId="37236" xr:uid="{00000000-0005-0000-0000-0000C2840000}"/>
    <cellStyle name="Normal 50 3 8 3" xfId="9195" xr:uid="{00000000-0005-0000-0000-0000C3840000}"/>
    <cellStyle name="Normal 50 3 9" xfId="37238" xr:uid="{00000000-0005-0000-0000-0000C4840000}"/>
    <cellStyle name="Normal 50 3 9 2" xfId="37240" xr:uid="{00000000-0005-0000-0000-0000C5840000}"/>
    <cellStyle name="Normal 50 3 9 2 2" xfId="37242" xr:uid="{00000000-0005-0000-0000-0000C6840000}"/>
    <cellStyle name="Normal 50 3 9 3" xfId="37244" xr:uid="{00000000-0005-0000-0000-0000C7840000}"/>
    <cellStyle name="Normal 50 4" xfId="37246" xr:uid="{00000000-0005-0000-0000-0000C8840000}"/>
    <cellStyle name="Normal 50 4 10" xfId="37250" xr:uid="{00000000-0005-0000-0000-0000C9840000}"/>
    <cellStyle name="Normal 50 4 2" xfId="23912" xr:uid="{00000000-0005-0000-0000-0000CA840000}"/>
    <cellStyle name="Normal 50 4 2 2" xfId="23916" xr:uid="{00000000-0005-0000-0000-0000CB840000}"/>
    <cellStyle name="Normal 50 4 2 2 2" xfId="1841" xr:uid="{00000000-0005-0000-0000-0000CC840000}"/>
    <cellStyle name="Normal 50 4 2 2 2 2" xfId="1858" xr:uid="{00000000-0005-0000-0000-0000CD840000}"/>
    <cellStyle name="Normal 50 4 2 2 2 2 2" xfId="1876" xr:uid="{00000000-0005-0000-0000-0000CE840000}"/>
    <cellStyle name="Normal 50 4 2 2 2 2 2 2" xfId="1898" xr:uid="{00000000-0005-0000-0000-0000CF840000}"/>
    <cellStyle name="Normal 50 4 2 2 2 2 3" xfId="1983" xr:uid="{00000000-0005-0000-0000-0000D0840000}"/>
    <cellStyle name="Normal 50 4 2 2 2 3" xfId="2127" xr:uid="{00000000-0005-0000-0000-0000D1840000}"/>
    <cellStyle name="Normal 50 4 2 2 2 3 2" xfId="2154" xr:uid="{00000000-0005-0000-0000-0000D2840000}"/>
    <cellStyle name="Normal 50 4 2 2 2 4" xfId="2203" xr:uid="{00000000-0005-0000-0000-0000D3840000}"/>
    <cellStyle name="Normal 50 4 2 2 3" xfId="2295" xr:uid="{00000000-0005-0000-0000-0000D4840000}"/>
    <cellStyle name="Normal 50 4 2 2 3 2" xfId="2322" xr:uid="{00000000-0005-0000-0000-0000D5840000}"/>
    <cellStyle name="Normal 50 4 2 2 3 2 2" xfId="2354" xr:uid="{00000000-0005-0000-0000-0000D6840000}"/>
    <cellStyle name="Normal 50 4 2 2 3 3" xfId="2667" xr:uid="{00000000-0005-0000-0000-0000D7840000}"/>
    <cellStyle name="Normal 50 4 2 2 4" xfId="2859" xr:uid="{00000000-0005-0000-0000-0000D8840000}"/>
    <cellStyle name="Normal 50 4 2 2 4 2" xfId="2912" xr:uid="{00000000-0005-0000-0000-0000D9840000}"/>
    <cellStyle name="Normal 50 4 2 2 4 2 2" xfId="2922" xr:uid="{00000000-0005-0000-0000-0000DA840000}"/>
    <cellStyle name="Normal 50 4 2 2 4 3" xfId="3028" xr:uid="{00000000-0005-0000-0000-0000DB840000}"/>
    <cellStyle name="Normal 50 4 2 2 5" xfId="3322" xr:uid="{00000000-0005-0000-0000-0000DC840000}"/>
    <cellStyle name="Normal 50 4 2 2 5 2" xfId="3327" xr:uid="{00000000-0005-0000-0000-0000DD840000}"/>
    <cellStyle name="Normal 50 4 2 2 6" xfId="3492" xr:uid="{00000000-0005-0000-0000-0000DE840000}"/>
    <cellStyle name="Normal 50 4 2 2 6 2" xfId="3508" xr:uid="{00000000-0005-0000-0000-0000DF840000}"/>
    <cellStyle name="Normal 50 4 2 2 7" xfId="3562" xr:uid="{00000000-0005-0000-0000-0000E0840000}"/>
    <cellStyle name="Normal 50 4 2 2 8" xfId="3592" xr:uid="{00000000-0005-0000-0000-0000E1840000}"/>
    <cellStyle name="Normal 50 4 2 3" xfId="25033" xr:uid="{00000000-0005-0000-0000-0000E2840000}"/>
    <cellStyle name="Normal 50 4 2 3 2" xfId="205" xr:uid="{00000000-0005-0000-0000-0000E3840000}"/>
    <cellStyle name="Normal 50 4 2 3 2 2" xfId="168" xr:uid="{00000000-0005-0000-0000-0000E4840000}"/>
    <cellStyle name="Normal 50 4 2 3 2 2 2" xfId="575" xr:uid="{00000000-0005-0000-0000-0000E5840000}"/>
    <cellStyle name="Normal 50 4 2 3 2 3" xfId="1127" xr:uid="{00000000-0005-0000-0000-0000E6840000}"/>
    <cellStyle name="Normal 50 4 2 3 3" xfId="1510" xr:uid="{00000000-0005-0000-0000-0000E7840000}"/>
    <cellStyle name="Normal 50 4 2 3 3 2" xfId="1525" xr:uid="{00000000-0005-0000-0000-0000E8840000}"/>
    <cellStyle name="Normal 50 4 2 3 4" xfId="322" xr:uid="{00000000-0005-0000-0000-0000E9840000}"/>
    <cellStyle name="Normal 50 4 2 4" xfId="37252" xr:uid="{00000000-0005-0000-0000-0000EA840000}"/>
    <cellStyle name="Normal 50 4 2 4 2" xfId="1846" xr:uid="{00000000-0005-0000-0000-0000EB840000}"/>
    <cellStyle name="Normal 50 4 2 4 2 2" xfId="1868" xr:uid="{00000000-0005-0000-0000-0000EC840000}"/>
    <cellStyle name="Normal 50 4 2 4 3" xfId="2116" xr:uid="{00000000-0005-0000-0000-0000ED840000}"/>
    <cellStyle name="Normal 50 4 2 5" xfId="37254" xr:uid="{00000000-0005-0000-0000-0000EE840000}"/>
    <cellStyle name="Normal 50 4 2 5 2" xfId="2298" xr:uid="{00000000-0005-0000-0000-0000EF840000}"/>
    <cellStyle name="Normal 50 4 2 5 2 2" xfId="2341" xr:uid="{00000000-0005-0000-0000-0000F0840000}"/>
    <cellStyle name="Normal 50 4 2 5 3" xfId="2646" xr:uid="{00000000-0005-0000-0000-0000F1840000}"/>
    <cellStyle name="Normal 50 4 2 6" xfId="37256" xr:uid="{00000000-0005-0000-0000-0000F2840000}"/>
    <cellStyle name="Normal 50 4 2 6 2" xfId="2883" xr:uid="{00000000-0005-0000-0000-0000F3840000}"/>
    <cellStyle name="Normal 50 4 2 7" xfId="36748" xr:uid="{00000000-0005-0000-0000-0000F4840000}"/>
    <cellStyle name="Normal 50 4 2 7 2" xfId="18914" xr:uid="{00000000-0005-0000-0000-0000F5840000}"/>
    <cellStyle name="Normal 50 4 2 8" xfId="37258" xr:uid="{00000000-0005-0000-0000-0000F6840000}"/>
    <cellStyle name="Normal 50 4 2 9" xfId="37260" xr:uid="{00000000-0005-0000-0000-0000F7840000}"/>
    <cellStyle name="Normal 50 4 3" xfId="23926" xr:uid="{00000000-0005-0000-0000-0000F8840000}"/>
    <cellStyle name="Normal 50 4 3 2" xfId="21571" xr:uid="{00000000-0005-0000-0000-0000F9840000}"/>
    <cellStyle name="Normal 50 4 3 2 2" xfId="4303" xr:uid="{00000000-0005-0000-0000-0000FA840000}"/>
    <cellStyle name="Normal 50 4 3 2 2 2" xfId="4318" xr:uid="{00000000-0005-0000-0000-0000FB840000}"/>
    <cellStyle name="Normal 50 4 3 2 2 2 2" xfId="735" xr:uid="{00000000-0005-0000-0000-0000FC840000}"/>
    <cellStyle name="Normal 50 4 3 2 2 3" xfId="4351" xr:uid="{00000000-0005-0000-0000-0000FD840000}"/>
    <cellStyle name="Normal 50 4 3 2 3" xfId="4399" xr:uid="{00000000-0005-0000-0000-0000FE840000}"/>
    <cellStyle name="Normal 50 4 3 2 3 2" xfId="4417" xr:uid="{00000000-0005-0000-0000-0000FF840000}"/>
    <cellStyle name="Normal 50 4 3 2 4" xfId="3272" xr:uid="{00000000-0005-0000-0000-000000850000}"/>
    <cellStyle name="Normal 50 4 3 3" xfId="21577" xr:uid="{00000000-0005-0000-0000-000001850000}"/>
    <cellStyle name="Normal 50 4 3 3 2" xfId="5097" xr:uid="{00000000-0005-0000-0000-000002850000}"/>
    <cellStyle name="Normal 50 4 3 3 2 2" xfId="5108" xr:uid="{00000000-0005-0000-0000-000003850000}"/>
    <cellStyle name="Normal 50 4 3 3 3" xfId="3225" xr:uid="{00000000-0005-0000-0000-000004850000}"/>
    <cellStyle name="Normal 50 4 3 4" xfId="21581" xr:uid="{00000000-0005-0000-0000-000005850000}"/>
    <cellStyle name="Normal 50 4 3 4 2" xfId="175" xr:uid="{00000000-0005-0000-0000-000006850000}"/>
    <cellStyle name="Normal 50 4 3 4 2 2" xfId="557" xr:uid="{00000000-0005-0000-0000-000007850000}"/>
    <cellStyle name="Normal 50 4 3 4 3" xfId="1134" xr:uid="{00000000-0005-0000-0000-000008850000}"/>
    <cellStyle name="Normal 50 4 3 5" xfId="21584" xr:uid="{00000000-0005-0000-0000-000009850000}"/>
    <cellStyle name="Normal 50 4 3 5 2" xfId="1529" xr:uid="{00000000-0005-0000-0000-00000A850000}"/>
    <cellStyle name="Normal 50 4 3 6" xfId="297" xr:uid="{00000000-0005-0000-0000-00000B850000}"/>
    <cellStyle name="Normal 50 4 3 6 2" xfId="1717" xr:uid="{00000000-0005-0000-0000-00000C850000}"/>
    <cellStyle name="Normal 50 4 3 7" xfId="37262" xr:uid="{00000000-0005-0000-0000-00000D850000}"/>
    <cellStyle name="Normal 50 4 3 8" xfId="37264" xr:uid="{00000000-0005-0000-0000-00000E850000}"/>
    <cellStyle name="Normal 50 4 4" xfId="25036" xr:uid="{00000000-0005-0000-0000-00000F850000}"/>
    <cellStyle name="Normal 50 4 4 2" xfId="21596" xr:uid="{00000000-0005-0000-0000-000010850000}"/>
    <cellStyle name="Normal 50 4 4 2 2" xfId="2418" xr:uid="{00000000-0005-0000-0000-000011850000}"/>
    <cellStyle name="Normal 50 4 4 2 2 2" xfId="5559" xr:uid="{00000000-0005-0000-0000-000012850000}"/>
    <cellStyle name="Normal 50 4 4 2 3" xfId="5769" xr:uid="{00000000-0005-0000-0000-000013850000}"/>
    <cellStyle name="Normal 50 4 4 3" xfId="21601" xr:uid="{00000000-0005-0000-0000-000014850000}"/>
    <cellStyle name="Normal 50 4 4 3 2" xfId="4691" xr:uid="{00000000-0005-0000-0000-000015850000}"/>
    <cellStyle name="Normal 50 4 4 4" xfId="21604" xr:uid="{00000000-0005-0000-0000-000016850000}"/>
    <cellStyle name="Normal 50 4 5" xfId="25042" xr:uid="{00000000-0005-0000-0000-000017850000}"/>
    <cellStyle name="Normal 50 4 5 2" xfId="21630" xr:uid="{00000000-0005-0000-0000-000018850000}"/>
    <cellStyle name="Normal 50 4 5 2 2" xfId="6782" xr:uid="{00000000-0005-0000-0000-000019850000}"/>
    <cellStyle name="Normal 50 4 5 3" xfId="21633" xr:uid="{00000000-0005-0000-0000-00001A850000}"/>
    <cellStyle name="Normal 50 4 6" xfId="37266" xr:uid="{00000000-0005-0000-0000-00001B850000}"/>
    <cellStyle name="Normal 50 4 6 2" xfId="37268" xr:uid="{00000000-0005-0000-0000-00001C850000}"/>
    <cellStyle name="Normal 50 4 6 2 2" xfId="7908" xr:uid="{00000000-0005-0000-0000-00001D850000}"/>
    <cellStyle name="Normal 50 4 6 3" xfId="37270" xr:uid="{00000000-0005-0000-0000-00001E850000}"/>
    <cellStyle name="Normal 50 4 7" xfId="37272" xr:uid="{00000000-0005-0000-0000-00001F850000}"/>
    <cellStyle name="Normal 50 4 7 2" xfId="37274" xr:uid="{00000000-0005-0000-0000-000020850000}"/>
    <cellStyle name="Normal 50 4 8" xfId="37276" xr:uid="{00000000-0005-0000-0000-000021850000}"/>
    <cellStyle name="Normal 50 4 8 2" xfId="37278" xr:uid="{00000000-0005-0000-0000-000022850000}"/>
    <cellStyle name="Normal 50 4 9" xfId="37280" xr:uid="{00000000-0005-0000-0000-000023850000}"/>
    <cellStyle name="Normal 50 5" xfId="23930" xr:uid="{00000000-0005-0000-0000-000024850000}"/>
    <cellStyle name="Normal 50 5 2" xfId="3639" xr:uid="{00000000-0005-0000-0000-000025850000}"/>
    <cellStyle name="Normal 50 5 2 2" xfId="18414" xr:uid="{00000000-0005-0000-0000-000026850000}"/>
    <cellStyle name="Normal 50 5 2 2 2" xfId="961" xr:uid="{00000000-0005-0000-0000-000027850000}"/>
    <cellStyle name="Normal 50 5 2 2 2 2" xfId="9732" xr:uid="{00000000-0005-0000-0000-000028850000}"/>
    <cellStyle name="Normal 50 5 2 2 2 2 2" xfId="37282" xr:uid="{00000000-0005-0000-0000-000029850000}"/>
    <cellStyle name="Normal 50 5 2 2 2 3" xfId="37284" xr:uid="{00000000-0005-0000-0000-00002A850000}"/>
    <cellStyle name="Normal 50 5 2 2 3" xfId="37286" xr:uid="{00000000-0005-0000-0000-00002B850000}"/>
    <cellStyle name="Normal 50 5 2 2 3 2" xfId="9739" xr:uid="{00000000-0005-0000-0000-00002C850000}"/>
    <cellStyle name="Normal 50 5 2 2 4" xfId="37288" xr:uid="{00000000-0005-0000-0000-00002D850000}"/>
    <cellStyle name="Normal 50 5 2 2 5" xfId="37290" xr:uid="{00000000-0005-0000-0000-00002E850000}"/>
    <cellStyle name="Normal 50 5 2 3" xfId="34179" xr:uid="{00000000-0005-0000-0000-00002F850000}"/>
    <cellStyle name="Normal 50 5 2 3 2" xfId="5714" xr:uid="{00000000-0005-0000-0000-000030850000}"/>
    <cellStyle name="Normal 50 5 2 3 2 2" xfId="9818" xr:uid="{00000000-0005-0000-0000-000031850000}"/>
    <cellStyle name="Normal 50 5 2 3 3" xfId="34181" xr:uid="{00000000-0005-0000-0000-000032850000}"/>
    <cellStyle name="Normal 50 5 2 4" xfId="34184" xr:uid="{00000000-0005-0000-0000-000033850000}"/>
    <cellStyle name="Normal 50 5 2 4 2" xfId="34188" xr:uid="{00000000-0005-0000-0000-000034850000}"/>
    <cellStyle name="Normal 50 5 2 4 2 2" xfId="37293" xr:uid="{00000000-0005-0000-0000-000035850000}"/>
    <cellStyle name="Normal 50 5 2 4 3" xfId="37296" xr:uid="{00000000-0005-0000-0000-000036850000}"/>
    <cellStyle name="Normal 50 5 2 5" xfId="34191" xr:uid="{00000000-0005-0000-0000-000037850000}"/>
    <cellStyle name="Normal 50 5 2 5 2" xfId="37298" xr:uid="{00000000-0005-0000-0000-000038850000}"/>
    <cellStyle name="Normal 50 5 2 6" xfId="37300" xr:uid="{00000000-0005-0000-0000-000039850000}"/>
    <cellStyle name="Normal 50 5 2 6 2" xfId="27823" xr:uid="{00000000-0005-0000-0000-00003A850000}"/>
    <cellStyle name="Normal 50 5 2 7" xfId="37302" xr:uid="{00000000-0005-0000-0000-00003B850000}"/>
    <cellStyle name="Normal 50 5 2 8" xfId="37304" xr:uid="{00000000-0005-0000-0000-00003C850000}"/>
    <cellStyle name="Normal 50 5 3" xfId="23938" xr:uid="{00000000-0005-0000-0000-00003D850000}"/>
    <cellStyle name="Normal 50 5 3 2" xfId="37309" xr:uid="{00000000-0005-0000-0000-00003E850000}"/>
    <cellStyle name="Normal 50 5 3 2 2" xfId="4188" xr:uid="{00000000-0005-0000-0000-00003F850000}"/>
    <cellStyle name="Normal 50 5 3 2 2 2" xfId="37311" xr:uid="{00000000-0005-0000-0000-000040850000}"/>
    <cellStyle name="Normal 50 5 3 2 3" xfId="37313" xr:uid="{00000000-0005-0000-0000-000041850000}"/>
    <cellStyle name="Normal 50 5 3 3" xfId="34198" xr:uid="{00000000-0005-0000-0000-000042850000}"/>
    <cellStyle name="Normal 50 5 3 3 2" xfId="4208" xr:uid="{00000000-0005-0000-0000-000043850000}"/>
    <cellStyle name="Normal 50 5 3 4" xfId="34203" xr:uid="{00000000-0005-0000-0000-000044850000}"/>
    <cellStyle name="Normal 50 5 3 5" xfId="37315" xr:uid="{00000000-0005-0000-0000-000045850000}"/>
    <cellStyle name="Normal 50 5 4" xfId="37317" xr:uid="{00000000-0005-0000-0000-000046850000}"/>
    <cellStyle name="Normal 50 5 4 2" xfId="37322" xr:uid="{00000000-0005-0000-0000-000047850000}"/>
    <cellStyle name="Normal 50 5 4 2 2" xfId="3891" xr:uid="{00000000-0005-0000-0000-000048850000}"/>
    <cellStyle name="Normal 50 5 4 3" xfId="34211" xr:uid="{00000000-0005-0000-0000-000049850000}"/>
    <cellStyle name="Normal 50 5 5" xfId="37324" xr:uid="{00000000-0005-0000-0000-00004A850000}"/>
    <cellStyle name="Normal 50 5 5 2" xfId="37326" xr:uid="{00000000-0005-0000-0000-00004B850000}"/>
    <cellStyle name="Normal 50 5 5 2 2" xfId="6150" xr:uid="{00000000-0005-0000-0000-00004C850000}"/>
    <cellStyle name="Normal 50 5 5 3" xfId="34218" xr:uid="{00000000-0005-0000-0000-00004D850000}"/>
    <cellStyle name="Normal 50 5 6" xfId="37328" xr:uid="{00000000-0005-0000-0000-00004E850000}"/>
    <cellStyle name="Normal 50 5 6 2" xfId="37330" xr:uid="{00000000-0005-0000-0000-00004F850000}"/>
    <cellStyle name="Normal 50 5 7" xfId="37332" xr:uid="{00000000-0005-0000-0000-000050850000}"/>
    <cellStyle name="Normal 50 5 7 2" xfId="37334" xr:uid="{00000000-0005-0000-0000-000051850000}"/>
    <cellStyle name="Normal 50 5 8" xfId="37336" xr:uid="{00000000-0005-0000-0000-000052850000}"/>
    <cellStyle name="Normal 50 5 9" xfId="37338" xr:uid="{00000000-0005-0000-0000-000053850000}"/>
    <cellStyle name="Normal 50 6" xfId="26075" xr:uid="{00000000-0005-0000-0000-000054850000}"/>
    <cellStyle name="Normal 50 6 2" xfId="26079" xr:uid="{00000000-0005-0000-0000-000055850000}"/>
    <cellStyle name="Normal 50 6 2 2" xfId="37341" xr:uid="{00000000-0005-0000-0000-000056850000}"/>
    <cellStyle name="Normal 50 6 2 2 2" xfId="37343" xr:uid="{00000000-0005-0000-0000-000057850000}"/>
    <cellStyle name="Normal 50 6 2 2 2 2" xfId="10499" xr:uid="{00000000-0005-0000-0000-000058850000}"/>
    <cellStyle name="Normal 50 6 2 2 2 2 2" xfId="10779" xr:uid="{00000000-0005-0000-0000-000059850000}"/>
    <cellStyle name="Normal 50 6 2 2 2 3" xfId="8399" xr:uid="{00000000-0005-0000-0000-00005A850000}"/>
    <cellStyle name="Normal 50 6 2 2 3" xfId="37345" xr:uid="{00000000-0005-0000-0000-00005B850000}"/>
    <cellStyle name="Normal 50 6 2 2 3 2" xfId="10518" xr:uid="{00000000-0005-0000-0000-00005C850000}"/>
    <cellStyle name="Normal 50 6 2 2 4" xfId="37347" xr:uid="{00000000-0005-0000-0000-00005D850000}"/>
    <cellStyle name="Normal 50 6 2 3" xfId="11223" xr:uid="{00000000-0005-0000-0000-00005E850000}"/>
    <cellStyle name="Normal 50 6 2 3 2" xfId="34264" xr:uid="{00000000-0005-0000-0000-00005F850000}"/>
    <cellStyle name="Normal 50 6 2 3 2 2" xfId="10583" xr:uid="{00000000-0005-0000-0000-000060850000}"/>
    <cellStyle name="Normal 50 6 2 3 3" xfId="37349" xr:uid="{00000000-0005-0000-0000-000061850000}"/>
    <cellStyle name="Normal 50 6 2 4" xfId="34268" xr:uid="{00000000-0005-0000-0000-000062850000}"/>
    <cellStyle name="Normal 50 6 2 4 2" xfId="37351" xr:uid="{00000000-0005-0000-0000-000063850000}"/>
    <cellStyle name="Normal 50 6 2 4 2 2" xfId="37353" xr:uid="{00000000-0005-0000-0000-000064850000}"/>
    <cellStyle name="Normal 50 6 2 4 3" xfId="37356" xr:uid="{00000000-0005-0000-0000-000065850000}"/>
    <cellStyle name="Normal 50 6 2 5" xfId="37358" xr:uid="{00000000-0005-0000-0000-000066850000}"/>
    <cellStyle name="Normal 50 6 2 5 2" xfId="36179" xr:uid="{00000000-0005-0000-0000-000067850000}"/>
    <cellStyle name="Normal 50 6 2 6" xfId="37360" xr:uid="{00000000-0005-0000-0000-000068850000}"/>
    <cellStyle name="Normal 50 6 2 6 2" xfId="12949" xr:uid="{00000000-0005-0000-0000-000069850000}"/>
    <cellStyle name="Normal 50 6 2 7" xfId="37362" xr:uid="{00000000-0005-0000-0000-00006A850000}"/>
    <cellStyle name="Normal 50 6 2 8" xfId="25589" xr:uid="{00000000-0005-0000-0000-00006B850000}"/>
    <cellStyle name="Normal 50 6 3" xfId="37366" xr:uid="{00000000-0005-0000-0000-00006C850000}"/>
    <cellStyle name="Normal 50 6 3 2" xfId="37368" xr:uid="{00000000-0005-0000-0000-00006D850000}"/>
    <cellStyle name="Normal 50 6 3 2 2" xfId="37372" xr:uid="{00000000-0005-0000-0000-00006E850000}"/>
    <cellStyle name="Normal 50 6 3 2 2 2" xfId="10854" xr:uid="{00000000-0005-0000-0000-00006F850000}"/>
    <cellStyle name="Normal 50 6 3 2 3" xfId="37374" xr:uid="{00000000-0005-0000-0000-000070850000}"/>
    <cellStyle name="Normal 50 6 3 3" xfId="4344" xr:uid="{00000000-0005-0000-0000-000071850000}"/>
    <cellStyle name="Normal 50 6 3 3 2" xfId="34272" xr:uid="{00000000-0005-0000-0000-000072850000}"/>
    <cellStyle name="Normal 50 6 3 4" xfId="34275" xr:uid="{00000000-0005-0000-0000-000073850000}"/>
    <cellStyle name="Normal 50 6 4" xfId="37376" xr:uid="{00000000-0005-0000-0000-000074850000}"/>
    <cellStyle name="Normal 50 6 4 2" xfId="37378" xr:uid="{00000000-0005-0000-0000-000075850000}"/>
    <cellStyle name="Normal 50 6 4 2 2" xfId="37380" xr:uid="{00000000-0005-0000-0000-000076850000}"/>
    <cellStyle name="Normal 50 6 4 3" xfId="11232" xr:uid="{00000000-0005-0000-0000-000077850000}"/>
    <cellStyle name="Normal 50 6 5" xfId="37382" xr:uid="{00000000-0005-0000-0000-000078850000}"/>
    <cellStyle name="Normal 50 6 5 2" xfId="37384" xr:uid="{00000000-0005-0000-0000-000079850000}"/>
    <cellStyle name="Normal 50 6 5 2 2" xfId="17622" xr:uid="{00000000-0005-0000-0000-00007A850000}"/>
    <cellStyle name="Normal 50 6 5 3" xfId="34278" xr:uid="{00000000-0005-0000-0000-00007B850000}"/>
    <cellStyle name="Normal 50 6 6" xfId="37386" xr:uid="{00000000-0005-0000-0000-00007C850000}"/>
    <cellStyle name="Normal 50 6 6 2" xfId="37388" xr:uid="{00000000-0005-0000-0000-00007D850000}"/>
    <cellStyle name="Normal 50 6 7" xfId="37390" xr:uid="{00000000-0005-0000-0000-00007E850000}"/>
    <cellStyle name="Normal 50 6 7 2" xfId="37392" xr:uid="{00000000-0005-0000-0000-00007F850000}"/>
    <cellStyle name="Normal 50 6 8" xfId="37394" xr:uid="{00000000-0005-0000-0000-000080850000}"/>
    <cellStyle name="Normal 50 6 9" xfId="28120" xr:uid="{00000000-0005-0000-0000-000081850000}"/>
    <cellStyle name="Normal 50 7" xfId="26086" xr:uid="{00000000-0005-0000-0000-000082850000}"/>
    <cellStyle name="Normal 50 7 2" xfId="36287" xr:uid="{00000000-0005-0000-0000-000083850000}"/>
    <cellStyle name="Normal 50 7 2 2" xfId="37397" xr:uid="{00000000-0005-0000-0000-000084850000}"/>
    <cellStyle name="Normal 50 7 2 2 2" xfId="34614" xr:uid="{00000000-0005-0000-0000-000085850000}"/>
    <cellStyle name="Normal 50 7 2 2 2 2" xfId="10224" xr:uid="{00000000-0005-0000-0000-000086850000}"/>
    <cellStyle name="Normal 50 7 2 2 2 2 2" xfId="27662" xr:uid="{00000000-0005-0000-0000-000087850000}"/>
    <cellStyle name="Normal 50 7 2 2 2 3" xfId="11418" xr:uid="{00000000-0005-0000-0000-000088850000}"/>
    <cellStyle name="Normal 50 7 2 2 3" xfId="34618" xr:uid="{00000000-0005-0000-0000-000089850000}"/>
    <cellStyle name="Normal 50 7 2 2 3 2" xfId="11106" xr:uid="{00000000-0005-0000-0000-00008A850000}"/>
    <cellStyle name="Normal 50 7 2 2 4" xfId="37399" xr:uid="{00000000-0005-0000-0000-00008B850000}"/>
    <cellStyle name="Normal 50 7 2 3" xfId="34291" xr:uid="{00000000-0005-0000-0000-00008C850000}"/>
    <cellStyle name="Normal 50 7 2 3 2" xfId="34294" xr:uid="{00000000-0005-0000-0000-00008D850000}"/>
    <cellStyle name="Normal 50 7 2 3 2 2" xfId="8099" xr:uid="{00000000-0005-0000-0000-00008E850000}"/>
    <cellStyle name="Normal 50 7 2 3 3" xfId="34241" xr:uid="{00000000-0005-0000-0000-00008F850000}"/>
    <cellStyle name="Normal 50 7 2 4" xfId="14899" xr:uid="{00000000-0005-0000-0000-000090850000}"/>
    <cellStyle name="Normal 50 7 2 4 2" xfId="34719" xr:uid="{00000000-0005-0000-0000-000091850000}"/>
    <cellStyle name="Normal 50 7 2 4 2 2" xfId="37402" xr:uid="{00000000-0005-0000-0000-000092850000}"/>
    <cellStyle name="Normal 50 7 2 4 3" xfId="37404" xr:uid="{00000000-0005-0000-0000-000093850000}"/>
    <cellStyle name="Normal 50 7 2 5" xfId="29464" xr:uid="{00000000-0005-0000-0000-000094850000}"/>
    <cellStyle name="Normal 50 7 2 5 2" xfId="37406" xr:uid="{00000000-0005-0000-0000-000095850000}"/>
    <cellStyle name="Normal 50 7 2 6" xfId="37408" xr:uid="{00000000-0005-0000-0000-000096850000}"/>
    <cellStyle name="Normal 50 7 2 6 2" xfId="28760" xr:uid="{00000000-0005-0000-0000-000097850000}"/>
    <cellStyle name="Normal 50 7 2 7" xfId="37410" xr:uid="{00000000-0005-0000-0000-000098850000}"/>
    <cellStyle name="Normal 50 7 2 8" xfId="37413" xr:uid="{00000000-0005-0000-0000-000099850000}"/>
    <cellStyle name="Normal 50 7 3" xfId="37418" xr:uid="{00000000-0005-0000-0000-00009A850000}"/>
    <cellStyle name="Normal 50 7 3 2" xfId="37420" xr:uid="{00000000-0005-0000-0000-00009B850000}"/>
    <cellStyle name="Normal 50 7 3 2 2" xfId="36091" xr:uid="{00000000-0005-0000-0000-00009C850000}"/>
    <cellStyle name="Normal 50 7 3 2 2 2" xfId="37422" xr:uid="{00000000-0005-0000-0000-00009D850000}"/>
    <cellStyle name="Normal 50 7 3 2 3" xfId="28070" xr:uid="{00000000-0005-0000-0000-00009E850000}"/>
    <cellStyle name="Normal 50 7 3 3" xfId="34298" xr:uid="{00000000-0005-0000-0000-00009F850000}"/>
    <cellStyle name="Normal 50 7 3 3 2" xfId="34301" xr:uid="{00000000-0005-0000-0000-0000A0850000}"/>
    <cellStyle name="Normal 50 7 3 4" xfId="12068" xr:uid="{00000000-0005-0000-0000-0000A1850000}"/>
    <cellStyle name="Normal 50 7 4" xfId="27132" xr:uid="{00000000-0005-0000-0000-0000A2850000}"/>
    <cellStyle name="Normal 50 7 4 2" xfId="37424" xr:uid="{00000000-0005-0000-0000-0000A3850000}"/>
    <cellStyle name="Normal 50 7 4 2 2" xfId="37428" xr:uid="{00000000-0005-0000-0000-0000A4850000}"/>
    <cellStyle name="Normal 50 7 4 3" xfId="34307" xr:uid="{00000000-0005-0000-0000-0000A5850000}"/>
    <cellStyle name="Normal 50 7 5" xfId="37430" xr:uid="{00000000-0005-0000-0000-0000A6850000}"/>
    <cellStyle name="Normal 50 7 5 2" xfId="37432" xr:uid="{00000000-0005-0000-0000-0000A7850000}"/>
    <cellStyle name="Normal 50 7 5 2 2" xfId="37436" xr:uid="{00000000-0005-0000-0000-0000A8850000}"/>
    <cellStyle name="Normal 50 7 5 3" xfId="33525" xr:uid="{00000000-0005-0000-0000-0000A9850000}"/>
    <cellStyle name="Normal 50 7 6" xfId="37438" xr:uid="{00000000-0005-0000-0000-0000AA850000}"/>
    <cellStyle name="Normal 50 7 6 2" xfId="37440" xr:uid="{00000000-0005-0000-0000-0000AB850000}"/>
    <cellStyle name="Normal 50 7 7" xfId="37442" xr:uid="{00000000-0005-0000-0000-0000AC850000}"/>
    <cellStyle name="Normal 50 7 7 2" xfId="37444" xr:uid="{00000000-0005-0000-0000-0000AD850000}"/>
    <cellStyle name="Normal 50 7 8" xfId="37426" xr:uid="{00000000-0005-0000-0000-0000AE850000}"/>
    <cellStyle name="Normal 50 7 9" xfId="28138" xr:uid="{00000000-0005-0000-0000-0000AF850000}"/>
    <cellStyle name="Normal 50 8" xfId="26097" xr:uid="{00000000-0005-0000-0000-0000B0850000}"/>
    <cellStyle name="Normal 50 8 2" xfId="37448" xr:uid="{00000000-0005-0000-0000-0000B1850000}"/>
    <cellStyle name="Normal 50 8 2 2" xfId="37450" xr:uid="{00000000-0005-0000-0000-0000B2850000}"/>
    <cellStyle name="Normal 50 8 2 2 2" xfId="37453" xr:uid="{00000000-0005-0000-0000-0000B3850000}"/>
    <cellStyle name="Normal 50 8 2 2 2 2" xfId="11039" xr:uid="{00000000-0005-0000-0000-0000B4850000}"/>
    <cellStyle name="Normal 50 8 2 2 3" xfId="16895" xr:uid="{00000000-0005-0000-0000-0000B5850000}"/>
    <cellStyle name="Normal 50 8 2 3" xfId="34340" xr:uid="{00000000-0005-0000-0000-0000B6850000}"/>
    <cellStyle name="Normal 50 8 2 3 2" xfId="34345" xr:uid="{00000000-0005-0000-0000-0000B7850000}"/>
    <cellStyle name="Normal 50 8 2 4" xfId="34347" xr:uid="{00000000-0005-0000-0000-0000B8850000}"/>
    <cellStyle name="Normal 50 8 3" xfId="37455" xr:uid="{00000000-0005-0000-0000-0000B9850000}"/>
    <cellStyle name="Normal 50 8 3 2" xfId="37457" xr:uid="{00000000-0005-0000-0000-0000BA850000}"/>
    <cellStyle name="Normal 50 8 3 2 2" xfId="37460" xr:uid="{00000000-0005-0000-0000-0000BB850000}"/>
    <cellStyle name="Normal 50 8 3 3" xfId="34352" xr:uid="{00000000-0005-0000-0000-0000BC850000}"/>
    <cellStyle name="Normal 50 8 4" xfId="30644" xr:uid="{00000000-0005-0000-0000-0000BD850000}"/>
    <cellStyle name="Normal 50 8 4 2" xfId="37462" xr:uid="{00000000-0005-0000-0000-0000BE850000}"/>
    <cellStyle name="Normal 50 8 4 2 2" xfId="37465" xr:uid="{00000000-0005-0000-0000-0000BF850000}"/>
    <cellStyle name="Normal 50 8 4 3" xfId="34358" xr:uid="{00000000-0005-0000-0000-0000C0850000}"/>
    <cellStyle name="Normal 50 8 5" xfId="37467" xr:uid="{00000000-0005-0000-0000-0000C1850000}"/>
    <cellStyle name="Normal 50 8 5 2" xfId="6586" xr:uid="{00000000-0005-0000-0000-0000C2850000}"/>
    <cellStyle name="Normal 50 8 6" xfId="37469" xr:uid="{00000000-0005-0000-0000-0000C3850000}"/>
    <cellStyle name="Normal 50 8 6 2" xfId="8260" xr:uid="{00000000-0005-0000-0000-0000C4850000}"/>
    <cellStyle name="Normal 50 8 7" xfId="37471" xr:uid="{00000000-0005-0000-0000-0000C5850000}"/>
    <cellStyle name="Normal 50 8 8" xfId="37473" xr:uid="{00000000-0005-0000-0000-0000C6850000}"/>
    <cellStyle name="Normal 50 9" xfId="24203" xr:uid="{00000000-0005-0000-0000-0000C7850000}"/>
    <cellStyle name="Normal 50 9 2" xfId="28328" xr:uid="{00000000-0005-0000-0000-0000C8850000}"/>
    <cellStyle name="Normal 50 9 2 2" xfId="2121" xr:uid="{00000000-0005-0000-0000-0000C9850000}"/>
    <cellStyle name="Normal 50 9 2 2 2" xfId="37476" xr:uid="{00000000-0005-0000-0000-0000CA850000}"/>
    <cellStyle name="Normal 50 9 2 3" xfId="2213" xr:uid="{00000000-0005-0000-0000-0000CB850000}"/>
    <cellStyle name="Normal 50 9 3" xfId="28330" xr:uid="{00000000-0005-0000-0000-0000CC850000}"/>
    <cellStyle name="Normal 50 9 3 2" xfId="2661" xr:uid="{00000000-0005-0000-0000-0000CD850000}"/>
    <cellStyle name="Normal 50 9 4" xfId="37478" xr:uid="{00000000-0005-0000-0000-0000CE850000}"/>
    <cellStyle name="Normal 51" xfId="11361" xr:uid="{00000000-0005-0000-0000-0000CF850000}"/>
    <cellStyle name="Normal 51 10" xfId="37480" xr:uid="{00000000-0005-0000-0000-0000D0850000}"/>
    <cellStyle name="Normal 51 10 2" xfId="14976" xr:uid="{00000000-0005-0000-0000-0000D1850000}"/>
    <cellStyle name="Normal 51 10 2 2" xfId="14982" xr:uid="{00000000-0005-0000-0000-0000D2850000}"/>
    <cellStyle name="Normal 51 10 3" xfId="14986" xr:uid="{00000000-0005-0000-0000-0000D3850000}"/>
    <cellStyle name="Normal 51 11" xfId="37482" xr:uid="{00000000-0005-0000-0000-0000D4850000}"/>
    <cellStyle name="Normal 51 11 2" xfId="14999" xr:uid="{00000000-0005-0000-0000-0000D5850000}"/>
    <cellStyle name="Normal 51 11 2 2" xfId="37484" xr:uid="{00000000-0005-0000-0000-0000D6850000}"/>
    <cellStyle name="Normal 51 11 3" xfId="37486" xr:uid="{00000000-0005-0000-0000-0000D7850000}"/>
    <cellStyle name="Normal 51 12" xfId="37488" xr:uid="{00000000-0005-0000-0000-0000D8850000}"/>
    <cellStyle name="Normal 51 12 2" xfId="15017" xr:uid="{00000000-0005-0000-0000-0000D9850000}"/>
    <cellStyle name="Normal 51 13" xfId="37490" xr:uid="{00000000-0005-0000-0000-0000DA850000}"/>
    <cellStyle name="Normal 51 13 2" xfId="37494" xr:uid="{00000000-0005-0000-0000-0000DB850000}"/>
    <cellStyle name="Normal 51 14" xfId="18210" xr:uid="{00000000-0005-0000-0000-0000DC850000}"/>
    <cellStyle name="Normal 51 14 2" xfId="37496" xr:uid="{00000000-0005-0000-0000-0000DD850000}"/>
    <cellStyle name="Normal 51 15" xfId="37498" xr:uid="{00000000-0005-0000-0000-0000DE850000}"/>
    <cellStyle name="Normal 51 16" xfId="37500" xr:uid="{00000000-0005-0000-0000-0000DF850000}"/>
    <cellStyle name="Normal 51 2" xfId="30245" xr:uid="{00000000-0005-0000-0000-0000E0850000}"/>
    <cellStyle name="Normal 51 2 10" xfId="37502" xr:uid="{00000000-0005-0000-0000-0000E1850000}"/>
    <cellStyle name="Normal 51 2 10 2" xfId="6936" xr:uid="{00000000-0005-0000-0000-0000E2850000}"/>
    <cellStyle name="Normal 51 2 11" xfId="37504" xr:uid="{00000000-0005-0000-0000-0000E3850000}"/>
    <cellStyle name="Normal 51 2 11 2" xfId="5952" xr:uid="{00000000-0005-0000-0000-0000E4850000}"/>
    <cellStyle name="Normal 51 2 12" xfId="37506" xr:uid="{00000000-0005-0000-0000-0000E5850000}"/>
    <cellStyle name="Normal 51 2 12 2" xfId="37508" xr:uid="{00000000-0005-0000-0000-0000E6850000}"/>
    <cellStyle name="Normal 51 2 13" xfId="37511" xr:uid="{00000000-0005-0000-0000-0000E7850000}"/>
    <cellStyle name="Normal 51 2 14" xfId="37514" xr:uid="{00000000-0005-0000-0000-0000E8850000}"/>
    <cellStyle name="Normal 51 2 2" xfId="37516" xr:uid="{00000000-0005-0000-0000-0000E9850000}"/>
    <cellStyle name="Normal 51 2 2 10" xfId="37519" xr:uid="{00000000-0005-0000-0000-0000EA850000}"/>
    <cellStyle name="Normal 51 2 2 2" xfId="20630" xr:uid="{00000000-0005-0000-0000-0000EB850000}"/>
    <cellStyle name="Normal 51 2 2 2 2" xfId="37522" xr:uid="{00000000-0005-0000-0000-0000EC850000}"/>
    <cellStyle name="Normal 51 2 2 2 2 2" xfId="37524" xr:uid="{00000000-0005-0000-0000-0000ED850000}"/>
    <cellStyle name="Normal 51 2 2 2 2 2 2" xfId="7123" xr:uid="{00000000-0005-0000-0000-0000EE850000}"/>
    <cellStyle name="Normal 51 2 2 2 2 2 2 2" xfId="37526" xr:uid="{00000000-0005-0000-0000-0000EF850000}"/>
    <cellStyle name="Normal 51 2 2 2 2 2 2 2 2" xfId="37529" xr:uid="{00000000-0005-0000-0000-0000F0850000}"/>
    <cellStyle name="Normal 51 2 2 2 2 2 2 3" xfId="37532" xr:uid="{00000000-0005-0000-0000-0000F1850000}"/>
    <cellStyle name="Normal 51 2 2 2 2 2 3" xfId="37534" xr:uid="{00000000-0005-0000-0000-0000F2850000}"/>
    <cellStyle name="Normal 51 2 2 2 2 2 3 2" xfId="37536" xr:uid="{00000000-0005-0000-0000-0000F3850000}"/>
    <cellStyle name="Normal 51 2 2 2 2 2 4" xfId="23502" xr:uid="{00000000-0005-0000-0000-0000F4850000}"/>
    <cellStyle name="Normal 51 2 2 2 2 3" xfId="37538" xr:uid="{00000000-0005-0000-0000-0000F5850000}"/>
    <cellStyle name="Normal 51 2 2 2 2 3 2" xfId="7154" xr:uid="{00000000-0005-0000-0000-0000F6850000}"/>
    <cellStyle name="Normal 51 2 2 2 2 3 2 2" xfId="20077" xr:uid="{00000000-0005-0000-0000-0000F7850000}"/>
    <cellStyle name="Normal 51 2 2 2 2 3 3" xfId="37541" xr:uid="{00000000-0005-0000-0000-0000F8850000}"/>
    <cellStyle name="Normal 51 2 2 2 2 4" xfId="37543" xr:uid="{00000000-0005-0000-0000-0000F9850000}"/>
    <cellStyle name="Normal 51 2 2 2 2 4 2" xfId="37545" xr:uid="{00000000-0005-0000-0000-0000FA850000}"/>
    <cellStyle name="Normal 51 2 2 2 2 4 2 2" xfId="37547" xr:uid="{00000000-0005-0000-0000-0000FB850000}"/>
    <cellStyle name="Normal 51 2 2 2 2 4 3" xfId="37549" xr:uid="{00000000-0005-0000-0000-0000FC850000}"/>
    <cellStyle name="Normal 51 2 2 2 2 5" xfId="37551" xr:uid="{00000000-0005-0000-0000-0000FD850000}"/>
    <cellStyle name="Normal 51 2 2 2 2 5 2" xfId="37553" xr:uid="{00000000-0005-0000-0000-0000FE850000}"/>
    <cellStyle name="Normal 51 2 2 2 2 6" xfId="37555" xr:uid="{00000000-0005-0000-0000-0000FF850000}"/>
    <cellStyle name="Normal 51 2 2 2 2 6 2" xfId="37557" xr:uid="{00000000-0005-0000-0000-000000860000}"/>
    <cellStyle name="Normal 51 2 2 2 2 7" xfId="37001" xr:uid="{00000000-0005-0000-0000-000001860000}"/>
    <cellStyle name="Normal 51 2 2 2 2 8" xfId="37559" xr:uid="{00000000-0005-0000-0000-000002860000}"/>
    <cellStyle name="Normal 51 2 2 2 3" xfId="37561" xr:uid="{00000000-0005-0000-0000-000003860000}"/>
    <cellStyle name="Normal 51 2 2 2 3 2" xfId="37563" xr:uid="{00000000-0005-0000-0000-000004860000}"/>
    <cellStyle name="Normal 51 2 2 2 3 2 2" xfId="43" xr:uid="{00000000-0005-0000-0000-000005860000}"/>
    <cellStyle name="Normal 51 2 2 2 3 2 2 2" xfId="7327" xr:uid="{00000000-0005-0000-0000-000006860000}"/>
    <cellStyle name="Normal 51 2 2 2 3 2 3" xfId="289" xr:uid="{00000000-0005-0000-0000-000007860000}"/>
    <cellStyle name="Normal 51 2 2 2 3 3" xfId="7344" xr:uid="{00000000-0005-0000-0000-000008860000}"/>
    <cellStyle name="Normal 51 2 2 2 3 3 2" xfId="7350" xr:uid="{00000000-0005-0000-0000-000009860000}"/>
    <cellStyle name="Normal 51 2 2 2 3 4" xfId="4870" xr:uid="{00000000-0005-0000-0000-00000A860000}"/>
    <cellStyle name="Normal 51 2 2 2 4" xfId="2843" xr:uid="{00000000-0005-0000-0000-00000B860000}"/>
    <cellStyle name="Normal 51 2 2 2 4 2" xfId="5000" xr:uid="{00000000-0005-0000-0000-00000C860000}"/>
    <cellStyle name="Normal 51 2 2 2 4 2 2" xfId="18570" xr:uid="{00000000-0005-0000-0000-00000D860000}"/>
    <cellStyle name="Normal 51 2 2 2 4 3" xfId="7476" xr:uid="{00000000-0005-0000-0000-00000E860000}"/>
    <cellStyle name="Normal 51 2 2 2 5" xfId="5008" xr:uid="{00000000-0005-0000-0000-00000F860000}"/>
    <cellStyle name="Normal 51 2 2 2 5 2" xfId="37565" xr:uid="{00000000-0005-0000-0000-000010860000}"/>
    <cellStyle name="Normal 51 2 2 2 5 2 2" xfId="13929" xr:uid="{00000000-0005-0000-0000-000011860000}"/>
    <cellStyle name="Normal 51 2 2 2 5 3" xfId="37567" xr:uid="{00000000-0005-0000-0000-000012860000}"/>
    <cellStyle name="Normal 51 2 2 2 6" xfId="5542" xr:uid="{00000000-0005-0000-0000-000013860000}"/>
    <cellStyle name="Normal 51 2 2 2 6 2" xfId="37569" xr:uid="{00000000-0005-0000-0000-000014860000}"/>
    <cellStyle name="Normal 51 2 2 2 7" xfId="37571" xr:uid="{00000000-0005-0000-0000-000015860000}"/>
    <cellStyle name="Normal 51 2 2 2 7 2" xfId="37573" xr:uid="{00000000-0005-0000-0000-000016860000}"/>
    <cellStyle name="Normal 51 2 2 2 8" xfId="25481" xr:uid="{00000000-0005-0000-0000-000017860000}"/>
    <cellStyle name="Normal 51 2 2 2 9" xfId="9692" xr:uid="{00000000-0005-0000-0000-000018860000}"/>
    <cellStyle name="Normal 51 2 2 3" xfId="37575" xr:uid="{00000000-0005-0000-0000-000019860000}"/>
    <cellStyle name="Normal 51 2 2 3 2" xfId="30093" xr:uid="{00000000-0005-0000-0000-00001A860000}"/>
    <cellStyle name="Normal 51 2 2 3 2 2" xfId="37577" xr:uid="{00000000-0005-0000-0000-00001B860000}"/>
    <cellStyle name="Normal 51 2 2 3 2 2 2" xfId="37579" xr:uid="{00000000-0005-0000-0000-00001C860000}"/>
    <cellStyle name="Normal 51 2 2 3 2 2 2 2" xfId="8999" xr:uid="{00000000-0005-0000-0000-00001D860000}"/>
    <cellStyle name="Normal 51 2 2 3 2 2 3" xfId="37581" xr:uid="{00000000-0005-0000-0000-00001E860000}"/>
    <cellStyle name="Normal 51 2 2 3 2 3" xfId="37583" xr:uid="{00000000-0005-0000-0000-00001F860000}"/>
    <cellStyle name="Normal 51 2 2 3 2 3 2" xfId="37585" xr:uid="{00000000-0005-0000-0000-000020860000}"/>
    <cellStyle name="Normal 51 2 2 3 2 4" xfId="37587" xr:uid="{00000000-0005-0000-0000-000021860000}"/>
    <cellStyle name="Normal 51 2 2 3 3" xfId="37589" xr:uid="{00000000-0005-0000-0000-000022860000}"/>
    <cellStyle name="Normal 51 2 2 3 3 2" xfId="37591" xr:uid="{00000000-0005-0000-0000-000023860000}"/>
    <cellStyle name="Normal 51 2 2 3 3 2 2" xfId="11904" xr:uid="{00000000-0005-0000-0000-000024860000}"/>
    <cellStyle name="Normal 51 2 2 3 3 3" xfId="10303" xr:uid="{00000000-0005-0000-0000-000025860000}"/>
    <cellStyle name="Normal 51 2 2 3 4" xfId="37593" xr:uid="{00000000-0005-0000-0000-000026860000}"/>
    <cellStyle name="Normal 51 2 2 3 4 2" xfId="37595" xr:uid="{00000000-0005-0000-0000-000027860000}"/>
    <cellStyle name="Normal 51 2 2 3 4 2 2" xfId="37597" xr:uid="{00000000-0005-0000-0000-000028860000}"/>
    <cellStyle name="Normal 51 2 2 3 4 3" xfId="37599" xr:uid="{00000000-0005-0000-0000-000029860000}"/>
    <cellStyle name="Normal 51 2 2 3 5" xfId="34005" xr:uid="{00000000-0005-0000-0000-00002A860000}"/>
    <cellStyle name="Normal 51 2 2 3 5 2" xfId="34009" xr:uid="{00000000-0005-0000-0000-00002B860000}"/>
    <cellStyle name="Normal 51 2 2 3 6" xfId="34013" xr:uid="{00000000-0005-0000-0000-00002C860000}"/>
    <cellStyle name="Normal 51 2 2 3 6 2" xfId="37601" xr:uid="{00000000-0005-0000-0000-00002D860000}"/>
    <cellStyle name="Normal 51 2 2 3 7" xfId="12596" xr:uid="{00000000-0005-0000-0000-00002E860000}"/>
    <cellStyle name="Normal 51 2 2 3 8" xfId="37603" xr:uid="{00000000-0005-0000-0000-00002F860000}"/>
    <cellStyle name="Normal 51 2 2 4" xfId="8496" xr:uid="{00000000-0005-0000-0000-000030860000}"/>
    <cellStyle name="Normal 51 2 2 4 2" xfId="8501" xr:uid="{00000000-0005-0000-0000-000031860000}"/>
    <cellStyle name="Normal 51 2 2 4 2 2" xfId="37605" xr:uid="{00000000-0005-0000-0000-000032860000}"/>
    <cellStyle name="Normal 51 2 2 4 2 2 2" xfId="18797" xr:uid="{00000000-0005-0000-0000-000033860000}"/>
    <cellStyle name="Normal 51 2 2 4 2 3" xfId="37607" xr:uid="{00000000-0005-0000-0000-000034860000}"/>
    <cellStyle name="Normal 51 2 2 4 3" xfId="14623" xr:uid="{00000000-0005-0000-0000-000035860000}"/>
    <cellStyle name="Normal 51 2 2 4 3 2" xfId="37609" xr:uid="{00000000-0005-0000-0000-000036860000}"/>
    <cellStyle name="Normal 51 2 2 4 4" xfId="37611" xr:uid="{00000000-0005-0000-0000-000037860000}"/>
    <cellStyle name="Normal 51 2 2 5" xfId="3130" xr:uid="{00000000-0005-0000-0000-000038860000}"/>
    <cellStyle name="Normal 51 2 2 5 2" xfId="37613" xr:uid="{00000000-0005-0000-0000-000039860000}"/>
    <cellStyle name="Normal 51 2 2 5 2 2" xfId="37615" xr:uid="{00000000-0005-0000-0000-00003A860000}"/>
    <cellStyle name="Normal 51 2 2 5 3" xfId="37617" xr:uid="{00000000-0005-0000-0000-00003B860000}"/>
    <cellStyle name="Normal 51 2 2 6" xfId="37619" xr:uid="{00000000-0005-0000-0000-00003C860000}"/>
    <cellStyle name="Normal 51 2 2 6 2" xfId="24763" xr:uid="{00000000-0005-0000-0000-00003D860000}"/>
    <cellStyle name="Normal 51 2 2 6 2 2" xfId="24766" xr:uid="{00000000-0005-0000-0000-00003E860000}"/>
    <cellStyle name="Normal 51 2 2 6 3" xfId="24771" xr:uid="{00000000-0005-0000-0000-00003F860000}"/>
    <cellStyle name="Normal 51 2 2 7" xfId="15696" xr:uid="{00000000-0005-0000-0000-000040860000}"/>
    <cellStyle name="Normal 51 2 2 7 2" xfId="15699" xr:uid="{00000000-0005-0000-0000-000041860000}"/>
    <cellStyle name="Normal 51 2 2 8" xfId="15703" xr:uid="{00000000-0005-0000-0000-000042860000}"/>
    <cellStyle name="Normal 51 2 2 8 2" xfId="10580" xr:uid="{00000000-0005-0000-0000-000043860000}"/>
    <cellStyle name="Normal 51 2 2 9" xfId="37621" xr:uid="{00000000-0005-0000-0000-000044860000}"/>
    <cellStyle name="Normal 51 2 3" xfId="37625" xr:uid="{00000000-0005-0000-0000-000045860000}"/>
    <cellStyle name="Normal 51 2 3 2" xfId="37631" xr:uid="{00000000-0005-0000-0000-000046860000}"/>
    <cellStyle name="Normal 51 2 3 2 2" xfId="37633" xr:uid="{00000000-0005-0000-0000-000047860000}"/>
    <cellStyle name="Normal 51 2 3 2 2 2" xfId="37635" xr:uid="{00000000-0005-0000-0000-000048860000}"/>
    <cellStyle name="Normal 51 2 3 2 2 2 2" xfId="4424" xr:uid="{00000000-0005-0000-0000-000049860000}"/>
    <cellStyle name="Normal 51 2 3 2 2 2 2 2" xfId="4455" xr:uid="{00000000-0005-0000-0000-00004A860000}"/>
    <cellStyle name="Normal 51 2 3 2 2 2 3" xfId="4556" xr:uid="{00000000-0005-0000-0000-00004B860000}"/>
    <cellStyle name="Normal 51 2 3 2 2 3" xfId="37637" xr:uid="{00000000-0005-0000-0000-00004C860000}"/>
    <cellStyle name="Normal 51 2 3 2 2 3 2" xfId="4677" xr:uid="{00000000-0005-0000-0000-00004D860000}"/>
    <cellStyle name="Normal 51 2 3 2 2 4" xfId="37518" xr:uid="{00000000-0005-0000-0000-00004E860000}"/>
    <cellStyle name="Normal 51 2 3 2 2 5" xfId="37639" xr:uid="{00000000-0005-0000-0000-00004F860000}"/>
    <cellStyle name="Normal 51 2 3 2 3" xfId="37641" xr:uid="{00000000-0005-0000-0000-000050860000}"/>
    <cellStyle name="Normal 51 2 3 2 3 2" xfId="37643" xr:uid="{00000000-0005-0000-0000-000051860000}"/>
    <cellStyle name="Normal 51 2 3 2 3 2 2" xfId="5135" xr:uid="{00000000-0005-0000-0000-000052860000}"/>
    <cellStyle name="Normal 51 2 3 2 3 3" xfId="5167" xr:uid="{00000000-0005-0000-0000-000053860000}"/>
    <cellStyle name="Normal 51 2 3 2 4" xfId="37645" xr:uid="{00000000-0005-0000-0000-000054860000}"/>
    <cellStyle name="Normal 51 2 3 2 4 2" xfId="1137" xr:uid="{00000000-0005-0000-0000-000055860000}"/>
    <cellStyle name="Normal 51 2 3 2 4 2 2" xfId="1166" xr:uid="{00000000-0005-0000-0000-000056860000}"/>
    <cellStyle name="Normal 51 2 3 2 4 3" xfId="1294" xr:uid="{00000000-0005-0000-0000-000057860000}"/>
    <cellStyle name="Normal 51 2 3 2 5" xfId="36108" xr:uid="{00000000-0005-0000-0000-000058860000}"/>
    <cellStyle name="Normal 51 2 3 2 5 2" xfId="16734" xr:uid="{00000000-0005-0000-0000-000059860000}"/>
    <cellStyle name="Normal 51 2 3 2 6" xfId="36112" xr:uid="{00000000-0005-0000-0000-00005A860000}"/>
    <cellStyle name="Normal 51 2 3 2 6 2" xfId="16745" xr:uid="{00000000-0005-0000-0000-00005B860000}"/>
    <cellStyle name="Normal 51 2 3 2 7" xfId="36116" xr:uid="{00000000-0005-0000-0000-00005C860000}"/>
    <cellStyle name="Normal 51 2 3 2 8" xfId="37647" xr:uid="{00000000-0005-0000-0000-00005D860000}"/>
    <cellStyle name="Normal 51 2 3 3" xfId="37649" xr:uid="{00000000-0005-0000-0000-00005E860000}"/>
    <cellStyle name="Normal 51 2 3 3 2" xfId="37651" xr:uid="{00000000-0005-0000-0000-00005F860000}"/>
    <cellStyle name="Normal 51 2 3 3 2 2" xfId="37653" xr:uid="{00000000-0005-0000-0000-000060860000}"/>
    <cellStyle name="Normal 51 2 3 3 2 2 2" xfId="13057" xr:uid="{00000000-0005-0000-0000-000061860000}"/>
    <cellStyle name="Normal 51 2 3 3 2 3" xfId="37655" xr:uid="{00000000-0005-0000-0000-000062860000}"/>
    <cellStyle name="Normal 51 2 3 3 3" xfId="37657" xr:uid="{00000000-0005-0000-0000-000063860000}"/>
    <cellStyle name="Normal 51 2 3 3 3 2" xfId="37659" xr:uid="{00000000-0005-0000-0000-000064860000}"/>
    <cellStyle name="Normal 51 2 3 3 4" xfId="37661" xr:uid="{00000000-0005-0000-0000-000065860000}"/>
    <cellStyle name="Normal 51 2 3 3 5" xfId="34024" xr:uid="{00000000-0005-0000-0000-000066860000}"/>
    <cellStyle name="Normal 51 2 3 4" xfId="7877" xr:uid="{00000000-0005-0000-0000-000067860000}"/>
    <cellStyle name="Normal 51 2 3 4 2" xfId="14736" xr:uid="{00000000-0005-0000-0000-000068860000}"/>
    <cellStyle name="Normal 51 2 3 4 2 2" xfId="37663" xr:uid="{00000000-0005-0000-0000-000069860000}"/>
    <cellStyle name="Normal 51 2 3 4 3" xfId="37665" xr:uid="{00000000-0005-0000-0000-00006A860000}"/>
    <cellStyle name="Normal 51 2 3 5" xfId="18229" xr:uid="{00000000-0005-0000-0000-00006B860000}"/>
    <cellStyle name="Normal 51 2 3 5 2" xfId="37667" xr:uid="{00000000-0005-0000-0000-00006C860000}"/>
    <cellStyle name="Normal 51 2 3 5 2 2" xfId="37669" xr:uid="{00000000-0005-0000-0000-00006D860000}"/>
    <cellStyle name="Normal 51 2 3 5 3" xfId="37671" xr:uid="{00000000-0005-0000-0000-00006E860000}"/>
    <cellStyle name="Normal 51 2 3 6" xfId="3250" xr:uid="{00000000-0005-0000-0000-00006F860000}"/>
    <cellStyle name="Normal 51 2 3 6 2" xfId="24835" xr:uid="{00000000-0005-0000-0000-000070860000}"/>
    <cellStyle name="Normal 51 2 3 7" xfId="15709" xr:uid="{00000000-0005-0000-0000-000071860000}"/>
    <cellStyle name="Normal 51 2 3 7 2" xfId="37673" xr:uid="{00000000-0005-0000-0000-000072860000}"/>
    <cellStyle name="Normal 51 2 3 8" xfId="37675" xr:uid="{00000000-0005-0000-0000-000073860000}"/>
    <cellStyle name="Normal 51 2 3 9" xfId="26609" xr:uid="{00000000-0005-0000-0000-000074860000}"/>
    <cellStyle name="Normal 51 2 4" xfId="37679" xr:uid="{00000000-0005-0000-0000-000075860000}"/>
    <cellStyle name="Normal 51 2 4 2" xfId="37681" xr:uid="{00000000-0005-0000-0000-000076860000}"/>
    <cellStyle name="Normal 51 2 4 2 2" xfId="37683" xr:uid="{00000000-0005-0000-0000-000077860000}"/>
    <cellStyle name="Normal 51 2 4 2 2 2" xfId="26569" xr:uid="{00000000-0005-0000-0000-000078860000}"/>
    <cellStyle name="Normal 51 2 4 2 2 2 2" xfId="7979" xr:uid="{00000000-0005-0000-0000-000079860000}"/>
    <cellStyle name="Normal 51 2 4 2 2 2 2 2" xfId="8710" xr:uid="{00000000-0005-0000-0000-00007A860000}"/>
    <cellStyle name="Normal 51 2 4 2 2 2 3" xfId="8779" xr:uid="{00000000-0005-0000-0000-00007B860000}"/>
    <cellStyle name="Normal 51 2 4 2 2 3" xfId="26574" xr:uid="{00000000-0005-0000-0000-00007C860000}"/>
    <cellStyle name="Normal 51 2 4 2 2 3 2" xfId="8790" xr:uid="{00000000-0005-0000-0000-00007D860000}"/>
    <cellStyle name="Normal 51 2 4 2 2 4" xfId="34809" xr:uid="{00000000-0005-0000-0000-00007E860000}"/>
    <cellStyle name="Normal 51 2 4 2 3" xfId="15924" xr:uid="{00000000-0005-0000-0000-00007F860000}"/>
    <cellStyle name="Normal 51 2 4 2 3 2" xfId="37685" xr:uid="{00000000-0005-0000-0000-000080860000}"/>
    <cellStyle name="Normal 51 2 4 2 3 2 2" xfId="8817" xr:uid="{00000000-0005-0000-0000-000081860000}"/>
    <cellStyle name="Normal 51 2 4 2 3 3" xfId="37687" xr:uid="{00000000-0005-0000-0000-000082860000}"/>
    <cellStyle name="Normal 51 2 4 2 4" xfId="37689" xr:uid="{00000000-0005-0000-0000-000083860000}"/>
    <cellStyle name="Normal 51 2 4 2 4 2" xfId="8901" xr:uid="{00000000-0005-0000-0000-000084860000}"/>
    <cellStyle name="Normal 51 2 4 2 4 2 2" xfId="8909" xr:uid="{00000000-0005-0000-0000-000085860000}"/>
    <cellStyle name="Normal 51 2 4 2 4 3" xfId="8921" xr:uid="{00000000-0005-0000-0000-000086860000}"/>
    <cellStyle name="Normal 51 2 4 2 5" xfId="36131" xr:uid="{00000000-0005-0000-0000-000087860000}"/>
    <cellStyle name="Normal 51 2 4 2 5 2" xfId="17350" xr:uid="{00000000-0005-0000-0000-000088860000}"/>
    <cellStyle name="Normal 51 2 4 2 6" xfId="27735" xr:uid="{00000000-0005-0000-0000-000089860000}"/>
    <cellStyle name="Normal 51 2 4 2 6 2" xfId="8583" xr:uid="{00000000-0005-0000-0000-00008A860000}"/>
    <cellStyle name="Normal 51 2 4 2 7" xfId="27740" xr:uid="{00000000-0005-0000-0000-00008B860000}"/>
    <cellStyle name="Normal 51 2 4 2 8" xfId="37691" xr:uid="{00000000-0005-0000-0000-00008C860000}"/>
    <cellStyle name="Normal 51 2 4 3" xfId="37693" xr:uid="{00000000-0005-0000-0000-00008D860000}"/>
    <cellStyle name="Normal 51 2 4 3 2" xfId="37695" xr:uid="{00000000-0005-0000-0000-00008E860000}"/>
    <cellStyle name="Normal 51 2 4 3 2 2" xfId="34782" xr:uid="{00000000-0005-0000-0000-00008F860000}"/>
    <cellStyle name="Normal 51 2 4 3 2 2 2" xfId="17865" xr:uid="{00000000-0005-0000-0000-000090860000}"/>
    <cellStyle name="Normal 51 2 4 3 2 3" xfId="34786" xr:uid="{00000000-0005-0000-0000-000091860000}"/>
    <cellStyle name="Normal 51 2 4 3 3" xfId="37697" xr:uid="{00000000-0005-0000-0000-000092860000}"/>
    <cellStyle name="Normal 51 2 4 3 3 2" xfId="37699" xr:uid="{00000000-0005-0000-0000-000093860000}"/>
    <cellStyle name="Normal 51 2 4 3 4" xfId="37701" xr:uid="{00000000-0005-0000-0000-000094860000}"/>
    <cellStyle name="Normal 51 2 4 4" xfId="8002" xr:uid="{00000000-0005-0000-0000-000095860000}"/>
    <cellStyle name="Normal 51 2 4 4 2" xfId="9756" xr:uid="{00000000-0005-0000-0000-000096860000}"/>
    <cellStyle name="Normal 51 2 4 4 2 2" xfId="37703" xr:uid="{00000000-0005-0000-0000-000097860000}"/>
    <cellStyle name="Normal 51 2 4 4 3" xfId="37705" xr:uid="{00000000-0005-0000-0000-000098860000}"/>
    <cellStyle name="Normal 51 2 4 5" xfId="17404" xr:uid="{00000000-0005-0000-0000-000099860000}"/>
    <cellStyle name="Normal 51 2 4 5 2" xfId="37707" xr:uid="{00000000-0005-0000-0000-00009A860000}"/>
    <cellStyle name="Normal 51 2 4 5 2 2" xfId="37709" xr:uid="{00000000-0005-0000-0000-00009B860000}"/>
    <cellStyle name="Normal 51 2 4 5 3" xfId="37711" xr:uid="{00000000-0005-0000-0000-00009C860000}"/>
    <cellStyle name="Normal 51 2 4 6" xfId="37713" xr:uid="{00000000-0005-0000-0000-00009D860000}"/>
    <cellStyle name="Normal 51 2 4 6 2" xfId="24854" xr:uid="{00000000-0005-0000-0000-00009E860000}"/>
    <cellStyle name="Normal 51 2 4 7" xfId="37715" xr:uid="{00000000-0005-0000-0000-00009F860000}"/>
    <cellStyle name="Normal 51 2 4 7 2" xfId="37718" xr:uid="{00000000-0005-0000-0000-0000A0860000}"/>
    <cellStyle name="Normal 51 2 4 8" xfId="37720" xr:uid="{00000000-0005-0000-0000-0000A1860000}"/>
    <cellStyle name="Normal 51 2 4 9" xfId="26616" xr:uid="{00000000-0005-0000-0000-0000A2860000}"/>
    <cellStyle name="Normal 51 2 5" xfId="37722" xr:uid="{00000000-0005-0000-0000-0000A3860000}"/>
    <cellStyle name="Normal 51 2 5 2" xfId="37724" xr:uid="{00000000-0005-0000-0000-0000A4860000}"/>
    <cellStyle name="Normal 51 2 5 2 2" xfId="37726" xr:uid="{00000000-0005-0000-0000-0000A5860000}"/>
    <cellStyle name="Normal 51 2 5 2 2 2" xfId="37728" xr:uid="{00000000-0005-0000-0000-0000A6860000}"/>
    <cellStyle name="Normal 51 2 5 2 2 2 2" xfId="37730" xr:uid="{00000000-0005-0000-0000-0000A7860000}"/>
    <cellStyle name="Normal 51 2 5 2 2 2 2 2" xfId="16404" xr:uid="{00000000-0005-0000-0000-0000A8860000}"/>
    <cellStyle name="Normal 51 2 5 2 2 2 3" xfId="21996" xr:uid="{00000000-0005-0000-0000-0000A9860000}"/>
    <cellStyle name="Normal 51 2 5 2 2 3" xfId="37732" xr:uid="{00000000-0005-0000-0000-0000AA860000}"/>
    <cellStyle name="Normal 51 2 5 2 2 3 2" xfId="37734" xr:uid="{00000000-0005-0000-0000-0000AB860000}"/>
    <cellStyle name="Normal 51 2 5 2 2 4" xfId="37736" xr:uid="{00000000-0005-0000-0000-0000AC860000}"/>
    <cellStyle name="Normal 51 2 5 2 3" xfId="37738" xr:uid="{00000000-0005-0000-0000-0000AD860000}"/>
    <cellStyle name="Normal 51 2 5 2 3 2" xfId="37740" xr:uid="{00000000-0005-0000-0000-0000AE860000}"/>
    <cellStyle name="Normal 51 2 5 2 3 2 2" xfId="37742" xr:uid="{00000000-0005-0000-0000-0000AF860000}"/>
    <cellStyle name="Normal 51 2 5 2 3 3" xfId="37744" xr:uid="{00000000-0005-0000-0000-0000B0860000}"/>
    <cellStyle name="Normal 51 2 5 2 4" xfId="37746" xr:uid="{00000000-0005-0000-0000-0000B1860000}"/>
    <cellStyle name="Normal 51 2 5 2 4 2" xfId="37748" xr:uid="{00000000-0005-0000-0000-0000B2860000}"/>
    <cellStyle name="Normal 51 2 5 2 4 2 2" xfId="26886" xr:uid="{00000000-0005-0000-0000-0000B3860000}"/>
    <cellStyle name="Normal 51 2 5 2 4 3" xfId="37750" xr:uid="{00000000-0005-0000-0000-0000B4860000}"/>
    <cellStyle name="Normal 51 2 5 2 5" xfId="36137" xr:uid="{00000000-0005-0000-0000-0000B5860000}"/>
    <cellStyle name="Normal 51 2 5 2 5 2" xfId="37752" xr:uid="{00000000-0005-0000-0000-0000B6860000}"/>
    <cellStyle name="Normal 51 2 5 2 6" xfId="27766" xr:uid="{00000000-0005-0000-0000-0000B7860000}"/>
    <cellStyle name="Normal 51 2 5 2 6 2" xfId="37754" xr:uid="{00000000-0005-0000-0000-0000B8860000}"/>
    <cellStyle name="Normal 51 2 5 2 7" xfId="37756" xr:uid="{00000000-0005-0000-0000-0000B9860000}"/>
    <cellStyle name="Normal 51 2 5 2 8" xfId="37758" xr:uid="{00000000-0005-0000-0000-0000BA860000}"/>
    <cellStyle name="Normal 51 2 5 3" xfId="37760" xr:uid="{00000000-0005-0000-0000-0000BB860000}"/>
    <cellStyle name="Normal 51 2 5 3 2" xfId="37762" xr:uid="{00000000-0005-0000-0000-0000BC860000}"/>
    <cellStyle name="Normal 51 2 5 3 2 2" xfId="37764" xr:uid="{00000000-0005-0000-0000-0000BD860000}"/>
    <cellStyle name="Normal 51 2 5 3 2 2 2" xfId="37766" xr:uid="{00000000-0005-0000-0000-0000BE860000}"/>
    <cellStyle name="Normal 51 2 5 3 2 3" xfId="37768" xr:uid="{00000000-0005-0000-0000-0000BF860000}"/>
    <cellStyle name="Normal 51 2 5 3 3" xfId="37770" xr:uid="{00000000-0005-0000-0000-0000C0860000}"/>
    <cellStyle name="Normal 51 2 5 3 3 2" xfId="37772" xr:uid="{00000000-0005-0000-0000-0000C1860000}"/>
    <cellStyle name="Normal 51 2 5 3 4" xfId="37774" xr:uid="{00000000-0005-0000-0000-0000C2860000}"/>
    <cellStyle name="Normal 51 2 5 4" xfId="18234" xr:uid="{00000000-0005-0000-0000-0000C3860000}"/>
    <cellStyle name="Normal 51 2 5 4 2" xfId="4433" xr:uid="{00000000-0005-0000-0000-0000C4860000}"/>
    <cellStyle name="Normal 51 2 5 4 2 2" xfId="37776" xr:uid="{00000000-0005-0000-0000-0000C5860000}"/>
    <cellStyle name="Normal 51 2 5 4 3" xfId="37778" xr:uid="{00000000-0005-0000-0000-0000C6860000}"/>
    <cellStyle name="Normal 51 2 5 5" xfId="18238" xr:uid="{00000000-0005-0000-0000-0000C7860000}"/>
    <cellStyle name="Normal 51 2 5 5 2" xfId="37780" xr:uid="{00000000-0005-0000-0000-0000C8860000}"/>
    <cellStyle name="Normal 51 2 5 5 2 2" xfId="37782" xr:uid="{00000000-0005-0000-0000-0000C9860000}"/>
    <cellStyle name="Normal 51 2 5 5 3" xfId="37784" xr:uid="{00000000-0005-0000-0000-0000CA860000}"/>
    <cellStyle name="Normal 51 2 5 6" xfId="37786" xr:uid="{00000000-0005-0000-0000-0000CB860000}"/>
    <cellStyle name="Normal 51 2 5 6 2" xfId="24881" xr:uid="{00000000-0005-0000-0000-0000CC860000}"/>
    <cellStyle name="Normal 51 2 5 7" xfId="37788" xr:uid="{00000000-0005-0000-0000-0000CD860000}"/>
    <cellStyle name="Normal 51 2 5 7 2" xfId="37790" xr:uid="{00000000-0005-0000-0000-0000CE860000}"/>
    <cellStyle name="Normal 51 2 5 8" xfId="37792" xr:uid="{00000000-0005-0000-0000-0000CF860000}"/>
    <cellStyle name="Normal 51 2 5 9" xfId="4978" xr:uid="{00000000-0005-0000-0000-0000D0860000}"/>
    <cellStyle name="Normal 51 2 6" xfId="37794" xr:uid="{00000000-0005-0000-0000-0000D1860000}"/>
    <cellStyle name="Normal 51 2 6 2" xfId="37796" xr:uid="{00000000-0005-0000-0000-0000D2860000}"/>
    <cellStyle name="Normal 51 2 6 2 2" xfId="37798" xr:uid="{00000000-0005-0000-0000-0000D3860000}"/>
    <cellStyle name="Normal 51 2 6 2 2 2" xfId="36389" xr:uid="{00000000-0005-0000-0000-0000D4860000}"/>
    <cellStyle name="Normal 51 2 6 2 2 2 2" xfId="36392" xr:uid="{00000000-0005-0000-0000-0000D5860000}"/>
    <cellStyle name="Normal 51 2 6 2 2 3" xfId="36396" xr:uid="{00000000-0005-0000-0000-0000D6860000}"/>
    <cellStyle name="Normal 51 2 6 2 3" xfId="37800" xr:uid="{00000000-0005-0000-0000-0000D7860000}"/>
    <cellStyle name="Normal 51 2 6 2 3 2" xfId="36402" xr:uid="{00000000-0005-0000-0000-0000D8860000}"/>
    <cellStyle name="Normal 51 2 6 2 4" xfId="37802" xr:uid="{00000000-0005-0000-0000-0000D9860000}"/>
    <cellStyle name="Normal 51 2 6 3" xfId="37804" xr:uid="{00000000-0005-0000-0000-0000DA860000}"/>
    <cellStyle name="Normal 51 2 6 3 2" xfId="37806" xr:uid="{00000000-0005-0000-0000-0000DB860000}"/>
    <cellStyle name="Normal 51 2 6 3 2 2" xfId="36424" xr:uid="{00000000-0005-0000-0000-0000DC860000}"/>
    <cellStyle name="Normal 51 2 6 3 3" xfId="37808" xr:uid="{00000000-0005-0000-0000-0000DD860000}"/>
    <cellStyle name="Normal 51 2 6 4" xfId="3234" xr:uid="{00000000-0005-0000-0000-0000DE860000}"/>
    <cellStyle name="Normal 51 2 6 4 2" xfId="5140" xr:uid="{00000000-0005-0000-0000-0000DF860000}"/>
    <cellStyle name="Normal 51 2 6 4 2 2" xfId="37810" xr:uid="{00000000-0005-0000-0000-0000E0860000}"/>
    <cellStyle name="Normal 51 2 6 4 3" xfId="37812" xr:uid="{00000000-0005-0000-0000-0000E1860000}"/>
    <cellStyle name="Normal 51 2 6 5" xfId="18242" xr:uid="{00000000-0005-0000-0000-0000E2860000}"/>
    <cellStyle name="Normal 51 2 6 5 2" xfId="37814" xr:uid="{00000000-0005-0000-0000-0000E3860000}"/>
    <cellStyle name="Normal 51 2 6 6" xfId="37816" xr:uid="{00000000-0005-0000-0000-0000E4860000}"/>
    <cellStyle name="Normal 51 2 6 6 2" xfId="37818" xr:uid="{00000000-0005-0000-0000-0000E5860000}"/>
    <cellStyle name="Normal 51 2 6 7" xfId="37820" xr:uid="{00000000-0005-0000-0000-0000E6860000}"/>
    <cellStyle name="Normal 51 2 6 8" xfId="37822" xr:uid="{00000000-0005-0000-0000-0000E7860000}"/>
    <cellStyle name="Normal 51 2 7" xfId="27834" xr:uid="{00000000-0005-0000-0000-0000E8860000}"/>
    <cellStyle name="Normal 51 2 7 2" xfId="37824" xr:uid="{00000000-0005-0000-0000-0000E9860000}"/>
    <cellStyle name="Normal 51 2 7 2 2" xfId="37827" xr:uid="{00000000-0005-0000-0000-0000EA860000}"/>
    <cellStyle name="Normal 51 2 7 2 2 2" xfId="37829" xr:uid="{00000000-0005-0000-0000-0000EB860000}"/>
    <cellStyle name="Normal 51 2 7 2 3" xfId="37831" xr:uid="{00000000-0005-0000-0000-0000EC860000}"/>
    <cellStyle name="Normal 51 2 7 3" xfId="37833" xr:uid="{00000000-0005-0000-0000-0000ED860000}"/>
    <cellStyle name="Normal 51 2 7 3 2" xfId="37835" xr:uid="{00000000-0005-0000-0000-0000EE860000}"/>
    <cellStyle name="Normal 51 2 7 4" xfId="14599" xr:uid="{00000000-0005-0000-0000-0000EF860000}"/>
    <cellStyle name="Normal 51 2 8" xfId="19301" xr:uid="{00000000-0005-0000-0000-0000F0860000}"/>
    <cellStyle name="Normal 51 2 8 2" xfId="37837" xr:uid="{00000000-0005-0000-0000-0000F1860000}"/>
    <cellStyle name="Normal 51 2 8 2 2" xfId="37839" xr:uid="{00000000-0005-0000-0000-0000F2860000}"/>
    <cellStyle name="Normal 51 2 8 3" xfId="37841" xr:uid="{00000000-0005-0000-0000-0000F3860000}"/>
    <cellStyle name="Normal 51 2 9" xfId="37843" xr:uid="{00000000-0005-0000-0000-0000F4860000}"/>
    <cellStyle name="Normal 51 2 9 2" xfId="37845" xr:uid="{00000000-0005-0000-0000-0000F5860000}"/>
    <cellStyle name="Normal 51 2 9 2 2" xfId="18720" xr:uid="{00000000-0005-0000-0000-0000F6860000}"/>
    <cellStyle name="Normal 51 2 9 3" xfId="37847" xr:uid="{00000000-0005-0000-0000-0000F7860000}"/>
    <cellStyle name="Normal 51 3" xfId="37849" xr:uid="{00000000-0005-0000-0000-0000F8860000}"/>
    <cellStyle name="Normal 51 3 10" xfId="11480" xr:uid="{00000000-0005-0000-0000-0000F9860000}"/>
    <cellStyle name="Normal 51 3 10 2" xfId="37851" xr:uid="{00000000-0005-0000-0000-0000FA860000}"/>
    <cellStyle name="Normal 51 3 11" xfId="16618" xr:uid="{00000000-0005-0000-0000-0000FB860000}"/>
    <cellStyle name="Normal 51 3 11 2" xfId="37853" xr:uid="{00000000-0005-0000-0000-0000FC860000}"/>
    <cellStyle name="Normal 51 3 12" xfId="28677" xr:uid="{00000000-0005-0000-0000-0000FD860000}"/>
    <cellStyle name="Normal 51 3 12 2" xfId="37855" xr:uid="{00000000-0005-0000-0000-0000FE860000}"/>
    <cellStyle name="Normal 51 3 13" xfId="37857" xr:uid="{00000000-0005-0000-0000-0000FF860000}"/>
    <cellStyle name="Normal 51 3 14" xfId="37859" xr:uid="{00000000-0005-0000-0000-000000870000}"/>
    <cellStyle name="Normal 51 3 2" xfId="37861" xr:uid="{00000000-0005-0000-0000-000001870000}"/>
    <cellStyle name="Normal 51 3 2 10" xfId="32317" xr:uid="{00000000-0005-0000-0000-000002870000}"/>
    <cellStyle name="Normal 51 3 2 2" xfId="10602" xr:uid="{00000000-0005-0000-0000-000003870000}"/>
    <cellStyle name="Normal 51 3 2 2 2" xfId="37863" xr:uid="{00000000-0005-0000-0000-000004870000}"/>
    <cellStyle name="Normal 51 3 2 2 2 2" xfId="37865" xr:uid="{00000000-0005-0000-0000-000005870000}"/>
    <cellStyle name="Normal 51 3 2 2 2 2 2" xfId="10903" xr:uid="{00000000-0005-0000-0000-000006870000}"/>
    <cellStyle name="Normal 51 3 2 2 2 2 2 2" xfId="10910" xr:uid="{00000000-0005-0000-0000-000007870000}"/>
    <cellStyle name="Normal 51 3 2 2 2 2 2 2 2" xfId="37868" xr:uid="{00000000-0005-0000-0000-000008870000}"/>
    <cellStyle name="Normal 51 3 2 2 2 2 2 3" xfId="37870" xr:uid="{00000000-0005-0000-0000-000009870000}"/>
    <cellStyle name="Normal 51 3 2 2 2 2 3" xfId="10395" xr:uid="{00000000-0005-0000-0000-00000A870000}"/>
    <cellStyle name="Normal 51 3 2 2 2 2 3 2" xfId="37872" xr:uid="{00000000-0005-0000-0000-00000B870000}"/>
    <cellStyle name="Normal 51 3 2 2 2 2 4" xfId="23431" xr:uid="{00000000-0005-0000-0000-00000C870000}"/>
    <cellStyle name="Normal 51 3 2 2 2 3" xfId="37874" xr:uid="{00000000-0005-0000-0000-00000D870000}"/>
    <cellStyle name="Normal 51 3 2 2 2 3 2" xfId="37876" xr:uid="{00000000-0005-0000-0000-00000E870000}"/>
    <cellStyle name="Normal 51 3 2 2 2 3 2 2" xfId="23439" xr:uid="{00000000-0005-0000-0000-00000F870000}"/>
    <cellStyle name="Normal 51 3 2 2 2 3 3" xfId="37878" xr:uid="{00000000-0005-0000-0000-000010870000}"/>
    <cellStyle name="Normal 51 3 2 2 2 4" xfId="37880" xr:uid="{00000000-0005-0000-0000-000011870000}"/>
    <cellStyle name="Normal 51 3 2 2 2 4 2" xfId="37882" xr:uid="{00000000-0005-0000-0000-000012870000}"/>
    <cellStyle name="Normal 51 3 2 2 2 4 2 2" xfId="22581" xr:uid="{00000000-0005-0000-0000-000013870000}"/>
    <cellStyle name="Normal 51 3 2 2 2 4 3" xfId="37884" xr:uid="{00000000-0005-0000-0000-000014870000}"/>
    <cellStyle name="Normal 51 3 2 2 2 5" xfId="37886" xr:uid="{00000000-0005-0000-0000-000015870000}"/>
    <cellStyle name="Normal 51 3 2 2 2 5 2" xfId="37888" xr:uid="{00000000-0005-0000-0000-000016870000}"/>
    <cellStyle name="Normal 51 3 2 2 2 6" xfId="23458" xr:uid="{00000000-0005-0000-0000-000017870000}"/>
    <cellStyle name="Normal 51 3 2 2 2 6 2" xfId="22160" xr:uid="{00000000-0005-0000-0000-000018870000}"/>
    <cellStyle name="Normal 51 3 2 2 2 7" xfId="19153" xr:uid="{00000000-0005-0000-0000-000019870000}"/>
    <cellStyle name="Normal 51 3 2 2 2 8" xfId="13921" xr:uid="{00000000-0005-0000-0000-00001A870000}"/>
    <cellStyle name="Normal 51 3 2 2 3" xfId="37890" xr:uid="{00000000-0005-0000-0000-00001B870000}"/>
    <cellStyle name="Normal 51 3 2 2 3 2" xfId="37892" xr:uid="{00000000-0005-0000-0000-00001C870000}"/>
    <cellStyle name="Normal 51 3 2 2 3 2 2" xfId="37894" xr:uid="{00000000-0005-0000-0000-00001D870000}"/>
    <cellStyle name="Normal 51 3 2 2 3 2 2 2" xfId="37896" xr:uid="{00000000-0005-0000-0000-00001E870000}"/>
    <cellStyle name="Normal 51 3 2 2 3 2 3" xfId="37898" xr:uid="{00000000-0005-0000-0000-00001F870000}"/>
    <cellStyle name="Normal 51 3 2 2 3 3" xfId="10359" xr:uid="{00000000-0005-0000-0000-000020870000}"/>
    <cellStyle name="Normal 51 3 2 2 3 3 2" xfId="10365" xr:uid="{00000000-0005-0000-0000-000021870000}"/>
    <cellStyle name="Normal 51 3 2 2 3 4" xfId="10372" xr:uid="{00000000-0005-0000-0000-000022870000}"/>
    <cellStyle name="Normal 51 3 2 2 4" xfId="1923" xr:uid="{00000000-0005-0000-0000-000023870000}"/>
    <cellStyle name="Normal 51 3 2 2 4 2" xfId="5624" xr:uid="{00000000-0005-0000-0000-000024870000}"/>
    <cellStyle name="Normal 51 3 2 2 4 2 2" xfId="37900" xr:uid="{00000000-0005-0000-0000-000025870000}"/>
    <cellStyle name="Normal 51 3 2 2 4 3" xfId="10379" xr:uid="{00000000-0005-0000-0000-000026870000}"/>
    <cellStyle name="Normal 51 3 2 2 5" xfId="5641" xr:uid="{00000000-0005-0000-0000-000027870000}"/>
    <cellStyle name="Normal 51 3 2 2 5 2" xfId="37902" xr:uid="{00000000-0005-0000-0000-000028870000}"/>
    <cellStyle name="Normal 51 3 2 2 5 2 2" xfId="37904" xr:uid="{00000000-0005-0000-0000-000029870000}"/>
    <cellStyle name="Normal 51 3 2 2 5 3" xfId="10180" xr:uid="{00000000-0005-0000-0000-00002A870000}"/>
    <cellStyle name="Normal 51 3 2 2 6" xfId="37906" xr:uid="{00000000-0005-0000-0000-00002B870000}"/>
    <cellStyle name="Normal 51 3 2 2 6 2" xfId="37908" xr:uid="{00000000-0005-0000-0000-00002C870000}"/>
    <cellStyle name="Normal 51 3 2 2 7" xfId="37910" xr:uid="{00000000-0005-0000-0000-00002D870000}"/>
    <cellStyle name="Normal 51 3 2 2 7 2" xfId="37912" xr:uid="{00000000-0005-0000-0000-00002E870000}"/>
    <cellStyle name="Normal 51 3 2 2 8" xfId="37914" xr:uid="{00000000-0005-0000-0000-00002F870000}"/>
    <cellStyle name="Normal 51 3 2 2 9" xfId="37916" xr:uid="{00000000-0005-0000-0000-000030870000}"/>
    <cellStyle name="Normal 51 3 2 3" xfId="33212" xr:uid="{00000000-0005-0000-0000-000031870000}"/>
    <cellStyle name="Normal 51 3 2 3 2" xfId="30212" xr:uid="{00000000-0005-0000-0000-000032870000}"/>
    <cellStyle name="Normal 51 3 2 3 2 2" xfId="23496" xr:uid="{00000000-0005-0000-0000-000033870000}"/>
    <cellStyle name="Normal 51 3 2 3 2 2 2" xfId="35876" xr:uid="{00000000-0005-0000-0000-000034870000}"/>
    <cellStyle name="Normal 51 3 2 3 2 2 2 2" xfId="22807" xr:uid="{00000000-0005-0000-0000-000035870000}"/>
    <cellStyle name="Normal 51 3 2 3 2 2 3" xfId="37918" xr:uid="{00000000-0005-0000-0000-000036870000}"/>
    <cellStyle name="Normal 51 3 2 3 2 3" xfId="37920" xr:uid="{00000000-0005-0000-0000-000037870000}"/>
    <cellStyle name="Normal 51 3 2 3 2 3 2" xfId="37922" xr:uid="{00000000-0005-0000-0000-000038870000}"/>
    <cellStyle name="Normal 51 3 2 3 2 4" xfId="37924" xr:uid="{00000000-0005-0000-0000-000039870000}"/>
    <cellStyle name="Normal 51 3 2 3 3" xfId="33216" xr:uid="{00000000-0005-0000-0000-00003A870000}"/>
    <cellStyle name="Normal 51 3 2 3 3 2" xfId="37926" xr:uid="{00000000-0005-0000-0000-00003B870000}"/>
    <cellStyle name="Normal 51 3 2 3 3 2 2" xfId="37928" xr:uid="{00000000-0005-0000-0000-00003C870000}"/>
    <cellStyle name="Normal 51 3 2 3 3 3" xfId="10060" xr:uid="{00000000-0005-0000-0000-00003D870000}"/>
    <cellStyle name="Normal 51 3 2 3 4" xfId="37930" xr:uid="{00000000-0005-0000-0000-00003E870000}"/>
    <cellStyle name="Normal 51 3 2 3 4 2" xfId="37932" xr:uid="{00000000-0005-0000-0000-00003F870000}"/>
    <cellStyle name="Normal 51 3 2 3 4 2 2" xfId="37934" xr:uid="{00000000-0005-0000-0000-000040870000}"/>
    <cellStyle name="Normal 51 3 2 3 4 3" xfId="37936" xr:uid="{00000000-0005-0000-0000-000041870000}"/>
    <cellStyle name="Normal 51 3 2 3 5" xfId="34054" xr:uid="{00000000-0005-0000-0000-000042870000}"/>
    <cellStyle name="Normal 51 3 2 3 5 2" xfId="37938" xr:uid="{00000000-0005-0000-0000-000043870000}"/>
    <cellStyle name="Normal 51 3 2 3 6" xfId="37292" xr:uid="{00000000-0005-0000-0000-000044870000}"/>
    <cellStyle name="Normal 51 3 2 3 6 2" xfId="37940" xr:uid="{00000000-0005-0000-0000-000045870000}"/>
    <cellStyle name="Normal 51 3 2 3 7" xfId="37942" xr:uid="{00000000-0005-0000-0000-000046870000}"/>
    <cellStyle name="Normal 51 3 2 3 8" xfId="37944" xr:uid="{00000000-0005-0000-0000-000047870000}"/>
    <cellStyle name="Normal 51 3 2 4" xfId="33221" xr:uid="{00000000-0005-0000-0000-000048870000}"/>
    <cellStyle name="Normal 51 3 2 4 2" xfId="33226" xr:uid="{00000000-0005-0000-0000-000049870000}"/>
    <cellStyle name="Normal 51 3 2 4 2 2" xfId="34907" xr:uid="{00000000-0005-0000-0000-00004A870000}"/>
    <cellStyle name="Normal 51 3 2 4 2 2 2" xfId="34915" xr:uid="{00000000-0005-0000-0000-00004B870000}"/>
    <cellStyle name="Normal 51 3 2 4 2 3" xfId="34929" xr:uid="{00000000-0005-0000-0000-00004C870000}"/>
    <cellStyle name="Normal 51 3 2 4 3" xfId="34975" xr:uid="{00000000-0005-0000-0000-00004D870000}"/>
    <cellStyle name="Normal 51 3 2 4 3 2" xfId="34982" xr:uid="{00000000-0005-0000-0000-00004E870000}"/>
    <cellStyle name="Normal 51 3 2 4 4" xfId="35030" xr:uid="{00000000-0005-0000-0000-00004F870000}"/>
    <cellStyle name="Normal 51 3 2 5" xfId="33235" xr:uid="{00000000-0005-0000-0000-000050870000}"/>
    <cellStyle name="Normal 51 3 2 5 2" xfId="35375" xr:uid="{00000000-0005-0000-0000-000051870000}"/>
    <cellStyle name="Normal 51 3 2 5 2 2" xfId="35380" xr:uid="{00000000-0005-0000-0000-000052870000}"/>
    <cellStyle name="Normal 51 3 2 5 3" xfId="35443" xr:uid="{00000000-0005-0000-0000-000053870000}"/>
    <cellStyle name="Normal 51 3 2 6" xfId="37946" xr:uid="{00000000-0005-0000-0000-000054870000}"/>
    <cellStyle name="Normal 51 3 2 6 2" xfId="23657" xr:uid="{00000000-0005-0000-0000-000055870000}"/>
    <cellStyle name="Normal 51 3 2 6 2 2" xfId="23664" xr:uid="{00000000-0005-0000-0000-000056870000}"/>
    <cellStyle name="Normal 51 3 2 6 3" xfId="23685" xr:uid="{00000000-0005-0000-0000-000057870000}"/>
    <cellStyle name="Normal 51 3 2 7" xfId="15717" xr:uid="{00000000-0005-0000-0000-000058870000}"/>
    <cellStyle name="Normal 51 3 2 7 2" xfId="23705" xr:uid="{00000000-0005-0000-0000-000059870000}"/>
    <cellStyle name="Normal 51 3 2 8" xfId="36781" xr:uid="{00000000-0005-0000-0000-00005A870000}"/>
    <cellStyle name="Normal 51 3 2 8 2" xfId="36009" xr:uid="{00000000-0005-0000-0000-00005B870000}"/>
    <cellStyle name="Normal 51 3 2 9" xfId="37949" xr:uid="{00000000-0005-0000-0000-00005C870000}"/>
    <cellStyle name="Normal 51 3 3" xfId="37954" xr:uid="{00000000-0005-0000-0000-00005D870000}"/>
    <cellStyle name="Normal 51 3 3 2" xfId="13184" xr:uid="{00000000-0005-0000-0000-00005E870000}"/>
    <cellStyle name="Normal 51 3 3 2 2" xfId="37956" xr:uid="{00000000-0005-0000-0000-00005F870000}"/>
    <cellStyle name="Normal 51 3 3 2 2 2" xfId="37958" xr:uid="{00000000-0005-0000-0000-000060870000}"/>
    <cellStyle name="Normal 51 3 3 2 2 2 2" xfId="2786" xr:uid="{00000000-0005-0000-0000-000061870000}"/>
    <cellStyle name="Normal 51 3 3 2 2 2 2 2" xfId="508" xr:uid="{00000000-0005-0000-0000-000062870000}"/>
    <cellStyle name="Normal 51 3 3 2 2 2 3" xfId="2814" xr:uid="{00000000-0005-0000-0000-000063870000}"/>
    <cellStyle name="Normal 51 3 3 2 2 3" xfId="37960" xr:uid="{00000000-0005-0000-0000-000064870000}"/>
    <cellStyle name="Normal 51 3 3 2 2 3 2" xfId="37962" xr:uid="{00000000-0005-0000-0000-000065870000}"/>
    <cellStyle name="Normal 51 3 3 2 2 4" xfId="37966" xr:uid="{00000000-0005-0000-0000-000066870000}"/>
    <cellStyle name="Normal 51 3 3 2 2 5" xfId="37968" xr:uid="{00000000-0005-0000-0000-000067870000}"/>
    <cellStyle name="Normal 51 3 3 2 3" xfId="37970" xr:uid="{00000000-0005-0000-0000-000068870000}"/>
    <cellStyle name="Normal 51 3 3 2 3 2" xfId="37972" xr:uid="{00000000-0005-0000-0000-000069870000}"/>
    <cellStyle name="Normal 51 3 3 2 3 2 2" xfId="23835" xr:uid="{00000000-0005-0000-0000-00006A870000}"/>
    <cellStyle name="Normal 51 3 3 2 3 3" xfId="10399" xr:uid="{00000000-0005-0000-0000-00006B870000}"/>
    <cellStyle name="Normal 51 3 3 2 4" xfId="37974" xr:uid="{00000000-0005-0000-0000-00006C870000}"/>
    <cellStyle name="Normal 51 3 3 2 4 2" xfId="17747" xr:uid="{00000000-0005-0000-0000-00006D870000}"/>
    <cellStyle name="Normal 51 3 3 2 4 2 2" xfId="16558" xr:uid="{00000000-0005-0000-0000-00006E870000}"/>
    <cellStyle name="Normal 51 3 3 2 4 3" xfId="17753" xr:uid="{00000000-0005-0000-0000-00006F870000}"/>
    <cellStyle name="Normal 51 3 3 2 5" xfId="36153" xr:uid="{00000000-0005-0000-0000-000070870000}"/>
    <cellStyle name="Normal 51 3 3 2 5 2" xfId="17775" xr:uid="{00000000-0005-0000-0000-000071870000}"/>
    <cellStyle name="Normal 51 3 3 2 6" xfId="36157" xr:uid="{00000000-0005-0000-0000-000072870000}"/>
    <cellStyle name="Normal 51 3 3 2 6 2" xfId="17783" xr:uid="{00000000-0005-0000-0000-000073870000}"/>
    <cellStyle name="Normal 51 3 3 2 7" xfId="162" xr:uid="{00000000-0005-0000-0000-000074870000}"/>
    <cellStyle name="Normal 51 3 3 2 8" xfId="37976" xr:uid="{00000000-0005-0000-0000-000075870000}"/>
    <cellStyle name="Normal 51 3 3 3" xfId="33241" xr:uid="{00000000-0005-0000-0000-000076870000}"/>
    <cellStyle name="Normal 51 3 3 3 2" xfId="33245" xr:uid="{00000000-0005-0000-0000-000077870000}"/>
    <cellStyle name="Normal 51 3 3 3 2 2" xfId="37978" xr:uid="{00000000-0005-0000-0000-000078870000}"/>
    <cellStyle name="Normal 51 3 3 3 2 2 2" xfId="37980" xr:uid="{00000000-0005-0000-0000-000079870000}"/>
    <cellStyle name="Normal 51 3 3 3 2 3" xfId="37982" xr:uid="{00000000-0005-0000-0000-00007A870000}"/>
    <cellStyle name="Normal 51 3 3 3 3" xfId="37984" xr:uid="{00000000-0005-0000-0000-00007B870000}"/>
    <cellStyle name="Normal 51 3 3 3 3 2" xfId="37986" xr:uid="{00000000-0005-0000-0000-00007C870000}"/>
    <cellStyle name="Normal 51 3 3 3 4" xfId="37988" xr:uid="{00000000-0005-0000-0000-00007D870000}"/>
    <cellStyle name="Normal 51 3 3 3 5" xfId="34064" xr:uid="{00000000-0005-0000-0000-00007E870000}"/>
    <cellStyle name="Normal 51 3 3 4" xfId="33249" xr:uid="{00000000-0005-0000-0000-00007F870000}"/>
    <cellStyle name="Normal 51 3 3 4 2" xfId="36682" xr:uid="{00000000-0005-0000-0000-000080870000}"/>
    <cellStyle name="Normal 51 3 3 4 2 2" xfId="36689" xr:uid="{00000000-0005-0000-0000-000081870000}"/>
    <cellStyle name="Normal 51 3 3 4 3" xfId="36771" xr:uid="{00000000-0005-0000-0000-000082870000}"/>
    <cellStyle name="Normal 51 3 3 5" xfId="37990" xr:uid="{00000000-0005-0000-0000-000083870000}"/>
    <cellStyle name="Normal 51 3 3 5 2" xfId="37068" xr:uid="{00000000-0005-0000-0000-000084870000}"/>
    <cellStyle name="Normal 51 3 3 5 2 2" xfId="13778" xr:uid="{00000000-0005-0000-0000-000085870000}"/>
    <cellStyle name="Normal 51 3 3 5 3" xfId="21486" xr:uid="{00000000-0005-0000-0000-000086870000}"/>
    <cellStyle name="Normal 51 3 3 6" xfId="37993" xr:uid="{00000000-0005-0000-0000-000087870000}"/>
    <cellStyle name="Normal 51 3 3 6 2" xfId="23922" xr:uid="{00000000-0005-0000-0000-000088870000}"/>
    <cellStyle name="Normal 51 3 3 7" xfId="36786" xr:uid="{00000000-0005-0000-0000-000089870000}"/>
    <cellStyle name="Normal 51 3 3 7 2" xfId="23934" xr:uid="{00000000-0005-0000-0000-00008A870000}"/>
    <cellStyle name="Normal 51 3 3 8" xfId="36791" xr:uid="{00000000-0005-0000-0000-00008B870000}"/>
    <cellStyle name="Normal 51 3 3 9" xfId="26622" xr:uid="{00000000-0005-0000-0000-00008C870000}"/>
    <cellStyle name="Normal 51 3 4" xfId="19909" xr:uid="{00000000-0005-0000-0000-00008D870000}"/>
    <cellStyle name="Normal 51 3 4 2" xfId="19911" xr:uid="{00000000-0005-0000-0000-00008E870000}"/>
    <cellStyle name="Normal 51 3 4 2 2" xfId="37996" xr:uid="{00000000-0005-0000-0000-00008F870000}"/>
    <cellStyle name="Normal 51 3 4 2 2 2" xfId="10338" xr:uid="{00000000-0005-0000-0000-000090870000}"/>
    <cellStyle name="Normal 51 3 4 2 2 2 2" xfId="11746" xr:uid="{00000000-0005-0000-0000-000091870000}"/>
    <cellStyle name="Normal 51 3 4 2 2 2 2 2" xfId="11755" xr:uid="{00000000-0005-0000-0000-000092870000}"/>
    <cellStyle name="Normal 51 3 4 2 2 2 3" xfId="11764" xr:uid="{00000000-0005-0000-0000-000093870000}"/>
    <cellStyle name="Normal 51 3 4 2 2 3" xfId="19105" xr:uid="{00000000-0005-0000-0000-000094870000}"/>
    <cellStyle name="Normal 51 3 4 2 2 3 2" xfId="37999" xr:uid="{00000000-0005-0000-0000-000095870000}"/>
    <cellStyle name="Normal 51 3 4 2 2 4" xfId="6476" xr:uid="{00000000-0005-0000-0000-000096870000}"/>
    <cellStyle name="Normal 51 3 4 2 3" xfId="38001" xr:uid="{00000000-0005-0000-0000-000097870000}"/>
    <cellStyle name="Normal 51 3 4 2 3 2" xfId="9980" xr:uid="{00000000-0005-0000-0000-000098870000}"/>
    <cellStyle name="Normal 51 3 4 2 3 2 2" xfId="9989" xr:uid="{00000000-0005-0000-0000-000099870000}"/>
    <cellStyle name="Normal 51 3 4 2 3 3" xfId="9998" xr:uid="{00000000-0005-0000-0000-00009A870000}"/>
    <cellStyle name="Normal 51 3 4 2 4" xfId="38003" xr:uid="{00000000-0005-0000-0000-00009B870000}"/>
    <cellStyle name="Normal 51 3 4 2 4 2" xfId="10007" xr:uid="{00000000-0005-0000-0000-00009C870000}"/>
    <cellStyle name="Normal 51 3 4 2 4 2 2" xfId="27043" xr:uid="{00000000-0005-0000-0000-00009D870000}"/>
    <cellStyle name="Normal 51 3 4 2 4 3" xfId="10017" xr:uid="{00000000-0005-0000-0000-00009E870000}"/>
    <cellStyle name="Normal 51 3 4 2 5" xfId="36163" xr:uid="{00000000-0005-0000-0000-00009F870000}"/>
    <cellStyle name="Normal 51 3 4 2 5 2" xfId="38006" xr:uid="{00000000-0005-0000-0000-0000A0870000}"/>
    <cellStyle name="Normal 51 3 4 2 6" xfId="27810" xr:uid="{00000000-0005-0000-0000-0000A1870000}"/>
    <cellStyle name="Normal 51 3 4 2 6 2" xfId="27815" xr:uid="{00000000-0005-0000-0000-0000A2870000}"/>
    <cellStyle name="Normal 51 3 4 2 7" xfId="27819" xr:uid="{00000000-0005-0000-0000-0000A3870000}"/>
    <cellStyle name="Normal 51 3 4 2 8" xfId="38009" xr:uid="{00000000-0005-0000-0000-0000A4870000}"/>
    <cellStyle name="Normal 51 3 4 3" xfId="33257" xr:uid="{00000000-0005-0000-0000-0000A5870000}"/>
    <cellStyle name="Normal 51 3 4 3 2" xfId="33261" xr:uid="{00000000-0005-0000-0000-0000A6870000}"/>
    <cellStyle name="Normal 51 3 4 3 2 2" xfId="19172" xr:uid="{00000000-0005-0000-0000-0000A7870000}"/>
    <cellStyle name="Normal 51 3 4 3 2 2 2" xfId="38013" xr:uid="{00000000-0005-0000-0000-0000A8870000}"/>
    <cellStyle name="Normal 51 3 4 3 2 3" xfId="38017" xr:uid="{00000000-0005-0000-0000-0000A9870000}"/>
    <cellStyle name="Normal 51 3 4 3 3" xfId="38019" xr:uid="{00000000-0005-0000-0000-0000AA870000}"/>
    <cellStyle name="Normal 51 3 4 3 3 2" xfId="38023" xr:uid="{00000000-0005-0000-0000-0000AB870000}"/>
    <cellStyle name="Normal 51 3 4 3 4" xfId="38025" xr:uid="{00000000-0005-0000-0000-0000AC870000}"/>
    <cellStyle name="Normal 51 3 4 4" xfId="33265" xr:uid="{00000000-0005-0000-0000-0000AD870000}"/>
    <cellStyle name="Normal 51 3 4 4 2" xfId="37623" xr:uid="{00000000-0005-0000-0000-0000AE870000}"/>
    <cellStyle name="Normal 51 3 4 4 2 2" xfId="37629" xr:uid="{00000000-0005-0000-0000-0000AF870000}"/>
    <cellStyle name="Normal 51 3 4 4 3" xfId="37677" xr:uid="{00000000-0005-0000-0000-0000B0870000}"/>
    <cellStyle name="Normal 51 3 4 5" xfId="38027" xr:uid="{00000000-0005-0000-0000-0000B1870000}"/>
    <cellStyle name="Normal 51 3 4 5 2" xfId="37952" xr:uid="{00000000-0005-0000-0000-0000B2870000}"/>
    <cellStyle name="Normal 51 3 4 5 2 2" xfId="13182" xr:uid="{00000000-0005-0000-0000-0000B3870000}"/>
    <cellStyle name="Normal 51 3 4 5 3" xfId="19906" xr:uid="{00000000-0005-0000-0000-0000B4870000}"/>
    <cellStyle name="Normal 51 3 4 6" xfId="2930" xr:uid="{00000000-0005-0000-0000-0000B5870000}"/>
    <cellStyle name="Normal 51 3 4 6 2" xfId="676" xr:uid="{00000000-0005-0000-0000-0000B6870000}"/>
    <cellStyle name="Normal 51 3 4 7" xfId="34680" xr:uid="{00000000-0005-0000-0000-0000B7870000}"/>
    <cellStyle name="Normal 51 3 4 7 2" xfId="1252" xr:uid="{00000000-0005-0000-0000-0000B8870000}"/>
    <cellStyle name="Normal 51 3 4 8" xfId="10844" xr:uid="{00000000-0005-0000-0000-0000B9870000}"/>
    <cellStyle name="Normal 51 3 4 9" xfId="38029" xr:uid="{00000000-0005-0000-0000-0000BA870000}"/>
    <cellStyle name="Normal 51 3 5" xfId="18661" xr:uid="{00000000-0005-0000-0000-0000BB870000}"/>
    <cellStyle name="Normal 51 3 5 2" xfId="38031" xr:uid="{00000000-0005-0000-0000-0000BC870000}"/>
    <cellStyle name="Normal 51 3 5 2 2" xfId="38033" xr:uid="{00000000-0005-0000-0000-0000BD870000}"/>
    <cellStyle name="Normal 51 3 5 2 2 2" xfId="38035" xr:uid="{00000000-0005-0000-0000-0000BE870000}"/>
    <cellStyle name="Normal 51 3 5 2 2 2 2" xfId="3032" xr:uid="{00000000-0005-0000-0000-0000BF870000}"/>
    <cellStyle name="Normal 51 3 5 2 2 2 2 2" xfId="3057" xr:uid="{00000000-0005-0000-0000-0000C0870000}"/>
    <cellStyle name="Normal 51 3 5 2 2 2 3" xfId="1566" xr:uid="{00000000-0005-0000-0000-0000C1870000}"/>
    <cellStyle name="Normal 51 3 5 2 2 3" xfId="38037" xr:uid="{00000000-0005-0000-0000-0000C2870000}"/>
    <cellStyle name="Normal 51 3 5 2 2 3 2" xfId="38039" xr:uid="{00000000-0005-0000-0000-0000C3870000}"/>
    <cellStyle name="Normal 51 3 5 2 2 4" xfId="19430" xr:uid="{00000000-0005-0000-0000-0000C4870000}"/>
    <cellStyle name="Normal 51 3 5 2 3" xfId="38041" xr:uid="{00000000-0005-0000-0000-0000C5870000}"/>
    <cellStyle name="Normal 51 3 5 2 3 2" xfId="38043" xr:uid="{00000000-0005-0000-0000-0000C6870000}"/>
    <cellStyle name="Normal 51 3 5 2 3 2 2" xfId="38045" xr:uid="{00000000-0005-0000-0000-0000C7870000}"/>
    <cellStyle name="Normal 51 3 5 2 3 3" xfId="38047" xr:uid="{00000000-0005-0000-0000-0000C8870000}"/>
    <cellStyle name="Normal 51 3 5 2 4" xfId="38049" xr:uid="{00000000-0005-0000-0000-0000C9870000}"/>
    <cellStyle name="Normal 51 3 5 2 4 2" xfId="38051" xr:uid="{00000000-0005-0000-0000-0000CA870000}"/>
    <cellStyle name="Normal 51 3 5 2 4 2 2" xfId="27089" xr:uid="{00000000-0005-0000-0000-0000CB870000}"/>
    <cellStyle name="Normal 51 3 5 2 4 3" xfId="38053" xr:uid="{00000000-0005-0000-0000-0000CC870000}"/>
    <cellStyle name="Normal 51 3 5 2 5" xfId="36169" xr:uid="{00000000-0005-0000-0000-0000CD870000}"/>
    <cellStyle name="Normal 51 3 5 2 5 2" xfId="38055" xr:uid="{00000000-0005-0000-0000-0000CE870000}"/>
    <cellStyle name="Normal 51 3 5 2 6" xfId="27860" xr:uid="{00000000-0005-0000-0000-0000CF870000}"/>
    <cellStyle name="Normal 51 3 5 2 6 2" xfId="38057" xr:uid="{00000000-0005-0000-0000-0000D0870000}"/>
    <cellStyle name="Normal 51 3 5 2 7" xfId="38059" xr:uid="{00000000-0005-0000-0000-0000D1870000}"/>
    <cellStyle name="Normal 51 3 5 2 8" xfId="38061" xr:uid="{00000000-0005-0000-0000-0000D2870000}"/>
    <cellStyle name="Normal 51 3 5 3" xfId="33269" xr:uid="{00000000-0005-0000-0000-0000D3870000}"/>
    <cellStyle name="Normal 51 3 5 3 2" xfId="38063" xr:uid="{00000000-0005-0000-0000-0000D4870000}"/>
    <cellStyle name="Normal 51 3 5 3 2 2" xfId="38065" xr:uid="{00000000-0005-0000-0000-0000D5870000}"/>
    <cellStyle name="Normal 51 3 5 3 2 2 2" xfId="34602" xr:uid="{00000000-0005-0000-0000-0000D6870000}"/>
    <cellStyle name="Normal 51 3 5 3 2 3" xfId="38067" xr:uid="{00000000-0005-0000-0000-0000D7870000}"/>
    <cellStyle name="Normal 51 3 5 3 3" xfId="38069" xr:uid="{00000000-0005-0000-0000-0000D8870000}"/>
    <cellStyle name="Normal 51 3 5 3 3 2" xfId="38071" xr:uid="{00000000-0005-0000-0000-0000D9870000}"/>
    <cellStyle name="Normal 51 3 5 3 4" xfId="38073" xr:uid="{00000000-0005-0000-0000-0000DA870000}"/>
    <cellStyle name="Normal 51 3 5 4" xfId="18688" xr:uid="{00000000-0005-0000-0000-0000DB870000}"/>
    <cellStyle name="Normal 51 3 5 4 2" xfId="18696" xr:uid="{00000000-0005-0000-0000-0000DC870000}"/>
    <cellStyle name="Normal 51 3 5 4 2 2" xfId="38076" xr:uid="{00000000-0005-0000-0000-0000DD870000}"/>
    <cellStyle name="Normal 51 3 5 4 3" xfId="38079" xr:uid="{00000000-0005-0000-0000-0000DE870000}"/>
    <cellStyle name="Normal 51 3 5 5" xfId="18705" xr:uid="{00000000-0005-0000-0000-0000DF870000}"/>
    <cellStyle name="Normal 51 3 5 5 2" xfId="38082" xr:uid="{00000000-0005-0000-0000-0000E0870000}"/>
    <cellStyle name="Normal 51 3 5 5 2 2" xfId="38085" xr:uid="{00000000-0005-0000-0000-0000E1870000}"/>
    <cellStyle name="Normal 51 3 5 5 3" xfId="19947" xr:uid="{00000000-0005-0000-0000-0000E2870000}"/>
    <cellStyle name="Normal 51 3 5 6" xfId="38087" xr:uid="{00000000-0005-0000-0000-0000E3870000}"/>
    <cellStyle name="Normal 51 3 5 6 2" xfId="18716" xr:uid="{00000000-0005-0000-0000-0000E4870000}"/>
    <cellStyle name="Normal 51 3 5 7" xfId="36796" xr:uid="{00000000-0005-0000-0000-0000E5870000}"/>
    <cellStyle name="Normal 51 3 5 7 2" xfId="38090" xr:uid="{00000000-0005-0000-0000-0000E6870000}"/>
    <cellStyle name="Normal 51 3 5 8" xfId="38092" xr:uid="{00000000-0005-0000-0000-0000E7870000}"/>
    <cellStyle name="Normal 51 3 5 9" xfId="38094" xr:uid="{00000000-0005-0000-0000-0000E8870000}"/>
    <cellStyle name="Normal 51 3 6" xfId="38096" xr:uid="{00000000-0005-0000-0000-0000E9870000}"/>
    <cellStyle name="Normal 51 3 6 2" xfId="38098" xr:uid="{00000000-0005-0000-0000-0000EA870000}"/>
    <cellStyle name="Normal 51 3 6 2 2" xfId="38100" xr:uid="{00000000-0005-0000-0000-0000EB870000}"/>
    <cellStyle name="Normal 51 3 6 2 2 2" xfId="38102" xr:uid="{00000000-0005-0000-0000-0000EC870000}"/>
    <cellStyle name="Normal 51 3 6 2 2 2 2" xfId="29034" xr:uid="{00000000-0005-0000-0000-0000ED870000}"/>
    <cellStyle name="Normal 51 3 6 2 2 3" xfId="38105" xr:uid="{00000000-0005-0000-0000-0000EE870000}"/>
    <cellStyle name="Normal 51 3 6 2 3" xfId="36270" xr:uid="{00000000-0005-0000-0000-0000EF870000}"/>
    <cellStyle name="Normal 51 3 6 2 3 2" xfId="38107" xr:uid="{00000000-0005-0000-0000-0000F0870000}"/>
    <cellStyle name="Normal 51 3 6 2 4" xfId="38109" xr:uid="{00000000-0005-0000-0000-0000F1870000}"/>
    <cellStyle name="Normal 51 3 6 3" xfId="33275" xr:uid="{00000000-0005-0000-0000-0000F2870000}"/>
    <cellStyle name="Normal 51 3 6 3 2" xfId="38111" xr:uid="{00000000-0005-0000-0000-0000F3870000}"/>
    <cellStyle name="Normal 51 3 6 3 2 2" xfId="38113" xr:uid="{00000000-0005-0000-0000-0000F4870000}"/>
    <cellStyle name="Normal 51 3 6 3 3" xfId="36274" xr:uid="{00000000-0005-0000-0000-0000F5870000}"/>
    <cellStyle name="Normal 51 3 6 4" xfId="18737" xr:uid="{00000000-0005-0000-0000-0000F6870000}"/>
    <cellStyle name="Normal 51 3 6 4 2" xfId="38115" xr:uid="{00000000-0005-0000-0000-0000F7870000}"/>
    <cellStyle name="Normal 51 3 6 4 2 2" xfId="38117" xr:uid="{00000000-0005-0000-0000-0000F8870000}"/>
    <cellStyle name="Normal 51 3 6 4 3" xfId="38119" xr:uid="{00000000-0005-0000-0000-0000F9870000}"/>
    <cellStyle name="Normal 51 3 6 5" xfId="38121" xr:uid="{00000000-0005-0000-0000-0000FA870000}"/>
    <cellStyle name="Normal 51 3 6 5 2" xfId="38123" xr:uid="{00000000-0005-0000-0000-0000FB870000}"/>
    <cellStyle name="Normal 51 3 6 6" xfId="38125" xr:uid="{00000000-0005-0000-0000-0000FC870000}"/>
    <cellStyle name="Normal 51 3 6 6 2" xfId="38127" xr:uid="{00000000-0005-0000-0000-0000FD870000}"/>
    <cellStyle name="Normal 51 3 6 7" xfId="38129" xr:uid="{00000000-0005-0000-0000-0000FE870000}"/>
    <cellStyle name="Normal 51 3 6 8" xfId="38131" xr:uid="{00000000-0005-0000-0000-0000FF870000}"/>
    <cellStyle name="Normal 51 3 7" xfId="27842" xr:uid="{00000000-0005-0000-0000-000000880000}"/>
    <cellStyle name="Normal 51 3 7 2" xfId="38133" xr:uid="{00000000-0005-0000-0000-000001880000}"/>
    <cellStyle name="Normal 51 3 7 2 2" xfId="38135" xr:uid="{00000000-0005-0000-0000-000002880000}"/>
    <cellStyle name="Normal 51 3 7 2 2 2" xfId="38137" xr:uid="{00000000-0005-0000-0000-000003880000}"/>
    <cellStyle name="Normal 51 3 7 2 3" xfId="36332" xr:uid="{00000000-0005-0000-0000-000004880000}"/>
    <cellStyle name="Normal 51 3 7 3" xfId="38139" xr:uid="{00000000-0005-0000-0000-000005880000}"/>
    <cellStyle name="Normal 51 3 7 3 2" xfId="38141" xr:uid="{00000000-0005-0000-0000-000006880000}"/>
    <cellStyle name="Normal 51 3 7 4" xfId="25179" xr:uid="{00000000-0005-0000-0000-000007880000}"/>
    <cellStyle name="Normal 51 3 8" xfId="15153" xr:uid="{00000000-0005-0000-0000-000008880000}"/>
    <cellStyle name="Normal 51 3 8 2" xfId="38143" xr:uid="{00000000-0005-0000-0000-000009880000}"/>
    <cellStyle name="Normal 51 3 8 2 2" xfId="38145" xr:uid="{00000000-0005-0000-0000-00000A880000}"/>
    <cellStyle name="Normal 51 3 8 3" xfId="38147" xr:uid="{00000000-0005-0000-0000-00000B880000}"/>
    <cellStyle name="Normal 51 3 9" xfId="38149" xr:uid="{00000000-0005-0000-0000-00000C880000}"/>
    <cellStyle name="Normal 51 3 9 2" xfId="38151" xr:uid="{00000000-0005-0000-0000-00000D880000}"/>
    <cellStyle name="Normal 51 3 9 2 2" xfId="38153" xr:uid="{00000000-0005-0000-0000-00000E880000}"/>
    <cellStyle name="Normal 51 3 9 3" xfId="38155" xr:uid="{00000000-0005-0000-0000-00000F880000}"/>
    <cellStyle name="Normal 51 4" xfId="38157" xr:uid="{00000000-0005-0000-0000-000010880000}"/>
    <cellStyle name="Normal 51 4 10" xfId="31667" xr:uid="{00000000-0005-0000-0000-000011880000}"/>
    <cellStyle name="Normal 51 4 2" xfId="569" xr:uid="{00000000-0005-0000-0000-000012880000}"/>
    <cellStyle name="Normal 51 4 2 2" xfId="883" xr:uid="{00000000-0005-0000-0000-000013880000}"/>
    <cellStyle name="Normal 51 4 2 2 2" xfId="903" xr:uid="{00000000-0005-0000-0000-000014880000}"/>
    <cellStyle name="Normal 51 4 2 2 2 2" xfId="38159" xr:uid="{00000000-0005-0000-0000-000015880000}"/>
    <cellStyle name="Normal 51 4 2 2 2 2 2" xfId="38161" xr:uid="{00000000-0005-0000-0000-000016880000}"/>
    <cellStyle name="Normal 51 4 2 2 2 2 2 2" xfId="17816" xr:uid="{00000000-0005-0000-0000-000017880000}"/>
    <cellStyle name="Normal 51 4 2 2 2 2 3" xfId="38165" xr:uid="{00000000-0005-0000-0000-000018880000}"/>
    <cellStyle name="Normal 51 4 2 2 2 3" xfId="38168" xr:uid="{00000000-0005-0000-0000-000019880000}"/>
    <cellStyle name="Normal 51 4 2 2 2 3 2" xfId="38171" xr:uid="{00000000-0005-0000-0000-00001A880000}"/>
    <cellStyle name="Normal 51 4 2 2 2 4" xfId="38174" xr:uid="{00000000-0005-0000-0000-00001B880000}"/>
    <cellStyle name="Normal 51 4 2 2 3" xfId="38176" xr:uid="{00000000-0005-0000-0000-00001C880000}"/>
    <cellStyle name="Normal 51 4 2 2 3 2" xfId="38178" xr:uid="{00000000-0005-0000-0000-00001D880000}"/>
    <cellStyle name="Normal 51 4 2 2 3 2 2" xfId="38180" xr:uid="{00000000-0005-0000-0000-00001E880000}"/>
    <cellStyle name="Normal 51 4 2 2 3 3" xfId="10436" xr:uid="{00000000-0005-0000-0000-00001F880000}"/>
    <cellStyle name="Normal 51 4 2 2 4" xfId="188" xr:uid="{00000000-0005-0000-0000-000020880000}"/>
    <cellStyle name="Normal 51 4 2 2 4 2" xfId="5997" xr:uid="{00000000-0005-0000-0000-000021880000}"/>
    <cellStyle name="Normal 51 4 2 2 4 2 2" xfId="38182" xr:uid="{00000000-0005-0000-0000-000022880000}"/>
    <cellStyle name="Normal 51 4 2 2 4 3" xfId="10454" xr:uid="{00000000-0005-0000-0000-000023880000}"/>
    <cellStyle name="Normal 51 4 2 2 5" xfId="7541" xr:uid="{00000000-0005-0000-0000-000024880000}"/>
    <cellStyle name="Normal 51 4 2 2 5 2" xfId="38184" xr:uid="{00000000-0005-0000-0000-000025880000}"/>
    <cellStyle name="Normal 51 4 2 2 6" xfId="38186" xr:uid="{00000000-0005-0000-0000-000026880000}"/>
    <cellStyle name="Normal 51 4 2 2 6 2" xfId="38189" xr:uid="{00000000-0005-0000-0000-000027880000}"/>
    <cellStyle name="Normal 51 4 2 2 7" xfId="19556" xr:uid="{00000000-0005-0000-0000-000028880000}"/>
    <cellStyle name="Normal 51 4 2 2 8" xfId="19493" xr:uid="{00000000-0005-0000-0000-000029880000}"/>
    <cellStyle name="Normal 51 4 2 3" xfId="917" xr:uid="{00000000-0005-0000-0000-00002A880000}"/>
    <cellStyle name="Normal 51 4 2 3 2" xfId="30352" xr:uid="{00000000-0005-0000-0000-00002B880000}"/>
    <cellStyle name="Normal 51 4 2 3 2 2" xfId="34736" xr:uid="{00000000-0005-0000-0000-00002C880000}"/>
    <cellStyle name="Normal 51 4 2 3 2 2 2" xfId="23434" xr:uid="{00000000-0005-0000-0000-00002D880000}"/>
    <cellStyle name="Normal 51 4 2 3 2 3" xfId="38192" xr:uid="{00000000-0005-0000-0000-00002E880000}"/>
    <cellStyle name="Normal 51 4 2 3 3" xfId="38194" xr:uid="{00000000-0005-0000-0000-00002F880000}"/>
    <cellStyle name="Normal 51 4 2 3 3 2" xfId="38196" xr:uid="{00000000-0005-0000-0000-000030880000}"/>
    <cellStyle name="Normal 51 4 2 3 4" xfId="38198" xr:uid="{00000000-0005-0000-0000-000031880000}"/>
    <cellStyle name="Normal 51 4 2 4" xfId="33295" xr:uid="{00000000-0005-0000-0000-000032880000}"/>
    <cellStyle name="Normal 51 4 2 4 2" xfId="38201" xr:uid="{00000000-0005-0000-0000-000033880000}"/>
    <cellStyle name="Normal 51 4 2 4 2 2" xfId="38204" xr:uid="{00000000-0005-0000-0000-000034880000}"/>
    <cellStyle name="Normal 51 4 2 4 3" xfId="38207" xr:uid="{00000000-0005-0000-0000-000035880000}"/>
    <cellStyle name="Normal 51 4 2 5" xfId="38210" xr:uid="{00000000-0005-0000-0000-000036880000}"/>
    <cellStyle name="Normal 51 4 2 5 2" xfId="38213" xr:uid="{00000000-0005-0000-0000-000037880000}"/>
    <cellStyle name="Normal 51 4 2 5 2 2" xfId="38216" xr:uid="{00000000-0005-0000-0000-000038880000}"/>
    <cellStyle name="Normal 51 4 2 5 3" xfId="38219" xr:uid="{00000000-0005-0000-0000-000039880000}"/>
    <cellStyle name="Normal 51 4 2 6" xfId="38222" xr:uid="{00000000-0005-0000-0000-00003A880000}"/>
    <cellStyle name="Normal 51 4 2 6 2" xfId="18276" xr:uid="{00000000-0005-0000-0000-00003B880000}"/>
    <cellStyle name="Normal 51 4 2 7" xfId="15735" xr:uid="{00000000-0005-0000-0000-00003C880000}"/>
    <cellStyle name="Normal 51 4 2 7 2" xfId="38225" xr:uid="{00000000-0005-0000-0000-00003D880000}"/>
    <cellStyle name="Normal 51 4 2 8" xfId="38228" xr:uid="{00000000-0005-0000-0000-00003E880000}"/>
    <cellStyle name="Normal 51 4 2 9" xfId="38231" xr:uid="{00000000-0005-0000-0000-00003F880000}"/>
    <cellStyle name="Normal 51 4 3" xfId="674" xr:uid="{00000000-0005-0000-0000-000040880000}"/>
    <cellStyle name="Normal 51 4 3 2" xfId="972" xr:uid="{00000000-0005-0000-0000-000041880000}"/>
    <cellStyle name="Normal 51 4 3 2 2" xfId="10804" xr:uid="{00000000-0005-0000-0000-000042880000}"/>
    <cellStyle name="Normal 51 4 3 2 2 2" xfId="2207" xr:uid="{00000000-0005-0000-0000-000043880000}"/>
    <cellStyle name="Normal 51 4 3 2 2 2 2" xfId="38233" xr:uid="{00000000-0005-0000-0000-000044880000}"/>
    <cellStyle name="Normal 51 4 3 2 2 3" xfId="38235" xr:uid="{00000000-0005-0000-0000-000045880000}"/>
    <cellStyle name="Normal 51 4 3 2 3" xfId="10813" xr:uid="{00000000-0005-0000-0000-000046880000}"/>
    <cellStyle name="Normal 51 4 3 2 3 2" xfId="2793" xr:uid="{00000000-0005-0000-0000-000047880000}"/>
    <cellStyle name="Normal 51 4 3 2 4" xfId="10823" xr:uid="{00000000-0005-0000-0000-000048880000}"/>
    <cellStyle name="Normal 51 4 3 3" xfId="18144" xr:uid="{00000000-0005-0000-0000-000049880000}"/>
    <cellStyle name="Normal 51 4 3 3 2" xfId="10895" xr:uid="{00000000-0005-0000-0000-00004A880000}"/>
    <cellStyle name="Normal 51 4 3 3 2 2" xfId="38240" xr:uid="{00000000-0005-0000-0000-00004B880000}"/>
    <cellStyle name="Normal 51 4 3 3 3" xfId="38242" xr:uid="{00000000-0005-0000-0000-00004C880000}"/>
    <cellStyle name="Normal 51 4 3 4" xfId="13573" xr:uid="{00000000-0005-0000-0000-00004D880000}"/>
    <cellStyle name="Normal 51 4 3 4 2" xfId="18151" xr:uid="{00000000-0005-0000-0000-00004E880000}"/>
    <cellStyle name="Normal 51 4 3 4 2 2" xfId="38245" xr:uid="{00000000-0005-0000-0000-00004F880000}"/>
    <cellStyle name="Normal 51 4 3 4 3" xfId="38248" xr:uid="{00000000-0005-0000-0000-000050880000}"/>
    <cellStyle name="Normal 51 4 3 5" xfId="18155" xr:uid="{00000000-0005-0000-0000-000051880000}"/>
    <cellStyle name="Normal 51 4 3 5 2" xfId="38251" xr:uid="{00000000-0005-0000-0000-000052880000}"/>
    <cellStyle name="Normal 51 4 3 6" xfId="18161" xr:uid="{00000000-0005-0000-0000-000053880000}"/>
    <cellStyle name="Normal 51 4 3 6 2" xfId="38254" xr:uid="{00000000-0005-0000-0000-000054880000}"/>
    <cellStyle name="Normal 51 4 3 7" xfId="38258" xr:uid="{00000000-0005-0000-0000-000055880000}"/>
    <cellStyle name="Normal 51 4 3 8" xfId="38261" xr:uid="{00000000-0005-0000-0000-000056880000}"/>
    <cellStyle name="Normal 51 4 4" xfId="765" xr:uid="{00000000-0005-0000-0000-000057880000}"/>
    <cellStyle name="Normal 51 4 4 2" xfId="1031" xr:uid="{00000000-0005-0000-0000-000058880000}"/>
    <cellStyle name="Normal 51 4 4 2 2" xfId="10997" xr:uid="{00000000-0005-0000-0000-000059880000}"/>
    <cellStyle name="Normal 51 4 4 2 2 2" xfId="35661" xr:uid="{00000000-0005-0000-0000-00005A880000}"/>
    <cellStyle name="Normal 51 4 4 2 3" xfId="38263" xr:uid="{00000000-0005-0000-0000-00005B880000}"/>
    <cellStyle name="Normal 51 4 4 3" xfId="18175" xr:uid="{00000000-0005-0000-0000-00005C880000}"/>
    <cellStyle name="Normal 51 4 4 3 2" xfId="38265" xr:uid="{00000000-0005-0000-0000-00005D880000}"/>
    <cellStyle name="Normal 51 4 4 4" xfId="18180" xr:uid="{00000000-0005-0000-0000-00005E880000}"/>
    <cellStyle name="Normal 51 4 5" xfId="404" xr:uid="{00000000-0005-0000-0000-00005F880000}"/>
    <cellStyle name="Normal 51 4 5 2" xfId="18186" xr:uid="{00000000-0005-0000-0000-000060880000}"/>
    <cellStyle name="Normal 51 4 5 2 2" xfId="38267" xr:uid="{00000000-0005-0000-0000-000061880000}"/>
    <cellStyle name="Normal 51 4 5 3" xfId="33306" xr:uid="{00000000-0005-0000-0000-000062880000}"/>
    <cellStyle name="Normal 51 4 6" xfId="38269" xr:uid="{00000000-0005-0000-0000-000063880000}"/>
    <cellStyle name="Normal 51 4 6 2" xfId="38271" xr:uid="{00000000-0005-0000-0000-000064880000}"/>
    <cellStyle name="Normal 51 4 6 2 2" xfId="38273" xr:uid="{00000000-0005-0000-0000-000065880000}"/>
    <cellStyle name="Normal 51 4 6 3" xfId="38275" xr:uid="{00000000-0005-0000-0000-000066880000}"/>
    <cellStyle name="Normal 51 4 7" xfId="38277" xr:uid="{00000000-0005-0000-0000-000067880000}"/>
    <cellStyle name="Normal 51 4 7 2" xfId="38279" xr:uid="{00000000-0005-0000-0000-000068880000}"/>
    <cellStyle name="Normal 51 4 8" xfId="38281" xr:uid="{00000000-0005-0000-0000-000069880000}"/>
    <cellStyle name="Normal 51 4 8 2" xfId="38283" xr:uid="{00000000-0005-0000-0000-00006A880000}"/>
    <cellStyle name="Normal 51 4 9" xfId="38285" xr:uid="{00000000-0005-0000-0000-00006B880000}"/>
    <cellStyle name="Normal 51 5" xfId="24116" xr:uid="{00000000-0005-0000-0000-00006C880000}"/>
    <cellStyle name="Normal 51 5 2" xfId="1180" xr:uid="{00000000-0005-0000-0000-00006D880000}"/>
    <cellStyle name="Normal 51 5 2 2" xfId="1195" xr:uid="{00000000-0005-0000-0000-00006E880000}"/>
    <cellStyle name="Normal 51 5 2 2 2" xfId="6888" xr:uid="{00000000-0005-0000-0000-00006F880000}"/>
    <cellStyle name="Normal 51 5 2 2 2 2" xfId="38287" xr:uid="{00000000-0005-0000-0000-000070880000}"/>
    <cellStyle name="Normal 51 5 2 2 2 2 2" xfId="32248" xr:uid="{00000000-0005-0000-0000-000071880000}"/>
    <cellStyle name="Normal 51 5 2 2 2 3" xfId="38289" xr:uid="{00000000-0005-0000-0000-000072880000}"/>
    <cellStyle name="Normal 51 5 2 2 3" xfId="38291" xr:uid="{00000000-0005-0000-0000-000073880000}"/>
    <cellStyle name="Normal 51 5 2 2 3 2" xfId="20992" xr:uid="{00000000-0005-0000-0000-000074880000}"/>
    <cellStyle name="Normal 51 5 2 2 4" xfId="7745" xr:uid="{00000000-0005-0000-0000-000075880000}"/>
    <cellStyle name="Normal 51 5 2 2 5" xfId="5238" xr:uid="{00000000-0005-0000-0000-000076880000}"/>
    <cellStyle name="Normal 51 5 2 3" xfId="33332" xr:uid="{00000000-0005-0000-0000-000077880000}"/>
    <cellStyle name="Normal 51 5 2 3 2" xfId="6909" xr:uid="{00000000-0005-0000-0000-000078880000}"/>
    <cellStyle name="Normal 51 5 2 3 2 2" xfId="35584" xr:uid="{00000000-0005-0000-0000-000079880000}"/>
    <cellStyle name="Normal 51 5 2 3 3" xfId="38293" xr:uid="{00000000-0005-0000-0000-00007A880000}"/>
    <cellStyle name="Normal 51 5 2 4" xfId="34405" xr:uid="{00000000-0005-0000-0000-00007B880000}"/>
    <cellStyle name="Normal 51 5 2 4 2" xfId="38296" xr:uid="{00000000-0005-0000-0000-00007C880000}"/>
    <cellStyle name="Normal 51 5 2 4 2 2" xfId="38299" xr:uid="{00000000-0005-0000-0000-00007D880000}"/>
    <cellStyle name="Normal 51 5 2 4 3" xfId="38302" xr:uid="{00000000-0005-0000-0000-00007E880000}"/>
    <cellStyle name="Normal 51 5 2 5" xfId="38305" xr:uid="{00000000-0005-0000-0000-00007F880000}"/>
    <cellStyle name="Normal 51 5 2 5 2" xfId="38308" xr:uid="{00000000-0005-0000-0000-000080880000}"/>
    <cellStyle name="Normal 51 5 2 6" xfId="38311" xr:uid="{00000000-0005-0000-0000-000081880000}"/>
    <cellStyle name="Normal 51 5 2 6 2" xfId="29747" xr:uid="{00000000-0005-0000-0000-000082880000}"/>
    <cellStyle name="Normal 51 5 2 7" xfId="38314" xr:uid="{00000000-0005-0000-0000-000083880000}"/>
    <cellStyle name="Normal 51 5 2 8" xfId="38317" xr:uid="{00000000-0005-0000-0000-000084880000}"/>
    <cellStyle name="Normal 51 5 3" xfId="1256" xr:uid="{00000000-0005-0000-0000-000085880000}"/>
    <cellStyle name="Normal 51 5 3 2" xfId="1269" xr:uid="{00000000-0005-0000-0000-000086880000}"/>
    <cellStyle name="Normal 51 5 3 2 2" xfId="7114" xr:uid="{00000000-0005-0000-0000-000087880000}"/>
    <cellStyle name="Normal 51 5 3 2 2 2" xfId="38319" xr:uid="{00000000-0005-0000-0000-000088880000}"/>
    <cellStyle name="Normal 51 5 3 2 3" xfId="38321" xr:uid="{00000000-0005-0000-0000-000089880000}"/>
    <cellStyle name="Normal 51 5 3 3" xfId="34410" xr:uid="{00000000-0005-0000-0000-00008A880000}"/>
    <cellStyle name="Normal 51 5 3 3 2" xfId="7142" xr:uid="{00000000-0005-0000-0000-00008B880000}"/>
    <cellStyle name="Normal 51 5 3 4" xfId="34416" xr:uid="{00000000-0005-0000-0000-00008C880000}"/>
    <cellStyle name="Normal 51 5 3 5" xfId="38324" xr:uid="{00000000-0005-0000-0000-00008D880000}"/>
    <cellStyle name="Normal 51 5 4" xfId="38326" xr:uid="{00000000-0005-0000-0000-00008E880000}"/>
    <cellStyle name="Normal 51 5 4 2" xfId="38330" xr:uid="{00000000-0005-0000-0000-00008F880000}"/>
    <cellStyle name="Normal 51 5 4 2 2" xfId="5338" xr:uid="{00000000-0005-0000-0000-000090880000}"/>
    <cellStyle name="Normal 51 5 4 3" xfId="34424" xr:uid="{00000000-0005-0000-0000-000091880000}"/>
    <cellStyle name="Normal 51 5 5" xfId="38332" xr:uid="{00000000-0005-0000-0000-000092880000}"/>
    <cellStyle name="Normal 51 5 5 2" xfId="38336" xr:uid="{00000000-0005-0000-0000-000093880000}"/>
    <cellStyle name="Normal 51 5 5 2 2" xfId="7459" xr:uid="{00000000-0005-0000-0000-000094880000}"/>
    <cellStyle name="Normal 51 5 5 3" xfId="34431" xr:uid="{00000000-0005-0000-0000-000095880000}"/>
    <cellStyle name="Normal 51 5 6" xfId="12374" xr:uid="{00000000-0005-0000-0000-000096880000}"/>
    <cellStyle name="Normal 51 5 6 2" xfId="5380" xr:uid="{00000000-0005-0000-0000-000097880000}"/>
    <cellStyle name="Normal 51 5 7" xfId="17857" xr:uid="{00000000-0005-0000-0000-000098880000}"/>
    <cellStyle name="Normal 51 5 7 2" xfId="12340" xr:uid="{00000000-0005-0000-0000-000099880000}"/>
    <cellStyle name="Normal 51 5 8" xfId="15170" xr:uid="{00000000-0005-0000-0000-00009A880000}"/>
    <cellStyle name="Normal 51 5 9" xfId="17862" xr:uid="{00000000-0005-0000-0000-00009B880000}"/>
    <cellStyle name="Normal 51 6" xfId="26101" xr:uid="{00000000-0005-0000-0000-00009C880000}"/>
    <cellStyle name="Normal 51 6 2" xfId="1314" xr:uid="{00000000-0005-0000-0000-00009D880000}"/>
    <cellStyle name="Normal 51 6 2 2" xfId="1334" xr:uid="{00000000-0005-0000-0000-00009E880000}"/>
    <cellStyle name="Normal 51 6 2 2 2" xfId="13520" xr:uid="{00000000-0005-0000-0000-00009F880000}"/>
    <cellStyle name="Normal 51 6 2 2 2 2" xfId="21414" xr:uid="{00000000-0005-0000-0000-0000A0880000}"/>
    <cellStyle name="Normal 51 6 2 2 2 2 2" xfId="26788" xr:uid="{00000000-0005-0000-0000-0000A1880000}"/>
    <cellStyle name="Normal 51 6 2 2 2 3" xfId="22715" xr:uid="{00000000-0005-0000-0000-0000A2880000}"/>
    <cellStyle name="Normal 51 6 2 2 3" xfId="21418" xr:uid="{00000000-0005-0000-0000-0000A3880000}"/>
    <cellStyle name="Normal 51 6 2 2 3 2" xfId="26995" xr:uid="{00000000-0005-0000-0000-0000A4880000}"/>
    <cellStyle name="Normal 51 6 2 2 4" xfId="8651" xr:uid="{00000000-0005-0000-0000-0000A5880000}"/>
    <cellStyle name="Normal 51 6 2 3" xfId="34456" xr:uid="{00000000-0005-0000-0000-0000A6880000}"/>
    <cellStyle name="Normal 51 6 2 3 2" xfId="27994" xr:uid="{00000000-0005-0000-0000-0000A7880000}"/>
    <cellStyle name="Normal 51 6 2 3 2 2" xfId="28001" xr:uid="{00000000-0005-0000-0000-0000A8880000}"/>
    <cellStyle name="Normal 51 6 2 3 3" xfId="28463" xr:uid="{00000000-0005-0000-0000-0000A9880000}"/>
    <cellStyle name="Normal 51 6 2 4" xfId="34462" xr:uid="{00000000-0005-0000-0000-0000AA880000}"/>
    <cellStyle name="Normal 51 6 2 4 2" xfId="29912" xr:uid="{00000000-0005-0000-0000-0000AB880000}"/>
    <cellStyle name="Normal 51 6 2 4 2 2" xfId="29924" xr:uid="{00000000-0005-0000-0000-0000AC880000}"/>
    <cellStyle name="Normal 51 6 2 4 3" xfId="30433" xr:uid="{00000000-0005-0000-0000-0000AD880000}"/>
    <cellStyle name="Normal 51 6 2 5" xfId="38339" xr:uid="{00000000-0005-0000-0000-0000AE880000}"/>
    <cellStyle name="Normal 51 6 2 5 2" xfId="31817" xr:uid="{00000000-0005-0000-0000-0000AF880000}"/>
    <cellStyle name="Normal 51 6 2 6" xfId="38342" xr:uid="{00000000-0005-0000-0000-0000B0880000}"/>
    <cellStyle name="Normal 51 6 2 6 2" xfId="30161" xr:uid="{00000000-0005-0000-0000-0000B1880000}"/>
    <cellStyle name="Normal 51 6 2 7" xfId="38345" xr:uid="{00000000-0005-0000-0000-0000B2880000}"/>
    <cellStyle name="Normal 51 6 2 8" xfId="38348" xr:uid="{00000000-0005-0000-0000-0000B3880000}"/>
    <cellStyle name="Normal 51 6 3" xfId="256" xr:uid="{00000000-0005-0000-0000-0000B4880000}"/>
    <cellStyle name="Normal 51 6 3 2" xfId="2848" xr:uid="{00000000-0005-0000-0000-0000B5880000}"/>
    <cellStyle name="Normal 51 6 3 2 2" xfId="38352" xr:uid="{00000000-0005-0000-0000-0000B6880000}"/>
    <cellStyle name="Normal 51 6 3 2 2 2" xfId="38354" xr:uid="{00000000-0005-0000-0000-0000B7880000}"/>
    <cellStyle name="Normal 51 6 3 2 3" xfId="38356" xr:uid="{00000000-0005-0000-0000-0000B8880000}"/>
    <cellStyle name="Normal 51 6 3 3" xfId="34469" xr:uid="{00000000-0005-0000-0000-0000B9880000}"/>
    <cellStyle name="Normal 51 6 3 3 2" xfId="38358" xr:uid="{00000000-0005-0000-0000-0000BA880000}"/>
    <cellStyle name="Normal 51 6 3 4" xfId="38361" xr:uid="{00000000-0005-0000-0000-0000BB880000}"/>
    <cellStyle name="Normal 51 6 4" xfId="2879" xr:uid="{00000000-0005-0000-0000-0000BC880000}"/>
    <cellStyle name="Normal 51 6 4 2" xfId="38366" xr:uid="{00000000-0005-0000-0000-0000BD880000}"/>
    <cellStyle name="Normal 51 6 4 2 2" xfId="38371" xr:uid="{00000000-0005-0000-0000-0000BE880000}"/>
    <cellStyle name="Normal 51 6 4 3" xfId="34479" xr:uid="{00000000-0005-0000-0000-0000BF880000}"/>
    <cellStyle name="Normal 51 6 5" xfId="1003" xr:uid="{00000000-0005-0000-0000-0000C0880000}"/>
    <cellStyle name="Normal 51 6 5 2" xfId="38376" xr:uid="{00000000-0005-0000-0000-0000C1880000}"/>
    <cellStyle name="Normal 51 6 5 2 2" xfId="38381" xr:uid="{00000000-0005-0000-0000-0000C2880000}"/>
    <cellStyle name="Normal 51 6 5 3" xfId="38387" xr:uid="{00000000-0005-0000-0000-0000C3880000}"/>
    <cellStyle name="Normal 51 6 6" xfId="12381" xr:uid="{00000000-0005-0000-0000-0000C4880000}"/>
    <cellStyle name="Normal 51 6 6 2" xfId="17873" xr:uid="{00000000-0005-0000-0000-0000C5880000}"/>
    <cellStyle name="Normal 51 6 7" xfId="17880" xr:uid="{00000000-0005-0000-0000-0000C6880000}"/>
    <cellStyle name="Normal 51 6 7 2" xfId="17885" xr:uid="{00000000-0005-0000-0000-0000C7880000}"/>
    <cellStyle name="Normal 51 6 8" xfId="17889" xr:uid="{00000000-0005-0000-0000-0000C8880000}"/>
    <cellStyle name="Normal 51 6 9" xfId="17894" xr:uid="{00000000-0005-0000-0000-0000C9880000}"/>
    <cellStyle name="Normal 51 7" xfId="36296" xr:uid="{00000000-0005-0000-0000-0000CA880000}"/>
    <cellStyle name="Normal 51 7 2" xfId="1394" xr:uid="{00000000-0005-0000-0000-0000CB880000}"/>
    <cellStyle name="Normal 51 7 2 2" xfId="1421" xr:uid="{00000000-0005-0000-0000-0000CC880000}"/>
    <cellStyle name="Normal 51 7 2 2 2" xfId="38390" xr:uid="{00000000-0005-0000-0000-0000CD880000}"/>
    <cellStyle name="Normal 51 7 2 2 2 2" xfId="38392" xr:uid="{00000000-0005-0000-0000-0000CE880000}"/>
    <cellStyle name="Normal 51 7 2 2 2 2 2" xfId="29563" xr:uid="{00000000-0005-0000-0000-0000CF880000}"/>
    <cellStyle name="Normal 51 7 2 2 2 3" xfId="11212" xr:uid="{00000000-0005-0000-0000-0000D0880000}"/>
    <cellStyle name="Normal 51 7 2 2 3" xfId="38394" xr:uid="{00000000-0005-0000-0000-0000D1880000}"/>
    <cellStyle name="Normal 51 7 2 2 3 2" xfId="38396" xr:uid="{00000000-0005-0000-0000-0000D2880000}"/>
    <cellStyle name="Normal 51 7 2 2 4" xfId="38398" xr:uid="{00000000-0005-0000-0000-0000D3880000}"/>
    <cellStyle name="Normal 51 7 2 3" xfId="34488" xr:uid="{00000000-0005-0000-0000-0000D4880000}"/>
    <cellStyle name="Normal 51 7 2 3 2" xfId="38400" xr:uid="{00000000-0005-0000-0000-0000D5880000}"/>
    <cellStyle name="Normal 51 7 2 3 2 2" xfId="31344" xr:uid="{00000000-0005-0000-0000-0000D6880000}"/>
    <cellStyle name="Normal 51 7 2 3 3" xfId="34283" xr:uid="{00000000-0005-0000-0000-0000D7880000}"/>
    <cellStyle name="Normal 51 7 2 4" xfId="15022" xr:uid="{00000000-0005-0000-0000-0000D8880000}"/>
    <cellStyle name="Normal 51 7 2 4 2" xfId="38402" xr:uid="{00000000-0005-0000-0000-0000D9880000}"/>
    <cellStyle name="Normal 51 7 2 4 2 2" xfId="38404" xr:uid="{00000000-0005-0000-0000-0000DA880000}"/>
    <cellStyle name="Normal 51 7 2 4 3" xfId="38406" xr:uid="{00000000-0005-0000-0000-0000DB880000}"/>
    <cellStyle name="Normal 51 7 2 5" xfId="37492" xr:uid="{00000000-0005-0000-0000-0000DC880000}"/>
    <cellStyle name="Normal 51 7 2 5 2" xfId="38408" xr:uid="{00000000-0005-0000-0000-0000DD880000}"/>
    <cellStyle name="Normal 51 7 2 6" xfId="22103" xr:uid="{00000000-0005-0000-0000-0000DE880000}"/>
    <cellStyle name="Normal 51 7 2 6 2" xfId="22108" xr:uid="{00000000-0005-0000-0000-0000DF880000}"/>
    <cellStyle name="Normal 51 7 2 7" xfId="22118" xr:uid="{00000000-0005-0000-0000-0000E0880000}"/>
    <cellStyle name="Normal 51 7 2 8" xfId="22127" xr:uid="{00000000-0005-0000-0000-0000E1880000}"/>
    <cellStyle name="Normal 51 7 3" xfId="1437" xr:uid="{00000000-0005-0000-0000-0000E2880000}"/>
    <cellStyle name="Normal 51 7 3 2" xfId="3290" xr:uid="{00000000-0005-0000-0000-0000E3880000}"/>
    <cellStyle name="Normal 51 7 3 2 2" xfId="38410" xr:uid="{00000000-0005-0000-0000-0000E4880000}"/>
    <cellStyle name="Normal 51 7 3 2 2 2" xfId="38412" xr:uid="{00000000-0005-0000-0000-0000E5880000}"/>
    <cellStyle name="Normal 51 7 3 2 3" xfId="28535" xr:uid="{00000000-0005-0000-0000-0000E6880000}"/>
    <cellStyle name="Normal 51 7 3 3" xfId="38414" xr:uid="{00000000-0005-0000-0000-0000E7880000}"/>
    <cellStyle name="Normal 51 7 3 3 2" xfId="38416" xr:uid="{00000000-0005-0000-0000-0000E8880000}"/>
    <cellStyle name="Normal 51 7 3 4" xfId="12458" xr:uid="{00000000-0005-0000-0000-0000E9880000}"/>
    <cellStyle name="Normal 51 7 4" xfId="3311" xr:uid="{00000000-0005-0000-0000-0000EA880000}"/>
    <cellStyle name="Normal 51 7 4 2" xfId="38420" xr:uid="{00000000-0005-0000-0000-0000EB880000}"/>
    <cellStyle name="Normal 51 7 4 2 2" xfId="38423" xr:uid="{00000000-0005-0000-0000-0000EC880000}"/>
    <cellStyle name="Normal 51 7 4 3" xfId="38427" xr:uid="{00000000-0005-0000-0000-0000ED880000}"/>
    <cellStyle name="Normal 51 7 5" xfId="38429" xr:uid="{00000000-0005-0000-0000-0000EE880000}"/>
    <cellStyle name="Normal 51 7 5 2" xfId="38432" xr:uid="{00000000-0005-0000-0000-0000EF880000}"/>
    <cellStyle name="Normal 51 7 5 2 2" xfId="38435" xr:uid="{00000000-0005-0000-0000-0000F0880000}"/>
    <cellStyle name="Normal 51 7 5 3" xfId="38439" xr:uid="{00000000-0005-0000-0000-0000F1880000}"/>
    <cellStyle name="Normal 51 7 6" xfId="17548" xr:uid="{00000000-0005-0000-0000-0000F2880000}"/>
    <cellStyle name="Normal 51 7 6 2" xfId="17554" xr:uid="{00000000-0005-0000-0000-0000F3880000}"/>
    <cellStyle name="Normal 51 7 7" xfId="17562" xr:uid="{00000000-0005-0000-0000-0000F4880000}"/>
    <cellStyle name="Normal 51 7 7 2" xfId="38443" xr:uid="{00000000-0005-0000-0000-0000F5880000}"/>
    <cellStyle name="Normal 51 7 8" xfId="37434" xr:uid="{00000000-0005-0000-0000-0000F6880000}"/>
    <cellStyle name="Normal 51 7 9" xfId="28172" xr:uid="{00000000-0005-0000-0000-0000F7880000}"/>
    <cellStyle name="Normal 51 8" xfId="38446" xr:uid="{00000000-0005-0000-0000-0000F8880000}"/>
    <cellStyle name="Normal 51 8 2" xfId="14" xr:uid="{00000000-0005-0000-0000-0000F9880000}"/>
    <cellStyle name="Normal 51 8 2 2" xfId="3467" xr:uid="{00000000-0005-0000-0000-0000FA880000}"/>
    <cellStyle name="Normal 51 8 2 2 2" xfId="38448" xr:uid="{00000000-0005-0000-0000-0000FB880000}"/>
    <cellStyle name="Normal 51 8 2 2 2 2" xfId="12768" xr:uid="{00000000-0005-0000-0000-0000FC880000}"/>
    <cellStyle name="Normal 51 8 2 2 3" xfId="13593" xr:uid="{00000000-0005-0000-0000-0000FD880000}"/>
    <cellStyle name="Normal 51 8 2 3" xfId="10964" xr:uid="{00000000-0005-0000-0000-0000FE880000}"/>
    <cellStyle name="Normal 51 8 2 3 2" xfId="38450" xr:uid="{00000000-0005-0000-0000-0000FF880000}"/>
    <cellStyle name="Normal 51 8 2 4" xfId="38452" xr:uid="{00000000-0005-0000-0000-000000890000}"/>
    <cellStyle name="Normal 51 8 3" xfId="3480" xr:uid="{00000000-0005-0000-0000-000001890000}"/>
    <cellStyle name="Normal 51 8 3 2" xfId="38454" xr:uid="{00000000-0005-0000-0000-000002890000}"/>
    <cellStyle name="Normal 51 8 3 2 2" xfId="38456" xr:uid="{00000000-0005-0000-0000-000003890000}"/>
    <cellStyle name="Normal 51 8 3 3" xfId="38458" xr:uid="{00000000-0005-0000-0000-000004890000}"/>
    <cellStyle name="Normal 51 8 4" xfId="38460" xr:uid="{00000000-0005-0000-0000-000005890000}"/>
    <cellStyle name="Normal 51 8 4 2" xfId="38463" xr:uid="{00000000-0005-0000-0000-000006890000}"/>
    <cellStyle name="Normal 51 8 4 2 2" xfId="38467" xr:uid="{00000000-0005-0000-0000-000007890000}"/>
    <cellStyle name="Normal 51 8 4 3" xfId="38470" xr:uid="{00000000-0005-0000-0000-000008890000}"/>
    <cellStyle name="Normal 51 8 5" xfId="38472" xr:uid="{00000000-0005-0000-0000-000009890000}"/>
    <cellStyle name="Normal 51 8 5 2" xfId="38476" xr:uid="{00000000-0005-0000-0000-00000A890000}"/>
    <cellStyle name="Normal 51 8 6" xfId="17579" xr:uid="{00000000-0005-0000-0000-00000B890000}"/>
    <cellStyle name="Normal 51 8 6 2" xfId="17585" xr:uid="{00000000-0005-0000-0000-00000C890000}"/>
    <cellStyle name="Normal 51 8 7" xfId="17591" xr:uid="{00000000-0005-0000-0000-00000D890000}"/>
    <cellStyle name="Normal 51 8 8" xfId="38478" xr:uid="{00000000-0005-0000-0000-00000E890000}"/>
    <cellStyle name="Normal 51 9" xfId="28334" xr:uid="{00000000-0005-0000-0000-00000F890000}"/>
    <cellStyle name="Normal 51 9 2" xfId="28338" xr:uid="{00000000-0005-0000-0000-000010890000}"/>
    <cellStyle name="Normal 51 9 2 2" xfId="4354" xr:uid="{00000000-0005-0000-0000-000011890000}"/>
    <cellStyle name="Normal 51 9 2 2 2" xfId="38480" xr:uid="{00000000-0005-0000-0000-000012890000}"/>
    <cellStyle name="Normal 51 9 2 3" xfId="4378" xr:uid="{00000000-0005-0000-0000-000013890000}"/>
    <cellStyle name="Normal 51 9 3" xfId="38482" xr:uid="{00000000-0005-0000-0000-000014890000}"/>
    <cellStyle name="Normal 51 9 3 2" xfId="4552" xr:uid="{00000000-0005-0000-0000-000015890000}"/>
    <cellStyle name="Normal 51 9 4" xfId="38484" xr:uid="{00000000-0005-0000-0000-000016890000}"/>
    <cellStyle name="Normal 52" xfId="38486" xr:uid="{00000000-0005-0000-0000-000017890000}"/>
    <cellStyle name="Normal 52 2" xfId="38499" xr:uid="{00000000-0005-0000-0000-000018890000}"/>
    <cellStyle name="Normal 53" xfId="38905" xr:uid="{00000000-0005-0000-0000-000019890000}"/>
    <cellStyle name="Normal 53 10" xfId="39993" xr:uid="{00000000-0005-0000-0000-00001A890000}"/>
    <cellStyle name="Normal 53 10 2" xfId="39994" xr:uid="{00000000-0005-0000-0000-00001B890000}"/>
    <cellStyle name="Normal 53 10 2 2" xfId="39995" xr:uid="{00000000-0005-0000-0000-00001C890000}"/>
    <cellStyle name="Normal 53 10 3" xfId="39996" xr:uid="{00000000-0005-0000-0000-00001D890000}"/>
    <cellStyle name="Normal 53 11" xfId="39997" xr:uid="{00000000-0005-0000-0000-00001E890000}"/>
    <cellStyle name="Normal 53 11 2" xfId="39998" xr:uid="{00000000-0005-0000-0000-00001F890000}"/>
    <cellStyle name="Normal 53 11 2 2" xfId="39999" xr:uid="{00000000-0005-0000-0000-000020890000}"/>
    <cellStyle name="Normal 53 11 3" xfId="3517" xr:uid="{00000000-0005-0000-0000-000021890000}"/>
    <cellStyle name="Normal 53 12" xfId="40000" xr:uid="{00000000-0005-0000-0000-000022890000}"/>
    <cellStyle name="Normal 53 12 2" xfId="40001" xr:uid="{00000000-0005-0000-0000-000023890000}"/>
    <cellStyle name="Normal 53 13" xfId="40002" xr:uid="{00000000-0005-0000-0000-000024890000}"/>
    <cellStyle name="Normal 53 13 2" xfId="40003" xr:uid="{00000000-0005-0000-0000-000025890000}"/>
    <cellStyle name="Normal 53 14" xfId="17057" xr:uid="{00000000-0005-0000-0000-000026890000}"/>
    <cellStyle name="Normal 53 14 2" xfId="15350" xr:uid="{00000000-0005-0000-0000-000027890000}"/>
    <cellStyle name="Normal 53 15" xfId="17062" xr:uid="{00000000-0005-0000-0000-000028890000}"/>
    <cellStyle name="Normal 53 16" xfId="9653" xr:uid="{00000000-0005-0000-0000-000029890000}"/>
    <cellStyle name="Normal 53 2" xfId="38907" xr:uid="{00000000-0005-0000-0000-00002A890000}"/>
    <cellStyle name="Normal 53 2 10" xfId="40004" xr:uid="{00000000-0005-0000-0000-00002B890000}"/>
    <cellStyle name="Normal 53 2 10 2" xfId="40005" xr:uid="{00000000-0005-0000-0000-00002C890000}"/>
    <cellStyle name="Normal 53 2 11" xfId="40006" xr:uid="{00000000-0005-0000-0000-00002D890000}"/>
    <cellStyle name="Normal 53 2 11 2" xfId="40007" xr:uid="{00000000-0005-0000-0000-00002E890000}"/>
    <cellStyle name="Normal 53 2 12" xfId="40008" xr:uid="{00000000-0005-0000-0000-00002F890000}"/>
    <cellStyle name="Normal 53 2 12 2" xfId="40009" xr:uid="{00000000-0005-0000-0000-000030890000}"/>
    <cellStyle name="Normal 53 2 13" xfId="40010" xr:uid="{00000000-0005-0000-0000-000031890000}"/>
    <cellStyle name="Normal 53 2 14" xfId="40011" xr:uid="{00000000-0005-0000-0000-000032890000}"/>
    <cellStyle name="Normal 53 2 2" xfId="40012" xr:uid="{00000000-0005-0000-0000-000033890000}"/>
    <cellStyle name="Normal 53 2 2 10" xfId="40013" xr:uid="{00000000-0005-0000-0000-000034890000}"/>
    <cellStyle name="Normal 53 2 2 2" xfId="40014" xr:uid="{00000000-0005-0000-0000-000035890000}"/>
    <cellStyle name="Normal 53 2 2 2 2" xfId="40015" xr:uid="{00000000-0005-0000-0000-000036890000}"/>
    <cellStyle name="Normal 53 2 2 2 2 2" xfId="40016" xr:uid="{00000000-0005-0000-0000-000037890000}"/>
    <cellStyle name="Normal 53 2 2 2 2 2 2" xfId="40017" xr:uid="{00000000-0005-0000-0000-000038890000}"/>
    <cellStyle name="Normal 53 2 2 2 2 2 2 2" xfId="40018" xr:uid="{00000000-0005-0000-0000-000039890000}"/>
    <cellStyle name="Normal 53 2 2 2 2 2 2 2 2" xfId="40019" xr:uid="{00000000-0005-0000-0000-00003A890000}"/>
    <cellStyle name="Normal 53 2 2 2 2 2 2 3" xfId="40023" xr:uid="{00000000-0005-0000-0000-00003B890000}"/>
    <cellStyle name="Normal 53 2 2 2 2 2 3" xfId="40024" xr:uid="{00000000-0005-0000-0000-00003C890000}"/>
    <cellStyle name="Normal 53 2 2 2 2 2 3 2" xfId="40025" xr:uid="{00000000-0005-0000-0000-00003D890000}"/>
    <cellStyle name="Normal 53 2 2 2 2 2 4" xfId="26314" xr:uid="{00000000-0005-0000-0000-00003E890000}"/>
    <cellStyle name="Normal 53 2 2 2 2 3" xfId="40026" xr:uid="{00000000-0005-0000-0000-00003F890000}"/>
    <cellStyle name="Normal 53 2 2 2 2 3 2" xfId="40027" xr:uid="{00000000-0005-0000-0000-000040890000}"/>
    <cellStyle name="Normal 53 2 2 2 2 3 2 2" xfId="40028" xr:uid="{00000000-0005-0000-0000-000041890000}"/>
    <cellStyle name="Normal 53 2 2 2 2 3 3" xfId="40029" xr:uid="{00000000-0005-0000-0000-000042890000}"/>
    <cellStyle name="Normal 53 2 2 2 2 4" xfId="40030" xr:uid="{00000000-0005-0000-0000-000043890000}"/>
    <cellStyle name="Normal 53 2 2 2 2 4 2" xfId="40031" xr:uid="{00000000-0005-0000-0000-000044890000}"/>
    <cellStyle name="Normal 53 2 2 2 2 4 2 2" xfId="40032" xr:uid="{00000000-0005-0000-0000-000045890000}"/>
    <cellStyle name="Normal 53 2 2 2 2 4 3" xfId="40033" xr:uid="{00000000-0005-0000-0000-000046890000}"/>
    <cellStyle name="Normal 53 2 2 2 2 5" xfId="40034" xr:uid="{00000000-0005-0000-0000-000047890000}"/>
    <cellStyle name="Normal 53 2 2 2 2 5 2" xfId="40035" xr:uid="{00000000-0005-0000-0000-000048890000}"/>
    <cellStyle name="Normal 53 2 2 2 2 6" xfId="40036" xr:uid="{00000000-0005-0000-0000-000049890000}"/>
    <cellStyle name="Normal 53 2 2 2 2 6 2" xfId="40037" xr:uid="{00000000-0005-0000-0000-00004A890000}"/>
    <cellStyle name="Normal 53 2 2 2 2 7" xfId="32629" xr:uid="{00000000-0005-0000-0000-00004B890000}"/>
    <cellStyle name="Normal 53 2 2 2 2 8" xfId="32638" xr:uid="{00000000-0005-0000-0000-00004C890000}"/>
    <cellStyle name="Normal 53 2 2 2 3" xfId="40038" xr:uid="{00000000-0005-0000-0000-00004D890000}"/>
    <cellStyle name="Normal 53 2 2 2 3 2" xfId="15238" xr:uid="{00000000-0005-0000-0000-00004E890000}"/>
    <cellStyle name="Normal 53 2 2 2 3 2 2" xfId="15240" xr:uid="{00000000-0005-0000-0000-00004F890000}"/>
    <cellStyle name="Normal 53 2 2 2 3 2 2 2" xfId="15243" xr:uid="{00000000-0005-0000-0000-000050890000}"/>
    <cellStyle name="Normal 53 2 2 2 3 2 3" xfId="4147" xr:uid="{00000000-0005-0000-0000-000051890000}"/>
    <cellStyle name="Normal 53 2 2 2 3 3" xfId="15276" xr:uid="{00000000-0005-0000-0000-000052890000}"/>
    <cellStyle name="Normal 53 2 2 2 3 3 2" xfId="15282" xr:uid="{00000000-0005-0000-0000-000053890000}"/>
    <cellStyle name="Normal 53 2 2 2 3 4" xfId="15300" xr:uid="{00000000-0005-0000-0000-000054890000}"/>
    <cellStyle name="Normal 53 2 2 2 4" xfId="40039" xr:uid="{00000000-0005-0000-0000-000055890000}"/>
    <cellStyle name="Normal 53 2 2 2 4 2" xfId="15377" xr:uid="{00000000-0005-0000-0000-000056890000}"/>
    <cellStyle name="Normal 53 2 2 2 4 2 2" xfId="15380" xr:uid="{00000000-0005-0000-0000-000057890000}"/>
    <cellStyle name="Normal 53 2 2 2 4 3" xfId="15416" xr:uid="{00000000-0005-0000-0000-000058890000}"/>
    <cellStyle name="Normal 53 2 2 2 5" xfId="40040" xr:uid="{00000000-0005-0000-0000-000059890000}"/>
    <cellStyle name="Normal 53 2 2 2 5 2" xfId="15510" xr:uid="{00000000-0005-0000-0000-00005A890000}"/>
    <cellStyle name="Normal 53 2 2 2 5 2 2" xfId="15512" xr:uid="{00000000-0005-0000-0000-00005B890000}"/>
    <cellStyle name="Normal 53 2 2 2 5 3" xfId="15528" xr:uid="{00000000-0005-0000-0000-00005C890000}"/>
    <cellStyle name="Normal 53 2 2 2 6" xfId="40041" xr:uid="{00000000-0005-0000-0000-00005D890000}"/>
    <cellStyle name="Normal 53 2 2 2 6 2" xfId="15590" xr:uid="{00000000-0005-0000-0000-00005E890000}"/>
    <cellStyle name="Normal 53 2 2 2 7" xfId="40042" xr:uid="{00000000-0005-0000-0000-00005F890000}"/>
    <cellStyle name="Normal 53 2 2 2 7 2" xfId="15634" xr:uid="{00000000-0005-0000-0000-000060890000}"/>
    <cellStyle name="Normal 53 2 2 2 8" xfId="40043" xr:uid="{00000000-0005-0000-0000-000061890000}"/>
    <cellStyle name="Normal 53 2 2 2 9" xfId="12060" xr:uid="{00000000-0005-0000-0000-000062890000}"/>
    <cellStyle name="Normal 53 2 2 3" xfId="40044" xr:uid="{00000000-0005-0000-0000-000063890000}"/>
    <cellStyle name="Normal 53 2 2 3 2" xfId="40045" xr:uid="{00000000-0005-0000-0000-000064890000}"/>
    <cellStyle name="Normal 53 2 2 3 2 2" xfId="40046" xr:uid="{00000000-0005-0000-0000-000065890000}"/>
    <cellStyle name="Normal 53 2 2 3 2 2 2" xfId="40047" xr:uid="{00000000-0005-0000-0000-000066890000}"/>
    <cellStyle name="Normal 53 2 2 3 2 2 2 2" xfId="16710" xr:uid="{00000000-0005-0000-0000-000067890000}"/>
    <cellStyle name="Normal 53 2 2 3 2 2 3" xfId="40048" xr:uid="{00000000-0005-0000-0000-000068890000}"/>
    <cellStyle name="Normal 53 2 2 3 2 3" xfId="40049" xr:uid="{00000000-0005-0000-0000-000069890000}"/>
    <cellStyle name="Normal 53 2 2 3 2 3 2" xfId="40051" xr:uid="{00000000-0005-0000-0000-00006A890000}"/>
    <cellStyle name="Normal 53 2 2 3 2 4" xfId="40052" xr:uid="{00000000-0005-0000-0000-00006B890000}"/>
    <cellStyle name="Normal 53 2 2 3 3" xfId="40053" xr:uid="{00000000-0005-0000-0000-00006C890000}"/>
    <cellStyle name="Normal 53 2 2 3 3 2" xfId="13959" xr:uid="{00000000-0005-0000-0000-00006D890000}"/>
    <cellStyle name="Normal 53 2 2 3 3 2 2" xfId="13227" xr:uid="{00000000-0005-0000-0000-00006E890000}"/>
    <cellStyle name="Normal 53 2 2 3 3 3" xfId="15788" xr:uid="{00000000-0005-0000-0000-00006F890000}"/>
    <cellStyle name="Normal 53 2 2 3 4" xfId="40054" xr:uid="{00000000-0005-0000-0000-000070890000}"/>
    <cellStyle name="Normal 53 2 2 3 4 2" xfId="15840" xr:uid="{00000000-0005-0000-0000-000071890000}"/>
    <cellStyle name="Normal 53 2 2 3 4 2 2" xfId="15844" xr:uid="{00000000-0005-0000-0000-000072890000}"/>
    <cellStyle name="Normal 53 2 2 3 4 3" xfId="15862" xr:uid="{00000000-0005-0000-0000-000073890000}"/>
    <cellStyle name="Normal 53 2 2 3 5" xfId="40055" xr:uid="{00000000-0005-0000-0000-000074890000}"/>
    <cellStyle name="Normal 53 2 2 3 5 2" xfId="15883" xr:uid="{00000000-0005-0000-0000-000075890000}"/>
    <cellStyle name="Normal 53 2 2 3 6" xfId="40056" xr:uid="{00000000-0005-0000-0000-000076890000}"/>
    <cellStyle name="Normal 53 2 2 3 6 2" xfId="15895" xr:uid="{00000000-0005-0000-0000-000077890000}"/>
    <cellStyle name="Normal 53 2 2 3 7" xfId="40057" xr:uid="{00000000-0005-0000-0000-000078890000}"/>
    <cellStyle name="Normal 53 2 2 3 8" xfId="40058" xr:uid="{00000000-0005-0000-0000-000079890000}"/>
    <cellStyle name="Normal 53 2 2 4" xfId="40059" xr:uid="{00000000-0005-0000-0000-00007A890000}"/>
    <cellStyle name="Normal 53 2 2 4 2" xfId="40060" xr:uid="{00000000-0005-0000-0000-00007B890000}"/>
    <cellStyle name="Normal 53 2 2 4 2 2" xfId="40061" xr:uid="{00000000-0005-0000-0000-00007C890000}"/>
    <cellStyle name="Normal 53 2 2 4 2 2 2" xfId="11688" xr:uid="{00000000-0005-0000-0000-00007D890000}"/>
    <cellStyle name="Normal 53 2 2 4 2 3" xfId="40062" xr:uid="{00000000-0005-0000-0000-00007E890000}"/>
    <cellStyle name="Normal 53 2 2 4 3" xfId="40063" xr:uid="{00000000-0005-0000-0000-00007F890000}"/>
    <cellStyle name="Normal 53 2 2 4 3 2" xfId="15927" xr:uid="{00000000-0005-0000-0000-000080890000}"/>
    <cellStyle name="Normal 53 2 2 4 4" xfId="40064" xr:uid="{00000000-0005-0000-0000-000081890000}"/>
    <cellStyle name="Normal 53 2 2 5" xfId="40065" xr:uid="{00000000-0005-0000-0000-000082890000}"/>
    <cellStyle name="Normal 53 2 2 5 2" xfId="40066" xr:uid="{00000000-0005-0000-0000-000083890000}"/>
    <cellStyle name="Normal 53 2 2 5 2 2" xfId="40067" xr:uid="{00000000-0005-0000-0000-000084890000}"/>
    <cellStyle name="Normal 53 2 2 5 3" xfId="40068" xr:uid="{00000000-0005-0000-0000-000085890000}"/>
    <cellStyle name="Normal 53 2 2 6" xfId="13987" xr:uid="{00000000-0005-0000-0000-000086890000}"/>
    <cellStyle name="Normal 53 2 2 6 2" xfId="13992" xr:uid="{00000000-0005-0000-0000-000087890000}"/>
    <cellStyle name="Normal 53 2 2 6 2 2" xfId="40069" xr:uid="{00000000-0005-0000-0000-000088890000}"/>
    <cellStyle name="Normal 53 2 2 6 3" xfId="31036" xr:uid="{00000000-0005-0000-0000-000089890000}"/>
    <cellStyle name="Normal 53 2 2 7" xfId="11598" xr:uid="{00000000-0005-0000-0000-00008A890000}"/>
    <cellStyle name="Normal 53 2 2 7 2" xfId="40070" xr:uid="{00000000-0005-0000-0000-00008B890000}"/>
    <cellStyle name="Normal 53 2 2 8" xfId="40071" xr:uid="{00000000-0005-0000-0000-00008C890000}"/>
    <cellStyle name="Normal 53 2 2 8 2" xfId="29244" xr:uid="{00000000-0005-0000-0000-00008D890000}"/>
    <cellStyle name="Normal 53 2 2 9" xfId="40072" xr:uid="{00000000-0005-0000-0000-00008E890000}"/>
    <cellStyle name="Normal 53 2 3" xfId="40073" xr:uid="{00000000-0005-0000-0000-00008F890000}"/>
    <cellStyle name="Normal 53 2 3 2" xfId="40074" xr:uid="{00000000-0005-0000-0000-000090890000}"/>
    <cellStyle name="Normal 53 2 3 2 2" xfId="40075" xr:uid="{00000000-0005-0000-0000-000091890000}"/>
    <cellStyle name="Normal 53 2 3 2 2 2" xfId="40076" xr:uid="{00000000-0005-0000-0000-000092890000}"/>
    <cellStyle name="Normal 53 2 3 2 2 2 2" xfId="40077" xr:uid="{00000000-0005-0000-0000-000093890000}"/>
    <cellStyle name="Normal 53 2 3 2 2 2 2 2" xfId="40078" xr:uid="{00000000-0005-0000-0000-000094890000}"/>
    <cellStyle name="Normal 53 2 3 2 2 2 3" xfId="21912" xr:uid="{00000000-0005-0000-0000-000095890000}"/>
    <cellStyle name="Normal 53 2 3 2 2 3" xfId="40079" xr:uid="{00000000-0005-0000-0000-000096890000}"/>
    <cellStyle name="Normal 53 2 3 2 2 3 2" xfId="10626" xr:uid="{00000000-0005-0000-0000-000097890000}"/>
    <cellStyle name="Normal 53 2 3 2 2 4" xfId="40080" xr:uid="{00000000-0005-0000-0000-000098890000}"/>
    <cellStyle name="Normal 53 2 3 2 2 5" xfId="3159" xr:uid="{00000000-0005-0000-0000-000099890000}"/>
    <cellStyle name="Normal 53 2 3 2 3" xfId="40081" xr:uid="{00000000-0005-0000-0000-00009A890000}"/>
    <cellStyle name="Normal 53 2 3 2 3 2" xfId="12713" xr:uid="{00000000-0005-0000-0000-00009B890000}"/>
    <cellStyle name="Normal 53 2 3 2 3 2 2" xfId="12929" xr:uid="{00000000-0005-0000-0000-00009C890000}"/>
    <cellStyle name="Normal 53 2 3 2 3 3" xfId="7797" xr:uid="{00000000-0005-0000-0000-00009D890000}"/>
    <cellStyle name="Normal 53 2 3 2 4" xfId="40082" xr:uid="{00000000-0005-0000-0000-00009E890000}"/>
    <cellStyle name="Normal 53 2 3 2 4 2" xfId="12737" xr:uid="{00000000-0005-0000-0000-00009F890000}"/>
    <cellStyle name="Normal 53 2 3 2 4 2 2" xfId="12934" xr:uid="{00000000-0005-0000-0000-0000A0890000}"/>
    <cellStyle name="Normal 53 2 3 2 4 3" xfId="12746" xr:uid="{00000000-0005-0000-0000-0000A1890000}"/>
    <cellStyle name="Normal 53 2 3 2 5" xfId="40084" xr:uid="{00000000-0005-0000-0000-0000A2890000}"/>
    <cellStyle name="Normal 53 2 3 2 5 2" xfId="12770" xr:uid="{00000000-0005-0000-0000-0000A3890000}"/>
    <cellStyle name="Normal 53 2 3 2 6" xfId="40085" xr:uid="{00000000-0005-0000-0000-0000A4890000}"/>
    <cellStyle name="Normal 53 2 3 2 6 2" xfId="12803" xr:uid="{00000000-0005-0000-0000-0000A5890000}"/>
    <cellStyle name="Normal 53 2 3 2 7" xfId="40086" xr:uid="{00000000-0005-0000-0000-0000A6890000}"/>
    <cellStyle name="Normal 53 2 3 2 8" xfId="40087" xr:uid="{00000000-0005-0000-0000-0000A7890000}"/>
    <cellStyle name="Normal 53 2 3 3" xfId="40088" xr:uid="{00000000-0005-0000-0000-0000A8890000}"/>
    <cellStyle name="Normal 53 2 3 3 2" xfId="40089" xr:uid="{00000000-0005-0000-0000-0000A9890000}"/>
    <cellStyle name="Normal 53 2 3 3 2 2" xfId="40090" xr:uid="{00000000-0005-0000-0000-0000AA890000}"/>
    <cellStyle name="Normal 53 2 3 3 2 2 2" xfId="40091" xr:uid="{00000000-0005-0000-0000-0000AB890000}"/>
    <cellStyle name="Normal 53 2 3 3 2 3" xfId="40092" xr:uid="{00000000-0005-0000-0000-0000AC890000}"/>
    <cellStyle name="Normal 53 2 3 3 3" xfId="40093" xr:uid="{00000000-0005-0000-0000-0000AD890000}"/>
    <cellStyle name="Normal 53 2 3 3 3 2" xfId="12581" xr:uid="{00000000-0005-0000-0000-0000AE890000}"/>
    <cellStyle name="Normal 53 2 3 3 4" xfId="40094" xr:uid="{00000000-0005-0000-0000-0000AF890000}"/>
    <cellStyle name="Normal 53 2 3 3 5" xfId="40095" xr:uid="{00000000-0005-0000-0000-0000B0890000}"/>
    <cellStyle name="Normal 53 2 3 4" xfId="40096" xr:uid="{00000000-0005-0000-0000-0000B1890000}"/>
    <cellStyle name="Normal 53 2 3 4 2" xfId="40097" xr:uid="{00000000-0005-0000-0000-0000B2890000}"/>
    <cellStyle name="Normal 53 2 3 4 2 2" xfId="40098" xr:uid="{00000000-0005-0000-0000-0000B3890000}"/>
    <cellStyle name="Normal 53 2 3 4 3" xfId="40099" xr:uid="{00000000-0005-0000-0000-0000B4890000}"/>
    <cellStyle name="Normal 53 2 3 5" xfId="40100" xr:uid="{00000000-0005-0000-0000-0000B5890000}"/>
    <cellStyle name="Normal 53 2 3 5 2" xfId="40101" xr:uid="{00000000-0005-0000-0000-0000B6890000}"/>
    <cellStyle name="Normal 53 2 3 5 2 2" xfId="503" xr:uid="{00000000-0005-0000-0000-0000B7890000}"/>
    <cellStyle name="Normal 53 2 3 5 3" xfId="40102" xr:uid="{00000000-0005-0000-0000-0000B8890000}"/>
    <cellStyle name="Normal 53 2 3 6" xfId="24561" xr:uid="{00000000-0005-0000-0000-0000B9890000}"/>
    <cellStyle name="Normal 53 2 3 6 2" xfId="22645" xr:uid="{00000000-0005-0000-0000-0000BA890000}"/>
    <cellStyle name="Normal 53 2 3 7" xfId="6506" xr:uid="{00000000-0005-0000-0000-0000BB890000}"/>
    <cellStyle name="Normal 53 2 3 7 2" xfId="3423" xr:uid="{00000000-0005-0000-0000-0000BC890000}"/>
    <cellStyle name="Normal 53 2 3 8" xfId="6518" xr:uid="{00000000-0005-0000-0000-0000BD890000}"/>
    <cellStyle name="Normal 53 2 3 9" xfId="6522" xr:uid="{00000000-0005-0000-0000-0000BE890000}"/>
    <cellStyle name="Normal 53 2 4" xfId="40103" xr:uid="{00000000-0005-0000-0000-0000BF890000}"/>
    <cellStyle name="Normal 53 2 4 2" xfId="40104" xr:uid="{00000000-0005-0000-0000-0000C0890000}"/>
    <cellStyle name="Normal 53 2 4 2 2" xfId="40105" xr:uid="{00000000-0005-0000-0000-0000C1890000}"/>
    <cellStyle name="Normal 53 2 4 2 2 2" xfId="40106" xr:uid="{00000000-0005-0000-0000-0000C2890000}"/>
    <cellStyle name="Normal 53 2 4 2 2 2 2" xfId="40107" xr:uid="{00000000-0005-0000-0000-0000C3890000}"/>
    <cellStyle name="Normal 53 2 4 2 2 2 2 2" xfId="40108" xr:uid="{00000000-0005-0000-0000-0000C4890000}"/>
    <cellStyle name="Normal 53 2 4 2 2 2 3" xfId="22241" xr:uid="{00000000-0005-0000-0000-0000C5890000}"/>
    <cellStyle name="Normal 53 2 4 2 2 3" xfId="37003" xr:uid="{00000000-0005-0000-0000-0000C6890000}"/>
    <cellStyle name="Normal 53 2 4 2 2 3 2" xfId="40109" xr:uid="{00000000-0005-0000-0000-0000C7890000}"/>
    <cellStyle name="Normal 53 2 4 2 2 4" xfId="40111" xr:uid="{00000000-0005-0000-0000-0000C8890000}"/>
    <cellStyle name="Normal 53 2 4 2 3" xfId="40112" xr:uid="{00000000-0005-0000-0000-0000C9890000}"/>
    <cellStyle name="Normal 53 2 4 2 3 2" xfId="11451" xr:uid="{00000000-0005-0000-0000-0000CA890000}"/>
    <cellStyle name="Normal 53 2 4 2 3 2 2" xfId="5732" xr:uid="{00000000-0005-0000-0000-0000CB890000}"/>
    <cellStyle name="Normal 53 2 4 2 3 3" xfId="11457" xr:uid="{00000000-0005-0000-0000-0000CC890000}"/>
    <cellStyle name="Normal 53 2 4 2 4" xfId="40113" xr:uid="{00000000-0005-0000-0000-0000CD890000}"/>
    <cellStyle name="Normal 53 2 4 2 4 2" xfId="16603" xr:uid="{00000000-0005-0000-0000-0000CE890000}"/>
    <cellStyle name="Normal 53 2 4 2 4 2 2" xfId="30062" xr:uid="{00000000-0005-0000-0000-0000CF890000}"/>
    <cellStyle name="Normal 53 2 4 2 4 3" xfId="16607" xr:uid="{00000000-0005-0000-0000-0000D0890000}"/>
    <cellStyle name="Normal 53 2 4 2 5" xfId="40114" xr:uid="{00000000-0005-0000-0000-0000D1890000}"/>
    <cellStyle name="Normal 53 2 4 2 5 2" xfId="16614" xr:uid="{00000000-0005-0000-0000-0000D2890000}"/>
    <cellStyle name="Normal 53 2 4 2 6" xfId="39546" xr:uid="{00000000-0005-0000-0000-0000D3890000}"/>
    <cellStyle name="Normal 53 2 4 2 6 2" xfId="28676" xr:uid="{00000000-0005-0000-0000-0000D4890000}"/>
    <cellStyle name="Normal 53 2 4 2 7" xfId="40115" xr:uid="{00000000-0005-0000-0000-0000D5890000}"/>
    <cellStyle name="Normal 53 2 4 2 8" xfId="40116" xr:uid="{00000000-0005-0000-0000-0000D6890000}"/>
    <cellStyle name="Normal 53 2 4 3" xfId="40117" xr:uid="{00000000-0005-0000-0000-0000D7890000}"/>
    <cellStyle name="Normal 53 2 4 3 2" xfId="40118" xr:uid="{00000000-0005-0000-0000-0000D8890000}"/>
    <cellStyle name="Normal 53 2 4 3 2 2" xfId="40119" xr:uid="{00000000-0005-0000-0000-0000D9890000}"/>
    <cellStyle name="Normal 53 2 4 3 2 2 2" xfId="40120" xr:uid="{00000000-0005-0000-0000-0000DA890000}"/>
    <cellStyle name="Normal 53 2 4 3 2 3" xfId="40121" xr:uid="{00000000-0005-0000-0000-0000DB890000}"/>
    <cellStyle name="Normal 53 2 4 3 3" xfId="40122" xr:uid="{00000000-0005-0000-0000-0000DC890000}"/>
    <cellStyle name="Normal 53 2 4 3 3 2" xfId="9145" xr:uid="{00000000-0005-0000-0000-0000DD890000}"/>
    <cellStyle name="Normal 53 2 4 3 4" xfId="40123" xr:uid="{00000000-0005-0000-0000-0000DE890000}"/>
    <cellStyle name="Normal 53 2 4 4" xfId="40124" xr:uid="{00000000-0005-0000-0000-0000DF890000}"/>
    <cellStyle name="Normal 53 2 4 4 2" xfId="40125" xr:uid="{00000000-0005-0000-0000-0000E0890000}"/>
    <cellStyle name="Normal 53 2 4 4 2 2" xfId="40126" xr:uid="{00000000-0005-0000-0000-0000E1890000}"/>
    <cellStyle name="Normal 53 2 4 4 3" xfId="40127" xr:uid="{00000000-0005-0000-0000-0000E2890000}"/>
    <cellStyle name="Normal 53 2 4 5" xfId="40128" xr:uid="{00000000-0005-0000-0000-0000E3890000}"/>
    <cellStyle name="Normal 53 2 4 5 2" xfId="40129" xr:uid="{00000000-0005-0000-0000-0000E4890000}"/>
    <cellStyle name="Normal 53 2 4 5 2 2" xfId="8526" xr:uid="{00000000-0005-0000-0000-0000E5890000}"/>
    <cellStyle name="Normal 53 2 4 5 3" xfId="40130" xr:uid="{00000000-0005-0000-0000-0000E6890000}"/>
    <cellStyle name="Normal 53 2 4 6" xfId="24566" xr:uid="{00000000-0005-0000-0000-0000E7890000}"/>
    <cellStyle name="Normal 53 2 4 6 2" xfId="40131" xr:uid="{00000000-0005-0000-0000-0000E8890000}"/>
    <cellStyle name="Normal 53 2 4 7" xfId="40132" xr:uid="{00000000-0005-0000-0000-0000E9890000}"/>
    <cellStyle name="Normal 53 2 4 7 2" xfId="40133" xr:uid="{00000000-0005-0000-0000-0000EA890000}"/>
    <cellStyle name="Normal 53 2 4 8" xfId="40134" xr:uid="{00000000-0005-0000-0000-0000EB890000}"/>
    <cellStyle name="Normal 53 2 4 9" xfId="40135" xr:uid="{00000000-0005-0000-0000-0000EC890000}"/>
    <cellStyle name="Normal 53 2 5" xfId="40136" xr:uid="{00000000-0005-0000-0000-0000ED890000}"/>
    <cellStyle name="Normal 53 2 5 2" xfId="40137" xr:uid="{00000000-0005-0000-0000-0000EE890000}"/>
    <cellStyle name="Normal 53 2 5 2 2" xfId="40138" xr:uid="{00000000-0005-0000-0000-0000EF890000}"/>
    <cellStyle name="Normal 53 2 5 2 2 2" xfId="40139" xr:uid="{00000000-0005-0000-0000-0000F0890000}"/>
    <cellStyle name="Normal 53 2 5 2 2 2 2" xfId="16015" xr:uid="{00000000-0005-0000-0000-0000F1890000}"/>
    <cellStyle name="Normal 53 2 5 2 2 2 2 2" xfId="16023" xr:uid="{00000000-0005-0000-0000-0000F2890000}"/>
    <cellStyle name="Normal 53 2 5 2 2 2 3" xfId="16026" xr:uid="{00000000-0005-0000-0000-0000F3890000}"/>
    <cellStyle name="Normal 53 2 5 2 2 3" xfId="40140" xr:uid="{00000000-0005-0000-0000-0000F4890000}"/>
    <cellStyle name="Normal 53 2 5 2 2 3 2" xfId="16142" xr:uid="{00000000-0005-0000-0000-0000F5890000}"/>
    <cellStyle name="Normal 53 2 5 2 2 4" xfId="40142" xr:uid="{00000000-0005-0000-0000-0000F6890000}"/>
    <cellStyle name="Normal 53 2 5 2 3" xfId="40143" xr:uid="{00000000-0005-0000-0000-0000F7890000}"/>
    <cellStyle name="Normal 53 2 5 2 3 2" xfId="16727" xr:uid="{00000000-0005-0000-0000-0000F8890000}"/>
    <cellStyle name="Normal 53 2 5 2 3 2 2" xfId="16514" xr:uid="{00000000-0005-0000-0000-0000F9890000}"/>
    <cellStyle name="Normal 53 2 5 2 3 3" xfId="16729" xr:uid="{00000000-0005-0000-0000-0000FA890000}"/>
    <cellStyle name="Normal 53 2 5 2 4" xfId="40144" xr:uid="{00000000-0005-0000-0000-0000FB890000}"/>
    <cellStyle name="Normal 53 2 5 2 4 2" xfId="40145" xr:uid="{00000000-0005-0000-0000-0000FC890000}"/>
    <cellStyle name="Normal 53 2 5 2 4 2 2" xfId="16666" xr:uid="{00000000-0005-0000-0000-0000FD890000}"/>
    <cellStyle name="Normal 53 2 5 2 4 3" xfId="40146" xr:uid="{00000000-0005-0000-0000-0000FE890000}"/>
    <cellStyle name="Normal 53 2 5 2 5" xfId="38465" xr:uid="{00000000-0005-0000-0000-0000FF890000}"/>
    <cellStyle name="Normal 53 2 5 2 5 2" xfId="39261" xr:uid="{00000000-0005-0000-0000-0000008A0000}"/>
    <cellStyle name="Normal 53 2 5 2 6" xfId="28715" xr:uid="{00000000-0005-0000-0000-0000018A0000}"/>
    <cellStyle name="Normal 53 2 5 2 6 2" xfId="40149" xr:uid="{00000000-0005-0000-0000-0000028A0000}"/>
    <cellStyle name="Normal 53 2 5 2 7" xfId="40150" xr:uid="{00000000-0005-0000-0000-0000038A0000}"/>
    <cellStyle name="Normal 53 2 5 2 8" xfId="40151" xr:uid="{00000000-0005-0000-0000-0000048A0000}"/>
    <cellStyle name="Normal 53 2 5 3" xfId="40152" xr:uid="{00000000-0005-0000-0000-0000058A0000}"/>
    <cellStyle name="Normal 53 2 5 3 2" xfId="40153" xr:uid="{00000000-0005-0000-0000-0000068A0000}"/>
    <cellStyle name="Normal 53 2 5 3 2 2" xfId="40154" xr:uid="{00000000-0005-0000-0000-0000078A0000}"/>
    <cellStyle name="Normal 53 2 5 3 2 2 2" xfId="13861" xr:uid="{00000000-0005-0000-0000-0000088A0000}"/>
    <cellStyle name="Normal 53 2 5 3 2 3" xfId="40155" xr:uid="{00000000-0005-0000-0000-0000098A0000}"/>
    <cellStyle name="Normal 53 2 5 3 3" xfId="40156" xr:uid="{00000000-0005-0000-0000-00000A8A0000}"/>
    <cellStyle name="Normal 53 2 5 3 3 2" xfId="40157" xr:uid="{00000000-0005-0000-0000-00000B8A0000}"/>
    <cellStyle name="Normal 53 2 5 3 4" xfId="9361" xr:uid="{00000000-0005-0000-0000-00000C8A0000}"/>
    <cellStyle name="Normal 53 2 5 4" xfId="3955" xr:uid="{00000000-0005-0000-0000-00000D8A0000}"/>
    <cellStyle name="Normal 53 2 5 4 2" xfId="2004" xr:uid="{00000000-0005-0000-0000-00000E8A0000}"/>
    <cellStyle name="Normal 53 2 5 4 2 2" xfId="2021" xr:uid="{00000000-0005-0000-0000-00000F8A0000}"/>
    <cellStyle name="Normal 53 2 5 4 3" xfId="2070" xr:uid="{00000000-0005-0000-0000-0000108A0000}"/>
    <cellStyle name="Normal 53 2 5 5" xfId="4073" xr:uid="{00000000-0005-0000-0000-0000118A0000}"/>
    <cellStyle name="Normal 53 2 5 5 2" xfId="2188" xr:uid="{00000000-0005-0000-0000-0000128A0000}"/>
    <cellStyle name="Normal 53 2 5 5 2 2" xfId="4083" xr:uid="{00000000-0005-0000-0000-0000138A0000}"/>
    <cellStyle name="Normal 53 2 5 5 3" xfId="4106" xr:uid="{00000000-0005-0000-0000-0000148A0000}"/>
    <cellStyle name="Normal 53 2 5 6" xfId="4117" xr:uid="{00000000-0005-0000-0000-0000158A0000}"/>
    <cellStyle name="Normal 53 2 5 6 2" xfId="696" xr:uid="{00000000-0005-0000-0000-0000168A0000}"/>
    <cellStyle name="Normal 53 2 5 7" xfId="4143" xr:uid="{00000000-0005-0000-0000-0000178A0000}"/>
    <cellStyle name="Normal 53 2 5 7 2" xfId="4159" xr:uid="{00000000-0005-0000-0000-0000188A0000}"/>
    <cellStyle name="Normal 53 2 5 8" xfId="4183" xr:uid="{00000000-0005-0000-0000-0000198A0000}"/>
    <cellStyle name="Normal 53 2 5 9" xfId="4205" xr:uid="{00000000-0005-0000-0000-00001A8A0000}"/>
    <cellStyle name="Normal 53 2 6" xfId="40158" xr:uid="{00000000-0005-0000-0000-00001B8A0000}"/>
    <cellStyle name="Normal 53 2 6 2" xfId="40159" xr:uid="{00000000-0005-0000-0000-00001C8A0000}"/>
    <cellStyle name="Normal 53 2 6 2 2" xfId="40160" xr:uid="{00000000-0005-0000-0000-00001D8A0000}"/>
    <cellStyle name="Normal 53 2 6 2 2 2" xfId="40161" xr:uid="{00000000-0005-0000-0000-00001E8A0000}"/>
    <cellStyle name="Normal 53 2 6 2 2 2 2" xfId="40162" xr:uid="{00000000-0005-0000-0000-00001F8A0000}"/>
    <cellStyle name="Normal 53 2 6 2 2 3" xfId="40165" xr:uid="{00000000-0005-0000-0000-0000208A0000}"/>
    <cellStyle name="Normal 53 2 6 2 3" xfId="40166" xr:uid="{00000000-0005-0000-0000-0000218A0000}"/>
    <cellStyle name="Normal 53 2 6 2 3 2" xfId="14395" xr:uid="{00000000-0005-0000-0000-0000228A0000}"/>
    <cellStyle name="Normal 53 2 6 2 4" xfId="40167" xr:uid="{00000000-0005-0000-0000-0000238A0000}"/>
    <cellStyle name="Normal 53 2 6 3" xfId="40168" xr:uid="{00000000-0005-0000-0000-0000248A0000}"/>
    <cellStyle name="Normal 53 2 6 3 2" xfId="40169" xr:uid="{00000000-0005-0000-0000-0000258A0000}"/>
    <cellStyle name="Normal 53 2 6 3 2 2" xfId="40170" xr:uid="{00000000-0005-0000-0000-0000268A0000}"/>
    <cellStyle name="Normal 53 2 6 3 3" xfId="40171" xr:uid="{00000000-0005-0000-0000-0000278A0000}"/>
    <cellStyle name="Normal 53 2 6 4" xfId="4222" xr:uid="{00000000-0005-0000-0000-0000288A0000}"/>
    <cellStyle name="Normal 53 2 6 4 2" xfId="2502" xr:uid="{00000000-0005-0000-0000-0000298A0000}"/>
    <cellStyle name="Normal 53 2 6 4 2 2" xfId="2536" xr:uid="{00000000-0005-0000-0000-00002A8A0000}"/>
    <cellStyle name="Normal 53 2 6 4 3" xfId="2592" xr:uid="{00000000-0005-0000-0000-00002B8A0000}"/>
    <cellStyle name="Normal 53 2 6 5" xfId="4252" xr:uid="{00000000-0005-0000-0000-00002C8A0000}"/>
    <cellStyle name="Normal 53 2 6 5 2" xfId="2749" xr:uid="{00000000-0005-0000-0000-00002D8A0000}"/>
    <cellStyle name="Normal 53 2 6 6" xfId="4258" xr:uid="{00000000-0005-0000-0000-00002E8A0000}"/>
    <cellStyle name="Normal 53 2 6 6 2" xfId="706" xr:uid="{00000000-0005-0000-0000-00002F8A0000}"/>
    <cellStyle name="Normal 53 2 6 7" xfId="2720" xr:uid="{00000000-0005-0000-0000-0000308A0000}"/>
    <cellStyle name="Normal 53 2 6 8" xfId="2735" xr:uid="{00000000-0005-0000-0000-0000318A0000}"/>
    <cellStyle name="Normal 53 2 7" xfId="20551" xr:uid="{00000000-0005-0000-0000-0000328A0000}"/>
    <cellStyle name="Normal 53 2 7 2" xfId="40172" xr:uid="{00000000-0005-0000-0000-0000338A0000}"/>
    <cellStyle name="Normal 53 2 7 2 2" xfId="40173" xr:uid="{00000000-0005-0000-0000-0000348A0000}"/>
    <cellStyle name="Normal 53 2 7 2 2 2" xfId="40174" xr:uid="{00000000-0005-0000-0000-0000358A0000}"/>
    <cellStyle name="Normal 53 2 7 2 3" xfId="40175" xr:uid="{00000000-0005-0000-0000-0000368A0000}"/>
    <cellStyle name="Normal 53 2 7 3" xfId="40176" xr:uid="{00000000-0005-0000-0000-0000378A0000}"/>
    <cellStyle name="Normal 53 2 7 3 2" xfId="40177" xr:uid="{00000000-0005-0000-0000-0000388A0000}"/>
    <cellStyle name="Normal 53 2 7 4" xfId="451" xr:uid="{00000000-0005-0000-0000-0000398A0000}"/>
    <cellStyle name="Normal 53 2 8" xfId="4093" xr:uid="{00000000-0005-0000-0000-00003A8A0000}"/>
    <cellStyle name="Normal 53 2 8 2" xfId="40178" xr:uid="{00000000-0005-0000-0000-00003B8A0000}"/>
    <cellStyle name="Normal 53 2 8 2 2" xfId="22291" xr:uid="{00000000-0005-0000-0000-00003C8A0000}"/>
    <cellStyle name="Normal 53 2 8 3" xfId="40179" xr:uid="{00000000-0005-0000-0000-00003D8A0000}"/>
    <cellStyle name="Normal 53 2 9" xfId="40180" xr:uid="{00000000-0005-0000-0000-00003E8A0000}"/>
    <cellStyle name="Normal 53 2 9 2" xfId="40181" xr:uid="{00000000-0005-0000-0000-00003F8A0000}"/>
    <cellStyle name="Normal 53 2 9 2 2" xfId="6173" xr:uid="{00000000-0005-0000-0000-0000408A0000}"/>
    <cellStyle name="Normal 53 2 9 3" xfId="40182" xr:uid="{00000000-0005-0000-0000-0000418A0000}"/>
    <cellStyle name="Normal 53 3" xfId="40183" xr:uid="{00000000-0005-0000-0000-0000428A0000}"/>
    <cellStyle name="Normal 53 3 10" xfId="40184" xr:uid="{00000000-0005-0000-0000-0000438A0000}"/>
    <cellStyle name="Normal 53 3 10 2" xfId="40185" xr:uid="{00000000-0005-0000-0000-0000448A0000}"/>
    <cellStyle name="Normal 53 3 11" xfId="40186" xr:uid="{00000000-0005-0000-0000-0000458A0000}"/>
    <cellStyle name="Normal 53 3 11 2" xfId="40187" xr:uid="{00000000-0005-0000-0000-0000468A0000}"/>
    <cellStyle name="Normal 53 3 12" xfId="40188" xr:uid="{00000000-0005-0000-0000-0000478A0000}"/>
    <cellStyle name="Normal 53 3 12 2" xfId="40189" xr:uid="{00000000-0005-0000-0000-0000488A0000}"/>
    <cellStyle name="Normal 53 3 13" xfId="13673" xr:uid="{00000000-0005-0000-0000-0000498A0000}"/>
    <cellStyle name="Normal 53 3 14" xfId="40190" xr:uid="{00000000-0005-0000-0000-00004A8A0000}"/>
    <cellStyle name="Normal 53 3 2" xfId="40191" xr:uid="{00000000-0005-0000-0000-00004B8A0000}"/>
    <cellStyle name="Normal 53 3 2 10" xfId="40194" xr:uid="{00000000-0005-0000-0000-00004C8A0000}"/>
    <cellStyle name="Normal 53 3 2 2" xfId="40195" xr:uid="{00000000-0005-0000-0000-00004D8A0000}"/>
    <cellStyle name="Normal 53 3 2 2 2" xfId="40196" xr:uid="{00000000-0005-0000-0000-00004E8A0000}"/>
    <cellStyle name="Normal 53 3 2 2 2 2" xfId="40197" xr:uid="{00000000-0005-0000-0000-00004F8A0000}"/>
    <cellStyle name="Normal 53 3 2 2 2 2 2" xfId="40198" xr:uid="{00000000-0005-0000-0000-0000508A0000}"/>
    <cellStyle name="Normal 53 3 2 2 2 2 2 2" xfId="17376" xr:uid="{00000000-0005-0000-0000-0000518A0000}"/>
    <cellStyle name="Normal 53 3 2 2 2 2 2 2 2" xfId="40200" xr:uid="{00000000-0005-0000-0000-0000528A0000}"/>
    <cellStyle name="Normal 53 3 2 2 2 2 2 3" xfId="17379" xr:uid="{00000000-0005-0000-0000-0000538A0000}"/>
    <cellStyle name="Normal 53 3 2 2 2 2 3" xfId="40201" xr:uid="{00000000-0005-0000-0000-0000548A0000}"/>
    <cellStyle name="Normal 53 3 2 2 2 2 3 2" xfId="17419" xr:uid="{00000000-0005-0000-0000-0000558A0000}"/>
    <cellStyle name="Normal 53 3 2 2 2 2 4" xfId="40202" xr:uid="{00000000-0005-0000-0000-0000568A0000}"/>
    <cellStyle name="Normal 53 3 2 2 2 3" xfId="40203" xr:uid="{00000000-0005-0000-0000-0000578A0000}"/>
    <cellStyle name="Normal 53 3 2 2 2 3 2" xfId="40204" xr:uid="{00000000-0005-0000-0000-0000588A0000}"/>
    <cellStyle name="Normal 53 3 2 2 2 3 2 2" xfId="40206" xr:uid="{00000000-0005-0000-0000-0000598A0000}"/>
    <cellStyle name="Normal 53 3 2 2 2 3 3" xfId="40207" xr:uid="{00000000-0005-0000-0000-00005A8A0000}"/>
    <cellStyle name="Normal 53 3 2 2 2 4" xfId="40208" xr:uid="{00000000-0005-0000-0000-00005B8A0000}"/>
    <cellStyle name="Normal 53 3 2 2 2 4 2" xfId="40209" xr:uid="{00000000-0005-0000-0000-00005C8A0000}"/>
    <cellStyle name="Normal 53 3 2 2 2 4 2 2" xfId="40210" xr:uid="{00000000-0005-0000-0000-00005D8A0000}"/>
    <cellStyle name="Normal 53 3 2 2 2 4 3" xfId="40211" xr:uid="{00000000-0005-0000-0000-00005E8A0000}"/>
    <cellStyle name="Normal 53 3 2 2 2 5" xfId="40212" xr:uid="{00000000-0005-0000-0000-00005F8A0000}"/>
    <cellStyle name="Normal 53 3 2 2 2 5 2" xfId="40213" xr:uid="{00000000-0005-0000-0000-0000608A0000}"/>
    <cellStyle name="Normal 53 3 2 2 2 6" xfId="40214" xr:uid="{00000000-0005-0000-0000-0000618A0000}"/>
    <cellStyle name="Normal 53 3 2 2 2 6 2" xfId="40215" xr:uid="{00000000-0005-0000-0000-0000628A0000}"/>
    <cellStyle name="Normal 53 3 2 2 2 7" xfId="40216" xr:uid="{00000000-0005-0000-0000-0000638A0000}"/>
    <cellStyle name="Normal 53 3 2 2 2 8" xfId="40217" xr:uid="{00000000-0005-0000-0000-0000648A0000}"/>
    <cellStyle name="Normal 53 3 2 2 3" xfId="40218" xr:uid="{00000000-0005-0000-0000-0000658A0000}"/>
    <cellStyle name="Normal 53 3 2 2 3 2" xfId="15503" xr:uid="{00000000-0005-0000-0000-0000668A0000}"/>
    <cellStyle name="Normal 53 3 2 2 3 2 2" xfId="6391" xr:uid="{00000000-0005-0000-0000-0000678A0000}"/>
    <cellStyle name="Normal 53 3 2 2 3 2 2 2" xfId="14309" xr:uid="{00000000-0005-0000-0000-0000688A0000}"/>
    <cellStyle name="Normal 53 3 2 2 3 2 3" xfId="6400" xr:uid="{00000000-0005-0000-0000-0000698A0000}"/>
    <cellStyle name="Normal 53 3 2 2 3 3" xfId="17013" xr:uid="{00000000-0005-0000-0000-00006A8A0000}"/>
    <cellStyle name="Normal 53 3 2 2 3 3 2" xfId="14393" xr:uid="{00000000-0005-0000-0000-00006B8A0000}"/>
    <cellStyle name="Normal 53 3 2 2 3 4" xfId="17017" xr:uid="{00000000-0005-0000-0000-00006C8A0000}"/>
    <cellStyle name="Normal 53 3 2 2 4" xfId="40219" xr:uid="{00000000-0005-0000-0000-00006D8A0000}"/>
    <cellStyle name="Normal 53 3 2 2 4 2" xfId="17030" xr:uid="{00000000-0005-0000-0000-00006E8A0000}"/>
    <cellStyle name="Normal 53 3 2 2 4 2 2" xfId="14780" xr:uid="{00000000-0005-0000-0000-00006F8A0000}"/>
    <cellStyle name="Normal 53 3 2 2 4 3" xfId="9477" xr:uid="{00000000-0005-0000-0000-0000708A0000}"/>
    <cellStyle name="Normal 53 3 2 2 5" xfId="4226" xr:uid="{00000000-0005-0000-0000-0000718A0000}"/>
    <cellStyle name="Normal 53 3 2 2 5 2" xfId="2500" xr:uid="{00000000-0005-0000-0000-0000728A0000}"/>
    <cellStyle name="Normal 53 3 2 2 5 2 2" xfId="40220" xr:uid="{00000000-0005-0000-0000-0000738A0000}"/>
    <cellStyle name="Normal 53 3 2 2 5 3" xfId="40221" xr:uid="{00000000-0005-0000-0000-0000748A0000}"/>
    <cellStyle name="Normal 53 3 2 2 6" xfId="40222" xr:uid="{00000000-0005-0000-0000-0000758A0000}"/>
    <cellStyle name="Normal 53 3 2 2 6 2" xfId="2747" xr:uid="{00000000-0005-0000-0000-0000768A0000}"/>
    <cellStyle name="Normal 53 3 2 2 7" xfId="40223" xr:uid="{00000000-0005-0000-0000-0000778A0000}"/>
    <cellStyle name="Normal 53 3 2 2 7 2" xfId="40224" xr:uid="{00000000-0005-0000-0000-0000788A0000}"/>
    <cellStyle name="Normal 53 3 2 2 8" xfId="40225" xr:uid="{00000000-0005-0000-0000-0000798A0000}"/>
    <cellStyle name="Normal 53 3 2 2 9" xfId="40226" xr:uid="{00000000-0005-0000-0000-00007A8A0000}"/>
    <cellStyle name="Normal 53 3 2 3" xfId="14064" xr:uid="{00000000-0005-0000-0000-00007B8A0000}"/>
    <cellStyle name="Normal 53 3 2 3 2" xfId="14071" xr:uid="{00000000-0005-0000-0000-00007C8A0000}"/>
    <cellStyle name="Normal 53 3 2 3 2 2" xfId="40227" xr:uid="{00000000-0005-0000-0000-00007D8A0000}"/>
    <cellStyle name="Normal 53 3 2 3 2 2 2" xfId="40228" xr:uid="{00000000-0005-0000-0000-00007E8A0000}"/>
    <cellStyle name="Normal 53 3 2 3 2 2 2 2" xfId="40229" xr:uid="{00000000-0005-0000-0000-00007F8A0000}"/>
    <cellStyle name="Normal 53 3 2 3 2 2 3" xfId="40230" xr:uid="{00000000-0005-0000-0000-0000808A0000}"/>
    <cellStyle name="Normal 53 3 2 3 2 3" xfId="40231" xr:uid="{00000000-0005-0000-0000-0000818A0000}"/>
    <cellStyle name="Normal 53 3 2 3 2 3 2" xfId="40232" xr:uid="{00000000-0005-0000-0000-0000828A0000}"/>
    <cellStyle name="Normal 53 3 2 3 2 4" xfId="40233" xr:uid="{00000000-0005-0000-0000-0000838A0000}"/>
    <cellStyle name="Normal 53 3 2 3 3" xfId="10285" xr:uid="{00000000-0005-0000-0000-0000848A0000}"/>
    <cellStyle name="Normal 53 3 2 3 3 2" xfId="15585" xr:uid="{00000000-0005-0000-0000-0000858A0000}"/>
    <cellStyle name="Normal 53 3 2 3 3 2 2" xfId="15265" xr:uid="{00000000-0005-0000-0000-0000868A0000}"/>
    <cellStyle name="Normal 53 3 2 3 3 3" xfId="10157" xr:uid="{00000000-0005-0000-0000-0000878A0000}"/>
    <cellStyle name="Normal 53 3 2 3 4" xfId="40234" xr:uid="{00000000-0005-0000-0000-0000888A0000}"/>
    <cellStyle name="Normal 53 3 2 3 4 2" xfId="17061" xr:uid="{00000000-0005-0000-0000-0000898A0000}"/>
    <cellStyle name="Normal 53 3 2 3 4 2 2" xfId="15406" xr:uid="{00000000-0005-0000-0000-00008A8A0000}"/>
    <cellStyle name="Normal 53 3 2 3 4 3" xfId="9652" xr:uid="{00000000-0005-0000-0000-00008B8A0000}"/>
    <cellStyle name="Normal 53 3 2 3 5" xfId="40235" xr:uid="{00000000-0005-0000-0000-00008C8A0000}"/>
    <cellStyle name="Normal 53 3 2 3 5 2" xfId="2980" xr:uid="{00000000-0005-0000-0000-00008D8A0000}"/>
    <cellStyle name="Normal 53 3 2 3 6" xfId="37401" xr:uid="{00000000-0005-0000-0000-00008E8A0000}"/>
    <cellStyle name="Normal 53 3 2 3 6 2" xfId="1601" xr:uid="{00000000-0005-0000-0000-00008F8A0000}"/>
    <cellStyle name="Normal 53 3 2 3 7" xfId="40236" xr:uid="{00000000-0005-0000-0000-0000908A0000}"/>
    <cellStyle name="Normal 53 3 2 3 8" xfId="40237" xr:uid="{00000000-0005-0000-0000-0000918A0000}"/>
    <cellStyle name="Normal 53 3 2 4" xfId="14076" xr:uid="{00000000-0005-0000-0000-0000928A0000}"/>
    <cellStyle name="Normal 53 3 2 4 2" xfId="40238" xr:uid="{00000000-0005-0000-0000-0000938A0000}"/>
    <cellStyle name="Normal 53 3 2 4 2 2" xfId="31614" xr:uid="{00000000-0005-0000-0000-0000948A0000}"/>
    <cellStyle name="Normal 53 3 2 4 2 2 2" xfId="965" xr:uid="{00000000-0005-0000-0000-0000958A0000}"/>
    <cellStyle name="Normal 53 3 2 4 2 3" xfId="31617" xr:uid="{00000000-0005-0000-0000-0000968A0000}"/>
    <cellStyle name="Normal 53 3 2 4 3" xfId="40239" xr:uid="{00000000-0005-0000-0000-0000978A0000}"/>
    <cellStyle name="Normal 53 3 2 4 3 2" xfId="17078" xr:uid="{00000000-0005-0000-0000-0000988A0000}"/>
    <cellStyle name="Normal 53 3 2 4 4" xfId="40240" xr:uid="{00000000-0005-0000-0000-0000998A0000}"/>
    <cellStyle name="Normal 53 3 2 5" xfId="40241" xr:uid="{00000000-0005-0000-0000-00009A8A0000}"/>
    <cellStyle name="Normal 53 3 2 5 2" xfId="40242" xr:uid="{00000000-0005-0000-0000-00009B8A0000}"/>
    <cellStyle name="Normal 53 3 2 5 2 2" xfId="32048" xr:uid="{00000000-0005-0000-0000-00009C8A0000}"/>
    <cellStyle name="Normal 53 3 2 5 3" xfId="40243" xr:uid="{00000000-0005-0000-0000-00009D8A0000}"/>
    <cellStyle name="Normal 53 3 2 6" xfId="24636" xr:uid="{00000000-0005-0000-0000-00009E8A0000}"/>
    <cellStyle name="Normal 53 3 2 6 2" xfId="24647" xr:uid="{00000000-0005-0000-0000-00009F8A0000}"/>
    <cellStyle name="Normal 53 3 2 6 2 2" xfId="32421" xr:uid="{00000000-0005-0000-0000-0000A08A0000}"/>
    <cellStyle name="Normal 53 3 2 6 3" xfId="31151" xr:uid="{00000000-0005-0000-0000-0000A18A0000}"/>
    <cellStyle name="Normal 53 3 2 7" xfId="24652" xr:uid="{00000000-0005-0000-0000-0000A28A0000}"/>
    <cellStyle name="Normal 53 3 2 7 2" xfId="40245" xr:uid="{00000000-0005-0000-0000-0000A38A0000}"/>
    <cellStyle name="Normal 53 3 2 8" xfId="40247" xr:uid="{00000000-0005-0000-0000-0000A48A0000}"/>
    <cellStyle name="Normal 53 3 2 8 2" xfId="31210" xr:uid="{00000000-0005-0000-0000-0000A58A0000}"/>
    <cellStyle name="Normal 53 3 2 9" xfId="40248" xr:uid="{00000000-0005-0000-0000-0000A68A0000}"/>
    <cellStyle name="Normal 53 3 3" xfId="40249" xr:uid="{00000000-0005-0000-0000-0000A78A0000}"/>
    <cellStyle name="Normal 53 3 3 2" xfId="40250" xr:uid="{00000000-0005-0000-0000-0000A88A0000}"/>
    <cellStyle name="Normal 53 3 3 2 2" xfId="40251" xr:uid="{00000000-0005-0000-0000-0000A98A0000}"/>
    <cellStyle name="Normal 53 3 3 2 2 2" xfId="40252" xr:uid="{00000000-0005-0000-0000-0000AA8A0000}"/>
    <cellStyle name="Normal 53 3 3 2 2 2 2" xfId="39885" xr:uid="{00000000-0005-0000-0000-0000AB8A0000}"/>
    <cellStyle name="Normal 53 3 3 2 2 2 2 2" xfId="40253" xr:uid="{00000000-0005-0000-0000-0000AC8A0000}"/>
    <cellStyle name="Normal 53 3 3 2 2 2 3" xfId="21816" xr:uid="{00000000-0005-0000-0000-0000AD8A0000}"/>
    <cellStyle name="Normal 53 3 3 2 2 3" xfId="40254" xr:uid="{00000000-0005-0000-0000-0000AE8A0000}"/>
    <cellStyle name="Normal 53 3 3 2 2 3 2" xfId="39890" xr:uid="{00000000-0005-0000-0000-0000AF8A0000}"/>
    <cellStyle name="Normal 53 3 3 2 2 4" xfId="40255" xr:uid="{00000000-0005-0000-0000-0000B08A0000}"/>
    <cellStyle name="Normal 53 3 3 2 2 5" xfId="40256" xr:uid="{00000000-0005-0000-0000-0000B18A0000}"/>
    <cellStyle name="Normal 53 3 3 2 3" xfId="40257" xr:uid="{00000000-0005-0000-0000-0000B28A0000}"/>
    <cellStyle name="Normal 53 3 3 2 3 2" xfId="17217" xr:uid="{00000000-0005-0000-0000-0000B38A0000}"/>
    <cellStyle name="Normal 53 3 3 2 3 2 2" xfId="16271" xr:uid="{00000000-0005-0000-0000-0000B48A0000}"/>
    <cellStyle name="Normal 53 3 3 2 3 3" xfId="17221" xr:uid="{00000000-0005-0000-0000-0000B58A0000}"/>
    <cellStyle name="Normal 53 3 3 2 4" xfId="40258" xr:uid="{00000000-0005-0000-0000-0000B68A0000}"/>
    <cellStyle name="Normal 53 3 3 2 4 2" xfId="17235" xr:uid="{00000000-0005-0000-0000-0000B78A0000}"/>
    <cellStyle name="Normal 53 3 3 2 4 2 2" xfId="30466" xr:uid="{00000000-0005-0000-0000-0000B88A0000}"/>
    <cellStyle name="Normal 53 3 3 2 4 3" xfId="9964" xr:uid="{00000000-0005-0000-0000-0000B98A0000}"/>
    <cellStyle name="Normal 53 3 3 2 5" xfId="40260" xr:uid="{00000000-0005-0000-0000-0000BA8A0000}"/>
    <cellStyle name="Normal 53 3 3 2 5 2" xfId="1650" xr:uid="{00000000-0005-0000-0000-0000BB8A0000}"/>
    <cellStyle name="Normal 53 3 3 2 6" xfId="40261" xr:uid="{00000000-0005-0000-0000-0000BC8A0000}"/>
    <cellStyle name="Normal 53 3 3 2 6 2" xfId="40262" xr:uid="{00000000-0005-0000-0000-0000BD8A0000}"/>
    <cellStyle name="Normal 53 3 3 2 7" xfId="40263" xr:uid="{00000000-0005-0000-0000-0000BE8A0000}"/>
    <cellStyle name="Normal 53 3 3 2 8" xfId="40264" xr:uid="{00000000-0005-0000-0000-0000BF8A0000}"/>
    <cellStyle name="Normal 53 3 3 3" xfId="14096" xr:uid="{00000000-0005-0000-0000-0000C08A0000}"/>
    <cellStyle name="Normal 53 3 3 3 2" xfId="14101" xr:uid="{00000000-0005-0000-0000-0000C18A0000}"/>
    <cellStyle name="Normal 53 3 3 3 2 2" xfId="40265" xr:uid="{00000000-0005-0000-0000-0000C28A0000}"/>
    <cellStyle name="Normal 53 3 3 3 2 2 2" xfId="40266" xr:uid="{00000000-0005-0000-0000-0000C38A0000}"/>
    <cellStyle name="Normal 53 3 3 3 2 3" xfId="40267" xr:uid="{00000000-0005-0000-0000-0000C48A0000}"/>
    <cellStyle name="Normal 53 3 3 3 3" xfId="40268" xr:uid="{00000000-0005-0000-0000-0000C58A0000}"/>
    <cellStyle name="Normal 53 3 3 3 3 2" xfId="17250" xr:uid="{00000000-0005-0000-0000-0000C68A0000}"/>
    <cellStyle name="Normal 53 3 3 3 4" xfId="40269" xr:uid="{00000000-0005-0000-0000-0000C78A0000}"/>
    <cellStyle name="Normal 53 3 3 3 5" xfId="40270" xr:uid="{00000000-0005-0000-0000-0000C88A0000}"/>
    <cellStyle name="Normal 53 3 3 4" xfId="14105" xr:uid="{00000000-0005-0000-0000-0000C98A0000}"/>
    <cellStyle name="Normal 53 3 3 4 2" xfId="40271" xr:uid="{00000000-0005-0000-0000-0000CA8A0000}"/>
    <cellStyle name="Normal 53 3 3 4 2 2" xfId="335" xr:uid="{00000000-0005-0000-0000-0000CB8A0000}"/>
    <cellStyle name="Normal 53 3 3 4 3" xfId="40272" xr:uid="{00000000-0005-0000-0000-0000CC8A0000}"/>
    <cellStyle name="Normal 53 3 3 5" xfId="40273" xr:uid="{00000000-0005-0000-0000-0000CD8A0000}"/>
    <cellStyle name="Normal 53 3 3 5 2" xfId="40274" xr:uid="{00000000-0005-0000-0000-0000CE8A0000}"/>
    <cellStyle name="Normal 53 3 3 5 2 2" xfId="33903" xr:uid="{00000000-0005-0000-0000-0000CF8A0000}"/>
    <cellStyle name="Normal 53 3 3 5 3" xfId="40275" xr:uid="{00000000-0005-0000-0000-0000D08A0000}"/>
    <cellStyle name="Normal 53 3 3 6" xfId="24663" xr:uid="{00000000-0005-0000-0000-0000D18A0000}"/>
    <cellStyle name="Normal 53 3 3 6 2" xfId="24668" xr:uid="{00000000-0005-0000-0000-0000D28A0000}"/>
    <cellStyle name="Normal 53 3 3 7" xfId="24671" xr:uid="{00000000-0005-0000-0000-0000D38A0000}"/>
    <cellStyle name="Normal 53 3 3 7 2" xfId="26229" xr:uid="{00000000-0005-0000-0000-0000D48A0000}"/>
    <cellStyle name="Normal 53 3 3 8" xfId="40276" xr:uid="{00000000-0005-0000-0000-0000D58A0000}"/>
    <cellStyle name="Normal 53 3 3 9" xfId="40277" xr:uid="{00000000-0005-0000-0000-0000D68A0000}"/>
    <cellStyle name="Normal 53 3 4" xfId="1912" xr:uid="{00000000-0005-0000-0000-0000D78A0000}"/>
    <cellStyle name="Normal 53 3 4 2" xfId="1932" xr:uid="{00000000-0005-0000-0000-0000D88A0000}"/>
    <cellStyle name="Normal 53 3 4 2 2" xfId="15766" xr:uid="{00000000-0005-0000-0000-0000D98A0000}"/>
    <cellStyle name="Normal 53 3 4 2 2 2" xfId="23460" xr:uid="{00000000-0005-0000-0000-0000DA8A0000}"/>
    <cellStyle name="Normal 53 3 4 2 2 2 2" xfId="22162" xr:uid="{00000000-0005-0000-0000-0000DB8A0000}"/>
    <cellStyle name="Normal 53 3 4 2 2 2 2 2" xfId="26340" xr:uid="{00000000-0005-0000-0000-0000DC8A0000}"/>
    <cellStyle name="Normal 53 3 4 2 2 2 3" xfId="40278" xr:uid="{00000000-0005-0000-0000-0000DD8A0000}"/>
    <cellStyle name="Normal 53 3 4 2 2 3" xfId="19156" xr:uid="{00000000-0005-0000-0000-0000DE8A0000}"/>
    <cellStyle name="Normal 53 3 4 2 2 3 2" xfId="40279" xr:uid="{00000000-0005-0000-0000-0000DF8A0000}"/>
    <cellStyle name="Normal 53 3 4 2 2 4" xfId="40280" xr:uid="{00000000-0005-0000-0000-0000E08A0000}"/>
    <cellStyle name="Normal 53 3 4 2 3" xfId="26364" xr:uid="{00000000-0005-0000-0000-0000E18A0000}"/>
    <cellStyle name="Normal 53 3 4 2 3 2" xfId="11946" xr:uid="{00000000-0005-0000-0000-0000E28A0000}"/>
    <cellStyle name="Normal 53 3 4 2 3 2 2" xfId="40281" xr:uid="{00000000-0005-0000-0000-0000E38A0000}"/>
    <cellStyle name="Normal 53 3 4 2 3 3" xfId="11954" xr:uid="{00000000-0005-0000-0000-0000E48A0000}"/>
    <cellStyle name="Normal 53 3 4 2 4" xfId="24387" xr:uid="{00000000-0005-0000-0000-0000E58A0000}"/>
    <cellStyle name="Normal 53 3 4 2 4 2" xfId="40282" xr:uid="{00000000-0005-0000-0000-0000E68A0000}"/>
    <cellStyle name="Normal 53 3 4 2 4 2 2" xfId="30666" xr:uid="{00000000-0005-0000-0000-0000E78A0000}"/>
    <cellStyle name="Normal 53 3 4 2 4 3" xfId="40283" xr:uid="{00000000-0005-0000-0000-0000E88A0000}"/>
    <cellStyle name="Normal 53 3 4 2 5" xfId="40284" xr:uid="{00000000-0005-0000-0000-0000E98A0000}"/>
    <cellStyle name="Normal 53 3 4 2 5 2" xfId="40285" xr:uid="{00000000-0005-0000-0000-0000EA8A0000}"/>
    <cellStyle name="Normal 53 3 4 2 6" xfId="40286" xr:uid="{00000000-0005-0000-0000-0000EB8A0000}"/>
    <cellStyle name="Normal 53 3 4 2 6 2" xfId="40287" xr:uid="{00000000-0005-0000-0000-0000EC8A0000}"/>
    <cellStyle name="Normal 53 3 4 2 7" xfId="40288" xr:uid="{00000000-0005-0000-0000-0000ED8A0000}"/>
    <cellStyle name="Normal 53 3 4 2 8" xfId="22452" xr:uid="{00000000-0005-0000-0000-0000EE8A0000}"/>
    <cellStyle name="Normal 53 3 4 3" xfId="14117" xr:uid="{00000000-0005-0000-0000-0000EF8A0000}"/>
    <cellStyle name="Normal 53 3 4 3 2" xfId="14125" xr:uid="{00000000-0005-0000-0000-0000F08A0000}"/>
    <cellStyle name="Normal 53 3 4 3 2 2" xfId="26366" xr:uid="{00000000-0005-0000-0000-0000F18A0000}"/>
    <cellStyle name="Normal 53 3 4 3 2 2 2" xfId="40289" xr:uid="{00000000-0005-0000-0000-0000F28A0000}"/>
    <cellStyle name="Normal 53 3 4 3 2 3" xfId="31420" xr:uid="{00000000-0005-0000-0000-0000F38A0000}"/>
    <cellStyle name="Normal 53 3 4 3 3" xfId="9909" xr:uid="{00000000-0005-0000-0000-0000F48A0000}"/>
    <cellStyle name="Normal 53 3 4 3 3 2" xfId="40290" xr:uid="{00000000-0005-0000-0000-0000F58A0000}"/>
    <cellStyle name="Normal 53 3 4 3 4" xfId="40291" xr:uid="{00000000-0005-0000-0000-0000F68A0000}"/>
    <cellStyle name="Normal 53 3 4 4" xfId="14128" xr:uid="{00000000-0005-0000-0000-0000F78A0000}"/>
    <cellStyle name="Normal 53 3 4 4 2" xfId="26368" xr:uid="{00000000-0005-0000-0000-0000F88A0000}"/>
    <cellStyle name="Normal 53 3 4 4 2 2" xfId="26370" xr:uid="{00000000-0005-0000-0000-0000F98A0000}"/>
    <cellStyle name="Normal 53 3 4 4 3" xfId="9919" xr:uid="{00000000-0005-0000-0000-0000FA8A0000}"/>
    <cellStyle name="Normal 53 3 4 5" xfId="26374" xr:uid="{00000000-0005-0000-0000-0000FB8A0000}"/>
    <cellStyle name="Normal 53 3 4 5 2" xfId="26376" xr:uid="{00000000-0005-0000-0000-0000FC8A0000}"/>
    <cellStyle name="Normal 53 3 4 5 2 2" xfId="35428" xr:uid="{00000000-0005-0000-0000-0000FD8A0000}"/>
    <cellStyle name="Normal 53 3 4 5 3" xfId="8275" xr:uid="{00000000-0005-0000-0000-0000FE8A0000}"/>
    <cellStyle name="Normal 53 3 4 6" xfId="24674" xr:uid="{00000000-0005-0000-0000-0000FF8A0000}"/>
    <cellStyle name="Normal 53 3 4 6 2" xfId="26379" xr:uid="{00000000-0005-0000-0000-0000008B0000}"/>
    <cellStyle name="Normal 53 3 4 7" xfId="26382" xr:uid="{00000000-0005-0000-0000-0000018B0000}"/>
    <cellStyle name="Normal 53 3 4 7 2" xfId="40292" xr:uid="{00000000-0005-0000-0000-0000028B0000}"/>
    <cellStyle name="Normal 53 3 4 8" xfId="26384" xr:uid="{00000000-0005-0000-0000-0000038B0000}"/>
    <cellStyle name="Normal 53 3 4 9" xfId="40293" xr:uid="{00000000-0005-0000-0000-0000048B0000}"/>
    <cellStyle name="Normal 53 3 5" xfId="1944" xr:uid="{00000000-0005-0000-0000-0000058B0000}"/>
    <cellStyle name="Normal 53 3 5 2" xfId="18997" xr:uid="{00000000-0005-0000-0000-0000068B0000}"/>
    <cellStyle name="Normal 53 3 5 2 2" xfId="3846" xr:uid="{00000000-0005-0000-0000-0000078B0000}"/>
    <cellStyle name="Normal 53 3 5 2 2 2" xfId="3859" xr:uid="{00000000-0005-0000-0000-0000088B0000}"/>
    <cellStyle name="Normal 53 3 5 2 2 2 2" xfId="40294" xr:uid="{00000000-0005-0000-0000-0000098B0000}"/>
    <cellStyle name="Normal 53 3 5 2 2 2 2 2" xfId="8190" xr:uid="{00000000-0005-0000-0000-00000A8B0000}"/>
    <cellStyle name="Normal 53 3 5 2 2 2 3" xfId="26161" xr:uid="{00000000-0005-0000-0000-00000B8B0000}"/>
    <cellStyle name="Normal 53 3 5 2 2 3" xfId="40295" xr:uid="{00000000-0005-0000-0000-00000C8B0000}"/>
    <cellStyle name="Normal 53 3 5 2 2 3 2" xfId="40296" xr:uid="{00000000-0005-0000-0000-00000D8B0000}"/>
    <cellStyle name="Normal 53 3 5 2 2 4" xfId="40297" xr:uid="{00000000-0005-0000-0000-00000E8B0000}"/>
    <cellStyle name="Normal 53 3 5 2 3" xfId="3880" xr:uid="{00000000-0005-0000-0000-00000F8B0000}"/>
    <cellStyle name="Normal 53 3 5 2 3 2" xfId="17151" xr:uid="{00000000-0005-0000-0000-0000108B0000}"/>
    <cellStyle name="Normal 53 3 5 2 3 2 2" xfId="40298" xr:uid="{00000000-0005-0000-0000-0000118B0000}"/>
    <cellStyle name="Normal 53 3 5 2 3 3" xfId="40299" xr:uid="{00000000-0005-0000-0000-0000128B0000}"/>
    <cellStyle name="Normal 53 3 5 2 4" xfId="40300" xr:uid="{00000000-0005-0000-0000-0000138B0000}"/>
    <cellStyle name="Normal 53 3 5 2 4 2" xfId="40301" xr:uid="{00000000-0005-0000-0000-0000148B0000}"/>
    <cellStyle name="Normal 53 3 5 2 4 2 2" xfId="30751" xr:uid="{00000000-0005-0000-0000-0000158B0000}"/>
    <cellStyle name="Normal 53 3 5 2 4 3" xfId="17769" xr:uid="{00000000-0005-0000-0000-0000168B0000}"/>
    <cellStyle name="Normal 53 3 5 2 5" xfId="39284" xr:uid="{00000000-0005-0000-0000-0000178B0000}"/>
    <cellStyle name="Normal 53 3 5 2 5 2" xfId="40302" xr:uid="{00000000-0005-0000-0000-0000188B0000}"/>
    <cellStyle name="Normal 53 3 5 2 6" xfId="40303" xr:uid="{00000000-0005-0000-0000-0000198B0000}"/>
    <cellStyle name="Normal 53 3 5 2 6 2" xfId="40304" xr:uid="{00000000-0005-0000-0000-00001A8B0000}"/>
    <cellStyle name="Normal 53 3 5 2 7" xfId="40305" xr:uid="{00000000-0005-0000-0000-00001B8B0000}"/>
    <cellStyle name="Normal 53 3 5 2 8" xfId="40306" xr:uid="{00000000-0005-0000-0000-00001C8B0000}"/>
    <cellStyle name="Normal 53 3 5 3" xfId="14136" xr:uid="{00000000-0005-0000-0000-00001D8B0000}"/>
    <cellStyle name="Normal 53 3 5 3 2" xfId="19000" xr:uid="{00000000-0005-0000-0000-00001E8B0000}"/>
    <cellStyle name="Normal 53 3 5 3 2 2" xfId="26390" xr:uid="{00000000-0005-0000-0000-00001F8B0000}"/>
    <cellStyle name="Normal 53 3 5 3 2 2 2" xfId="40307" xr:uid="{00000000-0005-0000-0000-0000208B0000}"/>
    <cellStyle name="Normal 53 3 5 3 2 3" xfId="40308" xr:uid="{00000000-0005-0000-0000-0000218B0000}"/>
    <cellStyle name="Normal 53 3 5 3 3" xfId="9949" xr:uid="{00000000-0005-0000-0000-0000228B0000}"/>
    <cellStyle name="Normal 53 3 5 3 3 2" xfId="40309" xr:uid="{00000000-0005-0000-0000-0000238B0000}"/>
    <cellStyle name="Normal 53 3 5 3 4" xfId="19776" xr:uid="{00000000-0005-0000-0000-0000248B0000}"/>
    <cellStyle name="Normal 53 3 5 4" xfId="734" xr:uid="{00000000-0005-0000-0000-0000258B0000}"/>
    <cellStyle name="Normal 53 3 5 4 2" xfId="755" xr:uid="{00000000-0005-0000-0000-0000268B0000}"/>
    <cellStyle name="Normal 53 3 5 4 2 2" xfId="1023" xr:uid="{00000000-0005-0000-0000-0000278B0000}"/>
    <cellStyle name="Normal 53 3 5 4 3" xfId="396" xr:uid="{00000000-0005-0000-0000-0000288B0000}"/>
    <cellStyle name="Normal 53 3 5 5" xfId="441" xr:uid="{00000000-0005-0000-0000-0000298B0000}"/>
    <cellStyle name="Normal 53 3 5 5 2" xfId="605" xr:uid="{00000000-0005-0000-0000-00002A8B0000}"/>
    <cellStyle name="Normal 53 3 5 5 2 2" xfId="3086" xr:uid="{00000000-0005-0000-0000-00002B8B0000}"/>
    <cellStyle name="Normal 53 3 5 5 3" xfId="4328" xr:uid="{00000000-0005-0000-0000-00002C8B0000}"/>
    <cellStyle name="Normal 53 3 5 6" xfId="520" xr:uid="{00000000-0005-0000-0000-00002D8B0000}"/>
    <cellStyle name="Normal 53 3 5 6 2" xfId="2864" xr:uid="{00000000-0005-0000-0000-00002E8B0000}"/>
    <cellStyle name="Normal 53 3 5 7" xfId="641" xr:uid="{00000000-0005-0000-0000-00002F8B0000}"/>
    <cellStyle name="Normal 53 3 5 7 2" xfId="3304" xr:uid="{00000000-0005-0000-0000-0000308B0000}"/>
    <cellStyle name="Normal 53 3 5 8" xfId="4331" xr:uid="{00000000-0005-0000-0000-0000318B0000}"/>
    <cellStyle name="Normal 53 3 5 9" xfId="4349" xr:uid="{00000000-0005-0000-0000-0000328B0000}"/>
    <cellStyle name="Normal 53 3 6" xfId="40310" xr:uid="{00000000-0005-0000-0000-0000338B0000}"/>
    <cellStyle name="Normal 53 3 6 2" xfId="19008" xr:uid="{00000000-0005-0000-0000-0000348B0000}"/>
    <cellStyle name="Normal 53 3 6 2 2" xfId="19011" xr:uid="{00000000-0005-0000-0000-0000358B0000}"/>
    <cellStyle name="Normal 53 3 6 2 2 2" xfId="19122" xr:uid="{00000000-0005-0000-0000-0000368B0000}"/>
    <cellStyle name="Normal 53 3 6 2 2 2 2" xfId="40311" xr:uid="{00000000-0005-0000-0000-0000378B0000}"/>
    <cellStyle name="Normal 53 3 6 2 2 3" xfId="20669" xr:uid="{00000000-0005-0000-0000-0000388B0000}"/>
    <cellStyle name="Normal 53 3 6 2 3" xfId="40312" xr:uid="{00000000-0005-0000-0000-0000398B0000}"/>
    <cellStyle name="Normal 53 3 6 2 3 2" xfId="17223" xr:uid="{00000000-0005-0000-0000-00003A8B0000}"/>
    <cellStyle name="Normal 53 3 6 2 4" xfId="40313" xr:uid="{00000000-0005-0000-0000-00003B8B0000}"/>
    <cellStyle name="Normal 53 3 6 3" xfId="14147" xr:uid="{00000000-0005-0000-0000-00003C8B0000}"/>
    <cellStyle name="Normal 53 3 6 3 2" xfId="40314" xr:uid="{00000000-0005-0000-0000-00003D8B0000}"/>
    <cellStyle name="Normal 53 3 6 3 2 2" xfId="25962" xr:uid="{00000000-0005-0000-0000-00003E8B0000}"/>
    <cellStyle name="Normal 53 3 6 3 3" xfId="40315" xr:uid="{00000000-0005-0000-0000-00003F8B0000}"/>
    <cellStyle name="Normal 53 3 6 4" xfId="4366" xr:uid="{00000000-0005-0000-0000-0000408B0000}"/>
    <cellStyle name="Normal 53 3 6 4 2" xfId="1653" xr:uid="{00000000-0005-0000-0000-0000418B0000}"/>
    <cellStyle name="Normal 53 3 6 4 2 2" xfId="3249" xr:uid="{00000000-0005-0000-0000-0000428B0000}"/>
    <cellStyle name="Normal 53 3 6 4 3" xfId="4368" xr:uid="{00000000-0005-0000-0000-0000438B0000}"/>
    <cellStyle name="Normal 53 3 6 5" xfId="4370" xr:uid="{00000000-0005-0000-0000-0000448B0000}"/>
    <cellStyle name="Normal 53 3 6 5 2" xfId="1488" xr:uid="{00000000-0005-0000-0000-0000458B0000}"/>
    <cellStyle name="Normal 53 3 6 6" xfId="4373" xr:uid="{00000000-0005-0000-0000-0000468B0000}"/>
    <cellStyle name="Normal 53 3 6 6 2" xfId="40317" xr:uid="{00000000-0005-0000-0000-0000478B0000}"/>
    <cellStyle name="Normal 53 3 6 7" xfId="40319" xr:uid="{00000000-0005-0000-0000-0000488B0000}"/>
    <cellStyle name="Normal 53 3 6 8" xfId="40320" xr:uid="{00000000-0005-0000-0000-0000498B0000}"/>
    <cellStyle name="Normal 53 3 7" xfId="40321" xr:uid="{00000000-0005-0000-0000-00004A8B0000}"/>
    <cellStyle name="Normal 53 3 7 2" xfId="19022" xr:uid="{00000000-0005-0000-0000-00004B8B0000}"/>
    <cellStyle name="Normal 53 3 7 2 2" xfId="40322" xr:uid="{00000000-0005-0000-0000-00004C8B0000}"/>
    <cellStyle name="Normal 53 3 7 2 2 2" xfId="40323" xr:uid="{00000000-0005-0000-0000-00004D8B0000}"/>
    <cellStyle name="Normal 53 3 7 2 3" xfId="40324" xr:uid="{00000000-0005-0000-0000-00004E8B0000}"/>
    <cellStyle name="Normal 53 3 7 3" xfId="40325" xr:uid="{00000000-0005-0000-0000-00004F8B0000}"/>
    <cellStyle name="Normal 53 3 7 3 2" xfId="40326" xr:uid="{00000000-0005-0000-0000-0000508B0000}"/>
    <cellStyle name="Normal 53 3 7 4" xfId="325" xr:uid="{00000000-0005-0000-0000-0000518B0000}"/>
    <cellStyle name="Normal 53 3 8" xfId="19037" xr:uid="{00000000-0005-0000-0000-0000528B0000}"/>
    <cellStyle name="Normal 53 3 8 2" xfId="19041" xr:uid="{00000000-0005-0000-0000-0000538B0000}"/>
    <cellStyle name="Normal 53 3 8 2 2" xfId="24434" xr:uid="{00000000-0005-0000-0000-0000548B0000}"/>
    <cellStyle name="Normal 53 3 8 3" xfId="40327" xr:uid="{00000000-0005-0000-0000-0000558B0000}"/>
    <cellStyle name="Normal 53 3 9" xfId="40328" xr:uid="{00000000-0005-0000-0000-0000568B0000}"/>
    <cellStyle name="Normal 53 3 9 2" xfId="40329" xr:uid="{00000000-0005-0000-0000-0000578B0000}"/>
    <cellStyle name="Normal 53 3 9 2 2" xfId="7492" xr:uid="{00000000-0005-0000-0000-0000588B0000}"/>
    <cellStyle name="Normal 53 3 9 3" xfId="40330" xr:uid="{00000000-0005-0000-0000-0000598B0000}"/>
    <cellStyle name="Normal 53 4" xfId="40331" xr:uid="{00000000-0005-0000-0000-00005A8B0000}"/>
    <cellStyle name="Normal 53 4 10" xfId="40332" xr:uid="{00000000-0005-0000-0000-00005B8B0000}"/>
    <cellStyle name="Normal 53 4 2" xfId="40333" xr:uid="{00000000-0005-0000-0000-00005C8B0000}"/>
    <cellStyle name="Normal 53 4 2 2" xfId="40334" xr:uid="{00000000-0005-0000-0000-00005D8B0000}"/>
    <cellStyle name="Normal 53 4 2 2 2" xfId="40335" xr:uid="{00000000-0005-0000-0000-00005E8B0000}"/>
    <cellStyle name="Normal 53 4 2 2 2 2" xfId="40336" xr:uid="{00000000-0005-0000-0000-00005F8B0000}"/>
    <cellStyle name="Normal 53 4 2 2 2 2 2" xfId="40337" xr:uid="{00000000-0005-0000-0000-0000608B0000}"/>
    <cellStyle name="Normal 53 4 2 2 2 2 2 2" xfId="15360" xr:uid="{00000000-0005-0000-0000-0000618B0000}"/>
    <cellStyle name="Normal 53 4 2 2 2 2 3" xfId="40339" xr:uid="{00000000-0005-0000-0000-0000628B0000}"/>
    <cellStyle name="Normal 53 4 2 2 2 3" xfId="40340" xr:uid="{00000000-0005-0000-0000-0000638B0000}"/>
    <cellStyle name="Normal 53 4 2 2 2 3 2" xfId="40341" xr:uid="{00000000-0005-0000-0000-0000648B0000}"/>
    <cellStyle name="Normal 53 4 2 2 2 4" xfId="40342" xr:uid="{00000000-0005-0000-0000-0000658B0000}"/>
    <cellStyle name="Normal 53 4 2 2 3" xfId="40343" xr:uid="{00000000-0005-0000-0000-0000668B0000}"/>
    <cellStyle name="Normal 53 4 2 2 3 2" xfId="40344" xr:uid="{00000000-0005-0000-0000-0000678B0000}"/>
    <cellStyle name="Normal 53 4 2 2 3 2 2" xfId="40345" xr:uid="{00000000-0005-0000-0000-0000688B0000}"/>
    <cellStyle name="Normal 53 4 2 2 3 3" xfId="40346" xr:uid="{00000000-0005-0000-0000-0000698B0000}"/>
    <cellStyle name="Normal 53 4 2 2 4" xfId="40347" xr:uid="{00000000-0005-0000-0000-00006A8B0000}"/>
    <cellStyle name="Normal 53 4 2 2 4 2" xfId="40348" xr:uid="{00000000-0005-0000-0000-00006B8B0000}"/>
    <cellStyle name="Normal 53 4 2 2 4 2 2" xfId="40349" xr:uid="{00000000-0005-0000-0000-00006C8B0000}"/>
    <cellStyle name="Normal 53 4 2 2 4 3" xfId="40350" xr:uid="{00000000-0005-0000-0000-00006D8B0000}"/>
    <cellStyle name="Normal 53 4 2 2 5" xfId="40351" xr:uid="{00000000-0005-0000-0000-00006E8B0000}"/>
    <cellStyle name="Normal 53 4 2 2 5 2" xfId="40352" xr:uid="{00000000-0005-0000-0000-00006F8B0000}"/>
    <cellStyle name="Normal 53 4 2 2 6" xfId="40353" xr:uid="{00000000-0005-0000-0000-0000708B0000}"/>
    <cellStyle name="Normal 53 4 2 2 6 2" xfId="40354" xr:uid="{00000000-0005-0000-0000-0000718B0000}"/>
    <cellStyle name="Normal 53 4 2 2 7" xfId="40355" xr:uid="{00000000-0005-0000-0000-0000728B0000}"/>
    <cellStyle name="Normal 53 4 2 2 8" xfId="3064" xr:uid="{00000000-0005-0000-0000-0000738B0000}"/>
    <cellStyle name="Normal 53 4 2 3" xfId="14165" xr:uid="{00000000-0005-0000-0000-0000748B0000}"/>
    <cellStyle name="Normal 53 4 2 3 2" xfId="40356" xr:uid="{00000000-0005-0000-0000-0000758B0000}"/>
    <cellStyle name="Normal 53 4 2 3 2 2" xfId="36395" xr:uid="{00000000-0005-0000-0000-0000768B0000}"/>
    <cellStyle name="Normal 53 4 2 3 2 2 2" xfId="40357" xr:uid="{00000000-0005-0000-0000-0000778B0000}"/>
    <cellStyle name="Normal 53 4 2 3 2 3" xfId="20685" xr:uid="{00000000-0005-0000-0000-0000788B0000}"/>
    <cellStyle name="Normal 53 4 2 3 3" xfId="40358" xr:uid="{00000000-0005-0000-0000-0000798B0000}"/>
    <cellStyle name="Normal 53 4 2 3 3 2" xfId="40359" xr:uid="{00000000-0005-0000-0000-00007A8B0000}"/>
    <cellStyle name="Normal 53 4 2 3 4" xfId="40360" xr:uid="{00000000-0005-0000-0000-00007B8B0000}"/>
    <cellStyle name="Normal 53 4 2 4" xfId="40361" xr:uid="{00000000-0005-0000-0000-00007C8B0000}"/>
    <cellStyle name="Normal 53 4 2 4 2" xfId="40362" xr:uid="{00000000-0005-0000-0000-00007D8B0000}"/>
    <cellStyle name="Normal 53 4 2 4 2 2" xfId="40363" xr:uid="{00000000-0005-0000-0000-00007E8B0000}"/>
    <cellStyle name="Normal 53 4 2 4 3" xfId="40364" xr:uid="{00000000-0005-0000-0000-00007F8B0000}"/>
    <cellStyle name="Normal 53 4 2 5" xfId="40365" xr:uid="{00000000-0005-0000-0000-0000808B0000}"/>
    <cellStyle name="Normal 53 4 2 5 2" xfId="40366" xr:uid="{00000000-0005-0000-0000-0000818B0000}"/>
    <cellStyle name="Normal 53 4 2 5 2 2" xfId="40367" xr:uid="{00000000-0005-0000-0000-0000828B0000}"/>
    <cellStyle name="Normal 53 4 2 5 3" xfId="40368" xr:uid="{00000000-0005-0000-0000-0000838B0000}"/>
    <cellStyle name="Normal 53 4 2 6" xfId="24693" xr:uid="{00000000-0005-0000-0000-0000848B0000}"/>
    <cellStyle name="Normal 53 4 2 6 2" xfId="16692" xr:uid="{00000000-0005-0000-0000-0000858B0000}"/>
    <cellStyle name="Normal 53 4 2 7" xfId="24697" xr:uid="{00000000-0005-0000-0000-0000868B0000}"/>
    <cellStyle name="Normal 53 4 2 7 2" xfId="36591" xr:uid="{00000000-0005-0000-0000-0000878B0000}"/>
    <cellStyle name="Normal 53 4 2 8" xfId="36594" xr:uid="{00000000-0005-0000-0000-0000888B0000}"/>
    <cellStyle name="Normal 53 4 2 9" xfId="10741" xr:uid="{00000000-0005-0000-0000-0000898B0000}"/>
    <cellStyle name="Normal 53 4 3" xfId="40369" xr:uid="{00000000-0005-0000-0000-00008A8B0000}"/>
    <cellStyle name="Normal 53 4 3 2" xfId="40370" xr:uid="{00000000-0005-0000-0000-00008B8B0000}"/>
    <cellStyle name="Normal 53 4 3 2 2" xfId="40371" xr:uid="{00000000-0005-0000-0000-00008C8B0000}"/>
    <cellStyle name="Normal 53 4 3 2 2 2" xfId="40372" xr:uid="{00000000-0005-0000-0000-00008D8B0000}"/>
    <cellStyle name="Normal 53 4 3 2 2 2 2" xfId="40373" xr:uid="{00000000-0005-0000-0000-00008E8B0000}"/>
    <cellStyle name="Normal 53 4 3 2 2 3" xfId="40374" xr:uid="{00000000-0005-0000-0000-00008F8B0000}"/>
    <cellStyle name="Normal 53 4 3 2 3" xfId="40375" xr:uid="{00000000-0005-0000-0000-0000908B0000}"/>
    <cellStyle name="Normal 53 4 3 2 3 2" xfId="40376" xr:uid="{00000000-0005-0000-0000-0000918B0000}"/>
    <cellStyle name="Normal 53 4 3 2 4" xfId="40377" xr:uid="{00000000-0005-0000-0000-0000928B0000}"/>
    <cellStyle name="Normal 53 4 3 3" xfId="40378" xr:uid="{00000000-0005-0000-0000-0000938B0000}"/>
    <cellStyle name="Normal 53 4 3 3 2" xfId="40379" xr:uid="{00000000-0005-0000-0000-0000948B0000}"/>
    <cellStyle name="Normal 53 4 3 3 2 2" xfId="40380" xr:uid="{00000000-0005-0000-0000-0000958B0000}"/>
    <cellStyle name="Normal 53 4 3 3 3" xfId="40381" xr:uid="{00000000-0005-0000-0000-0000968B0000}"/>
    <cellStyle name="Normal 53 4 3 4" xfId="40384" xr:uid="{00000000-0005-0000-0000-0000978B0000}"/>
    <cellStyle name="Normal 53 4 3 4 2" xfId="40387" xr:uid="{00000000-0005-0000-0000-0000988B0000}"/>
    <cellStyle name="Normal 53 4 3 4 2 2" xfId="40390" xr:uid="{00000000-0005-0000-0000-0000998B0000}"/>
    <cellStyle name="Normal 53 4 3 4 3" xfId="40393" xr:uid="{00000000-0005-0000-0000-00009A8B0000}"/>
    <cellStyle name="Normal 53 4 3 5" xfId="40396" xr:uid="{00000000-0005-0000-0000-00009B8B0000}"/>
    <cellStyle name="Normal 53 4 3 5 2" xfId="40399" xr:uid="{00000000-0005-0000-0000-00009C8B0000}"/>
    <cellStyle name="Normal 53 4 3 6" xfId="24707" xr:uid="{00000000-0005-0000-0000-00009D8B0000}"/>
    <cellStyle name="Normal 53 4 3 6 2" xfId="40402" xr:uid="{00000000-0005-0000-0000-00009E8B0000}"/>
    <cellStyle name="Normal 53 4 3 7" xfId="40405" xr:uid="{00000000-0005-0000-0000-00009F8B0000}"/>
    <cellStyle name="Normal 53 4 3 8" xfId="40408" xr:uid="{00000000-0005-0000-0000-0000A08B0000}"/>
    <cellStyle name="Normal 53 4 4" xfId="1963" xr:uid="{00000000-0005-0000-0000-0000A18B0000}"/>
    <cellStyle name="Normal 53 4 4 2" xfId="26416" xr:uid="{00000000-0005-0000-0000-0000A28B0000}"/>
    <cellStyle name="Normal 53 4 4 2 2" xfId="26418" xr:uid="{00000000-0005-0000-0000-0000A38B0000}"/>
    <cellStyle name="Normal 53 4 4 2 2 2" xfId="26420" xr:uid="{00000000-0005-0000-0000-0000A48B0000}"/>
    <cellStyle name="Normal 53 4 4 2 3" xfId="26422" xr:uid="{00000000-0005-0000-0000-0000A58B0000}"/>
    <cellStyle name="Normal 53 4 4 3" xfId="26424" xr:uid="{00000000-0005-0000-0000-0000A68B0000}"/>
    <cellStyle name="Normal 53 4 4 3 2" xfId="26426" xr:uid="{00000000-0005-0000-0000-0000A78B0000}"/>
    <cellStyle name="Normal 53 4 4 4" xfId="14427" xr:uid="{00000000-0005-0000-0000-0000A88B0000}"/>
    <cellStyle name="Normal 53 4 5" xfId="40409" xr:uid="{00000000-0005-0000-0000-0000A98B0000}"/>
    <cellStyle name="Normal 53 4 5 2" xfId="19055" xr:uid="{00000000-0005-0000-0000-0000AA8B0000}"/>
    <cellStyle name="Normal 53 4 5 2 2" xfId="19059" xr:uid="{00000000-0005-0000-0000-0000AB8B0000}"/>
    <cellStyle name="Normal 53 4 5 3" xfId="19067" xr:uid="{00000000-0005-0000-0000-0000AC8B0000}"/>
    <cellStyle name="Normal 53 4 6" xfId="40410" xr:uid="{00000000-0005-0000-0000-0000AD8B0000}"/>
    <cellStyle name="Normal 53 4 6 2" xfId="19073" xr:uid="{00000000-0005-0000-0000-0000AE8B0000}"/>
    <cellStyle name="Normal 53 4 6 2 2" xfId="20040" xr:uid="{00000000-0005-0000-0000-0000AF8B0000}"/>
    <cellStyle name="Normal 53 4 6 3" xfId="22286" xr:uid="{00000000-0005-0000-0000-0000B08B0000}"/>
    <cellStyle name="Normal 53 4 7" xfId="40411" xr:uid="{00000000-0005-0000-0000-0000B18B0000}"/>
    <cellStyle name="Normal 53 4 7 2" xfId="22383" xr:uid="{00000000-0005-0000-0000-0000B28B0000}"/>
    <cellStyle name="Normal 53 4 8" xfId="40412" xr:uid="{00000000-0005-0000-0000-0000B38B0000}"/>
    <cellStyle name="Normal 53 4 8 2" xfId="22481" xr:uid="{00000000-0005-0000-0000-0000B48B0000}"/>
    <cellStyle name="Normal 53 4 9" xfId="40413" xr:uid="{00000000-0005-0000-0000-0000B58B0000}"/>
    <cellStyle name="Normal 53 5" xfId="24247" xr:uid="{00000000-0005-0000-0000-0000B68B0000}"/>
    <cellStyle name="Normal 53 5 2" xfId="40414" xr:uid="{00000000-0005-0000-0000-0000B78B0000}"/>
    <cellStyle name="Normal 53 5 2 2" xfId="40415" xr:uid="{00000000-0005-0000-0000-0000B88B0000}"/>
    <cellStyle name="Normal 53 5 2 2 2" xfId="4026" xr:uid="{00000000-0005-0000-0000-0000B98B0000}"/>
    <cellStyle name="Normal 53 5 2 2 2 2" xfId="40416" xr:uid="{00000000-0005-0000-0000-0000BA8B0000}"/>
    <cellStyle name="Normal 53 5 2 2 2 2 2" xfId="28649" xr:uid="{00000000-0005-0000-0000-0000BB8B0000}"/>
    <cellStyle name="Normal 53 5 2 2 2 3" xfId="40417" xr:uid="{00000000-0005-0000-0000-0000BC8B0000}"/>
    <cellStyle name="Normal 53 5 2 2 3" xfId="40418" xr:uid="{00000000-0005-0000-0000-0000BD8B0000}"/>
    <cellStyle name="Normal 53 5 2 2 3 2" xfId="40419" xr:uid="{00000000-0005-0000-0000-0000BE8B0000}"/>
    <cellStyle name="Normal 53 5 2 2 4" xfId="40420" xr:uid="{00000000-0005-0000-0000-0000BF8B0000}"/>
    <cellStyle name="Normal 53 5 2 2 5" xfId="40421" xr:uid="{00000000-0005-0000-0000-0000C08B0000}"/>
    <cellStyle name="Normal 53 5 2 3" xfId="40422" xr:uid="{00000000-0005-0000-0000-0000C18B0000}"/>
    <cellStyle name="Normal 53 5 2 3 2" xfId="8689" xr:uid="{00000000-0005-0000-0000-0000C28B0000}"/>
    <cellStyle name="Normal 53 5 2 3 2 2" xfId="38104" xr:uid="{00000000-0005-0000-0000-0000C38B0000}"/>
    <cellStyle name="Normal 53 5 2 3 3" xfId="40423" xr:uid="{00000000-0005-0000-0000-0000C48B0000}"/>
    <cellStyle name="Normal 53 5 2 4" xfId="40424" xr:uid="{00000000-0005-0000-0000-0000C58B0000}"/>
    <cellStyle name="Normal 53 5 2 4 2" xfId="40425" xr:uid="{00000000-0005-0000-0000-0000C68B0000}"/>
    <cellStyle name="Normal 53 5 2 4 2 2" xfId="40426" xr:uid="{00000000-0005-0000-0000-0000C78B0000}"/>
    <cellStyle name="Normal 53 5 2 4 3" xfId="40427" xr:uid="{00000000-0005-0000-0000-0000C88B0000}"/>
    <cellStyle name="Normal 53 5 2 5" xfId="40428" xr:uid="{00000000-0005-0000-0000-0000C98B0000}"/>
    <cellStyle name="Normal 53 5 2 5 2" xfId="13995" xr:uid="{00000000-0005-0000-0000-0000CA8B0000}"/>
    <cellStyle name="Normal 53 5 2 6" xfId="40429" xr:uid="{00000000-0005-0000-0000-0000CB8B0000}"/>
    <cellStyle name="Normal 53 5 2 6 2" xfId="14091" xr:uid="{00000000-0005-0000-0000-0000CC8B0000}"/>
    <cellStyle name="Normal 53 5 2 7" xfId="40430" xr:uid="{00000000-0005-0000-0000-0000CD8B0000}"/>
    <cellStyle name="Normal 53 5 2 8" xfId="40431" xr:uid="{00000000-0005-0000-0000-0000CE8B0000}"/>
    <cellStyle name="Normal 53 5 3" xfId="40432" xr:uid="{00000000-0005-0000-0000-0000CF8B0000}"/>
    <cellStyle name="Normal 53 5 3 2" xfId="40433" xr:uid="{00000000-0005-0000-0000-0000D08B0000}"/>
    <cellStyle name="Normal 53 5 3 2 2" xfId="8775" xr:uid="{00000000-0005-0000-0000-0000D18B0000}"/>
    <cellStyle name="Normal 53 5 3 2 2 2" xfId="40434" xr:uid="{00000000-0005-0000-0000-0000D28B0000}"/>
    <cellStyle name="Normal 53 5 3 2 3" xfId="40435" xr:uid="{00000000-0005-0000-0000-0000D38B0000}"/>
    <cellStyle name="Normal 53 5 3 3" xfId="40436" xr:uid="{00000000-0005-0000-0000-0000D48B0000}"/>
    <cellStyle name="Normal 53 5 3 3 2" xfId="8782" xr:uid="{00000000-0005-0000-0000-0000D58B0000}"/>
    <cellStyle name="Normal 53 5 3 4" xfId="40439" xr:uid="{00000000-0005-0000-0000-0000D68B0000}"/>
    <cellStyle name="Normal 53 5 3 5" xfId="40442" xr:uid="{00000000-0005-0000-0000-0000D78B0000}"/>
    <cellStyle name="Normal 53 5 4" xfId="40443" xr:uid="{00000000-0005-0000-0000-0000D88B0000}"/>
    <cellStyle name="Normal 53 5 4 2" xfId="4055" xr:uid="{00000000-0005-0000-0000-0000D98B0000}"/>
    <cellStyle name="Normal 53 5 4 2 2" xfId="8814" xr:uid="{00000000-0005-0000-0000-0000DA8B0000}"/>
    <cellStyle name="Normal 53 5 4 3" xfId="26450" xr:uid="{00000000-0005-0000-0000-0000DB8B0000}"/>
    <cellStyle name="Normal 53 5 5" xfId="40444" xr:uid="{00000000-0005-0000-0000-0000DC8B0000}"/>
    <cellStyle name="Normal 53 5 5 2" xfId="9148" xr:uid="{00000000-0005-0000-0000-0000DD8B0000}"/>
    <cellStyle name="Normal 53 5 5 2 2" xfId="8891" xr:uid="{00000000-0005-0000-0000-0000DE8B0000}"/>
    <cellStyle name="Normal 53 5 5 3" xfId="9688" xr:uid="{00000000-0005-0000-0000-0000DF8B0000}"/>
    <cellStyle name="Normal 53 5 6" xfId="17907" xr:uid="{00000000-0005-0000-0000-0000E08B0000}"/>
    <cellStyle name="Normal 53 5 6 2" xfId="3874" xr:uid="{00000000-0005-0000-0000-0000E18B0000}"/>
    <cellStyle name="Normal 53 5 7" xfId="9939" xr:uid="{00000000-0005-0000-0000-0000E28B0000}"/>
    <cellStyle name="Normal 53 5 7 2" xfId="9946" xr:uid="{00000000-0005-0000-0000-0000E38B0000}"/>
    <cellStyle name="Normal 53 5 8" xfId="9954" xr:uid="{00000000-0005-0000-0000-0000E48B0000}"/>
    <cellStyle name="Normal 53 5 9" xfId="26870" xr:uid="{00000000-0005-0000-0000-0000E58B0000}"/>
    <cellStyle name="Normal 53 6" xfId="40445" xr:uid="{00000000-0005-0000-0000-0000E68B0000}"/>
    <cellStyle name="Normal 53 6 2" xfId="40446" xr:uid="{00000000-0005-0000-0000-0000E78B0000}"/>
    <cellStyle name="Normal 53 6 2 2" xfId="40447" xr:uid="{00000000-0005-0000-0000-0000E88B0000}"/>
    <cellStyle name="Normal 53 6 2 2 2" xfId="40448" xr:uid="{00000000-0005-0000-0000-0000E98B0000}"/>
    <cellStyle name="Normal 53 6 2 2 2 2" xfId="40449" xr:uid="{00000000-0005-0000-0000-0000EA8B0000}"/>
    <cellStyle name="Normal 53 6 2 2 2 2 2" xfId="40450" xr:uid="{00000000-0005-0000-0000-0000EB8B0000}"/>
    <cellStyle name="Normal 53 6 2 2 2 3" xfId="40451" xr:uid="{00000000-0005-0000-0000-0000EC8B0000}"/>
    <cellStyle name="Normal 53 6 2 2 3" xfId="40452" xr:uid="{00000000-0005-0000-0000-0000ED8B0000}"/>
    <cellStyle name="Normal 53 6 2 2 3 2" xfId="40453" xr:uid="{00000000-0005-0000-0000-0000EE8B0000}"/>
    <cellStyle name="Normal 53 6 2 2 4" xfId="40454" xr:uid="{00000000-0005-0000-0000-0000EF8B0000}"/>
    <cellStyle name="Normal 53 6 2 3" xfId="40455" xr:uid="{00000000-0005-0000-0000-0000F08B0000}"/>
    <cellStyle name="Normal 53 6 2 3 2" xfId="40456" xr:uid="{00000000-0005-0000-0000-0000F18B0000}"/>
    <cellStyle name="Normal 53 6 2 3 2 2" xfId="40457" xr:uid="{00000000-0005-0000-0000-0000F28B0000}"/>
    <cellStyle name="Normal 53 6 2 3 3" xfId="40458" xr:uid="{00000000-0005-0000-0000-0000F38B0000}"/>
    <cellStyle name="Normal 53 6 2 4" xfId="40459" xr:uid="{00000000-0005-0000-0000-0000F48B0000}"/>
    <cellStyle name="Normal 53 6 2 4 2" xfId="40460" xr:uid="{00000000-0005-0000-0000-0000F58B0000}"/>
    <cellStyle name="Normal 53 6 2 4 2 2" xfId="40461" xr:uid="{00000000-0005-0000-0000-0000F68B0000}"/>
    <cellStyle name="Normal 53 6 2 4 3" xfId="40462" xr:uid="{00000000-0005-0000-0000-0000F78B0000}"/>
    <cellStyle name="Normal 53 6 2 5" xfId="40463" xr:uid="{00000000-0005-0000-0000-0000F88B0000}"/>
    <cellStyle name="Normal 53 6 2 5 2" xfId="14615" xr:uid="{00000000-0005-0000-0000-0000F98B0000}"/>
    <cellStyle name="Normal 53 6 2 6" xfId="40464" xr:uid="{00000000-0005-0000-0000-0000FA8B0000}"/>
    <cellStyle name="Normal 53 6 2 6 2" xfId="14674" xr:uid="{00000000-0005-0000-0000-0000FB8B0000}"/>
    <cellStyle name="Normal 53 6 2 7" xfId="40465" xr:uid="{00000000-0005-0000-0000-0000FC8B0000}"/>
    <cellStyle name="Normal 53 6 2 8" xfId="39672" xr:uid="{00000000-0005-0000-0000-0000FD8B0000}"/>
    <cellStyle name="Normal 53 6 3" xfId="40466" xr:uid="{00000000-0005-0000-0000-0000FE8B0000}"/>
    <cellStyle name="Normal 53 6 3 2" xfId="40467" xr:uid="{00000000-0005-0000-0000-0000FF8B0000}"/>
    <cellStyle name="Normal 53 6 3 2 2" xfId="40469" xr:uid="{00000000-0005-0000-0000-0000008C0000}"/>
    <cellStyle name="Normal 53 6 3 2 2 2" xfId="40471" xr:uid="{00000000-0005-0000-0000-0000018C0000}"/>
    <cellStyle name="Normal 53 6 3 2 3" xfId="40473" xr:uid="{00000000-0005-0000-0000-0000028C0000}"/>
    <cellStyle name="Normal 53 6 3 3" xfId="40474" xr:uid="{00000000-0005-0000-0000-0000038C0000}"/>
    <cellStyle name="Normal 53 6 3 3 2" xfId="40477" xr:uid="{00000000-0005-0000-0000-0000048C0000}"/>
    <cellStyle name="Normal 53 6 3 4" xfId="40480" xr:uid="{00000000-0005-0000-0000-0000058C0000}"/>
    <cellStyle name="Normal 53 6 4" xfId="40481" xr:uid="{00000000-0005-0000-0000-0000068C0000}"/>
    <cellStyle name="Normal 53 6 4 2" xfId="26478" xr:uid="{00000000-0005-0000-0000-0000078C0000}"/>
    <cellStyle name="Normal 53 6 4 2 2" xfId="9293" xr:uid="{00000000-0005-0000-0000-0000088C0000}"/>
    <cellStyle name="Normal 53 6 4 3" xfId="26480" xr:uid="{00000000-0005-0000-0000-0000098C0000}"/>
    <cellStyle name="Normal 53 6 5" xfId="40482" xr:uid="{00000000-0005-0000-0000-00000A8C0000}"/>
    <cellStyle name="Normal 53 6 5 2" xfId="19088" xr:uid="{00000000-0005-0000-0000-00000B8C0000}"/>
    <cellStyle name="Normal 53 6 5 2 2" xfId="9932" xr:uid="{00000000-0005-0000-0000-00000C8C0000}"/>
    <cellStyle name="Normal 53 6 5 3" xfId="26487" xr:uid="{00000000-0005-0000-0000-00000D8C0000}"/>
    <cellStyle name="Normal 53 6 6" xfId="17913" xr:uid="{00000000-0005-0000-0000-00000E8C0000}"/>
    <cellStyle name="Normal 53 6 6 2" xfId="17219" xr:uid="{00000000-0005-0000-0000-00000F8C0000}"/>
    <cellStyle name="Normal 53 6 7" xfId="40483" xr:uid="{00000000-0005-0000-0000-0000108C0000}"/>
    <cellStyle name="Normal 53 6 7 2" xfId="9962" xr:uid="{00000000-0005-0000-0000-0000118C0000}"/>
    <cellStyle name="Normal 53 6 8" xfId="40484" xr:uid="{00000000-0005-0000-0000-0000128C0000}"/>
    <cellStyle name="Normal 53 6 9" xfId="40485" xr:uid="{00000000-0005-0000-0000-0000138C0000}"/>
    <cellStyle name="Normal 53 7" xfId="40486" xr:uid="{00000000-0005-0000-0000-0000148C0000}"/>
    <cellStyle name="Normal 53 7 2" xfId="40487" xr:uid="{00000000-0005-0000-0000-0000158C0000}"/>
    <cellStyle name="Normal 53 7 2 2" xfId="40488" xr:uid="{00000000-0005-0000-0000-0000168C0000}"/>
    <cellStyle name="Normal 53 7 2 2 2" xfId="40489" xr:uid="{00000000-0005-0000-0000-0000178C0000}"/>
    <cellStyle name="Normal 53 7 2 2 2 2" xfId="40490" xr:uid="{00000000-0005-0000-0000-0000188C0000}"/>
    <cellStyle name="Normal 53 7 2 2 2 2 2" xfId="40493" xr:uid="{00000000-0005-0000-0000-0000198C0000}"/>
    <cellStyle name="Normal 53 7 2 2 2 3" xfId="13865" xr:uid="{00000000-0005-0000-0000-00001A8C0000}"/>
    <cellStyle name="Normal 53 7 2 2 3" xfId="40494" xr:uid="{00000000-0005-0000-0000-00001B8C0000}"/>
    <cellStyle name="Normal 53 7 2 2 3 2" xfId="40495" xr:uid="{00000000-0005-0000-0000-00001C8C0000}"/>
    <cellStyle name="Normal 53 7 2 2 4" xfId="40496" xr:uid="{00000000-0005-0000-0000-00001D8C0000}"/>
    <cellStyle name="Normal 53 7 2 3" xfId="40497" xr:uid="{00000000-0005-0000-0000-00001E8C0000}"/>
    <cellStyle name="Normal 53 7 2 3 2" xfId="40498" xr:uid="{00000000-0005-0000-0000-00001F8C0000}"/>
    <cellStyle name="Normal 53 7 2 3 2 2" xfId="40499" xr:uid="{00000000-0005-0000-0000-0000208C0000}"/>
    <cellStyle name="Normal 53 7 2 3 3" xfId="40500" xr:uid="{00000000-0005-0000-0000-0000218C0000}"/>
    <cellStyle name="Normal 53 7 2 4" xfId="40501" xr:uid="{00000000-0005-0000-0000-0000228C0000}"/>
    <cellStyle name="Normal 53 7 2 4 2" xfId="40502" xr:uid="{00000000-0005-0000-0000-0000238C0000}"/>
    <cellStyle name="Normal 53 7 2 4 2 2" xfId="40503" xr:uid="{00000000-0005-0000-0000-0000248C0000}"/>
    <cellStyle name="Normal 53 7 2 4 3" xfId="40504" xr:uid="{00000000-0005-0000-0000-0000258C0000}"/>
    <cellStyle name="Normal 53 7 2 5" xfId="40505" xr:uid="{00000000-0005-0000-0000-0000268C0000}"/>
    <cellStyle name="Normal 53 7 2 5 2" xfId="14579" xr:uid="{00000000-0005-0000-0000-0000278C0000}"/>
    <cellStyle name="Normal 53 7 2 6" xfId="22267" xr:uid="{00000000-0005-0000-0000-0000288C0000}"/>
    <cellStyle name="Normal 53 7 2 6 2" xfId="14873" xr:uid="{00000000-0005-0000-0000-0000298C0000}"/>
    <cellStyle name="Normal 53 7 2 7" xfId="40506" xr:uid="{00000000-0005-0000-0000-00002A8C0000}"/>
    <cellStyle name="Normal 53 7 2 8" xfId="12078" xr:uid="{00000000-0005-0000-0000-00002B8C0000}"/>
    <cellStyle name="Normal 53 7 3" xfId="40507" xr:uid="{00000000-0005-0000-0000-00002C8C0000}"/>
    <cellStyle name="Normal 53 7 3 2" xfId="40508" xr:uid="{00000000-0005-0000-0000-00002D8C0000}"/>
    <cellStyle name="Normal 53 7 3 2 2" xfId="40509" xr:uid="{00000000-0005-0000-0000-00002E8C0000}"/>
    <cellStyle name="Normal 53 7 3 2 2 2" xfId="40510" xr:uid="{00000000-0005-0000-0000-00002F8C0000}"/>
    <cellStyle name="Normal 53 7 3 2 3" xfId="29133" xr:uid="{00000000-0005-0000-0000-0000308C0000}"/>
    <cellStyle name="Normal 53 7 3 3" xfId="40511" xr:uid="{00000000-0005-0000-0000-0000318C0000}"/>
    <cellStyle name="Normal 53 7 3 3 2" xfId="40512" xr:uid="{00000000-0005-0000-0000-0000328C0000}"/>
    <cellStyle name="Normal 53 7 3 4" xfId="40515" xr:uid="{00000000-0005-0000-0000-0000338C0000}"/>
    <cellStyle name="Normal 53 7 4" xfId="40516" xr:uid="{00000000-0005-0000-0000-0000348C0000}"/>
    <cellStyle name="Normal 53 7 4 2" xfId="4230" xr:uid="{00000000-0005-0000-0000-0000358C0000}"/>
    <cellStyle name="Normal 53 7 4 2 2" xfId="10279" xr:uid="{00000000-0005-0000-0000-0000368C0000}"/>
    <cellStyle name="Normal 53 7 4 3" xfId="22863" xr:uid="{00000000-0005-0000-0000-0000378C0000}"/>
    <cellStyle name="Normal 53 7 5" xfId="40517" xr:uid="{00000000-0005-0000-0000-0000388C0000}"/>
    <cellStyle name="Normal 53 7 5 2" xfId="22910" xr:uid="{00000000-0005-0000-0000-0000398C0000}"/>
    <cellStyle name="Normal 53 7 5 2 2" xfId="40518" xr:uid="{00000000-0005-0000-0000-00003A8C0000}"/>
    <cellStyle name="Normal 53 7 5 3" xfId="40520" xr:uid="{00000000-0005-0000-0000-00003B8C0000}"/>
    <cellStyle name="Normal 53 7 6" xfId="17629" xr:uid="{00000000-0005-0000-0000-00003C8C0000}"/>
    <cellStyle name="Normal 53 7 6 2" xfId="17252" xr:uid="{00000000-0005-0000-0000-00003D8C0000}"/>
    <cellStyle name="Normal 53 7 7" xfId="40521" xr:uid="{00000000-0005-0000-0000-00003E8C0000}"/>
    <cellStyle name="Normal 53 7 7 2" xfId="40522" xr:uid="{00000000-0005-0000-0000-00003F8C0000}"/>
    <cellStyle name="Normal 53 7 8" xfId="40523" xr:uid="{00000000-0005-0000-0000-0000408C0000}"/>
    <cellStyle name="Normal 53 7 9" xfId="40524" xr:uid="{00000000-0005-0000-0000-0000418C0000}"/>
    <cellStyle name="Normal 53 8" xfId="40525" xr:uid="{00000000-0005-0000-0000-0000428C0000}"/>
    <cellStyle name="Normal 53 8 2" xfId="40526" xr:uid="{00000000-0005-0000-0000-0000438C0000}"/>
    <cellStyle name="Normal 53 8 2 2" xfId="40527" xr:uid="{00000000-0005-0000-0000-0000448C0000}"/>
    <cellStyle name="Normal 53 8 2 2 2" xfId="40528" xr:uid="{00000000-0005-0000-0000-0000458C0000}"/>
    <cellStyle name="Normal 53 8 2 2 2 2" xfId="40529" xr:uid="{00000000-0005-0000-0000-0000468C0000}"/>
    <cellStyle name="Normal 53 8 2 2 3" xfId="40530" xr:uid="{00000000-0005-0000-0000-0000478C0000}"/>
    <cellStyle name="Normal 53 8 2 3" xfId="40531" xr:uid="{00000000-0005-0000-0000-0000488C0000}"/>
    <cellStyle name="Normal 53 8 2 3 2" xfId="40532" xr:uid="{00000000-0005-0000-0000-0000498C0000}"/>
    <cellStyle name="Normal 53 8 2 4" xfId="40533" xr:uid="{00000000-0005-0000-0000-00004A8C0000}"/>
    <cellStyle name="Normal 53 8 3" xfId="40534" xr:uid="{00000000-0005-0000-0000-00004B8C0000}"/>
    <cellStyle name="Normal 53 8 3 2" xfId="40535" xr:uid="{00000000-0005-0000-0000-00004C8C0000}"/>
    <cellStyle name="Normal 53 8 3 2 2" xfId="40536" xr:uid="{00000000-0005-0000-0000-00004D8C0000}"/>
    <cellStyle name="Normal 53 8 3 3" xfId="40537" xr:uid="{00000000-0005-0000-0000-00004E8C0000}"/>
    <cellStyle name="Normal 53 8 4" xfId="40538" xr:uid="{00000000-0005-0000-0000-00004F8C0000}"/>
    <cellStyle name="Normal 53 8 4 2" xfId="22977" xr:uid="{00000000-0005-0000-0000-0000508C0000}"/>
    <cellStyle name="Normal 53 8 4 2 2" xfId="40539" xr:uid="{00000000-0005-0000-0000-0000518C0000}"/>
    <cellStyle name="Normal 53 8 4 3" xfId="40540" xr:uid="{00000000-0005-0000-0000-0000528C0000}"/>
    <cellStyle name="Normal 53 8 5" xfId="40541" xr:uid="{00000000-0005-0000-0000-0000538C0000}"/>
    <cellStyle name="Normal 53 8 5 2" xfId="40542" xr:uid="{00000000-0005-0000-0000-0000548C0000}"/>
    <cellStyle name="Normal 53 8 6" xfId="40543" xr:uid="{00000000-0005-0000-0000-0000558C0000}"/>
    <cellStyle name="Normal 53 8 6 2" xfId="40544" xr:uid="{00000000-0005-0000-0000-0000568C0000}"/>
    <cellStyle name="Normal 53 8 7" xfId="40545" xr:uid="{00000000-0005-0000-0000-0000578C0000}"/>
    <cellStyle name="Normal 53 8 8" xfId="40546" xr:uid="{00000000-0005-0000-0000-0000588C0000}"/>
    <cellStyle name="Normal 53 9" xfId="40547" xr:uid="{00000000-0005-0000-0000-0000598C0000}"/>
    <cellStyle name="Normal 53 9 2" xfId="40548" xr:uid="{00000000-0005-0000-0000-00005A8C0000}"/>
    <cellStyle name="Normal 53 9 2 2" xfId="40549" xr:uid="{00000000-0005-0000-0000-00005B8C0000}"/>
    <cellStyle name="Normal 53 9 2 2 2" xfId="40550" xr:uid="{00000000-0005-0000-0000-00005C8C0000}"/>
    <cellStyle name="Normal 53 9 2 3" xfId="6879" xr:uid="{00000000-0005-0000-0000-00005D8C0000}"/>
    <cellStyle name="Normal 53 9 3" xfId="40551" xr:uid="{00000000-0005-0000-0000-00005E8C0000}"/>
    <cellStyle name="Normal 53 9 3 2" xfId="40552" xr:uid="{00000000-0005-0000-0000-00005F8C0000}"/>
    <cellStyle name="Normal 53 9 4" xfId="40553" xr:uid="{00000000-0005-0000-0000-0000608C0000}"/>
    <cellStyle name="Normal 54" xfId="38909" xr:uid="{00000000-0005-0000-0000-0000618C0000}"/>
    <cellStyle name="Normal 54 10" xfId="23121" xr:uid="{00000000-0005-0000-0000-0000628C0000}"/>
    <cellStyle name="Normal 54 10 2" xfId="5522" xr:uid="{00000000-0005-0000-0000-0000638C0000}"/>
    <cellStyle name="Normal 54 10 2 2" xfId="33701" xr:uid="{00000000-0005-0000-0000-0000648C0000}"/>
    <cellStyle name="Normal 54 10 3" xfId="40554" xr:uid="{00000000-0005-0000-0000-0000658C0000}"/>
    <cellStyle name="Normal 54 11" xfId="23124" xr:uid="{00000000-0005-0000-0000-0000668C0000}"/>
    <cellStyle name="Normal 54 11 2" xfId="38911" xr:uid="{00000000-0005-0000-0000-0000678C0000}"/>
    <cellStyle name="Normal 54 11 2 2" xfId="40555" xr:uid="{00000000-0005-0000-0000-0000688C0000}"/>
    <cellStyle name="Normal 54 11 3" xfId="40556" xr:uid="{00000000-0005-0000-0000-0000698C0000}"/>
    <cellStyle name="Normal 54 12" xfId="34868" xr:uid="{00000000-0005-0000-0000-00006A8C0000}"/>
    <cellStyle name="Normal 54 12 2" xfId="34872" xr:uid="{00000000-0005-0000-0000-00006B8C0000}"/>
    <cellStyle name="Normal 54 13" xfId="1402" xr:uid="{00000000-0005-0000-0000-00006C8C0000}"/>
    <cellStyle name="Normal 54 13 2" xfId="3706" xr:uid="{00000000-0005-0000-0000-00006D8C0000}"/>
    <cellStyle name="Normal 54 14" xfId="38913" xr:uid="{00000000-0005-0000-0000-00006E8C0000}"/>
    <cellStyle name="Normal 54 14 2" xfId="1967" xr:uid="{00000000-0005-0000-0000-00006F8C0000}"/>
    <cellStyle name="Normal 54 15" xfId="40557" xr:uid="{00000000-0005-0000-0000-0000708C0000}"/>
    <cellStyle name="Normal 54 16" xfId="40558" xr:uid="{00000000-0005-0000-0000-0000718C0000}"/>
    <cellStyle name="Normal 54 2" xfId="38915" xr:uid="{00000000-0005-0000-0000-0000728C0000}"/>
    <cellStyle name="Normal 54 2 10" xfId="13256" xr:uid="{00000000-0005-0000-0000-0000738C0000}"/>
    <cellStyle name="Normal 54 2 10 2" xfId="40559" xr:uid="{00000000-0005-0000-0000-0000748C0000}"/>
    <cellStyle name="Normal 54 2 11" xfId="12089" xr:uid="{00000000-0005-0000-0000-0000758C0000}"/>
    <cellStyle name="Normal 54 2 11 2" xfId="12093" xr:uid="{00000000-0005-0000-0000-0000768C0000}"/>
    <cellStyle name="Normal 54 2 12" xfId="10490" xr:uid="{00000000-0005-0000-0000-0000778C0000}"/>
    <cellStyle name="Normal 54 2 12 2" xfId="10496" xr:uid="{00000000-0005-0000-0000-0000788C0000}"/>
    <cellStyle name="Normal 54 2 13" xfId="10503" xr:uid="{00000000-0005-0000-0000-0000798C0000}"/>
    <cellStyle name="Normal 54 2 14" xfId="8402" xr:uid="{00000000-0005-0000-0000-00007A8C0000}"/>
    <cellStyle name="Normal 54 2 2" xfId="38917" xr:uid="{00000000-0005-0000-0000-00007B8C0000}"/>
    <cellStyle name="Normal 54 2 2 10" xfId="40561" xr:uid="{00000000-0005-0000-0000-00007C8C0000}"/>
    <cellStyle name="Normal 54 2 2 2" xfId="38919" xr:uid="{00000000-0005-0000-0000-00007D8C0000}"/>
    <cellStyle name="Normal 54 2 2 2 2" xfId="32787" xr:uid="{00000000-0005-0000-0000-00007E8C0000}"/>
    <cellStyle name="Normal 54 2 2 2 2 2" xfId="38921" xr:uid="{00000000-0005-0000-0000-00007F8C0000}"/>
    <cellStyle name="Normal 54 2 2 2 2 2 2" xfId="38923" xr:uid="{00000000-0005-0000-0000-0000808C0000}"/>
    <cellStyle name="Normal 54 2 2 2 2 2 2 2" xfId="38925" xr:uid="{00000000-0005-0000-0000-0000818C0000}"/>
    <cellStyle name="Normal 54 2 2 2 2 2 2 2 2" xfId="40562" xr:uid="{00000000-0005-0000-0000-0000828C0000}"/>
    <cellStyle name="Normal 54 2 2 2 2 2 2 3" xfId="40563" xr:uid="{00000000-0005-0000-0000-0000838C0000}"/>
    <cellStyle name="Normal 54 2 2 2 2 2 3" xfId="19706" xr:uid="{00000000-0005-0000-0000-0000848C0000}"/>
    <cellStyle name="Normal 54 2 2 2 2 2 3 2" xfId="40564" xr:uid="{00000000-0005-0000-0000-0000858C0000}"/>
    <cellStyle name="Normal 54 2 2 2 2 2 4" xfId="40565" xr:uid="{00000000-0005-0000-0000-0000868C0000}"/>
    <cellStyle name="Normal 54 2 2 2 2 3" xfId="38927" xr:uid="{00000000-0005-0000-0000-0000878C0000}"/>
    <cellStyle name="Normal 54 2 2 2 2 3 2" xfId="38929" xr:uid="{00000000-0005-0000-0000-0000888C0000}"/>
    <cellStyle name="Normal 54 2 2 2 2 3 2 2" xfId="40566" xr:uid="{00000000-0005-0000-0000-0000898C0000}"/>
    <cellStyle name="Normal 54 2 2 2 2 3 3" xfId="3382" xr:uid="{00000000-0005-0000-0000-00008A8C0000}"/>
    <cellStyle name="Normal 54 2 2 2 2 4" xfId="38931" xr:uid="{00000000-0005-0000-0000-00008B8C0000}"/>
    <cellStyle name="Normal 54 2 2 2 2 4 2" xfId="40567" xr:uid="{00000000-0005-0000-0000-00008C8C0000}"/>
    <cellStyle name="Normal 54 2 2 2 2 4 2 2" xfId="40568" xr:uid="{00000000-0005-0000-0000-00008D8C0000}"/>
    <cellStyle name="Normal 54 2 2 2 2 4 3" xfId="3430" xr:uid="{00000000-0005-0000-0000-00008E8C0000}"/>
    <cellStyle name="Normal 54 2 2 2 2 5" xfId="40569" xr:uid="{00000000-0005-0000-0000-00008F8C0000}"/>
    <cellStyle name="Normal 54 2 2 2 2 5 2" xfId="40570" xr:uid="{00000000-0005-0000-0000-0000908C0000}"/>
    <cellStyle name="Normal 54 2 2 2 2 6" xfId="40571" xr:uid="{00000000-0005-0000-0000-0000918C0000}"/>
    <cellStyle name="Normal 54 2 2 2 2 6 2" xfId="40572" xr:uid="{00000000-0005-0000-0000-0000928C0000}"/>
    <cellStyle name="Normal 54 2 2 2 2 7" xfId="40573" xr:uid="{00000000-0005-0000-0000-0000938C0000}"/>
    <cellStyle name="Normal 54 2 2 2 2 8" xfId="13095" xr:uid="{00000000-0005-0000-0000-0000948C0000}"/>
    <cellStyle name="Normal 54 2 2 2 3" xfId="32791" xr:uid="{00000000-0005-0000-0000-0000958C0000}"/>
    <cellStyle name="Normal 54 2 2 2 3 2" xfId="17565" xr:uid="{00000000-0005-0000-0000-0000968C0000}"/>
    <cellStyle name="Normal 54 2 2 2 3 2 2" xfId="17568" xr:uid="{00000000-0005-0000-0000-0000978C0000}"/>
    <cellStyle name="Normal 54 2 2 2 3 2 2 2" xfId="40574" xr:uid="{00000000-0005-0000-0000-0000988C0000}"/>
    <cellStyle name="Normal 54 2 2 2 3 2 3" xfId="19719" xr:uid="{00000000-0005-0000-0000-0000998C0000}"/>
    <cellStyle name="Normal 54 2 2 2 3 3" xfId="17572" xr:uid="{00000000-0005-0000-0000-00009A8C0000}"/>
    <cellStyle name="Normal 54 2 2 2 3 3 2" xfId="40575" xr:uid="{00000000-0005-0000-0000-00009B8C0000}"/>
    <cellStyle name="Normal 54 2 2 2 3 4" xfId="40576" xr:uid="{00000000-0005-0000-0000-00009C8C0000}"/>
    <cellStyle name="Normal 54 2 2 2 4" xfId="33704" xr:uid="{00000000-0005-0000-0000-00009D8C0000}"/>
    <cellStyle name="Normal 54 2 2 2 4 2" xfId="17595" xr:uid="{00000000-0005-0000-0000-00009E8C0000}"/>
    <cellStyle name="Normal 54 2 2 2 4 2 2" xfId="38933" xr:uid="{00000000-0005-0000-0000-00009F8C0000}"/>
    <cellStyle name="Normal 54 2 2 2 4 3" xfId="24976" xr:uid="{00000000-0005-0000-0000-0000A08C0000}"/>
    <cellStyle name="Normal 54 2 2 2 5" xfId="38935" xr:uid="{00000000-0005-0000-0000-0000A18C0000}"/>
    <cellStyle name="Normal 54 2 2 2 5 2" xfId="17600" xr:uid="{00000000-0005-0000-0000-0000A28C0000}"/>
    <cellStyle name="Normal 54 2 2 2 5 2 2" xfId="40577" xr:uid="{00000000-0005-0000-0000-0000A38C0000}"/>
    <cellStyle name="Normal 54 2 2 2 5 3" xfId="40578" xr:uid="{00000000-0005-0000-0000-0000A48C0000}"/>
    <cellStyle name="Normal 54 2 2 2 6" xfId="38937" xr:uid="{00000000-0005-0000-0000-0000A58C0000}"/>
    <cellStyle name="Normal 54 2 2 2 6 2" xfId="38939" xr:uid="{00000000-0005-0000-0000-0000A68C0000}"/>
    <cellStyle name="Normal 54 2 2 2 7" xfId="38941" xr:uid="{00000000-0005-0000-0000-0000A78C0000}"/>
    <cellStyle name="Normal 54 2 2 2 7 2" xfId="40579" xr:uid="{00000000-0005-0000-0000-0000A88C0000}"/>
    <cellStyle name="Normal 54 2 2 2 8" xfId="38943" xr:uid="{00000000-0005-0000-0000-0000A98C0000}"/>
    <cellStyle name="Normal 54 2 2 2 9" xfId="40580" xr:uid="{00000000-0005-0000-0000-0000AA8C0000}"/>
    <cellStyle name="Normal 54 2 2 3" xfId="14208" xr:uid="{00000000-0005-0000-0000-0000AB8C0000}"/>
    <cellStyle name="Normal 54 2 2 3 2" xfId="9462" xr:uid="{00000000-0005-0000-0000-0000AC8C0000}"/>
    <cellStyle name="Normal 54 2 2 3 2 2" xfId="9470" xr:uid="{00000000-0005-0000-0000-0000AD8C0000}"/>
    <cellStyle name="Normal 54 2 2 3 2 2 2" xfId="9482" xr:uid="{00000000-0005-0000-0000-0000AE8C0000}"/>
    <cellStyle name="Normal 54 2 2 3 2 2 2 2" xfId="9487" xr:uid="{00000000-0005-0000-0000-0000AF8C0000}"/>
    <cellStyle name="Normal 54 2 2 3 2 2 3" xfId="9515" xr:uid="{00000000-0005-0000-0000-0000B08C0000}"/>
    <cellStyle name="Normal 54 2 2 3 2 3" xfId="9602" xr:uid="{00000000-0005-0000-0000-0000B18C0000}"/>
    <cellStyle name="Normal 54 2 2 3 2 3 2" xfId="2590" xr:uid="{00000000-0005-0000-0000-0000B28C0000}"/>
    <cellStyle name="Normal 54 2 2 3 2 4" xfId="9607" xr:uid="{00000000-0005-0000-0000-0000B38C0000}"/>
    <cellStyle name="Normal 54 2 2 3 3" xfId="9638" xr:uid="{00000000-0005-0000-0000-0000B48C0000}"/>
    <cellStyle name="Normal 54 2 2 3 3 2" xfId="9647" xr:uid="{00000000-0005-0000-0000-0000B58C0000}"/>
    <cellStyle name="Normal 54 2 2 3 3 2 2" xfId="9655" xr:uid="{00000000-0005-0000-0000-0000B68C0000}"/>
    <cellStyle name="Normal 54 2 2 3 3 3" xfId="9712" xr:uid="{00000000-0005-0000-0000-0000B78C0000}"/>
    <cellStyle name="Normal 54 2 2 3 4" xfId="9778" xr:uid="{00000000-0005-0000-0000-0000B88C0000}"/>
    <cellStyle name="Normal 54 2 2 3 4 2" xfId="539" xr:uid="{00000000-0005-0000-0000-0000B98C0000}"/>
    <cellStyle name="Normal 54 2 2 3 4 2 2" xfId="2875" xr:uid="{00000000-0005-0000-0000-0000BA8C0000}"/>
    <cellStyle name="Normal 54 2 2 3 4 3" xfId="9788" xr:uid="{00000000-0005-0000-0000-0000BB8C0000}"/>
    <cellStyle name="Normal 54 2 2 3 5" xfId="9854" xr:uid="{00000000-0005-0000-0000-0000BC8C0000}"/>
    <cellStyle name="Normal 54 2 2 3 5 2" xfId="9856" xr:uid="{00000000-0005-0000-0000-0000BD8C0000}"/>
    <cellStyle name="Normal 54 2 2 3 6" xfId="9864" xr:uid="{00000000-0005-0000-0000-0000BE8C0000}"/>
    <cellStyle name="Normal 54 2 2 3 6 2" xfId="9866" xr:uid="{00000000-0005-0000-0000-0000BF8C0000}"/>
    <cellStyle name="Normal 54 2 2 3 7" xfId="9871" xr:uid="{00000000-0005-0000-0000-0000C08C0000}"/>
    <cellStyle name="Normal 54 2 2 3 8" xfId="40581" xr:uid="{00000000-0005-0000-0000-0000C18C0000}"/>
    <cellStyle name="Normal 54 2 2 4" xfId="9878" xr:uid="{00000000-0005-0000-0000-0000C28C0000}"/>
    <cellStyle name="Normal 54 2 2 4 2" xfId="9881" xr:uid="{00000000-0005-0000-0000-0000C38C0000}"/>
    <cellStyle name="Normal 54 2 2 4 2 2" xfId="9959" xr:uid="{00000000-0005-0000-0000-0000C48C0000}"/>
    <cellStyle name="Normal 54 2 2 4 2 2 2" xfId="9966" xr:uid="{00000000-0005-0000-0000-0000C58C0000}"/>
    <cellStyle name="Normal 54 2 2 4 2 3" xfId="9968" xr:uid="{00000000-0005-0000-0000-0000C68C0000}"/>
    <cellStyle name="Normal 54 2 2 4 3" xfId="5796" xr:uid="{00000000-0005-0000-0000-0000C78C0000}"/>
    <cellStyle name="Normal 54 2 2 4 3 2" xfId="8634" xr:uid="{00000000-0005-0000-0000-0000C88C0000}"/>
    <cellStyle name="Normal 54 2 2 4 4" xfId="8639" xr:uid="{00000000-0005-0000-0000-0000C98C0000}"/>
    <cellStyle name="Normal 54 2 2 5" xfId="9888" xr:uid="{00000000-0005-0000-0000-0000CA8C0000}"/>
    <cellStyle name="Normal 54 2 2 5 2" xfId="10022" xr:uid="{00000000-0005-0000-0000-0000CB8C0000}"/>
    <cellStyle name="Normal 54 2 2 5 2 2" xfId="10025" xr:uid="{00000000-0005-0000-0000-0000CC8C0000}"/>
    <cellStyle name="Normal 54 2 2 5 3" xfId="3751" xr:uid="{00000000-0005-0000-0000-0000CD8C0000}"/>
    <cellStyle name="Normal 54 2 2 6" xfId="14211" xr:uid="{00000000-0005-0000-0000-0000CE8C0000}"/>
    <cellStyle name="Normal 54 2 2 6 2" xfId="10080" xr:uid="{00000000-0005-0000-0000-0000CF8C0000}"/>
    <cellStyle name="Normal 54 2 2 6 2 2" xfId="129" xr:uid="{00000000-0005-0000-0000-0000D08C0000}"/>
    <cellStyle name="Normal 54 2 2 6 3" xfId="10086" xr:uid="{00000000-0005-0000-0000-0000D18C0000}"/>
    <cellStyle name="Normal 54 2 2 7" xfId="10431" xr:uid="{00000000-0005-0000-0000-0000D28C0000}"/>
    <cellStyle name="Normal 54 2 2 7 2" xfId="10439" xr:uid="{00000000-0005-0000-0000-0000D38C0000}"/>
    <cellStyle name="Normal 54 2 2 8" xfId="485" xr:uid="{00000000-0005-0000-0000-0000D48C0000}"/>
    <cellStyle name="Normal 54 2 2 8 2" xfId="2219" xr:uid="{00000000-0005-0000-0000-0000D58C0000}"/>
    <cellStyle name="Normal 54 2 2 9" xfId="578" xr:uid="{00000000-0005-0000-0000-0000D68C0000}"/>
    <cellStyle name="Normal 54 2 3" xfId="24991" xr:uid="{00000000-0005-0000-0000-0000D78C0000}"/>
    <cellStyle name="Normal 54 2 3 2" xfId="38945" xr:uid="{00000000-0005-0000-0000-0000D88C0000}"/>
    <cellStyle name="Normal 54 2 3 2 2" xfId="38947" xr:uid="{00000000-0005-0000-0000-0000D98C0000}"/>
    <cellStyle name="Normal 54 2 3 2 2 2" xfId="38949" xr:uid="{00000000-0005-0000-0000-0000DA8C0000}"/>
    <cellStyle name="Normal 54 2 3 2 2 2 2" xfId="38951" xr:uid="{00000000-0005-0000-0000-0000DB8C0000}"/>
    <cellStyle name="Normal 54 2 3 2 2 2 2 2" xfId="40582" xr:uid="{00000000-0005-0000-0000-0000DC8C0000}"/>
    <cellStyle name="Normal 54 2 3 2 2 2 3" xfId="40583" xr:uid="{00000000-0005-0000-0000-0000DD8C0000}"/>
    <cellStyle name="Normal 54 2 3 2 2 3" xfId="38953" xr:uid="{00000000-0005-0000-0000-0000DE8C0000}"/>
    <cellStyle name="Normal 54 2 3 2 2 3 2" xfId="40584" xr:uid="{00000000-0005-0000-0000-0000DF8C0000}"/>
    <cellStyle name="Normal 54 2 3 2 2 4" xfId="40585" xr:uid="{00000000-0005-0000-0000-0000E08C0000}"/>
    <cellStyle name="Normal 54 2 3 2 2 5" xfId="40586" xr:uid="{00000000-0005-0000-0000-0000E18C0000}"/>
    <cellStyle name="Normal 54 2 3 2 3" xfId="38955" xr:uid="{00000000-0005-0000-0000-0000E28C0000}"/>
    <cellStyle name="Normal 54 2 3 2 3 2" xfId="15302" xr:uid="{00000000-0005-0000-0000-0000E38C0000}"/>
    <cellStyle name="Normal 54 2 3 2 3 2 2" xfId="40587" xr:uid="{00000000-0005-0000-0000-0000E48C0000}"/>
    <cellStyle name="Normal 54 2 3 2 3 3" xfId="40588" xr:uid="{00000000-0005-0000-0000-0000E58C0000}"/>
    <cellStyle name="Normal 54 2 3 2 4" xfId="33709" xr:uid="{00000000-0005-0000-0000-0000E68C0000}"/>
    <cellStyle name="Normal 54 2 3 2 4 2" xfId="40589" xr:uid="{00000000-0005-0000-0000-0000E78C0000}"/>
    <cellStyle name="Normal 54 2 3 2 4 2 2" xfId="31839" xr:uid="{00000000-0005-0000-0000-0000E88C0000}"/>
    <cellStyle name="Normal 54 2 3 2 4 3" xfId="40590" xr:uid="{00000000-0005-0000-0000-0000E98C0000}"/>
    <cellStyle name="Normal 54 2 3 2 5" xfId="40591" xr:uid="{00000000-0005-0000-0000-0000EA8C0000}"/>
    <cellStyle name="Normal 54 2 3 2 5 2" xfId="40592" xr:uid="{00000000-0005-0000-0000-0000EB8C0000}"/>
    <cellStyle name="Normal 54 2 3 2 6" xfId="40593" xr:uid="{00000000-0005-0000-0000-0000EC8C0000}"/>
    <cellStyle name="Normal 54 2 3 2 6 2" xfId="40594" xr:uid="{00000000-0005-0000-0000-0000ED8C0000}"/>
    <cellStyle name="Normal 54 2 3 2 7" xfId="40595" xr:uid="{00000000-0005-0000-0000-0000EE8C0000}"/>
    <cellStyle name="Normal 54 2 3 2 8" xfId="40596" xr:uid="{00000000-0005-0000-0000-0000EF8C0000}"/>
    <cellStyle name="Normal 54 2 3 3" xfId="14218" xr:uid="{00000000-0005-0000-0000-0000F08C0000}"/>
    <cellStyle name="Normal 54 2 3 3 2" xfId="10346" xr:uid="{00000000-0005-0000-0000-0000F18C0000}"/>
    <cellStyle name="Normal 54 2 3 3 2 2" xfId="10350" xr:uid="{00000000-0005-0000-0000-0000F28C0000}"/>
    <cellStyle name="Normal 54 2 3 3 2 2 2" xfId="10355" xr:uid="{00000000-0005-0000-0000-0000F38C0000}"/>
    <cellStyle name="Normal 54 2 3 3 2 3" xfId="8252" xr:uid="{00000000-0005-0000-0000-0000F48C0000}"/>
    <cellStyle name="Normal 54 2 3 3 3" xfId="10420" xr:uid="{00000000-0005-0000-0000-0000F58C0000}"/>
    <cellStyle name="Normal 54 2 3 3 3 2" xfId="10423" xr:uid="{00000000-0005-0000-0000-0000F68C0000}"/>
    <cellStyle name="Normal 54 2 3 3 4" xfId="10546" xr:uid="{00000000-0005-0000-0000-0000F78C0000}"/>
    <cellStyle name="Normal 54 2 3 3 5" xfId="133" xr:uid="{00000000-0005-0000-0000-0000F88C0000}"/>
    <cellStyle name="Normal 54 2 3 4" xfId="14223" xr:uid="{00000000-0005-0000-0000-0000F98C0000}"/>
    <cellStyle name="Normal 54 2 3 4 2" xfId="10647" xr:uid="{00000000-0005-0000-0000-0000FA8C0000}"/>
    <cellStyle name="Normal 54 2 3 4 2 2" xfId="10650" xr:uid="{00000000-0005-0000-0000-0000FB8C0000}"/>
    <cellStyle name="Normal 54 2 3 4 3" xfId="7360" xr:uid="{00000000-0005-0000-0000-0000FC8C0000}"/>
    <cellStyle name="Normal 54 2 3 5" xfId="38957" xr:uid="{00000000-0005-0000-0000-0000FD8C0000}"/>
    <cellStyle name="Normal 54 2 3 5 2" xfId="10679" xr:uid="{00000000-0005-0000-0000-0000FE8C0000}"/>
    <cellStyle name="Normal 54 2 3 5 2 2" xfId="10682" xr:uid="{00000000-0005-0000-0000-0000FF8C0000}"/>
    <cellStyle name="Normal 54 2 3 5 3" xfId="10686" xr:uid="{00000000-0005-0000-0000-0000008D0000}"/>
    <cellStyle name="Normal 54 2 3 6" xfId="5993" xr:uid="{00000000-0005-0000-0000-0000018D0000}"/>
    <cellStyle name="Normal 54 2 3 6 2" xfId="5696" xr:uid="{00000000-0005-0000-0000-0000028D0000}"/>
    <cellStyle name="Normal 54 2 3 7" xfId="10449" xr:uid="{00000000-0005-0000-0000-0000038D0000}"/>
    <cellStyle name="Normal 54 2 3 7 2" xfId="5870" xr:uid="{00000000-0005-0000-0000-0000048D0000}"/>
    <cellStyle name="Normal 54 2 3 8" xfId="2258" xr:uid="{00000000-0005-0000-0000-0000058D0000}"/>
    <cellStyle name="Normal 54 2 3 9" xfId="2274" xr:uid="{00000000-0005-0000-0000-0000068D0000}"/>
    <cellStyle name="Normal 54 2 4" xfId="38959" xr:uid="{00000000-0005-0000-0000-0000078D0000}"/>
    <cellStyle name="Normal 54 2 4 2" xfId="38961" xr:uid="{00000000-0005-0000-0000-0000088D0000}"/>
    <cellStyle name="Normal 54 2 4 2 2" xfId="38963" xr:uid="{00000000-0005-0000-0000-0000098D0000}"/>
    <cellStyle name="Normal 54 2 4 2 2 2" xfId="20398" xr:uid="{00000000-0005-0000-0000-00000A8D0000}"/>
    <cellStyle name="Normal 54 2 4 2 2 2 2" xfId="40597" xr:uid="{00000000-0005-0000-0000-00000B8D0000}"/>
    <cellStyle name="Normal 54 2 4 2 2 2 2 2" xfId="16722" xr:uid="{00000000-0005-0000-0000-00000C8D0000}"/>
    <cellStyle name="Normal 54 2 4 2 2 2 3" xfId="40598" xr:uid="{00000000-0005-0000-0000-00000D8D0000}"/>
    <cellStyle name="Normal 54 2 4 2 2 3" xfId="3157" xr:uid="{00000000-0005-0000-0000-00000E8D0000}"/>
    <cellStyle name="Normal 54 2 4 2 2 3 2" xfId="3180" xr:uid="{00000000-0005-0000-0000-00000F8D0000}"/>
    <cellStyle name="Normal 54 2 4 2 2 4" xfId="1388" xr:uid="{00000000-0005-0000-0000-0000108D0000}"/>
    <cellStyle name="Normal 54 2 4 2 3" xfId="38965" xr:uid="{00000000-0005-0000-0000-0000118D0000}"/>
    <cellStyle name="Normal 54 2 4 2 3 2" xfId="16369" xr:uid="{00000000-0005-0000-0000-0000128D0000}"/>
    <cellStyle name="Normal 54 2 4 2 3 2 2" xfId="40599" xr:uid="{00000000-0005-0000-0000-0000138D0000}"/>
    <cellStyle name="Normal 54 2 4 2 3 3" xfId="3386" xr:uid="{00000000-0005-0000-0000-0000148D0000}"/>
    <cellStyle name="Normal 54 2 4 2 4" xfId="40600" xr:uid="{00000000-0005-0000-0000-0000158D0000}"/>
    <cellStyle name="Normal 54 2 4 2 4 2" xfId="40601" xr:uid="{00000000-0005-0000-0000-0000168D0000}"/>
    <cellStyle name="Normal 54 2 4 2 4 2 2" xfId="32001" xr:uid="{00000000-0005-0000-0000-0000178D0000}"/>
    <cellStyle name="Normal 54 2 4 2 4 3" xfId="3434" xr:uid="{00000000-0005-0000-0000-0000188D0000}"/>
    <cellStyle name="Normal 54 2 4 2 5" xfId="40602" xr:uid="{00000000-0005-0000-0000-0000198D0000}"/>
    <cellStyle name="Normal 54 2 4 2 5 2" xfId="40603" xr:uid="{00000000-0005-0000-0000-00001A8D0000}"/>
    <cellStyle name="Normal 54 2 4 2 6" xfId="39585" xr:uid="{00000000-0005-0000-0000-00001B8D0000}"/>
    <cellStyle name="Normal 54 2 4 2 6 2" xfId="2411" xr:uid="{00000000-0005-0000-0000-00001C8D0000}"/>
    <cellStyle name="Normal 54 2 4 2 7" xfId="40604" xr:uid="{00000000-0005-0000-0000-00001D8D0000}"/>
    <cellStyle name="Normal 54 2 4 2 8" xfId="21712" xr:uid="{00000000-0005-0000-0000-00001E8D0000}"/>
    <cellStyle name="Normal 54 2 4 3" xfId="14230" xr:uid="{00000000-0005-0000-0000-00001F8D0000}"/>
    <cellStyle name="Normal 54 2 4 3 2" xfId="9585" xr:uid="{00000000-0005-0000-0000-0000208D0000}"/>
    <cellStyle name="Normal 54 2 4 3 2 2" xfId="11027" xr:uid="{00000000-0005-0000-0000-0000218D0000}"/>
    <cellStyle name="Normal 54 2 4 3 2 2 2" xfId="11033" xr:uid="{00000000-0005-0000-0000-0000228D0000}"/>
    <cellStyle name="Normal 54 2 4 3 2 3" xfId="3521" xr:uid="{00000000-0005-0000-0000-0000238D0000}"/>
    <cellStyle name="Normal 54 2 4 3 3" xfId="10163" xr:uid="{00000000-0005-0000-0000-0000248D0000}"/>
    <cellStyle name="Normal 54 2 4 3 3 2" xfId="10166" xr:uid="{00000000-0005-0000-0000-0000258D0000}"/>
    <cellStyle name="Normal 54 2 4 3 4" xfId="8028" xr:uid="{00000000-0005-0000-0000-0000268D0000}"/>
    <cellStyle name="Normal 54 2 4 4" xfId="14233" xr:uid="{00000000-0005-0000-0000-0000278D0000}"/>
    <cellStyle name="Normal 54 2 4 4 2" xfId="11155" xr:uid="{00000000-0005-0000-0000-0000288D0000}"/>
    <cellStyle name="Normal 54 2 4 4 2 2" xfId="11157" xr:uid="{00000000-0005-0000-0000-0000298D0000}"/>
    <cellStyle name="Normal 54 2 4 4 3" xfId="7197" xr:uid="{00000000-0005-0000-0000-00002A8D0000}"/>
    <cellStyle name="Normal 54 2 4 5" xfId="40605" xr:uid="{00000000-0005-0000-0000-00002B8D0000}"/>
    <cellStyle name="Normal 54 2 4 5 2" xfId="11182" xr:uid="{00000000-0005-0000-0000-00002C8D0000}"/>
    <cellStyle name="Normal 54 2 4 5 2 2" xfId="716" xr:uid="{00000000-0005-0000-0000-00002D8D0000}"/>
    <cellStyle name="Normal 54 2 4 5 3" xfId="10263" xr:uid="{00000000-0005-0000-0000-00002E8D0000}"/>
    <cellStyle name="Normal 54 2 4 6" xfId="24872" xr:uid="{00000000-0005-0000-0000-00002F8D0000}"/>
    <cellStyle name="Normal 54 2 4 6 2" xfId="651" xr:uid="{00000000-0005-0000-0000-0000308D0000}"/>
    <cellStyle name="Normal 54 2 4 7" xfId="8046" xr:uid="{00000000-0005-0000-0000-0000318D0000}"/>
    <cellStyle name="Normal 54 2 4 7 2" xfId="6852" xr:uid="{00000000-0005-0000-0000-0000328D0000}"/>
    <cellStyle name="Normal 54 2 4 8" xfId="1187" xr:uid="{00000000-0005-0000-0000-0000338D0000}"/>
    <cellStyle name="Normal 54 2 4 9" xfId="40606" xr:uid="{00000000-0005-0000-0000-0000348D0000}"/>
    <cellStyle name="Normal 54 2 5" xfId="20568" xr:uid="{00000000-0005-0000-0000-0000358D0000}"/>
    <cellStyle name="Normal 54 2 5 2" xfId="20571" xr:uid="{00000000-0005-0000-0000-0000368D0000}"/>
    <cellStyle name="Normal 54 2 5 2 2" xfId="20574" xr:uid="{00000000-0005-0000-0000-0000378D0000}"/>
    <cellStyle name="Normal 54 2 5 2 2 2" xfId="40607" xr:uid="{00000000-0005-0000-0000-0000388D0000}"/>
    <cellStyle name="Normal 54 2 5 2 2 2 2" xfId="40608" xr:uid="{00000000-0005-0000-0000-0000398D0000}"/>
    <cellStyle name="Normal 54 2 5 2 2 2 2 2" xfId="40609" xr:uid="{00000000-0005-0000-0000-00003A8D0000}"/>
    <cellStyle name="Normal 54 2 5 2 2 2 3" xfId="40610" xr:uid="{00000000-0005-0000-0000-00003B8D0000}"/>
    <cellStyle name="Normal 54 2 5 2 2 3" xfId="40613" xr:uid="{00000000-0005-0000-0000-00003C8D0000}"/>
    <cellStyle name="Normal 54 2 5 2 2 3 2" xfId="40616" xr:uid="{00000000-0005-0000-0000-00003D8D0000}"/>
    <cellStyle name="Normal 54 2 5 2 2 4" xfId="40619" xr:uid="{00000000-0005-0000-0000-00003E8D0000}"/>
    <cellStyle name="Normal 54 2 5 2 3" xfId="40620" xr:uid="{00000000-0005-0000-0000-00003F8D0000}"/>
    <cellStyle name="Normal 54 2 5 2 3 2" xfId="11461" xr:uid="{00000000-0005-0000-0000-0000408D0000}"/>
    <cellStyle name="Normal 54 2 5 2 3 2 2" xfId="40621" xr:uid="{00000000-0005-0000-0000-0000418D0000}"/>
    <cellStyle name="Normal 54 2 5 2 3 3" xfId="40624" xr:uid="{00000000-0005-0000-0000-0000428D0000}"/>
    <cellStyle name="Normal 54 2 5 2 4" xfId="37083" xr:uid="{00000000-0005-0000-0000-0000438D0000}"/>
    <cellStyle name="Normal 54 2 5 2 4 2" xfId="40625" xr:uid="{00000000-0005-0000-0000-0000448D0000}"/>
    <cellStyle name="Normal 54 2 5 2 4 2 2" xfId="32067" xr:uid="{00000000-0005-0000-0000-0000458D0000}"/>
    <cellStyle name="Normal 54 2 5 2 4 3" xfId="40628" xr:uid="{00000000-0005-0000-0000-0000468D0000}"/>
    <cellStyle name="Normal 54 2 5 2 5" xfId="38890" xr:uid="{00000000-0005-0000-0000-0000478D0000}"/>
    <cellStyle name="Normal 54 2 5 2 5 2" xfId="40629" xr:uid="{00000000-0005-0000-0000-0000488D0000}"/>
    <cellStyle name="Normal 54 2 5 2 6" xfId="40630" xr:uid="{00000000-0005-0000-0000-0000498D0000}"/>
    <cellStyle name="Normal 54 2 5 2 6 2" xfId="40631" xr:uid="{00000000-0005-0000-0000-00004A8D0000}"/>
    <cellStyle name="Normal 54 2 5 2 7" xfId="40632" xr:uid="{00000000-0005-0000-0000-00004B8D0000}"/>
    <cellStyle name="Normal 54 2 5 2 8" xfId="26322" xr:uid="{00000000-0005-0000-0000-00004C8D0000}"/>
    <cellStyle name="Normal 54 2 5 3" xfId="14236" xr:uid="{00000000-0005-0000-0000-00004D8D0000}"/>
    <cellStyle name="Normal 54 2 5 3 2" xfId="11387" xr:uid="{00000000-0005-0000-0000-00004E8D0000}"/>
    <cellStyle name="Normal 54 2 5 3 2 2" xfId="11390" xr:uid="{00000000-0005-0000-0000-00004F8D0000}"/>
    <cellStyle name="Normal 54 2 5 3 2 2 2" xfId="11392" xr:uid="{00000000-0005-0000-0000-0000508D0000}"/>
    <cellStyle name="Normal 54 2 5 3 2 3" xfId="11405" xr:uid="{00000000-0005-0000-0000-0000518D0000}"/>
    <cellStyle name="Normal 54 2 5 3 3" xfId="10295" xr:uid="{00000000-0005-0000-0000-0000528D0000}"/>
    <cellStyle name="Normal 54 2 5 3 3 2" xfId="9170" xr:uid="{00000000-0005-0000-0000-0000538D0000}"/>
    <cellStyle name="Normal 54 2 5 3 4" xfId="8355" xr:uid="{00000000-0005-0000-0000-0000548D0000}"/>
    <cellStyle name="Normal 54 2 5 4" xfId="5035" xr:uid="{00000000-0005-0000-0000-0000558D0000}"/>
    <cellStyle name="Normal 54 2 5 4 2" xfId="529" xr:uid="{00000000-0005-0000-0000-0000568D0000}"/>
    <cellStyle name="Normal 54 2 5 4 2 2" xfId="11572" xr:uid="{00000000-0005-0000-0000-0000578D0000}"/>
    <cellStyle name="Normal 54 2 5 4 3" xfId="10310" xr:uid="{00000000-0005-0000-0000-0000588D0000}"/>
    <cellStyle name="Normal 54 2 5 5" xfId="5046" xr:uid="{00000000-0005-0000-0000-0000598D0000}"/>
    <cellStyle name="Normal 54 2 5 5 2" xfId="11579" xr:uid="{00000000-0005-0000-0000-00005A8D0000}"/>
    <cellStyle name="Normal 54 2 5 5 2 2" xfId="8540" xr:uid="{00000000-0005-0000-0000-00005B8D0000}"/>
    <cellStyle name="Normal 54 2 5 5 3" xfId="10319" xr:uid="{00000000-0005-0000-0000-00005C8D0000}"/>
    <cellStyle name="Normal 54 2 5 6" xfId="5058" xr:uid="{00000000-0005-0000-0000-00005D8D0000}"/>
    <cellStyle name="Normal 54 2 5 6 2" xfId="6992" xr:uid="{00000000-0005-0000-0000-00005E8D0000}"/>
    <cellStyle name="Normal 54 2 5 7" xfId="12385" xr:uid="{00000000-0005-0000-0000-00005F8D0000}"/>
    <cellStyle name="Normal 54 2 5 7 2" xfId="7070" xr:uid="{00000000-0005-0000-0000-0000608D0000}"/>
    <cellStyle name="Normal 54 2 5 8" xfId="1267" xr:uid="{00000000-0005-0000-0000-0000618D0000}"/>
    <cellStyle name="Normal 54 2 5 9" xfId="40633" xr:uid="{00000000-0005-0000-0000-0000628D0000}"/>
    <cellStyle name="Normal 54 2 6" xfId="20581" xr:uid="{00000000-0005-0000-0000-0000638D0000}"/>
    <cellStyle name="Normal 54 2 6 2" xfId="20584" xr:uid="{00000000-0005-0000-0000-0000648D0000}"/>
    <cellStyle name="Normal 54 2 6 2 2" xfId="20587" xr:uid="{00000000-0005-0000-0000-0000658D0000}"/>
    <cellStyle name="Normal 54 2 6 2 2 2" xfId="40634" xr:uid="{00000000-0005-0000-0000-0000668D0000}"/>
    <cellStyle name="Normal 54 2 6 2 2 2 2" xfId="15836" xr:uid="{00000000-0005-0000-0000-0000678D0000}"/>
    <cellStyle name="Normal 54 2 6 2 2 3" xfId="40637" xr:uid="{00000000-0005-0000-0000-0000688D0000}"/>
    <cellStyle name="Normal 54 2 6 2 3" xfId="40050" xr:uid="{00000000-0005-0000-0000-0000698D0000}"/>
    <cellStyle name="Normal 54 2 6 2 3 2" xfId="40638" xr:uid="{00000000-0005-0000-0000-00006A8D0000}"/>
    <cellStyle name="Normal 54 2 6 2 4" xfId="40639" xr:uid="{00000000-0005-0000-0000-00006B8D0000}"/>
    <cellStyle name="Normal 54 2 6 3" xfId="14241" xr:uid="{00000000-0005-0000-0000-00006C8D0000}"/>
    <cellStyle name="Normal 54 2 6 3 2" xfId="11869" xr:uid="{00000000-0005-0000-0000-00006D8D0000}"/>
    <cellStyle name="Normal 54 2 6 3 2 2" xfId="1935" xr:uid="{00000000-0005-0000-0000-00006E8D0000}"/>
    <cellStyle name="Normal 54 2 6 3 3" xfId="10353" xr:uid="{00000000-0005-0000-0000-00006F8D0000}"/>
    <cellStyle name="Normal 54 2 6 4" xfId="5072" xr:uid="{00000000-0005-0000-0000-0000708D0000}"/>
    <cellStyle name="Normal 54 2 6 4 2" xfId="12026" xr:uid="{00000000-0005-0000-0000-0000718D0000}"/>
    <cellStyle name="Normal 54 2 6 4 2 2" xfId="3990" xr:uid="{00000000-0005-0000-0000-0000728D0000}"/>
    <cellStyle name="Normal 54 2 6 4 3" xfId="10387" xr:uid="{00000000-0005-0000-0000-0000738D0000}"/>
    <cellStyle name="Normal 54 2 6 5" xfId="40640" xr:uid="{00000000-0005-0000-0000-0000748D0000}"/>
    <cellStyle name="Normal 54 2 6 5 2" xfId="12052" xr:uid="{00000000-0005-0000-0000-0000758D0000}"/>
    <cellStyle name="Normal 54 2 6 6" xfId="40641" xr:uid="{00000000-0005-0000-0000-0000768D0000}"/>
    <cellStyle name="Normal 54 2 6 6 2" xfId="7222" xr:uid="{00000000-0005-0000-0000-0000778D0000}"/>
    <cellStyle name="Normal 54 2 6 7" xfId="3066" xr:uid="{00000000-0005-0000-0000-0000788D0000}"/>
    <cellStyle name="Normal 54 2 6 8" xfId="40642" xr:uid="{00000000-0005-0000-0000-0000798D0000}"/>
    <cellStyle name="Normal 54 2 7" xfId="20591" xr:uid="{00000000-0005-0000-0000-00007A8D0000}"/>
    <cellStyle name="Normal 54 2 7 2" xfId="5977" xr:uid="{00000000-0005-0000-0000-00007B8D0000}"/>
    <cellStyle name="Normal 54 2 7 2 2" xfId="40643" xr:uid="{00000000-0005-0000-0000-00007C8D0000}"/>
    <cellStyle name="Normal 54 2 7 2 2 2" xfId="40644" xr:uid="{00000000-0005-0000-0000-00007D8D0000}"/>
    <cellStyle name="Normal 54 2 7 2 3" xfId="13317" xr:uid="{00000000-0005-0000-0000-00007E8D0000}"/>
    <cellStyle name="Normal 54 2 7 3" xfId="40647" xr:uid="{00000000-0005-0000-0000-00007F8D0000}"/>
    <cellStyle name="Normal 54 2 7 3 2" xfId="12284" xr:uid="{00000000-0005-0000-0000-0000808D0000}"/>
    <cellStyle name="Normal 54 2 7 4" xfId="5090" xr:uid="{00000000-0005-0000-0000-0000818D0000}"/>
    <cellStyle name="Normal 54 2 8" xfId="19311" xr:uid="{00000000-0005-0000-0000-0000828D0000}"/>
    <cellStyle name="Normal 54 2 8 2" xfId="20599" xr:uid="{00000000-0005-0000-0000-0000838D0000}"/>
    <cellStyle name="Normal 54 2 8 2 2" xfId="40648" xr:uid="{00000000-0005-0000-0000-0000848D0000}"/>
    <cellStyle name="Normal 54 2 8 3" xfId="40649" xr:uid="{00000000-0005-0000-0000-0000858D0000}"/>
    <cellStyle name="Normal 54 2 9" xfId="6449" xr:uid="{00000000-0005-0000-0000-0000868D0000}"/>
    <cellStyle name="Normal 54 2 9 2" xfId="40650" xr:uid="{00000000-0005-0000-0000-0000878D0000}"/>
    <cellStyle name="Normal 54 2 9 2 2" xfId="40651" xr:uid="{00000000-0005-0000-0000-0000888D0000}"/>
    <cellStyle name="Normal 54 2 9 3" xfId="40652" xr:uid="{00000000-0005-0000-0000-0000898D0000}"/>
    <cellStyle name="Normal 54 3" xfId="38967" xr:uid="{00000000-0005-0000-0000-00008A8D0000}"/>
    <cellStyle name="Normal 54 3 10" xfId="40653" xr:uid="{00000000-0005-0000-0000-00008B8D0000}"/>
    <cellStyle name="Normal 54 3 10 2" xfId="40654" xr:uid="{00000000-0005-0000-0000-00008C8D0000}"/>
    <cellStyle name="Normal 54 3 11" xfId="11470" xr:uid="{00000000-0005-0000-0000-00008D8D0000}"/>
    <cellStyle name="Normal 54 3 11 2" xfId="40655" xr:uid="{00000000-0005-0000-0000-00008E8D0000}"/>
    <cellStyle name="Normal 54 3 12" xfId="40656" xr:uid="{00000000-0005-0000-0000-00008F8D0000}"/>
    <cellStyle name="Normal 54 3 12 2" xfId="40657" xr:uid="{00000000-0005-0000-0000-0000908D0000}"/>
    <cellStyle name="Normal 54 3 13" xfId="40659" xr:uid="{00000000-0005-0000-0000-0000918D0000}"/>
    <cellStyle name="Normal 54 3 14" xfId="4413" xr:uid="{00000000-0005-0000-0000-0000928D0000}"/>
    <cellStyle name="Normal 54 3 2" xfId="38969" xr:uid="{00000000-0005-0000-0000-0000938D0000}"/>
    <cellStyle name="Normal 54 3 2 10" xfId="40660" xr:uid="{00000000-0005-0000-0000-0000948D0000}"/>
    <cellStyle name="Normal 54 3 2 2" xfId="38971" xr:uid="{00000000-0005-0000-0000-0000958D0000}"/>
    <cellStyle name="Normal 54 3 2 2 2" xfId="34481" xr:uid="{00000000-0005-0000-0000-0000968D0000}"/>
    <cellStyle name="Normal 54 3 2 2 2 2" xfId="38386" xr:uid="{00000000-0005-0000-0000-0000978D0000}"/>
    <cellStyle name="Normal 54 3 2 2 2 2 2" xfId="19613" xr:uid="{00000000-0005-0000-0000-0000988D0000}"/>
    <cellStyle name="Normal 54 3 2 2 2 2 2 2" xfId="40661" xr:uid="{00000000-0005-0000-0000-0000998D0000}"/>
    <cellStyle name="Normal 54 3 2 2 2 2 2 2 2" xfId="40662" xr:uid="{00000000-0005-0000-0000-00009A8D0000}"/>
    <cellStyle name="Normal 54 3 2 2 2 2 2 3" xfId="40663" xr:uid="{00000000-0005-0000-0000-00009B8D0000}"/>
    <cellStyle name="Normal 54 3 2 2 2 2 3" xfId="40664" xr:uid="{00000000-0005-0000-0000-00009C8D0000}"/>
    <cellStyle name="Normal 54 3 2 2 2 2 3 2" xfId="40665" xr:uid="{00000000-0005-0000-0000-00009D8D0000}"/>
    <cellStyle name="Normal 54 3 2 2 2 2 4" xfId="40666" xr:uid="{00000000-0005-0000-0000-00009E8D0000}"/>
    <cellStyle name="Normal 54 3 2 2 2 3" xfId="38973" xr:uid="{00000000-0005-0000-0000-00009F8D0000}"/>
    <cellStyle name="Normal 54 3 2 2 2 3 2" xfId="40667" xr:uid="{00000000-0005-0000-0000-0000A08D0000}"/>
    <cellStyle name="Normal 54 3 2 2 2 3 2 2" xfId="40668" xr:uid="{00000000-0005-0000-0000-0000A18D0000}"/>
    <cellStyle name="Normal 54 3 2 2 2 3 3" xfId="1247" xr:uid="{00000000-0005-0000-0000-0000A28D0000}"/>
    <cellStyle name="Normal 54 3 2 2 2 4" xfId="40669" xr:uid="{00000000-0005-0000-0000-0000A38D0000}"/>
    <cellStyle name="Normal 54 3 2 2 2 4 2" xfId="40670" xr:uid="{00000000-0005-0000-0000-0000A48D0000}"/>
    <cellStyle name="Normal 54 3 2 2 2 4 2 2" xfId="40671" xr:uid="{00000000-0005-0000-0000-0000A58D0000}"/>
    <cellStyle name="Normal 54 3 2 2 2 4 3" xfId="5901" xr:uid="{00000000-0005-0000-0000-0000A68D0000}"/>
    <cellStyle name="Normal 54 3 2 2 2 5" xfId="20870" xr:uid="{00000000-0005-0000-0000-0000A78D0000}"/>
    <cellStyle name="Normal 54 3 2 2 2 5 2" xfId="20873" xr:uid="{00000000-0005-0000-0000-0000A88D0000}"/>
    <cellStyle name="Normal 54 3 2 2 2 6" xfId="20879" xr:uid="{00000000-0005-0000-0000-0000A98D0000}"/>
    <cellStyle name="Normal 54 3 2 2 2 6 2" xfId="20886" xr:uid="{00000000-0005-0000-0000-0000AA8D0000}"/>
    <cellStyle name="Normal 54 3 2 2 2 7" xfId="20897" xr:uid="{00000000-0005-0000-0000-0000AB8D0000}"/>
    <cellStyle name="Normal 54 3 2 2 2 8" xfId="20906" xr:uid="{00000000-0005-0000-0000-0000AC8D0000}"/>
    <cellStyle name="Normal 54 3 2 2 3" xfId="34484" xr:uid="{00000000-0005-0000-0000-0000AD8D0000}"/>
    <cellStyle name="Normal 54 3 2 2 3 2" xfId="17876" xr:uid="{00000000-0005-0000-0000-0000AE8D0000}"/>
    <cellStyle name="Normal 54 3 2 2 3 2 2" xfId="40672" xr:uid="{00000000-0005-0000-0000-0000AF8D0000}"/>
    <cellStyle name="Normal 54 3 2 2 3 2 2 2" xfId="40673" xr:uid="{00000000-0005-0000-0000-0000B08D0000}"/>
    <cellStyle name="Normal 54 3 2 2 3 2 3" xfId="40674" xr:uid="{00000000-0005-0000-0000-0000B18D0000}"/>
    <cellStyle name="Normal 54 3 2 2 3 3" xfId="40675" xr:uid="{00000000-0005-0000-0000-0000B28D0000}"/>
    <cellStyle name="Normal 54 3 2 2 3 3 2" xfId="40676" xr:uid="{00000000-0005-0000-0000-0000B38D0000}"/>
    <cellStyle name="Normal 54 3 2 2 3 4" xfId="40677" xr:uid="{00000000-0005-0000-0000-0000B48D0000}"/>
    <cellStyle name="Normal 54 3 2 2 4" xfId="38975" xr:uid="{00000000-0005-0000-0000-0000B58D0000}"/>
    <cellStyle name="Normal 54 3 2 2 4 2" xfId="40678" xr:uid="{00000000-0005-0000-0000-0000B68D0000}"/>
    <cellStyle name="Normal 54 3 2 2 4 2 2" xfId="40679" xr:uid="{00000000-0005-0000-0000-0000B78D0000}"/>
    <cellStyle name="Normal 54 3 2 2 4 3" xfId="40680" xr:uid="{00000000-0005-0000-0000-0000B88D0000}"/>
    <cellStyle name="Normal 54 3 2 2 5" xfId="3345" xr:uid="{00000000-0005-0000-0000-0000B98D0000}"/>
    <cellStyle name="Normal 54 3 2 2 5 2" xfId="40681" xr:uid="{00000000-0005-0000-0000-0000BA8D0000}"/>
    <cellStyle name="Normal 54 3 2 2 5 2 2" xfId="40682" xr:uid="{00000000-0005-0000-0000-0000BB8D0000}"/>
    <cellStyle name="Normal 54 3 2 2 5 3" xfId="40683" xr:uid="{00000000-0005-0000-0000-0000BC8D0000}"/>
    <cellStyle name="Normal 54 3 2 2 6" xfId="40684" xr:uid="{00000000-0005-0000-0000-0000BD8D0000}"/>
    <cellStyle name="Normal 54 3 2 2 6 2" xfId="40685" xr:uid="{00000000-0005-0000-0000-0000BE8D0000}"/>
    <cellStyle name="Normal 54 3 2 2 7" xfId="40686" xr:uid="{00000000-0005-0000-0000-0000BF8D0000}"/>
    <cellStyle name="Normal 54 3 2 2 7 2" xfId="40687" xr:uid="{00000000-0005-0000-0000-0000C08D0000}"/>
    <cellStyle name="Normal 54 3 2 2 8" xfId="10" xr:uid="{00000000-0005-0000-0000-0000C18D0000}"/>
    <cellStyle name="Normal 54 3 2 2 9" xfId="3478" xr:uid="{00000000-0005-0000-0000-0000C28D0000}"/>
    <cellStyle name="Normal 54 3 2 3" xfId="14261" xr:uid="{00000000-0005-0000-0000-0000C38D0000}"/>
    <cellStyle name="Normal 54 3 2 3 2" xfId="14266" xr:uid="{00000000-0005-0000-0000-0000C48D0000}"/>
    <cellStyle name="Normal 54 3 2 3 2 2" xfId="38438" xr:uid="{00000000-0005-0000-0000-0000C58D0000}"/>
    <cellStyle name="Normal 54 3 2 3 2 2 2" xfId="40688" xr:uid="{00000000-0005-0000-0000-0000C68D0000}"/>
    <cellStyle name="Normal 54 3 2 3 2 2 2 2" xfId="40689" xr:uid="{00000000-0005-0000-0000-0000C78D0000}"/>
    <cellStyle name="Normal 54 3 2 3 2 2 3" xfId="40690" xr:uid="{00000000-0005-0000-0000-0000C88D0000}"/>
    <cellStyle name="Normal 54 3 2 3 2 3" xfId="40691" xr:uid="{00000000-0005-0000-0000-0000C98D0000}"/>
    <cellStyle name="Normal 54 3 2 3 2 3 2" xfId="40692" xr:uid="{00000000-0005-0000-0000-0000CA8D0000}"/>
    <cellStyle name="Normal 54 3 2 3 2 4" xfId="40693" xr:uid="{00000000-0005-0000-0000-0000CB8D0000}"/>
    <cellStyle name="Normal 54 3 2 3 3" xfId="38977" xr:uid="{00000000-0005-0000-0000-0000CC8D0000}"/>
    <cellStyle name="Normal 54 3 2 3 3 2" xfId="40694" xr:uid="{00000000-0005-0000-0000-0000CD8D0000}"/>
    <cellStyle name="Normal 54 3 2 3 3 2 2" xfId="40695" xr:uid="{00000000-0005-0000-0000-0000CE8D0000}"/>
    <cellStyle name="Normal 54 3 2 3 3 3" xfId="40696" xr:uid="{00000000-0005-0000-0000-0000CF8D0000}"/>
    <cellStyle name="Normal 54 3 2 3 4" xfId="40697" xr:uid="{00000000-0005-0000-0000-0000D08D0000}"/>
    <cellStyle name="Normal 54 3 2 3 4 2" xfId="40698" xr:uid="{00000000-0005-0000-0000-0000D18D0000}"/>
    <cellStyle name="Normal 54 3 2 3 4 2 2" xfId="40699" xr:uid="{00000000-0005-0000-0000-0000D28D0000}"/>
    <cellStyle name="Normal 54 3 2 3 4 3" xfId="40700" xr:uid="{00000000-0005-0000-0000-0000D38D0000}"/>
    <cellStyle name="Normal 54 3 2 3 5" xfId="40701" xr:uid="{00000000-0005-0000-0000-0000D48D0000}"/>
    <cellStyle name="Normal 54 3 2 3 5 2" xfId="40702" xr:uid="{00000000-0005-0000-0000-0000D58D0000}"/>
    <cellStyle name="Normal 54 3 2 3 6" xfId="40703" xr:uid="{00000000-0005-0000-0000-0000D68D0000}"/>
    <cellStyle name="Normal 54 3 2 3 6 2" xfId="40704" xr:uid="{00000000-0005-0000-0000-0000D78D0000}"/>
    <cellStyle name="Normal 54 3 2 3 7" xfId="40705" xr:uid="{00000000-0005-0000-0000-0000D88D0000}"/>
    <cellStyle name="Normal 54 3 2 3 8" xfId="9261" xr:uid="{00000000-0005-0000-0000-0000D98D0000}"/>
    <cellStyle name="Normal 54 3 2 4" xfId="14272" xr:uid="{00000000-0005-0000-0000-0000DA8D0000}"/>
    <cellStyle name="Normal 54 3 2 4 2" xfId="38979" xr:uid="{00000000-0005-0000-0000-0000DB8D0000}"/>
    <cellStyle name="Normal 54 3 2 4 2 2" xfId="38983" xr:uid="{00000000-0005-0000-0000-0000DC8D0000}"/>
    <cellStyle name="Normal 54 3 2 4 2 2 2" xfId="40706" xr:uid="{00000000-0005-0000-0000-0000DD8D0000}"/>
    <cellStyle name="Normal 54 3 2 4 2 3" xfId="40707" xr:uid="{00000000-0005-0000-0000-0000DE8D0000}"/>
    <cellStyle name="Normal 54 3 2 4 3" xfId="38985" xr:uid="{00000000-0005-0000-0000-0000DF8D0000}"/>
    <cellStyle name="Normal 54 3 2 4 3 2" xfId="40708" xr:uid="{00000000-0005-0000-0000-0000E08D0000}"/>
    <cellStyle name="Normal 54 3 2 4 4" xfId="40709" xr:uid="{00000000-0005-0000-0000-0000E18D0000}"/>
    <cellStyle name="Normal 54 3 2 5" xfId="38987" xr:uid="{00000000-0005-0000-0000-0000E28D0000}"/>
    <cellStyle name="Normal 54 3 2 5 2" xfId="38989" xr:uid="{00000000-0005-0000-0000-0000E38D0000}"/>
    <cellStyle name="Normal 54 3 2 5 2 2" xfId="40710" xr:uid="{00000000-0005-0000-0000-0000E48D0000}"/>
    <cellStyle name="Normal 54 3 2 5 3" xfId="38510" xr:uid="{00000000-0005-0000-0000-0000E58D0000}"/>
    <cellStyle name="Normal 54 3 2 6" xfId="24905" xr:uid="{00000000-0005-0000-0000-0000E68D0000}"/>
    <cellStyle name="Normal 54 3 2 6 2" xfId="24908" xr:uid="{00000000-0005-0000-0000-0000E78D0000}"/>
    <cellStyle name="Normal 54 3 2 6 2 2" xfId="40711" xr:uid="{00000000-0005-0000-0000-0000E88D0000}"/>
    <cellStyle name="Normal 54 3 2 6 3" xfId="32879" xr:uid="{00000000-0005-0000-0000-0000E98D0000}"/>
    <cellStyle name="Normal 54 3 2 7" xfId="10463" xr:uid="{00000000-0005-0000-0000-0000EA8D0000}"/>
    <cellStyle name="Normal 54 3 2 7 2" xfId="11933" xr:uid="{00000000-0005-0000-0000-0000EB8D0000}"/>
    <cellStyle name="Normal 54 3 2 8" xfId="512" xr:uid="{00000000-0005-0000-0000-0000EC8D0000}"/>
    <cellStyle name="Normal 54 3 2 8 2" xfId="870" xr:uid="{00000000-0005-0000-0000-0000ED8D0000}"/>
    <cellStyle name="Normal 54 3 2 9" xfId="616" xr:uid="{00000000-0005-0000-0000-0000EE8D0000}"/>
    <cellStyle name="Normal 54 3 3" xfId="35196" xr:uid="{00000000-0005-0000-0000-0000EF8D0000}"/>
    <cellStyle name="Normal 54 3 3 2" xfId="35200" xr:uid="{00000000-0005-0000-0000-0000F08D0000}"/>
    <cellStyle name="Normal 54 3 3 2 2" xfId="35204" xr:uid="{00000000-0005-0000-0000-0000F18D0000}"/>
    <cellStyle name="Normal 54 3 3 2 2 2" xfId="26284" xr:uid="{00000000-0005-0000-0000-0000F28D0000}"/>
    <cellStyle name="Normal 54 3 3 2 2 2 2" xfId="40712" xr:uid="{00000000-0005-0000-0000-0000F38D0000}"/>
    <cellStyle name="Normal 54 3 3 2 2 2 2 2" xfId="40713" xr:uid="{00000000-0005-0000-0000-0000F48D0000}"/>
    <cellStyle name="Normal 54 3 3 2 2 2 3" xfId="40714" xr:uid="{00000000-0005-0000-0000-0000F58D0000}"/>
    <cellStyle name="Normal 54 3 3 2 2 3" xfId="40716" xr:uid="{00000000-0005-0000-0000-0000F68D0000}"/>
    <cellStyle name="Normal 54 3 3 2 2 3 2" xfId="40717" xr:uid="{00000000-0005-0000-0000-0000F78D0000}"/>
    <cellStyle name="Normal 54 3 3 2 2 4" xfId="40718" xr:uid="{00000000-0005-0000-0000-0000F88D0000}"/>
    <cellStyle name="Normal 54 3 3 2 2 5" xfId="21163" xr:uid="{00000000-0005-0000-0000-0000F98D0000}"/>
    <cellStyle name="Normal 54 3 3 2 3" xfId="35208" xr:uid="{00000000-0005-0000-0000-0000FA8D0000}"/>
    <cellStyle name="Normal 54 3 3 2 3 2" xfId="17015" xr:uid="{00000000-0005-0000-0000-0000FB8D0000}"/>
    <cellStyle name="Normal 54 3 3 2 3 2 2" xfId="14465" xr:uid="{00000000-0005-0000-0000-0000FC8D0000}"/>
    <cellStyle name="Normal 54 3 3 2 3 3" xfId="17019" xr:uid="{00000000-0005-0000-0000-0000FD8D0000}"/>
    <cellStyle name="Normal 54 3 3 2 4" xfId="40719" xr:uid="{00000000-0005-0000-0000-0000FE8D0000}"/>
    <cellStyle name="Normal 54 3 3 2 4 2" xfId="40720" xr:uid="{00000000-0005-0000-0000-0000FF8D0000}"/>
    <cellStyle name="Normal 54 3 3 2 4 2 2" xfId="9523" xr:uid="{00000000-0005-0000-0000-0000008E0000}"/>
    <cellStyle name="Normal 54 3 3 2 4 3" xfId="40721" xr:uid="{00000000-0005-0000-0000-0000018E0000}"/>
    <cellStyle name="Normal 54 3 3 2 5" xfId="40722" xr:uid="{00000000-0005-0000-0000-0000028E0000}"/>
    <cellStyle name="Normal 54 3 3 2 5 2" xfId="40723" xr:uid="{00000000-0005-0000-0000-0000038E0000}"/>
    <cellStyle name="Normal 54 3 3 2 6" xfId="40724" xr:uid="{00000000-0005-0000-0000-0000048E0000}"/>
    <cellStyle name="Normal 54 3 3 2 6 2" xfId="40725" xr:uid="{00000000-0005-0000-0000-0000058E0000}"/>
    <cellStyle name="Normal 54 3 3 2 7" xfId="40726" xr:uid="{00000000-0005-0000-0000-0000068E0000}"/>
    <cellStyle name="Normal 54 3 3 2 8" xfId="8532" xr:uid="{00000000-0005-0000-0000-0000078E0000}"/>
    <cellStyle name="Normal 54 3 3 3" xfId="14282" xr:uid="{00000000-0005-0000-0000-0000088E0000}"/>
    <cellStyle name="Normal 54 3 3 3 2" xfId="33538" xr:uid="{00000000-0005-0000-0000-0000098E0000}"/>
    <cellStyle name="Normal 54 3 3 3 2 2" xfId="38869" xr:uid="{00000000-0005-0000-0000-00000A8E0000}"/>
    <cellStyle name="Normal 54 3 3 3 2 2 2" xfId="40727" xr:uid="{00000000-0005-0000-0000-00000B8E0000}"/>
    <cellStyle name="Normal 54 3 3 3 2 3" xfId="40728" xr:uid="{00000000-0005-0000-0000-00000C8E0000}"/>
    <cellStyle name="Normal 54 3 3 3 3" xfId="40729" xr:uid="{00000000-0005-0000-0000-00000D8E0000}"/>
    <cellStyle name="Normal 54 3 3 3 3 2" xfId="40730" xr:uid="{00000000-0005-0000-0000-00000E8E0000}"/>
    <cellStyle name="Normal 54 3 3 3 4" xfId="40731" xr:uid="{00000000-0005-0000-0000-00000F8E0000}"/>
    <cellStyle name="Normal 54 3 3 3 5" xfId="40732" xr:uid="{00000000-0005-0000-0000-0000108E0000}"/>
    <cellStyle name="Normal 54 3 3 4" xfId="33544" xr:uid="{00000000-0005-0000-0000-0000118E0000}"/>
    <cellStyle name="Normal 54 3 3 4 2" xfId="40733" xr:uid="{00000000-0005-0000-0000-0000128E0000}"/>
    <cellStyle name="Normal 54 3 3 4 2 2" xfId="40734" xr:uid="{00000000-0005-0000-0000-0000138E0000}"/>
    <cellStyle name="Normal 54 3 3 4 3" xfId="40735" xr:uid="{00000000-0005-0000-0000-0000148E0000}"/>
    <cellStyle name="Normal 54 3 3 5" xfId="38991" xr:uid="{00000000-0005-0000-0000-0000158E0000}"/>
    <cellStyle name="Normal 54 3 3 5 2" xfId="40736" xr:uid="{00000000-0005-0000-0000-0000168E0000}"/>
    <cellStyle name="Normal 54 3 3 5 2 2" xfId="40737" xr:uid="{00000000-0005-0000-0000-0000178E0000}"/>
    <cellStyle name="Normal 54 3 3 5 3" xfId="38512" xr:uid="{00000000-0005-0000-0000-0000188E0000}"/>
    <cellStyle name="Normal 54 3 3 6" xfId="24914" xr:uid="{00000000-0005-0000-0000-0000198E0000}"/>
    <cellStyle name="Normal 54 3 3 6 2" xfId="24916" xr:uid="{00000000-0005-0000-0000-00001A8E0000}"/>
    <cellStyle name="Normal 54 3 3 7" xfId="12392" xr:uid="{00000000-0005-0000-0000-00001B8E0000}"/>
    <cellStyle name="Normal 54 3 3 7 2" xfId="12395" xr:uid="{00000000-0005-0000-0000-00001C8E0000}"/>
    <cellStyle name="Normal 54 3 3 8" xfId="2824" xr:uid="{00000000-0005-0000-0000-00001D8E0000}"/>
    <cellStyle name="Normal 54 3 3 9" xfId="40738" xr:uid="{00000000-0005-0000-0000-00001E8E0000}"/>
    <cellStyle name="Normal 54 3 4" xfId="234" xr:uid="{00000000-0005-0000-0000-00001F8E0000}"/>
    <cellStyle name="Normal 54 3 4 2" xfId="35212" xr:uid="{00000000-0005-0000-0000-0000208E0000}"/>
    <cellStyle name="Normal 54 3 4 2 2" xfId="35216" xr:uid="{00000000-0005-0000-0000-0000218E0000}"/>
    <cellStyle name="Normal 54 3 4 2 2 2" xfId="26486" xr:uid="{00000000-0005-0000-0000-0000228E0000}"/>
    <cellStyle name="Normal 54 3 4 2 2 2 2" xfId="40739" xr:uid="{00000000-0005-0000-0000-0000238E0000}"/>
    <cellStyle name="Normal 54 3 4 2 2 2 2 2" xfId="40740" xr:uid="{00000000-0005-0000-0000-0000248E0000}"/>
    <cellStyle name="Normal 54 3 4 2 2 2 3" xfId="40741" xr:uid="{00000000-0005-0000-0000-0000258E0000}"/>
    <cellStyle name="Normal 54 3 4 2 2 3" xfId="2483" xr:uid="{00000000-0005-0000-0000-0000268E0000}"/>
    <cellStyle name="Normal 54 3 4 2 2 3 2" xfId="1082" xr:uid="{00000000-0005-0000-0000-0000278E0000}"/>
    <cellStyle name="Normal 54 3 4 2 2 4" xfId="2496" xr:uid="{00000000-0005-0000-0000-0000288E0000}"/>
    <cellStyle name="Normal 54 3 4 2 3" xfId="40742" xr:uid="{00000000-0005-0000-0000-0000298E0000}"/>
    <cellStyle name="Normal 54 3 4 2 3 2" xfId="40743" xr:uid="{00000000-0005-0000-0000-00002A8E0000}"/>
    <cellStyle name="Normal 54 3 4 2 3 2 2" xfId="40744" xr:uid="{00000000-0005-0000-0000-00002B8E0000}"/>
    <cellStyle name="Normal 54 3 4 2 3 3" xfId="2542" xr:uid="{00000000-0005-0000-0000-00002C8E0000}"/>
    <cellStyle name="Normal 54 3 4 2 4" xfId="40745" xr:uid="{00000000-0005-0000-0000-00002D8E0000}"/>
    <cellStyle name="Normal 54 3 4 2 4 2" xfId="40746" xr:uid="{00000000-0005-0000-0000-00002E8E0000}"/>
    <cellStyle name="Normal 54 3 4 2 4 2 2" xfId="32350" xr:uid="{00000000-0005-0000-0000-00002F8E0000}"/>
    <cellStyle name="Normal 54 3 4 2 4 3" xfId="2609" xr:uid="{00000000-0005-0000-0000-0000308E0000}"/>
    <cellStyle name="Normal 54 3 4 2 5" xfId="40747" xr:uid="{00000000-0005-0000-0000-0000318E0000}"/>
    <cellStyle name="Normal 54 3 4 2 5 2" xfId="40748" xr:uid="{00000000-0005-0000-0000-0000328E0000}"/>
    <cellStyle name="Normal 54 3 4 2 6" xfId="40749" xr:uid="{00000000-0005-0000-0000-0000338E0000}"/>
    <cellStyle name="Normal 54 3 4 2 6 2" xfId="40750" xr:uid="{00000000-0005-0000-0000-0000348E0000}"/>
    <cellStyle name="Normal 54 3 4 2 7" xfId="40751" xr:uid="{00000000-0005-0000-0000-0000358E0000}"/>
    <cellStyle name="Normal 54 3 4 2 8" xfId="40752" xr:uid="{00000000-0005-0000-0000-0000368E0000}"/>
    <cellStyle name="Normal 54 3 4 3" xfId="30456" xr:uid="{00000000-0005-0000-0000-0000378E0000}"/>
    <cellStyle name="Normal 54 3 4 3 2" xfId="40753" xr:uid="{00000000-0005-0000-0000-0000388E0000}"/>
    <cellStyle name="Normal 54 3 4 3 2 2" xfId="40519" xr:uid="{00000000-0005-0000-0000-0000398E0000}"/>
    <cellStyle name="Normal 54 3 4 3 2 2 2" xfId="40754" xr:uid="{00000000-0005-0000-0000-00003A8E0000}"/>
    <cellStyle name="Normal 54 3 4 3 2 3" xfId="722" xr:uid="{00000000-0005-0000-0000-00003B8E0000}"/>
    <cellStyle name="Normal 54 3 4 3 3" xfId="40755" xr:uid="{00000000-0005-0000-0000-00003C8E0000}"/>
    <cellStyle name="Normal 54 3 4 3 3 2" xfId="40756" xr:uid="{00000000-0005-0000-0000-00003D8E0000}"/>
    <cellStyle name="Normal 54 3 4 3 4" xfId="40757" xr:uid="{00000000-0005-0000-0000-00003E8E0000}"/>
    <cellStyle name="Normal 54 3 4 4" xfId="40758" xr:uid="{00000000-0005-0000-0000-00003F8E0000}"/>
    <cellStyle name="Normal 54 3 4 4 2" xfId="40759" xr:uid="{00000000-0005-0000-0000-0000408E0000}"/>
    <cellStyle name="Normal 54 3 4 4 2 2" xfId="40760" xr:uid="{00000000-0005-0000-0000-0000418E0000}"/>
    <cellStyle name="Normal 54 3 4 4 3" xfId="40761" xr:uid="{00000000-0005-0000-0000-0000428E0000}"/>
    <cellStyle name="Normal 54 3 4 5" xfId="40762" xr:uid="{00000000-0005-0000-0000-0000438E0000}"/>
    <cellStyle name="Normal 54 3 4 5 2" xfId="40763" xr:uid="{00000000-0005-0000-0000-0000448E0000}"/>
    <cellStyle name="Normal 54 3 4 5 2 2" xfId="40764" xr:uid="{00000000-0005-0000-0000-0000458E0000}"/>
    <cellStyle name="Normal 54 3 4 5 3" xfId="10628" xr:uid="{00000000-0005-0000-0000-0000468E0000}"/>
    <cellStyle name="Normal 54 3 4 6" xfId="24919" xr:uid="{00000000-0005-0000-0000-0000478E0000}"/>
    <cellStyle name="Normal 54 3 4 6 2" xfId="40765" xr:uid="{00000000-0005-0000-0000-0000488E0000}"/>
    <cellStyle name="Normal 54 3 4 7" xfId="12398" xr:uid="{00000000-0005-0000-0000-0000498E0000}"/>
    <cellStyle name="Normal 54 3 4 7 2" xfId="12400" xr:uid="{00000000-0005-0000-0000-00004A8E0000}"/>
    <cellStyle name="Normal 54 3 4 8" xfId="1332" xr:uid="{00000000-0005-0000-0000-00004B8E0000}"/>
    <cellStyle name="Normal 54 3 4 9" xfId="40766" xr:uid="{00000000-0005-0000-0000-00004C8E0000}"/>
    <cellStyle name="Normal 54 3 5" xfId="13792" xr:uid="{00000000-0005-0000-0000-00004D8E0000}"/>
    <cellStyle name="Normal 54 3 5 2" xfId="13850" xr:uid="{00000000-0005-0000-0000-00004E8E0000}"/>
    <cellStyle name="Normal 54 3 5 2 2" xfId="13905" xr:uid="{00000000-0005-0000-0000-00004F8E0000}"/>
    <cellStyle name="Normal 54 3 5 2 2 2" xfId="40768" xr:uid="{00000000-0005-0000-0000-0000508E0000}"/>
    <cellStyle name="Normal 54 3 5 2 2 2 2" xfId="40769" xr:uid="{00000000-0005-0000-0000-0000518E0000}"/>
    <cellStyle name="Normal 54 3 5 2 2 2 2 2" xfId="40770" xr:uid="{00000000-0005-0000-0000-0000528E0000}"/>
    <cellStyle name="Normal 54 3 5 2 2 2 3" xfId="40771" xr:uid="{00000000-0005-0000-0000-0000538E0000}"/>
    <cellStyle name="Normal 54 3 5 2 2 3" xfId="40774" xr:uid="{00000000-0005-0000-0000-0000548E0000}"/>
    <cellStyle name="Normal 54 3 5 2 2 3 2" xfId="40777" xr:uid="{00000000-0005-0000-0000-0000558E0000}"/>
    <cellStyle name="Normal 54 3 5 2 2 4" xfId="40780" xr:uid="{00000000-0005-0000-0000-0000568E0000}"/>
    <cellStyle name="Normal 54 3 5 2 3" xfId="40781" xr:uid="{00000000-0005-0000-0000-0000578E0000}"/>
    <cellStyle name="Normal 54 3 5 2 3 2" xfId="11957" xr:uid="{00000000-0005-0000-0000-0000588E0000}"/>
    <cellStyle name="Normal 54 3 5 2 3 2 2" xfId="40782" xr:uid="{00000000-0005-0000-0000-0000598E0000}"/>
    <cellStyle name="Normal 54 3 5 2 3 3" xfId="40785" xr:uid="{00000000-0005-0000-0000-00005A8E0000}"/>
    <cellStyle name="Normal 54 3 5 2 4" xfId="40786" xr:uid="{00000000-0005-0000-0000-00005B8E0000}"/>
    <cellStyle name="Normal 54 3 5 2 4 2" xfId="40787" xr:uid="{00000000-0005-0000-0000-00005C8E0000}"/>
    <cellStyle name="Normal 54 3 5 2 4 2 2" xfId="15690" xr:uid="{00000000-0005-0000-0000-00005D8E0000}"/>
    <cellStyle name="Normal 54 3 5 2 4 3" xfId="40790" xr:uid="{00000000-0005-0000-0000-00005E8E0000}"/>
    <cellStyle name="Normal 54 3 5 2 5" xfId="40791" xr:uid="{00000000-0005-0000-0000-00005F8E0000}"/>
    <cellStyle name="Normal 54 3 5 2 5 2" xfId="40792" xr:uid="{00000000-0005-0000-0000-0000608E0000}"/>
    <cellStyle name="Normal 54 3 5 2 6" xfId="40793" xr:uid="{00000000-0005-0000-0000-0000618E0000}"/>
    <cellStyle name="Normal 54 3 5 2 6 2" xfId="40794" xr:uid="{00000000-0005-0000-0000-0000628E0000}"/>
    <cellStyle name="Normal 54 3 5 2 7" xfId="40796" xr:uid="{00000000-0005-0000-0000-0000638E0000}"/>
    <cellStyle name="Normal 54 3 5 2 8" xfId="16145" xr:uid="{00000000-0005-0000-0000-0000648E0000}"/>
    <cellStyle name="Normal 54 3 5 3" xfId="16196" xr:uid="{00000000-0005-0000-0000-0000658E0000}"/>
    <cellStyle name="Normal 54 3 5 3 2" xfId="40797" xr:uid="{00000000-0005-0000-0000-0000668E0000}"/>
    <cellStyle name="Normal 54 3 5 3 2 2" xfId="40799" xr:uid="{00000000-0005-0000-0000-0000678E0000}"/>
    <cellStyle name="Normal 54 3 5 3 2 2 2" xfId="40800" xr:uid="{00000000-0005-0000-0000-0000688E0000}"/>
    <cellStyle name="Normal 54 3 5 3 2 3" xfId="40803" xr:uid="{00000000-0005-0000-0000-0000698E0000}"/>
    <cellStyle name="Normal 54 3 5 3 3" xfId="40804" xr:uid="{00000000-0005-0000-0000-00006A8E0000}"/>
    <cellStyle name="Normal 54 3 5 3 3 2" xfId="40805" xr:uid="{00000000-0005-0000-0000-00006B8E0000}"/>
    <cellStyle name="Normal 54 3 5 3 4" xfId="40806" xr:uid="{00000000-0005-0000-0000-00006C8E0000}"/>
    <cellStyle name="Normal 54 3 5 4" xfId="5119" xr:uid="{00000000-0005-0000-0000-00006D8E0000}"/>
    <cellStyle name="Normal 54 3 5 4 2" xfId="40807" xr:uid="{00000000-0005-0000-0000-00006E8E0000}"/>
    <cellStyle name="Normal 54 3 5 4 2 2" xfId="40808" xr:uid="{00000000-0005-0000-0000-00006F8E0000}"/>
    <cellStyle name="Normal 54 3 5 4 3" xfId="40809" xr:uid="{00000000-0005-0000-0000-0000708E0000}"/>
    <cellStyle name="Normal 54 3 5 5" xfId="40810" xr:uid="{00000000-0005-0000-0000-0000718E0000}"/>
    <cellStyle name="Normal 54 3 5 5 2" xfId="40811" xr:uid="{00000000-0005-0000-0000-0000728E0000}"/>
    <cellStyle name="Normal 54 3 5 5 2 2" xfId="40812" xr:uid="{00000000-0005-0000-0000-0000738E0000}"/>
    <cellStyle name="Normal 54 3 5 5 3" xfId="40813" xr:uid="{00000000-0005-0000-0000-0000748E0000}"/>
    <cellStyle name="Normal 54 3 5 6" xfId="16767" xr:uid="{00000000-0005-0000-0000-0000758E0000}"/>
    <cellStyle name="Normal 54 3 5 6 2" xfId="40814" xr:uid="{00000000-0005-0000-0000-0000768E0000}"/>
    <cellStyle name="Normal 54 3 5 7" xfId="12406" xr:uid="{00000000-0005-0000-0000-0000778E0000}"/>
    <cellStyle name="Normal 54 3 5 7 2" xfId="40815" xr:uid="{00000000-0005-0000-0000-0000788E0000}"/>
    <cellStyle name="Normal 54 3 5 8" xfId="40816" xr:uid="{00000000-0005-0000-0000-0000798E0000}"/>
    <cellStyle name="Normal 54 3 5 9" xfId="40817" xr:uid="{00000000-0005-0000-0000-00007A8E0000}"/>
    <cellStyle name="Normal 54 3 6" xfId="16883" xr:uid="{00000000-0005-0000-0000-00007B8E0000}"/>
    <cellStyle name="Normal 54 3 6 2" xfId="11690" xr:uid="{00000000-0005-0000-0000-00007C8E0000}"/>
    <cellStyle name="Normal 54 3 6 2 2" xfId="11613" xr:uid="{00000000-0005-0000-0000-00007D8E0000}"/>
    <cellStyle name="Normal 54 3 6 2 2 2" xfId="40820" xr:uid="{00000000-0005-0000-0000-00007E8E0000}"/>
    <cellStyle name="Normal 54 3 6 2 2 2 2" xfId="40821" xr:uid="{00000000-0005-0000-0000-00007F8E0000}"/>
    <cellStyle name="Normal 54 3 6 2 2 3" xfId="40824" xr:uid="{00000000-0005-0000-0000-0000808E0000}"/>
    <cellStyle name="Normal 54 3 6 2 3" xfId="40825" xr:uid="{00000000-0005-0000-0000-0000818E0000}"/>
    <cellStyle name="Normal 54 3 6 2 3 2" xfId="40826" xr:uid="{00000000-0005-0000-0000-0000828E0000}"/>
    <cellStyle name="Normal 54 3 6 2 4" xfId="40827" xr:uid="{00000000-0005-0000-0000-0000838E0000}"/>
    <cellStyle name="Normal 54 3 6 3" xfId="11702" xr:uid="{00000000-0005-0000-0000-0000848E0000}"/>
    <cellStyle name="Normal 54 3 6 3 2" xfId="6525" xr:uid="{00000000-0005-0000-0000-0000858E0000}"/>
    <cellStyle name="Normal 54 3 6 3 2 2" xfId="40830" xr:uid="{00000000-0005-0000-0000-0000868E0000}"/>
    <cellStyle name="Normal 54 3 6 3 3" xfId="40831" xr:uid="{00000000-0005-0000-0000-0000878E0000}"/>
    <cellStyle name="Normal 54 3 6 4" xfId="11705" xr:uid="{00000000-0005-0000-0000-0000888E0000}"/>
    <cellStyle name="Normal 54 3 6 4 2" xfId="40832" xr:uid="{00000000-0005-0000-0000-0000898E0000}"/>
    <cellStyle name="Normal 54 3 6 4 2 2" xfId="40833" xr:uid="{00000000-0005-0000-0000-00008A8E0000}"/>
    <cellStyle name="Normal 54 3 6 4 3" xfId="40834" xr:uid="{00000000-0005-0000-0000-00008B8E0000}"/>
    <cellStyle name="Normal 54 3 6 5" xfId="11708" xr:uid="{00000000-0005-0000-0000-00008C8E0000}"/>
    <cellStyle name="Normal 54 3 6 5 2" xfId="40835" xr:uid="{00000000-0005-0000-0000-00008D8E0000}"/>
    <cellStyle name="Normal 54 3 6 6" xfId="40836" xr:uid="{00000000-0005-0000-0000-00008E8E0000}"/>
    <cellStyle name="Normal 54 3 6 6 2" xfId="40837" xr:uid="{00000000-0005-0000-0000-00008F8E0000}"/>
    <cellStyle name="Normal 54 3 6 7" xfId="1494" xr:uid="{00000000-0005-0000-0000-0000908E0000}"/>
    <cellStyle name="Normal 54 3 6 8" xfId="40838" xr:uid="{00000000-0005-0000-0000-0000918E0000}"/>
    <cellStyle name="Normal 54 3 7" xfId="10337" xr:uid="{00000000-0005-0000-0000-0000928E0000}"/>
    <cellStyle name="Normal 54 3 7 2" xfId="11745" xr:uid="{00000000-0005-0000-0000-0000938E0000}"/>
    <cellStyle name="Normal 54 3 7 2 2" xfId="11754" xr:uid="{00000000-0005-0000-0000-0000948E0000}"/>
    <cellStyle name="Normal 54 3 7 2 2 2" xfId="40841" xr:uid="{00000000-0005-0000-0000-0000958E0000}"/>
    <cellStyle name="Normal 54 3 7 2 3" xfId="15934" xr:uid="{00000000-0005-0000-0000-0000968E0000}"/>
    <cellStyle name="Normal 54 3 7 3" xfId="11763" xr:uid="{00000000-0005-0000-0000-0000978E0000}"/>
    <cellStyle name="Normal 54 3 7 3 2" xfId="40842" xr:uid="{00000000-0005-0000-0000-0000988E0000}"/>
    <cellStyle name="Normal 54 3 7 4" xfId="40844" xr:uid="{00000000-0005-0000-0000-0000998E0000}"/>
    <cellStyle name="Normal 54 3 8" xfId="19104" xr:uid="{00000000-0005-0000-0000-00009A8E0000}"/>
    <cellStyle name="Normal 54 3 8 2" xfId="37998" xr:uid="{00000000-0005-0000-0000-00009B8E0000}"/>
    <cellStyle name="Normal 54 3 8 2 2" xfId="36258" xr:uid="{00000000-0005-0000-0000-00009C8E0000}"/>
    <cellStyle name="Normal 54 3 8 3" xfId="40845" xr:uid="{00000000-0005-0000-0000-00009D8E0000}"/>
    <cellStyle name="Normal 54 3 9" xfId="6475" xr:uid="{00000000-0005-0000-0000-00009E8E0000}"/>
    <cellStyle name="Normal 54 3 9 2" xfId="40846" xr:uid="{00000000-0005-0000-0000-00009F8E0000}"/>
    <cellStyle name="Normal 54 3 9 2 2" xfId="40847" xr:uid="{00000000-0005-0000-0000-0000A08E0000}"/>
    <cellStyle name="Normal 54 3 9 3" xfId="40848" xr:uid="{00000000-0005-0000-0000-0000A18E0000}"/>
    <cellStyle name="Normal 54 4" xfId="38993" xr:uid="{00000000-0005-0000-0000-0000A28E0000}"/>
    <cellStyle name="Normal 54 4 10" xfId="40849" xr:uid="{00000000-0005-0000-0000-0000A38E0000}"/>
    <cellStyle name="Normal 54 4 2" xfId="38995" xr:uid="{00000000-0005-0000-0000-0000A48E0000}"/>
    <cellStyle name="Normal 54 4 2 2" xfId="16940" xr:uid="{00000000-0005-0000-0000-0000A58E0000}"/>
    <cellStyle name="Normal 54 4 2 2 2" xfId="35946" xr:uid="{00000000-0005-0000-0000-0000A68E0000}"/>
    <cellStyle name="Normal 54 4 2 2 2 2" xfId="26713" xr:uid="{00000000-0005-0000-0000-0000A78E0000}"/>
    <cellStyle name="Normal 54 4 2 2 2 2 2" xfId="20087" xr:uid="{00000000-0005-0000-0000-0000A88E0000}"/>
    <cellStyle name="Normal 54 4 2 2 2 2 2 2" xfId="40850" xr:uid="{00000000-0005-0000-0000-0000A98E0000}"/>
    <cellStyle name="Normal 54 4 2 2 2 2 3" xfId="40851" xr:uid="{00000000-0005-0000-0000-0000AA8E0000}"/>
    <cellStyle name="Normal 54 4 2 2 2 3" xfId="37248" xr:uid="{00000000-0005-0000-0000-0000AB8E0000}"/>
    <cellStyle name="Normal 54 4 2 2 2 3 2" xfId="40658" xr:uid="{00000000-0005-0000-0000-0000AC8E0000}"/>
    <cellStyle name="Normal 54 4 2 2 2 4" xfId="40852" xr:uid="{00000000-0005-0000-0000-0000AD8E0000}"/>
    <cellStyle name="Normal 54 4 2 2 3" xfId="35949" xr:uid="{00000000-0005-0000-0000-0000AE8E0000}"/>
    <cellStyle name="Normal 54 4 2 2 3 2" xfId="38997" xr:uid="{00000000-0005-0000-0000-0000AF8E0000}"/>
    <cellStyle name="Normal 54 4 2 2 3 2 2" xfId="40853" xr:uid="{00000000-0005-0000-0000-0000B08E0000}"/>
    <cellStyle name="Normal 54 4 2 2 3 3" xfId="40854" xr:uid="{00000000-0005-0000-0000-0000B18E0000}"/>
    <cellStyle name="Normal 54 4 2 2 4" xfId="38999" xr:uid="{00000000-0005-0000-0000-0000B28E0000}"/>
    <cellStyle name="Normal 54 4 2 2 4 2" xfId="40855" xr:uid="{00000000-0005-0000-0000-0000B38E0000}"/>
    <cellStyle name="Normal 54 4 2 2 4 2 2" xfId="40856" xr:uid="{00000000-0005-0000-0000-0000B48E0000}"/>
    <cellStyle name="Normal 54 4 2 2 4 3" xfId="40857" xr:uid="{00000000-0005-0000-0000-0000B58E0000}"/>
    <cellStyle name="Normal 54 4 2 2 5" xfId="40858" xr:uid="{00000000-0005-0000-0000-0000B68E0000}"/>
    <cellStyle name="Normal 54 4 2 2 5 2" xfId="40859" xr:uid="{00000000-0005-0000-0000-0000B78E0000}"/>
    <cellStyle name="Normal 54 4 2 2 6" xfId="40860" xr:uid="{00000000-0005-0000-0000-0000B88E0000}"/>
    <cellStyle name="Normal 54 4 2 2 6 2" xfId="40861" xr:uid="{00000000-0005-0000-0000-0000B98E0000}"/>
    <cellStyle name="Normal 54 4 2 2 7" xfId="40862" xr:uid="{00000000-0005-0000-0000-0000BA8E0000}"/>
    <cellStyle name="Normal 54 4 2 2 8" xfId="2090" xr:uid="{00000000-0005-0000-0000-0000BB8E0000}"/>
    <cellStyle name="Normal 54 4 2 3" xfId="14311" xr:uid="{00000000-0005-0000-0000-0000BC8E0000}"/>
    <cellStyle name="Normal 54 4 2 3 2" xfId="39001" xr:uid="{00000000-0005-0000-0000-0000BD8E0000}"/>
    <cellStyle name="Normal 54 4 2 3 2 2" xfId="38639" xr:uid="{00000000-0005-0000-0000-0000BE8E0000}"/>
    <cellStyle name="Normal 54 4 2 3 2 2 2" xfId="40863" xr:uid="{00000000-0005-0000-0000-0000BF8E0000}"/>
    <cellStyle name="Normal 54 4 2 3 2 3" xfId="24040" xr:uid="{00000000-0005-0000-0000-0000C08E0000}"/>
    <cellStyle name="Normal 54 4 2 3 3" xfId="39003" xr:uid="{00000000-0005-0000-0000-0000C18E0000}"/>
    <cellStyle name="Normal 54 4 2 3 3 2" xfId="40864" xr:uid="{00000000-0005-0000-0000-0000C28E0000}"/>
    <cellStyle name="Normal 54 4 2 3 4" xfId="40865" xr:uid="{00000000-0005-0000-0000-0000C38E0000}"/>
    <cellStyle name="Normal 54 4 2 4" xfId="39005" xr:uid="{00000000-0005-0000-0000-0000C48E0000}"/>
    <cellStyle name="Normal 54 4 2 4 2" xfId="39007" xr:uid="{00000000-0005-0000-0000-0000C58E0000}"/>
    <cellStyle name="Normal 54 4 2 4 2 2" xfId="39009" xr:uid="{00000000-0005-0000-0000-0000C68E0000}"/>
    <cellStyle name="Normal 54 4 2 4 3" xfId="39011" xr:uid="{00000000-0005-0000-0000-0000C78E0000}"/>
    <cellStyle name="Normal 54 4 2 5" xfId="39013" xr:uid="{00000000-0005-0000-0000-0000C88E0000}"/>
    <cellStyle name="Normal 54 4 2 5 2" xfId="39015" xr:uid="{00000000-0005-0000-0000-0000C98E0000}"/>
    <cellStyle name="Normal 54 4 2 5 2 2" xfId="33122" xr:uid="{00000000-0005-0000-0000-0000CA8E0000}"/>
    <cellStyle name="Normal 54 4 2 5 3" xfId="40866" xr:uid="{00000000-0005-0000-0000-0000CB8E0000}"/>
    <cellStyle name="Normal 54 4 2 6" xfId="24940" xr:uid="{00000000-0005-0000-0000-0000CC8E0000}"/>
    <cellStyle name="Normal 54 4 2 6 2" xfId="12838" xr:uid="{00000000-0005-0000-0000-0000CD8E0000}"/>
    <cellStyle name="Normal 54 4 2 7" xfId="7759" xr:uid="{00000000-0005-0000-0000-0000CE8E0000}"/>
    <cellStyle name="Normal 54 4 2 7 2" xfId="2286" xr:uid="{00000000-0005-0000-0000-0000CF8E0000}"/>
    <cellStyle name="Normal 54 4 2 8" xfId="3144" xr:uid="{00000000-0005-0000-0000-0000D08E0000}"/>
    <cellStyle name="Normal 54 4 2 9" xfId="40869" xr:uid="{00000000-0005-0000-0000-0000D18E0000}"/>
    <cellStyle name="Normal 54 4 3" xfId="35226" xr:uid="{00000000-0005-0000-0000-0000D28E0000}"/>
    <cellStyle name="Normal 54 4 3 2" xfId="35228" xr:uid="{00000000-0005-0000-0000-0000D38E0000}"/>
    <cellStyle name="Normal 54 4 3 2 2" xfId="31827" xr:uid="{00000000-0005-0000-0000-0000D48E0000}"/>
    <cellStyle name="Normal 54 4 3 2 2 2" xfId="26952" xr:uid="{00000000-0005-0000-0000-0000D58E0000}"/>
    <cellStyle name="Normal 54 4 3 2 2 2 2" xfId="40870" xr:uid="{00000000-0005-0000-0000-0000D68E0000}"/>
    <cellStyle name="Normal 54 4 3 2 2 3" xfId="40871" xr:uid="{00000000-0005-0000-0000-0000D78E0000}"/>
    <cellStyle name="Normal 54 4 3 2 3" xfId="39017" xr:uid="{00000000-0005-0000-0000-0000D88E0000}"/>
    <cellStyle name="Normal 54 4 3 2 3 2" xfId="40872" xr:uid="{00000000-0005-0000-0000-0000D98E0000}"/>
    <cellStyle name="Normal 54 4 3 2 4" xfId="40873" xr:uid="{00000000-0005-0000-0000-0000DA8E0000}"/>
    <cellStyle name="Normal 54 4 3 3" xfId="35232" xr:uid="{00000000-0005-0000-0000-0000DB8E0000}"/>
    <cellStyle name="Normal 54 4 3 3 2" xfId="39019" xr:uid="{00000000-0005-0000-0000-0000DC8E0000}"/>
    <cellStyle name="Normal 54 4 3 3 2 2" xfId="40874" xr:uid="{00000000-0005-0000-0000-0000DD8E0000}"/>
    <cellStyle name="Normal 54 4 3 3 3" xfId="40875" xr:uid="{00000000-0005-0000-0000-0000DE8E0000}"/>
    <cellStyle name="Normal 54 4 3 4" xfId="39023" xr:uid="{00000000-0005-0000-0000-0000DF8E0000}"/>
    <cellStyle name="Normal 54 4 3 4 2" xfId="40878" xr:uid="{00000000-0005-0000-0000-0000E08E0000}"/>
    <cellStyle name="Normal 54 4 3 4 2 2" xfId="15850" xr:uid="{00000000-0005-0000-0000-0000E18E0000}"/>
    <cellStyle name="Normal 54 4 3 4 3" xfId="40881" xr:uid="{00000000-0005-0000-0000-0000E28E0000}"/>
    <cellStyle name="Normal 54 4 3 5" xfId="40884" xr:uid="{00000000-0005-0000-0000-0000E38E0000}"/>
    <cellStyle name="Normal 54 4 3 5 2" xfId="40022" xr:uid="{00000000-0005-0000-0000-0000E48E0000}"/>
    <cellStyle name="Normal 54 4 3 6" xfId="24948" xr:uid="{00000000-0005-0000-0000-0000E58E0000}"/>
    <cellStyle name="Normal 54 4 3 6 2" xfId="40887" xr:uid="{00000000-0005-0000-0000-0000E68E0000}"/>
    <cellStyle name="Normal 54 4 3 7" xfId="7825" xr:uid="{00000000-0005-0000-0000-0000E78E0000}"/>
    <cellStyle name="Normal 54 4 3 8" xfId="40890" xr:uid="{00000000-0005-0000-0000-0000E88E0000}"/>
    <cellStyle name="Normal 54 4 4" xfId="35236" xr:uid="{00000000-0005-0000-0000-0000E98E0000}"/>
    <cellStyle name="Normal 54 4 4 2" xfId="19824" xr:uid="{00000000-0005-0000-0000-0000EA8E0000}"/>
    <cellStyle name="Normal 54 4 4 2 2" xfId="19829" xr:uid="{00000000-0005-0000-0000-0000EB8E0000}"/>
    <cellStyle name="Normal 54 4 4 2 2 2" xfId="27179" xr:uid="{00000000-0005-0000-0000-0000EC8E0000}"/>
    <cellStyle name="Normal 54 4 4 2 3" xfId="40891" xr:uid="{00000000-0005-0000-0000-0000ED8E0000}"/>
    <cellStyle name="Normal 54 4 4 3" xfId="23212" xr:uid="{00000000-0005-0000-0000-0000EE8E0000}"/>
    <cellStyle name="Normal 54 4 4 3 2" xfId="23216" xr:uid="{00000000-0005-0000-0000-0000EF8E0000}"/>
    <cellStyle name="Normal 54 4 4 4" xfId="14458" xr:uid="{00000000-0005-0000-0000-0000F08E0000}"/>
    <cellStyle name="Normal 54 4 5" xfId="16103" xr:uid="{00000000-0005-0000-0000-0000F18E0000}"/>
    <cellStyle name="Normal 54 4 5 2" xfId="17499" xr:uid="{00000000-0005-0000-0000-0000F28E0000}"/>
    <cellStyle name="Normal 54 4 5 2 2" xfId="1785" xr:uid="{00000000-0005-0000-0000-0000F38E0000}"/>
    <cellStyle name="Normal 54 4 5 3" xfId="17649" xr:uid="{00000000-0005-0000-0000-0000F48E0000}"/>
    <cellStyle name="Normal 54 4 6" xfId="17848" xr:uid="{00000000-0005-0000-0000-0000F58E0000}"/>
    <cellStyle name="Normal 54 4 6 2" xfId="11821" xr:uid="{00000000-0005-0000-0000-0000F68E0000}"/>
    <cellStyle name="Normal 54 4 6 2 2" xfId="11827" xr:uid="{00000000-0005-0000-0000-0000F78E0000}"/>
    <cellStyle name="Normal 54 4 6 3" xfId="11833" xr:uid="{00000000-0005-0000-0000-0000F88E0000}"/>
    <cellStyle name="Normal 54 4 7" xfId="9979" xr:uid="{00000000-0005-0000-0000-0000F98E0000}"/>
    <cellStyle name="Normal 54 4 7 2" xfId="9988" xr:uid="{00000000-0005-0000-0000-0000FA8E0000}"/>
    <cellStyle name="Normal 54 4 8" xfId="9997" xr:uid="{00000000-0005-0000-0000-0000FB8E0000}"/>
    <cellStyle name="Normal 54 4 8 2" xfId="18018" xr:uid="{00000000-0005-0000-0000-0000FC8E0000}"/>
    <cellStyle name="Normal 54 4 9" xfId="6493" xr:uid="{00000000-0005-0000-0000-0000FD8E0000}"/>
    <cellStyle name="Normal 54 5" xfId="26125" xr:uid="{00000000-0005-0000-0000-0000FE8E0000}"/>
    <cellStyle name="Normal 54 5 2" xfId="39026" xr:uid="{00000000-0005-0000-0000-0000FF8E0000}"/>
    <cellStyle name="Normal 54 5 2 2" xfId="39028" xr:uid="{00000000-0005-0000-0000-0000008F0000}"/>
    <cellStyle name="Normal 54 5 2 2 2" xfId="39030" xr:uid="{00000000-0005-0000-0000-0000018F0000}"/>
    <cellStyle name="Normal 54 5 2 2 2 2" xfId="27913" xr:uid="{00000000-0005-0000-0000-0000028F0000}"/>
    <cellStyle name="Normal 54 5 2 2 2 2 2" xfId="39032" xr:uid="{00000000-0005-0000-0000-0000038F0000}"/>
    <cellStyle name="Normal 54 5 2 2 2 3" xfId="39034" xr:uid="{00000000-0005-0000-0000-0000048F0000}"/>
    <cellStyle name="Normal 54 5 2 2 3" xfId="39037" xr:uid="{00000000-0005-0000-0000-0000058F0000}"/>
    <cellStyle name="Normal 54 5 2 2 3 2" xfId="39039" xr:uid="{00000000-0005-0000-0000-0000068F0000}"/>
    <cellStyle name="Normal 54 5 2 2 4" xfId="11281" xr:uid="{00000000-0005-0000-0000-0000078F0000}"/>
    <cellStyle name="Normal 54 5 2 2 5" xfId="40892" xr:uid="{00000000-0005-0000-0000-0000088F0000}"/>
    <cellStyle name="Normal 54 5 2 3" xfId="14330" xr:uid="{00000000-0005-0000-0000-0000098F0000}"/>
    <cellStyle name="Normal 54 5 2 3 2" xfId="34657" xr:uid="{00000000-0005-0000-0000-00000A8F0000}"/>
    <cellStyle name="Normal 54 5 2 3 2 2" xfId="38745" xr:uid="{00000000-0005-0000-0000-00000B8F0000}"/>
    <cellStyle name="Normal 54 5 2 3 3" xfId="39041" xr:uid="{00000000-0005-0000-0000-00000C8F0000}"/>
    <cellStyle name="Normal 54 5 2 4" xfId="34661" xr:uid="{00000000-0005-0000-0000-00000D8F0000}"/>
    <cellStyle name="Normal 54 5 2 4 2" xfId="39043" xr:uid="{00000000-0005-0000-0000-00000E8F0000}"/>
    <cellStyle name="Normal 54 5 2 4 2 2" xfId="39045" xr:uid="{00000000-0005-0000-0000-00000F8F0000}"/>
    <cellStyle name="Normal 54 5 2 4 3" xfId="39047" xr:uid="{00000000-0005-0000-0000-0000108F0000}"/>
    <cellStyle name="Normal 54 5 2 5" xfId="39049" xr:uid="{00000000-0005-0000-0000-0000118F0000}"/>
    <cellStyle name="Normal 54 5 2 5 2" xfId="15199" xr:uid="{00000000-0005-0000-0000-0000128F0000}"/>
    <cellStyle name="Normal 54 5 2 6" xfId="39051" xr:uid="{00000000-0005-0000-0000-0000138F0000}"/>
    <cellStyle name="Normal 54 5 2 6 2" xfId="13321" xr:uid="{00000000-0005-0000-0000-0000148F0000}"/>
    <cellStyle name="Normal 54 5 2 7" xfId="7925" xr:uid="{00000000-0005-0000-0000-0000158F0000}"/>
    <cellStyle name="Normal 54 5 2 8" xfId="39053" xr:uid="{00000000-0005-0000-0000-0000168F0000}"/>
    <cellStyle name="Normal 54 5 3" xfId="35243" xr:uid="{00000000-0005-0000-0000-0000178F0000}"/>
    <cellStyle name="Normal 54 5 3 2" xfId="35247" xr:uid="{00000000-0005-0000-0000-0000188F0000}"/>
    <cellStyle name="Normal 54 5 3 2 2" xfId="39055" xr:uid="{00000000-0005-0000-0000-0000198F0000}"/>
    <cellStyle name="Normal 54 5 3 2 2 2" xfId="28381" xr:uid="{00000000-0005-0000-0000-00001A8F0000}"/>
    <cellStyle name="Normal 54 5 3 2 3" xfId="39057" xr:uid="{00000000-0005-0000-0000-00001B8F0000}"/>
    <cellStyle name="Normal 54 5 3 3" xfId="34664" xr:uid="{00000000-0005-0000-0000-00001C8F0000}"/>
    <cellStyle name="Normal 54 5 3 3 2" xfId="39059" xr:uid="{00000000-0005-0000-0000-00001D8F0000}"/>
    <cellStyle name="Normal 54 5 3 4" xfId="39063" xr:uid="{00000000-0005-0000-0000-00001E8F0000}"/>
    <cellStyle name="Normal 54 5 3 5" xfId="40895" xr:uid="{00000000-0005-0000-0000-00001F8F0000}"/>
    <cellStyle name="Normal 54 5 4" xfId="35251" xr:uid="{00000000-0005-0000-0000-0000208F0000}"/>
    <cellStyle name="Normal 54 5 4 2" xfId="39066" xr:uid="{00000000-0005-0000-0000-0000218F0000}"/>
    <cellStyle name="Normal 54 5 4 2 2" xfId="39069" xr:uid="{00000000-0005-0000-0000-0000228F0000}"/>
    <cellStyle name="Normal 54 5 4 3" xfId="34670" xr:uid="{00000000-0005-0000-0000-0000238F0000}"/>
    <cellStyle name="Normal 54 5 5" xfId="19126" xr:uid="{00000000-0005-0000-0000-0000248F0000}"/>
    <cellStyle name="Normal 54 5 5 2" xfId="19138" xr:uid="{00000000-0005-0000-0000-0000258F0000}"/>
    <cellStyle name="Normal 54 5 5 2 2" xfId="39071" xr:uid="{00000000-0005-0000-0000-0000268F0000}"/>
    <cellStyle name="Normal 54 5 5 3" xfId="39073" xr:uid="{00000000-0005-0000-0000-0000278F0000}"/>
    <cellStyle name="Normal 54 5 6" xfId="17921" xr:uid="{00000000-0005-0000-0000-0000288F0000}"/>
    <cellStyle name="Normal 54 5 6 2" xfId="11889" xr:uid="{00000000-0005-0000-0000-0000298F0000}"/>
    <cellStyle name="Normal 54 5 7" xfId="10006" xr:uid="{00000000-0005-0000-0000-00002A8F0000}"/>
    <cellStyle name="Normal 54 5 7 2" xfId="27042" xr:uid="{00000000-0005-0000-0000-00002B8F0000}"/>
    <cellStyle name="Normal 54 5 8" xfId="10016" xr:uid="{00000000-0005-0000-0000-00002C8F0000}"/>
    <cellStyle name="Normal 54 5 9" xfId="39075" xr:uid="{00000000-0005-0000-0000-00002D8F0000}"/>
    <cellStyle name="Normal 54 6" xfId="20350" xr:uid="{00000000-0005-0000-0000-00002E8F0000}"/>
    <cellStyle name="Normal 54 6 2" xfId="39077" xr:uid="{00000000-0005-0000-0000-00002F8F0000}"/>
    <cellStyle name="Normal 54 6 2 2" xfId="39079" xr:uid="{00000000-0005-0000-0000-0000308F0000}"/>
    <cellStyle name="Normal 54 6 2 2 2" xfId="39081" xr:uid="{00000000-0005-0000-0000-0000318F0000}"/>
    <cellStyle name="Normal 54 6 2 2 2 2" xfId="3717" xr:uid="{00000000-0005-0000-0000-0000328F0000}"/>
    <cellStyle name="Normal 54 6 2 2 2 2 2" xfId="40896" xr:uid="{00000000-0005-0000-0000-0000338F0000}"/>
    <cellStyle name="Normal 54 6 2 2 2 3" xfId="40897" xr:uid="{00000000-0005-0000-0000-0000348F0000}"/>
    <cellStyle name="Normal 54 6 2 2 3" xfId="39083" xr:uid="{00000000-0005-0000-0000-0000358F0000}"/>
    <cellStyle name="Normal 54 6 2 2 3 2" xfId="40898" xr:uid="{00000000-0005-0000-0000-0000368F0000}"/>
    <cellStyle name="Normal 54 6 2 2 4" xfId="40899" xr:uid="{00000000-0005-0000-0000-0000378F0000}"/>
    <cellStyle name="Normal 54 6 2 3" xfId="39085" xr:uid="{00000000-0005-0000-0000-0000388F0000}"/>
    <cellStyle name="Normal 54 6 2 3 2" xfId="39087" xr:uid="{00000000-0005-0000-0000-0000398F0000}"/>
    <cellStyle name="Normal 54 6 2 3 2 2" xfId="40900" xr:uid="{00000000-0005-0000-0000-00003A8F0000}"/>
    <cellStyle name="Normal 54 6 2 3 3" xfId="40901" xr:uid="{00000000-0005-0000-0000-00003B8F0000}"/>
    <cellStyle name="Normal 54 6 2 4" xfId="39090" xr:uid="{00000000-0005-0000-0000-00003C8F0000}"/>
    <cellStyle name="Normal 54 6 2 4 2" xfId="40902" xr:uid="{00000000-0005-0000-0000-00003D8F0000}"/>
    <cellStyle name="Normal 54 6 2 4 2 2" xfId="40903" xr:uid="{00000000-0005-0000-0000-00003E8F0000}"/>
    <cellStyle name="Normal 54 6 2 4 3" xfId="40904" xr:uid="{00000000-0005-0000-0000-00003F8F0000}"/>
    <cellStyle name="Normal 54 6 2 5" xfId="40905" xr:uid="{00000000-0005-0000-0000-0000408F0000}"/>
    <cellStyle name="Normal 54 6 2 5 2" xfId="15325" xr:uid="{00000000-0005-0000-0000-0000418F0000}"/>
    <cellStyle name="Normal 54 6 2 6" xfId="40906" xr:uid="{00000000-0005-0000-0000-0000428F0000}"/>
    <cellStyle name="Normal 54 6 2 6 2" xfId="15347" xr:uid="{00000000-0005-0000-0000-0000438F0000}"/>
    <cellStyle name="Normal 54 6 2 7" xfId="8032" xr:uid="{00000000-0005-0000-0000-0000448F0000}"/>
    <cellStyle name="Normal 54 6 2 8" xfId="40907" xr:uid="{00000000-0005-0000-0000-0000458F0000}"/>
    <cellStyle name="Normal 54 6 3" xfId="35257" xr:uid="{00000000-0005-0000-0000-0000468F0000}"/>
    <cellStyle name="Normal 54 6 3 2" xfId="35262" xr:uid="{00000000-0005-0000-0000-0000478F0000}"/>
    <cellStyle name="Normal 54 6 3 2 2" xfId="39092" xr:uid="{00000000-0005-0000-0000-0000488F0000}"/>
    <cellStyle name="Normal 54 6 3 2 2 2" xfId="30370" xr:uid="{00000000-0005-0000-0000-0000498F0000}"/>
    <cellStyle name="Normal 54 6 3 2 3" xfId="40908" xr:uid="{00000000-0005-0000-0000-00004A8F0000}"/>
    <cellStyle name="Normal 54 6 3 3" xfId="39094" xr:uid="{00000000-0005-0000-0000-00004B8F0000}"/>
    <cellStyle name="Normal 54 6 3 3 2" xfId="40909" xr:uid="{00000000-0005-0000-0000-00004C8F0000}"/>
    <cellStyle name="Normal 54 6 3 4" xfId="40912" xr:uid="{00000000-0005-0000-0000-00004D8F0000}"/>
    <cellStyle name="Normal 54 6 4" xfId="35266" xr:uid="{00000000-0005-0000-0000-00004E8F0000}"/>
    <cellStyle name="Normal 54 6 4 2" xfId="23419" xr:uid="{00000000-0005-0000-0000-00004F8F0000}"/>
    <cellStyle name="Normal 54 6 4 2 2" xfId="22140" xr:uid="{00000000-0005-0000-0000-0000508F0000}"/>
    <cellStyle name="Normal 54 6 4 3" xfId="23422" xr:uid="{00000000-0005-0000-0000-0000518F0000}"/>
    <cellStyle name="Normal 54 6 5" xfId="19146" xr:uid="{00000000-0005-0000-0000-0000528F0000}"/>
    <cellStyle name="Normal 54 6 5 2" xfId="19158" xr:uid="{00000000-0005-0000-0000-0000538F0000}"/>
    <cellStyle name="Normal 54 6 5 2 2" xfId="40913" xr:uid="{00000000-0005-0000-0000-0000548F0000}"/>
    <cellStyle name="Normal 54 6 5 3" xfId="40767" xr:uid="{00000000-0005-0000-0000-0000558F0000}"/>
    <cellStyle name="Normal 54 6 6" xfId="17930" xr:uid="{00000000-0005-0000-0000-0000568F0000}"/>
    <cellStyle name="Normal 54 6 6 2" xfId="11951" xr:uid="{00000000-0005-0000-0000-0000578F0000}"/>
    <cellStyle name="Normal 54 6 7" xfId="38005" xr:uid="{00000000-0005-0000-0000-0000588F0000}"/>
    <cellStyle name="Normal 54 6 7 2" xfId="40914" xr:uid="{00000000-0005-0000-0000-0000598F0000}"/>
    <cellStyle name="Normal 54 6 8" xfId="39096" xr:uid="{00000000-0005-0000-0000-00005A8F0000}"/>
    <cellStyle name="Normal 54 6 9" xfId="40915" xr:uid="{00000000-0005-0000-0000-00005B8F0000}"/>
    <cellStyle name="Normal 54 7" xfId="39098" xr:uid="{00000000-0005-0000-0000-00005C8F0000}"/>
    <cellStyle name="Normal 54 7 2" xfId="39100" xr:uid="{00000000-0005-0000-0000-00005D8F0000}"/>
    <cellStyle name="Normal 54 7 2 2" xfId="39102" xr:uid="{00000000-0005-0000-0000-00005E8F0000}"/>
    <cellStyle name="Normal 54 7 2 2 2" xfId="39104" xr:uid="{00000000-0005-0000-0000-00005F8F0000}"/>
    <cellStyle name="Normal 54 7 2 2 2 2" xfId="31727" xr:uid="{00000000-0005-0000-0000-0000608F0000}"/>
    <cellStyle name="Normal 54 7 2 2 2 2 2" xfId="40916" xr:uid="{00000000-0005-0000-0000-0000618F0000}"/>
    <cellStyle name="Normal 54 7 2 2 2 3" xfId="40917" xr:uid="{00000000-0005-0000-0000-0000628F0000}"/>
    <cellStyle name="Normal 54 7 2 2 3" xfId="40918" xr:uid="{00000000-0005-0000-0000-0000638F0000}"/>
    <cellStyle name="Normal 54 7 2 2 3 2" xfId="40919" xr:uid="{00000000-0005-0000-0000-0000648F0000}"/>
    <cellStyle name="Normal 54 7 2 2 4" xfId="40920" xr:uid="{00000000-0005-0000-0000-0000658F0000}"/>
    <cellStyle name="Normal 54 7 2 3" xfId="39106" xr:uid="{00000000-0005-0000-0000-0000668F0000}"/>
    <cellStyle name="Normal 54 7 2 3 2" xfId="40921" xr:uid="{00000000-0005-0000-0000-0000678F0000}"/>
    <cellStyle name="Normal 54 7 2 3 2 2" xfId="40922" xr:uid="{00000000-0005-0000-0000-0000688F0000}"/>
    <cellStyle name="Normal 54 7 2 3 3" xfId="40923" xr:uid="{00000000-0005-0000-0000-0000698F0000}"/>
    <cellStyle name="Normal 54 7 2 4" xfId="40924" xr:uid="{00000000-0005-0000-0000-00006A8F0000}"/>
    <cellStyle name="Normal 54 7 2 4 2" xfId="40925" xr:uid="{00000000-0005-0000-0000-00006B8F0000}"/>
    <cellStyle name="Normal 54 7 2 4 2 2" xfId="40926" xr:uid="{00000000-0005-0000-0000-00006C8F0000}"/>
    <cellStyle name="Normal 54 7 2 4 3" xfId="40927" xr:uid="{00000000-0005-0000-0000-00006D8F0000}"/>
    <cellStyle name="Normal 54 7 2 5" xfId="40928" xr:uid="{00000000-0005-0000-0000-00006E8F0000}"/>
    <cellStyle name="Normal 54 7 2 5 2" xfId="15480" xr:uid="{00000000-0005-0000-0000-00006F8F0000}"/>
    <cellStyle name="Normal 54 7 2 6" xfId="40929" xr:uid="{00000000-0005-0000-0000-0000708F0000}"/>
    <cellStyle name="Normal 54 7 2 6 2" xfId="9433" xr:uid="{00000000-0005-0000-0000-0000718F0000}"/>
    <cellStyle name="Normal 54 7 2 7" xfId="40930" xr:uid="{00000000-0005-0000-0000-0000728F0000}"/>
    <cellStyle name="Normal 54 7 2 8" xfId="40931" xr:uid="{00000000-0005-0000-0000-0000738F0000}"/>
    <cellStyle name="Normal 54 7 3" xfId="35272" xr:uid="{00000000-0005-0000-0000-0000748F0000}"/>
    <cellStyle name="Normal 54 7 3 2" xfId="39108" xr:uid="{00000000-0005-0000-0000-0000758F0000}"/>
    <cellStyle name="Normal 54 7 3 2 2" xfId="40932" xr:uid="{00000000-0005-0000-0000-0000768F0000}"/>
    <cellStyle name="Normal 54 7 3 2 2 2" xfId="32155" xr:uid="{00000000-0005-0000-0000-0000778F0000}"/>
    <cellStyle name="Normal 54 7 3 2 3" xfId="29220" xr:uid="{00000000-0005-0000-0000-0000788F0000}"/>
    <cellStyle name="Normal 54 7 3 3" xfId="40933" xr:uid="{00000000-0005-0000-0000-0000798F0000}"/>
    <cellStyle name="Normal 54 7 3 3 2" xfId="40934" xr:uid="{00000000-0005-0000-0000-00007A8F0000}"/>
    <cellStyle name="Normal 54 7 3 4" xfId="40937" xr:uid="{00000000-0005-0000-0000-00007B8F0000}"/>
    <cellStyle name="Normal 54 7 4" xfId="5983" xr:uid="{00000000-0005-0000-0000-00007C8F0000}"/>
    <cellStyle name="Normal 54 7 4 2" xfId="23494" xr:uid="{00000000-0005-0000-0000-00007D8F0000}"/>
    <cellStyle name="Normal 54 7 4 2 2" xfId="40938" xr:uid="{00000000-0005-0000-0000-00007E8F0000}"/>
    <cellStyle name="Normal 54 7 4 3" xfId="40939" xr:uid="{00000000-0005-0000-0000-00007F8F0000}"/>
    <cellStyle name="Normal 54 7 5" xfId="40940" xr:uid="{00000000-0005-0000-0000-0000808F0000}"/>
    <cellStyle name="Normal 54 7 5 2" xfId="40941" xr:uid="{00000000-0005-0000-0000-0000818F0000}"/>
    <cellStyle name="Normal 54 7 5 2 2" xfId="40942" xr:uid="{00000000-0005-0000-0000-0000828F0000}"/>
    <cellStyle name="Normal 54 7 5 3" xfId="40798" xr:uid="{00000000-0005-0000-0000-0000838F0000}"/>
    <cellStyle name="Normal 54 7 6" xfId="17637" xr:uid="{00000000-0005-0000-0000-0000848F0000}"/>
    <cellStyle name="Normal 54 7 6 2" xfId="40943" xr:uid="{00000000-0005-0000-0000-0000858F0000}"/>
    <cellStyle name="Normal 54 7 7" xfId="27814" xr:uid="{00000000-0005-0000-0000-0000868F0000}"/>
    <cellStyle name="Normal 54 7 7 2" xfId="40944" xr:uid="{00000000-0005-0000-0000-0000878F0000}"/>
    <cellStyle name="Normal 54 7 8" xfId="40945" xr:uid="{00000000-0005-0000-0000-0000888F0000}"/>
    <cellStyle name="Normal 54 7 9" xfId="40946" xr:uid="{00000000-0005-0000-0000-0000898F0000}"/>
    <cellStyle name="Normal 54 8" xfId="39110" xr:uid="{00000000-0005-0000-0000-00008A8F0000}"/>
    <cellStyle name="Normal 54 8 2" xfId="39112" xr:uid="{00000000-0005-0000-0000-00008B8F0000}"/>
    <cellStyle name="Normal 54 8 2 2" xfId="39114" xr:uid="{00000000-0005-0000-0000-00008C8F0000}"/>
    <cellStyle name="Normal 54 8 2 2 2" xfId="40947" xr:uid="{00000000-0005-0000-0000-00008D8F0000}"/>
    <cellStyle name="Normal 54 8 2 2 2 2" xfId="14317" xr:uid="{00000000-0005-0000-0000-00008E8F0000}"/>
    <cellStyle name="Normal 54 8 2 2 3" xfId="40948" xr:uid="{00000000-0005-0000-0000-00008F8F0000}"/>
    <cellStyle name="Normal 54 8 2 3" xfId="40949" xr:uid="{00000000-0005-0000-0000-0000908F0000}"/>
    <cellStyle name="Normal 54 8 2 3 2" xfId="40950" xr:uid="{00000000-0005-0000-0000-0000918F0000}"/>
    <cellStyle name="Normal 54 8 2 4" xfId="40951" xr:uid="{00000000-0005-0000-0000-0000928F0000}"/>
    <cellStyle name="Normal 54 8 3" xfId="35278" xr:uid="{00000000-0005-0000-0000-0000938F0000}"/>
    <cellStyle name="Normal 54 8 3 2" xfId="40952" xr:uid="{00000000-0005-0000-0000-0000948F0000}"/>
    <cellStyle name="Normal 54 8 3 2 2" xfId="40953" xr:uid="{00000000-0005-0000-0000-0000958F0000}"/>
    <cellStyle name="Normal 54 8 3 3" xfId="40954" xr:uid="{00000000-0005-0000-0000-0000968F0000}"/>
    <cellStyle name="Normal 54 8 4" xfId="40955" xr:uid="{00000000-0005-0000-0000-0000978F0000}"/>
    <cellStyle name="Normal 54 8 4 2" xfId="23572" xr:uid="{00000000-0005-0000-0000-0000988F0000}"/>
    <cellStyle name="Normal 54 8 4 2 2" xfId="40956" xr:uid="{00000000-0005-0000-0000-0000998F0000}"/>
    <cellStyle name="Normal 54 8 4 3" xfId="40957" xr:uid="{00000000-0005-0000-0000-00009A8F0000}"/>
    <cellStyle name="Normal 54 8 5" xfId="40958" xr:uid="{00000000-0005-0000-0000-00009B8F0000}"/>
    <cellStyle name="Normal 54 8 5 2" xfId="40959" xr:uid="{00000000-0005-0000-0000-00009C8F0000}"/>
    <cellStyle name="Normal 54 8 6" xfId="40960" xr:uid="{00000000-0005-0000-0000-00009D8F0000}"/>
    <cellStyle name="Normal 54 8 6 2" xfId="40961" xr:uid="{00000000-0005-0000-0000-00009E8F0000}"/>
    <cellStyle name="Normal 54 8 7" xfId="40962" xr:uid="{00000000-0005-0000-0000-00009F8F0000}"/>
    <cellStyle name="Normal 54 8 8" xfId="40963" xr:uid="{00000000-0005-0000-0000-0000A08F0000}"/>
    <cellStyle name="Normal 54 9" xfId="28363" xr:uid="{00000000-0005-0000-0000-0000A18F0000}"/>
    <cellStyle name="Normal 54 9 2" xfId="39116" xr:uid="{00000000-0005-0000-0000-0000A28F0000}"/>
    <cellStyle name="Normal 54 9 2 2" xfId="3870" xr:uid="{00000000-0005-0000-0000-0000A38F0000}"/>
    <cellStyle name="Normal 54 9 2 2 2" xfId="40964" xr:uid="{00000000-0005-0000-0000-0000A48F0000}"/>
    <cellStyle name="Normal 54 9 2 3" xfId="40965" xr:uid="{00000000-0005-0000-0000-0000A58F0000}"/>
    <cellStyle name="Normal 54 9 3" xfId="23884" xr:uid="{00000000-0005-0000-0000-0000A68F0000}"/>
    <cellStyle name="Normal 54 9 3 2" xfId="40966" xr:uid="{00000000-0005-0000-0000-0000A78F0000}"/>
    <cellStyle name="Normal 54 9 4" xfId="5011" xr:uid="{00000000-0005-0000-0000-0000A88F0000}"/>
    <cellStyle name="Normal 55" xfId="7300" xr:uid="{00000000-0005-0000-0000-0000A98F0000}"/>
    <cellStyle name="Normal 55 10" xfId="11856" xr:uid="{00000000-0005-0000-0000-0000AA8F0000}"/>
    <cellStyle name="Normal 55 10 2" xfId="11859" xr:uid="{00000000-0005-0000-0000-0000AB8F0000}"/>
    <cellStyle name="Normal 55 10 2 2" xfId="40968" xr:uid="{00000000-0005-0000-0000-0000AC8F0000}"/>
    <cellStyle name="Normal 55 10 3" xfId="40970" xr:uid="{00000000-0005-0000-0000-0000AD8F0000}"/>
    <cellStyle name="Normal 55 11" xfId="11863" xr:uid="{00000000-0005-0000-0000-0000AE8F0000}"/>
    <cellStyle name="Normal 55 11 2" xfId="11866" xr:uid="{00000000-0005-0000-0000-0000AF8F0000}"/>
    <cellStyle name="Normal 55 11 2 2" xfId="40972" xr:uid="{00000000-0005-0000-0000-0000B08F0000}"/>
    <cellStyle name="Normal 55 11 3" xfId="40974" xr:uid="{00000000-0005-0000-0000-0000B18F0000}"/>
    <cellStyle name="Normal 55 12" xfId="40976" xr:uid="{00000000-0005-0000-0000-0000B28F0000}"/>
    <cellStyle name="Normal 55 12 2" xfId="40978" xr:uid="{00000000-0005-0000-0000-0000B38F0000}"/>
    <cellStyle name="Normal 55 13" xfId="40980" xr:uid="{00000000-0005-0000-0000-0000B48F0000}"/>
    <cellStyle name="Normal 55 13 2" xfId="38549" xr:uid="{00000000-0005-0000-0000-0000B58F0000}"/>
    <cellStyle name="Normal 55 14" xfId="40982" xr:uid="{00000000-0005-0000-0000-0000B68F0000}"/>
    <cellStyle name="Normal 55 14 2" xfId="38589" xr:uid="{00000000-0005-0000-0000-0000B78F0000}"/>
    <cellStyle name="Normal 55 15" xfId="40984" xr:uid="{00000000-0005-0000-0000-0000B88F0000}"/>
    <cellStyle name="Normal 55 16" xfId="40986" xr:uid="{00000000-0005-0000-0000-0000B98F0000}"/>
    <cellStyle name="Normal 55 2" xfId="7309" xr:uid="{00000000-0005-0000-0000-0000BA8F0000}"/>
    <cellStyle name="Normal 55 2 10" xfId="24939" xr:uid="{00000000-0005-0000-0000-0000BB8F0000}"/>
    <cellStyle name="Normal 55 2 10 2" xfId="12837" xr:uid="{00000000-0005-0000-0000-0000BC8F0000}"/>
    <cellStyle name="Normal 55 2 11" xfId="7758" xr:uid="{00000000-0005-0000-0000-0000BD8F0000}"/>
    <cellStyle name="Normal 55 2 11 2" xfId="2285" xr:uid="{00000000-0005-0000-0000-0000BE8F0000}"/>
    <cellStyle name="Normal 55 2 12" xfId="3143" xr:uid="{00000000-0005-0000-0000-0000BF8F0000}"/>
    <cellStyle name="Normal 55 2 12 2" xfId="1503" xr:uid="{00000000-0005-0000-0000-0000C08F0000}"/>
    <cellStyle name="Normal 55 2 13" xfId="40868" xr:uid="{00000000-0005-0000-0000-0000C18F0000}"/>
    <cellStyle name="Normal 55 2 14" xfId="40988" xr:uid="{00000000-0005-0000-0000-0000C28F0000}"/>
    <cellStyle name="Normal 55 2 2" xfId="40990" xr:uid="{00000000-0005-0000-0000-0000C38F0000}"/>
    <cellStyle name="Normal 55 2 2 10" xfId="364" xr:uid="{00000000-0005-0000-0000-0000C48F0000}"/>
    <cellStyle name="Normal 55 2 2 2" xfId="40992" xr:uid="{00000000-0005-0000-0000-0000C58F0000}"/>
    <cellStyle name="Normal 55 2 2 2 2" xfId="40994" xr:uid="{00000000-0005-0000-0000-0000C68F0000}"/>
    <cellStyle name="Normal 55 2 2 2 2 2" xfId="40996" xr:uid="{00000000-0005-0000-0000-0000C78F0000}"/>
    <cellStyle name="Normal 55 2 2 2 2 2 2" xfId="40998" xr:uid="{00000000-0005-0000-0000-0000C88F0000}"/>
    <cellStyle name="Normal 55 2 2 2 2 2 2 2" xfId="41001" xr:uid="{00000000-0005-0000-0000-0000C98F0000}"/>
    <cellStyle name="Normal 55 2 2 2 2 2 2 2 2" xfId="19434" xr:uid="{00000000-0005-0000-0000-0000CA8F0000}"/>
    <cellStyle name="Normal 55 2 2 2 2 2 2 3" xfId="41004" xr:uid="{00000000-0005-0000-0000-0000CB8F0000}"/>
    <cellStyle name="Normal 55 2 2 2 2 2 3" xfId="41006" xr:uid="{00000000-0005-0000-0000-0000CC8F0000}"/>
    <cellStyle name="Normal 55 2 2 2 2 2 3 2" xfId="41008" xr:uid="{00000000-0005-0000-0000-0000CD8F0000}"/>
    <cellStyle name="Normal 55 2 2 2 2 2 4" xfId="41010" xr:uid="{00000000-0005-0000-0000-0000CE8F0000}"/>
    <cellStyle name="Normal 55 2 2 2 2 3" xfId="39571" xr:uid="{00000000-0005-0000-0000-0000CF8F0000}"/>
    <cellStyle name="Normal 55 2 2 2 2 3 2" xfId="41012" xr:uid="{00000000-0005-0000-0000-0000D08F0000}"/>
    <cellStyle name="Normal 55 2 2 2 2 3 2 2" xfId="41014" xr:uid="{00000000-0005-0000-0000-0000D18F0000}"/>
    <cellStyle name="Normal 55 2 2 2 2 3 3" xfId="41016" xr:uid="{00000000-0005-0000-0000-0000D28F0000}"/>
    <cellStyle name="Normal 55 2 2 2 2 4" xfId="41018" xr:uid="{00000000-0005-0000-0000-0000D38F0000}"/>
    <cellStyle name="Normal 55 2 2 2 2 4 2" xfId="41020" xr:uid="{00000000-0005-0000-0000-0000D48F0000}"/>
    <cellStyle name="Normal 55 2 2 2 2 4 2 2" xfId="41022" xr:uid="{00000000-0005-0000-0000-0000D58F0000}"/>
    <cellStyle name="Normal 55 2 2 2 2 4 3" xfId="41024" xr:uid="{00000000-0005-0000-0000-0000D68F0000}"/>
    <cellStyle name="Normal 55 2 2 2 2 5" xfId="41026" xr:uid="{00000000-0005-0000-0000-0000D78F0000}"/>
    <cellStyle name="Normal 55 2 2 2 2 5 2" xfId="41028" xr:uid="{00000000-0005-0000-0000-0000D88F0000}"/>
    <cellStyle name="Normal 55 2 2 2 2 6" xfId="41030" xr:uid="{00000000-0005-0000-0000-0000D98F0000}"/>
    <cellStyle name="Normal 55 2 2 2 2 6 2" xfId="41032" xr:uid="{00000000-0005-0000-0000-0000DA8F0000}"/>
    <cellStyle name="Normal 55 2 2 2 2 7" xfId="41034" xr:uid="{00000000-0005-0000-0000-0000DB8F0000}"/>
    <cellStyle name="Normal 55 2 2 2 2 8" xfId="24792" xr:uid="{00000000-0005-0000-0000-0000DC8F0000}"/>
    <cellStyle name="Normal 55 2 2 2 3" xfId="41036" xr:uid="{00000000-0005-0000-0000-0000DD8F0000}"/>
    <cellStyle name="Normal 55 2 2 2 3 2" xfId="41038" xr:uid="{00000000-0005-0000-0000-0000DE8F0000}"/>
    <cellStyle name="Normal 55 2 2 2 3 2 2" xfId="24988" xr:uid="{00000000-0005-0000-0000-0000DF8F0000}"/>
    <cellStyle name="Normal 55 2 2 2 3 2 2 2" xfId="41040" xr:uid="{00000000-0005-0000-0000-0000E08F0000}"/>
    <cellStyle name="Normal 55 2 2 2 3 2 3" xfId="41042" xr:uid="{00000000-0005-0000-0000-0000E18F0000}"/>
    <cellStyle name="Normal 55 2 2 2 3 3" xfId="39575" xr:uid="{00000000-0005-0000-0000-0000E28F0000}"/>
    <cellStyle name="Normal 55 2 2 2 3 3 2" xfId="41044" xr:uid="{00000000-0005-0000-0000-0000E38F0000}"/>
    <cellStyle name="Normal 55 2 2 2 3 4" xfId="41046" xr:uid="{00000000-0005-0000-0000-0000E48F0000}"/>
    <cellStyle name="Normal 55 2 2 2 4" xfId="22993" xr:uid="{00000000-0005-0000-0000-0000E58F0000}"/>
    <cellStyle name="Normal 55 2 2 2 4 2" xfId="22996" xr:uid="{00000000-0005-0000-0000-0000E68F0000}"/>
    <cellStyle name="Normal 55 2 2 2 4 2 2" xfId="27659" xr:uid="{00000000-0005-0000-0000-0000E78F0000}"/>
    <cellStyle name="Normal 55 2 2 2 4 3" xfId="41048" xr:uid="{00000000-0005-0000-0000-0000E88F0000}"/>
    <cellStyle name="Normal 55 2 2 2 5" xfId="22999" xr:uid="{00000000-0005-0000-0000-0000E98F0000}"/>
    <cellStyle name="Normal 55 2 2 2 5 2" xfId="41050" xr:uid="{00000000-0005-0000-0000-0000EA8F0000}"/>
    <cellStyle name="Normal 55 2 2 2 5 2 2" xfId="41052" xr:uid="{00000000-0005-0000-0000-0000EB8F0000}"/>
    <cellStyle name="Normal 55 2 2 2 5 3" xfId="41054" xr:uid="{00000000-0005-0000-0000-0000EC8F0000}"/>
    <cellStyle name="Normal 55 2 2 2 6" xfId="41056" xr:uid="{00000000-0005-0000-0000-0000ED8F0000}"/>
    <cellStyle name="Normal 55 2 2 2 6 2" xfId="41058" xr:uid="{00000000-0005-0000-0000-0000EE8F0000}"/>
    <cellStyle name="Normal 55 2 2 2 7" xfId="41060" xr:uid="{00000000-0005-0000-0000-0000EF8F0000}"/>
    <cellStyle name="Normal 55 2 2 2 7 2" xfId="41062" xr:uid="{00000000-0005-0000-0000-0000F08F0000}"/>
    <cellStyle name="Normal 55 2 2 2 8" xfId="41066" xr:uid="{00000000-0005-0000-0000-0000F18F0000}"/>
    <cellStyle name="Normal 55 2 2 2 9" xfId="41070" xr:uid="{00000000-0005-0000-0000-0000F28F0000}"/>
    <cellStyle name="Normal 55 2 2 3" xfId="41072" xr:uid="{00000000-0005-0000-0000-0000F38F0000}"/>
    <cellStyle name="Normal 55 2 2 3 2" xfId="41074" xr:uid="{00000000-0005-0000-0000-0000F48F0000}"/>
    <cellStyle name="Normal 55 2 2 3 2 2" xfId="41076" xr:uid="{00000000-0005-0000-0000-0000F58F0000}"/>
    <cellStyle name="Normal 55 2 2 3 2 2 2" xfId="41078" xr:uid="{00000000-0005-0000-0000-0000F68F0000}"/>
    <cellStyle name="Normal 55 2 2 3 2 2 2 2" xfId="41080" xr:uid="{00000000-0005-0000-0000-0000F78F0000}"/>
    <cellStyle name="Normal 55 2 2 3 2 2 3" xfId="41082" xr:uid="{00000000-0005-0000-0000-0000F88F0000}"/>
    <cellStyle name="Normal 55 2 2 3 2 3" xfId="39615" xr:uid="{00000000-0005-0000-0000-0000F98F0000}"/>
    <cellStyle name="Normal 55 2 2 3 2 3 2" xfId="41084" xr:uid="{00000000-0005-0000-0000-0000FA8F0000}"/>
    <cellStyle name="Normal 55 2 2 3 2 4" xfId="41086" xr:uid="{00000000-0005-0000-0000-0000FB8F0000}"/>
    <cellStyle name="Normal 55 2 2 3 3" xfId="41088" xr:uid="{00000000-0005-0000-0000-0000FC8F0000}"/>
    <cellStyle name="Normal 55 2 2 3 3 2" xfId="41090" xr:uid="{00000000-0005-0000-0000-0000FD8F0000}"/>
    <cellStyle name="Normal 55 2 2 3 3 2 2" xfId="41092" xr:uid="{00000000-0005-0000-0000-0000FE8F0000}"/>
    <cellStyle name="Normal 55 2 2 3 3 3" xfId="39619" xr:uid="{00000000-0005-0000-0000-0000FF8F0000}"/>
    <cellStyle name="Normal 55 2 2 3 4" xfId="23002" xr:uid="{00000000-0005-0000-0000-000000900000}"/>
    <cellStyle name="Normal 55 2 2 3 4 2" xfId="41094" xr:uid="{00000000-0005-0000-0000-000001900000}"/>
    <cellStyle name="Normal 55 2 2 3 4 2 2" xfId="26545" xr:uid="{00000000-0005-0000-0000-000002900000}"/>
    <cellStyle name="Normal 55 2 2 3 4 3" xfId="41096" xr:uid="{00000000-0005-0000-0000-000003900000}"/>
    <cellStyle name="Normal 55 2 2 3 5" xfId="41098" xr:uid="{00000000-0005-0000-0000-000004900000}"/>
    <cellStyle name="Normal 55 2 2 3 5 2" xfId="41100" xr:uid="{00000000-0005-0000-0000-000005900000}"/>
    <cellStyle name="Normal 55 2 2 3 6" xfId="41102" xr:uid="{00000000-0005-0000-0000-000006900000}"/>
    <cellStyle name="Normal 55 2 2 3 6 2" xfId="41104" xr:uid="{00000000-0005-0000-0000-000007900000}"/>
    <cellStyle name="Normal 55 2 2 3 7" xfId="41106" xr:uid="{00000000-0005-0000-0000-000008900000}"/>
    <cellStyle name="Normal 55 2 2 3 8" xfId="41110" xr:uid="{00000000-0005-0000-0000-000009900000}"/>
    <cellStyle name="Normal 55 2 2 4" xfId="2321" xr:uid="{00000000-0005-0000-0000-00000A900000}"/>
    <cellStyle name="Normal 55 2 2 4 2" xfId="2353" xr:uid="{00000000-0005-0000-0000-00000B900000}"/>
    <cellStyle name="Normal 55 2 2 4 2 2" xfId="2371" xr:uid="{00000000-0005-0000-0000-00000C900000}"/>
    <cellStyle name="Normal 55 2 2 4 2 2 2" xfId="2389" xr:uid="{00000000-0005-0000-0000-00000D900000}"/>
    <cellStyle name="Normal 55 2 2 4 2 3" xfId="355" xr:uid="{00000000-0005-0000-0000-00000E900000}"/>
    <cellStyle name="Normal 55 2 2 4 3" xfId="2458" xr:uid="{00000000-0005-0000-0000-00000F900000}"/>
    <cellStyle name="Normal 55 2 2 4 3 2" xfId="2477" xr:uid="{00000000-0005-0000-0000-000010900000}"/>
    <cellStyle name="Normal 55 2 2 4 4" xfId="2510" xr:uid="{00000000-0005-0000-0000-000011900000}"/>
    <cellStyle name="Normal 55 2 2 5" xfId="2666" xr:uid="{00000000-0005-0000-0000-000012900000}"/>
    <cellStyle name="Normal 55 2 2 5 2" xfId="2702" xr:uid="{00000000-0005-0000-0000-000013900000}"/>
    <cellStyle name="Normal 55 2 2 5 2 2" xfId="2707" xr:uid="{00000000-0005-0000-0000-000014900000}"/>
    <cellStyle name="Normal 55 2 2 5 3" xfId="2738" xr:uid="{00000000-0005-0000-0000-000015900000}"/>
    <cellStyle name="Normal 55 2 2 6" xfId="2790" xr:uid="{00000000-0005-0000-0000-000016900000}"/>
    <cellStyle name="Normal 55 2 2 6 2" xfId="516" xr:uid="{00000000-0005-0000-0000-000017900000}"/>
    <cellStyle name="Normal 55 2 2 6 2 2" xfId="873" xr:uid="{00000000-0005-0000-0000-000018900000}"/>
    <cellStyle name="Normal 55 2 2 6 3" xfId="620" xr:uid="{00000000-0005-0000-0000-000019900000}"/>
    <cellStyle name="Normal 55 2 2 7" xfId="2818" xr:uid="{00000000-0005-0000-0000-00001A900000}"/>
    <cellStyle name="Normal 55 2 2 7 2" xfId="2827" xr:uid="{00000000-0005-0000-0000-00001B900000}"/>
    <cellStyle name="Normal 55 2 2 8" xfId="1311" xr:uid="{00000000-0005-0000-0000-00001C900000}"/>
    <cellStyle name="Normal 55 2 2 8 2" xfId="1339" xr:uid="{00000000-0005-0000-0000-00001D900000}"/>
    <cellStyle name="Normal 55 2 2 9" xfId="259" xr:uid="{00000000-0005-0000-0000-00001E900000}"/>
    <cellStyle name="Normal 55 2 3" xfId="41112" xr:uid="{00000000-0005-0000-0000-00001F900000}"/>
    <cellStyle name="Normal 55 2 3 2" xfId="41114" xr:uid="{00000000-0005-0000-0000-000020900000}"/>
    <cellStyle name="Normal 55 2 3 2 2" xfId="41116" xr:uid="{00000000-0005-0000-0000-000021900000}"/>
    <cellStyle name="Normal 55 2 3 2 2 2" xfId="41118" xr:uid="{00000000-0005-0000-0000-000022900000}"/>
    <cellStyle name="Normal 55 2 3 2 2 2 2" xfId="41120" xr:uid="{00000000-0005-0000-0000-000023900000}"/>
    <cellStyle name="Normal 55 2 3 2 2 2 2 2" xfId="28829" xr:uid="{00000000-0005-0000-0000-000024900000}"/>
    <cellStyle name="Normal 55 2 3 2 2 2 3" xfId="41122" xr:uid="{00000000-0005-0000-0000-000025900000}"/>
    <cellStyle name="Normal 55 2 3 2 2 3" xfId="39830" xr:uid="{00000000-0005-0000-0000-000026900000}"/>
    <cellStyle name="Normal 55 2 3 2 2 3 2" xfId="8330" xr:uid="{00000000-0005-0000-0000-000027900000}"/>
    <cellStyle name="Normal 55 2 3 2 2 4" xfId="41124" xr:uid="{00000000-0005-0000-0000-000028900000}"/>
    <cellStyle name="Normal 55 2 3 2 2 5" xfId="41126" xr:uid="{00000000-0005-0000-0000-000029900000}"/>
    <cellStyle name="Normal 55 2 3 2 3" xfId="41128" xr:uid="{00000000-0005-0000-0000-00002A900000}"/>
    <cellStyle name="Normal 55 2 3 2 3 2" xfId="41130" xr:uid="{00000000-0005-0000-0000-00002B900000}"/>
    <cellStyle name="Normal 55 2 3 2 3 2 2" xfId="41132" xr:uid="{00000000-0005-0000-0000-00002C900000}"/>
    <cellStyle name="Normal 55 2 3 2 3 3" xfId="39834" xr:uid="{00000000-0005-0000-0000-00002D900000}"/>
    <cellStyle name="Normal 55 2 3 2 4" xfId="23097" xr:uid="{00000000-0005-0000-0000-00002E900000}"/>
    <cellStyle name="Normal 55 2 3 2 4 2" xfId="23100" xr:uid="{00000000-0005-0000-0000-00002F900000}"/>
    <cellStyle name="Normal 55 2 3 2 4 2 2" xfId="28061" xr:uid="{00000000-0005-0000-0000-000030900000}"/>
    <cellStyle name="Normal 55 2 3 2 4 3" xfId="41134" xr:uid="{00000000-0005-0000-0000-000031900000}"/>
    <cellStyle name="Normal 55 2 3 2 5" xfId="23104" xr:uid="{00000000-0005-0000-0000-000032900000}"/>
    <cellStyle name="Normal 55 2 3 2 5 2" xfId="41136" xr:uid="{00000000-0005-0000-0000-000033900000}"/>
    <cellStyle name="Normal 55 2 3 2 6" xfId="41138" xr:uid="{00000000-0005-0000-0000-000034900000}"/>
    <cellStyle name="Normal 55 2 3 2 6 2" xfId="41140" xr:uid="{00000000-0005-0000-0000-000035900000}"/>
    <cellStyle name="Normal 55 2 3 2 7" xfId="41142" xr:uid="{00000000-0005-0000-0000-000036900000}"/>
    <cellStyle name="Normal 55 2 3 2 8" xfId="41146" xr:uid="{00000000-0005-0000-0000-000037900000}"/>
    <cellStyle name="Normal 55 2 3 3" xfId="41148" xr:uid="{00000000-0005-0000-0000-000038900000}"/>
    <cellStyle name="Normal 55 2 3 3 2" xfId="41150" xr:uid="{00000000-0005-0000-0000-000039900000}"/>
    <cellStyle name="Normal 55 2 3 3 2 2" xfId="41152" xr:uid="{00000000-0005-0000-0000-00003A900000}"/>
    <cellStyle name="Normal 55 2 3 3 2 2 2" xfId="41155" xr:uid="{00000000-0005-0000-0000-00003B900000}"/>
    <cellStyle name="Normal 55 2 3 3 2 3" xfId="9615" xr:uid="{00000000-0005-0000-0000-00003C900000}"/>
    <cellStyle name="Normal 55 2 3 3 3" xfId="41157" xr:uid="{00000000-0005-0000-0000-00003D900000}"/>
    <cellStyle name="Normal 55 2 3 3 3 2" xfId="41159" xr:uid="{00000000-0005-0000-0000-00003E900000}"/>
    <cellStyle name="Normal 55 2 3 3 4" xfId="11304" xr:uid="{00000000-0005-0000-0000-00003F900000}"/>
    <cellStyle name="Normal 55 2 3 3 5" xfId="41161" xr:uid="{00000000-0005-0000-0000-000040900000}"/>
    <cellStyle name="Normal 55 2 3 4" xfId="2911" xr:uid="{00000000-0005-0000-0000-000041900000}"/>
    <cellStyle name="Normal 55 2 3 4 2" xfId="2921" xr:uid="{00000000-0005-0000-0000-000042900000}"/>
    <cellStyle name="Normal 55 2 3 4 2 2" xfId="2927" xr:uid="{00000000-0005-0000-0000-000043900000}"/>
    <cellStyle name="Normal 55 2 3 4 3" xfId="2945" xr:uid="{00000000-0005-0000-0000-000044900000}"/>
    <cellStyle name="Normal 55 2 3 5" xfId="3027" xr:uid="{00000000-0005-0000-0000-000045900000}"/>
    <cellStyle name="Normal 55 2 3 5 2" xfId="3050" xr:uid="{00000000-0005-0000-0000-000046900000}"/>
    <cellStyle name="Normal 55 2 3 5 2 2" xfId="3069" xr:uid="{00000000-0005-0000-0000-000047900000}"/>
    <cellStyle name="Normal 55 2 3 5 3" xfId="1577" xr:uid="{00000000-0005-0000-0000-000048900000}"/>
    <cellStyle name="Normal 55 2 3 6" xfId="3121" xr:uid="{00000000-0005-0000-0000-000049900000}"/>
    <cellStyle name="Normal 55 2 3 6 2" xfId="3148" xr:uid="{00000000-0005-0000-0000-00004A900000}"/>
    <cellStyle name="Normal 55 2 3 7" xfId="3175" xr:uid="{00000000-0005-0000-0000-00004B900000}"/>
    <cellStyle name="Normal 55 2 3 7 2" xfId="3194" xr:uid="{00000000-0005-0000-0000-00004C900000}"/>
    <cellStyle name="Normal 55 2 3 8" xfId="1397" xr:uid="{00000000-0005-0000-0000-00004D900000}"/>
    <cellStyle name="Normal 55 2 3 9" xfId="1440" xr:uid="{00000000-0005-0000-0000-00004E900000}"/>
    <cellStyle name="Normal 55 2 4" xfId="19576" xr:uid="{00000000-0005-0000-0000-00004F900000}"/>
    <cellStyle name="Normal 55 2 4 2" xfId="41163" xr:uid="{00000000-0005-0000-0000-000050900000}"/>
    <cellStyle name="Normal 55 2 4 2 2" xfId="41165" xr:uid="{00000000-0005-0000-0000-000051900000}"/>
    <cellStyle name="Normal 55 2 4 2 2 2" xfId="41167" xr:uid="{00000000-0005-0000-0000-000052900000}"/>
    <cellStyle name="Normal 55 2 4 2 2 2 2" xfId="41169" xr:uid="{00000000-0005-0000-0000-000053900000}"/>
    <cellStyle name="Normal 55 2 4 2 2 2 2 2" xfId="41172" xr:uid="{00000000-0005-0000-0000-000054900000}"/>
    <cellStyle name="Normal 55 2 4 2 2 2 3" xfId="41174" xr:uid="{00000000-0005-0000-0000-000055900000}"/>
    <cellStyle name="Normal 55 2 4 2 2 3" xfId="41176" xr:uid="{00000000-0005-0000-0000-000056900000}"/>
    <cellStyle name="Normal 55 2 4 2 2 3 2" xfId="41178" xr:uid="{00000000-0005-0000-0000-000057900000}"/>
    <cellStyle name="Normal 55 2 4 2 2 4" xfId="41180" xr:uid="{00000000-0005-0000-0000-000058900000}"/>
    <cellStyle name="Normal 55 2 4 2 3" xfId="41182" xr:uid="{00000000-0005-0000-0000-000059900000}"/>
    <cellStyle name="Normal 55 2 4 2 3 2" xfId="41184" xr:uid="{00000000-0005-0000-0000-00005A900000}"/>
    <cellStyle name="Normal 55 2 4 2 3 2 2" xfId="41186" xr:uid="{00000000-0005-0000-0000-00005B900000}"/>
    <cellStyle name="Normal 55 2 4 2 3 3" xfId="41188" xr:uid="{00000000-0005-0000-0000-00005C900000}"/>
    <cellStyle name="Normal 55 2 4 2 4" xfId="23166" xr:uid="{00000000-0005-0000-0000-00005D900000}"/>
    <cellStyle name="Normal 55 2 4 2 4 2" xfId="15455" xr:uid="{00000000-0005-0000-0000-00005E900000}"/>
    <cellStyle name="Normal 55 2 4 2 4 2 2" xfId="15458" xr:uid="{00000000-0005-0000-0000-00005F900000}"/>
    <cellStyle name="Normal 55 2 4 2 4 3" xfId="41190" xr:uid="{00000000-0005-0000-0000-000060900000}"/>
    <cellStyle name="Normal 55 2 4 2 5" xfId="23169" xr:uid="{00000000-0005-0000-0000-000061900000}"/>
    <cellStyle name="Normal 55 2 4 2 5 2" xfId="41192" xr:uid="{00000000-0005-0000-0000-000062900000}"/>
    <cellStyle name="Normal 55 2 4 2 6" xfId="39632" xr:uid="{00000000-0005-0000-0000-000063900000}"/>
    <cellStyle name="Normal 55 2 4 2 6 2" xfId="41194" xr:uid="{00000000-0005-0000-0000-000064900000}"/>
    <cellStyle name="Normal 55 2 4 2 7" xfId="41196" xr:uid="{00000000-0005-0000-0000-000065900000}"/>
    <cellStyle name="Normal 55 2 4 2 8" xfId="41200" xr:uid="{00000000-0005-0000-0000-000066900000}"/>
    <cellStyle name="Normal 55 2 4 3" xfId="41202" xr:uid="{00000000-0005-0000-0000-000067900000}"/>
    <cellStyle name="Normal 55 2 4 3 2" xfId="2804" xr:uid="{00000000-0005-0000-0000-000068900000}"/>
    <cellStyle name="Normal 55 2 4 3 2 2" xfId="10409" xr:uid="{00000000-0005-0000-0000-000069900000}"/>
    <cellStyle name="Normal 55 2 4 3 2 2 2" xfId="41205" xr:uid="{00000000-0005-0000-0000-00006A900000}"/>
    <cellStyle name="Normal 55 2 4 3 2 3" xfId="41208" xr:uid="{00000000-0005-0000-0000-00006B900000}"/>
    <cellStyle name="Normal 55 2 4 3 3" xfId="10769" xr:uid="{00000000-0005-0000-0000-00006C900000}"/>
    <cellStyle name="Normal 55 2 4 3 3 2" xfId="41210" xr:uid="{00000000-0005-0000-0000-00006D900000}"/>
    <cellStyle name="Normal 55 2 4 3 4" xfId="10794" xr:uid="{00000000-0005-0000-0000-00006E900000}"/>
    <cellStyle name="Normal 55 2 4 4" xfId="3326" xr:uid="{00000000-0005-0000-0000-00006F900000}"/>
    <cellStyle name="Normal 55 2 4 4 2" xfId="3156" xr:uid="{00000000-0005-0000-0000-000070900000}"/>
    <cellStyle name="Normal 55 2 4 4 2 2" xfId="3179" xr:uid="{00000000-0005-0000-0000-000071900000}"/>
    <cellStyle name="Normal 55 2 4 4 3" xfId="1387" xr:uid="{00000000-0005-0000-0000-000072900000}"/>
    <cellStyle name="Normal 55 2 4 5" xfId="3350" xr:uid="{00000000-0005-0000-0000-000073900000}"/>
    <cellStyle name="Normal 55 2 4 5 2" xfId="3385" xr:uid="{00000000-0005-0000-0000-000074900000}"/>
    <cellStyle name="Normal 55 2 4 5 2 2" xfId="3403" xr:uid="{00000000-0005-0000-0000-000075900000}"/>
    <cellStyle name="Normal 55 2 4 5 3" xfId="31" xr:uid="{00000000-0005-0000-0000-000076900000}"/>
    <cellStyle name="Normal 55 2 4 6" xfId="3427" xr:uid="{00000000-0005-0000-0000-000077900000}"/>
    <cellStyle name="Normal 55 2 4 6 2" xfId="3433" xr:uid="{00000000-0005-0000-0000-000078900000}"/>
    <cellStyle name="Normal 55 2 4 7" xfId="3369" xr:uid="{00000000-0005-0000-0000-000079900000}"/>
    <cellStyle name="Normal 55 2 4 7 2" xfId="3394" xr:uid="{00000000-0005-0000-0000-00007A900000}"/>
    <cellStyle name="Normal 55 2 4 8" xfId="17" xr:uid="{00000000-0005-0000-0000-00007B900000}"/>
    <cellStyle name="Normal 55 2 4 9" xfId="3483" xr:uid="{00000000-0005-0000-0000-00007C900000}"/>
    <cellStyle name="Normal 55 2 5" xfId="41212" xr:uid="{00000000-0005-0000-0000-00007D900000}"/>
    <cellStyle name="Normal 55 2 5 2" xfId="41214" xr:uid="{00000000-0005-0000-0000-00007E900000}"/>
    <cellStyle name="Normal 55 2 5 2 2" xfId="1369" xr:uid="{00000000-0005-0000-0000-00007F900000}"/>
    <cellStyle name="Normal 55 2 5 2 2 2" xfId="1382" xr:uid="{00000000-0005-0000-0000-000080900000}"/>
    <cellStyle name="Normal 55 2 5 2 2 2 2" xfId="1410" xr:uid="{00000000-0005-0000-0000-000081900000}"/>
    <cellStyle name="Normal 55 2 5 2 2 2 2 2" xfId="10842" xr:uid="{00000000-0005-0000-0000-000082900000}"/>
    <cellStyle name="Normal 55 2 5 2 2 2 3" xfId="10858" xr:uid="{00000000-0005-0000-0000-000083900000}"/>
    <cellStyle name="Normal 55 2 5 2 2 3" xfId="1456" xr:uid="{00000000-0005-0000-0000-000084900000}"/>
    <cellStyle name="Normal 55 2 5 2 2 3 2" xfId="10873" xr:uid="{00000000-0005-0000-0000-000085900000}"/>
    <cellStyle name="Normal 55 2 5 2 2 4" xfId="10892" xr:uid="{00000000-0005-0000-0000-000086900000}"/>
    <cellStyle name="Normal 55 2 5 2 3" xfId="10917" xr:uid="{00000000-0005-0000-0000-000087900000}"/>
    <cellStyle name="Normal 55 2 5 2 3 2" xfId="28" xr:uid="{00000000-0005-0000-0000-000088900000}"/>
    <cellStyle name="Normal 55 2 5 2 3 2 2" xfId="10921" xr:uid="{00000000-0005-0000-0000-000089900000}"/>
    <cellStyle name="Normal 55 2 5 2 3 3" xfId="10932" xr:uid="{00000000-0005-0000-0000-00008A900000}"/>
    <cellStyle name="Normal 55 2 5 2 4" xfId="10944" xr:uid="{00000000-0005-0000-0000-00008B900000}"/>
    <cellStyle name="Normal 55 2 5 2 4 2" xfId="1476" xr:uid="{00000000-0005-0000-0000-00008C900000}"/>
    <cellStyle name="Normal 55 2 5 2 4 2 2" xfId="7935" xr:uid="{00000000-0005-0000-0000-00008D900000}"/>
    <cellStyle name="Normal 55 2 5 2 4 3" xfId="7947" xr:uid="{00000000-0005-0000-0000-00008E900000}"/>
    <cellStyle name="Normal 55 2 5 2 5" xfId="10949" xr:uid="{00000000-0005-0000-0000-00008F900000}"/>
    <cellStyle name="Normal 55 2 5 2 5 2" xfId="7996" xr:uid="{00000000-0005-0000-0000-000090900000}"/>
    <cellStyle name="Normal 55 2 5 2 6" xfId="10959" xr:uid="{00000000-0005-0000-0000-000091900000}"/>
    <cellStyle name="Normal 55 2 5 2 6 2" xfId="10962" xr:uid="{00000000-0005-0000-0000-000092900000}"/>
    <cellStyle name="Normal 55 2 5 2 7" xfId="10970" xr:uid="{00000000-0005-0000-0000-000093900000}"/>
    <cellStyle name="Normal 55 2 5 2 8" xfId="4020" xr:uid="{00000000-0005-0000-0000-000094900000}"/>
    <cellStyle name="Normal 55 2 5 3" xfId="4767" xr:uid="{00000000-0005-0000-0000-000095900000}"/>
    <cellStyle name="Normal 55 2 5 3 2" xfId="11006" xr:uid="{00000000-0005-0000-0000-000096900000}"/>
    <cellStyle name="Normal 55 2 5 3 2 2" xfId="1706" xr:uid="{00000000-0005-0000-0000-000097900000}"/>
    <cellStyle name="Normal 55 2 5 3 2 2 2" xfId="10259" xr:uid="{00000000-0005-0000-0000-000098900000}"/>
    <cellStyle name="Normal 55 2 5 3 2 3" xfId="11023" xr:uid="{00000000-0005-0000-0000-000099900000}"/>
    <cellStyle name="Normal 55 2 5 3 3" xfId="10978" xr:uid="{00000000-0005-0000-0000-00009A900000}"/>
    <cellStyle name="Normal 55 2 5 3 3 2" xfId="10214" xr:uid="{00000000-0005-0000-0000-00009B900000}"/>
    <cellStyle name="Normal 55 2 5 3 4" xfId="10983" xr:uid="{00000000-0005-0000-0000-00009C900000}"/>
    <cellStyle name="Normal 55 2 5 4" xfId="3507" xr:uid="{00000000-0005-0000-0000-00009D900000}"/>
    <cellStyle name="Normal 55 2 5 4 2" xfId="3520" xr:uid="{00000000-0005-0000-0000-00009E900000}"/>
    <cellStyle name="Normal 55 2 5 4 2 2" xfId="819" xr:uid="{00000000-0005-0000-0000-00009F900000}"/>
    <cellStyle name="Normal 55 2 5 4 3" xfId="1710" xr:uid="{00000000-0005-0000-0000-0000A0900000}"/>
    <cellStyle name="Normal 55 2 5 5" xfId="3533" xr:uid="{00000000-0005-0000-0000-0000A1900000}"/>
    <cellStyle name="Normal 55 2 5 5 2" xfId="3538" xr:uid="{00000000-0005-0000-0000-0000A2900000}"/>
    <cellStyle name="Normal 55 2 5 5 2 2" xfId="10198" xr:uid="{00000000-0005-0000-0000-0000A3900000}"/>
    <cellStyle name="Normal 55 2 5 5 3" xfId="10210" xr:uid="{00000000-0005-0000-0000-0000A4900000}"/>
    <cellStyle name="Normal 55 2 5 6" xfId="3551" xr:uid="{00000000-0005-0000-0000-0000A5900000}"/>
    <cellStyle name="Normal 55 2 5 6 2" xfId="8072" xr:uid="{00000000-0005-0000-0000-0000A6900000}"/>
    <cellStyle name="Normal 55 2 5 7" xfId="41216" xr:uid="{00000000-0005-0000-0000-0000A7900000}"/>
    <cellStyle name="Normal 55 2 5 7 2" xfId="3447" xr:uid="{00000000-0005-0000-0000-0000A8900000}"/>
    <cellStyle name="Normal 55 2 5 8" xfId="28341" xr:uid="{00000000-0005-0000-0000-0000A9900000}"/>
    <cellStyle name="Normal 55 2 5 9" xfId="41218" xr:uid="{00000000-0005-0000-0000-0000AA900000}"/>
    <cellStyle name="Normal 55 2 6" xfId="41220" xr:uid="{00000000-0005-0000-0000-0000AB900000}"/>
    <cellStyle name="Normal 55 2 6 2" xfId="41222" xr:uid="{00000000-0005-0000-0000-0000AC900000}"/>
    <cellStyle name="Normal 55 2 6 2 2" xfId="11124" xr:uid="{00000000-0005-0000-0000-0000AD900000}"/>
    <cellStyle name="Normal 55 2 6 2 2 2" xfId="11128" xr:uid="{00000000-0005-0000-0000-0000AE900000}"/>
    <cellStyle name="Normal 55 2 6 2 2 2 2" xfId="41224" xr:uid="{00000000-0005-0000-0000-0000AF900000}"/>
    <cellStyle name="Normal 55 2 6 2 2 3" xfId="41228" xr:uid="{00000000-0005-0000-0000-0000B0900000}"/>
    <cellStyle name="Normal 55 2 6 2 3" xfId="11133" xr:uid="{00000000-0005-0000-0000-0000B1900000}"/>
    <cellStyle name="Normal 55 2 6 2 3 2" xfId="11136" xr:uid="{00000000-0005-0000-0000-0000B2900000}"/>
    <cellStyle name="Normal 55 2 6 2 4" xfId="11141" xr:uid="{00000000-0005-0000-0000-0000B3900000}"/>
    <cellStyle name="Normal 55 2 6 3" xfId="11631" xr:uid="{00000000-0005-0000-0000-0000B4900000}"/>
    <cellStyle name="Normal 55 2 6 3 2" xfId="11152" xr:uid="{00000000-0005-0000-0000-0000B5900000}"/>
    <cellStyle name="Normal 55 2 6 3 2 2" xfId="41230" xr:uid="{00000000-0005-0000-0000-0000B6900000}"/>
    <cellStyle name="Normal 55 2 6 3 3" xfId="11031" xr:uid="{00000000-0005-0000-0000-0000B7900000}"/>
    <cellStyle name="Normal 55 2 6 4" xfId="3575" xr:uid="{00000000-0005-0000-0000-0000B8900000}"/>
    <cellStyle name="Normal 55 2 6 4 2" xfId="789" xr:uid="{00000000-0005-0000-0000-0000B9900000}"/>
    <cellStyle name="Normal 55 2 6 4 2 2" xfId="41232" xr:uid="{00000000-0005-0000-0000-0000BA900000}"/>
    <cellStyle name="Normal 55 2 6 4 3" xfId="41234" xr:uid="{00000000-0005-0000-0000-0000BB900000}"/>
    <cellStyle name="Normal 55 2 6 5" xfId="3586" xr:uid="{00000000-0005-0000-0000-0000BC900000}"/>
    <cellStyle name="Normal 55 2 6 5 2" xfId="41236" xr:uid="{00000000-0005-0000-0000-0000BD900000}"/>
    <cellStyle name="Normal 55 2 6 6" xfId="41238" xr:uid="{00000000-0005-0000-0000-0000BE900000}"/>
    <cellStyle name="Normal 55 2 6 6 2" xfId="41240" xr:uid="{00000000-0005-0000-0000-0000BF900000}"/>
    <cellStyle name="Normal 55 2 6 7" xfId="41242" xr:uid="{00000000-0005-0000-0000-0000C0900000}"/>
    <cellStyle name="Normal 55 2 6 8" xfId="41244" xr:uid="{00000000-0005-0000-0000-0000C1900000}"/>
    <cellStyle name="Normal 55 2 7" xfId="41246" xr:uid="{00000000-0005-0000-0000-0000C2900000}"/>
    <cellStyle name="Normal 55 2 7 2" xfId="41248" xr:uid="{00000000-0005-0000-0000-0000C3900000}"/>
    <cellStyle name="Normal 55 2 7 2 2" xfId="11171" xr:uid="{00000000-0005-0000-0000-0000C4900000}"/>
    <cellStyle name="Normal 55 2 7 2 2 2" xfId="41250" xr:uid="{00000000-0005-0000-0000-0000C5900000}"/>
    <cellStyle name="Normal 55 2 7 2 3" xfId="11176" xr:uid="{00000000-0005-0000-0000-0000C6900000}"/>
    <cellStyle name="Normal 55 2 7 3" xfId="11643" xr:uid="{00000000-0005-0000-0000-0000C7900000}"/>
    <cellStyle name="Normal 55 2 7 3 2" xfId="10148" xr:uid="{00000000-0005-0000-0000-0000C8900000}"/>
    <cellStyle name="Normal 55 2 7 4" xfId="3605" xr:uid="{00000000-0005-0000-0000-0000C9900000}"/>
    <cellStyle name="Normal 55 2 8" xfId="41252" xr:uid="{00000000-0005-0000-0000-0000CA900000}"/>
    <cellStyle name="Normal 55 2 8 2" xfId="20616" xr:uid="{00000000-0005-0000-0000-0000CB900000}"/>
    <cellStyle name="Normal 55 2 8 2 2" xfId="11205" xr:uid="{00000000-0005-0000-0000-0000CC900000}"/>
    <cellStyle name="Normal 55 2 8 3" xfId="11656" xr:uid="{00000000-0005-0000-0000-0000CD900000}"/>
    <cellStyle name="Normal 55 2 9" xfId="41254" xr:uid="{00000000-0005-0000-0000-0000CE900000}"/>
    <cellStyle name="Normal 55 2 9 2" xfId="635" xr:uid="{00000000-0005-0000-0000-0000CF900000}"/>
    <cellStyle name="Normal 55 2 9 2 2" xfId="24083" xr:uid="{00000000-0005-0000-0000-0000D0900000}"/>
    <cellStyle name="Normal 55 2 9 3" xfId="11670" xr:uid="{00000000-0005-0000-0000-0000D1900000}"/>
    <cellStyle name="Normal 55 3" xfId="41256" xr:uid="{00000000-0005-0000-0000-0000D2900000}"/>
    <cellStyle name="Normal 55 3 10" xfId="18008" xr:uid="{00000000-0005-0000-0000-0000D3900000}"/>
    <cellStyle name="Normal 55 3 10 2" xfId="18015" xr:uid="{00000000-0005-0000-0000-0000D4900000}"/>
    <cellStyle name="Normal 55 3 11" xfId="1152" xr:uid="{00000000-0005-0000-0000-0000D5900000}"/>
    <cellStyle name="Normal 55 3 11 2" xfId="41258" xr:uid="{00000000-0005-0000-0000-0000D6900000}"/>
    <cellStyle name="Normal 55 3 12" xfId="41260" xr:uid="{00000000-0005-0000-0000-0000D7900000}"/>
    <cellStyle name="Normal 55 3 12 2" xfId="13748" xr:uid="{00000000-0005-0000-0000-0000D8900000}"/>
    <cellStyle name="Normal 55 3 13" xfId="41262" xr:uid="{00000000-0005-0000-0000-0000D9900000}"/>
    <cellStyle name="Normal 55 3 14" xfId="41264" xr:uid="{00000000-0005-0000-0000-0000DA900000}"/>
    <cellStyle name="Normal 55 3 2" xfId="41266" xr:uid="{00000000-0005-0000-0000-0000DB900000}"/>
    <cellStyle name="Normal 55 3 2 10" xfId="39593" xr:uid="{00000000-0005-0000-0000-0000DC900000}"/>
    <cellStyle name="Normal 55 3 2 2" xfId="41268" xr:uid="{00000000-0005-0000-0000-0000DD900000}"/>
    <cellStyle name="Normal 55 3 2 2 2" xfId="41270" xr:uid="{00000000-0005-0000-0000-0000DE900000}"/>
    <cellStyle name="Normal 55 3 2 2 2 2" xfId="41272" xr:uid="{00000000-0005-0000-0000-0000DF900000}"/>
    <cellStyle name="Normal 55 3 2 2 2 2 2" xfId="41274" xr:uid="{00000000-0005-0000-0000-0000E0900000}"/>
    <cellStyle name="Normal 55 3 2 2 2 2 2 2" xfId="30997" xr:uid="{00000000-0005-0000-0000-0000E1900000}"/>
    <cellStyle name="Normal 55 3 2 2 2 2 2 2 2" xfId="5920" xr:uid="{00000000-0005-0000-0000-0000E2900000}"/>
    <cellStyle name="Normal 55 3 2 2 2 2 2 3" xfId="41276" xr:uid="{00000000-0005-0000-0000-0000E3900000}"/>
    <cellStyle name="Normal 55 3 2 2 2 2 3" xfId="41278" xr:uid="{00000000-0005-0000-0000-0000E4900000}"/>
    <cellStyle name="Normal 55 3 2 2 2 2 3 2" xfId="41280" xr:uid="{00000000-0005-0000-0000-0000E5900000}"/>
    <cellStyle name="Normal 55 3 2 2 2 2 4" xfId="41282" xr:uid="{00000000-0005-0000-0000-0000E6900000}"/>
    <cellStyle name="Normal 55 3 2 2 2 3" xfId="41284" xr:uid="{00000000-0005-0000-0000-0000E7900000}"/>
    <cellStyle name="Normal 55 3 2 2 2 3 2" xfId="41286" xr:uid="{00000000-0005-0000-0000-0000E8900000}"/>
    <cellStyle name="Normal 55 3 2 2 2 3 2 2" xfId="41288" xr:uid="{00000000-0005-0000-0000-0000E9900000}"/>
    <cellStyle name="Normal 55 3 2 2 2 3 3" xfId="41290" xr:uid="{00000000-0005-0000-0000-0000EA900000}"/>
    <cellStyle name="Normal 55 3 2 2 2 4" xfId="41292" xr:uid="{00000000-0005-0000-0000-0000EB900000}"/>
    <cellStyle name="Normal 55 3 2 2 2 4 2" xfId="41294" xr:uid="{00000000-0005-0000-0000-0000EC900000}"/>
    <cellStyle name="Normal 55 3 2 2 2 4 2 2" xfId="41296" xr:uid="{00000000-0005-0000-0000-0000ED900000}"/>
    <cellStyle name="Normal 55 3 2 2 2 4 3" xfId="24512" xr:uid="{00000000-0005-0000-0000-0000EE900000}"/>
    <cellStyle name="Normal 55 3 2 2 2 5" xfId="41298" xr:uid="{00000000-0005-0000-0000-0000EF900000}"/>
    <cellStyle name="Normal 55 3 2 2 2 5 2" xfId="41300" xr:uid="{00000000-0005-0000-0000-0000F0900000}"/>
    <cellStyle name="Normal 55 3 2 2 2 6" xfId="41302" xr:uid="{00000000-0005-0000-0000-0000F1900000}"/>
    <cellStyle name="Normal 55 3 2 2 2 6 2" xfId="41304" xr:uid="{00000000-0005-0000-0000-0000F2900000}"/>
    <cellStyle name="Normal 55 3 2 2 2 7" xfId="41306" xr:uid="{00000000-0005-0000-0000-0000F3900000}"/>
    <cellStyle name="Normal 55 3 2 2 2 8" xfId="15056" xr:uid="{00000000-0005-0000-0000-0000F4900000}"/>
    <cellStyle name="Normal 55 3 2 2 3" xfId="41308" xr:uid="{00000000-0005-0000-0000-0000F5900000}"/>
    <cellStyle name="Normal 55 3 2 2 3 2" xfId="41312" xr:uid="{00000000-0005-0000-0000-0000F6900000}"/>
    <cellStyle name="Normal 55 3 2 2 3 2 2" xfId="41316" xr:uid="{00000000-0005-0000-0000-0000F7900000}"/>
    <cellStyle name="Normal 55 3 2 2 3 2 2 2" xfId="41318" xr:uid="{00000000-0005-0000-0000-0000F8900000}"/>
    <cellStyle name="Normal 55 3 2 2 3 2 3" xfId="41320" xr:uid="{00000000-0005-0000-0000-0000F9900000}"/>
    <cellStyle name="Normal 55 3 2 2 3 3" xfId="41324" xr:uid="{00000000-0005-0000-0000-0000FA900000}"/>
    <cellStyle name="Normal 55 3 2 2 3 3 2" xfId="13981" xr:uid="{00000000-0005-0000-0000-0000FB900000}"/>
    <cellStyle name="Normal 55 3 2 2 3 4" xfId="41328" xr:uid="{00000000-0005-0000-0000-0000FC900000}"/>
    <cellStyle name="Normal 55 3 2 2 4" xfId="23588" xr:uid="{00000000-0005-0000-0000-0000FD900000}"/>
    <cellStyle name="Normal 55 3 2 2 4 2" xfId="23591" xr:uid="{00000000-0005-0000-0000-0000FE900000}"/>
    <cellStyle name="Normal 55 3 2 2 4 2 2" xfId="29550" xr:uid="{00000000-0005-0000-0000-0000FF900000}"/>
    <cellStyle name="Normal 55 3 2 2 4 3" xfId="41330" xr:uid="{00000000-0005-0000-0000-000000910000}"/>
    <cellStyle name="Normal 55 3 2 2 5" xfId="5853" xr:uid="{00000000-0005-0000-0000-000001910000}"/>
    <cellStyle name="Normal 55 3 2 2 5 2" xfId="41332" xr:uid="{00000000-0005-0000-0000-000002910000}"/>
    <cellStyle name="Normal 55 3 2 2 5 2 2" xfId="41334" xr:uid="{00000000-0005-0000-0000-000003910000}"/>
    <cellStyle name="Normal 55 3 2 2 5 3" xfId="41336" xr:uid="{00000000-0005-0000-0000-000004910000}"/>
    <cellStyle name="Normal 55 3 2 2 6" xfId="41338" xr:uid="{00000000-0005-0000-0000-000005910000}"/>
    <cellStyle name="Normal 55 3 2 2 6 2" xfId="41340" xr:uid="{00000000-0005-0000-0000-000006910000}"/>
    <cellStyle name="Normal 55 3 2 2 7" xfId="41342" xr:uid="{00000000-0005-0000-0000-000007910000}"/>
    <cellStyle name="Normal 55 3 2 2 7 2" xfId="41344" xr:uid="{00000000-0005-0000-0000-000008910000}"/>
    <cellStyle name="Normal 55 3 2 2 8" xfId="41348" xr:uid="{00000000-0005-0000-0000-000009910000}"/>
    <cellStyle name="Normal 55 3 2 2 9" xfId="41352" xr:uid="{00000000-0005-0000-0000-00000A910000}"/>
    <cellStyle name="Normal 55 3 2 3" xfId="14375" xr:uid="{00000000-0005-0000-0000-00000B910000}"/>
    <cellStyle name="Normal 55 3 2 3 2" xfId="41354" xr:uid="{00000000-0005-0000-0000-00000C910000}"/>
    <cellStyle name="Normal 55 3 2 3 2 2" xfId="41356" xr:uid="{00000000-0005-0000-0000-00000D910000}"/>
    <cellStyle name="Normal 55 3 2 3 2 2 2" xfId="41358" xr:uid="{00000000-0005-0000-0000-00000E910000}"/>
    <cellStyle name="Normal 55 3 2 3 2 2 2 2" xfId="30924" xr:uid="{00000000-0005-0000-0000-00000F910000}"/>
    <cellStyle name="Normal 55 3 2 3 2 2 3" xfId="41360" xr:uid="{00000000-0005-0000-0000-000010910000}"/>
    <cellStyle name="Normal 55 3 2 3 2 3" xfId="41362" xr:uid="{00000000-0005-0000-0000-000011910000}"/>
    <cellStyle name="Normal 55 3 2 3 2 3 2" xfId="41364" xr:uid="{00000000-0005-0000-0000-000012910000}"/>
    <cellStyle name="Normal 55 3 2 3 2 4" xfId="41366" xr:uid="{00000000-0005-0000-0000-000013910000}"/>
    <cellStyle name="Normal 55 3 2 3 3" xfId="41368" xr:uid="{00000000-0005-0000-0000-000014910000}"/>
    <cellStyle name="Normal 55 3 2 3 3 2" xfId="41370" xr:uid="{00000000-0005-0000-0000-000015910000}"/>
    <cellStyle name="Normal 55 3 2 3 3 2 2" xfId="41372" xr:uid="{00000000-0005-0000-0000-000016910000}"/>
    <cellStyle name="Normal 55 3 2 3 3 3" xfId="41374" xr:uid="{00000000-0005-0000-0000-000017910000}"/>
    <cellStyle name="Normal 55 3 2 3 4" xfId="23595" xr:uid="{00000000-0005-0000-0000-000018910000}"/>
    <cellStyle name="Normal 55 3 2 3 4 2" xfId="41376" xr:uid="{00000000-0005-0000-0000-000019910000}"/>
    <cellStyle name="Normal 55 3 2 3 4 2 2" xfId="41378" xr:uid="{00000000-0005-0000-0000-00001A910000}"/>
    <cellStyle name="Normal 55 3 2 3 4 3" xfId="41380" xr:uid="{00000000-0005-0000-0000-00001B910000}"/>
    <cellStyle name="Normal 55 3 2 3 5" xfId="41382" xr:uid="{00000000-0005-0000-0000-00001C910000}"/>
    <cellStyle name="Normal 55 3 2 3 5 2" xfId="41384" xr:uid="{00000000-0005-0000-0000-00001D910000}"/>
    <cellStyle name="Normal 55 3 2 3 6" xfId="41386" xr:uid="{00000000-0005-0000-0000-00001E910000}"/>
    <cellStyle name="Normal 55 3 2 3 6 2" xfId="41388" xr:uid="{00000000-0005-0000-0000-00001F910000}"/>
    <cellStyle name="Normal 55 3 2 3 7" xfId="41390" xr:uid="{00000000-0005-0000-0000-000020910000}"/>
    <cellStyle name="Normal 55 3 2 3 8" xfId="41394" xr:uid="{00000000-0005-0000-0000-000021910000}"/>
    <cellStyle name="Normal 55 3 2 4" xfId="1524" xr:uid="{00000000-0005-0000-0000-000022910000}"/>
    <cellStyle name="Normal 55 3 2 4 2" xfId="1552" xr:uid="{00000000-0005-0000-0000-000023910000}"/>
    <cellStyle name="Normal 55 3 2 4 2 2" xfId="41396" xr:uid="{00000000-0005-0000-0000-000024910000}"/>
    <cellStyle name="Normal 55 3 2 4 2 2 2" xfId="41398" xr:uid="{00000000-0005-0000-0000-000025910000}"/>
    <cellStyle name="Normal 55 3 2 4 2 3" xfId="41400" xr:uid="{00000000-0005-0000-0000-000026910000}"/>
    <cellStyle name="Normal 55 3 2 4 3" xfId="41402" xr:uid="{00000000-0005-0000-0000-000027910000}"/>
    <cellStyle name="Normal 55 3 2 4 3 2" xfId="41404" xr:uid="{00000000-0005-0000-0000-000028910000}"/>
    <cellStyle name="Normal 55 3 2 4 4" xfId="23599" xr:uid="{00000000-0005-0000-0000-000029910000}"/>
    <cellStyle name="Normal 55 3 2 5" xfId="1660" xr:uid="{00000000-0005-0000-0000-00002A910000}"/>
    <cellStyle name="Normal 55 3 2 5 2" xfId="41406" xr:uid="{00000000-0005-0000-0000-00002B910000}"/>
    <cellStyle name="Normal 55 3 2 5 2 2" xfId="41408" xr:uid="{00000000-0005-0000-0000-00002C910000}"/>
    <cellStyle name="Normal 55 3 2 5 3" xfId="41410" xr:uid="{00000000-0005-0000-0000-00002D910000}"/>
    <cellStyle name="Normal 55 3 2 6" xfId="25094" xr:uid="{00000000-0005-0000-0000-00002E910000}"/>
    <cellStyle name="Normal 55 3 2 6 2" xfId="25097" xr:uid="{00000000-0005-0000-0000-00002F910000}"/>
    <cellStyle name="Normal 55 3 2 6 2 2" xfId="41412" xr:uid="{00000000-0005-0000-0000-000030910000}"/>
    <cellStyle name="Normal 55 3 2 6 3" xfId="34540" xr:uid="{00000000-0005-0000-0000-000031910000}"/>
    <cellStyle name="Normal 55 3 2 7" xfId="25100" xr:uid="{00000000-0005-0000-0000-000032910000}"/>
    <cellStyle name="Normal 55 3 2 7 2" xfId="41414" xr:uid="{00000000-0005-0000-0000-000033910000}"/>
    <cellStyle name="Normal 55 3 2 8" xfId="41416" xr:uid="{00000000-0005-0000-0000-000034910000}"/>
    <cellStyle name="Normal 55 3 2 8 2" xfId="41418" xr:uid="{00000000-0005-0000-0000-000035910000}"/>
    <cellStyle name="Normal 55 3 2 9" xfId="41420" xr:uid="{00000000-0005-0000-0000-000036910000}"/>
    <cellStyle name="Normal 55 3 3" xfId="41422" xr:uid="{00000000-0005-0000-0000-000037910000}"/>
    <cellStyle name="Normal 55 3 3 2" xfId="41424" xr:uid="{00000000-0005-0000-0000-000038910000}"/>
    <cellStyle name="Normal 55 3 3 2 2" xfId="41426" xr:uid="{00000000-0005-0000-0000-000039910000}"/>
    <cellStyle name="Normal 55 3 3 2 2 2" xfId="41428" xr:uid="{00000000-0005-0000-0000-00003A910000}"/>
    <cellStyle name="Normal 55 3 3 2 2 2 2" xfId="41430" xr:uid="{00000000-0005-0000-0000-00003B910000}"/>
    <cellStyle name="Normal 55 3 3 2 2 2 2 2" xfId="32690" xr:uid="{00000000-0005-0000-0000-00003C910000}"/>
    <cellStyle name="Normal 55 3 3 2 2 2 3" xfId="41432" xr:uid="{00000000-0005-0000-0000-00003D910000}"/>
    <cellStyle name="Normal 55 3 3 2 2 3" xfId="41434" xr:uid="{00000000-0005-0000-0000-00003E910000}"/>
    <cellStyle name="Normal 55 3 3 2 2 3 2" xfId="41436" xr:uid="{00000000-0005-0000-0000-00003F910000}"/>
    <cellStyle name="Normal 55 3 3 2 2 4" xfId="41438" xr:uid="{00000000-0005-0000-0000-000040910000}"/>
    <cellStyle name="Normal 55 3 3 2 2 5" xfId="41440" xr:uid="{00000000-0005-0000-0000-000041910000}"/>
    <cellStyle name="Normal 55 3 3 2 3" xfId="41442" xr:uid="{00000000-0005-0000-0000-000042910000}"/>
    <cellStyle name="Normal 55 3 3 2 3 2" xfId="41444" xr:uid="{00000000-0005-0000-0000-000043910000}"/>
    <cellStyle name="Normal 55 3 3 2 3 2 2" xfId="41446" xr:uid="{00000000-0005-0000-0000-000044910000}"/>
    <cellStyle name="Normal 55 3 3 2 3 3" xfId="41448" xr:uid="{00000000-0005-0000-0000-000045910000}"/>
    <cellStyle name="Normal 55 3 3 2 4" xfId="18353" xr:uid="{00000000-0005-0000-0000-000046910000}"/>
    <cellStyle name="Normal 55 3 3 2 4 2" xfId="18358" xr:uid="{00000000-0005-0000-0000-000047910000}"/>
    <cellStyle name="Normal 55 3 3 2 4 2 2" xfId="18362" xr:uid="{00000000-0005-0000-0000-000048910000}"/>
    <cellStyle name="Normal 55 3 3 2 4 3" xfId="15400" xr:uid="{00000000-0005-0000-0000-000049910000}"/>
    <cellStyle name="Normal 55 3 3 2 5" xfId="6841" xr:uid="{00000000-0005-0000-0000-00004A910000}"/>
    <cellStyle name="Normal 55 3 3 2 5 2" xfId="5481" xr:uid="{00000000-0005-0000-0000-00004B910000}"/>
    <cellStyle name="Normal 55 3 3 2 6" xfId="6855" xr:uid="{00000000-0005-0000-0000-00004C910000}"/>
    <cellStyle name="Normal 55 3 3 2 6 2" xfId="6861" xr:uid="{00000000-0005-0000-0000-00004D910000}"/>
    <cellStyle name="Normal 55 3 3 2 7" xfId="6870" xr:uid="{00000000-0005-0000-0000-00004E910000}"/>
    <cellStyle name="Normal 55 3 3 2 8" xfId="4100" xr:uid="{00000000-0005-0000-0000-00004F910000}"/>
    <cellStyle name="Normal 55 3 3 3" xfId="41450" xr:uid="{00000000-0005-0000-0000-000050910000}"/>
    <cellStyle name="Normal 55 3 3 3 2" xfId="41452" xr:uid="{00000000-0005-0000-0000-000051910000}"/>
    <cellStyle name="Normal 55 3 3 3 2 2" xfId="41454" xr:uid="{00000000-0005-0000-0000-000052910000}"/>
    <cellStyle name="Normal 55 3 3 3 2 2 2" xfId="41456" xr:uid="{00000000-0005-0000-0000-000053910000}"/>
    <cellStyle name="Normal 55 3 3 3 2 3" xfId="20934" xr:uid="{00000000-0005-0000-0000-000054910000}"/>
    <cellStyle name="Normal 55 3 3 3 3" xfId="41458" xr:uid="{00000000-0005-0000-0000-000055910000}"/>
    <cellStyle name="Normal 55 3 3 3 3 2" xfId="41460" xr:uid="{00000000-0005-0000-0000-000056910000}"/>
    <cellStyle name="Normal 55 3 3 3 4" xfId="18434" xr:uid="{00000000-0005-0000-0000-000057910000}"/>
    <cellStyle name="Normal 55 3 3 3 5" xfId="1949" xr:uid="{00000000-0005-0000-0000-000058910000}"/>
    <cellStyle name="Normal 55 3 3 4" xfId="1715" xr:uid="{00000000-0005-0000-0000-000059910000}"/>
    <cellStyle name="Normal 55 3 3 4 2" xfId="41462" xr:uid="{00000000-0005-0000-0000-00005A910000}"/>
    <cellStyle name="Normal 55 3 3 4 2 2" xfId="41464" xr:uid="{00000000-0005-0000-0000-00005B910000}"/>
    <cellStyle name="Normal 55 3 3 4 3" xfId="41466" xr:uid="{00000000-0005-0000-0000-00005C910000}"/>
    <cellStyle name="Normal 55 3 3 5" xfId="41468" xr:uid="{00000000-0005-0000-0000-00005D910000}"/>
    <cellStyle name="Normal 55 3 3 5 2" xfId="16545" xr:uid="{00000000-0005-0000-0000-00005E910000}"/>
    <cellStyle name="Normal 55 3 3 5 2 2" xfId="41470" xr:uid="{00000000-0005-0000-0000-00005F910000}"/>
    <cellStyle name="Normal 55 3 3 5 3" xfId="12615" xr:uid="{00000000-0005-0000-0000-000060910000}"/>
    <cellStyle name="Normal 55 3 3 6" xfId="25105" xr:uid="{00000000-0005-0000-0000-000061910000}"/>
    <cellStyle name="Normal 55 3 3 6 2" xfId="20672" xr:uid="{00000000-0005-0000-0000-000062910000}"/>
    <cellStyle name="Normal 55 3 3 7" xfId="25108" xr:uid="{00000000-0005-0000-0000-000063910000}"/>
    <cellStyle name="Normal 55 3 3 7 2" xfId="41472" xr:uid="{00000000-0005-0000-0000-000064910000}"/>
    <cellStyle name="Normal 55 3 3 8" xfId="41474" xr:uid="{00000000-0005-0000-0000-000065910000}"/>
    <cellStyle name="Normal 55 3 3 9" xfId="41476" xr:uid="{00000000-0005-0000-0000-000066910000}"/>
    <cellStyle name="Normal 55 3 4" xfId="2059" xr:uid="{00000000-0005-0000-0000-000067910000}"/>
    <cellStyle name="Normal 55 3 4 2" xfId="41478" xr:uid="{00000000-0005-0000-0000-000068910000}"/>
    <cellStyle name="Normal 55 3 4 2 2" xfId="41480" xr:uid="{00000000-0005-0000-0000-000069910000}"/>
    <cellStyle name="Normal 55 3 4 2 2 2" xfId="41482" xr:uid="{00000000-0005-0000-0000-00006A910000}"/>
    <cellStyle name="Normal 55 3 4 2 2 2 2" xfId="41484" xr:uid="{00000000-0005-0000-0000-00006B910000}"/>
    <cellStyle name="Normal 55 3 4 2 2 2 2 2" xfId="34391" xr:uid="{00000000-0005-0000-0000-00006C910000}"/>
    <cellStyle name="Normal 55 3 4 2 2 2 3" xfId="41486" xr:uid="{00000000-0005-0000-0000-00006D910000}"/>
    <cellStyle name="Normal 55 3 4 2 2 3" xfId="41488" xr:uid="{00000000-0005-0000-0000-00006E910000}"/>
    <cellStyle name="Normal 55 3 4 2 2 3 2" xfId="41490" xr:uid="{00000000-0005-0000-0000-00006F910000}"/>
    <cellStyle name="Normal 55 3 4 2 2 4" xfId="41492" xr:uid="{00000000-0005-0000-0000-000070910000}"/>
    <cellStyle name="Normal 55 3 4 2 3" xfId="41494" xr:uid="{00000000-0005-0000-0000-000071910000}"/>
    <cellStyle name="Normal 55 3 4 2 3 2" xfId="41496" xr:uid="{00000000-0005-0000-0000-000072910000}"/>
    <cellStyle name="Normal 55 3 4 2 3 2 2" xfId="41498" xr:uid="{00000000-0005-0000-0000-000073910000}"/>
    <cellStyle name="Normal 55 3 4 2 3 3" xfId="41500" xr:uid="{00000000-0005-0000-0000-000074910000}"/>
    <cellStyle name="Normal 55 3 4 2 4" xfId="18494" xr:uid="{00000000-0005-0000-0000-000075910000}"/>
    <cellStyle name="Normal 55 3 4 2 4 2" xfId="9560" xr:uid="{00000000-0005-0000-0000-000076910000}"/>
    <cellStyle name="Normal 55 3 4 2 4 2 2" xfId="9568" xr:uid="{00000000-0005-0000-0000-000077910000}"/>
    <cellStyle name="Normal 55 3 4 2 4 3" xfId="9580" xr:uid="{00000000-0005-0000-0000-000078910000}"/>
    <cellStyle name="Normal 55 3 4 2 5" xfId="7050" xr:uid="{00000000-0005-0000-0000-000079910000}"/>
    <cellStyle name="Normal 55 3 4 2 5 2" xfId="7058" xr:uid="{00000000-0005-0000-0000-00007A910000}"/>
    <cellStyle name="Normal 55 3 4 2 6" xfId="7073" xr:uid="{00000000-0005-0000-0000-00007B910000}"/>
    <cellStyle name="Normal 55 3 4 2 6 2" xfId="7080" xr:uid="{00000000-0005-0000-0000-00007C910000}"/>
    <cellStyle name="Normal 55 3 4 2 7" xfId="7088" xr:uid="{00000000-0005-0000-0000-00007D910000}"/>
    <cellStyle name="Normal 55 3 4 2 8" xfId="18507" xr:uid="{00000000-0005-0000-0000-00007E910000}"/>
    <cellStyle name="Normal 55 3 4 3" xfId="41502" xr:uid="{00000000-0005-0000-0000-00007F910000}"/>
    <cellStyle name="Normal 55 3 4 3 2" xfId="41504" xr:uid="{00000000-0005-0000-0000-000080910000}"/>
    <cellStyle name="Normal 55 3 4 3 2 2" xfId="41506" xr:uid="{00000000-0005-0000-0000-000081910000}"/>
    <cellStyle name="Normal 55 3 4 3 2 2 2" xfId="41508" xr:uid="{00000000-0005-0000-0000-000082910000}"/>
    <cellStyle name="Normal 55 3 4 3 2 3" xfId="41510" xr:uid="{00000000-0005-0000-0000-000083910000}"/>
    <cellStyle name="Normal 55 3 4 3 3" xfId="41512" xr:uid="{00000000-0005-0000-0000-000084910000}"/>
    <cellStyle name="Normal 55 3 4 3 3 2" xfId="41514" xr:uid="{00000000-0005-0000-0000-000085910000}"/>
    <cellStyle name="Normal 55 3 4 3 4" xfId="240" xr:uid="{00000000-0005-0000-0000-000086910000}"/>
    <cellStyle name="Normal 55 3 4 4" xfId="1801" xr:uid="{00000000-0005-0000-0000-000087910000}"/>
    <cellStyle name="Normal 55 3 4 4 2" xfId="40612" xr:uid="{00000000-0005-0000-0000-000088910000}"/>
    <cellStyle name="Normal 55 3 4 4 2 2" xfId="40615" xr:uid="{00000000-0005-0000-0000-000089910000}"/>
    <cellStyle name="Normal 55 3 4 4 3" xfId="40618" xr:uid="{00000000-0005-0000-0000-00008A910000}"/>
    <cellStyle name="Normal 55 3 4 5" xfId="41516" xr:uid="{00000000-0005-0000-0000-00008B910000}"/>
    <cellStyle name="Normal 55 3 4 5 2" xfId="40623" xr:uid="{00000000-0005-0000-0000-00008C910000}"/>
    <cellStyle name="Normal 55 3 4 5 2 2" xfId="41518" xr:uid="{00000000-0005-0000-0000-00008D910000}"/>
    <cellStyle name="Normal 55 3 4 5 3" xfId="41520" xr:uid="{00000000-0005-0000-0000-00008E910000}"/>
    <cellStyle name="Normal 55 3 4 6" xfId="25116" xr:uid="{00000000-0005-0000-0000-00008F910000}"/>
    <cellStyle name="Normal 55 3 4 6 2" xfId="40627" xr:uid="{00000000-0005-0000-0000-000090910000}"/>
    <cellStyle name="Normal 55 3 4 7" xfId="41522" xr:uid="{00000000-0005-0000-0000-000091910000}"/>
    <cellStyle name="Normal 55 3 4 7 2" xfId="41524" xr:uid="{00000000-0005-0000-0000-000092910000}"/>
    <cellStyle name="Normal 55 3 4 8" xfId="41526" xr:uid="{00000000-0005-0000-0000-000093910000}"/>
    <cellStyle name="Normal 55 3 4 9" xfId="41528" xr:uid="{00000000-0005-0000-0000-000094910000}"/>
    <cellStyle name="Normal 55 3 5" xfId="41530" xr:uid="{00000000-0005-0000-0000-000095910000}"/>
    <cellStyle name="Normal 55 3 5 2" xfId="41532" xr:uid="{00000000-0005-0000-0000-000096910000}"/>
    <cellStyle name="Normal 55 3 5 2 2" xfId="11314" xr:uid="{00000000-0005-0000-0000-000097910000}"/>
    <cellStyle name="Normal 55 3 5 2 2 2" xfId="2491" xr:uid="{00000000-0005-0000-0000-000098910000}"/>
    <cellStyle name="Normal 55 3 5 2 2 2 2" xfId="4908" xr:uid="{00000000-0005-0000-0000-000099910000}"/>
    <cellStyle name="Normal 55 3 5 2 2 2 2 2" xfId="11319" xr:uid="{00000000-0005-0000-0000-00009A910000}"/>
    <cellStyle name="Normal 55 3 5 2 2 2 3" xfId="4438" xr:uid="{00000000-0005-0000-0000-00009B910000}"/>
    <cellStyle name="Normal 55 3 5 2 2 3" xfId="4736" xr:uid="{00000000-0005-0000-0000-00009C910000}"/>
    <cellStyle name="Normal 55 3 5 2 2 3 2" xfId="9129" xr:uid="{00000000-0005-0000-0000-00009D910000}"/>
    <cellStyle name="Normal 55 3 5 2 2 4" xfId="2315" xr:uid="{00000000-0005-0000-0000-00009E910000}"/>
    <cellStyle name="Normal 55 3 5 2 3" xfId="11328" xr:uid="{00000000-0005-0000-0000-00009F910000}"/>
    <cellStyle name="Normal 55 3 5 2 3 2" xfId="2585" xr:uid="{00000000-0005-0000-0000-0000A0910000}"/>
    <cellStyle name="Normal 55 3 5 2 3 2 2" xfId="11331" xr:uid="{00000000-0005-0000-0000-0000A1910000}"/>
    <cellStyle name="Normal 55 3 5 2 3 3" xfId="11338" xr:uid="{00000000-0005-0000-0000-0000A2910000}"/>
    <cellStyle name="Normal 55 3 5 2 4" xfId="11345" xr:uid="{00000000-0005-0000-0000-0000A3910000}"/>
    <cellStyle name="Normal 55 3 5 2 4 2" xfId="4920" xr:uid="{00000000-0005-0000-0000-0000A4910000}"/>
    <cellStyle name="Normal 55 3 5 2 4 2 2" xfId="2232" xr:uid="{00000000-0005-0000-0000-0000A5910000}"/>
    <cellStyle name="Normal 55 3 5 2 4 3" xfId="4750" xr:uid="{00000000-0005-0000-0000-0000A6910000}"/>
    <cellStyle name="Normal 55 3 5 2 5" xfId="7279" xr:uid="{00000000-0005-0000-0000-0000A7910000}"/>
    <cellStyle name="Normal 55 3 5 2 5 2" xfId="7289" xr:uid="{00000000-0005-0000-0000-0000A8910000}"/>
    <cellStyle name="Normal 55 3 5 2 6" xfId="3080" xr:uid="{00000000-0005-0000-0000-0000A9910000}"/>
    <cellStyle name="Normal 55 3 5 2 6 2" xfId="5313" xr:uid="{00000000-0005-0000-0000-0000AA910000}"/>
    <cellStyle name="Normal 55 3 5 2 7" xfId="5326" xr:uid="{00000000-0005-0000-0000-0000AB910000}"/>
    <cellStyle name="Normal 55 3 5 2 8" xfId="11356" xr:uid="{00000000-0005-0000-0000-0000AC910000}"/>
    <cellStyle name="Normal 55 3 5 3" xfId="11673" xr:uid="{00000000-0005-0000-0000-0000AD910000}"/>
    <cellStyle name="Normal 55 3 5 3 2" xfId="11369" xr:uid="{00000000-0005-0000-0000-0000AE910000}"/>
    <cellStyle name="Normal 55 3 5 3 2 2" xfId="4954" xr:uid="{00000000-0005-0000-0000-0000AF910000}"/>
    <cellStyle name="Normal 55 3 5 3 2 2 2" xfId="10864" xr:uid="{00000000-0005-0000-0000-0000B0910000}"/>
    <cellStyle name="Normal 55 3 5 3 2 3" xfId="11375" xr:uid="{00000000-0005-0000-0000-0000B1910000}"/>
    <cellStyle name="Normal 55 3 5 3 3" xfId="11148" xr:uid="{00000000-0005-0000-0000-0000B2910000}"/>
    <cellStyle name="Normal 55 3 5 3 3 2" xfId="11381" xr:uid="{00000000-0005-0000-0000-0000B3910000}"/>
    <cellStyle name="Normal 55 3 5 3 4" xfId="2063" xr:uid="{00000000-0005-0000-0000-0000B4910000}"/>
    <cellStyle name="Normal 55 3 5 4" xfId="894" xr:uid="{00000000-0005-0000-0000-0000B5910000}"/>
    <cellStyle name="Normal 55 3 5 4 2" xfId="11404" xr:uid="{00000000-0005-0000-0000-0000B6910000}"/>
    <cellStyle name="Normal 55 3 5 4 2 2" xfId="11408" xr:uid="{00000000-0005-0000-0000-0000B7910000}"/>
    <cellStyle name="Normal 55 3 5 4 3" xfId="275" xr:uid="{00000000-0005-0000-0000-0000B8910000}"/>
    <cellStyle name="Normal 55 3 5 5" xfId="41534" xr:uid="{00000000-0005-0000-0000-0000B9910000}"/>
    <cellStyle name="Normal 55 3 5 5 2" xfId="9175" xr:uid="{00000000-0005-0000-0000-0000BA910000}"/>
    <cellStyle name="Normal 55 3 5 5 2 2" xfId="7473" xr:uid="{00000000-0005-0000-0000-0000BB910000}"/>
    <cellStyle name="Normal 55 3 5 5 3" xfId="9180" xr:uid="{00000000-0005-0000-0000-0000BC910000}"/>
    <cellStyle name="Normal 55 3 5 6" xfId="25120" xr:uid="{00000000-0005-0000-0000-0000BD910000}"/>
    <cellStyle name="Normal 55 3 5 6 2" xfId="10307" xr:uid="{00000000-0005-0000-0000-0000BE910000}"/>
    <cellStyle name="Normal 55 3 5 7" xfId="41536" xr:uid="{00000000-0005-0000-0000-0000BF910000}"/>
    <cellStyle name="Normal 55 3 5 7 2" xfId="5469" xr:uid="{00000000-0005-0000-0000-0000C0910000}"/>
    <cellStyle name="Normal 55 3 5 8" xfId="28351" xr:uid="{00000000-0005-0000-0000-0000C1910000}"/>
    <cellStyle name="Normal 55 3 5 9" xfId="41538" xr:uid="{00000000-0005-0000-0000-0000C2910000}"/>
    <cellStyle name="Normal 55 3 6" xfId="41540" xr:uid="{00000000-0005-0000-0000-0000C3910000}"/>
    <cellStyle name="Normal 55 3 6 2" xfId="41542" xr:uid="{00000000-0005-0000-0000-0000C4910000}"/>
    <cellStyle name="Normal 55 3 6 2 2" xfId="11547" xr:uid="{00000000-0005-0000-0000-0000C5910000}"/>
    <cellStyle name="Normal 55 3 6 2 2 2" xfId="11550" xr:uid="{00000000-0005-0000-0000-0000C6910000}"/>
    <cellStyle name="Normal 55 3 6 2 2 2 2" xfId="41544" xr:uid="{00000000-0005-0000-0000-0000C7910000}"/>
    <cellStyle name="Normal 55 3 6 2 2 3" xfId="14961" xr:uid="{00000000-0005-0000-0000-0000C8910000}"/>
    <cellStyle name="Normal 55 3 6 2 3" xfId="11554" xr:uid="{00000000-0005-0000-0000-0000C9910000}"/>
    <cellStyle name="Normal 55 3 6 2 3 2" xfId="11557" xr:uid="{00000000-0005-0000-0000-0000CA910000}"/>
    <cellStyle name="Normal 55 3 6 2 4" xfId="11562" xr:uid="{00000000-0005-0000-0000-0000CB910000}"/>
    <cellStyle name="Normal 55 3 6 3" xfId="11679" xr:uid="{00000000-0005-0000-0000-0000CC910000}"/>
    <cellStyle name="Normal 55 3 6 3 2" xfId="11570" xr:uid="{00000000-0005-0000-0000-0000CD910000}"/>
    <cellStyle name="Normal 55 3 6 3 2 2" xfId="41546" xr:uid="{00000000-0005-0000-0000-0000CE910000}"/>
    <cellStyle name="Normal 55 3 6 3 3" xfId="11160" xr:uid="{00000000-0005-0000-0000-0000CF910000}"/>
    <cellStyle name="Normal 55 3 6 4" xfId="41548" xr:uid="{00000000-0005-0000-0000-0000D0910000}"/>
    <cellStyle name="Normal 55 3 6 4 2" xfId="11575" xr:uid="{00000000-0005-0000-0000-0000D1910000}"/>
    <cellStyle name="Normal 55 3 6 4 2 2" xfId="41550" xr:uid="{00000000-0005-0000-0000-0000D2910000}"/>
    <cellStyle name="Normal 55 3 6 4 3" xfId="41552" xr:uid="{00000000-0005-0000-0000-0000D3910000}"/>
    <cellStyle name="Normal 55 3 6 5" xfId="41555" xr:uid="{00000000-0005-0000-0000-0000D4910000}"/>
    <cellStyle name="Normal 55 3 6 5 2" xfId="41557" xr:uid="{00000000-0005-0000-0000-0000D5910000}"/>
    <cellStyle name="Normal 55 3 6 6" xfId="41559" xr:uid="{00000000-0005-0000-0000-0000D6910000}"/>
    <cellStyle name="Normal 55 3 6 6 2" xfId="41562" xr:uid="{00000000-0005-0000-0000-0000D7910000}"/>
    <cellStyle name="Normal 55 3 6 7" xfId="41564" xr:uid="{00000000-0005-0000-0000-0000D8910000}"/>
    <cellStyle name="Normal 55 3 6 8" xfId="41566" xr:uid="{00000000-0005-0000-0000-0000D9910000}"/>
    <cellStyle name="Normal 55 3 7" xfId="19171" xr:uid="{00000000-0005-0000-0000-0000DA910000}"/>
    <cellStyle name="Normal 55 3 7 2" xfId="38012" xr:uid="{00000000-0005-0000-0000-0000DB910000}"/>
    <cellStyle name="Normal 55 3 7 2 2" xfId="9220" xr:uid="{00000000-0005-0000-0000-0000DC910000}"/>
    <cellStyle name="Normal 55 3 7 2 2 2" xfId="41568" xr:uid="{00000000-0005-0000-0000-0000DD910000}"/>
    <cellStyle name="Normal 55 3 7 2 3" xfId="9225" xr:uid="{00000000-0005-0000-0000-0000DE910000}"/>
    <cellStyle name="Normal 55 3 7 3" xfId="41570" xr:uid="{00000000-0005-0000-0000-0000DF910000}"/>
    <cellStyle name="Normal 55 3 7 3 2" xfId="9275" xr:uid="{00000000-0005-0000-0000-0000E0910000}"/>
    <cellStyle name="Normal 55 3 7 4" xfId="41572" xr:uid="{00000000-0005-0000-0000-0000E1910000}"/>
    <cellStyle name="Normal 55 3 8" xfId="38016" xr:uid="{00000000-0005-0000-0000-0000E2910000}"/>
    <cellStyle name="Normal 55 3 8 2" xfId="30020" xr:uid="{00000000-0005-0000-0000-0000E3910000}"/>
    <cellStyle name="Normal 55 3 8 2 2" xfId="9416" xr:uid="{00000000-0005-0000-0000-0000E4910000}"/>
    <cellStyle name="Normal 55 3 8 3" xfId="41574" xr:uid="{00000000-0005-0000-0000-0000E5910000}"/>
    <cellStyle name="Normal 55 3 9" xfId="41576" xr:uid="{00000000-0005-0000-0000-0000E6910000}"/>
    <cellStyle name="Normal 55 3 9 2" xfId="41578" xr:uid="{00000000-0005-0000-0000-0000E7910000}"/>
    <cellStyle name="Normal 55 3 9 2 2" xfId="25871" xr:uid="{00000000-0005-0000-0000-0000E8910000}"/>
    <cellStyle name="Normal 55 3 9 3" xfId="41580" xr:uid="{00000000-0005-0000-0000-0000E9910000}"/>
    <cellStyle name="Normal 55 4" xfId="41582" xr:uid="{00000000-0005-0000-0000-0000EA910000}"/>
    <cellStyle name="Normal 55 4 10" xfId="41584" xr:uid="{00000000-0005-0000-0000-0000EB910000}"/>
    <cellStyle name="Normal 55 4 2" xfId="41586" xr:uid="{00000000-0005-0000-0000-0000EC910000}"/>
    <cellStyle name="Normal 55 4 2 2" xfId="37053" xr:uid="{00000000-0005-0000-0000-0000ED910000}"/>
    <cellStyle name="Normal 55 4 2 2 2" xfId="41588" xr:uid="{00000000-0005-0000-0000-0000EE910000}"/>
    <cellStyle name="Normal 55 4 2 2 2 2" xfId="41590" xr:uid="{00000000-0005-0000-0000-0000EF910000}"/>
    <cellStyle name="Normal 55 4 2 2 2 2 2" xfId="41592" xr:uid="{00000000-0005-0000-0000-0000F0910000}"/>
    <cellStyle name="Normal 55 4 2 2 2 2 2 2" xfId="41595" xr:uid="{00000000-0005-0000-0000-0000F1910000}"/>
    <cellStyle name="Normal 55 4 2 2 2 2 3" xfId="41597" xr:uid="{00000000-0005-0000-0000-0000F2910000}"/>
    <cellStyle name="Normal 55 4 2 2 2 3" xfId="41599" xr:uid="{00000000-0005-0000-0000-0000F3910000}"/>
    <cellStyle name="Normal 55 4 2 2 2 3 2" xfId="41601" xr:uid="{00000000-0005-0000-0000-0000F4910000}"/>
    <cellStyle name="Normal 55 4 2 2 2 4" xfId="41603" xr:uid="{00000000-0005-0000-0000-0000F5910000}"/>
    <cellStyle name="Normal 55 4 2 2 3" xfId="41605" xr:uid="{00000000-0005-0000-0000-0000F6910000}"/>
    <cellStyle name="Normal 55 4 2 2 3 2" xfId="16779" xr:uid="{00000000-0005-0000-0000-0000F7910000}"/>
    <cellStyle name="Normal 55 4 2 2 3 2 2" xfId="41607" xr:uid="{00000000-0005-0000-0000-0000F8910000}"/>
    <cellStyle name="Normal 55 4 2 2 3 3" xfId="13235" xr:uid="{00000000-0005-0000-0000-0000F9910000}"/>
    <cellStyle name="Normal 55 4 2 2 4" xfId="17835" xr:uid="{00000000-0005-0000-0000-0000FA910000}"/>
    <cellStyle name="Normal 55 4 2 2 4 2" xfId="41609" xr:uid="{00000000-0005-0000-0000-0000FB910000}"/>
    <cellStyle name="Normal 55 4 2 2 4 2 2" xfId="31475" xr:uid="{00000000-0005-0000-0000-0000FC910000}"/>
    <cellStyle name="Normal 55 4 2 2 4 3" xfId="41611" xr:uid="{00000000-0005-0000-0000-0000FD910000}"/>
    <cellStyle name="Normal 55 4 2 2 5" xfId="27634" xr:uid="{00000000-0005-0000-0000-0000FE910000}"/>
    <cellStyle name="Normal 55 4 2 2 5 2" xfId="41614" xr:uid="{00000000-0005-0000-0000-0000FF910000}"/>
    <cellStyle name="Normal 55 4 2 2 6" xfId="41616" xr:uid="{00000000-0005-0000-0000-000000920000}"/>
    <cellStyle name="Normal 55 4 2 2 6 2" xfId="41618" xr:uid="{00000000-0005-0000-0000-000001920000}"/>
    <cellStyle name="Normal 55 4 2 2 7" xfId="41620" xr:uid="{00000000-0005-0000-0000-000002920000}"/>
    <cellStyle name="Normal 55 4 2 2 8" xfId="101" xr:uid="{00000000-0005-0000-0000-000003920000}"/>
    <cellStyle name="Normal 55 4 2 3" xfId="41622" xr:uid="{00000000-0005-0000-0000-000004920000}"/>
    <cellStyle name="Normal 55 4 2 3 2" xfId="41624" xr:uid="{00000000-0005-0000-0000-000005920000}"/>
    <cellStyle name="Normal 55 4 2 3 2 2" xfId="40164" xr:uid="{00000000-0005-0000-0000-000006920000}"/>
    <cellStyle name="Normal 55 4 2 3 2 2 2" xfId="41626" xr:uid="{00000000-0005-0000-0000-000007920000}"/>
    <cellStyle name="Normal 55 4 2 3 2 3" xfId="13313" xr:uid="{00000000-0005-0000-0000-000008920000}"/>
    <cellStyle name="Normal 55 4 2 3 3" xfId="41628" xr:uid="{00000000-0005-0000-0000-000009920000}"/>
    <cellStyle name="Normal 55 4 2 3 3 2" xfId="41630" xr:uid="{00000000-0005-0000-0000-00000A920000}"/>
    <cellStyle name="Normal 55 4 2 3 4" xfId="23902" xr:uid="{00000000-0005-0000-0000-00000B920000}"/>
    <cellStyle name="Normal 55 4 2 4" xfId="2142" xr:uid="{00000000-0005-0000-0000-00000C920000}"/>
    <cellStyle name="Normal 55 4 2 4 2" xfId="41632" xr:uid="{00000000-0005-0000-0000-00000D920000}"/>
    <cellStyle name="Normal 55 4 2 4 2 2" xfId="41634" xr:uid="{00000000-0005-0000-0000-00000E920000}"/>
    <cellStyle name="Normal 55 4 2 4 3" xfId="41636" xr:uid="{00000000-0005-0000-0000-00000F920000}"/>
    <cellStyle name="Normal 55 4 2 5" xfId="41638" xr:uid="{00000000-0005-0000-0000-000010920000}"/>
    <cellStyle name="Normal 55 4 2 5 2" xfId="41640" xr:uid="{00000000-0005-0000-0000-000011920000}"/>
    <cellStyle name="Normal 55 4 2 5 2 2" xfId="2577" xr:uid="{00000000-0005-0000-0000-000012920000}"/>
    <cellStyle name="Normal 55 4 2 5 3" xfId="41642" xr:uid="{00000000-0005-0000-0000-000013920000}"/>
    <cellStyle name="Normal 55 4 2 6" xfId="25135" xr:uid="{00000000-0005-0000-0000-000014920000}"/>
    <cellStyle name="Normal 55 4 2 6 2" xfId="25138" xr:uid="{00000000-0005-0000-0000-000015920000}"/>
    <cellStyle name="Normal 55 4 2 7" xfId="25141" xr:uid="{00000000-0005-0000-0000-000016920000}"/>
    <cellStyle name="Normal 55 4 2 7 2" xfId="41644" xr:uid="{00000000-0005-0000-0000-000017920000}"/>
    <cellStyle name="Normal 55 4 2 8" xfId="41646" xr:uid="{00000000-0005-0000-0000-000018920000}"/>
    <cellStyle name="Normal 55 4 2 9" xfId="41648" xr:uid="{00000000-0005-0000-0000-000019920000}"/>
    <cellStyle name="Normal 55 4 3" xfId="41650" xr:uid="{00000000-0005-0000-0000-00001A920000}"/>
    <cellStyle name="Normal 55 4 3 2" xfId="41652" xr:uid="{00000000-0005-0000-0000-00001B920000}"/>
    <cellStyle name="Normal 55 4 3 2 2" xfId="41654" xr:uid="{00000000-0005-0000-0000-00001C920000}"/>
    <cellStyle name="Normal 55 4 3 2 2 2" xfId="41656" xr:uid="{00000000-0005-0000-0000-00001D920000}"/>
    <cellStyle name="Normal 55 4 3 2 2 2 2" xfId="41658" xr:uid="{00000000-0005-0000-0000-00001E920000}"/>
    <cellStyle name="Normal 55 4 3 2 2 3" xfId="41660" xr:uid="{00000000-0005-0000-0000-00001F920000}"/>
    <cellStyle name="Normal 55 4 3 2 3" xfId="41662" xr:uid="{00000000-0005-0000-0000-000020920000}"/>
    <cellStyle name="Normal 55 4 3 2 3 2" xfId="16843" xr:uid="{00000000-0005-0000-0000-000021920000}"/>
    <cellStyle name="Normal 55 4 3 2 4" xfId="18635" xr:uid="{00000000-0005-0000-0000-000022920000}"/>
    <cellStyle name="Normal 55 4 3 3" xfId="41664" xr:uid="{00000000-0005-0000-0000-000023920000}"/>
    <cellStyle name="Normal 55 4 3 3 2" xfId="41666" xr:uid="{00000000-0005-0000-0000-000024920000}"/>
    <cellStyle name="Normal 55 4 3 3 2 2" xfId="41668" xr:uid="{00000000-0005-0000-0000-000025920000}"/>
    <cellStyle name="Normal 55 4 3 3 3" xfId="41670" xr:uid="{00000000-0005-0000-0000-000026920000}"/>
    <cellStyle name="Normal 55 4 3 4" xfId="483" xr:uid="{00000000-0005-0000-0000-000027920000}"/>
    <cellStyle name="Normal 55 4 3 4 2" xfId="41674" xr:uid="{00000000-0005-0000-0000-000028920000}"/>
    <cellStyle name="Normal 55 4 3 4 2 2" xfId="41678" xr:uid="{00000000-0005-0000-0000-000029920000}"/>
    <cellStyle name="Normal 55 4 3 4 3" xfId="41682" xr:uid="{00000000-0005-0000-0000-00002A920000}"/>
    <cellStyle name="Normal 55 4 3 5" xfId="41686" xr:uid="{00000000-0005-0000-0000-00002B920000}"/>
    <cellStyle name="Normal 55 4 3 5 2" xfId="41690" xr:uid="{00000000-0005-0000-0000-00002C920000}"/>
    <cellStyle name="Normal 55 4 3 6" xfId="25149" xr:uid="{00000000-0005-0000-0000-00002D920000}"/>
    <cellStyle name="Normal 55 4 3 6 2" xfId="41694" xr:uid="{00000000-0005-0000-0000-00002E920000}"/>
    <cellStyle name="Normal 55 4 3 7" xfId="41698" xr:uid="{00000000-0005-0000-0000-00002F920000}"/>
    <cellStyle name="Normal 55 4 3 8" xfId="41702" xr:uid="{00000000-0005-0000-0000-000030920000}"/>
    <cellStyle name="Normal 55 4 4" xfId="41704" xr:uid="{00000000-0005-0000-0000-000031920000}"/>
    <cellStyle name="Normal 55 4 4 2" xfId="21610" xr:uid="{00000000-0005-0000-0000-000032920000}"/>
    <cellStyle name="Normal 55 4 4 2 2" xfId="21615" xr:uid="{00000000-0005-0000-0000-000033920000}"/>
    <cellStyle name="Normal 55 4 4 2 2 2" xfId="41706" xr:uid="{00000000-0005-0000-0000-000034920000}"/>
    <cellStyle name="Normal 55 4 4 2 3" xfId="41708" xr:uid="{00000000-0005-0000-0000-000035920000}"/>
    <cellStyle name="Normal 55 4 4 3" xfId="21639" xr:uid="{00000000-0005-0000-0000-000036920000}"/>
    <cellStyle name="Normal 55 4 4 3 2" xfId="41710" xr:uid="{00000000-0005-0000-0000-000037920000}"/>
    <cellStyle name="Normal 55 4 4 4" xfId="41714" xr:uid="{00000000-0005-0000-0000-000038920000}"/>
    <cellStyle name="Normal 55 4 5" xfId="41716" xr:uid="{00000000-0005-0000-0000-000039920000}"/>
    <cellStyle name="Normal 55 4 5 2" xfId="19180" xr:uid="{00000000-0005-0000-0000-00003A920000}"/>
    <cellStyle name="Normal 55 4 5 2 2" xfId="645" xr:uid="{00000000-0005-0000-0000-00003B920000}"/>
    <cellStyle name="Normal 55 4 5 3" xfId="11683" xr:uid="{00000000-0005-0000-0000-00003C920000}"/>
    <cellStyle name="Normal 55 4 6" xfId="41718" xr:uid="{00000000-0005-0000-0000-00003D920000}"/>
    <cellStyle name="Normal 55 4 6 2" xfId="41720" xr:uid="{00000000-0005-0000-0000-00003E920000}"/>
    <cellStyle name="Normal 55 4 6 2 2" xfId="12010" xr:uid="{00000000-0005-0000-0000-00003F920000}"/>
    <cellStyle name="Normal 55 4 6 3" xfId="41722" xr:uid="{00000000-0005-0000-0000-000040920000}"/>
    <cellStyle name="Normal 55 4 7" xfId="38022" xr:uid="{00000000-0005-0000-0000-000041920000}"/>
    <cellStyle name="Normal 55 4 7 2" xfId="41724" xr:uid="{00000000-0005-0000-0000-000042920000}"/>
    <cellStyle name="Normal 55 4 8" xfId="41726" xr:uid="{00000000-0005-0000-0000-000043920000}"/>
    <cellStyle name="Normal 55 4 8 2" xfId="41728" xr:uid="{00000000-0005-0000-0000-000044920000}"/>
    <cellStyle name="Normal 55 4 9" xfId="41730" xr:uid="{00000000-0005-0000-0000-000045920000}"/>
    <cellStyle name="Normal 55 5" xfId="41733" xr:uid="{00000000-0005-0000-0000-000046920000}"/>
    <cellStyle name="Normal 55 5 2" xfId="41735" xr:uid="{00000000-0005-0000-0000-000047920000}"/>
    <cellStyle name="Normal 55 5 2 2" xfId="41737" xr:uid="{00000000-0005-0000-0000-000048920000}"/>
    <cellStyle name="Normal 55 5 2 2 2" xfId="41739" xr:uid="{00000000-0005-0000-0000-000049920000}"/>
    <cellStyle name="Normal 55 5 2 2 2 2" xfId="41741" xr:uid="{00000000-0005-0000-0000-00004A920000}"/>
    <cellStyle name="Normal 55 5 2 2 2 2 2" xfId="25849" xr:uid="{00000000-0005-0000-0000-00004B920000}"/>
    <cellStyle name="Normal 55 5 2 2 2 3" xfId="41743" xr:uid="{00000000-0005-0000-0000-00004C920000}"/>
    <cellStyle name="Normal 55 5 2 2 3" xfId="41745" xr:uid="{00000000-0005-0000-0000-00004D920000}"/>
    <cellStyle name="Normal 55 5 2 2 3 2" xfId="13633" xr:uid="{00000000-0005-0000-0000-00004E920000}"/>
    <cellStyle name="Normal 55 5 2 2 4" xfId="19896" xr:uid="{00000000-0005-0000-0000-00004F920000}"/>
    <cellStyle name="Normal 55 5 2 2 5" xfId="41747" xr:uid="{00000000-0005-0000-0000-000050920000}"/>
    <cellStyle name="Normal 55 5 2 3" xfId="41749" xr:uid="{00000000-0005-0000-0000-000051920000}"/>
    <cellStyle name="Normal 55 5 2 3 2" xfId="41751" xr:uid="{00000000-0005-0000-0000-000052920000}"/>
    <cellStyle name="Normal 55 5 2 3 2 2" xfId="20668" xr:uid="{00000000-0005-0000-0000-000053920000}"/>
    <cellStyle name="Normal 55 5 2 3 3" xfId="41753" xr:uid="{00000000-0005-0000-0000-000054920000}"/>
    <cellStyle name="Normal 55 5 2 4" xfId="2687" xr:uid="{00000000-0005-0000-0000-000055920000}"/>
    <cellStyle name="Normal 55 5 2 4 2" xfId="41755" xr:uid="{00000000-0005-0000-0000-000056920000}"/>
    <cellStyle name="Normal 55 5 2 4 2 2" xfId="25971" xr:uid="{00000000-0005-0000-0000-000057920000}"/>
    <cellStyle name="Normal 55 5 2 4 3" xfId="41757" xr:uid="{00000000-0005-0000-0000-000058920000}"/>
    <cellStyle name="Normal 55 5 2 5" xfId="41759" xr:uid="{00000000-0005-0000-0000-000059920000}"/>
    <cellStyle name="Normal 55 5 2 5 2" xfId="15707" xr:uid="{00000000-0005-0000-0000-00005A920000}"/>
    <cellStyle name="Normal 55 5 2 6" xfId="41761" xr:uid="{00000000-0005-0000-0000-00005B920000}"/>
    <cellStyle name="Normal 55 5 2 6 2" xfId="15726" xr:uid="{00000000-0005-0000-0000-00005C920000}"/>
    <cellStyle name="Normal 55 5 2 7" xfId="41765" xr:uid="{00000000-0005-0000-0000-00005D920000}"/>
    <cellStyle name="Normal 55 5 2 8" xfId="41769" xr:uid="{00000000-0005-0000-0000-00005E920000}"/>
    <cellStyle name="Normal 55 5 3" xfId="41771" xr:uid="{00000000-0005-0000-0000-00005F920000}"/>
    <cellStyle name="Normal 55 5 3 2" xfId="41773" xr:uid="{00000000-0005-0000-0000-000060920000}"/>
    <cellStyle name="Normal 55 5 3 2 2" xfId="41775" xr:uid="{00000000-0005-0000-0000-000061920000}"/>
    <cellStyle name="Normal 55 5 3 2 2 2" xfId="21334" xr:uid="{00000000-0005-0000-0000-000062920000}"/>
    <cellStyle name="Normal 55 5 3 2 3" xfId="29505" xr:uid="{00000000-0005-0000-0000-000063920000}"/>
    <cellStyle name="Normal 55 5 3 3" xfId="41777" xr:uid="{00000000-0005-0000-0000-000064920000}"/>
    <cellStyle name="Normal 55 5 3 3 2" xfId="41779" xr:uid="{00000000-0005-0000-0000-000065920000}"/>
    <cellStyle name="Normal 55 5 3 4" xfId="41783" xr:uid="{00000000-0005-0000-0000-000066920000}"/>
    <cellStyle name="Normal 55 5 3 5" xfId="41787" xr:uid="{00000000-0005-0000-0000-000067920000}"/>
    <cellStyle name="Normal 55 5 4" xfId="41789" xr:uid="{00000000-0005-0000-0000-000068920000}"/>
    <cellStyle name="Normal 55 5 4 2" xfId="8863" xr:uid="{00000000-0005-0000-0000-000069920000}"/>
    <cellStyle name="Normal 55 5 4 2 2" xfId="41791" xr:uid="{00000000-0005-0000-0000-00006A920000}"/>
    <cellStyle name="Normal 55 5 4 3" xfId="41793" xr:uid="{00000000-0005-0000-0000-00006B920000}"/>
    <cellStyle name="Normal 55 5 5" xfId="41795" xr:uid="{00000000-0005-0000-0000-00006C920000}"/>
    <cellStyle name="Normal 55 5 5 2" xfId="41797" xr:uid="{00000000-0005-0000-0000-00006D920000}"/>
    <cellStyle name="Normal 55 5 5 2 2" xfId="11428" xr:uid="{00000000-0005-0000-0000-00006E920000}"/>
    <cellStyle name="Normal 55 5 5 3" xfId="11433" xr:uid="{00000000-0005-0000-0000-00006F920000}"/>
    <cellStyle name="Normal 55 5 6" xfId="17940" xr:uid="{00000000-0005-0000-0000-000070920000}"/>
    <cellStyle name="Normal 55 5 6 2" xfId="17339" xr:uid="{00000000-0005-0000-0000-000071920000}"/>
    <cellStyle name="Normal 55 5 7" xfId="10073" xr:uid="{00000000-0005-0000-0000-000072920000}"/>
    <cellStyle name="Normal 55 5 7 2" xfId="41799" xr:uid="{00000000-0005-0000-0000-000073920000}"/>
    <cellStyle name="Normal 55 5 8" xfId="17949" xr:uid="{00000000-0005-0000-0000-000074920000}"/>
    <cellStyle name="Normal 55 5 9" xfId="41801" xr:uid="{00000000-0005-0000-0000-000075920000}"/>
    <cellStyle name="Normal 55 6" xfId="29266" xr:uid="{00000000-0005-0000-0000-000076920000}"/>
    <cellStyle name="Normal 55 6 2" xfId="41804" xr:uid="{00000000-0005-0000-0000-000077920000}"/>
    <cellStyle name="Normal 55 6 2 2" xfId="41807" xr:uid="{00000000-0005-0000-0000-000078920000}"/>
    <cellStyle name="Normal 55 6 2 2 2" xfId="41810" xr:uid="{00000000-0005-0000-0000-000079920000}"/>
    <cellStyle name="Normal 55 6 2 2 2 2" xfId="41812" xr:uid="{00000000-0005-0000-0000-00007A920000}"/>
    <cellStyle name="Normal 55 6 2 2 2 2 2" xfId="41814" xr:uid="{00000000-0005-0000-0000-00007B920000}"/>
    <cellStyle name="Normal 55 6 2 2 2 3" xfId="41816" xr:uid="{00000000-0005-0000-0000-00007C920000}"/>
    <cellStyle name="Normal 55 6 2 2 3" xfId="41818" xr:uid="{00000000-0005-0000-0000-00007D920000}"/>
    <cellStyle name="Normal 55 6 2 2 3 2" xfId="41820" xr:uid="{00000000-0005-0000-0000-00007E920000}"/>
    <cellStyle name="Normal 55 6 2 2 4" xfId="41822" xr:uid="{00000000-0005-0000-0000-00007F920000}"/>
    <cellStyle name="Normal 55 6 2 3" xfId="41825" xr:uid="{00000000-0005-0000-0000-000080920000}"/>
    <cellStyle name="Normal 55 6 2 3 2" xfId="41827" xr:uid="{00000000-0005-0000-0000-000081920000}"/>
    <cellStyle name="Normal 55 6 2 3 2 2" xfId="41829" xr:uid="{00000000-0005-0000-0000-000082920000}"/>
    <cellStyle name="Normal 55 6 2 3 3" xfId="41831" xr:uid="{00000000-0005-0000-0000-000083920000}"/>
    <cellStyle name="Normal 55 6 2 4" xfId="23996" xr:uid="{00000000-0005-0000-0000-000084920000}"/>
    <cellStyle name="Normal 55 6 2 4 2" xfId="41833" xr:uid="{00000000-0005-0000-0000-000085920000}"/>
    <cellStyle name="Normal 55 6 2 4 2 2" xfId="41835" xr:uid="{00000000-0005-0000-0000-000086920000}"/>
    <cellStyle name="Normal 55 6 2 4 3" xfId="41837" xr:uid="{00000000-0005-0000-0000-000087920000}"/>
    <cellStyle name="Normal 55 6 2 5" xfId="41839" xr:uid="{00000000-0005-0000-0000-000088920000}"/>
    <cellStyle name="Normal 55 6 2 5 2" xfId="15806" xr:uid="{00000000-0005-0000-0000-000089920000}"/>
    <cellStyle name="Normal 55 6 2 6" xfId="41841" xr:uid="{00000000-0005-0000-0000-00008A920000}"/>
    <cellStyle name="Normal 55 6 2 6 2" xfId="41843" xr:uid="{00000000-0005-0000-0000-00008B920000}"/>
    <cellStyle name="Normal 55 6 2 7" xfId="41847" xr:uid="{00000000-0005-0000-0000-00008C920000}"/>
    <cellStyle name="Normal 55 6 2 8" xfId="41850" xr:uid="{00000000-0005-0000-0000-00008D920000}"/>
    <cellStyle name="Normal 55 6 3" xfId="41853" xr:uid="{00000000-0005-0000-0000-00008E920000}"/>
    <cellStyle name="Normal 55 6 3 2" xfId="20216" xr:uid="{00000000-0005-0000-0000-00008F920000}"/>
    <cellStyle name="Normal 55 6 3 2 2" xfId="20220" xr:uid="{00000000-0005-0000-0000-000090920000}"/>
    <cellStyle name="Normal 55 6 3 2 2 2" xfId="41855" xr:uid="{00000000-0005-0000-0000-000091920000}"/>
    <cellStyle name="Normal 55 6 3 2 3" xfId="29560" xr:uid="{00000000-0005-0000-0000-000092920000}"/>
    <cellStyle name="Normal 55 6 3 3" xfId="11523" xr:uid="{00000000-0005-0000-0000-000093920000}"/>
    <cellStyle name="Normal 55 6 3 3 2" xfId="41857" xr:uid="{00000000-0005-0000-0000-000094920000}"/>
    <cellStyle name="Normal 55 6 3 4" xfId="24002" xr:uid="{00000000-0005-0000-0000-000095920000}"/>
    <cellStyle name="Normal 55 6 4" xfId="41860" xr:uid="{00000000-0005-0000-0000-000096920000}"/>
    <cellStyle name="Normal 55 6 4 2" xfId="20227" xr:uid="{00000000-0005-0000-0000-000097920000}"/>
    <cellStyle name="Normal 55 6 4 2 2" xfId="41862" xr:uid="{00000000-0005-0000-0000-000098920000}"/>
    <cellStyle name="Normal 55 6 4 3" xfId="41864" xr:uid="{00000000-0005-0000-0000-000099920000}"/>
    <cellStyle name="Normal 55 6 5" xfId="41867" xr:uid="{00000000-0005-0000-0000-00009A920000}"/>
    <cellStyle name="Normal 55 6 5 2" xfId="20233" xr:uid="{00000000-0005-0000-0000-00009B920000}"/>
    <cellStyle name="Normal 55 6 5 2 2" xfId="31433" xr:uid="{00000000-0005-0000-0000-00009C920000}"/>
    <cellStyle name="Normal 55 6 5 3" xfId="40819" xr:uid="{00000000-0005-0000-0000-00009D920000}"/>
    <cellStyle name="Normal 55 6 6" xfId="17954" xr:uid="{00000000-0005-0000-0000-00009E920000}"/>
    <cellStyle name="Normal 55 6 6 2" xfId="41869" xr:uid="{00000000-0005-0000-0000-00009F920000}"/>
    <cellStyle name="Normal 55 6 7" xfId="41871" xr:uid="{00000000-0005-0000-0000-0000A0920000}"/>
    <cellStyle name="Normal 55 6 7 2" xfId="41873" xr:uid="{00000000-0005-0000-0000-0000A1920000}"/>
    <cellStyle name="Normal 55 6 8" xfId="41875" xr:uid="{00000000-0005-0000-0000-0000A2920000}"/>
    <cellStyle name="Normal 55 6 9" xfId="41877" xr:uid="{00000000-0005-0000-0000-0000A3920000}"/>
    <cellStyle name="Normal 55 7" xfId="41879" xr:uid="{00000000-0005-0000-0000-0000A4920000}"/>
    <cellStyle name="Normal 55 7 2" xfId="41882" xr:uid="{00000000-0005-0000-0000-0000A5920000}"/>
    <cellStyle name="Normal 55 7 2 2" xfId="41885" xr:uid="{00000000-0005-0000-0000-0000A6920000}"/>
    <cellStyle name="Normal 55 7 2 2 2" xfId="41887" xr:uid="{00000000-0005-0000-0000-0000A7920000}"/>
    <cellStyle name="Normal 55 7 2 2 2 2" xfId="41889" xr:uid="{00000000-0005-0000-0000-0000A8920000}"/>
    <cellStyle name="Normal 55 7 2 2 2 2 2" xfId="41891" xr:uid="{00000000-0005-0000-0000-0000A9920000}"/>
    <cellStyle name="Normal 55 7 2 2 2 3" xfId="41893" xr:uid="{00000000-0005-0000-0000-0000AA920000}"/>
    <cellStyle name="Normal 55 7 2 2 3" xfId="41895" xr:uid="{00000000-0005-0000-0000-0000AB920000}"/>
    <cellStyle name="Normal 55 7 2 2 3 2" xfId="20825" xr:uid="{00000000-0005-0000-0000-0000AC920000}"/>
    <cellStyle name="Normal 55 7 2 2 4" xfId="41897" xr:uid="{00000000-0005-0000-0000-0000AD920000}"/>
    <cellStyle name="Normal 55 7 2 3" xfId="41899" xr:uid="{00000000-0005-0000-0000-0000AE920000}"/>
    <cellStyle name="Normal 55 7 2 3 2" xfId="41901" xr:uid="{00000000-0005-0000-0000-0000AF920000}"/>
    <cellStyle name="Normal 55 7 2 3 2 2" xfId="41903" xr:uid="{00000000-0005-0000-0000-0000B0920000}"/>
    <cellStyle name="Normal 55 7 2 3 3" xfId="41905" xr:uid="{00000000-0005-0000-0000-0000B1920000}"/>
    <cellStyle name="Normal 55 7 2 4" xfId="24023" xr:uid="{00000000-0005-0000-0000-0000B2920000}"/>
    <cellStyle name="Normal 55 7 2 4 2" xfId="20649" xr:uid="{00000000-0005-0000-0000-0000B3920000}"/>
    <cellStyle name="Normal 55 7 2 4 2 2" xfId="41908" xr:uid="{00000000-0005-0000-0000-0000B4920000}"/>
    <cellStyle name="Normal 55 7 2 4 3" xfId="41910" xr:uid="{00000000-0005-0000-0000-0000B5920000}"/>
    <cellStyle name="Normal 55 7 2 5" xfId="41912" xr:uid="{00000000-0005-0000-0000-0000B6920000}"/>
    <cellStyle name="Normal 55 7 2 5 2" xfId="41914" xr:uid="{00000000-0005-0000-0000-0000B7920000}"/>
    <cellStyle name="Normal 55 7 2 6" xfId="41916" xr:uid="{00000000-0005-0000-0000-0000B8920000}"/>
    <cellStyle name="Normal 55 7 2 6 2" xfId="41918" xr:uid="{00000000-0005-0000-0000-0000B9920000}"/>
    <cellStyle name="Normal 55 7 2 7" xfId="41922" xr:uid="{00000000-0005-0000-0000-0000BA920000}"/>
    <cellStyle name="Normal 55 7 2 8" xfId="41924" xr:uid="{00000000-0005-0000-0000-0000BB920000}"/>
    <cellStyle name="Normal 55 7 3" xfId="41927" xr:uid="{00000000-0005-0000-0000-0000BC920000}"/>
    <cellStyle name="Normal 55 7 3 2" xfId="20244" xr:uid="{00000000-0005-0000-0000-0000BD920000}"/>
    <cellStyle name="Normal 55 7 3 2 2" xfId="41929" xr:uid="{00000000-0005-0000-0000-0000BE920000}"/>
    <cellStyle name="Normal 55 7 3 2 2 2" xfId="41931" xr:uid="{00000000-0005-0000-0000-0000BF920000}"/>
    <cellStyle name="Normal 55 7 3 2 3" xfId="29306" xr:uid="{00000000-0005-0000-0000-0000C0920000}"/>
    <cellStyle name="Normal 55 7 3 3" xfId="41933" xr:uid="{00000000-0005-0000-0000-0000C1920000}"/>
    <cellStyle name="Normal 55 7 3 3 2" xfId="41935" xr:uid="{00000000-0005-0000-0000-0000C2920000}"/>
    <cellStyle name="Normal 55 7 3 4" xfId="41939" xr:uid="{00000000-0005-0000-0000-0000C3920000}"/>
    <cellStyle name="Normal 55 7 4" xfId="41941" xr:uid="{00000000-0005-0000-0000-0000C4920000}"/>
    <cellStyle name="Normal 55 7 4 2" xfId="23860" xr:uid="{00000000-0005-0000-0000-0000C5920000}"/>
    <cellStyle name="Normal 55 7 4 2 2" xfId="41943" xr:uid="{00000000-0005-0000-0000-0000C6920000}"/>
    <cellStyle name="Normal 55 7 4 3" xfId="41945" xr:uid="{00000000-0005-0000-0000-0000C7920000}"/>
    <cellStyle name="Normal 55 7 5" xfId="41947" xr:uid="{00000000-0005-0000-0000-0000C8920000}"/>
    <cellStyle name="Normal 55 7 5 2" xfId="41949" xr:uid="{00000000-0005-0000-0000-0000C9920000}"/>
    <cellStyle name="Normal 55 7 5 2 2" xfId="41951" xr:uid="{00000000-0005-0000-0000-0000CA920000}"/>
    <cellStyle name="Normal 55 7 5 3" xfId="40829" xr:uid="{00000000-0005-0000-0000-0000CB920000}"/>
    <cellStyle name="Normal 55 7 6" xfId="17957" xr:uid="{00000000-0005-0000-0000-0000CC920000}"/>
    <cellStyle name="Normal 55 7 6 2" xfId="41953" xr:uid="{00000000-0005-0000-0000-0000CD920000}"/>
    <cellStyle name="Normal 55 7 7" xfId="41955" xr:uid="{00000000-0005-0000-0000-0000CE920000}"/>
    <cellStyle name="Normal 55 7 7 2" xfId="41957" xr:uid="{00000000-0005-0000-0000-0000CF920000}"/>
    <cellStyle name="Normal 55 7 8" xfId="41959" xr:uid="{00000000-0005-0000-0000-0000D0920000}"/>
    <cellStyle name="Normal 55 7 9" xfId="41961" xr:uid="{00000000-0005-0000-0000-0000D1920000}"/>
    <cellStyle name="Normal 55 8" xfId="41963" xr:uid="{00000000-0005-0000-0000-0000D2920000}"/>
    <cellStyle name="Normal 55 8 2" xfId="41966" xr:uid="{00000000-0005-0000-0000-0000D3920000}"/>
    <cellStyle name="Normal 55 8 2 2" xfId="41968" xr:uid="{00000000-0005-0000-0000-0000D4920000}"/>
    <cellStyle name="Normal 55 8 2 2 2" xfId="41970" xr:uid="{00000000-0005-0000-0000-0000D5920000}"/>
    <cellStyle name="Normal 55 8 2 2 2 2" xfId="41972" xr:uid="{00000000-0005-0000-0000-0000D6920000}"/>
    <cellStyle name="Normal 55 8 2 2 3" xfId="41974" xr:uid="{00000000-0005-0000-0000-0000D7920000}"/>
    <cellStyle name="Normal 55 8 2 3" xfId="41976" xr:uid="{00000000-0005-0000-0000-0000D8920000}"/>
    <cellStyle name="Normal 55 8 2 3 2" xfId="41978" xr:uid="{00000000-0005-0000-0000-0000D9920000}"/>
    <cellStyle name="Normal 55 8 2 4" xfId="41980" xr:uid="{00000000-0005-0000-0000-0000DA920000}"/>
    <cellStyle name="Normal 55 8 3" xfId="41982" xr:uid="{00000000-0005-0000-0000-0000DB920000}"/>
    <cellStyle name="Normal 55 8 3 2" xfId="41984" xr:uid="{00000000-0005-0000-0000-0000DC920000}"/>
    <cellStyle name="Normal 55 8 3 2 2" xfId="41986" xr:uid="{00000000-0005-0000-0000-0000DD920000}"/>
    <cellStyle name="Normal 55 8 3 3" xfId="41988" xr:uid="{00000000-0005-0000-0000-0000DE920000}"/>
    <cellStyle name="Normal 55 8 4" xfId="41990" xr:uid="{00000000-0005-0000-0000-0000DF920000}"/>
    <cellStyle name="Normal 55 8 4 2" xfId="41992" xr:uid="{00000000-0005-0000-0000-0000E0920000}"/>
    <cellStyle name="Normal 55 8 4 2 2" xfId="41994" xr:uid="{00000000-0005-0000-0000-0000E1920000}"/>
    <cellStyle name="Normal 55 8 4 3" xfId="41996" xr:uid="{00000000-0005-0000-0000-0000E2920000}"/>
    <cellStyle name="Normal 55 8 5" xfId="41998" xr:uid="{00000000-0005-0000-0000-0000E3920000}"/>
    <cellStyle name="Normal 55 8 5 2" xfId="42000" xr:uid="{00000000-0005-0000-0000-0000E4920000}"/>
    <cellStyle name="Normal 55 8 6" xfId="42002" xr:uid="{00000000-0005-0000-0000-0000E5920000}"/>
    <cellStyle name="Normal 55 8 6 2" xfId="42004" xr:uid="{00000000-0005-0000-0000-0000E6920000}"/>
    <cellStyle name="Normal 55 8 7" xfId="42006" xr:uid="{00000000-0005-0000-0000-0000E7920000}"/>
    <cellStyle name="Normal 55 8 8" xfId="42008" xr:uid="{00000000-0005-0000-0000-0000E8920000}"/>
    <cellStyle name="Normal 55 9" xfId="42010" xr:uid="{00000000-0005-0000-0000-0000E9920000}"/>
    <cellStyle name="Normal 55 9 2" xfId="13064" xr:uid="{00000000-0005-0000-0000-0000EA920000}"/>
    <cellStyle name="Normal 55 9 2 2" xfId="5834" xr:uid="{00000000-0005-0000-0000-0000EB920000}"/>
    <cellStyle name="Normal 55 9 2 2 2" xfId="42012" xr:uid="{00000000-0005-0000-0000-0000EC920000}"/>
    <cellStyle name="Normal 55 9 2 3" xfId="42014" xr:uid="{00000000-0005-0000-0000-0000ED920000}"/>
    <cellStyle name="Normal 55 9 3" xfId="13068" xr:uid="{00000000-0005-0000-0000-0000EE920000}"/>
    <cellStyle name="Normal 55 9 3 2" xfId="1231" xr:uid="{00000000-0005-0000-0000-0000EF920000}"/>
    <cellStyle name="Normal 55 9 4" xfId="5876" xr:uid="{00000000-0005-0000-0000-0000F0920000}"/>
    <cellStyle name="Normal 56" xfId="5334" xr:uid="{00000000-0005-0000-0000-0000F1920000}"/>
    <cellStyle name="Normal 56 10" xfId="42016" xr:uid="{00000000-0005-0000-0000-0000F2920000}"/>
    <cellStyle name="Normal 56 10 2" xfId="2954" xr:uid="{00000000-0005-0000-0000-0000F3920000}"/>
    <cellStyle name="Normal 56 10 2 2" xfId="9156" xr:uid="{00000000-0005-0000-0000-0000F4920000}"/>
    <cellStyle name="Normal 56 10 3" xfId="9165" xr:uid="{00000000-0005-0000-0000-0000F5920000}"/>
    <cellStyle name="Normal 56 11" xfId="42018" xr:uid="{00000000-0005-0000-0000-0000F6920000}"/>
    <cellStyle name="Normal 56 11 2" xfId="6940" xr:uid="{00000000-0005-0000-0000-0000F7920000}"/>
    <cellStyle name="Normal 56 11 2 2" xfId="12654" xr:uid="{00000000-0005-0000-0000-0000F8920000}"/>
    <cellStyle name="Normal 56 11 3" xfId="12658" xr:uid="{00000000-0005-0000-0000-0000F9920000}"/>
    <cellStyle name="Normal 56 12" xfId="42020" xr:uid="{00000000-0005-0000-0000-0000FA920000}"/>
    <cellStyle name="Normal 56 12 2" xfId="42022" xr:uid="{00000000-0005-0000-0000-0000FB920000}"/>
    <cellStyle name="Normal 56 13" xfId="42024" xr:uid="{00000000-0005-0000-0000-0000FC920000}"/>
    <cellStyle name="Normal 56 13 2" xfId="42026" xr:uid="{00000000-0005-0000-0000-0000FD920000}"/>
    <cellStyle name="Normal 56 14" xfId="42028" xr:uid="{00000000-0005-0000-0000-0000FE920000}"/>
    <cellStyle name="Normal 56 14 2" xfId="42030" xr:uid="{00000000-0005-0000-0000-0000FF920000}"/>
    <cellStyle name="Normal 56 15" xfId="42032" xr:uid="{00000000-0005-0000-0000-000000930000}"/>
    <cellStyle name="Normal 56 16" xfId="42034" xr:uid="{00000000-0005-0000-0000-000001930000}"/>
    <cellStyle name="Normal 56 2" xfId="42036" xr:uid="{00000000-0005-0000-0000-000002930000}"/>
    <cellStyle name="Normal 56 2 10" xfId="42038" xr:uid="{00000000-0005-0000-0000-000003930000}"/>
    <cellStyle name="Normal 56 2 10 2" xfId="42040" xr:uid="{00000000-0005-0000-0000-000004930000}"/>
    <cellStyle name="Normal 56 2 11" xfId="42042" xr:uid="{00000000-0005-0000-0000-000005930000}"/>
    <cellStyle name="Normal 56 2 11 2" xfId="42044" xr:uid="{00000000-0005-0000-0000-000006930000}"/>
    <cellStyle name="Normal 56 2 12" xfId="42046" xr:uid="{00000000-0005-0000-0000-000007930000}"/>
    <cellStyle name="Normal 56 2 12 2" xfId="42048" xr:uid="{00000000-0005-0000-0000-000008930000}"/>
    <cellStyle name="Normal 56 2 13" xfId="42050" xr:uid="{00000000-0005-0000-0000-000009930000}"/>
    <cellStyle name="Normal 56 2 14" xfId="42053" xr:uid="{00000000-0005-0000-0000-00000A930000}"/>
    <cellStyle name="Normal 56 2 2" xfId="23655" xr:uid="{00000000-0005-0000-0000-00000B930000}"/>
    <cellStyle name="Normal 56 2 2 10" xfId="37965" xr:uid="{00000000-0005-0000-0000-00000C930000}"/>
    <cellStyle name="Normal 56 2 2 2" xfId="42055" xr:uid="{00000000-0005-0000-0000-00000D930000}"/>
    <cellStyle name="Normal 56 2 2 2 2" xfId="40383" xr:uid="{00000000-0005-0000-0000-00000E930000}"/>
    <cellStyle name="Normal 56 2 2 2 2 2" xfId="40386" xr:uid="{00000000-0005-0000-0000-00000F930000}"/>
    <cellStyle name="Normal 56 2 2 2 2 2 2" xfId="40389" xr:uid="{00000000-0005-0000-0000-000010930000}"/>
    <cellStyle name="Normal 56 2 2 2 2 2 2 2" xfId="42057" xr:uid="{00000000-0005-0000-0000-000011930000}"/>
    <cellStyle name="Normal 56 2 2 2 2 2 2 2 2" xfId="42060" xr:uid="{00000000-0005-0000-0000-000012930000}"/>
    <cellStyle name="Normal 56 2 2 2 2 2 2 3" xfId="42062" xr:uid="{00000000-0005-0000-0000-000013930000}"/>
    <cellStyle name="Normal 56 2 2 2 2 2 3" xfId="42064" xr:uid="{00000000-0005-0000-0000-000014930000}"/>
    <cellStyle name="Normal 56 2 2 2 2 2 3 2" xfId="42066" xr:uid="{00000000-0005-0000-0000-000015930000}"/>
    <cellStyle name="Normal 56 2 2 2 2 2 4" xfId="42068" xr:uid="{00000000-0005-0000-0000-000016930000}"/>
    <cellStyle name="Normal 56 2 2 2 2 3" xfId="40392" xr:uid="{00000000-0005-0000-0000-000017930000}"/>
    <cellStyle name="Normal 56 2 2 2 2 3 2" xfId="42070" xr:uid="{00000000-0005-0000-0000-000018930000}"/>
    <cellStyle name="Normal 56 2 2 2 2 3 2 2" xfId="42072" xr:uid="{00000000-0005-0000-0000-000019930000}"/>
    <cellStyle name="Normal 56 2 2 2 2 3 3" xfId="42074" xr:uid="{00000000-0005-0000-0000-00001A930000}"/>
    <cellStyle name="Normal 56 2 2 2 2 4" xfId="42076" xr:uid="{00000000-0005-0000-0000-00001B930000}"/>
    <cellStyle name="Normal 56 2 2 2 2 4 2" xfId="42078" xr:uid="{00000000-0005-0000-0000-00001C930000}"/>
    <cellStyle name="Normal 56 2 2 2 2 4 2 2" xfId="42080" xr:uid="{00000000-0005-0000-0000-00001D930000}"/>
    <cellStyle name="Normal 56 2 2 2 2 4 3" xfId="42082" xr:uid="{00000000-0005-0000-0000-00001E930000}"/>
    <cellStyle name="Normal 56 2 2 2 2 5" xfId="42085" xr:uid="{00000000-0005-0000-0000-00001F930000}"/>
    <cellStyle name="Normal 56 2 2 2 2 5 2" xfId="42087" xr:uid="{00000000-0005-0000-0000-000020930000}"/>
    <cellStyle name="Normal 56 2 2 2 2 6" xfId="42089" xr:uid="{00000000-0005-0000-0000-000021930000}"/>
    <cellStyle name="Normal 56 2 2 2 2 6 2" xfId="42091" xr:uid="{00000000-0005-0000-0000-000022930000}"/>
    <cellStyle name="Normal 56 2 2 2 2 7" xfId="42093" xr:uid="{00000000-0005-0000-0000-000023930000}"/>
    <cellStyle name="Normal 56 2 2 2 2 8" xfId="6798" xr:uid="{00000000-0005-0000-0000-000024930000}"/>
    <cellStyle name="Normal 56 2 2 2 3" xfId="40395" xr:uid="{00000000-0005-0000-0000-000025930000}"/>
    <cellStyle name="Normal 56 2 2 2 3 2" xfId="40398" xr:uid="{00000000-0005-0000-0000-000026930000}"/>
    <cellStyle name="Normal 56 2 2 2 3 2 2" xfId="42095" xr:uid="{00000000-0005-0000-0000-000027930000}"/>
    <cellStyle name="Normal 56 2 2 2 3 2 2 2" xfId="42097" xr:uid="{00000000-0005-0000-0000-000028930000}"/>
    <cellStyle name="Normal 56 2 2 2 3 2 3" xfId="42099" xr:uid="{00000000-0005-0000-0000-000029930000}"/>
    <cellStyle name="Normal 56 2 2 2 3 3" xfId="42101" xr:uid="{00000000-0005-0000-0000-00002A930000}"/>
    <cellStyle name="Normal 56 2 2 2 3 3 2" xfId="42103" xr:uid="{00000000-0005-0000-0000-00002B930000}"/>
    <cellStyle name="Normal 56 2 2 2 3 4" xfId="42105" xr:uid="{00000000-0005-0000-0000-00002C930000}"/>
    <cellStyle name="Normal 56 2 2 2 4" xfId="24706" xr:uid="{00000000-0005-0000-0000-00002D930000}"/>
    <cellStyle name="Normal 56 2 2 2 4 2" xfId="40401" xr:uid="{00000000-0005-0000-0000-00002E930000}"/>
    <cellStyle name="Normal 56 2 2 2 4 2 2" xfId="42107" xr:uid="{00000000-0005-0000-0000-00002F930000}"/>
    <cellStyle name="Normal 56 2 2 2 4 3" xfId="31231" xr:uid="{00000000-0005-0000-0000-000030930000}"/>
    <cellStyle name="Normal 56 2 2 2 5" xfId="40404" xr:uid="{00000000-0005-0000-0000-000031930000}"/>
    <cellStyle name="Normal 56 2 2 2 5 2" xfId="42109" xr:uid="{00000000-0005-0000-0000-000032930000}"/>
    <cellStyle name="Normal 56 2 2 2 5 2 2" xfId="42111" xr:uid="{00000000-0005-0000-0000-000033930000}"/>
    <cellStyle name="Normal 56 2 2 2 5 3" xfId="42113" xr:uid="{00000000-0005-0000-0000-000034930000}"/>
    <cellStyle name="Normal 56 2 2 2 6" xfId="40407" xr:uid="{00000000-0005-0000-0000-000035930000}"/>
    <cellStyle name="Normal 56 2 2 2 6 2" xfId="33026" xr:uid="{00000000-0005-0000-0000-000036930000}"/>
    <cellStyle name="Normal 56 2 2 2 7" xfId="42115" xr:uid="{00000000-0005-0000-0000-000037930000}"/>
    <cellStyle name="Normal 56 2 2 2 7 2" xfId="42117" xr:uid="{00000000-0005-0000-0000-000038930000}"/>
    <cellStyle name="Normal 56 2 2 2 8" xfId="42121" xr:uid="{00000000-0005-0000-0000-000039930000}"/>
    <cellStyle name="Normal 56 2 2 2 9" xfId="42125" xr:uid="{00000000-0005-0000-0000-00003A930000}"/>
    <cellStyle name="Normal 56 2 2 3" xfId="42127" xr:uid="{00000000-0005-0000-0000-00003B930000}"/>
    <cellStyle name="Normal 56 2 2 3 2" xfId="14426" xr:uid="{00000000-0005-0000-0000-00003C930000}"/>
    <cellStyle name="Normal 56 2 2 3 2 2" xfId="14431" xr:uid="{00000000-0005-0000-0000-00003D930000}"/>
    <cellStyle name="Normal 56 2 2 3 2 2 2" xfId="42129" xr:uid="{00000000-0005-0000-0000-00003E930000}"/>
    <cellStyle name="Normal 56 2 2 3 2 2 2 2" xfId="42131" xr:uid="{00000000-0005-0000-0000-00003F930000}"/>
    <cellStyle name="Normal 56 2 2 3 2 2 3" xfId="42133" xr:uid="{00000000-0005-0000-0000-000040930000}"/>
    <cellStyle name="Normal 56 2 2 3 2 3" xfId="42135" xr:uid="{00000000-0005-0000-0000-000041930000}"/>
    <cellStyle name="Normal 56 2 2 3 2 3 2" xfId="42137" xr:uid="{00000000-0005-0000-0000-000042930000}"/>
    <cellStyle name="Normal 56 2 2 3 2 4" xfId="42139" xr:uid="{00000000-0005-0000-0000-000043930000}"/>
    <cellStyle name="Normal 56 2 2 3 3" xfId="14436" xr:uid="{00000000-0005-0000-0000-000044930000}"/>
    <cellStyle name="Normal 56 2 2 3 3 2" xfId="26431" xr:uid="{00000000-0005-0000-0000-000045930000}"/>
    <cellStyle name="Normal 56 2 2 3 3 2 2" xfId="42142" xr:uid="{00000000-0005-0000-0000-000046930000}"/>
    <cellStyle name="Normal 56 2 2 3 3 3" xfId="16277" xr:uid="{00000000-0005-0000-0000-000047930000}"/>
    <cellStyle name="Normal 56 2 2 3 4" xfId="24712" xr:uid="{00000000-0005-0000-0000-000048930000}"/>
    <cellStyle name="Normal 56 2 2 3 4 2" xfId="42145" xr:uid="{00000000-0005-0000-0000-000049930000}"/>
    <cellStyle name="Normal 56 2 2 3 4 2 2" xfId="42147" xr:uid="{00000000-0005-0000-0000-00004A930000}"/>
    <cellStyle name="Normal 56 2 2 3 4 3" xfId="31237" xr:uid="{00000000-0005-0000-0000-00004B930000}"/>
    <cellStyle name="Normal 56 2 2 3 5" xfId="26435" xr:uid="{00000000-0005-0000-0000-00004C930000}"/>
    <cellStyle name="Normal 56 2 2 3 5 2" xfId="42149" xr:uid="{00000000-0005-0000-0000-00004D930000}"/>
    <cellStyle name="Normal 56 2 2 3 6" xfId="42151" xr:uid="{00000000-0005-0000-0000-00004E930000}"/>
    <cellStyle name="Normal 56 2 2 3 6 2" xfId="33095" xr:uid="{00000000-0005-0000-0000-00004F930000}"/>
    <cellStyle name="Normal 56 2 2 3 7" xfId="42153" xr:uid="{00000000-0005-0000-0000-000050930000}"/>
    <cellStyle name="Normal 56 2 2 3 8" xfId="42157" xr:uid="{00000000-0005-0000-0000-000051930000}"/>
    <cellStyle name="Normal 56 2 2 4" xfId="4416" xr:uid="{00000000-0005-0000-0000-000052930000}"/>
    <cellStyle name="Normal 56 2 2 4 2" xfId="4445" xr:uid="{00000000-0005-0000-0000-000053930000}"/>
    <cellStyle name="Normal 56 2 2 4 2 2" xfId="383" xr:uid="{00000000-0005-0000-0000-000054930000}"/>
    <cellStyle name="Normal 56 2 2 4 2 2 2" xfId="4052" xr:uid="{00000000-0005-0000-0000-000055930000}"/>
    <cellStyle name="Normal 56 2 2 4 2 3" xfId="4464" xr:uid="{00000000-0005-0000-0000-000056930000}"/>
    <cellStyle name="Normal 56 2 2 4 3" xfId="4496" xr:uid="{00000000-0005-0000-0000-000057930000}"/>
    <cellStyle name="Normal 56 2 2 4 3 2" xfId="4504" xr:uid="{00000000-0005-0000-0000-000058930000}"/>
    <cellStyle name="Normal 56 2 2 4 4" xfId="4516" xr:uid="{00000000-0005-0000-0000-000059930000}"/>
    <cellStyle name="Normal 56 2 2 5" xfId="4550" xr:uid="{00000000-0005-0000-0000-00005A930000}"/>
    <cellStyle name="Normal 56 2 2 5 2" xfId="4567" xr:uid="{00000000-0005-0000-0000-00005B930000}"/>
    <cellStyle name="Normal 56 2 2 5 2 2" xfId="4571" xr:uid="{00000000-0005-0000-0000-00005C930000}"/>
    <cellStyle name="Normal 56 2 2 5 3" xfId="4600" xr:uid="{00000000-0005-0000-0000-00005D930000}"/>
    <cellStyle name="Normal 56 2 2 6" xfId="4609" xr:uid="{00000000-0005-0000-0000-00005E930000}"/>
    <cellStyle name="Normal 56 2 2 6 2" xfId="4613" xr:uid="{00000000-0005-0000-0000-00005F930000}"/>
    <cellStyle name="Normal 56 2 2 6 2 2" xfId="4622" xr:uid="{00000000-0005-0000-0000-000060930000}"/>
    <cellStyle name="Normal 56 2 2 6 3" xfId="4629" xr:uid="{00000000-0005-0000-0000-000061930000}"/>
    <cellStyle name="Normal 56 2 2 7" xfId="4639" xr:uid="{00000000-0005-0000-0000-000062930000}"/>
    <cellStyle name="Normal 56 2 2 7 2" xfId="4645" xr:uid="{00000000-0005-0000-0000-000063930000}"/>
    <cellStyle name="Normal 56 2 2 8" xfId="2018" xr:uid="{00000000-0005-0000-0000-000064930000}"/>
    <cellStyle name="Normal 56 2 2 8 2" xfId="2042" xr:uid="{00000000-0005-0000-0000-000065930000}"/>
    <cellStyle name="Normal 56 2 2 9" xfId="220" xr:uid="{00000000-0005-0000-0000-000066930000}"/>
    <cellStyle name="Normal 56 2 3" xfId="42159" xr:uid="{00000000-0005-0000-0000-000067930000}"/>
    <cellStyle name="Normal 56 2 3 2" xfId="42161" xr:uid="{00000000-0005-0000-0000-000068930000}"/>
    <cellStyle name="Normal 56 2 3 2 2" xfId="40438" xr:uid="{00000000-0005-0000-0000-000069930000}"/>
    <cellStyle name="Normal 56 2 3 2 2 2" xfId="42163" xr:uid="{00000000-0005-0000-0000-00006A930000}"/>
    <cellStyle name="Normal 56 2 3 2 2 2 2" xfId="42165" xr:uid="{00000000-0005-0000-0000-00006B930000}"/>
    <cellStyle name="Normal 56 2 3 2 2 2 2 2" xfId="42167" xr:uid="{00000000-0005-0000-0000-00006C930000}"/>
    <cellStyle name="Normal 56 2 3 2 2 2 3" xfId="42169" xr:uid="{00000000-0005-0000-0000-00006D930000}"/>
    <cellStyle name="Normal 56 2 3 2 2 3" xfId="42171" xr:uid="{00000000-0005-0000-0000-00006E930000}"/>
    <cellStyle name="Normal 56 2 3 2 2 3 2" xfId="42173" xr:uid="{00000000-0005-0000-0000-00006F930000}"/>
    <cellStyle name="Normal 56 2 3 2 2 4" xfId="42175" xr:uid="{00000000-0005-0000-0000-000070930000}"/>
    <cellStyle name="Normal 56 2 3 2 2 5" xfId="42177" xr:uid="{00000000-0005-0000-0000-000071930000}"/>
    <cellStyle name="Normal 56 2 3 2 3" xfId="40441" xr:uid="{00000000-0005-0000-0000-000072930000}"/>
    <cellStyle name="Normal 56 2 3 2 3 2" xfId="14216" xr:uid="{00000000-0005-0000-0000-000073930000}"/>
    <cellStyle name="Normal 56 2 3 2 3 2 2" xfId="14221" xr:uid="{00000000-0005-0000-0000-000074930000}"/>
    <cellStyle name="Normal 56 2 3 2 3 3" xfId="14227" xr:uid="{00000000-0005-0000-0000-000075930000}"/>
    <cellStyle name="Normal 56 2 3 2 4" xfId="42179" xr:uid="{00000000-0005-0000-0000-000076930000}"/>
    <cellStyle name="Normal 56 2 3 2 4 2" xfId="14280" xr:uid="{00000000-0005-0000-0000-000077930000}"/>
    <cellStyle name="Normal 56 2 3 2 4 2 2" xfId="14287" xr:uid="{00000000-0005-0000-0000-000078930000}"/>
    <cellStyle name="Normal 56 2 3 2 4 3" xfId="14296" xr:uid="{00000000-0005-0000-0000-000079930000}"/>
    <cellStyle name="Normal 56 2 3 2 5" xfId="42181" xr:uid="{00000000-0005-0000-0000-00007A930000}"/>
    <cellStyle name="Normal 56 2 3 2 5 2" xfId="14322" xr:uid="{00000000-0005-0000-0000-00007B930000}"/>
    <cellStyle name="Normal 56 2 3 2 6" xfId="42183" xr:uid="{00000000-0005-0000-0000-00007C930000}"/>
    <cellStyle name="Normal 56 2 3 2 6 2" xfId="14335" xr:uid="{00000000-0005-0000-0000-00007D930000}"/>
    <cellStyle name="Normal 56 2 3 2 7" xfId="42185" xr:uid="{00000000-0005-0000-0000-00007E930000}"/>
    <cellStyle name="Normal 56 2 3 2 8" xfId="42189" xr:uid="{00000000-0005-0000-0000-00007F930000}"/>
    <cellStyle name="Normal 56 2 3 3" xfId="42191" xr:uid="{00000000-0005-0000-0000-000080930000}"/>
    <cellStyle name="Normal 56 2 3 3 2" xfId="14440" xr:uid="{00000000-0005-0000-0000-000081930000}"/>
    <cellStyle name="Normal 56 2 3 3 2 2" xfId="26455" xr:uid="{00000000-0005-0000-0000-000082930000}"/>
    <cellStyle name="Normal 56 2 3 3 2 2 2" xfId="42193" xr:uid="{00000000-0005-0000-0000-000083930000}"/>
    <cellStyle name="Normal 56 2 3 3 2 3" xfId="42195" xr:uid="{00000000-0005-0000-0000-000084930000}"/>
    <cellStyle name="Normal 56 2 3 3 3" xfId="26459" xr:uid="{00000000-0005-0000-0000-000085930000}"/>
    <cellStyle name="Normal 56 2 3 3 3 2" xfId="14356" xr:uid="{00000000-0005-0000-0000-000086930000}"/>
    <cellStyle name="Normal 56 2 3 3 4" xfId="26463" xr:uid="{00000000-0005-0000-0000-000087930000}"/>
    <cellStyle name="Normal 56 2 3 3 5" xfId="26466" xr:uid="{00000000-0005-0000-0000-000088930000}"/>
    <cellStyle name="Normal 56 2 3 4" xfId="4672" xr:uid="{00000000-0005-0000-0000-000089930000}"/>
    <cellStyle name="Normal 56 2 3 4 2" xfId="4688" xr:uid="{00000000-0005-0000-0000-00008A930000}"/>
    <cellStyle name="Normal 56 2 3 4 2 2" xfId="2445" xr:uid="{00000000-0005-0000-0000-00008B930000}"/>
    <cellStyle name="Normal 56 2 3 4 3" xfId="4729" xr:uid="{00000000-0005-0000-0000-00008C930000}"/>
    <cellStyle name="Normal 56 2 3 5" xfId="4792" xr:uid="{00000000-0005-0000-0000-00008D930000}"/>
    <cellStyle name="Normal 56 2 3 5 2" xfId="4801" xr:uid="{00000000-0005-0000-0000-00008E930000}"/>
    <cellStyle name="Normal 56 2 3 5 2 2" xfId="4275" xr:uid="{00000000-0005-0000-0000-00008F930000}"/>
    <cellStyle name="Normal 56 2 3 5 3" xfId="2165" xr:uid="{00000000-0005-0000-0000-000090930000}"/>
    <cellStyle name="Normal 56 2 3 6" xfId="4824" xr:uid="{00000000-0005-0000-0000-000091930000}"/>
    <cellStyle name="Normal 56 2 3 6 2" xfId="4836" xr:uid="{00000000-0005-0000-0000-000092930000}"/>
    <cellStyle name="Normal 56 2 3 7" xfId="1825" xr:uid="{00000000-0005-0000-0000-000093930000}"/>
    <cellStyle name="Normal 56 2 3 7 2" xfId="1120" xr:uid="{00000000-0005-0000-0000-000094930000}"/>
    <cellStyle name="Normal 56 2 3 8" xfId="2079" xr:uid="{00000000-0005-0000-0000-000095930000}"/>
    <cellStyle name="Normal 56 2 3 9" xfId="4010" xr:uid="{00000000-0005-0000-0000-000096930000}"/>
    <cellStyle name="Normal 56 2 4" xfId="42197" xr:uid="{00000000-0005-0000-0000-000097930000}"/>
    <cellStyle name="Normal 56 2 4 2" xfId="42199" xr:uid="{00000000-0005-0000-0000-000098930000}"/>
    <cellStyle name="Normal 56 2 4 2 2" xfId="40479" xr:uid="{00000000-0005-0000-0000-000099930000}"/>
    <cellStyle name="Normal 56 2 4 2 2 2" xfId="42203" xr:uid="{00000000-0005-0000-0000-00009A930000}"/>
    <cellStyle name="Normal 56 2 4 2 2 2 2" xfId="42205" xr:uid="{00000000-0005-0000-0000-00009B930000}"/>
    <cellStyle name="Normal 56 2 4 2 2 2 2 2" xfId="42207" xr:uid="{00000000-0005-0000-0000-00009C930000}"/>
    <cellStyle name="Normal 56 2 4 2 2 2 3" xfId="42209" xr:uid="{00000000-0005-0000-0000-00009D930000}"/>
    <cellStyle name="Normal 56 2 4 2 2 3" xfId="42212" xr:uid="{00000000-0005-0000-0000-00009E930000}"/>
    <cellStyle name="Normal 56 2 4 2 2 3 2" xfId="42214" xr:uid="{00000000-0005-0000-0000-00009F930000}"/>
    <cellStyle name="Normal 56 2 4 2 2 4" xfId="42216" xr:uid="{00000000-0005-0000-0000-0000A0930000}"/>
    <cellStyle name="Normal 56 2 4 2 3" xfId="42218" xr:uid="{00000000-0005-0000-0000-0000A1930000}"/>
    <cellStyle name="Normal 56 2 4 2 3 2" xfId="14731" xr:uid="{00000000-0005-0000-0000-0000A2930000}"/>
    <cellStyle name="Normal 56 2 4 2 3 2 2" xfId="14734" xr:uid="{00000000-0005-0000-0000-0000A3930000}"/>
    <cellStyle name="Normal 56 2 4 2 3 3" xfId="14740" xr:uid="{00000000-0005-0000-0000-0000A4930000}"/>
    <cellStyle name="Normal 56 2 4 2 4" xfId="42220" xr:uid="{00000000-0005-0000-0000-0000A5930000}"/>
    <cellStyle name="Normal 56 2 4 2 4 2" xfId="14765" xr:uid="{00000000-0005-0000-0000-0000A6930000}"/>
    <cellStyle name="Normal 56 2 4 2 4 2 2" xfId="33990" xr:uid="{00000000-0005-0000-0000-0000A7930000}"/>
    <cellStyle name="Normal 56 2 4 2 4 3" xfId="14772" xr:uid="{00000000-0005-0000-0000-0000A8930000}"/>
    <cellStyle name="Normal 56 2 4 2 5" xfId="42222" xr:uid="{00000000-0005-0000-0000-0000A9930000}"/>
    <cellStyle name="Normal 56 2 4 2 5 2" xfId="14789" xr:uid="{00000000-0005-0000-0000-0000AA930000}"/>
    <cellStyle name="Normal 56 2 4 2 6" xfId="42224" xr:uid="{00000000-0005-0000-0000-0000AB930000}"/>
    <cellStyle name="Normal 56 2 4 2 6 2" xfId="36122" xr:uid="{00000000-0005-0000-0000-0000AC930000}"/>
    <cellStyle name="Normal 56 2 4 2 7" xfId="36957" xr:uid="{00000000-0005-0000-0000-0000AD930000}"/>
    <cellStyle name="Normal 56 2 4 2 8" xfId="36969" xr:uid="{00000000-0005-0000-0000-0000AE930000}"/>
    <cellStyle name="Normal 56 2 4 3" xfId="42226" xr:uid="{00000000-0005-0000-0000-0000AF930000}"/>
    <cellStyle name="Normal 56 2 4 3 2" xfId="14445" xr:uid="{00000000-0005-0000-0000-0000B0930000}"/>
    <cellStyle name="Normal 56 2 4 3 2 2" xfId="9623" xr:uid="{00000000-0005-0000-0000-0000B1930000}"/>
    <cellStyle name="Normal 56 2 4 3 2 2 2" xfId="2402" xr:uid="{00000000-0005-0000-0000-0000B2930000}"/>
    <cellStyle name="Normal 56 2 4 3 2 3" xfId="42228" xr:uid="{00000000-0005-0000-0000-0000B3930000}"/>
    <cellStyle name="Normal 56 2 4 3 3" xfId="11247" xr:uid="{00000000-0005-0000-0000-0000B4930000}"/>
    <cellStyle name="Normal 56 2 4 3 3 2" xfId="9745" xr:uid="{00000000-0005-0000-0000-0000B5930000}"/>
    <cellStyle name="Normal 56 2 4 3 4" xfId="11300" xr:uid="{00000000-0005-0000-0000-0000B6930000}"/>
    <cellStyle name="Normal 56 2 4 4" xfId="2464" xr:uid="{00000000-0005-0000-0000-0000B7930000}"/>
    <cellStyle name="Normal 56 2 4 4 2" xfId="2482" xr:uid="{00000000-0005-0000-0000-0000B8930000}"/>
    <cellStyle name="Normal 56 2 4 4 2 2" xfId="1081" xr:uid="{00000000-0005-0000-0000-0000B9930000}"/>
    <cellStyle name="Normal 56 2 4 4 3" xfId="2495" xr:uid="{00000000-0005-0000-0000-0000BA930000}"/>
    <cellStyle name="Normal 56 2 4 5" xfId="2515" xr:uid="{00000000-0005-0000-0000-0000BB930000}"/>
    <cellStyle name="Normal 56 2 4 5 2" xfId="2541" xr:uid="{00000000-0005-0000-0000-0000BC930000}"/>
    <cellStyle name="Normal 56 2 4 5 2 2" xfId="2566" xr:uid="{00000000-0005-0000-0000-0000BD930000}"/>
    <cellStyle name="Normal 56 2 4 5 3" xfId="2588" xr:uid="{00000000-0005-0000-0000-0000BE930000}"/>
    <cellStyle name="Normal 56 2 4 6" xfId="2597" xr:uid="{00000000-0005-0000-0000-0000BF930000}"/>
    <cellStyle name="Normal 56 2 4 6 2" xfId="2608" xr:uid="{00000000-0005-0000-0000-0000C0930000}"/>
    <cellStyle name="Normal 56 2 4 7" xfId="2627" xr:uid="{00000000-0005-0000-0000-0000C1930000}"/>
    <cellStyle name="Normal 56 2 4 7 2" xfId="2630" xr:uid="{00000000-0005-0000-0000-0000C2930000}"/>
    <cellStyle name="Normal 56 2 4 8" xfId="2096" xr:uid="{00000000-0005-0000-0000-0000C3930000}"/>
    <cellStyle name="Normal 56 2 4 9" xfId="4032" xr:uid="{00000000-0005-0000-0000-0000C4930000}"/>
    <cellStyle name="Normal 56 2 5" xfId="42230" xr:uid="{00000000-0005-0000-0000-0000C5930000}"/>
    <cellStyle name="Normal 56 2 5 2" xfId="42232" xr:uid="{00000000-0005-0000-0000-0000C6930000}"/>
    <cellStyle name="Normal 56 2 5 2 2" xfId="40514" xr:uid="{00000000-0005-0000-0000-0000C7930000}"/>
    <cellStyle name="Normal 56 2 5 2 2 2" xfId="42234" xr:uid="{00000000-0005-0000-0000-0000C8930000}"/>
    <cellStyle name="Normal 56 2 5 2 2 2 2" xfId="42236" xr:uid="{00000000-0005-0000-0000-0000C9930000}"/>
    <cellStyle name="Normal 56 2 5 2 2 2 2 2" xfId="42238" xr:uid="{00000000-0005-0000-0000-0000CA930000}"/>
    <cellStyle name="Normal 56 2 5 2 2 2 3" xfId="42240" xr:uid="{00000000-0005-0000-0000-0000CB930000}"/>
    <cellStyle name="Normal 56 2 5 2 2 3" xfId="42242" xr:uid="{00000000-0005-0000-0000-0000CC930000}"/>
    <cellStyle name="Normal 56 2 5 2 2 3 2" xfId="42244" xr:uid="{00000000-0005-0000-0000-0000CD930000}"/>
    <cellStyle name="Normal 56 2 5 2 2 4" xfId="42246" xr:uid="{00000000-0005-0000-0000-0000CE930000}"/>
    <cellStyle name="Normal 56 2 5 2 3" xfId="42248" xr:uid="{00000000-0005-0000-0000-0000CF930000}"/>
    <cellStyle name="Normal 56 2 5 2 3 2" xfId="14919" xr:uid="{00000000-0005-0000-0000-0000D0930000}"/>
    <cellStyle name="Normal 56 2 5 2 3 2 2" xfId="42250" xr:uid="{00000000-0005-0000-0000-0000D1930000}"/>
    <cellStyle name="Normal 56 2 5 2 3 3" xfId="13565" xr:uid="{00000000-0005-0000-0000-0000D2930000}"/>
    <cellStyle name="Normal 56 2 5 2 4" xfId="42252" xr:uid="{00000000-0005-0000-0000-0000D3930000}"/>
    <cellStyle name="Normal 56 2 5 2 4 2" xfId="42254" xr:uid="{00000000-0005-0000-0000-0000D4930000}"/>
    <cellStyle name="Normal 56 2 5 2 4 2 2" xfId="34319" xr:uid="{00000000-0005-0000-0000-0000D5930000}"/>
    <cellStyle name="Normal 56 2 5 2 4 3" xfId="42256" xr:uid="{00000000-0005-0000-0000-0000D6930000}"/>
    <cellStyle name="Normal 56 2 5 2 5" xfId="3620" xr:uid="{00000000-0005-0000-0000-0000D7930000}"/>
    <cellStyle name="Normal 56 2 5 2 5 2" xfId="3628" xr:uid="{00000000-0005-0000-0000-0000D8930000}"/>
    <cellStyle name="Normal 56 2 5 2 6" xfId="3215" xr:uid="{00000000-0005-0000-0000-0000D9930000}"/>
    <cellStyle name="Normal 56 2 5 2 6 2" xfId="3648" xr:uid="{00000000-0005-0000-0000-0000DA930000}"/>
    <cellStyle name="Normal 56 2 5 2 7" xfId="3657" xr:uid="{00000000-0005-0000-0000-0000DB930000}"/>
    <cellStyle name="Normal 56 2 5 2 8" xfId="3675" xr:uid="{00000000-0005-0000-0000-0000DC930000}"/>
    <cellStyle name="Normal 56 2 5 3" xfId="2693" xr:uid="{00000000-0005-0000-0000-0000DD930000}"/>
    <cellStyle name="Normal 56 2 5 3 2" xfId="11711" xr:uid="{00000000-0005-0000-0000-0000DE930000}"/>
    <cellStyle name="Normal 56 2 5 3 2 2" xfId="42258" xr:uid="{00000000-0005-0000-0000-0000DF930000}"/>
    <cellStyle name="Normal 56 2 5 3 2 2 2" xfId="42260" xr:uid="{00000000-0005-0000-0000-0000E0930000}"/>
    <cellStyle name="Normal 56 2 5 3 2 3" xfId="42262" xr:uid="{00000000-0005-0000-0000-0000E1930000}"/>
    <cellStyle name="Normal 56 2 5 3 3" xfId="42265" xr:uid="{00000000-0005-0000-0000-0000E2930000}"/>
    <cellStyle name="Normal 56 2 5 3 3 2" xfId="10528" xr:uid="{00000000-0005-0000-0000-0000E3930000}"/>
    <cellStyle name="Normal 56 2 5 3 4" xfId="42267" xr:uid="{00000000-0005-0000-0000-0000E4930000}"/>
    <cellStyle name="Normal 56 2 5 4" xfId="2741" xr:uid="{00000000-0005-0000-0000-0000E5930000}"/>
    <cellStyle name="Normal 56 2 5 4 2" xfId="721" xr:uid="{00000000-0005-0000-0000-0000E6930000}"/>
    <cellStyle name="Normal 56 2 5 4 2 2" xfId="4951" xr:uid="{00000000-0005-0000-0000-0000E7930000}"/>
    <cellStyle name="Normal 56 2 5 4 3" xfId="4957" xr:uid="{00000000-0005-0000-0000-0000E8930000}"/>
    <cellStyle name="Normal 56 2 5 5" xfId="2760" xr:uid="{00000000-0005-0000-0000-0000E9930000}"/>
    <cellStyle name="Normal 56 2 5 5 2" xfId="4960" xr:uid="{00000000-0005-0000-0000-0000EA930000}"/>
    <cellStyle name="Normal 56 2 5 5 2 2" xfId="42269" xr:uid="{00000000-0005-0000-0000-0000EB930000}"/>
    <cellStyle name="Normal 56 2 5 5 3" xfId="42271" xr:uid="{00000000-0005-0000-0000-0000EC930000}"/>
    <cellStyle name="Normal 56 2 5 6" xfId="4963" xr:uid="{00000000-0005-0000-0000-0000ED930000}"/>
    <cellStyle name="Normal 56 2 5 6 2" xfId="42273" xr:uid="{00000000-0005-0000-0000-0000EE930000}"/>
    <cellStyle name="Normal 56 2 5 7" xfId="42275" xr:uid="{00000000-0005-0000-0000-0000EF930000}"/>
    <cellStyle name="Normal 56 2 5 7 2" xfId="42277" xr:uid="{00000000-0005-0000-0000-0000F0930000}"/>
    <cellStyle name="Normal 56 2 5 8" xfId="42279" xr:uid="{00000000-0005-0000-0000-0000F1930000}"/>
    <cellStyle name="Normal 56 2 5 9" xfId="42281" xr:uid="{00000000-0005-0000-0000-0000F2930000}"/>
    <cellStyle name="Normal 56 2 6" xfId="42283" xr:uid="{00000000-0005-0000-0000-0000F3930000}"/>
    <cellStyle name="Normal 56 2 6 2" xfId="42285" xr:uid="{00000000-0005-0000-0000-0000F4930000}"/>
    <cellStyle name="Normal 56 2 6 2 2" xfId="42287" xr:uid="{00000000-0005-0000-0000-0000F5930000}"/>
    <cellStyle name="Normal 56 2 6 2 2 2" xfId="42289" xr:uid="{00000000-0005-0000-0000-0000F6930000}"/>
    <cellStyle name="Normal 56 2 6 2 2 2 2" xfId="42291" xr:uid="{00000000-0005-0000-0000-0000F7930000}"/>
    <cellStyle name="Normal 56 2 6 2 2 3" xfId="42295" xr:uid="{00000000-0005-0000-0000-0000F8930000}"/>
    <cellStyle name="Normal 56 2 6 2 3" xfId="42297" xr:uid="{00000000-0005-0000-0000-0000F9930000}"/>
    <cellStyle name="Normal 56 2 6 2 3 2" xfId="10941" xr:uid="{00000000-0005-0000-0000-0000FA930000}"/>
    <cellStyle name="Normal 56 2 6 2 4" xfId="42299" xr:uid="{00000000-0005-0000-0000-0000FB930000}"/>
    <cellStyle name="Normal 56 2 6 3" xfId="11724" xr:uid="{00000000-0005-0000-0000-0000FC930000}"/>
    <cellStyle name="Normal 56 2 6 3 2" xfId="42301" xr:uid="{00000000-0005-0000-0000-0000FD930000}"/>
    <cellStyle name="Normal 56 2 6 3 2 2" xfId="42303" xr:uid="{00000000-0005-0000-0000-0000FE930000}"/>
    <cellStyle name="Normal 56 2 6 3 3" xfId="42305" xr:uid="{00000000-0005-0000-0000-0000FF930000}"/>
    <cellStyle name="Normal 56 2 6 4" xfId="625" xr:uid="{00000000-0005-0000-0000-000000940000}"/>
    <cellStyle name="Normal 56 2 6 4 2" xfId="876" xr:uid="{00000000-0005-0000-0000-000001940000}"/>
    <cellStyle name="Normal 56 2 6 4 2 2" xfId="42307" xr:uid="{00000000-0005-0000-0000-000002940000}"/>
    <cellStyle name="Normal 56 2 6 4 3" xfId="42309" xr:uid="{00000000-0005-0000-0000-000003940000}"/>
    <cellStyle name="Normal 56 2 6 5" xfId="714" xr:uid="{00000000-0005-0000-0000-000004940000}"/>
    <cellStyle name="Normal 56 2 6 5 2" xfId="42311" xr:uid="{00000000-0005-0000-0000-000005940000}"/>
    <cellStyle name="Normal 56 2 6 6" xfId="42313" xr:uid="{00000000-0005-0000-0000-000006940000}"/>
    <cellStyle name="Normal 56 2 6 6 2" xfId="42315" xr:uid="{00000000-0005-0000-0000-000007940000}"/>
    <cellStyle name="Normal 56 2 6 7" xfId="42317" xr:uid="{00000000-0005-0000-0000-000008940000}"/>
    <cellStyle name="Normal 56 2 6 8" xfId="42319" xr:uid="{00000000-0005-0000-0000-000009940000}"/>
    <cellStyle name="Normal 56 2 7" xfId="42321" xr:uid="{00000000-0005-0000-0000-00000A940000}"/>
    <cellStyle name="Normal 56 2 7 2" xfId="42323" xr:uid="{00000000-0005-0000-0000-00000B940000}"/>
    <cellStyle name="Normal 56 2 7 2 2" xfId="42325" xr:uid="{00000000-0005-0000-0000-00000C940000}"/>
    <cellStyle name="Normal 56 2 7 2 2 2" xfId="42327" xr:uid="{00000000-0005-0000-0000-00000D940000}"/>
    <cellStyle name="Normal 56 2 7 2 3" xfId="42329" xr:uid="{00000000-0005-0000-0000-00000E940000}"/>
    <cellStyle name="Normal 56 2 7 3" xfId="42331" xr:uid="{00000000-0005-0000-0000-00000F940000}"/>
    <cellStyle name="Normal 56 2 7 3 2" xfId="42333" xr:uid="{00000000-0005-0000-0000-000010940000}"/>
    <cellStyle name="Normal 56 2 7 4" xfId="2846" xr:uid="{00000000-0005-0000-0000-000011940000}"/>
    <cellStyle name="Normal 56 2 8" xfId="42335" xr:uid="{00000000-0005-0000-0000-000012940000}"/>
    <cellStyle name="Normal 56 2 8 2" xfId="30096" xr:uid="{00000000-0005-0000-0000-000013940000}"/>
    <cellStyle name="Normal 56 2 8 2 2" xfId="42338" xr:uid="{00000000-0005-0000-0000-000014940000}"/>
    <cellStyle name="Normal 56 2 8 3" xfId="42340" xr:uid="{00000000-0005-0000-0000-000015940000}"/>
    <cellStyle name="Normal 56 2 9" xfId="42342" xr:uid="{00000000-0005-0000-0000-000016940000}"/>
    <cellStyle name="Normal 56 2 9 2" xfId="42344" xr:uid="{00000000-0005-0000-0000-000017940000}"/>
    <cellStyle name="Normal 56 2 9 2 2" xfId="42347" xr:uid="{00000000-0005-0000-0000-000018940000}"/>
    <cellStyle name="Normal 56 2 9 3" xfId="14626" xr:uid="{00000000-0005-0000-0000-000019940000}"/>
    <cellStyle name="Normal 56 3" xfId="42349" xr:uid="{00000000-0005-0000-0000-00001A940000}"/>
    <cellStyle name="Normal 56 3 10" xfId="42351" xr:uid="{00000000-0005-0000-0000-00001B940000}"/>
    <cellStyle name="Normal 56 3 10 2" xfId="42353" xr:uid="{00000000-0005-0000-0000-00001C940000}"/>
    <cellStyle name="Normal 56 3 11" xfId="42355" xr:uid="{00000000-0005-0000-0000-00001D940000}"/>
    <cellStyle name="Normal 56 3 11 2" xfId="42357" xr:uid="{00000000-0005-0000-0000-00001E940000}"/>
    <cellStyle name="Normal 56 3 12" xfId="40148" xr:uid="{00000000-0005-0000-0000-00001F940000}"/>
    <cellStyle name="Normal 56 3 12 2" xfId="33766" xr:uid="{00000000-0005-0000-0000-000020940000}"/>
    <cellStyle name="Normal 56 3 13" xfId="42359" xr:uid="{00000000-0005-0000-0000-000021940000}"/>
    <cellStyle name="Normal 56 3 14" xfId="42361" xr:uid="{00000000-0005-0000-0000-000022940000}"/>
    <cellStyle name="Normal 56 3 2" xfId="42363" xr:uid="{00000000-0005-0000-0000-000023940000}"/>
    <cellStyle name="Normal 56 3 2 10" xfId="34206" xr:uid="{00000000-0005-0000-0000-000024940000}"/>
    <cellStyle name="Normal 56 3 2 2" xfId="42365" xr:uid="{00000000-0005-0000-0000-000025940000}"/>
    <cellStyle name="Normal 56 3 2 2 2" xfId="39022" xr:uid="{00000000-0005-0000-0000-000026940000}"/>
    <cellStyle name="Normal 56 3 2 2 2 2" xfId="40877" xr:uid="{00000000-0005-0000-0000-000027940000}"/>
    <cellStyle name="Normal 56 3 2 2 2 2 2" xfId="15849" xr:uid="{00000000-0005-0000-0000-000028940000}"/>
    <cellStyle name="Normal 56 3 2 2 2 2 2 2" xfId="16187" xr:uid="{00000000-0005-0000-0000-000029940000}"/>
    <cellStyle name="Normal 56 3 2 2 2 2 2 2 2" xfId="42367" xr:uid="{00000000-0005-0000-0000-00002A940000}"/>
    <cellStyle name="Normal 56 3 2 2 2 2 2 3" xfId="42369" xr:uid="{00000000-0005-0000-0000-00002B940000}"/>
    <cellStyle name="Normal 56 3 2 2 2 2 3" xfId="15860" xr:uid="{00000000-0005-0000-0000-00002C940000}"/>
    <cellStyle name="Normal 56 3 2 2 2 2 3 2" xfId="42371" xr:uid="{00000000-0005-0000-0000-00002D940000}"/>
    <cellStyle name="Normal 56 3 2 2 2 2 4" xfId="16194" xr:uid="{00000000-0005-0000-0000-00002E940000}"/>
    <cellStyle name="Normal 56 3 2 2 2 3" xfId="40880" xr:uid="{00000000-0005-0000-0000-00002F940000}"/>
    <cellStyle name="Normal 56 3 2 2 2 3 2" xfId="42373" xr:uid="{00000000-0005-0000-0000-000030940000}"/>
    <cellStyle name="Normal 56 3 2 2 2 3 2 2" xfId="42375" xr:uid="{00000000-0005-0000-0000-000031940000}"/>
    <cellStyle name="Normal 56 3 2 2 2 3 3" xfId="313" xr:uid="{00000000-0005-0000-0000-000032940000}"/>
    <cellStyle name="Normal 56 3 2 2 2 4" xfId="42377" xr:uid="{00000000-0005-0000-0000-000033940000}"/>
    <cellStyle name="Normal 56 3 2 2 2 4 2" xfId="42379" xr:uid="{00000000-0005-0000-0000-000034940000}"/>
    <cellStyle name="Normal 56 3 2 2 2 4 2 2" xfId="19296" xr:uid="{00000000-0005-0000-0000-000035940000}"/>
    <cellStyle name="Normal 56 3 2 2 2 4 3" xfId="8549" xr:uid="{00000000-0005-0000-0000-000036940000}"/>
    <cellStyle name="Normal 56 3 2 2 2 5" xfId="42382" xr:uid="{00000000-0005-0000-0000-000037940000}"/>
    <cellStyle name="Normal 56 3 2 2 2 5 2" xfId="42384" xr:uid="{00000000-0005-0000-0000-000038940000}"/>
    <cellStyle name="Normal 56 3 2 2 2 6" xfId="42386" xr:uid="{00000000-0005-0000-0000-000039940000}"/>
    <cellStyle name="Normal 56 3 2 2 2 6 2" xfId="21087" xr:uid="{00000000-0005-0000-0000-00003A940000}"/>
    <cellStyle name="Normal 56 3 2 2 2 7" xfId="22953" xr:uid="{00000000-0005-0000-0000-00003B940000}"/>
    <cellStyle name="Normal 56 3 2 2 2 8" xfId="7011" xr:uid="{00000000-0005-0000-0000-00003C940000}"/>
    <cellStyle name="Normal 56 3 2 2 3" xfId="40883" xr:uid="{00000000-0005-0000-0000-00003D940000}"/>
    <cellStyle name="Normal 56 3 2 2 3 2" xfId="40021" xr:uid="{00000000-0005-0000-0000-00003E940000}"/>
    <cellStyle name="Normal 56 3 2 2 3 2 2" xfId="42388" xr:uid="{00000000-0005-0000-0000-00003F940000}"/>
    <cellStyle name="Normal 56 3 2 2 3 2 2 2" xfId="42390" xr:uid="{00000000-0005-0000-0000-000040940000}"/>
    <cellStyle name="Normal 56 3 2 2 3 2 3" xfId="42392" xr:uid="{00000000-0005-0000-0000-000041940000}"/>
    <cellStyle name="Normal 56 3 2 2 3 3" xfId="42394" xr:uid="{00000000-0005-0000-0000-000042940000}"/>
    <cellStyle name="Normal 56 3 2 2 3 3 2" xfId="42396" xr:uid="{00000000-0005-0000-0000-000043940000}"/>
    <cellStyle name="Normal 56 3 2 2 3 4" xfId="42398" xr:uid="{00000000-0005-0000-0000-000044940000}"/>
    <cellStyle name="Normal 56 3 2 2 4" xfId="24947" xr:uid="{00000000-0005-0000-0000-000045940000}"/>
    <cellStyle name="Normal 56 3 2 2 4 2" xfId="40886" xr:uid="{00000000-0005-0000-0000-000046940000}"/>
    <cellStyle name="Normal 56 3 2 2 4 2 2" xfId="42400" xr:uid="{00000000-0005-0000-0000-000047940000}"/>
    <cellStyle name="Normal 56 3 2 2 4 3" xfId="32959" xr:uid="{00000000-0005-0000-0000-000048940000}"/>
    <cellStyle name="Normal 56 3 2 2 5" xfId="7824" xr:uid="{00000000-0005-0000-0000-000049940000}"/>
    <cellStyle name="Normal 56 3 2 2 5 2" xfId="42402" xr:uid="{00000000-0005-0000-0000-00004A940000}"/>
    <cellStyle name="Normal 56 3 2 2 5 2 2" xfId="42404" xr:uid="{00000000-0005-0000-0000-00004B940000}"/>
    <cellStyle name="Normal 56 3 2 2 5 3" xfId="42406" xr:uid="{00000000-0005-0000-0000-00004C940000}"/>
    <cellStyle name="Normal 56 3 2 2 6" xfId="40889" xr:uid="{00000000-0005-0000-0000-00004D940000}"/>
    <cellStyle name="Normal 56 3 2 2 6 2" xfId="42408" xr:uid="{00000000-0005-0000-0000-00004E940000}"/>
    <cellStyle name="Normal 56 3 2 2 7" xfId="42410" xr:uid="{00000000-0005-0000-0000-00004F940000}"/>
    <cellStyle name="Normal 56 3 2 2 7 2" xfId="42412" xr:uid="{00000000-0005-0000-0000-000050940000}"/>
    <cellStyle name="Normal 56 3 2 2 8" xfId="42416" xr:uid="{00000000-0005-0000-0000-000051940000}"/>
    <cellStyle name="Normal 56 3 2 2 9" xfId="20408" xr:uid="{00000000-0005-0000-0000-000052940000}"/>
    <cellStyle name="Normal 56 3 2 3" xfId="42418" xr:uid="{00000000-0005-0000-0000-000053940000}"/>
    <cellStyle name="Normal 56 3 2 3 2" xfId="14457" xr:uid="{00000000-0005-0000-0000-000054940000}"/>
    <cellStyle name="Normal 56 3 2 3 2 2" xfId="42420" xr:uid="{00000000-0005-0000-0000-000055940000}"/>
    <cellStyle name="Normal 56 3 2 3 2 2 2" xfId="42422" xr:uid="{00000000-0005-0000-0000-000056940000}"/>
    <cellStyle name="Normal 56 3 2 3 2 2 2 2" xfId="42424" xr:uid="{00000000-0005-0000-0000-000057940000}"/>
    <cellStyle name="Normal 56 3 2 3 2 2 3" xfId="6230" xr:uid="{00000000-0005-0000-0000-000058940000}"/>
    <cellStyle name="Normal 56 3 2 3 2 3" xfId="42426" xr:uid="{00000000-0005-0000-0000-000059940000}"/>
    <cellStyle name="Normal 56 3 2 3 2 3 2" xfId="42428" xr:uid="{00000000-0005-0000-0000-00005A940000}"/>
    <cellStyle name="Normal 56 3 2 3 2 4" xfId="42430" xr:uid="{00000000-0005-0000-0000-00005B940000}"/>
    <cellStyle name="Normal 56 3 2 3 3" xfId="42433" xr:uid="{00000000-0005-0000-0000-00005C940000}"/>
    <cellStyle name="Normal 56 3 2 3 3 2" xfId="42436" xr:uid="{00000000-0005-0000-0000-00005D940000}"/>
    <cellStyle name="Normal 56 3 2 3 3 2 2" xfId="42438" xr:uid="{00000000-0005-0000-0000-00005E940000}"/>
    <cellStyle name="Normal 56 3 2 3 3 3" xfId="42440" xr:uid="{00000000-0005-0000-0000-00005F940000}"/>
    <cellStyle name="Normal 56 3 2 3 4" xfId="24954" xr:uid="{00000000-0005-0000-0000-000060940000}"/>
    <cellStyle name="Normal 56 3 2 3 4 2" xfId="42442" xr:uid="{00000000-0005-0000-0000-000061940000}"/>
    <cellStyle name="Normal 56 3 2 3 4 2 2" xfId="42444" xr:uid="{00000000-0005-0000-0000-000062940000}"/>
    <cellStyle name="Normal 56 3 2 3 4 3" xfId="32968" xr:uid="{00000000-0005-0000-0000-000063940000}"/>
    <cellStyle name="Normal 56 3 2 3 5" xfId="42446" xr:uid="{00000000-0005-0000-0000-000064940000}"/>
    <cellStyle name="Normal 56 3 2 3 5 2" xfId="42448" xr:uid="{00000000-0005-0000-0000-000065940000}"/>
    <cellStyle name="Normal 56 3 2 3 6" xfId="42450" xr:uid="{00000000-0005-0000-0000-000066940000}"/>
    <cellStyle name="Normal 56 3 2 3 6 2" xfId="42452" xr:uid="{00000000-0005-0000-0000-000067940000}"/>
    <cellStyle name="Normal 56 3 2 3 7" xfId="42454" xr:uid="{00000000-0005-0000-0000-000068940000}"/>
    <cellStyle name="Normal 56 3 2 3 8" xfId="42456" xr:uid="{00000000-0005-0000-0000-000069940000}"/>
    <cellStyle name="Normal 56 3 2 4" xfId="5132" xr:uid="{00000000-0005-0000-0000-00006A940000}"/>
    <cellStyle name="Normal 56 3 2 4 2" xfId="5150" xr:uid="{00000000-0005-0000-0000-00006B940000}"/>
    <cellStyle name="Normal 56 3 2 4 2 2" xfId="42458" xr:uid="{00000000-0005-0000-0000-00006C940000}"/>
    <cellStyle name="Normal 56 3 2 4 2 2 2" xfId="17685" xr:uid="{00000000-0005-0000-0000-00006D940000}"/>
    <cellStyle name="Normal 56 3 2 4 2 3" xfId="42460" xr:uid="{00000000-0005-0000-0000-00006E940000}"/>
    <cellStyle name="Normal 56 3 2 4 3" xfId="42463" xr:uid="{00000000-0005-0000-0000-00006F940000}"/>
    <cellStyle name="Normal 56 3 2 4 3 2" xfId="42465" xr:uid="{00000000-0005-0000-0000-000070940000}"/>
    <cellStyle name="Normal 56 3 2 4 4" xfId="17796" xr:uid="{00000000-0005-0000-0000-000071940000}"/>
    <cellStyle name="Normal 56 3 2 5" xfId="5156" xr:uid="{00000000-0005-0000-0000-000072940000}"/>
    <cellStyle name="Normal 56 3 2 5 2" xfId="17904" xr:uid="{00000000-0005-0000-0000-000073940000}"/>
    <cellStyle name="Normal 56 3 2 5 2 2" xfId="42467" xr:uid="{00000000-0005-0000-0000-000074940000}"/>
    <cellStyle name="Normal 56 3 2 5 3" xfId="42469" xr:uid="{00000000-0005-0000-0000-000075940000}"/>
    <cellStyle name="Normal 56 3 2 6" xfId="19992" xr:uid="{00000000-0005-0000-0000-000076940000}"/>
    <cellStyle name="Normal 56 3 2 6 2" xfId="17993" xr:uid="{00000000-0005-0000-0000-000077940000}"/>
    <cellStyle name="Normal 56 3 2 6 2 2" xfId="42471" xr:uid="{00000000-0005-0000-0000-000078940000}"/>
    <cellStyle name="Normal 56 3 2 6 3" xfId="17999" xr:uid="{00000000-0005-0000-0000-000079940000}"/>
    <cellStyle name="Normal 56 3 2 7" xfId="19995" xr:uid="{00000000-0005-0000-0000-00007A940000}"/>
    <cellStyle name="Normal 56 3 2 7 2" xfId="42473" xr:uid="{00000000-0005-0000-0000-00007B940000}"/>
    <cellStyle name="Normal 56 3 2 8" xfId="42475" xr:uid="{00000000-0005-0000-0000-00007C940000}"/>
    <cellStyle name="Normal 56 3 2 8 2" xfId="42477" xr:uid="{00000000-0005-0000-0000-00007D940000}"/>
    <cellStyle name="Normal 56 3 2 9" xfId="20751" xr:uid="{00000000-0005-0000-0000-00007E940000}"/>
    <cellStyle name="Normal 56 3 3" xfId="42479" xr:uid="{00000000-0005-0000-0000-00007F940000}"/>
    <cellStyle name="Normal 56 3 3 2" xfId="42481" xr:uid="{00000000-0005-0000-0000-000080940000}"/>
    <cellStyle name="Normal 56 3 3 2 2" xfId="39062" xr:uid="{00000000-0005-0000-0000-000081940000}"/>
    <cellStyle name="Normal 56 3 3 2 2 2" xfId="42483" xr:uid="{00000000-0005-0000-0000-000082940000}"/>
    <cellStyle name="Normal 56 3 3 2 2 2 2" xfId="42485" xr:uid="{00000000-0005-0000-0000-000083940000}"/>
    <cellStyle name="Normal 56 3 3 2 2 2 2 2" xfId="42487" xr:uid="{00000000-0005-0000-0000-000084940000}"/>
    <cellStyle name="Normal 56 3 3 2 2 2 3" xfId="42489" xr:uid="{00000000-0005-0000-0000-000085940000}"/>
    <cellStyle name="Normal 56 3 3 2 2 3" xfId="42491" xr:uid="{00000000-0005-0000-0000-000086940000}"/>
    <cellStyle name="Normal 56 3 3 2 2 3 2" xfId="42493" xr:uid="{00000000-0005-0000-0000-000087940000}"/>
    <cellStyle name="Normal 56 3 3 2 2 4" xfId="42495" xr:uid="{00000000-0005-0000-0000-000088940000}"/>
    <cellStyle name="Normal 56 3 3 2 2 5" xfId="42497" xr:uid="{00000000-0005-0000-0000-000089940000}"/>
    <cellStyle name="Normal 56 3 3 2 3" xfId="40894" xr:uid="{00000000-0005-0000-0000-00008A940000}"/>
    <cellStyle name="Normal 56 3 3 2 3 2" xfId="15246" xr:uid="{00000000-0005-0000-0000-00008B940000}"/>
    <cellStyle name="Normal 56 3 3 2 3 2 2" xfId="14006" xr:uid="{00000000-0005-0000-0000-00008C940000}"/>
    <cellStyle name="Normal 56 3 3 2 3 3" xfId="15252" xr:uid="{00000000-0005-0000-0000-00008D940000}"/>
    <cellStyle name="Normal 56 3 3 2 4" xfId="42499" xr:uid="{00000000-0005-0000-0000-00008E940000}"/>
    <cellStyle name="Normal 56 3 3 2 4 2" xfId="15260" xr:uid="{00000000-0005-0000-0000-00008F940000}"/>
    <cellStyle name="Normal 56 3 3 2 4 2 2" xfId="35062" xr:uid="{00000000-0005-0000-0000-000090940000}"/>
    <cellStyle name="Normal 56 3 3 2 4 3" xfId="30580" xr:uid="{00000000-0005-0000-0000-000091940000}"/>
    <cellStyle name="Normal 56 3 3 2 5" xfId="42501" xr:uid="{00000000-0005-0000-0000-000092940000}"/>
    <cellStyle name="Normal 56 3 3 2 5 2" xfId="6731" xr:uid="{00000000-0005-0000-0000-000093940000}"/>
    <cellStyle name="Normal 56 3 3 2 6" xfId="42503" xr:uid="{00000000-0005-0000-0000-000094940000}"/>
    <cellStyle name="Normal 56 3 3 2 6 2" xfId="42505" xr:uid="{00000000-0005-0000-0000-000095940000}"/>
    <cellStyle name="Normal 56 3 3 2 7" xfId="42507" xr:uid="{00000000-0005-0000-0000-000096940000}"/>
    <cellStyle name="Normal 56 3 3 2 8" xfId="42509" xr:uid="{00000000-0005-0000-0000-000097940000}"/>
    <cellStyle name="Normal 56 3 3 3" xfId="42511" xr:uid="{00000000-0005-0000-0000-000098940000}"/>
    <cellStyle name="Normal 56 3 3 3 2" xfId="42513" xr:uid="{00000000-0005-0000-0000-000099940000}"/>
    <cellStyle name="Normal 56 3 3 3 2 2" xfId="42515" xr:uid="{00000000-0005-0000-0000-00009A940000}"/>
    <cellStyle name="Normal 56 3 3 3 2 2 2" xfId="42517" xr:uid="{00000000-0005-0000-0000-00009B940000}"/>
    <cellStyle name="Normal 56 3 3 3 2 3" xfId="42519" xr:uid="{00000000-0005-0000-0000-00009C940000}"/>
    <cellStyle name="Normal 56 3 3 3 3" xfId="42522" xr:uid="{00000000-0005-0000-0000-00009D940000}"/>
    <cellStyle name="Normal 56 3 3 3 3 2" xfId="15287" xr:uid="{00000000-0005-0000-0000-00009E940000}"/>
    <cellStyle name="Normal 56 3 3 3 4" xfId="42524" xr:uid="{00000000-0005-0000-0000-00009F940000}"/>
    <cellStyle name="Normal 56 3 3 3 5" xfId="42526" xr:uid="{00000000-0005-0000-0000-0000A0940000}"/>
    <cellStyle name="Normal 56 3 3 4" xfId="5177" xr:uid="{00000000-0005-0000-0000-0000A1940000}"/>
    <cellStyle name="Normal 56 3 3 4 2" xfId="42528" xr:uid="{00000000-0005-0000-0000-0000A2940000}"/>
    <cellStyle name="Normal 56 3 3 4 2 2" xfId="42530" xr:uid="{00000000-0005-0000-0000-0000A3940000}"/>
    <cellStyle name="Normal 56 3 3 4 3" xfId="42532" xr:uid="{00000000-0005-0000-0000-0000A4940000}"/>
    <cellStyle name="Normal 56 3 3 5" xfId="42534" xr:uid="{00000000-0005-0000-0000-0000A5940000}"/>
    <cellStyle name="Normal 56 3 3 5 2" xfId="42536" xr:uid="{00000000-0005-0000-0000-0000A6940000}"/>
    <cellStyle name="Normal 56 3 3 5 2 2" xfId="42538" xr:uid="{00000000-0005-0000-0000-0000A7940000}"/>
    <cellStyle name="Normal 56 3 3 5 3" xfId="42540" xr:uid="{00000000-0005-0000-0000-0000A8940000}"/>
    <cellStyle name="Normal 56 3 3 6" xfId="20001" xr:uid="{00000000-0005-0000-0000-0000A9940000}"/>
    <cellStyle name="Normal 56 3 3 6 2" xfId="42542" xr:uid="{00000000-0005-0000-0000-0000AA940000}"/>
    <cellStyle name="Normal 56 3 3 7" xfId="42544" xr:uid="{00000000-0005-0000-0000-0000AB940000}"/>
    <cellStyle name="Normal 56 3 3 7 2" xfId="42546" xr:uid="{00000000-0005-0000-0000-0000AC940000}"/>
    <cellStyle name="Normal 56 3 3 8" xfId="42548" xr:uid="{00000000-0005-0000-0000-0000AD940000}"/>
    <cellStyle name="Normal 56 3 3 9" xfId="20756" xr:uid="{00000000-0005-0000-0000-0000AE940000}"/>
    <cellStyle name="Normal 56 3 4" xfId="42550" xr:uid="{00000000-0005-0000-0000-0000AF940000}"/>
    <cellStyle name="Normal 56 3 4 2" xfId="42552" xr:uid="{00000000-0005-0000-0000-0000B0940000}"/>
    <cellStyle name="Normal 56 3 4 2 2" xfId="40911" xr:uid="{00000000-0005-0000-0000-0000B1940000}"/>
    <cellStyle name="Normal 56 3 4 2 2 2" xfId="42554" xr:uid="{00000000-0005-0000-0000-0000B2940000}"/>
    <cellStyle name="Normal 56 3 4 2 2 2 2" xfId="20883" xr:uid="{00000000-0005-0000-0000-0000B3940000}"/>
    <cellStyle name="Normal 56 3 4 2 2 2 2 2" xfId="20890" xr:uid="{00000000-0005-0000-0000-0000B4940000}"/>
    <cellStyle name="Normal 56 3 4 2 2 2 3" xfId="5928" xr:uid="{00000000-0005-0000-0000-0000B5940000}"/>
    <cellStyle name="Normal 56 3 4 2 2 3" xfId="42556" xr:uid="{00000000-0005-0000-0000-0000B6940000}"/>
    <cellStyle name="Normal 56 3 4 2 2 3 2" xfId="42560" xr:uid="{00000000-0005-0000-0000-0000B7940000}"/>
    <cellStyle name="Normal 56 3 4 2 2 4" xfId="42562" xr:uid="{00000000-0005-0000-0000-0000B8940000}"/>
    <cellStyle name="Normal 56 3 4 2 3" xfId="42564" xr:uid="{00000000-0005-0000-0000-0000B9940000}"/>
    <cellStyle name="Normal 56 3 4 2 3 2" xfId="15386" xr:uid="{00000000-0005-0000-0000-0000BA940000}"/>
    <cellStyle name="Normal 56 3 4 2 3 2 2" xfId="42566" xr:uid="{00000000-0005-0000-0000-0000BB940000}"/>
    <cellStyle name="Normal 56 3 4 2 3 3" xfId="42568" xr:uid="{00000000-0005-0000-0000-0000BC940000}"/>
    <cellStyle name="Normal 56 3 4 2 4" xfId="42570" xr:uid="{00000000-0005-0000-0000-0000BD940000}"/>
    <cellStyle name="Normal 56 3 4 2 4 2" xfId="42572" xr:uid="{00000000-0005-0000-0000-0000BE940000}"/>
    <cellStyle name="Normal 56 3 4 2 4 2 2" xfId="35527" xr:uid="{00000000-0005-0000-0000-0000BF940000}"/>
    <cellStyle name="Normal 56 3 4 2 4 3" xfId="33109" xr:uid="{00000000-0005-0000-0000-0000C0940000}"/>
    <cellStyle name="Normal 56 3 4 2 5" xfId="33694" xr:uid="{00000000-0005-0000-0000-0000C1940000}"/>
    <cellStyle name="Normal 56 3 4 2 5 2" xfId="42574" xr:uid="{00000000-0005-0000-0000-0000C2940000}"/>
    <cellStyle name="Normal 56 3 4 2 6" xfId="42576" xr:uid="{00000000-0005-0000-0000-0000C3940000}"/>
    <cellStyle name="Normal 56 3 4 2 6 2" xfId="42578" xr:uid="{00000000-0005-0000-0000-0000C4940000}"/>
    <cellStyle name="Normal 56 3 4 2 7" xfId="37013" xr:uid="{00000000-0005-0000-0000-0000C5940000}"/>
    <cellStyle name="Normal 56 3 4 2 8" xfId="37019" xr:uid="{00000000-0005-0000-0000-0000C6940000}"/>
    <cellStyle name="Normal 56 3 4 3" xfId="42580" xr:uid="{00000000-0005-0000-0000-0000C7940000}"/>
    <cellStyle name="Normal 56 3 4 3 2" xfId="42582" xr:uid="{00000000-0005-0000-0000-0000C8940000}"/>
    <cellStyle name="Normal 56 3 4 3 2 2" xfId="42584" xr:uid="{00000000-0005-0000-0000-0000C9940000}"/>
    <cellStyle name="Normal 56 3 4 3 2 2 2" xfId="42586" xr:uid="{00000000-0005-0000-0000-0000CA940000}"/>
    <cellStyle name="Normal 56 3 4 3 2 3" xfId="42588" xr:uid="{00000000-0005-0000-0000-0000CB940000}"/>
    <cellStyle name="Normal 56 3 4 3 3" xfId="42591" xr:uid="{00000000-0005-0000-0000-0000CC940000}"/>
    <cellStyle name="Normal 56 3 4 3 3 2" xfId="42593" xr:uid="{00000000-0005-0000-0000-0000CD940000}"/>
    <cellStyle name="Normal 56 3 4 3 4" xfId="42595" xr:uid="{00000000-0005-0000-0000-0000CE940000}"/>
    <cellStyle name="Normal 56 3 4 4" xfId="2940" xr:uid="{00000000-0005-0000-0000-0000CF940000}"/>
    <cellStyle name="Normal 56 3 4 4 2" xfId="40773" xr:uid="{00000000-0005-0000-0000-0000D0940000}"/>
    <cellStyle name="Normal 56 3 4 4 2 2" xfId="40776" xr:uid="{00000000-0005-0000-0000-0000D1940000}"/>
    <cellStyle name="Normal 56 3 4 4 3" xfId="40779" xr:uid="{00000000-0005-0000-0000-0000D2940000}"/>
    <cellStyle name="Normal 56 3 4 5" xfId="42597" xr:uid="{00000000-0005-0000-0000-0000D3940000}"/>
    <cellStyle name="Normal 56 3 4 5 2" xfId="40784" xr:uid="{00000000-0005-0000-0000-0000D4940000}"/>
    <cellStyle name="Normal 56 3 4 5 2 2" xfId="42599" xr:uid="{00000000-0005-0000-0000-0000D5940000}"/>
    <cellStyle name="Normal 56 3 4 5 3" xfId="42601" xr:uid="{00000000-0005-0000-0000-0000D6940000}"/>
    <cellStyle name="Normal 56 3 4 6" xfId="42603" xr:uid="{00000000-0005-0000-0000-0000D7940000}"/>
    <cellStyle name="Normal 56 3 4 6 2" xfId="40789" xr:uid="{00000000-0005-0000-0000-0000D8940000}"/>
    <cellStyle name="Normal 56 3 4 7" xfId="42605" xr:uid="{00000000-0005-0000-0000-0000D9940000}"/>
    <cellStyle name="Normal 56 3 4 7 2" xfId="42607" xr:uid="{00000000-0005-0000-0000-0000DA940000}"/>
    <cellStyle name="Normal 56 3 4 8" xfId="42609" xr:uid="{00000000-0005-0000-0000-0000DB940000}"/>
    <cellStyle name="Normal 56 3 4 9" xfId="20762" xr:uid="{00000000-0005-0000-0000-0000DC940000}"/>
    <cellStyle name="Normal 56 3 5" xfId="42611" xr:uid="{00000000-0005-0000-0000-0000DD940000}"/>
    <cellStyle name="Normal 56 3 5 2" xfId="42613" xr:uid="{00000000-0005-0000-0000-0000DE940000}"/>
    <cellStyle name="Normal 56 3 5 2 2" xfId="40936" xr:uid="{00000000-0005-0000-0000-0000DF940000}"/>
    <cellStyle name="Normal 56 3 5 2 2 2" xfId="42615" xr:uid="{00000000-0005-0000-0000-0000E0940000}"/>
    <cellStyle name="Normal 56 3 5 2 2 2 2" xfId="42617" xr:uid="{00000000-0005-0000-0000-0000E1940000}"/>
    <cellStyle name="Normal 56 3 5 2 2 2 2 2" xfId="42619" xr:uid="{00000000-0005-0000-0000-0000E2940000}"/>
    <cellStyle name="Normal 56 3 5 2 2 2 3" xfId="42621" xr:uid="{00000000-0005-0000-0000-0000E3940000}"/>
    <cellStyle name="Normal 56 3 5 2 2 3" xfId="42623" xr:uid="{00000000-0005-0000-0000-0000E4940000}"/>
    <cellStyle name="Normal 56 3 5 2 2 3 2" xfId="42625" xr:uid="{00000000-0005-0000-0000-0000E5940000}"/>
    <cellStyle name="Normal 56 3 5 2 2 4" xfId="42627" xr:uid="{00000000-0005-0000-0000-0000E6940000}"/>
    <cellStyle name="Normal 56 3 5 2 3" xfId="42629" xr:uid="{00000000-0005-0000-0000-0000E7940000}"/>
    <cellStyle name="Normal 56 3 5 2 3 2" xfId="15522" xr:uid="{00000000-0005-0000-0000-0000E8940000}"/>
    <cellStyle name="Normal 56 3 5 2 3 2 2" xfId="42631" xr:uid="{00000000-0005-0000-0000-0000E9940000}"/>
    <cellStyle name="Normal 56 3 5 2 3 3" xfId="42633" xr:uid="{00000000-0005-0000-0000-0000EA940000}"/>
    <cellStyle name="Normal 56 3 5 2 4" xfId="42635" xr:uid="{00000000-0005-0000-0000-0000EB940000}"/>
    <cellStyle name="Normal 56 3 5 2 4 2" xfId="42637" xr:uid="{00000000-0005-0000-0000-0000EC940000}"/>
    <cellStyle name="Normal 56 3 5 2 4 2 2" xfId="35787" xr:uid="{00000000-0005-0000-0000-0000ED940000}"/>
    <cellStyle name="Normal 56 3 5 2 4 3" xfId="13348" xr:uid="{00000000-0005-0000-0000-0000EE940000}"/>
    <cellStyle name="Normal 56 3 5 2 5" xfId="42639" xr:uid="{00000000-0005-0000-0000-0000EF940000}"/>
    <cellStyle name="Normal 56 3 5 2 5 2" xfId="42641" xr:uid="{00000000-0005-0000-0000-0000F0940000}"/>
    <cellStyle name="Normal 56 3 5 2 6" xfId="42643" xr:uid="{00000000-0005-0000-0000-0000F1940000}"/>
    <cellStyle name="Normal 56 3 5 2 6 2" xfId="42645" xr:uid="{00000000-0005-0000-0000-0000F2940000}"/>
    <cellStyle name="Normal 56 3 5 2 7" xfId="37031" xr:uid="{00000000-0005-0000-0000-0000F3940000}"/>
    <cellStyle name="Normal 56 3 5 2 8" xfId="42648" xr:uid="{00000000-0005-0000-0000-0000F4940000}"/>
    <cellStyle name="Normal 56 3 5 3" xfId="11732" xr:uid="{00000000-0005-0000-0000-0000F5940000}"/>
    <cellStyle name="Normal 56 3 5 3 2" xfId="42650" xr:uid="{00000000-0005-0000-0000-0000F6940000}"/>
    <cellStyle name="Normal 56 3 5 3 2 2" xfId="42652" xr:uid="{00000000-0005-0000-0000-0000F7940000}"/>
    <cellStyle name="Normal 56 3 5 3 2 2 2" xfId="42654" xr:uid="{00000000-0005-0000-0000-0000F8940000}"/>
    <cellStyle name="Normal 56 3 5 3 2 3" xfId="42656" xr:uid="{00000000-0005-0000-0000-0000F9940000}"/>
    <cellStyle name="Normal 56 3 5 3 3" xfId="42658" xr:uid="{00000000-0005-0000-0000-0000FA940000}"/>
    <cellStyle name="Normal 56 3 5 3 3 2" xfId="42660" xr:uid="{00000000-0005-0000-0000-0000FB940000}"/>
    <cellStyle name="Normal 56 3 5 3 4" xfId="42662" xr:uid="{00000000-0005-0000-0000-0000FC940000}"/>
    <cellStyle name="Normal 56 3 5 4" xfId="42664" xr:uid="{00000000-0005-0000-0000-0000FD940000}"/>
    <cellStyle name="Normal 56 3 5 4 2" xfId="40802" xr:uid="{00000000-0005-0000-0000-0000FE940000}"/>
    <cellStyle name="Normal 56 3 5 4 2 2" xfId="42666" xr:uid="{00000000-0005-0000-0000-0000FF940000}"/>
    <cellStyle name="Normal 56 3 5 4 3" xfId="42668" xr:uid="{00000000-0005-0000-0000-000000950000}"/>
    <cellStyle name="Normal 56 3 5 5" xfId="42670" xr:uid="{00000000-0005-0000-0000-000001950000}"/>
    <cellStyle name="Normal 56 3 5 5 2" xfId="42672" xr:uid="{00000000-0005-0000-0000-000002950000}"/>
    <cellStyle name="Normal 56 3 5 5 2 2" xfId="42674" xr:uid="{00000000-0005-0000-0000-000003950000}"/>
    <cellStyle name="Normal 56 3 5 5 3" xfId="42676" xr:uid="{00000000-0005-0000-0000-000004950000}"/>
    <cellStyle name="Normal 56 3 5 6" xfId="42678" xr:uid="{00000000-0005-0000-0000-000005950000}"/>
    <cellStyle name="Normal 56 3 5 6 2" xfId="42680" xr:uid="{00000000-0005-0000-0000-000006950000}"/>
    <cellStyle name="Normal 56 3 5 7" xfId="42682" xr:uid="{00000000-0005-0000-0000-000007950000}"/>
    <cellStyle name="Normal 56 3 5 7 2" xfId="42684" xr:uid="{00000000-0005-0000-0000-000008950000}"/>
    <cellStyle name="Normal 56 3 5 8" xfId="42686" xr:uid="{00000000-0005-0000-0000-000009950000}"/>
    <cellStyle name="Normal 56 3 5 9" xfId="20766" xr:uid="{00000000-0005-0000-0000-00000A950000}"/>
    <cellStyle name="Normal 56 3 6" xfId="42688" xr:uid="{00000000-0005-0000-0000-00000B950000}"/>
    <cellStyle name="Normal 56 3 6 2" xfId="42690" xr:uid="{00000000-0005-0000-0000-00000C950000}"/>
    <cellStyle name="Normal 56 3 6 2 2" xfId="42692" xr:uid="{00000000-0005-0000-0000-00000D950000}"/>
    <cellStyle name="Normal 56 3 6 2 2 2" xfId="42694" xr:uid="{00000000-0005-0000-0000-00000E950000}"/>
    <cellStyle name="Normal 56 3 6 2 2 2 2" xfId="42696" xr:uid="{00000000-0005-0000-0000-00000F950000}"/>
    <cellStyle name="Normal 56 3 6 2 2 3" xfId="42700" xr:uid="{00000000-0005-0000-0000-000010950000}"/>
    <cellStyle name="Normal 56 3 6 2 3" xfId="42702" xr:uid="{00000000-0005-0000-0000-000011950000}"/>
    <cellStyle name="Normal 56 3 6 2 3 2" xfId="2908" xr:uid="{00000000-0005-0000-0000-000012950000}"/>
    <cellStyle name="Normal 56 3 6 2 4" xfId="42704" xr:uid="{00000000-0005-0000-0000-000013950000}"/>
    <cellStyle name="Normal 56 3 6 3" xfId="42706" xr:uid="{00000000-0005-0000-0000-000014950000}"/>
    <cellStyle name="Normal 56 3 6 3 2" xfId="42708" xr:uid="{00000000-0005-0000-0000-000015950000}"/>
    <cellStyle name="Normal 56 3 6 3 2 2" xfId="42710" xr:uid="{00000000-0005-0000-0000-000016950000}"/>
    <cellStyle name="Normal 56 3 6 3 3" xfId="42712" xr:uid="{00000000-0005-0000-0000-000017950000}"/>
    <cellStyle name="Normal 56 3 6 4" xfId="42714" xr:uid="{00000000-0005-0000-0000-000018950000}"/>
    <cellStyle name="Normal 56 3 6 4 2" xfId="42716" xr:uid="{00000000-0005-0000-0000-000019950000}"/>
    <cellStyle name="Normal 56 3 6 4 2 2" xfId="42718" xr:uid="{00000000-0005-0000-0000-00001A950000}"/>
    <cellStyle name="Normal 56 3 6 4 3" xfId="42720" xr:uid="{00000000-0005-0000-0000-00001B950000}"/>
    <cellStyle name="Normal 56 3 6 5" xfId="42722" xr:uid="{00000000-0005-0000-0000-00001C950000}"/>
    <cellStyle name="Normal 56 3 6 5 2" xfId="42724" xr:uid="{00000000-0005-0000-0000-00001D950000}"/>
    <cellStyle name="Normal 56 3 6 6" xfId="42726" xr:uid="{00000000-0005-0000-0000-00001E950000}"/>
    <cellStyle name="Normal 56 3 6 6 2" xfId="42728" xr:uid="{00000000-0005-0000-0000-00001F950000}"/>
    <cellStyle name="Normal 56 3 6 7" xfId="42730" xr:uid="{00000000-0005-0000-0000-000020950000}"/>
    <cellStyle name="Normal 56 3 6 8" xfId="42732" xr:uid="{00000000-0005-0000-0000-000021950000}"/>
    <cellStyle name="Normal 56 3 7" xfId="37628" xr:uid="{00000000-0005-0000-0000-000022950000}"/>
    <cellStyle name="Normal 56 3 7 2" xfId="42734" xr:uid="{00000000-0005-0000-0000-000023950000}"/>
    <cellStyle name="Normal 56 3 7 2 2" xfId="42736" xr:uid="{00000000-0005-0000-0000-000024950000}"/>
    <cellStyle name="Normal 56 3 7 2 2 2" xfId="4427" xr:uid="{00000000-0005-0000-0000-000025950000}"/>
    <cellStyle name="Normal 56 3 7 2 3" xfId="42738" xr:uid="{00000000-0005-0000-0000-000026950000}"/>
    <cellStyle name="Normal 56 3 7 3" xfId="42740" xr:uid="{00000000-0005-0000-0000-000027950000}"/>
    <cellStyle name="Normal 56 3 7 3 2" xfId="42742" xr:uid="{00000000-0005-0000-0000-000028950000}"/>
    <cellStyle name="Normal 56 3 7 4" xfId="42744" xr:uid="{00000000-0005-0000-0000-000029950000}"/>
    <cellStyle name="Normal 56 3 8" xfId="42746" xr:uid="{00000000-0005-0000-0000-00002A950000}"/>
    <cellStyle name="Normal 56 3 8 2" xfId="42748" xr:uid="{00000000-0005-0000-0000-00002B950000}"/>
    <cellStyle name="Normal 56 3 8 2 2" xfId="42751" xr:uid="{00000000-0005-0000-0000-00002C950000}"/>
    <cellStyle name="Normal 56 3 8 3" xfId="42753" xr:uid="{00000000-0005-0000-0000-00002D950000}"/>
    <cellStyle name="Normal 56 3 9" xfId="42755" xr:uid="{00000000-0005-0000-0000-00002E950000}"/>
    <cellStyle name="Normal 56 3 9 2" xfId="42757" xr:uid="{00000000-0005-0000-0000-00002F950000}"/>
    <cellStyle name="Normal 56 3 9 2 2" xfId="42759" xr:uid="{00000000-0005-0000-0000-000030950000}"/>
    <cellStyle name="Normal 56 3 9 3" xfId="42761" xr:uid="{00000000-0005-0000-0000-000031950000}"/>
    <cellStyle name="Normal 56 4" xfId="42763" xr:uid="{00000000-0005-0000-0000-000032950000}"/>
    <cellStyle name="Normal 56 4 10" xfId="39921" xr:uid="{00000000-0005-0000-0000-000033950000}"/>
    <cellStyle name="Normal 56 4 2" xfId="42765" xr:uid="{00000000-0005-0000-0000-000034950000}"/>
    <cellStyle name="Normal 56 4 2 2" xfId="2200" xr:uid="{00000000-0005-0000-0000-000035950000}"/>
    <cellStyle name="Normal 56 4 2 2 2" xfId="482" xr:uid="{00000000-0005-0000-0000-000036950000}"/>
    <cellStyle name="Normal 56 4 2 2 2 2" xfId="41673" xr:uid="{00000000-0005-0000-0000-000037950000}"/>
    <cellStyle name="Normal 56 4 2 2 2 2 2" xfId="41677" xr:uid="{00000000-0005-0000-0000-000038950000}"/>
    <cellStyle name="Normal 56 4 2 2 2 2 2 2" xfId="42768" xr:uid="{00000000-0005-0000-0000-000039950000}"/>
    <cellStyle name="Normal 56 4 2 2 2 2 3" xfId="42770" xr:uid="{00000000-0005-0000-0000-00003A950000}"/>
    <cellStyle name="Normal 56 4 2 2 2 3" xfId="41681" xr:uid="{00000000-0005-0000-0000-00003B950000}"/>
    <cellStyle name="Normal 56 4 2 2 2 3 2" xfId="42772" xr:uid="{00000000-0005-0000-0000-00003C950000}"/>
    <cellStyle name="Normal 56 4 2 2 2 4" xfId="18649" xr:uid="{00000000-0005-0000-0000-00003D950000}"/>
    <cellStyle name="Normal 56 4 2 2 3" xfId="41685" xr:uid="{00000000-0005-0000-0000-00003E950000}"/>
    <cellStyle name="Normal 56 4 2 2 3 2" xfId="41689" xr:uid="{00000000-0005-0000-0000-00003F950000}"/>
    <cellStyle name="Normal 56 4 2 2 3 2 2" xfId="42774" xr:uid="{00000000-0005-0000-0000-000040950000}"/>
    <cellStyle name="Normal 56 4 2 2 3 3" xfId="42776" xr:uid="{00000000-0005-0000-0000-000041950000}"/>
    <cellStyle name="Normal 56 4 2 2 4" xfId="25148" xr:uid="{00000000-0005-0000-0000-000042950000}"/>
    <cellStyle name="Normal 56 4 2 2 4 2" xfId="41693" xr:uid="{00000000-0005-0000-0000-000043950000}"/>
    <cellStyle name="Normal 56 4 2 2 4 2 2" xfId="42778" xr:uid="{00000000-0005-0000-0000-000044950000}"/>
    <cellStyle name="Normal 56 4 2 2 4 3" xfId="34599" xr:uid="{00000000-0005-0000-0000-000045950000}"/>
    <cellStyle name="Normal 56 4 2 2 5" xfId="41697" xr:uid="{00000000-0005-0000-0000-000046950000}"/>
    <cellStyle name="Normal 56 4 2 2 5 2" xfId="42780" xr:uid="{00000000-0005-0000-0000-000047950000}"/>
    <cellStyle name="Normal 56 4 2 2 6" xfId="41701" xr:uid="{00000000-0005-0000-0000-000048950000}"/>
    <cellStyle name="Normal 56 4 2 2 6 2" xfId="42782" xr:uid="{00000000-0005-0000-0000-000049950000}"/>
    <cellStyle name="Normal 56 4 2 2 7" xfId="42784" xr:uid="{00000000-0005-0000-0000-00004A950000}"/>
    <cellStyle name="Normal 56 4 2 2 8" xfId="5813" xr:uid="{00000000-0005-0000-0000-00004B950000}"/>
    <cellStyle name="Normal 56 4 2 3" xfId="2240" xr:uid="{00000000-0005-0000-0000-00004C950000}"/>
    <cellStyle name="Normal 56 4 2 3 2" xfId="41713" xr:uid="{00000000-0005-0000-0000-00004D950000}"/>
    <cellStyle name="Normal 56 4 2 3 2 2" xfId="40636" xr:uid="{00000000-0005-0000-0000-00004E950000}"/>
    <cellStyle name="Normal 56 4 2 3 2 2 2" xfId="16191" xr:uid="{00000000-0005-0000-0000-00004F950000}"/>
    <cellStyle name="Normal 56 4 2 3 2 3" xfId="24080" xr:uid="{00000000-0005-0000-0000-000050950000}"/>
    <cellStyle name="Normal 56 4 2 3 3" xfId="42787" xr:uid="{00000000-0005-0000-0000-000051950000}"/>
    <cellStyle name="Normal 56 4 2 3 3 2" xfId="42789" xr:uid="{00000000-0005-0000-0000-000052950000}"/>
    <cellStyle name="Normal 56 4 2 3 4" xfId="25153" xr:uid="{00000000-0005-0000-0000-000053950000}"/>
    <cellStyle name="Normal 56 4 2 4" xfId="1163" xr:uid="{00000000-0005-0000-0000-000054950000}"/>
    <cellStyle name="Normal 56 4 2 4 2" xfId="42791" xr:uid="{00000000-0005-0000-0000-000055950000}"/>
    <cellStyle name="Normal 56 4 2 4 2 2" xfId="11896" xr:uid="{00000000-0005-0000-0000-000056950000}"/>
    <cellStyle name="Normal 56 4 2 4 3" xfId="42793" xr:uid="{00000000-0005-0000-0000-000057950000}"/>
    <cellStyle name="Normal 56 4 2 5" xfId="42795" xr:uid="{00000000-0005-0000-0000-000058950000}"/>
    <cellStyle name="Normal 56 4 2 5 2" xfId="42797" xr:uid="{00000000-0005-0000-0000-000059950000}"/>
    <cellStyle name="Normal 56 4 2 5 2 2" xfId="12034" xr:uid="{00000000-0005-0000-0000-00005A950000}"/>
    <cellStyle name="Normal 56 4 2 5 3" xfId="42799" xr:uid="{00000000-0005-0000-0000-00005B950000}"/>
    <cellStyle name="Normal 56 4 2 6" xfId="20013" xr:uid="{00000000-0005-0000-0000-00005C950000}"/>
    <cellStyle name="Normal 56 4 2 6 2" xfId="42801" xr:uid="{00000000-0005-0000-0000-00005D950000}"/>
    <cellStyle name="Normal 56 4 2 7" xfId="42803" xr:uid="{00000000-0005-0000-0000-00005E950000}"/>
    <cellStyle name="Normal 56 4 2 7 2" xfId="42805" xr:uid="{00000000-0005-0000-0000-00005F950000}"/>
    <cellStyle name="Normal 56 4 2 8" xfId="42807" xr:uid="{00000000-0005-0000-0000-000060950000}"/>
    <cellStyle name="Normal 56 4 2 9" xfId="20790" xr:uid="{00000000-0005-0000-0000-000061950000}"/>
    <cellStyle name="Normal 56 4 3" xfId="42809" xr:uid="{00000000-0005-0000-0000-000062950000}"/>
    <cellStyle name="Normal 56 4 3 2" xfId="2769" xr:uid="{00000000-0005-0000-0000-000063950000}"/>
    <cellStyle name="Normal 56 4 3 2 2" xfId="41782" xr:uid="{00000000-0005-0000-0000-000064950000}"/>
    <cellStyle name="Normal 56 4 3 2 2 2" xfId="28480" xr:uid="{00000000-0005-0000-0000-000065950000}"/>
    <cellStyle name="Normal 56 4 3 2 2 2 2" xfId="42811" xr:uid="{00000000-0005-0000-0000-000066950000}"/>
    <cellStyle name="Normal 56 4 3 2 2 3" xfId="28484" xr:uid="{00000000-0005-0000-0000-000067950000}"/>
    <cellStyle name="Normal 56 4 3 2 3" xfId="41786" xr:uid="{00000000-0005-0000-0000-000068950000}"/>
    <cellStyle name="Normal 56 4 3 2 3 2" xfId="15771" xr:uid="{00000000-0005-0000-0000-000069950000}"/>
    <cellStyle name="Normal 56 4 3 2 4" xfId="42813" xr:uid="{00000000-0005-0000-0000-00006A950000}"/>
    <cellStyle name="Normal 56 4 3 3" xfId="2807" xr:uid="{00000000-0005-0000-0000-00006B950000}"/>
    <cellStyle name="Normal 56 4 3 3 2" xfId="42815" xr:uid="{00000000-0005-0000-0000-00006C950000}"/>
    <cellStyle name="Normal 56 4 3 3 2 2" xfId="42817" xr:uid="{00000000-0005-0000-0000-00006D950000}"/>
    <cellStyle name="Normal 56 4 3 3 3" xfId="42819" xr:uid="{00000000-0005-0000-0000-00006E950000}"/>
    <cellStyle name="Normal 56 4 3 4" xfId="1320" xr:uid="{00000000-0005-0000-0000-00006F950000}"/>
    <cellStyle name="Normal 56 4 3 4 2" xfId="42823" xr:uid="{00000000-0005-0000-0000-000070950000}"/>
    <cellStyle name="Normal 56 4 3 4 2 2" xfId="12316" xr:uid="{00000000-0005-0000-0000-000071950000}"/>
    <cellStyle name="Normal 56 4 3 4 3" xfId="42827" xr:uid="{00000000-0005-0000-0000-000072950000}"/>
    <cellStyle name="Normal 56 4 3 5" xfId="42831" xr:uid="{00000000-0005-0000-0000-000073950000}"/>
    <cellStyle name="Normal 56 4 3 5 2" xfId="42835" xr:uid="{00000000-0005-0000-0000-000074950000}"/>
    <cellStyle name="Normal 56 4 3 6" xfId="42839" xr:uid="{00000000-0005-0000-0000-000075950000}"/>
    <cellStyle name="Normal 56 4 3 6 2" xfId="42841" xr:uid="{00000000-0005-0000-0000-000076950000}"/>
    <cellStyle name="Normal 56 4 3 7" xfId="42845" xr:uid="{00000000-0005-0000-0000-000077950000}"/>
    <cellStyle name="Normal 56 4 3 8" xfId="42847" xr:uid="{00000000-0005-0000-0000-000078950000}"/>
    <cellStyle name="Normal 56 4 4" xfId="42849" xr:uid="{00000000-0005-0000-0000-000079950000}"/>
    <cellStyle name="Normal 56 4 4 2" xfId="20536" xr:uid="{00000000-0005-0000-0000-00007A950000}"/>
    <cellStyle name="Normal 56 4 4 2 2" xfId="24001" xr:uid="{00000000-0005-0000-0000-00007B950000}"/>
    <cellStyle name="Normal 56 4 4 2 2 2" xfId="42851" xr:uid="{00000000-0005-0000-0000-00007C950000}"/>
    <cellStyle name="Normal 56 4 4 2 3" xfId="42853" xr:uid="{00000000-0005-0000-0000-00007D950000}"/>
    <cellStyle name="Normal 56 4 4 3" xfId="24006" xr:uid="{00000000-0005-0000-0000-00007E950000}"/>
    <cellStyle name="Normal 56 4 4 3 2" xfId="42855" xr:uid="{00000000-0005-0000-0000-00007F950000}"/>
    <cellStyle name="Normal 56 4 4 4" xfId="42859" xr:uid="{00000000-0005-0000-0000-000080950000}"/>
    <cellStyle name="Normal 56 4 5" xfId="42861" xr:uid="{00000000-0005-0000-0000-000081950000}"/>
    <cellStyle name="Normal 56 4 5 2" xfId="20636" xr:uid="{00000000-0005-0000-0000-000082950000}"/>
    <cellStyle name="Normal 56 4 5 2 2" xfId="41938" xr:uid="{00000000-0005-0000-0000-000083950000}"/>
    <cellStyle name="Normal 56 4 5 3" xfId="11736" xr:uid="{00000000-0005-0000-0000-000084950000}"/>
    <cellStyle name="Normal 56 4 6" xfId="42863" xr:uid="{00000000-0005-0000-0000-000085950000}"/>
    <cellStyle name="Normal 56 4 6 2" xfId="42865" xr:uid="{00000000-0005-0000-0000-000086950000}"/>
    <cellStyle name="Normal 56 4 6 2 2" xfId="42867" xr:uid="{00000000-0005-0000-0000-000087950000}"/>
    <cellStyle name="Normal 56 4 6 3" xfId="9310" xr:uid="{00000000-0005-0000-0000-000088950000}"/>
    <cellStyle name="Normal 56 4 7" xfId="42869" xr:uid="{00000000-0005-0000-0000-000089950000}"/>
    <cellStyle name="Normal 56 4 7 2" xfId="42871" xr:uid="{00000000-0005-0000-0000-00008A950000}"/>
    <cellStyle name="Normal 56 4 8" xfId="42873" xr:uid="{00000000-0005-0000-0000-00008B950000}"/>
    <cellStyle name="Normal 56 4 8 2" xfId="42875" xr:uid="{00000000-0005-0000-0000-00008C950000}"/>
    <cellStyle name="Normal 56 4 9" xfId="42877" xr:uid="{00000000-0005-0000-0000-00008D950000}"/>
    <cellStyle name="Normal 56 5" xfId="42879" xr:uid="{00000000-0005-0000-0000-00008E950000}"/>
    <cellStyle name="Normal 56 5 2" xfId="42881" xr:uid="{00000000-0005-0000-0000-00008F950000}"/>
    <cellStyle name="Normal 56 5 2 2" xfId="1292" xr:uid="{00000000-0005-0000-0000-000090950000}"/>
    <cellStyle name="Normal 56 5 2 2 2" xfId="1319" xr:uid="{00000000-0005-0000-0000-000091950000}"/>
    <cellStyle name="Normal 56 5 2 2 2 2" xfId="42822" xr:uid="{00000000-0005-0000-0000-000092950000}"/>
    <cellStyle name="Normal 56 5 2 2 2 2 2" xfId="12315" xr:uid="{00000000-0005-0000-0000-000093950000}"/>
    <cellStyle name="Normal 56 5 2 2 2 3" xfId="42826" xr:uid="{00000000-0005-0000-0000-000094950000}"/>
    <cellStyle name="Normal 56 5 2 2 3" xfId="42830" xr:uid="{00000000-0005-0000-0000-000095950000}"/>
    <cellStyle name="Normal 56 5 2 2 3 2" xfId="42834" xr:uid="{00000000-0005-0000-0000-000096950000}"/>
    <cellStyle name="Normal 56 5 2 2 4" xfId="42838" xr:uid="{00000000-0005-0000-0000-000097950000}"/>
    <cellStyle name="Normal 56 5 2 2 5" xfId="42844" xr:uid="{00000000-0005-0000-0000-000098950000}"/>
    <cellStyle name="Normal 56 5 2 3" xfId="1356" xr:uid="{00000000-0005-0000-0000-000099950000}"/>
    <cellStyle name="Normal 56 5 2 3 2" xfId="42858" xr:uid="{00000000-0005-0000-0000-00009A950000}"/>
    <cellStyle name="Normal 56 5 2 3 2 2" xfId="40823" xr:uid="{00000000-0005-0000-0000-00009B950000}"/>
    <cellStyle name="Normal 56 5 2 3 3" xfId="42883" xr:uid="{00000000-0005-0000-0000-00009C950000}"/>
    <cellStyle name="Normal 56 5 2 4" xfId="1459" xr:uid="{00000000-0005-0000-0000-00009D950000}"/>
    <cellStyle name="Normal 56 5 2 4 2" xfId="42885" xr:uid="{00000000-0005-0000-0000-00009E950000}"/>
    <cellStyle name="Normal 56 5 2 4 2 2" xfId="42887" xr:uid="{00000000-0005-0000-0000-00009F950000}"/>
    <cellStyle name="Normal 56 5 2 4 3" xfId="42889" xr:uid="{00000000-0005-0000-0000-0000A0950000}"/>
    <cellStyle name="Normal 56 5 2 5" xfId="42891" xr:uid="{00000000-0005-0000-0000-0000A1950000}"/>
    <cellStyle name="Normal 56 5 2 5 2" xfId="9319" xr:uid="{00000000-0005-0000-0000-0000A2950000}"/>
    <cellStyle name="Normal 56 5 2 6" xfId="20028" xr:uid="{00000000-0005-0000-0000-0000A3950000}"/>
    <cellStyle name="Normal 56 5 2 6 2" xfId="42893" xr:uid="{00000000-0005-0000-0000-0000A4950000}"/>
    <cellStyle name="Normal 56 5 2 7" xfId="42897" xr:uid="{00000000-0005-0000-0000-0000A5950000}"/>
    <cellStyle name="Normal 56 5 2 8" xfId="42900" xr:uid="{00000000-0005-0000-0000-0000A6950000}"/>
    <cellStyle name="Normal 56 5 3" xfId="42902" xr:uid="{00000000-0005-0000-0000-0000A7950000}"/>
    <cellStyle name="Normal 56 5 3 2" xfId="1680" xr:uid="{00000000-0005-0000-0000-0000A8950000}"/>
    <cellStyle name="Normal 56 5 3 2 2" xfId="42906" xr:uid="{00000000-0005-0000-0000-0000A9950000}"/>
    <cellStyle name="Normal 56 5 3 2 2 2" xfId="42908" xr:uid="{00000000-0005-0000-0000-0000AA950000}"/>
    <cellStyle name="Normal 56 5 3 2 3" xfId="29602" xr:uid="{00000000-0005-0000-0000-0000AB950000}"/>
    <cellStyle name="Normal 56 5 3 3" xfId="137" xr:uid="{00000000-0005-0000-0000-0000AC950000}"/>
    <cellStyle name="Normal 56 5 3 3 2" xfId="42910" xr:uid="{00000000-0005-0000-0000-0000AD950000}"/>
    <cellStyle name="Normal 56 5 3 4" xfId="42905" xr:uid="{00000000-0005-0000-0000-0000AE950000}"/>
    <cellStyle name="Normal 56 5 3 5" xfId="29601" xr:uid="{00000000-0005-0000-0000-0000AF950000}"/>
    <cellStyle name="Normal 56 5 4" xfId="42912" xr:uid="{00000000-0005-0000-0000-0000B0950000}"/>
    <cellStyle name="Normal 56 5 4 2" xfId="24048" xr:uid="{00000000-0005-0000-0000-0000B1950000}"/>
    <cellStyle name="Normal 56 5 4 2 2" xfId="42916" xr:uid="{00000000-0005-0000-0000-0000B2950000}"/>
    <cellStyle name="Normal 56 5 4 3" xfId="42918" xr:uid="{00000000-0005-0000-0000-0000B3950000}"/>
    <cellStyle name="Normal 56 5 5" xfId="42920" xr:uid="{00000000-0005-0000-0000-0000B4950000}"/>
    <cellStyle name="Normal 56 5 5 2" xfId="42922" xr:uid="{00000000-0005-0000-0000-0000B5950000}"/>
    <cellStyle name="Normal 56 5 5 2 2" xfId="42926" xr:uid="{00000000-0005-0000-0000-0000B6950000}"/>
    <cellStyle name="Normal 56 5 5 3" xfId="42928" xr:uid="{00000000-0005-0000-0000-0000B7950000}"/>
    <cellStyle name="Normal 56 5 6" xfId="13627" xr:uid="{00000000-0005-0000-0000-0000B8950000}"/>
    <cellStyle name="Normal 56 5 6 2" xfId="42930" xr:uid="{00000000-0005-0000-0000-0000B9950000}"/>
    <cellStyle name="Normal 56 5 7" xfId="42932" xr:uid="{00000000-0005-0000-0000-0000BA950000}"/>
    <cellStyle name="Normal 56 5 7 2" xfId="42934" xr:uid="{00000000-0005-0000-0000-0000BB950000}"/>
    <cellStyle name="Normal 56 5 8" xfId="42936" xr:uid="{00000000-0005-0000-0000-0000BC950000}"/>
    <cellStyle name="Normal 56 5 9" xfId="42938" xr:uid="{00000000-0005-0000-0000-0000BD950000}"/>
    <cellStyle name="Normal 56 6" xfId="42940" xr:uid="{00000000-0005-0000-0000-0000BE950000}"/>
    <cellStyle name="Normal 56 6 2" xfId="42943" xr:uid="{00000000-0005-0000-0000-0000BF950000}"/>
    <cellStyle name="Normal 56 6 2 2" xfId="6341" xr:uid="{00000000-0005-0000-0000-0000C0950000}"/>
    <cellStyle name="Normal 56 6 2 2 2" xfId="6346" xr:uid="{00000000-0005-0000-0000-0000C1950000}"/>
    <cellStyle name="Normal 56 6 2 2 2 2" xfId="42947" xr:uid="{00000000-0005-0000-0000-0000C2950000}"/>
    <cellStyle name="Normal 56 6 2 2 2 2 2" xfId="42951" xr:uid="{00000000-0005-0000-0000-0000C3950000}"/>
    <cellStyle name="Normal 56 6 2 2 2 3" xfId="42955" xr:uid="{00000000-0005-0000-0000-0000C4950000}"/>
    <cellStyle name="Normal 56 6 2 2 3" xfId="42959" xr:uid="{00000000-0005-0000-0000-0000C5950000}"/>
    <cellStyle name="Normal 56 6 2 2 3 2" xfId="42963" xr:uid="{00000000-0005-0000-0000-0000C6950000}"/>
    <cellStyle name="Normal 56 6 2 2 4" xfId="42967" xr:uid="{00000000-0005-0000-0000-0000C7950000}"/>
    <cellStyle name="Normal 56 6 2 3" xfId="6349" xr:uid="{00000000-0005-0000-0000-0000C8950000}"/>
    <cellStyle name="Normal 56 6 2 3 2" xfId="42971" xr:uid="{00000000-0005-0000-0000-0000C9950000}"/>
    <cellStyle name="Normal 56 6 2 3 2 2" xfId="42973" xr:uid="{00000000-0005-0000-0000-0000CA950000}"/>
    <cellStyle name="Normal 56 6 2 3 3" xfId="31339" xr:uid="{00000000-0005-0000-0000-0000CB950000}"/>
    <cellStyle name="Normal 56 6 2 4" xfId="6353" xr:uid="{00000000-0005-0000-0000-0000CC950000}"/>
    <cellStyle name="Normal 56 6 2 4 2" xfId="42975" xr:uid="{00000000-0005-0000-0000-0000CD950000}"/>
    <cellStyle name="Normal 56 6 2 4 2 2" xfId="42977" xr:uid="{00000000-0005-0000-0000-0000CE950000}"/>
    <cellStyle name="Normal 56 6 2 4 3" xfId="42979" xr:uid="{00000000-0005-0000-0000-0000CF950000}"/>
    <cellStyle name="Normal 56 6 2 5" xfId="42981" xr:uid="{00000000-0005-0000-0000-0000D0950000}"/>
    <cellStyle name="Normal 56 6 2 5 2" xfId="42983" xr:uid="{00000000-0005-0000-0000-0000D1950000}"/>
    <cellStyle name="Normal 56 6 2 6" xfId="42985" xr:uid="{00000000-0005-0000-0000-0000D2950000}"/>
    <cellStyle name="Normal 56 6 2 6 2" xfId="42987" xr:uid="{00000000-0005-0000-0000-0000D3950000}"/>
    <cellStyle name="Normal 56 6 2 7" xfId="42990" xr:uid="{00000000-0005-0000-0000-0000D4950000}"/>
    <cellStyle name="Normal 56 6 2 8" xfId="42992" xr:uid="{00000000-0005-0000-0000-0000D5950000}"/>
    <cellStyle name="Normal 56 6 3" xfId="42995" xr:uid="{00000000-0005-0000-0000-0000D6950000}"/>
    <cellStyle name="Normal 56 6 3 2" xfId="6436" xr:uid="{00000000-0005-0000-0000-0000D7950000}"/>
    <cellStyle name="Normal 56 6 3 2 2" xfId="42999" xr:uid="{00000000-0005-0000-0000-0000D8950000}"/>
    <cellStyle name="Normal 56 6 3 2 2 2" xfId="43001" xr:uid="{00000000-0005-0000-0000-0000D9950000}"/>
    <cellStyle name="Normal 56 6 3 2 3" xfId="43005" xr:uid="{00000000-0005-0000-0000-0000DA950000}"/>
    <cellStyle name="Normal 56 6 3 3" xfId="6440" xr:uid="{00000000-0005-0000-0000-0000DB950000}"/>
    <cellStyle name="Normal 56 6 3 3 2" xfId="43007" xr:uid="{00000000-0005-0000-0000-0000DC950000}"/>
    <cellStyle name="Normal 56 6 3 4" xfId="42915" xr:uid="{00000000-0005-0000-0000-0000DD950000}"/>
    <cellStyle name="Normal 56 6 4" xfId="43009" xr:uid="{00000000-0005-0000-0000-0000DE950000}"/>
    <cellStyle name="Normal 56 6 4 2" xfId="20663" xr:uid="{00000000-0005-0000-0000-0000DF950000}"/>
    <cellStyle name="Normal 56 6 4 2 2" xfId="36239" xr:uid="{00000000-0005-0000-0000-0000E0950000}"/>
    <cellStyle name="Normal 56 6 4 3" xfId="43011" xr:uid="{00000000-0005-0000-0000-0000E1950000}"/>
    <cellStyle name="Normal 56 6 5" xfId="43013" xr:uid="{00000000-0005-0000-0000-0000E2950000}"/>
    <cellStyle name="Normal 56 6 5 2" xfId="43015" xr:uid="{00000000-0005-0000-0000-0000E3950000}"/>
    <cellStyle name="Normal 56 6 5 2 2" xfId="36312" xr:uid="{00000000-0005-0000-0000-0000E4950000}"/>
    <cellStyle name="Normal 56 6 5 3" xfId="40840" xr:uid="{00000000-0005-0000-0000-0000E5950000}"/>
    <cellStyle name="Normal 56 6 6" xfId="43017" xr:uid="{00000000-0005-0000-0000-0000E6950000}"/>
    <cellStyle name="Normal 56 6 6 2" xfId="43019" xr:uid="{00000000-0005-0000-0000-0000E7950000}"/>
    <cellStyle name="Normal 56 6 7" xfId="43021" xr:uid="{00000000-0005-0000-0000-0000E8950000}"/>
    <cellStyle name="Normal 56 6 7 2" xfId="43023" xr:uid="{00000000-0005-0000-0000-0000E9950000}"/>
    <cellStyle name="Normal 56 6 8" xfId="43025" xr:uid="{00000000-0005-0000-0000-0000EA950000}"/>
    <cellStyle name="Normal 56 6 9" xfId="43027" xr:uid="{00000000-0005-0000-0000-0000EB950000}"/>
    <cellStyle name="Normal 56 7" xfId="43029" xr:uid="{00000000-0005-0000-0000-0000EC950000}"/>
    <cellStyle name="Normal 56 7 2" xfId="43032" xr:uid="{00000000-0005-0000-0000-0000ED950000}"/>
    <cellStyle name="Normal 56 7 2 2" xfId="2507" xr:uid="{00000000-0005-0000-0000-0000EE950000}"/>
    <cellStyle name="Normal 56 7 2 2 2" xfId="7673" xr:uid="{00000000-0005-0000-0000-0000EF950000}"/>
    <cellStyle name="Normal 56 7 2 2 2 2" xfId="43036" xr:uid="{00000000-0005-0000-0000-0000F0950000}"/>
    <cellStyle name="Normal 56 7 2 2 2 2 2" xfId="43040" xr:uid="{00000000-0005-0000-0000-0000F1950000}"/>
    <cellStyle name="Normal 56 7 2 2 2 3" xfId="43044" xr:uid="{00000000-0005-0000-0000-0000F2950000}"/>
    <cellStyle name="Normal 56 7 2 2 3" xfId="43048" xr:uid="{00000000-0005-0000-0000-0000F3950000}"/>
    <cellStyle name="Normal 56 7 2 2 3 2" xfId="43052" xr:uid="{00000000-0005-0000-0000-0000F4950000}"/>
    <cellStyle name="Normal 56 7 2 2 4" xfId="43056" xr:uid="{00000000-0005-0000-0000-0000F5950000}"/>
    <cellStyle name="Normal 56 7 2 3" xfId="7676" xr:uid="{00000000-0005-0000-0000-0000F6950000}"/>
    <cellStyle name="Normal 56 7 2 3 2" xfId="43060" xr:uid="{00000000-0005-0000-0000-0000F7950000}"/>
    <cellStyle name="Normal 56 7 2 3 2 2" xfId="43062" xr:uid="{00000000-0005-0000-0000-0000F8950000}"/>
    <cellStyle name="Normal 56 7 2 3 3" xfId="43064" xr:uid="{00000000-0005-0000-0000-0000F9950000}"/>
    <cellStyle name="Normal 56 7 2 4" xfId="7679" xr:uid="{00000000-0005-0000-0000-0000FA950000}"/>
    <cellStyle name="Normal 56 7 2 4 2" xfId="43066" xr:uid="{00000000-0005-0000-0000-0000FB950000}"/>
    <cellStyle name="Normal 56 7 2 4 2 2" xfId="43068" xr:uid="{00000000-0005-0000-0000-0000FC950000}"/>
    <cellStyle name="Normal 56 7 2 4 3" xfId="43070" xr:uid="{00000000-0005-0000-0000-0000FD950000}"/>
    <cellStyle name="Normal 56 7 2 5" xfId="43072" xr:uid="{00000000-0005-0000-0000-0000FE950000}"/>
    <cellStyle name="Normal 56 7 2 5 2" xfId="43074" xr:uid="{00000000-0005-0000-0000-0000FF950000}"/>
    <cellStyle name="Normal 56 7 2 6" xfId="43076" xr:uid="{00000000-0005-0000-0000-000000960000}"/>
    <cellStyle name="Normal 56 7 2 6 2" xfId="43078" xr:uid="{00000000-0005-0000-0000-000001960000}"/>
    <cellStyle name="Normal 56 7 2 7" xfId="43081" xr:uid="{00000000-0005-0000-0000-000002960000}"/>
    <cellStyle name="Normal 56 7 2 8" xfId="43083" xr:uid="{00000000-0005-0000-0000-000003960000}"/>
    <cellStyle name="Normal 56 7 3" xfId="43085" xr:uid="{00000000-0005-0000-0000-000004960000}"/>
    <cellStyle name="Normal 56 7 3 2" xfId="2755" xr:uid="{00000000-0005-0000-0000-000005960000}"/>
    <cellStyle name="Normal 56 7 3 2 2" xfId="43089" xr:uid="{00000000-0005-0000-0000-000006960000}"/>
    <cellStyle name="Normal 56 7 3 2 2 2" xfId="43091" xr:uid="{00000000-0005-0000-0000-000007960000}"/>
    <cellStyle name="Normal 56 7 3 2 3" xfId="43095" xr:uid="{00000000-0005-0000-0000-000008960000}"/>
    <cellStyle name="Normal 56 7 3 3" xfId="7696" xr:uid="{00000000-0005-0000-0000-000009960000}"/>
    <cellStyle name="Normal 56 7 3 3 2" xfId="43097" xr:uid="{00000000-0005-0000-0000-00000A960000}"/>
    <cellStyle name="Normal 56 7 3 4" xfId="42925" xr:uid="{00000000-0005-0000-0000-00000B960000}"/>
    <cellStyle name="Normal 56 7 4" xfId="43099" xr:uid="{00000000-0005-0000-0000-00000C960000}"/>
    <cellStyle name="Normal 56 7 4 2" xfId="24095" xr:uid="{00000000-0005-0000-0000-00000D960000}"/>
    <cellStyle name="Normal 56 7 4 2 2" xfId="43103" xr:uid="{00000000-0005-0000-0000-00000E960000}"/>
    <cellStyle name="Normal 56 7 4 3" xfId="43105" xr:uid="{00000000-0005-0000-0000-00000F960000}"/>
    <cellStyle name="Normal 56 7 5" xfId="43107" xr:uid="{00000000-0005-0000-0000-000010960000}"/>
    <cellStyle name="Normal 56 7 5 2" xfId="43109" xr:uid="{00000000-0005-0000-0000-000011960000}"/>
    <cellStyle name="Normal 56 7 5 2 2" xfId="43113" xr:uid="{00000000-0005-0000-0000-000012960000}"/>
    <cellStyle name="Normal 56 7 5 3" xfId="43115" xr:uid="{00000000-0005-0000-0000-000013960000}"/>
    <cellStyle name="Normal 56 7 6" xfId="43117" xr:uid="{00000000-0005-0000-0000-000014960000}"/>
    <cellStyle name="Normal 56 7 6 2" xfId="43119" xr:uid="{00000000-0005-0000-0000-000015960000}"/>
    <cellStyle name="Normal 56 7 7" xfId="43121" xr:uid="{00000000-0005-0000-0000-000016960000}"/>
    <cellStyle name="Normal 56 7 7 2" xfId="43123" xr:uid="{00000000-0005-0000-0000-000017960000}"/>
    <cellStyle name="Normal 56 7 8" xfId="43125" xr:uid="{00000000-0005-0000-0000-000018960000}"/>
    <cellStyle name="Normal 56 7 9" xfId="43127" xr:uid="{00000000-0005-0000-0000-000019960000}"/>
    <cellStyle name="Normal 56 8" xfId="43129" xr:uid="{00000000-0005-0000-0000-00001A960000}"/>
    <cellStyle name="Normal 56 8 2" xfId="43132" xr:uid="{00000000-0005-0000-0000-00001B960000}"/>
    <cellStyle name="Normal 56 8 2 2" xfId="8454" xr:uid="{00000000-0005-0000-0000-00001C960000}"/>
    <cellStyle name="Normal 56 8 2 2 2" xfId="8460" xr:uid="{00000000-0005-0000-0000-00001D960000}"/>
    <cellStyle name="Normal 56 8 2 2 2 2" xfId="43135" xr:uid="{00000000-0005-0000-0000-00001E960000}"/>
    <cellStyle name="Normal 56 8 2 2 3" xfId="43138" xr:uid="{00000000-0005-0000-0000-00001F960000}"/>
    <cellStyle name="Normal 56 8 2 3" xfId="8465" xr:uid="{00000000-0005-0000-0000-000020960000}"/>
    <cellStyle name="Normal 56 8 2 3 2" xfId="12677" xr:uid="{00000000-0005-0000-0000-000021960000}"/>
    <cellStyle name="Normal 56 8 2 4" xfId="8468" xr:uid="{00000000-0005-0000-0000-000022960000}"/>
    <cellStyle name="Normal 56 8 3" xfId="43140" xr:uid="{00000000-0005-0000-0000-000023960000}"/>
    <cellStyle name="Normal 56 8 3 2" xfId="1605" xr:uid="{00000000-0005-0000-0000-000024960000}"/>
    <cellStyle name="Normal 56 8 3 2 2" xfId="43143" xr:uid="{00000000-0005-0000-0000-000025960000}"/>
    <cellStyle name="Normal 56 8 3 3" xfId="5390" xr:uid="{00000000-0005-0000-0000-000026960000}"/>
    <cellStyle name="Normal 56 8 4" xfId="43145" xr:uid="{00000000-0005-0000-0000-000027960000}"/>
    <cellStyle name="Normal 56 8 4 2" xfId="43147" xr:uid="{00000000-0005-0000-0000-000028960000}"/>
    <cellStyle name="Normal 56 8 4 2 2" xfId="43150" xr:uid="{00000000-0005-0000-0000-000029960000}"/>
    <cellStyle name="Normal 56 8 4 3" xfId="43152" xr:uid="{00000000-0005-0000-0000-00002A960000}"/>
    <cellStyle name="Normal 56 8 5" xfId="43154" xr:uid="{00000000-0005-0000-0000-00002B960000}"/>
    <cellStyle name="Normal 56 8 5 2" xfId="43156" xr:uid="{00000000-0005-0000-0000-00002C960000}"/>
    <cellStyle name="Normal 56 8 6" xfId="15714" xr:uid="{00000000-0005-0000-0000-00002D960000}"/>
    <cellStyle name="Normal 56 8 6 2" xfId="43158" xr:uid="{00000000-0005-0000-0000-00002E960000}"/>
    <cellStyle name="Normal 56 8 7" xfId="43160" xr:uid="{00000000-0005-0000-0000-00002F960000}"/>
    <cellStyle name="Normal 56 8 8" xfId="43162" xr:uid="{00000000-0005-0000-0000-000030960000}"/>
    <cellStyle name="Normal 56 9" xfId="43164" xr:uid="{00000000-0005-0000-0000-000031960000}"/>
    <cellStyle name="Normal 56 9 2" xfId="17204" xr:uid="{00000000-0005-0000-0000-000032960000}"/>
    <cellStyle name="Normal 56 9 2 2" xfId="1444" xr:uid="{00000000-0005-0000-0000-000033960000}"/>
    <cellStyle name="Normal 56 9 2 2 2" xfId="9047" xr:uid="{00000000-0005-0000-0000-000034960000}"/>
    <cellStyle name="Normal 56 9 2 3" xfId="3302" xr:uid="{00000000-0005-0000-0000-000035960000}"/>
    <cellStyle name="Normal 56 9 3" xfId="17212" xr:uid="{00000000-0005-0000-0000-000036960000}"/>
    <cellStyle name="Normal 56 9 3 2" xfId="9062" xr:uid="{00000000-0005-0000-0000-000037960000}"/>
    <cellStyle name="Normal 56 9 4" xfId="12176" xr:uid="{00000000-0005-0000-0000-000038960000}"/>
    <cellStyle name="Normal 57" xfId="43166" xr:uid="{00000000-0005-0000-0000-000039960000}"/>
    <cellStyle name="Normal 57 10" xfId="43168" xr:uid="{00000000-0005-0000-0000-00003A960000}"/>
    <cellStyle name="Normal 57 10 2" xfId="43170" xr:uid="{00000000-0005-0000-0000-00003B960000}"/>
    <cellStyle name="Normal 57 10 2 2" xfId="43172" xr:uid="{00000000-0005-0000-0000-00003C960000}"/>
    <cellStyle name="Normal 57 10 3" xfId="19698" xr:uid="{00000000-0005-0000-0000-00003D960000}"/>
    <cellStyle name="Normal 57 11" xfId="11483" xr:uid="{00000000-0005-0000-0000-00003E960000}"/>
    <cellStyle name="Normal 57 11 2" xfId="43174" xr:uid="{00000000-0005-0000-0000-00003F960000}"/>
    <cellStyle name="Normal 57 11 2 2" xfId="43176" xr:uid="{00000000-0005-0000-0000-000040960000}"/>
    <cellStyle name="Normal 57 11 3" xfId="43178" xr:uid="{00000000-0005-0000-0000-000041960000}"/>
    <cellStyle name="Normal 57 12" xfId="16622" xr:uid="{00000000-0005-0000-0000-000042960000}"/>
    <cellStyle name="Normal 57 12 2" xfId="43180" xr:uid="{00000000-0005-0000-0000-000043960000}"/>
    <cellStyle name="Normal 57 13" xfId="28680" xr:uid="{00000000-0005-0000-0000-000044960000}"/>
    <cellStyle name="Normal 57 13 2" xfId="43182" xr:uid="{00000000-0005-0000-0000-000045960000}"/>
    <cellStyle name="Normal 57 14" xfId="43184" xr:uid="{00000000-0005-0000-0000-000046960000}"/>
    <cellStyle name="Normal 57 14 2" xfId="43186" xr:uid="{00000000-0005-0000-0000-000047960000}"/>
    <cellStyle name="Normal 57 15" xfId="43188" xr:uid="{00000000-0005-0000-0000-000048960000}"/>
    <cellStyle name="Normal 57 16" xfId="43190" xr:uid="{00000000-0005-0000-0000-000049960000}"/>
    <cellStyle name="Normal 57 2" xfId="43193" xr:uid="{00000000-0005-0000-0000-00004A960000}"/>
    <cellStyle name="Normal 57 2 10" xfId="43195" xr:uid="{00000000-0005-0000-0000-00004B960000}"/>
    <cellStyle name="Normal 57 2 10 2" xfId="43197" xr:uid="{00000000-0005-0000-0000-00004C960000}"/>
    <cellStyle name="Normal 57 2 11" xfId="43199" xr:uid="{00000000-0005-0000-0000-00004D960000}"/>
    <cellStyle name="Normal 57 2 11 2" xfId="43201" xr:uid="{00000000-0005-0000-0000-00004E960000}"/>
    <cellStyle name="Normal 57 2 12" xfId="43203" xr:uid="{00000000-0005-0000-0000-00004F960000}"/>
    <cellStyle name="Normal 57 2 12 2" xfId="4896" xr:uid="{00000000-0005-0000-0000-000050960000}"/>
    <cellStyle name="Normal 57 2 13" xfId="43205" xr:uid="{00000000-0005-0000-0000-000051960000}"/>
    <cellStyle name="Normal 57 2 14" xfId="43207" xr:uid="{00000000-0005-0000-0000-000052960000}"/>
    <cellStyle name="Normal 57 2 2" xfId="43209" xr:uid="{00000000-0005-0000-0000-000053960000}"/>
    <cellStyle name="Normal 57 2 2 10" xfId="43211" xr:uid="{00000000-0005-0000-0000-000054960000}"/>
    <cellStyle name="Normal 57 2 2 2" xfId="43213" xr:uid="{00000000-0005-0000-0000-000055960000}"/>
    <cellStyle name="Normal 57 2 2 2 2" xfId="43215" xr:uid="{00000000-0005-0000-0000-000056960000}"/>
    <cellStyle name="Normal 57 2 2 2 2 2" xfId="43217" xr:uid="{00000000-0005-0000-0000-000057960000}"/>
    <cellStyle name="Normal 57 2 2 2 2 2 2" xfId="41065" xr:uid="{00000000-0005-0000-0000-000058960000}"/>
    <cellStyle name="Normal 57 2 2 2 2 2 2 2" xfId="43219" xr:uid="{00000000-0005-0000-0000-000059960000}"/>
    <cellStyle name="Normal 57 2 2 2 2 2 2 2 2" xfId="43221" xr:uid="{00000000-0005-0000-0000-00005A960000}"/>
    <cellStyle name="Normal 57 2 2 2 2 2 2 3" xfId="43223" xr:uid="{00000000-0005-0000-0000-00005B960000}"/>
    <cellStyle name="Normal 57 2 2 2 2 2 3" xfId="41069" xr:uid="{00000000-0005-0000-0000-00005C960000}"/>
    <cellStyle name="Normal 57 2 2 2 2 2 3 2" xfId="43225" xr:uid="{00000000-0005-0000-0000-00005D960000}"/>
    <cellStyle name="Normal 57 2 2 2 2 2 4" xfId="43227" xr:uid="{00000000-0005-0000-0000-00005E960000}"/>
    <cellStyle name="Normal 57 2 2 2 2 3" xfId="43229" xr:uid="{00000000-0005-0000-0000-00005F960000}"/>
    <cellStyle name="Normal 57 2 2 2 2 3 2" xfId="41109" xr:uid="{00000000-0005-0000-0000-000060960000}"/>
    <cellStyle name="Normal 57 2 2 2 2 3 2 2" xfId="26071" xr:uid="{00000000-0005-0000-0000-000061960000}"/>
    <cellStyle name="Normal 57 2 2 2 2 3 3" xfId="43231" xr:uid="{00000000-0005-0000-0000-000062960000}"/>
    <cellStyle name="Normal 57 2 2 2 2 4" xfId="43233" xr:uid="{00000000-0005-0000-0000-000063960000}"/>
    <cellStyle name="Normal 57 2 2 2 2 4 2" xfId="43235" xr:uid="{00000000-0005-0000-0000-000064960000}"/>
    <cellStyle name="Normal 57 2 2 2 2 4 2 2" xfId="26402" xr:uid="{00000000-0005-0000-0000-000065960000}"/>
    <cellStyle name="Normal 57 2 2 2 2 4 3" xfId="43237" xr:uid="{00000000-0005-0000-0000-000066960000}"/>
    <cellStyle name="Normal 57 2 2 2 2 5" xfId="43239" xr:uid="{00000000-0005-0000-0000-000067960000}"/>
    <cellStyle name="Normal 57 2 2 2 2 5 2" xfId="43242" xr:uid="{00000000-0005-0000-0000-000068960000}"/>
    <cellStyle name="Normal 57 2 2 2 2 6" xfId="43244" xr:uid="{00000000-0005-0000-0000-000069960000}"/>
    <cellStyle name="Normal 57 2 2 2 2 6 2" xfId="43246" xr:uid="{00000000-0005-0000-0000-00006A960000}"/>
    <cellStyle name="Normal 57 2 2 2 2 7" xfId="43248" xr:uid="{00000000-0005-0000-0000-00006B960000}"/>
    <cellStyle name="Normal 57 2 2 2 2 8" xfId="25593" xr:uid="{00000000-0005-0000-0000-00006C960000}"/>
    <cellStyle name="Normal 57 2 2 2 3" xfId="43250" xr:uid="{00000000-0005-0000-0000-00006D960000}"/>
    <cellStyle name="Normal 57 2 2 2 3 2" xfId="43252" xr:uid="{00000000-0005-0000-0000-00006E960000}"/>
    <cellStyle name="Normal 57 2 2 2 3 2 2" xfId="41145" xr:uid="{00000000-0005-0000-0000-00006F960000}"/>
    <cellStyle name="Normal 57 2 2 2 3 2 2 2" xfId="26655" xr:uid="{00000000-0005-0000-0000-000070960000}"/>
    <cellStyle name="Normal 57 2 2 2 3 2 3" xfId="43254" xr:uid="{00000000-0005-0000-0000-000071960000}"/>
    <cellStyle name="Normal 57 2 2 2 3 3" xfId="43256" xr:uid="{00000000-0005-0000-0000-000072960000}"/>
    <cellStyle name="Normal 57 2 2 2 3 3 2" xfId="43258" xr:uid="{00000000-0005-0000-0000-000073960000}"/>
    <cellStyle name="Normal 57 2 2 2 3 4" xfId="43260" xr:uid="{00000000-0005-0000-0000-000074960000}"/>
    <cellStyle name="Normal 57 2 2 2 4" xfId="25443" xr:uid="{00000000-0005-0000-0000-000075960000}"/>
    <cellStyle name="Normal 57 2 2 2 4 2" xfId="21801" xr:uid="{00000000-0005-0000-0000-000076960000}"/>
    <cellStyle name="Normal 57 2 2 2 4 2 2" xfId="41199" xr:uid="{00000000-0005-0000-0000-000077960000}"/>
    <cellStyle name="Normal 57 2 2 2 4 3" xfId="43262" xr:uid="{00000000-0005-0000-0000-000078960000}"/>
    <cellStyle name="Normal 57 2 2 2 5" xfId="43264" xr:uid="{00000000-0005-0000-0000-000079960000}"/>
    <cellStyle name="Normal 57 2 2 2 5 2" xfId="43267" xr:uid="{00000000-0005-0000-0000-00007A960000}"/>
    <cellStyle name="Normal 57 2 2 2 5 2 2" xfId="4019" xr:uid="{00000000-0005-0000-0000-00007B960000}"/>
    <cellStyle name="Normal 57 2 2 2 5 3" xfId="43270" xr:uid="{00000000-0005-0000-0000-00007C960000}"/>
    <cellStyle name="Normal 57 2 2 2 6" xfId="43272" xr:uid="{00000000-0005-0000-0000-00007D960000}"/>
    <cellStyle name="Normal 57 2 2 2 6 2" xfId="43274" xr:uid="{00000000-0005-0000-0000-00007E960000}"/>
    <cellStyle name="Normal 57 2 2 2 7" xfId="43276" xr:uid="{00000000-0005-0000-0000-00007F960000}"/>
    <cellStyle name="Normal 57 2 2 2 7 2" xfId="43278" xr:uid="{00000000-0005-0000-0000-000080960000}"/>
    <cellStyle name="Normal 57 2 2 2 8" xfId="43282" xr:uid="{00000000-0005-0000-0000-000081960000}"/>
    <cellStyle name="Normal 57 2 2 2 9" xfId="43286" xr:uid="{00000000-0005-0000-0000-000082960000}"/>
    <cellStyle name="Normal 57 2 2 3" xfId="43288" xr:uid="{00000000-0005-0000-0000-000083960000}"/>
    <cellStyle name="Normal 57 2 2 3 2" xfId="14493" xr:uid="{00000000-0005-0000-0000-000084960000}"/>
    <cellStyle name="Normal 57 2 2 3 2 2" xfId="27056" xr:uid="{00000000-0005-0000-0000-000085960000}"/>
    <cellStyle name="Normal 57 2 2 3 2 2 2" xfId="41347" xr:uid="{00000000-0005-0000-0000-000086960000}"/>
    <cellStyle name="Normal 57 2 2 3 2 2 2 2" xfId="43290" xr:uid="{00000000-0005-0000-0000-000087960000}"/>
    <cellStyle name="Normal 57 2 2 3 2 2 3" xfId="41351" xr:uid="{00000000-0005-0000-0000-000088960000}"/>
    <cellStyle name="Normal 57 2 2 3 2 3" xfId="43292" xr:uid="{00000000-0005-0000-0000-000089960000}"/>
    <cellStyle name="Normal 57 2 2 3 2 3 2" xfId="41393" xr:uid="{00000000-0005-0000-0000-00008A960000}"/>
    <cellStyle name="Normal 57 2 2 3 2 4" xfId="43294" xr:uid="{00000000-0005-0000-0000-00008B960000}"/>
    <cellStyle name="Normal 57 2 2 3 3" xfId="27060" xr:uid="{00000000-0005-0000-0000-00008C960000}"/>
    <cellStyle name="Normal 57 2 2 3 3 2" xfId="27064" xr:uid="{00000000-0005-0000-0000-00008D960000}"/>
    <cellStyle name="Normal 57 2 2 3 3 2 2" xfId="4099" xr:uid="{00000000-0005-0000-0000-00008E960000}"/>
    <cellStyle name="Normal 57 2 2 3 3 3" xfId="43297" xr:uid="{00000000-0005-0000-0000-00008F960000}"/>
    <cellStyle name="Normal 57 2 2 3 4" xfId="25448" xr:uid="{00000000-0005-0000-0000-000090960000}"/>
    <cellStyle name="Normal 57 2 2 3 4 2" xfId="43301" xr:uid="{00000000-0005-0000-0000-000091960000}"/>
    <cellStyle name="Normal 57 2 2 3 4 2 2" xfId="18506" xr:uid="{00000000-0005-0000-0000-000092960000}"/>
    <cellStyle name="Normal 57 2 2 3 4 3" xfId="43304" xr:uid="{00000000-0005-0000-0000-000093960000}"/>
    <cellStyle name="Normal 57 2 2 3 5" xfId="27068" xr:uid="{00000000-0005-0000-0000-000094960000}"/>
    <cellStyle name="Normal 57 2 2 3 5 2" xfId="43306" xr:uid="{00000000-0005-0000-0000-000095960000}"/>
    <cellStyle name="Normal 57 2 2 3 6" xfId="43308" xr:uid="{00000000-0005-0000-0000-000096960000}"/>
    <cellStyle name="Normal 57 2 2 3 6 2" xfId="43310" xr:uid="{00000000-0005-0000-0000-000097960000}"/>
    <cellStyle name="Normal 57 2 2 3 7" xfId="43312" xr:uid="{00000000-0005-0000-0000-000098960000}"/>
    <cellStyle name="Normal 57 2 2 3 8" xfId="43316" xr:uid="{00000000-0005-0000-0000-000099960000}"/>
    <cellStyle name="Normal 57 2 2 4" xfId="5787" xr:uid="{00000000-0005-0000-0000-00009A960000}"/>
    <cellStyle name="Normal 57 2 2 4 2" xfId="590" xr:uid="{00000000-0005-0000-0000-00009B960000}"/>
    <cellStyle name="Normal 57 2 2 4 2 2" xfId="853" xr:uid="{00000000-0005-0000-0000-00009C960000}"/>
    <cellStyle name="Normal 57 2 2 4 2 2 2" xfId="100" xr:uid="{00000000-0005-0000-0000-00009D960000}"/>
    <cellStyle name="Normal 57 2 2 4 2 3" xfId="1116" xr:uid="{00000000-0005-0000-0000-00009E960000}"/>
    <cellStyle name="Normal 57 2 2 4 3" xfId="691" xr:uid="{00000000-0005-0000-0000-00009F960000}"/>
    <cellStyle name="Normal 57 2 2 4 3 2" xfId="4135" xr:uid="{00000000-0005-0000-0000-0000A0960000}"/>
    <cellStyle name="Normal 57 2 2 4 4" xfId="786" xr:uid="{00000000-0005-0000-0000-0000A1960000}"/>
    <cellStyle name="Normal 57 2 2 5" xfId="5825" xr:uid="{00000000-0005-0000-0000-0000A2960000}"/>
    <cellStyle name="Normal 57 2 2 5 2" xfId="5831" xr:uid="{00000000-0005-0000-0000-0000A3960000}"/>
    <cellStyle name="Normal 57 2 2 5 2 2" xfId="5843" xr:uid="{00000000-0005-0000-0000-0000A4960000}"/>
    <cellStyle name="Normal 57 2 2 5 3" xfId="4156" xr:uid="{00000000-0005-0000-0000-0000A5960000}"/>
    <cellStyle name="Normal 57 2 2 6" xfId="5857" xr:uid="{00000000-0005-0000-0000-0000A6960000}"/>
    <cellStyle name="Normal 57 2 2 6 2" xfId="1227" xr:uid="{00000000-0005-0000-0000-0000A7960000}"/>
    <cellStyle name="Normal 57 2 2 6 2 2" xfId="5862" xr:uid="{00000000-0005-0000-0000-0000A8960000}"/>
    <cellStyle name="Normal 57 2 2 6 3" xfId="4187" xr:uid="{00000000-0005-0000-0000-0000A9960000}"/>
    <cellStyle name="Normal 57 2 2 7" xfId="5884" xr:uid="{00000000-0005-0000-0000-0000AA960000}"/>
    <cellStyle name="Normal 57 2 2 7 2" xfId="5889" xr:uid="{00000000-0005-0000-0000-0000AB960000}"/>
    <cellStyle name="Normal 57 2 2 8" xfId="2530" xr:uid="{00000000-0005-0000-0000-0000AC960000}"/>
    <cellStyle name="Normal 57 2 2 8 2" xfId="2546" xr:uid="{00000000-0005-0000-0000-0000AD960000}"/>
    <cellStyle name="Normal 57 2 2 9" xfId="2573" xr:uid="{00000000-0005-0000-0000-0000AE960000}"/>
    <cellStyle name="Normal 57 2 3" xfId="43318" xr:uid="{00000000-0005-0000-0000-0000AF960000}"/>
    <cellStyle name="Normal 57 2 3 2" xfId="43320" xr:uid="{00000000-0005-0000-0000-0000B0960000}"/>
    <cellStyle name="Normal 57 2 3 2 2" xfId="25953" xr:uid="{00000000-0005-0000-0000-0000B1960000}"/>
    <cellStyle name="Normal 57 2 3 2 2 2" xfId="25956" xr:uid="{00000000-0005-0000-0000-0000B2960000}"/>
    <cellStyle name="Normal 57 2 3 2 2 2 2" xfId="42120" xr:uid="{00000000-0005-0000-0000-0000B3960000}"/>
    <cellStyle name="Normal 57 2 3 2 2 2 2 2" xfId="43322" xr:uid="{00000000-0005-0000-0000-0000B4960000}"/>
    <cellStyle name="Normal 57 2 3 2 2 2 3" xfId="42124" xr:uid="{00000000-0005-0000-0000-0000B5960000}"/>
    <cellStyle name="Normal 57 2 3 2 2 3" xfId="43324" xr:uid="{00000000-0005-0000-0000-0000B6960000}"/>
    <cellStyle name="Normal 57 2 3 2 2 3 2" xfId="42156" xr:uid="{00000000-0005-0000-0000-0000B7960000}"/>
    <cellStyle name="Normal 57 2 3 2 2 4" xfId="43326" xr:uid="{00000000-0005-0000-0000-0000B8960000}"/>
    <cellStyle name="Normal 57 2 3 2 2 5" xfId="43328" xr:uid="{00000000-0005-0000-0000-0000B9960000}"/>
    <cellStyle name="Normal 57 2 3 2 3" xfId="25960" xr:uid="{00000000-0005-0000-0000-0000BA960000}"/>
    <cellStyle name="Normal 57 2 3 2 3 2" xfId="16256" xr:uid="{00000000-0005-0000-0000-0000BB960000}"/>
    <cellStyle name="Normal 57 2 3 2 3 2 2" xfId="42188" xr:uid="{00000000-0005-0000-0000-0000BC960000}"/>
    <cellStyle name="Normal 57 2 3 2 3 3" xfId="43330" xr:uid="{00000000-0005-0000-0000-0000BD960000}"/>
    <cellStyle name="Normal 57 2 3 2 4" xfId="43333" xr:uid="{00000000-0005-0000-0000-0000BE960000}"/>
    <cellStyle name="Normal 57 2 3 2 4 2" xfId="43335" xr:uid="{00000000-0005-0000-0000-0000BF960000}"/>
    <cellStyle name="Normal 57 2 3 2 4 2 2" xfId="36968" xr:uid="{00000000-0005-0000-0000-0000C0960000}"/>
    <cellStyle name="Normal 57 2 3 2 4 3" xfId="43337" xr:uid="{00000000-0005-0000-0000-0000C1960000}"/>
    <cellStyle name="Normal 57 2 3 2 5" xfId="43339" xr:uid="{00000000-0005-0000-0000-0000C2960000}"/>
    <cellStyle name="Normal 57 2 3 2 5 2" xfId="43342" xr:uid="{00000000-0005-0000-0000-0000C3960000}"/>
    <cellStyle name="Normal 57 2 3 2 6" xfId="43344" xr:uid="{00000000-0005-0000-0000-0000C4960000}"/>
    <cellStyle name="Normal 57 2 3 2 6 2" xfId="43347" xr:uid="{00000000-0005-0000-0000-0000C5960000}"/>
    <cellStyle name="Normal 57 2 3 2 7" xfId="43349" xr:uid="{00000000-0005-0000-0000-0000C6960000}"/>
    <cellStyle name="Normal 57 2 3 2 8" xfId="43353" xr:uid="{00000000-0005-0000-0000-0000C7960000}"/>
    <cellStyle name="Normal 57 2 3 3" xfId="43355" xr:uid="{00000000-0005-0000-0000-0000C8960000}"/>
    <cellStyle name="Normal 57 2 3 3 2" xfId="27108" xr:uid="{00000000-0005-0000-0000-0000C9960000}"/>
    <cellStyle name="Normal 57 2 3 3 2 2" xfId="27111" xr:uid="{00000000-0005-0000-0000-0000CA960000}"/>
    <cellStyle name="Normal 57 2 3 3 2 2 2" xfId="42415" xr:uid="{00000000-0005-0000-0000-0000CB960000}"/>
    <cellStyle name="Normal 57 2 3 3 2 3" xfId="43357" xr:uid="{00000000-0005-0000-0000-0000CC960000}"/>
    <cellStyle name="Normal 57 2 3 3 3" xfId="27115" xr:uid="{00000000-0005-0000-0000-0000CD960000}"/>
    <cellStyle name="Normal 57 2 3 3 3 2" xfId="27119" xr:uid="{00000000-0005-0000-0000-0000CE960000}"/>
    <cellStyle name="Normal 57 2 3 3 4" xfId="27124" xr:uid="{00000000-0005-0000-0000-0000CF960000}"/>
    <cellStyle name="Normal 57 2 3 3 5" xfId="27127" xr:uid="{00000000-0005-0000-0000-0000D0960000}"/>
    <cellStyle name="Normal 57 2 3 4" xfId="5934" xr:uid="{00000000-0005-0000-0000-0000D1960000}"/>
    <cellStyle name="Normal 57 2 3 4 2" xfId="5939" xr:uid="{00000000-0005-0000-0000-0000D2960000}"/>
    <cellStyle name="Normal 57 2 3 4 2 2" xfId="4469" xr:uid="{00000000-0005-0000-0000-0000D3960000}"/>
    <cellStyle name="Normal 57 2 3 4 3" xfId="704" xr:uid="{00000000-0005-0000-0000-0000D4960000}"/>
    <cellStyle name="Normal 57 2 3 5" xfId="6029" xr:uid="{00000000-0005-0000-0000-0000D5960000}"/>
    <cellStyle name="Normal 57 2 3 5 2" xfId="6033" xr:uid="{00000000-0005-0000-0000-0000D6960000}"/>
    <cellStyle name="Normal 57 2 3 5 2 2" xfId="6040" xr:uid="{00000000-0005-0000-0000-0000D7960000}"/>
    <cellStyle name="Normal 57 2 3 5 3" xfId="2724" xr:uid="{00000000-0005-0000-0000-0000D8960000}"/>
    <cellStyle name="Normal 57 2 3 6" xfId="6050" xr:uid="{00000000-0005-0000-0000-0000D9960000}"/>
    <cellStyle name="Normal 57 2 3 6 2" xfId="6055" xr:uid="{00000000-0005-0000-0000-0000DA960000}"/>
    <cellStyle name="Normal 57 2 3 7" xfId="2272" xr:uid="{00000000-0005-0000-0000-0000DB960000}"/>
    <cellStyle name="Normal 57 2 3 7 2" xfId="6081" xr:uid="{00000000-0005-0000-0000-0000DC960000}"/>
    <cellStyle name="Normal 57 2 3 8" xfId="2602" xr:uid="{00000000-0005-0000-0000-0000DD960000}"/>
    <cellStyle name="Normal 57 2 3 9" xfId="4655" xr:uid="{00000000-0005-0000-0000-0000DE960000}"/>
    <cellStyle name="Normal 57 2 4" xfId="43359" xr:uid="{00000000-0005-0000-0000-0000DF960000}"/>
    <cellStyle name="Normal 57 2 4 2" xfId="13025" xr:uid="{00000000-0005-0000-0000-0000E0960000}"/>
    <cellStyle name="Normal 57 2 4 2 2" xfId="43361" xr:uid="{00000000-0005-0000-0000-0000E1960000}"/>
    <cellStyle name="Normal 57 2 4 2 2 2" xfId="28959" xr:uid="{00000000-0005-0000-0000-0000E2960000}"/>
    <cellStyle name="Normal 57 2 4 2 2 2 2" xfId="43281" xr:uid="{00000000-0005-0000-0000-0000E3960000}"/>
    <cellStyle name="Normal 57 2 4 2 2 2 2 2" xfId="43363" xr:uid="{00000000-0005-0000-0000-0000E4960000}"/>
    <cellStyle name="Normal 57 2 4 2 2 2 3" xfId="43285" xr:uid="{00000000-0005-0000-0000-0000E5960000}"/>
    <cellStyle name="Normal 57 2 4 2 2 3" xfId="43365" xr:uid="{00000000-0005-0000-0000-0000E6960000}"/>
    <cellStyle name="Normal 57 2 4 2 2 3 2" xfId="43315" xr:uid="{00000000-0005-0000-0000-0000E7960000}"/>
    <cellStyle name="Normal 57 2 4 2 2 4" xfId="43367" xr:uid="{00000000-0005-0000-0000-0000E8960000}"/>
    <cellStyle name="Normal 57 2 4 2 3" xfId="43369" xr:uid="{00000000-0005-0000-0000-0000E9960000}"/>
    <cellStyle name="Normal 57 2 4 2 3 2" xfId="43371" xr:uid="{00000000-0005-0000-0000-0000EA960000}"/>
    <cellStyle name="Normal 57 2 4 2 3 2 2" xfId="43352" xr:uid="{00000000-0005-0000-0000-0000EB960000}"/>
    <cellStyle name="Normal 57 2 4 2 3 3" xfId="43373" xr:uid="{00000000-0005-0000-0000-0000EC960000}"/>
    <cellStyle name="Normal 57 2 4 2 4" xfId="43375" xr:uid="{00000000-0005-0000-0000-0000ED960000}"/>
    <cellStyle name="Normal 57 2 4 2 4 2" xfId="43377" xr:uid="{00000000-0005-0000-0000-0000EE960000}"/>
    <cellStyle name="Normal 57 2 4 2 4 2 2" xfId="16207" xr:uid="{00000000-0005-0000-0000-0000EF960000}"/>
    <cellStyle name="Normal 57 2 4 2 4 3" xfId="43379" xr:uid="{00000000-0005-0000-0000-0000F0960000}"/>
    <cellStyle name="Normal 57 2 4 2 5" xfId="950" xr:uid="{00000000-0005-0000-0000-0000F1960000}"/>
    <cellStyle name="Normal 57 2 4 2 5 2" xfId="43381" xr:uid="{00000000-0005-0000-0000-0000F2960000}"/>
    <cellStyle name="Normal 57 2 4 2 6" xfId="31645" xr:uid="{00000000-0005-0000-0000-0000F3960000}"/>
    <cellStyle name="Normal 57 2 4 2 6 2" xfId="43383" xr:uid="{00000000-0005-0000-0000-0000F4960000}"/>
    <cellStyle name="Normal 57 2 4 2 7" xfId="13857" xr:uid="{00000000-0005-0000-0000-0000F5960000}"/>
    <cellStyle name="Normal 57 2 4 2 8" xfId="16206" xr:uid="{00000000-0005-0000-0000-0000F6960000}"/>
    <cellStyle name="Normal 57 2 4 3" xfId="13038" xr:uid="{00000000-0005-0000-0000-0000F7960000}"/>
    <cellStyle name="Normal 57 2 4 3 2" xfId="12240" xr:uid="{00000000-0005-0000-0000-0000F8960000}"/>
    <cellStyle name="Normal 57 2 4 3 2 2" xfId="27163" xr:uid="{00000000-0005-0000-0000-0000F9960000}"/>
    <cellStyle name="Normal 57 2 4 3 2 2 2" xfId="43387" xr:uid="{00000000-0005-0000-0000-0000FA960000}"/>
    <cellStyle name="Normal 57 2 4 3 2 3" xfId="43389" xr:uid="{00000000-0005-0000-0000-0000FB960000}"/>
    <cellStyle name="Normal 57 2 4 3 3" xfId="1598" xr:uid="{00000000-0005-0000-0000-0000FC960000}"/>
    <cellStyle name="Normal 57 2 4 3 3 2" xfId="27166" xr:uid="{00000000-0005-0000-0000-0000FD960000}"/>
    <cellStyle name="Normal 57 2 4 3 4" xfId="9723" xr:uid="{00000000-0005-0000-0000-0000FE960000}"/>
    <cellStyle name="Normal 57 2 4 4" xfId="6097" xr:uid="{00000000-0005-0000-0000-0000FF960000}"/>
    <cellStyle name="Normal 57 2 4 4 2" xfId="6102" xr:uid="{00000000-0005-0000-0000-000000970000}"/>
    <cellStyle name="Normal 57 2 4 4 2 2" xfId="2131" xr:uid="{00000000-0005-0000-0000-000001970000}"/>
    <cellStyle name="Normal 57 2 4 4 3" xfId="6115" xr:uid="{00000000-0005-0000-0000-000002970000}"/>
    <cellStyle name="Normal 57 2 4 5" xfId="6123" xr:uid="{00000000-0005-0000-0000-000003970000}"/>
    <cellStyle name="Normal 57 2 4 5 2" xfId="3264" xr:uid="{00000000-0005-0000-0000-000004970000}"/>
    <cellStyle name="Normal 57 2 4 5 2 2" xfId="1132" xr:uid="{00000000-0005-0000-0000-000005970000}"/>
    <cellStyle name="Normal 57 2 4 5 3" xfId="4948" xr:uid="{00000000-0005-0000-0000-000006970000}"/>
    <cellStyle name="Normal 57 2 4 6" xfId="6135" xr:uid="{00000000-0005-0000-0000-000007970000}"/>
    <cellStyle name="Normal 57 2 4 6 2" xfId="6145" xr:uid="{00000000-0005-0000-0000-000008970000}"/>
    <cellStyle name="Normal 57 2 4 7" xfId="5292" xr:uid="{00000000-0005-0000-0000-000009970000}"/>
    <cellStyle name="Normal 57 2 4 7 2" xfId="6155" xr:uid="{00000000-0005-0000-0000-00000A970000}"/>
    <cellStyle name="Normal 57 2 4 8" xfId="5657" xr:uid="{00000000-0005-0000-0000-00000B970000}"/>
    <cellStyle name="Normal 57 2 4 9" xfId="6162" xr:uid="{00000000-0005-0000-0000-00000C970000}"/>
    <cellStyle name="Normal 57 2 5" xfId="43391" xr:uid="{00000000-0005-0000-0000-00000D970000}"/>
    <cellStyle name="Normal 57 2 5 2" xfId="43393" xr:uid="{00000000-0005-0000-0000-00000E970000}"/>
    <cellStyle name="Normal 57 2 5 2 2" xfId="43395" xr:uid="{00000000-0005-0000-0000-00000F970000}"/>
    <cellStyle name="Normal 57 2 5 2 2 2" xfId="30942" xr:uid="{00000000-0005-0000-0000-000010970000}"/>
    <cellStyle name="Normal 57 2 5 2 2 2 2" xfId="43399" xr:uid="{00000000-0005-0000-0000-000011970000}"/>
    <cellStyle name="Normal 57 2 5 2 2 2 2 2" xfId="43401" xr:uid="{00000000-0005-0000-0000-000012970000}"/>
    <cellStyle name="Normal 57 2 5 2 2 2 3" xfId="30442" xr:uid="{00000000-0005-0000-0000-000013970000}"/>
    <cellStyle name="Normal 57 2 5 2 2 3" xfId="43403" xr:uid="{00000000-0005-0000-0000-000014970000}"/>
    <cellStyle name="Normal 57 2 5 2 2 3 2" xfId="43407" xr:uid="{00000000-0005-0000-0000-000015970000}"/>
    <cellStyle name="Normal 57 2 5 2 2 4" xfId="43409" xr:uid="{00000000-0005-0000-0000-000016970000}"/>
    <cellStyle name="Normal 57 2 5 2 3" xfId="43411" xr:uid="{00000000-0005-0000-0000-000017970000}"/>
    <cellStyle name="Normal 57 2 5 2 3 2" xfId="43413" xr:uid="{00000000-0005-0000-0000-000018970000}"/>
    <cellStyle name="Normal 57 2 5 2 3 2 2" xfId="43417" xr:uid="{00000000-0005-0000-0000-000019970000}"/>
    <cellStyle name="Normal 57 2 5 2 3 3" xfId="43419" xr:uid="{00000000-0005-0000-0000-00001A970000}"/>
    <cellStyle name="Normal 57 2 5 2 4" xfId="43421" xr:uid="{00000000-0005-0000-0000-00001B970000}"/>
    <cellStyle name="Normal 57 2 5 2 4 2" xfId="43423" xr:uid="{00000000-0005-0000-0000-00001C970000}"/>
    <cellStyle name="Normal 57 2 5 2 4 2 2" xfId="37089" xr:uid="{00000000-0005-0000-0000-00001D970000}"/>
    <cellStyle name="Normal 57 2 5 2 4 3" xfId="43425" xr:uid="{00000000-0005-0000-0000-00001E970000}"/>
    <cellStyle name="Normal 57 2 5 2 5" xfId="43427" xr:uid="{00000000-0005-0000-0000-00001F970000}"/>
    <cellStyle name="Normal 57 2 5 2 5 2" xfId="43429" xr:uid="{00000000-0005-0000-0000-000020970000}"/>
    <cellStyle name="Normal 57 2 5 2 6" xfId="43431" xr:uid="{00000000-0005-0000-0000-000021970000}"/>
    <cellStyle name="Normal 57 2 5 2 6 2" xfId="43433" xr:uid="{00000000-0005-0000-0000-000022970000}"/>
    <cellStyle name="Normal 57 2 5 2 7" xfId="17503" xr:uid="{00000000-0005-0000-0000-000023970000}"/>
    <cellStyle name="Normal 57 2 5 2 8" xfId="43435" xr:uid="{00000000-0005-0000-0000-000024970000}"/>
    <cellStyle name="Normal 57 2 5 3" xfId="11775" xr:uid="{00000000-0005-0000-0000-000025970000}"/>
    <cellStyle name="Normal 57 2 5 3 2" xfId="27201" xr:uid="{00000000-0005-0000-0000-000026970000}"/>
    <cellStyle name="Normal 57 2 5 3 2 2" xfId="43437" xr:uid="{00000000-0005-0000-0000-000027970000}"/>
    <cellStyle name="Normal 57 2 5 3 2 2 2" xfId="21782" xr:uid="{00000000-0005-0000-0000-000028970000}"/>
    <cellStyle name="Normal 57 2 5 3 2 3" xfId="43439" xr:uid="{00000000-0005-0000-0000-000029970000}"/>
    <cellStyle name="Normal 57 2 5 3 3" xfId="43442" xr:uid="{00000000-0005-0000-0000-00002A970000}"/>
    <cellStyle name="Normal 57 2 5 3 3 2" xfId="9773" xr:uid="{00000000-0005-0000-0000-00002B970000}"/>
    <cellStyle name="Normal 57 2 5 3 4" xfId="43444" xr:uid="{00000000-0005-0000-0000-00002C970000}"/>
    <cellStyle name="Normal 57 2 5 4" xfId="6170" xr:uid="{00000000-0005-0000-0000-00002D970000}"/>
    <cellStyle name="Normal 57 2 5 4 2" xfId="6181" xr:uid="{00000000-0005-0000-0000-00002E970000}"/>
    <cellStyle name="Normal 57 2 5 4 2 2" xfId="4364" xr:uid="{00000000-0005-0000-0000-00002F970000}"/>
    <cellStyle name="Normal 57 2 5 4 3" xfId="6191" xr:uid="{00000000-0005-0000-0000-000030970000}"/>
    <cellStyle name="Normal 57 2 5 5" xfId="6205" xr:uid="{00000000-0005-0000-0000-000031970000}"/>
    <cellStyle name="Normal 57 2 5 5 2" xfId="5477" xr:uid="{00000000-0005-0000-0000-000032970000}"/>
    <cellStyle name="Normal 57 2 5 5 2 2" xfId="43446" xr:uid="{00000000-0005-0000-0000-000033970000}"/>
    <cellStyle name="Normal 57 2 5 5 3" xfId="43448" xr:uid="{00000000-0005-0000-0000-000034970000}"/>
    <cellStyle name="Normal 57 2 5 6" xfId="6216" xr:uid="{00000000-0005-0000-0000-000035970000}"/>
    <cellStyle name="Normal 57 2 5 6 2" xfId="43450" xr:uid="{00000000-0005-0000-0000-000036970000}"/>
    <cellStyle name="Normal 57 2 5 7" xfId="43452" xr:uid="{00000000-0005-0000-0000-000037970000}"/>
    <cellStyle name="Normal 57 2 5 7 2" xfId="43454" xr:uid="{00000000-0005-0000-0000-000038970000}"/>
    <cellStyle name="Normal 57 2 5 8" xfId="43456" xr:uid="{00000000-0005-0000-0000-000039970000}"/>
    <cellStyle name="Normal 57 2 5 9" xfId="43458" xr:uid="{00000000-0005-0000-0000-00003A970000}"/>
    <cellStyle name="Normal 57 2 6" xfId="43460" xr:uid="{00000000-0005-0000-0000-00003B970000}"/>
    <cellStyle name="Normal 57 2 6 2" xfId="43462" xr:uid="{00000000-0005-0000-0000-00003C970000}"/>
    <cellStyle name="Normal 57 2 6 2 2" xfId="13111" xr:uid="{00000000-0005-0000-0000-00003D970000}"/>
    <cellStyle name="Normal 57 2 6 2 2 2" xfId="32646" xr:uid="{00000000-0005-0000-0000-00003E970000}"/>
    <cellStyle name="Normal 57 2 6 2 2 2 2" xfId="43465" xr:uid="{00000000-0005-0000-0000-00003F970000}"/>
    <cellStyle name="Normal 57 2 6 2 2 3" xfId="43468" xr:uid="{00000000-0005-0000-0000-000040970000}"/>
    <cellStyle name="Normal 57 2 6 2 3" xfId="43470" xr:uid="{00000000-0005-0000-0000-000041970000}"/>
    <cellStyle name="Normal 57 2 6 2 3 2" xfId="43472" xr:uid="{00000000-0005-0000-0000-000042970000}"/>
    <cellStyle name="Normal 57 2 6 2 4" xfId="43474" xr:uid="{00000000-0005-0000-0000-000043970000}"/>
    <cellStyle name="Normal 57 2 6 3" xfId="43476" xr:uid="{00000000-0005-0000-0000-000044970000}"/>
    <cellStyle name="Normal 57 2 6 3 2" xfId="43478" xr:uid="{00000000-0005-0000-0000-000045970000}"/>
    <cellStyle name="Normal 57 2 6 3 2 2" xfId="43480" xr:uid="{00000000-0005-0000-0000-000046970000}"/>
    <cellStyle name="Normal 57 2 6 3 3" xfId="43482" xr:uid="{00000000-0005-0000-0000-000047970000}"/>
    <cellStyle name="Normal 57 2 6 4" xfId="6225" xr:uid="{00000000-0005-0000-0000-000048970000}"/>
    <cellStyle name="Normal 57 2 6 4 2" xfId="6229" xr:uid="{00000000-0005-0000-0000-000049970000}"/>
    <cellStyle name="Normal 57 2 6 4 2 2" xfId="43484" xr:uid="{00000000-0005-0000-0000-00004A970000}"/>
    <cellStyle name="Normal 57 2 6 4 3" xfId="43486" xr:uid="{00000000-0005-0000-0000-00004B970000}"/>
    <cellStyle name="Normal 57 2 6 5" xfId="6234" xr:uid="{00000000-0005-0000-0000-00004C970000}"/>
    <cellStyle name="Normal 57 2 6 5 2" xfId="43488" xr:uid="{00000000-0005-0000-0000-00004D970000}"/>
    <cellStyle name="Normal 57 2 6 6" xfId="43490" xr:uid="{00000000-0005-0000-0000-00004E970000}"/>
    <cellStyle name="Normal 57 2 6 6 2" xfId="43492" xr:uid="{00000000-0005-0000-0000-00004F970000}"/>
    <cellStyle name="Normal 57 2 6 7" xfId="43494" xr:uid="{00000000-0005-0000-0000-000050970000}"/>
    <cellStyle name="Normal 57 2 6 8" xfId="43496" xr:uid="{00000000-0005-0000-0000-000051970000}"/>
    <cellStyle name="Normal 57 2 7" xfId="43498" xr:uid="{00000000-0005-0000-0000-000052970000}"/>
    <cellStyle name="Normal 57 2 7 2" xfId="43500" xr:uid="{00000000-0005-0000-0000-000053970000}"/>
    <cellStyle name="Normal 57 2 7 2 2" xfId="43502" xr:uid="{00000000-0005-0000-0000-000054970000}"/>
    <cellStyle name="Normal 57 2 7 2 2 2" xfId="10907" xr:uid="{00000000-0005-0000-0000-000055970000}"/>
    <cellStyle name="Normal 57 2 7 2 3" xfId="43504" xr:uid="{00000000-0005-0000-0000-000056970000}"/>
    <cellStyle name="Normal 57 2 7 3" xfId="43506" xr:uid="{00000000-0005-0000-0000-000057970000}"/>
    <cellStyle name="Normal 57 2 7 3 2" xfId="43508" xr:uid="{00000000-0005-0000-0000-000058970000}"/>
    <cellStyle name="Normal 57 2 7 4" xfId="1926" xr:uid="{00000000-0005-0000-0000-000059970000}"/>
    <cellStyle name="Normal 57 2 8" xfId="43510" xr:uid="{00000000-0005-0000-0000-00005A970000}"/>
    <cellStyle name="Normal 57 2 8 2" xfId="30217" xr:uid="{00000000-0005-0000-0000-00005B970000}"/>
    <cellStyle name="Normal 57 2 8 2 2" xfId="43512" xr:uid="{00000000-0005-0000-0000-00005C970000}"/>
    <cellStyle name="Normal 57 2 8 3" xfId="40492" xr:uid="{00000000-0005-0000-0000-00005D970000}"/>
    <cellStyle name="Normal 57 2 9" xfId="43514" xr:uid="{00000000-0005-0000-0000-00005E970000}"/>
    <cellStyle name="Normal 57 2 9 2" xfId="33232" xr:uid="{00000000-0005-0000-0000-00005F970000}"/>
    <cellStyle name="Normal 57 2 9 2 2" xfId="34912" xr:uid="{00000000-0005-0000-0000-000060970000}"/>
    <cellStyle name="Normal 57 2 9 3" xfId="34979" xr:uid="{00000000-0005-0000-0000-000061970000}"/>
    <cellStyle name="Normal 57 3" xfId="43516" xr:uid="{00000000-0005-0000-0000-000062970000}"/>
    <cellStyle name="Normal 57 3 10" xfId="43518" xr:uid="{00000000-0005-0000-0000-000063970000}"/>
    <cellStyle name="Normal 57 3 10 2" xfId="43520" xr:uid="{00000000-0005-0000-0000-000064970000}"/>
    <cellStyle name="Normal 57 3 11" xfId="17733" xr:uid="{00000000-0005-0000-0000-000065970000}"/>
    <cellStyle name="Normal 57 3 11 2" xfId="29533" xr:uid="{00000000-0005-0000-0000-000066970000}"/>
    <cellStyle name="Normal 57 3 12" xfId="14054" xr:uid="{00000000-0005-0000-0000-000067970000}"/>
    <cellStyle name="Normal 57 3 12 2" xfId="14063" xr:uid="{00000000-0005-0000-0000-000068970000}"/>
    <cellStyle name="Normal 57 3 13" xfId="14088" xr:uid="{00000000-0005-0000-0000-000069970000}"/>
    <cellStyle name="Normal 57 3 14" xfId="14110" xr:uid="{00000000-0005-0000-0000-00006A970000}"/>
    <cellStyle name="Normal 57 3 2" xfId="43522" xr:uid="{00000000-0005-0000-0000-00006B970000}"/>
    <cellStyle name="Normal 57 3 2 10" xfId="43524" xr:uid="{00000000-0005-0000-0000-00006C970000}"/>
    <cellStyle name="Normal 57 3 2 2" xfId="43526" xr:uid="{00000000-0005-0000-0000-00006D970000}"/>
    <cellStyle name="Normal 57 3 2 2 2" xfId="43528" xr:uid="{00000000-0005-0000-0000-00006E970000}"/>
    <cellStyle name="Normal 57 3 2 2 2 2" xfId="43530" xr:uid="{00000000-0005-0000-0000-00006F970000}"/>
    <cellStyle name="Normal 57 3 2 2 2 2 2" xfId="43532" xr:uid="{00000000-0005-0000-0000-000070970000}"/>
    <cellStyle name="Normal 57 3 2 2 2 2 2 2" xfId="43534" xr:uid="{00000000-0005-0000-0000-000071970000}"/>
    <cellStyle name="Normal 57 3 2 2 2 2 2 2 2" xfId="43536" xr:uid="{00000000-0005-0000-0000-000072970000}"/>
    <cellStyle name="Normal 57 3 2 2 2 2 2 3" xfId="43538" xr:uid="{00000000-0005-0000-0000-000073970000}"/>
    <cellStyle name="Normal 57 3 2 2 2 2 3" xfId="43540" xr:uid="{00000000-0005-0000-0000-000074970000}"/>
    <cellStyle name="Normal 57 3 2 2 2 2 3 2" xfId="43542" xr:uid="{00000000-0005-0000-0000-000075970000}"/>
    <cellStyle name="Normal 57 3 2 2 2 2 4" xfId="18529" xr:uid="{00000000-0005-0000-0000-000076970000}"/>
    <cellStyle name="Normal 57 3 2 2 2 3" xfId="43544" xr:uid="{00000000-0005-0000-0000-000077970000}"/>
    <cellStyle name="Normal 57 3 2 2 2 3 2" xfId="43546" xr:uid="{00000000-0005-0000-0000-000078970000}"/>
    <cellStyle name="Normal 57 3 2 2 2 3 2 2" xfId="43548" xr:uid="{00000000-0005-0000-0000-000079970000}"/>
    <cellStyle name="Normal 57 3 2 2 2 3 3" xfId="43550" xr:uid="{00000000-0005-0000-0000-00007A970000}"/>
    <cellStyle name="Normal 57 3 2 2 2 4" xfId="43552" xr:uid="{00000000-0005-0000-0000-00007B970000}"/>
    <cellStyle name="Normal 57 3 2 2 2 4 2" xfId="43554" xr:uid="{00000000-0005-0000-0000-00007C970000}"/>
    <cellStyle name="Normal 57 3 2 2 2 4 2 2" xfId="43556" xr:uid="{00000000-0005-0000-0000-00007D970000}"/>
    <cellStyle name="Normal 57 3 2 2 2 4 3" xfId="43558" xr:uid="{00000000-0005-0000-0000-00007E970000}"/>
    <cellStyle name="Normal 57 3 2 2 2 5" xfId="43560" xr:uid="{00000000-0005-0000-0000-00007F970000}"/>
    <cellStyle name="Normal 57 3 2 2 2 5 2" xfId="43562" xr:uid="{00000000-0005-0000-0000-000080970000}"/>
    <cellStyle name="Normal 57 3 2 2 2 6" xfId="43566" xr:uid="{00000000-0005-0000-0000-000081970000}"/>
    <cellStyle name="Normal 57 3 2 2 2 6 2" xfId="43568" xr:uid="{00000000-0005-0000-0000-000082970000}"/>
    <cellStyle name="Normal 57 3 2 2 2 7" xfId="22815" xr:uid="{00000000-0005-0000-0000-000083970000}"/>
    <cellStyle name="Normal 57 3 2 2 2 8" xfId="22826" xr:uid="{00000000-0005-0000-0000-000084970000}"/>
    <cellStyle name="Normal 57 3 2 2 3" xfId="43570" xr:uid="{00000000-0005-0000-0000-000085970000}"/>
    <cellStyle name="Normal 57 3 2 2 3 2" xfId="43572" xr:uid="{00000000-0005-0000-0000-000086970000}"/>
    <cellStyle name="Normal 57 3 2 2 3 2 2" xfId="43574" xr:uid="{00000000-0005-0000-0000-000087970000}"/>
    <cellStyle name="Normal 57 3 2 2 3 2 2 2" xfId="43576" xr:uid="{00000000-0005-0000-0000-000088970000}"/>
    <cellStyle name="Normal 57 3 2 2 3 2 3" xfId="43578" xr:uid="{00000000-0005-0000-0000-000089970000}"/>
    <cellStyle name="Normal 57 3 2 2 3 3" xfId="43580" xr:uid="{00000000-0005-0000-0000-00008A970000}"/>
    <cellStyle name="Normal 57 3 2 2 3 3 2" xfId="43582" xr:uid="{00000000-0005-0000-0000-00008B970000}"/>
    <cellStyle name="Normal 57 3 2 2 3 4" xfId="43584" xr:uid="{00000000-0005-0000-0000-00008C970000}"/>
    <cellStyle name="Normal 57 3 2 2 4" xfId="43586" xr:uid="{00000000-0005-0000-0000-00008D970000}"/>
    <cellStyle name="Normal 57 3 2 2 4 2" xfId="43588" xr:uid="{00000000-0005-0000-0000-00008E970000}"/>
    <cellStyle name="Normal 57 3 2 2 4 2 2" xfId="43590" xr:uid="{00000000-0005-0000-0000-00008F970000}"/>
    <cellStyle name="Normal 57 3 2 2 4 3" xfId="5764" xr:uid="{00000000-0005-0000-0000-000090970000}"/>
    <cellStyle name="Normal 57 3 2 2 5" xfId="43592" xr:uid="{00000000-0005-0000-0000-000091970000}"/>
    <cellStyle name="Normal 57 3 2 2 5 2" xfId="43594" xr:uid="{00000000-0005-0000-0000-000092970000}"/>
    <cellStyle name="Normal 57 3 2 2 5 2 2" xfId="5795" xr:uid="{00000000-0005-0000-0000-000093970000}"/>
    <cellStyle name="Normal 57 3 2 2 5 3" xfId="3731" xr:uid="{00000000-0005-0000-0000-000094970000}"/>
    <cellStyle name="Normal 57 3 2 2 6" xfId="43596" xr:uid="{00000000-0005-0000-0000-000095970000}"/>
    <cellStyle name="Normal 57 3 2 2 6 2" xfId="43598" xr:uid="{00000000-0005-0000-0000-000096970000}"/>
    <cellStyle name="Normal 57 3 2 2 7" xfId="43600" xr:uid="{00000000-0005-0000-0000-000097970000}"/>
    <cellStyle name="Normal 57 3 2 2 7 2" xfId="43602" xr:uid="{00000000-0005-0000-0000-000098970000}"/>
    <cellStyle name="Normal 57 3 2 2 8" xfId="43386" xr:uid="{00000000-0005-0000-0000-000099970000}"/>
    <cellStyle name="Normal 57 3 2 2 9" xfId="43604" xr:uid="{00000000-0005-0000-0000-00009A970000}"/>
    <cellStyle name="Normal 57 3 2 3" xfId="43606" xr:uid="{00000000-0005-0000-0000-00009B970000}"/>
    <cellStyle name="Normal 57 3 2 3 2" xfId="24788" xr:uid="{00000000-0005-0000-0000-00009C970000}"/>
    <cellStyle name="Normal 57 3 2 3 2 2" xfId="43608" xr:uid="{00000000-0005-0000-0000-00009D970000}"/>
    <cellStyle name="Normal 57 3 2 3 2 2 2" xfId="43610" xr:uid="{00000000-0005-0000-0000-00009E970000}"/>
    <cellStyle name="Normal 57 3 2 3 2 2 2 2" xfId="43612" xr:uid="{00000000-0005-0000-0000-00009F970000}"/>
    <cellStyle name="Normal 57 3 2 3 2 2 3" xfId="43614" xr:uid="{00000000-0005-0000-0000-0000A0970000}"/>
    <cellStyle name="Normal 57 3 2 3 2 3" xfId="43616" xr:uid="{00000000-0005-0000-0000-0000A1970000}"/>
    <cellStyle name="Normal 57 3 2 3 2 3 2" xfId="43618" xr:uid="{00000000-0005-0000-0000-0000A2970000}"/>
    <cellStyle name="Normal 57 3 2 3 2 4" xfId="43620" xr:uid="{00000000-0005-0000-0000-0000A3970000}"/>
    <cellStyle name="Normal 57 3 2 3 3" xfId="25724" xr:uid="{00000000-0005-0000-0000-0000A4970000}"/>
    <cellStyle name="Normal 57 3 2 3 3 2" xfId="43623" xr:uid="{00000000-0005-0000-0000-0000A5970000}"/>
    <cellStyle name="Normal 57 3 2 3 3 2 2" xfId="43625" xr:uid="{00000000-0005-0000-0000-0000A6970000}"/>
    <cellStyle name="Normal 57 3 2 3 3 3" xfId="43627" xr:uid="{00000000-0005-0000-0000-0000A7970000}"/>
    <cellStyle name="Normal 57 3 2 3 4" xfId="43630" xr:uid="{00000000-0005-0000-0000-0000A8970000}"/>
    <cellStyle name="Normal 57 3 2 3 4 2" xfId="43632" xr:uid="{00000000-0005-0000-0000-0000A9970000}"/>
    <cellStyle name="Normal 57 3 2 3 4 2 2" xfId="43634" xr:uid="{00000000-0005-0000-0000-0000AA970000}"/>
    <cellStyle name="Normal 57 3 2 3 4 3" xfId="5915" xr:uid="{00000000-0005-0000-0000-0000AB970000}"/>
    <cellStyle name="Normal 57 3 2 3 5" xfId="43636" xr:uid="{00000000-0005-0000-0000-0000AC970000}"/>
    <cellStyle name="Normal 57 3 2 3 5 2" xfId="43638" xr:uid="{00000000-0005-0000-0000-0000AD970000}"/>
    <cellStyle name="Normal 57 3 2 3 6" xfId="43640" xr:uid="{00000000-0005-0000-0000-0000AE970000}"/>
    <cellStyle name="Normal 57 3 2 3 6 2" xfId="43642" xr:uid="{00000000-0005-0000-0000-0000AF970000}"/>
    <cellStyle name="Normal 57 3 2 3 7" xfId="43644" xr:uid="{00000000-0005-0000-0000-0000B0970000}"/>
    <cellStyle name="Normal 57 3 2 3 8" xfId="43646" xr:uid="{00000000-0005-0000-0000-0000B1970000}"/>
    <cellStyle name="Normal 57 3 2 4" xfId="6265" xr:uid="{00000000-0005-0000-0000-0000B2970000}"/>
    <cellStyle name="Normal 57 3 2 4 2" xfId="262" xr:uid="{00000000-0005-0000-0000-0000B3970000}"/>
    <cellStyle name="Normal 57 3 2 4 2 2" xfId="43648" xr:uid="{00000000-0005-0000-0000-0000B4970000}"/>
    <cellStyle name="Normal 57 3 2 4 2 2 2" xfId="43650" xr:uid="{00000000-0005-0000-0000-0000B5970000}"/>
    <cellStyle name="Normal 57 3 2 4 2 3" xfId="43652" xr:uid="{00000000-0005-0000-0000-0000B6970000}"/>
    <cellStyle name="Normal 57 3 2 4 3" xfId="43655" xr:uid="{00000000-0005-0000-0000-0000B7970000}"/>
    <cellStyle name="Normal 57 3 2 4 3 2" xfId="43657" xr:uid="{00000000-0005-0000-0000-0000B8970000}"/>
    <cellStyle name="Normal 57 3 2 4 4" xfId="43659" xr:uid="{00000000-0005-0000-0000-0000B9970000}"/>
    <cellStyle name="Normal 57 3 2 5" xfId="6268" xr:uid="{00000000-0005-0000-0000-0000BA970000}"/>
    <cellStyle name="Normal 57 3 2 5 2" xfId="43661" xr:uid="{00000000-0005-0000-0000-0000BB970000}"/>
    <cellStyle name="Normal 57 3 2 5 2 2" xfId="43663" xr:uid="{00000000-0005-0000-0000-0000BC970000}"/>
    <cellStyle name="Normal 57 3 2 5 3" xfId="43665" xr:uid="{00000000-0005-0000-0000-0000BD970000}"/>
    <cellStyle name="Normal 57 3 2 6" xfId="20052" xr:uid="{00000000-0005-0000-0000-0000BE970000}"/>
    <cellStyle name="Normal 57 3 2 6 2" xfId="43667" xr:uid="{00000000-0005-0000-0000-0000BF970000}"/>
    <cellStyle name="Normal 57 3 2 6 2 2" xfId="43669" xr:uid="{00000000-0005-0000-0000-0000C0970000}"/>
    <cellStyle name="Normal 57 3 2 6 3" xfId="37371" xr:uid="{00000000-0005-0000-0000-0000C1970000}"/>
    <cellStyle name="Normal 57 3 2 7" xfId="43671" xr:uid="{00000000-0005-0000-0000-0000C2970000}"/>
    <cellStyle name="Normal 57 3 2 7 2" xfId="43673" xr:uid="{00000000-0005-0000-0000-0000C3970000}"/>
    <cellStyle name="Normal 57 3 2 8" xfId="43675" xr:uid="{00000000-0005-0000-0000-0000C4970000}"/>
    <cellStyle name="Normal 57 3 2 8 2" xfId="43677" xr:uid="{00000000-0005-0000-0000-0000C5970000}"/>
    <cellStyle name="Normal 57 3 2 9" xfId="20842" xr:uid="{00000000-0005-0000-0000-0000C6970000}"/>
    <cellStyle name="Normal 57 3 3" xfId="43679" xr:uid="{00000000-0005-0000-0000-0000C7970000}"/>
    <cellStyle name="Normal 57 3 3 2" xfId="43681" xr:uid="{00000000-0005-0000-0000-0000C8970000}"/>
    <cellStyle name="Normal 57 3 3 2 2" xfId="43683" xr:uid="{00000000-0005-0000-0000-0000C9970000}"/>
    <cellStyle name="Normal 57 3 3 2 2 2" xfId="16873" xr:uid="{00000000-0005-0000-0000-0000CA970000}"/>
    <cellStyle name="Normal 57 3 3 2 2 2 2" xfId="43685" xr:uid="{00000000-0005-0000-0000-0000CB970000}"/>
    <cellStyle name="Normal 57 3 3 2 2 2 2 2" xfId="43687" xr:uid="{00000000-0005-0000-0000-0000CC970000}"/>
    <cellStyle name="Normal 57 3 3 2 2 2 3" xfId="8546" xr:uid="{00000000-0005-0000-0000-0000CD970000}"/>
    <cellStyle name="Normal 57 3 3 2 2 3" xfId="28037" xr:uid="{00000000-0005-0000-0000-0000CE970000}"/>
    <cellStyle name="Normal 57 3 3 2 2 3 2" xfId="43689" xr:uid="{00000000-0005-0000-0000-0000CF970000}"/>
    <cellStyle name="Normal 57 3 3 2 2 4" xfId="43691" xr:uid="{00000000-0005-0000-0000-0000D0970000}"/>
    <cellStyle name="Normal 57 3 3 2 2 5" xfId="43693" xr:uid="{00000000-0005-0000-0000-0000D1970000}"/>
    <cellStyle name="Normal 57 3 3 2 3" xfId="43695" xr:uid="{00000000-0005-0000-0000-0000D2970000}"/>
    <cellStyle name="Normal 57 3 3 2 3 2" xfId="43697" xr:uid="{00000000-0005-0000-0000-0000D3970000}"/>
    <cellStyle name="Normal 57 3 3 2 3 2 2" xfId="1156" xr:uid="{00000000-0005-0000-0000-0000D4970000}"/>
    <cellStyle name="Normal 57 3 3 2 3 3" xfId="43699" xr:uid="{00000000-0005-0000-0000-0000D5970000}"/>
    <cellStyle name="Normal 57 3 3 2 4" xfId="43701" xr:uid="{00000000-0005-0000-0000-0000D6970000}"/>
    <cellStyle name="Normal 57 3 3 2 4 2" xfId="43703" xr:uid="{00000000-0005-0000-0000-0000D7970000}"/>
    <cellStyle name="Normal 57 3 3 2 4 2 2" xfId="1982" xr:uid="{00000000-0005-0000-0000-0000D8970000}"/>
    <cellStyle name="Normal 57 3 3 2 4 3" xfId="43705" xr:uid="{00000000-0005-0000-0000-0000D9970000}"/>
    <cellStyle name="Normal 57 3 3 2 5" xfId="43707" xr:uid="{00000000-0005-0000-0000-0000DA970000}"/>
    <cellStyle name="Normal 57 3 3 2 5 2" xfId="43709" xr:uid="{00000000-0005-0000-0000-0000DB970000}"/>
    <cellStyle name="Normal 57 3 3 2 6" xfId="43711" xr:uid="{00000000-0005-0000-0000-0000DC970000}"/>
    <cellStyle name="Normal 57 3 3 2 6 2" xfId="43713" xr:uid="{00000000-0005-0000-0000-0000DD970000}"/>
    <cellStyle name="Normal 57 3 3 2 7" xfId="43715" xr:uid="{00000000-0005-0000-0000-0000DE970000}"/>
    <cellStyle name="Normal 57 3 3 2 8" xfId="43717" xr:uid="{00000000-0005-0000-0000-0000DF970000}"/>
    <cellStyle name="Normal 57 3 3 3" xfId="15556" xr:uid="{00000000-0005-0000-0000-0000E0970000}"/>
    <cellStyle name="Normal 57 3 3 3 2" xfId="43719" xr:uid="{00000000-0005-0000-0000-0000E1970000}"/>
    <cellStyle name="Normal 57 3 3 3 2 2" xfId="43721" xr:uid="{00000000-0005-0000-0000-0000E2970000}"/>
    <cellStyle name="Normal 57 3 3 3 2 2 2" xfId="43723" xr:uid="{00000000-0005-0000-0000-0000E3970000}"/>
    <cellStyle name="Normal 57 3 3 3 2 3" xfId="43725" xr:uid="{00000000-0005-0000-0000-0000E4970000}"/>
    <cellStyle name="Normal 57 3 3 3 3" xfId="43728" xr:uid="{00000000-0005-0000-0000-0000E5970000}"/>
    <cellStyle name="Normal 57 3 3 3 3 2" xfId="43730" xr:uid="{00000000-0005-0000-0000-0000E6970000}"/>
    <cellStyle name="Normal 57 3 3 3 4" xfId="43732" xr:uid="{00000000-0005-0000-0000-0000E7970000}"/>
    <cellStyle name="Normal 57 3 3 3 5" xfId="43734" xr:uid="{00000000-0005-0000-0000-0000E8970000}"/>
    <cellStyle name="Normal 57 3 3 4" xfId="6277" xr:uid="{00000000-0005-0000-0000-0000E9970000}"/>
    <cellStyle name="Normal 57 3 3 4 2" xfId="43736" xr:uid="{00000000-0005-0000-0000-0000EA970000}"/>
    <cellStyle name="Normal 57 3 3 4 2 2" xfId="43738" xr:uid="{00000000-0005-0000-0000-0000EB970000}"/>
    <cellStyle name="Normal 57 3 3 4 3" xfId="43740" xr:uid="{00000000-0005-0000-0000-0000EC970000}"/>
    <cellStyle name="Normal 57 3 3 5" xfId="43742" xr:uid="{00000000-0005-0000-0000-0000ED970000}"/>
    <cellStyle name="Normal 57 3 3 5 2" xfId="43744" xr:uid="{00000000-0005-0000-0000-0000EE970000}"/>
    <cellStyle name="Normal 57 3 3 5 2 2" xfId="43746" xr:uid="{00000000-0005-0000-0000-0000EF970000}"/>
    <cellStyle name="Normal 57 3 3 5 3" xfId="43748" xr:uid="{00000000-0005-0000-0000-0000F0970000}"/>
    <cellStyle name="Normal 57 3 3 6" xfId="43750" xr:uid="{00000000-0005-0000-0000-0000F1970000}"/>
    <cellStyle name="Normal 57 3 3 6 2" xfId="43752" xr:uid="{00000000-0005-0000-0000-0000F2970000}"/>
    <cellStyle name="Normal 57 3 3 7" xfId="43754" xr:uid="{00000000-0005-0000-0000-0000F3970000}"/>
    <cellStyle name="Normal 57 3 3 7 2" xfId="43756" xr:uid="{00000000-0005-0000-0000-0000F4970000}"/>
    <cellStyle name="Normal 57 3 3 8" xfId="43758" xr:uid="{00000000-0005-0000-0000-0000F5970000}"/>
    <cellStyle name="Normal 57 3 3 9" xfId="20849" xr:uid="{00000000-0005-0000-0000-0000F6970000}"/>
    <cellStyle name="Normal 57 3 4" xfId="43760" xr:uid="{00000000-0005-0000-0000-0000F7970000}"/>
    <cellStyle name="Normal 57 3 4 2" xfId="43762" xr:uid="{00000000-0005-0000-0000-0000F8970000}"/>
    <cellStyle name="Normal 57 3 4 2 2" xfId="43764" xr:uid="{00000000-0005-0000-0000-0000F9970000}"/>
    <cellStyle name="Normal 57 3 4 2 2 2" xfId="13140" xr:uid="{00000000-0005-0000-0000-0000FA970000}"/>
    <cellStyle name="Normal 57 3 4 2 2 2 2" xfId="43766" xr:uid="{00000000-0005-0000-0000-0000FB970000}"/>
    <cellStyle name="Normal 57 3 4 2 2 2 2 2" xfId="43768" xr:uid="{00000000-0005-0000-0000-0000FC970000}"/>
    <cellStyle name="Normal 57 3 4 2 2 2 3" xfId="24523" xr:uid="{00000000-0005-0000-0000-0000FD970000}"/>
    <cellStyle name="Normal 57 3 4 2 2 3" xfId="43770" xr:uid="{00000000-0005-0000-0000-0000FE970000}"/>
    <cellStyle name="Normal 57 3 4 2 2 3 2" xfId="43772" xr:uid="{00000000-0005-0000-0000-0000FF970000}"/>
    <cellStyle name="Normal 57 3 4 2 2 4" xfId="43774" xr:uid="{00000000-0005-0000-0000-000000980000}"/>
    <cellStyle name="Normal 57 3 4 2 3" xfId="43776" xr:uid="{00000000-0005-0000-0000-000001980000}"/>
    <cellStyle name="Normal 57 3 4 2 3 2" xfId="43778" xr:uid="{00000000-0005-0000-0000-000002980000}"/>
    <cellStyle name="Normal 57 3 4 2 3 2 2" xfId="4072" xr:uid="{00000000-0005-0000-0000-000003980000}"/>
    <cellStyle name="Normal 57 3 4 2 3 3" xfId="43780" xr:uid="{00000000-0005-0000-0000-000004980000}"/>
    <cellStyle name="Normal 57 3 4 2 4" xfId="43782" xr:uid="{00000000-0005-0000-0000-000005980000}"/>
    <cellStyle name="Normal 57 3 4 2 4 2" xfId="43784" xr:uid="{00000000-0005-0000-0000-000006980000}"/>
    <cellStyle name="Normal 57 3 4 2 4 2 2" xfId="440" xr:uid="{00000000-0005-0000-0000-000007980000}"/>
    <cellStyle name="Normal 57 3 4 2 4 3" xfId="43786" xr:uid="{00000000-0005-0000-0000-000008980000}"/>
    <cellStyle name="Normal 57 3 4 2 5" xfId="40193" xr:uid="{00000000-0005-0000-0000-000009980000}"/>
    <cellStyle name="Normal 57 3 4 2 5 2" xfId="43789" xr:uid="{00000000-0005-0000-0000-00000A980000}"/>
    <cellStyle name="Normal 57 3 4 2 6" xfId="31706" xr:uid="{00000000-0005-0000-0000-00000B980000}"/>
    <cellStyle name="Normal 57 3 4 2 6 2" xfId="43792" xr:uid="{00000000-0005-0000-0000-00000C980000}"/>
    <cellStyle name="Normal 57 3 4 2 7" xfId="7318" xr:uid="{00000000-0005-0000-0000-00000D980000}"/>
    <cellStyle name="Normal 57 3 4 2 8" xfId="43794" xr:uid="{00000000-0005-0000-0000-00000E980000}"/>
    <cellStyle name="Normal 57 3 4 3" xfId="43796" xr:uid="{00000000-0005-0000-0000-00000F980000}"/>
    <cellStyle name="Normal 57 3 4 3 2" xfId="43798" xr:uid="{00000000-0005-0000-0000-000010980000}"/>
    <cellStyle name="Normal 57 3 4 3 2 2" xfId="43800" xr:uid="{00000000-0005-0000-0000-000011980000}"/>
    <cellStyle name="Normal 57 3 4 3 2 2 2" xfId="43802" xr:uid="{00000000-0005-0000-0000-000012980000}"/>
    <cellStyle name="Normal 57 3 4 3 2 3" xfId="43804" xr:uid="{00000000-0005-0000-0000-000013980000}"/>
    <cellStyle name="Normal 57 3 4 3 3" xfId="43807" xr:uid="{00000000-0005-0000-0000-000014980000}"/>
    <cellStyle name="Normal 57 3 4 3 3 2" xfId="43809" xr:uid="{00000000-0005-0000-0000-000015980000}"/>
    <cellStyle name="Normal 57 3 4 3 4" xfId="43811" xr:uid="{00000000-0005-0000-0000-000016980000}"/>
    <cellStyle name="Normal 57 3 4 4" xfId="6282" xr:uid="{00000000-0005-0000-0000-000017980000}"/>
    <cellStyle name="Normal 57 3 4 4 2" xfId="43813" xr:uid="{00000000-0005-0000-0000-000018980000}"/>
    <cellStyle name="Normal 57 3 4 4 2 2" xfId="43815" xr:uid="{00000000-0005-0000-0000-000019980000}"/>
    <cellStyle name="Normal 57 3 4 4 3" xfId="43817" xr:uid="{00000000-0005-0000-0000-00001A980000}"/>
    <cellStyle name="Normal 57 3 4 5" xfId="43819" xr:uid="{00000000-0005-0000-0000-00001B980000}"/>
    <cellStyle name="Normal 57 3 4 5 2" xfId="43821" xr:uid="{00000000-0005-0000-0000-00001C980000}"/>
    <cellStyle name="Normal 57 3 4 5 2 2" xfId="43823" xr:uid="{00000000-0005-0000-0000-00001D980000}"/>
    <cellStyle name="Normal 57 3 4 5 3" xfId="43825" xr:uid="{00000000-0005-0000-0000-00001E980000}"/>
    <cellStyle name="Normal 57 3 4 6" xfId="43827" xr:uid="{00000000-0005-0000-0000-00001F980000}"/>
    <cellStyle name="Normal 57 3 4 6 2" xfId="43829" xr:uid="{00000000-0005-0000-0000-000020980000}"/>
    <cellStyle name="Normal 57 3 4 7" xfId="43831" xr:uid="{00000000-0005-0000-0000-000021980000}"/>
    <cellStyle name="Normal 57 3 4 7 2" xfId="43833" xr:uid="{00000000-0005-0000-0000-000022980000}"/>
    <cellStyle name="Normal 57 3 4 8" xfId="43835" xr:uid="{00000000-0005-0000-0000-000023980000}"/>
    <cellStyle name="Normal 57 3 4 9" xfId="20855" xr:uid="{00000000-0005-0000-0000-000024980000}"/>
    <cellStyle name="Normal 57 3 5" xfId="43837" xr:uid="{00000000-0005-0000-0000-000025980000}"/>
    <cellStyle name="Normal 57 3 5 2" xfId="43839" xr:uid="{00000000-0005-0000-0000-000026980000}"/>
    <cellStyle name="Normal 57 3 5 2 2" xfId="43841" xr:uid="{00000000-0005-0000-0000-000027980000}"/>
    <cellStyle name="Normal 57 3 5 2 2 2" xfId="20910" xr:uid="{00000000-0005-0000-0000-000028980000}"/>
    <cellStyle name="Normal 57 3 5 2 2 2 2" xfId="11490" xr:uid="{00000000-0005-0000-0000-000029980000}"/>
    <cellStyle name="Normal 57 3 5 2 2 2 2 2" xfId="11502" xr:uid="{00000000-0005-0000-0000-00002A980000}"/>
    <cellStyle name="Normal 57 3 5 2 2 2 3" xfId="19589" xr:uid="{00000000-0005-0000-0000-00002B980000}"/>
    <cellStyle name="Normal 57 3 5 2 2 3" xfId="43843" xr:uid="{00000000-0005-0000-0000-00002C980000}"/>
    <cellStyle name="Normal 57 3 5 2 2 3 2" xfId="19623" xr:uid="{00000000-0005-0000-0000-00002D980000}"/>
    <cellStyle name="Normal 57 3 5 2 2 4" xfId="43845" xr:uid="{00000000-0005-0000-0000-00002E980000}"/>
    <cellStyle name="Normal 57 3 5 2 3" xfId="43847" xr:uid="{00000000-0005-0000-0000-00002F980000}"/>
    <cellStyle name="Normal 57 3 5 2 3 2" xfId="43849" xr:uid="{00000000-0005-0000-0000-000030980000}"/>
    <cellStyle name="Normal 57 3 5 2 3 2 2" xfId="3116" xr:uid="{00000000-0005-0000-0000-000031980000}"/>
    <cellStyle name="Normal 57 3 5 2 3 3" xfId="43851" xr:uid="{00000000-0005-0000-0000-000032980000}"/>
    <cellStyle name="Normal 57 3 5 2 4" xfId="9126" xr:uid="{00000000-0005-0000-0000-000033980000}"/>
    <cellStyle name="Normal 57 3 5 2 4 2" xfId="43853" xr:uid="{00000000-0005-0000-0000-000034980000}"/>
    <cellStyle name="Normal 57 3 5 2 4 2 2" xfId="5576" xr:uid="{00000000-0005-0000-0000-000035980000}"/>
    <cellStyle name="Normal 57 3 5 2 4 3" xfId="43855" xr:uid="{00000000-0005-0000-0000-000036980000}"/>
    <cellStyle name="Normal 57 3 5 2 5" xfId="43857" xr:uid="{00000000-0005-0000-0000-000037980000}"/>
    <cellStyle name="Normal 57 3 5 2 5 2" xfId="43860" xr:uid="{00000000-0005-0000-0000-000038980000}"/>
    <cellStyle name="Normal 57 3 5 2 6" xfId="43862" xr:uid="{00000000-0005-0000-0000-000039980000}"/>
    <cellStyle name="Normal 57 3 5 2 6 2" xfId="43865" xr:uid="{00000000-0005-0000-0000-00003A980000}"/>
    <cellStyle name="Normal 57 3 5 2 7" xfId="43867" xr:uid="{00000000-0005-0000-0000-00003B980000}"/>
    <cellStyle name="Normal 57 3 5 2 8" xfId="43869" xr:uid="{00000000-0005-0000-0000-00003C980000}"/>
    <cellStyle name="Normal 57 3 5 3" xfId="43871" xr:uid="{00000000-0005-0000-0000-00003D980000}"/>
    <cellStyle name="Normal 57 3 5 3 2" xfId="43873" xr:uid="{00000000-0005-0000-0000-00003E980000}"/>
    <cellStyle name="Normal 57 3 5 3 2 2" xfId="43875" xr:uid="{00000000-0005-0000-0000-00003F980000}"/>
    <cellStyle name="Normal 57 3 5 3 2 2 2" xfId="20967" xr:uid="{00000000-0005-0000-0000-000040980000}"/>
    <cellStyle name="Normal 57 3 5 3 2 3" xfId="43877" xr:uid="{00000000-0005-0000-0000-000041980000}"/>
    <cellStyle name="Normal 57 3 5 3 3" xfId="43879" xr:uid="{00000000-0005-0000-0000-000042980000}"/>
    <cellStyle name="Normal 57 3 5 3 3 2" xfId="43881" xr:uid="{00000000-0005-0000-0000-000043980000}"/>
    <cellStyle name="Normal 57 3 5 3 4" xfId="2996" xr:uid="{00000000-0005-0000-0000-000044980000}"/>
    <cellStyle name="Normal 57 3 5 4" xfId="43883" xr:uid="{00000000-0005-0000-0000-000045980000}"/>
    <cellStyle name="Normal 57 3 5 4 2" xfId="43885" xr:uid="{00000000-0005-0000-0000-000046980000}"/>
    <cellStyle name="Normal 57 3 5 4 2 2" xfId="43887" xr:uid="{00000000-0005-0000-0000-000047980000}"/>
    <cellStyle name="Normal 57 3 5 4 3" xfId="43889" xr:uid="{00000000-0005-0000-0000-000048980000}"/>
    <cellStyle name="Normal 57 3 5 5" xfId="43891" xr:uid="{00000000-0005-0000-0000-000049980000}"/>
    <cellStyle name="Normal 57 3 5 5 2" xfId="43893" xr:uid="{00000000-0005-0000-0000-00004A980000}"/>
    <cellStyle name="Normal 57 3 5 5 2 2" xfId="43895" xr:uid="{00000000-0005-0000-0000-00004B980000}"/>
    <cellStyle name="Normal 57 3 5 5 3" xfId="43897" xr:uid="{00000000-0005-0000-0000-00004C980000}"/>
    <cellStyle name="Normal 57 3 5 6" xfId="43899" xr:uid="{00000000-0005-0000-0000-00004D980000}"/>
    <cellStyle name="Normal 57 3 5 6 2" xfId="43901" xr:uid="{00000000-0005-0000-0000-00004E980000}"/>
    <cellStyle name="Normal 57 3 5 7" xfId="43903" xr:uid="{00000000-0005-0000-0000-00004F980000}"/>
    <cellStyle name="Normal 57 3 5 7 2" xfId="43905" xr:uid="{00000000-0005-0000-0000-000050980000}"/>
    <cellStyle name="Normal 57 3 5 8" xfId="43907" xr:uid="{00000000-0005-0000-0000-000051980000}"/>
    <cellStyle name="Normal 57 3 5 9" xfId="23737" xr:uid="{00000000-0005-0000-0000-000052980000}"/>
    <cellStyle name="Normal 57 3 6" xfId="43909" xr:uid="{00000000-0005-0000-0000-000053980000}"/>
    <cellStyle name="Normal 57 3 6 2" xfId="43911" xr:uid="{00000000-0005-0000-0000-000054980000}"/>
    <cellStyle name="Normal 57 3 6 2 2" xfId="13171" xr:uid="{00000000-0005-0000-0000-000055980000}"/>
    <cellStyle name="Normal 57 3 6 2 2 2" xfId="20305" xr:uid="{00000000-0005-0000-0000-000056980000}"/>
    <cellStyle name="Normal 57 3 6 2 2 2 2" xfId="19407" xr:uid="{00000000-0005-0000-0000-000057980000}"/>
    <cellStyle name="Normal 57 3 6 2 2 3" xfId="20311" xr:uid="{00000000-0005-0000-0000-000058980000}"/>
    <cellStyle name="Normal 57 3 6 2 3" xfId="197" xr:uid="{00000000-0005-0000-0000-000059980000}"/>
    <cellStyle name="Normal 57 3 6 2 3 2" xfId="20315" xr:uid="{00000000-0005-0000-0000-00005A980000}"/>
    <cellStyle name="Normal 57 3 6 2 4" xfId="20321" xr:uid="{00000000-0005-0000-0000-00005B980000}"/>
    <cellStyle name="Normal 57 3 6 3" xfId="43913" xr:uid="{00000000-0005-0000-0000-00005C980000}"/>
    <cellStyle name="Normal 57 3 6 3 2" xfId="20360" xr:uid="{00000000-0005-0000-0000-00005D980000}"/>
    <cellStyle name="Normal 57 3 6 3 2 2" xfId="20363" xr:uid="{00000000-0005-0000-0000-00005E980000}"/>
    <cellStyle name="Normal 57 3 6 3 3" xfId="12031" xr:uid="{00000000-0005-0000-0000-00005F980000}"/>
    <cellStyle name="Normal 57 3 6 4" xfId="43915" xr:uid="{00000000-0005-0000-0000-000060980000}"/>
    <cellStyle name="Normal 57 3 6 4 2" xfId="17690" xr:uid="{00000000-0005-0000-0000-000061980000}"/>
    <cellStyle name="Normal 57 3 6 4 2 2" xfId="7721" xr:uid="{00000000-0005-0000-0000-000062980000}"/>
    <cellStyle name="Normal 57 3 6 4 3" xfId="17695" xr:uid="{00000000-0005-0000-0000-000063980000}"/>
    <cellStyle name="Normal 57 3 6 5" xfId="43917" xr:uid="{00000000-0005-0000-0000-000064980000}"/>
    <cellStyle name="Normal 57 3 6 5 2" xfId="7807" xr:uid="{00000000-0005-0000-0000-000065980000}"/>
    <cellStyle name="Normal 57 3 6 6" xfId="43919" xr:uid="{00000000-0005-0000-0000-000066980000}"/>
    <cellStyle name="Normal 57 3 6 6 2" xfId="17719" xr:uid="{00000000-0005-0000-0000-000067980000}"/>
    <cellStyle name="Normal 57 3 6 7" xfId="43921" xr:uid="{00000000-0005-0000-0000-000068980000}"/>
    <cellStyle name="Normal 57 3 6 8" xfId="43923" xr:uid="{00000000-0005-0000-0000-000069980000}"/>
    <cellStyle name="Normal 57 3 7" xfId="13181" xr:uid="{00000000-0005-0000-0000-00006A980000}"/>
    <cellStyle name="Normal 57 3 7 2" xfId="43925" xr:uid="{00000000-0005-0000-0000-00006B980000}"/>
    <cellStyle name="Normal 57 3 7 2 2" xfId="43927" xr:uid="{00000000-0005-0000-0000-00006C980000}"/>
    <cellStyle name="Normal 57 3 7 2 2 2" xfId="43929" xr:uid="{00000000-0005-0000-0000-00006D980000}"/>
    <cellStyle name="Normal 57 3 7 2 3" xfId="43931" xr:uid="{00000000-0005-0000-0000-00006E980000}"/>
    <cellStyle name="Normal 57 3 7 3" xfId="43933" xr:uid="{00000000-0005-0000-0000-00006F980000}"/>
    <cellStyle name="Normal 57 3 7 3 2" xfId="43935" xr:uid="{00000000-0005-0000-0000-000070980000}"/>
    <cellStyle name="Normal 57 3 7 4" xfId="43937" xr:uid="{00000000-0005-0000-0000-000071980000}"/>
    <cellStyle name="Normal 57 3 8" xfId="43939" xr:uid="{00000000-0005-0000-0000-000072980000}"/>
    <cellStyle name="Normal 57 3 8 2" xfId="43941" xr:uid="{00000000-0005-0000-0000-000073980000}"/>
    <cellStyle name="Normal 57 3 8 2 2" xfId="43943" xr:uid="{00000000-0005-0000-0000-000074980000}"/>
    <cellStyle name="Normal 57 3 8 3" xfId="43945" xr:uid="{00000000-0005-0000-0000-000075980000}"/>
    <cellStyle name="Normal 57 3 9" xfId="43947" xr:uid="{00000000-0005-0000-0000-000076980000}"/>
    <cellStyle name="Normal 57 3 9 2" xfId="36686" xr:uid="{00000000-0005-0000-0000-000077980000}"/>
    <cellStyle name="Normal 57 3 9 2 2" xfId="36694" xr:uid="{00000000-0005-0000-0000-000078980000}"/>
    <cellStyle name="Normal 57 3 9 3" xfId="36775" xr:uid="{00000000-0005-0000-0000-000079980000}"/>
    <cellStyle name="Normal 57 4" xfId="43949" xr:uid="{00000000-0005-0000-0000-00007A980000}"/>
    <cellStyle name="Normal 57 4 10" xfId="43951" xr:uid="{00000000-0005-0000-0000-00007B980000}"/>
    <cellStyle name="Normal 57 4 2" xfId="43953" xr:uid="{00000000-0005-0000-0000-00007C980000}"/>
    <cellStyle name="Normal 57 4 2 2" xfId="43955" xr:uid="{00000000-0005-0000-0000-00007D980000}"/>
    <cellStyle name="Normal 57 4 2 2 2" xfId="43957" xr:uid="{00000000-0005-0000-0000-00007E980000}"/>
    <cellStyle name="Normal 57 4 2 2 2 2" xfId="43959" xr:uid="{00000000-0005-0000-0000-00007F980000}"/>
    <cellStyle name="Normal 57 4 2 2 2 2 2" xfId="43961" xr:uid="{00000000-0005-0000-0000-000080980000}"/>
    <cellStyle name="Normal 57 4 2 2 2 2 2 2" xfId="18470" xr:uid="{00000000-0005-0000-0000-000081980000}"/>
    <cellStyle name="Normal 57 4 2 2 2 2 3" xfId="43963" xr:uid="{00000000-0005-0000-0000-000082980000}"/>
    <cellStyle name="Normal 57 4 2 2 2 3" xfId="43965" xr:uid="{00000000-0005-0000-0000-000083980000}"/>
    <cellStyle name="Normal 57 4 2 2 2 3 2" xfId="43967" xr:uid="{00000000-0005-0000-0000-000084980000}"/>
    <cellStyle name="Normal 57 4 2 2 2 4" xfId="43969" xr:uid="{00000000-0005-0000-0000-000085980000}"/>
    <cellStyle name="Normal 57 4 2 2 3" xfId="43971" xr:uid="{00000000-0005-0000-0000-000086980000}"/>
    <cellStyle name="Normal 57 4 2 2 3 2" xfId="43973" xr:uid="{00000000-0005-0000-0000-000087980000}"/>
    <cellStyle name="Normal 57 4 2 2 3 2 2" xfId="43975" xr:uid="{00000000-0005-0000-0000-000088980000}"/>
    <cellStyle name="Normal 57 4 2 2 3 3" xfId="43977" xr:uid="{00000000-0005-0000-0000-000089980000}"/>
    <cellStyle name="Normal 57 4 2 2 4" xfId="43979" xr:uid="{00000000-0005-0000-0000-00008A980000}"/>
    <cellStyle name="Normal 57 4 2 2 4 2" xfId="43981" xr:uid="{00000000-0005-0000-0000-00008B980000}"/>
    <cellStyle name="Normal 57 4 2 2 4 2 2" xfId="43983" xr:uid="{00000000-0005-0000-0000-00008C980000}"/>
    <cellStyle name="Normal 57 4 2 2 4 3" xfId="43985" xr:uid="{00000000-0005-0000-0000-00008D980000}"/>
    <cellStyle name="Normal 57 4 2 2 5" xfId="43987" xr:uid="{00000000-0005-0000-0000-00008E980000}"/>
    <cellStyle name="Normal 57 4 2 2 5 2" xfId="43989" xr:uid="{00000000-0005-0000-0000-00008F980000}"/>
    <cellStyle name="Normal 57 4 2 2 6" xfId="43991" xr:uid="{00000000-0005-0000-0000-000090980000}"/>
    <cellStyle name="Normal 57 4 2 2 6 2" xfId="43993" xr:uid="{00000000-0005-0000-0000-000091980000}"/>
    <cellStyle name="Normal 57 4 2 2 7" xfId="43995" xr:uid="{00000000-0005-0000-0000-000092980000}"/>
    <cellStyle name="Normal 57 4 2 2 8" xfId="2145" xr:uid="{00000000-0005-0000-0000-000093980000}"/>
    <cellStyle name="Normal 57 4 2 3" xfId="43997" xr:uid="{00000000-0005-0000-0000-000094980000}"/>
    <cellStyle name="Normal 57 4 2 3 2" xfId="43999" xr:uid="{00000000-0005-0000-0000-000095980000}"/>
    <cellStyle name="Normal 57 4 2 3 2 2" xfId="41227" xr:uid="{00000000-0005-0000-0000-000096980000}"/>
    <cellStyle name="Normal 57 4 2 3 2 2 2" xfId="44001" xr:uid="{00000000-0005-0000-0000-000097980000}"/>
    <cellStyle name="Normal 57 4 2 3 2 3" xfId="7128" xr:uid="{00000000-0005-0000-0000-000098980000}"/>
    <cellStyle name="Normal 57 4 2 3 3" xfId="44004" xr:uid="{00000000-0005-0000-0000-000099980000}"/>
    <cellStyle name="Normal 57 4 2 3 3 2" xfId="44006" xr:uid="{00000000-0005-0000-0000-00009A980000}"/>
    <cellStyle name="Normal 57 4 2 3 4" xfId="44008" xr:uid="{00000000-0005-0000-0000-00009B980000}"/>
    <cellStyle name="Normal 57 4 2 4" xfId="6335" xr:uid="{00000000-0005-0000-0000-00009C980000}"/>
    <cellStyle name="Normal 57 4 2 4 2" xfId="44010" xr:uid="{00000000-0005-0000-0000-00009D980000}"/>
    <cellStyle name="Normal 57 4 2 4 2 2" xfId="44012" xr:uid="{00000000-0005-0000-0000-00009E980000}"/>
    <cellStyle name="Normal 57 4 2 4 3" xfId="44014" xr:uid="{00000000-0005-0000-0000-00009F980000}"/>
    <cellStyle name="Normal 57 4 2 5" xfId="44016" xr:uid="{00000000-0005-0000-0000-0000A0980000}"/>
    <cellStyle name="Normal 57 4 2 5 2" xfId="44018" xr:uid="{00000000-0005-0000-0000-0000A1980000}"/>
    <cellStyle name="Normal 57 4 2 5 2 2" xfId="44020" xr:uid="{00000000-0005-0000-0000-0000A2980000}"/>
    <cellStyle name="Normal 57 4 2 5 3" xfId="44022" xr:uid="{00000000-0005-0000-0000-0000A3980000}"/>
    <cellStyle name="Normal 57 4 2 6" xfId="44024" xr:uid="{00000000-0005-0000-0000-0000A4980000}"/>
    <cellStyle name="Normal 57 4 2 6 2" xfId="44026" xr:uid="{00000000-0005-0000-0000-0000A5980000}"/>
    <cellStyle name="Normal 57 4 2 7" xfId="44028" xr:uid="{00000000-0005-0000-0000-0000A6980000}"/>
    <cellStyle name="Normal 57 4 2 7 2" xfId="44030" xr:uid="{00000000-0005-0000-0000-0000A7980000}"/>
    <cellStyle name="Normal 57 4 2 8" xfId="44033" xr:uid="{00000000-0005-0000-0000-0000A8980000}"/>
    <cellStyle name="Normal 57 4 2 9" xfId="44035" xr:uid="{00000000-0005-0000-0000-0000A9980000}"/>
    <cellStyle name="Normal 57 4 3" xfId="44037" xr:uid="{00000000-0005-0000-0000-0000AA980000}"/>
    <cellStyle name="Normal 57 4 3 2" xfId="44039" xr:uid="{00000000-0005-0000-0000-0000AB980000}"/>
    <cellStyle name="Normal 57 4 3 2 2" xfId="44041" xr:uid="{00000000-0005-0000-0000-0000AC980000}"/>
    <cellStyle name="Normal 57 4 3 2 2 2" xfId="44043" xr:uid="{00000000-0005-0000-0000-0000AD980000}"/>
    <cellStyle name="Normal 57 4 3 2 2 2 2" xfId="9685" xr:uid="{00000000-0005-0000-0000-0000AE980000}"/>
    <cellStyle name="Normal 57 4 3 2 2 3" xfId="44045" xr:uid="{00000000-0005-0000-0000-0000AF980000}"/>
    <cellStyle name="Normal 57 4 3 2 3" xfId="44047" xr:uid="{00000000-0005-0000-0000-0000B0980000}"/>
    <cellStyle name="Normal 57 4 3 2 3 2" xfId="44049" xr:uid="{00000000-0005-0000-0000-0000B1980000}"/>
    <cellStyle name="Normal 57 4 3 2 4" xfId="44051" xr:uid="{00000000-0005-0000-0000-0000B2980000}"/>
    <cellStyle name="Normal 57 4 3 3" xfId="44053" xr:uid="{00000000-0005-0000-0000-0000B3980000}"/>
    <cellStyle name="Normal 57 4 3 3 2" xfId="44055" xr:uid="{00000000-0005-0000-0000-0000B4980000}"/>
    <cellStyle name="Normal 57 4 3 3 2 2" xfId="44057" xr:uid="{00000000-0005-0000-0000-0000B5980000}"/>
    <cellStyle name="Normal 57 4 3 3 3" xfId="44059" xr:uid="{00000000-0005-0000-0000-0000B6980000}"/>
    <cellStyle name="Normal 57 4 3 4" xfId="6345" xr:uid="{00000000-0005-0000-0000-0000B7980000}"/>
    <cellStyle name="Normal 57 4 3 4 2" xfId="42946" xr:uid="{00000000-0005-0000-0000-0000B8980000}"/>
    <cellStyle name="Normal 57 4 3 4 2 2" xfId="42950" xr:uid="{00000000-0005-0000-0000-0000B9980000}"/>
    <cellStyle name="Normal 57 4 3 4 3" xfId="42954" xr:uid="{00000000-0005-0000-0000-0000BA980000}"/>
    <cellStyle name="Normal 57 4 3 5" xfId="42958" xr:uid="{00000000-0005-0000-0000-0000BB980000}"/>
    <cellStyle name="Normal 57 4 3 5 2" xfId="42962" xr:uid="{00000000-0005-0000-0000-0000BC980000}"/>
    <cellStyle name="Normal 57 4 3 6" xfId="42966" xr:uid="{00000000-0005-0000-0000-0000BD980000}"/>
    <cellStyle name="Normal 57 4 3 6 2" xfId="44061" xr:uid="{00000000-0005-0000-0000-0000BE980000}"/>
    <cellStyle name="Normal 57 4 3 7" xfId="44063" xr:uid="{00000000-0005-0000-0000-0000BF980000}"/>
    <cellStyle name="Normal 57 4 3 8" xfId="44065" xr:uid="{00000000-0005-0000-0000-0000C0980000}"/>
    <cellStyle name="Normal 57 4 4" xfId="44067" xr:uid="{00000000-0005-0000-0000-0000C1980000}"/>
    <cellStyle name="Normal 57 4 4 2" xfId="44069" xr:uid="{00000000-0005-0000-0000-0000C2980000}"/>
    <cellStyle name="Normal 57 4 4 2 2" xfId="44071" xr:uid="{00000000-0005-0000-0000-0000C3980000}"/>
    <cellStyle name="Normal 57 4 4 2 2 2" xfId="44075" xr:uid="{00000000-0005-0000-0000-0000C4980000}"/>
    <cellStyle name="Normal 57 4 4 2 3" xfId="44077" xr:uid="{00000000-0005-0000-0000-0000C5980000}"/>
    <cellStyle name="Normal 57 4 4 3" xfId="44079" xr:uid="{00000000-0005-0000-0000-0000C6980000}"/>
    <cellStyle name="Normal 57 4 4 3 2" xfId="44081" xr:uid="{00000000-0005-0000-0000-0000C7980000}"/>
    <cellStyle name="Normal 57 4 4 4" xfId="42970" xr:uid="{00000000-0005-0000-0000-0000C8980000}"/>
    <cellStyle name="Normal 57 4 5" xfId="44083" xr:uid="{00000000-0005-0000-0000-0000C9980000}"/>
    <cellStyle name="Normal 57 4 5 2" xfId="44085" xr:uid="{00000000-0005-0000-0000-0000CA980000}"/>
    <cellStyle name="Normal 57 4 5 2 2" xfId="18887" xr:uid="{00000000-0005-0000-0000-0000CB980000}"/>
    <cellStyle name="Normal 57 4 5 3" xfId="44087" xr:uid="{00000000-0005-0000-0000-0000CC980000}"/>
    <cellStyle name="Normal 57 4 6" xfId="44089" xr:uid="{00000000-0005-0000-0000-0000CD980000}"/>
    <cellStyle name="Normal 57 4 6 2" xfId="44091" xr:uid="{00000000-0005-0000-0000-0000CE980000}"/>
    <cellStyle name="Normal 57 4 6 2 2" xfId="19019" xr:uid="{00000000-0005-0000-0000-0000CF980000}"/>
    <cellStyle name="Normal 57 4 6 3" xfId="9901" xr:uid="{00000000-0005-0000-0000-0000D0980000}"/>
    <cellStyle name="Normal 57 4 7" xfId="19914" xr:uid="{00000000-0005-0000-0000-0000D1980000}"/>
    <cellStyle name="Normal 57 4 7 2" xfId="44093" xr:uid="{00000000-0005-0000-0000-0000D2980000}"/>
    <cellStyle name="Normal 57 4 8" xfId="44095" xr:uid="{00000000-0005-0000-0000-0000D3980000}"/>
    <cellStyle name="Normal 57 4 8 2" xfId="44097" xr:uid="{00000000-0005-0000-0000-0000D4980000}"/>
    <cellStyle name="Normal 57 4 9" xfId="44099" xr:uid="{00000000-0005-0000-0000-0000D5980000}"/>
    <cellStyle name="Normal 57 5" xfId="44101" xr:uid="{00000000-0005-0000-0000-0000D6980000}"/>
    <cellStyle name="Normal 57 5 2" xfId="44103" xr:uid="{00000000-0005-0000-0000-0000D7980000}"/>
    <cellStyle name="Normal 57 5 2 2" xfId="44105" xr:uid="{00000000-0005-0000-0000-0000D8980000}"/>
    <cellStyle name="Normal 57 5 2 2 2" xfId="44107" xr:uid="{00000000-0005-0000-0000-0000D9980000}"/>
    <cellStyle name="Normal 57 5 2 2 2 2" xfId="44109" xr:uid="{00000000-0005-0000-0000-0000DA980000}"/>
    <cellStyle name="Normal 57 5 2 2 2 2 2" xfId="44111" xr:uid="{00000000-0005-0000-0000-0000DB980000}"/>
    <cellStyle name="Normal 57 5 2 2 2 3" xfId="44113" xr:uid="{00000000-0005-0000-0000-0000DC980000}"/>
    <cellStyle name="Normal 57 5 2 2 3" xfId="44115" xr:uid="{00000000-0005-0000-0000-0000DD980000}"/>
    <cellStyle name="Normal 57 5 2 2 3 2" xfId="44117" xr:uid="{00000000-0005-0000-0000-0000DE980000}"/>
    <cellStyle name="Normal 57 5 2 2 4" xfId="12910" xr:uid="{00000000-0005-0000-0000-0000DF980000}"/>
    <cellStyle name="Normal 57 5 2 2 5" xfId="44119" xr:uid="{00000000-0005-0000-0000-0000E0980000}"/>
    <cellStyle name="Normal 57 5 2 3" xfId="44121" xr:uid="{00000000-0005-0000-0000-0000E1980000}"/>
    <cellStyle name="Normal 57 5 2 3 2" xfId="19233" xr:uid="{00000000-0005-0000-0000-0000E2980000}"/>
    <cellStyle name="Normal 57 5 2 3 2 2" xfId="14960" xr:uid="{00000000-0005-0000-0000-0000E3980000}"/>
    <cellStyle name="Normal 57 5 2 3 3" xfId="15639" xr:uid="{00000000-0005-0000-0000-0000E4980000}"/>
    <cellStyle name="Normal 57 5 2 4" xfId="6430" xr:uid="{00000000-0005-0000-0000-0000E5980000}"/>
    <cellStyle name="Normal 57 5 2 4 2" xfId="44123" xr:uid="{00000000-0005-0000-0000-0000E6980000}"/>
    <cellStyle name="Normal 57 5 2 4 2 2" xfId="44125" xr:uid="{00000000-0005-0000-0000-0000E7980000}"/>
    <cellStyle name="Normal 57 5 2 4 3" xfId="44127" xr:uid="{00000000-0005-0000-0000-0000E8980000}"/>
    <cellStyle name="Normal 57 5 2 5" xfId="44129" xr:uid="{00000000-0005-0000-0000-0000E9980000}"/>
    <cellStyle name="Normal 57 5 2 5 2" xfId="15967" xr:uid="{00000000-0005-0000-0000-0000EA980000}"/>
    <cellStyle name="Normal 57 5 2 6" xfId="44131" xr:uid="{00000000-0005-0000-0000-0000EB980000}"/>
    <cellStyle name="Normal 57 5 2 6 2" xfId="44133" xr:uid="{00000000-0005-0000-0000-0000EC980000}"/>
    <cellStyle name="Normal 57 5 2 7" xfId="44136" xr:uid="{00000000-0005-0000-0000-0000ED980000}"/>
    <cellStyle name="Normal 57 5 2 8" xfId="44138" xr:uid="{00000000-0005-0000-0000-0000EE980000}"/>
    <cellStyle name="Normal 57 5 3" xfId="44140" xr:uid="{00000000-0005-0000-0000-0000EF980000}"/>
    <cellStyle name="Normal 57 5 3 2" xfId="44142" xr:uid="{00000000-0005-0000-0000-0000F0980000}"/>
    <cellStyle name="Normal 57 5 3 2 2" xfId="44144" xr:uid="{00000000-0005-0000-0000-0000F1980000}"/>
    <cellStyle name="Normal 57 5 3 2 2 2" xfId="44146" xr:uid="{00000000-0005-0000-0000-0000F2980000}"/>
    <cellStyle name="Normal 57 5 3 2 3" xfId="44148" xr:uid="{00000000-0005-0000-0000-0000F3980000}"/>
    <cellStyle name="Normal 57 5 3 3" xfId="44150" xr:uid="{00000000-0005-0000-0000-0000F4980000}"/>
    <cellStyle name="Normal 57 5 3 3 2" xfId="44152" xr:uid="{00000000-0005-0000-0000-0000F5980000}"/>
    <cellStyle name="Normal 57 5 3 4" xfId="42998" xr:uid="{00000000-0005-0000-0000-0000F6980000}"/>
    <cellStyle name="Normal 57 5 3 5" xfId="43004" xr:uid="{00000000-0005-0000-0000-0000F7980000}"/>
    <cellStyle name="Normal 57 5 4" xfId="44154" xr:uid="{00000000-0005-0000-0000-0000F8980000}"/>
    <cellStyle name="Normal 57 5 4 2" xfId="13214" xr:uid="{00000000-0005-0000-0000-0000F9980000}"/>
    <cellStyle name="Normal 57 5 4 2 2" xfId="44156" xr:uid="{00000000-0005-0000-0000-0000FA980000}"/>
    <cellStyle name="Normal 57 5 4 3" xfId="44158" xr:uid="{00000000-0005-0000-0000-0000FB980000}"/>
    <cellStyle name="Normal 57 5 5" xfId="44160" xr:uid="{00000000-0005-0000-0000-0000FC980000}"/>
    <cellStyle name="Normal 57 5 5 2" xfId="44162" xr:uid="{00000000-0005-0000-0000-0000FD980000}"/>
    <cellStyle name="Normal 57 5 5 2 2" xfId="44164" xr:uid="{00000000-0005-0000-0000-0000FE980000}"/>
    <cellStyle name="Normal 57 5 5 3" xfId="44166" xr:uid="{00000000-0005-0000-0000-0000FF980000}"/>
    <cellStyle name="Normal 57 5 6" xfId="44168" xr:uid="{00000000-0005-0000-0000-000000990000}"/>
    <cellStyle name="Normal 57 5 6 2" xfId="44170" xr:uid="{00000000-0005-0000-0000-000001990000}"/>
    <cellStyle name="Normal 57 5 7" xfId="44172" xr:uid="{00000000-0005-0000-0000-000002990000}"/>
    <cellStyle name="Normal 57 5 7 2" xfId="44174" xr:uid="{00000000-0005-0000-0000-000003990000}"/>
    <cellStyle name="Normal 57 5 8" xfId="44176" xr:uid="{00000000-0005-0000-0000-000004990000}"/>
    <cellStyle name="Normal 57 5 9" xfId="18691" xr:uid="{00000000-0005-0000-0000-000005990000}"/>
    <cellStyle name="Normal 57 6" xfId="44178" xr:uid="{00000000-0005-0000-0000-000006990000}"/>
    <cellStyle name="Normal 57 6 2" xfId="44181" xr:uid="{00000000-0005-0000-0000-000007990000}"/>
    <cellStyle name="Normal 57 6 2 2" xfId="44183" xr:uid="{00000000-0005-0000-0000-000008990000}"/>
    <cellStyle name="Normal 57 6 2 2 2" xfId="44185" xr:uid="{00000000-0005-0000-0000-000009990000}"/>
    <cellStyle name="Normal 57 6 2 2 2 2" xfId="44187" xr:uid="{00000000-0005-0000-0000-00000A990000}"/>
    <cellStyle name="Normal 57 6 2 2 2 2 2" xfId="17823" xr:uid="{00000000-0005-0000-0000-00000B990000}"/>
    <cellStyle name="Normal 57 6 2 2 2 3" xfId="44189" xr:uid="{00000000-0005-0000-0000-00000C990000}"/>
    <cellStyle name="Normal 57 6 2 2 3" xfId="44191" xr:uid="{00000000-0005-0000-0000-00000D990000}"/>
    <cellStyle name="Normal 57 6 2 2 3 2" xfId="44193" xr:uid="{00000000-0005-0000-0000-00000E990000}"/>
    <cellStyle name="Normal 57 6 2 2 4" xfId="44195" xr:uid="{00000000-0005-0000-0000-00000F990000}"/>
    <cellStyle name="Normal 57 6 2 3" xfId="22390" xr:uid="{00000000-0005-0000-0000-000010990000}"/>
    <cellStyle name="Normal 57 6 2 3 2" xfId="22397" xr:uid="{00000000-0005-0000-0000-000011990000}"/>
    <cellStyle name="Normal 57 6 2 3 2 2" xfId="36190" xr:uid="{00000000-0005-0000-0000-000012990000}"/>
    <cellStyle name="Normal 57 6 2 3 3" xfId="36198" xr:uid="{00000000-0005-0000-0000-000013990000}"/>
    <cellStyle name="Normal 57 6 2 4" xfId="22400" xr:uid="{00000000-0005-0000-0000-000014990000}"/>
    <cellStyle name="Normal 57 6 2 4 2" xfId="36206" xr:uid="{00000000-0005-0000-0000-000015990000}"/>
    <cellStyle name="Normal 57 6 2 4 2 2" xfId="36209" xr:uid="{00000000-0005-0000-0000-000016990000}"/>
    <cellStyle name="Normal 57 6 2 4 3" xfId="36213" xr:uid="{00000000-0005-0000-0000-000017990000}"/>
    <cellStyle name="Normal 57 6 2 5" xfId="31940" xr:uid="{00000000-0005-0000-0000-000018990000}"/>
    <cellStyle name="Normal 57 6 2 5 2" xfId="25994" xr:uid="{00000000-0005-0000-0000-000019990000}"/>
    <cellStyle name="Normal 57 6 2 6" xfId="36217" xr:uid="{00000000-0005-0000-0000-00001A990000}"/>
    <cellStyle name="Normal 57 6 2 6 2" xfId="20708" xr:uid="{00000000-0005-0000-0000-00001B990000}"/>
    <cellStyle name="Normal 57 6 2 7" xfId="36224" xr:uid="{00000000-0005-0000-0000-00001C990000}"/>
    <cellStyle name="Normal 57 6 2 8" xfId="36229" xr:uid="{00000000-0005-0000-0000-00001D990000}"/>
    <cellStyle name="Normal 57 6 3" xfId="44197" xr:uid="{00000000-0005-0000-0000-00001E990000}"/>
    <cellStyle name="Normal 57 6 3 2" xfId="44199" xr:uid="{00000000-0005-0000-0000-00001F990000}"/>
    <cellStyle name="Normal 57 6 3 2 2" xfId="44201" xr:uid="{00000000-0005-0000-0000-000020990000}"/>
    <cellStyle name="Normal 57 6 3 2 2 2" xfId="15138" xr:uid="{00000000-0005-0000-0000-000021990000}"/>
    <cellStyle name="Normal 57 6 3 2 3" xfId="44203" xr:uid="{00000000-0005-0000-0000-000022990000}"/>
    <cellStyle name="Normal 57 6 3 3" xfId="22408" xr:uid="{00000000-0005-0000-0000-000023990000}"/>
    <cellStyle name="Normal 57 6 3 3 2" xfId="29850" xr:uid="{00000000-0005-0000-0000-000024990000}"/>
    <cellStyle name="Normal 57 6 3 4" xfId="36238" xr:uid="{00000000-0005-0000-0000-000025990000}"/>
    <cellStyle name="Normal 57 6 4" xfId="44205" xr:uid="{00000000-0005-0000-0000-000026990000}"/>
    <cellStyle name="Normal 57 6 4 2" xfId="44207" xr:uid="{00000000-0005-0000-0000-000027990000}"/>
    <cellStyle name="Normal 57 6 4 2 2" xfId="36463" xr:uid="{00000000-0005-0000-0000-000028990000}"/>
    <cellStyle name="Normal 57 6 4 3" xfId="36252" xr:uid="{00000000-0005-0000-0000-000029990000}"/>
    <cellStyle name="Normal 57 6 5" xfId="44209" xr:uid="{00000000-0005-0000-0000-00002A990000}"/>
    <cellStyle name="Normal 57 6 5 2" xfId="44211" xr:uid="{00000000-0005-0000-0000-00002B990000}"/>
    <cellStyle name="Normal 57 6 5 2 2" xfId="36472" xr:uid="{00000000-0005-0000-0000-00002C990000}"/>
    <cellStyle name="Normal 57 6 5 3" xfId="36261" xr:uid="{00000000-0005-0000-0000-00002D990000}"/>
    <cellStyle name="Normal 57 6 6" xfId="44213" xr:uid="{00000000-0005-0000-0000-00002E990000}"/>
    <cellStyle name="Normal 57 6 6 2" xfId="44215" xr:uid="{00000000-0005-0000-0000-00002F990000}"/>
    <cellStyle name="Normal 57 6 7" xfId="44217" xr:uid="{00000000-0005-0000-0000-000030990000}"/>
    <cellStyle name="Normal 57 6 7 2" xfId="44219" xr:uid="{00000000-0005-0000-0000-000031990000}"/>
    <cellStyle name="Normal 57 6 8" xfId="44221" xr:uid="{00000000-0005-0000-0000-000032990000}"/>
    <cellStyle name="Normal 57 6 9" xfId="18740" xr:uid="{00000000-0005-0000-0000-000033990000}"/>
    <cellStyle name="Normal 57 7" xfId="44223" xr:uid="{00000000-0005-0000-0000-000034990000}"/>
    <cellStyle name="Normal 57 7 2" xfId="44225" xr:uid="{00000000-0005-0000-0000-000035990000}"/>
    <cellStyle name="Normal 57 7 2 2" xfId="44227" xr:uid="{00000000-0005-0000-0000-000036990000}"/>
    <cellStyle name="Normal 57 7 2 2 2" xfId="44229" xr:uid="{00000000-0005-0000-0000-000037990000}"/>
    <cellStyle name="Normal 57 7 2 2 2 2" xfId="44231" xr:uid="{00000000-0005-0000-0000-000038990000}"/>
    <cellStyle name="Normal 57 7 2 2 2 2 2" xfId="44233" xr:uid="{00000000-0005-0000-0000-000039990000}"/>
    <cellStyle name="Normal 57 7 2 2 2 3" xfId="44235" xr:uid="{00000000-0005-0000-0000-00003A990000}"/>
    <cellStyle name="Normal 57 7 2 2 3" xfId="44237" xr:uid="{00000000-0005-0000-0000-00003B990000}"/>
    <cellStyle name="Normal 57 7 2 2 3 2" xfId="44239" xr:uid="{00000000-0005-0000-0000-00003C990000}"/>
    <cellStyle name="Normal 57 7 2 2 4" xfId="44241" xr:uid="{00000000-0005-0000-0000-00003D990000}"/>
    <cellStyle name="Normal 57 7 2 3" xfId="22417" xr:uid="{00000000-0005-0000-0000-00003E990000}"/>
    <cellStyle name="Normal 57 7 2 3 2" xfId="30203" xr:uid="{00000000-0005-0000-0000-00003F990000}"/>
    <cellStyle name="Normal 57 7 2 3 2 2" xfId="25693" xr:uid="{00000000-0005-0000-0000-000040990000}"/>
    <cellStyle name="Normal 57 7 2 3 3" xfId="34627" xr:uid="{00000000-0005-0000-0000-000041990000}"/>
    <cellStyle name="Normal 57 7 2 4" xfId="36279" xr:uid="{00000000-0005-0000-0000-000042990000}"/>
    <cellStyle name="Normal 57 7 2 4 2" xfId="36043" xr:uid="{00000000-0005-0000-0000-000043990000}"/>
    <cellStyle name="Normal 57 7 2 4 2 2" xfId="36048" xr:uid="{00000000-0005-0000-0000-000044990000}"/>
    <cellStyle name="Normal 57 7 2 4 3" xfId="36100" xr:uid="{00000000-0005-0000-0000-000045990000}"/>
    <cellStyle name="Normal 57 7 2 5" xfId="36282" xr:uid="{00000000-0005-0000-0000-000046990000}"/>
    <cellStyle name="Normal 57 7 2 5 2" xfId="26083" xr:uid="{00000000-0005-0000-0000-000047990000}"/>
    <cellStyle name="Normal 57 7 2 6" xfId="36290" xr:uid="{00000000-0005-0000-0000-000048990000}"/>
    <cellStyle name="Normal 57 7 2 6 2" xfId="36293" xr:uid="{00000000-0005-0000-0000-000049990000}"/>
    <cellStyle name="Normal 57 7 2 7" xfId="36299" xr:uid="{00000000-0005-0000-0000-00004A990000}"/>
    <cellStyle name="Normal 57 7 2 8" xfId="36304" xr:uid="{00000000-0005-0000-0000-00004B990000}"/>
    <cellStyle name="Normal 57 7 3" xfId="44243" xr:uid="{00000000-0005-0000-0000-00004C990000}"/>
    <cellStyle name="Normal 57 7 3 2" xfId="44245" xr:uid="{00000000-0005-0000-0000-00004D990000}"/>
    <cellStyle name="Normal 57 7 3 2 2" xfId="44247" xr:uid="{00000000-0005-0000-0000-00004E990000}"/>
    <cellStyle name="Normal 57 7 3 2 2 2" xfId="44249" xr:uid="{00000000-0005-0000-0000-00004F990000}"/>
    <cellStyle name="Normal 57 7 3 2 3" xfId="44251" xr:uid="{00000000-0005-0000-0000-000050990000}"/>
    <cellStyle name="Normal 57 7 3 3" xfId="31514" xr:uid="{00000000-0005-0000-0000-000051990000}"/>
    <cellStyle name="Normal 57 7 3 3 2" xfId="30342" xr:uid="{00000000-0005-0000-0000-000052990000}"/>
    <cellStyle name="Normal 57 7 3 4" xfId="36311" xr:uid="{00000000-0005-0000-0000-000053990000}"/>
    <cellStyle name="Normal 57 7 4" xfId="44253" xr:uid="{00000000-0005-0000-0000-000054990000}"/>
    <cellStyle name="Normal 57 7 4 2" xfId="44255" xr:uid="{00000000-0005-0000-0000-000055990000}"/>
    <cellStyle name="Normal 57 7 4 2 2" xfId="36485" xr:uid="{00000000-0005-0000-0000-000056990000}"/>
    <cellStyle name="Normal 57 7 4 3" xfId="36318" xr:uid="{00000000-0005-0000-0000-000057990000}"/>
    <cellStyle name="Normal 57 7 5" xfId="44257" xr:uid="{00000000-0005-0000-0000-000058990000}"/>
    <cellStyle name="Normal 57 7 5 2" xfId="44259" xr:uid="{00000000-0005-0000-0000-000059990000}"/>
    <cellStyle name="Normal 57 7 5 2 2" xfId="44261" xr:uid="{00000000-0005-0000-0000-00005A990000}"/>
    <cellStyle name="Normal 57 7 5 3" xfId="36325" xr:uid="{00000000-0005-0000-0000-00005B990000}"/>
    <cellStyle name="Normal 57 7 6" xfId="29993" xr:uid="{00000000-0005-0000-0000-00005C990000}"/>
    <cellStyle name="Normal 57 7 6 2" xfId="44263" xr:uid="{00000000-0005-0000-0000-00005D990000}"/>
    <cellStyle name="Normal 57 7 7" xfId="44074" xr:uid="{00000000-0005-0000-0000-00005E990000}"/>
    <cellStyle name="Normal 57 7 7 2" xfId="44265" xr:uid="{00000000-0005-0000-0000-00005F990000}"/>
    <cellStyle name="Normal 57 7 8" xfId="44267" xr:uid="{00000000-0005-0000-0000-000060990000}"/>
    <cellStyle name="Normal 57 7 9" xfId="44269" xr:uid="{00000000-0005-0000-0000-000061990000}"/>
    <cellStyle name="Normal 57 8" xfId="16070" xr:uid="{00000000-0005-0000-0000-000062990000}"/>
    <cellStyle name="Normal 57 8 2" xfId="44271" xr:uid="{00000000-0005-0000-0000-000063990000}"/>
    <cellStyle name="Normal 57 8 2 2" xfId="44273" xr:uid="{00000000-0005-0000-0000-000064990000}"/>
    <cellStyle name="Normal 57 8 2 2 2" xfId="44275" xr:uid="{00000000-0005-0000-0000-000065990000}"/>
    <cellStyle name="Normal 57 8 2 2 2 2" xfId="44277" xr:uid="{00000000-0005-0000-0000-000066990000}"/>
    <cellStyle name="Normal 57 8 2 2 3" xfId="44279" xr:uid="{00000000-0005-0000-0000-000067990000}"/>
    <cellStyle name="Normal 57 8 2 3" xfId="22428" xr:uid="{00000000-0005-0000-0000-000068990000}"/>
    <cellStyle name="Normal 57 8 2 3 2" xfId="30779" xr:uid="{00000000-0005-0000-0000-000069990000}"/>
    <cellStyle name="Normal 57 8 2 4" xfId="36343" xr:uid="{00000000-0005-0000-0000-00006A990000}"/>
    <cellStyle name="Normal 57 8 3" xfId="44281" xr:uid="{00000000-0005-0000-0000-00006B990000}"/>
    <cellStyle name="Normal 57 8 3 2" xfId="44283" xr:uid="{00000000-0005-0000-0000-00006C990000}"/>
    <cellStyle name="Normal 57 8 3 2 2" xfId="44285" xr:uid="{00000000-0005-0000-0000-00006D990000}"/>
    <cellStyle name="Normal 57 8 3 3" xfId="36354" xr:uid="{00000000-0005-0000-0000-00006E990000}"/>
    <cellStyle name="Normal 57 8 4" xfId="44287" xr:uid="{00000000-0005-0000-0000-00006F990000}"/>
    <cellStyle name="Normal 57 8 4 2" xfId="44289" xr:uid="{00000000-0005-0000-0000-000070990000}"/>
    <cellStyle name="Normal 57 8 4 2 2" xfId="36506" xr:uid="{00000000-0005-0000-0000-000071990000}"/>
    <cellStyle name="Normal 57 8 4 3" xfId="36363" xr:uid="{00000000-0005-0000-0000-000072990000}"/>
    <cellStyle name="Normal 57 8 5" xfId="44291" xr:uid="{00000000-0005-0000-0000-000073990000}"/>
    <cellStyle name="Normal 57 8 5 2" xfId="44293" xr:uid="{00000000-0005-0000-0000-000074990000}"/>
    <cellStyle name="Normal 57 8 6" xfId="44295" xr:uid="{00000000-0005-0000-0000-000075990000}"/>
    <cellStyle name="Normal 57 8 6 2" xfId="44297" xr:uid="{00000000-0005-0000-0000-000076990000}"/>
    <cellStyle name="Normal 57 8 7" xfId="44299" xr:uid="{00000000-0005-0000-0000-000077990000}"/>
    <cellStyle name="Normal 57 8 8" xfId="44301" xr:uid="{00000000-0005-0000-0000-000078990000}"/>
    <cellStyle name="Normal 57 9" xfId="44303" xr:uid="{00000000-0005-0000-0000-000079990000}"/>
    <cellStyle name="Normal 57 9 2" xfId="16789" xr:uid="{00000000-0005-0000-0000-00007A990000}"/>
    <cellStyle name="Normal 57 9 2 2" xfId="44305" xr:uid="{00000000-0005-0000-0000-00007B990000}"/>
    <cellStyle name="Normal 57 9 2 2 2" xfId="44307" xr:uid="{00000000-0005-0000-0000-00007C990000}"/>
    <cellStyle name="Normal 57 9 2 3" xfId="36376" xr:uid="{00000000-0005-0000-0000-00007D990000}"/>
    <cellStyle name="Normal 57 9 3" xfId="17313" xr:uid="{00000000-0005-0000-0000-00007E990000}"/>
    <cellStyle name="Normal 57 9 3 2" xfId="31471" xr:uid="{00000000-0005-0000-0000-00007F990000}"/>
    <cellStyle name="Normal 57 9 4" xfId="44309" xr:uid="{00000000-0005-0000-0000-000080990000}"/>
    <cellStyle name="Normal 58" xfId="44311" xr:uid="{00000000-0005-0000-0000-000081990000}"/>
    <cellStyle name="Normal 58 10" xfId="44313" xr:uid="{00000000-0005-0000-0000-000082990000}"/>
    <cellStyle name="Normal 58 10 2" xfId="44315" xr:uid="{00000000-0005-0000-0000-000083990000}"/>
    <cellStyle name="Normal 58 10 2 2" xfId="44317" xr:uid="{00000000-0005-0000-0000-000084990000}"/>
    <cellStyle name="Normal 58 10 3" xfId="44319" xr:uid="{00000000-0005-0000-0000-000085990000}"/>
    <cellStyle name="Normal 58 11" xfId="31670" xr:uid="{00000000-0005-0000-0000-000086990000}"/>
    <cellStyle name="Normal 58 11 2" xfId="25495" xr:uid="{00000000-0005-0000-0000-000087990000}"/>
    <cellStyle name="Normal 58 11 2 2" xfId="26529" xr:uid="{00000000-0005-0000-0000-000088990000}"/>
    <cellStyle name="Normal 58 11 3" xfId="31680" xr:uid="{00000000-0005-0000-0000-000089990000}"/>
    <cellStyle name="Normal 58 12" xfId="31714" xr:uid="{00000000-0005-0000-0000-00008A990000}"/>
    <cellStyle name="Normal 58 12 2" xfId="11718" xr:uid="{00000000-0005-0000-0000-00008B990000}"/>
    <cellStyle name="Normal 58 13" xfId="31731" xr:uid="{00000000-0005-0000-0000-00008C990000}"/>
    <cellStyle name="Normal 58 13 2" xfId="31735" xr:uid="{00000000-0005-0000-0000-00008D990000}"/>
    <cellStyle name="Normal 58 14" xfId="17085" xr:uid="{00000000-0005-0000-0000-00008E990000}"/>
    <cellStyle name="Normal 58 14 2" xfId="15817" xr:uid="{00000000-0005-0000-0000-00008F990000}"/>
    <cellStyle name="Normal 58 15" xfId="17090" xr:uid="{00000000-0005-0000-0000-000090990000}"/>
    <cellStyle name="Normal 58 16" xfId="2867" xr:uid="{00000000-0005-0000-0000-000091990000}"/>
    <cellStyle name="Normal 58 2" xfId="44321" xr:uid="{00000000-0005-0000-0000-000092990000}"/>
    <cellStyle name="Normal 58 2 10" xfId="44323" xr:uid="{00000000-0005-0000-0000-000093990000}"/>
    <cellStyle name="Normal 58 2 10 2" xfId="44325" xr:uid="{00000000-0005-0000-0000-000094990000}"/>
    <cellStyle name="Normal 58 2 11" xfId="44327" xr:uid="{00000000-0005-0000-0000-000095990000}"/>
    <cellStyle name="Normal 58 2 11 2" xfId="44329" xr:uid="{00000000-0005-0000-0000-000096990000}"/>
    <cellStyle name="Normal 58 2 12" xfId="44331" xr:uid="{00000000-0005-0000-0000-000097990000}"/>
    <cellStyle name="Normal 58 2 12 2" xfId="44333" xr:uid="{00000000-0005-0000-0000-000098990000}"/>
    <cellStyle name="Normal 58 2 13" xfId="17185" xr:uid="{00000000-0005-0000-0000-000099990000}"/>
    <cellStyle name="Normal 58 2 14" xfId="30968" xr:uid="{00000000-0005-0000-0000-00009A990000}"/>
    <cellStyle name="Normal 58 2 2" xfId="44335" xr:uid="{00000000-0005-0000-0000-00009B990000}"/>
    <cellStyle name="Normal 58 2 2 10" xfId="17170" xr:uid="{00000000-0005-0000-0000-00009C990000}"/>
    <cellStyle name="Normal 58 2 2 2" xfId="44337" xr:uid="{00000000-0005-0000-0000-00009D990000}"/>
    <cellStyle name="Normal 58 2 2 2 2" xfId="44339" xr:uid="{00000000-0005-0000-0000-00009E990000}"/>
    <cellStyle name="Normal 58 2 2 2 2 2" xfId="44341" xr:uid="{00000000-0005-0000-0000-00009F990000}"/>
    <cellStyle name="Normal 58 2 2 2 2 2 2" xfId="44343" xr:uid="{00000000-0005-0000-0000-0000A0990000}"/>
    <cellStyle name="Normal 58 2 2 2 2 2 2 2" xfId="27035" xr:uid="{00000000-0005-0000-0000-0000A1990000}"/>
    <cellStyle name="Normal 58 2 2 2 2 2 2 2 2" xfId="25861" xr:uid="{00000000-0005-0000-0000-0000A2990000}"/>
    <cellStyle name="Normal 58 2 2 2 2 2 2 3" xfId="27039" xr:uid="{00000000-0005-0000-0000-0000A3990000}"/>
    <cellStyle name="Normal 58 2 2 2 2 2 3" xfId="44345" xr:uid="{00000000-0005-0000-0000-0000A4990000}"/>
    <cellStyle name="Normal 58 2 2 2 2 2 3 2" xfId="25932" xr:uid="{00000000-0005-0000-0000-0000A5990000}"/>
    <cellStyle name="Normal 58 2 2 2 2 2 4" xfId="5113" xr:uid="{00000000-0005-0000-0000-0000A6990000}"/>
    <cellStyle name="Normal 58 2 2 2 2 3" xfId="44347" xr:uid="{00000000-0005-0000-0000-0000A7990000}"/>
    <cellStyle name="Normal 58 2 2 2 2 3 2" xfId="44349" xr:uid="{00000000-0005-0000-0000-0000A8990000}"/>
    <cellStyle name="Normal 58 2 2 2 2 3 2 2" xfId="24476" xr:uid="{00000000-0005-0000-0000-0000A9990000}"/>
    <cellStyle name="Normal 58 2 2 2 2 3 3" xfId="44351" xr:uid="{00000000-0005-0000-0000-0000AA990000}"/>
    <cellStyle name="Normal 58 2 2 2 2 4" xfId="44353" xr:uid="{00000000-0005-0000-0000-0000AB990000}"/>
    <cellStyle name="Normal 58 2 2 2 2 4 2" xfId="30614" xr:uid="{00000000-0005-0000-0000-0000AC990000}"/>
    <cellStyle name="Normal 58 2 2 2 2 4 2 2" xfId="27346" xr:uid="{00000000-0005-0000-0000-0000AD990000}"/>
    <cellStyle name="Normal 58 2 2 2 2 4 3" xfId="30630" xr:uid="{00000000-0005-0000-0000-0000AE990000}"/>
    <cellStyle name="Normal 58 2 2 2 2 5" xfId="44355" xr:uid="{00000000-0005-0000-0000-0000AF990000}"/>
    <cellStyle name="Normal 58 2 2 2 2 5 2" xfId="30723" xr:uid="{00000000-0005-0000-0000-0000B0990000}"/>
    <cellStyle name="Normal 58 2 2 2 2 6" xfId="44357" xr:uid="{00000000-0005-0000-0000-0000B1990000}"/>
    <cellStyle name="Normal 58 2 2 2 2 6 2" xfId="30796" xr:uid="{00000000-0005-0000-0000-0000B2990000}"/>
    <cellStyle name="Normal 58 2 2 2 2 7" xfId="13605" xr:uid="{00000000-0005-0000-0000-0000B3990000}"/>
    <cellStyle name="Normal 58 2 2 2 2 8" xfId="10541" xr:uid="{00000000-0005-0000-0000-0000B4990000}"/>
    <cellStyle name="Normal 58 2 2 2 3" xfId="44359" xr:uid="{00000000-0005-0000-0000-0000B5990000}"/>
    <cellStyle name="Normal 58 2 2 2 3 2" xfId="44361" xr:uid="{00000000-0005-0000-0000-0000B6990000}"/>
    <cellStyle name="Normal 58 2 2 2 3 2 2" xfId="44363" xr:uid="{00000000-0005-0000-0000-0000B7990000}"/>
    <cellStyle name="Normal 58 2 2 2 3 2 2 2" xfId="28644" xr:uid="{00000000-0005-0000-0000-0000B8990000}"/>
    <cellStyle name="Normal 58 2 2 2 3 2 3" xfId="24578" xr:uid="{00000000-0005-0000-0000-0000B9990000}"/>
    <cellStyle name="Normal 58 2 2 2 3 3" xfId="44365" xr:uid="{00000000-0005-0000-0000-0000BA990000}"/>
    <cellStyle name="Normal 58 2 2 2 3 3 2" xfId="44367" xr:uid="{00000000-0005-0000-0000-0000BB990000}"/>
    <cellStyle name="Normal 58 2 2 2 3 4" xfId="44369" xr:uid="{00000000-0005-0000-0000-0000BC990000}"/>
    <cellStyle name="Normal 58 2 2 2 4" xfId="44371" xr:uid="{00000000-0005-0000-0000-0000BD990000}"/>
    <cellStyle name="Normal 58 2 2 2 4 2" xfId="44373" xr:uid="{00000000-0005-0000-0000-0000BE990000}"/>
    <cellStyle name="Normal 58 2 2 2 4 2 2" xfId="5172" xr:uid="{00000000-0005-0000-0000-0000BF990000}"/>
    <cellStyle name="Normal 58 2 2 2 4 3" xfId="44375" xr:uid="{00000000-0005-0000-0000-0000C0990000}"/>
    <cellStyle name="Normal 58 2 2 2 5" xfId="44377" xr:uid="{00000000-0005-0000-0000-0000C1990000}"/>
    <cellStyle name="Normal 58 2 2 2 5 2" xfId="44379" xr:uid="{00000000-0005-0000-0000-0000C2990000}"/>
    <cellStyle name="Normal 58 2 2 2 5 2 2" xfId="25627" xr:uid="{00000000-0005-0000-0000-0000C3990000}"/>
    <cellStyle name="Normal 58 2 2 2 5 3" xfId="44381" xr:uid="{00000000-0005-0000-0000-0000C4990000}"/>
    <cellStyle name="Normal 58 2 2 2 6" xfId="44383" xr:uid="{00000000-0005-0000-0000-0000C5990000}"/>
    <cellStyle name="Normal 58 2 2 2 6 2" xfId="44385" xr:uid="{00000000-0005-0000-0000-0000C6990000}"/>
    <cellStyle name="Normal 58 2 2 2 7" xfId="44387" xr:uid="{00000000-0005-0000-0000-0000C7990000}"/>
    <cellStyle name="Normal 58 2 2 2 7 2" xfId="44389" xr:uid="{00000000-0005-0000-0000-0000C8990000}"/>
    <cellStyle name="Normal 58 2 2 2 8" xfId="43398" xr:uid="{00000000-0005-0000-0000-0000C9990000}"/>
    <cellStyle name="Normal 58 2 2 2 9" xfId="30441" xr:uid="{00000000-0005-0000-0000-0000CA990000}"/>
    <cellStyle name="Normal 58 2 2 3" xfId="44391" xr:uid="{00000000-0005-0000-0000-0000CB990000}"/>
    <cellStyle name="Normal 58 2 2 3 2" xfId="25349" xr:uid="{00000000-0005-0000-0000-0000CC990000}"/>
    <cellStyle name="Normal 58 2 2 3 2 2" xfId="28692" xr:uid="{00000000-0005-0000-0000-0000CD990000}"/>
    <cellStyle name="Normal 58 2 2 3 2 2 2" xfId="44393" xr:uid="{00000000-0005-0000-0000-0000CE990000}"/>
    <cellStyle name="Normal 58 2 2 3 2 2 2 2" xfId="44395" xr:uid="{00000000-0005-0000-0000-0000CF990000}"/>
    <cellStyle name="Normal 58 2 2 3 2 2 3" xfId="44397" xr:uid="{00000000-0005-0000-0000-0000D0990000}"/>
    <cellStyle name="Normal 58 2 2 3 2 3" xfId="44399" xr:uid="{00000000-0005-0000-0000-0000D1990000}"/>
    <cellStyle name="Normal 58 2 2 3 2 3 2" xfId="44401" xr:uid="{00000000-0005-0000-0000-0000D2990000}"/>
    <cellStyle name="Normal 58 2 2 3 2 4" xfId="44403" xr:uid="{00000000-0005-0000-0000-0000D3990000}"/>
    <cellStyle name="Normal 58 2 2 3 3" xfId="28696" xr:uid="{00000000-0005-0000-0000-0000D4990000}"/>
    <cellStyle name="Normal 58 2 2 3 3 2" xfId="28700" xr:uid="{00000000-0005-0000-0000-0000D5990000}"/>
    <cellStyle name="Normal 58 2 2 3 3 2 2" xfId="43565" xr:uid="{00000000-0005-0000-0000-0000D6990000}"/>
    <cellStyle name="Normal 58 2 2 3 3 3" xfId="44405" xr:uid="{00000000-0005-0000-0000-0000D7990000}"/>
    <cellStyle name="Normal 58 2 2 3 4" xfId="28704" xr:uid="{00000000-0005-0000-0000-0000D8990000}"/>
    <cellStyle name="Normal 58 2 2 3 4 2" xfId="44407" xr:uid="{00000000-0005-0000-0000-0000D9990000}"/>
    <cellStyle name="Normal 58 2 2 3 4 2 2" xfId="44409" xr:uid="{00000000-0005-0000-0000-0000DA990000}"/>
    <cellStyle name="Normal 58 2 2 3 4 3" xfId="44411" xr:uid="{00000000-0005-0000-0000-0000DB990000}"/>
    <cellStyle name="Normal 58 2 2 3 5" xfId="8382" xr:uid="{00000000-0005-0000-0000-0000DC990000}"/>
    <cellStyle name="Normal 58 2 2 3 5 2" xfId="44413" xr:uid="{00000000-0005-0000-0000-0000DD990000}"/>
    <cellStyle name="Normal 58 2 2 3 6" xfId="44415" xr:uid="{00000000-0005-0000-0000-0000DE990000}"/>
    <cellStyle name="Normal 58 2 2 3 6 2" xfId="44417" xr:uid="{00000000-0005-0000-0000-0000DF990000}"/>
    <cellStyle name="Normal 58 2 2 3 7" xfId="44419" xr:uid="{00000000-0005-0000-0000-0000E0990000}"/>
    <cellStyle name="Normal 58 2 2 3 8" xfId="43406" xr:uid="{00000000-0005-0000-0000-0000E1990000}"/>
    <cellStyle name="Normal 58 2 2 4" xfId="6956" xr:uid="{00000000-0005-0000-0000-0000E2990000}"/>
    <cellStyle name="Normal 58 2 2 4 2" xfId="6963" xr:uid="{00000000-0005-0000-0000-0000E3990000}"/>
    <cellStyle name="Normal 58 2 2 4 2 2" xfId="4048" xr:uid="{00000000-0005-0000-0000-0000E4990000}"/>
    <cellStyle name="Normal 58 2 2 4 2 2 2" xfId="4060" xr:uid="{00000000-0005-0000-0000-0000E5990000}"/>
    <cellStyle name="Normal 58 2 2 4 2 3" xfId="2969" xr:uid="{00000000-0005-0000-0000-0000E6990000}"/>
    <cellStyle name="Normal 58 2 2 4 3" xfId="6997" xr:uid="{00000000-0005-0000-0000-0000E7990000}"/>
    <cellStyle name="Normal 58 2 2 4 3 2" xfId="7003" xr:uid="{00000000-0005-0000-0000-0000E8990000}"/>
    <cellStyle name="Normal 58 2 2 4 4" xfId="7030" xr:uid="{00000000-0005-0000-0000-0000E9990000}"/>
    <cellStyle name="Normal 58 2 2 5" xfId="7045" xr:uid="{00000000-0005-0000-0000-0000EA990000}"/>
    <cellStyle name="Normal 58 2 2 5 2" xfId="7055" xr:uid="{00000000-0005-0000-0000-0000EB990000}"/>
    <cellStyle name="Normal 58 2 2 5 2 2" xfId="7062" xr:uid="{00000000-0005-0000-0000-0000EC990000}"/>
    <cellStyle name="Normal 58 2 2 5 3" xfId="7077" xr:uid="{00000000-0005-0000-0000-0000ED990000}"/>
    <cellStyle name="Normal 58 2 2 6" xfId="7100" xr:uid="{00000000-0005-0000-0000-0000EE990000}"/>
    <cellStyle name="Normal 58 2 2 6 2" xfId="7105" xr:uid="{00000000-0005-0000-0000-0000EF990000}"/>
    <cellStyle name="Normal 58 2 2 6 2 2" xfId="6569" xr:uid="{00000000-0005-0000-0000-0000F0990000}"/>
    <cellStyle name="Normal 58 2 2 6 3" xfId="7113" xr:uid="{00000000-0005-0000-0000-0000F1990000}"/>
    <cellStyle name="Normal 58 2 2 7" xfId="7121" xr:uid="{00000000-0005-0000-0000-0000F2990000}"/>
    <cellStyle name="Normal 58 2 2 7 2" xfId="7134" xr:uid="{00000000-0005-0000-0000-0000F3990000}"/>
    <cellStyle name="Normal 58 2 2 8" xfId="7151" xr:uid="{00000000-0005-0000-0000-0000F4990000}"/>
    <cellStyle name="Normal 58 2 2 8 2" xfId="7162" xr:uid="{00000000-0005-0000-0000-0000F5990000}"/>
    <cellStyle name="Normal 58 2 2 9" xfId="110" xr:uid="{00000000-0005-0000-0000-0000F6990000}"/>
    <cellStyle name="Normal 58 2 3" xfId="44421" xr:uid="{00000000-0005-0000-0000-0000F7990000}"/>
    <cellStyle name="Normal 58 2 3 2" xfId="44423" xr:uid="{00000000-0005-0000-0000-0000F8990000}"/>
    <cellStyle name="Normal 58 2 3 2 2" xfId="44425" xr:uid="{00000000-0005-0000-0000-0000F9990000}"/>
    <cellStyle name="Normal 58 2 3 2 2 2" xfId="44427" xr:uid="{00000000-0005-0000-0000-0000FA990000}"/>
    <cellStyle name="Normal 58 2 3 2 2 2 2" xfId="44429" xr:uid="{00000000-0005-0000-0000-0000FB990000}"/>
    <cellStyle name="Normal 58 2 3 2 2 2 2 2" xfId="44431" xr:uid="{00000000-0005-0000-0000-0000FC990000}"/>
    <cellStyle name="Normal 58 2 3 2 2 2 3" xfId="44433" xr:uid="{00000000-0005-0000-0000-0000FD990000}"/>
    <cellStyle name="Normal 58 2 3 2 2 3" xfId="44435" xr:uid="{00000000-0005-0000-0000-0000FE990000}"/>
    <cellStyle name="Normal 58 2 3 2 2 3 2" xfId="44437" xr:uid="{00000000-0005-0000-0000-0000FF990000}"/>
    <cellStyle name="Normal 58 2 3 2 2 4" xfId="44439" xr:uid="{00000000-0005-0000-0000-0000009A0000}"/>
    <cellStyle name="Normal 58 2 3 2 2 5" xfId="44441" xr:uid="{00000000-0005-0000-0000-0000019A0000}"/>
    <cellStyle name="Normal 58 2 3 2 3" xfId="44443" xr:uid="{00000000-0005-0000-0000-0000029A0000}"/>
    <cellStyle name="Normal 58 2 3 2 3 2" xfId="44445" xr:uid="{00000000-0005-0000-0000-0000039A0000}"/>
    <cellStyle name="Normal 58 2 3 2 3 2 2" xfId="44447" xr:uid="{00000000-0005-0000-0000-0000049A0000}"/>
    <cellStyle name="Normal 58 2 3 2 3 3" xfId="44449" xr:uid="{00000000-0005-0000-0000-0000059A0000}"/>
    <cellStyle name="Normal 58 2 3 2 4" xfId="44451" xr:uid="{00000000-0005-0000-0000-0000069A0000}"/>
    <cellStyle name="Normal 58 2 3 2 4 2" xfId="44453" xr:uid="{00000000-0005-0000-0000-0000079A0000}"/>
    <cellStyle name="Normal 58 2 3 2 4 2 2" xfId="10394" xr:uid="{00000000-0005-0000-0000-0000089A0000}"/>
    <cellStyle name="Normal 58 2 3 2 4 3" xfId="44455" xr:uid="{00000000-0005-0000-0000-0000099A0000}"/>
    <cellStyle name="Normal 58 2 3 2 5" xfId="44457" xr:uid="{00000000-0005-0000-0000-00000A9A0000}"/>
    <cellStyle name="Normal 58 2 3 2 5 2" xfId="44459" xr:uid="{00000000-0005-0000-0000-00000B9A0000}"/>
    <cellStyle name="Normal 58 2 3 2 6" xfId="44461" xr:uid="{00000000-0005-0000-0000-00000C9A0000}"/>
    <cellStyle name="Normal 58 2 3 2 6 2" xfId="44463" xr:uid="{00000000-0005-0000-0000-00000D9A0000}"/>
    <cellStyle name="Normal 58 2 3 2 7" xfId="44465" xr:uid="{00000000-0005-0000-0000-00000E9A0000}"/>
    <cellStyle name="Normal 58 2 3 2 8" xfId="43416" xr:uid="{00000000-0005-0000-0000-00000F9A0000}"/>
    <cellStyle name="Normal 58 2 3 3" xfId="44467" xr:uid="{00000000-0005-0000-0000-0000109A0000}"/>
    <cellStyle name="Normal 58 2 3 3 2" xfId="28771" xr:uid="{00000000-0005-0000-0000-0000119A0000}"/>
    <cellStyle name="Normal 58 2 3 3 2 2" xfId="28775" xr:uid="{00000000-0005-0000-0000-0000129A0000}"/>
    <cellStyle name="Normal 58 2 3 3 2 2 2" xfId="44469" xr:uid="{00000000-0005-0000-0000-0000139A0000}"/>
    <cellStyle name="Normal 58 2 3 3 2 3" xfId="44471" xr:uid="{00000000-0005-0000-0000-0000149A0000}"/>
    <cellStyle name="Normal 58 2 3 3 3" xfId="28779" xr:uid="{00000000-0005-0000-0000-0000159A0000}"/>
    <cellStyle name="Normal 58 2 3 3 3 2" xfId="28783" xr:uid="{00000000-0005-0000-0000-0000169A0000}"/>
    <cellStyle name="Normal 58 2 3 3 4" xfId="28787" xr:uid="{00000000-0005-0000-0000-0000179A0000}"/>
    <cellStyle name="Normal 58 2 3 3 5" xfId="12672" xr:uid="{00000000-0005-0000-0000-0000189A0000}"/>
    <cellStyle name="Normal 58 2 3 4" xfId="7175" xr:uid="{00000000-0005-0000-0000-0000199A0000}"/>
    <cellStyle name="Normal 58 2 3 4 2" xfId="7180" xr:uid="{00000000-0005-0000-0000-00001A9A0000}"/>
    <cellStyle name="Normal 58 2 3 4 2 2" xfId="4581" xr:uid="{00000000-0005-0000-0000-00001B9A0000}"/>
    <cellStyle name="Normal 58 2 3 4 3" xfId="7226" xr:uid="{00000000-0005-0000-0000-00001C9A0000}"/>
    <cellStyle name="Normal 58 2 3 5" xfId="7270" xr:uid="{00000000-0005-0000-0000-00001D9A0000}"/>
    <cellStyle name="Normal 58 2 3 5 2" xfId="7276" xr:uid="{00000000-0005-0000-0000-00001E9A0000}"/>
    <cellStyle name="Normal 58 2 3 5 2 2" xfId="7286" xr:uid="{00000000-0005-0000-0000-00001F9A0000}"/>
    <cellStyle name="Normal 58 2 3 5 3" xfId="3077" xr:uid="{00000000-0005-0000-0000-0000209A0000}"/>
    <cellStyle name="Normal 58 2 3 6" xfId="7297" xr:uid="{00000000-0005-0000-0000-0000219A0000}"/>
    <cellStyle name="Normal 58 2 3 6 2" xfId="7303" xr:uid="{00000000-0005-0000-0000-0000229A0000}"/>
    <cellStyle name="Normal 58 2 3 7" xfId="2834" xr:uid="{00000000-0005-0000-0000-0000239A0000}"/>
    <cellStyle name="Normal 58 2 3 7 2" xfId="40" xr:uid="{00000000-0005-0000-0000-0000249A0000}"/>
    <cellStyle name="Normal 58 2 3 8" xfId="7339" xr:uid="{00000000-0005-0000-0000-0000259A0000}"/>
    <cellStyle name="Normal 58 2 3 9" xfId="4864" xr:uid="{00000000-0005-0000-0000-0000269A0000}"/>
    <cellStyle name="Normal 58 2 4" xfId="44473" xr:uid="{00000000-0005-0000-0000-0000279A0000}"/>
    <cellStyle name="Normal 58 2 4 2" xfId="44475" xr:uid="{00000000-0005-0000-0000-0000289A0000}"/>
    <cellStyle name="Normal 58 2 4 2 2" xfId="44477" xr:uid="{00000000-0005-0000-0000-0000299A0000}"/>
    <cellStyle name="Normal 58 2 4 2 2 2" xfId="44479" xr:uid="{00000000-0005-0000-0000-00002A9A0000}"/>
    <cellStyle name="Normal 58 2 4 2 2 2 2" xfId="44481" xr:uid="{00000000-0005-0000-0000-00002B9A0000}"/>
    <cellStyle name="Normal 58 2 4 2 2 2 2 2" xfId="44483" xr:uid="{00000000-0005-0000-0000-00002C9A0000}"/>
    <cellStyle name="Normal 58 2 4 2 2 2 3" xfId="44485" xr:uid="{00000000-0005-0000-0000-00002D9A0000}"/>
    <cellStyle name="Normal 58 2 4 2 2 3" xfId="44487" xr:uid="{00000000-0005-0000-0000-00002E9A0000}"/>
    <cellStyle name="Normal 58 2 4 2 2 3 2" xfId="44489" xr:uid="{00000000-0005-0000-0000-00002F9A0000}"/>
    <cellStyle name="Normal 58 2 4 2 2 4" xfId="44491" xr:uid="{00000000-0005-0000-0000-0000309A0000}"/>
    <cellStyle name="Normal 58 2 4 2 3" xfId="44493" xr:uid="{00000000-0005-0000-0000-0000319A0000}"/>
    <cellStyle name="Normal 58 2 4 2 3 2" xfId="44495" xr:uid="{00000000-0005-0000-0000-0000329A0000}"/>
    <cellStyle name="Normal 58 2 4 2 3 2 2" xfId="44497" xr:uid="{00000000-0005-0000-0000-0000339A0000}"/>
    <cellStyle name="Normal 58 2 4 2 3 3" xfId="44499" xr:uid="{00000000-0005-0000-0000-0000349A0000}"/>
    <cellStyle name="Normal 58 2 4 2 4" xfId="44501" xr:uid="{00000000-0005-0000-0000-0000359A0000}"/>
    <cellStyle name="Normal 58 2 4 2 4 2" xfId="44503" xr:uid="{00000000-0005-0000-0000-0000369A0000}"/>
    <cellStyle name="Normal 58 2 4 2 4 2 2" xfId="2813" xr:uid="{00000000-0005-0000-0000-0000379A0000}"/>
    <cellStyle name="Normal 58 2 4 2 4 3" xfId="44505" xr:uid="{00000000-0005-0000-0000-0000389A0000}"/>
    <cellStyle name="Normal 58 2 4 2 5" xfId="44507" xr:uid="{00000000-0005-0000-0000-0000399A0000}"/>
    <cellStyle name="Normal 58 2 4 2 5 2" xfId="44509" xr:uid="{00000000-0005-0000-0000-00003A9A0000}"/>
    <cellStyle name="Normal 58 2 4 2 6" xfId="32100" xr:uid="{00000000-0005-0000-0000-00003B9A0000}"/>
    <cellStyle name="Normal 58 2 4 2 6 2" xfId="44511" xr:uid="{00000000-0005-0000-0000-00003C9A0000}"/>
    <cellStyle name="Normal 58 2 4 2 7" xfId="33723" xr:uid="{00000000-0005-0000-0000-00003D9A0000}"/>
    <cellStyle name="Normal 58 2 4 2 8" xfId="37088" xr:uid="{00000000-0005-0000-0000-00003E9A0000}"/>
    <cellStyle name="Normal 58 2 4 3" xfId="44513" xr:uid="{00000000-0005-0000-0000-00003F9A0000}"/>
    <cellStyle name="Normal 58 2 4 3 2" xfId="28115" xr:uid="{00000000-0005-0000-0000-0000409A0000}"/>
    <cellStyle name="Normal 58 2 4 3 2 2" xfId="28861" xr:uid="{00000000-0005-0000-0000-0000419A0000}"/>
    <cellStyle name="Normal 58 2 4 3 2 2 2" xfId="44515" xr:uid="{00000000-0005-0000-0000-0000429A0000}"/>
    <cellStyle name="Normal 58 2 4 3 2 3" xfId="44517" xr:uid="{00000000-0005-0000-0000-0000439A0000}"/>
    <cellStyle name="Normal 58 2 4 3 3" xfId="28865" xr:uid="{00000000-0005-0000-0000-0000449A0000}"/>
    <cellStyle name="Normal 58 2 4 3 3 2" xfId="28869" xr:uid="{00000000-0005-0000-0000-0000459A0000}"/>
    <cellStyle name="Normal 58 2 4 3 4" xfId="28873" xr:uid="{00000000-0005-0000-0000-0000469A0000}"/>
    <cellStyle name="Normal 58 2 4 4" xfId="7383" xr:uid="{00000000-0005-0000-0000-0000479A0000}"/>
    <cellStyle name="Normal 58 2 4 4 2" xfId="7388" xr:uid="{00000000-0005-0000-0000-0000489A0000}"/>
    <cellStyle name="Normal 58 2 4 4 2 2" xfId="5975" xr:uid="{00000000-0005-0000-0000-0000499A0000}"/>
    <cellStyle name="Normal 58 2 4 4 3" xfId="7396" xr:uid="{00000000-0005-0000-0000-00004A9A0000}"/>
    <cellStyle name="Normal 58 2 4 5" xfId="7420" xr:uid="{00000000-0005-0000-0000-00004B9A0000}"/>
    <cellStyle name="Normal 58 2 4 5 2" xfId="7425" xr:uid="{00000000-0005-0000-0000-00004C9A0000}"/>
    <cellStyle name="Normal 58 2 4 5 2 2" xfId="7433" xr:uid="{00000000-0005-0000-0000-00004D9A0000}"/>
    <cellStyle name="Normal 58 2 4 5 3" xfId="5354" xr:uid="{00000000-0005-0000-0000-00004E9A0000}"/>
    <cellStyle name="Normal 58 2 4 6" xfId="7437" xr:uid="{00000000-0005-0000-0000-00004F9A0000}"/>
    <cellStyle name="Normal 58 2 4 6 2" xfId="7441" xr:uid="{00000000-0005-0000-0000-0000509A0000}"/>
    <cellStyle name="Normal 58 2 4 7" xfId="4998" xr:uid="{00000000-0005-0000-0000-0000519A0000}"/>
    <cellStyle name="Normal 58 2 4 7 2" xfId="7464" xr:uid="{00000000-0005-0000-0000-0000529A0000}"/>
    <cellStyle name="Normal 58 2 4 8" xfId="7469" xr:uid="{00000000-0005-0000-0000-0000539A0000}"/>
    <cellStyle name="Normal 58 2 4 9" xfId="7189" xr:uid="{00000000-0005-0000-0000-0000549A0000}"/>
    <cellStyle name="Normal 58 2 5" xfId="44519" xr:uid="{00000000-0005-0000-0000-0000559A0000}"/>
    <cellStyle name="Normal 58 2 5 2" xfId="44521" xr:uid="{00000000-0005-0000-0000-0000569A0000}"/>
    <cellStyle name="Normal 58 2 5 2 2" xfId="44523" xr:uid="{00000000-0005-0000-0000-0000579A0000}"/>
    <cellStyle name="Normal 58 2 5 2 2 2" xfId="44525" xr:uid="{00000000-0005-0000-0000-0000589A0000}"/>
    <cellStyle name="Normal 58 2 5 2 2 2 2" xfId="24365" xr:uid="{00000000-0005-0000-0000-0000599A0000}"/>
    <cellStyle name="Normal 58 2 5 2 2 2 2 2" xfId="44527" xr:uid="{00000000-0005-0000-0000-00005A9A0000}"/>
    <cellStyle name="Normal 58 2 5 2 2 2 3" xfId="44529" xr:uid="{00000000-0005-0000-0000-00005B9A0000}"/>
    <cellStyle name="Normal 58 2 5 2 2 3" xfId="44531" xr:uid="{00000000-0005-0000-0000-00005C9A0000}"/>
    <cellStyle name="Normal 58 2 5 2 2 3 2" xfId="44533" xr:uid="{00000000-0005-0000-0000-00005D9A0000}"/>
    <cellStyle name="Normal 58 2 5 2 2 4" xfId="44535" xr:uid="{00000000-0005-0000-0000-00005E9A0000}"/>
    <cellStyle name="Normal 58 2 5 2 3" xfId="44537" xr:uid="{00000000-0005-0000-0000-00005F9A0000}"/>
    <cellStyle name="Normal 58 2 5 2 3 2" xfId="44539" xr:uid="{00000000-0005-0000-0000-0000609A0000}"/>
    <cellStyle name="Normal 58 2 5 2 3 2 2" xfId="40646" xr:uid="{00000000-0005-0000-0000-0000619A0000}"/>
    <cellStyle name="Normal 58 2 5 2 3 3" xfId="44541" xr:uid="{00000000-0005-0000-0000-0000629A0000}"/>
    <cellStyle name="Normal 58 2 5 2 4" xfId="44543" xr:uid="{00000000-0005-0000-0000-0000639A0000}"/>
    <cellStyle name="Normal 58 2 5 2 4 2" xfId="33553" xr:uid="{00000000-0005-0000-0000-0000649A0000}"/>
    <cellStyle name="Normal 58 2 5 2 4 2 2" xfId="11762" xr:uid="{00000000-0005-0000-0000-0000659A0000}"/>
    <cellStyle name="Normal 58 2 5 2 4 3" xfId="44545" xr:uid="{00000000-0005-0000-0000-0000669A0000}"/>
    <cellStyle name="Normal 58 2 5 2 5" xfId="44547" xr:uid="{00000000-0005-0000-0000-0000679A0000}"/>
    <cellStyle name="Normal 58 2 5 2 5 2" xfId="44549" xr:uid="{00000000-0005-0000-0000-0000689A0000}"/>
    <cellStyle name="Normal 58 2 5 2 6" xfId="44551" xr:uid="{00000000-0005-0000-0000-0000699A0000}"/>
    <cellStyle name="Normal 58 2 5 2 6 2" xfId="44553" xr:uid="{00000000-0005-0000-0000-00006A9A0000}"/>
    <cellStyle name="Normal 58 2 5 2 7" xfId="37097" xr:uid="{00000000-0005-0000-0000-00006B9A0000}"/>
    <cellStyle name="Normal 58 2 5 2 8" xfId="44555" xr:uid="{00000000-0005-0000-0000-00006C9A0000}"/>
    <cellStyle name="Normal 58 2 5 3" xfId="44557" xr:uid="{00000000-0005-0000-0000-00006D9A0000}"/>
    <cellStyle name="Normal 58 2 5 3 2" xfId="28919" xr:uid="{00000000-0005-0000-0000-00006E9A0000}"/>
    <cellStyle name="Normal 58 2 5 3 2 2" xfId="44559" xr:uid="{00000000-0005-0000-0000-00006F9A0000}"/>
    <cellStyle name="Normal 58 2 5 3 2 2 2" xfId="44561" xr:uid="{00000000-0005-0000-0000-0000709A0000}"/>
    <cellStyle name="Normal 58 2 5 3 2 3" xfId="44563" xr:uid="{00000000-0005-0000-0000-0000719A0000}"/>
    <cellStyle name="Normal 58 2 5 3 3" xfId="44565" xr:uid="{00000000-0005-0000-0000-0000729A0000}"/>
    <cellStyle name="Normal 58 2 5 3 3 2" xfId="11638" xr:uid="{00000000-0005-0000-0000-0000739A0000}"/>
    <cellStyle name="Normal 58 2 5 3 4" xfId="44567" xr:uid="{00000000-0005-0000-0000-0000749A0000}"/>
    <cellStyle name="Normal 58 2 5 4" xfId="7498" xr:uid="{00000000-0005-0000-0000-0000759A0000}"/>
    <cellStyle name="Normal 58 2 5 4 2" xfId="7503" xr:uid="{00000000-0005-0000-0000-0000769A0000}"/>
    <cellStyle name="Normal 58 2 5 4 2 2" xfId="2250" xr:uid="{00000000-0005-0000-0000-0000779A0000}"/>
    <cellStyle name="Normal 58 2 5 4 3" xfId="7510" xr:uid="{00000000-0005-0000-0000-0000789A0000}"/>
    <cellStyle name="Normal 58 2 5 5" xfId="7518" xr:uid="{00000000-0005-0000-0000-0000799A0000}"/>
    <cellStyle name="Normal 58 2 5 5 2" xfId="7532" xr:uid="{00000000-0005-0000-0000-00007A9A0000}"/>
    <cellStyle name="Normal 58 2 5 5 2 2" xfId="44569" xr:uid="{00000000-0005-0000-0000-00007B9A0000}"/>
    <cellStyle name="Normal 58 2 5 5 3" xfId="44571" xr:uid="{00000000-0005-0000-0000-00007C9A0000}"/>
    <cellStyle name="Normal 58 2 5 6" xfId="7537" xr:uid="{00000000-0005-0000-0000-00007D9A0000}"/>
    <cellStyle name="Normal 58 2 5 6 2" xfId="44573" xr:uid="{00000000-0005-0000-0000-00007E9A0000}"/>
    <cellStyle name="Normal 58 2 5 7" xfId="44575" xr:uid="{00000000-0005-0000-0000-00007F9A0000}"/>
    <cellStyle name="Normal 58 2 5 7 2" xfId="44577" xr:uid="{00000000-0005-0000-0000-0000809A0000}"/>
    <cellStyle name="Normal 58 2 5 8" xfId="44579" xr:uid="{00000000-0005-0000-0000-0000819A0000}"/>
    <cellStyle name="Normal 58 2 5 9" xfId="44581" xr:uid="{00000000-0005-0000-0000-0000829A0000}"/>
    <cellStyle name="Normal 58 2 6" xfId="44583" xr:uid="{00000000-0005-0000-0000-0000839A0000}"/>
    <cellStyle name="Normal 58 2 6 2" xfId="44585" xr:uid="{00000000-0005-0000-0000-0000849A0000}"/>
    <cellStyle name="Normal 58 2 6 2 2" xfId="44587" xr:uid="{00000000-0005-0000-0000-0000859A0000}"/>
    <cellStyle name="Normal 58 2 6 2 2 2" xfId="23238" xr:uid="{00000000-0005-0000-0000-0000869A0000}"/>
    <cellStyle name="Normal 58 2 6 2 2 2 2" xfId="23241" xr:uid="{00000000-0005-0000-0000-0000879A0000}"/>
    <cellStyle name="Normal 58 2 6 2 2 3" xfId="23253" xr:uid="{00000000-0005-0000-0000-0000889A0000}"/>
    <cellStyle name="Normal 58 2 6 2 3" xfId="44589" xr:uid="{00000000-0005-0000-0000-0000899A0000}"/>
    <cellStyle name="Normal 58 2 6 2 3 2" xfId="23264" xr:uid="{00000000-0005-0000-0000-00008A9A0000}"/>
    <cellStyle name="Normal 58 2 6 2 4" xfId="44591" xr:uid="{00000000-0005-0000-0000-00008B9A0000}"/>
    <cellStyle name="Normal 58 2 6 3" xfId="44593" xr:uid="{00000000-0005-0000-0000-00008C9A0000}"/>
    <cellStyle name="Normal 58 2 6 3 2" xfId="44595" xr:uid="{00000000-0005-0000-0000-00008D9A0000}"/>
    <cellStyle name="Normal 58 2 6 3 2 2" xfId="23292" xr:uid="{00000000-0005-0000-0000-00008E9A0000}"/>
    <cellStyle name="Normal 58 2 6 3 3" xfId="44597" xr:uid="{00000000-0005-0000-0000-00008F9A0000}"/>
    <cellStyle name="Normal 58 2 6 4" xfId="2054" xr:uid="{00000000-0005-0000-0000-0000909A0000}"/>
    <cellStyle name="Normal 58 2 6 4 2" xfId="3977" xr:uid="{00000000-0005-0000-0000-0000919A0000}"/>
    <cellStyle name="Normal 58 2 6 4 2 2" xfId="23314" xr:uid="{00000000-0005-0000-0000-0000929A0000}"/>
    <cellStyle name="Normal 58 2 6 4 3" xfId="44599" xr:uid="{00000000-0005-0000-0000-0000939A0000}"/>
    <cellStyle name="Normal 58 2 6 5" xfId="3986" xr:uid="{00000000-0005-0000-0000-0000949A0000}"/>
    <cellStyle name="Normal 58 2 6 5 2" xfId="44601" xr:uid="{00000000-0005-0000-0000-0000959A0000}"/>
    <cellStyle name="Normal 58 2 6 6" xfId="44603" xr:uid="{00000000-0005-0000-0000-0000969A0000}"/>
    <cellStyle name="Normal 58 2 6 6 2" xfId="44605" xr:uid="{00000000-0005-0000-0000-0000979A0000}"/>
    <cellStyle name="Normal 58 2 6 7" xfId="44607" xr:uid="{00000000-0005-0000-0000-0000989A0000}"/>
    <cellStyle name="Normal 58 2 6 8" xfId="44609" xr:uid="{00000000-0005-0000-0000-0000999A0000}"/>
    <cellStyle name="Normal 58 2 7" xfId="886" xr:uid="{00000000-0005-0000-0000-00009A9A0000}"/>
    <cellStyle name="Normal 58 2 7 2" xfId="906" xr:uid="{00000000-0005-0000-0000-00009B9A0000}"/>
    <cellStyle name="Normal 58 2 7 2 2" xfId="44611" xr:uid="{00000000-0005-0000-0000-00009C9A0000}"/>
    <cellStyle name="Normal 58 2 7 2 2 2" xfId="44613" xr:uid="{00000000-0005-0000-0000-00009D9A0000}"/>
    <cellStyle name="Normal 58 2 7 2 3" xfId="44615" xr:uid="{00000000-0005-0000-0000-00009E9A0000}"/>
    <cellStyle name="Normal 58 2 7 3" xfId="44617" xr:uid="{00000000-0005-0000-0000-00009F9A0000}"/>
    <cellStyle name="Normal 58 2 7 3 2" xfId="44619" xr:uid="{00000000-0005-0000-0000-0000A09A0000}"/>
    <cellStyle name="Normal 58 2 7 4" xfId="191" xr:uid="{00000000-0005-0000-0000-0000A19A0000}"/>
    <cellStyle name="Normal 58 2 8" xfId="922" xr:uid="{00000000-0005-0000-0000-0000A29A0000}"/>
    <cellStyle name="Normal 58 2 8 2" xfId="30357" xr:uid="{00000000-0005-0000-0000-0000A39A0000}"/>
    <cellStyle name="Normal 58 2 8 2 2" xfId="44621" xr:uid="{00000000-0005-0000-0000-0000A49A0000}"/>
    <cellStyle name="Normal 58 2 8 3" xfId="44623" xr:uid="{00000000-0005-0000-0000-0000A59A0000}"/>
    <cellStyle name="Normal 58 2 9" xfId="44625" xr:uid="{00000000-0005-0000-0000-0000A69A0000}"/>
    <cellStyle name="Normal 58 2 9 2" xfId="44629" xr:uid="{00000000-0005-0000-0000-0000A79A0000}"/>
    <cellStyle name="Normal 58 2 9 2 2" xfId="44632" xr:uid="{00000000-0005-0000-0000-0000A89A0000}"/>
    <cellStyle name="Normal 58 2 9 3" xfId="44635" xr:uid="{00000000-0005-0000-0000-0000A99A0000}"/>
    <cellStyle name="Normal 58 3" xfId="44637" xr:uid="{00000000-0005-0000-0000-0000AA9A0000}"/>
    <cellStyle name="Normal 58 3 10" xfId="32680" xr:uid="{00000000-0005-0000-0000-0000AB9A0000}"/>
    <cellStyle name="Normal 58 3 10 2" xfId="44639" xr:uid="{00000000-0005-0000-0000-0000AC9A0000}"/>
    <cellStyle name="Normal 58 3 11" xfId="33668" xr:uid="{00000000-0005-0000-0000-0000AD9A0000}"/>
    <cellStyle name="Normal 58 3 11 2" xfId="44641" xr:uid="{00000000-0005-0000-0000-0000AE9A0000}"/>
    <cellStyle name="Normal 58 3 12" xfId="44643" xr:uid="{00000000-0005-0000-0000-0000AF9A0000}"/>
    <cellStyle name="Normal 58 3 12 2" xfId="44647" xr:uid="{00000000-0005-0000-0000-0000B09A0000}"/>
    <cellStyle name="Normal 58 3 13" xfId="15568" xr:uid="{00000000-0005-0000-0000-0000B19A0000}"/>
    <cellStyle name="Normal 58 3 14" xfId="44649" xr:uid="{00000000-0005-0000-0000-0000B29A0000}"/>
    <cellStyle name="Normal 58 3 2" xfId="44651" xr:uid="{00000000-0005-0000-0000-0000B39A0000}"/>
    <cellStyle name="Normal 58 3 2 10" xfId="23183" xr:uid="{00000000-0005-0000-0000-0000B49A0000}"/>
    <cellStyle name="Normal 58 3 2 2" xfId="44653" xr:uid="{00000000-0005-0000-0000-0000B59A0000}"/>
    <cellStyle name="Normal 58 3 2 2 2" xfId="44655" xr:uid="{00000000-0005-0000-0000-0000B69A0000}"/>
    <cellStyle name="Normal 58 3 2 2 2 2" xfId="44657" xr:uid="{00000000-0005-0000-0000-0000B79A0000}"/>
    <cellStyle name="Normal 58 3 2 2 2 2 2" xfId="44659" xr:uid="{00000000-0005-0000-0000-0000B89A0000}"/>
    <cellStyle name="Normal 58 3 2 2 2 2 2 2" xfId="44661" xr:uid="{00000000-0005-0000-0000-0000B99A0000}"/>
    <cellStyle name="Normal 58 3 2 2 2 2 2 2 2" xfId="881" xr:uid="{00000000-0005-0000-0000-0000BA9A0000}"/>
    <cellStyle name="Normal 58 3 2 2 2 2 2 3" xfId="44663" xr:uid="{00000000-0005-0000-0000-0000BB9A0000}"/>
    <cellStyle name="Normal 58 3 2 2 2 2 3" xfId="44665" xr:uid="{00000000-0005-0000-0000-0000BC9A0000}"/>
    <cellStyle name="Normal 58 3 2 2 2 2 3 2" xfId="44667" xr:uid="{00000000-0005-0000-0000-0000BD9A0000}"/>
    <cellStyle name="Normal 58 3 2 2 2 2 4" xfId="1289" xr:uid="{00000000-0005-0000-0000-0000BE9A0000}"/>
    <cellStyle name="Normal 58 3 2 2 2 3" xfId="44669" xr:uid="{00000000-0005-0000-0000-0000BF9A0000}"/>
    <cellStyle name="Normal 58 3 2 2 2 3 2" xfId="44671" xr:uid="{00000000-0005-0000-0000-0000C09A0000}"/>
    <cellStyle name="Normal 58 3 2 2 2 3 2 2" xfId="26090" xr:uid="{00000000-0005-0000-0000-0000C19A0000}"/>
    <cellStyle name="Normal 58 3 2 2 2 3 3" xfId="44673" xr:uid="{00000000-0005-0000-0000-0000C29A0000}"/>
    <cellStyle name="Normal 58 3 2 2 2 4" xfId="44675" xr:uid="{00000000-0005-0000-0000-0000C39A0000}"/>
    <cellStyle name="Normal 58 3 2 2 2 4 2" xfId="44677" xr:uid="{00000000-0005-0000-0000-0000C49A0000}"/>
    <cellStyle name="Normal 58 3 2 2 2 4 2 2" xfId="44679" xr:uid="{00000000-0005-0000-0000-0000C59A0000}"/>
    <cellStyle name="Normal 58 3 2 2 2 4 3" xfId="44681" xr:uid="{00000000-0005-0000-0000-0000C69A0000}"/>
    <cellStyle name="Normal 58 3 2 2 2 5" xfId="44683" xr:uid="{00000000-0005-0000-0000-0000C79A0000}"/>
    <cellStyle name="Normal 58 3 2 2 2 5 2" xfId="44685" xr:uid="{00000000-0005-0000-0000-0000C89A0000}"/>
    <cellStyle name="Normal 58 3 2 2 2 6" xfId="44689" xr:uid="{00000000-0005-0000-0000-0000C99A0000}"/>
    <cellStyle name="Normal 58 3 2 2 2 6 2" xfId="44691" xr:uid="{00000000-0005-0000-0000-0000CA9A0000}"/>
    <cellStyle name="Normal 58 3 2 2 2 7" xfId="24585" xr:uid="{00000000-0005-0000-0000-0000CB9A0000}"/>
    <cellStyle name="Normal 58 3 2 2 2 8" xfId="11112" xr:uid="{00000000-0005-0000-0000-0000CC9A0000}"/>
    <cellStyle name="Normal 58 3 2 2 3" xfId="44693" xr:uid="{00000000-0005-0000-0000-0000CD9A0000}"/>
    <cellStyle name="Normal 58 3 2 2 3 2" xfId="44695" xr:uid="{00000000-0005-0000-0000-0000CE9A0000}"/>
    <cellStyle name="Normal 58 3 2 2 3 2 2" xfId="44697" xr:uid="{00000000-0005-0000-0000-0000CF9A0000}"/>
    <cellStyle name="Normal 58 3 2 2 3 2 2 2" xfId="44699" xr:uid="{00000000-0005-0000-0000-0000D09A0000}"/>
    <cellStyle name="Normal 58 3 2 2 3 2 3" xfId="24534" xr:uid="{00000000-0005-0000-0000-0000D19A0000}"/>
    <cellStyle name="Normal 58 3 2 2 3 3" xfId="44701" xr:uid="{00000000-0005-0000-0000-0000D29A0000}"/>
    <cellStyle name="Normal 58 3 2 2 3 3 2" xfId="44705" xr:uid="{00000000-0005-0000-0000-0000D39A0000}"/>
    <cellStyle name="Normal 58 3 2 2 3 4" xfId="44707" xr:uid="{00000000-0005-0000-0000-0000D49A0000}"/>
    <cellStyle name="Normal 58 3 2 2 4" xfId="44709" xr:uid="{00000000-0005-0000-0000-0000D59A0000}"/>
    <cellStyle name="Normal 58 3 2 2 4 2" xfId="44711" xr:uid="{00000000-0005-0000-0000-0000D69A0000}"/>
    <cellStyle name="Normal 58 3 2 2 4 2 2" xfId="44713" xr:uid="{00000000-0005-0000-0000-0000D79A0000}"/>
    <cellStyle name="Normal 58 3 2 2 4 3" xfId="44715" xr:uid="{00000000-0005-0000-0000-0000D89A0000}"/>
    <cellStyle name="Normal 58 3 2 2 5" xfId="44717" xr:uid="{00000000-0005-0000-0000-0000D99A0000}"/>
    <cellStyle name="Normal 58 3 2 2 5 2" xfId="44719" xr:uid="{00000000-0005-0000-0000-0000DA9A0000}"/>
    <cellStyle name="Normal 58 3 2 2 5 2 2" xfId="44721" xr:uid="{00000000-0005-0000-0000-0000DB9A0000}"/>
    <cellStyle name="Normal 58 3 2 2 5 3" xfId="44723" xr:uid="{00000000-0005-0000-0000-0000DC9A0000}"/>
    <cellStyle name="Normal 58 3 2 2 6" xfId="21690" xr:uid="{00000000-0005-0000-0000-0000DD9A0000}"/>
    <cellStyle name="Normal 58 3 2 2 6 2" xfId="21693" xr:uid="{00000000-0005-0000-0000-0000DE9A0000}"/>
    <cellStyle name="Normal 58 3 2 2 7" xfId="21773" xr:uid="{00000000-0005-0000-0000-0000DF9A0000}"/>
    <cellStyle name="Normal 58 3 2 2 7 2" xfId="9288" xr:uid="{00000000-0005-0000-0000-0000E09A0000}"/>
    <cellStyle name="Normal 58 3 2 2 8" xfId="21781" xr:uid="{00000000-0005-0000-0000-0000E19A0000}"/>
    <cellStyle name="Normal 58 3 2 2 9" xfId="21789" xr:uid="{00000000-0005-0000-0000-0000E29A0000}"/>
    <cellStyle name="Normal 58 3 2 3" xfId="44646" xr:uid="{00000000-0005-0000-0000-0000E39A0000}"/>
    <cellStyle name="Normal 58 3 2 3 2" xfId="29056" xr:uid="{00000000-0005-0000-0000-0000E49A0000}"/>
    <cellStyle name="Normal 58 3 2 3 2 2" xfId="44725" xr:uid="{00000000-0005-0000-0000-0000E59A0000}"/>
    <cellStyle name="Normal 58 3 2 3 2 2 2" xfId="44727" xr:uid="{00000000-0005-0000-0000-0000E69A0000}"/>
    <cellStyle name="Normal 58 3 2 3 2 2 2 2" xfId="44729" xr:uid="{00000000-0005-0000-0000-0000E79A0000}"/>
    <cellStyle name="Normal 58 3 2 3 2 2 3" xfId="44731" xr:uid="{00000000-0005-0000-0000-0000E89A0000}"/>
    <cellStyle name="Normal 58 3 2 3 2 3" xfId="44733" xr:uid="{00000000-0005-0000-0000-0000E99A0000}"/>
    <cellStyle name="Normal 58 3 2 3 2 3 2" xfId="44735" xr:uid="{00000000-0005-0000-0000-0000EA9A0000}"/>
    <cellStyle name="Normal 58 3 2 3 2 4" xfId="44737" xr:uid="{00000000-0005-0000-0000-0000EB9A0000}"/>
    <cellStyle name="Normal 58 3 2 3 3" xfId="29060" xr:uid="{00000000-0005-0000-0000-0000EC9A0000}"/>
    <cellStyle name="Normal 58 3 2 3 3 2" xfId="44739" xr:uid="{00000000-0005-0000-0000-0000ED9A0000}"/>
    <cellStyle name="Normal 58 3 2 3 3 2 2" xfId="44688" xr:uid="{00000000-0005-0000-0000-0000EE9A0000}"/>
    <cellStyle name="Normal 58 3 2 3 3 3" xfId="44741" xr:uid="{00000000-0005-0000-0000-0000EF9A0000}"/>
    <cellStyle name="Normal 58 3 2 3 4" xfId="44743" xr:uid="{00000000-0005-0000-0000-0000F09A0000}"/>
    <cellStyle name="Normal 58 3 2 3 4 2" xfId="44745" xr:uid="{00000000-0005-0000-0000-0000F19A0000}"/>
    <cellStyle name="Normal 58 3 2 3 4 2 2" xfId="44747" xr:uid="{00000000-0005-0000-0000-0000F29A0000}"/>
    <cellStyle name="Normal 58 3 2 3 4 3" xfId="38658" xr:uid="{00000000-0005-0000-0000-0000F39A0000}"/>
    <cellStyle name="Normal 58 3 2 3 5" xfId="44749" xr:uid="{00000000-0005-0000-0000-0000F49A0000}"/>
    <cellStyle name="Normal 58 3 2 3 5 2" xfId="44751" xr:uid="{00000000-0005-0000-0000-0000F59A0000}"/>
    <cellStyle name="Normal 58 3 2 3 6" xfId="21793" xr:uid="{00000000-0005-0000-0000-0000F69A0000}"/>
    <cellStyle name="Normal 58 3 2 3 6 2" xfId="21796" xr:uid="{00000000-0005-0000-0000-0000F79A0000}"/>
    <cellStyle name="Normal 58 3 2 3 7" xfId="21819" xr:uid="{00000000-0005-0000-0000-0000F89A0000}"/>
    <cellStyle name="Normal 58 3 2 3 8" xfId="21826" xr:uid="{00000000-0005-0000-0000-0000F99A0000}"/>
    <cellStyle name="Normal 58 3 2 4" xfId="7609" xr:uid="{00000000-0005-0000-0000-0000FA9A0000}"/>
    <cellStyle name="Normal 58 3 2 4 2" xfId="7614" xr:uid="{00000000-0005-0000-0000-0000FB9A0000}"/>
    <cellStyle name="Normal 58 3 2 4 2 2" xfId="44753" xr:uid="{00000000-0005-0000-0000-0000FC9A0000}"/>
    <cellStyle name="Normal 58 3 2 4 2 2 2" xfId="44755" xr:uid="{00000000-0005-0000-0000-0000FD9A0000}"/>
    <cellStyle name="Normal 58 3 2 4 2 3" xfId="44757" xr:uid="{00000000-0005-0000-0000-0000FE9A0000}"/>
    <cellStyle name="Normal 58 3 2 4 3" xfId="13544" xr:uid="{00000000-0005-0000-0000-0000FF9A0000}"/>
    <cellStyle name="Normal 58 3 2 4 3 2" xfId="44759" xr:uid="{00000000-0005-0000-0000-0000009B0000}"/>
    <cellStyle name="Normal 58 3 2 4 4" xfId="44761" xr:uid="{00000000-0005-0000-0000-0000019B0000}"/>
    <cellStyle name="Normal 58 3 2 5" xfId="7619" xr:uid="{00000000-0005-0000-0000-0000029B0000}"/>
    <cellStyle name="Normal 58 3 2 5 2" xfId="44763" xr:uid="{00000000-0005-0000-0000-0000039B0000}"/>
    <cellStyle name="Normal 58 3 2 5 2 2" xfId="44765" xr:uid="{00000000-0005-0000-0000-0000049B0000}"/>
    <cellStyle name="Normal 58 3 2 5 3" xfId="44767" xr:uid="{00000000-0005-0000-0000-0000059B0000}"/>
    <cellStyle name="Normal 58 3 2 6" xfId="44769" xr:uid="{00000000-0005-0000-0000-0000069B0000}"/>
    <cellStyle name="Normal 58 3 2 6 2" xfId="44771" xr:uid="{00000000-0005-0000-0000-0000079B0000}"/>
    <cellStyle name="Normal 58 3 2 6 2 2" xfId="44773" xr:uid="{00000000-0005-0000-0000-0000089B0000}"/>
    <cellStyle name="Normal 58 3 2 6 3" xfId="38351" xr:uid="{00000000-0005-0000-0000-0000099B0000}"/>
    <cellStyle name="Normal 58 3 2 7" xfId="44775" xr:uid="{00000000-0005-0000-0000-00000A9B0000}"/>
    <cellStyle name="Normal 58 3 2 7 2" xfId="44777" xr:uid="{00000000-0005-0000-0000-00000B9B0000}"/>
    <cellStyle name="Normal 58 3 2 8" xfId="44779" xr:uid="{00000000-0005-0000-0000-00000C9B0000}"/>
    <cellStyle name="Normal 58 3 2 8 2" xfId="44781" xr:uid="{00000000-0005-0000-0000-00000D9B0000}"/>
    <cellStyle name="Normal 58 3 2 9" xfId="20902" xr:uid="{00000000-0005-0000-0000-00000E9B0000}"/>
    <cellStyle name="Normal 58 3 3" xfId="44783" xr:uid="{00000000-0005-0000-0000-00000F9B0000}"/>
    <cellStyle name="Normal 58 3 3 2" xfId="44785" xr:uid="{00000000-0005-0000-0000-0000109B0000}"/>
    <cellStyle name="Normal 58 3 3 2 2" xfId="39135" xr:uid="{00000000-0005-0000-0000-0000119B0000}"/>
    <cellStyle name="Normal 58 3 3 2 2 2" xfId="21053" xr:uid="{00000000-0005-0000-0000-0000129B0000}"/>
    <cellStyle name="Normal 58 3 3 2 2 2 2" xfId="44787" xr:uid="{00000000-0005-0000-0000-0000139B0000}"/>
    <cellStyle name="Normal 58 3 3 2 2 2 2 2" xfId="44789" xr:uid="{00000000-0005-0000-0000-0000149B0000}"/>
    <cellStyle name="Normal 58 3 3 2 2 2 3" xfId="44791" xr:uid="{00000000-0005-0000-0000-0000159B0000}"/>
    <cellStyle name="Normal 58 3 3 2 2 3" xfId="21057" xr:uid="{00000000-0005-0000-0000-0000169B0000}"/>
    <cellStyle name="Normal 58 3 3 2 2 3 2" xfId="44793" xr:uid="{00000000-0005-0000-0000-0000179B0000}"/>
    <cellStyle name="Normal 58 3 3 2 2 4" xfId="44795" xr:uid="{00000000-0005-0000-0000-0000189B0000}"/>
    <cellStyle name="Normal 58 3 3 2 2 5" xfId="44797" xr:uid="{00000000-0005-0000-0000-0000199B0000}"/>
    <cellStyle name="Normal 58 3 3 2 3" xfId="39138" xr:uid="{00000000-0005-0000-0000-00001A9B0000}"/>
    <cellStyle name="Normal 58 3 3 2 3 2" xfId="44799" xr:uid="{00000000-0005-0000-0000-00001B9B0000}"/>
    <cellStyle name="Normal 58 3 3 2 3 2 2" xfId="44801" xr:uid="{00000000-0005-0000-0000-00001C9B0000}"/>
    <cellStyle name="Normal 58 3 3 2 3 3" xfId="39698" xr:uid="{00000000-0005-0000-0000-00001D9B0000}"/>
    <cellStyle name="Normal 58 3 3 2 4" xfId="44803" xr:uid="{00000000-0005-0000-0000-00001E9B0000}"/>
    <cellStyle name="Normal 58 3 3 2 4 2" xfId="44805" xr:uid="{00000000-0005-0000-0000-00001F9B0000}"/>
    <cellStyle name="Normal 58 3 3 2 4 2 2" xfId="38164" xr:uid="{00000000-0005-0000-0000-0000209B0000}"/>
    <cellStyle name="Normal 58 3 3 2 4 3" xfId="44807" xr:uid="{00000000-0005-0000-0000-0000219B0000}"/>
    <cellStyle name="Normal 58 3 3 2 5" xfId="44809" xr:uid="{00000000-0005-0000-0000-0000229B0000}"/>
    <cellStyle name="Normal 58 3 3 2 5 2" xfId="44811" xr:uid="{00000000-0005-0000-0000-0000239B0000}"/>
    <cellStyle name="Normal 58 3 3 2 6" xfId="21893" xr:uid="{00000000-0005-0000-0000-0000249B0000}"/>
    <cellStyle name="Normal 58 3 3 2 6 2" xfId="13915" xr:uid="{00000000-0005-0000-0000-0000259B0000}"/>
    <cellStyle name="Normal 58 3 3 2 7" xfId="21908" xr:uid="{00000000-0005-0000-0000-0000269B0000}"/>
    <cellStyle name="Normal 58 3 3 2 8" xfId="11271" xr:uid="{00000000-0005-0000-0000-0000279B0000}"/>
    <cellStyle name="Normal 58 3 3 3" xfId="44813" xr:uid="{00000000-0005-0000-0000-0000289B0000}"/>
    <cellStyle name="Normal 58 3 3 3 2" xfId="39143" xr:uid="{00000000-0005-0000-0000-0000299B0000}"/>
    <cellStyle name="Normal 58 3 3 3 2 2" xfId="44815" xr:uid="{00000000-0005-0000-0000-00002A9B0000}"/>
    <cellStyle name="Normal 58 3 3 3 2 2 2" xfId="44817" xr:uid="{00000000-0005-0000-0000-00002B9B0000}"/>
    <cellStyle name="Normal 58 3 3 3 2 3" xfId="44819" xr:uid="{00000000-0005-0000-0000-00002C9B0000}"/>
    <cellStyle name="Normal 58 3 3 3 3" xfId="44821" xr:uid="{00000000-0005-0000-0000-00002D9B0000}"/>
    <cellStyle name="Normal 58 3 3 3 3 2" xfId="44823" xr:uid="{00000000-0005-0000-0000-00002E9B0000}"/>
    <cellStyle name="Normal 58 3 3 3 4" xfId="44825" xr:uid="{00000000-0005-0000-0000-00002F9B0000}"/>
    <cellStyle name="Normal 58 3 3 3 5" xfId="44827" xr:uid="{00000000-0005-0000-0000-0000309B0000}"/>
    <cellStyle name="Normal 58 3 3 4" xfId="4798" xr:uid="{00000000-0005-0000-0000-0000319B0000}"/>
    <cellStyle name="Normal 58 3 3 4 2" xfId="39149" xr:uid="{00000000-0005-0000-0000-0000329B0000}"/>
    <cellStyle name="Normal 58 3 3 4 2 2" xfId="4807" xr:uid="{00000000-0005-0000-0000-0000339B0000}"/>
    <cellStyle name="Normal 58 3 3 4 3" xfId="44829" xr:uid="{00000000-0005-0000-0000-0000349B0000}"/>
    <cellStyle name="Normal 58 3 3 5" xfId="44831" xr:uid="{00000000-0005-0000-0000-0000359B0000}"/>
    <cellStyle name="Normal 58 3 3 5 2" xfId="44833" xr:uid="{00000000-0005-0000-0000-0000369B0000}"/>
    <cellStyle name="Normal 58 3 3 5 2 2" xfId="11789" xr:uid="{00000000-0005-0000-0000-0000379B0000}"/>
    <cellStyle name="Normal 58 3 3 5 3" xfId="44835" xr:uid="{00000000-0005-0000-0000-0000389B0000}"/>
    <cellStyle name="Normal 58 3 3 6" xfId="44837" xr:uid="{00000000-0005-0000-0000-0000399B0000}"/>
    <cellStyle name="Normal 58 3 3 6 2" xfId="44839" xr:uid="{00000000-0005-0000-0000-00003A9B0000}"/>
    <cellStyle name="Normal 58 3 3 7" xfId="44841" xr:uid="{00000000-0005-0000-0000-00003B9B0000}"/>
    <cellStyle name="Normal 58 3 3 7 2" xfId="44843" xr:uid="{00000000-0005-0000-0000-00003C9B0000}"/>
    <cellStyle name="Normal 58 3 3 8" xfId="44845" xr:uid="{00000000-0005-0000-0000-00003D9B0000}"/>
    <cellStyle name="Normal 58 3 3 9" xfId="11496" xr:uid="{00000000-0005-0000-0000-00003E9B0000}"/>
    <cellStyle name="Normal 58 3 4" xfId="44847" xr:uid="{00000000-0005-0000-0000-00003F9B0000}"/>
    <cellStyle name="Normal 58 3 4 2" xfId="39495" xr:uid="{00000000-0005-0000-0000-0000409B0000}"/>
    <cellStyle name="Normal 58 3 4 2 2" xfId="39498" xr:uid="{00000000-0005-0000-0000-0000419B0000}"/>
    <cellStyle name="Normal 58 3 4 2 2 2" xfId="44850" xr:uid="{00000000-0005-0000-0000-0000429B0000}"/>
    <cellStyle name="Normal 58 3 4 2 2 2 2" xfId="44852" xr:uid="{00000000-0005-0000-0000-0000439B0000}"/>
    <cellStyle name="Normal 58 3 4 2 2 2 2 2" xfId="44854" xr:uid="{00000000-0005-0000-0000-0000449B0000}"/>
    <cellStyle name="Normal 58 3 4 2 2 2 3" xfId="44856" xr:uid="{00000000-0005-0000-0000-0000459B0000}"/>
    <cellStyle name="Normal 58 3 4 2 2 3" xfId="44858" xr:uid="{00000000-0005-0000-0000-0000469B0000}"/>
    <cellStyle name="Normal 58 3 4 2 2 3 2" xfId="44860" xr:uid="{00000000-0005-0000-0000-0000479B0000}"/>
    <cellStyle name="Normal 58 3 4 2 2 4" xfId="44862" xr:uid="{00000000-0005-0000-0000-0000489B0000}"/>
    <cellStyle name="Normal 58 3 4 2 3" xfId="44864" xr:uid="{00000000-0005-0000-0000-0000499B0000}"/>
    <cellStyle name="Normal 58 3 4 2 3 2" xfId="44866" xr:uid="{00000000-0005-0000-0000-00004A9B0000}"/>
    <cellStyle name="Normal 58 3 4 2 3 2 2" xfId="44868" xr:uid="{00000000-0005-0000-0000-00004B9B0000}"/>
    <cellStyle name="Normal 58 3 4 2 3 3" xfId="44870" xr:uid="{00000000-0005-0000-0000-00004C9B0000}"/>
    <cellStyle name="Normal 58 3 4 2 4" xfId="23173" xr:uid="{00000000-0005-0000-0000-00004D9B0000}"/>
    <cellStyle name="Normal 58 3 4 2 4 2" xfId="23176" xr:uid="{00000000-0005-0000-0000-00004E9B0000}"/>
    <cellStyle name="Normal 58 3 4 2 4 2 2" xfId="586" xr:uid="{00000000-0005-0000-0000-00004F9B0000}"/>
    <cellStyle name="Normal 58 3 4 2 4 3" xfId="22970" xr:uid="{00000000-0005-0000-0000-0000509B0000}"/>
    <cellStyle name="Normal 58 3 4 2 5" xfId="23182" xr:uid="{00000000-0005-0000-0000-0000519B0000}"/>
    <cellStyle name="Normal 58 3 4 2 5 2" xfId="23186" xr:uid="{00000000-0005-0000-0000-0000529B0000}"/>
    <cellStyle name="Normal 58 3 4 2 6" xfId="21959" xr:uid="{00000000-0005-0000-0000-0000539B0000}"/>
    <cellStyle name="Normal 58 3 4 2 6 2" xfId="21965" xr:uid="{00000000-0005-0000-0000-0000549B0000}"/>
    <cellStyle name="Normal 58 3 4 2 7" xfId="21982" xr:uid="{00000000-0005-0000-0000-0000559B0000}"/>
    <cellStyle name="Normal 58 3 4 2 8" xfId="11811" xr:uid="{00000000-0005-0000-0000-0000569B0000}"/>
    <cellStyle name="Normal 58 3 4 3" xfId="39501" xr:uid="{00000000-0005-0000-0000-0000579B0000}"/>
    <cellStyle name="Normal 58 3 4 3 2" xfId="44872" xr:uid="{00000000-0005-0000-0000-0000589B0000}"/>
    <cellStyle name="Normal 58 3 4 3 2 2" xfId="44874" xr:uid="{00000000-0005-0000-0000-0000599B0000}"/>
    <cellStyle name="Normal 58 3 4 3 2 2 2" xfId="12445" xr:uid="{00000000-0005-0000-0000-00005A9B0000}"/>
    <cellStyle name="Normal 58 3 4 3 2 3" xfId="44876" xr:uid="{00000000-0005-0000-0000-00005B9B0000}"/>
    <cellStyle name="Normal 58 3 4 3 3" xfId="44878" xr:uid="{00000000-0005-0000-0000-00005C9B0000}"/>
    <cellStyle name="Normal 58 3 4 3 3 2" xfId="44880" xr:uid="{00000000-0005-0000-0000-00005D9B0000}"/>
    <cellStyle name="Normal 58 3 4 3 4" xfId="44882" xr:uid="{00000000-0005-0000-0000-00005E9B0000}"/>
    <cellStyle name="Normal 58 3 4 4" xfId="7626" xr:uid="{00000000-0005-0000-0000-00005F9B0000}"/>
    <cellStyle name="Normal 58 3 4 4 2" xfId="44884" xr:uid="{00000000-0005-0000-0000-0000609B0000}"/>
    <cellStyle name="Normal 58 3 4 4 2 2" xfId="17727" xr:uid="{00000000-0005-0000-0000-0000619B0000}"/>
    <cellStyle name="Normal 58 3 4 4 3" xfId="44886" xr:uid="{00000000-0005-0000-0000-0000629B0000}"/>
    <cellStyle name="Normal 58 3 4 5" xfId="44888" xr:uid="{00000000-0005-0000-0000-0000639B0000}"/>
    <cellStyle name="Normal 58 3 4 5 2" xfId="44890" xr:uid="{00000000-0005-0000-0000-0000649B0000}"/>
    <cellStyle name="Normal 58 3 4 5 2 2" xfId="17917" xr:uid="{00000000-0005-0000-0000-0000659B0000}"/>
    <cellStyle name="Normal 58 3 4 5 3" xfId="44892" xr:uid="{00000000-0005-0000-0000-0000669B0000}"/>
    <cellStyle name="Normal 58 3 4 6" xfId="44894" xr:uid="{00000000-0005-0000-0000-0000679B0000}"/>
    <cellStyle name="Normal 58 3 4 6 2" xfId="44896" xr:uid="{00000000-0005-0000-0000-0000689B0000}"/>
    <cellStyle name="Normal 58 3 4 7" xfId="44898" xr:uid="{00000000-0005-0000-0000-0000699B0000}"/>
    <cellStyle name="Normal 58 3 4 7 2" xfId="44900" xr:uid="{00000000-0005-0000-0000-00006A9B0000}"/>
    <cellStyle name="Normal 58 3 4 8" xfId="44902" xr:uid="{00000000-0005-0000-0000-00006B9B0000}"/>
    <cellStyle name="Normal 58 3 4 9" xfId="19628" xr:uid="{00000000-0005-0000-0000-00006C9B0000}"/>
    <cellStyle name="Normal 58 3 5" xfId="8177" xr:uid="{00000000-0005-0000-0000-00006D9B0000}"/>
    <cellStyle name="Normal 58 3 5 2" xfId="44904" xr:uid="{00000000-0005-0000-0000-00006E9B0000}"/>
    <cellStyle name="Normal 58 3 5 2 2" xfId="44906" xr:uid="{00000000-0005-0000-0000-00006F9B0000}"/>
    <cellStyle name="Normal 58 3 5 2 2 2" xfId="44908" xr:uid="{00000000-0005-0000-0000-0000709B0000}"/>
    <cellStyle name="Normal 58 3 5 2 2 2 2" xfId="24745" xr:uid="{00000000-0005-0000-0000-0000719B0000}"/>
    <cellStyle name="Normal 58 3 5 2 2 2 2 2" xfId="44910" xr:uid="{00000000-0005-0000-0000-0000729B0000}"/>
    <cellStyle name="Normal 58 3 5 2 2 2 3" xfId="44913" xr:uid="{00000000-0005-0000-0000-0000739B0000}"/>
    <cellStyle name="Normal 58 3 5 2 2 3" xfId="44915" xr:uid="{00000000-0005-0000-0000-0000749B0000}"/>
    <cellStyle name="Normal 58 3 5 2 2 3 2" xfId="44917" xr:uid="{00000000-0005-0000-0000-0000759B0000}"/>
    <cellStyle name="Normal 58 3 5 2 2 4" xfId="44920" xr:uid="{00000000-0005-0000-0000-0000769B0000}"/>
    <cellStyle name="Normal 58 3 5 2 3" xfId="44922" xr:uid="{00000000-0005-0000-0000-0000779B0000}"/>
    <cellStyle name="Normal 58 3 5 2 3 2" xfId="44924" xr:uid="{00000000-0005-0000-0000-0000789B0000}"/>
    <cellStyle name="Normal 58 3 5 2 3 2 2" xfId="44926" xr:uid="{00000000-0005-0000-0000-0000799B0000}"/>
    <cellStyle name="Normal 58 3 5 2 3 3" xfId="44928" xr:uid="{00000000-0005-0000-0000-00007A9B0000}"/>
    <cellStyle name="Normal 58 3 5 2 4" xfId="11996" xr:uid="{00000000-0005-0000-0000-00007B9B0000}"/>
    <cellStyle name="Normal 58 3 5 2 4 2" xfId="23701" xr:uid="{00000000-0005-0000-0000-00007C9B0000}"/>
    <cellStyle name="Normal 58 3 5 2 4 2 2" xfId="371" xr:uid="{00000000-0005-0000-0000-00007D9B0000}"/>
    <cellStyle name="Normal 58 3 5 2 4 3" xfId="23050" xr:uid="{00000000-0005-0000-0000-00007E9B0000}"/>
    <cellStyle name="Normal 58 3 5 2 5" xfId="23714" xr:uid="{00000000-0005-0000-0000-00007F9B0000}"/>
    <cellStyle name="Normal 58 3 5 2 5 2" xfId="23722" xr:uid="{00000000-0005-0000-0000-0000809B0000}"/>
    <cellStyle name="Normal 58 3 5 2 6" xfId="22021" xr:uid="{00000000-0005-0000-0000-0000819B0000}"/>
    <cellStyle name="Normal 58 3 5 2 6 2" xfId="22029" xr:uid="{00000000-0005-0000-0000-0000829B0000}"/>
    <cellStyle name="Normal 58 3 5 2 7" xfId="18541" xr:uid="{00000000-0005-0000-0000-0000839B0000}"/>
    <cellStyle name="Normal 58 3 5 2 8" xfId="2035" xr:uid="{00000000-0005-0000-0000-0000849B0000}"/>
    <cellStyle name="Normal 58 3 5 3" xfId="44930" xr:uid="{00000000-0005-0000-0000-0000859B0000}"/>
    <cellStyle name="Normal 58 3 5 3 2" xfId="44932" xr:uid="{00000000-0005-0000-0000-0000869B0000}"/>
    <cellStyle name="Normal 58 3 5 3 2 2" xfId="44934" xr:uid="{00000000-0005-0000-0000-0000879B0000}"/>
    <cellStyle name="Normal 58 3 5 3 2 2 2" xfId="44936" xr:uid="{00000000-0005-0000-0000-0000889B0000}"/>
    <cellStyle name="Normal 58 3 5 3 2 3" xfId="44938" xr:uid="{00000000-0005-0000-0000-0000899B0000}"/>
    <cellStyle name="Normal 58 3 5 3 3" xfId="44940" xr:uid="{00000000-0005-0000-0000-00008A9B0000}"/>
    <cellStyle name="Normal 58 3 5 3 3 2" xfId="44943" xr:uid="{00000000-0005-0000-0000-00008B9B0000}"/>
    <cellStyle name="Normal 58 3 5 3 4" xfId="10883" xr:uid="{00000000-0005-0000-0000-00008C9B0000}"/>
    <cellStyle name="Normal 58 3 5 4" xfId="44945" xr:uid="{00000000-0005-0000-0000-00008D9B0000}"/>
    <cellStyle name="Normal 58 3 5 4 2" xfId="44947" xr:uid="{00000000-0005-0000-0000-00008E9B0000}"/>
    <cellStyle name="Normal 58 3 5 4 2 2" xfId="44949" xr:uid="{00000000-0005-0000-0000-00008F9B0000}"/>
    <cellStyle name="Normal 58 3 5 4 3" xfId="44951" xr:uid="{00000000-0005-0000-0000-0000909B0000}"/>
    <cellStyle name="Normal 58 3 5 5" xfId="44953" xr:uid="{00000000-0005-0000-0000-0000919B0000}"/>
    <cellStyle name="Normal 58 3 5 5 2" xfId="44955" xr:uid="{00000000-0005-0000-0000-0000929B0000}"/>
    <cellStyle name="Normal 58 3 5 5 2 2" xfId="44957" xr:uid="{00000000-0005-0000-0000-0000939B0000}"/>
    <cellStyle name="Normal 58 3 5 5 3" xfId="44959" xr:uid="{00000000-0005-0000-0000-0000949B0000}"/>
    <cellStyle name="Normal 58 3 5 6" xfId="44961" xr:uid="{00000000-0005-0000-0000-0000959B0000}"/>
    <cellStyle name="Normal 58 3 5 6 2" xfId="44963" xr:uid="{00000000-0005-0000-0000-0000969B0000}"/>
    <cellStyle name="Normal 58 3 5 7" xfId="19639" xr:uid="{00000000-0005-0000-0000-0000979B0000}"/>
    <cellStyle name="Normal 58 3 5 7 2" xfId="17522" xr:uid="{00000000-0005-0000-0000-0000989B0000}"/>
    <cellStyle name="Normal 58 3 5 8" xfId="19645" xr:uid="{00000000-0005-0000-0000-0000999B0000}"/>
    <cellStyle name="Normal 58 3 5 9" xfId="44967" xr:uid="{00000000-0005-0000-0000-00009A9B0000}"/>
    <cellStyle name="Normal 58 3 6" xfId="44969" xr:uid="{00000000-0005-0000-0000-00009B9B0000}"/>
    <cellStyle name="Normal 58 3 6 2" xfId="44971" xr:uid="{00000000-0005-0000-0000-00009C9B0000}"/>
    <cellStyle name="Normal 58 3 6 2 2" xfId="44973" xr:uid="{00000000-0005-0000-0000-00009D9B0000}"/>
    <cellStyle name="Normal 58 3 6 2 2 2" xfId="15613" xr:uid="{00000000-0005-0000-0000-00009E9B0000}"/>
    <cellStyle name="Normal 58 3 6 2 2 2 2" xfId="44966" xr:uid="{00000000-0005-0000-0000-00009F9B0000}"/>
    <cellStyle name="Normal 58 3 6 2 2 3" xfId="20920" xr:uid="{00000000-0005-0000-0000-0000A09B0000}"/>
    <cellStyle name="Normal 58 3 6 2 3" xfId="44975" xr:uid="{00000000-0005-0000-0000-0000A19B0000}"/>
    <cellStyle name="Normal 58 3 6 2 3 2" xfId="44977" xr:uid="{00000000-0005-0000-0000-0000A29B0000}"/>
    <cellStyle name="Normal 58 3 6 2 4" xfId="3644" xr:uid="{00000000-0005-0000-0000-0000A39B0000}"/>
    <cellStyle name="Normal 58 3 6 3" xfId="44979" xr:uid="{00000000-0005-0000-0000-0000A49B0000}"/>
    <cellStyle name="Normal 58 3 6 3 2" xfId="44981" xr:uid="{00000000-0005-0000-0000-0000A59B0000}"/>
    <cellStyle name="Normal 58 3 6 3 2 2" xfId="20982" xr:uid="{00000000-0005-0000-0000-0000A69B0000}"/>
    <cellStyle name="Normal 58 3 6 3 3" xfId="44983" xr:uid="{00000000-0005-0000-0000-0000A79B0000}"/>
    <cellStyle name="Normal 58 3 6 4" xfId="44985" xr:uid="{00000000-0005-0000-0000-0000A89B0000}"/>
    <cellStyle name="Normal 58 3 6 4 2" xfId="44987" xr:uid="{00000000-0005-0000-0000-0000A99B0000}"/>
    <cellStyle name="Normal 58 3 6 4 2 2" xfId="14832" xr:uid="{00000000-0005-0000-0000-0000AA9B0000}"/>
    <cellStyle name="Normal 58 3 6 4 3" xfId="44989" xr:uid="{00000000-0005-0000-0000-0000AB9B0000}"/>
    <cellStyle name="Normal 58 3 6 5" xfId="44991" xr:uid="{00000000-0005-0000-0000-0000AC9B0000}"/>
    <cellStyle name="Normal 58 3 6 5 2" xfId="44993" xr:uid="{00000000-0005-0000-0000-0000AD9B0000}"/>
    <cellStyle name="Normal 58 3 6 6" xfId="44995" xr:uid="{00000000-0005-0000-0000-0000AE9B0000}"/>
    <cellStyle name="Normal 58 3 6 6 2" xfId="44997" xr:uid="{00000000-0005-0000-0000-0000AF9B0000}"/>
    <cellStyle name="Normal 58 3 6 7" xfId="19660" xr:uid="{00000000-0005-0000-0000-0000B09B0000}"/>
    <cellStyle name="Normal 58 3 6 8" xfId="44999" xr:uid="{00000000-0005-0000-0000-0000B19B0000}"/>
    <cellStyle name="Normal 58 3 7" xfId="976" xr:uid="{00000000-0005-0000-0000-0000B29B0000}"/>
    <cellStyle name="Normal 58 3 7 2" xfId="10808" xr:uid="{00000000-0005-0000-0000-0000B39B0000}"/>
    <cellStyle name="Normal 58 3 7 2 2" xfId="2211" xr:uid="{00000000-0005-0000-0000-0000B49B0000}"/>
    <cellStyle name="Normal 58 3 7 2 2 2" xfId="45001" xr:uid="{00000000-0005-0000-0000-0000B59B0000}"/>
    <cellStyle name="Normal 58 3 7 2 3" xfId="45003" xr:uid="{00000000-0005-0000-0000-0000B69B0000}"/>
    <cellStyle name="Normal 58 3 7 3" xfId="10817" xr:uid="{00000000-0005-0000-0000-0000B79B0000}"/>
    <cellStyle name="Normal 58 3 7 3 2" xfId="2796" xr:uid="{00000000-0005-0000-0000-0000B89B0000}"/>
    <cellStyle name="Normal 58 3 7 4" xfId="10827" xr:uid="{00000000-0005-0000-0000-0000B99B0000}"/>
    <cellStyle name="Normal 58 3 8" xfId="45005" xr:uid="{00000000-0005-0000-0000-0000BA9B0000}"/>
    <cellStyle name="Normal 58 3 8 2" xfId="45007" xr:uid="{00000000-0005-0000-0000-0000BB9B0000}"/>
    <cellStyle name="Normal 58 3 8 2 2" xfId="38238" xr:uid="{00000000-0005-0000-0000-0000BC9B0000}"/>
    <cellStyle name="Normal 58 3 8 3" xfId="45009" xr:uid="{00000000-0005-0000-0000-0000BD9B0000}"/>
    <cellStyle name="Normal 58 3 9" xfId="45011" xr:uid="{00000000-0005-0000-0000-0000BE9B0000}"/>
    <cellStyle name="Normal 58 3 9 2" xfId="45014" xr:uid="{00000000-0005-0000-0000-0000BF9B0000}"/>
    <cellStyle name="Normal 58 3 9 2 2" xfId="45016" xr:uid="{00000000-0005-0000-0000-0000C09B0000}"/>
    <cellStyle name="Normal 58 3 9 3" xfId="45018" xr:uid="{00000000-0005-0000-0000-0000C19B0000}"/>
    <cellStyle name="Normal 58 4" xfId="45020" xr:uid="{00000000-0005-0000-0000-0000C29B0000}"/>
    <cellStyle name="Normal 58 4 10" xfId="24259" xr:uid="{00000000-0005-0000-0000-0000C39B0000}"/>
    <cellStyle name="Normal 58 4 2" xfId="45022" xr:uid="{00000000-0005-0000-0000-0000C49B0000}"/>
    <cellStyle name="Normal 58 4 2 2" xfId="45024" xr:uid="{00000000-0005-0000-0000-0000C59B0000}"/>
    <cellStyle name="Normal 58 4 2 2 2" xfId="45026" xr:uid="{00000000-0005-0000-0000-0000C69B0000}"/>
    <cellStyle name="Normal 58 4 2 2 2 2" xfId="941" xr:uid="{00000000-0005-0000-0000-0000C79B0000}"/>
    <cellStyle name="Normal 58 4 2 2 2 2 2" xfId="45028" xr:uid="{00000000-0005-0000-0000-0000C89B0000}"/>
    <cellStyle name="Normal 58 4 2 2 2 2 2 2" xfId="25113" xr:uid="{00000000-0005-0000-0000-0000C99B0000}"/>
    <cellStyle name="Normal 58 4 2 2 2 2 3" xfId="45030" xr:uid="{00000000-0005-0000-0000-0000CA9B0000}"/>
    <cellStyle name="Normal 58 4 2 2 2 3" xfId="45032" xr:uid="{00000000-0005-0000-0000-0000CB9B0000}"/>
    <cellStyle name="Normal 58 4 2 2 2 3 2" xfId="45034" xr:uid="{00000000-0005-0000-0000-0000CC9B0000}"/>
    <cellStyle name="Normal 58 4 2 2 2 4" xfId="45036" xr:uid="{00000000-0005-0000-0000-0000CD9B0000}"/>
    <cellStyle name="Normal 58 4 2 2 3" xfId="45038" xr:uid="{00000000-0005-0000-0000-0000CE9B0000}"/>
    <cellStyle name="Normal 58 4 2 2 3 2" xfId="14989" xr:uid="{00000000-0005-0000-0000-0000CF9B0000}"/>
    <cellStyle name="Normal 58 4 2 2 3 2 2" xfId="45040" xr:uid="{00000000-0005-0000-0000-0000D09B0000}"/>
    <cellStyle name="Normal 58 4 2 2 3 3" xfId="9343" xr:uid="{00000000-0005-0000-0000-0000D19B0000}"/>
    <cellStyle name="Normal 58 4 2 2 4" xfId="45042" xr:uid="{00000000-0005-0000-0000-0000D29B0000}"/>
    <cellStyle name="Normal 58 4 2 2 4 2" xfId="45044" xr:uid="{00000000-0005-0000-0000-0000D39B0000}"/>
    <cellStyle name="Normal 58 4 2 2 4 2 2" xfId="45046" xr:uid="{00000000-0005-0000-0000-0000D49B0000}"/>
    <cellStyle name="Normal 58 4 2 2 4 3" xfId="45048" xr:uid="{00000000-0005-0000-0000-0000D59B0000}"/>
    <cellStyle name="Normal 58 4 2 2 5" xfId="45050" xr:uid="{00000000-0005-0000-0000-0000D69B0000}"/>
    <cellStyle name="Normal 58 4 2 2 5 2" xfId="45052" xr:uid="{00000000-0005-0000-0000-0000D79B0000}"/>
    <cellStyle name="Normal 58 4 2 2 6" xfId="22098" xr:uid="{00000000-0005-0000-0000-0000D89B0000}"/>
    <cellStyle name="Normal 58 4 2 2 6 2" xfId="22102" xr:uid="{00000000-0005-0000-0000-0000D99B0000}"/>
    <cellStyle name="Normal 58 4 2 2 7" xfId="22132" xr:uid="{00000000-0005-0000-0000-0000DA9B0000}"/>
    <cellStyle name="Normal 58 4 2 2 8" xfId="22146" xr:uid="{00000000-0005-0000-0000-0000DB9B0000}"/>
    <cellStyle name="Normal 58 4 2 3" xfId="45054" xr:uid="{00000000-0005-0000-0000-0000DC9B0000}"/>
    <cellStyle name="Normal 58 4 2 3 2" xfId="45056" xr:uid="{00000000-0005-0000-0000-0000DD9B0000}"/>
    <cellStyle name="Normal 58 4 2 3 2 2" xfId="42294" xr:uid="{00000000-0005-0000-0000-0000DE9B0000}"/>
    <cellStyle name="Normal 58 4 2 3 2 2 2" xfId="45058" xr:uid="{00000000-0005-0000-0000-0000DF9B0000}"/>
    <cellStyle name="Normal 58 4 2 3 2 3" xfId="45060" xr:uid="{00000000-0005-0000-0000-0000E09B0000}"/>
    <cellStyle name="Normal 58 4 2 3 3" xfId="45062" xr:uid="{00000000-0005-0000-0000-0000E19B0000}"/>
    <cellStyle name="Normal 58 4 2 3 3 2" xfId="45064" xr:uid="{00000000-0005-0000-0000-0000E29B0000}"/>
    <cellStyle name="Normal 58 4 2 3 4" xfId="45066" xr:uid="{00000000-0005-0000-0000-0000E39B0000}"/>
    <cellStyle name="Normal 58 4 2 4" xfId="7668" xr:uid="{00000000-0005-0000-0000-0000E49B0000}"/>
    <cellStyle name="Normal 58 4 2 4 2" xfId="45068" xr:uid="{00000000-0005-0000-0000-0000E59B0000}"/>
    <cellStyle name="Normal 58 4 2 4 2 2" xfId="45070" xr:uid="{00000000-0005-0000-0000-0000E69B0000}"/>
    <cellStyle name="Normal 58 4 2 4 3" xfId="45072" xr:uid="{00000000-0005-0000-0000-0000E79B0000}"/>
    <cellStyle name="Normal 58 4 2 5" xfId="45074" xr:uid="{00000000-0005-0000-0000-0000E89B0000}"/>
    <cellStyle name="Normal 58 4 2 5 2" xfId="45076" xr:uid="{00000000-0005-0000-0000-0000E99B0000}"/>
    <cellStyle name="Normal 58 4 2 5 2 2" xfId="45078" xr:uid="{00000000-0005-0000-0000-0000EA9B0000}"/>
    <cellStyle name="Normal 58 4 2 5 3" xfId="45080" xr:uid="{00000000-0005-0000-0000-0000EB9B0000}"/>
    <cellStyle name="Normal 58 4 2 6" xfId="45082" xr:uid="{00000000-0005-0000-0000-0000EC9B0000}"/>
    <cellStyle name="Normal 58 4 2 6 2" xfId="45084" xr:uid="{00000000-0005-0000-0000-0000ED9B0000}"/>
    <cellStyle name="Normal 58 4 2 7" xfId="45086" xr:uid="{00000000-0005-0000-0000-0000EE9B0000}"/>
    <cellStyle name="Normal 58 4 2 7 2" xfId="45088" xr:uid="{00000000-0005-0000-0000-0000EF9B0000}"/>
    <cellStyle name="Normal 58 4 2 8" xfId="45090" xr:uid="{00000000-0005-0000-0000-0000F09B0000}"/>
    <cellStyle name="Normal 58 4 2 9" xfId="45092" xr:uid="{00000000-0005-0000-0000-0000F19B0000}"/>
    <cellStyle name="Normal 58 4 3" xfId="45094" xr:uid="{00000000-0005-0000-0000-0000F29B0000}"/>
    <cellStyle name="Normal 58 4 3 2" xfId="45096" xr:uid="{00000000-0005-0000-0000-0000F39B0000}"/>
    <cellStyle name="Normal 58 4 3 2 2" xfId="45098" xr:uid="{00000000-0005-0000-0000-0000F49B0000}"/>
    <cellStyle name="Normal 58 4 3 2 2 2" xfId="45100" xr:uid="{00000000-0005-0000-0000-0000F59B0000}"/>
    <cellStyle name="Normal 58 4 3 2 2 2 2" xfId="45102" xr:uid="{00000000-0005-0000-0000-0000F69B0000}"/>
    <cellStyle name="Normal 58 4 3 2 2 3" xfId="45104" xr:uid="{00000000-0005-0000-0000-0000F79B0000}"/>
    <cellStyle name="Normal 58 4 3 2 3" xfId="25797" xr:uid="{00000000-0005-0000-0000-0000F89B0000}"/>
    <cellStyle name="Normal 58 4 3 2 3 2" xfId="9161" xr:uid="{00000000-0005-0000-0000-0000F99B0000}"/>
    <cellStyle name="Normal 58 4 3 2 4" xfId="45106" xr:uid="{00000000-0005-0000-0000-0000FA9B0000}"/>
    <cellStyle name="Normal 58 4 3 3" xfId="45108" xr:uid="{00000000-0005-0000-0000-0000FB9B0000}"/>
    <cellStyle name="Normal 58 4 3 3 2" xfId="45110" xr:uid="{00000000-0005-0000-0000-0000FC9B0000}"/>
    <cellStyle name="Normal 58 4 3 3 2 2" xfId="45112" xr:uid="{00000000-0005-0000-0000-0000FD9B0000}"/>
    <cellStyle name="Normal 58 4 3 3 3" xfId="45114" xr:uid="{00000000-0005-0000-0000-0000FE9B0000}"/>
    <cellStyle name="Normal 58 4 3 4" xfId="7672" xr:uid="{00000000-0005-0000-0000-0000FF9B0000}"/>
    <cellStyle name="Normal 58 4 3 4 2" xfId="43035" xr:uid="{00000000-0005-0000-0000-0000009C0000}"/>
    <cellStyle name="Normal 58 4 3 4 2 2" xfId="43039" xr:uid="{00000000-0005-0000-0000-0000019C0000}"/>
    <cellStyle name="Normal 58 4 3 4 3" xfId="43043" xr:uid="{00000000-0005-0000-0000-0000029C0000}"/>
    <cellStyle name="Normal 58 4 3 5" xfId="43047" xr:uid="{00000000-0005-0000-0000-0000039C0000}"/>
    <cellStyle name="Normal 58 4 3 5 2" xfId="43051" xr:uid="{00000000-0005-0000-0000-0000049C0000}"/>
    <cellStyle name="Normal 58 4 3 6" xfId="43055" xr:uid="{00000000-0005-0000-0000-0000059C0000}"/>
    <cellStyle name="Normal 58 4 3 6 2" xfId="45116" xr:uid="{00000000-0005-0000-0000-0000069C0000}"/>
    <cellStyle name="Normal 58 4 3 7" xfId="45118" xr:uid="{00000000-0005-0000-0000-0000079C0000}"/>
    <cellStyle name="Normal 58 4 3 8" xfId="45120" xr:uid="{00000000-0005-0000-0000-0000089C0000}"/>
    <cellStyle name="Normal 58 4 4" xfId="45122" xr:uid="{00000000-0005-0000-0000-0000099C0000}"/>
    <cellStyle name="Normal 58 4 4 2" xfId="12986" xr:uid="{00000000-0005-0000-0000-00000A9C0000}"/>
    <cellStyle name="Normal 58 4 4 2 2" xfId="45124" xr:uid="{00000000-0005-0000-0000-00000B9C0000}"/>
    <cellStyle name="Normal 58 4 4 2 2 2" xfId="45126" xr:uid="{00000000-0005-0000-0000-00000C9C0000}"/>
    <cellStyle name="Normal 58 4 4 2 3" xfId="45128" xr:uid="{00000000-0005-0000-0000-00000D9C0000}"/>
    <cellStyle name="Normal 58 4 4 3" xfId="45130" xr:uid="{00000000-0005-0000-0000-00000E9C0000}"/>
    <cellStyle name="Normal 58 4 4 3 2" xfId="45132" xr:uid="{00000000-0005-0000-0000-00000F9C0000}"/>
    <cellStyle name="Normal 58 4 4 4" xfId="43059" xr:uid="{00000000-0005-0000-0000-0000109C0000}"/>
    <cellStyle name="Normal 58 4 5" xfId="8847" xr:uid="{00000000-0005-0000-0000-0000119C0000}"/>
    <cellStyle name="Normal 58 4 5 2" xfId="45134" xr:uid="{00000000-0005-0000-0000-0000129C0000}"/>
    <cellStyle name="Normal 58 4 5 2 2" xfId="45136" xr:uid="{00000000-0005-0000-0000-0000139C0000}"/>
    <cellStyle name="Normal 58 4 5 3" xfId="45138" xr:uid="{00000000-0005-0000-0000-0000149C0000}"/>
    <cellStyle name="Normal 58 4 6" xfId="45140" xr:uid="{00000000-0005-0000-0000-0000159C0000}"/>
    <cellStyle name="Normal 58 4 6 2" xfId="45142" xr:uid="{00000000-0005-0000-0000-0000169C0000}"/>
    <cellStyle name="Normal 58 4 6 2 2" xfId="45144" xr:uid="{00000000-0005-0000-0000-0000179C0000}"/>
    <cellStyle name="Normal 58 4 6 3" xfId="45146" xr:uid="{00000000-0005-0000-0000-0000189C0000}"/>
    <cellStyle name="Normal 58 4 7" xfId="1036" xr:uid="{00000000-0005-0000-0000-0000199C0000}"/>
    <cellStyle name="Normal 58 4 7 2" xfId="45148" xr:uid="{00000000-0005-0000-0000-00001A9C0000}"/>
    <cellStyle name="Normal 58 4 8" xfId="45150" xr:uid="{00000000-0005-0000-0000-00001B9C0000}"/>
    <cellStyle name="Normal 58 4 8 2" xfId="45152" xr:uid="{00000000-0005-0000-0000-00001C9C0000}"/>
    <cellStyle name="Normal 58 4 9" xfId="45154" xr:uid="{00000000-0005-0000-0000-00001D9C0000}"/>
    <cellStyle name="Normal 58 5" xfId="45156" xr:uid="{00000000-0005-0000-0000-00001E9C0000}"/>
    <cellStyle name="Normal 58 5 2" xfId="45158" xr:uid="{00000000-0005-0000-0000-00001F9C0000}"/>
    <cellStyle name="Normal 58 5 2 2" xfId="45160" xr:uid="{00000000-0005-0000-0000-0000209C0000}"/>
    <cellStyle name="Normal 58 5 2 2 2" xfId="45162" xr:uid="{00000000-0005-0000-0000-0000219C0000}"/>
    <cellStyle name="Normal 58 5 2 2 2 2" xfId="45164" xr:uid="{00000000-0005-0000-0000-0000229C0000}"/>
    <cellStyle name="Normal 58 5 2 2 2 2 2" xfId="45167" xr:uid="{00000000-0005-0000-0000-0000239C0000}"/>
    <cellStyle name="Normal 58 5 2 2 2 3" xfId="45169" xr:uid="{00000000-0005-0000-0000-0000249C0000}"/>
    <cellStyle name="Normal 58 5 2 2 3" xfId="12822" xr:uid="{00000000-0005-0000-0000-0000259C0000}"/>
    <cellStyle name="Normal 58 5 2 2 3 2" xfId="15561" xr:uid="{00000000-0005-0000-0000-0000269C0000}"/>
    <cellStyle name="Normal 58 5 2 2 4" xfId="6581" xr:uid="{00000000-0005-0000-0000-0000279C0000}"/>
    <cellStyle name="Normal 58 5 2 2 5" xfId="6590" xr:uid="{00000000-0005-0000-0000-0000289C0000}"/>
    <cellStyle name="Normal 58 5 2 3" xfId="45171" xr:uid="{00000000-0005-0000-0000-0000299C0000}"/>
    <cellStyle name="Normal 58 5 2 3 2" xfId="45173" xr:uid="{00000000-0005-0000-0000-00002A9C0000}"/>
    <cellStyle name="Normal 58 5 2 3 2 2" xfId="42699" xr:uid="{00000000-0005-0000-0000-00002B9C0000}"/>
    <cellStyle name="Normal 58 5 2 3 3" xfId="45175" xr:uid="{00000000-0005-0000-0000-00002C9C0000}"/>
    <cellStyle name="Normal 58 5 2 4" xfId="7692" xr:uid="{00000000-0005-0000-0000-00002D9C0000}"/>
    <cellStyle name="Normal 58 5 2 4 2" xfId="45177" xr:uid="{00000000-0005-0000-0000-00002E9C0000}"/>
    <cellStyle name="Normal 58 5 2 4 2 2" xfId="45179" xr:uid="{00000000-0005-0000-0000-00002F9C0000}"/>
    <cellStyle name="Normal 58 5 2 4 3" xfId="45181" xr:uid="{00000000-0005-0000-0000-0000309C0000}"/>
    <cellStyle name="Normal 58 5 2 5" xfId="29386" xr:uid="{00000000-0005-0000-0000-0000319C0000}"/>
    <cellStyle name="Normal 58 5 2 5 2" xfId="16044" xr:uid="{00000000-0005-0000-0000-0000329C0000}"/>
    <cellStyle name="Normal 58 5 2 6" xfId="45183" xr:uid="{00000000-0005-0000-0000-0000339C0000}"/>
    <cellStyle name="Normal 58 5 2 6 2" xfId="45185" xr:uid="{00000000-0005-0000-0000-0000349C0000}"/>
    <cellStyle name="Normal 58 5 2 7" xfId="45187" xr:uid="{00000000-0005-0000-0000-0000359C0000}"/>
    <cellStyle name="Normal 58 5 2 8" xfId="45189" xr:uid="{00000000-0005-0000-0000-0000369C0000}"/>
    <cellStyle name="Normal 58 5 3" xfId="45191" xr:uid="{00000000-0005-0000-0000-0000379C0000}"/>
    <cellStyle name="Normal 58 5 3 2" xfId="45193" xr:uid="{00000000-0005-0000-0000-0000389C0000}"/>
    <cellStyle name="Normal 58 5 3 2 2" xfId="45195" xr:uid="{00000000-0005-0000-0000-0000399C0000}"/>
    <cellStyle name="Normal 58 5 3 2 2 2" xfId="45197" xr:uid="{00000000-0005-0000-0000-00003A9C0000}"/>
    <cellStyle name="Normal 58 5 3 2 3" xfId="12867" xr:uid="{00000000-0005-0000-0000-00003B9C0000}"/>
    <cellStyle name="Normal 58 5 3 3" xfId="45199" xr:uid="{00000000-0005-0000-0000-00003C9C0000}"/>
    <cellStyle name="Normal 58 5 3 3 2" xfId="45201" xr:uid="{00000000-0005-0000-0000-00003D9C0000}"/>
    <cellStyle name="Normal 58 5 3 4" xfId="43088" xr:uid="{00000000-0005-0000-0000-00003E9C0000}"/>
    <cellStyle name="Normal 58 5 3 5" xfId="43094" xr:uid="{00000000-0005-0000-0000-00003F9C0000}"/>
    <cellStyle name="Normal 58 5 4" xfId="45203" xr:uid="{00000000-0005-0000-0000-0000409C0000}"/>
    <cellStyle name="Normal 58 5 4 2" xfId="45205" xr:uid="{00000000-0005-0000-0000-0000419C0000}"/>
    <cellStyle name="Normal 58 5 4 2 2" xfId="28362" xr:uid="{00000000-0005-0000-0000-0000429C0000}"/>
    <cellStyle name="Normal 58 5 4 3" xfId="45207" xr:uid="{00000000-0005-0000-0000-0000439C0000}"/>
    <cellStyle name="Normal 58 5 5" xfId="13300" xr:uid="{00000000-0005-0000-0000-0000449C0000}"/>
    <cellStyle name="Normal 58 5 5 2" xfId="45209" xr:uid="{00000000-0005-0000-0000-0000459C0000}"/>
    <cellStyle name="Normal 58 5 5 2 2" xfId="20417" xr:uid="{00000000-0005-0000-0000-0000469C0000}"/>
    <cellStyle name="Normal 58 5 5 3" xfId="45211" xr:uid="{00000000-0005-0000-0000-0000479C0000}"/>
    <cellStyle name="Normal 58 5 6" xfId="45213" xr:uid="{00000000-0005-0000-0000-0000489C0000}"/>
    <cellStyle name="Normal 58 5 6 2" xfId="45215" xr:uid="{00000000-0005-0000-0000-0000499C0000}"/>
    <cellStyle name="Normal 58 5 7" xfId="45217" xr:uid="{00000000-0005-0000-0000-00004A9C0000}"/>
    <cellStyle name="Normal 58 5 7 2" xfId="45219" xr:uid="{00000000-0005-0000-0000-00004B9C0000}"/>
    <cellStyle name="Normal 58 5 8" xfId="45221" xr:uid="{00000000-0005-0000-0000-00004C9C0000}"/>
    <cellStyle name="Normal 58 5 9" xfId="18776" xr:uid="{00000000-0005-0000-0000-00004D9C0000}"/>
    <cellStyle name="Normal 58 6" xfId="45223" xr:uid="{00000000-0005-0000-0000-00004E9C0000}"/>
    <cellStyle name="Normal 58 6 2" xfId="45225" xr:uid="{00000000-0005-0000-0000-00004F9C0000}"/>
    <cellStyle name="Normal 58 6 2 2" xfId="45227" xr:uid="{00000000-0005-0000-0000-0000509C0000}"/>
    <cellStyle name="Normal 58 6 2 2 2" xfId="45229" xr:uid="{00000000-0005-0000-0000-0000519C0000}"/>
    <cellStyle name="Normal 58 6 2 2 2 2" xfId="45231" xr:uid="{00000000-0005-0000-0000-0000529C0000}"/>
    <cellStyle name="Normal 58 6 2 2 2 2 2" xfId="45233" xr:uid="{00000000-0005-0000-0000-0000539C0000}"/>
    <cellStyle name="Normal 58 6 2 2 2 3" xfId="45235" xr:uid="{00000000-0005-0000-0000-0000549C0000}"/>
    <cellStyle name="Normal 58 6 2 2 3" xfId="45237" xr:uid="{00000000-0005-0000-0000-0000559C0000}"/>
    <cellStyle name="Normal 58 6 2 2 3 2" xfId="45239" xr:uid="{00000000-0005-0000-0000-0000569C0000}"/>
    <cellStyle name="Normal 58 6 2 2 4" xfId="6717" xr:uid="{00000000-0005-0000-0000-0000579C0000}"/>
    <cellStyle name="Normal 58 6 2 3" xfId="45241" xr:uid="{00000000-0005-0000-0000-0000589C0000}"/>
    <cellStyle name="Normal 58 6 2 3 2" xfId="45243" xr:uid="{00000000-0005-0000-0000-0000599C0000}"/>
    <cellStyle name="Normal 58 6 2 3 2 2" xfId="45245" xr:uid="{00000000-0005-0000-0000-00005A9C0000}"/>
    <cellStyle name="Normal 58 6 2 3 3" xfId="45247" xr:uid="{00000000-0005-0000-0000-00005B9C0000}"/>
    <cellStyle name="Normal 58 6 2 4" xfId="24092" xr:uid="{00000000-0005-0000-0000-00005C9C0000}"/>
    <cellStyle name="Normal 58 6 2 4 2" xfId="45249" xr:uid="{00000000-0005-0000-0000-00005D9C0000}"/>
    <cellStyle name="Normal 58 6 2 4 2 2" xfId="45251" xr:uid="{00000000-0005-0000-0000-00005E9C0000}"/>
    <cellStyle name="Normal 58 6 2 4 3" xfId="45253" xr:uid="{00000000-0005-0000-0000-00005F9C0000}"/>
    <cellStyle name="Normal 58 6 2 5" xfId="45255" xr:uid="{00000000-0005-0000-0000-0000609C0000}"/>
    <cellStyle name="Normal 58 6 2 5 2" xfId="45257" xr:uid="{00000000-0005-0000-0000-0000619C0000}"/>
    <cellStyle name="Normal 58 6 2 6" xfId="45259" xr:uid="{00000000-0005-0000-0000-0000629C0000}"/>
    <cellStyle name="Normal 58 6 2 6 2" xfId="45261" xr:uid="{00000000-0005-0000-0000-0000639C0000}"/>
    <cellStyle name="Normal 58 6 2 7" xfId="45263" xr:uid="{00000000-0005-0000-0000-0000649C0000}"/>
    <cellStyle name="Normal 58 6 2 8" xfId="45265" xr:uid="{00000000-0005-0000-0000-0000659C0000}"/>
    <cellStyle name="Normal 58 6 3" xfId="45267" xr:uid="{00000000-0005-0000-0000-0000669C0000}"/>
    <cellStyle name="Normal 58 6 3 2" xfId="19460" xr:uid="{00000000-0005-0000-0000-0000679C0000}"/>
    <cellStyle name="Normal 58 6 3 2 2" xfId="45269" xr:uid="{00000000-0005-0000-0000-0000689C0000}"/>
    <cellStyle name="Normal 58 6 3 2 2 2" xfId="45271" xr:uid="{00000000-0005-0000-0000-0000699C0000}"/>
    <cellStyle name="Normal 58 6 3 2 3" xfId="45273" xr:uid="{00000000-0005-0000-0000-00006A9C0000}"/>
    <cellStyle name="Normal 58 6 3 3" xfId="45275" xr:uid="{00000000-0005-0000-0000-00006B9C0000}"/>
    <cellStyle name="Normal 58 6 3 3 2" xfId="45277" xr:uid="{00000000-0005-0000-0000-00006C9C0000}"/>
    <cellStyle name="Normal 58 6 3 4" xfId="43102" xr:uid="{00000000-0005-0000-0000-00006D9C0000}"/>
    <cellStyle name="Normal 58 6 4" xfId="45279" xr:uid="{00000000-0005-0000-0000-00006E9C0000}"/>
    <cellStyle name="Normal 58 6 4 2" xfId="45281" xr:uid="{00000000-0005-0000-0000-00006F9C0000}"/>
    <cellStyle name="Normal 58 6 4 2 2" xfId="45283" xr:uid="{00000000-0005-0000-0000-0000709C0000}"/>
    <cellStyle name="Normal 58 6 4 3" xfId="45285" xr:uid="{00000000-0005-0000-0000-0000719C0000}"/>
    <cellStyle name="Normal 58 6 5" xfId="45287" xr:uid="{00000000-0005-0000-0000-0000729C0000}"/>
    <cellStyle name="Normal 58 6 5 2" xfId="45289" xr:uid="{00000000-0005-0000-0000-0000739C0000}"/>
    <cellStyle name="Normal 58 6 5 2 2" xfId="23368" xr:uid="{00000000-0005-0000-0000-0000749C0000}"/>
    <cellStyle name="Normal 58 6 5 3" xfId="45291" xr:uid="{00000000-0005-0000-0000-0000759C0000}"/>
    <cellStyle name="Normal 58 6 6" xfId="11192" xr:uid="{00000000-0005-0000-0000-0000769C0000}"/>
    <cellStyle name="Normal 58 6 6 2" xfId="45293" xr:uid="{00000000-0005-0000-0000-0000779C0000}"/>
    <cellStyle name="Normal 58 6 7" xfId="45295" xr:uid="{00000000-0005-0000-0000-0000789C0000}"/>
    <cellStyle name="Normal 58 6 7 2" xfId="45297" xr:uid="{00000000-0005-0000-0000-0000799C0000}"/>
    <cellStyle name="Normal 58 6 8" xfId="45299" xr:uid="{00000000-0005-0000-0000-00007A9C0000}"/>
    <cellStyle name="Normal 58 6 9" xfId="45301" xr:uid="{00000000-0005-0000-0000-00007B9C0000}"/>
    <cellStyle name="Normal 58 7" xfId="15506" xr:uid="{00000000-0005-0000-0000-00007C9C0000}"/>
    <cellStyle name="Normal 58 7 2" xfId="45303" xr:uid="{00000000-0005-0000-0000-00007D9C0000}"/>
    <cellStyle name="Normal 58 7 2 2" xfId="45305" xr:uid="{00000000-0005-0000-0000-00007E9C0000}"/>
    <cellStyle name="Normal 58 7 2 2 2" xfId="45307" xr:uid="{00000000-0005-0000-0000-00007F9C0000}"/>
    <cellStyle name="Normal 58 7 2 2 2 2" xfId="45309" xr:uid="{00000000-0005-0000-0000-0000809C0000}"/>
    <cellStyle name="Normal 58 7 2 2 2 2 2" xfId="45311" xr:uid="{00000000-0005-0000-0000-0000819C0000}"/>
    <cellStyle name="Normal 58 7 2 2 2 3" xfId="45313" xr:uid="{00000000-0005-0000-0000-0000829C0000}"/>
    <cellStyle name="Normal 58 7 2 2 3" xfId="45315" xr:uid="{00000000-0005-0000-0000-0000839C0000}"/>
    <cellStyle name="Normal 58 7 2 2 3 2" xfId="39169" xr:uid="{00000000-0005-0000-0000-0000849C0000}"/>
    <cellStyle name="Normal 58 7 2 2 4" xfId="25374" xr:uid="{00000000-0005-0000-0000-0000859C0000}"/>
    <cellStyle name="Normal 58 7 2 3" xfId="45317" xr:uid="{00000000-0005-0000-0000-0000869C0000}"/>
    <cellStyle name="Normal 58 7 2 3 2" xfId="45319" xr:uid="{00000000-0005-0000-0000-0000879C0000}"/>
    <cellStyle name="Normal 58 7 2 3 2 2" xfId="45321" xr:uid="{00000000-0005-0000-0000-0000889C0000}"/>
    <cellStyle name="Normal 58 7 2 3 3" xfId="45323" xr:uid="{00000000-0005-0000-0000-0000899C0000}"/>
    <cellStyle name="Normal 58 7 2 4" xfId="45325" xr:uid="{00000000-0005-0000-0000-00008A9C0000}"/>
    <cellStyle name="Normal 58 7 2 4 2" xfId="45327" xr:uid="{00000000-0005-0000-0000-00008B9C0000}"/>
    <cellStyle name="Normal 58 7 2 4 2 2" xfId="45329" xr:uid="{00000000-0005-0000-0000-00008C9C0000}"/>
    <cellStyle name="Normal 58 7 2 4 3" xfId="45331" xr:uid="{00000000-0005-0000-0000-00008D9C0000}"/>
    <cellStyle name="Normal 58 7 2 5" xfId="45333" xr:uid="{00000000-0005-0000-0000-00008E9C0000}"/>
    <cellStyle name="Normal 58 7 2 5 2" xfId="45335" xr:uid="{00000000-0005-0000-0000-00008F9C0000}"/>
    <cellStyle name="Normal 58 7 2 6" xfId="45337" xr:uid="{00000000-0005-0000-0000-0000909C0000}"/>
    <cellStyle name="Normal 58 7 2 6 2" xfId="45339" xr:uid="{00000000-0005-0000-0000-0000919C0000}"/>
    <cellStyle name="Normal 58 7 2 7" xfId="45341" xr:uid="{00000000-0005-0000-0000-0000929C0000}"/>
    <cellStyle name="Normal 58 7 2 8" xfId="45343" xr:uid="{00000000-0005-0000-0000-0000939C0000}"/>
    <cellStyle name="Normal 58 7 3" xfId="45345" xr:uid="{00000000-0005-0000-0000-0000949C0000}"/>
    <cellStyle name="Normal 58 7 3 2" xfId="45347" xr:uid="{00000000-0005-0000-0000-0000959C0000}"/>
    <cellStyle name="Normal 58 7 3 2 2" xfId="45349" xr:uid="{00000000-0005-0000-0000-0000969C0000}"/>
    <cellStyle name="Normal 58 7 3 2 2 2" xfId="21923" xr:uid="{00000000-0005-0000-0000-0000979C0000}"/>
    <cellStyle name="Normal 58 7 3 2 3" xfId="45351" xr:uid="{00000000-0005-0000-0000-0000989C0000}"/>
    <cellStyle name="Normal 58 7 3 3" xfId="45353" xr:uid="{00000000-0005-0000-0000-0000999C0000}"/>
    <cellStyle name="Normal 58 7 3 3 2" xfId="45355" xr:uid="{00000000-0005-0000-0000-00009A9C0000}"/>
    <cellStyle name="Normal 58 7 3 4" xfId="43112" xr:uid="{00000000-0005-0000-0000-00009B9C0000}"/>
    <cellStyle name="Normal 58 7 4" xfId="45357" xr:uid="{00000000-0005-0000-0000-00009C9C0000}"/>
    <cellStyle name="Normal 58 7 4 2" xfId="45359" xr:uid="{00000000-0005-0000-0000-00009D9C0000}"/>
    <cellStyle name="Normal 58 7 4 2 2" xfId="45361" xr:uid="{00000000-0005-0000-0000-00009E9C0000}"/>
    <cellStyle name="Normal 58 7 4 3" xfId="45363" xr:uid="{00000000-0005-0000-0000-00009F9C0000}"/>
    <cellStyle name="Normal 58 7 5" xfId="45365" xr:uid="{00000000-0005-0000-0000-0000A09C0000}"/>
    <cellStyle name="Normal 58 7 5 2" xfId="45367" xr:uid="{00000000-0005-0000-0000-0000A19C0000}"/>
    <cellStyle name="Normal 58 7 5 2 2" xfId="45369" xr:uid="{00000000-0005-0000-0000-0000A29C0000}"/>
    <cellStyle name="Normal 58 7 5 3" xfId="45371" xr:uid="{00000000-0005-0000-0000-0000A39C0000}"/>
    <cellStyle name="Normal 58 7 6" xfId="45373" xr:uid="{00000000-0005-0000-0000-0000A49C0000}"/>
    <cellStyle name="Normal 58 7 6 2" xfId="45375" xr:uid="{00000000-0005-0000-0000-0000A59C0000}"/>
    <cellStyle name="Normal 58 7 7" xfId="45377" xr:uid="{00000000-0005-0000-0000-0000A69C0000}"/>
    <cellStyle name="Normal 58 7 7 2" xfId="45379" xr:uid="{00000000-0005-0000-0000-0000A79C0000}"/>
    <cellStyle name="Normal 58 7 8" xfId="45381" xr:uid="{00000000-0005-0000-0000-0000A89C0000}"/>
    <cellStyle name="Normal 58 7 9" xfId="45383" xr:uid="{00000000-0005-0000-0000-0000A99C0000}"/>
    <cellStyle name="Normal 58 8" xfId="45385" xr:uid="{00000000-0005-0000-0000-0000AA9C0000}"/>
    <cellStyle name="Normal 58 8 2" xfId="45387" xr:uid="{00000000-0005-0000-0000-0000AB9C0000}"/>
    <cellStyle name="Normal 58 8 2 2" xfId="45389" xr:uid="{00000000-0005-0000-0000-0000AC9C0000}"/>
    <cellStyle name="Normal 58 8 2 2 2" xfId="45391" xr:uid="{00000000-0005-0000-0000-0000AD9C0000}"/>
    <cellStyle name="Normal 58 8 2 2 2 2" xfId="8231" xr:uid="{00000000-0005-0000-0000-0000AE9C0000}"/>
    <cellStyle name="Normal 58 8 2 2 3" xfId="44704" xr:uid="{00000000-0005-0000-0000-0000AF9C0000}"/>
    <cellStyle name="Normal 58 8 2 3" xfId="45393" xr:uid="{00000000-0005-0000-0000-0000B09C0000}"/>
    <cellStyle name="Normal 58 8 2 3 2" xfId="45396" xr:uid="{00000000-0005-0000-0000-0000B19C0000}"/>
    <cellStyle name="Normal 58 8 2 4" xfId="45398" xr:uid="{00000000-0005-0000-0000-0000B29C0000}"/>
    <cellStyle name="Normal 58 8 3" xfId="45400" xr:uid="{00000000-0005-0000-0000-0000B39C0000}"/>
    <cellStyle name="Normal 58 8 3 2" xfId="45402" xr:uid="{00000000-0005-0000-0000-0000B49C0000}"/>
    <cellStyle name="Normal 58 8 3 2 2" xfId="45404" xr:uid="{00000000-0005-0000-0000-0000B59C0000}"/>
    <cellStyle name="Normal 58 8 3 3" xfId="45406" xr:uid="{00000000-0005-0000-0000-0000B69C0000}"/>
    <cellStyle name="Normal 58 8 4" xfId="45408" xr:uid="{00000000-0005-0000-0000-0000B79C0000}"/>
    <cellStyle name="Normal 58 8 4 2" xfId="45410" xr:uid="{00000000-0005-0000-0000-0000B89C0000}"/>
    <cellStyle name="Normal 58 8 4 2 2" xfId="45412" xr:uid="{00000000-0005-0000-0000-0000B99C0000}"/>
    <cellStyle name="Normal 58 8 4 3" xfId="45414" xr:uid="{00000000-0005-0000-0000-0000BA9C0000}"/>
    <cellStyle name="Normal 58 8 5" xfId="45416" xr:uid="{00000000-0005-0000-0000-0000BB9C0000}"/>
    <cellStyle name="Normal 58 8 5 2" xfId="45418" xr:uid="{00000000-0005-0000-0000-0000BC9C0000}"/>
    <cellStyle name="Normal 58 8 6" xfId="45420" xr:uid="{00000000-0005-0000-0000-0000BD9C0000}"/>
    <cellStyle name="Normal 58 8 6 2" xfId="45422" xr:uid="{00000000-0005-0000-0000-0000BE9C0000}"/>
    <cellStyle name="Normal 58 8 7" xfId="45424" xr:uid="{00000000-0005-0000-0000-0000BF9C0000}"/>
    <cellStyle name="Normal 58 8 8" xfId="45426" xr:uid="{00000000-0005-0000-0000-0000C09C0000}"/>
    <cellStyle name="Normal 58 9" xfId="45428" xr:uid="{00000000-0005-0000-0000-0000C19C0000}"/>
    <cellStyle name="Normal 58 9 2" xfId="14462" xr:uid="{00000000-0005-0000-0000-0000C29C0000}"/>
    <cellStyle name="Normal 58 9 2 2" xfId="45430" xr:uid="{00000000-0005-0000-0000-0000C39C0000}"/>
    <cellStyle name="Normal 58 9 2 2 2" xfId="45432" xr:uid="{00000000-0005-0000-0000-0000C49C0000}"/>
    <cellStyle name="Normal 58 9 2 3" xfId="45434" xr:uid="{00000000-0005-0000-0000-0000C59C0000}"/>
    <cellStyle name="Normal 58 9 3" xfId="14471" xr:uid="{00000000-0005-0000-0000-0000C69C0000}"/>
    <cellStyle name="Normal 58 9 3 2" xfId="35056" xr:uid="{00000000-0005-0000-0000-0000C79C0000}"/>
    <cellStyle name="Normal 58 9 4" xfId="45436" xr:uid="{00000000-0005-0000-0000-0000C89C0000}"/>
    <cellStyle name="Normal 59" xfId="45438" xr:uid="{00000000-0005-0000-0000-0000C99C0000}"/>
    <cellStyle name="Normal 59 10" xfId="45439" xr:uid="{00000000-0005-0000-0000-0000CA9C0000}"/>
    <cellStyle name="Normal 59 10 2" xfId="32284" xr:uid="{00000000-0005-0000-0000-0000CB9C0000}"/>
    <cellStyle name="Normal 59 10 2 2" xfId="45440" xr:uid="{00000000-0005-0000-0000-0000CC9C0000}"/>
    <cellStyle name="Normal 59 10 3" xfId="45441" xr:uid="{00000000-0005-0000-0000-0000CD9C0000}"/>
    <cellStyle name="Normal 59 11" xfId="45443" xr:uid="{00000000-0005-0000-0000-0000CE9C0000}"/>
    <cellStyle name="Normal 59 11 2" xfId="45445" xr:uid="{00000000-0005-0000-0000-0000CF9C0000}"/>
    <cellStyle name="Normal 59 11 2 2" xfId="45446" xr:uid="{00000000-0005-0000-0000-0000D09C0000}"/>
    <cellStyle name="Normal 59 11 3" xfId="45447" xr:uid="{00000000-0005-0000-0000-0000D19C0000}"/>
    <cellStyle name="Normal 59 12" xfId="34887" xr:uid="{00000000-0005-0000-0000-0000D29C0000}"/>
    <cellStyle name="Normal 59 12 2" xfId="45448" xr:uid="{00000000-0005-0000-0000-0000D39C0000}"/>
    <cellStyle name="Normal 59 13" xfId="45449" xr:uid="{00000000-0005-0000-0000-0000D49C0000}"/>
    <cellStyle name="Normal 59 13 2" xfId="3560" xr:uid="{00000000-0005-0000-0000-0000D59C0000}"/>
    <cellStyle name="Normal 59 14" xfId="45450" xr:uid="{00000000-0005-0000-0000-0000D69C0000}"/>
    <cellStyle name="Normal 59 14 2" xfId="45451" xr:uid="{00000000-0005-0000-0000-0000D79C0000}"/>
    <cellStyle name="Normal 59 15" xfId="45452" xr:uid="{00000000-0005-0000-0000-0000D89C0000}"/>
    <cellStyle name="Normal 59 16" xfId="45453" xr:uid="{00000000-0005-0000-0000-0000D99C0000}"/>
    <cellStyle name="Normal 59 2" xfId="45455" xr:uid="{00000000-0005-0000-0000-0000DA9C0000}"/>
    <cellStyle name="Normal 59 2 10" xfId="45456" xr:uid="{00000000-0005-0000-0000-0000DB9C0000}"/>
    <cellStyle name="Normal 59 2 10 2" xfId="45457" xr:uid="{00000000-0005-0000-0000-0000DC9C0000}"/>
    <cellStyle name="Normal 59 2 11" xfId="12414" xr:uid="{00000000-0005-0000-0000-0000DD9C0000}"/>
    <cellStyle name="Normal 59 2 11 2" xfId="12416" xr:uid="{00000000-0005-0000-0000-0000DE9C0000}"/>
    <cellStyle name="Normal 59 2 12" xfId="10839" xr:uid="{00000000-0005-0000-0000-0000DF9C0000}"/>
    <cellStyle name="Normal 59 2 12 2" xfId="45458" xr:uid="{00000000-0005-0000-0000-0000E09C0000}"/>
    <cellStyle name="Normal 59 2 13" xfId="10851" xr:uid="{00000000-0005-0000-0000-0000E19C0000}"/>
    <cellStyle name="Normal 59 2 14" xfId="27335" xr:uid="{00000000-0005-0000-0000-0000E29C0000}"/>
    <cellStyle name="Normal 59 2 2" xfId="9579" xr:uid="{00000000-0005-0000-0000-0000E39C0000}"/>
    <cellStyle name="Normal 59 2 2 10" xfId="34351" xr:uid="{00000000-0005-0000-0000-0000E49C0000}"/>
    <cellStyle name="Normal 59 2 2 2" xfId="9589" xr:uid="{00000000-0005-0000-0000-0000E59C0000}"/>
    <cellStyle name="Normal 59 2 2 2 2" xfId="45459" xr:uid="{00000000-0005-0000-0000-0000E69C0000}"/>
    <cellStyle name="Normal 59 2 2 2 2 2" xfId="45460" xr:uid="{00000000-0005-0000-0000-0000E79C0000}"/>
    <cellStyle name="Normal 59 2 2 2 2 2 2" xfId="45461" xr:uid="{00000000-0005-0000-0000-0000E89C0000}"/>
    <cellStyle name="Normal 59 2 2 2 2 2 2 2" xfId="29146" xr:uid="{00000000-0005-0000-0000-0000E99C0000}"/>
    <cellStyle name="Normal 59 2 2 2 2 2 2 2 2" xfId="29149" xr:uid="{00000000-0005-0000-0000-0000EA9C0000}"/>
    <cellStyle name="Normal 59 2 2 2 2 2 2 3" xfId="29158" xr:uid="{00000000-0005-0000-0000-0000EB9C0000}"/>
    <cellStyle name="Normal 59 2 2 2 2 2 3" xfId="45462" xr:uid="{00000000-0005-0000-0000-0000EC9C0000}"/>
    <cellStyle name="Normal 59 2 2 2 2 2 3 2" xfId="29188" xr:uid="{00000000-0005-0000-0000-0000ED9C0000}"/>
    <cellStyle name="Normal 59 2 2 2 2 2 4" xfId="45463" xr:uid="{00000000-0005-0000-0000-0000EE9C0000}"/>
    <cellStyle name="Normal 59 2 2 2 2 3" xfId="45464" xr:uid="{00000000-0005-0000-0000-0000EF9C0000}"/>
    <cellStyle name="Normal 59 2 2 2 2 3 2" xfId="45465" xr:uid="{00000000-0005-0000-0000-0000F09C0000}"/>
    <cellStyle name="Normal 59 2 2 2 2 3 2 2" xfId="29234" xr:uid="{00000000-0005-0000-0000-0000F19C0000}"/>
    <cellStyle name="Normal 59 2 2 2 2 3 3" xfId="45466" xr:uid="{00000000-0005-0000-0000-0000F29C0000}"/>
    <cellStyle name="Normal 59 2 2 2 2 4" xfId="45467" xr:uid="{00000000-0005-0000-0000-0000F39C0000}"/>
    <cellStyle name="Normal 59 2 2 2 2 4 2" xfId="45468" xr:uid="{00000000-0005-0000-0000-0000F49C0000}"/>
    <cellStyle name="Normal 59 2 2 2 2 4 2 2" xfId="29315" xr:uid="{00000000-0005-0000-0000-0000F59C0000}"/>
    <cellStyle name="Normal 59 2 2 2 2 4 3" xfId="45469" xr:uid="{00000000-0005-0000-0000-0000F69C0000}"/>
    <cellStyle name="Normal 59 2 2 2 2 5" xfId="45470" xr:uid="{00000000-0005-0000-0000-0000F79C0000}"/>
    <cellStyle name="Normal 59 2 2 2 2 5 2" xfId="45471" xr:uid="{00000000-0005-0000-0000-0000F89C0000}"/>
    <cellStyle name="Normal 59 2 2 2 2 6" xfId="45472" xr:uid="{00000000-0005-0000-0000-0000F99C0000}"/>
    <cellStyle name="Normal 59 2 2 2 2 6 2" xfId="45473" xr:uid="{00000000-0005-0000-0000-0000FA9C0000}"/>
    <cellStyle name="Normal 59 2 2 2 2 7" xfId="45474" xr:uid="{00000000-0005-0000-0000-0000FB9C0000}"/>
    <cellStyle name="Normal 59 2 2 2 2 8" xfId="25748" xr:uid="{00000000-0005-0000-0000-0000FC9C0000}"/>
    <cellStyle name="Normal 59 2 2 2 3" xfId="45475" xr:uid="{00000000-0005-0000-0000-0000FD9C0000}"/>
    <cellStyle name="Normal 59 2 2 2 3 2" xfId="45476" xr:uid="{00000000-0005-0000-0000-0000FE9C0000}"/>
    <cellStyle name="Normal 59 2 2 2 3 2 2" xfId="45477" xr:uid="{00000000-0005-0000-0000-0000FF9C0000}"/>
    <cellStyle name="Normal 59 2 2 2 3 2 2 2" xfId="31120" xr:uid="{00000000-0005-0000-0000-0000009D0000}"/>
    <cellStyle name="Normal 59 2 2 2 3 2 3" xfId="36378" xr:uid="{00000000-0005-0000-0000-0000019D0000}"/>
    <cellStyle name="Normal 59 2 2 2 3 3" xfId="45478" xr:uid="{00000000-0005-0000-0000-0000029D0000}"/>
    <cellStyle name="Normal 59 2 2 2 3 3 2" xfId="45479" xr:uid="{00000000-0005-0000-0000-0000039D0000}"/>
    <cellStyle name="Normal 59 2 2 2 3 4" xfId="45480" xr:uid="{00000000-0005-0000-0000-0000049D0000}"/>
    <cellStyle name="Normal 59 2 2 2 4" xfId="45481" xr:uid="{00000000-0005-0000-0000-0000059D0000}"/>
    <cellStyle name="Normal 59 2 2 2 4 2" xfId="45482" xr:uid="{00000000-0005-0000-0000-0000069D0000}"/>
    <cellStyle name="Normal 59 2 2 2 4 2 2" xfId="45483" xr:uid="{00000000-0005-0000-0000-0000079D0000}"/>
    <cellStyle name="Normal 59 2 2 2 4 3" xfId="45484" xr:uid="{00000000-0005-0000-0000-0000089D0000}"/>
    <cellStyle name="Normal 59 2 2 2 5" xfId="16773" xr:uid="{00000000-0005-0000-0000-0000099D0000}"/>
    <cellStyle name="Normal 59 2 2 2 5 2" xfId="36531" xr:uid="{00000000-0005-0000-0000-00000A9D0000}"/>
    <cellStyle name="Normal 59 2 2 2 5 2 2" xfId="36535" xr:uid="{00000000-0005-0000-0000-00000B9D0000}"/>
    <cellStyle name="Normal 59 2 2 2 5 3" xfId="8214" xr:uid="{00000000-0005-0000-0000-00000C9D0000}"/>
    <cellStyle name="Normal 59 2 2 2 6" xfId="45485" xr:uid="{00000000-0005-0000-0000-00000D9D0000}"/>
    <cellStyle name="Normal 59 2 2 2 6 2" xfId="36544" xr:uid="{00000000-0005-0000-0000-00000E9D0000}"/>
    <cellStyle name="Normal 59 2 2 2 7" xfId="45486" xr:uid="{00000000-0005-0000-0000-00000F9D0000}"/>
    <cellStyle name="Normal 59 2 2 2 7 2" xfId="45487" xr:uid="{00000000-0005-0000-0000-0000109D0000}"/>
    <cellStyle name="Normal 59 2 2 2 8" xfId="43464" xr:uid="{00000000-0005-0000-0000-0000119D0000}"/>
    <cellStyle name="Normal 59 2 2 2 9" xfId="45488" xr:uid="{00000000-0005-0000-0000-0000129D0000}"/>
    <cellStyle name="Normal 59 2 2 3" xfId="45489" xr:uid="{00000000-0005-0000-0000-0000139D0000}"/>
    <cellStyle name="Normal 59 2 2 3 2" xfId="30691" xr:uid="{00000000-0005-0000-0000-0000149D0000}"/>
    <cellStyle name="Normal 59 2 2 3 2 2" xfId="30694" xr:uid="{00000000-0005-0000-0000-0000159D0000}"/>
    <cellStyle name="Normal 59 2 2 3 2 2 2" xfId="45490" xr:uid="{00000000-0005-0000-0000-0000169D0000}"/>
    <cellStyle name="Normal 59 2 2 3 2 2 2 2" xfId="45491" xr:uid="{00000000-0005-0000-0000-0000179D0000}"/>
    <cellStyle name="Normal 59 2 2 3 2 2 3" xfId="45492" xr:uid="{00000000-0005-0000-0000-0000189D0000}"/>
    <cellStyle name="Normal 59 2 2 3 2 3" xfId="45493" xr:uid="{00000000-0005-0000-0000-0000199D0000}"/>
    <cellStyle name="Normal 59 2 2 3 2 3 2" xfId="45494" xr:uid="{00000000-0005-0000-0000-00001A9D0000}"/>
    <cellStyle name="Normal 59 2 2 3 2 4" xfId="45495" xr:uid="{00000000-0005-0000-0000-00001B9D0000}"/>
    <cellStyle name="Normal 59 2 2 3 3" xfId="21675" xr:uid="{00000000-0005-0000-0000-00001C9D0000}"/>
    <cellStyle name="Normal 59 2 2 3 3 2" xfId="30697" xr:uid="{00000000-0005-0000-0000-00001D9D0000}"/>
    <cellStyle name="Normal 59 2 2 3 3 2 2" xfId="45496" xr:uid="{00000000-0005-0000-0000-00001E9D0000}"/>
    <cellStyle name="Normal 59 2 2 3 3 3" xfId="45497" xr:uid="{00000000-0005-0000-0000-00001F9D0000}"/>
    <cellStyle name="Normal 59 2 2 3 4" xfId="30700" xr:uid="{00000000-0005-0000-0000-0000209D0000}"/>
    <cellStyle name="Normal 59 2 2 3 4 2" xfId="45498" xr:uid="{00000000-0005-0000-0000-0000219D0000}"/>
    <cellStyle name="Normal 59 2 2 3 4 2 2" xfId="45499" xr:uid="{00000000-0005-0000-0000-0000229D0000}"/>
    <cellStyle name="Normal 59 2 2 3 4 3" xfId="45500" xr:uid="{00000000-0005-0000-0000-0000239D0000}"/>
    <cellStyle name="Normal 59 2 2 3 5" xfId="30703" xr:uid="{00000000-0005-0000-0000-0000249D0000}"/>
    <cellStyle name="Normal 59 2 2 3 5 2" xfId="36564" xr:uid="{00000000-0005-0000-0000-0000259D0000}"/>
    <cellStyle name="Normal 59 2 2 3 6" xfId="45501" xr:uid="{00000000-0005-0000-0000-0000269D0000}"/>
    <cellStyle name="Normal 59 2 2 3 6 2" xfId="45502" xr:uid="{00000000-0005-0000-0000-0000279D0000}"/>
    <cellStyle name="Normal 59 2 2 3 7" xfId="45503" xr:uid="{00000000-0005-0000-0000-0000289D0000}"/>
    <cellStyle name="Normal 59 2 2 3 8" xfId="45505" xr:uid="{00000000-0005-0000-0000-0000299D0000}"/>
    <cellStyle name="Normal 59 2 2 4" xfId="8023" xr:uid="{00000000-0005-0000-0000-00002A9D0000}"/>
    <cellStyle name="Normal 59 2 2 4 2" xfId="8038" xr:uid="{00000000-0005-0000-0000-00002B9D0000}"/>
    <cellStyle name="Normal 59 2 2 4 2 2" xfId="5408" xr:uid="{00000000-0005-0000-0000-00002C9D0000}"/>
    <cellStyle name="Normal 59 2 2 4 2 2 2" xfId="5420" xr:uid="{00000000-0005-0000-0000-00002D9D0000}"/>
    <cellStyle name="Normal 59 2 2 4 2 3" xfId="5429" xr:uid="{00000000-0005-0000-0000-00002E9D0000}"/>
    <cellStyle name="Normal 59 2 2 4 3" xfId="8075" xr:uid="{00000000-0005-0000-0000-00002F9D0000}"/>
    <cellStyle name="Normal 59 2 2 4 3 2" xfId="8081" xr:uid="{00000000-0005-0000-0000-0000309D0000}"/>
    <cellStyle name="Normal 59 2 2 4 4" xfId="8092" xr:uid="{00000000-0005-0000-0000-0000319D0000}"/>
    <cellStyle name="Normal 59 2 2 5" xfId="3927" xr:uid="{00000000-0005-0000-0000-0000329D0000}"/>
    <cellStyle name="Normal 59 2 2 5 2" xfId="3951" xr:uid="{00000000-0005-0000-0000-0000339D0000}"/>
    <cellStyle name="Normal 59 2 2 5 2 2" xfId="3967" xr:uid="{00000000-0005-0000-0000-0000349D0000}"/>
    <cellStyle name="Normal 59 2 2 5 3" xfId="3450" xr:uid="{00000000-0005-0000-0000-0000359D0000}"/>
    <cellStyle name="Normal 59 2 2 6" xfId="4311" xr:uid="{00000000-0005-0000-0000-0000369D0000}"/>
    <cellStyle name="Normal 59 2 2 6 2" xfId="4313" xr:uid="{00000000-0005-0000-0000-0000379D0000}"/>
    <cellStyle name="Normal 59 2 2 6 2 2" xfId="745" xr:uid="{00000000-0005-0000-0000-0000389D0000}"/>
    <cellStyle name="Normal 59 2 2 6 3" xfId="4359" xr:uid="{00000000-0005-0000-0000-0000399D0000}"/>
    <cellStyle name="Normal 59 2 2 7" xfId="4407" xr:uid="{00000000-0005-0000-0000-00003A9D0000}"/>
    <cellStyle name="Normal 59 2 2 7 2" xfId="4431" xr:uid="{00000000-0005-0000-0000-00003B9D0000}"/>
    <cellStyle name="Normal 59 2 2 8" xfId="3280" xr:uid="{00000000-0005-0000-0000-00003C9D0000}"/>
    <cellStyle name="Normal 59 2 2 8 2" xfId="4680" xr:uid="{00000000-0005-0000-0000-00003D9D0000}"/>
    <cellStyle name="Normal 59 2 2 9" xfId="4904" xr:uid="{00000000-0005-0000-0000-00003E9D0000}"/>
    <cellStyle name="Normal 59 2 3" xfId="9594" xr:uid="{00000000-0005-0000-0000-00003F9D0000}"/>
    <cellStyle name="Normal 59 2 3 2" xfId="45506" xr:uid="{00000000-0005-0000-0000-0000409D0000}"/>
    <cellStyle name="Normal 59 2 3 2 2" xfId="45507" xr:uid="{00000000-0005-0000-0000-0000419D0000}"/>
    <cellStyle name="Normal 59 2 3 2 2 2" xfId="45508" xr:uid="{00000000-0005-0000-0000-0000429D0000}"/>
    <cellStyle name="Normal 59 2 3 2 2 2 2" xfId="45509" xr:uid="{00000000-0005-0000-0000-0000439D0000}"/>
    <cellStyle name="Normal 59 2 3 2 2 2 2 2" xfId="45510" xr:uid="{00000000-0005-0000-0000-0000449D0000}"/>
    <cellStyle name="Normal 59 2 3 2 2 2 3" xfId="45511" xr:uid="{00000000-0005-0000-0000-0000459D0000}"/>
    <cellStyle name="Normal 59 2 3 2 2 3" xfId="45512" xr:uid="{00000000-0005-0000-0000-0000469D0000}"/>
    <cellStyle name="Normal 59 2 3 2 2 3 2" xfId="45513" xr:uid="{00000000-0005-0000-0000-0000479D0000}"/>
    <cellStyle name="Normal 59 2 3 2 2 4" xfId="13438" xr:uid="{00000000-0005-0000-0000-0000489D0000}"/>
    <cellStyle name="Normal 59 2 3 2 2 5" xfId="45514" xr:uid="{00000000-0005-0000-0000-0000499D0000}"/>
    <cellStyle name="Normal 59 2 3 2 3" xfId="45515" xr:uid="{00000000-0005-0000-0000-00004A9D0000}"/>
    <cellStyle name="Normal 59 2 3 2 3 2" xfId="45516" xr:uid="{00000000-0005-0000-0000-00004B9D0000}"/>
    <cellStyle name="Normal 59 2 3 2 3 2 2" xfId="45517" xr:uid="{00000000-0005-0000-0000-00004C9D0000}"/>
    <cellStyle name="Normal 59 2 3 2 3 3" xfId="45518" xr:uid="{00000000-0005-0000-0000-00004D9D0000}"/>
    <cellStyle name="Normal 59 2 3 2 4" xfId="45519" xr:uid="{00000000-0005-0000-0000-00004E9D0000}"/>
    <cellStyle name="Normal 59 2 3 2 4 2" xfId="45520" xr:uid="{00000000-0005-0000-0000-00004F9D0000}"/>
    <cellStyle name="Normal 59 2 3 2 4 2 2" xfId="38662" xr:uid="{00000000-0005-0000-0000-0000509D0000}"/>
    <cellStyle name="Normal 59 2 3 2 4 3" xfId="45521" xr:uid="{00000000-0005-0000-0000-0000519D0000}"/>
    <cellStyle name="Normal 59 2 3 2 5" xfId="45522" xr:uid="{00000000-0005-0000-0000-0000529D0000}"/>
    <cellStyle name="Normal 59 2 3 2 5 2" xfId="45523" xr:uid="{00000000-0005-0000-0000-0000539D0000}"/>
    <cellStyle name="Normal 59 2 3 2 6" xfId="45526" xr:uid="{00000000-0005-0000-0000-0000549D0000}"/>
    <cellStyle name="Normal 59 2 3 2 6 2" xfId="45527" xr:uid="{00000000-0005-0000-0000-0000559D0000}"/>
    <cellStyle name="Normal 59 2 3 2 7" xfId="45528" xr:uid="{00000000-0005-0000-0000-0000569D0000}"/>
    <cellStyle name="Normal 59 2 3 2 8" xfId="45529" xr:uid="{00000000-0005-0000-0000-0000579D0000}"/>
    <cellStyle name="Normal 59 2 3 3" xfId="45530" xr:uid="{00000000-0005-0000-0000-0000589D0000}"/>
    <cellStyle name="Normal 59 2 3 3 2" xfId="22114" xr:uid="{00000000-0005-0000-0000-0000599D0000}"/>
    <cellStyle name="Normal 59 2 3 3 2 2" xfId="9283" xr:uid="{00000000-0005-0000-0000-00005A9D0000}"/>
    <cellStyle name="Normal 59 2 3 3 2 2 2" xfId="45531" xr:uid="{00000000-0005-0000-0000-00005B9D0000}"/>
    <cellStyle name="Normal 59 2 3 3 2 3" xfId="45532" xr:uid="{00000000-0005-0000-0000-00005C9D0000}"/>
    <cellStyle name="Normal 59 2 3 3 3" xfId="30766" xr:uid="{00000000-0005-0000-0000-00005D9D0000}"/>
    <cellStyle name="Normal 59 2 3 3 3 2" xfId="30769" xr:uid="{00000000-0005-0000-0000-00005E9D0000}"/>
    <cellStyle name="Normal 59 2 3 3 4" xfId="30772" xr:uid="{00000000-0005-0000-0000-00005F9D0000}"/>
    <cellStyle name="Normal 59 2 3 3 5" xfId="30775" xr:uid="{00000000-0005-0000-0000-0000609D0000}"/>
    <cellStyle name="Normal 59 2 3 4" xfId="8145" xr:uid="{00000000-0005-0000-0000-0000619D0000}"/>
    <cellStyle name="Normal 59 2 3 4 2" xfId="8151" xr:uid="{00000000-0005-0000-0000-0000629D0000}"/>
    <cellStyle name="Normal 59 2 3 4 2 2" xfId="6987" xr:uid="{00000000-0005-0000-0000-0000639D0000}"/>
    <cellStyle name="Normal 59 2 3 4 3" xfId="8189" xr:uid="{00000000-0005-0000-0000-0000649D0000}"/>
    <cellStyle name="Normal 59 2 3 5" xfId="5022" xr:uid="{00000000-0005-0000-0000-0000659D0000}"/>
    <cellStyle name="Normal 59 2 3 5 2" xfId="5033" xr:uid="{00000000-0005-0000-0000-0000669D0000}"/>
    <cellStyle name="Normal 59 2 3 5 2 2" xfId="5042" xr:uid="{00000000-0005-0000-0000-0000679D0000}"/>
    <cellStyle name="Normal 59 2 3 5 3" xfId="5069" xr:uid="{00000000-0005-0000-0000-0000689D0000}"/>
    <cellStyle name="Normal 59 2 3 6" xfId="5106" xr:uid="{00000000-0005-0000-0000-0000699D0000}"/>
    <cellStyle name="Normal 59 2 3 6 2" xfId="5115" xr:uid="{00000000-0005-0000-0000-00006A9D0000}"/>
    <cellStyle name="Normal 59 2 3 7" xfId="3232" xr:uid="{00000000-0005-0000-0000-00006B9D0000}"/>
    <cellStyle name="Normal 59 2 3 7 2" xfId="5138" xr:uid="{00000000-0005-0000-0000-00006C9D0000}"/>
    <cellStyle name="Normal 59 2 3 8" xfId="5165" xr:uid="{00000000-0005-0000-0000-00006D9D0000}"/>
    <cellStyle name="Normal 59 2 3 9" xfId="5188" xr:uid="{00000000-0005-0000-0000-00006E9D0000}"/>
    <cellStyle name="Normal 59 2 4" xfId="13342" xr:uid="{00000000-0005-0000-0000-00006F9D0000}"/>
    <cellStyle name="Normal 59 2 4 2" xfId="45533" xr:uid="{00000000-0005-0000-0000-0000709D0000}"/>
    <cellStyle name="Normal 59 2 4 2 2" xfId="45534" xr:uid="{00000000-0005-0000-0000-0000719D0000}"/>
    <cellStyle name="Normal 59 2 4 2 2 2" xfId="45535" xr:uid="{00000000-0005-0000-0000-0000729D0000}"/>
    <cellStyle name="Normal 59 2 4 2 2 2 2" xfId="45537" xr:uid="{00000000-0005-0000-0000-0000739D0000}"/>
    <cellStyle name="Normal 59 2 4 2 2 2 2 2" xfId="45539" xr:uid="{00000000-0005-0000-0000-0000749D0000}"/>
    <cellStyle name="Normal 59 2 4 2 2 2 3" xfId="45541" xr:uid="{00000000-0005-0000-0000-0000759D0000}"/>
    <cellStyle name="Normal 59 2 4 2 2 3" xfId="45542" xr:uid="{00000000-0005-0000-0000-0000769D0000}"/>
    <cellStyle name="Normal 59 2 4 2 2 3 2" xfId="45543" xr:uid="{00000000-0005-0000-0000-0000779D0000}"/>
    <cellStyle name="Normal 59 2 4 2 2 4" xfId="45544" xr:uid="{00000000-0005-0000-0000-0000789D0000}"/>
    <cellStyle name="Normal 59 2 4 2 3" xfId="45545" xr:uid="{00000000-0005-0000-0000-0000799D0000}"/>
    <cellStyle name="Normal 59 2 4 2 3 2" xfId="45546" xr:uid="{00000000-0005-0000-0000-00007A9D0000}"/>
    <cellStyle name="Normal 59 2 4 2 3 2 2" xfId="45547" xr:uid="{00000000-0005-0000-0000-00007B9D0000}"/>
    <cellStyle name="Normal 59 2 4 2 3 3" xfId="45548" xr:uid="{00000000-0005-0000-0000-00007C9D0000}"/>
    <cellStyle name="Normal 59 2 4 2 4" xfId="45549" xr:uid="{00000000-0005-0000-0000-00007D9D0000}"/>
    <cellStyle name="Normal 59 2 4 2 4 2" xfId="45550" xr:uid="{00000000-0005-0000-0000-00007E9D0000}"/>
    <cellStyle name="Normal 59 2 4 2 4 2 2" xfId="23449" xr:uid="{00000000-0005-0000-0000-00007F9D0000}"/>
    <cellStyle name="Normal 59 2 4 2 4 3" xfId="45551" xr:uid="{00000000-0005-0000-0000-0000809D0000}"/>
    <cellStyle name="Normal 59 2 4 2 5" xfId="45552" xr:uid="{00000000-0005-0000-0000-0000819D0000}"/>
    <cellStyle name="Normal 59 2 4 2 5 2" xfId="45553" xr:uid="{00000000-0005-0000-0000-0000829D0000}"/>
    <cellStyle name="Normal 59 2 4 2 6" xfId="32460" xr:uid="{00000000-0005-0000-0000-0000839D0000}"/>
    <cellStyle name="Normal 59 2 4 2 6 2" xfId="45554" xr:uid="{00000000-0005-0000-0000-0000849D0000}"/>
    <cellStyle name="Normal 59 2 4 2 7" xfId="37141" xr:uid="{00000000-0005-0000-0000-0000859D0000}"/>
    <cellStyle name="Normal 59 2 4 2 8" xfId="37146" xr:uid="{00000000-0005-0000-0000-0000869D0000}"/>
    <cellStyle name="Normal 59 2 4 3" xfId="45555" xr:uid="{00000000-0005-0000-0000-0000879D0000}"/>
    <cellStyle name="Normal 59 2 4 3 2" xfId="28578" xr:uid="{00000000-0005-0000-0000-0000889D0000}"/>
    <cellStyle name="Normal 59 2 4 3 2 2" xfId="30861" xr:uid="{00000000-0005-0000-0000-0000899D0000}"/>
    <cellStyle name="Normal 59 2 4 3 2 2 2" xfId="45556" xr:uid="{00000000-0005-0000-0000-00008A9D0000}"/>
    <cellStyle name="Normal 59 2 4 3 2 3" xfId="45557" xr:uid="{00000000-0005-0000-0000-00008B9D0000}"/>
    <cellStyle name="Normal 59 2 4 3 3" xfId="30864" xr:uid="{00000000-0005-0000-0000-00008C9D0000}"/>
    <cellStyle name="Normal 59 2 4 3 3 2" xfId="30867" xr:uid="{00000000-0005-0000-0000-00008D9D0000}"/>
    <cellStyle name="Normal 59 2 4 3 4" xfId="30870" xr:uid="{00000000-0005-0000-0000-00008E9D0000}"/>
    <cellStyle name="Normal 59 2 4 4" xfId="8246" xr:uid="{00000000-0005-0000-0000-00008F9D0000}"/>
    <cellStyle name="Normal 59 2 4 4 2" xfId="8249" xr:uid="{00000000-0005-0000-0000-0000909D0000}"/>
    <cellStyle name="Normal 59 2 4 4 2 2" xfId="7216" xr:uid="{00000000-0005-0000-0000-0000919D0000}"/>
    <cellStyle name="Normal 59 2 4 4 3" xfId="8265" xr:uid="{00000000-0005-0000-0000-0000929D0000}"/>
    <cellStyle name="Normal 59 2 4 5" xfId="5209" xr:uid="{00000000-0005-0000-0000-0000939D0000}"/>
    <cellStyle name="Normal 59 2 4 5 2" xfId="3496" xr:uid="{00000000-0005-0000-0000-0000949D0000}"/>
    <cellStyle name="Normal 59 2 4 5 2 2" xfId="3516" xr:uid="{00000000-0005-0000-0000-0000959D0000}"/>
    <cellStyle name="Normal 59 2 4 5 3" xfId="3567" xr:uid="{00000000-0005-0000-0000-0000969D0000}"/>
    <cellStyle name="Normal 59 2 4 6" xfId="180" xr:uid="{00000000-0005-0000-0000-0000979D0000}"/>
    <cellStyle name="Normal 59 2 4 6 2" xfId="562" xr:uid="{00000000-0005-0000-0000-0000989D0000}"/>
    <cellStyle name="Normal 59 2 4 7" xfId="1142" xr:uid="{00000000-0005-0000-0000-0000999D0000}"/>
    <cellStyle name="Normal 59 2 4 7 2" xfId="1171" xr:uid="{00000000-0005-0000-0000-00009A9D0000}"/>
    <cellStyle name="Normal 59 2 4 8" xfId="1297" xr:uid="{00000000-0005-0000-0000-00009B9D0000}"/>
    <cellStyle name="Normal 59 2 4 9" xfId="1360" xr:uid="{00000000-0005-0000-0000-00009C9D0000}"/>
    <cellStyle name="Normal 59 2 5" xfId="45558" xr:uid="{00000000-0005-0000-0000-00009D9D0000}"/>
    <cellStyle name="Normal 59 2 5 2" xfId="45559" xr:uid="{00000000-0005-0000-0000-00009E9D0000}"/>
    <cellStyle name="Normal 59 2 5 2 2" xfId="5446" xr:uid="{00000000-0005-0000-0000-00009F9D0000}"/>
    <cellStyle name="Normal 59 2 5 2 2 2" xfId="6800" xr:uid="{00000000-0005-0000-0000-0000A09D0000}"/>
    <cellStyle name="Normal 59 2 5 2 2 2 2" xfId="25321" xr:uid="{00000000-0005-0000-0000-0000A19D0000}"/>
    <cellStyle name="Normal 59 2 5 2 2 2 2 2" xfId="31478" xr:uid="{00000000-0005-0000-0000-0000A29D0000}"/>
    <cellStyle name="Normal 59 2 5 2 2 2 3" xfId="31484" xr:uid="{00000000-0005-0000-0000-0000A39D0000}"/>
    <cellStyle name="Normal 59 2 5 2 2 3" xfId="31489" xr:uid="{00000000-0005-0000-0000-0000A49D0000}"/>
    <cellStyle name="Normal 59 2 5 2 2 3 2" xfId="31492" xr:uid="{00000000-0005-0000-0000-0000A59D0000}"/>
    <cellStyle name="Normal 59 2 5 2 2 4" xfId="31499" xr:uid="{00000000-0005-0000-0000-0000A69D0000}"/>
    <cellStyle name="Normal 59 2 5 2 3" xfId="45560" xr:uid="{00000000-0005-0000-0000-0000A79D0000}"/>
    <cellStyle name="Normal 59 2 5 2 3 2" xfId="31525" xr:uid="{00000000-0005-0000-0000-0000A89D0000}"/>
    <cellStyle name="Normal 59 2 5 2 3 2 2" xfId="23809" xr:uid="{00000000-0005-0000-0000-0000A99D0000}"/>
    <cellStyle name="Normal 59 2 5 2 3 3" xfId="31532" xr:uid="{00000000-0005-0000-0000-0000AA9D0000}"/>
    <cellStyle name="Normal 59 2 5 2 4" xfId="45561" xr:uid="{00000000-0005-0000-0000-0000AB9D0000}"/>
    <cellStyle name="Normal 59 2 5 2 4 2" xfId="31393" xr:uid="{00000000-0005-0000-0000-0000AC9D0000}"/>
    <cellStyle name="Normal 59 2 5 2 4 2 2" xfId="31399" xr:uid="{00000000-0005-0000-0000-0000AD9D0000}"/>
    <cellStyle name="Normal 59 2 5 2 4 3" xfId="31405" xr:uid="{00000000-0005-0000-0000-0000AE9D0000}"/>
    <cellStyle name="Normal 59 2 5 2 5" xfId="45562" xr:uid="{00000000-0005-0000-0000-0000AF9D0000}"/>
    <cellStyle name="Normal 59 2 5 2 5 2" xfId="31563" xr:uid="{00000000-0005-0000-0000-0000B09D0000}"/>
    <cellStyle name="Normal 59 2 5 2 6" xfId="8796" xr:uid="{00000000-0005-0000-0000-0000B19D0000}"/>
    <cellStyle name="Normal 59 2 5 2 6 2" xfId="8322" xr:uid="{00000000-0005-0000-0000-0000B29D0000}"/>
    <cellStyle name="Normal 59 2 5 2 7" xfId="7655" xr:uid="{00000000-0005-0000-0000-0000B39D0000}"/>
    <cellStyle name="Normal 59 2 5 2 8" xfId="45563" xr:uid="{00000000-0005-0000-0000-0000B49D0000}"/>
    <cellStyle name="Normal 59 2 5 3" xfId="45564" xr:uid="{00000000-0005-0000-0000-0000B59D0000}"/>
    <cellStyle name="Normal 59 2 5 3 2" xfId="6817" xr:uid="{00000000-0005-0000-0000-0000B69D0000}"/>
    <cellStyle name="Normal 59 2 5 3 2 2" xfId="1669" xr:uid="{00000000-0005-0000-0000-0000B79D0000}"/>
    <cellStyle name="Normal 59 2 5 3 2 2 2" xfId="31592" xr:uid="{00000000-0005-0000-0000-0000B89D0000}"/>
    <cellStyle name="Normal 59 2 5 3 2 3" xfId="31597" xr:uid="{00000000-0005-0000-0000-0000B99D0000}"/>
    <cellStyle name="Normal 59 2 5 3 3" xfId="45565" xr:uid="{00000000-0005-0000-0000-0000BA9D0000}"/>
    <cellStyle name="Normal 59 2 5 3 3 2" xfId="12120" xr:uid="{00000000-0005-0000-0000-0000BB9D0000}"/>
    <cellStyle name="Normal 59 2 5 3 4" xfId="45566" xr:uid="{00000000-0005-0000-0000-0000BC9D0000}"/>
    <cellStyle name="Normal 59 2 5 4" xfId="816" xr:uid="{00000000-0005-0000-0000-0000BD9D0000}"/>
    <cellStyle name="Normal 59 2 5 4 2" xfId="6832" xr:uid="{00000000-0005-0000-0000-0000BE9D0000}"/>
    <cellStyle name="Normal 59 2 5 4 2 2" xfId="2173" xr:uid="{00000000-0005-0000-0000-0000BF9D0000}"/>
    <cellStyle name="Normal 59 2 5 4 3" xfId="8281" xr:uid="{00000000-0005-0000-0000-0000C09D0000}"/>
    <cellStyle name="Normal 59 2 5 5" xfId="837" xr:uid="{00000000-0005-0000-0000-0000C19D0000}"/>
    <cellStyle name="Normal 59 2 5 5 2" xfId="4941" xr:uid="{00000000-0005-0000-0000-0000C29D0000}"/>
    <cellStyle name="Normal 59 2 5 5 2 2" xfId="31679" xr:uid="{00000000-0005-0000-0000-0000C39D0000}"/>
    <cellStyle name="Normal 59 2 5 5 3" xfId="4974" xr:uid="{00000000-0005-0000-0000-0000C49D0000}"/>
    <cellStyle name="Normal 59 2 5 6" xfId="1535" xr:uid="{00000000-0005-0000-0000-0000C59D0000}"/>
    <cellStyle name="Normal 59 2 5 6 2" xfId="45567" xr:uid="{00000000-0005-0000-0000-0000C69D0000}"/>
    <cellStyle name="Normal 59 2 5 7" xfId="45568" xr:uid="{00000000-0005-0000-0000-0000C79D0000}"/>
    <cellStyle name="Normal 59 2 5 7 2" xfId="45569" xr:uid="{00000000-0005-0000-0000-0000C89D0000}"/>
    <cellStyle name="Normal 59 2 5 8" xfId="45570" xr:uid="{00000000-0005-0000-0000-0000C99D0000}"/>
    <cellStyle name="Normal 59 2 5 9" xfId="45571" xr:uid="{00000000-0005-0000-0000-0000CA9D0000}"/>
    <cellStyle name="Normal 59 2 6" xfId="8052" xr:uid="{00000000-0005-0000-0000-0000CB9D0000}"/>
    <cellStyle name="Normal 59 2 6 2" xfId="45572" xr:uid="{00000000-0005-0000-0000-0000CC9D0000}"/>
    <cellStyle name="Normal 59 2 6 2 2" xfId="45573" xr:uid="{00000000-0005-0000-0000-0000CD9D0000}"/>
    <cellStyle name="Normal 59 2 6 2 2 2" xfId="24800" xr:uid="{00000000-0005-0000-0000-0000CE9D0000}"/>
    <cellStyle name="Normal 59 2 6 2 2 2 2" xfId="6381" xr:uid="{00000000-0005-0000-0000-0000CF9D0000}"/>
    <cellStyle name="Normal 59 2 6 2 2 3" xfId="31884" xr:uid="{00000000-0005-0000-0000-0000D09D0000}"/>
    <cellStyle name="Normal 59 2 6 2 3" xfId="42767" xr:uid="{00000000-0005-0000-0000-0000D19D0000}"/>
    <cellStyle name="Normal 59 2 6 2 3 2" xfId="31920" xr:uid="{00000000-0005-0000-0000-0000D29D0000}"/>
    <cellStyle name="Normal 59 2 6 2 4" xfId="45574" xr:uid="{00000000-0005-0000-0000-0000D39D0000}"/>
    <cellStyle name="Normal 59 2 6 3" xfId="45575" xr:uid="{00000000-0005-0000-0000-0000D49D0000}"/>
    <cellStyle name="Normal 59 2 6 3 2" xfId="45576" xr:uid="{00000000-0005-0000-0000-0000D59D0000}"/>
    <cellStyle name="Normal 59 2 6 3 2 2" xfId="20943" xr:uid="{00000000-0005-0000-0000-0000D69D0000}"/>
    <cellStyle name="Normal 59 2 6 3 3" xfId="45577" xr:uid="{00000000-0005-0000-0000-0000D79D0000}"/>
    <cellStyle name="Normal 59 2 6 4" xfId="4104" xr:uid="{00000000-0005-0000-0000-0000D89D0000}"/>
    <cellStyle name="Normal 59 2 6 4 2" xfId="8286" xr:uid="{00000000-0005-0000-0000-0000D99D0000}"/>
    <cellStyle name="Normal 59 2 6 4 2 2" xfId="32076" xr:uid="{00000000-0005-0000-0000-0000DA9D0000}"/>
    <cellStyle name="Normal 59 2 6 4 3" xfId="45578" xr:uid="{00000000-0005-0000-0000-0000DB9D0000}"/>
    <cellStyle name="Normal 59 2 6 5" xfId="5220" xr:uid="{00000000-0005-0000-0000-0000DC9D0000}"/>
    <cellStyle name="Normal 59 2 6 5 2" xfId="45579" xr:uid="{00000000-0005-0000-0000-0000DD9D0000}"/>
    <cellStyle name="Normal 59 2 6 6" xfId="45580" xr:uid="{00000000-0005-0000-0000-0000DE9D0000}"/>
    <cellStyle name="Normal 59 2 6 6 2" xfId="45581" xr:uid="{00000000-0005-0000-0000-0000DF9D0000}"/>
    <cellStyle name="Normal 59 2 6 7" xfId="45582" xr:uid="{00000000-0005-0000-0000-0000E09D0000}"/>
    <cellStyle name="Normal 59 2 6 8" xfId="45583" xr:uid="{00000000-0005-0000-0000-0000E19D0000}"/>
    <cellStyle name="Normal 59 2 7" xfId="1192" xr:uid="{00000000-0005-0000-0000-0000E29D0000}"/>
    <cellStyle name="Normal 59 2 7 2" xfId="45584" xr:uid="{00000000-0005-0000-0000-0000E39D0000}"/>
    <cellStyle name="Normal 59 2 7 2 2" xfId="45585" xr:uid="{00000000-0005-0000-0000-0000E49D0000}"/>
    <cellStyle name="Normal 59 2 7 2 2 2" xfId="32250" xr:uid="{00000000-0005-0000-0000-0000E59D0000}"/>
    <cellStyle name="Normal 59 2 7 2 3" xfId="45586" xr:uid="{00000000-0005-0000-0000-0000E69D0000}"/>
    <cellStyle name="Normal 59 2 7 3" xfId="45587" xr:uid="{00000000-0005-0000-0000-0000E79D0000}"/>
    <cellStyle name="Normal 59 2 7 3 2" xfId="45588" xr:uid="{00000000-0005-0000-0000-0000E89D0000}"/>
    <cellStyle name="Normal 59 2 7 4" xfId="7747" xr:uid="{00000000-0005-0000-0000-0000E99D0000}"/>
    <cellStyle name="Normal 59 2 8" xfId="33336" xr:uid="{00000000-0005-0000-0000-0000EA9D0000}"/>
    <cellStyle name="Normal 59 2 8 2" xfId="6912" xr:uid="{00000000-0005-0000-0000-0000EB9D0000}"/>
    <cellStyle name="Normal 59 2 8 2 2" xfId="45589" xr:uid="{00000000-0005-0000-0000-0000EC9D0000}"/>
    <cellStyle name="Normal 59 2 8 3" xfId="45590" xr:uid="{00000000-0005-0000-0000-0000ED9D0000}"/>
    <cellStyle name="Normal 59 2 9" xfId="34407" xr:uid="{00000000-0005-0000-0000-0000EE9D0000}"/>
    <cellStyle name="Normal 59 2 9 2" xfId="45591" xr:uid="{00000000-0005-0000-0000-0000EF9D0000}"/>
    <cellStyle name="Normal 59 2 9 2 2" xfId="45592" xr:uid="{00000000-0005-0000-0000-0000F09D0000}"/>
    <cellStyle name="Normal 59 2 9 3" xfId="45593" xr:uid="{00000000-0005-0000-0000-0000F19D0000}"/>
    <cellStyle name="Normal 59 3" xfId="45594" xr:uid="{00000000-0005-0000-0000-0000F29D0000}"/>
    <cellStyle name="Normal 59 3 10" xfId="45595" xr:uid="{00000000-0005-0000-0000-0000F39D0000}"/>
    <cellStyle name="Normal 59 3 10 2" xfId="45596" xr:uid="{00000000-0005-0000-0000-0000F49D0000}"/>
    <cellStyle name="Normal 59 3 11" xfId="45597" xr:uid="{00000000-0005-0000-0000-0000F59D0000}"/>
    <cellStyle name="Normal 59 3 11 2" xfId="45598" xr:uid="{00000000-0005-0000-0000-0000F69D0000}"/>
    <cellStyle name="Normal 59 3 12" xfId="45599" xr:uid="{00000000-0005-0000-0000-0000F79D0000}"/>
    <cellStyle name="Normal 59 3 12 2" xfId="45601" xr:uid="{00000000-0005-0000-0000-0000F89D0000}"/>
    <cellStyle name="Normal 59 3 13" xfId="45602" xr:uid="{00000000-0005-0000-0000-0000F99D0000}"/>
    <cellStyle name="Normal 59 3 14" xfId="6733" xr:uid="{00000000-0005-0000-0000-0000FA9D0000}"/>
    <cellStyle name="Normal 59 3 2" xfId="4540" xr:uid="{00000000-0005-0000-0000-0000FB9D0000}"/>
    <cellStyle name="Normal 59 3 2 10" xfId="45603" xr:uid="{00000000-0005-0000-0000-0000FC9D0000}"/>
    <cellStyle name="Normal 59 3 2 2" xfId="45604" xr:uid="{00000000-0005-0000-0000-0000FD9D0000}"/>
    <cellStyle name="Normal 59 3 2 2 2" xfId="45605" xr:uid="{00000000-0005-0000-0000-0000FE9D0000}"/>
    <cellStyle name="Normal 59 3 2 2 2 2" xfId="16012" xr:uid="{00000000-0005-0000-0000-0000FF9D0000}"/>
    <cellStyle name="Normal 59 3 2 2 2 2 2" xfId="45606" xr:uid="{00000000-0005-0000-0000-0000009E0000}"/>
    <cellStyle name="Normal 59 3 2 2 2 2 2 2" xfId="26205" xr:uid="{00000000-0005-0000-0000-0000019E0000}"/>
    <cellStyle name="Normal 59 3 2 2 2 2 2 2 2" xfId="19223" xr:uid="{00000000-0005-0000-0000-0000029E0000}"/>
    <cellStyle name="Normal 59 3 2 2 2 2 2 3" xfId="45607" xr:uid="{00000000-0005-0000-0000-0000039E0000}"/>
    <cellStyle name="Normal 59 3 2 2 2 2 3" xfId="45608" xr:uid="{00000000-0005-0000-0000-0000049E0000}"/>
    <cellStyle name="Normal 59 3 2 2 2 2 3 2" xfId="45609" xr:uid="{00000000-0005-0000-0000-0000059E0000}"/>
    <cellStyle name="Normal 59 3 2 2 2 2 4" xfId="45610" xr:uid="{00000000-0005-0000-0000-0000069E0000}"/>
    <cellStyle name="Normal 59 3 2 2 2 3" xfId="45611" xr:uid="{00000000-0005-0000-0000-0000079E0000}"/>
    <cellStyle name="Normal 59 3 2 2 2 3 2" xfId="8120" xr:uid="{00000000-0005-0000-0000-0000089E0000}"/>
    <cellStyle name="Normal 59 3 2 2 2 3 2 2" xfId="4987" xr:uid="{00000000-0005-0000-0000-0000099E0000}"/>
    <cellStyle name="Normal 59 3 2 2 2 3 3" xfId="8129" xr:uid="{00000000-0005-0000-0000-00000A9E0000}"/>
    <cellStyle name="Normal 59 3 2 2 2 4" xfId="45612" xr:uid="{00000000-0005-0000-0000-00000B9E0000}"/>
    <cellStyle name="Normal 59 3 2 2 2 4 2" xfId="45613" xr:uid="{00000000-0005-0000-0000-00000C9E0000}"/>
    <cellStyle name="Normal 59 3 2 2 2 4 2 2" xfId="45614" xr:uid="{00000000-0005-0000-0000-00000D9E0000}"/>
    <cellStyle name="Normal 59 3 2 2 2 4 3" xfId="45615" xr:uid="{00000000-0005-0000-0000-00000E9E0000}"/>
    <cellStyle name="Normal 59 3 2 2 2 5" xfId="45616" xr:uid="{00000000-0005-0000-0000-00000F9E0000}"/>
    <cellStyle name="Normal 59 3 2 2 2 5 2" xfId="45617" xr:uid="{00000000-0005-0000-0000-0000109E0000}"/>
    <cellStyle name="Normal 59 3 2 2 2 6" xfId="45618" xr:uid="{00000000-0005-0000-0000-0000119E0000}"/>
    <cellStyle name="Normal 59 3 2 2 2 6 2" xfId="45619" xr:uid="{00000000-0005-0000-0000-0000129E0000}"/>
    <cellStyle name="Normal 59 3 2 2 2 7" xfId="45621" xr:uid="{00000000-0005-0000-0000-0000139E0000}"/>
    <cellStyle name="Normal 59 3 2 2 2 8" xfId="25770" xr:uid="{00000000-0005-0000-0000-0000149E0000}"/>
    <cellStyle name="Normal 59 3 2 2 3" xfId="45622" xr:uid="{00000000-0005-0000-0000-0000159E0000}"/>
    <cellStyle name="Normal 59 3 2 2 3 2" xfId="45623" xr:uid="{00000000-0005-0000-0000-0000169E0000}"/>
    <cellStyle name="Normal 59 3 2 2 3 2 2" xfId="45624" xr:uid="{00000000-0005-0000-0000-0000179E0000}"/>
    <cellStyle name="Normal 59 3 2 2 3 2 2 2" xfId="26275" xr:uid="{00000000-0005-0000-0000-0000189E0000}"/>
    <cellStyle name="Normal 59 3 2 2 3 2 3" xfId="45625" xr:uid="{00000000-0005-0000-0000-0000199E0000}"/>
    <cellStyle name="Normal 59 3 2 2 3 3" xfId="45626" xr:uid="{00000000-0005-0000-0000-00001A9E0000}"/>
    <cellStyle name="Normal 59 3 2 2 3 3 2" xfId="8226" xr:uid="{00000000-0005-0000-0000-00001B9E0000}"/>
    <cellStyle name="Normal 59 3 2 2 3 4" xfId="45627" xr:uid="{00000000-0005-0000-0000-00001C9E0000}"/>
    <cellStyle name="Normal 59 3 2 2 4" xfId="45628" xr:uid="{00000000-0005-0000-0000-00001D9E0000}"/>
    <cellStyle name="Normal 59 3 2 2 4 2" xfId="45629" xr:uid="{00000000-0005-0000-0000-00001E9E0000}"/>
    <cellStyle name="Normal 59 3 2 2 4 2 2" xfId="45630" xr:uid="{00000000-0005-0000-0000-00001F9E0000}"/>
    <cellStyle name="Normal 59 3 2 2 4 3" xfId="45631" xr:uid="{00000000-0005-0000-0000-0000209E0000}"/>
    <cellStyle name="Normal 59 3 2 2 5" xfId="200" xr:uid="{00000000-0005-0000-0000-0000219E0000}"/>
    <cellStyle name="Normal 59 3 2 2 5 2" xfId="39592" xr:uid="{00000000-0005-0000-0000-0000229E0000}"/>
    <cellStyle name="Normal 59 3 2 2 5 2 2" xfId="39595" xr:uid="{00000000-0005-0000-0000-0000239E0000}"/>
    <cellStyle name="Normal 59 3 2 2 5 3" xfId="39599" xr:uid="{00000000-0005-0000-0000-0000249E0000}"/>
    <cellStyle name="Normal 59 3 2 2 6" xfId="52" xr:uid="{00000000-0005-0000-0000-0000259E0000}"/>
    <cellStyle name="Normal 59 3 2 2 6 2" xfId="7334" xr:uid="{00000000-0005-0000-0000-0000269E0000}"/>
    <cellStyle name="Normal 59 3 2 2 7" xfId="292" xr:uid="{00000000-0005-0000-0000-0000279E0000}"/>
    <cellStyle name="Normal 59 3 2 2 7 2" xfId="22510" xr:uid="{00000000-0005-0000-0000-0000289E0000}"/>
    <cellStyle name="Normal 59 3 2 2 8" xfId="10042" xr:uid="{00000000-0005-0000-0000-0000299E0000}"/>
    <cellStyle name="Normal 59 3 2 2 9" xfId="10056" xr:uid="{00000000-0005-0000-0000-00002A9E0000}"/>
    <cellStyle name="Normal 59 3 2 3" xfId="45632" xr:uid="{00000000-0005-0000-0000-00002B9E0000}"/>
    <cellStyle name="Normal 59 3 2 3 2" xfId="31043" xr:uid="{00000000-0005-0000-0000-00002C9E0000}"/>
    <cellStyle name="Normal 59 3 2 3 2 2" xfId="16138" xr:uid="{00000000-0005-0000-0000-00002D9E0000}"/>
    <cellStyle name="Normal 59 3 2 3 2 2 2" xfId="45633" xr:uid="{00000000-0005-0000-0000-00002E9E0000}"/>
    <cellStyle name="Normal 59 3 2 3 2 2 2 2" xfId="45634" xr:uid="{00000000-0005-0000-0000-00002F9E0000}"/>
    <cellStyle name="Normal 59 3 2 3 2 2 3" xfId="45635" xr:uid="{00000000-0005-0000-0000-0000309E0000}"/>
    <cellStyle name="Normal 59 3 2 3 2 3" xfId="45636" xr:uid="{00000000-0005-0000-0000-0000319E0000}"/>
    <cellStyle name="Normal 59 3 2 3 2 3 2" xfId="45637" xr:uid="{00000000-0005-0000-0000-0000329E0000}"/>
    <cellStyle name="Normal 59 3 2 3 2 4" xfId="45638" xr:uid="{00000000-0005-0000-0000-0000339E0000}"/>
    <cellStyle name="Normal 59 3 2 3 3" xfId="31046" xr:uid="{00000000-0005-0000-0000-0000349E0000}"/>
    <cellStyle name="Normal 59 3 2 3 3 2" xfId="45639" xr:uid="{00000000-0005-0000-0000-0000359E0000}"/>
    <cellStyle name="Normal 59 3 2 3 3 2 2" xfId="45640" xr:uid="{00000000-0005-0000-0000-0000369E0000}"/>
    <cellStyle name="Normal 59 3 2 3 3 3" xfId="45641" xr:uid="{00000000-0005-0000-0000-0000379E0000}"/>
    <cellStyle name="Normal 59 3 2 3 4" xfId="45642" xr:uid="{00000000-0005-0000-0000-0000389E0000}"/>
    <cellStyle name="Normal 59 3 2 3 4 2" xfId="45643" xr:uid="{00000000-0005-0000-0000-0000399E0000}"/>
    <cellStyle name="Normal 59 3 2 3 4 2 2" xfId="45644" xr:uid="{00000000-0005-0000-0000-00003A9E0000}"/>
    <cellStyle name="Normal 59 3 2 3 4 3" xfId="29156" xr:uid="{00000000-0005-0000-0000-00003B9E0000}"/>
    <cellStyle name="Normal 59 3 2 3 5" xfId="45645" xr:uid="{00000000-0005-0000-0000-00003C9E0000}"/>
    <cellStyle name="Normal 59 3 2 3 5 2" xfId="39639" xr:uid="{00000000-0005-0000-0000-00003D9E0000}"/>
    <cellStyle name="Normal 59 3 2 3 6" xfId="22523" xr:uid="{00000000-0005-0000-0000-00003E9E0000}"/>
    <cellStyle name="Normal 59 3 2 3 6 2" xfId="22527" xr:uid="{00000000-0005-0000-0000-00003F9E0000}"/>
    <cellStyle name="Normal 59 3 2 3 7" xfId="22534" xr:uid="{00000000-0005-0000-0000-0000409E0000}"/>
    <cellStyle name="Normal 59 3 2 3 8" xfId="10076" xr:uid="{00000000-0005-0000-0000-0000419E0000}"/>
    <cellStyle name="Normal 59 3 2 4" xfId="8359" xr:uid="{00000000-0005-0000-0000-0000429E0000}"/>
    <cellStyle name="Normal 59 3 2 4 2" xfId="8365" xr:uid="{00000000-0005-0000-0000-0000439E0000}"/>
    <cellStyle name="Normal 59 3 2 4 2 2" xfId="45646" xr:uid="{00000000-0005-0000-0000-0000449E0000}"/>
    <cellStyle name="Normal 59 3 2 4 2 2 2" xfId="45647" xr:uid="{00000000-0005-0000-0000-0000459E0000}"/>
    <cellStyle name="Normal 59 3 2 4 2 3" xfId="13990" xr:uid="{00000000-0005-0000-0000-0000469E0000}"/>
    <cellStyle name="Normal 59 3 2 4 3" xfId="45648" xr:uid="{00000000-0005-0000-0000-0000479E0000}"/>
    <cellStyle name="Normal 59 3 2 4 3 2" xfId="45649" xr:uid="{00000000-0005-0000-0000-0000489E0000}"/>
    <cellStyle name="Normal 59 3 2 4 4" xfId="45650" xr:uid="{00000000-0005-0000-0000-0000499E0000}"/>
    <cellStyle name="Normal 59 3 2 5" xfId="5279" xr:uid="{00000000-0005-0000-0000-00004A9E0000}"/>
    <cellStyle name="Normal 59 3 2 5 2" xfId="45651" xr:uid="{00000000-0005-0000-0000-00004B9E0000}"/>
    <cellStyle name="Normal 59 3 2 5 2 2" xfId="45652" xr:uid="{00000000-0005-0000-0000-00004C9E0000}"/>
    <cellStyle name="Normal 59 3 2 5 3" xfId="45653" xr:uid="{00000000-0005-0000-0000-00004D9E0000}"/>
    <cellStyle name="Normal 59 3 2 6" xfId="45654" xr:uid="{00000000-0005-0000-0000-00004E9E0000}"/>
    <cellStyle name="Normal 59 3 2 6 2" xfId="45655" xr:uid="{00000000-0005-0000-0000-00004F9E0000}"/>
    <cellStyle name="Normal 59 3 2 6 2 2" xfId="45656" xr:uid="{00000000-0005-0000-0000-0000509E0000}"/>
    <cellStyle name="Normal 59 3 2 6 3" xfId="38842" xr:uid="{00000000-0005-0000-0000-0000519E0000}"/>
    <cellStyle name="Normal 59 3 2 7" xfId="45657" xr:uid="{00000000-0005-0000-0000-0000529E0000}"/>
    <cellStyle name="Normal 59 3 2 7 2" xfId="45658" xr:uid="{00000000-0005-0000-0000-0000539E0000}"/>
    <cellStyle name="Normal 59 3 2 8" xfId="45659" xr:uid="{00000000-0005-0000-0000-0000549E0000}"/>
    <cellStyle name="Normal 59 3 2 8 2" xfId="45660" xr:uid="{00000000-0005-0000-0000-0000559E0000}"/>
    <cellStyle name="Normal 59 3 2 9" xfId="20955" xr:uid="{00000000-0005-0000-0000-0000569E0000}"/>
    <cellStyle name="Normal 59 3 3" xfId="36637" xr:uid="{00000000-0005-0000-0000-0000579E0000}"/>
    <cellStyle name="Normal 59 3 3 2" xfId="45661" xr:uid="{00000000-0005-0000-0000-0000589E0000}"/>
    <cellStyle name="Normal 59 3 3 2 2" xfId="45662" xr:uid="{00000000-0005-0000-0000-0000599E0000}"/>
    <cellStyle name="Normal 59 3 3 2 2 2" xfId="45663" xr:uid="{00000000-0005-0000-0000-00005A9E0000}"/>
    <cellStyle name="Normal 59 3 3 2 2 2 2" xfId="45664" xr:uid="{00000000-0005-0000-0000-00005B9E0000}"/>
    <cellStyle name="Normal 59 3 3 2 2 2 2 2" xfId="45665" xr:uid="{00000000-0005-0000-0000-00005C9E0000}"/>
    <cellStyle name="Normal 59 3 3 2 2 2 3" xfId="45666" xr:uid="{00000000-0005-0000-0000-00005D9E0000}"/>
    <cellStyle name="Normal 59 3 3 2 2 3" xfId="45667" xr:uid="{00000000-0005-0000-0000-00005E9E0000}"/>
    <cellStyle name="Normal 59 3 3 2 2 3 2" xfId="39557" xr:uid="{00000000-0005-0000-0000-00005F9E0000}"/>
    <cellStyle name="Normal 59 3 3 2 2 4" xfId="45668" xr:uid="{00000000-0005-0000-0000-0000609E0000}"/>
    <cellStyle name="Normal 59 3 3 2 2 5" xfId="45669" xr:uid="{00000000-0005-0000-0000-0000619E0000}"/>
    <cellStyle name="Normal 59 3 3 2 3" xfId="45670" xr:uid="{00000000-0005-0000-0000-0000629E0000}"/>
    <cellStyle name="Normal 59 3 3 2 3 2" xfId="45671" xr:uid="{00000000-0005-0000-0000-0000639E0000}"/>
    <cellStyle name="Normal 59 3 3 2 3 2 2" xfId="45672" xr:uid="{00000000-0005-0000-0000-0000649E0000}"/>
    <cellStyle name="Normal 59 3 3 2 3 3" xfId="45673" xr:uid="{00000000-0005-0000-0000-0000659E0000}"/>
    <cellStyle name="Normal 59 3 3 2 4" xfId="45674" xr:uid="{00000000-0005-0000-0000-0000669E0000}"/>
    <cellStyle name="Normal 59 3 3 2 4 2" xfId="45675" xr:uid="{00000000-0005-0000-0000-0000679E0000}"/>
    <cellStyle name="Normal 59 3 3 2 4 2 2" xfId="29164" xr:uid="{00000000-0005-0000-0000-0000689E0000}"/>
    <cellStyle name="Normal 59 3 3 2 4 3" xfId="45676" xr:uid="{00000000-0005-0000-0000-0000699E0000}"/>
    <cellStyle name="Normal 59 3 3 2 5" xfId="12477" xr:uid="{00000000-0005-0000-0000-00006A9E0000}"/>
    <cellStyle name="Normal 59 3 3 2 5 2" xfId="39852" xr:uid="{00000000-0005-0000-0000-00006B9E0000}"/>
    <cellStyle name="Normal 59 3 3 2 6" xfId="22558" xr:uid="{00000000-0005-0000-0000-00006C9E0000}"/>
    <cellStyle name="Normal 59 3 3 2 6 2" xfId="21743" xr:uid="{00000000-0005-0000-0000-00006D9E0000}"/>
    <cellStyle name="Normal 59 3 3 2 7" xfId="13624" xr:uid="{00000000-0005-0000-0000-00006E9E0000}"/>
    <cellStyle name="Normal 59 3 3 2 8" xfId="10104" xr:uid="{00000000-0005-0000-0000-00006F9E0000}"/>
    <cellStyle name="Normal 59 3 3 3" xfId="45677" xr:uid="{00000000-0005-0000-0000-0000709E0000}"/>
    <cellStyle name="Normal 59 3 3 3 2" xfId="45678" xr:uid="{00000000-0005-0000-0000-0000719E0000}"/>
    <cellStyle name="Normal 59 3 3 3 2 2" xfId="45679" xr:uid="{00000000-0005-0000-0000-0000729E0000}"/>
    <cellStyle name="Normal 59 3 3 3 2 2 2" xfId="45680" xr:uid="{00000000-0005-0000-0000-0000739E0000}"/>
    <cellStyle name="Normal 59 3 3 3 2 3" xfId="45681" xr:uid="{00000000-0005-0000-0000-0000749E0000}"/>
    <cellStyle name="Normal 59 3 3 3 3" xfId="45682" xr:uid="{00000000-0005-0000-0000-0000759E0000}"/>
    <cellStyle name="Normal 59 3 3 3 3 2" xfId="45683" xr:uid="{00000000-0005-0000-0000-0000769E0000}"/>
    <cellStyle name="Normal 59 3 3 3 4" xfId="45684" xr:uid="{00000000-0005-0000-0000-0000779E0000}"/>
    <cellStyle name="Normal 59 3 3 3 5" xfId="45685" xr:uid="{00000000-0005-0000-0000-0000789E0000}"/>
    <cellStyle name="Normal 59 3 3 4" xfId="8374" xr:uid="{00000000-0005-0000-0000-0000799E0000}"/>
    <cellStyle name="Normal 59 3 3 4 2" xfId="45686" xr:uid="{00000000-0005-0000-0000-00007A9E0000}"/>
    <cellStyle name="Normal 59 3 3 4 2 2" xfId="25623" xr:uid="{00000000-0005-0000-0000-00007B9E0000}"/>
    <cellStyle name="Normal 59 3 3 4 3" xfId="45687" xr:uid="{00000000-0005-0000-0000-00007C9E0000}"/>
    <cellStyle name="Normal 59 3 3 5" xfId="45688" xr:uid="{00000000-0005-0000-0000-00007D9E0000}"/>
    <cellStyle name="Normal 59 3 3 5 2" xfId="45689" xr:uid="{00000000-0005-0000-0000-00007E9E0000}"/>
    <cellStyle name="Normal 59 3 3 5 2 2" xfId="45690" xr:uid="{00000000-0005-0000-0000-00007F9E0000}"/>
    <cellStyle name="Normal 59 3 3 5 3" xfId="26221" xr:uid="{00000000-0005-0000-0000-0000809E0000}"/>
    <cellStyle name="Normal 59 3 3 6" xfId="45691" xr:uid="{00000000-0005-0000-0000-0000819E0000}"/>
    <cellStyle name="Normal 59 3 3 6 2" xfId="45692" xr:uid="{00000000-0005-0000-0000-0000829E0000}"/>
    <cellStyle name="Normal 59 3 3 7" xfId="45693" xr:uid="{00000000-0005-0000-0000-0000839E0000}"/>
    <cellStyle name="Normal 59 3 3 7 2" xfId="45694" xr:uid="{00000000-0005-0000-0000-0000849E0000}"/>
    <cellStyle name="Normal 59 3 3 8" xfId="45695" xr:uid="{00000000-0005-0000-0000-0000859E0000}"/>
    <cellStyle name="Normal 59 3 3 9" xfId="20970" xr:uid="{00000000-0005-0000-0000-0000869E0000}"/>
    <cellStyle name="Normal 59 3 4" xfId="45696" xr:uid="{00000000-0005-0000-0000-0000879E0000}"/>
    <cellStyle name="Normal 59 3 4 2" xfId="45697" xr:uid="{00000000-0005-0000-0000-0000889E0000}"/>
    <cellStyle name="Normal 59 3 4 2 2" xfId="45698" xr:uid="{00000000-0005-0000-0000-0000899E0000}"/>
    <cellStyle name="Normal 59 3 4 2 2 2" xfId="45699" xr:uid="{00000000-0005-0000-0000-00008A9E0000}"/>
    <cellStyle name="Normal 59 3 4 2 2 2 2" xfId="45700" xr:uid="{00000000-0005-0000-0000-00008B9E0000}"/>
    <cellStyle name="Normal 59 3 4 2 2 2 2 2" xfId="45701" xr:uid="{00000000-0005-0000-0000-00008C9E0000}"/>
    <cellStyle name="Normal 59 3 4 2 2 2 3" xfId="45702" xr:uid="{00000000-0005-0000-0000-00008D9E0000}"/>
    <cellStyle name="Normal 59 3 4 2 2 3" xfId="45703" xr:uid="{00000000-0005-0000-0000-00008E9E0000}"/>
    <cellStyle name="Normal 59 3 4 2 2 3 2" xfId="45704" xr:uid="{00000000-0005-0000-0000-00008F9E0000}"/>
    <cellStyle name="Normal 59 3 4 2 2 4" xfId="45705" xr:uid="{00000000-0005-0000-0000-0000909E0000}"/>
    <cellStyle name="Normal 59 3 4 2 3" xfId="45706" xr:uid="{00000000-0005-0000-0000-0000919E0000}"/>
    <cellStyle name="Normal 59 3 4 2 3 2" xfId="45707" xr:uid="{00000000-0005-0000-0000-0000929E0000}"/>
    <cellStyle name="Normal 59 3 4 2 3 2 2" xfId="20159" xr:uid="{00000000-0005-0000-0000-0000939E0000}"/>
    <cellStyle name="Normal 59 3 4 2 3 3" xfId="45708" xr:uid="{00000000-0005-0000-0000-0000949E0000}"/>
    <cellStyle name="Normal 59 3 4 2 4" xfId="45709" xr:uid="{00000000-0005-0000-0000-0000959E0000}"/>
    <cellStyle name="Normal 59 3 4 2 4 2" xfId="45710" xr:uid="{00000000-0005-0000-0000-0000969E0000}"/>
    <cellStyle name="Normal 59 3 4 2 4 2 2" xfId="45711" xr:uid="{00000000-0005-0000-0000-0000979E0000}"/>
    <cellStyle name="Normal 59 3 4 2 4 3" xfId="45712" xr:uid="{00000000-0005-0000-0000-0000989E0000}"/>
    <cellStyle name="Normal 59 3 4 2 5" xfId="45713" xr:uid="{00000000-0005-0000-0000-0000999E0000}"/>
    <cellStyle name="Normal 59 3 4 2 5 2" xfId="45715" xr:uid="{00000000-0005-0000-0000-00009A9E0000}"/>
    <cellStyle name="Normal 59 3 4 2 6" xfId="22584" xr:uid="{00000000-0005-0000-0000-00009B9E0000}"/>
    <cellStyle name="Normal 59 3 4 2 6 2" xfId="21905" xr:uid="{00000000-0005-0000-0000-00009C9E0000}"/>
    <cellStyle name="Normal 59 3 4 2 7" xfId="13200" xr:uid="{00000000-0005-0000-0000-00009D9E0000}"/>
    <cellStyle name="Normal 59 3 4 2 8" xfId="45716" xr:uid="{00000000-0005-0000-0000-00009E9E0000}"/>
    <cellStyle name="Normal 59 3 4 3" xfId="45717" xr:uid="{00000000-0005-0000-0000-00009F9E0000}"/>
    <cellStyle name="Normal 59 3 4 3 2" xfId="45718" xr:uid="{00000000-0005-0000-0000-0000A09E0000}"/>
    <cellStyle name="Normal 59 3 4 3 2 2" xfId="45719" xr:uid="{00000000-0005-0000-0000-0000A19E0000}"/>
    <cellStyle name="Normal 59 3 4 3 2 2 2" xfId="45720" xr:uid="{00000000-0005-0000-0000-0000A29E0000}"/>
    <cellStyle name="Normal 59 3 4 3 2 3" xfId="45721" xr:uid="{00000000-0005-0000-0000-0000A39E0000}"/>
    <cellStyle name="Normal 59 3 4 3 3" xfId="45722" xr:uid="{00000000-0005-0000-0000-0000A49E0000}"/>
    <cellStyle name="Normal 59 3 4 3 3 2" xfId="45723" xr:uid="{00000000-0005-0000-0000-0000A59E0000}"/>
    <cellStyle name="Normal 59 3 4 3 4" xfId="45724" xr:uid="{00000000-0005-0000-0000-0000A69E0000}"/>
    <cellStyle name="Normal 59 3 4 4" xfId="8385" xr:uid="{00000000-0005-0000-0000-0000A79E0000}"/>
    <cellStyle name="Normal 59 3 4 4 2" xfId="45725" xr:uid="{00000000-0005-0000-0000-0000A89E0000}"/>
    <cellStyle name="Normal 59 3 4 4 2 2" xfId="16682" xr:uid="{00000000-0005-0000-0000-0000A99E0000}"/>
    <cellStyle name="Normal 59 3 4 4 3" xfId="45726" xr:uid="{00000000-0005-0000-0000-0000AA9E0000}"/>
    <cellStyle name="Normal 59 3 4 5" xfId="45727" xr:uid="{00000000-0005-0000-0000-0000AB9E0000}"/>
    <cellStyle name="Normal 59 3 4 5 2" xfId="45728" xr:uid="{00000000-0005-0000-0000-0000AC9E0000}"/>
    <cellStyle name="Normal 59 3 4 5 2 2" xfId="45729" xr:uid="{00000000-0005-0000-0000-0000AD9E0000}"/>
    <cellStyle name="Normal 59 3 4 5 3" xfId="26273" xr:uid="{00000000-0005-0000-0000-0000AE9E0000}"/>
    <cellStyle name="Normal 59 3 4 6" xfId="45730" xr:uid="{00000000-0005-0000-0000-0000AF9E0000}"/>
    <cellStyle name="Normal 59 3 4 6 2" xfId="45731" xr:uid="{00000000-0005-0000-0000-0000B09E0000}"/>
    <cellStyle name="Normal 59 3 4 7" xfId="45732" xr:uid="{00000000-0005-0000-0000-0000B19E0000}"/>
    <cellStyle name="Normal 59 3 4 7 2" xfId="45733" xr:uid="{00000000-0005-0000-0000-0000B29E0000}"/>
    <cellStyle name="Normal 59 3 4 8" xfId="45734" xr:uid="{00000000-0005-0000-0000-0000B39E0000}"/>
    <cellStyle name="Normal 59 3 4 9" xfId="20977" xr:uid="{00000000-0005-0000-0000-0000B49E0000}"/>
    <cellStyle name="Normal 59 3 5" xfId="45735" xr:uid="{00000000-0005-0000-0000-0000B59E0000}"/>
    <cellStyle name="Normal 59 3 5 2" xfId="45736" xr:uid="{00000000-0005-0000-0000-0000B69E0000}"/>
    <cellStyle name="Normal 59 3 5 2 2" xfId="45737" xr:uid="{00000000-0005-0000-0000-0000B79E0000}"/>
    <cellStyle name="Normal 59 3 5 2 2 2" xfId="7014" xr:uid="{00000000-0005-0000-0000-0000B89E0000}"/>
    <cellStyle name="Normal 59 3 5 2 2 2 2" xfId="33211" xr:uid="{00000000-0005-0000-0000-0000B99E0000}"/>
    <cellStyle name="Normal 59 3 5 2 2 2 2 2" xfId="30211" xr:uid="{00000000-0005-0000-0000-0000BA9E0000}"/>
    <cellStyle name="Normal 59 3 5 2 2 2 3" xfId="33220" xr:uid="{00000000-0005-0000-0000-0000BB9E0000}"/>
    <cellStyle name="Normal 59 3 5 2 2 3" xfId="22956" xr:uid="{00000000-0005-0000-0000-0000BC9E0000}"/>
    <cellStyle name="Normal 59 3 5 2 2 3 2" xfId="33240" xr:uid="{00000000-0005-0000-0000-0000BD9E0000}"/>
    <cellStyle name="Normal 59 3 5 2 2 4" xfId="33254" xr:uid="{00000000-0005-0000-0000-0000BE9E0000}"/>
    <cellStyle name="Normal 59 3 5 2 3" xfId="45738" xr:uid="{00000000-0005-0000-0000-0000BF9E0000}"/>
    <cellStyle name="Normal 59 3 5 2 3 2" xfId="33291" xr:uid="{00000000-0005-0000-0000-0000C09E0000}"/>
    <cellStyle name="Normal 59 3 5 2 3 2 2" xfId="916" xr:uid="{00000000-0005-0000-0000-0000C19E0000}"/>
    <cellStyle name="Normal 59 3 5 2 3 3" xfId="33299" xr:uid="{00000000-0005-0000-0000-0000C29E0000}"/>
    <cellStyle name="Normal 59 3 5 2 4" xfId="45739" xr:uid="{00000000-0005-0000-0000-0000C39E0000}"/>
    <cellStyle name="Normal 59 3 5 2 4 2" xfId="33328" xr:uid="{00000000-0005-0000-0000-0000C49E0000}"/>
    <cellStyle name="Normal 59 3 5 2 4 2 2" xfId="33331" xr:uid="{00000000-0005-0000-0000-0000C59E0000}"/>
    <cellStyle name="Normal 59 3 5 2 4 3" xfId="33341" xr:uid="{00000000-0005-0000-0000-0000C69E0000}"/>
    <cellStyle name="Normal 59 3 5 2 5" xfId="45740" xr:uid="{00000000-0005-0000-0000-0000C79E0000}"/>
    <cellStyle name="Normal 59 3 5 2 5 2" xfId="33352" xr:uid="{00000000-0005-0000-0000-0000C89E0000}"/>
    <cellStyle name="Normal 59 3 5 2 6" xfId="8852" xr:uid="{00000000-0005-0000-0000-0000C99E0000}"/>
    <cellStyle name="Normal 59 3 5 2 6 2" xfId="33361" xr:uid="{00000000-0005-0000-0000-0000CA9E0000}"/>
    <cellStyle name="Normal 59 3 5 2 7" xfId="45741" xr:uid="{00000000-0005-0000-0000-0000CB9E0000}"/>
    <cellStyle name="Normal 59 3 5 2 8" xfId="1041" xr:uid="{00000000-0005-0000-0000-0000CC9E0000}"/>
    <cellStyle name="Normal 59 3 5 3" xfId="45742" xr:uid="{00000000-0005-0000-0000-0000CD9E0000}"/>
    <cellStyle name="Normal 59 3 5 3 2" xfId="45743" xr:uid="{00000000-0005-0000-0000-0000CE9E0000}"/>
    <cellStyle name="Normal 59 3 5 3 2 2" xfId="4249" xr:uid="{00000000-0005-0000-0000-0000CF9E0000}"/>
    <cellStyle name="Normal 59 3 5 3 2 2 2" xfId="33387" xr:uid="{00000000-0005-0000-0000-0000D09E0000}"/>
    <cellStyle name="Normal 59 3 5 3 2 3" xfId="33397" xr:uid="{00000000-0005-0000-0000-0000D19E0000}"/>
    <cellStyle name="Normal 59 3 5 3 3" xfId="45744" xr:uid="{00000000-0005-0000-0000-0000D29E0000}"/>
    <cellStyle name="Normal 59 3 5 3 3 2" xfId="33423" xr:uid="{00000000-0005-0000-0000-0000D39E0000}"/>
    <cellStyle name="Normal 59 3 5 3 4" xfId="45745" xr:uid="{00000000-0005-0000-0000-0000D49E0000}"/>
    <cellStyle name="Normal 59 3 5 4" xfId="45746" xr:uid="{00000000-0005-0000-0000-0000D59E0000}"/>
    <cellStyle name="Normal 59 3 5 4 2" xfId="45747" xr:uid="{00000000-0005-0000-0000-0000D69E0000}"/>
    <cellStyle name="Normal 59 3 5 4 2 2" xfId="14053" xr:uid="{00000000-0005-0000-0000-0000D79E0000}"/>
    <cellStyle name="Normal 59 3 5 4 3" xfId="45748" xr:uid="{00000000-0005-0000-0000-0000D89E0000}"/>
    <cellStyle name="Normal 59 3 5 5" xfId="45749" xr:uid="{00000000-0005-0000-0000-0000D99E0000}"/>
    <cellStyle name="Normal 59 3 5 5 2" xfId="45750" xr:uid="{00000000-0005-0000-0000-0000DA9E0000}"/>
    <cellStyle name="Normal 59 3 5 5 2 2" xfId="14257" xr:uid="{00000000-0005-0000-0000-0000DB9E0000}"/>
    <cellStyle name="Normal 59 3 5 5 3" xfId="6388" xr:uid="{00000000-0005-0000-0000-0000DC9E0000}"/>
    <cellStyle name="Normal 59 3 5 6" xfId="45751" xr:uid="{00000000-0005-0000-0000-0000DD9E0000}"/>
    <cellStyle name="Normal 59 3 5 6 2" xfId="45752" xr:uid="{00000000-0005-0000-0000-0000DE9E0000}"/>
    <cellStyle name="Normal 59 3 5 7" xfId="23244" xr:uid="{00000000-0005-0000-0000-0000DF9E0000}"/>
    <cellStyle name="Normal 59 3 5 7 2" xfId="45753" xr:uid="{00000000-0005-0000-0000-0000E09E0000}"/>
    <cellStyle name="Normal 59 3 5 8" xfId="45754" xr:uid="{00000000-0005-0000-0000-0000E19E0000}"/>
    <cellStyle name="Normal 59 3 5 9" xfId="45755" xr:uid="{00000000-0005-0000-0000-0000E29E0000}"/>
    <cellStyle name="Normal 59 3 6" xfId="45756" xr:uid="{00000000-0005-0000-0000-0000E39E0000}"/>
    <cellStyle name="Normal 59 3 6 2" xfId="45757" xr:uid="{00000000-0005-0000-0000-0000E49E0000}"/>
    <cellStyle name="Normal 59 3 6 2 2" xfId="45758" xr:uid="{00000000-0005-0000-0000-0000E59E0000}"/>
    <cellStyle name="Normal 59 3 6 2 2 2" xfId="23027" xr:uid="{00000000-0005-0000-0000-0000E69E0000}"/>
    <cellStyle name="Normal 59 3 6 2 2 2 2" xfId="33734" xr:uid="{00000000-0005-0000-0000-0000E79E0000}"/>
    <cellStyle name="Normal 59 3 6 2 2 3" xfId="33748" xr:uid="{00000000-0005-0000-0000-0000E89E0000}"/>
    <cellStyle name="Normal 59 3 6 2 3" xfId="45759" xr:uid="{00000000-0005-0000-0000-0000E99E0000}"/>
    <cellStyle name="Normal 59 3 6 2 3 2" xfId="33772" xr:uid="{00000000-0005-0000-0000-0000EA9E0000}"/>
    <cellStyle name="Normal 59 3 6 2 4" xfId="45760" xr:uid="{00000000-0005-0000-0000-0000EB9E0000}"/>
    <cellStyle name="Normal 59 3 6 3" xfId="45761" xr:uid="{00000000-0005-0000-0000-0000EC9E0000}"/>
    <cellStyle name="Normal 59 3 6 3 2" xfId="45762" xr:uid="{00000000-0005-0000-0000-0000ED9E0000}"/>
    <cellStyle name="Normal 59 3 6 3 2 2" xfId="33853" xr:uid="{00000000-0005-0000-0000-0000EE9E0000}"/>
    <cellStyle name="Normal 59 3 6 3 3" xfId="45763" xr:uid="{00000000-0005-0000-0000-0000EF9E0000}"/>
    <cellStyle name="Normal 59 3 6 4" xfId="45764" xr:uid="{00000000-0005-0000-0000-0000F09E0000}"/>
    <cellStyle name="Normal 59 3 6 4 2" xfId="45765" xr:uid="{00000000-0005-0000-0000-0000F19E0000}"/>
    <cellStyle name="Normal 59 3 6 4 2 2" xfId="14658" xr:uid="{00000000-0005-0000-0000-0000F29E0000}"/>
    <cellStyle name="Normal 59 3 6 4 3" xfId="45766" xr:uid="{00000000-0005-0000-0000-0000F39E0000}"/>
    <cellStyle name="Normal 59 3 6 5" xfId="45767" xr:uid="{00000000-0005-0000-0000-0000F49E0000}"/>
    <cellStyle name="Normal 59 3 6 5 2" xfId="45768" xr:uid="{00000000-0005-0000-0000-0000F59E0000}"/>
    <cellStyle name="Normal 59 3 6 6" xfId="45769" xr:uid="{00000000-0005-0000-0000-0000F69E0000}"/>
    <cellStyle name="Normal 59 3 6 6 2" xfId="14814" xr:uid="{00000000-0005-0000-0000-0000F79E0000}"/>
    <cellStyle name="Normal 59 3 6 7" xfId="32220" xr:uid="{00000000-0005-0000-0000-0000F89E0000}"/>
    <cellStyle name="Normal 59 3 6 8" xfId="32228" xr:uid="{00000000-0005-0000-0000-0000F99E0000}"/>
    <cellStyle name="Normal 59 3 7" xfId="1271" xr:uid="{00000000-0005-0000-0000-0000FA9E0000}"/>
    <cellStyle name="Normal 59 3 7 2" xfId="45770" xr:uid="{00000000-0005-0000-0000-0000FB9E0000}"/>
    <cellStyle name="Normal 59 3 7 2 2" xfId="45771" xr:uid="{00000000-0005-0000-0000-0000FC9E0000}"/>
    <cellStyle name="Normal 59 3 7 2 2 2" xfId="34122" xr:uid="{00000000-0005-0000-0000-0000FD9E0000}"/>
    <cellStyle name="Normal 59 3 7 2 3" xfId="45772" xr:uid="{00000000-0005-0000-0000-0000FE9E0000}"/>
    <cellStyle name="Normal 59 3 7 3" xfId="45773" xr:uid="{00000000-0005-0000-0000-0000FF9E0000}"/>
    <cellStyle name="Normal 59 3 7 3 2" xfId="39327" xr:uid="{00000000-0005-0000-0000-0000009F0000}"/>
    <cellStyle name="Normal 59 3 7 4" xfId="45774" xr:uid="{00000000-0005-0000-0000-0000019F0000}"/>
    <cellStyle name="Normal 59 3 8" xfId="34412" xr:uid="{00000000-0005-0000-0000-0000029F0000}"/>
    <cellStyle name="Normal 59 3 8 2" xfId="7145" xr:uid="{00000000-0005-0000-0000-0000039F0000}"/>
    <cellStyle name="Normal 59 3 8 2 2" xfId="22939" xr:uid="{00000000-0005-0000-0000-0000049F0000}"/>
    <cellStyle name="Normal 59 3 8 3" xfId="45775" xr:uid="{00000000-0005-0000-0000-0000059F0000}"/>
    <cellStyle name="Normal 59 3 9" xfId="34418" xr:uid="{00000000-0005-0000-0000-0000069F0000}"/>
    <cellStyle name="Normal 59 3 9 2" xfId="45776" xr:uid="{00000000-0005-0000-0000-0000079F0000}"/>
    <cellStyle name="Normal 59 3 9 2 2" xfId="45777" xr:uid="{00000000-0005-0000-0000-0000089F0000}"/>
    <cellStyle name="Normal 59 3 9 3" xfId="45778" xr:uid="{00000000-0005-0000-0000-0000099F0000}"/>
    <cellStyle name="Normal 59 4" xfId="45779" xr:uid="{00000000-0005-0000-0000-00000A9F0000}"/>
    <cellStyle name="Normal 59 4 10" xfId="45780" xr:uid="{00000000-0005-0000-0000-00000B9F0000}"/>
    <cellStyle name="Normal 59 4 2" xfId="18500" xr:uid="{00000000-0005-0000-0000-00000C9F0000}"/>
    <cellStyle name="Normal 59 4 2 2" xfId="45781" xr:uid="{00000000-0005-0000-0000-00000D9F0000}"/>
    <cellStyle name="Normal 59 4 2 2 2" xfId="45782" xr:uid="{00000000-0005-0000-0000-00000E9F0000}"/>
    <cellStyle name="Normal 59 4 2 2 2 2" xfId="20081" xr:uid="{00000000-0005-0000-0000-00000F9F0000}"/>
    <cellStyle name="Normal 59 4 2 2 2 2 2" xfId="20083" xr:uid="{00000000-0005-0000-0000-0000109F0000}"/>
    <cellStyle name="Normal 59 4 2 2 2 2 2 2" xfId="10098" xr:uid="{00000000-0005-0000-0000-0000119F0000}"/>
    <cellStyle name="Normal 59 4 2 2 2 2 3" xfId="20090" xr:uid="{00000000-0005-0000-0000-0000129F0000}"/>
    <cellStyle name="Normal 59 4 2 2 2 3" xfId="20093" xr:uid="{00000000-0005-0000-0000-0000139F0000}"/>
    <cellStyle name="Normal 59 4 2 2 2 3 2" xfId="20096" xr:uid="{00000000-0005-0000-0000-0000149F0000}"/>
    <cellStyle name="Normal 59 4 2 2 2 4" xfId="20103" xr:uid="{00000000-0005-0000-0000-0000159F0000}"/>
    <cellStyle name="Normal 59 4 2 2 3" xfId="45783" xr:uid="{00000000-0005-0000-0000-0000169F0000}"/>
    <cellStyle name="Normal 59 4 2 2 3 2" xfId="13878" xr:uid="{00000000-0005-0000-0000-0000179F0000}"/>
    <cellStyle name="Normal 59 4 2 2 3 2 2" xfId="20118" xr:uid="{00000000-0005-0000-0000-0000189F0000}"/>
    <cellStyle name="Normal 59 4 2 2 3 3" xfId="9499" xr:uid="{00000000-0005-0000-0000-0000199F0000}"/>
    <cellStyle name="Normal 59 4 2 2 4" xfId="45784" xr:uid="{00000000-0005-0000-0000-00001A9F0000}"/>
    <cellStyle name="Normal 59 4 2 2 4 2" xfId="13890" xr:uid="{00000000-0005-0000-0000-00001B9F0000}"/>
    <cellStyle name="Normal 59 4 2 2 4 2 2" xfId="20150" xr:uid="{00000000-0005-0000-0000-00001C9F0000}"/>
    <cellStyle name="Normal 59 4 2 2 4 3" xfId="20153" xr:uid="{00000000-0005-0000-0000-00001D9F0000}"/>
    <cellStyle name="Normal 59 4 2 2 5" xfId="45785" xr:uid="{00000000-0005-0000-0000-00001E9F0000}"/>
    <cellStyle name="Normal 59 4 2 2 5 2" xfId="20170" xr:uid="{00000000-0005-0000-0000-00001F9F0000}"/>
    <cellStyle name="Normal 59 4 2 2 6" xfId="22600" xr:uid="{00000000-0005-0000-0000-0000209F0000}"/>
    <cellStyle name="Normal 59 4 2 2 6 2" xfId="20176" xr:uid="{00000000-0005-0000-0000-0000219F0000}"/>
    <cellStyle name="Normal 59 4 2 2 7" xfId="17469" xr:uid="{00000000-0005-0000-0000-0000229F0000}"/>
    <cellStyle name="Normal 59 4 2 2 8" xfId="10703" xr:uid="{00000000-0005-0000-0000-0000239F0000}"/>
    <cellStyle name="Normal 59 4 2 3" xfId="45786" xr:uid="{00000000-0005-0000-0000-0000249F0000}"/>
    <cellStyle name="Normal 59 4 2 3 2" xfId="45787" xr:uid="{00000000-0005-0000-0000-0000259F0000}"/>
    <cellStyle name="Normal 59 4 2 3 2 2" xfId="43467" xr:uid="{00000000-0005-0000-0000-0000269F0000}"/>
    <cellStyle name="Normal 59 4 2 3 2 2 2" xfId="45504" xr:uid="{00000000-0005-0000-0000-0000279F0000}"/>
    <cellStyle name="Normal 59 4 2 3 2 3" xfId="45788" xr:uid="{00000000-0005-0000-0000-0000289F0000}"/>
    <cellStyle name="Normal 59 4 2 3 3" xfId="45789" xr:uid="{00000000-0005-0000-0000-0000299F0000}"/>
    <cellStyle name="Normal 59 4 2 3 3 2" xfId="45790" xr:uid="{00000000-0005-0000-0000-00002A9F0000}"/>
    <cellStyle name="Normal 59 4 2 3 4" xfId="45791" xr:uid="{00000000-0005-0000-0000-00002B9F0000}"/>
    <cellStyle name="Normal 59 4 2 4" xfId="8449" xr:uid="{00000000-0005-0000-0000-00002C9F0000}"/>
    <cellStyle name="Normal 59 4 2 4 2" xfId="45792" xr:uid="{00000000-0005-0000-0000-00002D9F0000}"/>
    <cellStyle name="Normal 59 4 2 4 2 2" xfId="45793" xr:uid="{00000000-0005-0000-0000-00002E9F0000}"/>
    <cellStyle name="Normal 59 4 2 4 3" xfId="45794" xr:uid="{00000000-0005-0000-0000-00002F9F0000}"/>
    <cellStyle name="Normal 59 4 2 5" xfId="45795" xr:uid="{00000000-0005-0000-0000-0000309F0000}"/>
    <cellStyle name="Normal 59 4 2 5 2" xfId="45796" xr:uid="{00000000-0005-0000-0000-0000319F0000}"/>
    <cellStyle name="Normal 59 4 2 5 2 2" xfId="45797" xr:uid="{00000000-0005-0000-0000-0000329F0000}"/>
    <cellStyle name="Normal 59 4 2 5 3" xfId="45798" xr:uid="{00000000-0005-0000-0000-0000339F0000}"/>
    <cellStyle name="Normal 59 4 2 6" xfId="45799" xr:uid="{00000000-0005-0000-0000-0000349F0000}"/>
    <cellStyle name="Normal 59 4 2 6 2" xfId="45800" xr:uid="{00000000-0005-0000-0000-0000359F0000}"/>
    <cellStyle name="Normal 59 4 2 7" xfId="45801" xr:uid="{00000000-0005-0000-0000-0000369F0000}"/>
    <cellStyle name="Normal 59 4 2 7 2" xfId="45802" xr:uid="{00000000-0005-0000-0000-0000379F0000}"/>
    <cellStyle name="Normal 59 4 2 8" xfId="45803" xr:uid="{00000000-0005-0000-0000-0000389F0000}"/>
    <cellStyle name="Normal 59 4 2 9" xfId="45804" xr:uid="{00000000-0005-0000-0000-0000399F0000}"/>
    <cellStyle name="Normal 59 4 3" xfId="45805" xr:uid="{00000000-0005-0000-0000-00003A9F0000}"/>
    <cellStyle name="Normal 59 4 3 2" xfId="45806" xr:uid="{00000000-0005-0000-0000-00003B9F0000}"/>
    <cellStyle name="Normal 59 4 3 2 2" xfId="45807" xr:uid="{00000000-0005-0000-0000-00003C9F0000}"/>
    <cellStyle name="Normal 59 4 3 2 2 2" xfId="45808" xr:uid="{00000000-0005-0000-0000-00003D9F0000}"/>
    <cellStyle name="Normal 59 4 3 2 2 2 2" xfId="45810" xr:uid="{00000000-0005-0000-0000-00003E9F0000}"/>
    <cellStyle name="Normal 59 4 3 2 2 3" xfId="45811" xr:uid="{00000000-0005-0000-0000-00003F9F0000}"/>
    <cellStyle name="Normal 59 4 3 2 3" xfId="45812" xr:uid="{00000000-0005-0000-0000-0000409F0000}"/>
    <cellStyle name="Normal 59 4 3 2 3 2" xfId="45813" xr:uid="{00000000-0005-0000-0000-0000419F0000}"/>
    <cellStyle name="Normal 59 4 3 2 4" xfId="45814" xr:uid="{00000000-0005-0000-0000-0000429F0000}"/>
    <cellStyle name="Normal 59 4 3 3" xfId="45815" xr:uid="{00000000-0005-0000-0000-0000439F0000}"/>
    <cellStyle name="Normal 59 4 3 3 2" xfId="45816" xr:uid="{00000000-0005-0000-0000-0000449F0000}"/>
    <cellStyle name="Normal 59 4 3 3 2 2" xfId="45817" xr:uid="{00000000-0005-0000-0000-0000459F0000}"/>
    <cellStyle name="Normal 59 4 3 3 3" xfId="30748" xr:uid="{00000000-0005-0000-0000-0000469F0000}"/>
    <cellStyle name="Normal 59 4 3 4" xfId="8459" xr:uid="{00000000-0005-0000-0000-0000479F0000}"/>
    <cellStyle name="Normal 59 4 3 4 2" xfId="43134" xr:uid="{00000000-0005-0000-0000-0000489F0000}"/>
    <cellStyle name="Normal 59 4 3 4 2 2" xfId="45818" xr:uid="{00000000-0005-0000-0000-0000499F0000}"/>
    <cellStyle name="Normal 59 4 3 4 3" xfId="45819" xr:uid="{00000000-0005-0000-0000-00004A9F0000}"/>
    <cellStyle name="Normal 59 4 3 5" xfId="43137" xr:uid="{00000000-0005-0000-0000-00004B9F0000}"/>
    <cellStyle name="Normal 59 4 3 5 2" xfId="45820" xr:uid="{00000000-0005-0000-0000-00004C9F0000}"/>
    <cellStyle name="Normal 59 4 3 6" xfId="45821" xr:uid="{00000000-0005-0000-0000-00004D9F0000}"/>
    <cellStyle name="Normal 59 4 3 6 2" xfId="45822" xr:uid="{00000000-0005-0000-0000-00004E9F0000}"/>
    <cellStyle name="Normal 59 4 3 7" xfId="45823" xr:uid="{00000000-0005-0000-0000-00004F9F0000}"/>
    <cellStyle name="Normal 59 4 3 8" xfId="45824" xr:uid="{00000000-0005-0000-0000-0000509F0000}"/>
    <cellStyle name="Normal 59 4 4" xfId="45825" xr:uid="{00000000-0005-0000-0000-0000519F0000}"/>
    <cellStyle name="Normal 59 4 4 2" xfId="45826" xr:uid="{00000000-0005-0000-0000-0000529F0000}"/>
    <cellStyle name="Normal 59 4 4 2 2" xfId="45827" xr:uid="{00000000-0005-0000-0000-0000539F0000}"/>
    <cellStyle name="Normal 59 4 4 2 2 2" xfId="45828" xr:uid="{00000000-0005-0000-0000-0000549F0000}"/>
    <cellStyle name="Normal 59 4 4 2 3" xfId="45829" xr:uid="{00000000-0005-0000-0000-0000559F0000}"/>
    <cellStyle name="Normal 59 4 4 3" xfId="45830" xr:uid="{00000000-0005-0000-0000-0000569F0000}"/>
    <cellStyle name="Normal 59 4 4 3 2" xfId="45831" xr:uid="{00000000-0005-0000-0000-0000579F0000}"/>
    <cellStyle name="Normal 59 4 4 4" xfId="12676" xr:uid="{00000000-0005-0000-0000-0000589F0000}"/>
    <cellStyle name="Normal 59 4 5" xfId="45832" xr:uid="{00000000-0005-0000-0000-0000599F0000}"/>
    <cellStyle name="Normal 59 4 5 2" xfId="45833" xr:uid="{00000000-0005-0000-0000-00005A9F0000}"/>
    <cellStyle name="Normal 59 4 5 2 2" xfId="45834" xr:uid="{00000000-0005-0000-0000-00005B9F0000}"/>
    <cellStyle name="Normal 59 4 5 3" xfId="45835" xr:uid="{00000000-0005-0000-0000-00005C9F0000}"/>
    <cellStyle name="Normal 59 4 6" xfId="22638" xr:uid="{00000000-0005-0000-0000-00005D9F0000}"/>
    <cellStyle name="Normal 59 4 6 2" xfId="3074" xr:uid="{00000000-0005-0000-0000-00005E9F0000}"/>
    <cellStyle name="Normal 59 4 6 2 2" xfId="5309" xr:uid="{00000000-0005-0000-0000-00005F9F0000}"/>
    <cellStyle name="Normal 59 4 6 3" xfId="5322" xr:uid="{00000000-0005-0000-0000-0000609F0000}"/>
    <cellStyle name="Normal 59 4 7" xfId="38328" xr:uid="{00000000-0005-0000-0000-0000619F0000}"/>
    <cellStyle name="Normal 59 4 7 2" xfId="5336" xr:uid="{00000000-0005-0000-0000-0000629F0000}"/>
    <cellStyle name="Normal 59 4 8" xfId="34420" xr:uid="{00000000-0005-0000-0000-0000639F0000}"/>
    <cellStyle name="Normal 59 4 8 2" xfId="285" xr:uid="{00000000-0005-0000-0000-0000649F0000}"/>
    <cellStyle name="Normal 59 4 9" xfId="39175" xr:uid="{00000000-0005-0000-0000-0000659F0000}"/>
    <cellStyle name="Normal 59 5" xfId="45836" xr:uid="{00000000-0005-0000-0000-0000669F0000}"/>
    <cellStyle name="Normal 59 5 2" xfId="45837" xr:uid="{00000000-0005-0000-0000-0000679F0000}"/>
    <cellStyle name="Normal 59 5 2 2" xfId="28105" xr:uid="{00000000-0005-0000-0000-0000689F0000}"/>
    <cellStyle name="Normal 59 5 2 2 2" xfId="45838" xr:uid="{00000000-0005-0000-0000-0000699F0000}"/>
    <cellStyle name="Normal 59 5 2 2 2 2" xfId="20282" xr:uid="{00000000-0005-0000-0000-00006A9F0000}"/>
    <cellStyle name="Normal 59 5 2 2 2 2 2" xfId="20285" xr:uid="{00000000-0005-0000-0000-00006B9F0000}"/>
    <cellStyle name="Normal 59 5 2 2 2 3" xfId="1725" xr:uid="{00000000-0005-0000-0000-00006C9F0000}"/>
    <cellStyle name="Normal 59 5 2 2 3" xfId="45839" xr:uid="{00000000-0005-0000-0000-00006D9F0000}"/>
    <cellStyle name="Normal 59 5 2 2 3 2" xfId="20291" xr:uid="{00000000-0005-0000-0000-00006E9F0000}"/>
    <cellStyle name="Normal 59 5 2 2 4" xfId="5247" xr:uid="{00000000-0005-0000-0000-00006F9F0000}"/>
    <cellStyle name="Normal 59 5 2 2 5" xfId="25467" xr:uid="{00000000-0005-0000-0000-0000709F0000}"/>
    <cellStyle name="Normal 59 5 2 3" xfId="45840" xr:uid="{00000000-0005-0000-0000-0000719F0000}"/>
    <cellStyle name="Normal 59 5 2 3 2" xfId="45841" xr:uid="{00000000-0005-0000-0000-0000729F0000}"/>
    <cellStyle name="Normal 59 5 2 3 2 2" xfId="20310" xr:uid="{00000000-0005-0000-0000-0000739F0000}"/>
    <cellStyle name="Normal 59 5 2 3 3" xfId="45842" xr:uid="{00000000-0005-0000-0000-0000749F0000}"/>
    <cellStyle name="Normal 59 5 2 4" xfId="1584" xr:uid="{00000000-0005-0000-0000-0000759F0000}"/>
    <cellStyle name="Normal 59 5 2 4 2" xfId="45843" xr:uid="{00000000-0005-0000-0000-0000769F0000}"/>
    <cellStyle name="Normal 59 5 2 4 2 2" xfId="20369" xr:uid="{00000000-0005-0000-0000-0000779F0000}"/>
    <cellStyle name="Normal 59 5 2 4 3" xfId="45844" xr:uid="{00000000-0005-0000-0000-0000789F0000}"/>
    <cellStyle name="Normal 59 5 2 5" xfId="45845" xr:uid="{00000000-0005-0000-0000-0000799F0000}"/>
    <cellStyle name="Normal 59 5 2 5 2" xfId="45847" xr:uid="{00000000-0005-0000-0000-00007A9F0000}"/>
    <cellStyle name="Normal 59 5 2 6" xfId="20431" xr:uid="{00000000-0005-0000-0000-00007B9F0000}"/>
    <cellStyle name="Normal 59 5 2 6 2" xfId="45849" xr:uid="{00000000-0005-0000-0000-00007C9F0000}"/>
    <cellStyle name="Normal 59 5 2 7" xfId="45850" xr:uid="{00000000-0005-0000-0000-00007D9F0000}"/>
    <cellStyle name="Normal 59 5 2 8" xfId="45851" xr:uid="{00000000-0005-0000-0000-00007E9F0000}"/>
    <cellStyle name="Normal 59 5 3" xfId="45852" xr:uid="{00000000-0005-0000-0000-00007F9F0000}"/>
    <cellStyle name="Normal 59 5 3 2" xfId="45853" xr:uid="{00000000-0005-0000-0000-0000809F0000}"/>
    <cellStyle name="Normal 59 5 3 2 2" xfId="45854" xr:uid="{00000000-0005-0000-0000-0000819F0000}"/>
    <cellStyle name="Normal 59 5 3 2 2 2" xfId="45855" xr:uid="{00000000-0005-0000-0000-0000829F0000}"/>
    <cellStyle name="Normal 59 5 3 2 3" xfId="45856" xr:uid="{00000000-0005-0000-0000-0000839F0000}"/>
    <cellStyle name="Normal 59 5 3 3" xfId="45857" xr:uid="{00000000-0005-0000-0000-0000849F0000}"/>
    <cellStyle name="Normal 59 5 3 3 2" xfId="45858" xr:uid="{00000000-0005-0000-0000-0000859F0000}"/>
    <cellStyle name="Normal 59 5 3 4" xfId="43142" xr:uid="{00000000-0005-0000-0000-0000869F0000}"/>
    <cellStyle name="Normal 59 5 3 5" xfId="45859" xr:uid="{00000000-0005-0000-0000-0000879F0000}"/>
    <cellStyle name="Normal 59 5 4" xfId="45860" xr:uid="{00000000-0005-0000-0000-0000889F0000}"/>
    <cellStyle name="Normal 59 5 4 2" xfId="45861" xr:uid="{00000000-0005-0000-0000-0000899F0000}"/>
    <cellStyle name="Normal 59 5 4 2 2" xfId="45862" xr:uid="{00000000-0005-0000-0000-00008A9F0000}"/>
    <cellStyle name="Normal 59 5 4 3" xfId="45863" xr:uid="{00000000-0005-0000-0000-00008B9F0000}"/>
    <cellStyle name="Normal 59 5 5" xfId="45864" xr:uid="{00000000-0005-0000-0000-00008C9F0000}"/>
    <cellStyle name="Normal 59 5 5 2" xfId="45865" xr:uid="{00000000-0005-0000-0000-00008D9F0000}"/>
    <cellStyle name="Normal 59 5 5 2 2" xfId="45866" xr:uid="{00000000-0005-0000-0000-00008E9F0000}"/>
    <cellStyle name="Normal 59 5 5 3" xfId="45867" xr:uid="{00000000-0005-0000-0000-00008F9F0000}"/>
    <cellStyle name="Normal 59 5 6" xfId="31584" xr:uid="{00000000-0005-0000-0000-0000909F0000}"/>
    <cellStyle name="Normal 59 5 6 2" xfId="5351" xr:uid="{00000000-0005-0000-0000-0000919F0000}"/>
    <cellStyle name="Normal 59 5 7" xfId="38334" xr:uid="{00000000-0005-0000-0000-0000929F0000}"/>
    <cellStyle name="Normal 59 5 7 2" xfId="7457" xr:uid="{00000000-0005-0000-0000-0000939F0000}"/>
    <cellStyle name="Normal 59 5 8" xfId="34428" xr:uid="{00000000-0005-0000-0000-0000949F0000}"/>
    <cellStyle name="Normal 59 5 9" xfId="7896" xr:uid="{00000000-0005-0000-0000-0000959F0000}"/>
    <cellStyle name="Normal 59 6" xfId="45868" xr:uid="{00000000-0005-0000-0000-0000969F0000}"/>
    <cellStyle name="Normal 59 6 2" xfId="45869" xr:uid="{00000000-0005-0000-0000-0000979F0000}"/>
    <cellStyle name="Normal 59 6 2 2" xfId="45870" xr:uid="{00000000-0005-0000-0000-0000989F0000}"/>
    <cellStyle name="Normal 59 6 2 2 2" xfId="14034" xr:uid="{00000000-0005-0000-0000-0000999F0000}"/>
    <cellStyle name="Normal 59 6 2 2 2 2" xfId="14038" xr:uid="{00000000-0005-0000-0000-00009A9F0000}"/>
    <cellStyle name="Normal 59 6 2 2 2 2 2" xfId="45871" xr:uid="{00000000-0005-0000-0000-00009B9F0000}"/>
    <cellStyle name="Normal 59 6 2 2 2 3" xfId="45872" xr:uid="{00000000-0005-0000-0000-00009C9F0000}"/>
    <cellStyle name="Normal 59 6 2 2 3" xfId="14042" xr:uid="{00000000-0005-0000-0000-00009D9F0000}"/>
    <cellStyle name="Normal 59 6 2 2 3 2" xfId="39118" xr:uid="{00000000-0005-0000-0000-00009E9F0000}"/>
    <cellStyle name="Normal 59 6 2 2 4" xfId="14048" xr:uid="{00000000-0005-0000-0000-00009F9F0000}"/>
    <cellStyle name="Normal 59 6 2 3" xfId="45873" xr:uid="{00000000-0005-0000-0000-0000A09F0000}"/>
    <cellStyle name="Normal 59 6 2 3 2" xfId="14153" xr:uid="{00000000-0005-0000-0000-0000A19F0000}"/>
    <cellStyle name="Normal 59 6 2 3 2 2" xfId="19033" xr:uid="{00000000-0005-0000-0000-0000A29F0000}"/>
    <cellStyle name="Normal 59 6 2 3 3" xfId="14156" xr:uid="{00000000-0005-0000-0000-0000A39F0000}"/>
    <cellStyle name="Normal 59 6 2 4" xfId="45874" xr:uid="{00000000-0005-0000-0000-0000A49F0000}"/>
    <cellStyle name="Normal 59 6 2 4 2" xfId="45875" xr:uid="{00000000-0005-0000-0000-0000A59F0000}"/>
    <cellStyle name="Normal 59 6 2 4 2 2" xfId="45876" xr:uid="{00000000-0005-0000-0000-0000A69F0000}"/>
    <cellStyle name="Normal 59 6 2 4 3" xfId="45877" xr:uid="{00000000-0005-0000-0000-0000A79F0000}"/>
    <cellStyle name="Normal 59 6 2 5" xfId="45878" xr:uid="{00000000-0005-0000-0000-0000A89F0000}"/>
    <cellStyle name="Normal 59 6 2 5 2" xfId="45879" xr:uid="{00000000-0005-0000-0000-0000A99F0000}"/>
    <cellStyle name="Normal 59 6 2 6" xfId="45880" xr:uid="{00000000-0005-0000-0000-0000AA9F0000}"/>
    <cellStyle name="Normal 59 6 2 6 2" xfId="45881" xr:uid="{00000000-0005-0000-0000-0000AB9F0000}"/>
    <cellStyle name="Normal 59 6 2 7" xfId="45882" xr:uid="{00000000-0005-0000-0000-0000AC9F0000}"/>
    <cellStyle name="Normal 59 6 2 8" xfId="45883" xr:uid="{00000000-0005-0000-0000-0000AD9F0000}"/>
    <cellStyle name="Normal 59 6 3" xfId="45884" xr:uid="{00000000-0005-0000-0000-0000AE9F0000}"/>
    <cellStyle name="Normal 59 6 3 2" xfId="45885" xr:uid="{00000000-0005-0000-0000-0000AF9F0000}"/>
    <cellStyle name="Normal 59 6 3 2 2" xfId="14250" xr:uid="{00000000-0005-0000-0000-0000B09F0000}"/>
    <cellStyle name="Normal 59 6 3 2 2 2" xfId="20596" xr:uid="{00000000-0005-0000-0000-0000B19F0000}"/>
    <cellStyle name="Normal 59 6 3 2 3" xfId="14255" xr:uid="{00000000-0005-0000-0000-0000B29F0000}"/>
    <cellStyle name="Normal 59 6 3 3" xfId="45886" xr:uid="{00000000-0005-0000-0000-0000B39F0000}"/>
    <cellStyle name="Normal 59 6 3 3 2" xfId="45887" xr:uid="{00000000-0005-0000-0000-0000B49F0000}"/>
    <cellStyle name="Normal 59 6 3 4" xfId="43149" xr:uid="{00000000-0005-0000-0000-0000B59F0000}"/>
    <cellStyle name="Normal 59 6 4" xfId="45888" xr:uid="{00000000-0005-0000-0000-0000B69F0000}"/>
    <cellStyle name="Normal 59 6 4 2" xfId="45889" xr:uid="{00000000-0005-0000-0000-0000B79F0000}"/>
    <cellStyle name="Normal 59 6 4 2 2" xfId="11635" xr:uid="{00000000-0005-0000-0000-0000B89F0000}"/>
    <cellStyle name="Normal 59 6 4 3" xfId="45890" xr:uid="{00000000-0005-0000-0000-0000B99F0000}"/>
    <cellStyle name="Normal 59 6 5" xfId="45891" xr:uid="{00000000-0005-0000-0000-0000BA9F0000}"/>
    <cellStyle name="Normal 59 6 5 2" xfId="45892" xr:uid="{00000000-0005-0000-0000-0000BB9F0000}"/>
    <cellStyle name="Normal 59 6 5 2 2" xfId="11728" xr:uid="{00000000-0005-0000-0000-0000BC9F0000}"/>
    <cellStyle name="Normal 59 6 5 3" xfId="45893" xr:uid="{00000000-0005-0000-0000-0000BD9F0000}"/>
    <cellStyle name="Normal 59 6 6" xfId="39187" xr:uid="{00000000-0005-0000-0000-0000BE9F0000}"/>
    <cellStyle name="Normal 59 6 6 2" xfId="39189" xr:uid="{00000000-0005-0000-0000-0000BF9F0000}"/>
    <cellStyle name="Normal 59 6 7" xfId="5378" xr:uid="{00000000-0005-0000-0000-0000C09F0000}"/>
    <cellStyle name="Normal 59 6 7 2" xfId="12262" xr:uid="{00000000-0005-0000-0000-0000C19F0000}"/>
    <cellStyle name="Normal 59 6 8" xfId="12271" xr:uid="{00000000-0005-0000-0000-0000C29F0000}"/>
    <cellStyle name="Normal 59 6 9" xfId="45894" xr:uid="{00000000-0005-0000-0000-0000C39F0000}"/>
    <cellStyle name="Normal 59 7" xfId="45895" xr:uid="{00000000-0005-0000-0000-0000C49F0000}"/>
    <cellStyle name="Normal 59 7 2" xfId="45896" xr:uid="{00000000-0005-0000-0000-0000C59F0000}"/>
    <cellStyle name="Normal 59 7 2 2" xfId="45897" xr:uid="{00000000-0005-0000-0000-0000C69F0000}"/>
    <cellStyle name="Normal 59 7 2 2 2" xfId="14643" xr:uid="{00000000-0005-0000-0000-0000C79F0000}"/>
    <cellStyle name="Normal 59 7 2 2 2 2" xfId="19715" xr:uid="{00000000-0005-0000-0000-0000C89F0000}"/>
    <cellStyle name="Normal 59 7 2 2 2 2 2" xfId="45899" xr:uid="{00000000-0005-0000-0000-0000C99F0000}"/>
    <cellStyle name="Normal 59 7 2 2 2 3" xfId="3527" xr:uid="{00000000-0005-0000-0000-0000CA9F0000}"/>
    <cellStyle name="Normal 59 7 2 2 3" xfId="14648" xr:uid="{00000000-0005-0000-0000-0000CB9F0000}"/>
    <cellStyle name="Normal 59 7 2 2 3 2" xfId="45900" xr:uid="{00000000-0005-0000-0000-0000CC9F0000}"/>
    <cellStyle name="Normal 59 7 2 2 4" xfId="9668" xr:uid="{00000000-0005-0000-0000-0000CD9F0000}"/>
    <cellStyle name="Normal 59 7 2 3" xfId="45901" xr:uid="{00000000-0005-0000-0000-0000CE9F0000}"/>
    <cellStyle name="Normal 59 7 2 3 2" xfId="45902" xr:uid="{00000000-0005-0000-0000-0000CF9F0000}"/>
    <cellStyle name="Normal 59 7 2 3 2 2" xfId="45903" xr:uid="{00000000-0005-0000-0000-0000D09F0000}"/>
    <cellStyle name="Normal 59 7 2 3 3" xfId="45904" xr:uid="{00000000-0005-0000-0000-0000D19F0000}"/>
    <cellStyle name="Normal 59 7 2 4" xfId="45905" xr:uid="{00000000-0005-0000-0000-0000D29F0000}"/>
    <cellStyle name="Normal 59 7 2 4 2" xfId="45906" xr:uid="{00000000-0005-0000-0000-0000D39F0000}"/>
    <cellStyle name="Normal 59 7 2 4 2 2" xfId="45907" xr:uid="{00000000-0005-0000-0000-0000D49F0000}"/>
    <cellStyle name="Normal 59 7 2 4 3" xfId="45908" xr:uid="{00000000-0005-0000-0000-0000D59F0000}"/>
    <cellStyle name="Normal 59 7 2 5" xfId="45909" xr:uid="{00000000-0005-0000-0000-0000D69F0000}"/>
    <cellStyle name="Normal 59 7 2 5 2" xfId="39380" xr:uid="{00000000-0005-0000-0000-0000D79F0000}"/>
    <cellStyle name="Normal 59 7 2 6" xfId="45910" xr:uid="{00000000-0005-0000-0000-0000D89F0000}"/>
    <cellStyle name="Normal 59 7 2 6 2" xfId="45911" xr:uid="{00000000-0005-0000-0000-0000D99F0000}"/>
    <cellStyle name="Normal 59 7 2 7" xfId="45912" xr:uid="{00000000-0005-0000-0000-0000DA9F0000}"/>
    <cellStyle name="Normal 59 7 2 8" xfId="45913" xr:uid="{00000000-0005-0000-0000-0000DB9F0000}"/>
    <cellStyle name="Normal 59 7 3" xfId="45914" xr:uid="{00000000-0005-0000-0000-0000DC9F0000}"/>
    <cellStyle name="Normal 59 7 3 2" xfId="45915" xr:uid="{00000000-0005-0000-0000-0000DD9F0000}"/>
    <cellStyle name="Normal 59 7 3 2 2" xfId="45916" xr:uid="{00000000-0005-0000-0000-0000DE9F0000}"/>
    <cellStyle name="Normal 59 7 3 2 2 2" xfId="25485" xr:uid="{00000000-0005-0000-0000-0000DF9F0000}"/>
    <cellStyle name="Normal 59 7 3 2 3" xfId="45917" xr:uid="{00000000-0005-0000-0000-0000E09F0000}"/>
    <cellStyle name="Normal 59 7 3 3" xfId="45918" xr:uid="{00000000-0005-0000-0000-0000E19F0000}"/>
    <cellStyle name="Normal 59 7 3 3 2" xfId="45919" xr:uid="{00000000-0005-0000-0000-0000E29F0000}"/>
    <cellStyle name="Normal 59 7 3 4" xfId="45920" xr:uid="{00000000-0005-0000-0000-0000E39F0000}"/>
    <cellStyle name="Normal 59 7 4" xfId="45921" xr:uid="{00000000-0005-0000-0000-0000E49F0000}"/>
    <cellStyle name="Normal 59 7 4 2" xfId="45922" xr:uid="{00000000-0005-0000-0000-0000E59F0000}"/>
    <cellStyle name="Normal 59 7 4 2 2" xfId="45923" xr:uid="{00000000-0005-0000-0000-0000E69F0000}"/>
    <cellStyle name="Normal 59 7 4 3" xfId="45924" xr:uid="{00000000-0005-0000-0000-0000E79F0000}"/>
    <cellStyle name="Normal 59 7 5" xfId="45925" xr:uid="{00000000-0005-0000-0000-0000E89F0000}"/>
    <cellStyle name="Normal 59 7 5 2" xfId="45926" xr:uid="{00000000-0005-0000-0000-0000E99F0000}"/>
    <cellStyle name="Normal 59 7 5 2 2" xfId="45927" xr:uid="{00000000-0005-0000-0000-0000EA9F0000}"/>
    <cellStyle name="Normal 59 7 5 3" xfId="45928" xr:uid="{00000000-0005-0000-0000-0000EB9F0000}"/>
    <cellStyle name="Normal 59 7 6" xfId="39194" xr:uid="{00000000-0005-0000-0000-0000EC9F0000}"/>
    <cellStyle name="Normal 59 7 6 2" xfId="39196" xr:uid="{00000000-0005-0000-0000-0000ED9F0000}"/>
    <cellStyle name="Normal 59 7 7" xfId="12338" xr:uid="{00000000-0005-0000-0000-0000EE9F0000}"/>
    <cellStyle name="Normal 59 7 7 2" xfId="45929" xr:uid="{00000000-0005-0000-0000-0000EF9F0000}"/>
    <cellStyle name="Normal 59 7 8" xfId="45930" xr:uid="{00000000-0005-0000-0000-0000F09F0000}"/>
    <cellStyle name="Normal 59 7 9" xfId="45931" xr:uid="{00000000-0005-0000-0000-0000F19F0000}"/>
    <cellStyle name="Normal 59 8" xfId="45932" xr:uid="{00000000-0005-0000-0000-0000F29F0000}"/>
    <cellStyle name="Normal 59 8 2" xfId="45933" xr:uid="{00000000-0005-0000-0000-0000F39F0000}"/>
    <cellStyle name="Normal 59 8 2 2" xfId="45934" xr:uid="{00000000-0005-0000-0000-0000F49F0000}"/>
    <cellStyle name="Normal 59 8 2 2 2" xfId="45935" xr:uid="{00000000-0005-0000-0000-0000F59F0000}"/>
    <cellStyle name="Normal 59 8 2 2 2 2" xfId="45936" xr:uid="{00000000-0005-0000-0000-0000F69F0000}"/>
    <cellStyle name="Normal 59 8 2 2 3" xfId="39700" xr:uid="{00000000-0005-0000-0000-0000F79F0000}"/>
    <cellStyle name="Normal 59 8 2 3" xfId="45937" xr:uid="{00000000-0005-0000-0000-0000F89F0000}"/>
    <cellStyle name="Normal 59 8 2 3 2" xfId="45938" xr:uid="{00000000-0005-0000-0000-0000F99F0000}"/>
    <cellStyle name="Normal 59 8 2 4" xfId="45939" xr:uid="{00000000-0005-0000-0000-0000FA9F0000}"/>
    <cellStyle name="Normal 59 8 3" xfId="45940" xr:uid="{00000000-0005-0000-0000-0000FB9F0000}"/>
    <cellStyle name="Normal 59 8 3 2" xfId="38167" xr:uid="{00000000-0005-0000-0000-0000FC9F0000}"/>
    <cellStyle name="Normal 59 8 3 2 2" xfId="38170" xr:uid="{00000000-0005-0000-0000-0000FD9F0000}"/>
    <cellStyle name="Normal 59 8 3 3" xfId="38173" xr:uid="{00000000-0005-0000-0000-0000FE9F0000}"/>
    <cellStyle name="Normal 59 8 4" xfId="9506" xr:uid="{00000000-0005-0000-0000-0000FF9F0000}"/>
    <cellStyle name="Normal 59 8 4 2" xfId="10435" xr:uid="{00000000-0005-0000-0000-000000A00000}"/>
    <cellStyle name="Normal 59 8 4 2 2" xfId="10442" xr:uid="{00000000-0005-0000-0000-000001A00000}"/>
    <cellStyle name="Normal 59 8 4 3" xfId="489" xr:uid="{00000000-0005-0000-0000-000002A00000}"/>
    <cellStyle name="Normal 59 8 5" xfId="10447" xr:uid="{00000000-0005-0000-0000-000003A00000}"/>
    <cellStyle name="Normal 59 8 5 2" xfId="10453" xr:uid="{00000000-0005-0000-0000-000004A00000}"/>
    <cellStyle name="Normal 59 8 6" xfId="5416" xr:uid="{00000000-0005-0000-0000-000005A00000}"/>
    <cellStyle name="Normal 59 8 6 2" xfId="39198" xr:uid="{00000000-0005-0000-0000-000006A00000}"/>
    <cellStyle name="Normal 59 8 7" xfId="153" xr:uid="{00000000-0005-0000-0000-000007A00000}"/>
    <cellStyle name="Normal 59 8 8" xfId="45941" xr:uid="{00000000-0005-0000-0000-000008A00000}"/>
    <cellStyle name="Normal 59 9" xfId="45942" xr:uid="{00000000-0005-0000-0000-000009A00000}"/>
    <cellStyle name="Normal 59 9 2" xfId="9519" xr:uid="{00000000-0005-0000-0000-00000AA00000}"/>
    <cellStyle name="Normal 59 9 2 2" xfId="45943" xr:uid="{00000000-0005-0000-0000-00000BA00000}"/>
    <cellStyle name="Normal 59 9 2 2 2" xfId="45944" xr:uid="{00000000-0005-0000-0000-00000CA00000}"/>
    <cellStyle name="Normal 59 9 2 3" xfId="45945" xr:uid="{00000000-0005-0000-0000-00000DA00000}"/>
    <cellStyle name="Normal 59 9 3" xfId="9535" xr:uid="{00000000-0005-0000-0000-00000EA00000}"/>
    <cellStyle name="Normal 59 9 3 2" xfId="38191" xr:uid="{00000000-0005-0000-0000-00000FA00000}"/>
    <cellStyle name="Normal 59 9 4" xfId="10461" xr:uid="{00000000-0005-0000-0000-000010A00000}"/>
    <cellStyle name="Normal 6" xfId="45946" xr:uid="{00000000-0005-0000-0000-000011A00000}"/>
    <cellStyle name="Normal 6 10" xfId="14486" xr:uid="{00000000-0005-0000-0000-000012A00000}"/>
    <cellStyle name="Normal 6 11" xfId="14499" xr:uid="{00000000-0005-0000-0000-000013A00000}"/>
    <cellStyle name="Normal 6 11 2" xfId="14501" xr:uid="{00000000-0005-0000-0000-000014A00000}"/>
    <cellStyle name="Normal 6 11 2 2" xfId="14503" xr:uid="{00000000-0005-0000-0000-000015A00000}"/>
    <cellStyle name="Normal 6 11 3" xfId="14506" xr:uid="{00000000-0005-0000-0000-000016A00000}"/>
    <cellStyle name="Normal 6 12" xfId="14508" xr:uid="{00000000-0005-0000-0000-000017A00000}"/>
    <cellStyle name="Normal 6 12 2" xfId="14512" xr:uid="{00000000-0005-0000-0000-000018A00000}"/>
    <cellStyle name="Normal 6 12 2 2" xfId="14514" xr:uid="{00000000-0005-0000-0000-000019A00000}"/>
    <cellStyle name="Normal 6 12 3" xfId="14517" xr:uid="{00000000-0005-0000-0000-00001AA00000}"/>
    <cellStyle name="Normal 6 13" xfId="14520" xr:uid="{00000000-0005-0000-0000-00001BA00000}"/>
    <cellStyle name="Normal 6 13 2" xfId="14524" xr:uid="{00000000-0005-0000-0000-00001CA00000}"/>
    <cellStyle name="Normal 6 2" xfId="45947" xr:uid="{00000000-0005-0000-0000-00001DA00000}"/>
    <cellStyle name="Normal 6 2 2" xfId="45948" xr:uid="{00000000-0005-0000-0000-00001EA00000}"/>
    <cellStyle name="Normal 6 2 2 2" xfId="45949" xr:uid="{00000000-0005-0000-0000-00001FA00000}"/>
    <cellStyle name="Normal 6 2 2 2 2" xfId="45950" xr:uid="{00000000-0005-0000-0000-000020A00000}"/>
    <cellStyle name="Normal 6 2 2 2 2 2" xfId="45951" xr:uid="{00000000-0005-0000-0000-000021A00000}"/>
    <cellStyle name="Normal 6 2 2 2 2 2 2" xfId="4695" xr:uid="{00000000-0005-0000-0000-000022A00000}"/>
    <cellStyle name="Normal 6 2 2 2 2 2 2 2" xfId="4706" xr:uid="{00000000-0005-0000-0000-000023A00000}"/>
    <cellStyle name="Normal 6 2 2 2 2 2 2 2 2" xfId="45952" xr:uid="{00000000-0005-0000-0000-000024A00000}"/>
    <cellStyle name="Normal 6 2 2 2 2 2 2 2 2 2" xfId="8367" xr:uid="{00000000-0005-0000-0000-000025A00000}"/>
    <cellStyle name="Normal 6 2 2 2 2 2 2 2 3" xfId="45953" xr:uid="{00000000-0005-0000-0000-000026A00000}"/>
    <cellStyle name="Normal 6 2 2 2 2 2 2 3" xfId="45954" xr:uid="{00000000-0005-0000-0000-000027A00000}"/>
    <cellStyle name="Normal 6 2 2 2 2 2 2 3 2" xfId="45955" xr:uid="{00000000-0005-0000-0000-000028A00000}"/>
    <cellStyle name="Normal 6 2 2 2 2 2 2 4" xfId="45956" xr:uid="{00000000-0005-0000-0000-000029A00000}"/>
    <cellStyle name="Normal 6 2 2 2 2 2 3" xfId="4713" xr:uid="{00000000-0005-0000-0000-00002AA00000}"/>
    <cellStyle name="Normal 6 2 2 2 2 2 3 2" xfId="45957" xr:uid="{00000000-0005-0000-0000-00002BA00000}"/>
    <cellStyle name="Normal 6 2 2 2 2 2 3 2 2" xfId="45958" xr:uid="{00000000-0005-0000-0000-00002CA00000}"/>
    <cellStyle name="Normal 6 2 2 2 2 2 3 3" xfId="45959" xr:uid="{00000000-0005-0000-0000-00002DA00000}"/>
    <cellStyle name="Normal 6 2 2 2 2 2 4" xfId="6270" xr:uid="{00000000-0005-0000-0000-00002EA00000}"/>
    <cellStyle name="Normal 6 2 2 2 2 2 4 2" xfId="45960" xr:uid="{00000000-0005-0000-0000-00002FA00000}"/>
    <cellStyle name="Normal 6 2 2 2 2 2 4 2 2" xfId="45961" xr:uid="{00000000-0005-0000-0000-000030A00000}"/>
    <cellStyle name="Normal 6 2 2 2 2 2 4 3" xfId="45962" xr:uid="{00000000-0005-0000-0000-000031A00000}"/>
    <cellStyle name="Normal 6 2 2 2 2 2 5" xfId="45963" xr:uid="{00000000-0005-0000-0000-000032A00000}"/>
    <cellStyle name="Normal 6 2 2 2 2 2 5 2" xfId="45964" xr:uid="{00000000-0005-0000-0000-000033A00000}"/>
    <cellStyle name="Normal 6 2 2 2 2 2 6" xfId="45965" xr:uid="{00000000-0005-0000-0000-000034A00000}"/>
    <cellStyle name="Normal 6 2 2 2 2 2 6 2" xfId="45966" xr:uid="{00000000-0005-0000-0000-000035A00000}"/>
    <cellStyle name="Normal 6 2 2 2 2 2 7" xfId="45967" xr:uid="{00000000-0005-0000-0000-000036A00000}"/>
    <cellStyle name="Normal 6 2 2 2 2 3" xfId="45968" xr:uid="{00000000-0005-0000-0000-000037A00000}"/>
    <cellStyle name="Normal 6 2 2 2 2 3 2" xfId="6313" xr:uid="{00000000-0005-0000-0000-000038A00000}"/>
    <cellStyle name="Normal 6 2 2 2 2 3 2 2" xfId="6320" xr:uid="{00000000-0005-0000-0000-000039A00000}"/>
    <cellStyle name="Normal 6 2 2 2 2 3 2 2 2" xfId="6323" xr:uid="{00000000-0005-0000-0000-00003AA00000}"/>
    <cellStyle name="Normal 6 2 2 2 2 3 2 3" xfId="45969" xr:uid="{00000000-0005-0000-0000-00003BA00000}"/>
    <cellStyle name="Normal 6 2 2 2 2 3 3" xfId="6330" xr:uid="{00000000-0005-0000-0000-00003CA00000}"/>
    <cellStyle name="Normal 6 2 2 2 2 3 3 2" xfId="45970" xr:uid="{00000000-0005-0000-0000-00003DA00000}"/>
    <cellStyle name="Normal 6 2 2 2 2 3 4" xfId="6337" xr:uid="{00000000-0005-0000-0000-00003EA00000}"/>
    <cellStyle name="Normal 6 2 2 2 2 4" xfId="45971" xr:uid="{00000000-0005-0000-0000-00003FA00000}"/>
    <cellStyle name="Normal 6 2 2 2 2 4 2" xfId="6403" xr:uid="{00000000-0005-0000-0000-000040A00000}"/>
    <cellStyle name="Normal 6 2 2 2 2 4 2 2" xfId="6411" xr:uid="{00000000-0005-0000-0000-000041A00000}"/>
    <cellStyle name="Normal 6 2 2 2 2 4 3" xfId="6422" xr:uid="{00000000-0005-0000-0000-000042A00000}"/>
    <cellStyle name="Normal 6 2 2 2 2 5" xfId="45973" xr:uid="{00000000-0005-0000-0000-000043A00000}"/>
    <cellStyle name="Normal 6 2 2 2 2 5 2" xfId="6465" xr:uid="{00000000-0005-0000-0000-000044A00000}"/>
    <cellStyle name="Normal 6 2 2 2 2 5 2 2" xfId="20660" xr:uid="{00000000-0005-0000-0000-000045A00000}"/>
    <cellStyle name="Normal 6 2 2 2 2 5 3" xfId="20259" xr:uid="{00000000-0005-0000-0000-000046A00000}"/>
    <cellStyle name="Normal 6 2 2 2 2 6" xfId="45974" xr:uid="{00000000-0005-0000-0000-000047A00000}"/>
    <cellStyle name="Normal 6 2 2 2 2 6 2" xfId="19118" xr:uid="{00000000-0005-0000-0000-000048A00000}"/>
    <cellStyle name="Normal 6 2 2 2 2 7" xfId="17390" xr:uid="{00000000-0005-0000-0000-000049A00000}"/>
    <cellStyle name="Normal 6 2 2 2 2 7 2" xfId="16280" xr:uid="{00000000-0005-0000-0000-00004AA00000}"/>
    <cellStyle name="Normal 6 2 2 2 2 8" xfId="17394" xr:uid="{00000000-0005-0000-0000-00004BA00000}"/>
    <cellStyle name="Normal 6 2 2 2 3" xfId="45975" xr:uid="{00000000-0005-0000-0000-00004CA00000}"/>
    <cellStyle name="Normal 6 2 2 2 3 2" xfId="45976" xr:uid="{00000000-0005-0000-0000-00004DA00000}"/>
    <cellStyle name="Normal 6 2 2 2 3 2 2" xfId="7569" xr:uid="{00000000-0005-0000-0000-00004EA00000}"/>
    <cellStyle name="Normal 6 2 2 2 3 2 2 2" xfId="7581" xr:uid="{00000000-0005-0000-0000-00004FA00000}"/>
    <cellStyle name="Normal 6 2 2 2 3 2 2 2 2" xfId="7594" xr:uid="{00000000-0005-0000-0000-000050A00000}"/>
    <cellStyle name="Normal 6 2 2 2 3 2 2 3" xfId="7600" xr:uid="{00000000-0005-0000-0000-000051A00000}"/>
    <cellStyle name="Normal 6 2 2 2 3 2 3" xfId="7602" xr:uid="{00000000-0005-0000-0000-000052A00000}"/>
    <cellStyle name="Normal 6 2 2 2 3 2 3 2" xfId="7606" xr:uid="{00000000-0005-0000-0000-000053A00000}"/>
    <cellStyle name="Normal 6 2 2 2 3 2 4" xfId="4787" xr:uid="{00000000-0005-0000-0000-000054A00000}"/>
    <cellStyle name="Normal 6 2 2 2 3 3" xfId="45977" xr:uid="{00000000-0005-0000-0000-000055A00000}"/>
    <cellStyle name="Normal 6 2 2 2 3 3 2" xfId="45978" xr:uid="{00000000-0005-0000-0000-000056A00000}"/>
    <cellStyle name="Normal 6 2 2 2 3 3 2 2" xfId="45980" xr:uid="{00000000-0005-0000-0000-000057A00000}"/>
    <cellStyle name="Normal 6 2 2 2 3 3 3" xfId="45981" xr:uid="{00000000-0005-0000-0000-000058A00000}"/>
    <cellStyle name="Normal 6 2 2 2 3 4" xfId="45982" xr:uid="{00000000-0005-0000-0000-000059A00000}"/>
    <cellStyle name="Normal 6 2 2 2 3 4 2" xfId="7264" xr:uid="{00000000-0005-0000-0000-00005AA00000}"/>
    <cellStyle name="Normal 6 2 2 2 3 4 2 2" xfId="2712" xr:uid="{00000000-0005-0000-0000-00005BA00000}"/>
    <cellStyle name="Normal 6 2 2 2 3 4 3" xfId="7683" xr:uid="{00000000-0005-0000-0000-00005CA00000}"/>
    <cellStyle name="Normal 6 2 2 2 3 5" xfId="45983" xr:uid="{00000000-0005-0000-0000-00005DA00000}"/>
    <cellStyle name="Normal 6 2 2 2 3 5 2" xfId="501" xr:uid="{00000000-0005-0000-0000-00005EA00000}"/>
    <cellStyle name="Normal 6 2 2 2 3 6" xfId="45984" xr:uid="{00000000-0005-0000-0000-00005FA00000}"/>
    <cellStyle name="Normal 6 2 2 2 3 6 2" xfId="25924" xr:uid="{00000000-0005-0000-0000-000060A00000}"/>
    <cellStyle name="Normal 6 2 2 2 3 7" xfId="17399" xr:uid="{00000000-0005-0000-0000-000061A00000}"/>
    <cellStyle name="Normal 6 2 2 2 4" xfId="45985" xr:uid="{00000000-0005-0000-0000-000062A00000}"/>
    <cellStyle name="Normal 6 2 2 2 4 2" xfId="45986" xr:uid="{00000000-0005-0000-0000-000063A00000}"/>
    <cellStyle name="Normal 6 2 2 2 4 2 2" xfId="8335" xr:uid="{00000000-0005-0000-0000-000064A00000}"/>
    <cellStyle name="Normal 6 2 2 2 4 2 2 2" xfId="45987" xr:uid="{00000000-0005-0000-0000-000065A00000}"/>
    <cellStyle name="Normal 6 2 2 2 4 2 3" xfId="45988" xr:uid="{00000000-0005-0000-0000-000066A00000}"/>
    <cellStyle name="Normal 6 2 2 2 4 3" xfId="45989" xr:uid="{00000000-0005-0000-0000-000067A00000}"/>
    <cellStyle name="Normal 6 2 2 2 4 3 2" xfId="8429" xr:uid="{00000000-0005-0000-0000-000068A00000}"/>
    <cellStyle name="Normal 6 2 2 2 4 4" xfId="45990" xr:uid="{00000000-0005-0000-0000-000069A00000}"/>
    <cellStyle name="Normal 6 2 2 2 5" xfId="42337" xr:uid="{00000000-0005-0000-0000-00006AA00000}"/>
    <cellStyle name="Normal 6 2 2 2 5 2" xfId="45991" xr:uid="{00000000-0005-0000-0000-00006BA00000}"/>
    <cellStyle name="Normal 6 2 2 2 5 2 2" xfId="39761" xr:uid="{00000000-0005-0000-0000-00006CA00000}"/>
    <cellStyle name="Normal 6 2 2 2 5 3" xfId="45992" xr:uid="{00000000-0005-0000-0000-00006DA00000}"/>
    <cellStyle name="Normal 6 2 2 2 6" xfId="45993" xr:uid="{00000000-0005-0000-0000-00006EA00000}"/>
    <cellStyle name="Normal 6 2 2 2 6 2" xfId="45994" xr:uid="{00000000-0005-0000-0000-00006FA00000}"/>
    <cellStyle name="Normal 6 2 2 2 6 2 2" xfId="143" xr:uid="{00000000-0005-0000-0000-000070A00000}"/>
    <cellStyle name="Normal 6 2 2 2 6 3" xfId="45995" xr:uid="{00000000-0005-0000-0000-000071A00000}"/>
    <cellStyle name="Normal 6 2 2 2 7" xfId="45996" xr:uid="{00000000-0005-0000-0000-000072A00000}"/>
    <cellStyle name="Normal 6 2 2 2 7 2" xfId="45997" xr:uid="{00000000-0005-0000-0000-000073A00000}"/>
    <cellStyle name="Normal 6 2 2 2 8" xfId="45998" xr:uid="{00000000-0005-0000-0000-000074A00000}"/>
    <cellStyle name="Normal 6 2 2 2 8 2" xfId="45999" xr:uid="{00000000-0005-0000-0000-000075A00000}"/>
    <cellStyle name="Normal 6 2 3" xfId="46000" xr:uid="{00000000-0005-0000-0000-000076A00000}"/>
    <cellStyle name="Normal 6 2 3 2" xfId="46001" xr:uid="{00000000-0005-0000-0000-000077A00000}"/>
    <cellStyle name="Normal 6 2 3 2 2" xfId="46002" xr:uid="{00000000-0005-0000-0000-000078A00000}"/>
    <cellStyle name="Normal 6 2 3 2 2 2" xfId="46003" xr:uid="{00000000-0005-0000-0000-000079A00000}"/>
    <cellStyle name="Normal 6 2 3 2 2 2 2" xfId="25212" xr:uid="{00000000-0005-0000-0000-00007AA00000}"/>
    <cellStyle name="Normal 6 2 3 2 2 2 2 2" xfId="5127" xr:uid="{00000000-0005-0000-0000-00007BA00000}"/>
    <cellStyle name="Normal 6 2 3 2 2 2 2 2 2" xfId="40843" xr:uid="{00000000-0005-0000-0000-00007CA00000}"/>
    <cellStyle name="Normal 6 2 3 2 2 2 2 3" xfId="46004" xr:uid="{00000000-0005-0000-0000-00007DA00000}"/>
    <cellStyle name="Normal 6 2 3 2 2 2 3" xfId="19988" xr:uid="{00000000-0005-0000-0000-00007EA00000}"/>
    <cellStyle name="Normal 6 2 3 2 2 2 3 2" xfId="19991" xr:uid="{00000000-0005-0000-0000-00007FA00000}"/>
    <cellStyle name="Normal 6 2 3 2 2 2 4" xfId="19997" xr:uid="{00000000-0005-0000-0000-000080A00000}"/>
    <cellStyle name="Normal 6 2 3 2 2 3" xfId="46005" xr:uid="{00000000-0005-0000-0000-000081A00000}"/>
    <cellStyle name="Normal 6 2 3 2 2 3 2" xfId="23203" xr:uid="{00000000-0005-0000-0000-000082A00000}"/>
    <cellStyle name="Normal 6 2 3 2 2 3 2 2" xfId="46006" xr:uid="{00000000-0005-0000-0000-000083A00000}"/>
    <cellStyle name="Normal 6 2 3 2 2 3 3" xfId="20009" xr:uid="{00000000-0005-0000-0000-000084A00000}"/>
    <cellStyle name="Normal 6 2 3 2 2 4" xfId="33011" xr:uid="{00000000-0005-0000-0000-000085A00000}"/>
    <cellStyle name="Normal 6 2 3 2 2 4 2" xfId="46007" xr:uid="{00000000-0005-0000-0000-000086A00000}"/>
    <cellStyle name="Normal 6 2 3 2 2 4 2 2" xfId="46008" xr:uid="{00000000-0005-0000-0000-000087A00000}"/>
    <cellStyle name="Normal 6 2 3 2 2 4 3" xfId="20024" xr:uid="{00000000-0005-0000-0000-000088A00000}"/>
    <cellStyle name="Normal 6 2 3 2 2 5" xfId="21667" xr:uid="{00000000-0005-0000-0000-000089A00000}"/>
    <cellStyle name="Normal 6 2 3 2 2 5 2" xfId="46009" xr:uid="{00000000-0005-0000-0000-00008AA00000}"/>
    <cellStyle name="Normal 6 2 3 2 2 6" xfId="46010" xr:uid="{00000000-0005-0000-0000-00008BA00000}"/>
    <cellStyle name="Normal 6 2 3 2 2 6 2" xfId="46011" xr:uid="{00000000-0005-0000-0000-00008CA00000}"/>
    <cellStyle name="Normal 6 2 3 2 2 7" xfId="46012" xr:uid="{00000000-0005-0000-0000-00008DA00000}"/>
    <cellStyle name="Normal 6 2 3 2 3" xfId="46013" xr:uid="{00000000-0005-0000-0000-00008EA00000}"/>
    <cellStyle name="Normal 6 2 3 2 3 2" xfId="46014" xr:uid="{00000000-0005-0000-0000-00008FA00000}"/>
    <cellStyle name="Normal 6 2 3 2 3 2 2" xfId="18773" xr:uid="{00000000-0005-0000-0000-000090A00000}"/>
    <cellStyle name="Normal 6 2 3 2 3 2 2 2" xfId="553" xr:uid="{00000000-0005-0000-0000-000091A00000}"/>
    <cellStyle name="Normal 6 2 3 2 3 2 3" xfId="20049" xr:uid="{00000000-0005-0000-0000-000092A00000}"/>
    <cellStyle name="Normal 6 2 3 2 3 3" xfId="46015" xr:uid="{00000000-0005-0000-0000-000093A00000}"/>
    <cellStyle name="Normal 6 2 3 2 3 3 2" xfId="46016" xr:uid="{00000000-0005-0000-0000-000094A00000}"/>
    <cellStyle name="Normal 6 2 3 2 3 4" xfId="46017" xr:uid="{00000000-0005-0000-0000-000095A00000}"/>
    <cellStyle name="Normal 6 2 3 2 4" xfId="46018" xr:uid="{00000000-0005-0000-0000-000096A00000}"/>
    <cellStyle name="Normal 6 2 3 2 4 2" xfId="46019" xr:uid="{00000000-0005-0000-0000-000097A00000}"/>
    <cellStyle name="Normal 6 2 3 2 4 2 2" xfId="25269" xr:uid="{00000000-0005-0000-0000-000098A00000}"/>
    <cellStyle name="Normal 6 2 3 2 4 3" xfId="46020" xr:uid="{00000000-0005-0000-0000-000099A00000}"/>
    <cellStyle name="Normal 6 2 3 2 5" xfId="42346" xr:uid="{00000000-0005-0000-0000-00009AA00000}"/>
    <cellStyle name="Normal 6 2 3 2 5 2" xfId="46021" xr:uid="{00000000-0005-0000-0000-00009BA00000}"/>
    <cellStyle name="Normal 6 2 3 2 5 2 2" xfId="25304" xr:uid="{00000000-0005-0000-0000-00009CA00000}"/>
    <cellStyle name="Normal 6 2 3 2 5 3" xfId="46022" xr:uid="{00000000-0005-0000-0000-00009DA00000}"/>
    <cellStyle name="Normal 6 2 3 2 6" xfId="46023" xr:uid="{00000000-0005-0000-0000-00009EA00000}"/>
    <cellStyle name="Normal 6 2 3 2 6 2" xfId="46024" xr:uid="{00000000-0005-0000-0000-00009FA00000}"/>
    <cellStyle name="Normal 6 2 3 2 7" xfId="46025" xr:uid="{00000000-0005-0000-0000-0000A0A00000}"/>
    <cellStyle name="Normal 6 2 3 2 7 2" xfId="46026" xr:uid="{00000000-0005-0000-0000-0000A1A00000}"/>
    <cellStyle name="Normal 6 2 3 2 8" xfId="46027" xr:uid="{00000000-0005-0000-0000-0000A2A00000}"/>
    <cellStyle name="Normal 6 2 3 3" xfId="46028" xr:uid="{00000000-0005-0000-0000-0000A3A00000}"/>
    <cellStyle name="Normal 6 2 3 3 2" xfId="46029" xr:uid="{00000000-0005-0000-0000-0000A4A00000}"/>
    <cellStyle name="Normal 6 2 3 3 2 2" xfId="46030" xr:uid="{00000000-0005-0000-0000-0000A5A00000}"/>
    <cellStyle name="Normal 6 2 3 3 2 2 2" xfId="283" xr:uid="{00000000-0005-0000-0000-0000A6A00000}"/>
    <cellStyle name="Normal 6 2 3 3 2 2 2 2" xfId="46031" xr:uid="{00000000-0005-0000-0000-0000A7A00000}"/>
    <cellStyle name="Normal 6 2 3 3 2 2 3" xfId="19375" xr:uid="{00000000-0005-0000-0000-0000A8A00000}"/>
    <cellStyle name="Normal 6 2 3 3 2 3" xfId="46032" xr:uid="{00000000-0005-0000-0000-0000A9A00000}"/>
    <cellStyle name="Normal 6 2 3 3 2 3 2" xfId="46033" xr:uid="{00000000-0005-0000-0000-0000AAA00000}"/>
    <cellStyle name="Normal 6 2 3 3 2 4" xfId="33020" xr:uid="{00000000-0005-0000-0000-0000ABA00000}"/>
    <cellStyle name="Normal 6 2 3 3 3" xfId="31632" xr:uid="{00000000-0005-0000-0000-0000ACA00000}"/>
    <cellStyle name="Normal 6 2 3 3 3 2" xfId="46034" xr:uid="{00000000-0005-0000-0000-0000ADA00000}"/>
    <cellStyle name="Normal 6 2 3 3 3 2 2" xfId="12203" xr:uid="{00000000-0005-0000-0000-0000AEA00000}"/>
    <cellStyle name="Normal 6 2 3 3 3 3" xfId="46035" xr:uid="{00000000-0005-0000-0000-0000AFA00000}"/>
    <cellStyle name="Normal 6 2 3 3 4" xfId="46036" xr:uid="{00000000-0005-0000-0000-0000B0A00000}"/>
    <cellStyle name="Normal 6 2 3 3 4 2" xfId="46037" xr:uid="{00000000-0005-0000-0000-0000B1A00000}"/>
    <cellStyle name="Normal 6 2 3 3 4 2 2" xfId="46038" xr:uid="{00000000-0005-0000-0000-0000B2A00000}"/>
    <cellStyle name="Normal 6 2 3 3 4 3" xfId="46039" xr:uid="{00000000-0005-0000-0000-0000B3A00000}"/>
    <cellStyle name="Normal 6 2 3 3 5" xfId="46040" xr:uid="{00000000-0005-0000-0000-0000B4A00000}"/>
    <cellStyle name="Normal 6 2 3 3 5 2" xfId="46041" xr:uid="{00000000-0005-0000-0000-0000B5A00000}"/>
    <cellStyle name="Normal 6 2 3 3 6" xfId="46042" xr:uid="{00000000-0005-0000-0000-0000B6A00000}"/>
    <cellStyle name="Normal 6 2 3 3 6 2" xfId="46043" xr:uid="{00000000-0005-0000-0000-0000B7A00000}"/>
    <cellStyle name="Normal 6 2 3 3 7" xfId="46044" xr:uid="{00000000-0005-0000-0000-0000B8A00000}"/>
    <cellStyle name="Normal 6 2 3 4" xfId="46045" xr:uid="{00000000-0005-0000-0000-0000B9A00000}"/>
    <cellStyle name="Normal 6 2 3 4 2" xfId="46046" xr:uid="{00000000-0005-0000-0000-0000BAA00000}"/>
    <cellStyle name="Normal 6 2 3 4 2 2" xfId="46047" xr:uid="{00000000-0005-0000-0000-0000BBA00000}"/>
    <cellStyle name="Normal 6 2 3 4 2 2 2" xfId="11915" xr:uid="{00000000-0005-0000-0000-0000BCA00000}"/>
    <cellStyle name="Normal 6 2 3 4 2 3" xfId="46048" xr:uid="{00000000-0005-0000-0000-0000BDA00000}"/>
    <cellStyle name="Normal 6 2 3 4 3" xfId="46049" xr:uid="{00000000-0005-0000-0000-0000BEA00000}"/>
    <cellStyle name="Normal 6 2 3 4 3 2" xfId="46050" xr:uid="{00000000-0005-0000-0000-0000BFA00000}"/>
    <cellStyle name="Normal 6 2 3 4 4" xfId="46051" xr:uid="{00000000-0005-0000-0000-0000C0A00000}"/>
    <cellStyle name="Normal 6 2 3 5" xfId="21807" xr:uid="{00000000-0005-0000-0000-0000C1A00000}"/>
    <cellStyle name="Normal 6 2 3 5 2" xfId="46052" xr:uid="{00000000-0005-0000-0000-0000C2A00000}"/>
    <cellStyle name="Normal 6 2 3 5 2 2" xfId="46053" xr:uid="{00000000-0005-0000-0000-0000C3A00000}"/>
    <cellStyle name="Normal 6 2 3 5 3" xfId="46054" xr:uid="{00000000-0005-0000-0000-0000C4A00000}"/>
    <cellStyle name="Normal 6 2 3 6" xfId="43266" xr:uid="{00000000-0005-0000-0000-0000C5A00000}"/>
    <cellStyle name="Normal 6 2 3 6 2" xfId="4018" xr:uid="{00000000-0005-0000-0000-0000C6A00000}"/>
    <cellStyle name="Normal 6 2 3 6 2 2" xfId="29656" xr:uid="{00000000-0005-0000-0000-0000C7A00000}"/>
    <cellStyle name="Normal 6 2 3 6 3" xfId="46055" xr:uid="{00000000-0005-0000-0000-0000C8A00000}"/>
    <cellStyle name="Normal 6 2 3 7" xfId="43269" xr:uid="{00000000-0005-0000-0000-0000C9A00000}"/>
    <cellStyle name="Normal 6 2 3 7 2" xfId="46056" xr:uid="{00000000-0005-0000-0000-0000CAA00000}"/>
    <cellStyle name="Normal 6 2 3 8" xfId="46057" xr:uid="{00000000-0005-0000-0000-0000CBA00000}"/>
    <cellStyle name="Normal 6 2 3 8 2" xfId="11071" xr:uid="{00000000-0005-0000-0000-0000CCA00000}"/>
    <cellStyle name="Normal 6 3" xfId="46058" xr:uid="{00000000-0005-0000-0000-0000CDA00000}"/>
    <cellStyle name="Normal 6 3 2" xfId="46059" xr:uid="{00000000-0005-0000-0000-0000CEA00000}"/>
    <cellStyle name="Normal 6 3 2 2" xfId="46060" xr:uid="{00000000-0005-0000-0000-0000CFA00000}"/>
    <cellStyle name="Normal 6 3 2 2 2" xfId="46061" xr:uid="{00000000-0005-0000-0000-0000D0A00000}"/>
    <cellStyle name="Normal 6 3 2 2 2 2" xfId="46062" xr:uid="{00000000-0005-0000-0000-0000D1A00000}"/>
    <cellStyle name="Normal 6 3 2 2 2 2 2" xfId="37116" xr:uid="{00000000-0005-0000-0000-0000D2A00000}"/>
    <cellStyle name="Normal 6 3 2 2 2 2 2 2" xfId="46063" xr:uid="{00000000-0005-0000-0000-0000D3A00000}"/>
    <cellStyle name="Normal 6 3 2 2 2 2 2 2 2" xfId="22068" xr:uid="{00000000-0005-0000-0000-0000D4A00000}"/>
    <cellStyle name="Normal 6 3 2 2 2 2 2 3" xfId="46064" xr:uid="{00000000-0005-0000-0000-0000D5A00000}"/>
    <cellStyle name="Normal 6 3 2 2 2 2 3" xfId="46065" xr:uid="{00000000-0005-0000-0000-0000D6A00000}"/>
    <cellStyle name="Normal 6 3 2 2 2 2 3 2" xfId="18805" xr:uid="{00000000-0005-0000-0000-0000D7A00000}"/>
    <cellStyle name="Normal 6 3 2 2 2 2 4" xfId="20528" xr:uid="{00000000-0005-0000-0000-0000D8A00000}"/>
    <cellStyle name="Normal 6 3 2 2 2 3" xfId="41803" xr:uid="{00000000-0005-0000-0000-0000D9A00000}"/>
    <cellStyle name="Normal 6 3 2 2 2 3 2" xfId="41806" xr:uid="{00000000-0005-0000-0000-0000DAA00000}"/>
    <cellStyle name="Normal 6 3 2 2 2 3 2 2" xfId="41809" xr:uid="{00000000-0005-0000-0000-0000DBA00000}"/>
    <cellStyle name="Normal 6 3 2 2 2 3 3" xfId="41824" xr:uid="{00000000-0005-0000-0000-0000DCA00000}"/>
    <cellStyle name="Normal 6 3 2 2 2 4" xfId="41852" xr:uid="{00000000-0005-0000-0000-0000DDA00000}"/>
    <cellStyle name="Normal 6 3 2 2 2 4 2" xfId="20215" xr:uid="{00000000-0005-0000-0000-0000DEA00000}"/>
    <cellStyle name="Normal 6 3 2 2 2 4 2 2" xfId="20219" xr:uid="{00000000-0005-0000-0000-0000DFA00000}"/>
    <cellStyle name="Normal 6 3 2 2 2 4 3" xfId="11522" xr:uid="{00000000-0005-0000-0000-0000E0A00000}"/>
    <cellStyle name="Normal 6 3 2 2 2 5" xfId="41859" xr:uid="{00000000-0005-0000-0000-0000E1A00000}"/>
    <cellStyle name="Normal 6 3 2 2 2 5 2" xfId="20226" xr:uid="{00000000-0005-0000-0000-0000E2A00000}"/>
    <cellStyle name="Normal 6 3 2 2 2 6" xfId="41866" xr:uid="{00000000-0005-0000-0000-0000E3A00000}"/>
    <cellStyle name="Normal 6 3 2 2 2 6 2" xfId="20232" xr:uid="{00000000-0005-0000-0000-0000E4A00000}"/>
    <cellStyle name="Normal 6 3 2 2 2 7" xfId="17953" xr:uid="{00000000-0005-0000-0000-0000E5A00000}"/>
    <cellStyle name="Normal 6 3 2 2 3" xfId="46066" xr:uid="{00000000-0005-0000-0000-0000E6A00000}"/>
    <cellStyle name="Normal 6 3 2 2 3 2" xfId="46067" xr:uid="{00000000-0005-0000-0000-0000E7A00000}"/>
    <cellStyle name="Normal 6 3 2 2 3 2 2" xfId="37165" xr:uid="{00000000-0005-0000-0000-0000E8A00000}"/>
    <cellStyle name="Normal 6 3 2 2 3 2 2 2" xfId="46068" xr:uid="{00000000-0005-0000-0000-0000E9A00000}"/>
    <cellStyle name="Normal 6 3 2 2 3 2 3" xfId="46069" xr:uid="{00000000-0005-0000-0000-0000EAA00000}"/>
    <cellStyle name="Normal 6 3 2 2 3 3" xfId="41881" xr:uid="{00000000-0005-0000-0000-0000EBA00000}"/>
    <cellStyle name="Normal 6 3 2 2 3 3 2" xfId="41884" xr:uid="{00000000-0005-0000-0000-0000ECA00000}"/>
    <cellStyle name="Normal 6 3 2 2 3 4" xfId="41926" xr:uid="{00000000-0005-0000-0000-0000EDA00000}"/>
    <cellStyle name="Normal 6 3 2 2 4" xfId="46070" xr:uid="{00000000-0005-0000-0000-0000EEA00000}"/>
    <cellStyle name="Normal 6 3 2 2 4 2" xfId="46071" xr:uid="{00000000-0005-0000-0000-0000EFA00000}"/>
    <cellStyle name="Normal 6 3 2 2 4 2 2" xfId="46072" xr:uid="{00000000-0005-0000-0000-0000F0A00000}"/>
    <cellStyle name="Normal 6 3 2 2 4 3" xfId="41965" xr:uid="{00000000-0005-0000-0000-0000F1A00000}"/>
    <cellStyle name="Normal 6 3 2 2 5" xfId="42750" xr:uid="{00000000-0005-0000-0000-0000F2A00000}"/>
    <cellStyle name="Normal 6 3 2 2 5 2" xfId="13059" xr:uid="{00000000-0005-0000-0000-0000F3A00000}"/>
    <cellStyle name="Normal 6 3 2 2 5 2 2" xfId="594" xr:uid="{00000000-0005-0000-0000-0000F4A00000}"/>
    <cellStyle name="Normal 6 3 2 2 5 3" xfId="13063" xr:uid="{00000000-0005-0000-0000-0000F5A00000}"/>
    <cellStyle name="Normal 6 3 2 2 6" xfId="46073" xr:uid="{00000000-0005-0000-0000-0000F6A00000}"/>
    <cellStyle name="Normal 6 3 2 2 6 2" xfId="17043" xr:uid="{00000000-0005-0000-0000-0000F7A00000}"/>
    <cellStyle name="Normal 6 3 2 2 7" xfId="46074" xr:uid="{00000000-0005-0000-0000-0000F8A00000}"/>
    <cellStyle name="Normal 6 3 2 2 7 2" xfId="17071" xr:uid="{00000000-0005-0000-0000-0000F9A00000}"/>
    <cellStyle name="Normal 6 3 2 2 8" xfId="46075" xr:uid="{00000000-0005-0000-0000-0000FAA00000}"/>
    <cellStyle name="Normal 6 3 2 3" xfId="46076" xr:uid="{00000000-0005-0000-0000-0000FBA00000}"/>
    <cellStyle name="Normal 6 3 2 3 2" xfId="46077" xr:uid="{00000000-0005-0000-0000-0000FCA00000}"/>
    <cellStyle name="Normal 6 3 2 3 2 2" xfId="46078" xr:uid="{00000000-0005-0000-0000-0000FDA00000}"/>
    <cellStyle name="Normal 6 3 2 3 2 2 2" xfId="6273" xr:uid="{00000000-0005-0000-0000-0000FEA00000}"/>
    <cellStyle name="Normal 6 3 2 3 2 2 2 2" xfId="6276" xr:uid="{00000000-0005-0000-0000-0000FFA00000}"/>
    <cellStyle name="Normal 6 3 2 3 2 2 3" xfId="345" xr:uid="{00000000-0005-0000-0000-000000A10000}"/>
    <cellStyle name="Normal 6 3 2 3 2 3" xfId="42942" xr:uid="{00000000-0005-0000-0000-000001A10000}"/>
    <cellStyle name="Normal 6 3 2 3 2 3 2" xfId="6340" xr:uid="{00000000-0005-0000-0000-000002A10000}"/>
    <cellStyle name="Normal 6 3 2 3 2 4" xfId="42994" xr:uid="{00000000-0005-0000-0000-000003A10000}"/>
    <cellStyle name="Normal 6 3 2 3 3" xfId="31654" xr:uid="{00000000-0005-0000-0000-000004A10000}"/>
    <cellStyle name="Normal 6 3 2 3 3 2" xfId="46079" xr:uid="{00000000-0005-0000-0000-000005A10000}"/>
    <cellStyle name="Normal 6 3 2 3 3 2 2" xfId="4789" xr:uid="{00000000-0005-0000-0000-000006A10000}"/>
    <cellStyle name="Normal 6 3 2 3 3 3" xfId="43031" xr:uid="{00000000-0005-0000-0000-000007A10000}"/>
    <cellStyle name="Normal 6 3 2 3 4" xfId="46080" xr:uid="{00000000-0005-0000-0000-000008A10000}"/>
    <cellStyle name="Normal 6 3 2 3 4 2" xfId="46081" xr:uid="{00000000-0005-0000-0000-000009A10000}"/>
    <cellStyle name="Normal 6 3 2 3 4 2 2" xfId="6262" xr:uid="{00000000-0005-0000-0000-00000AA10000}"/>
    <cellStyle name="Normal 6 3 2 3 4 3" xfId="43131" xr:uid="{00000000-0005-0000-0000-00000BA10000}"/>
    <cellStyle name="Normal 6 3 2 3 5" xfId="46082" xr:uid="{00000000-0005-0000-0000-00000CA10000}"/>
    <cellStyle name="Normal 6 3 2 3 5 2" xfId="17200" xr:uid="{00000000-0005-0000-0000-00000DA10000}"/>
    <cellStyle name="Normal 6 3 2 3 6" xfId="46083" xr:uid="{00000000-0005-0000-0000-00000EA10000}"/>
    <cellStyle name="Normal 6 3 2 3 6 2" xfId="17240" xr:uid="{00000000-0005-0000-0000-00000FA10000}"/>
    <cellStyle name="Normal 6 3 2 3 7" xfId="46084" xr:uid="{00000000-0005-0000-0000-000010A10000}"/>
    <cellStyle name="Normal 6 3 2 4" xfId="46085" xr:uid="{00000000-0005-0000-0000-000011A10000}"/>
    <cellStyle name="Normal 6 3 2 4 2" xfId="46086" xr:uid="{00000000-0005-0000-0000-000012A10000}"/>
    <cellStyle name="Normal 6 3 2 4 2 2" xfId="46087" xr:uid="{00000000-0005-0000-0000-000013A10000}"/>
    <cellStyle name="Normal 6 3 2 4 2 2 2" xfId="46088" xr:uid="{00000000-0005-0000-0000-000014A10000}"/>
    <cellStyle name="Normal 6 3 2 4 2 3" xfId="44180" xr:uid="{00000000-0005-0000-0000-000015A10000}"/>
    <cellStyle name="Normal 6 3 2 4 3" xfId="46089" xr:uid="{00000000-0005-0000-0000-000016A10000}"/>
    <cellStyle name="Normal 6 3 2 4 3 2" xfId="46090" xr:uid="{00000000-0005-0000-0000-000017A10000}"/>
    <cellStyle name="Normal 6 3 2 4 4" xfId="46091" xr:uid="{00000000-0005-0000-0000-000018A10000}"/>
    <cellStyle name="Normal 6 3 2 5" xfId="20384" xr:uid="{00000000-0005-0000-0000-000019A10000}"/>
    <cellStyle name="Normal 6 3 2 5 2" xfId="46092" xr:uid="{00000000-0005-0000-0000-00001AA10000}"/>
    <cellStyle name="Normal 6 3 2 5 2 2" xfId="46093" xr:uid="{00000000-0005-0000-0000-00001BA10000}"/>
    <cellStyle name="Normal 6 3 2 5 3" xfId="46094" xr:uid="{00000000-0005-0000-0000-00001CA10000}"/>
    <cellStyle name="Normal 6 3 2 6" xfId="43300" xr:uid="{00000000-0005-0000-0000-00001DA10000}"/>
    <cellStyle name="Normal 6 3 2 6 2" xfId="18505" xr:uid="{00000000-0005-0000-0000-00001EA10000}"/>
    <cellStyle name="Normal 6 3 2 6 2 2" xfId="14655" xr:uid="{00000000-0005-0000-0000-00001FA10000}"/>
    <cellStyle name="Normal 6 3 2 6 3" xfId="18509" xr:uid="{00000000-0005-0000-0000-000020A10000}"/>
    <cellStyle name="Normal 6 3 2 7" xfId="43303" xr:uid="{00000000-0005-0000-0000-000021A10000}"/>
    <cellStyle name="Normal 6 3 2 7 2" xfId="46095" xr:uid="{00000000-0005-0000-0000-000022A10000}"/>
    <cellStyle name="Normal 6 3 2 8" xfId="46096" xr:uid="{00000000-0005-0000-0000-000023A10000}"/>
    <cellStyle name="Normal 6 3 2 8 2" xfId="23505" xr:uid="{00000000-0005-0000-0000-000024A10000}"/>
    <cellStyle name="Normal 6 4" xfId="46097" xr:uid="{00000000-0005-0000-0000-000025A10000}"/>
    <cellStyle name="Normal 6 5" xfId="46098" xr:uid="{00000000-0005-0000-0000-000026A10000}"/>
    <cellStyle name="Normal 6 5 2" xfId="1683" xr:uid="{00000000-0005-0000-0000-000027A10000}"/>
    <cellStyle name="Normal 6 5 2 2" xfId="1693" xr:uid="{00000000-0005-0000-0000-000028A10000}"/>
    <cellStyle name="Normal 6 5 2 2 2" xfId="465" xr:uid="{00000000-0005-0000-0000-000029A10000}"/>
    <cellStyle name="Normal 6 5 2 2 2 2" xfId="46100" xr:uid="{00000000-0005-0000-0000-00002AA10000}"/>
    <cellStyle name="Normal 6 5 2 2 2 2 2" xfId="46101" xr:uid="{00000000-0005-0000-0000-00002BA10000}"/>
    <cellStyle name="Normal 6 5 2 2 2 2 2 2" xfId="33856" xr:uid="{00000000-0005-0000-0000-00002CA10000}"/>
    <cellStyle name="Normal 6 5 2 2 2 2 3" xfId="46102" xr:uid="{00000000-0005-0000-0000-00002DA10000}"/>
    <cellStyle name="Normal 6 5 2 2 2 3" xfId="46103" xr:uid="{00000000-0005-0000-0000-00002EA10000}"/>
    <cellStyle name="Normal 6 5 2 2 2 3 2" xfId="46104" xr:uid="{00000000-0005-0000-0000-00002FA10000}"/>
    <cellStyle name="Normal 6 5 2 2 2 4" xfId="46105" xr:uid="{00000000-0005-0000-0000-000030A10000}"/>
    <cellStyle name="Normal 6 5 2 2 3" xfId="46106" xr:uid="{00000000-0005-0000-0000-000031A10000}"/>
    <cellStyle name="Normal 6 5 2 2 3 2" xfId="46107" xr:uid="{00000000-0005-0000-0000-000032A10000}"/>
    <cellStyle name="Normal 6 5 2 2 3 2 2" xfId="46108" xr:uid="{00000000-0005-0000-0000-000033A10000}"/>
    <cellStyle name="Normal 6 5 2 2 3 3" xfId="46109" xr:uid="{00000000-0005-0000-0000-000034A10000}"/>
    <cellStyle name="Normal 6 5 2 2 4" xfId="46110" xr:uid="{00000000-0005-0000-0000-000035A10000}"/>
    <cellStyle name="Normal 6 5 2 2 4 2" xfId="46111" xr:uid="{00000000-0005-0000-0000-000036A10000}"/>
    <cellStyle name="Normal 6 5 2 2 4 2 2" xfId="46112" xr:uid="{00000000-0005-0000-0000-000037A10000}"/>
    <cellStyle name="Normal 6 5 2 2 4 3" xfId="46113" xr:uid="{00000000-0005-0000-0000-000038A10000}"/>
    <cellStyle name="Normal 6 5 2 2 5" xfId="46114" xr:uid="{00000000-0005-0000-0000-000039A10000}"/>
    <cellStyle name="Normal 6 5 2 2 5 2" xfId="46115" xr:uid="{00000000-0005-0000-0000-00003AA10000}"/>
    <cellStyle name="Normal 6 5 2 2 6" xfId="46116" xr:uid="{00000000-0005-0000-0000-00003BA10000}"/>
    <cellStyle name="Normal 6 5 2 2 6 2" xfId="46117" xr:uid="{00000000-0005-0000-0000-00003CA10000}"/>
    <cellStyle name="Normal 6 5 2 2 7" xfId="46118" xr:uid="{00000000-0005-0000-0000-00003DA10000}"/>
    <cellStyle name="Normal 6 5 2 3" xfId="46119" xr:uid="{00000000-0005-0000-0000-00003EA10000}"/>
    <cellStyle name="Normal 6 5 2 3 2" xfId="46120" xr:uid="{00000000-0005-0000-0000-00003FA10000}"/>
    <cellStyle name="Normal 6 5 2 3 2 2" xfId="46122" xr:uid="{00000000-0005-0000-0000-000040A10000}"/>
    <cellStyle name="Normal 6 5 2 3 2 2 2" xfId="46123" xr:uid="{00000000-0005-0000-0000-000041A10000}"/>
    <cellStyle name="Normal 6 5 2 3 2 3" xfId="46124" xr:uid="{00000000-0005-0000-0000-000042A10000}"/>
    <cellStyle name="Normal 6 5 2 3 3" xfId="15740" xr:uid="{00000000-0005-0000-0000-000043A10000}"/>
    <cellStyle name="Normal 6 5 2 3 3 2" xfId="46125" xr:uid="{00000000-0005-0000-0000-000044A10000}"/>
    <cellStyle name="Normal 6 5 2 3 4" xfId="46126" xr:uid="{00000000-0005-0000-0000-000045A10000}"/>
    <cellStyle name="Normal 6 5 2 4" xfId="46127" xr:uid="{00000000-0005-0000-0000-000046A10000}"/>
    <cellStyle name="Normal 6 5 2 4 2" xfId="46128" xr:uid="{00000000-0005-0000-0000-000047A10000}"/>
    <cellStyle name="Normal 6 5 2 4 2 2" xfId="46129" xr:uid="{00000000-0005-0000-0000-000048A10000}"/>
    <cellStyle name="Normal 6 5 2 4 3" xfId="46130" xr:uid="{00000000-0005-0000-0000-000049A10000}"/>
    <cellStyle name="Normal 6 5 2 5" xfId="46131" xr:uid="{00000000-0005-0000-0000-00004AA10000}"/>
    <cellStyle name="Normal 6 5 2 5 2" xfId="46132" xr:uid="{00000000-0005-0000-0000-00004BA10000}"/>
    <cellStyle name="Normal 6 5 2 5 2 2" xfId="46133" xr:uid="{00000000-0005-0000-0000-00004CA10000}"/>
    <cellStyle name="Normal 6 5 2 5 3" xfId="46134" xr:uid="{00000000-0005-0000-0000-00004DA10000}"/>
    <cellStyle name="Normal 6 5 2 6" xfId="46135" xr:uid="{00000000-0005-0000-0000-00004EA10000}"/>
    <cellStyle name="Normal 6 5 2 6 2" xfId="18785" xr:uid="{00000000-0005-0000-0000-00004FA10000}"/>
    <cellStyle name="Normal 6 5 2 7" xfId="46136" xr:uid="{00000000-0005-0000-0000-000050A10000}"/>
    <cellStyle name="Normal 6 5 2 7 2" xfId="46137" xr:uid="{00000000-0005-0000-0000-000051A10000}"/>
    <cellStyle name="Normal 6 5 2 8" xfId="11351" xr:uid="{00000000-0005-0000-0000-000052A10000}"/>
    <cellStyle name="Normal 6 5 3" xfId="142" xr:uid="{00000000-0005-0000-0000-000053A10000}"/>
    <cellStyle name="Normal 6 5 3 2" xfId="46139" xr:uid="{00000000-0005-0000-0000-000054A10000}"/>
    <cellStyle name="Normal 6 5 3 2 2" xfId="46141" xr:uid="{00000000-0005-0000-0000-000055A10000}"/>
    <cellStyle name="Normal 6 5 3 2 2 2" xfId="46143" xr:uid="{00000000-0005-0000-0000-000056A10000}"/>
    <cellStyle name="Normal 6 5 3 2 2 2 2" xfId="46144" xr:uid="{00000000-0005-0000-0000-000057A10000}"/>
    <cellStyle name="Normal 6 5 3 2 2 3" xfId="46146" xr:uid="{00000000-0005-0000-0000-000058A10000}"/>
    <cellStyle name="Normal 6 5 3 2 3" xfId="46147" xr:uid="{00000000-0005-0000-0000-000059A10000}"/>
    <cellStyle name="Normal 6 5 3 2 3 2" xfId="46148" xr:uid="{00000000-0005-0000-0000-00005AA10000}"/>
    <cellStyle name="Normal 6 5 3 2 4" xfId="46149" xr:uid="{00000000-0005-0000-0000-00005BA10000}"/>
    <cellStyle name="Normal 6 5 3 3" xfId="46151" xr:uid="{00000000-0005-0000-0000-00005CA10000}"/>
    <cellStyle name="Normal 6 5 3 3 2" xfId="46152" xr:uid="{00000000-0005-0000-0000-00005DA10000}"/>
    <cellStyle name="Normal 6 5 3 3 2 2" xfId="46153" xr:uid="{00000000-0005-0000-0000-00005EA10000}"/>
    <cellStyle name="Normal 6 5 3 3 3" xfId="46154" xr:uid="{00000000-0005-0000-0000-00005FA10000}"/>
    <cellStyle name="Normal 6 5 3 4" xfId="46155" xr:uid="{00000000-0005-0000-0000-000060A10000}"/>
    <cellStyle name="Normal 6 5 3 4 2" xfId="46156" xr:uid="{00000000-0005-0000-0000-000061A10000}"/>
    <cellStyle name="Normal 6 5 3 4 2 2" xfId="46157" xr:uid="{00000000-0005-0000-0000-000062A10000}"/>
    <cellStyle name="Normal 6 5 3 4 3" xfId="46158" xr:uid="{00000000-0005-0000-0000-000063A10000}"/>
    <cellStyle name="Normal 6 5 3 5" xfId="46159" xr:uid="{00000000-0005-0000-0000-000064A10000}"/>
    <cellStyle name="Normal 6 5 3 5 2" xfId="46160" xr:uid="{00000000-0005-0000-0000-000065A10000}"/>
    <cellStyle name="Normal 6 5 3 6" xfId="46161" xr:uid="{00000000-0005-0000-0000-000066A10000}"/>
    <cellStyle name="Normal 6 5 3 6 2" xfId="12213" xr:uid="{00000000-0005-0000-0000-000067A10000}"/>
    <cellStyle name="Normal 6 5 3 7" xfId="46162" xr:uid="{00000000-0005-0000-0000-000068A10000}"/>
    <cellStyle name="Normal 6 5 4" xfId="1685" xr:uid="{00000000-0005-0000-0000-000069A10000}"/>
    <cellStyle name="Normal 6 5 4 2" xfId="46164" xr:uid="{00000000-0005-0000-0000-00006AA10000}"/>
    <cellStyle name="Normal 6 5 4 2 2" xfId="46165" xr:uid="{00000000-0005-0000-0000-00006BA10000}"/>
    <cellStyle name="Normal 6 5 4 2 2 2" xfId="46166" xr:uid="{00000000-0005-0000-0000-00006CA10000}"/>
    <cellStyle name="Normal 6 5 4 2 3" xfId="46167" xr:uid="{00000000-0005-0000-0000-00006DA10000}"/>
    <cellStyle name="Normal 6 5 4 3" xfId="25511" xr:uid="{00000000-0005-0000-0000-00006EA10000}"/>
    <cellStyle name="Normal 6 5 4 3 2" xfId="25513" xr:uid="{00000000-0005-0000-0000-00006FA10000}"/>
    <cellStyle name="Normal 6 5 4 3 2 2" xfId="23006" xr:uid="{00000000-0005-0000-0000-000070A10000}"/>
    <cellStyle name="Normal 6 5 4 3 3" xfId="25515" xr:uid="{00000000-0005-0000-0000-000071A10000}"/>
    <cellStyle name="Normal 6 5 4 4" xfId="25517" xr:uid="{00000000-0005-0000-0000-000072A10000}"/>
    <cellStyle name="Normal 6 5 4 4 2" xfId="25519" xr:uid="{00000000-0005-0000-0000-000073A10000}"/>
    <cellStyle name="Normal 6 5 4 5" xfId="25521" xr:uid="{00000000-0005-0000-0000-000074A10000}"/>
    <cellStyle name="Normal 6 5 4 5 2" xfId="46168" xr:uid="{00000000-0005-0000-0000-000075A10000}"/>
    <cellStyle name="Normal 6 5 4 6" xfId="46170" xr:uid="{00000000-0005-0000-0000-000076A10000}"/>
    <cellStyle name="Normal 6 5 5" xfId="46171" xr:uid="{00000000-0005-0000-0000-000077A10000}"/>
    <cellStyle name="Normal 6 5 5 2" xfId="46173" xr:uid="{00000000-0005-0000-0000-000078A10000}"/>
    <cellStyle name="Normal 6 5 5 2 2" xfId="46174" xr:uid="{00000000-0005-0000-0000-000079A10000}"/>
    <cellStyle name="Normal 6 5 5 3" xfId="22095" xr:uid="{00000000-0005-0000-0000-00007AA10000}"/>
    <cellStyle name="Normal 6 5 6" xfId="46175" xr:uid="{00000000-0005-0000-0000-00007BA10000}"/>
    <cellStyle name="Normal 6 5 6 2" xfId="46176" xr:uid="{00000000-0005-0000-0000-00007CA10000}"/>
    <cellStyle name="Normal 6 5 6 2 2" xfId="46177" xr:uid="{00000000-0005-0000-0000-00007DA10000}"/>
    <cellStyle name="Normal 6 5 6 3" xfId="22155" xr:uid="{00000000-0005-0000-0000-00007EA10000}"/>
    <cellStyle name="Normal 6 5 7" xfId="1061" xr:uid="{00000000-0005-0000-0000-00007FA10000}"/>
    <cellStyle name="Normal 6 5 7 2" xfId="46178" xr:uid="{00000000-0005-0000-0000-000080A10000}"/>
    <cellStyle name="Normal 6 5 8" xfId="46179" xr:uid="{00000000-0005-0000-0000-000081A10000}"/>
    <cellStyle name="Normal 6 5 8 2" xfId="46180" xr:uid="{00000000-0005-0000-0000-000082A10000}"/>
    <cellStyle name="Normal 6 5 9" xfId="46181" xr:uid="{00000000-0005-0000-0000-000083A10000}"/>
    <cellStyle name="Normal 6 6" xfId="7137" xr:uid="{00000000-0005-0000-0000-000084A10000}"/>
    <cellStyle name="Normal 6 6 2" xfId="46182" xr:uid="{00000000-0005-0000-0000-000085A10000}"/>
    <cellStyle name="Normal 6 6 2 2" xfId="46183" xr:uid="{00000000-0005-0000-0000-000086A10000}"/>
    <cellStyle name="Normal 6 6 2 2 2" xfId="35005" xr:uid="{00000000-0005-0000-0000-000087A10000}"/>
    <cellStyle name="Normal 6 6 2 2 2 2" xfId="46184" xr:uid="{00000000-0005-0000-0000-000088A10000}"/>
    <cellStyle name="Normal 6 6 2 2 2 2 2" xfId="46185" xr:uid="{00000000-0005-0000-0000-000089A10000}"/>
    <cellStyle name="Normal 6 6 2 2 2 2 2 2" xfId="46186" xr:uid="{00000000-0005-0000-0000-00008AA10000}"/>
    <cellStyle name="Normal 6 6 2 2 2 2 3" xfId="46187" xr:uid="{00000000-0005-0000-0000-00008BA10000}"/>
    <cellStyle name="Normal 6 6 2 2 2 3" xfId="46188" xr:uid="{00000000-0005-0000-0000-00008CA10000}"/>
    <cellStyle name="Normal 6 6 2 2 2 3 2" xfId="46189" xr:uid="{00000000-0005-0000-0000-00008DA10000}"/>
    <cellStyle name="Normal 6 6 2 2 2 4" xfId="13709" xr:uid="{00000000-0005-0000-0000-00008EA10000}"/>
    <cellStyle name="Normal 6 6 2 2 3" xfId="46190" xr:uid="{00000000-0005-0000-0000-00008FA10000}"/>
    <cellStyle name="Normal 6 6 2 2 3 2" xfId="46191" xr:uid="{00000000-0005-0000-0000-000090A10000}"/>
    <cellStyle name="Normal 6 6 2 2 3 2 2" xfId="46192" xr:uid="{00000000-0005-0000-0000-000091A10000}"/>
    <cellStyle name="Normal 6 6 2 2 3 3" xfId="46193" xr:uid="{00000000-0005-0000-0000-000092A10000}"/>
    <cellStyle name="Normal 6 6 2 2 4" xfId="36420" xr:uid="{00000000-0005-0000-0000-000093A10000}"/>
    <cellStyle name="Normal 6 6 2 2 4 2" xfId="36422" xr:uid="{00000000-0005-0000-0000-000094A10000}"/>
    <cellStyle name="Normal 6 6 2 2 4 2 2" xfId="46194" xr:uid="{00000000-0005-0000-0000-000095A10000}"/>
    <cellStyle name="Normal 6 6 2 2 4 3" xfId="46195" xr:uid="{00000000-0005-0000-0000-000096A10000}"/>
    <cellStyle name="Normal 6 6 2 2 5" xfId="36426" xr:uid="{00000000-0005-0000-0000-000097A10000}"/>
    <cellStyle name="Normal 6 6 2 2 5 2" xfId="46196" xr:uid="{00000000-0005-0000-0000-000098A10000}"/>
    <cellStyle name="Normal 6 6 2 2 6" xfId="46197" xr:uid="{00000000-0005-0000-0000-000099A10000}"/>
    <cellStyle name="Normal 6 6 2 2 6 2" xfId="46198" xr:uid="{00000000-0005-0000-0000-00009AA10000}"/>
    <cellStyle name="Normal 6 6 2 2 7" xfId="46199" xr:uid="{00000000-0005-0000-0000-00009BA10000}"/>
    <cellStyle name="Normal 6 6 2 3" xfId="46200" xr:uid="{00000000-0005-0000-0000-00009CA10000}"/>
    <cellStyle name="Normal 6 6 2 3 2" xfId="46201" xr:uid="{00000000-0005-0000-0000-00009DA10000}"/>
    <cellStyle name="Normal 6 6 2 3 2 2" xfId="36560" xr:uid="{00000000-0005-0000-0000-00009EA10000}"/>
    <cellStyle name="Normal 6 6 2 3 2 2 2" xfId="46202" xr:uid="{00000000-0005-0000-0000-00009FA10000}"/>
    <cellStyle name="Normal 6 6 2 3 2 3" xfId="46203" xr:uid="{00000000-0005-0000-0000-0000A0A10000}"/>
    <cellStyle name="Normal 6 6 2 3 3" xfId="46204" xr:uid="{00000000-0005-0000-0000-0000A1A10000}"/>
    <cellStyle name="Normal 6 6 2 3 3 2" xfId="46205" xr:uid="{00000000-0005-0000-0000-0000A2A10000}"/>
    <cellStyle name="Normal 6 6 2 3 4" xfId="36428" xr:uid="{00000000-0005-0000-0000-0000A3A10000}"/>
    <cellStyle name="Normal 6 6 2 4" xfId="46206" xr:uid="{00000000-0005-0000-0000-0000A4A10000}"/>
    <cellStyle name="Normal 6 6 2 4 2" xfId="46207" xr:uid="{00000000-0005-0000-0000-0000A5A10000}"/>
    <cellStyle name="Normal 6 6 2 4 2 2" xfId="46208" xr:uid="{00000000-0005-0000-0000-0000A6A10000}"/>
    <cellStyle name="Normal 6 6 2 4 3" xfId="46209" xr:uid="{00000000-0005-0000-0000-0000A7A10000}"/>
    <cellStyle name="Normal 6 6 2 5" xfId="46210" xr:uid="{00000000-0005-0000-0000-0000A8A10000}"/>
    <cellStyle name="Normal 6 6 2 5 2" xfId="46211" xr:uid="{00000000-0005-0000-0000-0000A9A10000}"/>
    <cellStyle name="Normal 6 6 2 5 2 2" xfId="46212" xr:uid="{00000000-0005-0000-0000-0000AAA10000}"/>
    <cellStyle name="Normal 6 6 2 5 3" xfId="46213" xr:uid="{00000000-0005-0000-0000-0000ABA10000}"/>
    <cellStyle name="Normal 6 6 2 6" xfId="46214" xr:uid="{00000000-0005-0000-0000-0000ACA10000}"/>
    <cellStyle name="Normal 6 6 2 6 2" xfId="46215" xr:uid="{00000000-0005-0000-0000-0000ADA10000}"/>
    <cellStyle name="Normal 6 6 2 7" xfId="46216" xr:uid="{00000000-0005-0000-0000-0000AEA10000}"/>
    <cellStyle name="Normal 6 6 2 7 2" xfId="46217" xr:uid="{00000000-0005-0000-0000-0000AFA10000}"/>
    <cellStyle name="Normal 6 6 2 8" xfId="43192" xr:uid="{00000000-0005-0000-0000-0000B0A10000}"/>
    <cellStyle name="Normal 6 6 3" xfId="46218" xr:uid="{00000000-0005-0000-0000-0000B1A10000}"/>
    <cellStyle name="Normal 6 6 3 2" xfId="46220" xr:uid="{00000000-0005-0000-0000-0000B2A10000}"/>
    <cellStyle name="Normal 6 6 3 2 2" xfId="46221" xr:uid="{00000000-0005-0000-0000-0000B3A10000}"/>
    <cellStyle name="Normal 6 6 3 2 2 2" xfId="46222" xr:uid="{00000000-0005-0000-0000-0000B4A10000}"/>
    <cellStyle name="Normal 6 6 3 2 2 2 2" xfId="46223" xr:uid="{00000000-0005-0000-0000-0000B5A10000}"/>
    <cellStyle name="Normal 6 6 3 2 2 3" xfId="46224" xr:uid="{00000000-0005-0000-0000-0000B6A10000}"/>
    <cellStyle name="Normal 6 6 3 2 3" xfId="46225" xr:uid="{00000000-0005-0000-0000-0000B7A10000}"/>
    <cellStyle name="Normal 6 6 3 2 3 2" xfId="46226" xr:uid="{00000000-0005-0000-0000-0000B8A10000}"/>
    <cellStyle name="Normal 6 6 3 2 4" xfId="36441" xr:uid="{00000000-0005-0000-0000-0000B9A10000}"/>
    <cellStyle name="Normal 6 6 3 3" xfId="46227" xr:uid="{00000000-0005-0000-0000-0000BAA10000}"/>
    <cellStyle name="Normal 6 6 3 3 2" xfId="46228" xr:uid="{00000000-0005-0000-0000-0000BBA10000}"/>
    <cellStyle name="Normal 6 6 3 3 2 2" xfId="46229" xr:uid="{00000000-0005-0000-0000-0000BCA10000}"/>
    <cellStyle name="Normal 6 6 3 3 3" xfId="46230" xr:uid="{00000000-0005-0000-0000-0000BDA10000}"/>
    <cellStyle name="Normal 6 6 3 4" xfId="46231" xr:uid="{00000000-0005-0000-0000-0000BEA10000}"/>
    <cellStyle name="Normal 6 6 3 4 2" xfId="46232" xr:uid="{00000000-0005-0000-0000-0000BFA10000}"/>
    <cellStyle name="Normal 6 6 3 4 2 2" xfId="46233" xr:uid="{00000000-0005-0000-0000-0000C0A10000}"/>
    <cellStyle name="Normal 6 6 3 4 3" xfId="46234" xr:uid="{00000000-0005-0000-0000-0000C1A10000}"/>
    <cellStyle name="Normal 6 6 3 5" xfId="46235" xr:uid="{00000000-0005-0000-0000-0000C2A10000}"/>
    <cellStyle name="Normal 6 6 3 5 2" xfId="36182" xr:uid="{00000000-0005-0000-0000-0000C3A10000}"/>
    <cellStyle name="Normal 6 6 3 6" xfId="46236" xr:uid="{00000000-0005-0000-0000-0000C4A10000}"/>
    <cellStyle name="Normal 6 6 3 6 2" xfId="46237" xr:uid="{00000000-0005-0000-0000-0000C5A10000}"/>
    <cellStyle name="Normal 6 6 3 7" xfId="46238" xr:uid="{00000000-0005-0000-0000-0000C6A10000}"/>
    <cellStyle name="Normal 6 6 4" xfId="46239" xr:uid="{00000000-0005-0000-0000-0000C7A10000}"/>
    <cellStyle name="Normal 6 6 4 2" xfId="46240" xr:uid="{00000000-0005-0000-0000-0000C8A10000}"/>
    <cellStyle name="Normal 6 6 4 2 2" xfId="46241" xr:uid="{00000000-0005-0000-0000-0000C9A10000}"/>
    <cellStyle name="Normal 6 6 4 2 2 2" xfId="46242" xr:uid="{00000000-0005-0000-0000-0000CAA10000}"/>
    <cellStyle name="Normal 6 6 4 2 3" xfId="46243" xr:uid="{00000000-0005-0000-0000-0000CBA10000}"/>
    <cellStyle name="Normal 6 6 4 3" xfId="25524" xr:uid="{00000000-0005-0000-0000-0000CCA10000}"/>
    <cellStyle name="Normal 6 6 4 3 2" xfId="25526" xr:uid="{00000000-0005-0000-0000-0000CDA10000}"/>
    <cellStyle name="Normal 6 6 4 4" xfId="25528" xr:uid="{00000000-0005-0000-0000-0000CEA10000}"/>
    <cellStyle name="Normal 6 6 5" xfId="46244" xr:uid="{00000000-0005-0000-0000-0000CFA10000}"/>
    <cellStyle name="Normal 6 6 5 2" xfId="46245" xr:uid="{00000000-0005-0000-0000-0000D0A10000}"/>
    <cellStyle name="Normal 6 6 5 2 2" xfId="46246" xr:uid="{00000000-0005-0000-0000-0000D1A10000}"/>
    <cellStyle name="Normal 6 6 5 3" xfId="22222" xr:uid="{00000000-0005-0000-0000-0000D2A10000}"/>
    <cellStyle name="Normal 6 6 6" xfId="46247" xr:uid="{00000000-0005-0000-0000-0000D3A10000}"/>
    <cellStyle name="Normal 6 6 6 2" xfId="46248" xr:uid="{00000000-0005-0000-0000-0000D4A10000}"/>
    <cellStyle name="Normal 6 6 6 2 2" xfId="46249" xr:uid="{00000000-0005-0000-0000-0000D5A10000}"/>
    <cellStyle name="Normal 6 6 6 3" xfId="46250" xr:uid="{00000000-0005-0000-0000-0000D6A10000}"/>
    <cellStyle name="Normal 6 6 7" xfId="46251" xr:uid="{00000000-0005-0000-0000-0000D7A10000}"/>
    <cellStyle name="Normal 6 6 7 2" xfId="46252" xr:uid="{00000000-0005-0000-0000-0000D8A10000}"/>
    <cellStyle name="Normal 6 6 8" xfId="26766" xr:uid="{00000000-0005-0000-0000-0000D9A10000}"/>
    <cellStyle name="Normal 6 6 8 2" xfId="26768" xr:uid="{00000000-0005-0000-0000-0000DAA10000}"/>
    <cellStyle name="Normal 6 7" xfId="46253" xr:uid="{00000000-0005-0000-0000-0000DBA10000}"/>
    <cellStyle name="Normal 6 7 2" xfId="33285" xr:uid="{00000000-0005-0000-0000-0000DCA10000}"/>
    <cellStyle name="Normal 6 7 2 2" xfId="30299" xr:uid="{00000000-0005-0000-0000-0000DDA10000}"/>
    <cellStyle name="Normal 6 7 2 2 2" xfId="35083" xr:uid="{00000000-0005-0000-0000-0000DEA10000}"/>
    <cellStyle name="Normal 6 7 2 2 2 2" xfId="22885" xr:uid="{00000000-0005-0000-0000-0000DFA10000}"/>
    <cellStyle name="Normal 6 7 2 2 2 2 2" xfId="46254" xr:uid="{00000000-0005-0000-0000-0000E0A10000}"/>
    <cellStyle name="Normal 6 7 2 2 2 3" xfId="46255" xr:uid="{00000000-0005-0000-0000-0000E1A10000}"/>
    <cellStyle name="Normal 6 7 2 2 3" xfId="46256" xr:uid="{00000000-0005-0000-0000-0000E2A10000}"/>
    <cellStyle name="Normal 6 7 2 2 3 2" xfId="46257" xr:uid="{00000000-0005-0000-0000-0000E3A10000}"/>
    <cellStyle name="Normal 6 7 2 2 4" xfId="46258" xr:uid="{00000000-0005-0000-0000-0000E4A10000}"/>
    <cellStyle name="Normal 6 7 2 3" xfId="46259" xr:uid="{00000000-0005-0000-0000-0000E5A10000}"/>
    <cellStyle name="Normal 6 7 2 3 2" xfId="46260" xr:uid="{00000000-0005-0000-0000-0000E6A10000}"/>
    <cellStyle name="Normal 6 7 2 3 2 2" xfId="16696" xr:uid="{00000000-0005-0000-0000-0000E7A10000}"/>
    <cellStyle name="Normal 6 7 2 3 3" xfId="46261" xr:uid="{00000000-0005-0000-0000-0000E8A10000}"/>
    <cellStyle name="Normal 6 7 2 4" xfId="46262" xr:uid="{00000000-0005-0000-0000-0000E9A10000}"/>
    <cellStyle name="Normal 6 7 2 4 2" xfId="46263" xr:uid="{00000000-0005-0000-0000-0000EAA10000}"/>
    <cellStyle name="Normal 6 7 2 4 2 2" xfId="17333" xr:uid="{00000000-0005-0000-0000-0000EBA10000}"/>
    <cellStyle name="Normal 6 7 2 4 3" xfId="46264" xr:uid="{00000000-0005-0000-0000-0000ECA10000}"/>
    <cellStyle name="Normal 6 7 2 5" xfId="32223" xr:uid="{00000000-0005-0000-0000-0000EDA10000}"/>
    <cellStyle name="Normal 6 7 2 5 2" xfId="46265" xr:uid="{00000000-0005-0000-0000-0000EEA10000}"/>
    <cellStyle name="Normal 6 7 2 6" xfId="46266" xr:uid="{00000000-0005-0000-0000-0000EFA10000}"/>
    <cellStyle name="Normal 6 7 2 6 2" xfId="46267" xr:uid="{00000000-0005-0000-0000-0000F0A10000}"/>
    <cellStyle name="Normal 6 7 2 7" xfId="46268" xr:uid="{00000000-0005-0000-0000-0000F1A10000}"/>
    <cellStyle name="Normal 6 7 3" xfId="33288" xr:uid="{00000000-0005-0000-0000-0000F2A10000}"/>
    <cellStyle name="Normal 6 7 3 2" xfId="46269" xr:uid="{00000000-0005-0000-0000-0000F3A10000}"/>
    <cellStyle name="Normal 6 7 3 2 2" xfId="19845" xr:uid="{00000000-0005-0000-0000-0000F4A10000}"/>
    <cellStyle name="Normal 6 7 3 2 2 2" xfId="27991" xr:uid="{00000000-0005-0000-0000-0000F5A10000}"/>
    <cellStyle name="Normal 6 7 3 2 3" xfId="46270" xr:uid="{00000000-0005-0000-0000-0000F6A10000}"/>
    <cellStyle name="Normal 6 7 3 3" xfId="46271" xr:uid="{00000000-0005-0000-0000-0000F7A10000}"/>
    <cellStyle name="Normal 6 7 3 3 2" xfId="46272" xr:uid="{00000000-0005-0000-0000-0000F8A10000}"/>
    <cellStyle name="Normal 6 7 3 4" xfId="46273" xr:uid="{00000000-0005-0000-0000-0000F9A10000}"/>
    <cellStyle name="Normal 6 7 4" xfId="46274" xr:uid="{00000000-0005-0000-0000-0000FAA10000}"/>
    <cellStyle name="Normal 6 7 4 2" xfId="46275" xr:uid="{00000000-0005-0000-0000-0000FBA10000}"/>
    <cellStyle name="Normal 6 7 4 2 2" xfId="46276" xr:uid="{00000000-0005-0000-0000-0000FCA10000}"/>
    <cellStyle name="Normal 6 7 4 3" xfId="25532" xr:uid="{00000000-0005-0000-0000-0000FDA10000}"/>
    <cellStyle name="Normal 6 7 5" xfId="46277" xr:uid="{00000000-0005-0000-0000-0000FEA10000}"/>
    <cellStyle name="Normal 6 7 5 2" xfId="46278" xr:uid="{00000000-0005-0000-0000-0000FFA10000}"/>
    <cellStyle name="Normal 6 7 5 2 2" xfId="46279" xr:uid="{00000000-0005-0000-0000-000000A20000}"/>
    <cellStyle name="Normal 6 7 5 3" xfId="27391" xr:uid="{00000000-0005-0000-0000-000001A20000}"/>
    <cellStyle name="Normal 6 7 6" xfId="46280" xr:uid="{00000000-0005-0000-0000-000002A20000}"/>
    <cellStyle name="Normal 6 7 6 2" xfId="46281" xr:uid="{00000000-0005-0000-0000-000003A20000}"/>
    <cellStyle name="Normal 6 7 7" xfId="46282" xr:uid="{00000000-0005-0000-0000-000004A20000}"/>
    <cellStyle name="Normal 6 7 7 2" xfId="46283" xr:uid="{00000000-0005-0000-0000-000005A20000}"/>
    <cellStyle name="Normal 6 7 8" xfId="26772" xr:uid="{00000000-0005-0000-0000-000006A20000}"/>
    <cellStyle name="Normal 6 8" xfId="36552" xr:uid="{00000000-0005-0000-0000-000007A20000}"/>
    <cellStyle name="Normal 6 8 2" xfId="33294" xr:uid="{00000000-0005-0000-0000-000008A20000}"/>
    <cellStyle name="Normal 6 8 2 2" xfId="38200" xr:uid="{00000000-0005-0000-0000-000009A20000}"/>
    <cellStyle name="Normal 6 8 2 2 2" xfId="38203" xr:uid="{00000000-0005-0000-0000-00000AA20000}"/>
    <cellStyle name="Normal 6 8 2 2 2 2" xfId="46284" xr:uid="{00000000-0005-0000-0000-00000BA20000}"/>
    <cellStyle name="Normal 6 8 2 2 2 2 2" xfId="46285" xr:uid="{00000000-0005-0000-0000-00000CA20000}"/>
    <cellStyle name="Normal 6 8 2 2 2 3" xfId="16824" xr:uid="{00000000-0005-0000-0000-00000DA20000}"/>
    <cellStyle name="Normal 6 8 2 2 3" xfId="46286" xr:uid="{00000000-0005-0000-0000-00000EA20000}"/>
    <cellStyle name="Normal 6 8 2 2 3 2" xfId="46287" xr:uid="{00000000-0005-0000-0000-00000FA20000}"/>
    <cellStyle name="Normal 6 8 2 2 4" xfId="46288" xr:uid="{00000000-0005-0000-0000-000010A20000}"/>
    <cellStyle name="Normal 6 8 2 3" xfId="38206" xr:uid="{00000000-0005-0000-0000-000011A20000}"/>
    <cellStyle name="Normal 6 8 2 3 2" xfId="46289" xr:uid="{00000000-0005-0000-0000-000012A20000}"/>
    <cellStyle name="Normal 6 8 2 3 2 2" xfId="46290" xr:uid="{00000000-0005-0000-0000-000013A20000}"/>
    <cellStyle name="Normal 6 8 2 3 3" xfId="7763" xr:uid="{00000000-0005-0000-0000-000014A20000}"/>
    <cellStyle name="Normal 6 8 2 4" xfId="46291" xr:uid="{00000000-0005-0000-0000-000015A20000}"/>
    <cellStyle name="Normal 6 8 2 4 2" xfId="46292" xr:uid="{00000000-0005-0000-0000-000016A20000}"/>
    <cellStyle name="Normal 6 8 2 4 2 2" xfId="46293" xr:uid="{00000000-0005-0000-0000-000017A20000}"/>
    <cellStyle name="Normal 6 8 2 4 3" xfId="46294" xr:uid="{00000000-0005-0000-0000-000018A20000}"/>
    <cellStyle name="Normal 6 8 2 5" xfId="46295" xr:uid="{00000000-0005-0000-0000-000019A20000}"/>
    <cellStyle name="Normal 6 8 2 5 2" xfId="46296" xr:uid="{00000000-0005-0000-0000-00001AA20000}"/>
    <cellStyle name="Normal 6 8 2 6" xfId="46297" xr:uid="{00000000-0005-0000-0000-00001BA20000}"/>
    <cellStyle name="Normal 6 8 2 6 2" xfId="46298" xr:uid="{00000000-0005-0000-0000-00001CA20000}"/>
    <cellStyle name="Normal 6 8 2 7" xfId="19564" xr:uid="{00000000-0005-0000-0000-00001DA20000}"/>
    <cellStyle name="Normal 6 8 3" xfId="38209" xr:uid="{00000000-0005-0000-0000-00001EA20000}"/>
    <cellStyle name="Normal 6 8 3 2" xfId="38212" xr:uid="{00000000-0005-0000-0000-00001FA20000}"/>
    <cellStyle name="Normal 6 8 3 2 2" xfId="38215" xr:uid="{00000000-0005-0000-0000-000020A20000}"/>
    <cellStyle name="Normal 6 8 3 2 2 2" xfId="46299" xr:uid="{00000000-0005-0000-0000-000021A20000}"/>
    <cellStyle name="Normal 6 8 3 2 3" xfId="46300" xr:uid="{00000000-0005-0000-0000-000022A20000}"/>
    <cellStyle name="Normal 6 8 3 3" xfId="38218" xr:uid="{00000000-0005-0000-0000-000023A20000}"/>
    <cellStyle name="Normal 6 8 3 3 2" xfId="46301" xr:uid="{00000000-0005-0000-0000-000024A20000}"/>
    <cellStyle name="Normal 6 8 3 4" xfId="46302" xr:uid="{00000000-0005-0000-0000-000025A20000}"/>
    <cellStyle name="Normal 6 8 4" xfId="38221" xr:uid="{00000000-0005-0000-0000-000026A20000}"/>
    <cellStyle name="Normal 6 8 4 2" xfId="18275" xr:uid="{00000000-0005-0000-0000-000027A20000}"/>
    <cellStyle name="Normal 6 8 4 2 2" xfId="18283" xr:uid="{00000000-0005-0000-0000-000028A20000}"/>
    <cellStyle name="Normal 6 8 4 3" xfId="18293" xr:uid="{00000000-0005-0000-0000-000029A20000}"/>
    <cellStyle name="Normal 6 8 5" xfId="15734" xr:uid="{00000000-0005-0000-0000-00002AA20000}"/>
    <cellStyle name="Normal 6 8 5 2" xfId="38224" xr:uid="{00000000-0005-0000-0000-00002BA20000}"/>
    <cellStyle name="Normal 6 8 5 2 2" xfId="46303" xr:uid="{00000000-0005-0000-0000-00002CA20000}"/>
    <cellStyle name="Normal 6 8 5 3" xfId="27412" xr:uid="{00000000-0005-0000-0000-00002DA20000}"/>
    <cellStyle name="Normal 6 8 6" xfId="38227" xr:uid="{00000000-0005-0000-0000-00002EA20000}"/>
    <cellStyle name="Normal 6 8 6 2" xfId="46304" xr:uid="{00000000-0005-0000-0000-00002FA20000}"/>
    <cellStyle name="Normal 6 8 7" xfId="38230" xr:uid="{00000000-0005-0000-0000-000030A20000}"/>
    <cellStyle name="Normal 6 8 7 2" xfId="46305" xr:uid="{00000000-0005-0000-0000-000031A20000}"/>
    <cellStyle name="Normal 6 8 8" xfId="46306" xr:uid="{00000000-0005-0000-0000-000032A20000}"/>
    <cellStyle name="Normal 6 9" xfId="46307" xr:uid="{00000000-0005-0000-0000-000033A20000}"/>
    <cellStyle name="Normal 6 9 2" xfId="13572" xr:uid="{00000000-0005-0000-0000-000034A20000}"/>
    <cellStyle name="Normal 6 9 2 2" xfId="18150" xr:uid="{00000000-0005-0000-0000-000035A20000}"/>
    <cellStyle name="Normal 6 9 2 2 2" xfId="38244" xr:uid="{00000000-0005-0000-0000-000036A20000}"/>
    <cellStyle name="Normal 6 9 2 3" xfId="38247" xr:uid="{00000000-0005-0000-0000-000037A20000}"/>
    <cellStyle name="Normal 6 9 3" xfId="18154" xr:uid="{00000000-0005-0000-0000-000038A20000}"/>
    <cellStyle name="Normal 6 9 3 2" xfId="38250" xr:uid="{00000000-0005-0000-0000-000039A20000}"/>
    <cellStyle name="Normal 6 9 3 2 2" xfId="46308" xr:uid="{00000000-0005-0000-0000-00003AA20000}"/>
    <cellStyle name="Normal 6 9 3 3" xfId="46309" xr:uid="{00000000-0005-0000-0000-00003BA20000}"/>
    <cellStyle name="Normal 6 9 4" xfId="18160" xr:uid="{00000000-0005-0000-0000-00003CA20000}"/>
    <cellStyle name="Normal 6 9 4 2" xfId="38253" xr:uid="{00000000-0005-0000-0000-00003DA20000}"/>
    <cellStyle name="Normal 6 9 5" xfId="38257" xr:uid="{00000000-0005-0000-0000-00003EA20000}"/>
    <cellStyle name="Normal 6 9 5 2" xfId="39333" xr:uid="{00000000-0005-0000-0000-00003FA20000}"/>
    <cellStyle name="Normal 6 9 6" xfId="38260" xr:uid="{00000000-0005-0000-0000-000040A20000}"/>
    <cellStyle name="Normal 60" xfId="7299" xr:uid="{00000000-0005-0000-0000-000041A20000}"/>
    <cellStyle name="Normal 60 10" xfId="11855" xr:uid="{00000000-0005-0000-0000-000042A20000}"/>
    <cellStyle name="Normal 60 10 2" xfId="11858" xr:uid="{00000000-0005-0000-0000-000043A20000}"/>
    <cellStyle name="Normal 60 10 2 2" xfId="40967" xr:uid="{00000000-0005-0000-0000-000044A20000}"/>
    <cellStyle name="Normal 60 10 3" xfId="40969" xr:uid="{00000000-0005-0000-0000-000045A20000}"/>
    <cellStyle name="Normal 60 11" xfId="11862" xr:uid="{00000000-0005-0000-0000-000046A20000}"/>
    <cellStyle name="Normal 60 11 2" xfId="11865" xr:uid="{00000000-0005-0000-0000-000047A20000}"/>
    <cellStyle name="Normal 60 11 2 2" xfId="40971" xr:uid="{00000000-0005-0000-0000-000048A20000}"/>
    <cellStyle name="Normal 60 11 3" xfId="40973" xr:uid="{00000000-0005-0000-0000-000049A20000}"/>
    <cellStyle name="Normal 60 12" xfId="40975" xr:uid="{00000000-0005-0000-0000-00004AA20000}"/>
    <cellStyle name="Normal 60 12 2" xfId="40977" xr:uid="{00000000-0005-0000-0000-00004BA20000}"/>
    <cellStyle name="Normal 60 13" xfId="40979" xr:uid="{00000000-0005-0000-0000-00004CA20000}"/>
    <cellStyle name="Normal 60 13 2" xfId="38548" xr:uid="{00000000-0005-0000-0000-00004DA20000}"/>
    <cellStyle name="Normal 60 14" xfId="40981" xr:uid="{00000000-0005-0000-0000-00004EA20000}"/>
    <cellStyle name="Normal 60 14 2" xfId="38588" xr:uid="{00000000-0005-0000-0000-00004FA20000}"/>
    <cellStyle name="Normal 60 15" xfId="40983" xr:uid="{00000000-0005-0000-0000-000050A20000}"/>
    <cellStyle name="Normal 60 16" xfId="40985" xr:uid="{00000000-0005-0000-0000-000051A20000}"/>
    <cellStyle name="Normal 60 2" xfId="7308" xr:uid="{00000000-0005-0000-0000-000052A20000}"/>
    <cellStyle name="Normal 60 2 10" xfId="24938" xr:uid="{00000000-0005-0000-0000-000053A20000}"/>
    <cellStyle name="Normal 60 2 10 2" xfId="12836" xr:uid="{00000000-0005-0000-0000-000054A20000}"/>
    <cellStyle name="Normal 60 2 11" xfId="7757" xr:uid="{00000000-0005-0000-0000-000055A20000}"/>
    <cellStyle name="Normal 60 2 11 2" xfId="2284" xr:uid="{00000000-0005-0000-0000-000056A20000}"/>
    <cellStyle name="Normal 60 2 12" xfId="3142" xr:uid="{00000000-0005-0000-0000-000057A20000}"/>
    <cellStyle name="Normal 60 2 12 2" xfId="1502" xr:uid="{00000000-0005-0000-0000-000058A20000}"/>
    <cellStyle name="Normal 60 2 13" xfId="40867" xr:uid="{00000000-0005-0000-0000-000059A20000}"/>
    <cellStyle name="Normal 60 2 14" xfId="40987" xr:uid="{00000000-0005-0000-0000-00005AA20000}"/>
    <cellStyle name="Normal 60 2 2" xfId="40989" xr:uid="{00000000-0005-0000-0000-00005BA20000}"/>
    <cellStyle name="Normal 60 2 2 10" xfId="363" xr:uid="{00000000-0005-0000-0000-00005CA20000}"/>
    <cellStyle name="Normal 60 2 2 2" xfId="40991" xr:uid="{00000000-0005-0000-0000-00005DA20000}"/>
    <cellStyle name="Normal 60 2 2 2 2" xfId="40993" xr:uid="{00000000-0005-0000-0000-00005EA20000}"/>
    <cellStyle name="Normal 60 2 2 2 2 2" xfId="40995" xr:uid="{00000000-0005-0000-0000-00005FA20000}"/>
    <cellStyle name="Normal 60 2 2 2 2 2 2" xfId="40997" xr:uid="{00000000-0005-0000-0000-000060A20000}"/>
    <cellStyle name="Normal 60 2 2 2 2 2 2 2" xfId="41000" xr:uid="{00000000-0005-0000-0000-000061A20000}"/>
    <cellStyle name="Normal 60 2 2 2 2 2 2 2 2" xfId="19433" xr:uid="{00000000-0005-0000-0000-000062A20000}"/>
    <cellStyle name="Normal 60 2 2 2 2 2 2 3" xfId="41003" xr:uid="{00000000-0005-0000-0000-000063A20000}"/>
    <cellStyle name="Normal 60 2 2 2 2 2 3" xfId="41005" xr:uid="{00000000-0005-0000-0000-000064A20000}"/>
    <cellStyle name="Normal 60 2 2 2 2 2 3 2" xfId="41007" xr:uid="{00000000-0005-0000-0000-000065A20000}"/>
    <cellStyle name="Normal 60 2 2 2 2 2 4" xfId="41009" xr:uid="{00000000-0005-0000-0000-000066A20000}"/>
    <cellStyle name="Normal 60 2 2 2 2 3" xfId="39570" xr:uid="{00000000-0005-0000-0000-000067A20000}"/>
    <cellStyle name="Normal 60 2 2 2 2 3 2" xfId="41011" xr:uid="{00000000-0005-0000-0000-000068A20000}"/>
    <cellStyle name="Normal 60 2 2 2 2 3 2 2" xfId="41013" xr:uid="{00000000-0005-0000-0000-000069A20000}"/>
    <cellStyle name="Normal 60 2 2 2 2 3 3" xfId="41015" xr:uid="{00000000-0005-0000-0000-00006AA20000}"/>
    <cellStyle name="Normal 60 2 2 2 2 4" xfId="41017" xr:uid="{00000000-0005-0000-0000-00006BA20000}"/>
    <cellStyle name="Normal 60 2 2 2 2 4 2" xfId="41019" xr:uid="{00000000-0005-0000-0000-00006CA20000}"/>
    <cellStyle name="Normal 60 2 2 2 2 4 2 2" xfId="41021" xr:uid="{00000000-0005-0000-0000-00006DA20000}"/>
    <cellStyle name="Normal 60 2 2 2 2 4 3" xfId="41023" xr:uid="{00000000-0005-0000-0000-00006EA20000}"/>
    <cellStyle name="Normal 60 2 2 2 2 5" xfId="41025" xr:uid="{00000000-0005-0000-0000-00006FA20000}"/>
    <cellStyle name="Normal 60 2 2 2 2 5 2" xfId="41027" xr:uid="{00000000-0005-0000-0000-000070A20000}"/>
    <cellStyle name="Normal 60 2 2 2 2 6" xfId="41029" xr:uid="{00000000-0005-0000-0000-000071A20000}"/>
    <cellStyle name="Normal 60 2 2 2 2 6 2" xfId="41031" xr:uid="{00000000-0005-0000-0000-000072A20000}"/>
    <cellStyle name="Normal 60 2 2 2 2 7" xfId="41033" xr:uid="{00000000-0005-0000-0000-000073A20000}"/>
    <cellStyle name="Normal 60 2 2 2 2 8" xfId="24791" xr:uid="{00000000-0005-0000-0000-000074A20000}"/>
    <cellStyle name="Normal 60 2 2 2 3" xfId="41035" xr:uid="{00000000-0005-0000-0000-000075A20000}"/>
    <cellStyle name="Normal 60 2 2 2 3 2" xfId="41037" xr:uid="{00000000-0005-0000-0000-000076A20000}"/>
    <cellStyle name="Normal 60 2 2 2 3 2 2" xfId="24987" xr:uid="{00000000-0005-0000-0000-000077A20000}"/>
    <cellStyle name="Normal 60 2 2 2 3 2 2 2" xfId="41039" xr:uid="{00000000-0005-0000-0000-000078A20000}"/>
    <cellStyle name="Normal 60 2 2 2 3 2 3" xfId="41041" xr:uid="{00000000-0005-0000-0000-000079A20000}"/>
    <cellStyle name="Normal 60 2 2 2 3 3" xfId="39574" xr:uid="{00000000-0005-0000-0000-00007AA20000}"/>
    <cellStyle name="Normal 60 2 2 2 3 3 2" xfId="41043" xr:uid="{00000000-0005-0000-0000-00007BA20000}"/>
    <cellStyle name="Normal 60 2 2 2 3 4" xfId="41045" xr:uid="{00000000-0005-0000-0000-00007CA20000}"/>
    <cellStyle name="Normal 60 2 2 2 4" xfId="22992" xr:uid="{00000000-0005-0000-0000-00007DA20000}"/>
    <cellStyle name="Normal 60 2 2 2 4 2" xfId="22995" xr:uid="{00000000-0005-0000-0000-00007EA20000}"/>
    <cellStyle name="Normal 60 2 2 2 4 2 2" xfId="27658" xr:uid="{00000000-0005-0000-0000-00007FA20000}"/>
    <cellStyle name="Normal 60 2 2 2 4 3" xfId="41047" xr:uid="{00000000-0005-0000-0000-000080A20000}"/>
    <cellStyle name="Normal 60 2 2 2 5" xfId="22998" xr:uid="{00000000-0005-0000-0000-000081A20000}"/>
    <cellStyle name="Normal 60 2 2 2 5 2" xfId="41049" xr:uid="{00000000-0005-0000-0000-000082A20000}"/>
    <cellStyle name="Normal 60 2 2 2 5 2 2" xfId="41051" xr:uid="{00000000-0005-0000-0000-000083A20000}"/>
    <cellStyle name="Normal 60 2 2 2 5 3" xfId="41053" xr:uid="{00000000-0005-0000-0000-000084A20000}"/>
    <cellStyle name="Normal 60 2 2 2 6" xfId="41055" xr:uid="{00000000-0005-0000-0000-000085A20000}"/>
    <cellStyle name="Normal 60 2 2 2 6 2" xfId="41057" xr:uid="{00000000-0005-0000-0000-000086A20000}"/>
    <cellStyle name="Normal 60 2 2 2 7" xfId="41059" xr:uid="{00000000-0005-0000-0000-000087A20000}"/>
    <cellStyle name="Normal 60 2 2 2 7 2" xfId="41061" xr:uid="{00000000-0005-0000-0000-000088A20000}"/>
    <cellStyle name="Normal 60 2 2 2 8" xfId="41064" xr:uid="{00000000-0005-0000-0000-000089A20000}"/>
    <cellStyle name="Normal 60 2 2 2 9" xfId="41068" xr:uid="{00000000-0005-0000-0000-00008AA20000}"/>
    <cellStyle name="Normal 60 2 2 3" xfId="41071" xr:uid="{00000000-0005-0000-0000-00008BA20000}"/>
    <cellStyle name="Normal 60 2 2 3 2" xfId="41073" xr:uid="{00000000-0005-0000-0000-00008CA20000}"/>
    <cellStyle name="Normal 60 2 2 3 2 2" xfId="41075" xr:uid="{00000000-0005-0000-0000-00008DA20000}"/>
    <cellStyle name="Normal 60 2 2 3 2 2 2" xfId="41077" xr:uid="{00000000-0005-0000-0000-00008EA20000}"/>
    <cellStyle name="Normal 60 2 2 3 2 2 2 2" xfId="41079" xr:uid="{00000000-0005-0000-0000-00008FA20000}"/>
    <cellStyle name="Normal 60 2 2 3 2 2 3" xfId="41081" xr:uid="{00000000-0005-0000-0000-000090A20000}"/>
    <cellStyle name="Normal 60 2 2 3 2 3" xfId="39614" xr:uid="{00000000-0005-0000-0000-000091A20000}"/>
    <cellStyle name="Normal 60 2 2 3 2 3 2" xfId="41083" xr:uid="{00000000-0005-0000-0000-000092A20000}"/>
    <cellStyle name="Normal 60 2 2 3 2 4" xfId="41085" xr:uid="{00000000-0005-0000-0000-000093A20000}"/>
    <cellStyle name="Normal 60 2 2 3 3" xfId="41087" xr:uid="{00000000-0005-0000-0000-000094A20000}"/>
    <cellStyle name="Normal 60 2 2 3 3 2" xfId="41089" xr:uid="{00000000-0005-0000-0000-000095A20000}"/>
    <cellStyle name="Normal 60 2 2 3 3 2 2" xfId="41091" xr:uid="{00000000-0005-0000-0000-000096A20000}"/>
    <cellStyle name="Normal 60 2 2 3 3 3" xfId="39618" xr:uid="{00000000-0005-0000-0000-000097A20000}"/>
    <cellStyle name="Normal 60 2 2 3 4" xfId="23001" xr:uid="{00000000-0005-0000-0000-000098A20000}"/>
    <cellStyle name="Normal 60 2 2 3 4 2" xfId="41093" xr:uid="{00000000-0005-0000-0000-000099A20000}"/>
    <cellStyle name="Normal 60 2 2 3 4 2 2" xfId="26544" xr:uid="{00000000-0005-0000-0000-00009AA20000}"/>
    <cellStyle name="Normal 60 2 2 3 4 3" xfId="41095" xr:uid="{00000000-0005-0000-0000-00009BA20000}"/>
    <cellStyle name="Normal 60 2 2 3 5" xfId="41097" xr:uid="{00000000-0005-0000-0000-00009CA20000}"/>
    <cellStyle name="Normal 60 2 2 3 5 2" xfId="41099" xr:uid="{00000000-0005-0000-0000-00009DA20000}"/>
    <cellStyle name="Normal 60 2 2 3 6" xfId="41101" xr:uid="{00000000-0005-0000-0000-00009EA20000}"/>
    <cellStyle name="Normal 60 2 2 3 6 2" xfId="41103" xr:uid="{00000000-0005-0000-0000-00009FA20000}"/>
    <cellStyle name="Normal 60 2 2 3 7" xfId="41105" xr:uid="{00000000-0005-0000-0000-0000A0A20000}"/>
    <cellStyle name="Normal 60 2 2 3 8" xfId="41108" xr:uid="{00000000-0005-0000-0000-0000A1A20000}"/>
    <cellStyle name="Normal 60 2 2 4" xfId="2320" xr:uid="{00000000-0005-0000-0000-0000A2A20000}"/>
    <cellStyle name="Normal 60 2 2 4 2" xfId="2352" xr:uid="{00000000-0005-0000-0000-0000A3A20000}"/>
    <cellStyle name="Normal 60 2 2 4 2 2" xfId="2370" xr:uid="{00000000-0005-0000-0000-0000A4A20000}"/>
    <cellStyle name="Normal 60 2 2 4 2 2 2" xfId="2388" xr:uid="{00000000-0005-0000-0000-0000A5A20000}"/>
    <cellStyle name="Normal 60 2 2 4 2 3" xfId="354" xr:uid="{00000000-0005-0000-0000-0000A6A20000}"/>
    <cellStyle name="Normal 60 2 2 4 3" xfId="2457" xr:uid="{00000000-0005-0000-0000-0000A7A20000}"/>
    <cellStyle name="Normal 60 2 2 4 3 2" xfId="2476" xr:uid="{00000000-0005-0000-0000-0000A8A20000}"/>
    <cellStyle name="Normal 60 2 2 4 4" xfId="2509" xr:uid="{00000000-0005-0000-0000-0000A9A20000}"/>
    <cellStyle name="Normal 60 2 2 5" xfId="2665" xr:uid="{00000000-0005-0000-0000-0000AAA20000}"/>
    <cellStyle name="Normal 60 2 2 5 2" xfId="2701" xr:uid="{00000000-0005-0000-0000-0000ABA20000}"/>
    <cellStyle name="Normal 60 2 2 5 2 2" xfId="2706" xr:uid="{00000000-0005-0000-0000-0000ACA20000}"/>
    <cellStyle name="Normal 60 2 2 5 3" xfId="2737" xr:uid="{00000000-0005-0000-0000-0000ADA20000}"/>
    <cellStyle name="Normal 60 2 2 6" xfId="2789" xr:uid="{00000000-0005-0000-0000-0000AEA20000}"/>
    <cellStyle name="Normal 60 2 2 6 2" xfId="515" xr:uid="{00000000-0005-0000-0000-0000AFA20000}"/>
    <cellStyle name="Normal 60 2 2 6 2 2" xfId="872" xr:uid="{00000000-0005-0000-0000-0000B0A20000}"/>
    <cellStyle name="Normal 60 2 2 6 3" xfId="619" xr:uid="{00000000-0005-0000-0000-0000B1A20000}"/>
    <cellStyle name="Normal 60 2 2 7" xfId="2817" xr:uid="{00000000-0005-0000-0000-0000B2A20000}"/>
    <cellStyle name="Normal 60 2 2 7 2" xfId="2826" xr:uid="{00000000-0005-0000-0000-0000B3A20000}"/>
    <cellStyle name="Normal 60 2 2 8" xfId="1310" xr:uid="{00000000-0005-0000-0000-0000B4A20000}"/>
    <cellStyle name="Normal 60 2 2 8 2" xfId="1338" xr:uid="{00000000-0005-0000-0000-0000B5A20000}"/>
    <cellStyle name="Normal 60 2 2 9" xfId="258" xr:uid="{00000000-0005-0000-0000-0000B6A20000}"/>
    <cellStyle name="Normal 60 2 3" xfId="41111" xr:uid="{00000000-0005-0000-0000-0000B7A20000}"/>
    <cellStyle name="Normal 60 2 3 2" xfId="41113" xr:uid="{00000000-0005-0000-0000-0000B8A20000}"/>
    <cellStyle name="Normal 60 2 3 2 2" xfId="41115" xr:uid="{00000000-0005-0000-0000-0000B9A20000}"/>
    <cellStyle name="Normal 60 2 3 2 2 2" xfId="41117" xr:uid="{00000000-0005-0000-0000-0000BAA20000}"/>
    <cellStyle name="Normal 60 2 3 2 2 2 2" xfId="41119" xr:uid="{00000000-0005-0000-0000-0000BBA20000}"/>
    <cellStyle name="Normal 60 2 3 2 2 2 2 2" xfId="28828" xr:uid="{00000000-0005-0000-0000-0000BCA20000}"/>
    <cellStyle name="Normal 60 2 3 2 2 2 3" xfId="41121" xr:uid="{00000000-0005-0000-0000-0000BDA20000}"/>
    <cellStyle name="Normal 60 2 3 2 2 3" xfId="39829" xr:uid="{00000000-0005-0000-0000-0000BEA20000}"/>
    <cellStyle name="Normal 60 2 3 2 2 3 2" xfId="8329" xr:uid="{00000000-0005-0000-0000-0000BFA20000}"/>
    <cellStyle name="Normal 60 2 3 2 2 4" xfId="41123" xr:uid="{00000000-0005-0000-0000-0000C0A20000}"/>
    <cellStyle name="Normal 60 2 3 2 2 5" xfId="41125" xr:uid="{00000000-0005-0000-0000-0000C1A20000}"/>
    <cellStyle name="Normal 60 2 3 2 3" xfId="41127" xr:uid="{00000000-0005-0000-0000-0000C2A20000}"/>
    <cellStyle name="Normal 60 2 3 2 3 2" xfId="41129" xr:uid="{00000000-0005-0000-0000-0000C3A20000}"/>
    <cellStyle name="Normal 60 2 3 2 3 2 2" xfId="41131" xr:uid="{00000000-0005-0000-0000-0000C4A20000}"/>
    <cellStyle name="Normal 60 2 3 2 3 3" xfId="39833" xr:uid="{00000000-0005-0000-0000-0000C5A20000}"/>
    <cellStyle name="Normal 60 2 3 2 4" xfId="23096" xr:uid="{00000000-0005-0000-0000-0000C6A20000}"/>
    <cellStyle name="Normal 60 2 3 2 4 2" xfId="23099" xr:uid="{00000000-0005-0000-0000-0000C7A20000}"/>
    <cellStyle name="Normal 60 2 3 2 4 2 2" xfId="28060" xr:uid="{00000000-0005-0000-0000-0000C8A20000}"/>
    <cellStyle name="Normal 60 2 3 2 4 3" xfId="41133" xr:uid="{00000000-0005-0000-0000-0000C9A20000}"/>
    <cellStyle name="Normal 60 2 3 2 5" xfId="23103" xr:uid="{00000000-0005-0000-0000-0000CAA20000}"/>
    <cellStyle name="Normal 60 2 3 2 5 2" xfId="41135" xr:uid="{00000000-0005-0000-0000-0000CBA20000}"/>
    <cellStyle name="Normal 60 2 3 2 6" xfId="41137" xr:uid="{00000000-0005-0000-0000-0000CCA20000}"/>
    <cellStyle name="Normal 60 2 3 2 6 2" xfId="41139" xr:uid="{00000000-0005-0000-0000-0000CDA20000}"/>
    <cellStyle name="Normal 60 2 3 2 7" xfId="41141" xr:uid="{00000000-0005-0000-0000-0000CEA20000}"/>
    <cellStyle name="Normal 60 2 3 2 8" xfId="41144" xr:uid="{00000000-0005-0000-0000-0000CFA20000}"/>
    <cellStyle name="Normal 60 2 3 3" xfId="41147" xr:uid="{00000000-0005-0000-0000-0000D0A20000}"/>
    <cellStyle name="Normal 60 2 3 3 2" xfId="41149" xr:uid="{00000000-0005-0000-0000-0000D1A20000}"/>
    <cellStyle name="Normal 60 2 3 3 2 2" xfId="41151" xr:uid="{00000000-0005-0000-0000-0000D2A20000}"/>
    <cellStyle name="Normal 60 2 3 3 2 2 2" xfId="41154" xr:uid="{00000000-0005-0000-0000-0000D3A20000}"/>
    <cellStyle name="Normal 60 2 3 3 2 3" xfId="9614" xr:uid="{00000000-0005-0000-0000-0000D4A20000}"/>
    <cellStyle name="Normal 60 2 3 3 3" xfId="41156" xr:uid="{00000000-0005-0000-0000-0000D5A20000}"/>
    <cellStyle name="Normal 60 2 3 3 3 2" xfId="41158" xr:uid="{00000000-0005-0000-0000-0000D6A20000}"/>
    <cellStyle name="Normal 60 2 3 3 4" xfId="11303" xr:uid="{00000000-0005-0000-0000-0000D7A20000}"/>
    <cellStyle name="Normal 60 2 3 3 5" xfId="41160" xr:uid="{00000000-0005-0000-0000-0000D8A20000}"/>
    <cellStyle name="Normal 60 2 3 4" xfId="2910" xr:uid="{00000000-0005-0000-0000-0000D9A20000}"/>
    <cellStyle name="Normal 60 2 3 4 2" xfId="2920" xr:uid="{00000000-0005-0000-0000-0000DAA20000}"/>
    <cellStyle name="Normal 60 2 3 4 2 2" xfId="2926" xr:uid="{00000000-0005-0000-0000-0000DBA20000}"/>
    <cellStyle name="Normal 60 2 3 4 3" xfId="2944" xr:uid="{00000000-0005-0000-0000-0000DCA20000}"/>
    <cellStyle name="Normal 60 2 3 5" xfId="3026" xr:uid="{00000000-0005-0000-0000-0000DDA20000}"/>
    <cellStyle name="Normal 60 2 3 5 2" xfId="3049" xr:uid="{00000000-0005-0000-0000-0000DEA20000}"/>
    <cellStyle name="Normal 60 2 3 5 2 2" xfId="3068" xr:uid="{00000000-0005-0000-0000-0000DFA20000}"/>
    <cellStyle name="Normal 60 2 3 5 3" xfId="1576" xr:uid="{00000000-0005-0000-0000-0000E0A20000}"/>
    <cellStyle name="Normal 60 2 3 6" xfId="3120" xr:uid="{00000000-0005-0000-0000-0000E1A20000}"/>
    <cellStyle name="Normal 60 2 3 6 2" xfId="3147" xr:uid="{00000000-0005-0000-0000-0000E2A20000}"/>
    <cellStyle name="Normal 60 2 3 7" xfId="3174" xr:uid="{00000000-0005-0000-0000-0000E3A20000}"/>
    <cellStyle name="Normal 60 2 3 7 2" xfId="3193" xr:uid="{00000000-0005-0000-0000-0000E4A20000}"/>
    <cellStyle name="Normal 60 2 3 8" xfId="1396" xr:uid="{00000000-0005-0000-0000-0000E5A20000}"/>
    <cellStyle name="Normal 60 2 3 9" xfId="1439" xr:uid="{00000000-0005-0000-0000-0000E6A20000}"/>
    <cellStyle name="Normal 60 2 4" xfId="19575" xr:uid="{00000000-0005-0000-0000-0000E7A20000}"/>
    <cellStyle name="Normal 60 2 4 2" xfId="41162" xr:uid="{00000000-0005-0000-0000-0000E8A20000}"/>
    <cellStyle name="Normal 60 2 4 2 2" xfId="41164" xr:uid="{00000000-0005-0000-0000-0000E9A20000}"/>
    <cellStyle name="Normal 60 2 4 2 2 2" xfId="41166" xr:uid="{00000000-0005-0000-0000-0000EAA20000}"/>
    <cellStyle name="Normal 60 2 4 2 2 2 2" xfId="41168" xr:uid="{00000000-0005-0000-0000-0000EBA20000}"/>
    <cellStyle name="Normal 60 2 4 2 2 2 2 2" xfId="41171" xr:uid="{00000000-0005-0000-0000-0000ECA20000}"/>
    <cellStyle name="Normal 60 2 4 2 2 2 3" xfId="41173" xr:uid="{00000000-0005-0000-0000-0000EDA20000}"/>
    <cellStyle name="Normal 60 2 4 2 2 3" xfId="41175" xr:uid="{00000000-0005-0000-0000-0000EEA20000}"/>
    <cellStyle name="Normal 60 2 4 2 2 3 2" xfId="41177" xr:uid="{00000000-0005-0000-0000-0000EFA20000}"/>
    <cellStyle name="Normal 60 2 4 2 2 4" xfId="41179" xr:uid="{00000000-0005-0000-0000-0000F0A20000}"/>
    <cellStyle name="Normal 60 2 4 2 3" xfId="41181" xr:uid="{00000000-0005-0000-0000-0000F1A20000}"/>
    <cellStyle name="Normal 60 2 4 2 3 2" xfId="41183" xr:uid="{00000000-0005-0000-0000-0000F2A20000}"/>
    <cellStyle name="Normal 60 2 4 2 3 2 2" xfId="41185" xr:uid="{00000000-0005-0000-0000-0000F3A20000}"/>
    <cellStyle name="Normal 60 2 4 2 3 3" xfId="41187" xr:uid="{00000000-0005-0000-0000-0000F4A20000}"/>
    <cellStyle name="Normal 60 2 4 2 4" xfId="23165" xr:uid="{00000000-0005-0000-0000-0000F5A20000}"/>
    <cellStyle name="Normal 60 2 4 2 4 2" xfId="15454" xr:uid="{00000000-0005-0000-0000-0000F6A20000}"/>
    <cellStyle name="Normal 60 2 4 2 4 2 2" xfId="15457" xr:uid="{00000000-0005-0000-0000-0000F7A20000}"/>
    <cellStyle name="Normal 60 2 4 2 4 3" xfId="41189" xr:uid="{00000000-0005-0000-0000-0000F8A20000}"/>
    <cellStyle name="Normal 60 2 4 2 5" xfId="23168" xr:uid="{00000000-0005-0000-0000-0000F9A20000}"/>
    <cellStyle name="Normal 60 2 4 2 5 2" xfId="41191" xr:uid="{00000000-0005-0000-0000-0000FAA20000}"/>
    <cellStyle name="Normal 60 2 4 2 6" xfId="39631" xr:uid="{00000000-0005-0000-0000-0000FBA20000}"/>
    <cellStyle name="Normal 60 2 4 2 6 2" xfId="41193" xr:uid="{00000000-0005-0000-0000-0000FCA20000}"/>
    <cellStyle name="Normal 60 2 4 2 7" xfId="41195" xr:uid="{00000000-0005-0000-0000-0000FDA20000}"/>
    <cellStyle name="Normal 60 2 4 2 8" xfId="41198" xr:uid="{00000000-0005-0000-0000-0000FEA20000}"/>
    <cellStyle name="Normal 60 2 4 3" xfId="41201" xr:uid="{00000000-0005-0000-0000-0000FFA20000}"/>
    <cellStyle name="Normal 60 2 4 3 2" xfId="2803" xr:uid="{00000000-0005-0000-0000-000000A30000}"/>
    <cellStyle name="Normal 60 2 4 3 2 2" xfId="10408" xr:uid="{00000000-0005-0000-0000-000001A30000}"/>
    <cellStyle name="Normal 60 2 4 3 2 2 2" xfId="41204" xr:uid="{00000000-0005-0000-0000-000002A30000}"/>
    <cellStyle name="Normal 60 2 4 3 2 3" xfId="41207" xr:uid="{00000000-0005-0000-0000-000003A30000}"/>
    <cellStyle name="Normal 60 2 4 3 3" xfId="10768" xr:uid="{00000000-0005-0000-0000-000004A30000}"/>
    <cellStyle name="Normal 60 2 4 3 3 2" xfId="41209" xr:uid="{00000000-0005-0000-0000-000005A30000}"/>
    <cellStyle name="Normal 60 2 4 3 4" xfId="10793" xr:uid="{00000000-0005-0000-0000-000006A30000}"/>
    <cellStyle name="Normal 60 2 4 4" xfId="3325" xr:uid="{00000000-0005-0000-0000-000007A30000}"/>
    <cellStyle name="Normal 60 2 4 4 2" xfId="3155" xr:uid="{00000000-0005-0000-0000-000008A30000}"/>
    <cellStyle name="Normal 60 2 4 4 2 2" xfId="3178" xr:uid="{00000000-0005-0000-0000-000009A30000}"/>
    <cellStyle name="Normal 60 2 4 4 3" xfId="1386" xr:uid="{00000000-0005-0000-0000-00000AA30000}"/>
    <cellStyle name="Normal 60 2 4 5" xfId="3349" xr:uid="{00000000-0005-0000-0000-00000BA30000}"/>
    <cellStyle name="Normal 60 2 4 5 2" xfId="3384" xr:uid="{00000000-0005-0000-0000-00000CA30000}"/>
    <cellStyle name="Normal 60 2 4 5 2 2" xfId="3402" xr:uid="{00000000-0005-0000-0000-00000DA30000}"/>
    <cellStyle name="Normal 60 2 4 5 3" xfId="30" xr:uid="{00000000-0005-0000-0000-00000EA30000}"/>
    <cellStyle name="Normal 60 2 4 6" xfId="3426" xr:uid="{00000000-0005-0000-0000-00000FA30000}"/>
    <cellStyle name="Normal 60 2 4 6 2" xfId="3432" xr:uid="{00000000-0005-0000-0000-000010A30000}"/>
    <cellStyle name="Normal 60 2 4 7" xfId="3368" xr:uid="{00000000-0005-0000-0000-000011A30000}"/>
    <cellStyle name="Normal 60 2 4 7 2" xfId="3393" xr:uid="{00000000-0005-0000-0000-000012A30000}"/>
    <cellStyle name="Normal 60 2 4 8" xfId="16" xr:uid="{00000000-0005-0000-0000-000013A30000}"/>
    <cellStyle name="Normal 60 2 4 9" xfId="3482" xr:uid="{00000000-0005-0000-0000-000014A30000}"/>
    <cellStyle name="Normal 60 2 5" xfId="41211" xr:uid="{00000000-0005-0000-0000-000015A30000}"/>
    <cellStyle name="Normal 60 2 5 2" xfId="41213" xr:uid="{00000000-0005-0000-0000-000016A30000}"/>
    <cellStyle name="Normal 60 2 5 2 2" xfId="1368" xr:uid="{00000000-0005-0000-0000-000017A30000}"/>
    <cellStyle name="Normal 60 2 5 2 2 2" xfId="1381" xr:uid="{00000000-0005-0000-0000-000018A30000}"/>
    <cellStyle name="Normal 60 2 5 2 2 2 2" xfId="1409" xr:uid="{00000000-0005-0000-0000-000019A30000}"/>
    <cellStyle name="Normal 60 2 5 2 2 2 2 2" xfId="10841" xr:uid="{00000000-0005-0000-0000-00001AA30000}"/>
    <cellStyle name="Normal 60 2 5 2 2 2 3" xfId="10857" xr:uid="{00000000-0005-0000-0000-00001BA30000}"/>
    <cellStyle name="Normal 60 2 5 2 2 3" xfId="1455" xr:uid="{00000000-0005-0000-0000-00001CA30000}"/>
    <cellStyle name="Normal 60 2 5 2 2 3 2" xfId="10872" xr:uid="{00000000-0005-0000-0000-00001DA30000}"/>
    <cellStyle name="Normal 60 2 5 2 2 4" xfId="10891" xr:uid="{00000000-0005-0000-0000-00001EA30000}"/>
    <cellStyle name="Normal 60 2 5 2 3" xfId="10916" xr:uid="{00000000-0005-0000-0000-00001FA30000}"/>
    <cellStyle name="Normal 60 2 5 2 3 2" xfId="27" xr:uid="{00000000-0005-0000-0000-000020A30000}"/>
    <cellStyle name="Normal 60 2 5 2 3 2 2" xfId="10920" xr:uid="{00000000-0005-0000-0000-000021A30000}"/>
    <cellStyle name="Normal 60 2 5 2 3 3" xfId="10931" xr:uid="{00000000-0005-0000-0000-000022A30000}"/>
    <cellStyle name="Normal 60 2 5 2 4" xfId="10943" xr:uid="{00000000-0005-0000-0000-000023A30000}"/>
    <cellStyle name="Normal 60 2 5 2 4 2" xfId="1475" xr:uid="{00000000-0005-0000-0000-000024A30000}"/>
    <cellStyle name="Normal 60 2 5 2 4 2 2" xfId="7934" xr:uid="{00000000-0005-0000-0000-000025A30000}"/>
    <cellStyle name="Normal 60 2 5 2 4 3" xfId="7946" xr:uid="{00000000-0005-0000-0000-000026A30000}"/>
    <cellStyle name="Normal 60 2 5 2 5" xfId="10948" xr:uid="{00000000-0005-0000-0000-000027A30000}"/>
    <cellStyle name="Normal 60 2 5 2 5 2" xfId="7995" xr:uid="{00000000-0005-0000-0000-000028A30000}"/>
    <cellStyle name="Normal 60 2 5 2 6" xfId="10958" xr:uid="{00000000-0005-0000-0000-000029A30000}"/>
    <cellStyle name="Normal 60 2 5 2 6 2" xfId="10961" xr:uid="{00000000-0005-0000-0000-00002AA30000}"/>
    <cellStyle name="Normal 60 2 5 2 7" xfId="10969" xr:uid="{00000000-0005-0000-0000-00002BA30000}"/>
    <cellStyle name="Normal 60 2 5 2 8" xfId="4017" xr:uid="{00000000-0005-0000-0000-00002CA30000}"/>
    <cellStyle name="Normal 60 2 5 3" xfId="4766" xr:uid="{00000000-0005-0000-0000-00002DA30000}"/>
    <cellStyle name="Normal 60 2 5 3 2" xfId="11005" xr:uid="{00000000-0005-0000-0000-00002EA30000}"/>
    <cellStyle name="Normal 60 2 5 3 2 2" xfId="1705" xr:uid="{00000000-0005-0000-0000-00002FA30000}"/>
    <cellStyle name="Normal 60 2 5 3 2 2 2" xfId="10258" xr:uid="{00000000-0005-0000-0000-000030A30000}"/>
    <cellStyle name="Normal 60 2 5 3 2 3" xfId="11022" xr:uid="{00000000-0005-0000-0000-000031A30000}"/>
    <cellStyle name="Normal 60 2 5 3 3" xfId="10977" xr:uid="{00000000-0005-0000-0000-000032A30000}"/>
    <cellStyle name="Normal 60 2 5 3 3 2" xfId="10213" xr:uid="{00000000-0005-0000-0000-000033A30000}"/>
    <cellStyle name="Normal 60 2 5 3 4" xfId="10982" xr:uid="{00000000-0005-0000-0000-000034A30000}"/>
    <cellStyle name="Normal 60 2 5 4" xfId="3506" xr:uid="{00000000-0005-0000-0000-000035A30000}"/>
    <cellStyle name="Normal 60 2 5 4 2" xfId="3519" xr:uid="{00000000-0005-0000-0000-000036A30000}"/>
    <cellStyle name="Normal 60 2 5 4 2 2" xfId="818" xr:uid="{00000000-0005-0000-0000-000037A30000}"/>
    <cellStyle name="Normal 60 2 5 4 3" xfId="1709" xr:uid="{00000000-0005-0000-0000-000038A30000}"/>
    <cellStyle name="Normal 60 2 5 5" xfId="3532" xr:uid="{00000000-0005-0000-0000-000039A30000}"/>
    <cellStyle name="Normal 60 2 5 5 2" xfId="3537" xr:uid="{00000000-0005-0000-0000-00003AA30000}"/>
    <cellStyle name="Normal 60 2 5 5 2 2" xfId="10197" xr:uid="{00000000-0005-0000-0000-00003BA30000}"/>
    <cellStyle name="Normal 60 2 5 5 3" xfId="10209" xr:uid="{00000000-0005-0000-0000-00003CA30000}"/>
    <cellStyle name="Normal 60 2 5 6" xfId="3550" xr:uid="{00000000-0005-0000-0000-00003DA30000}"/>
    <cellStyle name="Normal 60 2 5 6 2" xfId="8071" xr:uid="{00000000-0005-0000-0000-00003EA30000}"/>
    <cellStyle name="Normal 60 2 5 7" xfId="41215" xr:uid="{00000000-0005-0000-0000-00003FA30000}"/>
    <cellStyle name="Normal 60 2 5 7 2" xfId="3446" xr:uid="{00000000-0005-0000-0000-000040A30000}"/>
    <cellStyle name="Normal 60 2 5 8" xfId="28340" xr:uid="{00000000-0005-0000-0000-000041A30000}"/>
    <cellStyle name="Normal 60 2 5 9" xfId="41217" xr:uid="{00000000-0005-0000-0000-000042A30000}"/>
    <cellStyle name="Normal 60 2 6" xfId="41219" xr:uid="{00000000-0005-0000-0000-000043A30000}"/>
    <cellStyle name="Normal 60 2 6 2" xfId="41221" xr:uid="{00000000-0005-0000-0000-000044A30000}"/>
    <cellStyle name="Normal 60 2 6 2 2" xfId="11123" xr:uid="{00000000-0005-0000-0000-000045A30000}"/>
    <cellStyle name="Normal 60 2 6 2 2 2" xfId="11127" xr:uid="{00000000-0005-0000-0000-000046A30000}"/>
    <cellStyle name="Normal 60 2 6 2 2 2 2" xfId="41223" xr:uid="{00000000-0005-0000-0000-000047A30000}"/>
    <cellStyle name="Normal 60 2 6 2 2 3" xfId="41226" xr:uid="{00000000-0005-0000-0000-000048A30000}"/>
    <cellStyle name="Normal 60 2 6 2 3" xfId="11132" xr:uid="{00000000-0005-0000-0000-000049A30000}"/>
    <cellStyle name="Normal 60 2 6 2 3 2" xfId="11135" xr:uid="{00000000-0005-0000-0000-00004AA30000}"/>
    <cellStyle name="Normal 60 2 6 2 4" xfId="11140" xr:uid="{00000000-0005-0000-0000-00004BA30000}"/>
    <cellStyle name="Normal 60 2 6 3" xfId="11630" xr:uid="{00000000-0005-0000-0000-00004CA30000}"/>
    <cellStyle name="Normal 60 2 6 3 2" xfId="11151" xr:uid="{00000000-0005-0000-0000-00004DA30000}"/>
    <cellStyle name="Normal 60 2 6 3 2 2" xfId="41229" xr:uid="{00000000-0005-0000-0000-00004EA30000}"/>
    <cellStyle name="Normal 60 2 6 3 3" xfId="11030" xr:uid="{00000000-0005-0000-0000-00004FA30000}"/>
    <cellStyle name="Normal 60 2 6 4" xfId="3574" xr:uid="{00000000-0005-0000-0000-000050A30000}"/>
    <cellStyle name="Normal 60 2 6 4 2" xfId="788" xr:uid="{00000000-0005-0000-0000-000051A30000}"/>
    <cellStyle name="Normal 60 2 6 4 2 2" xfId="41231" xr:uid="{00000000-0005-0000-0000-000052A30000}"/>
    <cellStyle name="Normal 60 2 6 4 3" xfId="41233" xr:uid="{00000000-0005-0000-0000-000053A30000}"/>
    <cellStyle name="Normal 60 2 6 5" xfId="3585" xr:uid="{00000000-0005-0000-0000-000054A30000}"/>
    <cellStyle name="Normal 60 2 6 5 2" xfId="41235" xr:uid="{00000000-0005-0000-0000-000055A30000}"/>
    <cellStyle name="Normal 60 2 6 6" xfId="41237" xr:uid="{00000000-0005-0000-0000-000056A30000}"/>
    <cellStyle name="Normal 60 2 6 6 2" xfId="41239" xr:uid="{00000000-0005-0000-0000-000057A30000}"/>
    <cellStyle name="Normal 60 2 6 7" xfId="41241" xr:uid="{00000000-0005-0000-0000-000058A30000}"/>
    <cellStyle name="Normal 60 2 6 8" xfId="41243" xr:uid="{00000000-0005-0000-0000-000059A30000}"/>
    <cellStyle name="Normal 60 2 7" xfId="41245" xr:uid="{00000000-0005-0000-0000-00005AA30000}"/>
    <cellStyle name="Normal 60 2 7 2" xfId="41247" xr:uid="{00000000-0005-0000-0000-00005BA30000}"/>
    <cellStyle name="Normal 60 2 7 2 2" xfId="11170" xr:uid="{00000000-0005-0000-0000-00005CA30000}"/>
    <cellStyle name="Normal 60 2 7 2 2 2" xfId="41249" xr:uid="{00000000-0005-0000-0000-00005DA30000}"/>
    <cellStyle name="Normal 60 2 7 2 3" xfId="11175" xr:uid="{00000000-0005-0000-0000-00005EA30000}"/>
    <cellStyle name="Normal 60 2 7 3" xfId="11642" xr:uid="{00000000-0005-0000-0000-00005FA30000}"/>
    <cellStyle name="Normal 60 2 7 3 2" xfId="10147" xr:uid="{00000000-0005-0000-0000-000060A30000}"/>
    <cellStyle name="Normal 60 2 7 4" xfId="3604" xr:uid="{00000000-0005-0000-0000-000061A30000}"/>
    <cellStyle name="Normal 60 2 8" xfId="41251" xr:uid="{00000000-0005-0000-0000-000062A30000}"/>
    <cellStyle name="Normal 60 2 8 2" xfId="20615" xr:uid="{00000000-0005-0000-0000-000063A30000}"/>
    <cellStyle name="Normal 60 2 8 2 2" xfId="11204" xr:uid="{00000000-0005-0000-0000-000064A30000}"/>
    <cellStyle name="Normal 60 2 8 3" xfId="11655" xr:uid="{00000000-0005-0000-0000-000065A30000}"/>
    <cellStyle name="Normal 60 2 9" xfId="41253" xr:uid="{00000000-0005-0000-0000-000066A30000}"/>
    <cellStyle name="Normal 60 2 9 2" xfId="634" xr:uid="{00000000-0005-0000-0000-000067A30000}"/>
    <cellStyle name="Normal 60 2 9 2 2" xfId="24082" xr:uid="{00000000-0005-0000-0000-000068A30000}"/>
    <cellStyle name="Normal 60 2 9 3" xfId="11669" xr:uid="{00000000-0005-0000-0000-000069A30000}"/>
    <cellStyle name="Normal 60 3" xfId="41255" xr:uid="{00000000-0005-0000-0000-00006AA30000}"/>
    <cellStyle name="Normal 60 3 10" xfId="18007" xr:uid="{00000000-0005-0000-0000-00006BA30000}"/>
    <cellStyle name="Normal 60 3 10 2" xfId="18014" xr:uid="{00000000-0005-0000-0000-00006CA30000}"/>
    <cellStyle name="Normal 60 3 11" xfId="1151" xr:uid="{00000000-0005-0000-0000-00006DA30000}"/>
    <cellStyle name="Normal 60 3 11 2" xfId="41257" xr:uid="{00000000-0005-0000-0000-00006EA30000}"/>
    <cellStyle name="Normal 60 3 12" xfId="41259" xr:uid="{00000000-0005-0000-0000-00006FA30000}"/>
    <cellStyle name="Normal 60 3 12 2" xfId="13747" xr:uid="{00000000-0005-0000-0000-000070A30000}"/>
    <cellStyle name="Normal 60 3 13" xfId="41261" xr:uid="{00000000-0005-0000-0000-000071A30000}"/>
    <cellStyle name="Normal 60 3 14" xfId="41263" xr:uid="{00000000-0005-0000-0000-000072A30000}"/>
    <cellStyle name="Normal 60 3 2" xfId="41265" xr:uid="{00000000-0005-0000-0000-000073A30000}"/>
    <cellStyle name="Normal 60 3 2 10" xfId="39591" xr:uid="{00000000-0005-0000-0000-000074A30000}"/>
    <cellStyle name="Normal 60 3 2 2" xfId="41267" xr:uid="{00000000-0005-0000-0000-000075A30000}"/>
    <cellStyle name="Normal 60 3 2 2 2" xfId="41269" xr:uid="{00000000-0005-0000-0000-000076A30000}"/>
    <cellStyle name="Normal 60 3 2 2 2 2" xfId="41271" xr:uid="{00000000-0005-0000-0000-000077A30000}"/>
    <cellStyle name="Normal 60 3 2 2 2 2 2" xfId="41273" xr:uid="{00000000-0005-0000-0000-000078A30000}"/>
    <cellStyle name="Normal 60 3 2 2 2 2 2 2" xfId="30996" xr:uid="{00000000-0005-0000-0000-000079A30000}"/>
    <cellStyle name="Normal 60 3 2 2 2 2 2 2 2" xfId="5919" xr:uid="{00000000-0005-0000-0000-00007AA30000}"/>
    <cellStyle name="Normal 60 3 2 2 2 2 2 3" xfId="41275" xr:uid="{00000000-0005-0000-0000-00007BA30000}"/>
    <cellStyle name="Normal 60 3 2 2 2 2 3" xfId="41277" xr:uid="{00000000-0005-0000-0000-00007CA30000}"/>
    <cellStyle name="Normal 60 3 2 2 2 2 3 2" xfId="41279" xr:uid="{00000000-0005-0000-0000-00007DA30000}"/>
    <cellStyle name="Normal 60 3 2 2 2 2 4" xfId="41281" xr:uid="{00000000-0005-0000-0000-00007EA30000}"/>
    <cellStyle name="Normal 60 3 2 2 2 3" xfId="41283" xr:uid="{00000000-0005-0000-0000-00007FA30000}"/>
    <cellStyle name="Normal 60 3 2 2 2 3 2" xfId="41285" xr:uid="{00000000-0005-0000-0000-000080A30000}"/>
    <cellStyle name="Normal 60 3 2 2 2 3 2 2" xfId="41287" xr:uid="{00000000-0005-0000-0000-000081A30000}"/>
    <cellStyle name="Normal 60 3 2 2 2 3 3" xfId="41289" xr:uid="{00000000-0005-0000-0000-000082A30000}"/>
    <cellStyle name="Normal 60 3 2 2 2 4" xfId="41291" xr:uid="{00000000-0005-0000-0000-000083A30000}"/>
    <cellStyle name="Normal 60 3 2 2 2 4 2" xfId="41293" xr:uid="{00000000-0005-0000-0000-000084A30000}"/>
    <cellStyle name="Normal 60 3 2 2 2 4 2 2" xfId="41295" xr:uid="{00000000-0005-0000-0000-000085A30000}"/>
    <cellStyle name="Normal 60 3 2 2 2 4 3" xfId="24511" xr:uid="{00000000-0005-0000-0000-000086A30000}"/>
    <cellStyle name="Normal 60 3 2 2 2 5" xfId="41297" xr:uid="{00000000-0005-0000-0000-000087A30000}"/>
    <cellStyle name="Normal 60 3 2 2 2 5 2" xfId="41299" xr:uid="{00000000-0005-0000-0000-000088A30000}"/>
    <cellStyle name="Normal 60 3 2 2 2 6" xfId="41301" xr:uid="{00000000-0005-0000-0000-000089A30000}"/>
    <cellStyle name="Normal 60 3 2 2 2 6 2" xfId="41303" xr:uid="{00000000-0005-0000-0000-00008AA30000}"/>
    <cellStyle name="Normal 60 3 2 2 2 7" xfId="41305" xr:uid="{00000000-0005-0000-0000-00008BA30000}"/>
    <cellStyle name="Normal 60 3 2 2 2 8" xfId="15055" xr:uid="{00000000-0005-0000-0000-00008CA30000}"/>
    <cellStyle name="Normal 60 3 2 2 3" xfId="41307" xr:uid="{00000000-0005-0000-0000-00008DA30000}"/>
    <cellStyle name="Normal 60 3 2 2 3 2" xfId="41311" xr:uid="{00000000-0005-0000-0000-00008EA30000}"/>
    <cellStyle name="Normal 60 3 2 2 3 2 2" xfId="41315" xr:uid="{00000000-0005-0000-0000-00008FA30000}"/>
    <cellStyle name="Normal 60 3 2 2 3 2 2 2" xfId="41317" xr:uid="{00000000-0005-0000-0000-000090A30000}"/>
    <cellStyle name="Normal 60 3 2 2 3 2 3" xfId="41319" xr:uid="{00000000-0005-0000-0000-000091A30000}"/>
    <cellStyle name="Normal 60 3 2 2 3 3" xfId="41323" xr:uid="{00000000-0005-0000-0000-000092A30000}"/>
    <cellStyle name="Normal 60 3 2 2 3 3 2" xfId="13980" xr:uid="{00000000-0005-0000-0000-000093A30000}"/>
    <cellStyle name="Normal 60 3 2 2 3 4" xfId="41327" xr:uid="{00000000-0005-0000-0000-000094A30000}"/>
    <cellStyle name="Normal 60 3 2 2 4" xfId="23587" xr:uid="{00000000-0005-0000-0000-000095A30000}"/>
    <cellStyle name="Normal 60 3 2 2 4 2" xfId="23590" xr:uid="{00000000-0005-0000-0000-000096A30000}"/>
    <cellStyle name="Normal 60 3 2 2 4 2 2" xfId="29549" xr:uid="{00000000-0005-0000-0000-000097A30000}"/>
    <cellStyle name="Normal 60 3 2 2 4 3" xfId="41329" xr:uid="{00000000-0005-0000-0000-000098A30000}"/>
    <cellStyle name="Normal 60 3 2 2 5" xfId="5852" xr:uid="{00000000-0005-0000-0000-000099A30000}"/>
    <cellStyle name="Normal 60 3 2 2 5 2" xfId="41331" xr:uid="{00000000-0005-0000-0000-00009AA30000}"/>
    <cellStyle name="Normal 60 3 2 2 5 2 2" xfId="41333" xr:uid="{00000000-0005-0000-0000-00009BA30000}"/>
    <cellStyle name="Normal 60 3 2 2 5 3" xfId="41335" xr:uid="{00000000-0005-0000-0000-00009CA30000}"/>
    <cellStyle name="Normal 60 3 2 2 6" xfId="41337" xr:uid="{00000000-0005-0000-0000-00009DA30000}"/>
    <cellStyle name="Normal 60 3 2 2 6 2" xfId="41339" xr:uid="{00000000-0005-0000-0000-00009EA30000}"/>
    <cellStyle name="Normal 60 3 2 2 7" xfId="41341" xr:uid="{00000000-0005-0000-0000-00009FA30000}"/>
    <cellStyle name="Normal 60 3 2 2 7 2" xfId="41343" xr:uid="{00000000-0005-0000-0000-0000A0A30000}"/>
    <cellStyle name="Normal 60 3 2 2 8" xfId="41346" xr:uid="{00000000-0005-0000-0000-0000A1A30000}"/>
    <cellStyle name="Normal 60 3 2 2 9" xfId="41350" xr:uid="{00000000-0005-0000-0000-0000A2A30000}"/>
    <cellStyle name="Normal 60 3 2 3" xfId="14374" xr:uid="{00000000-0005-0000-0000-0000A3A30000}"/>
    <cellStyle name="Normal 60 3 2 3 2" xfId="41353" xr:uid="{00000000-0005-0000-0000-0000A4A30000}"/>
    <cellStyle name="Normal 60 3 2 3 2 2" xfId="41355" xr:uid="{00000000-0005-0000-0000-0000A5A30000}"/>
    <cellStyle name="Normal 60 3 2 3 2 2 2" xfId="41357" xr:uid="{00000000-0005-0000-0000-0000A6A30000}"/>
    <cellStyle name="Normal 60 3 2 3 2 2 2 2" xfId="30923" xr:uid="{00000000-0005-0000-0000-0000A7A30000}"/>
    <cellStyle name="Normal 60 3 2 3 2 2 3" xfId="41359" xr:uid="{00000000-0005-0000-0000-0000A8A30000}"/>
    <cellStyle name="Normal 60 3 2 3 2 3" xfId="41361" xr:uid="{00000000-0005-0000-0000-0000A9A30000}"/>
    <cellStyle name="Normal 60 3 2 3 2 3 2" xfId="41363" xr:uid="{00000000-0005-0000-0000-0000AAA30000}"/>
    <cellStyle name="Normal 60 3 2 3 2 4" xfId="41365" xr:uid="{00000000-0005-0000-0000-0000ABA30000}"/>
    <cellStyle name="Normal 60 3 2 3 3" xfId="41367" xr:uid="{00000000-0005-0000-0000-0000ACA30000}"/>
    <cellStyle name="Normal 60 3 2 3 3 2" xfId="41369" xr:uid="{00000000-0005-0000-0000-0000ADA30000}"/>
    <cellStyle name="Normal 60 3 2 3 3 2 2" xfId="41371" xr:uid="{00000000-0005-0000-0000-0000AEA30000}"/>
    <cellStyle name="Normal 60 3 2 3 3 3" xfId="41373" xr:uid="{00000000-0005-0000-0000-0000AFA30000}"/>
    <cellStyle name="Normal 60 3 2 3 4" xfId="23594" xr:uid="{00000000-0005-0000-0000-0000B0A30000}"/>
    <cellStyle name="Normal 60 3 2 3 4 2" xfId="41375" xr:uid="{00000000-0005-0000-0000-0000B1A30000}"/>
    <cellStyle name="Normal 60 3 2 3 4 2 2" xfId="41377" xr:uid="{00000000-0005-0000-0000-0000B2A30000}"/>
    <cellStyle name="Normal 60 3 2 3 4 3" xfId="41379" xr:uid="{00000000-0005-0000-0000-0000B3A30000}"/>
    <cellStyle name="Normal 60 3 2 3 5" xfId="41381" xr:uid="{00000000-0005-0000-0000-0000B4A30000}"/>
    <cellStyle name="Normal 60 3 2 3 5 2" xfId="41383" xr:uid="{00000000-0005-0000-0000-0000B5A30000}"/>
    <cellStyle name="Normal 60 3 2 3 6" xfId="41385" xr:uid="{00000000-0005-0000-0000-0000B6A30000}"/>
    <cellStyle name="Normal 60 3 2 3 6 2" xfId="41387" xr:uid="{00000000-0005-0000-0000-0000B7A30000}"/>
    <cellStyle name="Normal 60 3 2 3 7" xfId="41389" xr:uid="{00000000-0005-0000-0000-0000B8A30000}"/>
    <cellStyle name="Normal 60 3 2 3 8" xfId="41392" xr:uid="{00000000-0005-0000-0000-0000B9A30000}"/>
    <cellStyle name="Normal 60 3 2 4" xfId="1523" xr:uid="{00000000-0005-0000-0000-0000BAA30000}"/>
    <cellStyle name="Normal 60 3 2 4 2" xfId="1551" xr:uid="{00000000-0005-0000-0000-0000BBA30000}"/>
    <cellStyle name="Normal 60 3 2 4 2 2" xfId="41395" xr:uid="{00000000-0005-0000-0000-0000BCA30000}"/>
    <cellStyle name="Normal 60 3 2 4 2 2 2" xfId="41397" xr:uid="{00000000-0005-0000-0000-0000BDA30000}"/>
    <cellStyle name="Normal 60 3 2 4 2 3" xfId="41399" xr:uid="{00000000-0005-0000-0000-0000BEA30000}"/>
    <cellStyle name="Normal 60 3 2 4 3" xfId="41401" xr:uid="{00000000-0005-0000-0000-0000BFA30000}"/>
    <cellStyle name="Normal 60 3 2 4 3 2" xfId="41403" xr:uid="{00000000-0005-0000-0000-0000C0A30000}"/>
    <cellStyle name="Normal 60 3 2 4 4" xfId="23598" xr:uid="{00000000-0005-0000-0000-0000C1A30000}"/>
    <cellStyle name="Normal 60 3 2 5" xfId="1659" xr:uid="{00000000-0005-0000-0000-0000C2A30000}"/>
    <cellStyle name="Normal 60 3 2 5 2" xfId="41405" xr:uid="{00000000-0005-0000-0000-0000C3A30000}"/>
    <cellStyle name="Normal 60 3 2 5 2 2" xfId="41407" xr:uid="{00000000-0005-0000-0000-0000C4A30000}"/>
    <cellStyle name="Normal 60 3 2 5 3" xfId="41409" xr:uid="{00000000-0005-0000-0000-0000C5A30000}"/>
    <cellStyle name="Normal 60 3 2 6" xfId="25093" xr:uid="{00000000-0005-0000-0000-0000C6A30000}"/>
    <cellStyle name="Normal 60 3 2 6 2" xfId="25096" xr:uid="{00000000-0005-0000-0000-0000C7A30000}"/>
    <cellStyle name="Normal 60 3 2 6 2 2" xfId="41411" xr:uid="{00000000-0005-0000-0000-0000C8A30000}"/>
    <cellStyle name="Normal 60 3 2 6 3" xfId="34539" xr:uid="{00000000-0005-0000-0000-0000C9A30000}"/>
    <cellStyle name="Normal 60 3 2 7" xfId="25099" xr:uid="{00000000-0005-0000-0000-0000CAA30000}"/>
    <cellStyle name="Normal 60 3 2 7 2" xfId="41413" xr:uid="{00000000-0005-0000-0000-0000CBA30000}"/>
    <cellStyle name="Normal 60 3 2 8" xfId="41415" xr:uid="{00000000-0005-0000-0000-0000CCA30000}"/>
    <cellStyle name="Normal 60 3 2 8 2" xfId="41417" xr:uid="{00000000-0005-0000-0000-0000CDA30000}"/>
    <cellStyle name="Normal 60 3 2 9" xfId="41419" xr:uid="{00000000-0005-0000-0000-0000CEA30000}"/>
    <cellStyle name="Normal 60 3 3" xfId="41421" xr:uid="{00000000-0005-0000-0000-0000CFA30000}"/>
    <cellStyle name="Normal 60 3 3 2" xfId="41423" xr:uid="{00000000-0005-0000-0000-0000D0A30000}"/>
    <cellStyle name="Normal 60 3 3 2 2" xfId="41425" xr:uid="{00000000-0005-0000-0000-0000D1A30000}"/>
    <cellStyle name="Normal 60 3 3 2 2 2" xfId="41427" xr:uid="{00000000-0005-0000-0000-0000D2A30000}"/>
    <cellStyle name="Normal 60 3 3 2 2 2 2" xfId="41429" xr:uid="{00000000-0005-0000-0000-0000D3A30000}"/>
    <cellStyle name="Normal 60 3 3 2 2 2 2 2" xfId="32689" xr:uid="{00000000-0005-0000-0000-0000D4A30000}"/>
    <cellStyle name="Normal 60 3 3 2 2 2 3" xfId="41431" xr:uid="{00000000-0005-0000-0000-0000D5A30000}"/>
    <cellStyle name="Normal 60 3 3 2 2 3" xfId="41433" xr:uid="{00000000-0005-0000-0000-0000D6A30000}"/>
    <cellStyle name="Normal 60 3 3 2 2 3 2" xfId="41435" xr:uid="{00000000-0005-0000-0000-0000D7A30000}"/>
    <cellStyle name="Normal 60 3 3 2 2 4" xfId="41437" xr:uid="{00000000-0005-0000-0000-0000D8A30000}"/>
    <cellStyle name="Normal 60 3 3 2 2 5" xfId="41439" xr:uid="{00000000-0005-0000-0000-0000D9A30000}"/>
    <cellStyle name="Normal 60 3 3 2 3" xfId="41441" xr:uid="{00000000-0005-0000-0000-0000DAA30000}"/>
    <cellStyle name="Normal 60 3 3 2 3 2" xfId="41443" xr:uid="{00000000-0005-0000-0000-0000DBA30000}"/>
    <cellStyle name="Normal 60 3 3 2 3 2 2" xfId="41445" xr:uid="{00000000-0005-0000-0000-0000DCA30000}"/>
    <cellStyle name="Normal 60 3 3 2 3 3" xfId="41447" xr:uid="{00000000-0005-0000-0000-0000DDA30000}"/>
    <cellStyle name="Normal 60 3 3 2 4" xfId="18352" xr:uid="{00000000-0005-0000-0000-0000DEA30000}"/>
    <cellStyle name="Normal 60 3 3 2 4 2" xfId="18357" xr:uid="{00000000-0005-0000-0000-0000DFA30000}"/>
    <cellStyle name="Normal 60 3 3 2 4 2 2" xfId="18361" xr:uid="{00000000-0005-0000-0000-0000E0A30000}"/>
    <cellStyle name="Normal 60 3 3 2 4 3" xfId="15399" xr:uid="{00000000-0005-0000-0000-0000E1A30000}"/>
    <cellStyle name="Normal 60 3 3 2 5" xfId="6840" xr:uid="{00000000-0005-0000-0000-0000E2A30000}"/>
    <cellStyle name="Normal 60 3 3 2 5 2" xfId="5480" xr:uid="{00000000-0005-0000-0000-0000E3A30000}"/>
    <cellStyle name="Normal 60 3 3 2 6" xfId="6854" xr:uid="{00000000-0005-0000-0000-0000E4A30000}"/>
    <cellStyle name="Normal 60 3 3 2 6 2" xfId="6860" xr:uid="{00000000-0005-0000-0000-0000E5A30000}"/>
    <cellStyle name="Normal 60 3 3 2 7" xfId="6869" xr:uid="{00000000-0005-0000-0000-0000E6A30000}"/>
    <cellStyle name="Normal 60 3 3 2 8" xfId="4098" xr:uid="{00000000-0005-0000-0000-0000E7A30000}"/>
    <cellStyle name="Normal 60 3 3 3" xfId="41449" xr:uid="{00000000-0005-0000-0000-0000E8A30000}"/>
    <cellStyle name="Normal 60 3 3 3 2" xfId="41451" xr:uid="{00000000-0005-0000-0000-0000E9A30000}"/>
    <cellStyle name="Normal 60 3 3 3 2 2" xfId="41453" xr:uid="{00000000-0005-0000-0000-0000EAA30000}"/>
    <cellStyle name="Normal 60 3 3 3 2 2 2" xfId="41455" xr:uid="{00000000-0005-0000-0000-0000EBA30000}"/>
    <cellStyle name="Normal 60 3 3 3 2 3" xfId="20933" xr:uid="{00000000-0005-0000-0000-0000ECA30000}"/>
    <cellStyle name="Normal 60 3 3 3 3" xfId="41457" xr:uid="{00000000-0005-0000-0000-0000EDA30000}"/>
    <cellStyle name="Normal 60 3 3 3 3 2" xfId="41459" xr:uid="{00000000-0005-0000-0000-0000EEA30000}"/>
    <cellStyle name="Normal 60 3 3 3 4" xfId="18433" xr:uid="{00000000-0005-0000-0000-0000EFA30000}"/>
    <cellStyle name="Normal 60 3 3 3 5" xfId="1948" xr:uid="{00000000-0005-0000-0000-0000F0A30000}"/>
    <cellStyle name="Normal 60 3 3 4" xfId="1714" xr:uid="{00000000-0005-0000-0000-0000F1A30000}"/>
    <cellStyle name="Normal 60 3 3 4 2" xfId="41461" xr:uid="{00000000-0005-0000-0000-0000F2A30000}"/>
    <cellStyle name="Normal 60 3 3 4 2 2" xfId="41463" xr:uid="{00000000-0005-0000-0000-0000F3A30000}"/>
    <cellStyle name="Normal 60 3 3 4 3" xfId="41465" xr:uid="{00000000-0005-0000-0000-0000F4A30000}"/>
    <cellStyle name="Normal 60 3 3 5" xfId="41467" xr:uid="{00000000-0005-0000-0000-0000F5A30000}"/>
    <cellStyle name="Normal 60 3 3 5 2" xfId="16544" xr:uid="{00000000-0005-0000-0000-0000F6A30000}"/>
    <cellStyle name="Normal 60 3 3 5 2 2" xfId="41469" xr:uid="{00000000-0005-0000-0000-0000F7A30000}"/>
    <cellStyle name="Normal 60 3 3 5 3" xfId="12614" xr:uid="{00000000-0005-0000-0000-0000F8A30000}"/>
    <cellStyle name="Normal 60 3 3 6" xfId="25104" xr:uid="{00000000-0005-0000-0000-0000F9A30000}"/>
    <cellStyle name="Normal 60 3 3 6 2" xfId="20671" xr:uid="{00000000-0005-0000-0000-0000FAA30000}"/>
    <cellStyle name="Normal 60 3 3 7" xfId="25107" xr:uid="{00000000-0005-0000-0000-0000FBA30000}"/>
    <cellStyle name="Normal 60 3 3 7 2" xfId="41471" xr:uid="{00000000-0005-0000-0000-0000FCA30000}"/>
    <cellStyle name="Normal 60 3 3 8" xfId="41473" xr:uid="{00000000-0005-0000-0000-0000FDA30000}"/>
    <cellStyle name="Normal 60 3 3 9" xfId="41475" xr:uid="{00000000-0005-0000-0000-0000FEA30000}"/>
    <cellStyle name="Normal 60 3 4" xfId="2058" xr:uid="{00000000-0005-0000-0000-0000FFA30000}"/>
    <cellStyle name="Normal 60 3 4 2" xfId="41477" xr:uid="{00000000-0005-0000-0000-000000A40000}"/>
    <cellStyle name="Normal 60 3 4 2 2" xfId="41479" xr:uid="{00000000-0005-0000-0000-000001A40000}"/>
    <cellStyle name="Normal 60 3 4 2 2 2" xfId="41481" xr:uid="{00000000-0005-0000-0000-000002A40000}"/>
    <cellStyle name="Normal 60 3 4 2 2 2 2" xfId="41483" xr:uid="{00000000-0005-0000-0000-000003A40000}"/>
    <cellStyle name="Normal 60 3 4 2 2 2 2 2" xfId="34390" xr:uid="{00000000-0005-0000-0000-000004A40000}"/>
    <cellStyle name="Normal 60 3 4 2 2 2 3" xfId="41485" xr:uid="{00000000-0005-0000-0000-000005A40000}"/>
    <cellStyle name="Normal 60 3 4 2 2 3" xfId="41487" xr:uid="{00000000-0005-0000-0000-000006A40000}"/>
    <cellStyle name="Normal 60 3 4 2 2 3 2" xfId="41489" xr:uid="{00000000-0005-0000-0000-000007A40000}"/>
    <cellStyle name="Normal 60 3 4 2 2 4" xfId="41491" xr:uid="{00000000-0005-0000-0000-000008A40000}"/>
    <cellStyle name="Normal 60 3 4 2 3" xfId="41493" xr:uid="{00000000-0005-0000-0000-000009A40000}"/>
    <cellStyle name="Normal 60 3 4 2 3 2" xfId="41495" xr:uid="{00000000-0005-0000-0000-00000AA40000}"/>
    <cellStyle name="Normal 60 3 4 2 3 2 2" xfId="41497" xr:uid="{00000000-0005-0000-0000-00000BA40000}"/>
    <cellStyle name="Normal 60 3 4 2 3 3" xfId="41499" xr:uid="{00000000-0005-0000-0000-00000CA40000}"/>
    <cellStyle name="Normal 60 3 4 2 4" xfId="18493" xr:uid="{00000000-0005-0000-0000-00000DA40000}"/>
    <cellStyle name="Normal 60 3 4 2 4 2" xfId="9559" xr:uid="{00000000-0005-0000-0000-00000EA40000}"/>
    <cellStyle name="Normal 60 3 4 2 4 2 2" xfId="9567" xr:uid="{00000000-0005-0000-0000-00000FA40000}"/>
    <cellStyle name="Normal 60 3 4 2 4 3" xfId="9578" xr:uid="{00000000-0005-0000-0000-000010A40000}"/>
    <cellStyle name="Normal 60 3 4 2 5" xfId="7049" xr:uid="{00000000-0005-0000-0000-000011A40000}"/>
    <cellStyle name="Normal 60 3 4 2 5 2" xfId="7057" xr:uid="{00000000-0005-0000-0000-000012A40000}"/>
    <cellStyle name="Normal 60 3 4 2 6" xfId="7072" xr:uid="{00000000-0005-0000-0000-000013A40000}"/>
    <cellStyle name="Normal 60 3 4 2 6 2" xfId="7079" xr:uid="{00000000-0005-0000-0000-000014A40000}"/>
    <cellStyle name="Normal 60 3 4 2 7" xfId="7087" xr:uid="{00000000-0005-0000-0000-000015A40000}"/>
    <cellStyle name="Normal 60 3 4 2 8" xfId="18504" xr:uid="{00000000-0005-0000-0000-000016A40000}"/>
    <cellStyle name="Normal 60 3 4 3" xfId="41501" xr:uid="{00000000-0005-0000-0000-000017A40000}"/>
    <cellStyle name="Normal 60 3 4 3 2" xfId="41503" xr:uid="{00000000-0005-0000-0000-000018A40000}"/>
    <cellStyle name="Normal 60 3 4 3 2 2" xfId="41505" xr:uid="{00000000-0005-0000-0000-000019A40000}"/>
    <cellStyle name="Normal 60 3 4 3 2 2 2" xfId="41507" xr:uid="{00000000-0005-0000-0000-00001AA40000}"/>
    <cellStyle name="Normal 60 3 4 3 2 3" xfId="41509" xr:uid="{00000000-0005-0000-0000-00001BA40000}"/>
    <cellStyle name="Normal 60 3 4 3 3" xfId="41511" xr:uid="{00000000-0005-0000-0000-00001CA40000}"/>
    <cellStyle name="Normal 60 3 4 3 3 2" xfId="41513" xr:uid="{00000000-0005-0000-0000-00001DA40000}"/>
    <cellStyle name="Normal 60 3 4 3 4" xfId="239" xr:uid="{00000000-0005-0000-0000-00001EA40000}"/>
    <cellStyle name="Normal 60 3 4 4" xfId="1800" xr:uid="{00000000-0005-0000-0000-00001FA40000}"/>
    <cellStyle name="Normal 60 3 4 4 2" xfId="40611" xr:uid="{00000000-0005-0000-0000-000020A40000}"/>
    <cellStyle name="Normal 60 3 4 4 2 2" xfId="40614" xr:uid="{00000000-0005-0000-0000-000021A40000}"/>
    <cellStyle name="Normal 60 3 4 4 3" xfId="40617" xr:uid="{00000000-0005-0000-0000-000022A40000}"/>
    <cellStyle name="Normal 60 3 4 5" xfId="41515" xr:uid="{00000000-0005-0000-0000-000023A40000}"/>
    <cellStyle name="Normal 60 3 4 5 2" xfId="40622" xr:uid="{00000000-0005-0000-0000-000024A40000}"/>
    <cellStyle name="Normal 60 3 4 5 2 2" xfId="41517" xr:uid="{00000000-0005-0000-0000-000025A40000}"/>
    <cellStyle name="Normal 60 3 4 5 3" xfId="41519" xr:uid="{00000000-0005-0000-0000-000026A40000}"/>
    <cellStyle name="Normal 60 3 4 6" xfId="25115" xr:uid="{00000000-0005-0000-0000-000027A40000}"/>
    <cellStyle name="Normal 60 3 4 6 2" xfId="40626" xr:uid="{00000000-0005-0000-0000-000028A40000}"/>
    <cellStyle name="Normal 60 3 4 7" xfId="41521" xr:uid="{00000000-0005-0000-0000-000029A40000}"/>
    <cellStyle name="Normal 60 3 4 7 2" xfId="41523" xr:uid="{00000000-0005-0000-0000-00002AA40000}"/>
    <cellStyle name="Normal 60 3 4 8" xfId="41525" xr:uid="{00000000-0005-0000-0000-00002BA40000}"/>
    <cellStyle name="Normal 60 3 4 9" xfId="41527" xr:uid="{00000000-0005-0000-0000-00002CA40000}"/>
    <cellStyle name="Normal 60 3 5" xfId="41529" xr:uid="{00000000-0005-0000-0000-00002DA40000}"/>
    <cellStyle name="Normal 60 3 5 2" xfId="41531" xr:uid="{00000000-0005-0000-0000-00002EA40000}"/>
    <cellStyle name="Normal 60 3 5 2 2" xfId="11313" xr:uid="{00000000-0005-0000-0000-00002FA40000}"/>
    <cellStyle name="Normal 60 3 5 2 2 2" xfId="2490" xr:uid="{00000000-0005-0000-0000-000030A40000}"/>
    <cellStyle name="Normal 60 3 5 2 2 2 2" xfId="4907" xr:uid="{00000000-0005-0000-0000-000031A40000}"/>
    <cellStyle name="Normal 60 3 5 2 2 2 2 2" xfId="11318" xr:uid="{00000000-0005-0000-0000-000032A40000}"/>
    <cellStyle name="Normal 60 3 5 2 2 2 3" xfId="4437" xr:uid="{00000000-0005-0000-0000-000033A40000}"/>
    <cellStyle name="Normal 60 3 5 2 2 3" xfId="4735" xr:uid="{00000000-0005-0000-0000-000034A40000}"/>
    <cellStyle name="Normal 60 3 5 2 2 3 2" xfId="9128" xr:uid="{00000000-0005-0000-0000-000035A40000}"/>
    <cellStyle name="Normal 60 3 5 2 2 4" xfId="2314" xr:uid="{00000000-0005-0000-0000-000036A40000}"/>
    <cellStyle name="Normal 60 3 5 2 3" xfId="11327" xr:uid="{00000000-0005-0000-0000-000037A40000}"/>
    <cellStyle name="Normal 60 3 5 2 3 2" xfId="2584" xr:uid="{00000000-0005-0000-0000-000038A40000}"/>
    <cellStyle name="Normal 60 3 5 2 3 2 2" xfId="11330" xr:uid="{00000000-0005-0000-0000-000039A40000}"/>
    <cellStyle name="Normal 60 3 5 2 3 3" xfId="11337" xr:uid="{00000000-0005-0000-0000-00003AA40000}"/>
    <cellStyle name="Normal 60 3 5 2 4" xfId="11344" xr:uid="{00000000-0005-0000-0000-00003BA40000}"/>
    <cellStyle name="Normal 60 3 5 2 4 2" xfId="4919" xr:uid="{00000000-0005-0000-0000-00003CA40000}"/>
    <cellStyle name="Normal 60 3 5 2 4 2 2" xfId="2231" xr:uid="{00000000-0005-0000-0000-00003DA40000}"/>
    <cellStyle name="Normal 60 3 5 2 4 3" xfId="4749" xr:uid="{00000000-0005-0000-0000-00003EA40000}"/>
    <cellStyle name="Normal 60 3 5 2 5" xfId="7278" xr:uid="{00000000-0005-0000-0000-00003FA40000}"/>
    <cellStyle name="Normal 60 3 5 2 5 2" xfId="7288" xr:uid="{00000000-0005-0000-0000-000040A40000}"/>
    <cellStyle name="Normal 60 3 5 2 6" xfId="3079" xr:uid="{00000000-0005-0000-0000-000041A40000}"/>
    <cellStyle name="Normal 60 3 5 2 6 2" xfId="5312" xr:uid="{00000000-0005-0000-0000-000042A40000}"/>
    <cellStyle name="Normal 60 3 5 2 7" xfId="5325" xr:uid="{00000000-0005-0000-0000-000043A40000}"/>
    <cellStyle name="Normal 60 3 5 2 8" xfId="11355" xr:uid="{00000000-0005-0000-0000-000044A40000}"/>
    <cellStyle name="Normal 60 3 5 3" xfId="11672" xr:uid="{00000000-0005-0000-0000-000045A40000}"/>
    <cellStyle name="Normal 60 3 5 3 2" xfId="11368" xr:uid="{00000000-0005-0000-0000-000046A40000}"/>
    <cellStyle name="Normal 60 3 5 3 2 2" xfId="4953" xr:uid="{00000000-0005-0000-0000-000047A40000}"/>
    <cellStyle name="Normal 60 3 5 3 2 2 2" xfId="10863" xr:uid="{00000000-0005-0000-0000-000048A40000}"/>
    <cellStyle name="Normal 60 3 5 3 2 3" xfId="11374" xr:uid="{00000000-0005-0000-0000-000049A40000}"/>
    <cellStyle name="Normal 60 3 5 3 3" xfId="11147" xr:uid="{00000000-0005-0000-0000-00004AA40000}"/>
    <cellStyle name="Normal 60 3 5 3 3 2" xfId="11380" xr:uid="{00000000-0005-0000-0000-00004BA40000}"/>
    <cellStyle name="Normal 60 3 5 3 4" xfId="2062" xr:uid="{00000000-0005-0000-0000-00004CA40000}"/>
    <cellStyle name="Normal 60 3 5 4" xfId="893" xr:uid="{00000000-0005-0000-0000-00004DA40000}"/>
    <cellStyle name="Normal 60 3 5 4 2" xfId="11403" xr:uid="{00000000-0005-0000-0000-00004EA40000}"/>
    <cellStyle name="Normal 60 3 5 4 2 2" xfId="11407" xr:uid="{00000000-0005-0000-0000-00004FA40000}"/>
    <cellStyle name="Normal 60 3 5 4 3" xfId="274" xr:uid="{00000000-0005-0000-0000-000050A40000}"/>
    <cellStyle name="Normal 60 3 5 5" xfId="41533" xr:uid="{00000000-0005-0000-0000-000051A40000}"/>
    <cellStyle name="Normal 60 3 5 5 2" xfId="9174" xr:uid="{00000000-0005-0000-0000-000052A40000}"/>
    <cellStyle name="Normal 60 3 5 5 2 2" xfId="7472" xr:uid="{00000000-0005-0000-0000-000053A40000}"/>
    <cellStyle name="Normal 60 3 5 5 3" xfId="9179" xr:uid="{00000000-0005-0000-0000-000054A40000}"/>
    <cellStyle name="Normal 60 3 5 6" xfId="25119" xr:uid="{00000000-0005-0000-0000-000055A40000}"/>
    <cellStyle name="Normal 60 3 5 6 2" xfId="10306" xr:uid="{00000000-0005-0000-0000-000056A40000}"/>
    <cellStyle name="Normal 60 3 5 7" xfId="41535" xr:uid="{00000000-0005-0000-0000-000057A40000}"/>
    <cellStyle name="Normal 60 3 5 7 2" xfId="5468" xr:uid="{00000000-0005-0000-0000-000058A40000}"/>
    <cellStyle name="Normal 60 3 5 8" xfId="28350" xr:uid="{00000000-0005-0000-0000-000059A40000}"/>
    <cellStyle name="Normal 60 3 5 9" xfId="41537" xr:uid="{00000000-0005-0000-0000-00005AA40000}"/>
    <cellStyle name="Normal 60 3 6" xfId="41539" xr:uid="{00000000-0005-0000-0000-00005BA40000}"/>
    <cellStyle name="Normal 60 3 6 2" xfId="41541" xr:uid="{00000000-0005-0000-0000-00005CA40000}"/>
    <cellStyle name="Normal 60 3 6 2 2" xfId="11546" xr:uid="{00000000-0005-0000-0000-00005DA40000}"/>
    <cellStyle name="Normal 60 3 6 2 2 2" xfId="11549" xr:uid="{00000000-0005-0000-0000-00005EA40000}"/>
    <cellStyle name="Normal 60 3 6 2 2 2 2" xfId="41543" xr:uid="{00000000-0005-0000-0000-00005FA40000}"/>
    <cellStyle name="Normal 60 3 6 2 2 3" xfId="14959" xr:uid="{00000000-0005-0000-0000-000060A40000}"/>
    <cellStyle name="Normal 60 3 6 2 3" xfId="11553" xr:uid="{00000000-0005-0000-0000-000061A40000}"/>
    <cellStyle name="Normal 60 3 6 2 3 2" xfId="11556" xr:uid="{00000000-0005-0000-0000-000062A40000}"/>
    <cellStyle name="Normal 60 3 6 2 4" xfId="11561" xr:uid="{00000000-0005-0000-0000-000063A40000}"/>
    <cellStyle name="Normal 60 3 6 3" xfId="11678" xr:uid="{00000000-0005-0000-0000-000064A40000}"/>
    <cellStyle name="Normal 60 3 6 3 2" xfId="11569" xr:uid="{00000000-0005-0000-0000-000065A40000}"/>
    <cellStyle name="Normal 60 3 6 3 2 2" xfId="41545" xr:uid="{00000000-0005-0000-0000-000066A40000}"/>
    <cellStyle name="Normal 60 3 6 3 3" xfId="11159" xr:uid="{00000000-0005-0000-0000-000067A40000}"/>
    <cellStyle name="Normal 60 3 6 4" xfId="41547" xr:uid="{00000000-0005-0000-0000-000068A40000}"/>
    <cellStyle name="Normal 60 3 6 4 2" xfId="11574" xr:uid="{00000000-0005-0000-0000-000069A40000}"/>
    <cellStyle name="Normal 60 3 6 4 2 2" xfId="41549" xr:uid="{00000000-0005-0000-0000-00006AA40000}"/>
    <cellStyle name="Normal 60 3 6 4 3" xfId="41551" xr:uid="{00000000-0005-0000-0000-00006BA40000}"/>
    <cellStyle name="Normal 60 3 6 5" xfId="41554" xr:uid="{00000000-0005-0000-0000-00006CA40000}"/>
    <cellStyle name="Normal 60 3 6 5 2" xfId="41556" xr:uid="{00000000-0005-0000-0000-00006DA40000}"/>
    <cellStyle name="Normal 60 3 6 6" xfId="41558" xr:uid="{00000000-0005-0000-0000-00006EA40000}"/>
    <cellStyle name="Normal 60 3 6 6 2" xfId="41561" xr:uid="{00000000-0005-0000-0000-00006FA40000}"/>
    <cellStyle name="Normal 60 3 6 7" xfId="41563" xr:uid="{00000000-0005-0000-0000-000070A40000}"/>
    <cellStyle name="Normal 60 3 6 8" xfId="41565" xr:uid="{00000000-0005-0000-0000-000071A40000}"/>
    <cellStyle name="Normal 60 3 7" xfId="19170" xr:uid="{00000000-0005-0000-0000-000072A40000}"/>
    <cellStyle name="Normal 60 3 7 2" xfId="38011" xr:uid="{00000000-0005-0000-0000-000073A40000}"/>
    <cellStyle name="Normal 60 3 7 2 2" xfId="9219" xr:uid="{00000000-0005-0000-0000-000074A40000}"/>
    <cellStyle name="Normal 60 3 7 2 2 2" xfId="41567" xr:uid="{00000000-0005-0000-0000-000075A40000}"/>
    <cellStyle name="Normal 60 3 7 2 3" xfId="9224" xr:uid="{00000000-0005-0000-0000-000076A40000}"/>
    <cellStyle name="Normal 60 3 7 3" xfId="41569" xr:uid="{00000000-0005-0000-0000-000077A40000}"/>
    <cellStyle name="Normal 60 3 7 3 2" xfId="9274" xr:uid="{00000000-0005-0000-0000-000078A40000}"/>
    <cellStyle name="Normal 60 3 7 4" xfId="41571" xr:uid="{00000000-0005-0000-0000-000079A40000}"/>
    <cellStyle name="Normal 60 3 8" xfId="38015" xr:uid="{00000000-0005-0000-0000-00007AA40000}"/>
    <cellStyle name="Normal 60 3 8 2" xfId="30019" xr:uid="{00000000-0005-0000-0000-00007BA40000}"/>
    <cellStyle name="Normal 60 3 8 2 2" xfId="9415" xr:uid="{00000000-0005-0000-0000-00007CA40000}"/>
    <cellStyle name="Normal 60 3 8 3" xfId="41573" xr:uid="{00000000-0005-0000-0000-00007DA40000}"/>
    <cellStyle name="Normal 60 3 9" xfId="41575" xr:uid="{00000000-0005-0000-0000-00007EA40000}"/>
    <cellStyle name="Normal 60 3 9 2" xfId="41577" xr:uid="{00000000-0005-0000-0000-00007FA40000}"/>
    <cellStyle name="Normal 60 3 9 2 2" xfId="25870" xr:uid="{00000000-0005-0000-0000-000080A40000}"/>
    <cellStyle name="Normal 60 3 9 3" xfId="41579" xr:uid="{00000000-0005-0000-0000-000081A40000}"/>
    <cellStyle name="Normal 60 4" xfId="41581" xr:uid="{00000000-0005-0000-0000-000082A40000}"/>
    <cellStyle name="Normal 60 4 10" xfId="41583" xr:uid="{00000000-0005-0000-0000-000083A40000}"/>
    <cellStyle name="Normal 60 4 2" xfId="41585" xr:uid="{00000000-0005-0000-0000-000084A40000}"/>
    <cellStyle name="Normal 60 4 2 2" xfId="37052" xr:uid="{00000000-0005-0000-0000-000085A40000}"/>
    <cellStyle name="Normal 60 4 2 2 2" xfId="41587" xr:uid="{00000000-0005-0000-0000-000086A40000}"/>
    <cellStyle name="Normal 60 4 2 2 2 2" xfId="41589" xr:uid="{00000000-0005-0000-0000-000087A40000}"/>
    <cellStyle name="Normal 60 4 2 2 2 2 2" xfId="41591" xr:uid="{00000000-0005-0000-0000-000088A40000}"/>
    <cellStyle name="Normal 60 4 2 2 2 2 2 2" xfId="41594" xr:uid="{00000000-0005-0000-0000-000089A40000}"/>
    <cellStyle name="Normal 60 4 2 2 2 2 3" xfId="41596" xr:uid="{00000000-0005-0000-0000-00008AA40000}"/>
    <cellStyle name="Normal 60 4 2 2 2 3" xfId="41598" xr:uid="{00000000-0005-0000-0000-00008BA40000}"/>
    <cellStyle name="Normal 60 4 2 2 2 3 2" xfId="41600" xr:uid="{00000000-0005-0000-0000-00008CA40000}"/>
    <cellStyle name="Normal 60 4 2 2 2 4" xfId="41602" xr:uid="{00000000-0005-0000-0000-00008DA40000}"/>
    <cellStyle name="Normal 60 4 2 2 3" xfId="41604" xr:uid="{00000000-0005-0000-0000-00008EA40000}"/>
    <cellStyle name="Normal 60 4 2 2 3 2" xfId="16778" xr:uid="{00000000-0005-0000-0000-00008FA40000}"/>
    <cellStyle name="Normal 60 4 2 2 3 2 2" xfId="41606" xr:uid="{00000000-0005-0000-0000-000090A40000}"/>
    <cellStyle name="Normal 60 4 2 2 3 3" xfId="13234" xr:uid="{00000000-0005-0000-0000-000091A40000}"/>
    <cellStyle name="Normal 60 4 2 2 4" xfId="17834" xr:uid="{00000000-0005-0000-0000-000092A40000}"/>
    <cellStyle name="Normal 60 4 2 2 4 2" xfId="41608" xr:uid="{00000000-0005-0000-0000-000093A40000}"/>
    <cellStyle name="Normal 60 4 2 2 4 2 2" xfId="31474" xr:uid="{00000000-0005-0000-0000-000094A40000}"/>
    <cellStyle name="Normal 60 4 2 2 4 3" xfId="41610" xr:uid="{00000000-0005-0000-0000-000095A40000}"/>
    <cellStyle name="Normal 60 4 2 2 5" xfId="27633" xr:uid="{00000000-0005-0000-0000-000096A40000}"/>
    <cellStyle name="Normal 60 4 2 2 5 2" xfId="41613" xr:uid="{00000000-0005-0000-0000-000097A40000}"/>
    <cellStyle name="Normal 60 4 2 2 6" xfId="41615" xr:uid="{00000000-0005-0000-0000-000098A40000}"/>
    <cellStyle name="Normal 60 4 2 2 6 2" xfId="41617" xr:uid="{00000000-0005-0000-0000-000099A40000}"/>
    <cellStyle name="Normal 60 4 2 2 7" xfId="41619" xr:uid="{00000000-0005-0000-0000-00009AA40000}"/>
    <cellStyle name="Normal 60 4 2 2 8" xfId="99" xr:uid="{00000000-0005-0000-0000-00009BA40000}"/>
    <cellStyle name="Normal 60 4 2 3" xfId="41621" xr:uid="{00000000-0005-0000-0000-00009CA40000}"/>
    <cellStyle name="Normal 60 4 2 3 2" xfId="41623" xr:uid="{00000000-0005-0000-0000-00009DA40000}"/>
    <cellStyle name="Normal 60 4 2 3 2 2" xfId="40163" xr:uid="{00000000-0005-0000-0000-00009EA40000}"/>
    <cellStyle name="Normal 60 4 2 3 2 2 2" xfId="41625" xr:uid="{00000000-0005-0000-0000-00009FA40000}"/>
    <cellStyle name="Normal 60 4 2 3 2 3" xfId="13312" xr:uid="{00000000-0005-0000-0000-0000A0A40000}"/>
    <cellStyle name="Normal 60 4 2 3 3" xfId="41627" xr:uid="{00000000-0005-0000-0000-0000A1A40000}"/>
    <cellStyle name="Normal 60 4 2 3 3 2" xfId="41629" xr:uid="{00000000-0005-0000-0000-0000A2A40000}"/>
    <cellStyle name="Normal 60 4 2 3 4" xfId="23901" xr:uid="{00000000-0005-0000-0000-0000A3A40000}"/>
    <cellStyle name="Normal 60 4 2 4" xfId="2141" xr:uid="{00000000-0005-0000-0000-0000A4A40000}"/>
    <cellStyle name="Normal 60 4 2 4 2" xfId="41631" xr:uid="{00000000-0005-0000-0000-0000A5A40000}"/>
    <cellStyle name="Normal 60 4 2 4 2 2" xfId="41633" xr:uid="{00000000-0005-0000-0000-0000A6A40000}"/>
    <cellStyle name="Normal 60 4 2 4 3" xfId="41635" xr:uid="{00000000-0005-0000-0000-0000A7A40000}"/>
    <cellStyle name="Normal 60 4 2 5" xfId="41637" xr:uid="{00000000-0005-0000-0000-0000A8A40000}"/>
    <cellStyle name="Normal 60 4 2 5 2" xfId="41639" xr:uid="{00000000-0005-0000-0000-0000A9A40000}"/>
    <cellStyle name="Normal 60 4 2 5 2 2" xfId="2576" xr:uid="{00000000-0005-0000-0000-0000AAA40000}"/>
    <cellStyle name="Normal 60 4 2 5 3" xfId="41641" xr:uid="{00000000-0005-0000-0000-0000ABA40000}"/>
    <cellStyle name="Normal 60 4 2 6" xfId="25134" xr:uid="{00000000-0005-0000-0000-0000ACA40000}"/>
    <cellStyle name="Normal 60 4 2 6 2" xfId="25137" xr:uid="{00000000-0005-0000-0000-0000ADA40000}"/>
    <cellStyle name="Normal 60 4 2 7" xfId="25140" xr:uid="{00000000-0005-0000-0000-0000AEA40000}"/>
    <cellStyle name="Normal 60 4 2 7 2" xfId="41643" xr:uid="{00000000-0005-0000-0000-0000AFA40000}"/>
    <cellStyle name="Normal 60 4 2 8" xfId="41645" xr:uid="{00000000-0005-0000-0000-0000B0A40000}"/>
    <cellStyle name="Normal 60 4 2 9" xfId="41647" xr:uid="{00000000-0005-0000-0000-0000B1A40000}"/>
    <cellStyle name="Normal 60 4 3" xfId="41649" xr:uid="{00000000-0005-0000-0000-0000B2A40000}"/>
    <cellStyle name="Normal 60 4 3 2" xfId="41651" xr:uid="{00000000-0005-0000-0000-0000B3A40000}"/>
    <cellStyle name="Normal 60 4 3 2 2" xfId="41653" xr:uid="{00000000-0005-0000-0000-0000B4A40000}"/>
    <cellStyle name="Normal 60 4 3 2 2 2" xfId="41655" xr:uid="{00000000-0005-0000-0000-0000B5A40000}"/>
    <cellStyle name="Normal 60 4 3 2 2 2 2" xfId="41657" xr:uid="{00000000-0005-0000-0000-0000B6A40000}"/>
    <cellStyle name="Normal 60 4 3 2 2 3" xfId="41659" xr:uid="{00000000-0005-0000-0000-0000B7A40000}"/>
    <cellStyle name="Normal 60 4 3 2 3" xfId="41661" xr:uid="{00000000-0005-0000-0000-0000B8A40000}"/>
    <cellStyle name="Normal 60 4 3 2 3 2" xfId="16842" xr:uid="{00000000-0005-0000-0000-0000B9A40000}"/>
    <cellStyle name="Normal 60 4 3 2 4" xfId="18634" xr:uid="{00000000-0005-0000-0000-0000BAA40000}"/>
    <cellStyle name="Normal 60 4 3 3" xfId="41663" xr:uid="{00000000-0005-0000-0000-0000BBA40000}"/>
    <cellStyle name="Normal 60 4 3 3 2" xfId="41665" xr:uid="{00000000-0005-0000-0000-0000BCA40000}"/>
    <cellStyle name="Normal 60 4 3 3 2 2" xfId="41667" xr:uid="{00000000-0005-0000-0000-0000BDA40000}"/>
    <cellStyle name="Normal 60 4 3 3 3" xfId="41669" xr:uid="{00000000-0005-0000-0000-0000BEA40000}"/>
    <cellStyle name="Normal 60 4 3 4" xfId="481" xr:uid="{00000000-0005-0000-0000-0000BFA40000}"/>
    <cellStyle name="Normal 60 4 3 4 2" xfId="41672" xr:uid="{00000000-0005-0000-0000-0000C0A40000}"/>
    <cellStyle name="Normal 60 4 3 4 2 2" xfId="41676" xr:uid="{00000000-0005-0000-0000-0000C1A40000}"/>
    <cellStyle name="Normal 60 4 3 4 3" xfId="41680" xr:uid="{00000000-0005-0000-0000-0000C2A40000}"/>
    <cellStyle name="Normal 60 4 3 5" xfId="41684" xr:uid="{00000000-0005-0000-0000-0000C3A40000}"/>
    <cellStyle name="Normal 60 4 3 5 2" xfId="41688" xr:uid="{00000000-0005-0000-0000-0000C4A40000}"/>
    <cellStyle name="Normal 60 4 3 6" xfId="25147" xr:uid="{00000000-0005-0000-0000-0000C5A40000}"/>
    <cellStyle name="Normal 60 4 3 6 2" xfId="41692" xr:uid="{00000000-0005-0000-0000-0000C6A40000}"/>
    <cellStyle name="Normal 60 4 3 7" xfId="41696" xr:uid="{00000000-0005-0000-0000-0000C7A40000}"/>
    <cellStyle name="Normal 60 4 3 8" xfId="41700" xr:uid="{00000000-0005-0000-0000-0000C8A40000}"/>
    <cellStyle name="Normal 60 4 4" xfId="41703" xr:uid="{00000000-0005-0000-0000-0000C9A40000}"/>
    <cellStyle name="Normal 60 4 4 2" xfId="21609" xr:uid="{00000000-0005-0000-0000-0000CAA40000}"/>
    <cellStyle name="Normal 60 4 4 2 2" xfId="21614" xr:uid="{00000000-0005-0000-0000-0000CBA40000}"/>
    <cellStyle name="Normal 60 4 4 2 2 2" xfId="41705" xr:uid="{00000000-0005-0000-0000-0000CCA40000}"/>
    <cellStyle name="Normal 60 4 4 2 3" xfId="41707" xr:uid="{00000000-0005-0000-0000-0000CDA40000}"/>
    <cellStyle name="Normal 60 4 4 3" xfId="21638" xr:uid="{00000000-0005-0000-0000-0000CEA40000}"/>
    <cellStyle name="Normal 60 4 4 3 2" xfId="41709" xr:uid="{00000000-0005-0000-0000-0000CFA40000}"/>
    <cellStyle name="Normal 60 4 4 4" xfId="41712" xr:uid="{00000000-0005-0000-0000-0000D0A40000}"/>
    <cellStyle name="Normal 60 4 5" xfId="41715" xr:uid="{00000000-0005-0000-0000-0000D1A40000}"/>
    <cellStyle name="Normal 60 4 5 2" xfId="19179" xr:uid="{00000000-0005-0000-0000-0000D2A40000}"/>
    <cellStyle name="Normal 60 4 5 2 2" xfId="644" xr:uid="{00000000-0005-0000-0000-0000D3A40000}"/>
    <cellStyle name="Normal 60 4 5 3" xfId="11682" xr:uid="{00000000-0005-0000-0000-0000D4A40000}"/>
    <cellStyle name="Normal 60 4 6" xfId="41717" xr:uid="{00000000-0005-0000-0000-0000D5A40000}"/>
    <cellStyle name="Normal 60 4 6 2" xfId="41719" xr:uid="{00000000-0005-0000-0000-0000D6A40000}"/>
    <cellStyle name="Normal 60 4 6 2 2" xfId="12009" xr:uid="{00000000-0005-0000-0000-0000D7A40000}"/>
    <cellStyle name="Normal 60 4 6 3" xfId="41721" xr:uid="{00000000-0005-0000-0000-0000D8A40000}"/>
    <cellStyle name="Normal 60 4 7" xfId="38021" xr:uid="{00000000-0005-0000-0000-0000D9A40000}"/>
    <cellStyle name="Normal 60 4 7 2" xfId="41723" xr:uid="{00000000-0005-0000-0000-0000DAA40000}"/>
    <cellStyle name="Normal 60 4 8" xfId="41725" xr:uid="{00000000-0005-0000-0000-0000DBA40000}"/>
    <cellStyle name="Normal 60 4 8 2" xfId="41727" xr:uid="{00000000-0005-0000-0000-0000DCA40000}"/>
    <cellStyle name="Normal 60 4 9" xfId="41729" xr:uid="{00000000-0005-0000-0000-0000DDA40000}"/>
    <cellStyle name="Normal 60 5" xfId="41732" xr:uid="{00000000-0005-0000-0000-0000DEA40000}"/>
    <cellStyle name="Normal 60 5 2" xfId="41734" xr:uid="{00000000-0005-0000-0000-0000DFA40000}"/>
    <cellStyle name="Normal 60 5 2 2" xfId="41736" xr:uid="{00000000-0005-0000-0000-0000E0A40000}"/>
    <cellStyle name="Normal 60 5 2 2 2" xfId="41738" xr:uid="{00000000-0005-0000-0000-0000E1A40000}"/>
    <cellStyle name="Normal 60 5 2 2 2 2" xfId="41740" xr:uid="{00000000-0005-0000-0000-0000E2A40000}"/>
    <cellStyle name="Normal 60 5 2 2 2 2 2" xfId="25848" xr:uid="{00000000-0005-0000-0000-0000E3A40000}"/>
    <cellStyle name="Normal 60 5 2 2 2 3" xfId="41742" xr:uid="{00000000-0005-0000-0000-0000E4A40000}"/>
    <cellStyle name="Normal 60 5 2 2 3" xfId="41744" xr:uid="{00000000-0005-0000-0000-0000E5A40000}"/>
    <cellStyle name="Normal 60 5 2 2 3 2" xfId="13632" xr:uid="{00000000-0005-0000-0000-0000E6A40000}"/>
    <cellStyle name="Normal 60 5 2 2 4" xfId="19895" xr:uid="{00000000-0005-0000-0000-0000E7A40000}"/>
    <cellStyle name="Normal 60 5 2 2 5" xfId="41746" xr:uid="{00000000-0005-0000-0000-0000E8A40000}"/>
    <cellStyle name="Normal 60 5 2 3" xfId="41748" xr:uid="{00000000-0005-0000-0000-0000E9A40000}"/>
    <cellStyle name="Normal 60 5 2 3 2" xfId="41750" xr:uid="{00000000-0005-0000-0000-0000EAA40000}"/>
    <cellStyle name="Normal 60 5 2 3 2 2" xfId="20667" xr:uid="{00000000-0005-0000-0000-0000EBA40000}"/>
    <cellStyle name="Normal 60 5 2 3 3" xfId="41752" xr:uid="{00000000-0005-0000-0000-0000ECA40000}"/>
    <cellStyle name="Normal 60 5 2 4" xfId="2686" xr:uid="{00000000-0005-0000-0000-0000EDA40000}"/>
    <cellStyle name="Normal 60 5 2 4 2" xfId="41754" xr:uid="{00000000-0005-0000-0000-0000EEA40000}"/>
    <cellStyle name="Normal 60 5 2 4 2 2" xfId="25970" xr:uid="{00000000-0005-0000-0000-0000EFA40000}"/>
    <cellStyle name="Normal 60 5 2 4 3" xfId="41756" xr:uid="{00000000-0005-0000-0000-0000F0A40000}"/>
    <cellStyle name="Normal 60 5 2 5" xfId="41758" xr:uid="{00000000-0005-0000-0000-0000F1A40000}"/>
    <cellStyle name="Normal 60 5 2 5 2" xfId="15706" xr:uid="{00000000-0005-0000-0000-0000F2A40000}"/>
    <cellStyle name="Normal 60 5 2 6" xfId="41760" xr:uid="{00000000-0005-0000-0000-0000F3A40000}"/>
    <cellStyle name="Normal 60 5 2 6 2" xfId="15725" xr:uid="{00000000-0005-0000-0000-0000F4A40000}"/>
    <cellStyle name="Normal 60 5 2 7" xfId="41764" xr:uid="{00000000-0005-0000-0000-0000F5A40000}"/>
    <cellStyle name="Normal 60 5 2 8" xfId="41768" xr:uid="{00000000-0005-0000-0000-0000F6A40000}"/>
    <cellStyle name="Normal 60 5 3" xfId="41770" xr:uid="{00000000-0005-0000-0000-0000F7A40000}"/>
    <cellStyle name="Normal 60 5 3 2" xfId="41772" xr:uid="{00000000-0005-0000-0000-0000F8A40000}"/>
    <cellStyle name="Normal 60 5 3 2 2" xfId="41774" xr:uid="{00000000-0005-0000-0000-0000F9A40000}"/>
    <cellStyle name="Normal 60 5 3 2 2 2" xfId="21333" xr:uid="{00000000-0005-0000-0000-0000FAA40000}"/>
    <cellStyle name="Normal 60 5 3 2 3" xfId="29504" xr:uid="{00000000-0005-0000-0000-0000FBA40000}"/>
    <cellStyle name="Normal 60 5 3 3" xfId="41776" xr:uid="{00000000-0005-0000-0000-0000FCA40000}"/>
    <cellStyle name="Normal 60 5 3 3 2" xfId="41778" xr:uid="{00000000-0005-0000-0000-0000FDA40000}"/>
    <cellStyle name="Normal 60 5 3 4" xfId="41781" xr:uid="{00000000-0005-0000-0000-0000FEA40000}"/>
    <cellStyle name="Normal 60 5 3 5" xfId="41785" xr:uid="{00000000-0005-0000-0000-0000FFA40000}"/>
    <cellStyle name="Normal 60 5 4" xfId="41788" xr:uid="{00000000-0005-0000-0000-000000A50000}"/>
    <cellStyle name="Normal 60 5 4 2" xfId="8862" xr:uid="{00000000-0005-0000-0000-000001A50000}"/>
    <cellStyle name="Normal 60 5 4 2 2" xfId="41790" xr:uid="{00000000-0005-0000-0000-000002A50000}"/>
    <cellStyle name="Normal 60 5 4 3" xfId="41792" xr:uid="{00000000-0005-0000-0000-000003A50000}"/>
    <cellStyle name="Normal 60 5 5" xfId="41794" xr:uid="{00000000-0005-0000-0000-000004A50000}"/>
    <cellStyle name="Normal 60 5 5 2" xfId="41796" xr:uid="{00000000-0005-0000-0000-000005A50000}"/>
    <cellStyle name="Normal 60 5 5 2 2" xfId="11427" xr:uid="{00000000-0005-0000-0000-000006A50000}"/>
    <cellStyle name="Normal 60 5 5 3" xfId="11432" xr:uid="{00000000-0005-0000-0000-000007A50000}"/>
    <cellStyle name="Normal 60 5 6" xfId="17939" xr:uid="{00000000-0005-0000-0000-000008A50000}"/>
    <cellStyle name="Normal 60 5 6 2" xfId="17338" xr:uid="{00000000-0005-0000-0000-000009A50000}"/>
    <cellStyle name="Normal 60 5 7" xfId="10072" xr:uid="{00000000-0005-0000-0000-00000AA50000}"/>
    <cellStyle name="Normal 60 5 7 2" xfId="41798" xr:uid="{00000000-0005-0000-0000-00000BA50000}"/>
    <cellStyle name="Normal 60 5 8" xfId="17948" xr:uid="{00000000-0005-0000-0000-00000CA50000}"/>
    <cellStyle name="Normal 60 5 9" xfId="41800" xr:uid="{00000000-0005-0000-0000-00000DA50000}"/>
    <cellStyle name="Normal 60 6" xfId="29265" xr:uid="{00000000-0005-0000-0000-00000EA50000}"/>
    <cellStyle name="Normal 60 6 2" xfId="41802" xr:uid="{00000000-0005-0000-0000-00000FA50000}"/>
    <cellStyle name="Normal 60 6 2 2" xfId="41805" xr:uid="{00000000-0005-0000-0000-000010A50000}"/>
    <cellStyle name="Normal 60 6 2 2 2" xfId="41808" xr:uid="{00000000-0005-0000-0000-000011A50000}"/>
    <cellStyle name="Normal 60 6 2 2 2 2" xfId="41811" xr:uid="{00000000-0005-0000-0000-000012A50000}"/>
    <cellStyle name="Normal 60 6 2 2 2 2 2" xfId="41813" xr:uid="{00000000-0005-0000-0000-000013A50000}"/>
    <cellStyle name="Normal 60 6 2 2 2 3" xfId="41815" xr:uid="{00000000-0005-0000-0000-000014A50000}"/>
    <cellStyle name="Normal 60 6 2 2 3" xfId="41817" xr:uid="{00000000-0005-0000-0000-000015A50000}"/>
    <cellStyle name="Normal 60 6 2 2 3 2" xfId="41819" xr:uid="{00000000-0005-0000-0000-000016A50000}"/>
    <cellStyle name="Normal 60 6 2 2 4" xfId="41821" xr:uid="{00000000-0005-0000-0000-000017A50000}"/>
    <cellStyle name="Normal 60 6 2 3" xfId="41823" xr:uid="{00000000-0005-0000-0000-000018A50000}"/>
    <cellStyle name="Normal 60 6 2 3 2" xfId="41826" xr:uid="{00000000-0005-0000-0000-000019A50000}"/>
    <cellStyle name="Normal 60 6 2 3 2 2" xfId="41828" xr:uid="{00000000-0005-0000-0000-00001AA50000}"/>
    <cellStyle name="Normal 60 6 2 3 3" xfId="41830" xr:uid="{00000000-0005-0000-0000-00001BA50000}"/>
    <cellStyle name="Normal 60 6 2 4" xfId="23995" xr:uid="{00000000-0005-0000-0000-00001CA50000}"/>
    <cellStyle name="Normal 60 6 2 4 2" xfId="41832" xr:uid="{00000000-0005-0000-0000-00001DA50000}"/>
    <cellStyle name="Normal 60 6 2 4 2 2" xfId="41834" xr:uid="{00000000-0005-0000-0000-00001EA50000}"/>
    <cellStyle name="Normal 60 6 2 4 3" xfId="41836" xr:uid="{00000000-0005-0000-0000-00001FA50000}"/>
    <cellStyle name="Normal 60 6 2 5" xfId="41838" xr:uid="{00000000-0005-0000-0000-000020A50000}"/>
    <cellStyle name="Normal 60 6 2 5 2" xfId="15805" xr:uid="{00000000-0005-0000-0000-000021A50000}"/>
    <cellStyle name="Normal 60 6 2 6" xfId="41840" xr:uid="{00000000-0005-0000-0000-000022A50000}"/>
    <cellStyle name="Normal 60 6 2 6 2" xfId="41842" xr:uid="{00000000-0005-0000-0000-000023A50000}"/>
    <cellStyle name="Normal 60 6 2 7" xfId="41846" xr:uid="{00000000-0005-0000-0000-000024A50000}"/>
    <cellStyle name="Normal 60 6 2 8" xfId="41849" xr:uid="{00000000-0005-0000-0000-000025A50000}"/>
    <cellStyle name="Normal 60 6 3" xfId="41851" xr:uid="{00000000-0005-0000-0000-000026A50000}"/>
    <cellStyle name="Normal 60 6 3 2" xfId="20214" xr:uid="{00000000-0005-0000-0000-000027A50000}"/>
    <cellStyle name="Normal 60 6 3 2 2" xfId="20218" xr:uid="{00000000-0005-0000-0000-000028A50000}"/>
    <cellStyle name="Normal 60 6 3 2 2 2" xfId="41854" xr:uid="{00000000-0005-0000-0000-000029A50000}"/>
    <cellStyle name="Normal 60 6 3 2 3" xfId="29559" xr:uid="{00000000-0005-0000-0000-00002AA50000}"/>
    <cellStyle name="Normal 60 6 3 3" xfId="11521" xr:uid="{00000000-0005-0000-0000-00002BA50000}"/>
    <cellStyle name="Normal 60 6 3 3 2" xfId="41856" xr:uid="{00000000-0005-0000-0000-00002CA50000}"/>
    <cellStyle name="Normal 60 6 3 4" xfId="24000" xr:uid="{00000000-0005-0000-0000-00002DA50000}"/>
    <cellStyle name="Normal 60 6 4" xfId="41858" xr:uid="{00000000-0005-0000-0000-00002EA50000}"/>
    <cellStyle name="Normal 60 6 4 2" xfId="20225" xr:uid="{00000000-0005-0000-0000-00002FA50000}"/>
    <cellStyle name="Normal 60 6 4 2 2" xfId="41861" xr:uid="{00000000-0005-0000-0000-000030A50000}"/>
    <cellStyle name="Normal 60 6 4 3" xfId="41863" xr:uid="{00000000-0005-0000-0000-000031A50000}"/>
    <cellStyle name="Normal 60 6 5" xfId="41865" xr:uid="{00000000-0005-0000-0000-000032A50000}"/>
    <cellStyle name="Normal 60 6 5 2" xfId="20231" xr:uid="{00000000-0005-0000-0000-000033A50000}"/>
    <cellStyle name="Normal 60 6 5 2 2" xfId="31432" xr:uid="{00000000-0005-0000-0000-000034A50000}"/>
    <cellStyle name="Normal 60 6 5 3" xfId="40818" xr:uid="{00000000-0005-0000-0000-000035A50000}"/>
    <cellStyle name="Normal 60 6 6" xfId="17952" xr:uid="{00000000-0005-0000-0000-000036A50000}"/>
    <cellStyle name="Normal 60 6 6 2" xfId="41868" xr:uid="{00000000-0005-0000-0000-000037A50000}"/>
    <cellStyle name="Normal 60 6 7" xfId="41870" xr:uid="{00000000-0005-0000-0000-000038A50000}"/>
    <cellStyle name="Normal 60 6 7 2" xfId="41872" xr:uid="{00000000-0005-0000-0000-000039A50000}"/>
    <cellStyle name="Normal 60 6 8" xfId="41874" xr:uid="{00000000-0005-0000-0000-00003AA50000}"/>
    <cellStyle name="Normal 60 6 9" xfId="41876" xr:uid="{00000000-0005-0000-0000-00003BA50000}"/>
    <cellStyle name="Normal 60 7" xfId="41878" xr:uid="{00000000-0005-0000-0000-00003CA50000}"/>
    <cellStyle name="Normal 60 7 2" xfId="41880" xr:uid="{00000000-0005-0000-0000-00003DA50000}"/>
    <cellStyle name="Normal 60 7 2 2" xfId="41883" xr:uid="{00000000-0005-0000-0000-00003EA50000}"/>
    <cellStyle name="Normal 60 7 2 2 2" xfId="41886" xr:uid="{00000000-0005-0000-0000-00003FA50000}"/>
    <cellStyle name="Normal 60 7 2 2 2 2" xfId="41888" xr:uid="{00000000-0005-0000-0000-000040A50000}"/>
    <cellStyle name="Normal 60 7 2 2 2 2 2" xfId="41890" xr:uid="{00000000-0005-0000-0000-000041A50000}"/>
    <cellStyle name="Normal 60 7 2 2 2 3" xfId="41892" xr:uid="{00000000-0005-0000-0000-000042A50000}"/>
    <cellStyle name="Normal 60 7 2 2 3" xfId="41894" xr:uid="{00000000-0005-0000-0000-000043A50000}"/>
    <cellStyle name="Normal 60 7 2 2 3 2" xfId="20824" xr:uid="{00000000-0005-0000-0000-000044A50000}"/>
    <cellStyle name="Normal 60 7 2 2 4" xfId="41896" xr:uid="{00000000-0005-0000-0000-000045A50000}"/>
    <cellStyle name="Normal 60 7 2 3" xfId="41898" xr:uid="{00000000-0005-0000-0000-000046A50000}"/>
    <cellStyle name="Normal 60 7 2 3 2" xfId="41900" xr:uid="{00000000-0005-0000-0000-000047A50000}"/>
    <cellStyle name="Normal 60 7 2 3 2 2" xfId="41902" xr:uid="{00000000-0005-0000-0000-000048A50000}"/>
    <cellStyle name="Normal 60 7 2 3 3" xfId="41904" xr:uid="{00000000-0005-0000-0000-000049A50000}"/>
    <cellStyle name="Normal 60 7 2 4" xfId="24022" xr:uid="{00000000-0005-0000-0000-00004AA50000}"/>
    <cellStyle name="Normal 60 7 2 4 2" xfId="20648" xr:uid="{00000000-0005-0000-0000-00004BA50000}"/>
    <cellStyle name="Normal 60 7 2 4 2 2" xfId="41907" xr:uid="{00000000-0005-0000-0000-00004CA50000}"/>
    <cellStyle name="Normal 60 7 2 4 3" xfId="41909" xr:uid="{00000000-0005-0000-0000-00004DA50000}"/>
    <cellStyle name="Normal 60 7 2 5" xfId="41911" xr:uid="{00000000-0005-0000-0000-00004EA50000}"/>
    <cellStyle name="Normal 60 7 2 5 2" xfId="41913" xr:uid="{00000000-0005-0000-0000-00004FA50000}"/>
    <cellStyle name="Normal 60 7 2 6" xfId="41915" xr:uid="{00000000-0005-0000-0000-000050A50000}"/>
    <cellStyle name="Normal 60 7 2 6 2" xfId="41917" xr:uid="{00000000-0005-0000-0000-000051A50000}"/>
    <cellStyle name="Normal 60 7 2 7" xfId="41921" xr:uid="{00000000-0005-0000-0000-000052A50000}"/>
    <cellStyle name="Normal 60 7 2 8" xfId="41923" xr:uid="{00000000-0005-0000-0000-000053A50000}"/>
    <cellStyle name="Normal 60 7 3" xfId="41925" xr:uid="{00000000-0005-0000-0000-000054A50000}"/>
    <cellStyle name="Normal 60 7 3 2" xfId="20243" xr:uid="{00000000-0005-0000-0000-000055A50000}"/>
    <cellStyle name="Normal 60 7 3 2 2" xfId="41928" xr:uid="{00000000-0005-0000-0000-000056A50000}"/>
    <cellStyle name="Normal 60 7 3 2 2 2" xfId="41930" xr:uid="{00000000-0005-0000-0000-000057A50000}"/>
    <cellStyle name="Normal 60 7 3 2 3" xfId="29305" xr:uid="{00000000-0005-0000-0000-000058A50000}"/>
    <cellStyle name="Normal 60 7 3 3" xfId="41932" xr:uid="{00000000-0005-0000-0000-000059A50000}"/>
    <cellStyle name="Normal 60 7 3 3 2" xfId="41934" xr:uid="{00000000-0005-0000-0000-00005AA50000}"/>
    <cellStyle name="Normal 60 7 3 4" xfId="41937" xr:uid="{00000000-0005-0000-0000-00005BA50000}"/>
    <cellStyle name="Normal 60 7 4" xfId="41940" xr:uid="{00000000-0005-0000-0000-00005CA50000}"/>
    <cellStyle name="Normal 60 7 4 2" xfId="23859" xr:uid="{00000000-0005-0000-0000-00005DA50000}"/>
    <cellStyle name="Normal 60 7 4 2 2" xfId="41942" xr:uid="{00000000-0005-0000-0000-00005EA50000}"/>
    <cellStyle name="Normal 60 7 4 3" xfId="41944" xr:uid="{00000000-0005-0000-0000-00005FA50000}"/>
    <cellStyle name="Normal 60 7 5" xfId="41946" xr:uid="{00000000-0005-0000-0000-000060A50000}"/>
    <cellStyle name="Normal 60 7 5 2" xfId="41948" xr:uid="{00000000-0005-0000-0000-000061A50000}"/>
    <cellStyle name="Normal 60 7 5 2 2" xfId="41950" xr:uid="{00000000-0005-0000-0000-000062A50000}"/>
    <cellStyle name="Normal 60 7 5 3" xfId="40828" xr:uid="{00000000-0005-0000-0000-000063A50000}"/>
    <cellStyle name="Normal 60 7 6" xfId="17956" xr:uid="{00000000-0005-0000-0000-000064A50000}"/>
    <cellStyle name="Normal 60 7 6 2" xfId="41952" xr:uid="{00000000-0005-0000-0000-000065A50000}"/>
    <cellStyle name="Normal 60 7 7" xfId="41954" xr:uid="{00000000-0005-0000-0000-000066A50000}"/>
    <cellStyle name="Normal 60 7 7 2" xfId="41956" xr:uid="{00000000-0005-0000-0000-000067A50000}"/>
    <cellStyle name="Normal 60 7 8" xfId="41958" xr:uid="{00000000-0005-0000-0000-000068A50000}"/>
    <cellStyle name="Normal 60 7 9" xfId="41960" xr:uid="{00000000-0005-0000-0000-000069A50000}"/>
    <cellStyle name="Normal 60 8" xfId="41962" xr:uid="{00000000-0005-0000-0000-00006AA50000}"/>
    <cellStyle name="Normal 60 8 2" xfId="41964" xr:uid="{00000000-0005-0000-0000-00006BA50000}"/>
    <cellStyle name="Normal 60 8 2 2" xfId="41967" xr:uid="{00000000-0005-0000-0000-00006CA50000}"/>
    <cellStyle name="Normal 60 8 2 2 2" xfId="41969" xr:uid="{00000000-0005-0000-0000-00006DA50000}"/>
    <cellStyle name="Normal 60 8 2 2 2 2" xfId="41971" xr:uid="{00000000-0005-0000-0000-00006EA50000}"/>
    <cellStyle name="Normal 60 8 2 2 3" xfId="41973" xr:uid="{00000000-0005-0000-0000-00006FA50000}"/>
    <cellStyle name="Normal 60 8 2 3" xfId="41975" xr:uid="{00000000-0005-0000-0000-000070A50000}"/>
    <cellStyle name="Normal 60 8 2 3 2" xfId="41977" xr:uid="{00000000-0005-0000-0000-000071A50000}"/>
    <cellStyle name="Normal 60 8 2 4" xfId="41979" xr:uid="{00000000-0005-0000-0000-000072A50000}"/>
    <cellStyle name="Normal 60 8 3" xfId="41981" xr:uid="{00000000-0005-0000-0000-000073A50000}"/>
    <cellStyle name="Normal 60 8 3 2" xfId="41983" xr:uid="{00000000-0005-0000-0000-000074A50000}"/>
    <cellStyle name="Normal 60 8 3 2 2" xfId="41985" xr:uid="{00000000-0005-0000-0000-000075A50000}"/>
    <cellStyle name="Normal 60 8 3 3" xfId="41987" xr:uid="{00000000-0005-0000-0000-000076A50000}"/>
    <cellStyle name="Normal 60 8 4" xfId="41989" xr:uid="{00000000-0005-0000-0000-000077A50000}"/>
    <cellStyle name="Normal 60 8 4 2" xfId="41991" xr:uid="{00000000-0005-0000-0000-000078A50000}"/>
    <cellStyle name="Normal 60 8 4 2 2" xfId="41993" xr:uid="{00000000-0005-0000-0000-000079A50000}"/>
    <cellStyle name="Normal 60 8 4 3" xfId="41995" xr:uid="{00000000-0005-0000-0000-00007AA50000}"/>
    <cellStyle name="Normal 60 8 5" xfId="41997" xr:uid="{00000000-0005-0000-0000-00007BA50000}"/>
    <cellStyle name="Normal 60 8 5 2" xfId="41999" xr:uid="{00000000-0005-0000-0000-00007CA50000}"/>
    <cellStyle name="Normal 60 8 6" xfId="42001" xr:uid="{00000000-0005-0000-0000-00007DA50000}"/>
    <cellStyle name="Normal 60 8 6 2" xfId="42003" xr:uid="{00000000-0005-0000-0000-00007EA50000}"/>
    <cellStyle name="Normal 60 8 7" xfId="42005" xr:uid="{00000000-0005-0000-0000-00007FA50000}"/>
    <cellStyle name="Normal 60 8 8" xfId="42007" xr:uid="{00000000-0005-0000-0000-000080A50000}"/>
    <cellStyle name="Normal 60 9" xfId="42009" xr:uid="{00000000-0005-0000-0000-000081A50000}"/>
    <cellStyle name="Normal 60 9 2" xfId="13062" xr:uid="{00000000-0005-0000-0000-000082A50000}"/>
    <cellStyle name="Normal 60 9 2 2" xfId="5833" xr:uid="{00000000-0005-0000-0000-000083A50000}"/>
    <cellStyle name="Normal 60 9 2 2 2" xfId="42011" xr:uid="{00000000-0005-0000-0000-000084A50000}"/>
    <cellStyle name="Normal 60 9 2 3" xfId="42013" xr:uid="{00000000-0005-0000-0000-000085A50000}"/>
    <cellStyle name="Normal 60 9 3" xfId="13067" xr:uid="{00000000-0005-0000-0000-000086A50000}"/>
    <cellStyle name="Normal 60 9 3 2" xfId="1230" xr:uid="{00000000-0005-0000-0000-000087A50000}"/>
    <cellStyle name="Normal 60 9 4" xfId="5875" xr:uid="{00000000-0005-0000-0000-000088A50000}"/>
    <cellStyle name="Normal 61" xfId="5333" xr:uid="{00000000-0005-0000-0000-000089A50000}"/>
    <cellStyle name="Normal 61 10" xfId="42015" xr:uid="{00000000-0005-0000-0000-00008AA50000}"/>
    <cellStyle name="Normal 61 10 2" xfId="2953" xr:uid="{00000000-0005-0000-0000-00008BA50000}"/>
    <cellStyle name="Normal 61 10 2 2" xfId="9155" xr:uid="{00000000-0005-0000-0000-00008CA50000}"/>
    <cellStyle name="Normal 61 10 3" xfId="9164" xr:uid="{00000000-0005-0000-0000-00008DA50000}"/>
    <cellStyle name="Normal 61 11" xfId="42017" xr:uid="{00000000-0005-0000-0000-00008EA50000}"/>
    <cellStyle name="Normal 61 11 2" xfId="6939" xr:uid="{00000000-0005-0000-0000-00008FA50000}"/>
    <cellStyle name="Normal 61 11 2 2" xfId="12653" xr:uid="{00000000-0005-0000-0000-000090A50000}"/>
    <cellStyle name="Normal 61 11 3" xfId="12657" xr:uid="{00000000-0005-0000-0000-000091A50000}"/>
    <cellStyle name="Normal 61 12" xfId="42019" xr:uid="{00000000-0005-0000-0000-000092A50000}"/>
    <cellStyle name="Normal 61 12 2" xfId="42021" xr:uid="{00000000-0005-0000-0000-000093A50000}"/>
    <cellStyle name="Normal 61 13" xfId="42023" xr:uid="{00000000-0005-0000-0000-000094A50000}"/>
    <cellStyle name="Normal 61 13 2" xfId="42025" xr:uid="{00000000-0005-0000-0000-000095A50000}"/>
    <cellStyle name="Normal 61 14" xfId="42027" xr:uid="{00000000-0005-0000-0000-000096A50000}"/>
    <cellStyle name="Normal 61 14 2" xfId="42029" xr:uid="{00000000-0005-0000-0000-000097A50000}"/>
    <cellStyle name="Normal 61 15" xfId="42031" xr:uid="{00000000-0005-0000-0000-000098A50000}"/>
    <cellStyle name="Normal 61 16" xfId="42033" xr:uid="{00000000-0005-0000-0000-000099A50000}"/>
    <cellStyle name="Normal 61 2" xfId="42035" xr:uid="{00000000-0005-0000-0000-00009AA50000}"/>
    <cellStyle name="Normal 61 2 10" xfId="42037" xr:uid="{00000000-0005-0000-0000-00009BA50000}"/>
    <cellStyle name="Normal 61 2 10 2" xfId="42039" xr:uid="{00000000-0005-0000-0000-00009CA50000}"/>
    <cellStyle name="Normal 61 2 11" xfId="42041" xr:uid="{00000000-0005-0000-0000-00009DA50000}"/>
    <cellStyle name="Normal 61 2 11 2" xfId="42043" xr:uid="{00000000-0005-0000-0000-00009EA50000}"/>
    <cellStyle name="Normal 61 2 12" xfId="42045" xr:uid="{00000000-0005-0000-0000-00009FA50000}"/>
    <cellStyle name="Normal 61 2 12 2" xfId="42047" xr:uid="{00000000-0005-0000-0000-0000A0A50000}"/>
    <cellStyle name="Normal 61 2 13" xfId="42049" xr:uid="{00000000-0005-0000-0000-0000A1A50000}"/>
    <cellStyle name="Normal 61 2 14" xfId="42052" xr:uid="{00000000-0005-0000-0000-0000A2A50000}"/>
    <cellStyle name="Normal 61 2 2" xfId="23654" xr:uid="{00000000-0005-0000-0000-0000A3A50000}"/>
    <cellStyle name="Normal 61 2 2 10" xfId="37964" xr:uid="{00000000-0005-0000-0000-0000A4A50000}"/>
    <cellStyle name="Normal 61 2 2 2" xfId="42054" xr:uid="{00000000-0005-0000-0000-0000A5A50000}"/>
    <cellStyle name="Normal 61 2 2 2 2" xfId="40382" xr:uid="{00000000-0005-0000-0000-0000A6A50000}"/>
    <cellStyle name="Normal 61 2 2 2 2 2" xfId="40385" xr:uid="{00000000-0005-0000-0000-0000A7A50000}"/>
    <cellStyle name="Normal 61 2 2 2 2 2 2" xfId="40388" xr:uid="{00000000-0005-0000-0000-0000A8A50000}"/>
    <cellStyle name="Normal 61 2 2 2 2 2 2 2" xfId="42056" xr:uid="{00000000-0005-0000-0000-0000A9A50000}"/>
    <cellStyle name="Normal 61 2 2 2 2 2 2 2 2" xfId="42059" xr:uid="{00000000-0005-0000-0000-0000AAA50000}"/>
    <cellStyle name="Normal 61 2 2 2 2 2 2 3" xfId="42061" xr:uid="{00000000-0005-0000-0000-0000ABA50000}"/>
    <cellStyle name="Normal 61 2 2 2 2 2 3" xfId="42063" xr:uid="{00000000-0005-0000-0000-0000ACA50000}"/>
    <cellStyle name="Normal 61 2 2 2 2 2 3 2" xfId="42065" xr:uid="{00000000-0005-0000-0000-0000ADA50000}"/>
    <cellStyle name="Normal 61 2 2 2 2 2 4" xfId="42067" xr:uid="{00000000-0005-0000-0000-0000AEA50000}"/>
    <cellStyle name="Normal 61 2 2 2 2 3" xfId="40391" xr:uid="{00000000-0005-0000-0000-0000AFA50000}"/>
    <cellStyle name="Normal 61 2 2 2 2 3 2" xfId="42069" xr:uid="{00000000-0005-0000-0000-0000B0A50000}"/>
    <cellStyle name="Normal 61 2 2 2 2 3 2 2" xfId="42071" xr:uid="{00000000-0005-0000-0000-0000B1A50000}"/>
    <cellStyle name="Normal 61 2 2 2 2 3 3" xfId="42073" xr:uid="{00000000-0005-0000-0000-0000B2A50000}"/>
    <cellStyle name="Normal 61 2 2 2 2 4" xfId="42075" xr:uid="{00000000-0005-0000-0000-0000B3A50000}"/>
    <cellStyle name="Normal 61 2 2 2 2 4 2" xfId="42077" xr:uid="{00000000-0005-0000-0000-0000B4A50000}"/>
    <cellStyle name="Normal 61 2 2 2 2 4 2 2" xfId="42079" xr:uid="{00000000-0005-0000-0000-0000B5A50000}"/>
    <cellStyle name="Normal 61 2 2 2 2 4 3" xfId="42081" xr:uid="{00000000-0005-0000-0000-0000B6A50000}"/>
    <cellStyle name="Normal 61 2 2 2 2 5" xfId="42084" xr:uid="{00000000-0005-0000-0000-0000B7A50000}"/>
    <cellStyle name="Normal 61 2 2 2 2 5 2" xfId="42086" xr:uid="{00000000-0005-0000-0000-0000B8A50000}"/>
    <cellStyle name="Normal 61 2 2 2 2 6" xfId="42088" xr:uid="{00000000-0005-0000-0000-0000B9A50000}"/>
    <cellStyle name="Normal 61 2 2 2 2 6 2" xfId="42090" xr:uid="{00000000-0005-0000-0000-0000BAA50000}"/>
    <cellStyle name="Normal 61 2 2 2 2 7" xfId="42092" xr:uid="{00000000-0005-0000-0000-0000BBA50000}"/>
    <cellStyle name="Normal 61 2 2 2 2 8" xfId="6797" xr:uid="{00000000-0005-0000-0000-0000BCA50000}"/>
    <cellStyle name="Normal 61 2 2 2 3" xfId="40394" xr:uid="{00000000-0005-0000-0000-0000BDA50000}"/>
    <cellStyle name="Normal 61 2 2 2 3 2" xfId="40397" xr:uid="{00000000-0005-0000-0000-0000BEA50000}"/>
    <cellStyle name="Normal 61 2 2 2 3 2 2" xfId="42094" xr:uid="{00000000-0005-0000-0000-0000BFA50000}"/>
    <cellStyle name="Normal 61 2 2 2 3 2 2 2" xfId="42096" xr:uid="{00000000-0005-0000-0000-0000C0A50000}"/>
    <cellStyle name="Normal 61 2 2 2 3 2 3" xfId="42098" xr:uid="{00000000-0005-0000-0000-0000C1A50000}"/>
    <cellStyle name="Normal 61 2 2 2 3 3" xfId="42100" xr:uid="{00000000-0005-0000-0000-0000C2A50000}"/>
    <cellStyle name="Normal 61 2 2 2 3 3 2" xfId="42102" xr:uid="{00000000-0005-0000-0000-0000C3A50000}"/>
    <cellStyle name="Normal 61 2 2 2 3 4" xfId="42104" xr:uid="{00000000-0005-0000-0000-0000C4A50000}"/>
    <cellStyle name="Normal 61 2 2 2 4" xfId="24705" xr:uid="{00000000-0005-0000-0000-0000C5A50000}"/>
    <cellStyle name="Normal 61 2 2 2 4 2" xfId="40400" xr:uid="{00000000-0005-0000-0000-0000C6A50000}"/>
    <cellStyle name="Normal 61 2 2 2 4 2 2" xfId="42106" xr:uid="{00000000-0005-0000-0000-0000C7A50000}"/>
    <cellStyle name="Normal 61 2 2 2 4 3" xfId="31230" xr:uid="{00000000-0005-0000-0000-0000C8A50000}"/>
    <cellStyle name="Normal 61 2 2 2 5" xfId="40403" xr:uid="{00000000-0005-0000-0000-0000C9A50000}"/>
    <cellStyle name="Normal 61 2 2 2 5 2" xfId="42108" xr:uid="{00000000-0005-0000-0000-0000CAA50000}"/>
    <cellStyle name="Normal 61 2 2 2 5 2 2" xfId="42110" xr:uid="{00000000-0005-0000-0000-0000CBA50000}"/>
    <cellStyle name="Normal 61 2 2 2 5 3" xfId="42112" xr:uid="{00000000-0005-0000-0000-0000CCA50000}"/>
    <cellStyle name="Normal 61 2 2 2 6" xfId="40406" xr:uid="{00000000-0005-0000-0000-0000CDA50000}"/>
    <cellStyle name="Normal 61 2 2 2 6 2" xfId="33025" xr:uid="{00000000-0005-0000-0000-0000CEA50000}"/>
    <cellStyle name="Normal 61 2 2 2 7" xfId="42114" xr:uid="{00000000-0005-0000-0000-0000CFA50000}"/>
    <cellStyle name="Normal 61 2 2 2 7 2" xfId="42116" xr:uid="{00000000-0005-0000-0000-0000D0A50000}"/>
    <cellStyle name="Normal 61 2 2 2 8" xfId="42119" xr:uid="{00000000-0005-0000-0000-0000D1A50000}"/>
    <cellStyle name="Normal 61 2 2 2 9" xfId="42123" xr:uid="{00000000-0005-0000-0000-0000D2A50000}"/>
    <cellStyle name="Normal 61 2 2 3" xfId="42126" xr:uid="{00000000-0005-0000-0000-0000D3A50000}"/>
    <cellStyle name="Normal 61 2 2 3 2" xfId="14425" xr:uid="{00000000-0005-0000-0000-0000D4A50000}"/>
    <cellStyle name="Normal 61 2 2 3 2 2" xfId="14430" xr:uid="{00000000-0005-0000-0000-0000D5A50000}"/>
    <cellStyle name="Normal 61 2 2 3 2 2 2" xfId="42128" xr:uid="{00000000-0005-0000-0000-0000D6A50000}"/>
    <cellStyle name="Normal 61 2 2 3 2 2 2 2" xfId="42130" xr:uid="{00000000-0005-0000-0000-0000D7A50000}"/>
    <cellStyle name="Normal 61 2 2 3 2 2 3" xfId="42132" xr:uid="{00000000-0005-0000-0000-0000D8A50000}"/>
    <cellStyle name="Normal 61 2 2 3 2 3" xfId="42134" xr:uid="{00000000-0005-0000-0000-0000D9A50000}"/>
    <cellStyle name="Normal 61 2 2 3 2 3 2" xfId="42136" xr:uid="{00000000-0005-0000-0000-0000DAA50000}"/>
    <cellStyle name="Normal 61 2 2 3 2 4" xfId="42138" xr:uid="{00000000-0005-0000-0000-0000DBA50000}"/>
    <cellStyle name="Normal 61 2 2 3 3" xfId="14435" xr:uid="{00000000-0005-0000-0000-0000DCA50000}"/>
    <cellStyle name="Normal 61 2 2 3 3 2" xfId="26430" xr:uid="{00000000-0005-0000-0000-0000DDA50000}"/>
    <cellStyle name="Normal 61 2 2 3 3 2 2" xfId="42141" xr:uid="{00000000-0005-0000-0000-0000DEA50000}"/>
    <cellStyle name="Normal 61 2 2 3 3 3" xfId="16276" xr:uid="{00000000-0005-0000-0000-0000DFA50000}"/>
    <cellStyle name="Normal 61 2 2 3 4" xfId="24711" xr:uid="{00000000-0005-0000-0000-0000E0A50000}"/>
    <cellStyle name="Normal 61 2 2 3 4 2" xfId="42144" xr:uid="{00000000-0005-0000-0000-0000E1A50000}"/>
    <cellStyle name="Normal 61 2 2 3 4 2 2" xfId="42146" xr:uid="{00000000-0005-0000-0000-0000E2A50000}"/>
    <cellStyle name="Normal 61 2 2 3 4 3" xfId="31236" xr:uid="{00000000-0005-0000-0000-0000E3A50000}"/>
    <cellStyle name="Normal 61 2 2 3 5" xfId="26434" xr:uid="{00000000-0005-0000-0000-0000E4A50000}"/>
    <cellStyle name="Normal 61 2 2 3 5 2" xfId="42148" xr:uid="{00000000-0005-0000-0000-0000E5A50000}"/>
    <cellStyle name="Normal 61 2 2 3 6" xfId="42150" xr:uid="{00000000-0005-0000-0000-0000E6A50000}"/>
    <cellStyle name="Normal 61 2 2 3 6 2" xfId="33094" xr:uid="{00000000-0005-0000-0000-0000E7A50000}"/>
    <cellStyle name="Normal 61 2 2 3 7" xfId="42152" xr:uid="{00000000-0005-0000-0000-0000E8A50000}"/>
    <cellStyle name="Normal 61 2 2 3 8" xfId="42155" xr:uid="{00000000-0005-0000-0000-0000E9A50000}"/>
    <cellStyle name="Normal 61 2 2 4" xfId="4415" xr:uid="{00000000-0005-0000-0000-0000EAA50000}"/>
    <cellStyle name="Normal 61 2 2 4 2" xfId="4444" xr:uid="{00000000-0005-0000-0000-0000EBA50000}"/>
    <cellStyle name="Normal 61 2 2 4 2 2" xfId="382" xr:uid="{00000000-0005-0000-0000-0000ECA50000}"/>
    <cellStyle name="Normal 61 2 2 4 2 2 2" xfId="4051" xr:uid="{00000000-0005-0000-0000-0000EDA50000}"/>
    <cellStyle name="Normal 61 2 2 4 2 3" xfId="4463" xr:uid="{00000000-0005-0000-0000-0000EEA50000}"/>
    <cellStyle name="Normal 61 2 2 4 3" xfId="4495" xr:uid="{00000000-0005-0000-0000-0000EFA50000}"/>
    <cellStyle name="Normal 61 2 2 4 3 2" xfId="4503" xr:uid="{00000000-0005-0000-0000-0000F0A50000}"/>
    <cellStyle name="Normal 61 2 2 4 4" xfId="4515" xr:uid="{00000000-0005-0000-0000-0000F1A50000}"/>
    <cellStyle name="Normal 61 2 2 5" xfId="4549" xr:uid="{00000000-0005-0000-0000-0000F2A50000}"/>
    <cellStyle name="Normal 61 2 2 5 2" xfId="4566" xr:uid="{00000000-0005-0000-0000-0000F3A50000}"/>
    <cellStyle name="Normal 61 2 2 5 2 2" xfId="4570" xr:uid="{00000000-0005-0000-0000-0000F4A50000}"/>
    <cellStyle name="Normal 61 2 2 5 3" xfId="4599" xr:uid="{00000000-0005-0000-0000-0000F5A50000}"/>
    <cellStyle name="Normal 61 2 2 6" xfId="4608" xr:uid="{00000000-0005-0000-0000-0000F6A50000}"/>
    <cellStyle name="Normal 61 2 2 6 2" xfId="4612" xr:uid="{00000000-0005-0000-0000-0000F7A50000}"/>
    <cellStyle name="Normal 61 2 2 6 2 2" xfId="4621" xr:uid="{00000000-0005-0000-0000-0000F8A50000}"/>
    <cellStyle name="Normal 61 2 2 6 3" xfId="4628" xr:uid="{00000000-0005-0000-0000-0000F9A50000}"/>
    <cellStyle name="Normal 61 2 2 7" xfId="4638" xr:uid="{00000000-0005-0000-0000-0000FAA50000}"/>
    <cellStyle name="Normal 61 2 2 7 2" xfId="4644" xr:uid="{00000000-0005-0000-0000-0000FBA50000}"/>
    <cellStyle name="Normal 61 2 2 8" xfId="2017" xr:uid="{00000000-0005-0000-0000-0000FCA50000}"/>
    <cellStyle name="Normal 61 2 2 8 2" xfId="2041" xr:uid="{00000000-0005-0000-0000-0000FDA50000}"/>
    <cellStyle name="Normal 61 2 2 9" xfId="219" xr:uid="{00000000-0005-0000-0000-0000FEA50000}"/>
    <cellStyle name="Normal 61 2 3" xfId="42158" xr:uid="{00000000-0005-0000-0000-0000FFA50000}"/>
    <cellStyle name="Normal 61 2 3 2" xfId="42160" xr:uid="{00000000-0005-0000-0000-000000A60000}"/>
    <cellStyle name="Normal 61 2 3 2 2" xfId="40437" xr:uid="{00000000-0005-0000-0000-000001A60000}"/>
    <cellStyle name="Normal 61 2 3 2 2 2" xfId="42162" xr:uid="{00000000-0005-0000-0000-000002A60000}"/>
    <cellStyle name="Normal 61 2 3 2 2 2 2" xfId="42164" xr:uid="{00000000-0005-0000-0000-000003A60000}"/>
    <cellStyle name="Normal 61 2 3 2 2 2 2 2" xfId="42166" xr:uid="{00000000-0005-0000-0000-000004A60000}"/>
    <cellStyle name="Normal 61 2 3 2 2 2 3" xfId="42168" xr:uid="{00000000-0005-0000-0000-000005A60000}"/>
    <cellStyle name="Normal 61 2 3 2 2 3" xfId="42170" xr:uid="{00000000-0005-0000-0000-000006A60000}"/>
    <cellStyle name="Normal 61 2 3 2 2 3 2" xfId="42172" xr:uid="{00000000-0005-0000-0000-000007A60000}"/>
    <cellStyle name="Normal 61 2 3 2 2 4" xfId="42174" xr:uid="{00000000-0005-0000-0000-000008A60000}"/>
    <cellStyle name="Normal 61 2 3 2 2 5" xfId="42176" xr:uid="{00000000-0005-0000-0000-000009A60000}"/>
    <cellStyle name="Normal 61 2 3 2 3" xfId="40440" xr:uid="{00000000-0005-0000-0000-00000AA60000}"/>
    <cellStyle name="Normal 61 2 3 2 3 2" xfId="14215" xr:uid="{00000000-0005-0000-0000-00000BA60000}"/>
    <cellStyle name="Normal 61 2 3 2 3 2 2" xfId="14220" xr:uid="{00000000-0005-0000-0000-00000CA60000}"/>
    <cellStyle name="Normal 61 2 3 2 3 3" xfId="14226" xr:uid="{00000000-0005-0000-0000-00000DA60000}"/>
    <cellStyle name="Normal 61 2 3 2 4" xfId="42178" xr:uid="{00000000-0005-0000-0000-00000EA60000}"/>
    <cellStyle name="Normal 61 2 3 2 4 2" xfId="14279" xr:uid="{00000000-0005-0000-0000-00000FA60000}"/>
    <cellStyle name="Normal 61 2 3 2 4 2 2" xfId="14286" xr:uid="{00000000-0005-0000-0000-000010A60000}"/>
    <cellStyle name="Normal 61 2 3 2 4 3" xfId="14295" xr:uid="{00000000-0005-0000-0000-000011A60000}"/>
    <cellStyle name="Normal 61 2 3 2 5" xfId="42180" xr:uid="{00000000-0005-0000-0000-000012A60000}"/>
    <cellStyle name="Normal 61 2 3 2 5 2" xfId="14321" xr:uid="{00000000-0005-0000-0000-000013A60000}"/>
    <cellStyle name="Normal 61 2 3 2 6" xfId="42182" xr:uid="{00000000-0005-0000-0000-000014A60000}"/>
    <cellStyle name="Normal 61 2 3 2 6 2" xfId="14334" xr:uid="{00000000-0005-0000-0000-000015A60000}"/>
    <cellStyle name="Normal 61 2 3 2 7" xfId="42184" xr:uid="{00000000-0005-0000-0000-000016A60000}"/>
    <cellStyle name="Normal 61 2 3 2 8" xfId="42187" xr:uid="{00000000-0005-0000-0000-000017A60000}"/>
    <cellStyle name="Normal 61 2 3 3" xfId="42190" xr:uid="{00000000-0005-0000-0000-000018A60000}"/>
    <cellStyle name="Normal 61 2 3 3 2" xfId="14439" xr:uid="{00000000-0005-0000-0000-000019A60000}"/>
    <cellStyle name="Normal 61 2 3 3 2 2" xfId="26454" xr:uid="{00000000-0005-0000-0000-00001AA60000}"/>
    <cellStyle name="Normal 61 2 3 3 2 2 2" xfId="42192" xr:uid="{00000000-0005-0000-0000-00001BA60000}"/>
    <cellStyle name="Normal 61 2 3 3 2 3" xfId="42194" xr:uid="{00000000-0005-0000-0000-00001CA60000}"/>
    <cellStyle name="Normal 61 2 3 3 3" xfId="26458" xr:uid="{00000000-0005-0000-0000-00001DA60000}"/>
    <cellStyle name="Normal 61 2 3 3 3 2" xfId="14355" xr:uid="{00000000-0005-0000-0000-00001EA60000}"/>
    <cellStyle name="Normal 61 2 3 3 4" xfId="26462" xr:uid="{00000000-0005-0000-0000-00001FA60000}"/>
    <cellStyle name="Normal 61 2 3 3 5" xfId="26465" xr:uid="{00000000-0005-0000-0000-000020A60000}"/>
    <cellStyle name="Normal 61 2 3 4" xfId="4671" xr:uid="{00000000-0005-0000-0000-000021A60000}"/>
    <cellStyle name="Normal 61 2 3 4 2" xfId="4687" xr:uid="{00000000-0005-0000-0000-000022A60000}"/>
    <cellStyle name="Normal 61 2 3 4 2 2" xfId="2444" xr:uid="{00000000-0005-0000-0000-000023A60000}"/>
    <cellStyle name="Normal 61 2 3 4 3" xfId="4728" xr:uid="{00000000-0005-0000-0000-000024A60000}"/>
    <cellStyle name="Normal 61 2 3 5" xfId="4791" xr:uid="{00000000-0005-0000-0000-000025A60000}"/>
    <cellStyle name="Normal 61 2 3 5 2" xfId="4800" xr:uid="{00000000-0005-0000-0000-000026A60000}"/>
    <cellStyle name="Normal 61 2 3 5 2 2" xfId="4274" xr:uid="{00000000-0005-0000-0000-000027A60000}"/>
    <cellStyle name="Normal 61 2 3 5 3" xfId="2164" xr:uid="{00000000-0005-0000-0000-000028A60000}"/>
    <cellStyle name="Normal 61 2 3 6" xfId="4823" xr:uid="{00000000-0005-0000-0000-000029A60000}"/>
    <cellStyle name="Normal 61 2 3 6 2" xfId="4835" xr:uid="{00000000-0005-0000-0000-00002AA60000}"/>
    <cellStyle name="Normal 61 2 3 7" xfId="1824" xr:uid="{00000000-0005-0000-0000-00002BA60000}"/>
    <cellStyle name="Normal 61 2 3 7 2" xfId="1119" xr:uid="{00000000-0005-0000-0000-00002CA60000}"/>
    <cellStyle name="Normal 61 2 3 8" xfId="2078" xr:uid="{00000000-0005-0000-0000-00002DA60000}"/>
    <cellStyle name="Normal 61 2 3 9" xfId="4009" xr:uid="{00000000-0005-0000-0000-00002EA60000}"/>
    <cellStyle name="Normal 61 2 4" xfId="42196" xr:uid="{00000000-0005-0000-0000-00002FA60000}"/>
    <cellStyle name="Normal 61 2 4 2" xfId="42198" xr:uid="{00000000-0005-0000-0000-000030A60000}"/>
    <cellStyle name="Normal 61 2 4 2 2" xfId="40478" xr:uid="{00000000-0005-0000-0000-000031A60000}"/>
    <cellStyle name="Normal 61 2 4 2 2 2" xfId="42202" xr:uid="{00000000-0005-0000-0000-000032A60000}"/>
    <cellStyle name="Normal 61 2 4 2 2 2 2" xfId="42204" xr:uid="{00000000-0005-0000-0000-000033A60000}"/>
    <cellStyle name="Normal 61 2 4 2 2 2 2 2" xfId="42206" xr:uid="{00000000-0005-0000-0000-000034A60000}"/>
    <cellStyle name="Normal 61 2 4 2 2 2 3" xfId="42208" xr:uid="{00000000-0005-0000-0000-000035A60000}"/>
    <cellStyle name="Normal 61 2 4 2 2 3" xfId="42211" xr:uid="{00000000-0005-0000-0000-000036A60000}"/>
    <cellStyle name="Normal 61 2 4 2 2 3 2" xfId="42213" xr:uid="{00000000-0005-0000-0000-000037A60000}"/>
    <cellStyle name="Normal 61 2 4 2 2 4" xfId="42215" xr:uid="{00000000-0005-0000-0000-000038A60000}"/>
    <cellStyle name="Normal 61 2 4 2 3" xfId="42217" xr:uid="{00000000-0005-0000-0000-000039A60000}"/>
    <cellStyle name="Normal 61 2 4 2 3 2" xfId="14730" xr:uid="{00000000-0005-0000-0000-00003AA60000}"/>
    <cellStyle name="Normal 61 2 4 2 3 2 2" xfId="14733" xr:uid="{00000000-0005-0000-0000-00003BA60000}"/>
    <cellStyle name="Normal 61 2 4 2 3 3" xfId="14739" xr:uid="{00000000-0005-0000-0000-00003CA60000}"/>
    <cellStyle name="Normal 61 2 4 2 4" xfId="42219" xr:uid="{00000000-0005-0000-0000-00003DA60000}"/>
    <cellStyle name="Normal 61 2 4 2 4 2" xfId="14764" xr:uid="{00000000-0005-0000-0000-00003EA60000}"/>
    <cellStyle name="Normal 61 2 4 2 4 2 2" xfId="33989" xr:uid="{00000000-0005-0000-0000-00003FA60000}"/>
    <cellStyle name="Normal 61 2 4 2 4 3" xfId="14771" xr:uid="{00000000-0005-0000-0000-000040A60000}"/>
    <cellStyle name="Normal 61 2 4 2 5" xfId="42221" xr:uid="{00000000-0005-0000-0000-000041A60000}"/>
    <cellStyle name="Normal 61 2 4 2 5 2" xfId="14788" xr:uid="{00000000-0005-0000-0000-000042A60000}"/>
    <cellStyle name="Normal 61 2 4 2 6" xfId="42223" xr:uid="{00000000-0005-0000-0000-000043A60000}"/>
    <cellStyle name="Normal 61 2 4 2 6 2" xfId="36121" xr:uid="{00000000-0005-0000-0000-000044A60000}"/>
    <cellStyle name="Normal 61 2 4 2 7" xfId="36956" xr:uid="{00000000-0005-0000-0000-000045A60000}"/>
    <cellStyle name="Normal 61 2 4 2 8" xfId="36967" xr:uid="{00000000-0005-0000-0000-000046A60000}"/>
    <cellStyle name="Normal 61 2 4 3" xfId="42225" xr:uid="{00000000-0005-0000-0000-000047A60000}"/>
    <cellStyle name="Normal 61 2 4 3 2" xfId="14444" xr:uid="{00000000-0005-0000-0000-000048A60000}"/>
    <cellStyle name="Normal 61 2 4 3 2 2" xfId="9622" xr:uid="{00000000-0005-0000-0000-000049A60000}"/>
    <cellStyle name="Normal 61 2 4 3 2 2 2" xfId="2401" xr:uid="{00000000-0005-0000-0000-00004AA60000}"/>
    <cellStyle name="Normal 61 2 4 3 2 3" xfId="42227" xr:uid="{00000000-0005-0000-0000-00004BA60000}"/>
    <cellStyle name="Normal 61 2 4 3 3" xfId="11246" xr:uid="{00000000-0005-0000-0000-00004CA60000}"/>
    <cellStyle name="Normal 61 2 4 3 3 2" xfId="9744" xr:uid="{00000000-0005-0000-0000-00004DA60000}"/>
    <cellStyle name="Normal 61 2 4 3 4" xfId="11299" xr:uid="{00000000-0005-0000-0000-00004EA60000}"/>
    <cellStyle name="Normal 61 2 4 4" xfId="2463" xr:uid="{00000000-0005-0000-0000-00004FA60000}"/>
    <cellStyle name="Normal 61 2 4 4 2" xfId="2481" xr:uid="{00000000-0005-0000-0000-000050A60000}"/>
    <cellStyle name="Normal 61 2 4 4 2 2" xfId="1080" xr:uid="{00000000-0005-0000-0000-000051A60000}"/>
    <cellStyle name="Normal 61 2 4 4 3" xfId="2494" xr:uid="{00000000-0005-0000-0000-000052A60000}"/>
    <cellStyle name="Normal 61 2 4 5" xfId="2514" xr:uid="{00000000-0005-0000-0000-000053A60000}"/>
    <cellStyle name="Normal 61 2 4 5 2" xfId="2540" xr:uid="{00000000-0005-0000-0000-000054A60000}"/>
    <cellStyle name="Normal 61 2 4 5 2 2" xfId="2565" xr:uid="{00000000-0005-0000-0000-000055A60000}"/>
    <cellStyle name="Normal 61 2 4 5 3" xfId="2587" xr:uid="{00000000-0005-0000-0000-000056A60000}"/>
    <cellStyle name="Normal 61 2 4 6" xfId="2596" xr:uid="{00000000-0005-0000-0000-000057A60000}"/>
    <cellStyle name="Normal 61 2 4 6 2" xfId="2607" xr:uid="{00000000-0005-0000-0000-000058A60000}"/>
    <cellStyle name="Normal 61 2 4 7" xfId="2626" xr:uid="{00000000-0005-0000-0000-000059A60000}"/>
    <cellStyle name="Normal 61 2 4 7 2" xfId="2629" xr:uid="{00000000-0005-0000-0000-00005AA60000}"/>
    <cellStyle name="Normal 61 2 4 8" xfId="2095" xr:uid="{00000000-0005-0000-0000-00005BA60000}"/>
    <cellStyle name="Normal 61 2 4 9" xfId="4031" xr:uid="{00000000-0005-0000-0000-00005CA60000}"/>
    <cellStyle name="Normal 61 2 5" xfId="42229" xr:uid="{00000000-0005-0000-0000-00005DA60000}"/>
    <cellStyle name="Normal 61 2 5 2" xfId="42231" xr:uid="{00000000-0005-0000-0000-00005EA60000}"/>
    <cellStyle name="Normal 61 2 5 2 2" xfId="40513" xr:uid="{00000000-0005-0000-0000-00005FA60000}"/>
    <cellStyle name="Normal 61 2 5 2 2 2" xfId="42233" xr:uid="{00000000-0005-0000-0000-000060A60000}"/>
    <cellStyle name="Normal 61 2 5 2 2 2 2" xfId="42235" xr:uid="{00000000-0005-0000-0000-000061A60000}"/>
    <cellStyle name="Normal 61 2 5 2 2 2 2 2" xfId="42237" xr:uid="{00000000-0005-0000-0000-000062A60000}"/>
    <cellStyle name="Normal 61 2 5 2 2 2 3" xfId="42239" xr:uid="{00000000-0005-0000-0000-000063A60000}"/>
    <cellStyle name="Normal 61 2 5 2 2 3" xfId="42241" xr:uid="{00000000-0005-0000-0000-000064A60000}"/>
    <cellStyle name="Normal 61 2 5 2 2 3 2" xfId="42243" xr:uid="{00000000-0005-0000-0000-000065A60000}"/>
    <cellStyle name="Normal 61 2 5 2 2 4" xfId="42245" xr:uid="{00000000-0005-0000-0000-000066A60000}"/>
    <cellStyle name="Normal 61 2 5 2 3" xfId="42247" xr:uid="{00000000-0005-0000-0000-000067A60000}"/>
    <cellStyle name="Normal 61 2 5 2 3 2" xfId="14918" xr:uid="{00000000-0005-0000-0000-000068A60000}"/>
    <cellStyle name="Normal 61 2 5 2 3 2 2" xfId="42249" xr:uid="{00000000-0005-0000-0000-000069A60000}"/>
    <cellStyle name="Normal 61 2 5 2 3 3" xfId="13564" xr:uid="{00000000-0005-0000-0000-00006AA60000}"/>
    <cellStyle name="Normal 61 2 5 2 4" xfId="42251" xr:uid="{00000000-0005-0000-0000-00006BA60000}"/>
    <cellStyle name="Normal 61 2 5 2 4 2" xfId="42253" xr:uid="{00000000-0005-0000-0000-00006CA60000}"/>
    <cellStyle name="Normal 61 2 5 2 4 2 2" xfId="34318" xr:uid="{00000000-0005-0000-0000-00006DA60000}"/>
    <cellStyle name="Normal 61 2 5 2 4 3" xfId="42255" xr:uid="{00000000-0005-0000-0000-00006EA60000}"/>
    <cellStyle name="Normal 61 2 5 2 5" xfId="3619" xr:uid="{00000000-0005-0000-0000-00006FA60000}"/>
    <cellStyle name="Normal 61 2 5 2 5 2" xfId="3627" xr:uid="{00000000-0005-0000-0000-000070A60000}"/>
    <cellStyle name="Normal 61 2 5 2 6" xfId="3214" xr:uid="{00000000-0005-0000-0000-000071A60000}"/>
    <cellStyle name="Normal 61 2 5 2 6 2" xfId="3647" xr:uid="{00000000-0005-0000-0000-000072A60000}"/>
    <cellStyle name="Normal 61 2 5 2 7" xfId="3656" xr:uid="{00000000-0005-0000-0000-000073A60000}"/>
    <cellStyle name="Normal 61 2 5 2 8" xfId="3674" xr:uid="{00000000-0005-0000-0000-000074A60000}"/>
    <cellStyle name="Normal 61 2 5 3" xfId="2692" xr:uid="{00000000-0005-0000-0000-000075A60000}"/>
    <cellStyle name="Normal 61 2 5 3 2" xfId="11710" xr:uid="{00000000-0005-0000-0000-000076A60000}"/>
    <cellStyle name="Normal 61 2 5 3 2 2" xfId="42257" xr:uid="{00000000-0005-0000-0000-000077A60000}"/>
    <cellStyle name="Normal 61 2 5 3 2 2 2" xfId="42259" xr:uid="{00000000-0005-0000-0000-000078A60000}"/>
    <cellStyle name="Normal 61 2 5 3 2 3" xfId="42261" xr:uid="{00000000-0005-0000-0000-000079A60000}"/>
    <cellStyle name="Normal 61 2 5 3 3" xfId="42264" xr:uid="{00000000-0005-0000-0000-00007AA60000}"/>
    <cellStyle name="Normal 61 2 5 3 3 2" xfId="10527" xr:uid="{00000000-0005-0000-0000-00007BA60000}"/>
    <cellStyle name="Normal 61 2 5 3 4" xfId="42266" xr:uid="{00000000-0005-0000-0000-00007CA60000}"/>
    <cellStyle name="Normal 61 2 5 4" xfId="2740" xr:uid="{00000000-0005-0000-0000-00007DA60000}"/>
    <cellStyle name="Normal 61 2 5 4 2" xfId="720" xr:uid="{00000000-0005-0000-0000-00007EA60000}"/>
    <cellStyle name="Normal 61 2 5 4 2 2" xfId="4950" xr:uid="{00000000-0005-0000-0000-00007FA60000}"/>
    <cellStyle name="Normal 61 2 5 4 3" xfId="4956" xr:uid="{00000000-0005-0000-0000-000080A60000}"/>
    <cellStyle name="Normal 61 2 5 5" xfId="2759" xr:uid="{00000000-0005-0000-0000-000081A60000}"/>
    <cellStyle name="Normal 61 2 5 5 2" xfId="4959" xr:uid="{00000000-0005-0000-0000-000082A60000}"/>
    <cellStyle name="Normal 61 2 5 5 2 2" xfId="42268" xr:uid="{00000000-0005-0000-0000-000083A60000}"/>
    <cellStyle name="Normal 61 2 5 5 3" xfId="42270" xr:uid="{00000000-0005-0000-0000-000084A60000}"/>
    <cellStyle name="Normal 61 2 5 6" xfId="4962" xr:uid="{00000000-0005-0000-0000-000085A60000}"/>
    <cellStyle name="Normal 61 2 5 6 2" xfId="42272" xr:uid="{00000000-0005-0000-0000-000086A60000}"/>
    <cellStyle name="Normal 61 2 5 7" xfId="42274" xr:uid="{00000000-0005-0000-0000-000087A60000}"/>
    <cellStyle name="Normal 61 2 5 7 2" xfId="42276" xr:uid="{00000000-0005-0000-0000-000088A60000}"/>
    <cellStyle name="Normal 61 2 5 8" xfId="42278" xr:uid="{00000000-0005-0000-0000-000089A60000}"/>
    <cellStyle name="Normal 61 2 5 9" xfId="42280" xr:uid="{00000000-0005-0000-0000-00008AA60000}"/>
    <cellStyle name="Normal 61 2 6" xfId="42282" xr:uid="{00000000-0005-0000-0000-00008BA60000}"/>
    <cellStyle name="Normal 61 2 6 2" xfId="42284" xr:uid="{00000000-0005-0000-0000-00008CA60000}"/>
    <cellStyle name="Normal 61 2 6 2 2" xfId="42286" xr:uid="{00000000-0005-0000-0000-00008DA60000}"/>
    <cellStyle name="Normal 61 2 6 2 2 2" xfId="42288" xr:uid="{00000000-0005-0000-0000-00008EA60000}"/>
    <cellStyle name="Normal 61 2 6 2 2 2 2" xfId="42290" xr:uid="{00000000-0005-0000-0000-00008FA60000}"/>
    <cellStyle name="Normal 61 2 6 2 2 3" xfId="42293" xr:uid="{00000000-0005-0000-0000-000090A60000}"/>
    <cellStyle name="Normal 61 2 6 2 3" xfId="42296" xr:uid="{00000000-0005-0000-0000-000091A60000}"/>
    <cellStyle name="Normal 61 2 6 2 3 2" xfId="10940" xr:uid="{00000000-0005-0000-0000-000092A60000}"/>
    <cellStyle name="Normal 61 2 6 2 4" xfId="42298" xr:uid="{00000000-0005-0000-0000-000093A60000}"/>
    <cellStyle name="Normal 61 2 6 3" xfId="11723" xr:uid="{00000000-0005-0000-0000-000094A60000}"/>
    <cellStyle name="Normal 61 2 6 3 2" xfId="42300" xr:uid="{00000000-0005-0000-0000-000095A60000}"/>
    <cellStyle name="Normal 61 2 6 3 2 2" xfId="42302" xr:uid="{00000000-0005-0000-0000-000096A60000}"/>
    <cellStyle name="Normal 61 2 6 3 3" xfId="42304" xr:uid="{00000000-0005-0000-0000-000097A60000}"/>
    <cellStyle name="Normal 61 2 6 4" xfId="624" xr:uid="{00000000-0005-0000-0000-000098A60000}"/>
    <cellStyle name="Normal 61 2 6 4 2" xfId="875" xr:uid="{00000000-0005-0000-0000-000099A60000}"/>
    <cellStyle name="Normal 61 2 6 4 2 2" xfId="42306" xr:uid="{00000000-0005-0000-0000-00009AA60000}"/>
    <cellStyle name="Normal 61 2 6 4 3" xfId="42308" xr:uid="{00000000-0005-0000-0000-00009BA60000}"/>
    <cellStyle name="Normal 61 2 6 5" xfId="713" xr:uid="{00000000-0005-0000-0000-00009CA60000}"/>
    <cellStyle name="Normal 61 2 6 5 2" xfId="42310" xr:uid="{00000000-0005-0000-0000-00009DA60000}"/>
    <cellStyle name="Normal 61 2 6 6" xfId="42312" xr:uid="{00000000-0005-0000-0000-00009EA60000}"/>
    <cellStyle name="Normal 61 2 6 6 2" xfId="42314" xr:uid="{00000000-0005-0000-0000-00009FA60000}"/>
    <cellStyle name="Normal 61 2 6 7" xfId="42316" xr:uid="{00000000-0005-0000-0000-0000A0A60000}"/>
    <cellStyle name="Normal 61 2 6 8" xfId="42318" xr:uid="{00000000-0005-0000-0000-0000A1A60000}"/>
    <cellStyle name="Normal 61 2 7" xfId="42320" xr:uid="{00000000-0005-0000-0000-0000A2A60000}"/>
    <cellStyle name="Normal 61 2 7 2" xfId="42322" xr:uid="{00000000-0005-0000-0000-0000A3A60000}"/>
    <cellStyle name="Normal 61 2 7 2 2" xfId="42324" xr:uid="{00000000-0005-0000-0000-0000A4A60000}"/>
    <cellStyle name="Normal 61 2 7 2 2 2" xfId="42326" xr:uid="{00000000-0005-0000-0000-0000A5A60000}"/>
    <cellStyle name="Normal 61 2 7 2 3" xfId="42328" xr:uid="{00000000-0005-0000-0000-0000A6A60000}"/>
    <cellStyle name="Normal 61 2 7 3" xfId="42330" xr:uid="{00000000-0005-0000-0000-0000A7A60000}"/>
    <cellStyle name="Normal 61 2 7 3 2" xfId="42332" xr:uid="{00000000-0005-0000-0000-0000A8A60000}"/>
    <cellStyle name="Normal 61 2 7 4" xfId="2845" xr:uid="{00000000-0005-0000-0000-0000A9A60000}"/>
    <cellStyle name="Normal 61 2 8" xfId="42334" xr:uid="{00000000-0005-0000-0000-0000AAA60000}"/>
    <cellStyle name="Normal 61 2 8 2" xfId="30095" xr:uid="{00000000-0005-0000-0000-0000ABA60000}"/>
    <cellStyle name="Normal 61 2 8 2 2" xfId="42336" xr:uid="{00000000-0005-0000-0000-0000ACA60000}"/>
    <cellStyle name="Normal 61 2 8 3" xfId="42339" xr:uid="{00000000-0005-0000-0000-0000ADA60000}"/>
    <cellStyle name="Normal 61 2 9" xfId="42341" xr:uid="{00000000-0005-0000-0000-0000AEA60000}"/>
    <cellStyle name="Normal 61 2 9 2" xfId="42343" xr:uid="{00000000-0005-0000-0000-0000AFA60000}"/>
    <cellStyle name="Normal 61 2 9 2 2" xfId="42345" xr:uid="{00000000-0005-0000-0000-0000B0A60000}"/>
    <cellStyle name="Normal 61 2 9 3" xfId="14625" xr:uid="{00000000-0005-0000-0000-0000B1A60000}"/>
    <cellStyle name="Normal 61 3" xfId="42348" xr:uid="{00000000-0005-0000-0000-0000B2A60000}"/>
    <cellStyle name="Normal 61 3 10" xfId="42350" xr:uid="{00000000-0005-0000-0000-0000B3A60000}"/>
    <cellStyle name="Normal 61 3 10 2" xfId="42352" xr:uid="{00000000-0005-0000-0000-0000B4A60000}"/>
    <cellStyle name="Normal 61 3 11" xfId="42354" xr:uid="{00000000-0005-0000-0000-0000B5A60000}"/>
    <cellStyle name="Normal 61 3 11 2" xfId="42356" xr:uid="{00000000-0005-0000-0000-0000B6A60000}"/>
    <cellStyle name="Normal 61 3 12" xfId="40147" xr:uid="{00000000-0005-0000-0000-0000B7A60000}"/>
    <cellStyle name="Normal 61 3 12 2" xfId="33765" xr:uid="{00000000-0005-0000-0000-0000B8A60000}"/>
    <cellStyle name="Normal 61 3 13" xfId="42358" xr:uid="{00000000-0005-0000-0000-0000B9A60000}"/>
    <cellStyle name="Normal 61 3 14" xfId="42360" xr:uid="{00000000-0005-0000-0000-0000BAA60000}"/>
    <cellStyle name="Normal 61 3 2" xfId="42362" xr:uid="{00000000-0005-0000-0000-0000BBA60000}"/>
    <cellStyle name="Normal 61 3 2 10" xfId="34205" xr:uid="{00000000-0005-0000-0000-0000BCA60000}"/>
    <cellStyle name="Normal 61 3 2 2" xfId="42364" xr:uid="{00000000-0005-0000-0000-0000BDA60000}"/>
    <cellStyle name="Normal 61 3 2 2 2" xfId="39021" xr:uid="{00000000-0005-0000-0000-0000BEA60000}"/>
    <cellStyle name="Normal 61 3 2 2 2 2" xfId="40876" xr:uid="{00000000-0005-0000-0000-0000BFA60000}"/>
    <cellStyle name="Normal 61 3 2 2 2 2 2" xfId="15848" xr:uid="{00000000-0005-0000-0000-0000C0A60000}"/>
    <cellStyle name="Normal 61 3 2 2 2 2 2 2" xfId="16186" xr:uid="{00000000-0005-0000-0000-0000C1A60000}"/>
    <cellStyle name="Normal 61 3 2 2 2 2 2 2 2" xfId="42366" xr:uid="{00000000-0005-0000-0000-0000C2A60000}"/>
    <cellStyle name="Normal 61 3 2 2 2 2 2 3" xfId="42368" xr:uid="{00000000-0005-0000-0000-0000C3A60000}"/>
    <cellStyle name="Normal 61 3 2 2 2 2 3" xfId="15859" xr:uid="{00000000-0005-0000-0000-0000C4A60000}"/>
    <cellStyle name="Normal 61 3 2 2 2 2 3 2" xfId="42370" xr:uid="{00000000-0005-0000-0000-0000C5A60000}"/>
    <cellStyle name="Normal 61 3 2 2 2 2 4" xfId="16193" xr:uid="{00000000-0005-0000-0000-0000C6A60000}"/>
    <cellStyle name="Normal 61 3 2 2 2 3" xfId="40879" xr:uid="{00000000-0005-0000-0000-0000C7A60000}"/>
    <cellStyle name="Normal 61 3 2 2 2 3 2" xfId="42372" xr:uid="{00000000-0005-0000-0000-0000C8A60000}"/>
    <cellStyle name="Normal 61 3 2 2 2 3 2 2" xfId="42374" xr:uid="{00000000-0005-0000-0000-0000C9A60000}"/>
    <cellStyle name="Normal 61 3 2 2 2 3 3" xfId="312" xr:uid="{00000000-0005-0000-0000-0000CAA60000}"/>
    <cellStyle name="Normal 61 3 2 2 2 4" xfId="42376" xr:uid="{00000000-0005-0000-0000-0000CBA60000}"/>
    <cellStyle name="Normal 61 3 2 2 2 4 2" xfId="42378" xr:uid="{00000000-0005-0000-0000-0000CCA60000}"/>
    <cellStyle name="Normal 61 3 2 2 2 4 2 2" xfId="19295" xr:uid="{00000000-0005-0000-0000-0000CDA60000}"/>
    <cellStyle name="Normal 61 3 2 2 2 4 3" xfId="8548" xr:uid="{00000000-0005-0000-0000-0000CEA60000}"/>
    <cellStyle name="Normal 61 3 2 2 2 5" xfId="42381" xr:uid="{00000000-0005-0000-0000-0000CFA60000}"/>
    <cellStyle name="Normal 61 3 2 2 2 5 2" xfId="42383" xr:uid="{00000000-0005-0000-0000-0000D0A60000}"/>
    <cellStyle name="Normal 61 3 2 2 2 6" xfId="42385" xr:uid="{00000000-0005-0000-0000-0000D1A60000}"/>
    <cellStyle name="Normal 61 3 2 2 2 6 2" xfId="21086" xr:uid="{00000000-0005-0000-0000-0000D2A60000}"/>
    <cellStyle name="Normal 61 3 2 2 2 7" xfId="22952" xr:uid="{00000000-0005-0000-0000-0000D3A60000}"/>
    <cellStyle name="Normal 61 3 2 2 2 8" xfId="7010" xr:uid="{00000000-0005-0000-0000-0000D4A60000}"/>
    <cellStyle name="Normal 61 3 2 2 3" xfId="40882" xr:uid="{00000000-0005-0000-0000-0000D5A60000}"/>
    <cellStyle name="Normal 61 3 2 2 3 2" xfId="40020" xr:uid="{00000000-0005-0000-0000-0000D6A60000}"/>
    <cellStyle name="Normal 61 3 2 2 3 2 2" xfId="42387" xr:uid="{00000000-0005-0000-0000-0000D7A60000}"/>
    <cellStyle name="Normal 61 3 2 2 3 2 2 2" xfId="42389" xr:uid="{00000000-0005-0000-0000-0000D8A60000}"/>
    <cellStyle name="Normal 61 3 2 2 3 2 3" xfId="42391" xr:uid="{00000000-0005-0000-0000-0000D9A60000}"/>
    <cellStyle name="Normal 61 3 2 2 3 3" xfId="42393" xr:uid="{00000000-0005-0000-0000-0000DAA60000}"/>
    <cellStyle name="Normal 61 3 2 2 3 3 2" xfId="42395" xr:uid="{00000000-0005-0000-0000-0000DBA60000}"/>
    <cellStyle name="Normal 61 3 2 2 3 4" xfId="42397" xr:uid="{00000000-0005-0000-0000-0000DCA60000}"/>
    <cellStyle name="Normal 61 3 2 2 4" xfId="24946" xr:uid="{00000000-0005-0000-0000-0000DDA60000}"/>
    <cellStyle name="Normal 61 3 2 2 4 2" xfId="40885" xr:uid="{00000000-0005-0000-0000-0000DEA60000}"/>
    <cellStyle name="Normal 61 3 2 2 4 2 2" xfId="42399" xr:uid="{00000000-0005-0000-0000-0000DFA60000}"/>
    <cellStyle name="Normal 61 3 2 2 4 3" xfId="32958" xr:uid="{00000000-0005-0000-0000-0000E0A60000}"/>
    <cellStyle name="Normal 61 3 2 2 5" xfId="7823" xr:uid="{00000000-0005-0000-0000-0000E1A60000}"/>
    <cellStyle name="Normal 61 3 2 2 5 2" xfId="42401" xr:uid="{00000000-0005-0000-0000-0000E2A60000}"/>
    <cellStyle name="Normal 61 3 2 2 5 2 2" xfId="42403" xr:uid="{00000000-0005-0000-0000-0000E3A60000}"/>
    <cellStyle name="Normal 61 3 2 2 5 3" xfId="42405" xr:uid="{00000000-0005-0000-0000-0000E4A60000}"/>
    <cellStyle name="Normal 61 3 2 2 6" xfId="40888" xr:uid="{00000000-0005-0000-0000-0000E5A60000}"/>
    <cellStyle name="Normal 61 3 2 2 6 2" xfId="42407" xr:uid="{00000000-0005-0000-0000-0000E6A60000}"/>
    <cellStyle name="Normal 61 3 2 2 7" xfId="42409" xr:uid="{00000000-0005-0000-0000-0000E7A60000}"/>
    <cellStyle name="Normal 61 3 2 2 7 2" xfId="42411" xr:uid="{00000000-0005-0000-0000-0000E8A60000}"/>
    <cellStyle name="Normal 61 3 2 2 8" xfId="42414" xr:uid="{00000000-0005-0000-0000-0000E9A60000}"/>
    <cellStyle name="Normal 61 3 2 2 9" xfId="20407" xr:uid="{00000000-0005-0000-0000-0000EAA60000}"/>
    <cellStyle name="Normal 61 3 2 3" xfId="42417" xr:uid="{00000000-0005-0000-0000-0000EBA60000}"/>
    <cellStyle name="Normal 61 3 2 3 2" xfId="14456" xr:uid="{00000000-0005-0000-0000-0000ECA60000}"/>
    <cellStyle name="Normal 61 3 2 3 2 2" xfId="42419" xr:uid="{00000000-0005-0000-0000-0000EDA60000}"/>
    <cellStyle name="Normal 61 3 2 3 2 2 2" xfId="42421" xr:uid="{00000000-0005-0000-0000-0000EEA60000}"/>
    <cellStyle name="Normal 61 3 2 3 2 2 2 2" xfId="42423" xr:uid="{00000000-0005-0000-0000-0000EFA60000}"/>
    <cellStyle name="Normal 61 3 2 3 2 2 3" xfId="6228" xr:uid="{00000000-0005-0000-0000-0000F0A60000}"/>
    <cellStyle name="Normal 61 3 2 3 2 3" xfId="42425" xr:uid="{00000000-0005-0000-0000-0000F1A60000}"/>
    <cellStyle name="Normal 61 3 2 3 2 3 2" xfId="42427" xr:uid="{00000000-0005-0000-0000-0000F2A60000}"/>
    <cellStyle name="Normal 61 3 2 3 2 4" xfId="42429" xr:uid="{00000000-0005-0000-0000-0000F3A60000}"/>
    <cellStyle name="Normal 61 3 2 3 3" xfId="42432" xr:uid="{00000000-0005-0000-0000-0000F4A60000}"/>
    <cellStyle name="Normal 61 3 2 3 3 2" xfId="42435" xr:uid="{00000000-0005-0000-0000-0000F5A60000}"/>
    <cellStyle name="Normal 61 3 2 3 3 2 2" xfId="42437" xr:uid="{00000000-0005-0000-0000-0000F6A60000}"/>
    <cellStyle name="Normal 61 3 2 3 3 3" xfId="42439" xr:uid="{00000000-0005-0000-0000-0000F7A60000}"/>
    <cellStyle name="Normal 61 3 2 3 4" xfId="24953" xr:uid="{00000000-0005-0000-0000-0000F8A60000}"/>
    <cellStyle name="Normal 61 3 2 3 4 2" xfId="42441" xr:uid="{00000000-0005-0000-0000-0000F9A60000}"/>
    <cellStyle name="Normal 61 3 2 3 4 2 2" xfId="42443" xr:uid="{00000000-0005-0000-0000-0000FAA60000}"/>
    <cellStyle name="Normal 61 3 2 3 4 3" xfId="32967" xr:uid="{00000000-0005-0000-0000-0000FBA60000}"/>
    <cellStyle name="Normal 61 3 2 3 5" xfId="42445" xr:uid="{00000000-0005-0000-0000-0000FCA60000}"/>
    <cellStyle name="Normal 61 3 2 3 5 2" xfId="42447" xr:uid="{00000000-0005-0000-0000-0000FDA60000}"/>
    <cellStyle name="Normal 61 3 2 3 6" xfId="42449" xr:uid="{00000000-0005-0000-0000-0000FEA60000}"/>
    <cellStyle name="Normal 61 3 2 3 6 2" xfId="42451" xr:uid="{00000000-0005-0000-0000-0000FFA60000}"/>
    <cellStyle name="Normal 61 3 2 3 7" xfId="42453" xr:uid="{00000000-0005-0000-0000-000000A70000}"/>
    <cellStyle name="Normal 61 3 2 3 8" xfId="42455" xr:uid="{00000000-0005-0000-0000-000001A70000}"/>
    <cellStyle name="Normal 61 3 2 4" xfId="5131" xr:uid="{00000000-0005-0000-0000-000002A70000}"/>
    <cellStyle name="Normal 61 3 2 4 2" xfId="5149" xr:uid="{00000000-0005-0000-0000-000003A70000}"/>
    <cellStyle name="Normal 61 3 2 4 2 2" xfId="42457" xr:uid="{00000000-0005-0000-0000-000004A70000}"/>
    <cellStyle name="Normal 61 3 2 4 2 2 2" xfId="17684" xr:uid="{00000000-0005-0000-0000-000005A70000}"/>
    <cellStyle name="Normal 61 3 2 4 2 3" xfId="42459" xr:uid="{00000000-0005-0000-0000-000006A70000}"/>
    <cellStyle name="Normal 61 3 2 4 3" xfId="42462" xr:uid="{00000000-0005-0000-0000-000007A70000}"/>
    <cellStyle name="Normal 61 3 2 4 3 2" xfId="42464" xr:uid="{00000000-0005-0000-0000-000008A70000}"/>
    <cellStyle name="Normal 61 3 2 4 4" xfId="17795" xr:uid="{00000000-0005-0000-0000-000009A70000}"/>
    <cellStyle name="Normal 61 3 2 5" xfId="5155" xr:uid="{00000000-0005-0000-0000-00000AA70000}"/>
    <cellStyle name="Normal 61 3 2 5 2" xfId="17903" xr:uid="{00000000-0005-0000-0000-00000BA70000}"/>
    <cellStyle name="Normal 61 3 2 5 2 2" xfId="42466" xr:uid="{00000000-0005-0000-0000-00000CA70000}"/>
    <cellStyle name="Normal 61 3 2 5 3" xfId="42468" xr:uid="{00000000-0005-0000-0000-00000DA70000}"/>
    <cellStyle name="Normal 61 3 2 6" xfId="19990" xr:uid="{00000000-0005-0000-0000-00000EA70000}"/>
    <cellStyle name="Normal 61 3 2 6 2" xfId="17992" xr:uid="{00000000-0005-0000-0000-00000FA70000}"/>
    <cellStyle name="Normal 61 3 2 6 2 2" xfId="42470" xr:uid="{00000000-0005-0000-0000-000010A70000}"/>
    <cellStyle name="Normal 61 3 2 6 3" xfId="17998" xr:uid="{00000000-0005-0000-0000-000011A70000}"/>
    <cellStyle name="Normal 61 3 2 7" xfId="19994" xr:uid="{00000000-0005-0000-0000-000012A70000}"/>
    <cellStyle name="Normal 61 3 2 7 2" xfId="42472" xr:uid="{00000000-0005-0000-0000-000013A70000}"/>
    <cellStyle name="Normal 61 3 2 8" xfId="42474" xr:uid="{00000000-0005-0000-0000-000014A70000}"/>
    <cellStyle name="Normal 61 3 2 8 2" xfId="42476" xr:uid="{00000000-0005-0000-0000-000015A70000}"/>
    <cellStyle name="Normal 61 3 2 9" xfId="20750" xr:uid="{00000000-0005-0000-0000-000016A70000}"/>
    <cellStyle name="Normal 61 3 3" xfId="42478" xr:uid="{00000000-0005-0000-0000-000017A70000}"/>
    <cellStyle name="Normal 61 3 3 2" xfId="42480" xr:uid="{00000000-0005-0000-0000-000018A70000}"/>
    <cellStyle name="Normal 61 3 3 2 2" xfId="39061" xr:uid="{00000000-0005-0000-0000-000019A70000}"/>
    <cellStyle name="Normal 61 3 3 2 2 2" xfId="42482" xr:uid="{00000000-0005-0000-0000-00001AA70000}"/>
    <cellStyle name="Normal 61 3 3 2 2 2 2" xfId="42484" xr:uid="{00000000-0005-0000-0000-00001BA70000}"/>
    <cellStyle name="Normal 61 3 3 2 2 2 2 2" xfId="42486" xr:uid="{00000000-0005-0000-0000-00001CA70000}"/>
    <cellStyle name="Normal 61 3 3 2 2 2 3" xfId="42488" xr:uid="{00000000-0005-0000-0000-00001DA70000}"/>
    <cellStyle name="Normal 61 3 3 2 2 3" xfId="42490" xr:uid="{00000000-0005-0000-0000-00001EA70000}"/>
    <cellStyle name="Normal 61 3 3 2 2 3 2" xfId="42492" xr:uid="{00000000-0005-0000-0000-00001FA70000}"/>
    <cellStyle name="Normal 61 3 3 2 2 4" xfId="42494" xr:uid="{00000000-0005-0000-0000-000020A70000}"/>
    <cellStyle name="Normal 61 3 3 2 2 5" xfId="42496" xr:uid="{00000000-0005-0000-0000-000021A70000}"/>
    <cellStyle name="Normal 61 3 3 2 3" xfId="40893" xr:uid="{00000000-0005-0000-0000-000022A70000}"/>
    <cellStyle name="Normal 61 3 3 2 3 2" xfId="15245" xr:uid="{00000000-0005-0000-0000-000023A70000}"/>
    <cellStyle name="Normal 61 3 3 2 3 2 2" xfId="14005" xr:uid="{00000000-0005-0000-0000-000024A70000}"/>
    <cellStyle name="Normal 61 3 3 2 3 3" xfId="15251" xr:uid="{00000000-0005-0000-0000-000025A70000}"/>
    <cellStyle name="Normal 61 3 3 2 4" xfId="42498" xr:uid="{00000000-0005-0000-0000-000026A70000}"/>
    <cellStyle name="Normal 61 3 3 2 4 2" xfId="15259" xr:uid="{00000000-0005-0000-0000-000027A70000}"/>
    <cellStyle name="Normal 61 3 3 2 4 2 2" xfId="35061" xr:uid="{00000000-0005-0000-0000-000028A70000}"/>
    <cellStyle name="Normal 61 3 3 2 4 3" xfId="30579" xr:uid="{00000000-0005-0000-0000-000029A70000}"/>
    <cellStyle name="Normal 61 3 3 2 5" xfId="42500" xr:uid="{00000000-0005-0000-0000-00002AA70000}"/>
    <cellStyle name="Normal 61 3 3 2 5 2" xfId="6730" xr:uid="{00000000-0005-0000-0000-00002BA70000}"/>
    <cellStyle name="Normal 61 3 3 2 6" xfId="42502" xr:uid="{00000000-0005-0000-0000-00002CA70000}"/>
    <cellStyle name="Normal 61 3 3 2 6 2" xfId="42504" xr:uid="{00000000-0005-0000-0000-00002DA70000}"/>
    <cellStyle name="Normal 61 3 3 2 7" xfId="42506" xr:uid="{00000000-0005-0000-0000-00002EA70000}"/>
    <cellStyle name="Normal 61 3 3 2 8" xfId="42508" xr:uid="{00000000-0005-0000-0000-00002FA70000}"/>
    <cellStyle name="Normal 61 3 3 3" xfId="42510" xr:uid="{00000000-0005-0000-0000-000030A70000}"/>
    <cellStyle name="Normal 61 3 3 3 2" xfId="42512" xr:uid="{00000000-0005-0000-0000-000031A70000}"/>
    <cellStyle name="Normal 61 3 3 3 2 2" xfId="42514" xr:uid="{00000000-0005-0000-0000-000032A70000}"/>
    <cellStyle name="Normal 61 3 3 3 2 2 2" xfId="42516" xr:uid="{00000000-0005-0000-0000-000033A70000}"/>
    <cellStyle name="Normal 61 3 3 3 2 3" xfId="42518" xr:uid="{00000000-0005-0000-0000-000034A70000}"/>
    <cellStyle name="Normal 61 3 3 3 3" xfId="42521" xr:uid="{00000000-0005-0000-0000-000035A70000}"/>
    <cellStyle name="Normal 61 3 3 3 3 2" xfId="15286" xr:uid="{00000000-0005-0000-0000-000036A70000}"/>
    <cellStyle name="Normal 61 3 3 3 4" xfId="42523" xr:uid="{00000000-0005-0000-0000-000037A70000}"/>
    <cellStyle name="Normal 61 3 3 3 5" xfId="42525" xr:uid="{00000000-0005-0000-0000-000038A70000}"/>
    <cellStyle name="Normal 61 3 3 4" xfId="5176" xr:uid="{00000000-0005-0000-0000-000039A70000}"/>
    <cellStyle name="Normal 61 3 3 4 2" xfId="42527" xr:uid="{00000000-0005-0000-0000-00003AA70000}"/>
    <cellStyle name="Normal 61 3 3 4 2 2" xfId="42529" xr:uid="{00000000-0005-0000-0000-00003BA70000}"/>
    <cellStyle name="Normal 61 3 3 4 3" xfId="42531" xr:uid="{00000000-0005-0000-0000-00003CA70000}"/>
    <cellStyle name="Normal 61 3 3 5" xfId="42533" xr:uid="{00000000-0005-0000-0000-00003DA70000}"/>
    <cellStyle name="Normal 61 3 3 5 2" xfId="42535" xr:uid="{00000000-0005-0000-0000-00003EA70000}"/>
    <cellStyle name="Normal 61 3 3 5 2 2" xfId="42537" xr:uid="{00000000-0005-0000-0000-00003FA70000}"/>
    <cellStyle name="Normal 61 3 3 5 3" xfId="42539" xr:uid="{00000000-0005-0000-0000-000040A70000}"/>
    <cellStyle name="Normal 61 3 3 6" xfId="20000" xr:uid="{00000000-0005-0000-0000-000041A70000}"/>
    <cellStyle name="Normal 61 3 3 6 2" xfId="42541" xr:uid="{00000000-0005-0000-0000-000042A70000}"/>
    <cellStyle name="Normal 61 3 3 7" xfId="42543" xr:uid="{00000000-0005-0000-0000-000043A70000}"/>
    <cellStyle name="Normal 61 3 3 7 2" xfId="42545" xr:uid="{00000000-0005-0000-0000-000044A70000}"/>
    <cellStyle name="Normal 61 3 3 8" xfId="42547" xr:uid="{00000000-0005-0000-0000-000045A70000}"/>
    <cellStyle name="Normal 61 3 3 9" xfId="20755" xr:uid="{00000000-0005-0000-0000-000046A70000}"/>
    <cellStyle name="Normal 61 3 4" xfId="42549" xr:uid="{00000000-0005-0000-0000-000047A70000}"/>
    <cellStyle name="Normal 61 3 4 2" xfId="42551" xr:uid="{00000000-0005-0000-0000-000048A70000}"/>
    <cellStyle name="Normal 61 3 4 2 2" xfId="40910" xr:uid="{00000000-0005-0000-0000-000049A70000}"/>
    <cellStyle name="Normal 61 3 4 2 2 2" xfId="42553" xr:uid="{00000000-0005-0000-0000-00004AA70000}"/>
    <cellStyle name="Normal 61 3 4 2 2 2 2" xfId="20882" xr:uid="{00000000-0005-0000-0000-00004BA70000}"/>
    <cellStyle name="Normal 61 3 4 2 2 2 2 2" xfId="20889" xr:uid="{00000000-0005-0000-0000-00004CA70000}"/>
    <cellStyle name="Normal 61 3 4 2 2 2 3" xfId="5927" xr:uid="{00000000-0005-0000-0000-00004DA70000}"/>
    <cellStyle name="Normal 61 3 4 2 2 3" xfId="42555" xr:uid="{00000000-0005-0000-0000-00004EA70000}"/>
    <cellStyle name="Normal 61 3 4 2 2 3 2" xfId="42559" xr:uid="{00000000-0005-0000-0000-00004FA70000}"/>
    <cellStyle name="Normal 61 3 4 2 2 4" xfId="42561" xr:uid="{00000000-0005-0000-0000-000050A70000}"/>
    <cellStyle name="Normal 61 3 4 2 3" xfId="42563" xr:uid="{00000000-0005-0000-0000-000051A70000}"/>
    <cellStyle name="Normal 61 3 4 2 3 2" xfId="15385" xr:uid="{00000000-0005-0000-0000-000052A70000}"/>
    <cellStyle name="Normal 61 3 4 2 3 2 2" xfId="42565" xr:uid="{00000000-0005-0000-0000-000053A70000}"/>
    <cellStyle name="Normal 61 3 4 2 3 3" xfId="42567" xr:uid="{00000000-0005-0000-0000-000054A70000}"/>
    <cellStyle name="Normal 61 3 4 2 4" xfId="42569" xr:uid="{00000000-0005-0000-0000-000055A70000}"/>
    <cellStyle name="Normal 61 3 4 2 4 2" xfId="42571" xr:uid="{00000000-0005-0000-0000-000056A70000}"/>
    <cellStyle name="Normal 61 3 4 2 4 2 2" xfId="35526" xr:uid="{00000000-0005-0000-0000-000057A70000}"/>
    <cellStyle name="Normal 61 3 4 2 4 3" xfId="33108" xr:uid="{00000000-0005-0000-0000-000058A70000}"/>
    <cellStyle name="Normal 61 3 4 2 5" xfId="33693" xr:uid="{00000000-0005-0000-0000-000059A70000}"/>
    <cellStyle name="Normal 61 3 4 2 5 2" xfId="42573" xr:uid="{00000000-0005-0000-0000-00005AA70000}"/>
    <cellStyle name="Normal 61 3 4 2 6" xfId="42575" xr:uid="{00000000-0005-0000-0000-00005BA70000}"/>
    <cellStyle name="Normal 61 3 4 2 6 2" xfId="42577" xr:uid="{00000000-0005-0000-0000-00005CA70000}"/>
    <cellStyle name="Normal 61 3 4 2 7" xfId="37012" xr:uid="{00000000-0005-0000-0000-00005DA70000}"/>
    <cellStyle name="Normal 61 3 4 2 8" xfId="37018" xr:uid="{00000000-0005-0000-0000-00005EA70000}"/>
    <cellStyle name="Normal 61 3 4 3" xfId="42579" xr:uid="{00000000-0005-0000-0000-00005FA70000}"/>
    <cellStyle name="Normal 61 3 4 3 2" xfId="42581" xr:uid="{00000000-0005-0000-0000-000060A70000}"/>
    <cellStyle name="Normal 61 3 4 3 2 2" xfId="42583" xr:uid="{00000000-0005-0000-0000-000061A70000}"/>
    <cellStyle name="Normal 61 3 4 3 2 2 2" xfId="42585" xr:uid="{00000000-0005-0000-0000-000062A70000}"/>
    <cellStyle name="Normal 61 3 4 3 2 3" xfId="42587" xr:uid="{00000000-0005-0000-0000-000063A70000}"/>
    <cellStyle name="Normal 61 3 4 3 3" xfId="42590" xr:uid="{00000000-0005-0000-0000-000064A70000}"/>
    <cellStyle name="Normal 61 3 4 3 3 2" xfId="42592" xr:uid="{00000000-0005-0000-0000-000065A70000}"/>
    <cellStyle name="Normal 61 3 4 3 4" xfId="42594" xr:uid="{00000000-0005-0000-0000-000066A70000}"/>
    <cellStyle name="Normal 61 3 4 4" xfId="2939" xr:uid="{00000000-0005-0000-0000-000067A70000}"/>
    <cellStyle name="Normal 61 3 4 4 2" xfId="40772" xr:uid="{00000000-0005-0000-0000-000068A70000}"/>
    <cellStyle name="Normal 61 3 4 4 2 2" xfId="40775" xr:uid="{00000000-0005-0000-0000-000069A70000}"/>
    <cellStyle name="Normal 61 3 4 4 3" xfId="40778" xr:uid="{00000000-0005-0000-0000-00006AA70000}"/>
    <cellStyle name="Normal 61 3 4 5" xfId="42596" xr:uid="{00000000-0005-0000-0000-00006BA70000}"/>
    <cellStyle name="Normal 61 3 4 5 2" xfId="40783" xr:uid="{00000000-0005-0000-0000-00006CA70000}"/>
    <cellStyle name="Normal 61 3 4 5 2 2" xfId="42598" xr:uid="{00000000-0005-0000-0000-00006DA70000}"/>
    <cellStyle name="Normal 61 3 4 5 3" xfId="42600" xr:uid="{00000000-0005-0000-0000-00006EA70000}"/>
    <cellStyle name="Normal 61 3 4 6" xfId="42602" xr:uid="{00000000-0005-0000-0000-00006FA70000}"/>
    <cellStyle name="Normal 61 3 4 6 2" xfId="40788" xr:uid="{00000000-0005-0000-0000-000070A70000}"/>
    <cellStyle name="Normal 61 3 4 7" xfId="42604" xr:uid="{00000000-0005-0000-0000-000071A70000}"/>
    <cellStyle name="Normal 61 3 4 7 2" xfId="42606" xr:uid="{00000000-0005-0000-0000-000072A70000}"/>
    <cellStyle name="Normal 61 3 4 8" xfId="42608" xr:uid="{00000000-0005-0000-0000-000073A70000}"/>
    <cellStyle name="Normal 61 3 4 9" xfId="20761" xr:uid="{00000000-0005-0000-0000-000074A70000}"/>
    <cellStyle name="Normal 61 3 5" xfId="42610" xr:uid="{00000000-0005-0000-0000-000075A70000}"/>
    <cellStyle name="Normal 61 3 5 2" xfId="42612" xr:uid="{00000000-0005-0000-0000-000076A70000}"/>
    <cellStyle name="Normal 61 3 5 2 2" xfId="40935" xr:uid="{00000000-0005-0000-0000-000077A70000}"/>
    <cellStyle name="Normal 61 3 5 2 2 2" xfId="42614" xr:uid="{00000000-0005-0000-0000-000078A70000}"/>
    <cellStyle name="Normal 61 3 5 2 2 2 2" xfId="42616" xr:uid="{00000000-0005-0000-0000-000079A70000}"/>
    <cellStyle name="Normal 61 3 5 2 2 2 2 2" xfId="42618" xr:uid="{00000000-0005-0000-0000-00007AA70000}"/>
    <cellStyle name="Normal 61 3 5 2 2 2 3" xfId="42620" xr:uid="{00000000-0005-0000-0000-00007BA70000}"/>
    <cellStyle name="Normal 61 3 5 2 2 3" xfId="42622" xr:uid="{00000000-0005-0000-0000-00007CA70000}"/>
    <cellStyle name="Normal 61 3 5 2 2 3 2" xfId="42624" xr:uid="{00000000-0005-0000-0000-00007DA70000}"/>
    <cellStyle name="Normal 61 3 5 2 2 4" xfId="42626" xr:uid="{00000000-0005-0000-0000-00007EA70000}"/>
    <cellStyle name="Normal 61 3 5 2 3" xfId="42628" xr:uid="{00000000-0005-0000-0000-00007FA70000}"/>
    <cellStyle name="Normal 61 3 5 2 3 2" xfId="15521" xr:uid="{00000000-0005-0000-0000-000080A70000}"/>
    <cellStyle name="Normal 61 3 5 2 3 2 2" xfId="42630" xr:uid="{00000000-0005-0000-0000-000081A70000}"/>
    <cellStyle name="Normal 61 3 5 2 3 3" xfId="42632" xr:uid="{00000000-0005-0000-0000-000082A70000}"/>
    <cellStyle name="Normal 61 3 5 2 4" xfId="42634" xr:uid="{00000000-0005-0000-0000-000083A70000}"/>
    <cellStyle name="Normal 61 3 5 2 4 2" xfId="42636" xr:uid="{00000000-0005-0000-0000-000084A70000}"/>
    <cellStyle name="Normal 61 3 5 2 4 2 2" xfId="35786" xr:uid="{00000000-0005-0000-0000-000085A70000}"/>
    <cellStyle name="Normal 61 3 5 2 4 3" xfId="13347" xr:uid="{00000000-0005-0000-0000-000086A70000}"/>
    <cellStyle name="Normal 61 3 5 2 5" xfId="42638" xr:uid="{00000000-0005-0000-0000-000087A70000}"/>
    <cellStyle name="Normal 61 3 5 2 5 2" xfId="42640" xr:uid="{00000000-0005-0000-0000-000088A70000}"/>
    <cellStyle name="Normal 61 3 5 2 6" xfId="42642" xr:uid="{00000000-0005-0000-0000-000089A70000}"/>
    <cellStyle name="Normal 61 3 5 2 6 2" xfId="42644" xr:uid="{00000000-0005-0000-0000-00008AA70000}"/>
    <cellStyle name="Normal 61 3 5 2 7" xfId="37030" xr:uid="{00000000-0005-0000-0000-00008BA70000}"/>
    <cellStyle name="Normal 61 3 5 2 8" xfId="42647" xr:uid="{00000000-0005-0000-0000-00008CA70000}"/>
    <cellStyle name="Normal 61 3 5 3" xfId="11731" xr:uid="{00000000-0005-0000-0000-00008DA70000}"/>
    <cellStyle name="Normal 61 3 5 3 2" xfId="42649" xr:uid="{00000000-0005-0000-0000-00008EA70000}"/>
    <cellStyle name="Normal 61 3 5 3 2 2" xfId="42651" xr:uid="{00000000-0005-0000-0000-00008FA70000}"/>
    <cellStyle name="Normal 61 3 5 3 2 2 2" xfId="42653" xr:uid="{00000000-0005-0000-0000-000090A70000}"/>
    <cellStyle name="Normal 61 3 5 3 2 3" xfId="42655" xr:uid="{00000000-0005-0000-0000-000091A70000}"/>
    <cellStyle name="Normal 61 3 5 3 3" xfId="42657" xr:uid="{00000000-0005-0000-0000-000092A70000}"/>
    <cellStyle name="Normal 61 3 5 3 3 2" xfId="42659" xr:uid="{00000000-0005-0000-0000-000093A70000}"/>
    <cellStyle name="Normal 61 3 5 3 4" xfId="42661" xr:uid="{00000000-0005-0000-0000-000094A70000}"/>
    <cellStyle name="Normal 61 3 5 4" xfId="42663" xr:uid="{00000000-0005-0000-0000-000095A70000}"/>
    <cellStyle name="Normal 61 3 5 4 2" xfId="40801" xr:uid="{00000000-0005-0000-0000-000096A70000}"/>
    <cellStyle name="Normal 61 3 5 4 2 2" xfId="42665" xr:uid="{00000000-0005-0000-0000-000097A70000}"/>
    <cellStyle name="Normal 61 3 5 4 3" xfId="42667" xr:uid="{00000000-0005-0000-0000-000098A70000}"/>
    <cellStyle name="Normal 61 3 5 5" xfId="42669" xr:uid="{00000000-0005-0000-0000-000099A70000}"/>
    <cellStyle name="Normal 61 3 5 5 2" xfId="42671" xr:uid="{00000000-0005-0000-0000-00009AA70000}"/>
    <cellStyle name="Normal 61 3 5 5 2 2" xfId="42673" xr:uid="{00000000-0005-0000-0000-00009BA70000}"/>
    <cellStyle name="Normal 61 3 5 5 3" xfId="42675" xr:uid="{00000000-0005-0000-0000-00009CA70000}"/>
    <cellStyle name="Normal 61 3 5 6" xfId="42677" xr:uid="{00000000-0005-0000-0000-00009DA70000}"/>
    <cellStyle name="Normal 61 3 5 6 2" xfId="42679" xr:uid="{00000000-0005-0000-0000-00009EA70000}"/>
    <cellStyle name="Normal 61 3 5 7" xfId="42681" xr:uid="{00000000-0005-0000-0000-00009FA70000}"/>
    <cellStyle name="Normal 61 3 5 7 2" xfId="42683" xr:uid="{00000000-0005-0000-0000-0000A0A70000}"/>
    <cellStyle name="Normal 61 3 5 8" xfId="42685" xr:uid="{00000000-0005-0000-0000-0000A1A70000}"/>
    <cellStyle name="Normal 61 3 5 9" xfId="20765" xr:uid="{00000000-0005-0000-0000-0000A2A70000}"/>
    <cellStyle name="Normal 61 3 6" xfId="42687" xr:uid="{00000000-0005-0000-0000-0000A3A70000}"/>
    <cellStyle name="Normal 61 3 6 2" xfId="42689" xr:uid="{00000000-0005-0000-0000-0000A4A70000}"/>
    <cellStyle name="Normal 61 3 6 2 2" xfId="42691" xr:uid="{00000000-0005-0000-0000-0000A5A70000}"/>
    <cellStyle name="Normal 61 3 6 2 2 2" xfId="42693" xr:uid="{00000000-0005-0000-0000-0000A6A70000}"/>
    <cellStyle name="Normal 61 3 6 2 2 2 2" xfId="42695" xr:uid="{00000000-0005-0000-0000-0000A7A70000}"/>
    <cellStyle name="Normal 61 3 6 2 2 3" xfId="42698" xr:uid="{00000000-0005-0000-0000-0000A8A70000}"/>
    <cellStyle name="Normal 61 3 6 2 3" xfId="42701" xr:uid="{00000000-0005-0000-0000-0000A9A70000}"/>
    <cellStyle name="Normal 61 3 6 2 3 2" xfId="2907" xr:uid="{00000000-0005-0000-0000-0000AAA70000}"/>
    <cellStyle name="Normal 61 3 6 2 4" xfId="42703" xr:uid="{00000000-0005-0000-0000-0000ABA70000}"/>
    <cellStyle name="Normal 61 3 6 3" xfId="42705" xr:uid="{00000000-0005-0000-0000-0000ACA70000}"/>
    <cellStyle name="Normal 61 3 6 3 2" xfId="42707" xr:uid="{00000000-0005-0000-0000-0000ADA70000}"/>
    <cellStyle name="Normal 61 3 6 3 2 2" xfId="42709" xr:uid="{00000000-0005-0000-0000-0000AEA70000}"/>
    <cellStyle name="Normal 61 3 6 3 3" xfId="42711" xr:uid="{00000000-0005-0000-0000-0000AFA70000}"/>
    <cellStyle name="Normal 61 3 6 4" xfId="42713" xr:uid="{00000000-0005-0000-0000-0000B0A70000}"/>
    <cellStyle name="Normal 61 3 6 4 2" xfId="42715" xr:uid="{00000000-0005-0000-0000-0000B1A70000}"/>
    <cellStyle name="Normal 61 3 6 4 2 2" xfId="42717" xr:uid="{00000000-0005-0000-0000-0000B2A70000}"/>
    <cellStyle name="Normal 61 3 6 4 3" xfId="42719" xr:uid="{00000000-0005-0000-0000-0000B3A70000}"/>
    <cellStyle name="Normal 61 3 6 5" xfId="42721" xr:uid="{00000000-0005-0000-0000-0000B4A70000}"/>
    <cellStyle name="Normal 61 3 6 5 2" xfId="42723" xr:uid="{00000000-0005-0000-0000-0000B5A70000}"/>
    <cellStyle name="Normal 61 3 6 6" xfId="42725" xr:uid="{00000000-0005-0000-0000-0000B6A70000}"/>
    <cellStyle name="Normal 61 3 6 6 2" xfId="42727" xr:uid="{00000000-0005-0000-0000-0000B7A70000}"/>
    <cellStyle name="Normal 61 3 6 7" xfId="42729" xr:uid="{00000000-0005-0000-0000-0000B8A70000}"/>
    <cellStyle name="Normal 61 3 6 8" xfId="42731" xr:uid="{00000000-0005-0000-0000-0000B9A70000}"/>
    <cellStyle name="Normal 61 3 7" xfId="37627" xr:uid="{00000000-0005-0000-0000-0000BAA70000}"/>
    <cellStyle name="Normal 61 3 7 2" xfId="42733" xr:uid="{00000000-0005-0000-0000-0000BBA70000}"/>
    <cellStyle name="Normal 61 3 7 2 2" xfId="42735" xr:uid="{00000000-0005-0000-0000-0000BCA70000}"/>
    <cellStyle name="Normal 61 3 7 2 2 2" xfId="4426" xr:uid="{00000000-0005-0000-0000-0000BDA70000}"/>
    <cellStyle name="Normal 61 3 7 2 3" xfId="42737" xr:uid="{00000000-0005-0000-0000-0000BEA70000}"/>
    <cellStyle name="Normal 61 3 7 3" xfId="42739" xr:uid="{00000000-0005-0000-0000-0000BFA70000}"/>
    <cellStyle name="Normal 61 3 7 3 2" xfId="42741" xr:uid="{00000000-0005-0000-0000-0000C0A70000}"/>
    <cellStyle name="Normal 61 3 7 4" xfId="42743" xr:uid="{00000000-0005-0000-0000-0000C1A70000}"/>
    <cellStyle name="Normal 61 3 8" xfId="42745" xr:uid="{00000000-0005-0000-0000-0000C2A70000}"/>
    <cellStyle name="Normal 61 3 8 2" xfId="42747" xr:uid="{00000000-0005-0000-0000-0000C3A70000}"/>
    <cellStyle name="Normal 61 3 8 2 2" xfId="42749" xr:uid="{00000000-0005-0000-0000-0000C4A70000}"/>
    <cellStyle name="Normal 61 3 8 3" xfId="42752" xr:uid="{00000000-0005-0000-0000-0000C5A70000}"/>
    <cellStyle name="Normal 61 3 9" xfId="42754" xr:uid="{00000000-0005-0000-0000-0000C6A70000}"/>
    <cellStyle name="Normal 61 3 9 2" xfId="42756" xr:uid="{00000000-0005-0000-0000-0000C7A70000}"/>
    <cellStyle name="Normal 61 3 9 2 2" xfId="42758" xr:uid="{00000000-0005-0000-0000-0000C8A70000}"/>
    <cellStyle name="Normal 61 3 9 3" xfId="42760" xr:uid="{00000000-0005-0000-0000-0000C9A70000}"/>
    <cellStyle name="Normal 61 4" xfId="42762" xr:uid="{00000000-0005-0000-0000-0000CAA70000}"/>
    <cellStyle name="Normal 61 4 10" xfId="39920" xr:uid="{00000000-0005-0000-0000-0000CBA70000}"/>
    <cellStyle name="Normal 61 4 2" xfId="42764" xr:uid="{00000000-0005-0000-0000-0000CCA70000}"/>
    <cellStyle name="Normal 61 4 2 2" xfId="2199" xr:uid="{00000000-0005-0000-0000-0000CDA70000}"/>
    <cellStyle name="Normal 61 4 2 2 2" xfId="480" xr:uid="{00000000-0005-0000-0000-0000CEA70000}"/>
    <cellStyle name="Normal 61 4 2 2 2 2" xfId="41671" xr:uid="{00000000-0005-0000-0000-0000CFA70000}"/>
    <cellStyle name="Normal 61 4 2 2 2 2 2" xfId="41675" xr:uid="{00000000-0005-0000-0000-0000D0A70000}"/>
    <cellStyle name="Normal 61 4 2 2 2 2 2 2" xfId="42766" xr:uid="{00000000-0005-0000-0000-0000D1A70000}"/>
    <cellStyle name="Normal 61 4 2 2 2 2 3" xfId="42769" xr:uid="{00000000-0005-0000-0000-0000D2A70000}"/>
    <cellStyle name="Normal 61 4 2 2 2 3" xfId="41679" xr:uid="{00000000-0005-0000-0000-0000D3A70000}"/>
    <cellStyle name="Normal 61 4 2 2 2 3 2" xfId="42771" xr:uid="{00000000-0005-0000-0000-0000D4A70000}"/>
    <cellStyle name="Normal 61 4 2 2 2 4" xfId="18648" xr:uid="{00000000-0005-0000-0000-0000D5A70000}"/>
    <cellStyle name="Normal 61 4 2 2 3" xfId="41683" xr:uid="{00000000-0005-0000-0000-0000D6A70000}"/>
    <cellStyle name="Normal 61 4 2 2 3 2" xfId="41687" xr:uid="{00000000-0005-0000-0000-0000D7A70000}"/>
    <cellStyle name="Normal 61 4 2 2 3 2 2" xfId="42773" xr:uid="{00000000-0005-0000-0000-0000D8A70000}"/>
    <cellStyle name="Normal 61 4 2 2 3 3" xfId="42775" xr:uid="{00000000-0005-0000-0000-0000D9A70000}"/>
    <cellStyle name="Normal 61 4 2 2 4" xfId="25146" xr:uid="{00000000-0005-0000-0000-0000DAA70000}"/>
    <cellStyle name="Normal 61 4 2 2 4 2" xfId="41691" xr:uid="{00000000-0005-0000-0000-0000DBA70000}"/>
    <cellStyle name="Normal 61 4 2 2 4 2 2" xfId="42777" xr:uid="{00000000-0005-0000-0000-0000DCA70000}"/>
    <cellStyle name="Normal 61 4 2 2 4 3" xfId="34598" xr:uid="{00000000-0005-0000-0000-0000DDA70000}"/>
    <cellStyle name="Normal 61 4 2 2 5" xfId="41695" xr:uid="{00000000-0005-0000-0000-0000DEA70000}"/>
    <cellStyle name="Normal 61 4 2 2 5 2" xfId="42779" xr:uid="{00000000-0005-0000-0000-0000DFA70000}"/>
    <cellStyle name="Normal 61 4 2 2 6" xfId="41699" xr:uid="{00000000-0005-0000-0000-0000E0A70000}"/>
    <cellStyle name="Normal 61 4 2 2 6 2" xfId="42781" xr:uid="{00000000-0005-0000-0000-0000E1A70000}"/>
    <cellStyle name="Normal 61 4 2 2 7" xfId="42783" xr:uid="{00000000-0005-0000-0000-0000E2A70000}"/>
    <cellStyle name="Normal 61 4 2 2 8" xfId="5812" xr:uid="{00000000-0005-0000-0000-0000E3A70000}"/>
    <cellStyle name="Normal 61 4 2 3" xfId="2239" xr:uid="{00000000-0005-0000-0000-0000E4A70000}"/>
    <cellStyle name="Normal 61 4 2 3 2" xfId="41711" xr:uid="{00000000-0005-0000-0000-0000E5A70000}"/>
    <cellStyle name="Normal 61 4 2 3 2 2" xfId="40635" xr:uid="{00000000-0005-0000-0000-0000E6A70000}"/>
    <cellStyle name="Normal 61 4 2 3 2 2 2" xfId="16190" xr:uid="{00000000-0005-0000-0000-0000E7A70000}"/>
    <cellStyle name="Normal 61 4 2 3 2 3" xfId="24079" xr:uid="{00000000-0005-0000-0000-0000E8A70000}"/>
    <cellStyle name="Normal 61 4 2 3 3" xfId="42786" xr:uid="{00000000-0005-0000-0000-0000E9A70000}"/>
    <cellStyle name="Normal 61 4 2 3 3 2" xfId="42788" xr:uid="{00000000-0005-0000-0000-0000EAA70000}"/>
    <cellStyle name="Normal 61 4 2 3 4" xfId="25152" xr:uid="{00000000-0005-0000-0000-0000EBA70000}"/>
    <cellStyle name="Normal 61 4 2 4" xfId="1162" xr:uid="{00000000-0005-0000-0000-0000ECA70000}"/>
    <cellStyle name="Normal 61 4 2 4 2" xfId="42790" xr:uid="{00000000-0005-0000-0000-0000EDA70000}"/>
    <cellStyle name="Normal 61 4 2 4 2 2" xfId="11895" xr:uid="{00000000-0005-0000-0000-0000EEA70000}"/>
    <cellStyle name="Normal 61 4 2 4 3" xfId="42792" xr:uid="{00000000-0005-0000-0000-0000EFA70000}"/>
    <cellStyle name="Normal 61 4 2 5" xfId="42794" xr:uid="{00000000-0005-0000-0000-0000F0A70000}"/>
    <cellStyle name="Normal 61 4 2 5 2" xfId="42796" xr:uid="{00000000-0005-0000-0000-0000F1A70000}"/>
    <cellStyle name="Normal 61 4 2 5 2 2" xfId="12033" xr:uid="{00000000-0005-0000-0000-0000F2A70000}"/>
    <cellStyle name="Normal 61 4 2 5 3" xfId="42798" xr:uid="{00000000-0005-0000-0000-0000F3A70000}"/>
    <cellStyle name="Normal 61 4 2 6" xfId="20012" xr:uid="{00000000-0005-0000-0000-0000F4A70000}"/>
    <cellStyle name="Normal 61 4 2 6 2" xfId="42800" xr:uid="{00000000-0005-0000-0000-0000F5A70000}"/>
    <cellStyle name="Normal 61 4 2 7" xfId="42802" xr:uid="{00000000-0005-0000-0000-0000F6A70000}"/>
    <cellStyle name="Normal 61 4 2 7 2" xfId="42804" xr:uid="{00000000-0005-0000-0000-0000F7A70000}"/>
    <cellStyle name="Normal 61 4 2 8" xfId="42806" xr:uid="{00000000-0005-0000-0000-0000F8A70000}"/>
    <cellStyle name="Normal 61 4 2 9" xfId="20789" xr:uid="{00000000-0005-0000-0000-0000F9A70000}"/>
    <cellStyle name="Normal 61 4 3" xfId="42808" xr:uid="{00000000-0005-0000-0000-0000FAA70000}"/>
    <cellStyle name="Normal 61 4 3 2" xfId="2768" xr:uid="{00000000-0005-0000-0000-0000FBA70000}"/>
    <cellStyle name="Normal 61 4 3 2 2" xfId="41780" xr:uid="{00000000-0005-0000-0000-0000FCA70000}"/>
    <cellStyle name="Normal 61 4 3 2 2 2" xfId="28479" xr:uid="{00000000-0005-0000-0000-0000FDA70000}"/>
    <cellStyle name="Normal 61 4 3 2 2 2 2" xfId="42810" xr:uid="{00000000-0005-0000-0000-0000FEA70000}"/>
    <cellStyle name="Normal 61 4 3 2 2 3" xfId="28483" xr:uid="{00000000-0005-0000-0000-0000FFA70000}"/>
    <cellStyle name="Normal 61 4 3 2 3" xfId="41784" xr:uid="{00000000-0005-0000-0000-000000A80000}"/>
    <cellStyle name="Normal 61 4 3 2 3 2" xfId="15770" xr:uid="{00000000-0005-0000-0000-000001A80000}"/>
    <cellStyle name="Normal 61 4 3 2 4" xfId="42812" xr:uid="{00000000-0005-0000-0000-000002A80000}"/>
    <cellStyle name="Normal 61 4 3 3" xfId="2806" xr:uid="{00000000-0005-0000-0000-000003A80000}"/>
    <cellStyle name="Normal 61 4 3 3 2" xfId="42814" xr:uid="{00000000-0005-0000-0000-000004A80000}"/>
    <cellStyle name="Normal 61 4 3 3 2 2" xfId="42816" xr:uid="{00000000-0005-0000-0000-000005A80000}"/>
    <cellStyle name="Normal 61 4 3 3 3" xfId="42818" xr:uid="{00000000-0005-0000-0000-000006A80000}"/>
    <cellStyle name="Normal 61 4 3 4" xfId="1318" xr:uid="{00000000-0005-0000-0000-000007A80000}"/>
    <cellStyle name="Normal 61 4 3 4 2" xfId="42821" xr:uid="{00000000-0005-0000-0000-000008A80000}"/>
    <cellStyle name="Normal 61 4 3 4 2 2" xfId="12314" xr:uid="{00000000-0005-0000-0000-000009A80000}"/>
    <cellStyle name="Normal 61 4 3 4 3" xfId="42825" xr:uid="{00000000-0005-0000-0000-00000AA80000}"/>
    <cellStyle name="Normal 61 4 3 5" xfId="42829" xr:uid="{00000000-0005-0000-0000-00000BA80000}"/>
    <cellStyle name="Normal 61 4 3 5 2" xfId="42833" xr:uid="{00000000-0005-0000-0000-00000CA80000}"/>
    <cellStyle name="Normal 61 4 3 6" xfId="42837" xr:uid="{00000000-0005-0000-0000-00000DA80000}"/>
    <cellStyle name="Normal 61 4 3 6 2" xfId="42840" xr:uid="{00000000-0005-0000-0000-00000EA80000}"/>
    <cellStyle name="Normal 61 4 3 7" xfId="42843" xr:uid="{00000000-0005-0000-0000-00000FA80000}"/>
    <cellStyle name="Normal 61 4 3 8" xfId="42846" xr:uid="{00000000-0005-0000-0000-000010A80000}"/>
    <cellStyle name="Normal 61 4 4" xfId="42848" xr:uid="{00000000-0005-0000-0000-000011A80000}"/>
    <cellStyle name="Normal 61 4 4 2" xfId="20535" xr:uid="{00000000-0005-0000-0000-000012A80000}"/>
    <cellStyle name="Normal 61 4 4 2 2" xfId="23999" xr:uid="{00000000-0005-0000-0000-000013A80000}"/>
    <cellStyle name="Normal 61 4 4 2 2 2" xfId="42850" xr:uid="{00000000-0005-0000-0000-000014A80000}"/>
    <cellStyle name="Normal 61 4 4 2 3" xfId="42852" xr:uid="{00000000-0005-0000-0000-000015A80000}"/>
    <cellStyle name="Normal 61 4 4 3" xfId="24005" xr:uid="{00000000-0005-0000-0000-000016A80000}"/>
    <cellStyle name="Normal 61 4 4 3 2" xfId="42854" xr:uid="{00000000-0005-0000-0000-000017A80000}"/>
    <cellStyle name="Normal 61 4 4 4" xfId="42857" xr:uid="{00000000-0005-0000-0000-000018A80000}"/>
    <cellStyle name="Normal 61 4 5" xfId="42860" xr:uid="{00000000-0005-0000-0000-000019A80000}"/>
    <cellStyle name="Normal 61 4 5 2" xfId="20635" xr:uid="{00000000-0005-0000-0000-00001AA80000}"/>
    <cellStyle name="Normal 61 4 5 2 2" xfId="41936" xr:uid="{00000000-0005-0000-0000-00001BA80000}"/>
    <cellStyle name="Normal 61 4 5 3" xfId="11735" xr:uid="{00000000-0005-0000-0000-00001CA80000}"/>
    <cellStyle name="Normal 61 4 6" xfId="42862" xr:uid="{00000000-0005-0000-0000-00001DA80000}"/>
    <cellStyle name="Normal 61 4 6 2" xfId="42864" xr:uid="{00000000-0005-0000-0000-00001EA80000}"/>
    <cellStyle name="Normal 61 4 6 2 2" xfId="42866" xr:uid="{00000000-0005-0000-0000-00001FA80000}"/>
    <cellStyle name="Normal 61 4 6 3" xfId="9309" xr:uid="{00000000-0005-0000-0000-000020A80000}"/>
    <cellStyle name="Normal 61 4 7" xfId="42868" xr:uid="{00000000-0005-0000-0000-000021A80000}"/>
    <cellStyle name="Normal 61 4 7 2" xfId="42870" xr:uid="{00000000-0005-0000-0000-000022A80000}"/>
    <cellStyle name="Normal 61 4 8" xfId="42872" xr:uid="{00000000-0005-0000-0000-000023A80000}"/>
    <cellStyle name="Normal 61 4 8 2" xfId="42874" xr:uid="{00000000-0005-0000-0000-000024A80000}"/>
    <cellStyle name="Normal 61 4 9" xfId="42876" xr:uid="{00000000-0005-0000-0000-000025A80000}"/>
    <cellStyle name="Normal 61 5" xfId="42878" xr:uid="{00000000-0005-0000-0000-000026A80000}"/>
    <cellStyle name="Normal 61 5 2" xfId="42880" xr:uid="{00000000-0005-0000-0000-000027A80000}"/>
    <cellStyle name="Normal 61 5 2 2" xfId="1291" xr:uid="{00000000-0005-0000-0000-000028A80000}"/>
    <cellStyle name="Normal 61 5 2 2 2" xfId="1317" xr:uid="{00000000-0005-0000-0000-000029A80000}"/>
    <cellStyle name="Normal 61 5 2 2 2 2" xfId="42820" xr:uid="{00000000-0005-0000-0000-00002AA80000}"/>
    <cellStyle name="Normal 61 5 2 2 2 2 2" xfId="12313" xr:uid="{00000000-0005-0000-0000-00002BA80000}"/>
    <cellStyle name="Normal 61 5 2 2 2 3" xfId="42824" xr:uid="{00000000-0005-0000-0000-00002CA80000}"/>
    <cellStyle name="Normal 61 5 2 2 3" xfId="42828" xr:uid="{00000000-0005-0000-0000-00002DA80000}"/>
    <cellStyle name="Normal 61 5 2 2 3 2" xfId="42832" xr:uid="{00000000-0005-0000-0000-00002EA80000}"/>
    <cellStyle name="Normal 61 5 2 2 4" xfId="42836" xr:uid="{00000000-0005-0000-0000-00002FA80000}"/>
    <cellStyle name="Normal 61 5 2 2 5" xfId="42842" xr:uid="{00000000-0005-0000-0000-000030A80000}"/>
    <cellStyle name="Normal 61 5 2 3" xfId="1355" xr:uid="{00000000-0005-0000-0000-000031A80000}"/>
    <cellStyle name="Normal 61 5 2 3 2" xfId="42856" xr:uid="{00000000-0005-0000-0000-000032A80000}"/>
    <cellStyle name="Normal 61 5 2 3 2 2" xfId="40822" xr:uid="{00000000-0005-0000-0000-000033A80000}"/>
    <cellStyle name="Normal 61 5 2 3 3" xfId="42882" xr:uid="{00000000-0005-0000-0000-000034A80000}"/>
    <cellStyle name="Normal 61 5 2 4" xfId="1458" xr:uid="{00000000-0005-0000-0000-000035A80000}"/>
    <cellStyle name="Normal 61 5 2 4 2" xfId="42884" xr:uid="{00000000-0005-0000-0000-000036A80000}"/>
    <cellStyle name="Normal 61 5 2 4 2 2" xfId="42886" xr:uid="{00000000-0005-0000-0000-000037A80000}"/>
    <cellStyle name="Normal 61 5 2 4 3" xfId="42888" xr:uid="{00000000-0005-0000-0000-000038A80000}"/>
    <cellStyle name="Normal 61 5 2 5" xfId="42890" xr:uid="{00000000-0005-0000-0000-000039A80000}"/>
    <cellStyle name="Normal 61 5 2 5 2" xfId="9318" xr:uid="{00000000-0005-0000-0000-00003AA80000}"/>
    <cellStyle name="Normal 61 5 2 6" xfId="20027" xr:uid="{00000000-0005-0000-0000-00003BA80000}"/>
    <cellStyle name="Normal 61 5 2 6 2" xfId="42892" xr:uid="{00000000-0005-0000-0000-00003CA80000}"/>
    <cellStyle name="Normal 61 5 2 7" xfId="42896" xr:uid="{00000000-0005-0000-0000-00003DA80000}"/>
    <cellStyle name="Normal 61 5 2 8" xfId="42899" xr:uid="{00000000-0005-0000-0000-00003EA80000}"/>
    <cellStyle name="Normal 61 5 3" xfId="42901" xr:uid="{00000000-0005-0000-0000-00003FA80000}"/>
    <cellStyle name="Normal 61 5 3 2" xfId="1679" xr:uid="{00000000-0005-0000-0000-000040A80000}"/>
    <cellStyle name="Normal 61 5 3 2 2" xfId="42904" xr:uid="{00000000-0005-0000-0000-000041A80000}"/>
    <cellStyle name="Normal 61 5 3 2 2 2" xfId="42907" xr:uid="{00000000-0005-0000-0000-000042A80000}"/>
    <cellStyle name="Normal 61 5 3 2 3" xfId="29600" xr:uid="{00000000-0005-0000-0000-000043A80000}"/>
    <cellStyle name="Normal 61 5 3 3" xfId="136" xr:uid="{00000000-0005-0000-0000-000044A80000}"/>
    <cellStyle name="Normal 61 5 3 3 2" xfId="42909" xr:uid="{00000000-0005-0000-0000-000045A80000}"/>
    <cellStyle name="Normal 61 5 3 4" xfId="42903" xr:uid="{00000000-0005-0000-0000-000046A80000}"/>
    <cellStyle name="Normal 61 5 3 5" xfId="29599" xr:uid="{00000000-0005-0000-0000-000047A80000}"/>
    <cellStyle name="Normal 61 5 4" xfId="42911" xr:uid="{00000000-0005-0000-0000-000048A80000}"/>
    <cellStyle name="Normal 61 5 4 2" xfId="24047" xr:uid="{00000000-0005-0000-0000-000049A80000}"/>
    <cellStyle name="Normal 61 5 4 2 2" xfId="42914" xr:uid="{00000000-0005-0000-0000-00004AA80000}"/>
    <cellStyle name="Normal 61 5 4 3" xfId="42917" xr:uid="{00000000-0005-0000-0000-00004BA80000}"/>
    <cellStyle name="Normal 61 5 5" xfId="42919" xr:uid="{00000000-0005-0000-0000-00004CA80000}"/>
    <cellStyle name="Normal 61 5 5 2" xfId="42921" xr:uid="{00000000-0005-0000-0000-00004DA80000}"/>
    <cellStyle name="Normal 61 5 5 2 2" xfId="42924" xr:uid="{00000000-0005-0000-0000-00004EA80000}"/>
    <cellStyle name="Normal 61 5 5 3" xfId="42927" xr:uid="{00000000-0005-0000-0000-00004FA80000}"/>
    <cellStyle name="Normal 61 5 6" xfId="13626" xr:uid="{00000000-0005-0000-0000-000050A80000}"/>
    <cellStyle name="Normal 61 5 6 2" xfId="42929" xr:uid="{00000000-0005-0000-0000-000051A80000}"/>
    <cellStyle name="Normal 61 5 7" xfId="42931" xr:uid="{00000000-0005-0000-0000-000052A80000}"/>
    <cellStyle name="Normal 61 5 7 2" xfId="42933" xr:uid="{00000000-0005-0000-0000-000053A80000}"/>
    <cellStyle name="Normal 61 5 8" xfId="42935" xr:uid="{00000000-0005-0000-0000-000054A80000}"/>
    <cellStyle name="Normal 61 5 9" xfId="42937" xr:uid="{00000000-0005-0000-0000-000055A80000}"/>
    <cellStyle name="Normal 61 6" xfId="42939" xr:uid="{00000000-0005-0000-0000-000056A80000}"/>
    <cellStyle name="Normal 61 6 2" xfId="42941" xr:uid="{00000000-0005-0000-0000-000057A80000}"/>
    <cellStyle name="Normal 61 6 2 2" xfId="6339" xr:uid="{00000000-0005-0000-0000-000058A80000}"/>
    <cellStyle name="Normal 61 6 2 2 2" xfId="6344" xr:uid="{00000000-0005-0000-0000-000059A80000}"/>
    <cellStyle name="Normal 61 6 2 2 2 2" xfId="42945" xr:uid="{00000000-0005-0000-0000-00005AA80000}"/>
    <cellStyle name="Normal 61 6 2 2 2 2 2" xfId="42949" xr:uid="{00000000-0005-0000-0000-00005BA80000}"/>
    <cellStyle name="Normal 61 6 2 2 2 3" xfId="42953" xr:uid="{00000000-0005-0000-0000-00005CA80000}"/>
    <cellStyle name="Normal 61 6 2 2 3" xfId="42957" xr:uid="{00000000-0005-0000-0000-00005DA80000}"/>
    <cellStyle name="Normal 61 6 2 2 3 2" xfId="42961" xr:uid="{00000000-0005-0000-0000-00005EA80000}"/>
    <cellStyle name="Normal 61 6 2 2 4" xfId="42965" xr:uid="{00000000-0005-0000-0000-00005FA80000}"/>
    <cellStyle name="Normal 61 6 2 3" xfId="6348" xr:uid="{00000000-0005-0000-0000-000060A80000}"/>
    <cellStyle name="Normal 61 6 2 3 2" xfId="42969" xr:uid="{00000000-0005-0000-0000-000061A80000}"/>
    <cellStyle name="Normal 61 6 2 3 2 2" xfId="42972" xr:uid="{00000000-0005-0000-0000-000062A80000}"/>
    <cellStyle name="Normal 61 6 2 3 3" xfId="31338" xr:uid="{00000000-0005-0000-0000-000063A80000}"/>
    <cellStyle name="Normal 61 6 2 4" xfId="6352" xr:uid="{00000000-0005-0000-0000-000064A80000}"/>
    <cellStyle name="Normal 61 6 2 4 2" xfId="42974" xr:uid="{00000000-0005-0000-0000-000065A80000}"/>
    <cellStyle name="Normal 61 6 2 4 2 2" xfId="42976" xr:uid="{00000000-0005-0000-0000-000066A80000}"/>
    <cellStyle name="Normal 61 6 2 4 3" xfId="42978" xr:uid="{00000000-0005-0000-0000-000067A80000}"/>
    <cellStyle name="Normal 61 6 2 5" xfId="42980" xr:uid="{00000000-0005-0000-0000-000068A80000}"/>
    <cellStyle name="Normal 61 6 2 5 2" xfId="42982" xr:uid="{00000000-0005-0000-0000-000069A80000}"/>
    <cellStyle name="Normal 61 6 2 6" xfId="42984" xr:uid="{00000000-0005-0000-0000-00006AA80000}"/>
    <cellStyle name="Normal 61 6 2 6 2" xfId="42986" xr:uid="{00000000-0005-0000-0000-00006BA80000}"/>
    <cellStyle name="Normal 61 6 2 7" xfId="42989" xr:uid="{00000000-0005-0000-0000-00006CA80000}"/>
    <cellStyle name="Normal 61 6 2 8" xfId="42991" xr:uid="{00000000-0005-0000-0000-00006DA80000}"/>
    <cellStyle name="Normal 61 6 3" xfId="42993" xr:uid="{00000000-0005-0000-0000-00006EA80000}"/>
    <cellStyle name="Normal 61 6 3 2" xfId="6435" xr:uid="{00000000-0005-0000-0000-00006FA80000}"/>
    <cellStyle name="Normal 61 6 3 2 2" xfId="42997" xr:uid="{00000000-0005-0000-0000-000070A80000}"/>
    <cellStyle name="Normal 61 6 3 2 2 2" xfId="43000" xr:uid="{00000000-0005-0000-0000-000071A80000}"/>
    <cellStyle name="Normal 61 6 3 2 3" xfId="43003" xr:uid="{00000000-0005-0000-0000-000072A80000}"/>
    <cellStyle name="Normal 61 6 3 3" xfId="6439" xr:uid="{00000000-0005-0000-0000-000073A80000}"/>
    <cellStyle name="Normal 61 6 3 3 2" xfId="43006" xr:uid="{00000000-0005-0000-0000-000074A80000}"/>
    <cellStyle name="Normal 61 6 3 4" xfId="42913" xr:uid="{00000000-0005-0000-0000-000075A80000}"/>
    <cellStyle name="Normal 61 6 4" xfId="43008" xr:uid="{00000000-0005-0000-0000-000076A80000}"/>
    <cellStyle name="Normal 61 6 4 2" xfId="20662" xr:uid="{00000000-0005-0000-0000-000077A80000}"/>
    <cellStyle name="Normal 61 6 4 2 2" xfId="36237" xr:uid="{00000000-0005-0000-0000-000078A80000}"/>
    <cellStyle name="Normal 61 6 4 3" xfId="43010" xr:uid="{00000000-0005-0000-0000-000079A80000}"/>
    <cellStyle name="Normal 61 6 5" xfId="43012" xr:uid="{00000000-0005-0000-0000-00007AA80000}"/>
    <cellStyle name="Normal 61 6 5 2" xfId="43014" xr:uid="{00000000-0005-0000-0000-00007BA80000}"/>
    <cellStyle name="Normal 61 6 5 2 2" xfId="36310" xr:uid="{00000000-0005-0000-0000-00007CA80000}"/>
    <cellStyle name="Normal 61 6 5 3" xfId="40839" xr:uid="{00000000-0005-0000-0000-00007DA80000}"/>
    <cellStyle name="Normal 61 6 6" xfId="43016" xr:uid="{00000000-0005-0000-0000-00007EA80000}"/>
    <cellStyle name="Normal 61 6 6 2" xfId="43018" xr:uid="{00000000-0005-0000-0000-00007FA80000}"/>
    <cellStyle name="Normal 61 6 7" xfId="43020" xr:uid="{00000000-0005-0000-0000-000080A80000}"/>
    <cellStyle name="Normal 61 6 7 2" xfId="43022" xr:uid="{00000000-0005-0000-0000-000081A80000}"/>
    <cellStyle name="Normal 61 6 8" xfId="43024" xr:uid="{00000000-0005-0000-0000-000082A80000}"/>
    <cellStyle name="Normal 61 6 9" xfId="43026" xr:uid="{00000000-0005-0000-0000-000083A80000}"/>
    <cellStyle name="Normal 61 7" xfId="43028" xr:uid="{00000000-0005-0000-0000-000084A80000}"/>
    <cellStyle name="Normal 61 7 2" xfId="43030" xr:uid="{00000000-0005-0000-0000-000085A80000}"/>
    <cellStyle name="Normal 61 7 2 2" xfId="2506" xr:uid="{00000000-0005-0000-0000-000086A80000}"/>
    <cellStyle name="Normal 61 7 2 2 2" xfId="7671" xr:uid="{00000000-0005-0000-0000-000087A80000}"/>
    <cellStyle name="Normal 61 7 2 2 2 2" xfId="43034" xr:uid="{00000000-0005-0000-0000-000088A80000}"/>
    <cellStyle name="Normal 61 7 2 2 2 2 2" xfId="43038" xr:uid="{00000000-0005-0000-0000-000089A80000}"/>
    <cellStyle name="Normal 61 7 2 2 2 3" xfId="43042" xr:uid="{00000000-0005-0000-0000-00008AA80000}"/>
    <cellStyle name="Normal 61 7 2 2 3" xfId="43046" xr:uid="{00000000-0005-0000-0000-00008BA80000}"/>
    <cellStyle name="Normal 61 7 2 2 3 2" xfId="43050" xr:uid="{00000000-0005-0000-0000-00008CA80000}"/>
    <cellStyle name="Normal 61 7 2 2 4" xfId="43054" xr:uid="{00000000-0005-0000-0000-00008DA80000}"/>
    <cellStyle name="Normal 61 7 2 3" xfId="7675" xr:uid="{00000000-0005-0000-0000-00008EA80000}"/>
    <cellStyle name="Normal 61 7 2 3 2" xfId="43058" xr:uid="{00000000-0005-0000-0000-00008FA80000}"/>
    <cellStyle name="Normal 61 7 2 3 2 2" xfId="43061" xr:uid="{00000000-0005-0000-0000-000090A80000}"/>
    <cellStyle name="Normal 61 7 2 3 3" xfId="43063" xr:uid="{00000000-0005-0000-0000-000091A80000}"/>
    <cellStyle name="Normal 61 7 2 4" xfId="7678" xr:uid="{00000000-0005-0000-0000-000092A80000}"/>
    <cellStyle name="Normal 61 7 2 4 2" xfId="43065" xr:uid="{00000000-0005-0000-0000-000093A80000}"/>
    <cellStyle name="Normal 61 7 2 4 2 2" xfId="43067" xr:uid="{00000000-0005-0000-0000-000094A80000}"/>
    <cellStyle name="Normal 61 7 2 4 3" xfId="43069" xr:uid="{00000000-0005-0000-0000-000095A80000}"/>
    <cellStyle name="Normal 61 7 2 5" xfId="43071" xr:uid="{00000000-0005-0000-0000-000096A80000}"/>
    <cellStyle name="Normal 61 7 2 5 2" xfId="43073" xr:uid="{00000000-0005-0000-0000-000097A80000}"/>
    <cellStyle name="Normal 61 7 2 6" xfId="43075" xr:uid="{00000000-0005-0000-0000-000098A80000}"/>
    <cellStyle name="Normal 61 7 2 6 2" xfId="43077" xr:uid="{00000000-0005-0000-0000-000099A80000}"/>
    <cellStyle name="Normal 61 7 2 7" xfId="43080" xr:uid="{00000000-0005-0000-0000-00009AA80000}"/>
    <cellStyle name="Normal 61 7 2 8" xfId="43082" xr:uid="{00000000-0005-0000-0000-00009BA80000}"/>
    <cellStyle name="Normal 61 7 3" xfId="43084" xr:uid="{00000000-0005-0000-0000-00009CA80000}"/>
    <cellStyle name="Normal 61 7 3 2" xfId="2754" xr:uid="{00000000-0005-0000-0000-00009DA80000}"/>
    <cellStyle name="Normal 61 7 3 2 2" xfId="43087" xr:uid="{00000000-0005-0000-0000-00009EA80000}"/>
    <cellStyle name="Normal 61 7 3 2 2 2" xfId="43090" xr:uid="{00000000-0005-0000-0000-00009FA80000}"/>
    <cellStyle name="Normal 61 7 3 2 3" xfId="43093" xr:uid="{00000000-0005-0000-0000-0000A0A80000}"/>
    <cellStyle name="Normal 61 7 3 3" xfId="7695" xr:uid="{00000000-0005-0000-0000-0000A1A80000}"/>
    <cellStyle name="Normal 61 7 3 3 2" xfId="43096" xr:uid="{00000000-0005-0000-0000-0000A2A80000}"/>
    <cellStyle name="Normal 61 7 3 4" xfId="42923" xr:uid="{00000000-0005-0000-0000-0000A3A80000}"/>
    <cellStyle name="Normal 61 7 4" xfId="43098" xr:uid="{00000000-0005-0000-0000-0000A4A80000}"/>
    <cellStyle name="Normal 61 7 4 2" xfId="24094" xr:uid="{00000000-0005-0000-0000-0000A5A80000}"/>
    <cellStyle name="Normal 61 7 4 2 2" xfId="43101" xr:uid="{00000000-0005-0000-0000-0000A6A80000}"/>
    <cellStyle name="Normal 61 7 4 3" xfId="43104" xr:uid="{00000000-0005-0000-0000-0000A7A80000}"/>
    <cellStyle name="Normal 61 7 5" xfId="43106" xr:uid="{00000000-0005-0000-0000-0000A8A80000}"/>
    <cellStyle name="Normal 61 7 5 2" xfId="43108" xr:uid="{00000000-0005-0000-0000-0000A9A80000}"/>
    <cellStyle name="Normal 61 7 5 2 2" xfId="43111" xr:uid="{00000000-0005-0000-0000-0000AAA80000}"/>
    <cellStyle name="Normal 61 7 5 3" xfId="43114" xr:uid="{00000000-0005-0000-0000-0000ABA80000}"/>
    <cellStyle name="Normal 61 7 6" xfId="43116" xr:uid="{00000000-0005-0000-0000-0000ACA80000}"/>
    <cellStyle name="Normal 61 7 6 2" xfId="43118" xr:uid="{00000000-0005-0000-0000-0000ADA80000}"/>
    <cellStyle name="Normal 61 7 7" xfId="43120" xr:uid="{00000000-0005-0000-0000-0000AEA80000}"/>
    <cellStyle name="Normal 61 7 7 2" xfId="43122" xr:uid="{00000000-0005-0000-0000-0000AFA80000}"/>
    <cellStyle name="Normal 61 7 8" xfId="43124" xr:uid="{00000000-0005-0000-0000-0000B0A80000}"/>
    <cellStyle name="Normal 61 7 9" xfId="43126" xr:uid="{00000000-0005-0000-0000-0000B1A80000}"/>
    <cellStyle name="Normal 61 8" xfId="43128" xr:uid="{00000000-0005-0000-0000-0000B2A80000}"/>
    <cellStyle name="Normal 61 8 2" xfId="43130" xr:uid="{00000000-0005-0000-0000-0000B3A80000}"/>
    <cellStyle name="Normal 61 8 2 2" xfId="8453" xr:uid="{00000000-0005-0000-0000-0000B4A80000}"/>
    <cellStyle name="Normal 61 8 2 2 2" xfId="8458" xr:uid="{00000000-0005-0000-0000-0000B5A80000}"/>
    <cellStyle name="Normal 61 8 2 2 2 2" xfId="43133" xr:uid="{00000000-0005-0000-0000-0000B6A80000}"/>
    <cellStyle name="Normal 61 8 2 2 3" xfId="43136" xr:uid="{00000000-0005-0000-0000-0000B7A80000}"/>
    <cellStyle name="Normal 61 8 2 3" xfId="8464" xr:uid="{00000000-0005-0000-0000-0000B8A80000}"/>
    <cellStyle name="Normal 61 8 2 3 2" xfId="12675" xr:uid="{00000000-0005-0000-0000-0000B9A80000}"/>
    <cellStyle name="Normal 61 8 2 4" xfId="8467" xr:uid="{00000000-0005-0000-0000-0000BAA80000}"/>
    <cellStyle name="Normal 61 8 3" xfId="43139" xr:uid="{00000000-0005-0000-0000-0000BBA80000}"/>
    <cellStyle name="Normal 61 8 3 2" xfId="1604" xr:uid="{00000000-0005-0000-0000-0000BCA80000}"/>
    <cellStyle name="Normal 61 8 3 2 2" xfId="43141" xr:uid="{00000000-0005-0000-0000-0000BDA80000}"/>
    <cellStyle name="Normal 61 8 3 3" xfId="5389" xr:uid="{00000000-0005-0000-0000-0000BEA80000}"/>
    <cellStyle name="Normal 61 8 4" xfId="43144" xr:uid="{00000000-0005-0000-0000-0000BFA80000}"/>
    <cellStyle name="Normal 61 8 4 2" xfId="43146" xr:uid="{00000000-0005-0000-0000-0000C0A80000}"/>
    <cellStyle name="Normal 61 8 4 2 2" xfId="43148" xr:uid="{00000000-0005-0000-0000-0000C1A80000}"/>
    <cellStyle name="Normal 61 8 4 3" xfId="43151" xr:uid="{00000000-0005-0000-0000-0000C2A80000}"/>
    <cellStyle name="Normal 61 8 5" xfId="43153" xr:uid="{00000000-0005-0000-0000-0000C3A80000}"/>
    <cellStyle name="Normal 61 8 5 2" xfId="43155" xr:uid="{00000000-0005-0000-0000-0000C4A80000}"/>
    <cellStyle name="Normal 61 8 6" xfId="15713" xr:uid="{00000000-0005-0000-0000-0000C5A80000}"/>
    <cellStyle name="Normal 61 8 6 2" xfId="43157" xr:uid="{00000000-0005-0000-0000-0000C6A80000}"/>
    <cellStyle name="Normal 61 8 7" xfId="43159" xr:uid="{00000000-0005-0000-0000-0000C7A80000}"/>
    <cellStyle name="Normal 61 8 8" xfId="43161" xr:uid="{00000000-0005-0000-0000-0000C8A80000}"/>
    <cellStyle name="Normal 61 9" xfId="43163" xr:uid="{00000000-0005-0000-0000-0000C9A80000}"/>
    <cellStyle name="Normal 61 9 2" xfId="17203" xr:uid="{00000000-0005-0000-0000-0000CAA80000}"/>
    <cellStyle name="Normal 61 9 2 2" xfId="1443" xr:uid="{00000000-0005-0000-0000-0000CBA80000}"/>
    <cellStyle name="Normal 61 9 2 2 2" xfId="9046" xr:uid="{00000000-0005-0000-0000-0000CCA80000}"/>
    <cellStyle name="Normal 61 9 2 3" xfId="3301" xr:uid="{00000000-0005-0000-0000-0000CDA80000}"/>
    <cellStyle name="Normal 61 9 3" xfId="17211" xr:uid="{00000000-0005-0000-0000-0000CEA80000}"/>
    <cellStyle name="Normal 61 9 3 2" xfId="9061" xr:uid="{00000000-0005-0000-0000-0000CFA80000}"/>
    <cellStyle name="Normal 61 9 4" xfId="12175" xr:uid="{00000000-0005-0000-0000-0000D0A80000}"/>
    <cellStyle name="Normal 62" xfId="43165" xr:uid="{00000000-0005-0000-0000-0000D1A80000}"/>
    <cellStyle name="Normal 62 10" xfId="43167" xr:uid="{00000000-0005-0000-0000-0000D2A80000}"/>
    <cellStyle name="Normal 62 10 2" xfId="43169" xr:uid="{00000000-0005-0000-0000-0000D3A80000}"/>
    <cellStyle name="Normal 62 10 2 2" xfId="43171" xr:uid="{00000000-0005-0000-0000-0000D4A80000}"/>
    <cellStyle name="Normal 62 10 3" xfId="19697" xr:uid="{00000000-0005-0000-0000-0000D5A80000}"/>
    <cellStyle name="Normal 62 11" xfId="11482" xr:uid="{00000000-0005-0000-0000-0000D6A80000}"/>
    <cellStyle name="Normal 62 11 2" xfId="43173" xr:uid="{00000000-0005-0000-0000-0000D7A80000}"/>
    <cellStyle name="Normal 62 11 2 2" xfId="43175" xr:uid="{00000000-0005-0000-0000-0000D8A80000}"/>
    <cellStyle name="Normal 62 11 3" xfId="43177" xr:uid="{00000000-0005-0000-0000-0000D9A80000}"/>
    <cellStyle name="Normal 62 12" xfId="16621" xr:uid="{00000000-0005-0000-0000-0000DAA80000}"/>
    <cellStyle name="Normal 62 12 2" xfId="43179" xr:uid="{00000000-0005-0000-0000-0000DBA80000}"/>
    <cellStyle name="Normal 62 13" xfId="28679" xr:uid="{00000000-0005-0000-0000-0000DCA80000}"/>
    <cellStyle name="Normal 62 13 2" xfId="43181" xr:uid="{00000000-0005-0000-0000-0000DDA80000}"/>
    <cellStyle name="Normal 62 14" xfId="43183" xr:uid="{00000000-0005-0000-0000-0000DEA80000}"/>
    <cellStyle name="Normal 62 14 2" xfId="43185" xr:uid="{00000000-0005-0000-0000-0000DFA80000}"/>
    <cellStyle name="Normal 62 15" xfId="43187" xr:uid="{00000000-0005-0000-0000-0000E0A80000}"/>
    <cellStyle name="Normal 62 16" xfId="43189" xr:uid="{00000000-0005-0000-0000-0000E1A80000}"/>
    <cellStyle name="Normal 62 2" xfId="43191" xr:uid="{00000000-0005-0000-0000-0000E2A80000}"/>
    <cellStyle name="Normal 62 2 10" xfId="43194" xr:uid="{00000000-0005-0000-0000-0000E3A80000}"/>
    <cellStyle name="Normal 62 2 10 2" xfId="43196" xr:uid="{00000000-0005-0000-0000-0000E4A80000}"/>
    <cellStyle name="Normal 62 2 11" xfId="43198" xr:uid="{00000000-0005-0000-0000-0000E5A80000}"/>
    <cellStyle name="Normal 62 2 11 2" xfId="43200" xr:uid="{00000000-0005-0000-0000-0000E6A80000}"/>
    <cellStyle name="Normal 62 2 12" xfId="43202" xr:uid="{00000000-0005-0000-0000-0000E7A80000}"/>
    <cellStyle name="Normal 62 2 12 2" xfId="4895" xr:uid="{00000000-0005-0000-0000-0000E8A80000}"/>
    <cellStyle name="Normal 62 2 13" xfId="43204" xr:uid="{00000000-0005-0000-0000-0000E9A80000}"/>
    <cellStyle name="Normal 62 2 14" xfId="43206" xr:uid="{00000000-0005-0000-0000-0000EAA80000}"/>
    <cellStyle name="Normal 62 2 2" xfId="43208" xr:uid="{00000000-0005-0000-0000-0000EBA80000}"/>
    <cellStyle name="Normal 62 2 2 10" xfId="43210" xr:uid="{00000000-0005-0000-0000-0000ECA80000}"/>
    <cellStyle name="Normal 62 2 2 2" xfId="43212" xr:uid="{00000000-0005-0000-0000-0000EDA80000}"/>
    <cellStyle name="Normal 62 2 2 2 2" xfId="43214" xr:uid="{00000000-0005-0000-0000-0000EEA80000}"/>
    <cellStyle name="Normal 62 2 2 2 2 2" xfId="43216" xr:uid="{00000000-0005-0000-0000-0000EFA80000}"/>
    <cellStyle name="Normal 62 2 2 2 2 2 2" xfId="41063" xr:uid="{00000000-0005-0000-0000-0000F0A80000}"/>
    <cellStyle name="Normal 62 2 2 2 2 2 2 2" xfId="43218" xr:uid="{00000000-0005-0000-0000-0000F1A80000}"/>
    <cellStyle name="Normal 62 2 2 2 2 2 2 2 2" xfId="43220" xr:uid="{00000000-0005-0000-0000-0000F2A80000}"/>
    <cellStyle name="Normal 62 2 2 2 2 2 2 3" xfId="43222" xr:uid="{00000000-0005-0000-0000-0000F3A80000}"/>
    <cellStyle name="Normal 62 2 2 2 2 2 3" xfId="41067" xr:uid="{00000000-0005-0000-0000-0000F4A80000}"/>
    <cellStyle name="Normal 62 2 2 2 2 2 3 2" xfId="43224" xr:uid="{00000000-0005-0000-0000-0000F5A80000}"/>
    <cellStyle name="Normal 62 2 2 2 2 2 4" xfId="43226" xr:uid="{00000000-0005-0000-0000-0000F6A80000}"/>
    <cellStyle name="Normal 62 2 2 2 2 3" xfId="43228" xr:uid="{00000000-0005-0000-0000-0000F7A80000}"/>
    <cellStyle name="Normal 62 2 2 2 2 3 2" xfId="41107" xr:uid="{00000000-0005-0000-0000-0000F8A80000}"/>
    <cellStyle name="Normal 62 2 2 2 2 3 2 2" xfId="26070" xr:uid="{00000000-0005-0000-0000-0000F9A80000}"/>
    <cellStyle name="Normal 62 2 2 2 2 3 3" xfId="43230" xr:uid="{00000000-0005-0000-0000-0000FAA80000}"/>
    <cellStyle name="Normal 62 2 2 2 2 4" xfId="43232" xr:uid="{00000000-0005-0000-0000-0000FBA80000}"/>
    <cellStyle name="Normal 62 2 2 2 2 4 2" xfId="43234" xr:uid="{00000000-0005-0000-0000-0000FCA80000}"/>
    <cellStyle name="Normal 62 2 2 2 2 4 2 2" xfId="26401" xr:uid="{00000000-0005-0000-0000-0000FDA80000}"/>
    <cellStyle name="Normal 62 2 2 2 2 4 3" xfId="43236" xr:uid="{00000000-0005-0000-0000-0000FEA80000}"/>
    <cellStyle name="Normal 62 2 2 2 2 5" xfId="43238" xr:uid="{00000000-0005-0000-0000-0000FFA80000}"/>
    <cellStyle name="Normal 62 2 2 2 2 5 2" xfId="43241" xr:uid="{00000000-0005-0000-0000-000000A90000}"/>
    <cellStyle name="Normal 62 2 2 2 2 6" xfId="43243" xr:uid="{00000000-0005-0000-0000-000001A90000}"/>
    <cellStyle name="Normal 62 2 2 2 2 6 2" xfId="43245" xr:uid="{00000000-0005-0000-0000-000002A90000}"/>
    <cellStyle name="Normal 62 2 2 2 2 7" xfId="43247" xr:uid="{00000000-0005-0000-0000-000003A90000}"/>
    <cellStyle name="Normal 62 2 2 2 2 8" xfId="25592" xr:uid="{00000000-0005-0000-0000-000004A90000}"/>
    <cellStyle name="Normal 62 2 2 2 3" xfId="43249" xr:uid="{00000000-0005-0000-0000-000005A90000}"/>
    <cellStyle name="Normal 62 2 2 2 3 2" xfId="43251" xr:uid="{00000000-0005-0000-0000-000006A90000}"/>
    <cellStyle name="Normal 62 2 2 2 3 2 2" xfId="41143" xr:uid="{00000000-0005-0000-0000-000007A90000}"/>
    <cellStyle name="Normal 62 2 2 2 3 2 2 2" xfId="26654" xr:uid="{00000000-0005-0000-0000-000008A90000}"/>
    <cellStyle name="Normal 62 2 2 2 3 2 3" xfId="43253" xr:uid="{00000000-0005-0000-0000-000009A90000}"/>
    <cellStyle name="Normal 62 2 2 2 3 3" xfId="43255" xr:uid="{00000000-0005-0000-0000-00000AA90000}"/>
    <cellStyle name="Normal 62 2 2 2 3 3 2" xfId="43257" xr:uid="{00000000-0005-0000-0000-00000BA90000}"/>
    <cellStyle name="Normal 62 2 2 2 3 4" xfId="43259" xr:uid="{00000000-0005-0000-0000-00000CA90000}"/>
    <cellStyle name="Normal 62 2 2 2 4" xfId="25442" xr:uid="{00000000-0005-0000-0000-00000DA90000}"/>
    <cellStyle name="Normal 62 2 2 2 4 2" xfId="21800" xr:uid="{00000000-0005-0000-0000-00000EA90000}"/>
    <cellStyle name="Normal 62 2 2 2 4 2 2" xfId="41197" xr:uid="{00000000-0005-0000-0000-00000FA90000}"/>
    <cellStyle name="Normal 62 2 2 2 4 3" xfId="43261" xr:uid="{00000000-0005-0000-0000-000010A90000}"/>
    <cellStyle name="Normal 62 2 2 2 5" xfId="43263" xr:uid="{00000000-0005-0000-0000-000011A90000}"/>
    <cellStyle name="Normal 62 2 2 2 5 2" xfId="43265" xr:uid="{00000000-0005-0000-0000-000012A90000}"/>
    <cellStyle name="Normal 62 2 2 2 5 2 2" xfId="4016" xr:uid="{00000000-0005-0000-0000-000013A90000}"/>
    <cellStyle name="Normal 62 2 2 2 5 3" xfId="43268" xr:uid="{00000000-0005-0000-0000-000014A90000}"/>
    <cellStyle name="Normal 62 2 2 2 6" xfId="43271" xr:uid="{00000000-0005-0000-0000-000015A90000}"/>
    <cellStyle name="Normal 62 2 2 2 6 2" xfId="43273" xr:uid="{00000000-0005-0000-0000-000016A90000}"/>
    <cellStyle name="Normal 62 2 2 2 7" xfId="43275" xr:uid="{00000000-0005-0000-0000-000017A90000}"/>
    <cellStyle name="Normal 62 2 2 2 7 2" xfId="43277" xr:uid="{00000000-0005-0000-0000-000018A90000}"/>
    <cellStyle name="Normal 62 2 2 2 8" xfId="43280" xr:uid="{00000000-0005-0000-0000-000019A90000}"/>
    <cellStyle name="Normal 62 2 2 2 9" xfId="43284" xr:uid="{00000000-0005-0000-0000-00001AA90000}"/>
    <cellStyle name="Normal 62 2 2 3" xfId="43287" xr:uid="{00000000-0005-0000-0000-00001BA90000}"/>
    <cellStyle name="Normal 62 2 2 3 2" xfId="14492" xr:uid="{00000000-0005-0000-0000-00001CA90000}"/>
    <cellStyle name="Normal 62 2 2 3 2 2" xfId="27055" xr:uid="{00000000-0005-0000-0000-00001DA90000}"/>
    <cellStyle name="Normal 62 2 2 3 2 2 2" xfId="41345" xr:uid="{00000000-0005-0000-0000-00001EA90000}"/>
    <cellStyle name="Normal 62 2 2 3 2 2 2 2" xfId="43289" xr:uid="{00000000-0005-0000-0000-00001FA90000}"/>
    <cellStyle name="Normal 62 2 2 3 2 2 3" xfId="41349" xr:uid="{00000000-0005-0000-0000-000020A90000}"/>
    <cellStyle name="Normal 62 2 2 3 2 3" xfId="43291" xr:uid="{00000000-0005-0000-0000-000021A90000}"/>
    <cellStyle name="Normal 62 2 2 3 2 3 2" xfId="41391" xr:uid="{00000000-0005-0000-0000-000022A90000}"/>
    <cellStyle name="Normal 62 2 2 3 2 4" xfId="43293" xr:uid="{00000000-0005-0000-0000-000023A90000}"/>
    <cellStyle name="Normal 62 2 2 3 3" xfId="27059" xr:uid="{00000000-0005-0000-0000-000024A90000}"/>
    <cellStyle name="Normal 62 2 2 3 3 2" xfId="27063" xr:uid="{00000000-0005-0000-0000-000025A90000}"/>
    <cellStyle name="Normal 62 2 2 3 3 2 2" xfId="4097" xr:uid="{00000000-0005-0000-0000-000026A90000}"/>
    <cellStyle name="Normal 62 2 2 3 3 3" xfId="43296" xr:uid="{00000000-0005-0000-0000-000027A90000}"/>
    <cellStyle name="Normal 62 2 2 3 4" xfId="25447" xr:uid="{00000000-0005-0000-0000-000028A90000}"/>
    <cellStyle name="Normal 62 2 2 3 4 2" xfId="43299" xr:uid="{00000000-0005-0000-0000-000029A90000}"/>
    <cellStyle name="Normal 62 2 2 3 4 2 2" xfId="18503" xr:uid="{00000000-0005-0000-0000-00002AA90000}"/>
    <cellStyle name="Normal 62 2 2 3 4 3" xfId="43302" xr:uid="{00000000-0005-0000-0000-00002BA90000}"/>
    <cellStyle name="Normal 62 2 2 3 5" xfId="27067" xr:uid="{00000000-0005-0000-0000-00002CA90000}"/>
    <cellStyle name="Normal 62 2 2 3 5 2" xfId="43305" xr:uid="{00000000-0005-0000-0000-00002DA90000}"/>
    <cellStyle name="Normal 62 2 2 3 6" xfId="43307" xr:uid="{00000000-0005-0000-0000-00002EA90000}"/>
    <cellStyle name="Normal 62 2 2 3 6 2" xfId="43309" xr:uid="{00000000-0005-0000-0000-00002FA90000}"/>
    <cellStyle name="Normal 62 2 2 3 7" xfId="43311" xr:uid="{00000000-0005-0000-0000-000030A90000}"/>
    <cellStyle name="Normal 62 2 2 3 8" xfId="43314" xr:uid="{00000000-0005-0000-0000-000031A90000}"/>
    <cellStyle name="Normal 62 2 2 4" xfId="5786" xr:uid="{00000000-0005-0000-0000-000032A90000}"/>
    <cellStyle name="Normal 62 2 2 4 2" xfId="589" xr:uid="{00000000-0005-0000-0000-000033A90000}"/>
    <cellStyle name="Normal 62 2 2 4 2 2" xfId="852" xr:uid="{00000000-0005-0000-0000-000034A90000}"/>
    <cellStyle name="Normal 62 2 2 4 2 2 2" xfId="98" xr:uid="{00000000-0005-0000-0000-000035A90000}"/>
    <cellStyle name="Normal 62 2 2 4 2 3" xfId="1115" xr:uid="{00000000-0005-0000-0000-000036A90000}"/>
    <cellStyle name="Normal 62 2 2 4 3" xfId="690" xr:uid="{00000000-0005-0000-0000-000037A90000}"/>
    <cellStyle name="Normal 62 2 2 4 3 2" xfId="4134" xr:uid="{00000000-0005-0000-0000-000038A90000}"/>
    <cellStyle name="Normal 62 2 2 4 4" xfId="785" xr:uid="{00000000-0005-0000-0000-000039A90000}"/>
    <cellStyle name="Normal 62 2 2 5" xfId="5824" xr:uid="{00000000-0005-0000-0000-00003AA90000}"/>
    <cellStyle name="Normal 62 2 2 5 2" xfId="5830" xr:uid="{00000000-0005-0000-0000-00003BA90000}"/>
    <cellStyle name="Normal 62 2 2 5 2 2" xfId="5842" xr:uid="{00000000-0005-0000-0000-00003CA90000}"/>
    <cellStyle name="Normal 62 2 2 5 3" xfId="4155" xr:uid="{00000000-0005-0000-0000-00003DA90000}"/>
    <cellStyle name="Normal 62 2 2 6" xfId="5856" xr:uid="{00000000-0005-0000-0000-00003EA90000}"/>
    <cellStyle name="Normal 62 2 2 6 2" xfId="1226" xr:uid="{00000000-0005-0000-0000-00003FA90000}"/>
    <cellStyle name="Normal 62 2 2 6 2 2" xfId="5861" xr:uid="{00000000-0005-0000-0000-000040A90000}"/>
    <cellStyle name="Normal 62 2 2 6 3" xfId="4186" xr:uid="{00000000-0005-0000-0000-000041A90000}"/>
    <cellStyle name="Normal 62 2 2 7" xfId="5883" xr:uid="{00000000-0005-0000-0000-000042A90000}"/>
    <cellStyle name="Normal 62 2 2 7 2" xfId="5888" xr:uid="{00000000-0005-0000-0000-000043A90000}"/>
    <cellStyle name="Normal 62 2 2 8" xfId="2529" xr:uid="{00000000-0005-0000-0000-000044A90000}"/>
    <cellStyle name="Normal 62 2 2 8 2" xfId="2545" xr:uid="{00000000-0005-0000-0000-000045A90000}"/>
    <cellStyle name="Normal 62 2 2 9" xfId="2572" xr:uid="{00000000-0005-0000-0000-000046A90000}"/>
    <cellStyle name="Normal 62 2 3" xfId="43317" xr:uid="{00000000-0005-0000-0000-000047A90000}"/>
    <cellStyle name="Normal 62 2 3 2" xfId="43319" xr:uid="{00000000-0005-0000-0000-000048A90000}"/>
    <cellStyle name="Normal 62 2 3 2 2" xfId="25952" xr:uid="{00000000-0005-0000-0000-000049A90000}"/>
    <cellStyle name="Normal 62 2 3 2 2 2" xfId="25955" xr:uid="{00000000-0005-0000-0000-00004AA90000}"/>
    <cellStyle name="Normal 62 2 3 2 2 2 2" xfId="42118" xr:uid="{00000000-0005-0000-0000-00004BA90000}"/>
    <cellStyle name="Normal 62 2 3 2 2 2 2 2" xfId="43321" xr:uid="{00000000-0005-0000-0000-00004CA90000}"/>
    <cellStyle name="Normal 62 2 3 2 2 2 3" xfId="42122" xr:uid="{00000000-0005-0000-0000-00004DA90000}"/>
    <cellStyle name="Normal 62 2 3 2 2 3" xfId="43323" xr:uid="{00000000-0005-0000-0000-00004EA90000}"/>
    <cellStyle name="Normal 62 2 3 2 2 3 2" xfId="42154" xr:uid="{00000000-0005-0000-0000-00004FA90000}"/>
    <cellStyle name="Normal 62 2 3 2 2 4" xfId="43325" xr:uid="{00000000-0005-0000-0000-000050A90000}"/>
    <cellStyle name="Normal 62 2 3 2 2 5" xfId="43327" xr:uid="{00000000-0005-0000-0000-000051A90000}"/>
    <cellStyle name="Normal 62 2 3 2 3" xfId="25959" xr:uid="{00000000-0005-0000-0000-000052A90000}"/>
    <cellStyle name="Normal 62 2 3 2 3 2" xfId="16255" xr:uid="{00000000-0005-0000-0000-000053A90000}"/>
    <cellStyle name="Normal 62 2 3 2 3 2 2" xfId="42186" xr:uid="{00000000-0005-0000-0000-000054A90000}"/>
    <cellStyle name="Normal 62 2 3 2 3 3" xfId="43329" xr:uid="{00000000-0005-0000-0000-000055A90000}"/>
    <cellStyle name="Normal 62 2 3 2 4" xfId="43332" xr:uid="{00000000-0005-0000-0000-000056A90000}"/>
    <cellStyle name="Normal 62 2 3 2 4 2" xfId="43334" xr:uid="{00000000-0005-0000-0000-000057A90000}"/>
    <cellStyle name="Normal 62 2 3 2 4 2 2" xfId="36966" xr:uid="{00000000-0005-0000-0000-000058A90000}"/>
    <cellStyle name="Normal 62 2 3 2 4 3" xfId="43336" xr:uid="{00000000-0005-0000-0000-000059A90000}"/>
    <cellStyle name="Normal 62 2 3 2 5" xfId="43338" xr:uid="{00000000-0005-0000-0000-00005AA90000}"/>
    <cellStyle name="Normal 62 2 3 2 5 2" xfId="43341" xr:uid="{00000000-0005-0000-0000-00005BA90000}"/>
    <cellStyle name="Normal 62 2 3 2 6" xfId="43343" xr:uid="{00000000-0005-0000-0000-00005CA90000}"/>
    <cellStyle name="Normal 62 2 3 2 6 2" xfId="43346" xr:uid="{00000000-0005-0000-0000-00005DA90000}"/>
    <cellStyle name="Normal 62 2 3 2 7" xfId="43348" xr:uid="{00000000-0005-0000-0000-00005EA90000}"/>
    <cellStyle name="Normal 62 2 3 2 8" xfId="43351" xr:uid="{00000000-0005-0000-0000-00005FA90000}"/>
    <cellStyle name="Normal 62 2 3 3" xfId="43354" xr:uid="{00000000-0005-0000-0000-000060A90000}"/>
    <cellStyle name="Normal 62 2 3 3 2" xfId="27107" xr:uid="{00000000-0005-0000-0000-000061A90000}"/>
    <cellStyle name="Normal 62 2 3 3 2 2" xfId="27110" xr:uid="{00000000-0005-0000-0000-000062A90000}"/>
    <cellStyle name="Normal 62 2 3 3 2 2 2" xfId="42413" xr:uid="{00000000-0005-0000-0000-000063A90000}"/>
    <cellStyle name="Normal 62 2 3 3 2 3" xfId="43356" xr:uid="{00000000-0005-0000-0000-000064A90000}"/>
    <cellStyle name="Normal 62 2 3 3 3" xfId="27114" xr:uid="{00000000-0005-0000-0000-000065A90000}"/>
    <cellStyle name="Normal 62 2 3 3 3 2" xfId="27118" xr:uid="{00000000-0005-0000-0000-000066A90000}"/>
    <cellStyle name="Normal 62 2 3 3 4" xfId="27123" xr:uid="{00000000-0005-0000-0000-000067A90000}"/>
    <cellStyle name="Normal 62 2 3 3 5" xfId="27126" xr:uid="{00000000-0005-0000-0000-000068A90000}"/>
    <cellStyle name="Normal 62 2 3 4" xfId="5933" xr:uid="{00000000-0005-0000-0000-000069A90000}"/>
    <cellStyle name="Normal 62 2 3 4 2" xfId="5938" xr:uid="{00000000-0005-0000-0000-00006AA90000}"/>
    <cellStyle name="Normal 62 2 3 4 2 2" xfId="4468" xr:uid="{00000000-0005-0000-0000-00006BA90000}"/>
    <cellStyle name="Normal 62 2 3 4 3" xfId="703" xr:uid="{00000000-0005-0000-0000-00006CA90000}"/>
    <cellStyle name="Normal 62 2 3 5" xfId="6028" xr:uid="{00000000-0005-0000-0000-00006DA90000}"/>
    <cellStyle name="Normal 62 2 3 5 2" xfId="6032" xr:uid="{00000000-0005-0000-0000-00006EA90000}"/>
    <cellStyle name="Normal 62 2 3 5 2 2" xfId="6039" xr:uid="{00000000-0005-0000-0000-00006FA90000}"/>
    <cellStyle name="Normal 62 2 3 5 3" xfId="2723" xr:uid="{00000000-0005-0000-0000-000070A90000}"/>
    <cellStyle name="Normal 62 2 3 6" xfId="6049" xr:uid="{00000000-0005-0000-0000-000071A90000}"/>
    <cellStyle name="Normal 62 2 3 6 2" xfId="6054" xr:uid="{00000000-0005-0000-0000-000072A90000}"/>
    <cellStyle name="Normal 62 2 3 7" xfId="2271" xr:uid="{00000000-0005-0000-0000-000073A90000}"/>
    <cellStyle name="Normal 62 2 3 7 2" xfId="6080" xr:uid="{00000000-0005-0000-0000-000074A90000}"/>
    <cellStyle name="Normal 62 2 3 8" xfId="2601" xr:uid="{00000000-0005-0000-0000-000075A90000}"/>
    <cellStyle name="Normal 62 2 3 9" xfId="4654" xr:uid="{00000000-0005-0000-0000-000076A90000}"/>
    <cellStyle name="Normal 62 2 4" xfId="43358" xr:uid="{00000000-0005-0000-0000-000077A90000}"/>
    <cellStyle name="Normal 62 2 4 2" xfId="13024" xr:uid="{00000000-0005-0000-0000-000078A90000}"/>
    <cellStyle name="Normal 62 2 4 2 2" xfId="43360" xr:uid="{00000000-0005-0000-0000-000079A90000}"/>
    <cellStyle name="Normal 62 2 4 2 2 2" xfId="28958" xr:uid="{00000000-0005-0000-0000-00007AA90000}"/>
    <cellStyle name="Normal 62 2 4 2 2 2 2" xfId="43279" xr:uid="{00000000-0005-0000-0000-00007BA90000}"/>
    <cellStyle name="Normal 62 2 4 2 2 2 2 2" xfId="43362" xr:uid="{00000000-0005-0000-0000-00007CA90000}"/>
    <cellStyle name="Normal 62 2 4 2 2 2 3" xfId="43283" xr:uid="{00000000-0005-0000-0000-00007DA90000}"/>
    <cellStyle name="Normal 62 2 4 2 2 3" xfId="43364" xr:uid="{00000000-0005-0000-0000-00007EA90000}"/>
    <cellStyle name="Normal 62 2 4 2 2 3 2" xfId="43313" xr:uid="{00000000-0005-0000-0000-00007FA90000}"/>
    <cellStyle name="Normal 62 2 4 2 2 4" xfId="43366" xr:uid="{00000000-0005-0000-0000-000080A90000}"/>
    <cellStyle name="Normal 62 2 4 2 3" xfId="43368" xr:uid="{00000000-0005-0000-0000-000081A90000}"/>
    <cellStyle name="Normal 62 2 4 2 3 2" xfId="43370" xr:uid="{00000000-0005-0000-0000-000082A90000}"/>
    <cellStyle name="Normal 62 2 4 2 3 2 2" xfId="43350" xr:uid="{00000000-0005-0000-0000-000083A90000}"/>
    <cellStyle name="Normal 62 2 4 2 3 3" xfId="43372" xr:uid="{00000000-0005-0000-0000-000084A90000}"/>
    <cellStyle name="Normal 62 2 4 2 4" xfId="43374" xr:uid="{00000000-0005-0000-0000-000085A90000}"/>
    <cellStyle name="Normal 62 2 4 2 4 2" xfId="43376" xr:uid="{00000000-0005-0000-0000-000086A90000}"/>
    <cellStyle name="Normal 62 2 4 2 4 2 2" xfId="16205" xr:uid="{00000000-0005-0000-0000-000087A90000}"/>
    <cellStyle name="Normal 62 2 4 2 4 3" xfId="43378" xr:uid="{00000000-0005-0000-0000-000088A90000}"/>
    <cellStyle name="Normal 62 2 4 2 5" xfId="949" xr:uid="{00000000-0005-0000-0000-000089A90000}"/>
    <cellStyle name="Normal 62 2 4 2 5 2" xfId="43380" xr:uid="{00000000-0005-0000-0000-00008AA90000}"/>
    <cellStyle name="Normal 62 2 4 2 6" xfId="31644" xr:uid="{00000000-0005-0000-0000-00008BA90000}"/>
    <cellStyle name="Normal 62 2 4 2 6 2" xfId="43382" xr:uid="{00000000-0005-0000-0000-00008CA90000}"/>
    <cellStyle name="Normal 62 2 4 2 7" xfId="13856" xr:uid="{00000000-0005-0000-0000-00008DA90000}"/>
    <cellStyle name="Normal 62 2 4 2 8" xfId="16204" xr:uid="{00000000-0005-0000-0000-00008EA90000}"/>
    <cellStyle name="Normal 62 2 4 3" xfId="13037" xr:uid="{00000000-0005-0000-0000-00008FA90000}"/>
    <cellStyle name="Normal 62 2 4 3 2" xfId="12239" xr:uid="{00000000-0005-0000-0000-000090A90000}"/>
    <cellStyle name="Normal 62 2 4 3 2 2" xfId="27162" xr:uid="{00000000-0005-0000-0000-000091A90000}"/>
    <cellStyle name="Normal 62 2 4 3 2 2 2" xfId="43385" xr:uid="{00000000-0005-0000-0000-000092A90000}"/>
    <cellStyle name="Normal 62 2 4 3 2 3" xfId="43388" xr:uid="{00000000-0005-0000-0000-000093A90000}"/>
    <cellStyle name="Normal 62 2 4 3 3" xfId="1597" xr:uid="{00000000-0005-0000-0000-000094A90000}"/>
    <cellStyle name="Normal 62 2 4 3 3 2" xfId="27165" xr:uid="{00000000-0005-0000-0000-000095A90000}"/>
    <cellStyle name="Normal 62 2 4 3 4" xfId="9722" xr:uid="{00000000-0005-0000-0000-000096A90000}"/>
    <cellStyle name="Normal 62 2 4 4" xfId="6096" xr:uid="{00000000-0005-0000-0000-000097A90000}"/>
    <cellStyle name="Normal 62 2 4 4 2" xfId="6101" xr:uid="{00000000-0005-0000-0000-000098A90000}"/>
    <cellStyle name="Normal 62 2 4 4 2 2" xfId="2130" xr:uid="{00000000-0005-0000-0000-000099A90000}"/>
    <cellStyle name="Normal 62 2 4 4 3" xfId="6114" xr:uid="{00000000-0005-0000-0000-00009AA90000}"/>
    <cellStyle name="Normal 62 2 4 5" xfId="6122" xr:uid="{00000000-0005-0000-0000-00009BA90000}"/>
    <cellStyle name="Normal 62 2 4 5 2" xfId="3263" xr:uid="{00000000-0005-0000-0000-00009CA90000}"/>
    <cellStyle name="Normal 62 2 4 5 2 2" xfId="1131" xr:uid="{00000000-0005-0000-0000-00009DA90000}"/>
    <cellStyle name="Normal 62 2 4 5 3" xfId="4947" xr:uid="{00000000-0005-0000-0000-00009EA90000}"/>
    <cellStyle name="Normal 62 2 4 6" xfId="6134" xr:uid="{00000000-0005-0000-0000-00009FA90000}"/>
    <cellStyle name="Normal 62 2 4 6 2" xfId="6144" xr:uid="{00000000-0005-0000-0000-0000A0A90000}"/>
    <cellStyle name="Normal 62 2 4 7" xfId="5291" xr:uid="{00000000-0005-0000-0000-0000A1A90000}"/>
    <cellStyle name="Normal 62 2 4 7 2" xfId="6154" xr:uid="{00000000-0005-0000-0000-0000A2A90000}"/>
    <cellStyle name="Normal 62 2 4 8" xfId="5656" xr:uid="{00000000-0005-0000-0000-0000A3A90000}"/>
    <cellStyle name="Normal 62 2 4 9" xfId="6161" xr:uid="{00000000-0005-0000-0000-0000A4A90000}"/>
    <cellStyle name="Normal 62 2 5" xfId="43390" xr:uid="{00000000-0005-0000-0000-0000A5A90000}"/>
    <cellStyle name="Normal 62 2 5 2" xfId="43392" xr:uid="{00000000-0005-0000-0000-0000A6A90000}"/>
    <cellStyle name="Normal 62 2 5 2 2" xfId="43394" xr:uid="{00000000-0005-0000-0000-0000A7A90000}"/>
    <cellStyle name="Normal 62 2 5 2 2 2" xfId="30941" xr:uid="{00000000-0005-0000-0000-0000A8A90000}"/>
    <cellStyle name="Normal 62 2 5 2 2 2 2" xfId="43397" xr:uid="{00000000-0005-0000-0000-0000A9A90000}"/>
    <cellStyle name="Normal 62 2 5 2 2 2 2 2" xfId="43400" xr:uid="{00000000-0005-0000-0000-0000AAA90000}"/>
    <cellStyle name="Normal 62 2 5 2 2 2 3" xfId="30440" xr:uid="{00000000-0005-0000-0000-0000ABA90000}"/>
    <cellStyle name="Normal 62 2 5 2 2 3" xfId="43402" xr:uid="{00000000-0005-0000-0000-0000ACA90000}"/>
    <cellStyle name="Normal 62 2 5 2 2 3 2" xfId="43405" xr:uid="{00000000-0005-0000-0000-0000ADA90000}"/>
    <cellStyle name="Normal 62 2 5 2 2 4" xfId="43408" xr:uid="{00000000-0005-0000-0000-0000AEA90000}"/>
    <cellStyle name="Normal 62 2 5 2 3" xfId="43410" xr:uid="{00000000-0005-0000-0000-0000AFA90000}"/>
    <cellStyle name="Normal 62 2 5 2 3 2" xfId="43412" xr:uid="{00000000-0005-0000-0000-0000B0A90000}"/>
    <cellStyle name="Normal 62 2 5 2 3 2 2" xfId="43415" xr:uid="{00000000-0005-0000-0000-0000B1A90000}"/>
    <cellStyle name="Normal 62 2 5 2 3 3" xfId="43418" xr:uid="{00000000-0005-0000-0000-0000B2A90000}"/>
    <cellStyle name="Normal 62 2 5 2 4" xfId="43420" xr:uid="{00000000-0005-0000-0000-0000B3A90000}"/>
    <cellStyle name="Normal 62 2 5 2 4 2" xfId="43422" xr:uid="{00000000-0005-0000-0000-0000B4A90000}"/>
    <cellStyle name="Normal 62 2 5 2 4 2 2" xfId="37087" xr:uid="{00000000-0005-0000-0000-0000B5A90000}"/>
    <cellStyle name="Normal 62 2 5 2 4 3" xfId="43424" xr:uid="{00000000-0005-0000-0000-0000B6A90000}"/>
    <cellStyle name="Normal 62 2 5 2 5" xfId="43426" xr:uid="{00000000-0005-0000-0000-0000B7A90000}"/>
    <cellStyle name="Normal 62 2 5 2 5 2" xfId="43428" xr:uid="{00000000-0005-0000-0000-0000B8A90000}"/>
    <cellStyle name="Normal 62 2 5 2 6" xfId="43430" xr:uid="{00000000-0005-0000-0000-0000B9A90000}"/>
    <cellStyle name="Normal 62 2 5 2 6 2" xfId="43432" xr:uid="{00000000-0005-0000-0000-0000BAA90000}"/>
    <cellStyle name="Normal 62 2 5 2 7" xfId="17502" xr:uid="{00000000-0005-0000-0000-0000BBA90000}"/>
    <cellStyle name="Normal 62 2 5 2 8" xfId="43434" xr:uid="{00000000-0005-0000-0000-0000BCA90000}"/>
    <cellStyle name="Normal 62 2 5 3" xfId="11774" xr:uid="{00000000-0005-0000-0000-0000BDA90000}"/>
    <cellStyle name="Normal 62 2 5 3 2" xfId="27200" xr:uid="{00000000-0005-0000-0000-0000BEA90000}"/>
    <cellStyle name="Normal 62 2 5 3 2 2" xfId="43436" xr:uid="{00000000-0005-0000-0000-0000BFA90000}"/>
    <cellStyle name="Normal 62 2 5 3 2 2 2" xfId="21780" xr:uid="{00000000-0005-0000-0000-0000C0A90000}"/>
    <cellStyle name="Normal 62 2 5 3 2 3" xfId="43438" xr:uid="{00000000-0005-0000-0000-0000C1A90000}"/>
    <cellStyle name="Normal 62 2 5 3 3" xfId="43441" xr:uid="{00000000-0005-0000-0000-0000C2A90000}"/>
    <cellStyle name="Normal 62 2 5 3 3 2" xfId="9772" xr:uid="{00000000-0005-0000-0000-0000C3A90000}"/>
    <cellStyle name="Normal 62 2 5 3 4" xfId="43443" xr:uid="{00000000-0005-0000-0000-0000C4A90000}"/>
    <cellStyle name="Normal 62 2 5 4" xfId="6169" xr:uid="{00000000-0005-0000-0000-0000C5A90000}"/>
    <cellStyle name="Normal 62 2 5 4 2" xfId="6180" xr:uid="{00000000-0005-0000-0000-0000C6A90000}"/>
    <cellStyle name="Normal 62 2 5 4 2 2" xfId="4363" xr:uid="{00000000-0005-0000-0000-0000C7A90000}"/>
    <cellStyle name="Normal 62 2 5 4 3" xfId="6190" xr:uid="{00000000-0005-0000-0000-0000C8A90000}"/>
    <cellStyle name="Normal 62 2 5 5" xfId="6204" xr:uid="{00000000-0005-0000-0000-0000C9A90000}"/>
    <cellStyle name="Normal 62 2 5 5 2" xfId="5476" xr:uid="{00000000-0005-0000-0000-0000CAA90000}"/>
    <cellStyle name="Normal 62 2 5 5 2 2" xfId="43445" xr:uid="{00000000-0005-0000-0000-0000CBA90000}"/>
    <cellStyle name="Normal 62 2 5 5 3" xfId="43447" xr:uid="{00000000-0005-0000-0000-0000CCA90000}"/>
    <cellStyle name="Normal 62 2 5 6" xfId="6215" xr:uid="{00000000-0005-0000-0000-0000CDA90000}"/>
    <cellStyle name="Normal 62 2 5 6 2" xfId="43449" xr:uid="{00000000-0005-0000-0000-0000CEA90000}"/>
    <cellStyle name="Normal 62 2 5 7" xfId="43451" xr:uid="{00000000-0005-0000-0000-0000CFA90000}"/>
    <cellStyle name="Normal 62 2 5 7 2" xfId="43453" xr:uid="{00000000-0005-0000-0000-0000D0A90000}"/>
    <cellStyle name="Normal 62 2 5 8" xfId="43455" xr:uid="{00000000-0005-0000-0000-0000D1A90000}"/>
    <cellStyle name="Normal 62 2 5 9" xfId="43457" xr:uid="{00000000-0005-0000-0000-0000D2A90000}"/>
    <cellStyle name="Normal 62 2 6" xfId="43459" xr:uid="{00000000-0005-0000-0000-0000D3A90000}"/>
    <cellStyle name="Normal 62 2 6 2" xfId="43461" xr:uid="{00000000-0005-0000-0000-0000D4A90000}"/>
    <cellStyle name="Normal 62 2 6 2 2" xfId="13110" xr:uid="{00000000-0005-0000-0000-0000D5A90000}"/>
    <cellStyle name="Normal 62 2 6 2 2 2" xfId="32645" xr:uid="{00000000-0005-0000-0000-0000D6A90000}"/>
    <cellStyle name="Normal 62 2 6 2 2 2 2" xfId="43463" xr:uid="{00000000-0005-0000-0000-0000D7A90000}"/>
    <cellStyle name="Normal 62 2 6 2 2 3" xfId="43466" xr:uid="{00000000-0005-0000-0000-0000D8A90000}"/>
    <cellStyle name="Normal 62 2 6 2 3" xfId="43469" xr:uid="{00000000-0005-0000-0000-0000D9A90000}"/>
    <cellStyle name="Normal 62 2 6 2 3 2" xfId="43471" xr:uid="{00000000-0005-0000-0000-0000DAA90000}"/>
    <cellStyle name="Normal 62 2 6 2 4" xfId="43473" xr:uid="{00000000-0005-0000-0000-0000DBA90000}"/>
    <cellStyle name="Normal 62 2 6 3" xfId="43475" xr:uid="{00000000-0005-0000-0000-0000DCA90000}"/>
    <cellStyle name="Normal 62 2 6 3 2" xfId="43477" xr:uid="{00000000-0005-0000-0000-0000DDA90000}"/>
    <cellStyle name="Normal 62 2 6 3 2 2" xfId="43479" xr:uid="{00000000-0005-0000-0000-0000DEA90000}"/>
    <cellStyle name="Normal 62 2 6 3 3" xfId="43481" xr:uid="{00000000-0005-0000-0000-0000DFA90000}"/>
    <cellStyle name="Normal 62 2 6 4" xfId="6224" xr:uid="{00000000-0005-0000-0000-0000E0A90000}"/>
    <cellStyle name="Normal 62 2 6 4 2" xfId="6227" xr:uid="{00000000-0005-0000-0000-0000E1A90000}"/>
    <cellStyle name="Normal 62 2 6 4 2 2" xfId="43483" xr:uid="{00000000-0005-0000-0000-0000E2A90000}"/>
    <cellStyle name="Normal 62 2 6 4 3" xfId="43485" xr:uid="{00000000-0005-0000-0000-0000E3A90000}"/>
    <cellStyle name="Normal 62 2 6 5" xfId="6233" xr:uid="{00000000-0005-0000-0000-0000E4A90000}"/>
    <cellStyle name="Normal 62 2 6 5 2" xfId="43487" xr:uid="{00000000-0005-0000-0000-0000E5A90000}"/>
    <cellStyle name="Normal 62 2 6 6" xfId="43489" xr:uid="{00000000-0005-0000-0000-0000E6A90000}"/>
    <cellStyle name="Normal 62 2 6 6 2" xfId="43491" xr:uid="{00000000-0005-0000-0000-0000E7A90000}"/>
    <cellStyle name="Normal 62 2 6 7" xfId="43493" xr:uid="{00000000-0005-0000-0000-0000E8A90000}"/>
    <cellStyle name="Normal 62 2 6 8" xfId="43495" xr:uid="{00000000-0005-0000-0000-0000E9A90000}"/>
    <cellStyle name="Normal 62 2 7" xfId="43497" xr:uid="{00000000-0005-0000-0000-0000EAA90000}"/>
    <cellStyle name="Normal 62 2 7 2" xfId="43499" xr:uid="{00000000-0005-0000-0000-0000EBA90000}"/>
    <cellStyle name="Normal 62 2 7 2 2" xfId="43501" xr:uid="{00000000-0005-0000-0000-0000ECA90000}"/>
    <cellStyle name="Normal 62 2 7 2 2 2" xfId="10906" xr:uid="{00000000-0005-0000-0000-0000EDA90000}"/>
    <cellStyle name="Normal 62 2 7 2 3" xfId="43503" xr:uid="{00000000-0005-0000-0000-0000EEA90000}"/>
    <cellStyle name="Normal 62 2 7 3" xfId="43505" xr:uid="{00000000-0005-0000-0000-0000EFA90000}"/>
    <cellStyle name="Normal 62 2 7 3 2" xfId="43507" xr:uid="{00000000-0005-0000-0000-0000F0A90000}"/>
    <cellStyle name="Normal 62 2 7 4" xfId="1925" xr:uid="{00000000-0005-0000-0000-0000F1A90000}"/>
    <cellStyle name="Normal 62 2 8" xfId="43509" xr:uid="{00000000-0005-0000-0000-0000F2A90000}"/>
    <cellStyle name="Normal 62 2 8 2" xfId="30216" xr:uid="{00000000-0005-0000-0000-0000F3A90000}"/>
    <cellStyle name="Normal 62 2 8 2 2" xfId="43511" xr:uid="{00000000-0005-0000-0000-0000F4A90000}"/>
    <cellStyle name="Normal 62 2 8 3" xfId="40491" xr:uid="{00000000-0005-0000-0000-0000F5A90000}"/>
    <cellStyle name="Normal 62 2 9" xfId="43513" xr:uid="{00000000-0005-0000-0000-0000F6A90000}"/>
    <cellStyle name="Normal 62 2 9 2" xfId="33231" xr:uid="{00000000-0005-0000-0000-0000F7A90000}"/>
    <cellStyle name="Normal 62 2 9 2 2" xfId="34911" xr:uid="{00000000-0005-0000-0000-0000F8A90000}"/>
    <cellStyle name="Normal 62 2 9 3" xfId="34978" xr:uid="{00000000-0005-0000-0000-0000F9A90000}"/>
    <cellStyle name="Normal 62 3" xfId="43515" xr:uid="{00000000-0005-0000-0000-0000FAA90000}"/>
    <cellStyle name="Normal 62 3 10" xfId="43517" xr:uid="{00000000-0005-0000-0000-0000FBA90000}"/>
    <cellStyle name="Normal 62 3 10 2" xfId="43519" xr:uid="{00000000-0005-0000-0000-0000FCA90000}"/>
    <cellStyle name="Normal 62 3 11" xfId="17732" xr:uid="{00000000-0005-0000-0000-0000FDA90000}"/>
    <cellStyle name="Normal 62 3 11 2" xfId="29532" xr:uid="{00000000-0005-0000-0000-0000FEA90000}"/>
    <cellStyle name="Normal 62 3 12" xfId="14052" xr:uid="{00000000-0005-0000-0000-0000FFA90000}"/>
    <cellStyle name="Normal 62 3 12 2" xfId="14062" xr:uid="{00000000-0005-0000-0000-000000AA0000}"/>
    <cellStyle name="Normal 62 3 13" xfId="14087" xr:uid="{00000000-0005-0000-0000-000001AA0000}"/>
    <cellStyle name="Normal 62 3 14" xfId="14109" xr:uid="{00000000-0005-0000-0000-000002AA0000}"/>
    <cellStyle name="Normal 62 3 2" xfId="43521" xr:uid="{00000000-0005-0000-0000-000003AA0000}"/>
    <cellStyle name="Normal 62 3 2 10" xfId="43523" xr:uid="{00000000-0005-0000-0000-000004AA0000}"/>
    <cellStyle name="Normal 62 3 2 2" xfId="43525" xr:uid="{00000000-0005-0000-0000-000005AA0000}"/>
    <cellStyle name="Normal 62 3 2 2 2" xfId="43527" xr:uid="{00000000-0005-0000-0000-000006AA0000}"/>
    <cellStyle name="Normal 62 3 2 2 2 2" xfId="43529" xr:uid="{00000000-0005-0000-0000-000007AA0000}"/>
    <cellStyle name="Normal 62 3 2 2 2 2 2" xfId="43531" xr:uid="{00000000-0005-0000-0000-000008AA0000}"/>
    <cellStyle name="Normal 62 3 2 2 2 2 2 2" xfId="43533" xr:uid="{00000000-0005-0000-0000-000009AA0000}"/>
    <cellStyle name="Normal 62 3 2 2 2 2 2 2 2" xfId="43535" xr:uid="{00000000-0005-0000-0000-00000AAA0000}"/>
    <cellStyle name="Normal 62 3 2 2 2 2 2 3" xfId="43537" xr:uid="{00000000-0005-0000-0000-00000BAA0000}"/>
    <cellStyle name="Normal 62 3 2 2 2 2 3" xfId="43539" xr:uid="{00000000-0005-0000-0000-00000CAA0000}"/>
    <cellStyle name="Normal 62 3 2 2 2 2 3 2" xfId="43541" xr:uid="{00000000-0005-0000-0000-00000DAA0000}"/>
    <cellStyle name="Normal 62 3 2 2 2 2 4" xfId="18528" xr:uid="{00000000-0005-0000-0000-00000EAA0000}"/>
    <cellStyle name="Normal 62 3 2 2 2 3" xfId="43543" xr:uid="{00000000-0005-0000-0000-00000FAA0000}"/>
    <cellStyle name="Normal 62 3 2 2 2 3 2" xfId="43545" xr:uid="{00000000-0005-0000-0000-000010AA0000}"/>
    <cellStyle name="Normal 62 3 2 2 2 3 2 2" xfId="43547" xr:uid="{00000000-0005-0000-0000-000011AA0000}"/>
    <cellStyle name="Normal 62 3 2 2 2 3 3" xfId="43549" xr:uid="{00000000-0005-0000-0000-000012AA0000}"/>
    <cellStyle name="Normal 62 3 2 2 2 4" xfId="43551" xr:uid="{00000000-0005-0000-0000-000013AA0000}"/>
    <cellStyle name="Normal 62 3 2 2 2 4 2" xfId="43553" xr:uid="{00000000-0005-0000-0000-000014AA0000}"/>
    <cellStyle name="Normal 62 3 2 2 2 4 2 2" xfId="43555" xr:uid="{00000000-0005-0000-0000-000015AA0000}"/>
    <cellStyle name="Normal 62 3 2 2 2 4 3" xfId="43557" xr:uid="{00000000-0005-0000-0000-000016AA0000}"/>
    <cellStyle name="Normal 62 3 2 2 2 5" xfId="43559" xr:uid="{00000000-0005-0000-0000-000017AA0000}"/>
    <cellStyle name="Normal 62 3 2 2 2 5 2" xfId="43561" xr:uid="{00000000-0005-0000-0000-000018AA0000}"/>
    <cellStyle name="Normal 62 3 2 2 2 6" xfId="43564" xr:uid="{00000000-0005-0000-0000-000019AA0000}"/>
    <cellStyle name="Normal 62 3 2 2 2 6 2" xfId="43567" xr:uid="{00000000-0005-0000-0000-00001AAA0000}"/>
    <cellStyle name="Normal 62 3 2 2 2 7" xfId="22814" xr:uid="{00000000-0005-0000-0000-00001BAA0000}"/>
    <cellStyle name="Normal 62 3 2 2 2 8" xfId="22825" xr:uid="{00000000-0005-0000-0000-00001CAA0000}"/>
    <cellStyle name="Normal 62 3 2 2 3" xfId="43569" xr:uid="{00000000-0005-0000-0000-00001DAA0000}"/>
    <cellStyle name="Normal 62 3 2 2 3 2" xfId="43571" xr:uid="{00000000-0005-0000-0000-00001EAA0000}"/>
    <cellStyle name="Normal 62 3 2 2 3 2 2" xfId="43573" xr:uid="{00000000-0005-0000-0000-00001FAA0000}"/>
    <cellStyle name="Normal 62 3 2 2 3 2 2 2" xfId="43575" xr:uid="{00000000-0005-0000-0000-000020AA0000}"/>
    <cellStyle name="Normal 62 3 2 2 3 2 3" xfId="43577" xr:uid="{00000000-0005-0000-0000-000021AA0000}"/>
    <cellStyle name="Normal 62 3 2 2 3 3" xfId="43579" xr:uid="{00000000-0005-0000-0000-000022AA0000}"/>
    <cellStyle name="Normal 62 3 2 2 3 3 2" xfId="43581" xr:uid="{00000000-0005-0000-0000-000023AA0000}"/>
    <cellStyle name="Normal 62 3 2 2 3 4" xfId="43583" xr:uid="{00000000-0005-0000-0000-000024AA0000}"/>
    <cellStyle name="Normal 62 3 2 2 4" xfId="43585" xr:uid="{00000000-0005-0000-0000-000025AA0000}"/>
    <cellStyle name="Normal 62 3 2 2 4 2" xfId="43587" xr:uid="{00000000-0005-0000-0000-000026AA0000}"/>
    <cellStyle name="Normal 62 3 2 2 4 2 2" xfId="43589" xr:uid="{00000000-0005-0000-0000-000027AA0000}"/>
    <cellStyle name="Normal 62 3 2 2 4 3" xfId="5763" xr:uid="{00000000-0005-0000-0000-000028AA0000}"/>
    <cellStyle name="Normal 62 3 2 2 5" xfId="43591" xr:uid="{00000000-0005-0000-0000-000029AA0000}"/>
    <cellStyle name="Normal 62 3 2 2 5 2" xfId="43593" xr:uid="{00000000-0005-0000-0000-00002AAA0000}"/>
    <cellStyle name="Normal 62 3 2 2 5 2 2" xfId="5794" xr:uid="{00000000-0005-0000-0000-00002BAA0000}"/>
    <cellStyle name="Normal 62 3 2 2 5 3" xfId="3730" xr:uid="{00000000-0005-0000-0000-00002CAA0000}"/>
    <cellStyle name="Normal 62 3 2 2 6" xfId="43595" xr:uid="{00000000-0005-0000-0000-00002DAA0000}"/>
    <cellStyle name="Normal 62 3 2 2 6 2" xfId="43597" xr:uid="{00000000-0005-0000-0000-00002EAA0000}"/>
    <cellStyle name="Normal 62 3 2 2 7" xfId="43599" xr:uid="{00000000-0005-0000-0000-00002FAA0000}"/>
    <cellStyle name="Normal 62 3 2 2 7 2" xfId="43601" xr:uid="{00000000-0005-0000-0000-000030AA0000}"/>
    <cellStyle name="Normal 62 3 2 2 8" xfId="43384" xr:uid="{00000000-0005-0000-0000-000031AA0000}"/>
    <cellStyle name="Normal 62 3 2 2 9" xfId="43603" xr:uid="{00000000-0005-0000-0000-000032AA0000}"/>
    <cellStyle name="Normal 62 3 2 3" xfId="43605" xr:uid="{00000000-0005-0000-0000-000033AA0000}"/>
    <cellStyle name="Normal 62 3 2 3 2" xfId="24787" xr:uid="{00000000-0005-0000-0000-000034AA0000}"/>
    <cellStyle name="Normal 62 3 2 3 2 2" xfId="43607" xr:uid="{00000000-0005-0000-0000-000035AA0000}"/>
    <cellStyle name="Normal 62 3 2 3 2 2 2" xfId="43609" xr:uid="{00000000-0005-0000-0000-000036AA0000}"/>
    <cellStyle name="Normal 62 3 2 3 2 2 2 2" xfId="43611" xr:uid="{00000000-0005-0000-0000-000037AA0000}"/>
    <cellStyle name="Normal 62 3 2 3 2 2 3" xfId="43613" xr:uid="{00000000-0005-0000-0000-000038AA0000}"/>
    <cellStyle name="Normal 62 3 2 3 2 3" xfId="43615" xr:uid="{00000000-0005-0000-0000-000039AA0000}"/>
    <cellStyle name="Normal 62 3 2 3 2 3 2" xfId="43617" xr:uid="{00000000-0005-0000-0000-00003AAA0000}"/>
    <cellStyle name="Normal 62 3 2 3 2 4" xfId="43619" xr:uid="{00000000-0005-0000-0000-00003BAA0000}"/>
    <cellStyle name="Normal 62 3 2 3 3" xfId="25723" xr:uid="{00000000-0005-0000-0000-00003CAA0000}"/>
    <cellStyle name="Normal 62 3 2 3 3 2" xfId="43622" xr:uid="{00000000-0005-0000-0000-00003DAA0000}"/>
    <cellStyle name="Normal 62 3 2 3 3 2 2" xfId="43624" xr:uid="{00000000-0005-0000-0000-00003EAA0000}"/>
    <cellStyle name="Normal 62 3 2 3 3 3" xfId="43626" xr:uid="{00000000-0005-0000-0000-00003FAA0000}"/>
    <cellStyle name="Normal 62 3 2 3 4" xfId="43629" xr:uid="{00000000-0005-0000-0000-000040AA0000}"/>
    <cellStyle name="Normal 62 3 2 3 4 2" xfId="43631" xr:uid="{00000000-0005-0000-0000-000041AA0000}"/>
    <cellStyle name="Normal 62 3 2 3 4 2 2" xfId="43633" xr:uid="{00000000-0005-0000-0000-000042AA0000}"/>
    <cellStyle name="Normal 62 3 2 3 4 3" xfId="5914" xr:uid="{00000000-0005-0000-0000-000043AA0000}"/>
    <cellStyle name="Normal 62 3 2 3 5" xfId="43635" xr:uid="{00000000-0005-0000-0000-000044AA0000}"/>
    <cellStyle name="Normal 62 3 2 3 5 2" xfId="43637" xr:uid="{00000000-0005-0000-0000-000045AA0000}"/>
    <cellStyle name="Normal 62 3 2 3 6" xfId="43639" xr:uid="{00000000-0005-0000-0000-000046AA0000}"/>
    <cellStyle name="Normal 62 3 2 3 6 2" xfId="43641" xr:uid="{00000000-0005-0000-0000-000047AA0000}"/>
    <cellStyle name="Normal 62 3 2 3 7" xfId="43643" xr:uid="{00000000-0005-0000-0000-000048AA0000}"/>
    <cellStyle name="Normal 62 3 2 3 8" xfId="43645" xr:uid="{00000000-0005-0000-0000-000049AA0000}"/>
    <cellStyle name="Normal 62 3 2 4" xfId="6264" xr:uid="{00000000-0005-0000-0000-00004AAA0000}"/>
    <cellStyle name="Normal 62 3 2 4 2" xfId="261" xr:uid="{00000000-0005-0000-0000-00004BAA0000}"/>
    <cellStyle name="Normal 62 3 2 4 2 2" xfId="43647" xr:uid="{00000000-0005-0000-0000-00004CAA0000}"/>
    <cellStyle name="Normal 62 3 2 4 2 2 2" xfId="43649" xr:uid="{00000000-0005-0000-0000-00004DAA0000}"/>
    <cellStyle name="Normal 62 3 2 4 2 3" xfId="43651" xr:uid="{00000000-0005-0000-0000-00004EAA0000}"/>
    <cellStyle name="Normal 62 3 2 4 3" xfId="43654" xr:uid="{00000000-0005-0000-0000-00004FAA0000}"/>
    <cellStyle name="Normal 62 3 2 4 3 2" xfId="43656" xr:uid="{00000000-0005-0000-0000-000050AA0000}"/>
    <cellStyle name="Normal 62 3 2 4 4" xfId="43658" xr:uid="{00000000-0005-0000-0000-000051AA0000}"/>
    <cellStyle name="Normal 62 3 2 5" xfId="6267" xr:uid="{00000000-0005-0000-0000-000052AA0000}"/>
    <cellStyle name="Normal 62 3 2 5 2" xfId="43660" xr:uid="{00000000-0005-0000-0000-000053AA0000}"/>
    <cellStyle name="Normal 62 3 2 5 2 2" xfId="43662" xr:uid="{00000000-0005-0000-0000-000054AA0000}"/>
    <cellStyle name="Normal 62 3 2 5 3" xfId="43664" xr:uid="{00000000-0005-0000-0000-000055AA0000}"/>
    <cellStyle name="Normal 62 3 2 6" xfId="20051" xr:uid="{00000000-0005-0000-0000-000056AA0000}"/>
    <cellStyle name="Normal 62 3 2 6 2" xfId="43666" xr:uid="{00000000-0005-0000-0000-000057AA0000}"/>
    <cellStyle name="Normal 62 3 2 6 2 2" xfId="43668" xr:uid="{00000000-0005-0000-0000-000058AA0000}"/>
    <cellStyle name="Normal 62 3 2 6 3" xfId="37370" xr:uid="{00000000-0005-0000-0000-000059AA0000}"/>
    <cellStyle name="Normal 62 3 2 7" xfId="43670" xr:uid="{00000000-0005-0000-0000-00005AAA0000}"/>
    <cellStyle name="Normal 62 3 2 7 2" xfId="43672" xr:uid="{00000000-0005-0000-0000-00005BAA0000}"/>
    <cellStyle name="Normal 62 3 2 8" xfId="43674" xr:uid="{00000000-0005-0000-0000-00005CAA0000}"/>
    <cellStyle name="Normal 62 3 2 8 2" xfId="43676" xr:uid="{00000000-0005-0000-0000-00005DAA0000}"/>
    <cellStyle name="Normal 62 3 2 9" xfId="20841" xr:uid="{00000000-0005-0000-0000-00005EAA0000}"/>
    <cellStyle name="Normal 62 3 3" xfId="43678" xr:uid="{00000000-0005-0000-0000-00005FAA0000}"/>
    <cellStyle name="Normal 62 3 3 2" xfId="43680" xr:uid="{00000000-0005-0000-0000-000060AA0000}"/>
    <cellStyle name="Normal 62 3 3 2 2" xfId="43682" xr:uid="{00000000-0005-0000-0000-000061AA0000}"/>
    <cellStyle name="Normal 62 3 3 2 2 2" xfId="16872" xr:uid="{00000000-0005-0000-0000-000062AA0000}"/>
    <cellStyle name="Normal 62 3 3 2 2 2 2" xfId="43684" xr:uid="{00000000-0005-0000-0000-000063AA0000}"/>
    <cellStyle name="Normal 62 3 3 2 2 2 2 2" xfId="43686" xr:uid="{00000000-0005-0000-0000-000064AA0000}"/>
    <cellStyle name="Normal 62 3 3 2 2 2 3" xfId="8545" xr:uid="{00000000-0005-0000-0000-000065AA0000}"/>
    <cellStyle name="Normal 62 3 3 2 2 3" xfId="28036" xr:uid="{00000000-0005-0000-0000-000066AA0000}"/>
    <cellStyle name="Normal 62 3 3 2 2 3 2" xfId="43688" xr:uid="{00000000-0005-0000-0000-000067AA0000}"/>
    <cellStyle name="Normal 62 3 3 2 2 4" xfId="43690" xr:uid="{00000000-0005-0000-0000-000068AA0000}"/>
    <cellStyle name="Normal 62 3 3 2 2 5" xfId="43692" xr:uid="{00000000-0005-0000-0000-000069AA0000}"/>
    <cellStyle name="Normal 62 3 3 2 3" xfId="43694" xr:uid="{00000000-0005-0000-0000-00006AAA0000}"/>
    <cellStyle name="Normal 62 3 3 2 3 2" xfId="43696" xr:uid="{00000000-0005-0000-0000-00006BAA0000}"/>
    <cellStyle name="Normal 62 3 3 2 3 2 2" xfId="1155" xr:uid="{00000000-0005-0000-0000-00006CAA0000}"/>
    <cellStyle name="Normal 62 3 3 2 3 3" xfId="43698" xr:uid="{00000000-0005-0000-0000-00006DAA0000}"/>
    <cellStyle name="Normal 62 3 3 2 4" xfId="43700" xr:uid="{00000000-0005-0000-0000-00006EAA0000}"/>
    <cellStyle name="Normal 62 3 3 2 4 2" xfId="43702" xr:uid="{00000000-0005-0000-0000-00006FAA0000}"/>
    <cellStyle name="Normal 62 3 3 2 4 2 2" xfId="1981" xr:uid="{00000000-0005-0000-0000-000070AA0000}"/>
    <cellStyle name="Normal 62 3 3 2 4 3" xfId="43704" xr:uid="{00000000-0005-0000-0000-000071AA0000}"/>
    <cellStyle name="Normal 62 3 3 2 5" xfId="43706" xr:uid="{00000000-0005-0000-0000-000072AA0000}"/>
    <cellStyle name="Normal 62 3 3 2 5 2" xfId="43708" xr:uid="{00000000-0005-0000-0000-000073AA0000}"/>
    <cellStyle name="Normal 62 3 3 2 6" xfId="43710" xr:uid="{00000000-0005-0000-0000-000074AA0000}"/>
    <cellStyle name="Normal 62 3 3 2 6 2" xfId="43712" xr:uid="{00000000-0005-0000-0000-000075AA0000}"/>
    <cellStyle name="Normal 62 3 3 2 7" xfId="43714" xr:uid="{00000000-0005-0000-0000-000076AA0000}"/>
    <cellStyle name="Normal 62 3 3 2 8" xfId="43716" xr:uid="{00000000-0005-0000-0000-000077AA0000}"/>
    <cellStyle name="Normal 62 3 3 3" xfId="15555" xr:uid="{00000000-0005-0000-0000-000078AA0000}"/>
    <cellStyle name="Normal 62 3 3 3 2" xfId="43718" xr:uid="{00000000-0005-0000-0000-000079AA0000}"/>
    <cellStyle name="Normal 62 3 3 3 2 2" xfId="43720" xr:uid="{00000000-0005-0000-0000-00007AAA0000}"/>
    <cellStyle name="Normal 62 3 3 3 2 2 2" xfId="43722" xr:uid="{00000000-0005-0000-0000-00007BAA0000}"/>
    <cellStyle name="Normal 62 3 3 3 2 3" xfId="43724" xr:uid="{00000000-0005-0000-0000-00007CAA0000}"/>
    <cellStyle name="Normal 62 3 3 3 3" xfId="43727" xr:uid="{00000000-0005-0000-0000-00007DAA0000}"/>
    <cellStyle name="Normal 62 3 3 3 3 2" xfId="43729" xr:uid="{00000000-0005-0000-0000-00007EAA0000}"/>
    <cellStyle name="Normal 62 3 3 3 4" xfId="43731" xr:uid="{00000000-0005-0000-0000-00007FAA0000}"/>
    <cellStyle name="Normal 62 3 3 3 5" xfId="43733" xr:uid="{00000000-0005-0000-0000-000080AA0000}"/>
    <cellStyle name="Normal 62 3 3 4" xfId="6275" xr:uid="{00000000-0005-0000-0000-000081AA0000}"/>
    <cellStyle name="Normal 62 3 3 4 2" xfId="43735" xr:uid="{00000000-0005-0000-0000-000082AA0000}"/>
    <cellStyle name="Normal 62 3 3 4 2 2" xfId="43737" xr:uid="{00000000-0005-0000-0000-000083AA0000}"/>
    <cellStyle name="Normal 62 3 3 4 3" xfId="43739" xr:uid="{00000000-0005-0000-0000-000084AA0000}"/>
    <cellStyle name="Normal 62 3 3 5" xfId="43741" xr:uid="{00000000-0005-0000-0000-000085AA0000}"/>
    <cellStyle name="Normal 62 3 3 5 2" xfId="43743" xr:uid="{00000000-0005-0000-0000-000086AA0000}"/>
    <cellStyle name="Normal 62 3 3 5 2 2" xfId="43745" xr:uid="{00000000-0005-0000-0000-000087AA0000}"/>
    <cellStyle name="Normal 62 3 3 5 3" xfId="43747" xr:uid="{00000000-0005-0000-0000-000088AA0000}"/>
    <cellStyle name="Normal 62 3 3 6" xfId="43749" xr:uid="{00000000-0005-0000-0000-000089AA0000}"/>
    <cellStyle name="Normal 62 3 3 6 2" xfId="43751" xr:uid="{00000000-0005-0000-0000-00008AAA0000}"/>
    <cellStyle name="Normal 62 3 3 7" xfId="43753" xr:uid="{00000000-0005-0000-0000-00008BAA0000}"/>
    <cellStyle name="Normal 62 3 3 7 2" xfId="43755" xr:uid="{00000000-0005-0000-0000-00008CAA0000}"/>
    <cellStyle name="Normal 62 3 3 8" xfId="43757" xr:uid="{00000000-0005-0000-0000-00008DAA0000}"/>
    <cellStyle name="Normal 62 3 3 9" xfId="20848" xr:uid="{00000000-0005-0000-0000-00008EAA0000}"/>
    <cellStyle name="Normal 62 3 4" xfId="43759" xr:uid="{00000000-0005-0000-0000-00008FAA0000}"/>
    <cellStyle name="Normal 62 3 4 2" xfId="43761" xr:uid="{00000000-0005-0000-0000-000090AA0000}"/>
    <cellStyle name="Normal 62 3 4 2 2" xfId="43763" xr:uid="{00000000-0005-0000-0000-000091AA0000}"/>
    <cellStyle name="Normal 62 3 4 2 2 2" xfId="13139" xr:uid="{00000000-0005-0000-0000-000092AA0000}"/>
    <cellStyle name="Normal 62 3 4 2 2 2 2" xfId="43765" xr:uid="{00000000-0005-0000-0000-000093AA0000}"/>
    <cellStyle name="Normal 62 3 4 2 2 2 2 2" xfId="43767" xr:uid="{00000000-0005-0000-0000-000094AA0000}"/>
    <cellStyle name="Normal 62 3 4 2 2 2 3" xfId="24522" xr:uid="{00000000-0005-0000-0000-000095AA0000}"/>
    <cellStyle name="Normal 62 3 4 2 2 3" xfId="43769" xr:uid="{00000000-0005-0000-0000-000096AA0000}"/>
    <cellStyle name="Normal 62 3 4 2 2 3 2" xfId="43771" xr:uid="{00000000-0005-0000-0000-000097AA0000}"/>
    <cellStyle name="Normal 62 3 4 2 2 4" xfId="43773" xr:uid="{00000000-0005-0000-0000-000098AA0000}"/>
    <cellStyle name="Normal 62 3 4 2 3" xfId="43775" xr:uid="{00000000-0005-0000-0000-000099AA0000}"/>
    <cellStyle name="Normal 62 3 4 2 3 2" xfId="43777" xr:uid="{00000000-0005-0000-0000-00009AAA0000}"/>
    <cellStyle name="Normal 62 3 4 2 3 2 2" xfId="4071" xr:uid="{00000000-0005-0000-0000-00009BAA0000}"/>
    <cellStyle name="Normal 62 3 4 2 3 3" xfId="43779" xr:uid="{00000000-0005-0000-0000-00009CAA0000}"/>
    <cellStyle name="Normal 62 3 4 2 4" xfId="43781" xr:uid="{00000000-0005-0000-0000-00009DAA0000}"/>
    <cellStyle name="Normal 62 3 4 2 4 2" xfId="43783" xr:uid="{00000000-0005-0000-0000-00009EAA0000}"/>
    <cellStyle name="Normal 62 3 4 2 4 2 2" xfId="439" xr:uid="{00000000-0005-0000-0000-00009FAA0000}"/>
    <cellStyle name="Normal 62 3 4 2 4 3" xfId="43785" xr:uid="{00000000-0005-0000-0000-0000A0AA0000}"/>
    <cellStyle name="Normal 62 3 4 2 5" xfId="40192" xr:uid="{00000000-0005-0000-0000-0000A1AA0000}"/>
    <cellStyle name="Normal 62 3 4 2 5 2" xfId="43788" xr:uid="{00000000-0005-0000-0000-0000A2AA0000}"/>
    <cellStyle name="Normal 62 3 4 2 6" xfId="31705" xr:uid="{00000000-0005-0000-0000-0000A3AA0000}"/>
    <cellStyle name="Normal 62 3 4 2 6 2" xfId="43791" xr:uid="{00000000-0005-0000-0000-0000A4AA0000}"/>
    <cellStyle name="Normal 62 3 4 2 7" xfId="7317" xr:uid="{00000000-0005-0000-0000-0000A5AA0000}"/>
    <cellStyle name="Normal 62 3 4 2 8" xfId="43793" xr:uid="{00000000-0005-0000-0000-0000A6AA0000}"/>
    <cellStyle name="Normal 62 3 4 3" xfId="43795" xr:uid="{00000000-0005-0000-0000-0000A7AA0000}"/>
    <cellStyle name="Normal 62 3 4 3 2" xfId="43797" xr:uid="{00000000-0005-0000-0000-0000A8AA0000}"/>
    <cellStyle name="Normal 62 3 4 3 2 2" xfId="43799" xr:uid="{00000000-0005-0000-0000-0000A9AA0000}"/>
    <cellStyle name="Normal 62 3 4 3 2 2 2" xfId="43801" xr:uid="{00000000-0005-0000-0000-0000AAAA0000}"/>
    <cellStyle name="Normal 62 3 4 3 2 3" xfId="43803" xr:uid="{00000000-0005-0000-0000-0000ABAA0000}"/>
    <cellStyle name="Normal 62 3 4 3 3" xfId="43806" xr:uid="{00000000-0005-0000-0000-0000ACAA0000}"/>
    <cellStyle name="Normal 62 3 4 3 3 2" xfId="43808" xr:uid="{00000000-0005-0000-0000-0000ADAA0000}"/>
    <cellStyle name="Normal 62 3 4 3 4" xfId="43810" xr:uid="{00000000-0005-0000-0000-0000AEAA0000}"/>
    <cellStyle name="Normal 62 3 4 4" xfId="6281" xr:uid="{00000000-0005-0000-0000-0000AFAA0000}"/>
    <cellStyle name="Normal 62 3 4 4 2" xfId="43812" xr:uid="{00000000-0005-0000-0000-0000B0AA0000}"/>
    <cellStyle name="Normal 62 3 4 4 2 2" xfId="43814" xr:uid="{00000000-0005-0000-0000-0000B1AA0000}"/>
    <cellStyle name="Normal 62 3 4 4 3" xfId="43816" xr:uid="{00000000-0005-0000-0000-0000B2AA0000}"/>
    <cellStyle name="Normal 62 3 4 5" xfId="43818" xr:uid="{00000000-0005-0000-0000-0000B3AA0000}"/>
    <cellStyle name="Normal 62 3 4 5 2" xfId="43820" xr:uid="{00000000-0005-0000-0000-0000B4AA0000}"/>
    <cellStyle name="Normal 62 3 4 5 2 2" xfId="43822" xr:uid="{00000000-0005-0000-0000-0000B5AA0000}"/>
    <cellStyle name="Normal 62 3 4 5 3" xfId="43824" xr:uid="{00000000-0005-0000-0000-0000B6AA0000}"/>
    <cellStyle name="Normal 62 3 4 6" xfId="43826" xr:uid="{00000000-0005-0000-0000-0000B7AA0000}"/>
    <cellStyle name="Normal 62 3 4 6 2" xfId="43828" xr:uid="{00000000-0005-0000-0000-0000B8AA0000}"/>
    <cellStyle name="Normal 62 3 4 7" xfId="43830" xr:uid="{00000000-0005-0000-0000-0000B9AA0000}"/>
    <cellStyle name="Normal 62 3 4 7 2" xfId="43832" xr:uid="{00000000-0005-0000-0000-0000BAAA0000}"/>
    <cellStyle name="Normal 62 3 4 8" xfId="43834" xr:uid="{00000000-0005-0000-0000-0000BBAA0000}"/>
    <cellStyle name="Normal 62 3 4 9" xfId="20854" xr:uid="{00000000-0005-0000-0000-0000BCAA0000}"/>
    <cellStyle name="Normal 62 3 5" xfId="43836" xr:uid="{00000000-0005-0000-0000-0000BDAA0000}"/>
    <cellStyle name="Normal 62 3 5 2" xfId="43838" xr:uid="{00000000-0005-0000-0000-0000BEAA0000}"/>
    <cellStyle name="Normal 62 3 5 2 2" xfId="43840" xr:uid="{00000000-0005-0000-0000-0000BFAA0000}"/>
    <cellStyle name="Normal 62 3 5 2 2 2" xfId="20909" xr:uid="{00000000-0005-0000-0000-0000C0AA0000}"/>
    <cellStyle name="Normal 62 3 5 2 2 2 2" xfId="11489" xr:uid="{00000000-0005-0000-0000-0000C1AA0000}"/>
    <cellStyle name="Normal 62 3 5 2 2 2 2 2" xfId="11501" xr:uid="{00000000-0005-0000-0000-0000C2AA0000}"/>
    <cellStyle name="Normal 62 3 5 2 2 2 3" xfId="19588" xr:uid="{00000000-0005-0000-0000-0000C3AA0000}"/>
    <cellStyle name="Normal 62 3 5 2 2 3" xfId="43842" xr:uid="{00000000-0005-0000-0000-0000C4AA0000}"/>
    <cellStyle name="Normal 62 3 5 2 2 3 2" xfId="19622" xr:uid="{00000000-0005-0000-0000-0000C5AA0000}"/>
    <cellStyle name="Normal 62 3 5 2 2 4" xfId="43844" xr:uid="{00000000-0005-0000-0000-0000C6AA0000}"/>
    <cellStyle name="Normal 62 3 5 2 3" xfId="43846" xr:uid="{00000000-0005-0000-0000-0000C7AA0000}"/>
    <cellStyle name="Normal 62 3 5 2 3 2" xfId="43848" xr:uid="{00000000-0005-0000-0000-0000C8AA0000}"/>
    <cellStyle name="Normal 62 3 5 2 3 2 2" xfId="3115" xr:uid="{00000000-0005-0000-0000-0000C9AA0000}"/>
    <cellStyle name="Normal 62 3 5 2 3 3" xfId="43850" xr:uid="{00000000-0005-0000-0000-0000CAAA0000}"/>
    <cellStyle name="Normal 62 3 5 2 4" xfId="9125" xr:uid="{00000000-0005-0000-0000-0000CBAA0000}"/>
    <cellStyle name="Normal 62 3 5 2 4 2" xfId="43852" xr:uid="{00000000-0005-0000-0000-0000CCAA0000}"/>
    <cellStyle name="Normal 62 3 5 2 4 2 2" xfId="5575" xr:uid="{00000000-0005-0000-0000-0000CDAA0000}"/>
    <cellStyle name="Normal 62 3 5 2 4 3" xfId="43854" xr:uid="{00000000-0005-0000-0000-0000CEAA0000}"/>
    <cellStyle name="Normal 62 3 5 2 5" xfId="43856" xr:uid="{00000000-0005-0000-0000-0000CFAA0000}"/>
    <cellStyle name="Normal 62 3 5 2 5 2" xfId="43859" xr:uid="{00000000-0005-0000-0000-0000D0AA0000}"/>
    <cellStyle name="Normal 62 3 5 2 6" xfId="43861" xr:uid="{00000000-0005-0000-0000-0000D1AA0000}"/>
    <cellStyle name="Normal 62 3 5 2 6 2" xfId="43864" xr:uid="{00000000-0005-0000-0000-0000D2AA0000}"/>
    <cellStyle name="Normal 62 3 5 2 7" xfId="43866" xr:uid="{00000000-0005-0000-0000-0000D3AA0000}"/>
    <cellStyle name="Normal 62 3 5 2 8" xfId="43868" xr:uid="{00000000-0005-0000-0000-0000D4AA0000}"/>
    <cellStyle name="Normal 62 3 5 3" xfId="43870" xr:uid="{00000000-0005-0000-0000-0000D5AA0000}"/>
    <cellStyle name="Normal 62 3 5 3 2" xfId="43872" xr:uid="{00000000-0005-0000-0000-0000D6AA0000}"/>
    <cellStyle name="Normal 62 3 5 3 2 2" xfId="43874" xr:uid="{00000000-0005-0000-0000-0000D7AA0000}"/>
    <cellStyle name="Normal 62 3 5 3 2 2 2" xfId="20966" xr:uid="{00000000-0005-0000-0000-0000D8AA0000}"/>
    <cellStyle name="Normal 62 3 5 3 2 3" xfId="43876" xr:uid="{00000000-0005-0000-0000-0000D9AA0000}"/>
    <cellStyle name="Normal 62 3 5 3 3" xfId="43878" xr:uid="{00000000-0005-0000-0000-0000DAAA0000}"/>
    <cellStyle name="Normal 62 3 5 3 3 2" xfId="43880" xr:uid="{00000000-0005-0000-0000-0000DBAA0000}"/>
    <cellStyle name="Normal 62 3 5 3 4" xfId="2995" xr:uid="{00000000-0005-0000-0000-0000DCAA0000}"/>
    <cellStyle name="Normal 62 3 5 4" xfId="43882" xr:uid="{00000000-0005-0000-0000-0000DDAA0000}"/>
    <cellStyle name="Normal 62 3 5 4 2" xfId="43884" xr:uid="{00000000-0005-0000-0000-0000DEAA0000}"/>
    <cellStyle name="Normal 62 3 5 4 2 2" xfId="43886" xr:uid="{00000000-0005-0000-0000-0000DFAA0000}"/>
    <cellStyle name="Normal 62 3 5 4 3" xfId="43888" xr:uid="{00000000-0005-0000-0000-0000E0AA0000}"/>
    <cellStyle name="Normal 62 3 5 5" xfId="43890" xr:uid="{00000000-0005-0000-0000-0000E1AA0000}"/>
    <cellStyle name="Normal 62 3 5 5 2" xfId="43892" xr:uid="{00000000-0005-0000-0000-0000E2AA0000}"/>
    <cellStyle name="Normal 62 3 5 5 2 2" xfId="43894" xr:uid="{00000000-0005-0000-0000-0000E3AA0000}"/>
    <cellStyle name="Normal 62 3 5 5 3" xfId="43896" xr:uid="{00000000-0005-0000-0000-0000E4AA0000}"/>
    <cellStyle name="Normal 62 3 5 6" xfId="43898" xr:uid="{00000000-0005-0000-0000-0000E5AA0000}"/>
    <cellStyle name="Normal 62 3 5 6 2" xfId="43900" xr:uid="{00000000-0005-0000-0000-0000E6AA0000}"/>
    <cellStyle name="Normal 62 3 5 7" xfId="43902" xr:uid="{00000000-0005-0000-0000-0000E7AA0000}"/>
    <cellStyle name="Normal 62 3 5 7 2" xfId="43904" xr:uid="{00000000-0005-0000-0000-0000E8AA0000}"/>
    <cellStyle name="Normal 62 3 5 8" xfId="43906" xr:uid="{00000000-0005-0000-0000-0000E9AA0000}"/>
    <cellStyle name="Normal 62 3 5 9" xfId="23736" xr:uid="{00000000-0005-0000-0000-0000EAAA0000}"/>
    <cellStyle name="Normal 62 3 6" xfId="43908" xr:uid="{00000000-0005-0000-0000-0000EBAA0000}"/>
    <cellStyle name="Normal 62 3 6 2" xfId="43910" xr:uid="{00000000-0005-0000-0000-0000ECAA0000}"/>
    <cellStyle name="Normal 62 3 6 2 2" xfId="13170" xr:uid="{00000000-0005-0000-0000-0000EDAA0000}"/>
    <cellStyle name="Normal 62 3 6 2 2 2" xfId="20304" xr:uid="{00000000-0005-0000-0000-0000EEAA0000}"/>
    <cellStyle name="Normal 62 3 6 2 2 2 2" xfId="19406" xr:uid="{00000000-0005-0000-0000-0000EFAA0000}"/>
    <cellStyle name="Normal 62 3 6 2 2 3" xfId="20309" xr:uid="{00000000-0005-0000-0000-0000F0AA0000}"/>
    <cellStyle name="Normal 62 3 6 2 3" xfId="196" xr:uid="{00000000-0005-0000-0000-0000F1AA0000}"/>
    <cellStyle name="Normal 62 3 6 2 3 2" xfId="20314" xr:uid="{00000000-0005-0000-0000-0000F2AA0000}"/>
    <cellStyle name="Normal 62 3 6 2 4" xfId="20320" xr:uid="{00000000-0005-0000-0000-0000F3AA0000}"/>
    <cellStyle name="Normal 62 3 6 3" xfId="43912" xr:uid="{00000000-0005-0000-0000-0000F4AA0000}"/>
    <cellStyle name="Normal 62 3 6 3 2" xfId="20359" xr:uid="{00000000-0005-0000-0000-0000F5AA0000}"/>
    <cellStyle name="Normal 62 3 6 3 2 2" xfId="20362" xr:uid="{00000000-0005-0000-0000-0000F6AA0000}"/>
    <cellStyle name="Normal 62 3 6 3 3" xfId="12030" xr:uid="{00000000-0005-0000-0000-0000F7AA0000}"/>
    <cellStyle name="Normal 62 3 6 4" xfId="43914" xr:uid="{00000000-0005-0000-0000-0000F8AA0000}"/>
    <cellStyle name="Normal 62 3 6 4 2" xfId="17689" xr:uid="{00000000-0005-0000-0000-0000F9AA0000}"/>
    <cellStyle name="Normal 62 3 6 4 2 2" xfId="7720" xr:uid="{00000000-0005-0000-0000-0000FAAA0000}"/>
    <cellStyle name="Normal 62 3 6 4 3" xfId="17694" xr:uid="{00000000-0005-0000-0000-0000FBAA0000}"/>
    <cellStyle name="Normal 62 3 6 5" xfId="43916" xr:uid="{00000000-0005-0000-0000-0000FCAA0000}"/>
    <cellStyle name="Normal 62 3 6 5 2" xfId="7806" xr:uid="{00000000-0005-0000-0000-0000FDAA0000}"/>
    <cellStyle name="Normal 62 3 6 6" xfId="43918" xr:uid="{00000000-0005-0000-0000-0000FEAA0000}"/>
    <cellStyle name="Normal 62 3 6 6 2" xfId="17718" xr:uid="{00000000-0005-0000-0000-0000FFAA0000}"/>
    <cellStyle name="Normal 62 3 6 7" xfId="43920" xr:uid="{00000000-0005-0000-0000-000000AB0000}"/>
    <cellStyle name="Normal 62 3 6 8" xfId="43922" xr:uid="{00000000-0005-0000-0000-000001AB0000}"/>
    <cellStyle name="Normal 62 3 7" xfId="13180" xr:uid="{00000000-0005-0000-0000-000002AB0000}"/>
    <cellStyle name="Normal 62 3 7 2" xfId="43924" xr:uid="{00000000-0005-0000-0000-000003AB0000}"/>
    <cellStyle name="Normal 62 3 7 2 2" xfId="43926" xr:uid="{00000000-0005-0000-0000-000004AB0000}"/>
    <cellStyle name="Normal 62 3 7 2 2 2" xfId="43928" xr:uid="{00000000-0005-0000-0000-000005AB0000}"/>
    <cellStyle name="Normal 62 3 7 2 3" xfId="43930" xr:uid="{00000000-0005-0000-0000-000006AB0000}"/>
    <cellStyle name="Normal 62 3 7 3" xfId="43932" xr:uid="{00000000-0005-0000-0000-000007AB0000}"/>
    <cellStyle name="Normal 62 3 7 3 2" xfId="43934" xr:uid="{00000000-0005-0000-0000-000008AB0000}"/>
    <cellStyle name="Normal 62 3 7 4" xfId="43936" xr:uid="{00000000-0005-0000-0000-000009AB0000}"/>
    <cellStyle name="Normal 62 3 8" xfId="43938" xr:uid="{00000000-0005-0000-0000-00000AAB0000}"/>
    <cellStyle name="Normal 62 3 8 2" xfId="43940" xr:uid="{00000000-0005-0000-0000-00000BAB0000}"/>
    <cellStyle name="Normal 62 3 8 2 2" xfId="43942" xr:uid="{00000000-0005-0000-0000-00000CAB0000}"/>
    <cellStyle name="Normal 62 3 8 3" xfId="43944" xr:uid="{00000000-0005-0000-0000-00000DAB0000}"/>
    <cellStyle name="Normal 62 3 9" xfId="43946" xr:uid="{00000000-0005-0000-0000-00000EAB0000}"/>
    <cellStyle name="Normal 62 3 9 2" xfId="36685" xr:uid="{00000000-0005-0000-0000-00000FAB0000}"/>
    <cellStyle name="Normal 62 3 9 2 2" xfId="36693" xr:uid="{00000000-0005-0000-0000-000010AB0000}"/>
    <cellStyle name="Normal 62 3 9 3" xfId="36774" xr:uid="{00000000-0005-0000-0000-000011AB0000}"/>
    <cellStyle name="Normal 62 4" xfId="43948" xr:uid="{00000000-0005-0000-0000-000012AB0000}"/>
    <cellStyle name="Normal 62 4 10" xfId="43950" xr:uid="{00000000-0005-0000-0000-000013AB0000}"/>
    <cellStyle name="Normal 62 4 2" xfId="43952" xr:uid="{00000000-0005-0000-0000-000014AB0000}"/>
    <cellStyle name="Normal 62 4 2 2" xfId="43954" xr:uid="{00000000-0005-0000-0000-000015AB0000}"/>
    <cellStyle name="Normal 62 4 2 2 2" xfId="43956" xr:uid="{00000000-0005-0000-0000-000016AB0000}"/>
    <cellStyle name="Normal 62 4 2 2 2 2" xfId="43958" xr:uid="{00000000-0005-0000-0000-000017AB0000}"/>
    <cellStyle name="Normal 62 4 2 2 2 2 2" xfId="43960" xr:uid="{00000000-0005-0000-0000-000018AB0000}"/>
    <cellStyle name="Normal 62 4 2 2 2 2 2 2" xfId="18469" xr:uid="{00000000-0005-0000-0000-000019AB0000}"/>
    <cellStyle name="Normal 62 4 2 2 2 2 3" xfId="43962" xr:uid="{00000000-0005-0000-0000-00001AAB0000}"/>
    <cellStyle name="Normal 62 4 2 2 2 3" xfId="43964" xr:uid="{00000000-0005-0000-0000-00001BAB0000}"/>
    <cellStyle name="Normal 62 4 2 2 2 3 2" xfId="43966" xr:uid="{00000000-0005-0000-0000-00001CAB0000}"/>
    <cellStyle name="Normal 62 4 2 2 2 4" xfId="43968" xr:uid="{00000000-0005-0000-0000-00001DAB0000}"/>
    <cellStyle name="Normal 62 4 2 2 3" xfId="43970" xr:uid="{00000000-0005-0000-0000-00001EAB0000}"/>
    <cellStyle name="Normal 62 4 2 2 3 2" xfId="43972" xr:uid="{00000000-0005-0000-0000-00001FAB0000}"/>
    <cellStyle name="Normal 62 4 2 2 3 2 2" xfId="43974" xr:uid="{00000000-0005-0000-0000-000020AB0000}"/>
    <cellStyle name="Normal 62 4 2 2 3 3" xfId="43976" xr:uid="{00000000-0005-0000-0000-000021AB0000}"/>
    <cellStyle name="Normal 62 4 2 2 4" xfId="43978" xr:uid="{00000000-0005-0000-0000-000022AB0000}"/>
    <cellStyle name="Normal 62 4 2 2 4 2" xfId="43980" xr:uid="{00000000-0005-0000-0000-000023AB0000}"/>
    <cellStyle name="Normal 62 4 2 2 4 2 2" xfId="43982" xr:uid="{00000000-0005-0000-0000-000024AB0000}"/>
    <cellStyle name="Normal 62 4 2 2 4 3" xfId="43984" xr:uid="{00000000-0005-0000-0000-000025AB0000}"/>
    <cellStyle name="Normal 62 4 2 2 5" xfId="43986" xr:uid="{00000000-0005-0000-0000-000026AB0000}"/>
    <cellStyle name="Normal 62 4 2 2 5 2" xfId="43988" xr:uid="{00000000-0005-0000-0000-000027AB0000}"/>
    <cellStyle name="Normal 62 4 2 2 6" xfId="43990" xr:uid="{00000000-0005-0000-0000-000028AB0000}"/>
    <cellStyle name="Normal 62 4 2 2 6 2" xfId="43992" xr:uid="{00000000-0005-0000-0000-000029AB0000}"/>
    <cellStyle name="Normal 62 4 2 2 7" xfId="43994" xr:uid="{00000000-0005-0000-0000-00002AAB0000}"/>
    <cellStyle name="Normal 62 4 2 2 8" xfId="2144" xr:uid="{00000000-0005-0000-0000-00002BAB0000}"/>
    <cellStyle name="Normal 62 4 2 3" xfId="43996" xr:uid="{00000000-0005-0000-0000-00002CAB0000}"/>
    <cellStyle name="Normal 62 4 2 3 2" xfId="43998" xr:uid="{00000000-0005-0000-0000-00002DAB0000}"/>
    <cellStyle name="Normal 62 4 2 3 2 2" xfId="41225" xr:uid="{00000000-0005-0000-0000-00002EAB0000}"/>
    <cellStyle name="Normal 62 4 2 3 2 2 2" xfId="44000" xr:uid="{00000000-0005-0000-0000-00002FAB0000}"/>
    <cellStyle name="Normal 62 4 2 3 2 3" xfId="7127" xr:uid="{00000000-0005-0000-0000-000030AB0000}"/>
    <cellStyle name="Normal 62 4 2 3 3" xfId="44003" xr:uid="{00000000-0005-0000-0000-000031AB0000}"/>
    <cellStyle name="Normal 62 4 2 3 3 2" xfId="44005" xr:uid="{00000000-0005-0000-0000-000032AB0000}"/>
    <cellStyle name="Normal 62 4 2 3 4" xfId="44007" xr:uid="{00000000-0005-0000-0000-000033AB0000}"/>
    <cellStyle name="Normal 62 4 2 4" xfId="6334" xr:uid="{00000000-0005-0000-0000-000034AB0000}"/>
    <cellStyle name="Normal 62 4 2 4 2" xfId="44009" xr:uid="{00000000-0005-0000-0000-000035AB0000}"/>
    <cellStyle name="Normal 62 4 2 4 2 2" xfId="44011" xr:uid="{00000000-0005-0000-0000-000036AB0000}"/>
    <cellStyle name="Normal 62 4 2 4 3" xfId="44013" xr:uid="{00000000-0005-0000-0000-000037AB0000}"/>
    <cellStyle name="Normal 62 4 2 5" xfId="44015" xr:uid="{00000000-0005-0000-0000-000038AB0000}"/>
    <cellStyle name="Normal 62 4 2 5 2" xfId="44017" xr:uid="{00000000-0005-0000-0000-000039AB0000}"/>
    <cellStyle name="Normal 62 4 2 5 2 2" xfId="44019" xr:uid="{00000000-0005-0000-0000-00003AAB0000}"/>
    <cellStyle name="Normal 62 4 2 5 3" xfId="44021" xr:uid="{00000000-0005-0000-0000-00003BAB0000}"/>
    <cellStyle name="Normal 62 4 2 6" xfId="44023" xr:uid="{00000000-0005-0000-0000-00003CAB0000}"/>
    <cellStyle name="Normal 62 4 2 6 2" xfId="44025" xr:uid="{00000000-0005-0000-0000-00003DAB0000}"/>
    <cellStyle name="Normal 62 4 2 7" xfId="44027" xr:uid="{00000000-0005-0000-0000-00003EAB0000}"/>
    <cellStyle name="Normal 62 4 2 7 2" xfId="44029" xr:uid="{00000000-0005-0000-0000-00003FAB0000}"/>
    <cellStyle name="Normal 62 4 2 8" xfId="44032" xr:uid="{00000000-0005-0000-0000-000040AB0000}"/>
    <cellStyle name="Normal 62 4 2 9" xfId="44034" xr:uid="{00000000-0005-0000-0000-000041AB0000}"/>
    <cellStyle name="Normal 62 4 3" xfId="44036" xr:uid="{00000000-0005-0000-0000-000042AB0000}"/>
    <cellStyle name="Normal 62 4 3 2" xfId="44038" xr:uid="{00000000-0005-0000-0000-000043AB0000}"/>
    <cellStyle name="Normal 62 4 3 2 2" xfId="44040" xr:uid="{00000000-0005-0000-0000-000044AB0000}"/>
    <cellStyle name="Normal 62 4 3 2 2 2" xfId="44042" xr:uid="{00000000-0005-0000-0000-000045AB0000}"/>
    <cellStyle name="Normal 62 4 3 2 2 2 2" xfId="9684" xr:uid="{00000000-0005-0000-0000-000046AB0000}"/>
    <cellStyle name="Normal 62 4 3 2 2 3" xfId="44044" xr:uid="{00000000-0005-0000-0000-000047AB0000}"/>
    <cellStyle name="Normal 62 4 3 2 3" xfId="44046" xr:uid="{00000000-0005-0000-0000-000048AB0000}"/>
    <cellStyle name="Normal 62 4 3 2 3 2" xfId="44048" xr:uid="{00000000-0005-0000-0000-000049AB0000}"/>
    <cellStyle name="Normal 62 4 3 2 4" xfId="44050" xr:uid="{00000000-0005-0000-0000-00004AAB0000}"/>
    <cellStyle name="Normal 62 4 3 3" xfId="44052" xr:uid="{00000000-0005-0000-0000-00004BAB0000}"/>
    <cellStyle name="Normal 62 4 3 3 2" xfId="44054" xr:uid="{00000000-0005-0000-0000-00004CAB0000}"/>
    <cellStyle name="Normal 62 4 3 3 2 2" xfId="44056" xr:uid="{00000000-0005-0000-0000-00004DAB0000}"/>
    <cellStyle name="Normal 62 4 3 3 3" xfId="44058" xr:uid="{00000000-0005-0000-0000-00004EAB0000}"/>
    <cellStyle name="Normal 62 4 3 4" xfId="6343" xr:uid="{00000000-0005-0000-0000-00004FAB0000}"/>
    <cellStyle name="Normal 62 4 3 4 2" xfId="42944" xr:uid="{00000000-0005-0000-0000-000050AB0000}"/>
    <cellStyle name="Normal 62 4 3 4 2 2" xfId="42948" xr:uid="{00000000-0005-0000-0000-000051AB0000}"/>
    <cellStyle name="Normal 62 4 3 4 3" xfId="42952" xr:uid="{00000000-0005-0000-0000-000052AB0000}"/>
    <cellStyle name="Normal 62 4 3 5" xfId="42956" xr:uid="{00000000-0005-0000-0000-000053AB0000}"/>
    <cellStyle name="Normal 62 4 3 5 2" xfId="42960" xr:uid="{00000000-0005-0000-0000-000054AB0000}"/>
    <cellStyle name="Normal 62 4 3 6" xfId="42964" xr:uid="{00000000-0005-0000-0000-000055AB0000}"/>
    <cellStyle name="Normal 62 4 3 6 2" xfId="44060" xr:uid="{00000000-0005-0000-0000-000056AB0000}"/>
    <cellStyle name="Normal 62 4 3 7" xfId="44062" xr:uid="{00000000-0005-0000-0000-000057AB0000}"/>
    <cellStyle name="Normal 62 4 3 8" xfId="44064" xr:uid="{00000000-0005-0000-0000-000058AB0000}"/>
    <cellStyle name="Normal 62 4 4" xfId="44066" xr:uid="{00000000-0005-0000-0000-000059AB0000}"/>
    <cellStyle name="Normal 62 4 4 2" xfId="44068" xr:uid="{00000000-0005-0000-0000-00005AAB0000}"/>
    <cellStyle name="Normal 62 4 4 2 2" xfId="44070" xr:uid="{00000000-0005-0000-0000-00005BAB0000}"/>
    <cellStyle name="Normal 62 4 4 2 2 2" xfId="44073" xr:uid="{00000000-0005-0000-0000-00005CAB0000}"/>
    <cellStyle name="Normal 62 4 4 2 3" xfId="44076" xr:uid="{00000000-0005-0000-0000-00005DAB0000}"/>
    <cellStyle name="Normal 62 4 4 3" xfId="44078" xr:uid="{00000000-0005-0000-0000-00005EAB0000}"/>
    <cellStyle name="Normal 62 4 4 3 2" xfId="44080" xr:uid="{00000000-0005-0000-0000-00005FAB0000}"/>
    <cellStyle name="Normal 62 4 4 4" xfId="42968" xr:uid="{00000000-0005-0000-0000-000060AB0000}"/>
    <cellStyle name="Normal 62 4 5" xfId="44082" xr:uid="{00000000-0005-0000-0000-000061AB0000}"/>
    <cellStyle name="Normal 62 4 5 2" xfId="44084" xr:uid="{00000000-0005-0000-0000-000062AB0000}"/>
    <cellStyle name="Normal 62 4 5 2 2" xfId="18886" xr:uid="{00000000-0005-0000-0000-000063AB0000}"/>
    <cellStyle name="Normal 62 4 5 3" xfId="44086" xr:uid="{00000000-0005-0000-0000-000064AB0000}"/>
    <cellStyle name="Normal 62 4 6" xfId="44088" xr:uid="{00000000-0005-0000-0000-000065AB0000}"/>
    <cellStyle name="Normal 62 4 6 2" xfId="44090" xr:uid="{00000000-0005-0000-0000-000066AB0000}"/>
    <cellStyle name="Normal 62 4 6 2 2" xfId="19018" xr:uid="{00000000-0005-0000-0000-000067AB0000}"/>
    <cellStyle name="Normal 62 4 6 3" xfId="9900" xr:uid="{00000000-0005-0000-0000-000068AB0000}"/>
    <cellStyle name="Normal 62 4 7" xfId="19913" xr:uid="{00000000-0005-0000-0000-000069AB0000}"/>
    <cellStyle name="Normal 62 4 7 2" xfId="44092" xr:uid="{00000000-0005-0000-0000-00006AAB0000}"/>
    <cellStyle name="Normal 62 4 8" xfId="44094" xr:uid="{00000000-0005-0000-0000-00006BAB0000}"/>
    <cellStyle name="Normal 62 4 8 2" xfId="44096" xr:uid="{00000000-0005-0000-0000-00006CAB0000}"/>
    <cellStyle name="Normal 62 4 9" xfId="44098" xr:uid="{00000000-0005-0000-0000-00006DAB0000}"/>
    <cellStyle name="Normal 62 5" xfId="44100" xr:uid="{00000000-0005-0000-0000-00006EAB0000}"/>
    <cellStyle name="Normal 62 5 2" xfId="44102" xr:uid="{00000000-0005-0000-0000-00006FAB0000}"/>
    <cellStyle name="Normal 62 5 2 2" xfId="44104" xr:uid="{00000000-0005-0000-0000-000070AB0000}"/>
    <cellStyle name="Normal 62 5 2 2 2" xfId="44106" xr:uid="{00000000-0005-0000-0000-000071AB0000}"/>
    <cellStyle name="Normal 62 5 2 2 2 2" xfId="44108" xr:uid="{00000000-0005-0000-0000-000072AB0000}"/>
    <cellStyle name="Normal 62 5 2 2 2 2 2" xfId="44110" xr:uid="{00000000-0005-0000-0000-000073AB0000}"/>
    <cellStyle name="Normal 62 5 2 2 2 3" xfId="44112" xr:uid="{00000000-0005-0000-0000-000074AB0000}"/>
    <cellStyle name="Normal 62 5 2 2 3" xfId="44114" xr:uid="{00000000-0005-0000-0000-000075AB0000}"/>
    <cellStyle name="Normal 62 5 2 2 3 2" xfId="44116" xr:uid="{00000000-0005-0000-0000-000076AB0000}"/>
    <cellStyle name="Normal 62 5 2 2 4" xfId="12909" xr:uid="{00000000-0005-0000-0000-000077AB0000}"/>
    <cellStyle name="Normal 62 5 2 2 5" xfId="44118" xr:uid="{00000000-0005-0000-0000-000078AB0000}"/>
    <cellStyle name="Normal 62 5 2 3" xfId="44120" xr:uid="{00000000-0005-0000-0000-000079AB0000}"/>
    <cellStyle name="Normal 62 5 2 3 2" xfId="19232" xr:uid="{00000000-0005-0000-0000-00007AAB0000}"/>
    <cellStyle name="Normal 62 5 2 3 2 2" xfId="14958" xr:uid="{00000000-0005-0000-0000-00007BAB0000}"/>
    <cellStyle name="Normal 62 5 2 3 3" xfId="15638" xr:uid="{00000000-0005-0000-0000-00007CAB0000}"/>
    <cellStyle name="Normal 62 5 2 4" xfId="6429" xr:uid="{00000000-0005-0000-0000-00007DAB0000}"/>
    <cellStyle name="Normal 62 5 2 4 2" xfId="44122" xr:uid="{00000000-0005-0000-0000-00007EAB0000}"/>
    <cellStyle name="Normal 62 5 2 4 2 2" xfId="44124" xr:uid="{00000000-0005-0000-0000-00007FAB0000}"/>
    <cellStyle name="Normal 62 5 2 4 3" xfId="44126" xr:uid="{00000000-0005-0000-0000-000080AB0000}"/>
    <cellStyle name="Normal 62 5 2 5" xfId="44128" xr:uid="{00000000-0005-0000-0000-000081AB0000}"/>
    <cellStyle name="Normal 62 5 2 5 2" xfId="15966" xr:uid="{00000000-0005-0000-0000-000082AB0000}"/>
    <cellStyle name="Normal 62 5 2 6" xfId="44130" xr:uid="{00000000-0005-0000-0000-000083AB0000}"/>
    <cellStyle name="Normal 62 5 2 6 2" xfId="44132" xr:uid="{00000000-0005-0000-0000-000084AB0000}"/>
    <cellStyle name="Normal 62 5 2 7" xfId="44135" xr:uid="{00000000-0005-0000-0000-000085AB0000}"/>
    <cellStyle name="Normal 62 5 2 8" xfId="44137" xr:uid="{00000000-0005-0000-0000-000086AB0000}"/>
    <cellStyle name="Normal 62 5 3" xfId="44139" xr:uid="{00000000-0005-0000-0000-000087AB0000}"/>
    <cellStyle name="Normal 62 5 3 2" xfId="44141" xr:uid="{00000000-0005-0000-0000-000088AB0000}"/>
    <cellStyle name="Normal 62 5 3 2 2" xfId="44143" xr:uid="{00000000-0005-0000-0000-000089AB0000}"/>
    <cellStyle name="Normal 62 5 3 2 2 2" xfId="44145" xr:uid="{00000000-0005-0000-0000-00008AAB0000}"/>
    <cellStyle name="Normal 62 5 3 2 3" xfId="44147" xr:uid="{00000000-0005-0000-0000-00008BAB0000}"/>
    <cellStyle name="Normal 62 5 3 3" xfId="44149" xr:uid="{00000000-0005-0000-0000-00008CAB0000}"/>
    <cellStyle name="Normal 62 5 3 3 2" xfId="44151" xr:uid="{00000000-0005-0000-0000-00008DAB0000}"/>
    <cellStyle name="Normal 62 5 3 4" xfId="42996" xr:uid="{00000000-0005-0000-0000-00008EAB0000}"/>
    <cellStyle name="Normal 62 5 3 5" xfId="43002" xr:uid="{00000000-0005-0000-0000-00008FAB0000}"/>
    <cellStyle name="Normal 62 5 4" xfId="44153" xr:uid="{00000000-0005-0000-0000-000090AB0000}"/>
    <cellStyle name="Normal 62 5 4 2" xfId="13213" xr:uid="{00000000-0005-0000-0000-000091AB0000}"/>
    <cellStyle name="Normal 62 5 4 2 2" xfId="44155" xr:uid="{00000000-0005-0000-0000-000092AB0000}"/>
    <cellStyle name="Normal 62 5 4 3" xfId="44157" xr:uid="{00000000-0005-0000-0000-000093AB0000}"/>
    <cellStyle name="Normal 62 5 5" xfId="44159" xr:uid="{00000000-0005-0000-0000-000094AB0000}"/>
    <cellStyle name="Normal 62 5 5 2" xfId="44161" xr:uid="{00000000-0005-0000-0000-000095AB0000}"/>
    <cellStyle name="Normal 62 5 5 2 2" xfId="44163" xr:uid="{00000000-0005-0000-0000-000096AB0000}"/>
    <cellStyle name="Normal 62 5 5 3" xfId="44165" xr:uid="{00000000-0005-0000-0000-000097AB0000}"/>
    <cellStyle name="Normal 62 5 6" xfId="44167" xr:uid="{00000000-0005-0000-0000-000098AB0000}"/>
    <cellStyle name="Normal 62 5 6 2" xfId="44169" xr:uid="{00000000-0005-0000-0000-000099AB0000}"/>
    <cellStyle name="Normal 62 5 7" xfId="44171" xr:uid="{00000000-0005-0000-0000-00009AAB0000}"/>
    <cellStyle name="Normal 62 5 7 2" xfId="44173" xr:uid="{00000000-0005-0000-0000-00009BAB0000}"/>
    <cellStyle name="Normal 62 5 8" xfId="44175" xr:uid="{00000000-0005-0000-0000-00009CAB0000}"/>
    <cellStyle name="Normal 62 5 9" xfId="18690" xr:uid="{00000000-0005-0000-0000-00009DAB0000}"/>
    <cellStyle name="Normal 62 6" xfId="44177" xr:uid="{00000000-0005-0000-0000-00009EAB0000}"/>
    <cellStyle name="Normal 62 6 2" xfId="44179" xr:uid="{00000000-0005-0000-0000-00009FAB0000}"/>
    <cellStyle name="Normal 62 6 2 2" xfId="44182" xr:uid="{00000000-0005-0000-0000-0000A0AB0000}"/>
    <cellStyle name="Normal 62 6 2 2 2" xfId="44184" xr:uid="{00000000-0005-0000-0000-0000A1AB0000}"/>
    <cellStyle name="Normal 62 6 2 2 2 2" xfId="44186" xr:uid="{00000000-0005-0000-0000-0000A2AB0000}"/>
    <cellStyle name="Normal 62 6 2 2 2 2 2" xfId="17822" xr:uid="{00000000-0005-0000-0000-0000A3AB0000}"/>
    <cellStyle name="Normal 62 6 2 2 2 3" xfId="44188" xr:uid="{00000000-0005-0000-0000-0000A4AB0000}"/>
    <cellStyle name="Normal 62 6 2 2 3" xfId="44190" xr:uid="{00000000-0005-0000-0000-0000A5AB0000}"/>
    <cellStyle name="Normal 62 6 2 2 3 2" xfId="44192" xr:uid="{00000000-0005-0000-0000-0000A6AB0000}"/>
    <cellStyle name="Normal 62 6 2 2 4" xfId="44194" xr:uid="{00000000-0005-0000-0000-0000A7AB0000}"/>
    <cellStyle name="Normal 62 6 2 3" xfId="22389" xr:uid="{00000000-0005-0000-0000-0000A8AB0000}"/>
    <cellStyle name="Normal 62 6 2 3 2" xfId="22396" xr:uid="{00000000-0005-0000-0000-0000A9AB0000}"/>
    <cellStyle name="Normal 62 6 2 3 2 2" xfId="36189" xr:uid="{00000000-0005-0000-0000-0000AAAB0000}"/>
    <cellStyle name="Normal 62 6 2 3 3" xfId="36197" xr:uid="{00000000-0005-0000-0000-0000ABAB0000}"/>
    <cellStyle name="Normal 62 6 2 4" xfId="22399" xr:uid="{00000000-0005-0000-0000-0000ACAB0000}"/>
    <cellStyle name="Normal 62 6 2 4 2" xfId="36205" xr:uid="{00000000-0005-0000-0000-0000ADAB0000}"/>
    <cellStyle name="Normal 62 6 2 4 2 2" xfId="36208" xr:uid="{00000000-0005-0000-0000-0000AEAB0000}"/>
    <cellStyle name="Normal 62 6 2 4 3" xfId="36212" xr:uid="{00000000-0005-0000-0000-0000AFAB0000}"/>
    <cellStyle name="Normal 62 6 2 5" xfId="31939" xr:uid="{00000000-0005-0000-0000-0000B0AB0000}"/>
    <cellStyle name="Normal 62 6 2 5 2" xfId="25993" xr:uid="{00000000-0005-0000-0000-0000B1AB0000}"/>
    <cellStyle name="Normal 62 6 2 6" xfId="36216" xr:uid="{00000000-0005-0000-0000-0000B2AB0000}"/>
    <cellStyle name="Normal 62 6 2 6 2" xfId="20707" xr:uid="{00000000-0005-0000-0000-0000B3AB0000}"/>
    <cellStyle name="Normal 62 6 2 7" xfId="36223" xr:uid="{00000000-0005-0000-0000-0000B4AB0000}"/>
    <cellStyle name="Normal 62 6 2 8" xfId="36228" xr:uid="{00000000-0005-0000-0000-0000B5AB0000}"/>
    <cellStyle name="Normal 62 6 3" xfId="44196" xr:uid="{00000000-0005-0000-0000-0000B6AB0000}"/>
    <cellStyle name="Normal 62 6 3 2" xfId="44198" xr:uid="{00000000-0005-0000-0000-0000B7AB0000}"/>
    <cellStyle name="Normal 62 6 3 2 2" xfId="44200" xr:uid="{00000000-0005-0000-0000-0000B8AB0000}"/>
    <cellStyle name="Normal 62 6 3 2 2 2" xfId="15137" xr:uid="{00000000-0005-0000-0000-0000B9AB0000}"/>
    <cellStyle name="Normal 62 6 3 2 3" xfId="44202" xr:uid="{00000000-0005-0000-0000-0000BAAB0000}"/>
    <cellStyle name="Normal 62 6 3 3" xfId="22407" xr:uid="{00000000-0005-0000-0000-0000BBAB0000}"/>
    <cellStyle name="Normal 62 6 3 3 2" xfId="29849" xr:uid="{00000000-0005-0000-0000-0000BCAB0000}"/>
    <cellStyle name="Normal 62 6 3 4" xfId="36236" xr:uid="{00000000-0005-0000-0000-0000BDAB0000}"/>
    <cellStyle name="Normal 62 6 4" xfId="44204" xr:uid="{00000000-0005-0000-0000-0000BEAB0000}"/>
    <cellStyle name="Normal 62 6 4 2" xfId="44206" xr:uid="{00000000-0005-0000-0000-0000BFAB0000}"/>
    <cellStyle name="Normal 62 6 4 2 2" xfId="36462" xr:uid="{00000000-0005-0000-0000-0000C0AB0000}"/>
    <cellStyle name="Normal 62 6 4 3" xfId="36251" xr:uid="{00000000-0005-0000-0000-0000C1AB0000}"/>
    <cellStyle name="Normal 62 6 5" xfId="44208" xr:uid="{00000000-0005-0000-0000-0000C2AB0000}"/>
    <cellStyle name="Normal 62 6 5 2" xfId="44210" xr:uid="{00000000-0005-0000-0000-0000C3AB0000}"/>
    <cellStyle name="Normal 62 6 5 2 2" xfId="36471" xr:uid="{00000000-0005-0000-0000-0000C4AB0000}"/>
    <cellStyle name="Normal 62 6 5 3" xfId="36260" xr:uid="{00000000-0005-0000-0000-0000C5AB0000}"/>
    <cellStyle name="Normal 62 6 6" xfId="44212" xr:uid="{00000000-0005-0000-0000-0000C6AB0000}"/>
    <cellStyle name="Normal 62 6 6 2" xfId="44214" xr:uid="{00000000-0005-0000-0000-0000C7AB0000}"/>
    <cellStyle name="Normal 62 6 7" xfId="44216" xr:uid="{00000000-0005-0000-0000-0000C8AB0000}"/>
    <cellStyle name="Normal 62 6 7 2" xfId="44218" xr:uid="{00000000-0005-0000-0000-0000C9AB0000}"/>
    <cellStyle name="Normal 62 6 8" xfId="44220" xr:uid="{00000000-0005-0000-0000-0000CAAB0000}"/>
    <cellStyle name="Normal 62 6 9" xfId="18739" xr:uid="{00000000-0005-0000-0000-0000CBAB0000}"/>
    <cellStyle name="Normal 62 7" xfId="44222" xr:uid="{00000000-0005-0000-0000-0000CCAB0000}"/>
    <cellStyle name="Normal 62 7 2" xfId="44224" xr:uid="{00000000-0005-0000-0000-0000CDAB0000}"/>
    <cellStyle name="Normal 62 7 2 2" xfId="44226" xr:uid="{00000000-0005-0000-0000-0000CEAB0000}"/>
    <cellStyle name="Normal 62 7 2 2 2" xfId="44228" xr:uid="{00000000-0005-0000-0000-0000CFAB0000}"/>
    <cellStyle name="Normal 62 7 2 2 2 2" xfId="44230" xr:uid="{00000000-0005-0000-0000-0000D0AB0000}"/>
    <cellStyle name="Normal 62 7 2 2 2 2 2" xfId="44232" xr:uid="{00000000-0005-0000-0000-0000D1AB0000}"/>
    <cellStyle name="Normal 62 7 2 2 2 3" xfId="44234" xr:uid="{00000000-0005-0000-0000-0000D2AB0000}"/>
    <cellStyle name="Normal 62 7 2 2 3" xfId="44236" xr:uid="{00000000-0005-0000-0000-0000D3AB0000}"/>
    <cellStyle name="Normal 62 7 2 2 3 2" xfId="44238" xr:uid="{00000000-0005-0000-0000-0000D4AB0000}"/>
    <cellStyle name="Normal 62 7 2 2 4" xfId="44240" xr:uid="{00000000-0005-0000-0000-0000D5AB0000}"/>
    <cellStyle name="Normal 62 7 2 3" xfId="22416" xr:uid="{00000000-0005-0000-0000-0000D6AB0000}"/>
    <cellStyle name="Normal 62 7 2 3 2" xfId="30202" xr:uid="{00000000-0005-0000-0000-0000D7AB0000}"/>
    <cellStyle name="Normal 62 7 2 3 2 2" xfId="25692" xr:uid="{00000000-0005-0000-0000-0000D8AB0000}"/>
    <cellStyle name="Normal 62 7 2 3 3" xfId="34626" xr:uid="{00000000-0005-0000-0000-0000D9AB0000}"/>
    <cellStyle name="Normal 62 7 2 4" xfId="36278" xr:uid="{00000000-0005-0000-0000-0000DAAB0000}"/>
    <cellStyle name="Normal 62 7 2 4 2" xfId="36042" xr:uid="{00000000-0005-0000-0000-0000DBAB0000}"/>
    <cellStyle name="Normal 62 7 2 4 2 2" xfId="36047" xr:uid="{00000000-0005-0000-0000-0000DCAB0000}"/>
    <cellStyle name="Normal 62 7 2 4 3" xfId="36099" xr:uid="{00000000-0005-0000-0000-0000DDAB0000}"/>
    <cellStyle name="Normal 62 7 2 5" xfId="36281" xr:uid="{00000000-0005-0000-0000-0000DEAB0000}"/>
    <cellStyle name="Normal 62 7 2 5 2" xfId="26082" xr:uid="{00000000-0005-0000-0000-0000DFAB0000}"/>
    <cellStyle name="Normal 62 7 2 6" xfId="36289" xr:uid="{00000000-0005-0000-0000-0000E0AB0000}"/>
    <cellStyle name="Normal 62 7 2 6 2" xfId="36292" xr:uid="{00000000-0005-0000-0000-0000E1AB0000}"/>
    <cellStyle name="Normal 62 7 2 7" xfId="36298" xr:uid="{00000000-0005-0000-0000-0000E2AB0000}"/>
    <cellStyle name="Normal 62 7 2 8" xfId="36303" xr:uid="{00000000-0005-0000-0000-0000E3AB0000}"/>
    <cellStyle name="Normal 62 7 3" xfId="44242" xr:uid="{00000000-0005-0000-0000-0000E4AB0000}"/>
    <cellStyle name="Normal 62 7 3 2" xfId="44244" xr:uid="{00000000-0005-0000-0000-0000E5AB0000}"/>
    <cellStyle name="Normal 62 7 3 2 2" xfId="44246" xr:uid="{00000000-0005-0000-0000-0000E6AB0000}"/>
    <cellStyle name="Normal 62 7 3 2 2 2" xfId="44248" xr:uid="{00000000-0005-0000-0000-0000E7AB0000}"/>
    <cellStyle name="Normal 62 7 3 2 3" xfId="44250" xr:uid="{00000000-0005-0000-0000-0000E8AB0000}"/>
    <cellStyle name="Normal 62 7 3 3" xfId="31513" xr:uid="{00000000-0005-0000-0000-0000E9AB0000}"/>
    <cellStyle name="Normal 62 7 3 3 2" xfId="30341" xr:uid="{00000000-0005-0000-0000-0000EAAB0000}"/>
    <cellStyle name="Normal 62 7 3 4" xfId="36309" xr:uid="{00000000-0005-0000-0000-0000EBAB0000}"/>
    <cellStyle name="Normal 62 7 4" xfId="44252" xr:uid="{00000000-0005-0000-0000-0000ECAB0000}"/>
    <cellStyle name="Normal 62 7 4 2" xfId="44254" xr:uid="{00000000-0005-0000-0000-0000EDAB0000}"/>
    <cellStyle name="Normal 62 7 4 2 2" xfId="36484" xr:uid="{00000000-0005-0000-0000-0000EEAB0000}"/>
    <cellStyle name="Normal 62 7 4 3" xfId="36317" xr:uid="{00000000-0005-0000-0000-0000EFAB0000}"/>
    <cellStyle name="Normal 62 7 5" xfId="44256" xr:uid="{00000000-0005-0000-0000-0000F0AB0000}"/>
    <cellStyle name="Normal 62 7 5 2" xfId="44258" xr:uid="{00000000-0005-0000-0000-0000F1AB0000}"/>
    <cellStyle name="Normal 62 7 5 2 2" xfId="44260" xr:uid="{00000000-0005-0000-0000-0000F2AB0000}"/>
    <cellStyle name="Normal 62 7 5 3" xfId="36324" xr:uid="{00000000-0005-0000-0000-0000F3AB0000}"/>
    <cellStyle name="Normal 62 7 6" xfId="29992" xr:uid="{00000000-0005-0000-0000-0000F4AB0000}"/>
    <cellStyle name="Normal 62 7 6 2" xfId="44262" xr:uid="{00000000-0005-0000-0000-0000F5AB0000}"/>
    <cellStyle name="Normal 62 7 7" xfId="44072" xr:uid="{00000000-0005-0000-0000-0000F6AB0000}"/>
    <cellStyle name="Normal 62 7 7 2" xfId="44264" xr:uid="{00000000-0005-0000-0000-0000F7AB0000}"/>
    <cellStyle name="Normal 62 7 8" xfId="44266" xr:uid="{00000000-0005-0000-0000-0000F8AB0000}"/>
    <cellStyle name="Normal 62 7 9" xfId="44268" xr:uid="{00000000-0005-0000-0000-0000F9AB0000}"/>
    <cellStyle name="Normal 62 8" xfId="16069" xr:uid="{00000000-0005-0000-0000-0000FAAB0000}"/>
    <cellStyle name="Normal 62 8 2" xfId="44270" xr:uid="{00000000-0005-0000-0000-0000FBAB0000}"/>
    <cellStyle name="Normal 62 8 2 2" xfId="44272" xr:uid="{00000000-0005-0000-0000-0000FCAB0000}"/>
    <cellStyle name="Normal 62 8 2 2 2" xfId="44274" xr:uid="{00000000-0005-0000-0000-0000FDAB0000}"/>
    <cellStyle name="Normal 62 8 2 2 2 2" xfId="44276" xr:uid="{00000000-0005-0000-0000-0000FEAB0000}"/>
    <cellStyle name="Normal 62 8 2 2 3" xfId="44278" xr:uid="{00000000-0005-0000-0000-0000FFAB0000}"/>
    <cellStyle name="Normal 62 8 2 3" xfId="22427" xr:uid="{00000000-0005-0000-0000-000000AC0000}"/>
    <cellStyle name="Normal 62 8 2 3 2" xfId="30778" xr:uid="{00000000-0005-0000-0000-000001AC0000}"/>
    <cellStyle name="Normal 62 8 2 4" xfId="36342" xr:uid="{00000000-0005-0000-0000-000002AC0000}"/>
    <cellStyle name="Normal 62 8 3" xfId="44280" xr:uid="{00000000-0005-0000-0000-000003AC0000}"/>
    <cellStyle name="Normal 62 8 3 2" xfId="44282" xr:uid="{00000000-0005-0000-0000-000004AC0000}"/>
    <cellStyle name="Normal 62 8 3 2 2" xfId="44284" xr:uid="{00000000-0005-0000-0000-000005AC0000}"/>
    <cellStyle name="Normal 62 8 3 3" xfId="36353" xr:uid="{00000000-0005-0000-0000-000006AC0000}"/>
    <cellStyle name="Normal 62 8 4" xfId="44286" xr:uid="{00000000-0005-0000-0000-000007AC0000}"/>
    <cellStyle name="Normal 62 8 4 2" xfId="44288" xr:uid="{00000000-0005-0000-0000-000008AC0000}"/>
    <cellStyle name="Normal 62 8 4 2 2" xfId="36505" xr:uid="{00000000-0005-0000-0000-000009AC0000}"/>
    <cellStyle name="Normal 62 8 4 3" xfId="36362" xr:uid="{00000000-0005-0000-0000-00000AAC0000}"/>
    <cellStyle name="Normal 62 8 5" xfId="44290" xr:uid="{00000000-0005-0000-0000-00000BAC0000}"/>
    <cellStyle name="Normal 62 8 5 2" xfId="44292" xr:uid="{00000000-0005-0000-0000-00000CAC0000}"/>
    <cellStyle name="Normal 62 8 6" xfId="44294" xr:uid="{00000000-0005-0000-0000-00000DAC0000}"/>
    <cellStyle name="Normal 62 8 6 2" xfId="44296" xr:uid="{00000000-0005-0000-0000-00000EAC0000}"/>
    <cellStyle name="Normal 62 8 7" xfId="44298" xr:uid="{00000000-0005-0000-0000-00000FAC0000}"/>
    <cellStyle name="Normal 62 8 8" xfId="44300" xr:uid="{00000000-0005-0000-0000-000010AC0000}"/>
    <cellStyle name="Normal 62 9" xfId="44302" xr:uid="{00000000-0005-0000-0000-000011AC0000}"/>
    <cellStyle name="Normal 62 9 2" xfId="16788" xr:uid="{00000000-0005-0000-0000-000012AC0000}"/>
    <cellStyle name="Normal 62 9 2 2" xfId="44304" xr:uid="{00000000-0005-0000-0000-000013AC0000}"/>
    <cellStyle name="Normal 62 9 2 2 2" xfId="44306" xr:uid="{00000000-0005-0000-0000-000014AC0000}"/>
    <cellStyle name="Normal 62 9 2 3" xfId="36375" xr:uid="{00000000-0005-0000-0000-000015AC0000}"/>
    <cellStyle name="Normal 62 9 3" xfId="17312" xr:uid="{00000000-0005-0000-0000-000016AC0000}"/>
    <cellStyle name="Normal 62 9 3 2" xfId="31470" xr:uid="{00000000-0005-0000-0000-000017AC0000}"/>
    <cellStyle name="Normal 62 9 4" xfId="44308" xr:uid="{00000000-0005-0000-0000-000018AC0000}"/>
    <cellStyle name="Normal 63" xfId="44310" xr:uid="{00000000-0005-0000-0000-000019AC0000}"/>
    <cellStyle name="Normal 63 10" xfId="44312" xr:uid="{00000000-0005-0000-0000-00001AAC0000}"/>
    <cellStyle name="Normal 63 10 2" xfId="44314" xr:uid="{00000000-0005-0000-0000-00001BAC0000}"/>
    <cellStyle name="Normal 63 10 2 2" xfId="44316" xr:uid="{00000000-0005-0000-0000-00001CAC0000}"/>
    <cellStyle name="Normal 63 10 3" xfId="44318" xr:uid="{00000000-0005-0000-0000-00001DAC0000}"/>
    <cellStyle name="Normal 63 11" xfId="31669" xr:uid="{00000000-0005-0000-0000-00001EAC0000}"/>
    <cellStyle name="Normal 63 11 2" xfId="25494" xr:uid="{00000000-0005-0000-0000-00001FAC0000}"/>
    <cellStyle name="Normal 63 11 2 2" xfId="26528" xr:uid="{00000000-0005-0000-0000-000020AC0000}"/>
    <cellStyle name="Normal 63 11 3" xfId="31678" xr:uid="{00000000-0005-0000-0000-000021AC0000}"/>
    <cellStyle name="Normal 63 12" xfId="31713" xr:uid="{00000000-0005-0000-0000-000022AC0000}"/>
    <cellStyle name="Normal 63 12 2" xfId="11717" xr:uid="{00000000-0005-0000-0000-000023AC0000}"/>
    <cellStyle name="Normal 63 13" xfId="31730" xr:uid="{00000000-0005-0000-0000-000024AC0000}"/>
    <cellStyle name="Normal 63 13 2" xfId="31734" xr:uid="{00000000-0005-0000-0000-000025AC0000}"/>
    <cellStyle name="Normal 63 14" xfId="17084" xr:uid="{00000000-0005-0000-0000-000026AC0000}"/>
    <cellStyle name="Normal 63 14 2" xfId="15816" xr:uid="{00000000-0005-0000-0000-000027AC0000}"/>
    <cellStyle name="Normal 63 15" xfId="17089" xr:uid="{00000000-0005-0000-0000-000028AC0000}"/>
    <cellStyle name="Normal 63 16" xfId="2866" xr:uid="{00000000-0005-0000-0000-000029AC0000}"/>
    <cellStyle name="Normal 63 2" xfId="44320" xr:uid="{00000000-0005-0000-0000-00002AAC0000}"/>
    <cellStyle name="Normal 63 2 10" xfId="44322" xr:uid="{00000000-0005-0000-0000-00002BAC0000}"/>
    <cellStyle name="Normal 63 2 10 2" xfId="44324" xr:uid="{00000000-0005-0000-0000-00002CAC0000}"/>
    <cellStyle name="Normal 63 2 11" xfId="44326" xr:uid="{00000000-0005-0000-0000-00002DAC0000}"/>
    <cellStyle name="Normal 63 2 11 2" xfId="44328" xr:uid="{00000000-0005-0000-0000-00002EAC0000}"/>
    <cellStyle name="Normal 63 2 12" xfId="44330" xr:uid="{00000000-0005-0000-0000-00002FAC0000}"/>
    <cellStyle name="Normal 63 2 12 2" xfId="44332" xr:uid="{00000000-0005-0000-0000-000030AC0000}"/>
    <cellStyle name="Normal 63 2 13" xfId="17184" xr:uid="{00000000-0005-0000-0000-000031AC0000}"/>
    <cellStyle name="Normal 63 2 14" xfId="30967" xr:uid="{00000000-0005-0000-0000-000032AC0000}"/>
    <cellStyle name="Normal 63 2 2" xfId="44334" xr:uid="{00000000-0005-0000-0000-000033AC0000}"/>
    <cellStyle name="Normal 63 2 2 10" xfId="17169" xr:uid="{00000000-0005-0000-0000-000034AC0000}"/>
    <cellStyle name="Normal 63 2 2 2" xfId="44336" xr:uid="{00000000-0005-0000-0000-000035AC0000}"/>
    <cellStyle name="Normal 63 2 2 2 2" xfId="44338" xr:uid="{00000000-0005-0000-0000-000036AC0000}"/>
    <cellStyle name="Normal 63 2 2 2 2 2" xfId="44340" xr:uid="{00000000-0005-0000-0000-000037AC0000}"/>
    <cellStyle name="Normal 63 2 2 2 2 2 2" xfId="44342" xr:uid="{00000000-0005-0000-0000-000038AC0000}"/>
    <cellStyle name="Normal 63 2 2 2 2 2 2 2" xfId="27034" xr:uid="{00000000-0005-0000-0000-000039AC0000}"/>
    <cellStyle name="Normal 63 2 2 2 2 2 2 2 2" xfId="25860" xr:uid="{00000000-0005-0000-0000-00003AAC0000}"/>
    <cellStyle name="Normal 63 2 2 2 2 2 2 3" xfId="27038" xr:uid="{00000000-0005-0000-0000-00003BAC0000}"/>
    <cellStyle name="Normal 63 2 2 2 2 2 3" xfId="44344" xr:uid="{00000000-0005-0000-0000-00003CAC0000}"/>
    <cellStyle name="Normal 63 2 2 2 2 2 3 2" xfId="25931" xr:uid="{00000000-0005-0000-0000-00003DAC0000}"/>
    <cellStyle name="Normal 63 2 2 2 2 2 4" xfId="5112" xr:uid="{00000000-0005-0000-0000-00003EAC0000}"/>
    <cellStyle name="Normal 63 2 2 2 2 3" xfId="44346" xr:uid="{00000000-0005-0000-0000-00003FAC0000}"/>
    <cellStyle name="Normal 63 2 2 2 2 3 2" xfId="44348" xr:uid="{00000000-0005-0000-0000-000040AC0000}"/>
    <cellStyle name="Normal 63 2 2 2 2 3 2 2" xfId="24475" xr:uid="{00000000-0005-0000-0000-000041AC0000}"/>
    <cellStyle name="Normal 63 2 2 2 2 3 3" xfId="44350" xr:uid="{00000000-0005-0000-0000-000042AC0000}"/>
    <cellStyle name="Normal 63 2 2 2 2 4" xfId="44352" xr:uid="{00000000-0005-0000-0000-000043AC0000}"/>
    <cellStyle name="Normal 63 2 2 2 2 4 2" xfId="30613" xr:uid="{00000000-0005-0000-0000-000044AC0000}"/>
    <cellStyle name="Normal 63 2 2 2 2 4 2 2" xfId="27345" xr:uid="{00000000-0005-0000-0000-000045AC0000}"/>
    <cellStyle name="Normal 63 2 2 2 2 4 3" xfId="30629" xr:uid="{00000000-0005-0000-0000-000046AC0000}"/>
    <cellStyle name="Normal 63 2 2 2 2 5" xfId="44354" xr:uid="{00000000-0005-0000-0000-000047AC0000}"/>
    <cellStyle name="Normal 63 2 2 2 2 5 2" xfId="30722" xr:uid="{00000000-0005-0000-0000-000048AC0000}"/>
    <cellStyle name="Normal 63 2 2 2 2 6" xfId="44356" xr:uid="{00000000-0005-0000-0000-000049AC0000}"/>
    <cellStyle name="Normal 63 2 2 2 2 6 2" xfId="30795" xr:uid="{00000000-0005-0000-0000-00004AAC0000}"/>
    <cellStyle name="Normal 63 2 2 2 2 7" xfId="13604" xr:uid="{00000000-0005-0000-0000-00004BAC0000}"/>
    <cellStyle name="Normal 63 2 2 2 2 8" xfId="10540" xr:uid="{00000000-0005-0000-0000-00004CAC0000}"/>
    <cellStyle name="Normal 63 2 2 2 3" xfId="44358" xr:uid="{00000000-0005-0000-0000-00004DAC0000}"/>
    <cellStyle name="Normal 63 2 2 2 3 2" xfId="44360" xr:uid="{00000000-0005-0000-0000-00004EAC0000}"/>
    <cellStyle name="Normal 63 2 2 2 3 2 2" xfId="44362" xr:uid="{00000000-0005-0000-0000-00004FAC0000}"/>
    <cellStyle name="Normal 63 2 2 2 3 2 2 2" xfId="28643" xr:uid="{00000000-0005-0000-0000-000050AC0000}"/>
    <cellStyle name="Normal 63 2 2 2 3 2 3" xfId="24577" xr:uid="{00000000-0005-0000-0000-000051AC0000}"/>
    <cellStyle name="Normal 63 2 2 2 3 3" xfId="44364" xr:uid="{00000000-0005-0000-0000-000052AC0000}"/>
    <cellStyle name="Normal 63 2 2 2 3 3 2" xfId="44366" xr:uid="{00000000-0005-0000-0000-000053AC0000}"/>
    <cellStyle name="Normal 63 2 2 2 3 4" xfId="44368" xr:uid="{00000000-0005-0000-0000-000054AC0000}"/>
    <cellStyle name="Normal 63 2 2 2 4" xfId="44370" xr:uid="{00000000-0005-0000-0000-000055AC0000}"/>
    <cellStyle name="Normal 63 2 2 2 4 2" xfId="44372" xr:uid="{00000000-0005-0000-0000-000056AC0000}"/>
    <cellStyle name="Normal 63 2 2 2 4 2 2" xfId="5171" xr:uid="{00000000-0005-0000-0000-000057AC0000}"/>
    <cellStyle name="Normal 63 2 2 2 4 3" xfId="44374" xr:uid="{00000000-0005-0000-0000-000058AC0000}"/>
    <cellStyle name="Normal 63 2 2 2 5" xfId="44376" xr:uid="{00000000-0005-0000-0000-000059AC0000}"/>
    <cellStyle name="Normal 63 2 2 2 5 2" xfId="44378" xr:uid="{00000000-0005-0000-0000-00005AAC0000}"/>
    <cellStyle name="Normal 63 2 2 2 5 2 2" xfId="25626" xr:uid="{00000000-0005-0000-0000-00005BAC0000}"/>
    <cellStyle name="Normal 63 2 2 2 5 3" xfId="44380" xr:uid="{00000000-0005-0000-0000-00005CAC0000}"/>
    <cellStyle name="Normal 63 2 2 2 6" xfId="44382" xr:uid="{00000000-0005-0000-0000-00005DAC0000}"/>
    <cellStyle name="Normal 63 2 2 2 6 2" xfId="44384" xr:uid="{00000000-0005-0000-0000-00005EAC0000}"/>
    <cellStyle name="Normal 63 2 2 2 7" xfId="44386" xr:uid="{00000000-0005-0000-0000-00005FAC0000}"/>
    <cellStyle name="Normal 63 2 2 2 7 2" xfId="44388" xr:uid="{00000000-0005-0000-0000-000060AC0000}"/>
    <cellStyle name="Normal 63 2 2 2 8" xfId="43396" xr:uid="{00000000-0005-0000-0000-000061AC0000}"/>
    <cellStyle name="Normal 63 2 2 2 9" xfId="30439" xr:uid="{00000000-0005-0000-0000-000062AC0000}"/>
    <cellStyle name="Normal 63 2 2 3" xfId="44390" xr:uid="{00000000-0005-0000-0000-000063AC0000}"/>
    <cellStyle name="Normal 63 2 2 3 2" xfId="25348" xr:uid="{00000000-0005-0000-0000-000064AC0000}"/>
    <cellStyle name="Normal 63 2 2 3 2 2" xfId="28691" xr:uid="{00000000-0005-0000-0000-000065AC0000}"/>
    <cellStyle name="Normal 63 2 2 3 2 2 2" xfId="44392" xr:uid="{00000000-0005-0000-0000-000066AC0000}"/>
    <cellStyle name="Normal 63 2 2 3 2 2 2 2" xfId="44394" xr:uid="{00000000-0005-0000-0000-000067AC0000}"/>
    <cellStyle name="Normal 63 2 2 3 2 2 3" xfId="44396" xr:uid="{00000000-0005-0000-0000-000068AC0000}"/>
    <cellStyle name="Normal 63 2 2 3 2 3" xfId="44398" xr:uid="{00000000-0005-0000-0000-000069AC0000}"/>
    <cellStyle name="Normal 63 2 2 3 2 3 2" xfId="44400" xr:uid="{00000000-0005-0000-0000-00006AAC0000}"/>
    <cellStyle name="Normal 63 2 2 3 2 4" xfId="44402" xr:uid="{00000000-0005-0000-0000-00006BAC0000}"/>
    <cellStyle name="Normal 63 2 2 3 3" xfId="28695" xr:uid="{00000000-0005-0000-0000-00006CAC0000}"/>
    <cellStyle name="Normal 63 2 2 3 3 2" xfId="28699" xr:uid="{00000000-0005-0000-0000-00006DAC0000}"/>
    <cellStyle name="Normal 63 2 2 3 3 2 2" xfId="43563" xr:uid="{00000000-0005-0000-0000-00006EAC0000}"/>
    <cellStyle name="Normal 63 2 2 3 3 3" xfId="44404" xr:uid="{00000000-0005-0000-0000-00006FAC0000}"/>
    <cellStyle name="Normal 63 2 2 3 4" xfId="28703" xr:uid="{00000000-0005-0000-0000-000070AC0000}"/>
    <cellStyle name="Normal 63 2 2 3 4 2" xfId="44406" xr:uid="{00000000-0005-0000-0000-000071AC0000}"/>
    <cellStyle name="Normal 63 2 2 3 4 2 2" xfId="44408" xr:uid="{00000000-0005-0000-0000-000072AC0000}"/>
    <cellStyle name="Normal 63 2 2 3 4 3" xfId="44410" xr:uid="{00000000-0005-0000-0000-000073AC0000}"/>
    <cellStyle name="Normal 63 2 2 3 5" xfId="8381" xr:uid="{00000000-0005-0000-0000-000074AC0000}"/>
    <cellStyle name="Normal 63 2 2 3 5 2" xfId="44412" xr:uid="{00000000-0005-0000-0000-000075AC0000}"/>
    <cellStyle name="Normal 63 2 2 3 6" xfId="44414" xr:uid="{00000000-0005-0000-0000-000076AC0000}"/>
    <cellStyle name="Normal 63 2 2 3 6 2" xfId="44416" xr:uid="{00000000-0005-0000-0000-000077AC0000}"/>
    <cellStyle name="Normal 63 2 2 3 7" xfId="44418" xr:uid="{00000000-0005-0000-0000-000078AC0000}"/>
    <cellStyle name="Normal 63 2 2 3 8" xfId="43404" xr:uid="{00000000-0005-0000-0000-000079AC0000}"/>
    <cellStyle name="Normal 63 2 2 4" xfId="6955" xr:uid="{00000000-0005-0000-0000-00007AAC0000}"/>
    <cellStyle name="Normal 63 2 2 4 2" xfId="6962" xr:uid="{00000000-0005-0000-0000-00007BAC0000}"/>
    <cellStyle name="Normal 63 2 2 4 2 2" xfId="4047" xr:uid="{00000000-0005-0000-0000-00007CAC0000}"/>
    <cellStyle name="Normal 63 2 2 4 2 2 2" xfId="4059" xr:uid="{00000000-0005-0000-0000-00007DAC0000}"/>
    <cellStyle name="Normal 63 2 2 4 2 3" xfId="2968" xr:uid="{00000000-0005-0000-0000-00007EAC0000}"/>
    <cellStyle name="Normal 63 2 2 4 3" xfId="6996" xr:uid="{00000000-0005-0000-0000-00007FAC0000}"/>
    <cellStyle name="Normal 63 2 2 4 3 2" xfId="7002" xr:uid="{00000000-0005-0000-0000-000080AC0000}"/>
    <cellStyle name="Normal 63 2 2 4 4" xfId="7029" xr:uid="{00000000-0005-0000-0000-000081AC0000}"/>
    <cellStyle name="Normal 63 2 2 5" xfId="7044" xr:uid="{00000000-0005-0000-0000-000082AC0000}"/>
    <cellStyle name="Normal 63 2 2 5 2" xfId="7054" xr:uid="{00000000-0005-0000-0000-000083AC0000}"/>
    <cellStyle name="Normal 63 2 2 5 2 2" xfId="7061" xr:uid="{00000000-0005-0000-0000-000084AC0000}"/>
    <cellStyle name="Normal 63 2 2 5 3" xfId="7076" xr:uid="{00000000-0005-0000-0000-000085AC0000}"/>
    <cellStyle name="Normal 63 2 2 6" xfId="7099" xr:uid="{00000000-0005-0000-0000-000086AC0000}"/>
    <cellStyle name="Normal 63 2 2 6 2" xfId="7104" xr:uid="{00000000-0005-0000-0000-000087AC0000}"/>
    <cellStyle name="Normal 63 2 2 6 2 2" xfId="6568" xr:uid="{00000000-0005-0000-0000-000088AC0000}"/>
    <cellStyle name="Normal 63 2 2 6 3" xfId="7112" xr:uid="{00000000-0005-0000-0000-000089AC0000}"/>
    <cellStyle name="Normal 63 2 2 7" xfId="7120" xr:uid="{00000000-0005-0000-0000-00008AAC0000}"/>
    <cellStyle name="Normal 63 2 2 7 2" xfId="7133" xr:uid="{00000000-0005-0000-0000-00008BAC0000}"/>
    <cellStyle name="Normal 63 2 2 8" xfId="7150" xr:uid="{00000000-0005-0000-0000-00008CAC0000}"/>
    <cellStyle name="Normal 63 2 2 8 2" xfId="7161" xr:uid="{00000000-0005-0000-0000-00008DAC0000}"/>
    <cellStyle name="Normal 63 2 2 9" xfId="109" xr:uid="{00000000-0005-0000-0000-00008EAC0000}"/>
    <cellStyle name="Normal 63 2 3" xfId="44420" xr:uid="{00000000-0005-0000-0000-00008FAC0000}"/>
    <cellStyle name="Normal 63 2 3 2" xfId="44422" xr:uid="{00000000-0005-0000-0000-000090AC0000}"/>
    <cellStyle name="Normal 63 2 3 2 2" xfId="44424" xr:uid="{00000000-0005-0000-0000-000091AC0000}"/>
    <cellStyle name="Normal 63 2 3 2 2 2" xfId="44426" xr:uid="{00000000-0005-0000-0000-000092AC0000}"/>
    <cellStyle name="Normal 63 2 3 2 2 2 2" xfId="44428" xr:uid="{00000000-0005-0000-0000-000093AC0000}"/>
    <cellStyle name="Normal 63 2 3 2 2 2 2 2" xfId="44430" xr:uid="{00000000-0005-0000-0000-000094AC0000}"/>
    <cellStyle name="Normal 63 2 3 2 2 2 3" xfId="44432" xr:uid="{00000000-0005-0000-0000-000095AC0000}"/>
    <cellStyle name="Normal 63 2 3 2 2 3" xfId="44434" xr:uid="{00000000-0005-0000-0000-000096AC0000}"/>
    <cellStyle name="Normal 63 2 3 2 2 3 2" xfId="44436" xr:uid="{00000000-0005-0000-0000-000097AC0000}"/>
    <cellStyle name="Normal 63 2 3 2 2 4" xfId="44438" xr:uid="{00000000-0005-0000-0000-000098AC0000}"/>
    <cellStyle name="Normal 63 2 3 2 2 5" xfId="44440" xr:uid="{00000000-0005-0000-0000-000099AC0000}"/>
    <cellStyle name="Normal 63 2 3 2 3" xfId="44442" xr:uid="{00000000-0005-0000-0000-00009AAC0000}"/>
    <cellStyle name="Normal 63 2 3 2 3 2" xfId="44444" xr:uid="{00000000-0005-0000-0000-00009BAC0000}"/>
    <cellStyle name="Normal 63 2 3 2 3 2 2" xfId="44446" xr:uid="{00000000-0005-0000-0000-00009CAC0000}"/>
    <cellStyle name="Normal 63 2 3 2 3 3" xfId="44448" xr:uid="{00000000-0005-0000-0000-00009DAC0000}"/>
    <cellStyle name="Normal 63 2 3 2 4" xfId="44450" xr:uid="{00000000-0005-0000-0000-00009EAC0000}"/>
    <cellStyle name="Normal 63 2 3 2 4 2" xfId="44452" xr:uid="{00000000-0005-0000-0000-00009FAC0000}"/>
    <cellStyle name="Normal 63 2 3 2 4 2 2" xfId="10393" xr:uid="{00000000-0005-0000-0000-0000A0AC0000}"/>
    <cellStyle name="Normal 63 2 3 2 4 3" xfId="44454" xr:uid="{00000000-0005-0000-0000-0000A1AC0000}"/>
    <cellStyle name="Normal 63 2 3 2 5" xfId="44456" xr:uid="{00000000-0005-0000-0000-0000A2AC0000}"/>
    <cellStyle name="Normal 63 2 3 2 5 2" xfId="44458" xr:uid="{00000000-0005-0000-0000-0000A3AC0000}"/>
    <cellStyle name="Normal 63 2 3 2 6" xfId="44460" xr:uid="{00000000-0005-0000-0000-0000A4AC0000}"/>
    <cellStyle name="Normal 63 2 3 2 6 2" xfId="44462" xr:uid="{00000000-0005-0000-0000-0000A5AC0000}"/>
    <cellStyle name="Normal 63 2 3 2 7" xfId="44464" xr:uid="{00000000-0005-0000-0000-0000A6AC0000}"/>
    <cellStyle name="Normal 63 2 3 2 8" xfId="43414" xr:uid="{00000000-0005-0000-0000-0000A7AC0000}"/>
    <cellStyle name="Normal 63 2 3 3" xfId="44466" xr:uid="{00000000-0005-0000-0000-0000A8AC0000}"/>
    <cellStyle name="Normal 63 2 3 3 2" xfId="28770" xr:uid="{00000000-0005-0000-0000-0000A9AC0000}"/>
    <cellStyle name="Normal 63 2 3 3 2 2" xfId="28774" xr:uid="{00000000-0005-0000-0000-0000AAAC0000}"/>
    <cellStyle name="Normal 63 2 3 3 2 2 2" xfId="44468" xr:uid="{00000000-0005-0000-0000-0000ABAC0000}"/>
    <cellStyle name="Normal 63 2 3 3 2 3" xfId="44470" xr:uid="{00000000-0005-0000-0000-0000ACAC0000}"/>
    <cellStyle name="Normal 63 2 3 3 3" xfId="28778" xr:uid="{00000000-0005-0000-0000-0000ADAC0000}"/>
    <cellStyle name="Normal 63 2 3 3 3 2" xfId="28782" xr:uid="{00000000-0005-0000-0000-0000AEAC0000}"/>
    <cellStyle name="Normal 63 2 3 3 4" xfId="28786" xr:uid="{00000000-0005-0000-0000-0000AFAC0000}"/>
    <cellStyle name="Normal 63 2 3 3 5" xfId="12671" xr:uid="{00000000-0005-0000-0000-0000B0AC0000}"/>
    <cellStyle name="Normal 63 2 3 4" xfId="7174" xr:uid="{00000000-0005-0000-0000-0000B1AC0000}"/>
    <cellStyle name="Normal 63 2 3 4 2" xfId="7179" xr:uid="{00000000-0005-0000-0000-0000B2AC0000}"/>
    <cellStyle name="Normal 63 2 3 4 2 2" xfId="4580" xr:uid="{00000000-0005-0000-0000-0000B3AC0000}"/>
    <cellStyle name="Normal 63 2 3 4 3" xfId="7225" xr:uid="{00000000-0005-0000-0000-0000B4AC0000}"/>
    <cellStyle name="Normal 63 2 3 5" xfId="7269" xr:uid="{00000000-0005-0000-0000-0000B5AC0000}"/>
    <cellStyle name="Normal 63 2 3 5 2" xfId="7275" xr:uid="{00000000-0005-0000-0000-0000B6AC0000}"/>
    <cellStyle name="Normal 63 2 3 5 2 2" xfId="7285" xr:uid="{00000000-0005-0000-0000-0000B7AC0000}"/>
    <cellStyle name="Normal 63 2 3 5 3" xfId="3076" xr:uid="{00000000-0005-0000-0000-0000B8AC0000}"/>
    <cellStyle name="Normal 63 2 3 6" xfId="7296" xr:uid="{00000000-0005-0000-0000-0000B9AC0000}"/>
    <cellStyle name="Normal 63 2 3 6 2" xfId="7302" xr:uid="{00000000-0005-0000-0000-0000BAAC0000}"/>
    <cellStyle name="Normal 63 2 3 7" xfId="2833" xr:uid="{00000000-0005-0000-0000-0000BBAC0000}"/>
    <cellStyle name="Normal 63 2 3 7 2" xfId="39" xr:uid="{00000000-0005-0000-0000-0000BCAC0000}"/>
    <cellStyle name="Normal 63 2 3 8" xfId="7338" xr:uid="{00000000-0005-0000-0000-0000BDAC0000}"/>
    <cellStyle name="Normal 63 2 3 9" xfId="4863" xr:uid="{00000000-0005-0000-0000-0000BEAC0000}"/>
    <cellStyle name="Normal 63 2 4" xfId="44472" xr:uid="{00000000-0005-0000-0000-0000BFAC0000}"/>
    <cellStyle name="Normal 63 2 4 2" xfId="44474" xr:uid="{00000000-0005-0000-0000-0000C0AC0000}"/>
    <cellStyle name="Normal 63 2 4 2 2" xfId="44476" xr:uid="{00000000-0005-0000-0000-0000C1AC0000}"/>
    <cellStyle name="Normal 63 2 4 2 2 2" xfId="44478" xr:uid="{00000000-0005-0000-0000-0000C2AC0000}"/>
    <cellStyle name="Normal 63 2 4 2 2 2 2" xfId="44480" xr:uid="{00000000-0005-0000-0000-0000C3AC0000}"/>
    <cellStyle name="Normal 63 2 4 2 2 2 2 2" xfId="44482" xr:uid="{00000000-0005-0000-0000-0000C4AC0000}"/>
    <cellStyle name="Normal 63 2 4 2 2 2 3" xfId="44484" xr:uid="{00000000-0005-0000-0000-0000C5AC0000}"/>
    <cellStyle name="Normal 63 2 4 2 2 3" xfId="44486" xr:uid="{00000000-0005-0000-0000-0000C6AC0000}"/>
    <cellStyle name="Normal 63 2 4 2 2 3 2" xfId="44488" xr:uid="{00000000-0005-0000-0000-0000C7AC0000}"/>
    <cellStyle name="Normal 63 2 4 2 2 4" xfId="44490" xr:uid="{00000000-0005-0000-0000-0000C8AC0000}"/>
    <cellStyle name="Normal 63 2 4 2 3" xfId="44492" xr:uid="{00000000-0005-0000-0000-0000C9AC0000}"/>
    <cellStyle name="Normal 63 2 4 2 3 2" xfId="44494" xr:uid="{00000000-0005-0000-0000-0000CAAC0000}"/>
    <cellStyle name="Normal 63 2 4 2 3 2 2" xfId="44496" xr:uid="{00000000-0005-0000-0000-0000CBAC0000}"/>
    <cellStyle name="Normal 63 2 4 2 3 3" xfId="44498" xr:uid="{00000000-0005-0000-0000-0000CCAC0000}"/>
    <cellStyle name="Normal 63 2 4 2 4" xfId="44500" xr:uid="{00000000-0005-0000-0000-0000CDAC0000}"/>
    <cellStyle name="Normal 63 2 4 2 4 2" xfId="44502" xr:uid="{00000000-0005-0000-0000-0000CEAC0000}"/>
    <cellStyle name="Normal 63 2 4 2 4 2 2" xfId="2812" xr:uid="{00000000-0005-0000-0000-0000CFAC0000}"/>
    <cellStyle name="Normal 63 2 4 2 4 3" xfId="44504" xr:uid="{00000000-0005-0000-0000-0000D0AC0000}"/>
    <cellStyle name="Normal 63 2 4 2 5" xfId="44506" xr:uid="{00000000-0005-0000-0000-0000D1AC0000}"/>
    <cellStyle name="Normal 63 2 4 2 5 2" xfId="44508" xr:uid="{00000000-0005-0000-0000-0000D2AC0000}"/>
    <cellStyle name="Normal 63 2 4 2 6" xfId="32099" xr:uid="{00000000-0005-0000-0000-0000D3AC0000}"/>
    <cellStyle name="Normal 63 2 4 2 6 2" xfId="44510" xr:uid="{00000000-0005-0000-0000-0000D4AC0000}"/>
    <cellStyle name="Normal 63 2 4 2 7" xfId="33722" xr:uid="{00000000-0005-0000-0000-0000D5AC0000}"/>
    <cellStyle name="Normal 63 2 4 2 8" xfId="37086" xr:uid="{00000000-0005-0000-0000-0000D6AC0000}"/>
    <cellStyle name="Normal 63 2 4 3" xfId="44512" xr:uid="{00000000-0005-0000-0000-0000D7AC0000}"/>
    <cellStyle name="Normal 63 2 4 3 2" xfId="28114" xr:uid="{00000000-0005-0000-0000-0000D8AC0000}"/>
    <cellStyle name="Normal 63 2 4 3 2 2" xfId="28860" xr:uid="{00000000-0005-0000-0000-0000D9AC0000}"/>
    <cellStyle name="Normal 63 2 4 3 2 2 2" xfId="44514" xr:uid="{00000000-0005-0000-0000-0000DAAC0000}"/>
    <cellStyle name="Normal 63 2 4 3 2 3" xfId="44516" xr:uid="{00000000-0005-0000-0000-0000DBAC0000}"/>
    <cellStyle name="Normal 63 2 4 3 3" xfId="28864" xr:uid="{00000000-0005-0000-0000-0000DCAC0000}"/>
    <cellStyle name="Normal 63 2 4 3 3 2" xfId="28868" xr:uid="{00000000-0005-0000-0000-0000DDAC0000}"/>
    <cellStyle name="Normal 63 2 4 3 4" xfId="28872" xr:uid="{00000000-0005-0000-0000-0000DEAC0000}"/>
    <cellStyle name="Normal 63 2 4 4" xfId="7382" xr:uid="{00000000-0005-0000-0000-0000DFAC0000}"/>
    <cellStyle name="Normal 63 2 4 4 2" xfId="7387" xr:uid="{00000000-0005-0000-0000-0000E0AC0000}"/>
    <cellStyle name="Normal 63 2 4 4 2 2" xfId="5974" xr:uid="{00000000-0005-0000-0000-0000E1AC0000}"/>
    <cellStyle name="Normal 63 2 4 4 3" xfId="7395" xr:uid="{00000000-0005-0000-0000-0000E2AC0000}"/>
    <cellStyle name="Normal 63 2 4 5" xfId="7419" xr:uid="{00000000-0005-0000-0000-0000E3AC0000}"/>
    <cellStyle name="Normal 63 2 4 5 2" xfId="7424" xr:uid="{00000000-0005-0000-0000-0000E4AC0000}"/>
    <cellStyle name="Normal 63 2 4 5 2 2" xfId="7432" xr:uid="{00000000-0005-0000-0000-0000E5AC0000}"/>
    <cellStyle name="Normal 63 2 4 5 3" xfId="5353" xr:uid="{00000000-0005-0000-0000-0000E6AC0000}"/>
    <cellStyle name="Normal 63 2 4 6" xfId="7436" xr:uid="{00000000-0005-0000-0000-0000E7AC0000}"/>
    <cellStyle name="Normal 63 2 4 6 2" xfId="7440" xr:uid="{00000000-0005-0000-0000-0000E8AC0000}"/>
    <cellStyle name="Normal 63 2 4 7" xfId="4997" xr:uid="{00000000-0005-0000-0000-0000E9AC0000}"/>
    <cellStyle name="Normal 63 2 4 7 2" xfId="7463" xr:uid="{00000000-0005-0000-0000-0000EAAC0000}"/>
    <cellStyle name="Normal 63 2 4 8" xfId="7468" xr:uid="{00000000-0005-0000-0000-0000EBAC0000}"/>
    <cellStyle name="Normal 63 2 4 9" xfId="7188" xr:uid="{00000000-0005-0000-0000-0000ECAC0000}"/>
    <cellStyle name="Normal 63 2 5" xfId="44518" xr:uid="{00000000-0005-0000-0000-0000EDAC0000}"/>
    <cellStyle name="Normal 63 2 5 2" xfId="44520" xr:uid="{00000000-0005-0000-0000-0000EEAC0000}"/>
    <cellStyle name="Normal 63 2 5 2 2" xfId="44522" xr:uid="{00000000-0005-0000-0000-0000EFAC0000}"/>
    <cellStyle name="Normal 63 2 5 2 2 2" xfId="44524" xr:uid="{00000000-0005-0000-0000-0000F0AC0000}"/>
    <cellStyle name="Normal 63 2 5 2 2 2 2" xfId="24364" xr:uid="{00000000-0005-0000-0000-0000F1AC0000}"/>
    <cellStyle name="Normal 63 2 5 2 2 2 2 2" xfId="44526" xr:uid="{00000000-0005-0000-0000-0000F2AC0000}"/>
    <cellStyle name="Normal 63 2 5 2 2 2 3" xfId="44528" xr:uid="{00000000-0005-0000-0000-0000F3AC0000}"/>
    <cellStyle name="Normal 63 2 5 2 2 3" xfId="44530" xr:uid="{00000000-0005-0000-0000-0000F4AC0000}"/>
    <cellStyle name="Normal 63 2 5 2 2 3 2" xfId="44532" xr:uid="{00000000-0005-0000-0000-0000F5AC0000}"/>
    <cellStyle name="Normal 63 2 5 2 2 4" xfId="44534" xr:uid="{00000000-0005-0000-0000-0000F6AC0000}"/>
    <cellStyle name="Normal 63 2 5 2 3" xfId="44536" xr:uid="{00000000-0005-0000-0000-0000F7AC0000}"/>
    <cellStyle name="Normal 63 2 5 2 3 2" xfId="44538" xr:uid="{00000000-0005-0000-0000-0000F8AC0000}"/>
    <cellStyle name="Normal 63 2 5 2 3 2 2" xfId="40645" xr:uid="{00000000-0005-0000-0000-0000F9AC0000}"/>
    <cellStyle name="Normal 63 2 5 2 3 3" xfId="44540" xr:uid="{00000000-0005-0000-0000-0000FAAC0000}"/>
    <cellStyle name="Normal 63 2 5 2 4" xfId="44542" xr:uid="{00000000-0005-0000-0000-0000FBAC0000}"/>
    <cellStyle name="Normal 63 2 5 2 4 2" xfId="33552" xr:uid="{00000000-0005-0000-0000-0000FCAC0000}"/>
    <cellStyle name="Normal 63 2 5 2 4 2 2" xfId="11761" xr:uid="{00000000-0005-0000-0000-0000FDAC0000}"/>
    <cellStyle name="Normal 63 2 5 2 4 3" xfId="44544" xr:uid="{00000000-0005-0000-0000-0000FEAC0000}"/>
    <cellStyle name="Normal 63 2 5 2 5" xfId="44546" xr:uid="{00000000-0005-0000-0000-0000FFAC0000}"/>
    <cellStyle name="Normal 63 2 5 2 5 2" xfId="44548" xr:uid="{00000000-0005-0000-0000-000000AD0000}"/>
    <cellStyle name="Normal 63 2 5 2 6" xfId="44550" xr:uid="{00000000-0005-0000-0000-000001AD0000}"/>
    <cellStyle name="Normal 63 2 5 2 6 2" xfId="44552" xr:uid="{00000000-0005-0000-0000-000002AD0000}"/>
    <cellStyle name="Normal 63 2 5 2 7" xfId="37096" xr:uid="{00000000-0005-0000-0000-000003AD0000}"/>
    <cellStyle name="Normal 63 2 5 2 8" xfId="44554" xr:uid="{00000000-0005-0000-0000-000004AD0000}"/>
    <cellStyle name="Normal 63 2 5 3" xfId="44556" xr:uid="{00000000-0005-0000-0000-000005AD0000}"/>
    <cellStyle name="Normal 63 2 5 3 2" xfId="28918" xr:uid="{00000000-0005-0000-0000-000006AD0000}"/>
    <cellStyle name="Normal 63 2 5 3 2 2" xfId="44558" xr:uid="{00000000-0005-0000-0000-000007AD0000}"/>
    <cellStyle name="Normal 63 2 5 3 2 2 2" xfId="44560" xr:uid="{00000000-0005-0000-0000-000008AD0000}"/>
    <cellStyle name="Normal 63 2 5 3 2 3" xfId="44562" xr:uid="{00000000-0005-0000-0000-000009AD0000}"/>
    <cellStyle name="Normal 63 2 5 3 3" xfId="44564" xr:uid="{00000000-0005-0000-0000-00000AAD0000}"/>
    <cellStyle name="Normal 63 2 5 3 3 2" xfId="11637" xr:uid="{00000000-0005-0000-0000-00000BAD0000}"/>
    <cellStyle name="Normal 63 2 5 3 4" xfId="44566" xr:uid="{00000000-0005-0000-0000-00000CAD0000}"/>
    <cellStyle name="Normal 63 2 5 4" xfId="7497" xr:uid="{00000000-0005-0000-0000-00000DAD0000}"/>
    <cellStyle name="Normal 63 2 5 4 2" xfId="7502" xr:uid="{00000000-0005-0000-0000-00000EAD0000}"/>
    <cellStyle name="Normal 63 2 5 4 2 2" xfId="2249" xr:uid="{00000000-0005-0000-0000-00000FAD0000}"/>
    <cellStyle name="Normal 63 2 5 4 3" xfId="7509" xr:uid="{00000000-0005-0000-0000-000010AD0000}"/>
    <cellStyle name="Normal 63 2 5 5" xfId="7517" xr:uid="{00000000-0005-0000-0000-000011AD0000}"/>
    <cellStyle name="Normal 63 2 5 5 2" xfId="7531" xr:uid="{00000000-0005-0000-0000-000012AD0000}"/>
    <cellStyle name="Normal 63 2 5 5 2 2" xfId="44568" xr:uid="{00000000-0005-0000-0000-000013AD0000}"/>
    <cellStyle name="Normal 63 2 5 5 3" xfId="44570" xr:uid="{00000000-0005-0000-0000-000014AD0000}"/>
    <cellStyle name="Normal 63 2 5 6" xfId="7536" xr:uid="{00000000-0005-0000-0000-000015AD0000}"/>
    <cellStyle name="Normal 63 2 5 6 2" xfId="44572" xr:uid="{00000000-0005-0000-0000-000016AD0000}"/>
    <cellStyle name="Normal 63 2 5 7" xfId="44574" xr:uid="{00000000-0005-0000-0000-000017AD0000}"/>
    <cellStyle name="Normal 63 2 5 7 2" xfId="44576" xr:uid="{00000000-0005-0000-0000-000018AD0000}"/>
    <cellStyle name="Normal 63 2 5 8" xfId="44578" xr:uid="{00000000-0005-0000-0000-000019AD0000}"/>
    <cellStyle name="Normal 63 2 5 9" xfId="44580" xr:uid="{00000000-0005-0000-0000-00001AAD0000}"/>
    <cellStyle name="Normal 63 2 6" xfId="44582" xr:uid="{00000000-0005-0000-0000-00001BAD0000}"/>
    <cellStyle name="Normal 63 2 6 2" xfId="44584" xr:uid="{00000000-0005-0000-0000-00001CAD0000}"/>
    <cellStyle name="Normal 63 2 6 2 2" xfId="44586" xr:uid="{00000000-0005-0000-0000-00001DAD0000}"/>
    <cellStyle name="Normal 63 2 6 2 2 2" xfId="23237" xr:uid="{00000000-0005-0000-0000-00001EAD0000}"/>
    <cellStyle name="Normal 63 2 6 2 2 2 2" xfId="23240" xr:uid="{00000000-0005-0000-0000-00001FAD0000}"/>
    <cellStyle name="Normal 63 2 6 2 2 3" xfId="23252" xr:uid="{00000000-0005-0000-0000-000020AD0000}"/>
    <cellStyle name="Normal 63 2 6 2 3" xfId="44588" xr:uid="{00000000-0005-0000-0000-000021AD0000}"/>
    <cellStyle name="Normal 63 2 6 2 3 2" xfId="23263" xr:uid="{00000000-0005-0000-0000-000022AD0000}"/>
    <cellStyle name="Normal 63 2 6 2 4" xfId="44590" xr:uid="{00000000-0005-0000-0000-000023AD0000}"/>
    <cellStyle name="Normal 63 2 6 3" xfId="44592" xr:uid="{00000000-0005-0000-0000-000024AD0000}"/>
    <cellStyle name="Normal 63 2 6 3 2" xfId="44594" xr:uid="{00000000-0005-0000-0000-000025AD0000}"/>
    <cellStyle name="Normal 63 2 6 3 2 2" xfId="23291" xr:uid="{00000000-0005-0000-0000-000026AD0000}"/>
    <cellStyle name="Normal 63 2 6 3 3" xfId="44596" xr:uid="{00000000-0005-0000-0000-000027AD0000}"/>
    <cellStyle name="Normal 63 2 6 4" xfId="2053" xr:uid="{00000000-0005-0000-0000-000028AD0000}"/>
    <cellStyle name="Normal 63 2 6 4 2" xfId="3976" xr:uid="{00000000-0005-0000-0000-000029AD0000}"/>
    <cellStyle name="Normal 63 2 6 4 2 2" xfId="23313" xr:uid="{00000000-0005-0000-0000-00002AAD0000}"/>
    <cellStyle name="Normal 63 2 6 4 3" xfId="44598" xr:uid="{00000000-0005-0000-0000-00002BAD0000}"/>
    <cellStyle name="Normal 63 2 6 5" xfId="3985" xr:uid="{00000000-0005-0000-0000-00002CAD0000}"/>
    <cellStyle name="Normal 63 2 6 5 2" xfId="44600" xr:uid="{00000000-0005-0000-0000-00002DAD0000}"/>
    <cellStyle name="Normal 63 2 6 6" xfId="44602" xr:uid="{00000000-0005-0000-0000-00002EAD0000}"/>
    <cellStyle name="Normal 63 2 6 6 2" xfId="44604" xr:uid="{00000000-0005-0000-0000-00002FAD0000}"/>
    <cellStyle name="Normal 63 2 6 7" xfId="44606" xr:uid="{00000000-0005-0000-0000-000030AD0000}"/>
    <cellStyle name="Normal 63 2 6 8" xfId="44608" xr:uid="{00000000-0005-0000-0000-000031AD0000}"/>
    <cellStyle name="Normal 63 2 7" xfId="885" xr:uid="{00000000-0005-0000-0000-000032AD0000}"/>
    <cellStyle name="Normal 63 2 7 2" xfId="905" xr:uid="{00000000-0005-0000-0000-000033AD0000}"/>
    <cellStyle name="Normal 63 2 7 2 2" xfId="44610" xr:uid="{00000000-0005-0000-0000-000034AD0000}"/>
    <cellStyle name="Normal 63 2 7 2 2 2" xfId="44612" xr:uid="{00000000-0005-0000-0000-000035AD0000}"/>
    <cellStyle name="Normal 63 2 7 2 3" xfId="44614" xr:uid="{00000000-0005-0000-0000-000036AD0000}"/>
    <cellStyle name="Normal 63 2 7 3" xfId="44616" xr:uid="{00000000-0005-0000-0000-000037AD0000}"/>
    <cellStyle name="Normal 63 2 7 3 2" xfId="44618" xr:uid="{00000000-0005-0000-0000-000038AD0000}"/>
    <cellStyle name="Normal 63 2 7 4" xfId="190" xr:uid="{00000000-0005-0000-0000-000039AD0000}"/>
    <cellStyle name="Normal 63 2 8" xfId="921" xr:uid="{00000000-0005-0000-0000-00003AAD0000}"/>
    <cellStyle name="Normal 63 2 8 2" xfId="30356" xr:uid="{00000000-0005-0000-0000-00003BAD0000}"/>
    <cellStyle name="Normal 63 2 8 2 2" xfId="44620" xr:uid="{00000000-0005-0000-0000-00003CAD0000}"/>
    <cellStyle name="Normal 63 2 8 3" xfId="44622" xr:uid="{00000000-0005-0000-0000-00003DAD0000}"/>
    <cellStyle name="Normal 63 2 9" xfId="44624" xr:uid="{00000000-0005-0000-0000-00003EAD0000}"/>
    <cellStyle name="Normal 63 2 9 2" xfId="44628" xr:uid="{00000000-0005-0000-0000-00003FAD0000}"/>
    <cellStyle name="Normal 63 2 9 2 2" xfId="44631" xr:uid="{00000000-0005-0000-0000-000040AD0000}"/>
    <cellStyle name="Normal 63 2 9 3" xfId="44634" xr:uid="{00000000-0005-0000-0000-000041AD0000}"/>
    <cellStyle name="Normal 63 3" xfId="44636" xr:uid="{00000000-0005-0000-0000-000042AD0000}"/>
    <cellStyle name="Normal 63 3 10" xfId="32679" xr:uid="{00000000-0005-0000-0000-000043AD0000}"/>
    <cellStyle name="Normal 63 3 10 2" xfId="44638" xr:uid="{00000000-0005-0000-0000-000044AD0000}"/>
    <cellStyle name="Normal 63 3 11" xfId="33667" xr:uid="{00000000-0005-0000-0000-000045AD0000}"/>
    <cellStyle name="Normal 63 3 11 2" xfId="44640" xr:uid="{00000000-0005-0000-0000-000046AD0000}"/>
    <cellStyle name="Normal 63 3 12" xfId="44642" xr:uid="{00000000-0005-0000-0000-000047AD0000}"/>
    <cellStyle name="Normal 63 3 12 2" xfId="44645" xr:uid="{00000000-0005-0000-0000-000048AD0000}"/>
    <cellStyle name="Normal 63 3 13" xfId="15567" xr:uid="{00000000-0005-0000-0000-000049AD0000}"/>
    <cellStyle name="Normal 63 3 14" xfId="44648" xr:uid="{00000000-0005-0000-0000-00004AAD0000}"/>
    <cellStyle name="Normal 63 3 2" xfId="44650" xr:uid="{00000000-0005-0000-0000-00004BAD0000}"/>
    <cellStyle name="Normal 63 3 2 10" xfId="23181" xr:uid="{00000000-0005-0000-0000-00004CAD0000}"/>
    <cellStyle name="Normal 63 3 2 2" xfId="44652" xr:uid="{00000000-0005-0000-0000-00004DAD0000}"/>
    <cellStyle name="Normal 63 3 2 2 2" xfId="44654" xr:uid="{00000000-0005-0000-0000-00004EAD0000}"/>
    <cellStyle name="Normal 63 3 2 2 2 2" xfId="44656" xr:uid="{00000000-0005-0000-0000-00004FAD0000}"/>
    <cellStyle name="Normal 63 3 2 2 2 2 2" xfId="44658" xr:uid="{00000000-0005-0000-0000-000050AD0000}"/>
    <cellStyle name="Normal 63 3 2 2 2 2 2 2" xfId="44660" xr:uid="{00000000-0005-0000-0000-000051AD0000}"/>
    <cellStyle name="Normal 63 3 2 2 2 2 2 2 2" xfId="880" xr:uid="{00000000-0005-0000-0000-000052AD0000}"/>
    <cellStyle name="Normal 63 3 2 2 2 2 2 3" xfId="44662" xr:uid="{00000000-0005-0000-0000-000053AD0000}"/>
    <cellStyle name="Normal 63 3 2 2 2 2 3" xfId="44664" xr:uid="{00000000-0005-0000-0000-000054AD0000}"/>
    <cellStyle name="Normal 63 3 2 2 2 2 3 2" xfId="44666" xr:uid="{00000000-0005-0000-0000-000055AD0000}"/>
    <cellStyle name="Normal 63 3 2 2 2 2 4" xfId="1288" xr:uid="{00000000-0005-0000-0000-000056AD0000}"/>
    <cellStyle name="Normal 63 3 2 2 2 3" xfId="44668" xr:uid="{00000000-0005-0000-0000-000057AD0000}"/>
    <cellStyle name="Normal 63 3 2 2 2 3 2" xfId="44670" xr:uid="{00000000-0005-0000-0000-000058AD0000}"/>
    <cellStyle name="Normal 63 3 2 2 2 3 2 2" xfId="26089" xr:uid="{00000000-0005-0000-0000-000059AD0000}"/>
    <cellStyle name="Normal 63 3 2 2 2 3 3" xfId="44672" xr:uid="{00000000-0005-0000-0000-00005AAD0000}"/>
    <cellStyle name="Normal 63 3 2 2 2 4" xfId="44674" xr:uid="{00000000-0005-0000-0000-00005BAD0000}"/>
    <cellStyle name="Normal 63 3 2 2 2 4 2" xfId="44676" xr:uid="{00000000-0005-0000-0000-00005CAD0000}"/>
    <cellStyle name="Normal 63 3 2 2 2 4 2 2" xfId="44678" xr:uid="{00000000-0005-0000-0000-00005DAD0000}"/>
    <cellStyle name="Normal 63 3 2 2 2 4 3" xfId="44680" xr:uid="{00000000-0005-0000-0000-00005EAD0000}"/>
    <cellStyle name="Normal 63 3 2 2 2 5" xfId="44682" xr:uid="{00000000-0005-0000-0000-00005FAD0000}"/>
    <cellStyle name="Normal 63 3 2 2 2 5 2" xfId="44684" xr:uid="{00000000-0005-0000-0000-000060AD0000}"/>
    <cellStyle name="Normal 63 3 2 2 2 6" xfId="44687" xr:uid="{00000000-0005-0000-0000-000061AD0000}"/>
    <cellStyle name="Normal 63 3 2 2 2 6 2" xfId="44690" xr:uid="{00000000-0005-0000-0000-000062AD0000}"/>
    <cellStyle name="Normal 63 3 2 2 2 7" xfId="24584" xr:uid="{00000000-0005-0000-0000-000063AD0000}"/>
    <cellStyle name="Normal 63 3 2 2 2 8" xfId="11111" xr:uid="{00000000-0005-0000-0000-000064AD0000}"/>
    <cellStyle name="Normal 63 3 2 2 3" xfId="44692" xr:uid="{00000000-0005-0000-0000-000065AD0000}"/>
    <cellStyle name="Normal 63 3 2 2 3 2" xfId="44694" xr:uid="{00000000-0005-0000-0000-000066AD0000}"/>
    <cellStyle name="Normal 63 3 2 2 3 2 2" xfId="44696" xr:uid="{00000000-0005-0000-0000-000067AD0000}"/>
    <cellStyle name="Normal 63 3 2 2 3 2 2 2" xfId="44698" xr:uid="{00000000-0005-0000-0000-000068AD0000}"/>
    <cellStyle name="Normal 63 3 2 2 3 2 3" xfId="24533" xr:uid="{00000000-0005-0000-0000-000069AD0000}"/>
    <cellStyle name="Normal 63 3 2 2 3 3" xfId="44700" xr:uid="{00000000-0005-0000-0000-00006AAD0000}"/>
    <cellStyle name="Normal 63 3 2 2 3 3 2" xfId="44703" xr:uid="{00000000-0005-0000-0000-00006BAD0000}"/>
    <cellStyle name="Normal 63 3 2 2 3 4" xfId="44706" xr:uid="{00000000-0005-0000-0000-00006CAD0000}"/>
    <cellStyle name="Normal 63 3 2 2 4" xfId="44708" xr:uid="{00000000-0005-0000-0000-00006DAD0000}"/>
    <cellStyle name="Normal 63 3 2 2 4 2" xfId="44710" xr:uid="{00000000-0005-0000-0000-00006EAD0000}"/>
    <cellStyle name="Normal 63 3 2 2 4 2 2" xfId="44712" xr:uid="{00000000-0005-0000-0000-00006FAD0000}"/>
    <cellStyle name="Normal 63 3 2 2 4 3" xfId="44714" xr:uid="{00000000-0005-0000-0000-000070AD0000}"/>
    <cellStyle name="Normal 63 3 2 2 5" xfId="44716" xr:uid="{00000000-0005-0000-0000-000071AD0000}"/>
    <cellStyle name="Normal 63 3 2 2 5 2" xfId="44718" xr:uid="{00000000-0005-0000-0000-000072AD0000}"/>
    <cellStyle name="Normal 63 3 2 2 5 2 2" xfId="44720" xr:uid="{00000000-0005-0000-0000-000073AD0000}"/>
    <cellStyle name="Normal 63 3 2 2 5 3" xfId="44722" xr:uid="{00000000-0005-0000-0000-000074AD0000}"/>
    <cellStyle name="Normal 63 3 2 2 6" xfId="21689" xr:uid="{00000000-0005-0000-0000-000075AD0000}"/>
    <cellStyle name="Normal 63 3 2 2 6 2" xfId="21692" xr:uid="{00000000-0005-0000-0000-000076AD0000}"/>
    <cellStyle name="Normal 63 3 2 2 7" xfId="21772" xr:uid="{00000000-0005-0000-0000-000077AD0000}"/>
    <cellStyle name="Normal 63 3 2 2 7 2" xfId="9287" xr:uid="{00000000-0005-0000-0000-000078AD0000}"/>
    <cellStyle name="Normal 63 3 2 2 8" xfId="21779" xr:uid="{00000000-0005-0000-0000-000079AD0000}"/>
    <cellStyle name="Normal 63 3 2 2 9" xfId="21788" xr:uid="{00000000-0005-0000-0000-00007AAD0000}"/>
    <cellStyle name="Normal 63 3 2 3" xfId="44644" xr:uid="{00000000-0005-0000-0000-00007BAD0000}"/>
    <cellStyle name="Normal 63 3 2 3 2" xfId="29055" xr:uid="{00000000-0005-0000-0000-00007CAD0000}"/>
    <cellStyle name="Normal 63 3 2 3 2 2" xfId="44724" xr:uid="{00000000-0005-0000-0000-00007DAD0000}"/>
    <cellStyle name="Normal 63 3 2 3 2 2 2" xfId="44726" xr:uid="{00000000-0005-0000-0000-00007EAD0000}"/>
    <cellStyle name="Normal 63 3 2 3 2 2 2 2" xfId="44728" xr:uid="{00000000-0005-0000-0000-00007FAD0000}"/>
    <cellStyle name="Normal 63 3 2 3 2 2 3" xfId="44730" xr:uid="{00000000-0005-0000-0000-000080AD0000}"/>
    <cellStyle name="Normal 63 3 2 3 2 3" xfId="44732" xr:uid="{00000000-0005-0000-0000-000081AD0000}"/>
    <cellStyle name="Normal 63 3 2 3 2 3 2" xfId="44734" xr:uid="{00000000-0005-0000-0000-000082AD0000}"/>
    <cellStyle name="Normal 63 3 2 3 2 4" xfId="44736" xr:uid="{00000000-0005-0000-0000-000083AD0000}"/>
    <cellStyle name="Normal 63 3 2 3 3" xfId="29059" xr:uid="{00000000-0005-0000-0000-000084AD0000}"/>
    <cellStyle name="Normal 63 3 2 3 3 2" xfId="44738" xr:uid="{00000000-0005-0000-0000-000085AD0000}"/>
    <cellStyle name="Normal 63 3 2 3 3 2 2" xfId="44686" xr:uid="{00000000-0005-0000-0000-000086AD0000}"/>
    <cellStyle name="Normal 63 3 2 3 3 3" xfId="44740" xr:uid="{00000000-0005-0000-0000-000087AD0000}"/>
    <cellStyle name="Normal 63 3 2 3 4" xfId="44742" xr:uid="{00000000-0005-0000-0000-000088AD0000}"/>
    <cellStyle name="Normal 63 3 2 3 4 2" xfId="44744" xr:uid="{00000000-0005-0000-0000-000089AD0000}"/>
    <cellStyle name="Normal 63 3 2 3 4 2 2" xfId="44746" xr:uid="{00000000-0005-0000-0000-00008AAD0000}"/>
    <cellStyle name="Normal 63 3 2 3 4 3" xfId="38657" xr:uid="{00000000-0005-0000-0000-00008BAD0000}"/>
    <cellStyle name="Normal 63 3 2 3 5" xfId="44748" xr:uid="{00000000-0005-0000-0000-00008CAD0000}"/>
    <cellStyle name="Normal 63 3 2 3 5 2" xfId="44750" xr:uid="{00000000-0005-0000-0000-00008DAD0000}"/>
    <cellStyle name="Normal 63 3 2 3 6" xfId="21792" xr:uid="{00000000-0005-0000-0000-00008EAD0000}"/>
    <cellStyle name="Normal 63 3 2 3 6 2" xfId="21795" xr:uid="{00000000-0005-0000-0000-00008FAD0000}"/>
    <cellStyle name="Normal 63 3 2 3 7" xfId="21818" xr:uid="{00000000-0005-0000-0000-000090AD0000}"/>
    <cellStyle name="Normal 63 3 2 3 8" xfId="21825" xr:uid="{00000000-0005-0000-0000-000091AD0000}"/>
    <cellStyle name="Normal 63 3 2 4" xfId="7608" xr:uid="{00000000-0005-0000-0000-000092AD0000}"/>
    <cellStyle name="Normal 63 3 2 4 2" xfId="7613" xr:uid="{00000000-0005-0000-0000-000093AD0000}"/>
    <cellStyle name="Normal 63 3 2 4 2 2" xfId="44752" xr:uid="{00000000-0005-0000-0000-000094AD0000}"/>
    <cellStyle name="Normal 63 3 2 4 2 2 2" xfId="44754" xr:uid="{00000000-0005-0000-0000-000095AD0000}"/>
    <cellStyle name="Normal 63 3 2 4 2 3" xfId="44756" xr:uid="{00000000-0005-0000-0000-000096AD0000}"/>
    <cellStyle name="Normal 63 3 2 4 3" xfId="13543" xr:uid="{00000000-0005-0000-0000-000097AD0000}"/>
    <cellStyle name="Normal 63 3 2 4 3 2" xfId="44758" xr:uid="{00000000-0005-0000-0000-000098AD0000}"/>
    <cellStyle name="Normal 63 3 2 4 4" xfId="44760" xr:uid="{00000000-0005-0000-0000-000099AD0000}"/>
    <cellStyle name="Normal 63 3 2 5" xfId="7618" xr:uid="{00000000-0005-0000-0000-00009AAD0000}"/>
    <cellStyle name="Normal 63 3 2 5 2" xfId="44762" xr:uid="{00000000-0005-0000-0000-00009BAD0000}"/>
    <cellStyle name="Normal 63 3 2 5 2 2" xfId="44764" xr:uid="{00000000-0005-0000-0000-00009CAD0000}"/>
    <cellStyle name="Normal 63 3 2 5 3" xfId="44766" xr:uid="{00000000-0005-0000-0000-00009DAD0000}"/>
    <cellStyle name="Normal 63 3 2 6" xfId="44768" xr:uid="{00000000-0005-0000-0000-00009EAD0000}"/>
    <cellStyle name="Normal 63 3 2 6 2" xfId="44770" xr:uid="{00000000-0005-0000-0000-00009FAD0000}"/>
    <cellStyle name="Normal 63 3 2 6 2 2" xfId="44772" xr:uid="{00000000-0005-0000-0000-0000A0AD0000}"/>
    <cellStyle name="Normal 63 3 2 6 3" xfId="38350" xr:uid="{00000000-0005-0000-0000-0000A1AD0000}"/>
    <cellStyle name="Normal 63 3 2 7" xfId="44774" xr:uid="{00000000-0005-0000-0000-0000A2AD0000}"/>
    <cellStyle name="Normal 63 3 2 7 2" xfId="44776" xr:uid="{00000000-0005-0000-0000-0000A3AD0000}"/>
    <cellStyle name="Normal 63 3 2 8" xfId="44778" xr:uid="{00000000-0005-0000-0000-0000A4AD0000}"/>
    <cellStyle name="Normal 63 3 2 8 2" xfId="44780" xr:uid="{00000000-0005-0000-0000-0000A5AD0000}"/>
    <cellStyle name="Normal 63 3 2 9" xfId="20901" xr:uid="{00000000-0005-0000-0000-0000A6AD0000}"/>
    <cellStyle name="Normal 63 3 3" xfId="44782" xr:uid="{00000000-0005-0000-0000-0000A7AD0000}"/>
    <cellStyle name="Normal 63 3 3 2" xfId="44784" xr:uid="{00000000-0005-0000-0000-0000A8AD0000}"/>
    <cellStyle name="Normal 63 3 3 2 2" xfId="39134" xr:uid="{00000000-0005-0000-0000-0000A9AD0000}"/>
    <cellStyle name="Normal 63 3 3 2 2 2" xfId="21052" xr:uid="{00000000-0005-0000-0000-0000AAAD0000}"/>
    <cellStyle name="Normal 63 3 3 2 2 2 2" xfId="44786" xr:uid="{00000000-0005-0000-0000-0000ABAD0000}"/>
    <cellStyle name="Normal 63 3 3 2 2 2 2 2" xfId="44788" xr:uid="{00000000-0005-0000-0000-0000ACAD0000}"/>
    <cellStyle name="Normal 63 3 3 2 2 2 3" xfId="44790" xr:uid="{00000000-0005-0000-0000-0000ADAD0000}"/>
    <cellStyle name="Normal 63 3 3 2 2 3" xfId="21056" xr:uid="{00000000-0005-0000-0000-0000AEAD0000}"/>
    <cellStyle name="Normal 63 3 3 2 2 3 2" xfId="44792" xr:uid="{00000000-0005-0000-0000-0000AFAD0000}"/>
    <cellStyle name="Normal 63 3 3 2 2 4" xfId="44794" xr:uid="{00000000-0005-0000-0000-0000B0AD0000}"/>
    <cellStyle name="Normal 63 3 3 2 2 5" xfId="44796" xr:uid="{00000000-0005-0000-0000-0000B1AD0000}"/>
    <cellStyle name="Normal 63 3 3 2 3" xfId="39137" xr:uid="{00000000-0005-0000-0000-0000B2AD0000}"/>
    <cellStyle name="Normal 63 3 3 2 3 2" xfId="44798" xr:uid="{00000000-0005-0000-0000-0000B3AD0000}"/>
    <cellStyle name="Normal 63 3 3 2 3 2 2" xfId="44800" xr:uid="{00000000-0005-0000-0000-0000B4AD0000}"/>
    <cellStyle name="Normal 63 3 3 2 3 3" xfId="39697" xr:uid="{00000000-0005-0000-0000-0000B5AD0000}"/>
    <cellStyle name="Normal 63 3 3 2 4" xfId="44802" xr:uid="{00000000-0005-0000-0000-0000B6AD0000}"/>
    <cellStyle name="Normal 63 3 3 2 4 2" xfId="44804" xr:uid="{00000000-0005-0000-0000-0000B7AD0000}"/>
    <cellStyle name="Normal 63 3 3 2 4 2 2" xfId="38163" xr:uid="{00000000-0005-0000-0000-0000B8AD0000}"/>
    <cellStyle name="Normal 63 3 3 2 4 3" xfId="44806" xr:uid="{00000000-0005-0000-0000-0000B9AD0000}"/>
    <cellStyle name="Normal 63 3 3 2 5" xfId="44808" xr:uid="{00000000-0005-0000-0000-0000BAAD0000}"/>
    <cellStyle name="Normal 63 3 3 2 5 2" xfId="44810" xr:uid="{00000000-0005-0000-0000-0000BBAD0000}"/>
    <cellStyle name="Normal 63 3 3 2 6" xfId="21892" xr:uid="{00000000-0005-0000-0000-0000BCAD0000}"/>
    <cellStyle name="Normal 63 3 3 2 6 2" xfId="13914" xr:uid="{00000000-0005-0000-0000-0000BDAD0000}"/>
    <cellStyle name="Normal 63 3 3 2 7" xfId="21907" xr:uid="{00000000-0005-0000-0000-0000BEAD0000}"/>
    <cellStyle name="Normal 63 3 3 2 8" xfId="11270" xr:uid="{00000000-0005-0000-0000-0000BFAD0000}"/>
    <cellStyle name="Normal 63 3 3 3" xfId="44812" xr:uid="{00000000-0005-0000-0000-0000C0AD0000}"/>
    <cellStyle name="Normal 63 3 3 3 2" xfId="39142" xr:uid="{00000000-0005-0000-0000-0000C1AD0000}"/>
    <cellStyle name="Normal 63 3 3 3 2 2" xfId="44814" xr:uid="{00000000-0005-0000-0000-0000C2AD0000}"/>
    <cellStyle name="Normal 63 3 3 3 2 2 2" xfId="44816" xr:uid="{00000000-0005-0000-0000-0000C3AD0000}"/>
    <cellStyle name="Normal 63 3 3 3 2 3" xfId="44818" xr:uid="{00000000-0005-0000-0000-0000C4AD0000}"/>
    <cellStyle name="Normal 63 3 3 3 3" xfId="44820" xr:uid="{00000000-0005-0000-0000-0000C5AD0000}"/>
    <cellStyle name="Normal 63 3 3 3 3 2" xfId="44822" xr:uid="{00000000-0005-0000-0000-0000C6AD0000}"/>
    <cellStyle name="Normal 63 3 3 3 4" xfId="44824" xr:uid="{00000000-0005-0000-0000-0000C7AD0000}"/>
    <cellStyle name="Normal 63 3 3 3 5" xfId="44826" xr:uid="{00000000-0005-0000-0000-0000C8AD0000}"/>
    <cellStyle name="Normal 63 3 3 4" xfId="4797" xr:uid="{00000000-0005-0000-0000-0000C9AD0000}"/>
    <cellStyle name="Normal 63 3 3 4 2" xfId="39148" xr:uid="{00000000-0005-0000-0000-0000CAAD0000}"/>
    <cellStyle name="Normal 63 3 3 4 2 2" xfId="4806" xr:uid="{00000000-0005-0000-0000-0000CBAD0000}"/>
    <cellStyle name="Normal 63 3 3 4 3" xfId="44828" xr:uid="{00000000-0005-0000-0000-0000CCAD0000}"/>
    <cellStyle name="Normal 63 3 3 5" xfId="44830" xr:uid="{00000000-0005-0000-0000-0000CDAD0000}"/>
    <cellStyle name="Normal 63 3 3 5 2" xfId="44832" xr:uid="{00000000-0005-0000-0000-0000CEAD0000}"/>
    <cellStyle name="Normal 63 3 3 5 2 2" xfId="11788" xr:uid="{00000000-0005-0000-0000-0000CFAD0000}"/>
    <cellStyle name="Normal 63 3 3 5 3" xfId="44834" xr:uid="{00000000-0005-0000-0000-0000D0AD0000}"/>
    <cellStyle name="Normal 63 3 3 6" xfId="44836" xr:uid="{00000000-0005-0000-0000-0000D1AD0000}"/>
    <cellStyle name="Normal 63 3 3 6 2" xfId="44838" xr:uid="{00000000-0005-0000-0000-0000D2AD0000}"/>
    <cellStyle name="Normal 63 3 3 7" xfId="44840" xr:uid="{00000000-0005-0000-0000-0000D3AD0000}"/>
    <cellStyle name="Normal 63 3 3 7 2" xfId="44842" xr:uid="{00000000-0005-0000-0000-0000D4AD0000}"/>
    <cellStyle name="Normal 63 3 3 8" xfId="44844" xr:uid="{00000000-0005-0000-0000-0000D5AD0000}"/>
    <cellStyle name="Normal 63 3 3 9" xfId="11495" xr:uid="{00000000-0005-0000-0000-0000D6AD0000}"/>
    <cellStyle name="Normal 63 3 4" xfId="44846" xr:uid="{00000000-0005-0000-0000-0000D7AD0000}"/>
    <cellStyle name="Normal 63 3 4 2" xfId="39494" xr:uid="{00000000-0005-0000-0000-0000D8AD0000}"/>
    <cellStyle name="Normal 63 3 4 2 2" xfId="39497" xr:uid="{00000000-0005-0000-0000-0000D9AD0000}"/>
    <cellStyle name="Normal 63 3 4 2 2 2" xfId="44849" xr:uid="{00000000-0005-0000-0000-0000DAAD0000}"/>
    <cellStyle name="Normal 63 3 4 2 2 2 2" xfId="44851" xr:uid="{00000000-0005-0000-0000-0000DBAD0000}"/>
    <cellStyle name="Normal 63 3 4 2 2 2 2 2" xfId="44853" xr:uid="{00000000-0005-0000-0000-0000DCAD0000}"/>
    <cellStyle name="Normal 63 3 4 2 2 2 3" xfId="44855" xr:uid="{00000000-0005-0000-0000-0000DDAD0000}"/>
    <cellStyle name="Normal 63 3 4 2 2 3" xfId="44857" xr:uid="{00000000-0005-0000-0000-0000DEAD0000}"/>
    <cellStyle name="Normal 63 3 4 2 2 3 2" xfId="44859" xr:uid="{00000000-0005-0000-0000-0000DFAD0000}"/>
    <cellStyle name="Normal 63 3 4 2 2 4" xfId="44861" xr:uid="{00000000-0005-0000-0000-0000E0AD0000}"/>
    <cellStyle name="Normal 63 3 4 2 3" xfId="44863" xr:uid="{00000000-0005-0000-0000-0000E1AD0000}"/>
    <cellStyle name="Normal 63 3 4 2 3 2" xfId="44865" xr:uid="{00000000-0005-0000-0000-0000E2AD0000}"/>
    <cellStyle name="Normal 63 3 4 2 3 2 2" xfId="44867" xr:uid="{00000000-0005-0000-0000-0000E3AD0000}"/>
    <cellStyle name="Normal 63 3 4 2 3 3" xfId="44869" xr:uid="{00000000-0005-0000-0000-0000E4AD0000}"/>
    <cellStyle name="Normal 63 3 4 2 4" xfId="23172" xr:uid="{00000000-0005-0000-0000-0000E5AD0000}"/>
    <cellStyle name="Normal 63 3 4 2 4 2" xfId="23175" xr:uid="{00000000-0005-0000-0000-0000E6AD0000}"/>
    <cellStyle name="Normal 63 3 4 2 4 2 2" xfId="585" xr:uid="{00000000-0005-0000-0000-0000E7AD0000}"/>
    <cellStyle name="Normal 63 3 4 2 4 3" xfId="22969" xr:uid="{00000000-0005-0000-0000-0000E8AD0000}"/>
    <cellStyle name="Normal 63 3 4 2 5" xfId="23180" xr:uid="{00000000-0005-0000-0000-0000E9AD0000}"/>
    <cellStyle name="Normal 63 3 4 2 5 2" xfId="23185" xr:uid="{00000000-0005-0000-0000-0000EAAD0000}"/>
    <cellStyle name="Normal 63 3 4 2 6" xfId="21958" xr:uid="{00000000-0005-0000-0000-0000EBAD0000}"/>
    <cellStyle name="Normal 63 3 4 2 6 2" xfId="21964" xr:uid="{00000000-0005-0000-0000-0000ECAD0000}"/>
    <cellStyle name="Normal 63 3 4 2 7" xfId="21981" xr:uid="{00000000-0005-0000-0000-0000EDAD0000}"/>
    <cellStyle name="Normal 63 3 4 2 8" xfId="11810" xr:uid="{00000000-0005-0000-0000-0000EEAD0000}"/>
    <cellStyle name="Normal 63 3 4 3" xfId="39500" xr:uid="{00000000-0005-0000-0000-0000EFAD0000}"/>
    <cellStyle name="Normal 63 3 4 3 2" xfId="44871" xr:uid="{00000000-0005-0000-0000-0000F0AD0000}"/>
    <cellStyle name="Normal 63 3 4 3 2 2" xfId="44873" xr:uid="{00000000-0005-0000-0000-0000F1AD0000}"/>
    <cellStyle name="Normal 63 3 4 3 2 2 2" xfId="12444" xr:uid="{00000000-0005-0000-0000-0000F2AD0000}"/>
    <cellStyle name="Normal 63 3 4 3 2 3" xfId="44875" xr:uid="{00000000-0005-0000-0000-0000F3AD0000}"/>
    <cellStyle name="Normal 63 3 4 3 3" xfId="44877" xr:uid="{00000000-0005-0000-0000-0000F4AD0000}"/>
    <cellStyle name="Normal 63 3 4 3 3 2" xfId="44879" xr:uid="{00000000-0005-0000-0000-0000F5AD0000}"/>
    <cellStyle name="Normal 63 3 4 3 4" xfId="44881" xr:uid="{00000000-0005-0000-0000-0000F6AD0000}"/>
    <cellStyle name="Normal 63 3 4 4" xfId="7625" xr:uid="{00000000-0005-0000-0000-0000F7AD0000}"/>
    <cellStyle name="Normal 63 3 4 4 2" xfId="44883" xr:uid="{00000000-0005-0000-0000-0000F8AD0000}"/>
    <cellStyle name="Normal 63 3 4 4 2 2" xfId="17726" xr:uid="{00000000-0005-0000-0000-0000F9AD0000}"/>
    <cellStyle name="Normal 63 3 4 4 3" xfId="44885" xr:uid="{00000000-0005-0000-0000-0000FAAD0000}"/>
    <cellStyle name="Normal 63 3 4 5" xfId="44887" xr:uid="{00000000-0005-0000-0000-0000FBAD0000}"/>
    <cellStyle name="Normal 63 3 4 5 2" xfId="44889" xr:uid="{00000000-0005-0000-0000-0000FCAD0000}"/>
    <cellStyle name="Normal 63 3 4 5 2 2" xfId="17916" xr:uid="{00000000-0005-0000-0000-0000FDAD0000}"/>
    <cellStyle name="Normal 63 3 4 5 3" xfId="44891" xr:uid="{00000000-0005-0000-0000-0000FEAD0000}"/>
    <cellStyle name="Normal 63 3 4 6" xfId="44893" xr:uid="{00000000-0005-0000-0000-0000FFAD0000}"/>
    <cellStyle name="Normal 63 3 4 6 2" xfId="44895" xr:uid="{00000000-0005-0000-0000-000000AE0000}"/>
    <cellStyle name="Normal 63 3 4 7" xfId="44897" xr:uid="{00000000-0005-0000-0000-000001AE0000}"/>
    <cellStyle name="Normal 63 3 4 7 2" xfId="44899" xr:uid="{00000000-0005-0000-0000-000002AE0000}"/>
    <cellStyle name="Normal 63 3 4 8" xfId="44901" xr:uid="{00000000-0005-0000-0000-000003AE0000}"/>
    <cellStyle name="Normal 63 3 4 9" xfId="19627" xr:uid="{00000000-0005-0000-0000-000004AE0000}"/>
    <cellStyle name="Normal 63 3 5" xfId="8176" xr:uid="{00000000-0005-0000-0000-000005AE0000}"/>
    <cellStyle name="Normal 63 3 5 2" xfId="44903" xr:uid="{00000000-0005-0000-0000-000006AE0000}"/>
    <cellStyle name="Normal 63 3 5 2 2" xfId="44905" xr:uid="{00000000-0005-0000-0000-000007AE0000}"/>
    <cellStyle name="Normal 63 3 5 2 2 2" xfId="44907" xr:uid="{00000000-0005-0000-0000-000008AE0000}"/>
    <cellStyle name="Normal 63 3 5 2 2 2 2" xfId="24744" xr:uid="{00000000-0005-0000-0000-000009AE0000}"/>
    <cellStyle name="Normal 63 3 5 2 2 2 2 2" xfId="44909" xr:uid="{00000000-0005-0000-0000-00000AAE0000}"/>
    <cellStyle name="Normal 63 3 5 2 2 2 3" xfId="44912" xr:uid="{00000000-0005-0000-0000-00000BAE0000}"/>
    <cellStyle name="Normal 63 3 5 2 2 3" xfId="44914" xr:uid="{00000000-0005-0000-0000-00000CAE0000}"/>
    <cellStyle name="Normal 63 3 5 2 2 3 2" xfId="44916" xr:uid="{00000000-0005-0000-0000-00000DAE0000}"/>
    <cellStyle name="Normal 63 3 5 2 2 4" xfId="44919" xr:uid="{00000000-0005-0000-0000-00000EAE0000}"/>
    <cellStyle name="Normal 63 3 5 2 3" xfId="44921" xr:uid="{00000000-0005-0000-0000-00000FAE0000}"/>
    <cellStyle name="Normal 63 3 5 2 3 2" xfId="44923" xr:uid="{00000000-0005-0000-0000-000010AE0000}"/>
    <cellStyle name="Normal 63 3 5 2 3 2 2" xfId="44925" xr:uid="{00000000-0005-0000-0000-000011AE0000}"/>
    <cellStyle name="Normal 63 3 5 2 3 3" xfId="44927" xr:uid="{00000000-0005-0000-0000-000012AE0000}"/>
    <cellStyle name="Normal 63 3 5 2 4" xfId="11995" xr:uid="{00000000-0005-0000-0000-000013AE0000}"/>
    <cellStyle name="Normal 63 3 5 2 4 2" xfId="23700" xr:uid="{00000000-0005-0000-0000-000014AE0000}"/>
    <cellStyle name="Normal 63 3 5 2 4 2 2" xfId="370" xr:uid="{00000000-0005-0000-0000-000015AE0000}"/>
    <cellStyle name="Normal 63 3 5 2 4 3" xfId="23049" xr:uid="{00000000-0005-0000-0000-000016AE0000}"/>
    <cellStyle name="Normal 63 3 5 2 5" xfId="23713" xr:uid="{00000000-0005-0000-0000-000017AE0000}"/>
    <cellStyle name="Normal 63 3 5 2 5 2" xfId="23721" xr:uid="{00000000-0005-0000-0000-000018AE0000}"/>
    <cellStyle name="Normal 63 3 5 2 6" xfId="22020" xr:uid="{00000000-0005-0000-0000-000019AE0000}"/>
    <cellStyle name="Normal 63 3 5 2 6 2" xfId="22028" xr:uid="{00000000-0005-0000-0000-00001AAE0000}"/>
    <cellStyle name="Normal 63 3 5 2 7" xfId="18540" xr:uid="{00000000-0005-0000-0000-00001BAE0000}"/>
    <cellStyle name="Normal 63 3 5 2 8" xfId="2034" xr:uid="{00000000-0005-0000-0000-00001CAE0000}"/>
    <cellStyle name="Normal 63 3 5 3" xfId="44929" xr:uid="{00000000-0005-0000-0000-00001DAE0000}"/>
    <cellStyle name="Normal 63 3 5 3 2" xfId="44931" xr:uid="{00000000-0005-0000-0000-00001EAE0000}"/>
    <cellStyle name="Normal 63 3 5 3 2 2" xfId="44933" xr:uid="{00000000-0005-0000-0000-00001FAE0000}"/>
    <cellStyle name="Normal 63 3 5 3 2 2 2" xfId="44935" xr:uid="{00000000-0005-0000-0000-000020AE0000}"/>
    <cellStyle name="Normal 63 3 5 3 2 3" xfId="44937" xr:uid="{00000000-0005-0000-0000-000021AE0000}"/>
    <cellStyle name="Normal 63 3 5 3 3" xfId="44939" xr:uid="{00000000-0005-0000-0000-000022AE0000}"/>
    <cellStyle name="Normal 63 3 5 3 3 2" xfId="44942" xr:uid="{00000000-0005-0000-0000-000023AE0000}"/>
    <cellStyle name="Normal 63 3 5 3 4" xfId="10882" xr:uid="{00000000-0005-0000-0000-000024AE0000}"/>
    <cellStyle name="Normal 63 3 5 4" xfId="44944" xr:uid="{00000000-0005-0000-0000-000025AE0000}"/>
    <cellStyle name="Normal 63 3 5 4 2" xfId="44946" xr:uid="{00000000-0005-0000-0000-000026AE0000}"/>
    <cellStyle name="Normal 63 3 5 4 2 2" xfId="44948" xr:uid="{00000000-0005-0000-0000-000027AE0000}"/>
    <cellStyle name="Normal 63 3 5 4 3" xfId="44950" xr:uid="{00000000-0005-0000-0000-000028AE0000}"/>
    <cellStyle name="Normal 63 3 5 5" xfId="44952" xr:uid="{00000000-0005-0000-0000-000029AE0000}"/>
    <cellStyle name="Normal 63 3 5 5 2" xfId="44954" xr:uid="{00000000-0005-0000-0000-00002AAE0000}"/>
    <cellStyle name="Normal 63 3 5 5 2 2" xfId="44956" xr:uid="{00000000-0005-0000-0000-00002BAE0000}"/>
    <cellStyle name="Normal 63 3 5 5 3" xfId="44958" xr:uid="{00000000-0005-0000-0000-00002CAE0000}"/>
    <cellStyle name="Normal 63 3 5 6" xfId="44960" xr:uid="{00000000-0005-0000-0000-00002DAE0000}"/>
    <cellStyle name="Normal 63 3 5 6 2" xfId="44962" xr:uid="{00000000-0005-0000-0000-00002EAE0000}"/>
    <cellStyle name="Normal 63 3 5 7" xfId="19638" xr:uid="{00000000-0005-0000-0000-00002FAE0000}"/>
    <cellStyle name="Normal 63 3 5 7 2" xfId="17521" xr:uid="{00000000-0005-0000-0000-000030AE0000}"/>
    <cellStyle name="Normal 63 3 5 8" xfId="19644" xr:uid="{00000000-0005-0000-0000-000031AE0000}"/>
    <cellStyle name="Normal 63 3 5 9" xfId="44965" xr:uid="{00000000-0005-0000-0000-000032AE0000}"/>
    <cellStyle name="Normal 63 3 6" xfId="44968" xr:uid="{00000000-0005-0000-0000-000033AE0000}"/>
    <cellStyle name="Normal 63 3 6 2" xfId="44970" xr:uid="{00000000-0005-0000-0000-000034AE0000}"/>
    <cellStyle name="Normal 63 3 6 2 2" xfId="44972" xr:uid="{00000000-0005-0000-0000-000035AE0000}"/>
    <cellStyle name="Normal 63 3 6 2 2 2" xfId="15612" xr:uid="{00000000-0005-0000-0000-000036AE0000}"/>
    <cellStyle name="Normal 63 3 6 2 2 2 2" xfId="44964" xr:uid="{00000000-0005-0000-0000-000037AE0000}"/>
    <cellStyle name="Normal 63 3 6 2 2 3" xfId="20919" xr:uid="{00000000-0005-0000-0000-000038AE0000}"/>
    <cellStyle name="Normal 63 3 6 2 3" xfId="44974" xr:uid="{00000000-0005-0000-0000-000039AE0000}"/>
    <cellStyle name="Normal 63 3 6 2 3 2" xfId="44976" xr:uid="{00000000-0005-0000-0000-00003AAE0000}"/>
    <cellStyle name="Normal 63 3 6 2 4" xfId="3643" xr:uid="{00000000-0005-0000-0000-00003BAE0000}"/>
    <cellStyle name="Normal 63 3 6 3" xfId="44978" xr:uid="{00000000-0005-0000-0000-00003CAE0000}"/>
    <cellStyle name="Normal 63 3 6 3 2" xfId="44980" xr:uid="{00000000-0005-0000-0000-00003DAE0000}"/>
    <cellStyle name="Normal 63 3 6 3 2 2" xfId="20981" xr:uid="{00000000-0005-0000-0000-00003EAE0000}"/>
    <cellStyle name="Normal 63 3 6 3 3" xfId="44982" xr:uid="{00000000-0005-0000-0000-00003FAE0000}"/>
    <cellStyle name="Normal 63 3 6 4" xfId="44984" xr:uid="{00000000-0005-0000-0000-000040AE0000}"/>
    <cellStyle name="Normal 63 3 6 4 2" xfId="44986" xr:uid="{00000000-0005-0000-0000-000041AE0000}"/>
    <cellStyle name="Normal 63 3 6 4 2 2" xfId="14831" xr:uid="{00000000-0005-0000-0000-000042AE0000}"/>
    <cellStyle name="Normal 63 3 6 4 3" xfId="44988" xr:uid="{00000000-0005-0000-0000-000043AE0000}"/>
    <cellStyle name="Normal 63 3 6 5" xfId="44990" xr:uid="{00000000-0005-0000-0000-000044AE0000}"/>
    <cellStyle name="Normal 63 3 6 5 2" xfId="44992" xr:uid="{00000000-0005-0000-0000-000045AE0000}"/>
    <cellStyle name="Normal 63 3 6 6" xfId="44994" xr:uid="{00000000-0005-0000-0000-000046AE0000}"/>
    <cellStyle name="Normal 63 3 6 6 2" xfId="44996" xr:uid="{00000000-0005-0000-0000-000047AE0000}"/>
    <cellStyle name="Normal 63 3 6 7" xfId="19659" xr:uid="{00000000-0005-0000-0000-000048AE0000}"/>
    <cellStyle name="Normal 63 3 6 8" xfId="44998" xr:uid="{00000000-0005-0000-0000-000049AE0000}"/>
    <cellStyle name="Normal 63 3 7" xfId="975" xr:uid="{00000000-0005-0000-0000-00004AAE0000}"/>
    <cellStyle name="Normal 63 3 7 2" xfId="10807" xr:uid="{00000000-0005-0000-0000-00004BAE0000}"/>
    <cellStyle name="Normal 63 3 7 2 2" xfId="2210" xr:uid="{00000000-0005-0000-0000-00004CAE0000}"/>
    <cellStyle name="Normal 63 3 7 2 2 2" xfId="45000" xr:uid="{00000000-0005-0000-0000-00004DAE0000}"/>
    <cellStyle name="Normal 63 3 7 2 3" xfId="45002" xr:uid="{00000000-0005-0000-0000-00004EAE0000}"/>
    <cellStyle name="Normal 63 3 7 3" xfId="10816" xr:uid="{00000000-0005-0000-0000-00004FAE0000}"/>
    <cellStyle name="Normal 63 3 7 3 2" xfId="2795" xr:uid="{00000000-0005-0000-0000-000050AE0000}"/>
    <cellStyle name="Normal 63 3 7 4" xfId="10826" xr:uid="{00000000-0005-0000-0000-000051AE0000}"/>
    <cellStyle name="Normal 63 3 8" xfId="45004" xr:uid="{00000000-0005-0000-0000-000052AE0000}"/>
    <cellStyle name="Normal 63 3 8 2" xfId="45006" xr:uid="{00000000-0005-0000-0000-000053AE0000}"/>
    <cellStyle name="Normal 63 3 8 2 2" xfId="38237" xr:uid="{00000000-0005-0000-0000-000054AE0000}"/>
    <cellStyle name="Normal 63 3 8 3" xfId="45008" xr:uid="{00000000-0005-0000-0000-000055AE0000}"/>
    <cellStyle name="Normal 63 3 9" xfId="45010" xr:uid="{00000000-0005-0000-0000-000056AE0000}"/>
    <cellStyle name="Normal 63 3 9 2" xfId="45013" xr:uid="{00000000-0005-0000-0000-000057AE0000}"/>
    <cellStyle name="Normal 63 3 9 2 2" xfId="45015" xr:uid="{00000000-0005-0000-0000-000058AE0000}"/>
    <cellStyle name="Normal 63 3 9 3" xfId="45017" xr:uid="{00000000-0005-0000-0000-000059AE0000}"/>
    <cellStyle name="Normal 63 4" xfId="45019" xr:uid="{00000000-0005-0000-0000-00005AAE0000}"/>
    <cellStyle name="Normal 63 4 10" xfId="24258" xr:uid="{00000000-0005-0000-0000-00005BAE0000}"/>
    <cellStyle name="Normal 63 4 2" xfId="45021" xr:uid="{00000000-0005-0000-0000-00005CAE0000}"/>
    <cellStyle name="Normal 63 4 2 2" xfId="45023" xr:uid="{00000000-0005-0000-0000-00005DAE0000}"/>
    <cellStyle name="Normal 63 4 2 2 2" xfId="45025" xr:uid="{00000000-0005-0000-0000-00005EAE0000}"/>
    <cellStyle name="Normal 63 4 2 2 2 2" xfId="940" xr:uid="{00000000-0005-0000-0000-00005FAE0000}"/>
    <cellStyle name="Normal 63 4 2 2 2 2 2" xfId="45027" xr:uid="{00000000-0005-0000-0000-000060AE0000}"/>
    <cellStyle name="Normal 63 4 2 2 2 2 2 2" xfId="25112" xr:uid="{00000000-0005-0000-0000-000061AE0000}"/>
    <cellStyle name="Normal 63 4 2 2 2 2 3" xfId="45029" xr:uid="{00000000-0005-0000-0000-000062AE0000}"/>
    <cellStyle name="Normal 63 4 2 2 2 3" xfId="45031" xr:uid="{00000000-0005-0000-0000-000063AE0000}"/>
    <cellStyle name="Normal 63 4 2 2 2 3 2" xfId="45033" xr:uid="{00000000-0005-0000-0000-000064AE0000}"/>
    <cellStyle name="Normal 63 4 2 2 2 4" xfId="45035" xr:uid="{00000000-0005-0000-0000-000065AE0000}"/>
    <cellStyle name="Normal 63 4 2 2 3" xfId="45037" xr:uid="{00000000-0005-0000-0000-000066AE0000}"/>
    <cellStyle name="Normal 63 4 2 2 3 2" xfId="14988" xr:uid="{00000000-0005-0000-0000-000067AE0000}"/>
    <cellStyle name="Normal 63 4 2 2 3 2 2" xfId="45039" xr:uid="{00000000-0005-0000-0000-000068AE0000}"/>
    <cellStyle name="Normal 63 4 2 2 3 3" xfId="9342" xr:uid="{00000000-0005-0000-0000-000069AE0000}"/>
    <cellStyle name="Normal 63 4 2 2 4" xfId="45041" xr:uid="{00000000-0005-0000-0000-00006AAE0000}"/>
    <cellStyle name="Normal 63 4 2 2 4 2" xfId="45043" xr:uid="{00000000-0005-0000-0000-00006BAE0000}"/>
    <cellStyle name="Normal 63 4 2 2 4 2 2" xfId="45045" xr:uid="{00000000-0005-0000-0000-00006CAE0000}"/>
    <cellStyle name="Normal 63 4 2 2 4 3" xfId="45047" xr:uid="{00000000-0005-0000-0000-00006DAE0000}"/>
    <cellStyle name="Normal 63 4 2 2 5" xfId="45049" xr:uid="{00000000-0005-0000-0000-00006EAE0000}"/>
    <cellStyle name="Normal 63 4 2 2 5 2" xfId="45051" xr:uid="{00000000-0005-0000-0000-00006FAE0000}"/>
    <cellStyle name="Normal 63 4 2 2 6" xfId="22097" xr:uid="{00000000-0005-0000-0000-000070AE0000}"/>
    <cellStyle name="Normal 63 4 2 2 6 2" xfId="22101" xr:uid="{00000000-0005-0000-0000-000071AE0000}"/>
    <cellStyle name="Normal 63 4 2 2 7" xfId="22131" xr:uid="{00000000-0005-0000-0000-000072AE0000}"/>
    <cellStyle name="Normal 63 4 2 2 8" xfId="22145" xr:uid="{00000000-0005-0000-0000-000073AE0000}"/>
    <cellStyle name="Normal 63 4 2 3" xfId="45053" xr:uid="{00000000-0005-0000-0000-000074AE0000}"/>
    <cellStyle name="Normal 63 4 2 3 2" xfId="45055" xr:uid="{00000000-0005-0000-0000-000075AE0000}"/>
    <cellStyle name="Normal 63 4 2 3 2 2" xfId="42292" xr:uid="{00000000-0005-0000-0000-000076AE0000}"/>
    <cellStyle name="Normal 63 4 2 3 2 2 2" xfId="45057" xr:uid="{00000000-0005-0000-0000-000077AE0000}"/>
    <cellStyle name="Normal 63 4 2 3 2 3" xfId="45059" xr:uid="{00000000-0005-0000-0000-000078AE0000}"/>
    <cellStyle name="Normal 63 4 2 3 3" xfId="45061" xr:uid="{00000000-0005-0000-0000-000079AE0000}"/>
    <cellStyle name="Normal 63 4 2 3 3 2" xfId="45063" xr:uid="{00000000-0005-0000-0000-00007AAE0000}"/>
    <cellStyle name="Normal 63 4 2 3 4" xfId="45065" xr:uid="{00000000-0005-0000-0000-00007BAE0000}"/>
    <cellStyle name="Normal 63 4 2 4" xfId="7667" xr:uid="{00000000-0005-0000-0000-00007CAE0000}"/>
    <cellStyle name="Normal 63 4 2 4 2" xfId="45067" xr:uid="{00000000-0005-0000-0000-00007DAE0000}"/>
    <cellStyle name="Normal 63 4 2 4 2 2" xfId="45069" xr:uid="{00000000-0005-0000-0000-00007EAE0000}"/>
    <cellStyle name="Normal 63 4 2 4 3" xfId="45071" xr:uid="{00000000-0005-0000-0000-00007FAE0000}"/>
    <cellStyle name="Normal 63 4 2 5" xfId="45073" xr:uid="{00000000-0005-0000-0000-000080AE0000}"/>
    <cellStyle name="Normal 63 4 2 5 2" xfId="45075" xr:uid="{00000000-0005-0000-0000-000081AE0000}"/>
    <cellStyle name="Normal 63 4 2 5 2 2" xfId="45077" xr:uid="{00000000-0005-0000-0000-000082AE0000}"/>
    <cellStyle name="Normal 63 4 2 5 3" xfId="45079" xr:uid="{00000000-0005-0000-0000-000083AE0000}"/>
    <cellStyle name="Normal 63 4 2 6" xfId="45081" xr:uid="{00000000-0005-0000-0000-000084AE0000}"/>
    <cellStyle name="Normal 63 4 2 6 2" xfId="45083" xr:uid="{00000000-0005-0000-0000-000085AE0000}"/>
    <cellStyle name="Normal 63 4 2 7" xfId="45085" xr:uid="{00000000-0005-0000-0000-000086AE0000}"/>
    <cellStyle name="Normal 63 4 2 7 2" xfId="45087" xr:uid="{00000000-0005-0000-0000-000087AE0000}"/>
    <cellStyle name="Normal 63 4 2 8" xfId="45089" xr:uid="{00000000-0005-0000-0000-000088AE0000}"/>
    <cellStyle name="Normal 63 4 2 9" xfId="45091" xr:uid="{00000000-0005-0000-0000-000089AE0000}"/>
    <cellStyle name="Normal 63 4 3" xfId="45093" xr:uid="{00000000-0005-0000-0000-00008AAE0000}"/>
    <cellStyle name="Normal 63 4 3 2" xfId="45095" xr:uid="{00000000-0005-0000-0000-00008BAE0000}"/>
    <cellStyle name="Normal 63 4 3 2 2" xfId="45097" xr:uid="{00000000-0005-0000-0000-00008CAE0000}"/>
    <cellStyle name="Normal 63 4 3 2 2 2" xfId="45099" xr:uid="{00000000-0005-0000-0000-00008DAE0000}"/>
    <cellStyle name="Normal 63 4 3 2 2 2 2" xfId="45101" xr:uid="{00000000-0005-0000-0000-00008EAE0000}"/>
    <cellStyle name="Normal 63 4 3 2 2 3" xfId="45103" xr:uid="{00000000-0005-0000-0000-00008FAE0000}"/>
    <cellStyle name="Normal 63 4 3 2 3" xfId="25796" xr:uid="{00000000-0005-0000-0000-000090AE0000}"/>
    <cellStyle name="Normal 63 4 3 2 3 2" xfId="9160" xr:uid="{00000000-0005-0000-0000-000091AE0000}"/>
    <cellStyle name="Normal 63 4 3 2 4" xfId="45105" xr:uid="{00000000-0005-0000-0000-000092AE0000}"/>
    <cellStyle name="Normal 63 4 3 3" xfId="45107" xr:uid="{00000000-0005-0000-0000-000093AE0000}"/>
    <cellStyle name="Normal 63 4 3 3 2" xfId="45109" xr:uid="{00000000-0005-0000-0000-000094AE0000}"/>
    <cellStyle name="Normal 63 4 3 3 2 2" xfId="45111" xr:uid="{00000000-0005-0000-0000-000095AE0000}"/>
    <cellStyle name="Normal 63 4 3 3 3" xfId="45113" xr:uid="{00000000-0005-0000-0000-000096AE0000}"/>
    <cellStyle name="Normal 63 4 3 4" xfId="7670" xr:uid="{00000000-0005-0000-0000-000097AE0000}"/>
    <cellStyle name="Normal 63 4 3 4 2" xfId="43033" xr:uid="{00000000-0005-0000-0000-000098AE0000}"/>
    <cellStyle name="Normal 63 4 3 4 2 2" xfId="43037" xr:uid="{00000000-0005-0000-0000-000099AE0000}"/>
    <cellStyle name="Normal 63 4 3 4 3" xfId="43041" xr:uid="{00000000-0005-0000-0000-00009AAE0000}"/>
    <cellStyle name="Normal 63 4 3 5" xfId="43045" xr:uid="{00000000-0005-0000-0000-00009BAE0000}"/>
    <cellStyle name="Normal 63 4 3 5 2" xfId="43049" xr:uid="{00000000-0005-0000-0000-00009CAE0000}"/>
    <cellStyle name="Normal 63 4 3 6" xfId="43053" xr:uid="{00000000-0005-0000-0000-00009DAE0000}"/>
    <cellStyle name="Normal 63 4 3 6 2" xfId="45115" xr:uid="{00000000-0005-0000-0000-00009EAE0000}"/>
    <cellStyle name="Normal 63 4 3 7" xfId="45117" xr:uid="{00000000-0005-0000-0000-00009FAE0000}"/>
    <cellStyle name="Normal 63 4 3 8" xfId="45119" xr:uid="{00000000-0005-0000-0000-0000A0AE0000}"/>
    <cellStyle name="Normal 63 4 4" xfId="45121" xr:uid="{00000000-0005-0000-0000-0000A1AE0000}"/>
    <cellStyle name="Normal 63 4 4 2" xfId="12985" xr:uid="{00000000-0005-0000-0000-0000A2AE0000}"/>
    <cellStyle name="Normal 63 4 4 2 2" xfId="45123" xr:uid="{00000000-0005-0000-0000-0000A3AE0000}"/>
    <cellStyle name="Normal 63 4 4 2 2 2" xfId="45125" xr:uid="{00000000-0005-0000-0000-0000A4AE0000}"/>
    <cellStyle name="Normal 63 4 4 2 3" xfId="45127" xr:uid="{00000000-0005-0000-0000-0000A5AE0000}"/>
    <cellStyle name="Normal 63 4 4 3" xfId="45129" xr:uid="{00000000-0005-0000-0000-0000A6AE0000}"/>
    <cellStyle name="Normal 63 4 4 3 2" xfId="45131" xr:uid="{00000000-0005-0000-0000-0000A7AE0000}"/>
    <cellStyle name="Normal 63 4 4 4" xfId="43057" xr:uid="{00000000-0005-0000-0000-0000A8AE0000}"/>
    <cellStyle name="Normal 63 4 5" xfId="8846" xr:uid="{00000000-0005-0000-0000-0000A9AE0000}"/>
    <cellStyle name="Normal 63 4 5 2" xfId="45133" xr:uid="{00000000-0005-0000-0000-0000AAAE0000}"/>
    <cellStyle name="Normal 63 4 5 2 2" xfId="45135" xr:uid="{00000000-0005-0000-0000-0000ABAE0000}"/>
    <cellStyle name="Normal 63 4 5 3" xfId="45137" xr:uid="{00000000-0005-0000-0000-0000ACAE0000}"/>
    <cellStyle name="Normal 63 4 6" xfId="45139" xr:uid="{00000000-0005-0000-0000-0000ADAE0000}"/>
    <cellStyle name="Normal 63 4 6 2" xfId="45141" xr:uid="{00000000-0005-0000-0000-0000AEAE0000}"/>
    <cellStyle name="Normal 63 4 6 2 2" xfId="45143" xr:uid="{00000000-0005-0000-0000-0000AFAE0000}"/>
    <cellStyle name="Normal 63 4 6 3" xfId="45145" xr:uid="{00000000-0005-0000-0000-0000B0AE0000}"/>
    <cellStyle name="Normal 63 4 7" xfId="1035" xr:uid="{00000000-0005-0000-0000-0000B1AE0000}"/>
    <cellStyle name="Normal 63 4 7 2" xfId="45147" xr:uid="{00000000-0005-0000-0000-0000B2AE0000}"/>
    <cellStyle name="Normal 63 4 8" xfId="45149" xr:uid="{00000000-0005-0000-0000-0000B3AE0000}"/>
    <cellStyle name="Normal 63 4 8 2" xfId="45151" xr:uid="{00000000-0005-0000-0000-0000B4AE0000}"/>
    <cellStyle name="Normal 63 4 9" xfId="45153" xr:uid="{00000000-0005-0000-0000-0000B5AE0000}"/>
    <cellStyle name="Normal 63 5" xfId="45155" xr:uid="{00000000-0005-0000-0000-0000B6AE0000}"/>
    <cellStyle name="Normal 63 5 2" xfId="45157" xr:uid="{00000000-0005-0000-0000-0000B7AE0000}"/>
    <cellStyle name="Normal 63 5 2 2" xfId="45159" xr:uid="{00000000-0005-0000-0000-0000B8AE0000}"/>
    <cellStyle name="Normal 63 5 2 2 2" xfId="45161" xr:uid="{00000000-0005-0000-0000-0000B9AE0000}"/>
    <cellStyle name="Normal 63 5 2 2 2 2" xfId="45163" xr:uid="{00000000-0005-0000-0000-0000BAAE0000}"/>
    <cellStyle name="Normal 63 5 2 2 2 2 2" xfId="45166" xr:uid="{00000000-0005-0000-0000-0000BBAE0000}"/>
    <cellStyle name="Normal 63 5 2 2 2 3" xfId="45168" xr:uid="{00000000-0005-0000-0000-0000BCAE0000}"/>
    <cellStyle name="Normal 63 5 2 2 3" xfId="12821" xr:uid="{00000000-0005-0000-0000-0000BDAE0000}"/>
    <cellStyle name="Normal 63 5 2 2 3 2" xfId="15560" xr:uid="{00000000-0005-0000-0000-0000BEAE0000}"/>
    <cellStyle name="Normal 63 5 2 2 4" xfId="6580" xr:uid="{00000000-0005-0000-0000-0000BFAE0000}"/>
    <cellStyle name="Normal 63 5 2 2 5" xfId="6589" xr:uid="{00000000-0005-0000-0000-0000C0AE0000}"/>
    <cellStyle name="Normal 63 5 2 3" xfId="45170" xr:uid="{00000000-0005-0000-0000-0000C1AE0000}"/>
    <cellStyle name="Normal 63 5 2 3 2" xfId="45172" xr:uid="{00000000-0005-0000-0000-0000C2AE0000}"/>
    <cellStyle name="Normal 63 5 2 3 2 2" xfId="42697" xr:uid="{00000000-0005-0000-0000-0000C3AE0000}"/>
    <cellStyle name="Normal 63 5 2 3 3" xfId="45174" xr:uid="{00000000-0005-0000-0000-0000C4AE0000}"/>
    <cellStyle name="Normal 63 5 2 4" xfId="7691" xr:uid="{00000000-0005-0000-0000-0000C5AE0000}"/>
    <cellStyle name="Normal 63 5 2 4 2" xfId="45176" xr:uid="{00000000-0005-0000-0000-0000C6AE0000}"/>
    <cellStyle name="Normal 63 5 2 4 2 2" xfId="45178" xr:uid="{00000000-0005-0000-0000-0000C7AE0000}"/>
    <cellStyle name="Normal 63 5 2 4 3" xfId="45180" xr:uid="{00000000-0005-0000-0000-0000C8AE0000}"/>
    <cellStyle name="Normal 63 5 2 5" xfId="29385" xr:uid="{00000000-0005-0000-0000-0000C9AE0000}"/>
    <cellStyle name="Normal 63 5 2 5 2" xfId="16043" xr:uid="{00000000-0005-0000-0000-0000CAAE0000}"/>
    <cellStyle name="Normal 63 5 2 6" xfId="45182" xr:uid="{00000000-0005-0000-0000-0000CBAE0000}"/>
    <cellStyle name="Normal 63 5 2 6 2" xfId="45184" xr:uid="{00000000-0005-0000-0000-0000CCAE0000}"/>
    <cellStyle name="Normal 63 5 2 7" xfId="45186" xr:uid="{00000000-0005-0000-0000-0000CDAE0000}"/>
    <cellStyle name="Normal 63 5 2 8" xfId="45188" xr:uid="{00000000-0005-0000-0000-0000CEAE0000}"/>
    <cellStyle name="Normal 63 5 3" xfId="45190" xr:uid="{00000000-0005-0000-0000-0000CFAE0000}"/>
    <cellStyle name="Normal 63 5 3 2" xfId="45192" xr:uid="{00000000-0005-0000-0000-0000D0AE0000}"/>
    <cellStyle name="Normal 63 5 3 2 2" xfId="45194" xr:uid="{00000000-0005-0000-0000-0000D1AE0000}"/>
    <cellStyle name="Normal 63 5 3 2 2 2" xfId="45196" xr:uid="{00000000-0005-0000-0000-0000D2AE0000}"/>
    <cellStyle name="Normal 63 5 3 2 3" xfId="12866" xr:uid="{00000000-0005-0000-0000-0000D3AE0000}"/>
    <cellStyle name="Normal 63 5 3 3" xfId="45198" xr:uid="{00000000-0005-0000-0000-0000D4AE0000}"/>
    <cellStyle name="Normal 63 5 3 3 2" xfId="45200" xr:uid="{00000000-0005-0000-0000-0000D5AE0000}"/>
    <cellStyle name="Normal 63 5 3 4" xfId="43086" xr:uid="{00000000-0005-0000-0000-0000D6AE0000}"/>
    <cellStyle name="Normal 63 5 3 5" xfId="43092" xr:uid="{00000000-0005-0000-0000-0000D7AE0000}"/>
    <cellStyle name="Normal 63 5 4" xfId="45202" xr:uid="{00000000-0005-0000-0000-0000D8AE0000}"/>
    <cellStyle name="Normal 63 5 4 2" xfId="45204" xr:uid="{00000000-0005-0000-0000-0000D9AE0000}"/>
    <cellStyle name="Normal 63 5 4 2 2" xfId="28361" xr:uid="{00000000-0005-0000-0000-0000DAAE0000}"/>
    <cellStyle name="Normal 63 5 4 3" xfId="45206" xr:uid="{00000000-0005-0000-0000-0000DBAE0000}"/>
    <cellStyle name="Normal 63 5 5" xfId="13299" xr:uid="{00000000-0005-0000-0000-0000DCAE0000}"/>
    <cellStyle name="Normal 63 5 5 2" xfId="45208" xr:uid="{00000000-0005-0000-0000-0000DDAE0000}"/>
    <cellStyle name="Normal 63 5 5 2 2" xfId="20416" xr:uid="{00000000-0005-0000-0000-0000DEAE0000}"/>
    <cellStyle name="Normal 63 5 5 3" xfId="45210" xr:uid="{00000000-0005-0000-0000-0000DFAE0000}"/>
    <cellStyle name="Normal 63 5 6" xfId="45212" xr:uid="{00000000-0005-0000-0000-0000E0AE0000}"/>
    <cellStyle name="Normal 63 5 6 2" xfId="45214" xr:uid="{00000000-0005-0000-0000-0000E1AE0000}"/>
    <cellStyle name="Normal 63 5 7" xfId="45216" xr:uid="{00000000-0005-0000-0000-0000E2AE0000}"/>
    <cellStyle name="Normal 63 5 7 2" xfId="45218" xr:uid="{00000000-0005-0000-0000-0000E3AE0000}"/>
    <cellStyle name="Normal 63 5 8" xfId="45220" xr:uid="{00000000-0005-0000-0000-0000E4AE0000}"/>
    <cellStyle name="Normal 63 5 9" xfId="18775" xr:uid="{00000000-0005-0000-0000-0000E5AE0000}"/>
    <cellStyle name="Normal 63 6" xfId="45222" xr:uid="{00000000-0005-0000-0000-0000E6AE0000}"/>
    <cellStyle name="Normal 63 6 2" xfId="45224" xr:uid="{00000000-0005-0000-0000-0000E7AE0000}"/>
    <cellStyle name="Normal 63 6 2 2" xfId="45226" xr:uid="{00000000-0005-0000-0000-0000E8AE0000}"/>
    <cellStyle name="Normal 63 6 2 2 2" xfId="45228" xr:uid="{00000000-0005-0000-0000-0000E9AE0000}"/>
    <cellStyle name="Normal 63 6 2 2 2 2" xfId="45230" xr:uid="{00000000-0005-0000-0000-0000EAAE0000}"/>
    <cellStyle name="Normal 63 6 2 2 2 2 2" xfId="45232" xr:uid="{00000000-0005-0000-0000-0000EBAE0000}"/>
    <cellStyle name="Normal 63 6 2 2 2 3" xfId="45234" xr:uid="{00000000-0005-0000-0000-0000ECAE0000}"/>
    <cellStyle name="Normal 63 6 2 2 3" xfId="45236" xr:uid="{00000000-0005-0000-0000-0000EDAE0000}"/>
    <cellStyle name="Normal 63 6 2 2 3 2" xfId="45238" xr:uid="{00000000-0005-0000-0000-0000EEAE0000}"/>
    <cellStyle name="Normal 63 6 2 2 4" xfId="6716" xr:uid="{00000000-0005-0000-0000-0000EFAE0000}"/>
    <cellStyle name="Normal 63 6 2 3" xfId="45240" xr:uid="{00000000-0005-0000-0000-0000F0AE0000}"/>
    <cellStyle name="Normal 63 6 2 3 2" xfId="45242" xr:uid="{00000000-0005-0000-0000-0000F1AE0000}"/>
    <cellStyle name="Normal 63 6 2 3 2 2" xfId="45244" xr:uid="{00000000-0005-0000-0000-0000F2AE0000}"/>
    <cellStyle name="Normal 63 6 2 3 3" xfId="45246" xr:uid="{00000000-0005-0000-0000-0000F3AE0000}"/>
    <cellStyle name="Normal 63 6 2 4" xfId="24091" xr:uid="{00000000-0005-0000-0000-0000F4AE0000}"/>
    <cellStyle name="Normal 63 6 2 4 2" xfId="45248" xr:uid="{00000000-0005-0000-0000-0000F5AE0000}"/>
    <cellStyle name="Normal 63 6 2 4 2 2" xfId="45250" xr:uid="{00000000-0005-0000-0000-0000F6AE0000}"/>
    <cellStyle name="Normal 63 6 2 4 3" xfId="45252" xr:uid="{00000000-0005-0000-0000-0000F7AE0000}"/>
    <cellStyle name="Normal 63 6 2 5" xfId="45254" xr:uid="{00000000-0005-0000-0000-0000F8AE0000}"/>
    <cellStyle name="Normal 63 6 2 5 2" xfId="45256" xr:uid="{00000000-0005-0000-0000-0000F9AE0000}"/>
    <cellStyle name="Normal 63 6 2 6" xfId="45258" xr:uid="{00000000-0005-0000-0000-0000FAAE0000}"/>
    <cellStyle name="Normal 63 6 2 6 2" xfId="45260" xr:uid="{00000000-0005-0000-0000-0000FBAE0000}"/>
    <cellStyle name="Normal 63 6 2 7" xfId="45262" xr:uid="{00000000-0005-0000-0000-0000FCAE0000}"/>
    <cellStyle name="Normal 63 6 2 8" xfId="45264" xr:uid="{00000000-0005-0000-0000-0000FDAE0000}"/>
    <cellStyle name="Normal 63 6 3" xfId="45266" xr:uid="{00000000-0005-0000-0000-0000FEAE0000}"/>
    <cellStyle name="Normal 63 6 3 2" xfId="19459" xr:uid="{00000000-0005-0000-0000-0000FFAE0000}"/>
    <cellStyle name="Normal 63 6 3 2 2" xfId="45268" xr:uid="{00000000-0005-0000-0000-000000AF0000}"/>
    <cellStyle name="Normal 63 6 3 2 2 2" xfId="45270" xr:uid="{00000000-0005-0000-0000-000001AF0000}"/>
    <cellStyle name="Normal 63 6 3 2 3" xfId="45272" xr:uid="{00000000-0005-0000-0000-000002AF0000}"/>
    <cellStyle name="Normal 63 6 3 3" xfId="45274" xr:uid="{00000000-0005-0000-0000-000003AF0000}"/>
    <cellStyle name="Normal 63 6 3 3 2" xfId="45276" xr:uid="{00000000-0005-0000-0000-000004AF0000}"/>
    <cellStyle name="Normal 63 6 3 4" xfId="43100" xr:uid="{00000000-0005-0000-0000-000005AF0000}"/>
    <cellStyle name="Normal 63 6 4" xfId="45278" xr:uid="{00000000-0005-0000-0000-000006AF0000}"/>
    <cellStyle name="Normal 63 6 4 2" xfId="45280" xr:uid="{00000000-0005-0000-0000-000007AF0000}"/>
    <cellStyle name="Normal 63 6 4 2 2" xfId="45282" xr:uid="{00000000-0005-0000-0000-000008AF0000}"/>
    <cellStyle name="Normal 63 6 4 3" xfId="45284" xr:uid="{00000000-0005-0000-0000-000009AF0000}"/>
    <cellStyle name="Normal 63 6 5" xfId="45286" xr:uid="{00000000-0005-0000-0000-00000AAF0000}"/>
    <cellStyle name="Normal 63 6 5 2" xfId="45288" xr:uid="{00000000-0005-0000-0000-00000BAF0000}"/>
    <cellStyle name="Normal 63 6 5 2 2" xfId="23367" xr:uid="{00000000-0005-0000-0000-00000CAF0000}"/>
    <cellStyle name="Normal 63 6 5 3" xfId="45290" xr:uid="{00000000-0005-0000-0000-00000DAF0000}"/>
    <cellStyle name="Normal 63 6 6" xfId="11191" xr:uid="{00000000-0005-0000-0000-00000EAF0000}"/>
    <cellStyle name="Normal 63 6 6 2" xfId="45292" xr:uid="{00000000-0005-0000-0000-00000FAF0000}"/>
    <cellStyle name="Normal 63 6 7" xfId="45294" xr:uid="{00000000-0005-0000-0000-000010AF0000}"/>
    <cellStyle name="Normal 63 6 7 2" xfId="45296" xr:uid="{00000000-0005-0000-0000-000011AF0000}"/>
    <cellStyle name="Normal 63 6 8" xfId="45298" xr:uid="{00000000-0005-0000-0000-000012AF0000}"/>
    <cellStyle name="Normal 63 6 9" xfId="45300" xr:uid="{00000000-0005-0000-0000-000013AF0000}"/>
    <cellStyle name="Normal 63 7" xfId="15505" xr:uid="{00000000-0005-0000-0000-000014AF0000}"/>
    <cellStyle name="Normal 63 7 2" xfId="45302" xr:uid="{00000000-0005-0000-0000-000015AF0000}"/>
    <cellStyle name="Normal 63 7 2 2" xfId="45304" xr:uid="{00000000-0005-0000-0000-000016AF0000}"/>
    <cellStyle name="Normal 63 7 2 2 2" xfId="45306" xr:uid="{00000000-0005-0000-0000-000017AF0000}"/>
    <cellStyle name="Normal 63 7 2 2 2 2" xfId="45308" xr:uid="{00000000-0005-0000-0000-000018AF0000}"/>
    <cellStyle name="Normal 63 7 2 2 2 2 2" xfId="45310" xr:uid="{00000000-0005-0000-0000-000019AF0000}"/>
    <cellStyle name="Normal 63 7 2 2 2 3" xfId="45312" xr:uid="{00000000-0005-0000-0000-00001AAF0000}"/>
    <cellStyle name="Normal 63 7 2 2 3" xfId="45314" xr:uid="{00000000-0005-0000-0000-00001BAF0000}"/>
    <cellStyle name="Normal 63 7 2 2 3 2" xfId="39168" xr:uid="{00000000-0005-0000-0000-00001CAF0000}"/>
    <cellStyle name="Normal 63 7 2 2 4" xfId="25373" xr:uid="{00000000-0005-0000-0000-00001DAF0000}"/>
    <cellStyle name="Normal 63 7 2 3" xfId="45316" xr:uid="{00000000-0005-0000-0000-00001EAF0000}"/>
    <cellStyle name="Normal 63 7 2 3 2" xfId="45318" xr:uid="{00000000-0005-0000-0000-00001FAF0000}"/>
    <cellStyle name="Normal 63 7 2 3 2 2" xfId="45320" xr:uid="{00000000-0005-0000-0000-000020AF0000}"/>
    <cellStyle name="Normal 63 7 2 3 3" xfId="45322" xr:uid="{00000000-0005-0000-0000-000021AF0000}"/>
    <cellStyle name="Normal 63 7 2 4" xfId="45324" xr:uid="{00000000-0005-0000-0000-000022AF0000}"/>
    <cellStyle name="Normal 63 7 2 4 2" xfId="45326" xr:uid="{00000000-0005-0000-0000-000023AF0000}"/>
    <cellStyle name="Normal 63 7 2 4 2 2" xfId="45328" xr:uid="{00000000-0005-0000-0000-000024AF0000}"/>
    <cellStyle name="Normal 63 7 2 4 3" xfId="45330" xr:uid="{00000000-0005-0000-0000-000025AF0000}"/>
    <cellStyle name="Normal 63 7 2 5" xfId="45332" xr:uid="{00000000-0005-0000-0000-000026AF0000}"/>
    <cellStyle name="Normal 63 7 2 5 2" xfId="45334" xr:uid="{00000000-0005-0000-0000-000027AF0000}"/>
    <cellStyle name="Normal 63 7 2 6" xfId="45336" xr:uid="{00000000-0005-0000-0000-000028AF0000}"/>
    <cellStyle name="Normal 63 7 2 6 2" xfId="45338" xr:uid="{00000000-0005-0000-0000-000029AF0000}"/>
    <cellStyle name="Normal 63 7 2 7" xfId="45340" xr:uid="{00000000-0005-0000-0000-00002AAF0000}"/>
    <cellStyle name="Normal 63 7 2 8" xfId="45342" xr:uid="{00000000-0005-0000-0000-00002BAF0000}"/>
    <cellStyle name="Normal 63 7 3" xfId="45344" xr:uid="{00000000-0005-0000-0000-00002CAF0000}"/>
    <cellStyle name="Normal 63 7 3 2" xfId="45346" xr:uid="{00000000-0005-0000-0000-00002DAF0000}"/>
    <cellStyle name="Normal 63 7 3 2 2" xfId="45348" xr:uid="{00000000-0005-0000-0000-00002EAF0000}"/>
    <cellStyle name="Normal 63 7 3 2 2 2" xfId="21922" xr:uid="{00000000-0005-0000-0000-00002FAF0000}"/>
    <cellStyle name="Normal 63 7 3 2 3" xfId="45350" xr:uid="{00000000-0005-0000-0000-000030AF0000}"/>
    <cellStyle name="Normal 63 7 3 3" xfId="45352" xr:uid="{00000000-0005-0000-0000-000031AF0000}"/>
    <cellStyle name="Normal 63 7 3 3 2" xfId="45354" xr:uid="{00000000-0005-0000-0000-000032AF0000}"/>
    <cellStyle name="Normal 63 7 3 4" xfId="43110" xr:uid="{00000000-0005-0000-0000-000033AF0000}"/>
    <cellStyle name="Normal 63 7 4" xfId="45356" xr:uid="{00000000-0005-0000-0000-000034AF0000}"/>
    <cellStyle name="Normal 63 7 4 2" xfId="45358" xr:uid="{00000000-0005-0000-0000-000035AF0000}"/>
    <cellStyle name="Normal 63 7 4 2 2" xfId="45360" xr:uid="{00000000-0005-0000-0000-000036AF0000}"/>
    <cellStyle name="Normal 63 7 4 3" xfId="45362" xr:uid="{00000000-0005-0000-0000-000037AF0000}"/>
    <cellStyle name="Normal 63 7 5" xfId="45364" xr:uid="{00000000-0005-0000-0000-000038AF0000}"/>
    <cellStyle name="Normal 63 7 5 2" xfId="45366" xr:uid="{00000000-0005-0000-0000-000039AF0000}"/>
    <cellStyle name="Normal 63 7 5 2 2" xfId="45368" xr:uid="{00000000-0005-0000-0000-00003AAF0000}"/>
    <cellStyle name="Normal 63 7 5 3" xfId="45370" xr:uid="{00000000-0005-0000-0000-00003BAF0000}"/>
    <cellStyle name="Normal 63 7 6" xfId="45372" xr:uid="{00000000-0005-0000-0000-00003CAF0000}"/>
    <cellStyle name="Normal 63 7 6 2" xfId="45374" xr:uid="{00000000-0005-0000-0000-00003DAF0000}"/>
    <cellStyle name="Normal 63 7 7" xfId="45376" xr:uid="{00000000-0005-0000-0000-00003EAF0000}"/>
    <cellStyle name="Normal 63 7 7 2" xfId="45378" xr:uid="{00000000-0005-0000-0000-00003FAF0000}"/>
    <cellStyle name="Normal 63 7 8" xfId="45380" xr:uid="{00000000-0005-0000-0000-000040AF0000}"/>
    <cellStyle name="Normal 63 7 9" xfId="45382" xr:uid="{00000000-0005-0000-0000-000041AF0000}"/>
    <cellStyle name="Normal 63 8" xfId="45384" xr:uid="{00000000-0005-0000-0000-000042AF0000}"/>
    <cellStyle name="Normal 63 8 2" xfId="45386" xr:uid="{00000000-0005-0000-0000-000043AF0000}"/>
    <cellStyle name="Normal 63 8 2 2" xfId="45388" xr:uid="{00000000-0005-0000-0000-000044AF0000}"/>
    <cellStyle name="Normal 63 8 2 2 2" xfId="45390" xr:uid="{00000000-0005-0000-0000-000045AF0000}"/>
    <cellStyle name="Normal 63 8 2 2 2 2" xfId="8230" xr:uid="{00000000-0005-0000-0000-000046AF0000}"/>
    <cellStyle name="Normal 63 8 2 2 3" xfId="44702" xr:uid="{00000000-0005-0000-0000-000047AF0000}"/>
    <cellStyle name="Normal 63 8 2 3" xfId="45392" xr:uid="{00000000-0005-0000-0000-000048AF0000}"/>
    <cellStyle name="Normal 63 8 2 3 2" xfId="45395" xr:uid="{00000000-0005-0000-0000-000049AF0000}"/>
    <cellStyle name="Normal 63 8 2 4" xfId="45397" xr:uid="{00000000-0005-0000-0000-00004AAF0000}"/>
    <cellStyle name="Normal 63 8 3" xfId="45399" xr:uid="{00000000-0005-0000-0000-00004BAF0000}"/>
    <cellStyle name="Normal 63 8 3 2" xfId="45401" xr:uid="{00000000-0005-0000-0000-00004CAF0000}"/>
    <cellStyle name="Normal 63 8 3 2 2" xfId="45403" xr:uid="{00000000-0005-0000-0000-00004DAF0000}"/>
    <cellStyle name="Normal 63 8 3 3" xfId="45405" xr:uid="{00000000-0005-0000-0000-00004EAF0000}"/>
    <cellStyle name="Normal 63 8 4" xfId="45407" xr:uid="{00000000-0005-0000-0000-00004FAF0000}"/>
    <cellStyle name="Normal 63 8 4 2" xfId="45409" xr:uid="{00000000-0005-0000-0000-000050AF0000}"/>
    <cellStyle name="Normal 63 8 4 2 2" xfId="45411" xr:uid="{00000000-0005-0000-0000-000051AF0000}"/>
    <cellStyle name="Normal 63 8 4 3" xfId="45413" xr:uid="{00000000-0005-0000-0000-000052AF0000}"/>
    <cellStyle name="Normal 63 8 5" xfId="45415" xr:uid="{00000000-0005-0000-0000-000053AF0000}"/>
    <cellStyle name="Normal 63 8 5 2" xfId="45417" xr:uid="{00000000-0005-0000-0000-000054AF0000}"/>
    <cellStyle name="Normal 63 8 6" xfId="45419" xr:uid="{00000000-0005-0000-0000-000055AF0000}"/>
    <cellStyle name="Normal 63 8 6 2" xfId="45421" xr:uid="{00000000-0005-0000-0000-000056AF0000}"/>
    <cellStyle name="Normal 63 8 7" xfId="45423" xr:uid="{00000000-0005-0000-0000-000057AF0000}"/>
    <cellStyle name="Normal 63 8 8" xfId="45425" xr:uid="{00000000-0005-0000-0000-000058AF0000}"/>
    <cellStyle name="Normal 63 9" xfId="45427" xr:uid="{00000000-0005-0000-0000-000059AF0000}"/>
    <cellStyle name="Normal 63 9 2" xfId="14461" xr:uid="{00000000-0005-0000-0000-00005AAF0000}"/>
    <cellStyle name="Normal 63 9 2 2" xfId="45429" xr:uid="{00000000-0005-0000-0000-00005BAF0000}"/>
    <cellStyle name="Normal 63 9 2 2 2" xfId="45431" xr:uid="{00000000-0005-0000-0000-00005CAF0000}"/>
    <cellStyle name="Normal 63 9 2 3" xfId="45433" xr:uid="{00000000-0005-0000-0000-00005DAF0000}"/>
    <cellStyle name="Normal 63 9 3" xfId="14470" xr:uid="{00000000-0005-0000-0000-00005EAF0000}"/>
    <cellStyle name="Normal 63 9 3 2" xfId="35055" xr:uid="{00000000-0005-0000-0000-00005FAF0000}"/>
    <cellStyle name="Normal 63 9 4" xfId="45435" xr:uid="{00000000-0005-0000-0000-000060AF0000}"/>
    <cellStyle name="Normal 64" xfId="45437" xr:uid="{00000000-0005-0000-0000-000061AF0000}"/>
    <cellStyle name="Normal 64 2" xfId="45454" xr:uid="{00000000-0005-0000-0000-000062AF0000}"/>
    <cellStyle name="Normal 65" xfId="46311" xr:uid="{00000000-0005-0000-0000-000063AF0000}"/>
    <cellStyle name="Normal 65 10" xfId="46313" xr:uid="{00000000-0005-0000-0000-000064AF0000}"/>
    <cellStyle name="Normal 65 10 2" xfId="46315" xr:uid="{00000000-0005-0000-0000-000065AF0000}"/>
    <cellStyle name="Normal 65 11" xfId="46317" xr:uid="{00000000-0005-0000-0000-000066AF0000}"/>
    <cellStyle name="Normal 65 11 2" xfId="46319" xr:uid="{00000000-0005-0000-0000-000067AF0000}"/>
    <cellStyle name="Normal 65 12" xfId="41310" xr:uid="{00000000-0005-0000-0000-000068AF0000}"/>
    <cellStyle name="Normal 65 12 2" xfId="41314" xr:uid="{00000000-0005-0000-0000-000069AF0000}"/>
    <cellStyle name="Normal 65 13" xfId="41322" xr:uid="{00000000-0005-0000-0000-00006AAF0000}"/>
    <cellStyle name="Normal 65 14" xfId="41326" xr:uid="{00000000-0005-0000-0000-00006BAF0000}"/>
    <cellStyle name="Normal 65 2" xfId="46321" xr:uid="{00000000-0005-0000-0000-00006CAF0000}"/>
    <cellStyle name="Normal 65 2 10" xfId="25133" xr:uid="{00000000-0005-0000-0000-00006DAF0000}"/>
    <cellStyle name="Normal 65 2 2" xfId="18520" xr:uid="{00000000-0005-0000-0000-00006EAF0000}"/>
    <cellStyle name="Normal 65 2 2 2" xfId="19361" xr:uid="{00000000-0005-0000-0000-00006FAF0000}"/>
    <cellStyle name="Normal 65 2 2 2 2" xfId="19365" xr:uid="{00000000-0005-0000-0000-000070AF0000}"/>
    <cellStyle name="Normal 65 2 2 2 2 2" xfId="31245" xr:uid="{00000000-0005-0000-0000-000071AF0000}"/>
    <cellStyle name="Normal 65 2 2 2 2 2 2" xfId="25652" xr:uid="{00000000-0005-0000-0000-000072AF0000}"/>
    <cellStyle name="Normal 65 2 2 2 2 2 2 2" xfId="31249" xr:uid="{00000000-0005-0000-0000-000073AF0000}"/>
    <cellStyle name="Normal 65 2 2 2 2 2 3" xfId="31287" xr:uid="{00000000-0005-0000-0000-000074AF0000}"/>
    <cellStyle name="Normal 65 2 2 2 2 3" xfId="31296" xr:uid="{00000000-0005-0000-0000-000075AF0000}"/>
    <cellStyle name="Normal 65 2 2 2 2 3 2" xfId="31300" xr:uid="{00000000-0005-0000-0000-000076AF0000}"/>
    <cellStyle name="Normal 65 2 2 2 2 4" xfId="46323" xr:uid="{00000000-0005-0000-0000-000077AF0000}"/>
    <cellStyle name="Normal 65 2 2 2 3" xfId="46325" xr:uid="{00000000-0005-0000-0000-000078AF0000}"/>
    <cellStyle name="Normal 65 2 2 2 3 2" xfId="32986" xr:uid="{00000000-0005-0000-0000-000079AF0000}"/>
    <cellStyle name="Normal 65 2 2 2 3 2 2" xfId="25680" xr:uid="{00000000-0005-0000-0000-00007AAF0000}"/>
    <cellStyle name="Normal 65 2 2 2 3 3" xfId="33071" xr:uid="{00000000-0005-0000-0000-00007BAF0000}"/>
    <cellStyle name="Normal 65 2 2 2 4" xfId="46327" xr:uid="{00000000-0005-0000-0000-00007CAF0000}"/>
    <cellStyle name="Normal 65 2 2 2 4 2" xfId="34623" xr:uid="{00000000-0005-0000-0000-00007DAF0000}"/>
    <cellStyle name="Normal 65 2 2 2 4 2 2" xfId="34630" xr:uid="{00000000-0005-0000-0000-00007EAF0000}"/>
    <cellStyle name="Normal 65 2 2 2 4 3" xfId="5779" xr:uid="{00000000-0005-0000-0000-00007FAF0000}"/>
    <cellStyle name="Normal 65 2 2 2 5" xfId="46329" xr:uid="{00000000-0005-0000-0000-000080AF0000}"/>
    <cellStyle name="Normal 65 2 2 2 5 2" xfId="36096" xr:uid="{00000000-0005-0000-0000-000081AF0000}"/>
    <cellStyle name="Normal 65 2 2 2 6" xfId="46333" xr:uid="{00000000-0005-0000-0000-000082AF0000}"/>
    <cellStyle name="Normal 65 2 2 2 6 2" xfId="26096" xr:uid="{00000000-0005-0000-0000-000083AF0000}"/>
    <cellStyle name="Normal 65 2 2 2 7" xfId="46337" xr:uid="{00000000-0005-0000-0000-000084AF0000}"/>
    <cellStyle name="Normal 65 2 2 2 8" xfId="46340" xr:uid="{00000000-0005-0000-0000-000085AF0000}"/>
    <cellStyle name="Normal 65 2 2 3" xfId="19369" xr:uid="{00000000-0005-0000-0000-000086AF0000}"/>
    <cellStyle name="Normal 65 2 2 3 2" xfId="32379" xr:uid="{00000000-0005-0000-0000-000087AF0000}"/>
    <cellStyle name="Normal 65 2 2 3 2 2" xfId="32384" xr:uid="{00000000-0005-0000-0000-000088AF0000}"/>
    <cellStyle name="Normal 65 2 2 3 2 2 2" xfId="46342" xr:uid="{00000000-0005-0000-0000-000089AF0000}"/>
    <cellStyle name="Normal 65 2 2 3 2 3" xfId="46344" xr:uid="{00000000-0005-0000-0000-00008AAF0000}"/>
    <cellStyle name="Normal 65 2 2 3 3" xfId="32388" xr:uid="{00000000-0005-0000-0000-00008BAF0000}"/>
    <cellStyle name="Normal 65 2 2 3 3 2" xfId="32393" xr:uid="{00000000-0005-0000-0000-00008CAF0000}"/>
    <cellStyle name="Normal 65 2 2 3 4" xfId="32397" xr:uid="{00000000-0005-0000-0000-00008DAF0000}"/>
    <cellStyle name="Normal 65 2 2 4" xfId="1203" xr:uid="{00000000-0005-0000-0000-00008EAF0000}"/>
    <cellStyle name="Normal 65 2 2 4 2" xfId="1217" xr:uid="{00000000-0005-0000-0000-00008FAF0000}"/>
    <cellStyle name="Normal 65 2 2 4 2 2" xfId="6632" xr:uid="{00000000-0005-0000-0000-000090AF0000}"/>
    <cellStyle name="Normal 65 2 2 4 3" xfId="8718" xr:uid="{00000000-0005-0000-0000-000091AF0000}"/>
    <cellStyle name="Normal 65 2 2 5" xfId="1243" xr:uid="{00000000-0005-0000-0000-000092AF0000}"/>
    <cellStyle name="Normal 65 2 2 5 2" xfId="5865" xr:uid="{00000000-0005-0000-0000-000093AF0000}"/>
    <cellStyle name="Normal 65 2 2 5 2 2" xfId="6694" xr:uid="{00000000-0005-0000-0000-000094AF0000}"/>
    <cellStyle name="Normal 65 2 2 5 3" xfId="6697" xr:uid="{00000000-0005-0000-0000-000095AF0000}"/>
    <cellStyle name="Normal 65 2 2 6" xfId="4192" xr:uid="{00000000-0005-0000-0000-000096AF0000}"/>
    <cellStyle name="Normal 65 2 2 6 2" xfId="6711" xr:uid="{00000000-0005-0000-0000-000097AF0000}"/>
    <cellStyle name="Normal 65 2 2 7" xfId="6726" xr:uid="{00000000-0005-0000-0000-000098AF0000}"/>
    <cellStyle name="Normal 65 2 2 7 2" xfId="7985" xr:uid="{00000000-0005-0000-0000-000099AF0000}"/>
    <cellStyle name="Normal 65 2 2 8" xfId="5632" xr:uid="{00000000-0005-0000-0000-00009AAF0000}"/>
    <cellStyle name="Normal 65 2 2 9" xfId="6685" xr:uid="{00000000-0005-0000-0000-00009BAF0000}"/>
    <cellStyle name="Normal 65 2 3" xfId="46346" xr:uid="{00000000-0005-0000-0000-00009CAF0000}"/>
    <cellStyle name="Normal 65 2 3 2" xfId="21365" xr:uid="{00000000-0005-0000-0000-00009DAF0000}"/>
    <cellStyle name="Normal 65 2 3 2 2" xfId="21369" xr:uid="{00000000-0005-0000-0000-00009EAF0000}"/>
    <cellStyle name="Normal 65 2 3 2 2 2" xfId="21373" xr:uid="{00000000-0005-0000-0000-00009FAF0000}"/>
    <cellStyle name="Normal 65 2 3 2 2 2 2" xfId="46348" xr:uid="{00000000-0005-0000-0000-0000A0AF0000}"/>
    <cellStyle name="Normal 65 2 3 2 2 3" xfId="46350" xr:uid="{00000000-0005-0000-0000-0000A1AF0000}"/>
    <cellStyle name="Normal 65 2 3 2 3" xfId="16021" xr:uid="{00000000-0005-0000-0000-0000A2AF0000}"/>
    <cellStyle name="Normal 65 2 3 2 3 2" xfId="45525" xr:uid="{00000000-0005-0000-0000-0000A3AF0000}"/>
    <cellStyle name="Normal 65 2 3 2 4" xfId="46352" xr:uid="{00000000-0005-0000-0000-0000A4AF0000}"/>
    <cellStyle name="Normal 65 2 3 3" xfId="21376" xr:uid="{00000000-0005-0000-0000-0000A5AF0000}"/>
    <cellStyle name="Normal 65 2 3 3 2" xfId="21383" xr:uid="{00000000-0005-0000-0000-0000A6AF0000}"/>
    <cellStyle name="Normal 65 2 3 3 2 2" xfId="32453" xr:uid="{00000000-0005-0000-0000-0000A7AF0000}"/>
    <cellStyle name="Normal 65 2 3 3 3" xfId="32457" xr:uid="{00000000-0005-0000-0000-0000A8AF0000}"/>
    <cellStyle name="Normal 65 2 3 4" xfId="1274" xr:uid="{00000000-0005-0000-0000-0000A9AF0000}"/>
    <cellStyle name="Normal 65 2 3 4 2" xfId="4667" xr:uid="{00000000-0005-0000-0000-0000AAAF0000}"/>
    <cellStyle name="Normal 65 2 3 4 2 2" xfId="8069" xr:uid="{00000000-0005-0000-0000-0000ABAF0000}"/>
    <cellStyle name="Normal 65 2 3 4 3" xfId="8794" xr:uid="{00000000-0005-0000-0000-0000ACAF0000}"/>
    <cellStyle name="Normal 65 2 3 5" xfId="5892" xr:uid="{00000000-0005-0000-0000-0000ADAF0000}"/>
    <cellStyle name="Normal 65 2 3 5 2" xfId="5907" xr:uid="{00000000-0005-0000-0000-0000AEAF0000}"/>
    <cellStyle name="Normal 65 2 3 6" xfId="4214" xr:uid="{00000000-0005-0000-0000-0000AFAF0000}"/>
    <cellStyle name="Normal 65 2 3 6 2" xfId="8812" xr:uid="{00000000-0005-0000-0000-0000B0AF0000}"/>
    <cellStyle name="Normal 65 2 3 7" xfId="7991" xr:uid="{00000000-0005-0000-0000-0000B1AF0000}"/>
    <cellStyle name="Normal 65 2 3 8" xfId="8827" xr:uid="{00000000-0005-0000-0000-0000B2AF0000}"/>
    <cellStyle name="Normal 65 2 4" xfId="13396" xr:uid="{00000000-0005-0000-0000-0000B3AF0000}"/>
    <cellStyle name="Normal 65 2 4 2" xfId="13409" xr:uid="{00000000-0005-0000-0000-0000B4AF0000}"/>
    <cellStyle name="Normal 65 2 4 2 2" xfId="13423" xr:uid="{00000000-0005-0000-0000-0000B5AF0000}"/>
    <cellStyle name="Normal 65 2 4 2 2 2" xfId="13435" xr:uid="{00000000-0005-0000-0000-0000B6AF0000}"/>
    <cellStyle name="Normal 65 2 4 2 3" xfId="13446" xr:uid="{00000000-0005-0000-0000-0000B7AF0000}"/>
    <cellStyle name="Normal 65 2 4 3" xfId="13457" xr:uid="{00000000-0005-0000-0000-0000B8AF0000}"/>
    <cellStyle name="Normal 65 2 4 3 2" xfId="32532" xr:uid="{00000000-0005-0000-0000-0000B9AF0000}"/>
    <cellStyle name="Normal 65 2 4 4" xfId="3100" xr:uid="{00000000-0005-0000-0000-0000BAAF0000}"/>
    <cellStyle name="Normal 65 2 5" xfId="13474" xr:uid="{00000000-0005-0000-0000-0000BBAF0000}"/>
    <cellStyle name="Normal 65 2 5 2" xfId="13477" xr:uid="{00000000-0005-0000-0000-0000BCAF0000}"/>
    <cellStyle name="Normal 65 2 5 2 2" xfId="13486" xr:uid="{00000000-0005-0000-0000-0000BDAF0000}"/>
    <cellStyle name="Normal 65 2 5 3" xfId="13489" xr:uid="{00000000-0005-0000-0000-0000BEAF0000}"/>
    <cellStyle name="Normal 65 2 6" xfId="46354" xr:uid="{00000000-0005-0000-0000-0000BFAF0000}"/>
    <cellStyle name="Normal 65 2 6 2" xfId="13498" xr:uid="{00000000-0005-0000-0000-0000C0AF0000}"/>
    <cellStyle name="Normal 65 2 6 2 2" xfId="13505" xr:uid="{00000000-0005-0000-0000-0000C1AF0000}"/>
    <cellStyle name="Normal 65 2 6 3" xfId="13511" xr:uid="{00000000-0005-0000-0000-0000C2AF0000}"/>
    <cellStyle name="Normal 65 2 7" xfId="1337" xr:uid="{00000000-0005-0000-0000-0000C3AF0000}"/>
    <cellStyle name="Normal 65 2 7 2" xfId="13523" xr:uid="{00000000-0005-0000-0000-0000C4AF0000}"/>
    <cellStyle name="Normal 65 2 8" xfId="34459" xr:uid="{00000000-0005-0000-0000-0000C5AF0000}"/>
    <cellStyle name="Normal 65 2 8 2" xfId="27997" xr:uid="{00000000-0005-0000-0000-0000C6AF0000}"/>
    <cellStyle name="Normal 65 2 9" xfId="34465" xr:uid="{00000000-0005-0000-0000-0000C7AF0000}"/>
    <cellStyle name="Normal 65 3" xfId="46356" xr:uid="{00000000-0005-0000-0000-0000C8AF0000}"/>
    <cellStyle name="Normal 65 3 2" xfId="46358" xr:uid="{00000000-0005-0000-0000-0000C9AF0000}"/>
    <cellStyle name="Normal 65 3 2 2" xfId="46362" xr:uid="{00000000-0005-0000-0000-0000CAAF0000}"/>
    <cellStyle name="Normal 65 3 2 2 2" xfId="46366" xr:uid="{00000000-0005-0000-0000-0000CBAF0000}"/>
    <cellStyle name="Normal 65 3 2 2 2 2" xfId="46370" xr:uid="{00000000-0005-0000-0000-0000CCAF0000}"/>
    <cellStyle name="Normal 65 3 2 2 2 2 2" xfId="46374" xr:uid="{00000000-0005-0000-0000-0000CDAF0000}"/>
    <cellStyle name="Normal 65 3 2 2 2 3" xfId="46378" xr:uid="{00000000-0005-0000-0000-0000CEAF0000}"/>
    <cellStyle name="Normal 65 3 2 2 3" xfId="46382" xr:uid="{00000000-0005-0000-0000-0000CFAF0000}"/>
    <cellStyle name="Normal 65 3 2 2 3 2" xfId="46386" xr:uid="{00000000-0005-0000-0000-0000D0AF0000}"/>
    <cellStyle name="Normal 65 3 2 2 4" xfId="46390" xr:uid="{00000000-0005-0000-0000-0000D1AF0000}"/>
    <cellStyle name="Normal 65 3 2 2 5" xfId="46394" xr:uid="{00000000-0005-0000-0000-0000D2AF0000}"/>
    <cellStyle name="Normal 65 3 2 3" xfId="46398" xr:uid="{00000000-0005-0000-0000-0000D3AF0000}"/>
    <cellStyle name="Normal 65 3 2 3 2" xfId="32766" xr:uid="{00000000-0005-0000-0000-0000D4AF0000}"/>
    <cellStyle name="Normal 65 3 2 3 2 2" xfId="21857" xr:uid="{00000000-0005-0000-0000-0000D5AF0000}"/>
    <cellStyle name="Normal 65 3 2 3 3" xfId="32772" xr:uid="{00000000-0005-0000-0000-0000D6AF0000}"/>
    <cellStyle name="Normal 65 3 2 4" xfId="1345" xr:uid="{00000000-0005-0000-0000-0000D7AF0000}"/>
    <cellStyle name="Normal 65 3 2 4 2" xfId="5229" xr:uid="{00000000-0005-0000-0000-0000D8AF0000}"/>
    <cellStyle name="Normal 65 3 2 4 2 2" xfId="22185" xr:uid="{00000000-0005-0000-0000-0000D9AF0000}"/>
    <cellStyle name="Normal 65 3 2 4 3" xfId="46402" xr:uid="{00000000-0005-0000-0000-0000DAAF0000}"/>
    <cellStyle name="Normal 65 3 2 5" xfId="6060" xr:uid="{00000000-0005-0000-0000-0000DBAF0000}"/>
    <cellStyle name="Normal 65 3 2 5 2" xfId="46406" xr:uid="{00000000-0005-0000-0000-0000DCAF0000}"/>
    <cellStyle name="Normal 65 3 2 6" xfId="46410" xr:uid="{00000000-0005-0000-0000-0000DDAF0000}"/>
    <cellStyle name="Normal 65 3 2 6 2" xfId="46414" xr:uid="{00000000-0005-0000-0000-0000DEAF0000}"/>
    <cellStyle name="Normal 65 3 2 7" xfId="46418" xr:uid="{00000000-0005-0000-0000-0000DFAF0000}"/>
    <cellStyle name="Normal 65 3 2 8" xfId="46421" xr:uid="{00000000-0005-0000-0000-0000E0AF0000}"/>
    <cellStyle name="Normal 65 3 3" xfId="46423" xr:uid="{00000000-0005-0000-0000-0000E1AF0000}"/>
    <cellStyle name="Normal 65 3 3 2" xfId="46427" xr:uid="{00000000-0005-0000-0000-0000E2AF0000}"/>
    <cellStyle name="Normal 65 3 3 2 2" xfId="46431" xr:uid="{00000000-0005-0000-0000-0000E3AF0000}"/>
    <cellStyle name="Normal 65 3 3 2 2 2" xfId="46435" xr:uid="{00000000-0005-0000-0000-0000E4AF0000}"/>
    <cellStyle name="Normal 65 3 3 2 3" xfId="46439" xr:uid="{00000000-0005-0000-0000-0000E5AF0000}"/>
    <cellStyle name="Normal 65 3 3 3" xfId="46443" xr:uid="{00000000-0005-0000-0000-0000E6AF0000}"/>
    <cellStyle name="Normal 65 3 3 3 2" xfId="46447" xr:uid="{00000000-0005-0000-0000-0000E7AF0000}"/>
    <cellStyle name="Normal 65 3 3 4" xfId="9015" xr:uid="{00000000-0005-0000-0000-0000E8AF0000}"/>
    <cellStyle name="Normal 65 3 3 5" xfId="46451" xr:uid="{00000000-0005-0000-0000-0000E9AF0000}"/>
    <cellStyle name="Normal 65 3 4" xfId="13533" xr:uid="{00000000-0005-0000-0000-0000EAAF0000}"/>
    <cellStyle name="Normal 65 3 4 2" xfId="46455" xr:uid="{00000000-0005-0000-0000-0000EBAF0000}"/>
    <cellStyle name="Normal 65 3 4 2 2" xfId="46459" xr:uid="{00000000-0005-0000-0000-0000ECAF0000}"/>
    <cellStyle name="Normal 65 3 4 3" xfId="46463" xr:uid="{00000000-0005-0000-0000-0000EDAF0000}"/>
    <cellStyle name="Normal 65 3 5" xfId="46465" xr:uid="{00000000-0005-0000-0000-0000EEAF0000}"/>
    <cellStyle name="Normal 65 3 5 2" xfId="46469" xr:uid="{00000000-0005-0000-0000-0000EFAF0000}"/>
    <cellStyle name="Normal 65 3 5 2 2" xfId="46473" xr:uid="{00000000-0005-0000-0000-0000F0AF0000}"/>
    <cellStyle name="Normal 65 3 5 3" xfId="46477" xr:uid="{00000000-0005-0000-0000-0000F1AF0000}"/>
    <cellStyle name="Normal 65 3 6" xfId="46479" xr:uid="{00000000-0005-0000-0000-0000F2AF0000}"/>
    <cellStyle name="Normal 65 3 6 2" xfId="46483" xr:uid="{00000000-0005-0000-0000-0000F3AF0000}"/>
    <cellStyle name="Normal 65 3 7" xfId="2851" xr:uid="{00000000-0005-0000-0000-0000F4AF0000}"/>
    <cellStyle name="Normal 65 3 7 2" xfId="46487" xr:uid="{00000000-0005-0000-0000-0000F5AF0000}"/>
    <cellStyle name="Normal 65 3 8" xfId="34472" xr:uid="{00000000-0005-0000-0000-0000F6AF0000}"/>
    <cellStyle name="Normal 65 3 9" xfId="46489" xr:uid="{00000000-0005-0000-0000-0000F7AF0000}"/>
    <cellStyle name="Normal 65 4" xfId="46491" xr:uid="{00000000-0005-0000-0000-0000F8AF0000}"/>
    <cellStyle name="Normal 65 4 2" xfId="46493" xr:uid="{00000000-0005-0000-0000-0000F9AF0000}"/>
    <cellStyle name="Normal 65 4 2 2" xfId="46495" xr:uid="{00000000-0005-0000-0000-0000FAAF0000}"/>
    <cellStyle name="Normal 65 4 2 2 2" xfId="46497" xr:uid="{00000000-0005-0000-0000-0000FBAF0000}"/>
    <cellStyle name="Normal 65 4 2 2 2 2" xfId="19650" xr:uid="{00000000-0005-0000-0000-0000FCAF0000}"/>
    <cellStyle name="Normal 65 4 2 2 2 2 2" xfId="19653" xr:uid="{00000000-0005-0000-0000-0000FDAF0000}"/>
    <cellStyle name="Normal 65 4 2 2 2 3" xfId="19669" xr:uid="{00000000-0005-0000-0000-0000FEAF0000}"/>
    <cellStyle name="Normal 65 4 2 2 3" xfId="46499" xr:uid="{00000000-0005-0000-0000-0000FFAF0000}"/>
    <cellStyle name="Normal 65 4 2 2 3 2" xfId="14651" xr:uid="{00000000-0005-0000-0000-000000B00000}"/>
    <cellStyle name="Normal 65 4 2 2 4" xfId="9279" xr:uid="{00000000-0005-0000-0000-000001B00000}"/>
    <cellStyle name="Normal 65 4 2 3" xfId="46501" xr:uid="{00000000-0005-0000-0000-000002B00000}"/>
    <cellStyle name="Normal 65 4 2 3 2" xfId="46503" xr:uid="{00000000-0005-0000-0000-000003B00000}"/>
    <cellStyle name="Normal 65 4 2 3 2 2" xfId="23251" xr:uid="{00000000-0005-0000-0000-000004B00000}"/>
    <cellStyle name="Normal 65 4 2 3 3" xfId="46505" xr:uid="{00000000-0005-0000-0000-000005B00000}"/>
    <cellStyle name="Normal 65 4 2 4" xfId="1400" xr:uid="{00000000-0005-0000-0000-000006B00000}"/>
    <cellStyle name="Normal 65 4 2 4 2" xfId="46507" xr:uid="{00000000-0005-0000-0000-000007B00000}"/>
    <cellStyle name="Normal 65 4 2 4 2 2" xfId="23298" xr:uid="{00000000-0005-0000-0000-000008B00000}"/>
    <cellStyle name="Normal 65 4 2 4 3" xfId="46509" xr:uid="{00000000-0005-0000-0000-000009B00000}"/>
    <cellStyle name="Normal 65 4 2 5" xfId="46511" xr:uid="{00000000-0005-0000-0000-00000AB00000}"/>
    <cellStyle name="Normal 65 4 2 5 2" xfId="46513" xr:uid="{00000000-0005-0000-0000-00000BB00000}"/>
    <cellStyle name="Normal 65 4 2 6" xfId="46515" xr:uid="{00000000-0005-0000-0000-00000CB00000}"/>
    <cellStyle name="Normal 65 4 2 6 2" xfId="46517" xr:uid="{00000000-0005-0000-0000-00000DB00000}"/>
    <cellStyle name="Normal 65 4 2 7" xfId="46519" xr:uid="{00000000-0005-0000-0000-00000EB00000}"/>
    <cellStyle name="Normal 65 4 2 8" xfId="46521" xr:uid="{00000000-0005-0000-0000-00000FB00000}"/>
    <cellStyle name="Normal 65 4 3" xfId="46523" xr:uid="{00000000-0005-0000-0000-000010B00000}"/>
    <cellStyle name="Normal 65 4 3 2" xfId="46525" xr:uid="{00000000-0005-0000-0000-000011B00000}"/>
    <cellStyle name="Normal 65 4 3 2 2" xfId="46527" xr:uid="{00000000-0005-0000-0000-000012B00000}"/>
    <cellStyle name="Normal 65 4 3 2 2 2" xfId="46529" xr:uid="{00000000-0005-0000-0000-000013B00000}"/>
    <cellStyle name="Normal 65 4 3 2 3" xfId="22844" xr:uid="{00000000-0005-0000-0000-000014B00000}"/>
    <cellStyle name="Normal 65 4 3 3" xfId="46531" xr:uid="{00000000-0005-0000-0000-000015B00000}"/>
    <cellStyle name="Normal 65 4 3 3 2" xfId="46533" xr:uid="{00000000-0005-0000-0000-000016B00000}"/>
    <cellStyle name="Normal 65 4 3 4" xfId="9045" xr:uid="{00000000-0005-0000-0000-000017B00000}"/>
    <cellStyle name="Normal 65 4 4" xfId="13551" xr:uid="{00000000-0005-0000-0000-000018B00000}"/>
    <cellStyle name="Normal 65 4 4 2" xfId="46535" xr:uid="{00000000-0005-0000-0000-000019B00000}"/>
    <cellStyle name="Normal 65 4 4 2 2" xfId="46537" xr:uid="{00000000-0005-0000-0000-00001AB00000}"/>
    <cellStyle name="Normal 65 4 4 3" xfId="46539" xr:uid="{00000000-0005-0000-0000-00001BB00000}"/>
    <cellStyle name="Normal 65 4 5" xfId="46541" xr:uid="{00000000-0005-0000-0000-00001CB00000}"/>
    <cellStyle name="Normal 65 4 5 2" xfId="46543" xr:uid="{00000000-0005-0000-0000-00001DB00000}"/>
    <cellStyle name="Normal 65 4 5 2 2" xfId="46545" xr:uid="{00000000-0005-0000-0000-00001EB00000}"/>
    <cellStyle name="Normal 65 4 5 3" xfId="25667" xr:uid="{00000000-0005-0000-0000-00001FB00000}"/>
    <cellStyle name="Normal 65 4 6" xfId="22654" xr:uid="{00000000-0005-0000-0000-000020B00000}"/>
    <cellStyle name="Normal 65 4 6 2" xfId="39205" xr:uid="{00000000-0005-0000-0000-000021B00000}"/>
    <cellStyle name="Normal 65 4 7" xfId="38364" xr:uid="{00000000-0005-0000-0000-000022B00000}"/>
    <cellStyle name="Normal 65 4 7 2" xfId="38369" xr:uid="{00000000-0005-0000-0000-000023B00000}"/>
    <cellStyle name="Normal 65 4 8" xfId="34476" xr:uid="{00000000-0005-0000-0000-000024B00000}"/>
    <cellStyle name="Normal 65 4 9" xfId="39212" xr:uid="{00000000-0005-0000-0000-000025B00000}"/>
    <cellStyle name="Normal 65 5" xfId="46547" xr:uid="{00000000-0005-0000-0000-000026B00000}"/>
    <cellStyle name="Normal 65 5 2" xfId="46549" xr:uid="{00000000-0005-0000-0000-000027B00000}"/>
    <cellStyle name="Normal 65 5 2 2" xfId="46551" xr:uid="{00000000-0005-0000-0000-000028B00000}"/>
    <cellStyle name="Normal 65 5 2 2 2" xfId="46553" xr:uid="{00000000-0005-0000-0000-000029B00000}"/>
    <cellStyle name="Normal 65 5 2 2 2 2" xfId="20863" xr:uid="{00000000-0005-0000-0000-00002AB00000}"/>
    <cellStyle name="Normal 65 5 2 2 2 2 2" xfId="23743" xr:uid="{00000000-0005-0000-0000-00002BB00000}"/>
    <cellStyle name="Normal 65 5 2 2 2 3" xfId="23747" xr:uid="{00000000-0005-0000-0000-00002CB00000}"/>
    <cellStyle name="Normal 65 5 2 2 3" xfId="46555" xr:uid="{00000000-0005-0000-0000-00002DB00000}"/>
    <cellStyle name="Normal 65 5 2 2 3 2" xfId="34725" xr:uid="{00000000-0005-0000-0000-00002EB00000}"/>
    <cellStyle name="Normal 65 5 2 2 4" xfId="6980" xr:uid="{00000000-0005-0000-0000-00002FB00000}"/>
    <cellStyle name="Normal 65 5 2 3" xfId="46557" xr:uid="{00000000-0005-0000-0000-000030B00000}"/>
    <cellStyle name="Normal 65 5 2 3 2" xfId="46559" xr:uid="{00000000-0005-0000-0000-000031B00000}"/>
    <cellStyle name="Normal 65 5 2 3 2 2" xfId="20918" xr:uid="{00000000-0005-0000-0000-000032B00000}"/>
    <cellStyle name="Normal 65 5 2 3 3" xfId="46561" xr:uid="{00000000-0005-0000-0000-000033B00000}"/>
    <cellStyle name="Normal 65 5 2 4" xfId="9056" xr:uid="{00000000-0005-0000-0000-000034B00000}"/>
    <cellStyle name="Normal 65 5 2 4 2" xfId="46563" xr:uid="{00000000-0005-0000-0000-000035B00000}"/>
    <cellStyle name="Normal 65 5 2 4 2 2" xfId="20988" xr:uid="{00000000-0005-0000-0000-000036B00000}"/>
    <cellStyle name="Normal 65 5 2 4 3" xfId="46565" xr:uid="{00000000-0005-0000-0000-000037B00000}"/>
    <cellStyle name="Normal 65 5 2 5" xfId="46567" xr:uid="{00000000-0005-0000-0000-000038B00000}"/>
    <cellStyle name="Normal 65 5 2 5 2" xfId="46569" xr:uid="{00000000-0005-0000-0000-000039B00000}"/>
    <cellStyle name="Normal 65 5 2 6" xfId="46571" xr:uid="{00000000-0005-0000-0000-00003AB00000}"/>
    <cellStyle name="Normal 65 5 2 6 2" xfId="46573" xr:uid="{00000000-0005-0000-0000-00003BB00000}"/>
    <cellStyle name="Normal 65 5 2 7" xfId="46575" xr:uid="{00000000-0005-0000-0000-00003CB00000}"/>
    <cellStyle name="Normal 65 5 2 8" xfId="46577" xr:uid="{00000000-0005-0000-0000-00003DB00000}"/>
    <cellStyle name="Normal 65 5 3" xfId="46579" xr:uid="{00000000-0005-0000-0000-00003EB00000}"/>
    <cellStyle name="Normal 65 5 3 2" xfId="46581" xr:uid="{00000000-0005-0000-0000-00003FB00000}"/>
    <cellStyle name="Normal 65 5 3 2 2" xfId="46583" xr:uid="{00000000-0005-0000-0000-000040B00000}"/>
    <cellStyle name="Normal 65 5 3 2 2 2" xfId="46585" xr:uid="{00000000-0005-0000-0000-000041B00000}"/>
    <cellStyle name="Normal 65 5 3 2 3" xfId="22964" xr:uid="{00000000-0005-0000-0000-000042B00000}"/>
    <cellStyle name="Normal 65 5 3 3" xfId="46587" xr:uid="{00000000-0005-0000-0000-000043B00000}"/>
    <cellStyle name="Normal 65 5 3 3 2" xfId="46589" xr:uid="{00000000-0005-0000-0000-000044B00000}"/>
    <cellStyle name="Normal 65 5 3 4" xfId="46591" xr:uid="{00000000-0005-0000-0000-000045B00000}"/>
    <cellStyle name="Normal 65 5 4" xfId="46593" xr:uid="{00000000-0005-0000-0000-000046B00000}"/>
    <cellStyle name="Normal 65 5 4 2" xfId="46595" xr:uid="{00000000-0005-0000-0000-000047B00000}"/>
    <cellStyle name="Normal 65 5 4 2 2" xfId="46597" xr:uid="{00000000-0005-0000-0000-000048B00000}"/>
    <cellStyle name="Normal 65 5 4 3" xfId="46599" xr:uid="{00000000-0005-0000-0000-000049B00000}"/>
    <cellStyle name="Normal 65 5 5" xfId="46601" xr:uid="{00000000-0005-0000-0000-00004AB00000}"/>
    <cellStyle name="Normal 65 5 5 2" xfId="46603" xr:uid="{00000000-0005-0000-0000-00004BB00000}"/>
    <cellStyle name="Normal 65 5 5 2 2" xfId="46605" xr:uid="{00000000-0005-0000-0000-00004CB00000}"/>
    <cellStyle name="Normal 65 5 5 3" xfId="46607" xr:uid="{00000000-0005-0000-0000-00004DB00000}"/>
    <cellStyle name="Normal 65 5 6" xfId="39217" xr:uid="{00000000-0005-0000-0000-00004EB00000}"/>
    <cellStyle name="Normal 65 5 6 2" xfId="39220" xr:uid="{00000000-0005-0000-0000-00004FB00000}"/>
    <cellStyle name="Normal 65 5 7" xfId="38374" xr:uid="{00000000-0005-0000-0000-000050B00000}"/>
    <cellStyle name="Normal 65 5 7 2" xfId="38379" xr:uid="{00000000-0005-0000-0000-000051B00000}"/>
    <cellStyle name="Normal 65 5 8" xfId="38384" xr:uid="{00000000-0005-0000-0000-000052B00000}"/>
    <cellStyle name="Normal 65 5 9" xfId="46609" xr:uid="{00000000-0005-0000-0000-000053B00000}"/>
    <cellStyle name="Normal 65 6" xfId="46611" xr:uid="{00000000-0005-0000-0000-000054B00000}"/>
    <cellStyle name="Normal 65 6 2" xfId="46613" xr:uid="{00000000-0005-0000-0000-000055B00000}"/>
    <cellStyle name="Normal 65 6 2 2" xfId="46615" xr:uid="{00000000-0005-0000-0000-000056B00000}"/>
    <cellStyle name="Normal 65 6 2 2 2" xfId="14887" xr:uid="{00000000-0005-0000-0000-000057B00000}"/>
    <cellStyle name="Normal 65 6 2 2 2 2" xfId="23972" xr:uid="{00000000-0005-0000-0000-000058B00000}"/>
    <cellStyle name="Normal 65 6 2 2 3" xfId="15225" xr:uid="{00000000-0005-0000-0000-000059B00000}"/>
    <cellStyle name="Normal 65 6 2 3" xfId="46617" xr:uid="{00000000-0005-0000-0000-00005AB00000}"/>
    <cellStyle name="Normal 65 6 2 3 2" xfId="46619" xr:uid="{00000000-0005-0000-0000-00005BB00000}"/>
    <cellStyle name="Normal 65 6 2 4" xfId="46621" xr:uid="{00000000-0005-0000-0000-00005CB00000}"/>
    <cellStyle name="Normal 65 6 3" xfId="46623" xr:uid="{00000000-0005-0000-0000-00005DB00000}"/>
    <cellStyle name="Normal 65 6 3 2" xfId="14897" xr:uid="{00000000-0005-0000-0000-00005EB00000}"/>
    <cellStyle name="Normal 65 6 3 2 2" xfId="46625" xr:uid="{00000000-0005-0000-0000-00005FB00000}"/>
    <cellStyle name="Normal 65 6 3 3" xfId="11993" xr:uid="{00000000-0005-0000-0000-000060B00000}"/>
    <cellStyle name="Normal 65 6 4" xfId="46627" xr:uid="{00000000-0005-0000-0000-000061B00000}"/>
    <cellStyle name="Normal 65 6 4 2" xfId="46629" xr:uid="{00000000-0005-0000-0000-000062B00000}"/>
    <cellStyle name="Normal 65 6 4 2 2" xfId="46631" xr:uid="{00000000-0005-0000-0000-000063B00000}"/>
    <cellStyle name="Normal 65 6 4 3" xfId="46633" xr:uid="{00000000-0005-0000-0000-000064B00000}"/>
    <cellStyle name="Normal 65 6 5" xfId="46635" xr:uid="{00000000-0005-0000-0000-000065B00000}"/>
    <cellStyle name="Normal 65 6 5 2" xfId="46637" xr:uid="{00000000-0005-0000-0000-000066B00000}"/>
    <cellStyle name="Normal 65 6 6" xfId="39224" xr:uid="{00000000-0005-0000-0000-000067B00000}"/>
    <cellStyle name="Normal 65 6 6 2" xfId="39227" xr:uid="{00000000-0005-0000-0000-000068B00000}"/>
    <cellStyle name="Normal 65 6 7" xfId="17871" xr:uid="{00000000-0005-0000-0000-000069B00000}"/>
    <cellStyle name="Normal 65 6 8" xfId="46639" xr:uid="{00000000-0005-0000-0000-00006AB00000}"/>
    <cellStyle name="Normal 65 7" xfId="46641" xr:uid="{00000000-0005-0000-0000-00006BB00000}"/>
    <cellStyle name="Normal 65 7 2" xfId="46643" xr:uid="{00000000-0005-0000-0000-00006CB00000}"/>
    <cellStyle name="Normal 65 7 2 2" xfId="46645" xr:uid="{00000000-0005-0000-0000-00006DB00000}"/>
    <cellStyle name="Normal 65 7 2 2 2" xfId="46647" xr:uid="{00000000-0005-0000-0000-00006EB00000}"/>
    <cellStyle name="Normal 65 7 2 3" xfId="46649" xr:uid="{00000000-0005-0000-0000-00006FB00000}"/>
    <cellStyle name="Normal 65 7 3" xfId="46651" xr:uid="{00000000-0005-0000-0000-000070B00000}"/>
    <cellStyle name="Normal 65 7 3 2" xfId="15619" xr:uid="{00000000-0005-0000-0000-000071B00000}"/>
    <cellStyle name="Normal 65 7 4" xfId="46653" xr:uid="{00000000-0005-0000-0000-000072B00000}"/>
    <cellStyle name="Normal 65 8" xfId="46655" xr:uid="{00000000-0005-0000-0000-000073B00000}"/>
    <cellStyle name="Normal 65 8 2" xfId="46657" xr:uid="{00000000-0005-0000-0000-000074B00000}"/>
    <cellStyle name="Normal 65 8 2 2" xfId="46659" xr:uid="{00000000-0005-0000-0000-000075B00000}"/>
    <cellStyle name="Normal 65 8 3" xfId="46661" xr:uid="{00000000-0005-0000-0000-000076B00000}"/>
    <cellStyle name="Normal 65 9" xfId="46663" xr:uid="{00000000-0005-0000-0000-000077B00000}"/>
    <cellStyle name="Normal 65 9 2" xfId="46665" xr:uid="{00000000-0005-0000-0000-000078B00000}"/>
    <cellStyle name="Normal 65 9 2 2" xfId="46667" xr:uid="{00000000-0005-0000-0000-000079B00000}"/>
    <cellStyle name="Normal 65 9 3" xfId="46669" xr:uid="{00000000-0005-0000-0000-00007AB00000}"/>
    <cellStyle name="Normal 66" xfId="46671" xr:uid="{00000000-0005-0000-0000-00007BB00000}"/>
    <cellStyle name="Normal 66 2" xfId="46673" xr:uid="{00000000-0005-0000-0000-00007CB00000}"/>
    <cellStyle name="Normal 67" xfId="46675" xr:uid="{00000000-0005-0000-0000-00007DB00000}"/>
    <cellStyle name="Normal 67 2" xfId="46677" xr:uid="{00000000-0005-0000-0000-00007EB00000}"/>
    <cellStyle name="Normal 68" xfId="34259" xr:uid="{00000000-0005-0000-0000-00007FB00000}"/>
    <cellStyle name="Normal 69" xfId="46679" xr:uid="{00000000-0005-0000-0000-000080B00000}"/>
    <cellStyle name="Normal 69 10" xfId="14952" xr:uid="{00000000-0005-0000-0000-000081B00000}"/>
    <cellStyle name="Normal 69 10 2" xfId="14954" xr:uid="{00000000-0005-0000-0000-000082B00000}"/>
    <cellStyle name="Normal 69 11" xfId="14883" xr:uid="{00000000-0005-0000-0000-000083B00000}"/>
    <cellStyle name="Normal 69 11 2" xfId="46680" xr:uid="{00000000-0005-0000-0000-000084B00000}"/>
    <cellStyle name="Normal 69 12" xfId="11531" xr:uid="{00000000-0005-0000-0000-000085B00000}"/>
    <cellStyle name="Normal 69 12 2" xfId="46681" xr:uid="{00000000-0005-0000-0000-000086B00000}"/>
    <cellStyle name="Normal 69 13" xfId="46682" xr:uid="{00000000-0005-0000-0000-000087B00000}"/>
    <cellStyle name="Normal 69 14" xfId="13893" xr:uid="{00000000-0005-0000-0000-000088B00000}"/>
    <cellStyle name="Normal 69 2" xfId="46684" xr:uid="{00000000-0005-0000-0000-000089B00000}"/>
    <cellStyle name="Normal 69 2 10" xfId="46685" xr:uid="{00000000-0005-0000-0000-00008AB00000}"/>
    <cellStyle name="Normal 69 2 2" xfId="9972" xr:uid="{00000000-0005-0000-0000-00008BB00000}"/>
    <cellStyle name="Normal 69 2 2 2" xfId="46687" xr:uid="{00000000-0005-0000-0000-00008CB00000}"/>
    <cellStyle name="Normal 69 2 2 2 2" xfId="18138" xr:uid="{00000000-0005-0000-0000-00008DB00000}"/>
    <cellStyle name="Normal 69 2 2 2 2 2" xfId="46689" xr:uid="{00000000-0005-0000-0000-00008EB00000}"/>
    <cellStyle name="Normal 69 2 2 2 2 2 2" xfId="46691" xr:uid="{00000000-0005-0000-0000-00008FB00000}"/>
    <cellStyle name="Normal 69 2 2 2 2 2 2 2" xfId="15450" xr:uid="{00000000-0005-0000-0000-000090B00000}"/>
    <cellStyle name="Normal 69 2 2 2 2 2 3" xfId="15453" xr:uid="{00000000-0005-0000-0000-000091B00000}"/>
    <cellStyle name="Normal 69 2 2 2 2 3" xfId="39232" xr:uid="{00000000-0005-0000-0000-000092B00000}"/>
    <cellStyle name="Normal 69 2 2 2 2 3 2" xfId="46692" xr:uid="{00000000-0005-0000-0000-000093B00000}"/>
    <cellStyle name="Normal 69 2 2 2 2 4" xfId="46693" xr:uid="{00000000-0005-0000-0000-000094B00000}"/>
    <cellStyle name="Normal 69 2 2 2 3" xfId="18142" xr:uid="{00000000-0005-0000-0000-000095B00000}"/>
    <cellStyle name="Normal 69 2 2 2 3 2" xfId="46695" xr:uid="{00000000-0005-0000-0000-000096B00000}"/>
    <cellStyle name="Normal 69 2 2 2 3 2 2" xfId="46696" xr:uid="{00000000-0005-0000-0000-000097B00000}"/>
    <cellStyle name="Normal 69 2 2 2 3 3" xfId="46697" xr:uid="{00000000-0005-0000-0000-000098B00000}"/>
    <cellStyle name="Normal 69 2 2 2 4" xfId="19657" xr:uid="{00000000-0005-0000-0000-000099B00000}"/>
    <cellStyle name="Normal 69 2 2 2 4 2" xfId="19663" xr:uid="{00000000-0005-0000-0000-00009AB00000}"/>
    <cellStyle name="Normal 69 2 2 2 4 2 2" xfId="46698" xr:uid="{00000000-0005-0000-0000-00009BB00000}"/>
    <cellStyle name="Normal 69 2 2 2 4 3" xfId="46699" xr:uid="{00000000-0005-0000-0000-00009CB00000}"/>
    <cellStyle name="Normal 69 2 2 2 5" xfId="19666" xr:uid="{00000000-0005-0000-0000-00009DB00000}"/>
    <cellStyle name="Normal 69 2 2 2 5 2" xfId="46700" xr:uid="{00000000-0005-0000-0000-00009EB00000}"/>
    <cellStyle name="Normal 69 2 2 2 6" xfId="23109" xr:uid="{00000000-0005-0000-0000-00009FB00000}"/>
    <cellStyle name="Normal 69 2 2 2 6 2" xfId="23111" xr:uid="{00000000-0005-0000-0000-0000A0B00000}"/>
    <cellStyle name="Normal 69 2 2 2 7" xfId="23115" xr:uid="{00000000-0005-0000-0000-0000A1B00000}"/>
    <cellStyle name="Normal 69 2 2 2 8" xfId="35738" xr:uid="{00000000-0005-0000-0000-0000A2B00000}"/>
    <cellStyle name="Normal 69 2 2 3" xfId="46702" xr:uid="{00000000-0005-0000-0000-0000A3B00000}"/>
    <cellStyle name="Normal 69 2 2 3 2" xfId="46704" xr:uid="{00000000-0005-0000-0000-0000A4B00000}"/>
    <cellStyle name="Normal 69 2 2 3 2 2" xfId="46706" xr:uid="{00000000-0005-0000-0000-0000A5B00000}"/>
    <cellStyle name="Normal 69 2 2 3 2 2 2" xfId="46707" xr:uid="{00000000-0005-0000-0000-0000A6B00000}"/>
    <cellStyle name="Normal 69 2 2 3 2 3" xfId="46708" xr:uid="{00000000-0005-0000-0000-0000A7B00000}"/>
    <cellStyle name="Normal 69 2 2 3 3" xfId="46710" xr:uid="{00000000-0005-0000-0000-0000A8B00000}"/>
    <cellStyle name="Normal 69 2 2 3 3 2" xfId="46711" xr:uid="{00000000-0005-0000-0000-0000A9B00000}"/>
    <cellStyle name="Normal 69 2 2 3 4" xfId="19676" xr:uid="{00000000-0005-0000-0000-0000AAB00000}"/>
    <cellStyle name="Normal 69 2 2 4" xfId="46713" xr:uid="{00000000-0005-0000-0000-0000ABB00000}"/>
    <cellStyle name="Normal 69 2 2 4 2" xfId="46715" xr:uid="{00000000-0005-0000-0000-0000ACB00000}"/>
    <cellStyle name="Normal 69 2 2 4 2 2" xfId="46717" xr:uid="{00000000-0005-0000-0000-0000ADB00000}"/>
    <cellStyle name="Normal 69 2 2 4 3" xfId="46719" xr:uid="{00000000-0005-0000-0000-0000AEB00000}"/>
    <cellStyle name="Normal 69 2 2 5" xfId="46721" xr:uid="{00000000-0005-0000-0000-0000AFB00000}"/>
    <cellStyle name="Normal 69 2 2 5 2" xfId="46723" xr:uid="{00000000-0005-0000-0000-0000B0B00000}"/>
    <cellStyle name="Normal 69 2 2 5 2 2" xfId="46724" xr:uid="{00000000-0005-0000-0000-0000B1B00000}"/>
    <cellStyle name="Normal 69 2 2 5 3" xfId="46725" xr:uid="{00000000-0005-0000-0000-0000B2B00000}"/>
    <cellStyle name="Normal 69 2 2 6" xfId="46727" xr:uid="{00000000-0005-0000-0000-0000B3B00000}"/>
    <cellStyle name="Normal 69 2 2 6 2" xfId="46729" xr:uid="{00000000-0005-0000-0000-0000B4B00000}"/>
    <cellStyle name="Normal 69 2 2 7" xfId="46731" xr:uid="{00000000-0005-0000-0000-0000B5B00000}"/>
    <cellStyle name="Normal 69 2 2 7 2" xfId="46732" xr:uid="{00000000-0005-0000-0000-0000B6B00000}"/>
    <cellStyle name="Normal 69 2 2 8" xfId="23334" xr:uid="{00000000-0005-0000-0000-0000B7B00000}"/>
    <cellStyle name="Normal 69 2 2 9" xfId="15977" xr:uid="{00000000-0005-0000-0000-0000B8B00000}"/>
    <cellStyle name="Normal 69 2 3" xfId="46734" xr:uid="{00000000-0005-0000-0000-0000B9B00000}"/>
    <cellStyle name="Normal 69 2 3 2" xfId="46736" xr:uid="{00000000-0005-0000-0000-0000BAB00000}"/>
    <cellStyle name="Normal 69 2 3 2 2" xfId="46738" xr:uid="{00000000-0005-0000-0000-0000BBB00000}"/>
    <cellStyle name="Normal 69 2 3 2 2 2" xfId="46740" xr:uid="{00000000-0005-0000-0000-0000BCB00000}"/>
    <cellStyle name="Normal 69 2 3 2 2 2 2" xfId="46741" xr:uid="{00000000-0005-0000-0000-0000BDB00000}"/>
    <cellStyle name="Normal 69 2 3 2 2 3" xfId="39253" xr:uid="{00000000-0005-0000-0000-0000BEB00000}"/>
    <cellStyle name="Normal 69 2 3 2 3" xfId="8647" xr:uid="{00000000-0005-0000-0000-0000BFB00000}"/>
    <cellStyle name="Normal 69 2 3 2 3 2" xfId="46742" xr:uid="{00000000-0005-0000-0000-0000C0B00000}"/>
    <cellStyle name="Normal 69 2 3 2 4" xfId="19725" xr:uid="{00000000-0005-0000-0000-0000C1B00000}"/>
    <cellStyle name="Normal 69 2 3 3" xfId="46744" xr:uid="{00000000-0005-0000-0000-0000C2B00000}"/>
    <cellStyle name="Normal 69 2 3 3 2" xfId="46746" xr:uid="{00000000-0005-0000-0000-0000C3B00000}"/>
    <cellStyle name="Normal 69 2 3 3 2 2" xfId="46747" xr:uid="{00000000-0005-0000-0000-0000C4B00000}"/>
    <cellStyle name="Normal 69 2 3 3 3" xfId="17477" xr:uid="{00000000-0005-0000-0000-0000C5B00000}"/>
    <cellStyle name="Normal 69 2 3 4" xfId="46749" xr:uid="{00000000-0005-0000-0000-0000C6B00000}"/>
    <cellStyle name="Normal 69 2 3 4 2" xfId="46750" xr:uid="{00000000-0005-0000-0000-0000C7B00000}"/>
    <cellStyle name="Normal 69 2 3 4 2 2" xfId="46751" xr:uid="{00000000-0005-0000-0000-0000C8B00000}"/>
    <cellStyle name="Normal 69 2 3 4 3" xfId="17486" xr:uid="{00000000-0005-0000-0000-0000C9B00000}"/>
    <cellStyle name="Normal 69 2 3 5" xfId="46752" xr:uid="{00000000-0005-0000-0000-0000CAB00000}"/>
    <cellStyle name="Normal 69 2 3 5 2" xfId="46753" xr:uid="{00000000-0005-0000-0000-0000CBB00000}"/>
    <cellStyle name="Normal 69 2 3 6" xfId="46754" xr:uid="{00000000-0005-0000-0000-0000CCB00000}"/>
    <cellStyle name="Normal 69 2 3 6 2" xfId="46755" xr:uid="{00000000-0005-0000-0000-0000CDB00000}"/>
    <cellStyle name="Normal 69 2 3 7" xfId="46756" xr:uid="{00000000-0005-0000-0000-0000CEB00000}"/>
    <cellStyle name="Normal 69 2 3 8" xfId="17966" xr:uid="{00000000-0005-0000-0000-0000CFB00000}"/>
    <cellStyle name="Normal 69 2 4" xfId="46758" xr:uid="{00000000-0005-0000-0000-0000D0B00000}"/>
    <cellStyle name="Normal 69 2 4 2" xfId="46760" xr:uid="{00000000-0005-0000-0000-0000D1B00000}"/>
    <cellStyle name="Normal 69 2 4 2 2" xfId="46762" xr:uid="{00000000-0005-0000-0000-0000D2B00000}"/>
    <cellStyle name="Normal 69 2 4 2 2 2" xfId="46763" xr:uid="{00000000-0005-0000-0000-0000D3B00000}"/>
    <cellStyle name="Normal 69 2 4 2 3" xfId="46764" xr:uid="{00000000-0005-0000-0000-0000D4B00000}"/>
    <cellStyle name="Normal 69 2 4 3" xfId="46766" xr:uid="{00000000-0005-0000-0000-0000D5B00000}"/>
    <cellStyle name="Normal 69 2 4 3 2" xfId="46767" xr:uid="{00000000-0005-0000-0000-0000D6B00000}"/>
    <cellStyle name="Normal 69 2 4 4" xfId="45809" xr:uid="{00000000-0005-0000-0000-0000D7B00000}"/>
    <cellStyle name="Normal 69 2 5" xfId="46769" xr:uid="{00000000-0005-0000-0000-0000D8B00000}"/>
    <cellStyle name="Normal 69 2 5 2" xfId="46771" xr:uid="{00000000-0005-0000-0000-0000D9B00000}"/>
    <cellStyle name="Normal 69 2 5 2 2" xfId="46773" xr:uid="{00000000-0005-0000-0000-0000DAB00000}"/>
    <cellStyle name="Normal 69 2 5 3" xfId="46775" xr:uid="{00000000-0005-0000-0000-0000DBB00000}"/>
    <cellStyle name="Normal 69 2 6" xfId="46779" xr:uid="{00000000-0005-0000-0000-0000DCB00000}"/>
    <cellStyle name="Normal 69 2 6 2" xfId="46783" xr:uid="{00000000-0005-0000-0000-0000DDB00000}"/>
    <cellStyle name="Normal 69 2 6 2 2" xfId="46786" xr:uid="{00000000-0005-0000-0000-0000DEB00000}"/>
    <cellStyle name="Normal 69 2 6 3" xfId="46789" xr:uid="{00000000-0005-0000-0000-0000DFB00000}"/>
    <cellStyle name="Normal 69 2 7" xfId="46793" xr:uid="{00000000-0005-0000-0000-0000E0B00000}"/>
    <cellStyle name="Normal 69 2 7 2" xfId="46797" xr:uid="{00000000-0005-0000-0000-0000E1B00000}"/>
    <cellStyle name="Normal 69 2 8" xfId="46801" xr:uid="{00000000-0005-0000-0000-0000E2B00000}"/>
    <cellStyle name="Normal 69 2 8 2" xfId="46803" xr:uid="{00000000-0005-0000-0000-0000E3B00000}"/>
    <cellStyle name="Normal 69 2 9" xfId="46805" xr:uid="{00000000-0005-0000-0000-0000E4B00000}"/>
    <cellStyle name="Normal 69 3" xfId="46361" xr:uid="{00000000-0005-0000-0000-0000E5B00000}"/>
    <cellStyle name="Normal 69 3 2" xfId="46365" xr:uid="{00000000-0005-0000-0000-0000E6B00000}"/>
    <cellStyle name="Normal 69 3 2 2" xfId="46369" xr:uid="{00000000-0005-0000-0000-0000E7B00000}"/>
    <cellStyle name="Normal 69 3 2 2 2" xfId="46373" xr:uid="{00000000-0005-0000-0000-0000E8B00000}"/>
    <cellStyle name="Normal 69 3 2 2 2 2" xfId="14752" xr:uid="{00000000-0005-0000-0000-0000E9B00000}"/>
    <cellStyle name="Normal 69 3 2 2 2 2 2" xfId="14757" xr:uid="{00000000-0005-0000-0000-0000EAB00000}"/>
    <cellStyle name="Normal 69 3 2 2 2 3" xfId="14776" xr:uid="{00000000-0005-0000-0000-0000EBB00000}"/>
    <cellStyle name="Normal 69 3 2 2 3" xfId="46807" xr:uid="{00000000-0005-0000-0000-0000ECB00000}"/>
    <cellStyle name="Normal 69 3 2 2 3 2" xfId="14812" xr:uid="{00000000-0005-0000-0000-0000EDB00000}"/>
    <cellStyle name="Normal 69 3 2 2 4" xfId="46808" xr:uid="{00000000-0005-0000-0000-0000EEB00000}"/>
    <cellStyle name="Normal 69 3 2 2 5" xfId="46809" xr:uid="{00000000-0005-0000-0000-0000EFB00000}"/>
    <cellStyle name="Normal 69 3 2 3" xfId="46377" xr:uid="{00000000-0005-0000-0000-0000F0B00000}"/>
    <cellStyle name="Normal 69 3 2 3 2" xfId="46811" xr:uid="{00000000-0005-0000-0000-0000F1B00000}"/>
    <cellStyle name="Normal 69 3 2 3 2 2" xfId="14924" xr:uid="{00000000-0005-0000-0000-0000F2B00000}"/>
    <cellStyle name="Normal 69 3 2 3 3" xfId="46812" xr:uid="{00000000-0005-0000-0000-0000F3B00000}"/>
    <cellStyle name="Normal 69 3 2 4" xfId="46814" xr:uid="{00000000-0005-0000-0000-0000F4B00000}"/>
    <cellStyle name="Normal 69 3 2 4 2" xfId="46815" xr:uid="{00000000-0005-0000-0000-0000F5B00000}"/>
    <cellStyle name="Normal 69 3 2 4 2 2" xfId="15035" xr:uid="{00000000-0005-0000-0000-0000F6B00000}"/>
    <cellStyle name="Normal 69 3 2 4 3" xfId="46817" xr:uid="{00000000-0005-0000-0000-0000F7B00000}"/>
    <cellStyle name="Normal 69 3 2 5" xfId="46818" xr:uid="{00000000-0005-0000-0000-0000F8B00000}"/>
    <cellStyle name="Normal 69 3 2 5 2" xfId="46820" xr:uid="{00000000-0005-0000-0000-0000F9B00000}"/>
    <cellStyle name="Normal 69 3 2 6" xfId="46821" xr:uid="{00000000-0005-0000-0000-0000FAB00000}"/>
    <cellStyle name="Normal 69 3 2 6 2" xfId="46822" xr:uid="{00000000-0005-0000-0000-0000FBB00000}"/>
    <cellStyle name="Normal 69 3 2 7" xfId="46823" xr:uid="{00000000-0005-0000-0000-0000FCB00000}"/>
    <cellStyle name="Normal 69 3 2 8" xfId="23354" xr:uid="{00000000-0005-0000-0000-0000FDB00000}"/>
    <cellStyle name="Normal 69 3 3" xfId="46381" xr:uid="{00000000-0005-0000-0000-0000FEB00000}"/>
    <cellStyle name="Normal 69 3 3 2" xfId="46385" xr:uid="{00000000-0005-0000-0000-0000FFB00000}"/>
    <cellStyle name="Normal 69 3 3 2 2" xfId="46825" xr:uid="{00000000-0005-0000-0000-000000B10000}"/>
    <cellStyle name="Normal 69 3 3 2 2 2" xfId="15393" xr:uid="{00000000-0005-0000-0000-000001B10000}"/>
    <cellStyle name="Normal 69 3 3 2 3" xfId="46826" xr:uid="{00000000-0005-0000-0000-000002B10000}"/>
    <cellStyle name="Normal 69 3 3 3" xfId="46828" xr:uid="{00000000-0005-0000-0000-000003B10000}"/>
    <cellStyle name="Normal 69 3 3 3 2" xfId="46829" xr:uid="{00000000-0005-0000-0000-000004B10000}"/>
    <cellStyle name="Normal 69 3 3 4" xfId="46830" xr:uid="{00000000-0005-0000-0000-000005B10000}"/>
    <cellStyle name="Normal 69 3 3 5" xfId="7754" xr:uid="{00000000-0005-0000-0000-000006B10000}"/>
    <cellStyle name="Normal 69 3 4" xfId="46389" xr:uid="{00000000-0005-0000-0000-000007B10000}"/>
    <cellStyle name="Normal 69 3 4 2" xfId="46832" xr:uid="{00000000-0005-0000-0000-000008B10000}"/>
    <cellStyle name="Normal 69 3 4 2 2" xfId="46834" xr:uid="{00000000-0005-0000-0000-000009B10000}"/>
    <cellStyle name="Normal 69 3 4 3" xfId="46836" xr:uid="{00000000-0005-0000-0000-00000AB10000}"/>
    <cellStyle name="Normal 69 3 5" xfId="46393" xr:uid="{00000000-0005-0000-0000-00000BB10000}"/>
    <cellStyle name="Normal 69 3 5 2" xfId="46838" xr:uid="{00000000-0005-0000-0000-00000CB10000}"/>
    <cellStyle name="Normal 69 3 5 2 2" xfId="46839" xr:uid="{00000000-0005-0000-0000-00000DB10000}"/>
    <cellStyle name="Normal 69 3 5 3" xfId="24282" xr:uid="{00000000-0005-0000-0000-00000EB10000}"/>
    <cellStyle name="Normal 69 3 6" xfId="46843" xr:uid="{00000000-0005-0000-0000-00000FB10000}"/>
    <cellStyle name="Normal 69 3 6 2" xfId="26414" xr:uid="{00000000-0005-0000-0000-000010B10000}"/>
    <cellStyle name="Normal 69 3 7" xfId="46846" xr:uid="{00000000-0005-0000-0000-000011B10000}"/>
    <cellStyle name="Normal 69 3 7 2" xfId="46848" xr:uid="{00000000-0005-0000-0000-000012B10000}"/>
    <cellStyle name="Normal 69 3 8" xfId="46850" xr:uid="{00000000-0005-0000-0000-000013B10000}"/>
    <cellStyle name="Normal 69 3 9" xfId="46851" xr:uid="{00000000-0005-0000-0000-000014B10000}"/>
    <cellStyle name="Normal 69 4" xfId="46397" xr:uid="{00000000-0005-0000-0000-000015B10000}"/>
    <cellStyle name="Normal 69 4 2" xfId="32765" xr:uid="{00000000-0005-0000-0000-000016B10000}"/>
    <cellStyle name="Normal 69 4 2 2" xfId="21856" xr:uid="{00000000-0005-0000-0000-000017B10000}"/>
    <cellStyle name="Normal 69 4 2 2 2" xfId="21860" xr:uid="{00000000-0005-0000-0000-000018B10000}"/>
    <cellStyle name="Normal 69 4 2 2 2 2" xfId="16310" xr:uid="{00000000-0005-0000-0000-000019B10000}"/>
    <cellStyle name="Normal 69 4 2 2 2 2 2" xfId="46852" xr:uid="{00000000-0005-0000-0000-00001AB10000}"/>
    <cellStyle name="Normal 69 4 2 2 2 3" xfId="46853" xr:uid="{00000000-0005-0000-0000-00001BB10000}"/>
    <cellStyle name="Normal 69 4 2 2 3" xfId="21862" xr:uid="{00000000-0005-0000-0000-00001CB10000}"/>
    <cellStyle name="Normal 69 4 2 2 3 2" xfId="16315" xr:uid="{00000000-0005-0000-0000-00001DB10000}"/>
    <cellStyle name="Normal 69 4 2 2 4" xfId="46854" xr:uid="{00000000-0005-0000-0000-00001EB10000}"/>
    <cellStyle name="Normal 69 4 2 3" xfId="21865" xr:uid="{00000000-0005-0000-0000-00001FB10000}"/>
    <cellStyle name="Normal 69 4 2 3 2" xfId="21868" xr:uid="{00000000-0005-0000-0000-000020B10000}"/>
    <cellStyle name="Normal 69 4 2 3 2 2" xfId="21873" xr:uid="{00000000-0005-0000-0000-000021B10000}"/>
    <cellStyle name="Normal 69 4 2 3 3" xfId="21875" xr:uid="{00000000-0005-0000-0000-000022B10000}"/>
    <cellStyle name="Normal 69 4 2 4" xfId="21877" xr:uid="{00000000-0005-0000-0000-000023B10000}"/>
    <cellStyle name="Normal 69 4 2 4 2" xfId="21880" xr:uid="{00000000-0005-0000-0000-000024B10000}"/>
    <cellStyle name="Normal 69 4 2 4 2 2" xfId="46855" xr:uid="{00000000-0005-0000-0000-000025B10000}"/>
    <cellStyle name="Normal 69 4 2 4 3" xfId="46856" xr:uid="{00000000-0005-0000-0000-000026B10000}"/>
    <cellStyle name="Normal 69 4 2 5" xfId="21882" xr:uid="{00000000-0005-0000-0000-000027B10000}"/>
    <cellStyle name="Normal 69 4 2 5 2" xfId="21886" xr:uid="{00000000-0005-0000-0000-000028B10000}"/>
    <cellStyle name="Normal 69 4 2 6" xfId="21888" xr:uid="{00000000-0005-0000-0000-000029B10000}"/>
    <cellStyle name="Normal 69 4 2 6 2" xfId="46857" xr:uid="{00000000-0005-0000-0000-00002AB10000}"/>
    <cellStyle name="Normal 69 4 2 7" xfId="46858" xr:uid="{00000000-0005-0000-0000-00002BB10000}"/>
    <cellStyle name="Normal 69 4 2 8" xfId="46859" xr:uid="{00000000-0005-0000-0000-00002CB10000}"/>
    <cellStyle name="Normal 69 4 3" xfId="32771" xr:uid="{00000000-0005-0000-0000-00002DB10000}"/>
    <cellStyle name="Normal 69 4 3 2" xfId="21934" xr:uid="{00000000-0005-0000-0000-00002EB10000}"/>
    <cellStyle name="Normal 69 4 3 2 2" xfId="21936" xr:uid="{00000000-0005-0000-0000-00002FB10000}"/>
    <cellStyle name="Normal 69 4 3 2 2 2" xfId="17459" xr:uid="{00000000-0005-0000-0000-000030B10000}"/>
    <cellStyle name="Normal 69 4 3 2 3" xfId="21940" xr:uid="{00000000-0005-0000-0000-000031B10000}"/>
    <cellStyle name="Normal 69 4 3 3" xfId="21942" xr:uid="{00000000-0005-0000-0000-000032B10000}"/>
    <cellStyle name="Normal 69 4 3 3 2" xfId="21945" xr:uid="{00000000-0005-0000-0000-000033B10000}"/>
    <cellStyle name="Normal 69 4 3 4" xfId="21950" xr:uid="{00000000-0005-0000-0000-000034B10000}"/>
    <cellStyle name="Normal 69 4 4" xfId="46861" xr:uid="{00000000-0005-0000-0000-000035B10000}"/>
    <cellStyle name="Normal 69 4 4 2" xfId="22000" xr:uid="{00000000-0005-0000-0000-000036B10000}"/>
    <cellStyle name="Normal 69 4 4 2 2" xfId="22002" xr:uid="{00000000-0005-0000-0000-000037B10000}"/>
    <cellStyle name="Normal 69 4 4 3" xfId="22006" xr:uid="{00000000-0005-0000-0000-000038B10000}"/>
    <cellStyle name="Normal 69 4 5" xfId="46862" xr:uid="{00000000-0005-0000-0000-000039B10000}"/>
    <cellStyle name="Normal 69 4 5 2" xfId="22045" xr:uid="{00000000-0005-0000-0000-00003AB10000}"/>
    <cellStyle name="Normal 69 4 5 2 2" xfId="22047" xr:uid="{00000000-0005-0000-0000-00003BB10000}"/>
    <cellStyle name="Normal 69 4 5 3" xfId="22051" xr:uid="{00000000-0005-0000-0000-00003CB10000}"/>
    <cellStyle name="Normal 69 4 6" xfId="39301" xr:uid="{00000000-0005-0000-0000-00003DB10000}"/>
    <cellStyle name="Normal 69 4 6 2" xfId="22081" xr:uid="{00000000-0005-0000-0000-00003EB10000}"/>
    <cellStyle name="Normal 69 4 7" xfId="39305" xr:uid="{00000000-0005-0000-0000-00003FB10000}"/>
    <cellStyle name="Normal 69 4 7 2" xfId="19928" xr:uid="{00000000-0005-0000-0000-000040B10000}"/>
    <cellStyle name="Normal 69 4 8" xfId="46863" xr:uid="{00000000-0005-0000-0000-000041B10000}"/>
    <cellStyle name="Normal 69 4 9" xfId="46864" xr:uid="{00000000-0005-0000-0000-000042B10000}"/>
    <cellStyle name="Normal 69 5" xfId="1344" xr:uid="{00000000-0005-0000-0000-000043B10000}"/>
    <cellStyle name="Normal 69 5 2" xfId="5228" xr:uid="{00000000-0005-0000-0000-000044B10000}"/>
    <cellStyle name="Normal 69 5 2 2" xfId="22184" xr:uid="{00000000-0005-0000-0000-000045B10000}"/>
    <cellStyle name="Normal 69 5 2 2 2" xfId="22190" xr:uid="{00000000-0005-0000-0000-000046B10000}"/>
    <cellStyle name="Normal 69 5 2 2 2 2" xfId="22194" xr:uid="{00000000-0005-0000-0000-000047B10000}"/>
    <cellStyle name="Normal 69 5 2 2 2 2 2" xfId="28515" xr:uid="{00000000-0005-0000-0000-000048B10000}"/>
    <cellStyle name="Normal 69 5 2 2 2 3" xfId="28518" xr:uid="{00000000-0005-0000-0000-000049B10000}"/>
    <cellStyle name="Normal 69 5 2 2 3" xfId="22198" xr:uid="{00000000-0005-0000-0000-00004AB10000}"/>
    <cellStyle name="Normal 69 5 2 2 3 2" xfId="28521" xr:uid="{00000000-0005-0000-0000-00004BB10000}"/>
    <cellStyle name="Normal 69 5 2 2 4" xfId="28526" xr:uid="{00000000-0005-0000-0000-00004CB10000}"/>
    <cellStyle name="Normal 69 5 2 3" xfId="22205" xr:uid="{00000000-0005-0000-0000-00004DB10000}"/>
    <cellStyle name="Normal 69 5 2 3 2" xfId="22208" xr:uid="{00000000-0005-0000-0000-00004EB10000}"/>
    <cellStyle name="Normal 69 5 2 3 2 2" xfId="46865" xr:uid="{00000000-0005-0000-0000-00004FB10000}"/>
    <cellStyle name="Normal 69 5 2 3 3" xfId="46866" xr:uid="{00000000-0005-0000-0000-000050B10000}"/>
    <cellStyle name="Normal 69 5 2 4" xfId="22212" xr:uid="{00000000-0005-0000-0000-000051B10000}"/>
    <cellStyle name="Normal 69 5 2 4 2" xfId="22214" xr:uid="{00000000-0005-0000-0000-000052B10000}"/>
    <cellStyle name="Normal 69 5 2 4 2 2" xfId="46867" xr:uid="{00000000-0005-0000-0000-000053B10000}"/>
    <cellStyle name="Normal 69 5 2 4 3" xfId="46868" xr:uid="{00000000-0005-0000-0000-000054B10000}"/>
    <cellStyle name="Normal 69 5 2 5" xfId="22216" xr:uid="{00000000-0005-0000-0000-000055B10000}"/>
    <cellStyle name="Normal 69 5 2 5 2" xfId="46869" xr:uid="{00000000-0005-0000-0000-000056B10000}"/>
    <cellStyle name="Normal 69 5 2 6" xfId="21673" xr:uid="{00000000-0005-0000-0000-000057B10000}"/>
    <cellStyle name="Normal 69 5 2 6 2" xfId="46870" xr:uid="{00000000-0005-0000-0000-000058B10000}"/>
    <cellStyle name="Normal 69 5 2 7" xfId="46871" xr:uid="{00000000-0005-0000-0000-000059B10000}"/>
    <cellStyle name="Normal 69 5 2 8" xfId="46872" xr:uid="{00000000-0005-0000-0000-00005AB10000}"/>
    <cellStyle name="Normal 69 5 3" xfId="46401" xr:uid="{00000000-0005-0000-0000-00005BB10000}"/>
    <cellStyle name="Normal 69 5 3 2" xfId="22245" xr:uid="{00000000-0005-0000-0000-00005CB10000}"/>
    <cellStyle name="Normal 69 5 3 2 2" xfId="22247" xr:uid="{00000000-0005-0000-0000-00005DB10000}"/>
    <cellStyle name="Normal 69 5 3 2 2 2" xfId="46874" xr:uid="{00000000-0005-0000-0000-00005EB10000}"/>
    <cellStyle name="Normal 69 5 3 2 3" xfId="46875" xr:uid="{00000000-0005-0000-0000-00005FB10000}"/>
    <cellStyle name="Normal 69 5 3 3" xfId="22251" xr:uid="{00000000-0005-0000-0000-000060B10000}"/>
    <cellStyle name="Normal 69 5 3 3 2" xfId="22253" xr:uid="{00000000-0005-0000-0000-000061B10000}"/>
    <cellStyle name="Normal 69 5 3 4" xfId="22258" xr:uid="{00000000-0005-0000-0000-000062B10000}"/>
    <cellStyle name="Normal 69 5 4" xfId="46876" xr:uid="{00000000-0005-0000-0000-000063B10000}"/>
    <cellStyle name="Normal 69 5 4 2" xfId="46877" xr:uid="{00000000-0005-0000-0000-000064B10000}"/>
    <cellStyle name="Normal 69 5 4 2 2" xfId="46878" xr:uid="{00000000-0005-0000-0000-000065B10000}"/>
    <cellStyle name="Normal 69 5 4 3" xfId="46879" xr:uid="{00000000-0005-0000-0000-000066B10000}"/>
    <cellStyle name="Normal 69 5 5" xfId="46880" xr:uid="{00000000-0005-0000-0000-000067B10000}"/>
    <cellStyle name="Normal 69 5 5 2" xfId="46881" xr:uid="{00000000-0005-0000-0000-000068B10000}"/>
    <cellStyle name="Normal 69 5 5 2 2" xfId="46882" xr:uid="{00000000-0005-0000-0000-000069B10000}"/>
    <cellStyle name="Normal 69 5 5 3" xfId="46883" xr:uid="{00000000-0005-0000-0000-00006AB10000}"/>
    <cellStyle name="Normal 69 5 6" xfId="39309" xr:uid="{00000000-0005-0000-0000-00006BB10000}"/>
    <cellStyle name="Normal 69 5 6 2" xfId="46885" xr:uid="{00000000-0005-0000-0000-00006CB10000}"/>
    <cellStyle name="Normal 69 5 7" xfId="46887" xr:uid="{00000000-0005-0000-0000-00006DB10000}"/>
    <cellStyle name="Normal 69 5 7 2" xfId="46888" xr:uid="{00000000-0005-0000-0000-00006EB10000}"/>
    <cellStyle name="Normal 69 5 8" xfId="46889" xr:uid="{00000000-0005-0000-0000-00006FB10000}"/>
    <cellStyle name="Normal 69 5 9" xfId="46890" xr:uid="{00000000-0005-0000-0000-000070B10000}"/>
    <cellStyle name="Normal 69 6" xfId="6059" xr:uid="{00000000-0005-0000-0000-000071B10000}"/>
    <cellStyle name="Normal 69 6 2" xfId="46405" xr:uid="{00000000-0005-0000-0000-000072B10000}"/>
    <cellStyle name="Normal 69 6 2 2" xfId="22336" xr:uid="{00000000-0005-0000-0000-000073B10000}"/>
    <cellStyle name="Normal 69 6 2 2 2" xfId="22343" xr:uid="{00000000-0005-0000-0000-000074B10000}"/>
    <cellStyle name="Normal 69 6 2 2 2 2" xfId="46891" xr:uid="{00000000-0005-0000-0000-000075B10000}"/>
    <cellStyle name="Normal 69 6 2 2 3" xfId="28673" xr:uid="{00000000-0005-0000-0000-000076B10000}"/>
    <cellStyle name="Normal 69 6 2 3" xfId="22347" xr:uid="{00000000-0005-0000-0000-000077B10000}"/>
    <cellStyle name="Normal 69 6 2 3 2" xfId="22354" xr:uid="{00000000-0005-0000-0000-000078B10000}"/>
    <cellStyle name="Normal 69 6 2 4" xfId="22106" xr:uid="{00000000-0005-0000-0000-000079B10000}"/>
    <cellStyle name="Normal 69 6 3" xfId="46893" xr:uid="{00000000-0005-0000-0000-00007AB10000}"/>
    <cellStyle name="Normal 69 6 3 2" xfId="46894" xr:uid="{00000000-0005-0000-0000-00007BB10000}"/>
    <cellStyle name="Normal 69 6 3 2 2" xfId="46895" xr:uid="{00000000-0005-0000-0000-00007CB10000}"/>
    <cellStyle name="Normal 69 6 3 3" xfId="46896" xr:uid="{00000000-0005-0000-0000-00007DB10000}"/>
    <cellStyle name="Normal 69 6 4" xfId="46897" xr:uid="{00000000-0005-0000-0000-00007EB10000}"/>
    <cellStyle name="Normal 69 6 4 2" xfId="46898" xr:uid="{00000000-0005-0000-0000-00007FB10000}"/>
    <cellStyle name="Normal 69 6 4 2 2" xfId="46899" xr:uid="{00000000-0005-0000-0000-000080B10000}"/>
    <cellStyle name="Normal 69 6 4 3" xfId="46900" xr:uid="{00000000-0005-0000-0000-000081B10000}"/>
    <cellStyle name="Normal 69 6 5" xfId="46901" xr:uid="{00000000-0005-0000-0000-000082B10000}"/>
    <cellStyle name="Normal 69 6 5 2" xfId="46902" xr:uid="{00000000-0005-0000-0000-000083B10000}"/>
    <cellStyle name="Normal 69 6 6" xfId="46906" xr:uid="{00000000-0005-0000-0000-000084B10000}"/>
    <cellStyle name="Normal 69 6 6 2" xfId="46907" xr:uid="{00000000-0005-0000-0000-000085B10000}"/>
    <cellStyle name="Normal 69 6 7" xfId="40999" xr:uid="{00000000-0005-0000-0000-000086B10000}"/>
    <cellStyle name="Normal 69 6 8" xfId="41002" xr:uid="{00000000-0005-0000-0000-000087B10000}"/>
    <cellStyle name="Normal 69 7" xfId="46409" xr:uid="{00000000-0005-0000-0000-000088B10000}"/>
    <cellStyle name="Normal 69 7 2" xfId="46413" xr:uid="{00000000-0005-0000-0000-000089B10000}"/>
    <cellStyle name="Normal 69 7 2 2" xfId="22441" xr:uid="{00000000-0005-0000-0000-00008AB10000}"/>
    <cellStyle name="Normal 69 7 2 2 2" xfId="22443" xr:uid="{00000000-0005-0000-0000-00008BB10000}"/>
    <cellStyle name="Normal 69 7 2 3" xfId="22450" xr:uid="{00000000-0005-0000-0000-00008CB10000}"/>
    <cellStyle name="Normal 69 7 3" xfId="40468" xr:uid="{00000000-0005-0000-0000-00008DB10000}"/>
    <cellStyle name="Normal 69 7 3 2" xfId="40470" xr:uid="{00000000-0005-0000-0000-00008EB10000}"/>
    <cellStyle name="Normal 69 7 4" xfId="40472" xr:uid="{00000000-0005-0000-0000-00008FB10000}"/>
    <cellStyle name="Normal 69 8" xfId="46417" xr:uid="{00000000-0005-0000-0000-000090B10000}"/>
    <cellStyle name="Normal 69 8 2" xfId="46910" xr:uid="{00000000-0005-0000-0000-000091B10000}"/>
    <cellStyle name="Normal 69 8 2 2" xfId="7863" xr:uid="{00000000-0005-0000-0000-000092B10000}"/>
    <cellStyle name="Normal 69 8 3" xfId="40476" xr:uid="{00000000-0005-0000-0000-000093B10000}"/>
    <cellStyle name="Normal 69 9" xfId="46420" xr:uid="{00000000-0005-0000-0000-000094B10000}"/>
    <cellStyle name="Normal 69 9 2" xfId="46912" xr:uid="{00000000-0005-0000-0000-000095B10000}"/>
    <cellStyle name="Normal 69 9 2 2" xfId="46914" xr:uid="{00000000-0005-0000-0000-000096B10000}"/>
    <cellStyle name="Normal 69 9 3" xfId="42201" xr:uid="{00000000-0005-0000-0000-000097B10000}"/>
    <cellStyle name="Normal 7" xfId="4294" xr:uid="{00000000-0005-0000-0000-000098B10000}"/>
    <cellStyle name="Normal 7 10" xfId="13875" xr:uid="{00000000-0005-0000-0000-000099B10000}"/>
    <cellStyle name="Normal 7 10 2" xfId="10692" xr:uid="{00000000-0005-0000-0000-00009AB10000}"/>
    <cellStyle name="Normal 7 10 2 2" xfId="13072" xr:uid="{00000000-0005-0000-0000-00009BB10000}"/>
    <cellStyle name="Normal 7 10 2 2 2" xfId="9240" xr:uid="{00000000-0005-0000-0000-00009CB10000}"/>
    <cellStyle name="Normal 7 10 2 2 2 2" xfId="13032" xr:uid="{00000000-0005-0000-0000-00009DB10000}"/>
    <cellStyle name="Normal 7 10 2 2 3" xfId="7525" xr:uid="{00000000-0005-0000-0000-00009EB10000}"/>
    <cellStyle name="Normal 7 10 2 3" xfId="2100" xr:uid="{00000000-0005-0000-0000-00009FB10000}"/>
    <cellStyle name="Normal 7 10 2 3 2" xfId="13137" xr:uid="{00000000-0005-0000-0000-0000A0B10000}"/>
    <cellStyle name="Normal 7 10 2 4" xfId="13193" xr:uid="{00000000-0005-0000-0000-0000A1B10000}"/>
    <cellStyle name="Normal 7 10 3" xfId="10711" xr:uid="{00000000-0005-0000-0000-0000A2B10000}"/>
    <cellStyle name="Normal 7 10 3 2" xfId="13240" xr:uid="{00000000-0005-0000-0000-0000A3B10000}"/>
    <cellStyle name="Normal 7 10 3 2 2" xfId="13248" xr:uid="{00000000-0005-0000-0000-0000A4B10000}"/>
    <cellStyle name="Normal 7 10 3 3" xfId="13292" xr:uid="{00000000-0005-0000-0000-0000A5B10000}"/>
    <cellStyle name="Normal 7 10 4" xfId="13329" xr:uid="{00000000-0005-0000-0000-0000A6B10000}"/>
    <cellStyle name="Normal 7 10 4 2" xfId="13340" xr:uid="{00000000-0005-0000-0000-0000A7B10000}"/>
    <cellStyle name="Normal 7 10 4 2 2" xfId="13346" xr:uid="{00000000-0005-0000-0000-0000A8B10000}"/>
    <cellStyle name="Normal 7 10 4 3" xfId="13370" xr:uid="{00000000-0005-0000-0000-0000A9B10000}"/>
    <cellStyle name="Normal 7 10 5" xfId="13390" xr:uid="{00000000-0005-0000-0000-0000AAB10000}"/>
    <cellStyle name="Normal 7 10 5 2" xfId="13393" xr:uid="{00000000-0005-0000-0000-0000ABB10000}"/>
    <cellStyle name="Normal 7 10 6" xfId="13557" xr:uid="{00000000-0005-0000-0000-0000ACB10000}"/>
    <cellStyle name="Normal 7 10 6 2" xfId="13560" xr:uid="{00000000-0005-0000-0000-0000ADB10000}"/>
    <cellStyle name="Normal 7 10 7" xfId="13589" xr:uid="{00000000-0005-0000-0000-0000AEB10000}"/>
    <cellStyle name="Normal 7 11" xfId="5673" xr:uid="{00000000-0005-0000-0000-0000AFB10000}"/>
    <cellStyle name="Normal 7 11 2" xfId="926" xr:uid="{00000000-0005-0000-0000-0000B0B10000}"/>
    <cellStyle name="Normal 7 11 2 2" xfId="943" xr:uid="{00000000-0005-0000-0000-0000B1B10000}"/>
    <cellStyle name="Normal 7 11 2 2 2" xfId="6548" xr:uid="{00000000-0005-0000-0000-0000B2B10000}"/>
    <cellStyle name="Normal 7 11 2 3" xfId="6562" xr:uid="{00000000-0005-0000-0000-0000B3B10000}"/>
    <cellStyle name="Normal 7 11 3" xfId="956" xr:uid="{00000000-0005-0000-0000-0000B4B10000}"/>
    <cellStyle name="Normal 7 11 3 2" xfId="6579" xr:uid="{00000000-0005-0000-0000-0000B5B10000}"/>
    <cellStyle name="Normal 7 11 4" xfId="6600" xr:uid="{00000000-0005-0000-0000-0000B6B10000}"/>
    <cellStyle name="Normal 7 12" xfId="5690" xr:uid="{00000000-0005-0000-0000-0000B7B10000}"/>
    <cellStyle name="Normal 7 12 2" xfId="1008" xr:uid="{00000000-0005-0000-0000-0000B8B10000}"/>
    <cellStyle name="Normal 7 12 2 2" xfId="5452" xr:uid="{00000000-0005-0000-0000-0000B9B10000}"/>
    <cellStyle name="Normal 7 12 3" xfId="5708" xr:uid="{00000000-0005-0000-0000-0000BAB10000}"/>
    <cellStyle name="Normal 7 13" xfId="5726" xr:uid="{00000000-0005-0000-0000-0000BBB10000}"/>
    <cellStyle name="Normal 7 13 2" xfId="1066" xr:uid="{00000000-0005-0000-0000-0000BCB10000}"/>
    <cellStyle name="Normal 7 13 2 2" xfId="6655" xr:uid="{00000000-0005-0000-0000-0000BDB10000}"/>
    <cellStyle name="Normal 7 13 3" xfId="6666" xr:uid="{00000000-0005-0000-0000-0000BEB10000}"/>
    <cellStyle name="Normal 7 14" xfId="5742" xr:uid="{00000000-0005-0000-0000-0000BFB10000}"/>
    <cellStyle name="Normal 7 14 2" xfId="5753" xr:uid="{00000000-0005-0000-0000-0000C0B10000}"/>
    <cellStyle name="Normal 7 15" xfId="3725" xr:uid="{00000000-0005-0000-0000-0000C1B10000}"/>
    <cellStyle name="Normal 7 15 2" xfId="3744" xr:uid="{00000000-0005-0000-0000-0000C2B10000}"/>
    <cellStyle name="Normal 7 16" xfId="2302" xr:uid="{00000000-0005-0000-0000-0000C3B10000}"/>
    <cellStyle name="Normal 7 16 2" xfId="2334" xr:uid="{00000000-0005-0000-0000-0000C4B10000}"/>
    <cellStyle name="Normal 7 2" xfId="22924" xr:uid="{00000000-0005-0000-0000-0000C5B10000}"/>
    <cellStyle name="Normal 7 2 10" xfId="46915" xr:uid="{00000000-0005-0000-0000-0000C6B10000}"/>
    <cellStyle name="Normal 7 2 10 2" xfId="45442" xr:uid="{00000000-0005-0000-0000-0000C7B10000}"/>
    <cellStyle name="Normal 7 2 10 2 2" xfId="45444" xr:uid="{00000000-0005-0000-0000-0000C8B10000}"/>
    <cellStyle name="Normal 7 2 10 3" xfId="34886" xr:uid="{00000000-0005-0000-0000-0000C9B10000}"/>
    <cellStyle name="Normal 7 2 11" xfId="46916" xr:uid="{00000000-0005-0000-0000-0000CAB10000}"/>
    <cellStyle name="Normal 7 2 11 2" xfId="46917" xr:uid="{00000000-0005-0000-0000-0000CBB10000}"/>
    <cellStyle name="Normal 7 2 12" xfId="46918" xr:uid="{00000000-0005-0000-0000-0000CCB10000}"/>
    <cellStyle name="Normal 7 2 12 2" xfId="46919" xr:uid="{00000000-0005-0000-0000-0000CDB10000}"/>
    <cellStyle name="Normal 7 2 13" xfId="46920" xr:uid="{00000000-0005-0000-0000-0000CEB10000}"/>
    <cellStyle name="Normal 7 2 13 2" xfId="46921" xr:uid="{00000000-0005-0000-0000-0000CFB10000}"/>
    <cellStyle name="Normal 7 2 2" xfId="22930" xr:uid="{00000000-0005-0000-0000-0000D0B10000}"/>
    <cellStyle name="Normal 7 2 3" xfId="46922" xr:uid="{00000000-0005-0000-0000-0000D1B10000}"/>
    <cellStyle name="Normal 7 2 3 2" xfId="17369" xr:uid="{00000000-0005-0000-0000-0000D2B10000}"/>
    <cellStyle name="Normal 7 2 3 2 2" xfId="17371" xr:uid="{00000000-0005-0000-0000-0000D3B10000}"/>
    <cellStyle name="Normal 7 2 3 2 2 2" xfId="46923" xr:uid="{00000000-0005-0000-0000-0000D4B10000}"/>
    <cellStyle name="Normal 7 2 3 2 2 2 2" xfId="6405" xr:uid="{00000000-0005-0000-0000-0000D5B10000}"/>
    <cellStyle name="Normal 7 2 3 2 2 2 2 2" xfId="6414" xr:uid="{00000000-0005-0000-0000-0000D6B10000}"/>
    <cellStyle name="Normal 7 2 3 2 2 2 2 2 2" xfId="46924" xr:uid="{00000000-0005-0000-0000-0000D7B10000}"/>
    <cellStyle name="Normal 7 2 3 2 2 2 2 3" xfId="46925" xr:uid="{00000000-0005-0000-0000-0000D8B10000}"/>
    <cellStyle name="Normal 7 2 3 2 2 2 3" xfId="6424" xr:uid="{00000000-0005-0000-0000-0000D9B10000}"/>
    <cellStyle name="Normal 7 2 3 2 2 2 3 2" xfId="6428" xr:uid="{00000000-0005-0000-0000-0000DAB10000}"/>
    <cellStyle name="Normal 7 2 3 2 2 2 4" xfId="6434" xr:uid="{00000000-0005-0000-0000-0000DBB10000}"/>
    <cellStyle name="Normal 7 2 3 2 2 3" xfId="46926" xr:uid="{00000000-0005-0000-0000-0000DCB10000}"/>
    <cellStyle name="Normal 7 2 3 2 2 3 2" xfId="6462" xr:uid="{00000000-0005-0000-0000-0000DDB10000}"/>
    <cellStyle name="Normal 7 2 3 2 2 3 2 2" xfId="20658" xr:uid="{00000000-0005-0000-0000-0000DEB10000}"/>
    <cellStyle name="Normal 7 2 3 2 2 3 3" xfId="20256" xr:uid="{00000000-0005-0000-0000-0000DFB10000}"/>
    <cellStyle name="Normal 7 2 3 2 2 4" xfId="34654" xr:uid="{00000000-0005-0000-0000-0000E0B10000}"/>
    <cellStyle name="Normal 7 2 3 2 2 4 2" xfId="46927" xr:uid="{00000000-0005-0000-0000-0000E1B10000}"/>
    <cellStyle name="Normal 7 2 3 2 2 4 2 2" xfId="46928" xr:uid="{00000000-0005-0000-0000-0000E2B10000}"/>
    <cellStyle name="Normal 7 2 3 2 2 4 3" xfId="46929" xr:uid="{00000000-0005-0000-0000-0000E3B10000}"/>
    <cellStyle name="Normal 7 2 3 2 2 5" xfId="46930" xr:uid="{00000000-0005-0000-0000-0000E4B10000}"/>
    <cellStyle name="Normal 7 2 3 2 2 5 2" xfId="46931" xr:uid="{00000000-0005-0000-0000-0000E5B10000}"/>
    <cellStyle name="Normal 7 2 3 2 2 6" xfId="46932" xr:uid="{00000000-0005-0000-0000-0000E6B10000}"/>
    <cellStyle name="Normal 7 2 3 2 2 6 2" xfId="46933" xr:uid="{00000000-0005-0000-0000-0000E7B10000}"/>
    <cellStyle name="Normal 7 2 3 2 2 7" xfId="46934" xr:uid="{00000000-0005-0000-0000-0000E8B10000}"/>
    <cellStyle name="Normal 7 2 3 2 3" xfId="46935" xr:uid="{00000000-0005-0000-0000-0000E9B10000}"/>
    <cellStyle name="Normal 7 2 3 2 3 2" xfId="46936" xr:uid="{00000000-0005-0000-0000-0000EAB10000}"/>
    <cellStyle name="Normal 7 2 3 2 3 2 2" xfId="7266" xr:uid="{00000000-0005-0000-0000-0000EBB10000}"/>
    <cellStyle name="Normal 7 2 3 2 3 2 2 2" xfId="2714" xr:uid="{00000000-0005-0000-0000-0000ECB10000}"/>
    <cellStyle name="Normal 7 2 3 2 3 2 3" xfId="7685" xr:uid="{00000000-0005-0000-0000-0000EDB10000}"/>
    <cellStyle name="Normal 7 2 3 2 3 3" xfId="46937" xr:uid="{00000000-0005-0000-0000-0000EEB10000}"/>
    <cellStyle name="Normal 7 2 3 2 3 3 2" xfId="498" xr:uid="{00000000-0005-0000-0000-0000EFB10000}"/>
    <cellStyle name="Normal 7 2 3 2 3 4" xfId="46938" xr:uid="{00000000-0005-0000-0000-0000F0B10000}"/>
    <cellStyle name="Normal 7 2 3 2 4" xfId="46939" xr:uid="{00000000-0005-0000-0000-0000F1B10000}"/>
    <cellStyle name="Normal 7 2 3 2 4 2" xfId="46940" xr:uid="{00000000-0005-0000-0000-0000F2B10000}"/>
    <cellStyle name="Normal 7 2 3 2 4 2 2" xfId="3038" xr:uid="{00000000-0005-0000-0000-0000F3B10000}"/>
    <cellStyle name="Normal 7 2 3 2 4 3" xfId="46941" xr:uid="{00000000-0005-0000-0000-0000F4B10000}"/>
    <cellStyle name="Normal 7 2 3 2 5" xfId="34910" xr:uid="{00000000-0005-0000-0000-0000F5B10000}"/>
    <cellStyle name="Normal 7 2 3 2 5 2" xfId="34918" xr:uid="{00000000-0005-0000-0000-0000F6B10000}"/>
    <cellStyle name="Normal 7 2 3 2 5 2 2" xfId="3377" xr:uid="{00000000-0005-0000-0000-0000F7B10000}"/>
    <cellStyle name="Normal 7 2 3 2 5 3" xfId="3410" xr:uid="{00000000-0005-0000-0000-0000F8B10000}"/>
    <cellStyle name="Normal 7 2 3 2 6" xfId="34932" xr:uid="{00000000-0005-0000-0000-0000F9B10000}"/>
    <cellStyle name="Normal 7 2 3 2 6 2" xfId="34935" xr:uid="{00000000-0005-0000-0000-0000FAB10000}"/>
    <cellStyle name="Normal 7 2 3 2 7" xfId="34946" xr:uid="{00000000-0005-0000-0000-0000FBB10000}"/>
    <cellStyle name="Normal 7 2 3 2 7 2" xfId="34949" xr:uid="{00000000-0005-0000-0000-0000FCB10000}"/>
    <cellStyle name="Normal 7 2 3 2 8" xfId="34956" xr:uid="{00000000-0005-0000-0000-0000FDB10000}"/>
    <cellStyle name="Normal 7 2 3 3" xfId="17375" xr:uid="{00000000-0005-0000-0000-0000FEB10000}"/>
    <cellStyle name="Normal 7 2 3 3 2" xfId="40199" xr:uid="{00000000-0005-0000-0000-0000FFB10000}"/>
    <cellStyle name="Normal 7 2 3 3 2 2" xfId="46942" xr:uid="{00000000-0005-0000-0000-000000B20000}"/>
    <cellStyle name="Normal 7 2 3 3 2 2 2" xfId="46943" xr:uid="{00000000-0005-0000-0000-000001B20000}"/>
    <cellStyle name="Normal 7 2 3 3 2 2 2 2" xfId="46816" xr:uid="{00000000-0005-0000-0000-000002B20000}"/>
    <cellStyle name="Normal 7 2 3 3 2 2 3" xfId="20275" xr:uid="{00000000-0005-0000-0000-000003B20000}"/>
    <cellStyle name="Normal 7 2 3 3 2 3" xfId="46944" xr:uid="{00000000-0005-0000-0000-000004B20000}"/>
    <cellStyle name="Normal 7 2 3 3 2 3 2" xfId="46945" xr:uid="{00000000-0005-0000-0000-000005B20000}"/>
    <cellStyle name="Normal 7 2 3 3 2 4" xfId="34659" xr:uid="{00000000-0005-0000-0000-000006B20000}"/>
    <cellStyle name="Normal 7 2 3 3 3" xfId="31683" xr:uid="{00000000-0005-0000-0000-000007B20000}"/>
    <cellStyle name="Normal 7 2 3 3 3 2" xfId="46946" xr:uid="{00000000-0005-0000-0000-000008B20000}"/>
    <cellStyle name="Normal 7 2 3 3 3 2 2" xfId="46947" xr:uid="{00000000-0005-0000-0000-000009B20000}"/>
    <cellStyle name="Normal 7 2 3 3 3 3" xfId="46948" xr:uid="{00000000-0005-0000-0000-00000AB20000}"/>
    <cellStyle name="Normal 7 2 3 3 4" xfId="46949" xr:uid="{00000000-0005-0000-0000-00000BB20000}"/>
    <cellStyle name="Normal 7 2 3 3 4 2" xfId="46950" xr:uid="{00000000-0005-0000-0000-00000CB20000}"/>
    <cellStyle name="Normal 7 2 3 3 4 2 2" xfId="46951" xr:uid="{00000000-0005-0000-0000-00000DB20000}"/>
    <cellStyle name="Normal 7 2 3 3 4 3" xfId="46952" xr:uid="{00000000-0005-0000-0000-00000EB20000}"/>
    <cellStyle name="Normal 7 2 3 3 5" xfId="34985" xr:uid="{00000000-0005-0000-0000-00000FB20000}"/>
    <cellStyle name="Normal 7 2 3 3 5 2" xfId="34988" xr:uid="{00000000-0005-0000-0000-000010B20000}"/>
    <cellStyle name="Normal 7 2 3 3 6" xfId="5679" xr:uid="{00000000-0005-0000-0000-000011B20000}"/>
    <cellStyle name="Normal 7 2 3 3 6 2" xfId="34997" xr:uid="{00000000-0005-0000-0000-000012B20000}"/>
    <cellStyle name="Normal 7 2 3 3 7" xfId="35008" xr:uid="{00000000-0005-0000-0000-000013B20000}"/>
    <cellStyle name="Normal 7 2 3 4" xfId="17378" xr:uid="{00000000-0005-0000-0000-000014B20000}"/>
    <cellStyle name="Normal 7 2 3 4 2" xfId="18196" xr:uid="{00000000-0005-0000-0000-000015B20000}"/>
    <cellStyle name="Normal 7 2 3 4 2 2" xfId="18198" xr:uid="{00000000-0005-0000-0000-000016B20000}"/>
    <cellStyle name="Normal 7 2 3 4 2 2 2" xfId="19452" xr:uid="{00000000-0005-0000-0000-000017B20000}"/>
    <cellStyle name="Normal 7 2 3 4 2 3" xfId="46953" xr:uid="{00000000-0005-0000-0000-000018B20000}"/>
    <cellStyle name="Normal 7 2 3 4 3" xfId="18200" xr:uid="{00000000-0005-0000-0000-000019B20000}"/>
    <cellStyle name="Normal 7 2 3 4 3 2" xfId="46954" xr:uid="{00000000-0005-0000-0000-00001AB20000}"/>
    <cellStyle name="Normal 7 2 3 4 4" xfId="46955" xr:uid="{00000000-0005-0000-0000-00001BB20000}"/>
    <cellStyle name="Normal 7 2 3 5" xfId="46956" xr:uid="{00000000-0005-0000-0000-00001CB20000}"/>
    <cellStyle name="Normal 7 2 3 5 2" xfId="46957" xr:uid="{00000000-0005-0000-0000-00001DB20000}"/>
    <cellStyle name="Normal 7 2 3 5 2 2" xfId="46958" xr:uid="{00000000-0005-0000-0000-00001EB20000}"/>
    <cellStyle name="Normal 7 2 3 5 3" xfId="46959" xr:uid="{00000000-0005-0000-0000-00001FB20000}"/>
    <cellStyle name="Normal 7 2 3 6" xfId="43340" xr:uid="{00000000-0005-0000-0000-000020B20000}"/>
    <cellStyle name="Normal 7 2 3 6 2" xfId="3673" xr:uid="{00000000-0005-0000-0000-000021B20000}"/>
    <cellStyle name="Normal 7 2 3 6 2 2" xfId="46960" xr:uid="{00000000-0005-0000-0000-000022B20000}"/>
    <cellStyle name="Normal 7 2 3 6 3" xfId="1554" xr:uid="{00000000-0005-0000-0000-000023B20000}"/>
    <cellStyle name="Normal 7 2 3 7" xfId="46961" xr:uid="{00000000-0005-0000-0000-000024B20000}"/>
    <cellStyle name="Normal 7 2 3 7 2" xfId="46962" xr:uid="{00000000-0005-0000-0000-000025B20000}"/>
    <cellStyle name="Normal 7 2 3 8" xfId="46963" xr:uid="{00000000-0005-0000-0000-000026B20000}"/>
    <cellStyle name="Normal 7 2 3 8 2" xfId="46964" xr:uid="{00000000-0005-0000-0000-000027B20000}"/>
    <cellStyle name="Normal 7 2 3 9" xfId="46965" xr:uid="{00000000-0005-0000-0000-000028B20000}"/>
    <cellStyle name="Normal 7 2 4" xfId="38691" xr:uid="{00000000-0005-0000-0000-000029B20000}"/>
    <cellStyle name="Normal 7 2 4 2" xfId="17413" xr:uid="{00000000-0005-0000-0000-00002AB20000}"/>
    <cellStyle name="Normal 7 2 4 2 2" xfId="17416" xr:uid="{00000000-0005-0000-0000-00002BB20000}"/>
    <cellStyle name="Normal 7 2 4 2 2 2" xfId="46966" xr:uid="{00000000-0005-0000-0000-00002CB20000}"/>
    <cellStyle name="Normal 7 2 4 2 2 2 2" xfId="46967" xr:uid="{00000000-0005-0000-0000-00002DB20000}"/>
    <cellStyle name="Normal 7 2 4 2 2 2 2 2" xfId="46968" xr:uid="{00000000-0005-0000-0000-00002EB20000}"/>
    <cellStyle name="Normal 7 2 4 2 2 2 3" xfId="20022" xr:uid="{00000000-0005-0000-0000-00002FB20000}"/>
    <cellStyle name="Normal 7 2 4 2 2 3" xfId="46969" xr:uid="{00000000-0005-0000-0000-000030B20000}"/>
    <cellStyle name="Normal 7 2 4 2 2 3 2" xfId="331" xr:uid="{00000000-0005-0000-0000-000031B20000}"/>
    <cellStyle name="Normal 7 2 4 2 2 4" xfId="46970" xr:uid="{00000000-0005-0000-0000-000032B20000}"/>
    <cellStyle name="Normal 7 2 4 2 3" xfId="46971" xr:uid="{00000000-0005-0000-0000-000033B20000}"/>
    <cellStyle name="Normal 7 2 4 2 3 2" xfId="46972" xr:uid="{00000000-0005-0000-0000-000034B20000}"/>
    <cellStyle name="Normal 7 2 4 2 3 2 2" xfId="46973" xr:uid="{00000000-0005-0000-0000-000035B20000}"/>
    <cellStyle name="Normal 7 2 4 2 3 3" xfId="18783" xr:uid="{00000000-0005-0000-0000-000036B20000}"/>
    <cellStyle name="Normal 7 2 4 2 4" xfId="46974" xr:uid="{00000000-0005-0000-0000-000037B20000}"/>
    <cellStyle name="Normal 7 2 4 2 4 2" xfId="46975" xr:uid="{00000000-0005-0000-0000-000038B20000}"/>
    <cellStyle name="Normal 7 2 4 2 4 2 2" xfId="46976" xr:uid="{00000000-0005-0000-0000-000039B20000}"/>
    <cellStyle name="Normal 7 2 4 2 4 3" xfId="20772" xr:uid="{00000000-0005-0000-0000-00003AB20000}"/>
    <cellStyle name="Normal 7 2 4 2 5" xfId="35383" xr:uid="{00000000-0005-0000-0000-00003BB20000}"/>
    <cellStyle name="Normal 7 2 4 2 5 2" xfId="35386" xr:uid="{00000000-0005-0000-0000-00003CB20000}"/>
    <cellStyle name="Normal 7 2 4 2 6" xfId="35409" xr:uid="{00000000-0005-0000-0000-00003DB20000}"/>
    <cellStyle name="Normal 7 2 4 2 6 2" xfId="35412" xr:uid="{00000000-0005-0000-0000-00003EB20000}"/>
    <cellStyle name="Normal 7 2 4 2 7" xfId="35415" xr:uid="{00000000-0005-0000-0000-00003FB20000}"/>
    <cellStyle name="Normal 7 2 4 3" xfId="17418" xr:uid="{00000000-0005-0000-0000-000040B20000}"/>
    <cellStyle name="Normal 7 2 4 3 2" xfId="46977" xr:uid="{00000000-0005-0000-0000-000041B20000}"/>
    <cellStyle name="Normal 7 2 4 3 2 2" xfId="46978" xr:uid="{00000000-0005-0000-0000-000042B20000}"/>
    <cellStyle name="Normal 7 2 4 3 2 2 2" xfId="46979" xr:uid="{00000000-0005-0000-0000-000043B20000}"/>
    <cellStyle name="Normal 7 2 4 3 2 3" xfId="46980" xr:uid="{00000000-0005-0000-0000-000044B20000}"/>
    <cellStyle name="Normal 7 2 4 3 3" xfId="31690" xr:uid="{00000000-0005-0000-0000-000045B20000}"/>
    <cellStyle name="Normal 7 2 4 3 3 2" xfId="46981" xr:uid="{00000000-0005-0000-0000-000046B20000}"/>
    <cellStyle name="Normal 7 2 4 3 4" xfId="46982" xr:uid="{00000000-0005-0000-0000-000047B20000}"/>
    <cellStyle name="Normal 7 2 4 4" xfId="17421" xr:uid="{00000000-0005-0000-0000-000048B20000}"/>
    <cellStyle name="Normal 7 2 4 4 2" xfId="46983" xr:uid="{00000000-0005-0000-0000-000049B20000}"/>
    <cellStyle name="Normal 7 2 4 4 2 2" xfId="46984" xr:uid="{00000000-0005-0000-0000-00004AB20000}"/>
    <cellStyle name="Normal 7 2 4 4 3" xfId="46985" xr:uid="{00000000-0005-0000-0000-00004BB20000}"/>
    <cellStyle name="Normal 7 2 4 5" xfId="46986" xr:uid="{00000000-0005-0000-0000-00004CB20000}"/>
    <cellStyle name="Normal 7 2 4 5 2" xfId="46987" xr:uid="{00000000-0005-0000-0000-00004DB20000}"/>
    <cellStyle name="Normal 7 2 4 5 2 2" xfId="46988" xr:uid="{00000000-0005-0000-0000-00004EB20000}"/>
    <cellStyle name="Normal 7 2 4 5 3" xfId="46989" xr:uid="{00000000-0005-0000-0000-00004FB20000}"/>
    <cellStyle name="Normal 7 2 4 6" xfId="43345" xr:uid="{00000000-0005-0000-0000-000050B20000}"/>
    <cellStyle name="Normal 7 2 4 6 2" xfId="46990" xr:uid="{00000000-0005-0000-0000-000051B20000}"/>
    <cellStyle name="Normal 7 2 4 7" xfId="46991" xr:uid="{00000000-0005-0000-0000-000052B20000}"/>
    <cellStyle name="Normal 7 2 4 7 2" xfId="11401" xr:uid="{00000000-0005-0000-0000-000053B20000}"/>
    <cellStyle name="Normal 7 2 4 8" xfId="46992" xr:uid="{00000000-0005-0000-0000-000054B20000}"/>
    <cellStyle name="Normal 7 2 5" xfId="38693" xr:uid="{00000000-0005-0000-0000-000055B20000}"/>
    <cellStyle name="Normal 7 2 5 2" xfId="17432" xr:uid="{00000000-0005-0000-0000-000056B20000}"/>
    <cellStyle name="Normal 7 2 5 2 2" xfId="46993" xr:uid="{00000000-0005-0000-0000-000057B20000}"/>
    <cellStyle name="Normal 7 2 5 2 2 2" xfId="26121" xr:uid="{00000000-0005-0000-0000-000058B20000}"/>
    <cellStyle name="Normal 7 2 5 2 2 2 2" xfId="26124" xr:uid="{00000000-0005-0000-0000-000059B20000}"/>
    <cellStyle name="Normal 7 2 5 2 2 2 2 2" xfId="39025" xr:uid="{00000000-0005-0000-0000-00005AB20000}"/>
    <cellStyle name="Normal 7 2 5 2 2 2 3" xfId="20349" xr:uid="{00000000-0005-0000-0000-00005BB20000}"/>
    <cellStyle name="Normal 7 2 5 2 2 3" xfId="26129" xr:uid="{00000000-0005-0000-0000-00005CB20000}"/>
    <cellStyle name="Normal 7 2 5 2 2 3 2" xfId="41731" xr:uid="{00000000-0005-0000-0000-00005DB20000}"/>
    <cellStyle name="Normal 7 2 5 2 2 4" xfId="26132" xr:uid="{00000000-0005-0000-0000-00005EB20000}"/>
    <cellStyle name="Normal 7 2 5 2 3" xfId="46994" xr:uid="{00000000-0005-0000-0000-00005FB20000}"/>
    <cellStyle name="Normal 7 2 5 2 3 2" xfId="46995" xr:uid="{00000000-0005-0000-0000-000060B20000}"/>
    <cellStyle name="Normal 7 2 5 2 3 2 2" xfId="46996" xr:uid="{00000000-0005-0000-0000-000061B20000}"/>
    <cellStyle name="Normal 7 2 5 2 3 3" xfId="21063" xr:uid="{00000000-0005-0000-0000-000062B20000}"/>
    <cellStyle name="Normal 7 2 5 2 4" xfId="46997" xr:uid="{00000000-0005-0000-0000-000063B20000}"/>
    <cellStyle name="Normal 7 2 5 2 4 2" xfId="46998" xr:uid="{00000000-0005-0000-0000-000064B20000}"/>
    <cellStyle name="Normal 7 2 5 2 4 2 2" xfId="46999" xr:uid="{00000000-0005-0000-0000-000065B20000}"/>
    <cellStyle name="Normal 7 2 5 2 4 3" xfId="21090" xr:uid="{00000000-0005-0000-0000-000066B20000}"/>
    <cellStyle name="Normal 7 2 5 2 5" xfId="23668" xr:uid="{00000000-0005-0000-0000-000067B20000}"/>
    <cellStyle name="Normal 7 2 5 2 5 2" xfId="23672" xr:uid="{00000000-0005-0000-0000-000068B20000}"/>
    <cellStyle name="Normal 7 2 5 2 6" xfId="23677" xr:uid="{00000000-0005-0000-0000-000069B20000}"/>
    <cellStyle name="Normal 7 2 5 2 6 2" xfId="35750" xr:uid="{00000000-0005-0000-0000-00006AB20000}"/>
    <cellStyle name="Normal 7 2 5 2 7" xfId="35757" xr:uid="{00000000-0005-0000-0000-00006BB20000}"/>
    <cellStyle name="Normal 7 2 5 3" xfId="17434" xr:uid="{00000000-0005-0000-0000-00006CB20000}"/>
    <cellStyle name="Normal 7 2 5 3 2" xfId="47000" xr:uid="{00000000-0005-0000-0000-00006DB20000}"/>
    <cellStyle name="Normal 7 2 5 3 2 2" xfId="26193" xr:uid="{00000000-0005-0000-0000-00006EB20000}"/>
    <cellStyle name="Normal 7 2 5 3 2 2 2" xfId="26196" xr:uid="{00000000-0005-0000-0000-00006FB20000}"/>
    <cellStyle name="Normal 7 2 5 3 2 3" xfId="11323" xr:uid="{00000000-0005-0000-0000-000070B20000}"/>
    <cellStyle name="Normal 7 2 5 3 3" xfId="47001" xr:uid="{00000000-0005-0000-0000-000071B20000}"/>
    <cellStyle name="Normal 7 2 5 3 3 2" xfId="47002" xr:uid="{00000000-0005-0000-0000-000072B20000}"/>
    <cellStyle name="Normal 7 2 5 3 4" xfId="47003" xr:uid="{00000000-0005-0000-0000-000073B20000}"/>
    <cellStyle name="Normal 7 2 5 4" xfId="47004" xr:uid="{00000000-0005-0000-0000-000074B20000}"/>
    <cellStyle name="Normal 7 2 5 4 2" xfId="47005" xr:uid="{00000000-0005-0000-0000-000075B20000}"/>
    <cellStyle name="Normal 7 2 5 4 2 2" xfId="26261" xr:uid="{00000000-0005-0000-0000-000076B20000}"/>
    <cellStyle name="Normal 7 2 5 4 3" xfId="47006" xr:uid="{00000000-0005-0000-0000-000077B20000}"/>
    <cellStyle name="Normal 7 2 5 5" xfId="47007" xr:uid="{00000000-0005-0000-0000-000078B20000}"/>
    <cellStyle name="Normal 7 2 5 5 2" xfId="37513" xr:uid="{00000000-0005-0000-0000-000079B20000}"/>
    <cellStyle name="Normal 7 2 5 5 2 2" xfId="47008" xr:uid="{00000000-0005-0000-0000-00007AB20000}"/>
    <cellStyle name="Normal 7 2 5 5 3" xfId="47009" xr:uid="{00000000-0005-0000-0000-00007BB20000}"/>
    <cellStyle name="Normal 7 2 5 6" xfId="47010" xr:uid="{00000000-0005-0000-0000-00007CB20000}"/>
    <cellStyle name="Normal 7 2 5 6 2" xfId="40110" xr:uid="{00000000-0005-0000-0000-00007DB20000}"/>
    <cellStyle name="Normal 7 2 5 7" xfId="47011" xr:uid="{00000000-0005-0000-0000-00007EB20000}"/>
    <cellStyle name="Normal 7 2 5 7 2" xfId="11464" xr:uid="{00000000-0005-0000-0000-00007FB20000}"/>
    <cellStyle name="Normal 7 2 5 8" xfId="47012" xr:uid="{00000000-0005-0000-0000-000080B20000}"/>
    <cellStyle name="Normal 7 2 6" xfId="47013" xr:uid="{00000000-0005-0000-0000-000081B20000}"/>
    <cellStyle name="Normal 7 2 6 2" xfId="21433" xr:uid="{00000000-0005-0000-0000-000082B20000}"/>
    <cellStyle name="Normal 7 2 6 2 2" xfId="47014" xr:uid="{00000000-0005-0000-0000-000083B20000}"/>
    <cellStyle name="Normal 7 2 6 2 2 2" xfId="14434" xr:uid="{00000000-0005-0000-0000-000084B20000}"/>
    <cellStyle name="Normal 7 2 6 2 2 2 2" xfId="26429" xr:uid="{00000000-0005-0000-0000-000085B20000}"/>
    <cellStyle name="Normal 7 2 6 2 2 2 2 2" xfId="42140" xr:uid="{00000000-0005-0000-0000-000086B20000}"/>
    <cellStyle name="Normal 7 2 6 2 2 2 3" xfId="16275" xr:uid="{00000000-0005-0000-0000-000087B20000}"/>
    <cellStyle name="Normal 7 2 6 2 2 3" xfId="24710" xr:uid="{00000000-0005-0000-0000-000088B20000}"/>
    <cellStyle name="Normal 7 2 6 2 2 3 2" xfId="42143" xr:uid="{00000000-0005-0000-0000-000089B20000}"/>
    <cellStyle name="Normal 7 2 6 2 2 4" xfId="26433" xr:uid="{00000000-0005-0000-0000-00008AB20000}"/>
    <cellStyle name="Normal 7 2 6 2 3" xfId="43787" xr:uid="{00000000-0005-0000-0000-00008BB20000}"/>
    <cellStyle name="Normal 7 2 6 2 3 2" xfId="4494" xr:uid="{00000000-0005-0000-0000-00008CB20000}"/>
    <cellStyle name="Normal 7 2 6 2 3 2 2" xfId="4502" xr:uid="{00000000-0005-0000-0000-00008DB20000}"/>
    <cellStyle name="Normal 7 2 6 2 3 3" xfId="4514" xr:uid="{00000000-0005-0000-0000-00008EB20000}"/>
    <cellStyle name="Normal 7 2 6 2 4" xfId="47015" xr:uid="{00000000-0005-0000-0000-00008FB20000}"/>
    <cellStyle name="Normal 7 2 6 2 4 2" xfId="4598" xr:uid="{00000000-0005-0000-0000-000090B20000}"/>
    <cellStyle name="Normal 7 2 6 2 4 2 2" xfId="4602" xr:uid="{00000000-0005-0000-0000-000091B20000}"/>
    <cellStyle name="Normal 7 2 6 2 4 3" xfId="4605" xr:uid="{00000000-0005-0000-0000-000092B20000}"/>
    <cellStyle name="Normal 7 2 6 2 5" xfId="23716" xr:uid="{00000000-0005-0000-0000-000093B20000}"/>
    <cellStyle name="Normal 7 2 6 2 5 2" xfId="4627" xr:uid="{00000000-0005-0000-0000-000094B20000}"/>
    <cellStyle name="Normal 7 2 6 2 6" xfId="33817" xr:uid="{00000000-0005-0000-0000-000095B20000}"/>
    <cellStyle name="Normal 7 2 6 2 6 2" xfId="4660" xr:uid="{00000000-0005-0000-0000-000096B20000}"/>
    <cellStyle name="Normal 7 2 6 2 7" xfId="33822" xr:uid="{00000000-0005-0000-0000-000097B20000}"/>
    <cellStyle name="Normal 7 2 6 3" xfId="47016" xr:uid="{00000000-0005-0000-0000-000098B20000}"/>
    <cellStyle name="Normal 7 2 6 3 2" xfId="47017" xr:uid="{00000000-0005-0000-0000-000099B20000}"/>
    <cellStyle name="Normal 7 2 6 3 2 2" xfId="26457" xr:uid="{00000000-0005-0000-0000-00009AB20000}"/>
    <cellStyle name="Normal 7 2 6 3 2 2 2" xfId="14354" xr:uid="{00000000-0005-0000-0000-00009BB20000}"/>
    <cellStyle name="Normal 7 2 6 3 2 3" xfId="26461" xr:uid="{00000000-0005-0000-0000-00009CB20000}"/>
    <cellStyle name="Normal 7 2 6 3 3" xfId="43790" xr:uid="{00000000-0005-0000-0000-00009DB20000}"/>
    <cellStyle name="Normal 7 2 6 3 3 2" xfId="4727" xr:uid="{00000000-0005-0000-0000-00009EB20000}"/>
    <cellStyle name="Normal 7 2 6 3 4" xfId="47018" xr:uid="{00000000-0005-0000-0000-00009FB20000}"/>
    <cellStyle name="Normal 7 2 6 4" xfId="47019" xr:uid="{00000000-0005-0000-0000-0000A0B20000}"/>
    <cellStyle name="Normal 7 2 6 4 2" xfId="47020" xr:uid="{00000000-0005-0000-0000-0000A1B20000}"/>
    <cellStyle name="Normal 7 2 6 4 2 2" xfId="11245" xr:uid="{00000000-0005-0000-0000-0000A2B20000}"/>
    <cellStyle name="Normal 7 2 6 4 3" xfId="47021" xr:uid="{00000000-0005-0000-0000-0000A3B20000}"/>
    <cellStyle name="Normal 7 2 6 5" xfId="47022" xr:uid="{00000000-0005-0000-0000-0000A4B20000}"/>
    <cellStyle name="Normal 7 2 6 5 2" xfId="47023" xr:uid="{00000000-0005-0000-0000-0000A5B20000}"/>
    <cellStyle name="Normal 7 2 6 5 2 2" xfId="42263" xr:uid="{00000000-0005-0000-0000-0000A6B20000}"/>
    <cellStyle name="Normal 7 2 6 5 3" xfId="47024" xr:uid="{00000000-0005-0000-0000-0000A7B20000}"/>
    <cellStyle name="Normal 7 2 6 6" xfId="47025" xr:uid="{00000000-0005-0000-0000-0000A8B20000}"/>
    <cellStyle name="Normal 7 2 6 6 2" xfId="47026" xr:uid="{00000000-0005-0000-0000-0000A9B20000}"/>
    <cellStyle name="Normal 7 2 6 7" xfId="47027" xr:uid="{00000000-0005-0000-0000-0000AAB20000}"/>
    <cellStyle name="Normal 7 2 6 7 2" xfId="47028" xr:uid="{00000000-0005-0000-0000-0000ABB20000}"/>
    <cellStyle name="Normal 7 2 6 8" xfId="47029" xr:uid="{00000000-0005-0000-0000-0000ACB20000}"/>
    <cellStyle name="Normal 7 2 7" xfId="27799" xr:uid="{00000000-0005-0000-0000-0000ADB20000}"/>
    <cellStyle name="Normal 7 2 7 2" xfId="47030" xr:uid="{00000000-0005-0000-0000-0000AEB20000}"/>
    <cellStyle name="Normal 7 2 7 2 2" xfId="47031" xr:uid="{00000000-0005-0000-0000-0000AFB20000}"/>
    <cellStyle name="Normal 7 2 7 2 2 2" xfId="42431" xr:uid="{00000000-0005-0000-0000-0000B0B20000}"/>
    <cellStyle name="Normal 7 2 7 2 2 2 2" xfId="42434" xr:uid="{00000000-0005-0000-0000-0000B1B20000}"/>
    <cellStyle name="Normal 7 2 7 2 2 3" xfId="24952" xr:uid="{00000000-0005-0000-0000-0000B2B20000}"/>
    <cellStyle name="Normal 7 2 7 2 3" xfId="47032" xr:uid="{00000000-0005-0000-0000-0000B3B20000}"/>
    <cellStyle name="Normal 7 2 7 2 3 2" xfId="42461" xr:uid="{00000000-0005-0000-0000-0000B4B20000}"/>
    <cellStyle name="Normal 7 2 7 2 4" xfId="47033" xr:uid="{00000000-0005-0000-0000-0000B5B20000}"/>
    <cellStyle name="Normal 7 2 7 3" xfId="47034" xr:uid="{00000000-0005-0000-0000-0000B6B20000}"/>
    <cellStyle name="Normal 7 2 7 3 2" xfId="47035" xr:uid="{00000000-0005-0000-0000-0000B7B20000}"/>
    <cellStyle name="Normal 7 2 7 3 2 2" xfId="42520" xr:uid="{00000000-0005-0000-0000-0000B8B20000}"/>
    <cellStyle name="Normal 7 2 7 3 3" xfId="47036" xr:uid="{00000000-0005-0000-0000-0000B9B20000}"/>
    <cellStyle name="Normal 7 2 7 4" xfId="47037" xr:uid="{00000000-0005-0000-0000-0000BAB20000}"/>
    <cellStyle name="Normal 7 2 7 4 2" xfId="47038" xr:uid="{00000000-0005-0000-0000-0000BBB20000}"/>
    <cellStyle name="Normal 7 2 7 4 2 2" xfId="42589" xr:uid="{00000000-0005-0000-0000-0000BCB20000}"/>
    <cellStyle name="Normal 7 2 7 4 3" xfId="47039" xr:uid="{00000000-0005-0000-0000-0000BDB20000}"/>
    <cellStyle name="Normal 7 2 7 5" xfId="47040" xr:uid="{00000000-0005-0000-0000-0000BEB20000}"/>
    <cellStyle name="Normal 7 2 7 5 2" xfId="47041" xr:uid="{00000000-0005-0000-0000-0000BFB20000}"/>
    <cellStyle name="Normal 7 2 7 6" xfId="47042" xr:uid="{00000000-0005-0000-0000-0000C0B20000}"/>
    <cellStyle name="Normal 7 2 7 6 2" xfId="47043" xr:uid="{00000000-0005-0000-0000-0000C1B20000}"/>
    <cellStyle name="Normal 7 2 7 7" xfId="47044" xr:uid="{00000000-0005-0000-0000-0000C2B20000}"/>
    <cellStyle name="Normal 7 2 8" xfId="47045" xr:uid="{00000000-0005-0000-0000-0000C3B20000}"/>
    <cellStyle name="Normal 7 2 8 2" xfId="47046" xr:uid="{00000000-0005-0000-0000-0000C4B20000}"/>
    <cellStyle name="Normal 7 2 8 2 2" xfId="47047" xr:uid="{00000000-0005-0000-0000-0000C5B20000}"/>
    <cellStyle name="Normal 7 2 8 2 2 2" xfId="42785" xr:uid="{00000000-0005-0000-0000-0000C6B20000}"/>
    <cellStyle name="Normal 7 2 8 2 3" xfId="8709" xr:uid="{00000000-0005-0000-0000-0000C7B20000}"/>
    <cellStyle name="Normal 7 2 8 3" xfId="47048" xr:uid="{00000000-0005-0000-0000-0000C8B20000}"/>
    <cellStyle name="Normal 7 2 8 3 2" xfId="47049" xr:uid="{00000000-0005-0000-0000-0000C9B20000}"/>
    <cellStyle name="Normal 7 2 8 4" xfId="47050" xr:uid="{00000000-0005-0000-0000-0000CAB20000}"/>
    <cellStyle name="Normal 7 2 9" xfId="47051" xr:uid="{00000000-0005-0000-0000-0000CBB20000}"/>
    <cellStyle name="Normal 7 2 9 2" xfId="47052" xr:uid="{00000000-0005-0000-0000-0000CCB20000}"/>
    <cellStyle name="Normal 7 2 9 2 2" xfId="47053" xr:uid="{00000000-0005-0000-0000-0000CDB20000}"/>
    <cellStyle name="Normal 7 2 9 3" xfId="47054" xr:uid="{00000000-0005-0000-0000-0000CEB20000}"/>
    <cellStyle name="Normal 7 3" xfId="9797" xr:uid="{00000000-0005-0000-0000-0000CFB20000}"/>
    <cellStyle name="Normal 7 3 10" xfId="47055" xr:uid="{00000000-0005-0000-0000-0000D0B20000}"/>
    <cellStyle name="Normal 7 3 10 2" xfId="47056" xr:uid="{00000000-0005-0000-0000-0000D1B20000}"/>
    <cellStyle name="Normal 7 3 10 2 2" xfId="47057" xr:uid="{00000000-0005-0000-0000-0000D2B20000}"/>
    <cellStyle name="Normal 7 3 10 3" xfId="47058" xr:uid="{00000000-0005-0000-0000-0000D3B20000}"/>
    <cellStyle name="Normal 7 3 11" xfId="25585" xr:uid="{00000000-0005-0000-0000-0000D4B20000}"/>
    <cellStyle name="Normal 7 3 11 2" xfId="45620" xr:uid="{00000000-0005-0000-0000-0000D5B20000}"/>
    <cellStyle name="Normal 7 3 12" xfId="47059" xr:uid="{00000000-0005-0000-0000-0000D6B20000}"/>
    <cellStyle name="Normal 7 3 12 2" xfId="47060" xr:uid="{00000000-0005-0000-0000-0000D7B20000}"/>
    <cellStyle name="Normal 7 3 13" xfId="47061" xr:uid="{00000000-0005-0000-0000-0000D8B20000}"/>
    <cellStyle name="Normal 7 3 13 2" xfId="47062" xr:uid="{00000000-0005-0000-0000-0000D9B20000}"/>
    <cellStyle name="Normal 7 3 2" xfId="47063" xr:uid="{00000000-0005-0000-0000-0000DAB20000}"/>
    <cellStyle name="Normal 7 3 3" xfId="47064" xr:uid="{00000000-0005-0000-0000-0000DBB20000}"/>
    <cellStyle name="Normal 7 3 3 2" xfId="47065" xr:uid="{00000000-0005-0000-0000-0000DCB20000}"/>
    <cellStyle name="Normal 7 3 3 2 2" xfId="47066" xr:uid="{00000000-0005-0000-0000-0000DDB20000}"/>
    <cellStyle name="Normal 7 3 3 2 2 2" xfId="47067" xr:uid="{00000000-0005-0000-0000-0000DEB20000}"/>
    <cellStyle name="Normal 7 3 3 2 2 2 2" xfId="47068" xr:uid="{00000000-0005-0000-0000-0000DFB20000}"/>
    <cellStyle name="Normal 7 3 3 2 2 2 2 2" xfId="47069" xr:uid="{00000000-0005-0000-0000-0000E0B20000}"/>
    <cellStyle name="Normal 7 3 3 2 2 2 2 2 2" xfId="3822" xr:uid="{00000000-0005-0000-0000-0000E1B20000}"/>
    <cellStyle name="Normal 7 3 3 2 2 2 2 3" xfId="47070" xr:uid="{00000000-0005-0000-0000-0000E2B20000}"/>
    <cellStyle name="Normal 7 3 3 2 2 2 3" xfId="47071" xr:uid="{00000000-0005-0000-0000-0000E3B20000}"/>
    <cellStyle name="Normal 7 3 3 2 2 2 3 2" xfId="47072" xr:uid="{00000000-0005-0000-0000-0000E4B20000}"/>
    <cellStyle name="Normal 7 3 3 2 2 2 4" xfId="47073" xr:uid="{00000000-0005-0000-0000-0000E5B20000}"/>
    <cellStyle name="Normal 7 3 3 2 2 3" xfId="47074" xr:uid="{00000000-0005-0000-0000-0000E6B20000}"/>
    <cellStyle name="Normal 7 3 3 2 2 3 2" xfId="47075" xr:uid="{00000000-0005-0000-0000-0000E7B20000}"/>
    <cellStyle name="Normal 7 3 3 2 2 3 2 2" xfId="47076" xr:uid="{00000000-0005-0000-0000-0000E8B20000}"/>
    <cellStyle name="Normal 7 3 3 2 2 3 3" xfId="47077" xr:uid="{00000000-0005-0000-0000-0000E9B20000}"/>
    <cellStyle name="Normal 7 3 3 2 2 4" xfId="19199" xr:uid="{00000000-0005-0000-0000-0000EAB20000}"/>
    <cellStyle name="Normal 7 3 3 2 2 4 2" xfId="47078" xr:uid="{00000000-0005-0000-0000-0000EBB20000}"/>
    <cellStyle name="Normal 7 3 3 2 2 4 2 2" xfId="47079" xr:uid="{00000000-0005-0000-0000-0000ECB20000}"/>
    <cellStyle name="Normal 7 3 3 2 2 4 3" xfId="47080" xr:uid="{00000000-0005-0000-0000-0000EDB20000}"/>
    <cellStyle name="Normal 7 3 3 2 2 5" xfId="47081" xr:uid="{00000000-0005-0000-0000-0000EEB20000}"/>
    <cellStyle name="Normal 7 3 3 2 2 5 2" xfId="47082" xr:uid="{00000000-0005-0000-0000-0000EFB20000}"/>
    <cellStyle name="Normal 7 3 3 2 2 6" xfId="47083" xr:uid="{00000000-0005-0000-0000-0000F0B20000}"/>
    <cellStyle name="Normal 7 3 3 2 2 6 2" xfId="17767" xr:uid="{00000000-0005-0000-0000-0000F1B20000}"/>
    <cellStyle name="Normal 7 3 3 2 2 7" xfId="47084" xr:uid="{00000000-0005-0000-0000-0000F2B20000}"/>
    <cellStyle name="Normal 7 3 3 2 3" xfId="47085" xr:uid="{00000000-0005-0000-0000-0000F3B20000}"/>
    <cellStyle name="Normal 7 3 3 2 3 2" xfId="47086" xr:uid="{00000000-0005-0000-0000-0000F4B20000}"/>
    <cellStyle name="Normal 7 3 3 2 3 2 2" xfId="47087" xr:uid="{00000000-0005-0000-0000-0000F5B20000}"/>
    <cellStyle name="Normal 7 3 3 2 3 2 2 2" xfId="47088" xr:uid="{00000000-0005-0000-0000-0000F6B20000}"/>
    <cellStyle name="Normal 7 3 3 2 3 2 3" xfId="47089" xr:uid="{00000000-0005-0000-0000-0000F7B20000}"/>
    <cellStyle name="Normal 7 3 3 2 3 3" xfId="47090" xr:uid="{00000000-0005-0000-0000-0000F8B20000}"/>
    <cellStyle name="Normal 7 3 3 2 3 3 2" xfId="47091" xr:uid="{00000000-0005-0000-0000-0000F9B20000}"/>
    <cellStyle name="Normal 7 3 3 2 3 4" xfId="19202" xr:uid="{00000000-0005-0000-0000-0000FAB20000}"/>
    <cellStyle name="Normal 7 3 3 2 4" xfId="47092" xr:uid="{00000000-0005-0000-0000-0000FBB20000}"/>
    <cellStyle name="Normal 7 3 3 2 4 2" xfId="47093" xr:uid="{00000000-0005-0000-0000-0000FCB20000}"/>
    <cellStyle name="Normal 7 3 3 2 4 2 2" xfId="47094" xr:uid="{00000000-0005-0000-0000-0000FDB20000}"/>
    <cellStyle name="Normal 7 3 3 2 4 3" xfId="47095" xr:uid="{00000000-0005-0000-0000-0000FEB20000}"/>
    <cellStyle name="Normal 7 3 3 2 5" xfId="36692" xr:uid="{00000000-0005-0000-0000-0000FFB20000}"/>
    <cellStyle name="Normal 7 3 3 2 5 2" xfId="36697" xr:uid="{00000000-0005-0000-0000-000000B30000}"/>
    <cellStyle name="Normal 7 3 3 2 5 2 2" xfId="36700" xr:uid="{00000000-0005-0000-0000-000001B30000}"/>
    <cellStyle name="Normal 7 3 3 2 5 3" xfId="36715" xr:uid="{00000000-0005-0000-0000-000002B30000}"/>
    <cellStyle name="Normal 7 3 3 2 6" xfId="36736" xr:uid="{00000000-0005-0000-0000-000003B30000}"/>
    <cellStyle name="Normal 7 3 3 2 6 2" xfId="36739" xr:uid="{00000000-0005-0000-0000-000004B30000}"/>
    <cellStyle name="Normal 7 3 3 2 7" xfId="36754" xr:uid="{00000000-0005-0000-0000-000005B30000}"/>
    <cellStyle name="Normal 7 3 3 2 7 2" xfId="36757" xr:uid="{00000000-0005-0000-0000-000006B30000}"/>
    <cellStyle name="Normal 7 3 3 2 8" xfId="27591" xr:uid="{00000000-0005-0000-0000-000007B30000}"/>
    <cellStyle name="Normal 7 3 3 3" xfId="40205" xr:uid="{00000000-0005-0000-0000-000008B30000}"/>
    <cellStyle name="Normal 7 3 3 3 2" xfId="47096" xr:uid="{00000000-0005-0000-0000-000009B30000}"/>
    <cellStyle name="Normal 7 3 3 3 2 2" xfId="47097" xr:uid="{00000000-0005-0000-0000-00000AB30000}"/>
    <cellStyle name="Normal 7 3 3 3 2 2 2" xfId="47098" xr:uid="{00000000-0005-0000-0000-00000BB30000}"/>
    <cellStyle name="Normal 7 3 3 3 2 2 2 2" xfId="47099" xr:uid="{00000000-0005-0000-0000-00000CB30000}"/>
    <cellStyle name="Normal 7 3 3 3 2 2 3" xfId="47100" xr:uid="{00000000-0005-0000-0000-00000DB30000}"/>
    <cellStyle name="Normal 7 3 3 3 2 3" xfId="47101" xr:uid="{00000000-0005-0000-0000-00000EB30000}"/>
    <cellStyle name="Normal 7 3 3 3 2 3 2" xfId="47102" xr:uid="{00000000-0005-0000-0000-00000FB30000}"/>
    <cellStyle name="Normal 7 3 3 3 2 4" xfId="47103" xr:uid="{00000000-0005-0000-0000-000010B30000}"/>
    <cellStyle name="Normal 7 3 3 3 3" xfId="47104" xr:uid="{00000000-0005-0000-0000-000011B30000}"/>
    <cellStyle name="Normal 7 3 3 3 3 2" xfId="47105" xr:uid="{00000000-0005-0000-0000-000012B30000}"/>
    <cellStyle name="Normal 7 3 3 3 3 2 2" xfId="47106" xr:uid="{00000000-0005-0000-0000-000013B30000}"/>
    <cellStyle name="Normal 7 3 3 3 3 3" xfId="47107" xr:uid="{00000000-0005-0000-0000-000014B30000}"/>
    <cellStyle name="Normal 7 3 3 3 4" xfId="47108" xr:uid="{00000000-0005-0000-0000-000015B30000}"/>
    <cellStyle name="Normal 7 3 3 3 4 2" xfId="47109" xr:uid="{00000000-0005-0000-0000-000016B30000}"/>
    <cellStyle name="Normal 7 3 3 3 4 2 2" xfId="47110" xr:uid="{00000000-0005-0000-0000-000017B30000}"/>
    <cellStyle name="Normal 7 3 3 3 4 3" xfId="47111" xr:uid="{00000000-0005-0000-0000-000018B30000}"/>
    <cellStyle name="Normal 7 3 3 3 5" xfId="36778" xr:uid="{00000000-0005-0000-0000-000019B30000}"/>
    <cellStyle name="Normal 7 3 3 3 5 2" xfId="17206" xr:uid="{00000000-0005-0000-0000-00001AB30000}"/>
    <cellStyle name="Normal 7 3 3 3 6" xfId="36802" xr:uid="{00000000-0005-0000-0000-00001BB30000}"/>
    <cellStyle name="Normal 7 3 3 3 6 2" xfId="36805" xr:uid="{00000000-0005-0000-0000-00001CB30000}"/>
    <cellStyle name="Normal 7 3 3 3 7" xfId="36815" xr:uid="{00000000-0005-0000-0000-00001DB30000}"/>
    <cellStyle name="Normal 7 3 3 4" xfId="47112" xr:uid="{00000000-0005-0000-0000-00001EB30000}"/>
    <cellStyle name="Normal 7 3 3 4 2" xfId="47113" xr:uid="{00000000-0005-0000-0000-00001FB30000}"/>
    <cellStyle name="Normal 7 3 3 4 2 2" xfId="47114" xr:uid="{00000000-0005-0000-0000-000020B30000}"/>
    <cellStyle name="Normal 7 3 3 4 2 2 2" xfId="47115" xr:uid="{00000000-0005-0000-0000-000021B30000}"/>
    <cellStyle name="Normal 7 3 3 4 2 3" xfId="13218" xr:uid="{00000000-0005-0000-0000-000022B30000}"/>
    <cellStyle name="Normal 7 3 3 4 3" xfId="47116" xr:uid="{00000000-0005-0000-0000-000023B30000}"/>
    <cellStyle name="Normal 7 3 3 4 3 2" xfId="47117" xr:uid="{00000000-0005-0000-0000-000024B30000}"/>
    <cellStyle name="Normal 7 3 3 4 4" xfId="47118" xr:uid="{00000000-0005-0000-0000-000025B30000}"/>
    <cellStyle name="Normal 7 3 3 5" xfId="47119" xr:uid="{00000000-0005-0000-0000-000026B30000}"/>
    <cellStyle name="Normal 7 3 3 5 2" xfId="47120" xr:uid="{00000000-0005-0000-0000-000027B30000}"/>
    <cellStyle name="Normal 7 3 3 5 2 2" xfId="47121" xr:uid="{00000000-0005-0000-0000-000028B30000}"/>
    <cellStyle name="Normal 7 3 3 5 3" xfId="47122" xr:uid="{00000000-0005-0000-0000-000029B30000}"/>
    <cellStyle name="Normal 7 3 3 6" xfId="47123" xr:uid="{00000000-0005-0000-0000-00002AB30000}"/>
    <cellStyle name="Normal 7 3 3 6 2" xfId="42646" xr:uid="{00000000-0005-0000-0000-00002BB30000}"/>
    <cellStyle name="Normal 7 3 3 6 2 2" xfId="47124" xr:uid="{00000000-0005-0000-0000-00002CB30000}"/>
    <cellStyle name="Normal 7 3 3 6 3" xfId="47125" xr:uid="{00000000-0005-0000-0000-00002DB30000}"/>
    <cellStyle name="Normal 7 3 3 7" xfId="47126" xr:uid="{00000000-0005-0000-0000-00002EB30000}"/>
    <cellStyle name="Normal 7 3 3 7 2" xfId="47127" xr:uid="{00000000-0005-0000-0000-00002FB30000}"/>
    <cellStyle name="Normal 7 3 3 8" xfId="47128" xr:uid="{00000000-0005-0000-0000-000030B30000}"/>
    <cellStyle name="Normal 7 3 3 8 2" xfId="47129" xr:uid="{00000000-0005-0000-0000-000031B30000}"/>
    <cellStyle name="Normal 7 3 3 9" xfId="47130" xr:uid="{00000000-0005-0000-0000-000032B30000}"/>
    <cellStyle name="Normal 7 3 4" xfId="38695" xr:uid="{00000000-0005-0000-0000-000033B30000}"/>
    <cellStyle name="Normal 7 3 4 2" xfId="47131" xr:uid="{00000000-0005-0000-0000-000034B30000}"/>
    <cellStyle name="Normal 7 3 4 2 2" xfId="47132" xr:uid="{00000000-0005-0000-0000-000035B30000}"/>
    <cellStyle name="Normal 7 3 4 2 2 2" xfId="18655" xr:uid="{00000000-0005-0000-0000-000036B30000}"/>
    <cellStyle name="Normal 7 3 4 2 2 2 2" xfId="18659" xr:uid="{00000000-0005-0000-0000-000037B30000}"/>
    <cellStyle name="Normal 7 3 4 2 2 2 2 2" xfId="47133" xr:uid="{00000000-0005-0000-0000-000038B30000}"/>
    <cellStyle name="Normal 7 3 4 2 2 2 3" xfId="47134" xr:uid="{00000000-0005-0000-0000-000039B30000}"/>
    <cellStyle name="Normal 7 3 4 2 2 3" xfId="18763" xr:uid="{00000000-0005-0000-0000-00003AB30000}"/>
    <cellStyle name="Normal 7 3 4 2 2 3 2" xfId="47135" xr:uid="{00000000-0005-0000-0000-00003BB30000}"/>
    <cellStyle name="Normal 7 3 4 2 2 4" xfId="18807" xr:uid="{00000000-0005-0000-0000-00003CB30000}"/>
    <cellStyle name="Normal 7 3 4 2 3" xfId="47136" xr:uid="{00000000-0005-0000-0000-00003DB30000}"/>
    <cellStyle name="Normal 7 3 4 2 3 2" xfId="47137" xr:uid="{00000000-0005-0000-0000-00003EB30000}"/>
    <cellStyle name="Normal 7 3 4 2 3 2 2" xfId="47138" xr:uid="{00000000-0005-0000-0000-00003FB30000}"/>
    <cellStyle name="Normal 7 3 4 2 3 3" xfId="47139" xr:uid="{00000000-0005-0000-0000-000040B30000}"/>
    <cellStyle name="Normal 7 3 4 2 4" xfId="47140" xr:uid="{00000000-0005-0000-0000-000041B30000}"/>
    <cellStyle name="Normal 7 3 4 2 4 2" xfId="47141" xr:uid="{00000000-0005-0000-0000-000042B30000}"/>
    <cellStyle name="Normal 7 3 4 2 4 2 2" xfId="47142" xr:uid="{00000000-0005-0000-0000-000043B30000}"/>
    <cellStyle name="Normal 7 3 4 2 4 3" xfId="47143" xr:uid="{00000000-0005-0000-0000-000044B30000}"/>
    <cellStyle name="Normal 7 3 4 2 5" xfId="13782" xr:uid="{00000000-0005-0000-0000-000045B30000}"/>
    <cellStyle name="Normal 7 3 4 2 5 2" xfId="13787" xr:uid="{00000000-0005-0000-0000-000046B30000}"/>
    <cellStyle name="Normal 7 3 4 2 6" xfId="18106" xr:uid="{00000000-0005-0000-0000-000047B30000}"/>
    <cellStyle name="Normal 7 3 4 2 6 2" xfId="18114" xr:uid="{00000000-0005-0000-0000-000048B30000}"/>
    <cellStyle name="Normal 7 3 4 2 7" xfId="13400" xr:uid="{00000000-0005-0000-0000-000049B30000}"/>
    <cellStyle name="Normal 7 3 4 3" xfId="47144" xr:uid="{00000000-0005-0000-0000-00004AB30000}"/>
    <cellStyle name="Normal 7 3 4 3 2" xfId="47145" xr:uid="{00000000-0005-0000-0000-00004BB30000}"/>
    <cellStyle name="Normal 7 3 4 3 2 2" xfId="26683" xr:uid="{00000000-0005-0000-0000-00004CB30000}"/>
    <cellStyle name="Normal 7 3 4 3 2 2 2" xfId="20031" xr:uid="{00000000-0005-0000-0000-00004DB30000}"/>
    <cellStyle name="Normal 7 3 4 3 2 3" xfId="26685" xr:uid="{00000000-0005-0000-0000-00004EB30000}"/>
    <cellStyle name="Normal 7 3 4 3 3" xfId="47146" xr:uid="{00000000-0005-0000-0000-00004FB30000}"/>
    <cellStyle name="Normal 7 3 4 3 3 2" xfId="47147" xr:uid="{00000000-0005-0000-0000-000050B30000}"/>
    <cellStyle name="Normal 7 3 4 3 4" xfId="47148" xr:uid="{00000000-0005-0000-0000-000051B30000}"/>
    <cellStyle name="Normal 7 3 4 4" xfId="47149" xr:uid="{00000000-0005-0000-0000-000052B30000}"/>
    <cellStyle name="Normal 7 3 4 4 2" xfId="47150" xr:uid="{00000000-0005-0000-0000-000053B30000}"/>
    <cellStyle name="Normal 7 3 4 4 2 2" xfId="26704" xr:uid="{00000000-0005-0000-0000-000054B30000}"/>
    <cellStyle name="Normal 7 3 4 4 3" xfId="47151" xr:uid="{00000000-0005-0000-0000-000055B30000}"/>
    <cellStyle name="Normal 7 3 4 5" xfId="47152" xr:uid="{00000000-0005-0000-0000-000056B30000}"/>
    <cellStyle name="Normal 7 3 4 5 2" xfId="47153" xr:uid="{00000000-0005-0000-0000-000057B30000}"/>
    <cellStyle name="Normal 7 3 4 5 2 2" xfId="47154" xr:uid="{00000000-0005-0000-0000-000058B30000}"/>
    <cellStyle name="Normal 7 3 4 5 3" xfId="47155" xr:uid="{00000000-0005-0000-0000-000059B30000}"/>
    <cellStyle name="Normal 7 3 4 6" xfId="47156" xr:uid="{00000000-0005-0000-0000-00005AB30000}"/>
    <cellStyle name="Normal 7 3 4 6 2" xfId="47157" xr:uid="{00000000-0005-0000-0000-00005BB30000}"/>
    <cellStyle name="Normal 7 3 4 7" xfId="47158" xr:uid="{00000000-0005-0000-0000-00005CB30000}"/>
    <cellStyle name="Normal 7 3 4 7 2" xfId="16708" xr:uid="{00000000-0005-0000-0000-00005DB30000}"/>
    <cellStyle name="Normal 7 3 4 8" xfId="47159" xr:uid="{00000000-0005-0000-0000-00005EB30000}"/>
    <cellStyle name="Normal 7 3 5" xfId="47160" xr:uid="{00000000-0005-0000-0000-00005FB30000}"/>
    <cellStyle name="Normal 7 3 5 2" xfId="47161" xr:uid="{00000000-0005-0000-0000-000060B30000}"/>
    <cellStyle name="Normal 7 3 5 2 2" xfId="47162" xr:uid="{00000000-0005-0000-0000-000061B30000}"/>
    <cellStyle name="Normal 7 3 5 2 2 2" xfId="26859" xr:uid="{00000000-0005-0000-0000-000062B30000}"/>
    <cellStyle name="Normal 7 3 5 2 2 2 2" xfId="26862" xr:uid="{00000000-0005-0000-0000-000063B30000}"/>
    <cellStyle name="Normal 7 3 5 2 2 2 2 2" xfId="37168" xr:uid="{00000000-0005-0000-0000-000064B30000}"/>
    <cellStyle name="Normal 7 3 5 2 2 2 3" xfId="47163" xr:uid="{00000000-0005-0000-0000-000065B30000}"/>
    <cellStyle name="Normal 7 3 5 2 2 3" xfId="13679" xr:uid="{00000000-0005-0000-0000-000066B30000}"/>
    <cellStyle name="Normal 7 3 5 2 2 3 2" xfId="47164" xr:uid="{00000000-0005-0000-0000-000067B30000}"/>
    <cellStyle name="Normal 7 3 5 2 2 4" xfId="26864" xr:uid="{00000000-0005-0000-0000-000068B30000}"/>
    <cellStyle name="Normal 7 3 5 2 3" xfId="47165" xr:uid="{00000000-0005-0000-0000-000069B30000}"/>
    <cellStyle name="Normal 7 3 5 2 3 2" xfId="47166" xr:uid="{00000000-0005-0000-0000-00006AB30000}"/>
    <cellStyle name="Normal 7 3 5 2 3 2 2" xfId="47167" xr:uid="{00000000-0005-0000-0000-00006BB30000}"/>
    <cellStyle name="Normal 7 3 5 2 3 3" xfId="7872" xr:uid="{00000000-0005-0000-0000-00006CB30000}"/>
    <cellStyle name="Normal 7 3 5 2 4" xfId="47168" xr:uid="{00000000-0005-0000-0000-00006DB30000}"/>
    <cellStyle name="Normal 7 3 5 2 4 2" xfId="47169" xr:uid="{00000000-0005-0000-0000-00006EB30000}"/>
    <cellStyle name="Normal 7 3 5 2 4 2 2" xfId="47170" xr:uid="{00000000-0005-0000-0000-00006FB30000}"/>
    <cellStyle name="Normal 7 3 5 2 4 3" xfId="47171" xr:uid="{00000000-0005-0000-0000-000070B30000}"/>
    <cellStyle name="Normal 7 3 5 2 5" xfId="21570" xr:uid="{00000000-0005-0000-0000-000071B30000}"/>
    <cellStyle name="Normal 7 3 5 2 5 2" xfId="4302" xr:uid="{00000000-0005-0000-0000-000072B30000}"/>
    <cellStyle name="Normal 7 3 5 2 6" xfId="21576" xr:uid="{00000000-0005-0000-0000-000073B30000}"/>
    <cellStyle name="Normal 7 3 5 2 6 2" xfId="5096" xr:uid="{00000000-0005-0000-0000-000074B30000}"/>
    <cellStyle name="Normal 7 3 5 2 7" xfId="21580" xr:uid="{00000000-0005-0000-0000-000075B30000}"/>
    <cellStyle name="Normal 7 3 5 3" xfId="47172" xr:uid="{00000000-0005-0000-0000-000076B30000}"/>
    <cellStyle name="Normal 7 3 5 3 2" xfId="47173" xr:uid="{00000000-0005-0000-0000-000077B30000}"/>
    <cellStyle name="Normal 7 3 5 3 2 2" xfId="26906" xr:uid="{00000000-0005-0000-0000-000078B30000}"/>
    <cellStyle name="Normal 7 3 5 3 2 2 2" xfId="26908" xr:uid="{00000000-0005-0000-0000-000079B30000}"/>
    <cellStyle name="Normal 7 3 5 3 2 3" xfId="13731" xr:uid="{00000000-0005-0000-0000-00007AB30000}"/>
    <cellStyle name="Normal 7 3 5 3 3" xfId="47174" xr:uid="{00000000-0005-0000-0000-00007BB30000}"/>
    <cellStyle name="Normal 7 3 5 3 3 2" xfId="47175" xr:uid="{00000000-0005-0000-0000-00007CB30000}"/>
    <cellStyle name="Normal 7 3 5 3 4" xfId="47176" xr:uid="{00000000-0005-0000-0000-00007DB30000}"/>
    <cellStyle name="Normal 7 3 5 4" xfId="47177" xr:uid="{00000000-0005-0000-0000-00007EB30000}"/>
    <cellStyle name="Normal 7 3 5 4 2" xfId="47178" xr:uid="{00000000-0005-0000-0000-00007FB30000}"/>
    <cellStyle name="Normal 7 3 5 4 2 2" xfId="26940" xr:uid="{00000000-0005-0000-0000-000080B30000}"/>
    <cellStyle name="Normal 7 3 5 4 3" xfId="47179" xr:uid="{00000000-0005-0000-0000-000081B30000}"/>
    <cellStyle name="Normal 7 3 5 5" xfId="47180" xr:uid="{00000000-0005-0000-0000-000082B30000}"/>
    <cellStyle name="Normal 7 3 5 5 2" xfId="42051" xr:uid="{00000000-0005-0000-0000-000083B30000}"/>
    <cellStyle name="Normal 7 3 5 5 2 2" xfId="47181" xr:uid="{00000000-0005-0000-0000-000084B30000}"/>
    <cellStyle name="Normal 7 3 5 5 3" xfId="47182" xr:uid="{00000000-0005-0000-0000-000085B30000}"/>
    <cellStyle name="Normal 7 3 5 6" xfId="47183" xr:uid="{00000000-0005-0000-0000-000086B30000}"/>
    <cellStyle name="Normal 7 3 5 6 2" xfId="40141" xr:uid="{00000000-0005-0000-0000-000087B30000}"/>
    <cellStyle name="Normal 7 3 5 7" xfId="47184" xr:uid="{00000000-0005-0000-0000-000088B30000}"/>
    <cellStyle name="Normal 7 3 5 7 2" xfId="47185" xr:uid="{00000000-0005-0000-0000-000089B30000}"/>
    <cellStyle name="Normal 7 3 5 8" xfId="47186" xr:uid="{00000000-0005-0000-0000-00008AB30000}"/>
    <cellStyle name="Normal 7 3 6" xfId="47187" xr:uid="{00000000-0005-0000-0000-00008BB30000}"/>
    <cellStyle name="Normal 7 3 6 2" xfId="21470" xr:uid="{00000000-0005-0000-0000-00008CB30000}"/>
    <cellStyle name="Normal 7 3 6 2 2" xfId="47188" xr:uid="{00000000-0005-0000-0000-00008DB30000}"/>
    <cellStyle name="Normal 7 3 6 2 2 2" xfId="27058" xr:uid="{00000000-0005-0000-0000-00008EB30000}"/>
    <cellStyle name="Normal 7 3 6 2 2 2 2" xfId="27062" xr:uid="{00000000-0005-0000-0000-00008FB30000}"/>
    <cellStyle name="Normal 7 3 6 2 2 2 2 2" xfId="4096" xr:uid="{00000000-0005-0000-0000-000090B30000}"/>
    <cellStyle name="Normal 7 3 6 2 2 2 3" xfId="43295" xr:uid="{00000000-0005-0000-0000-000091B30000}"/>
    <cellStyle name="Normal 7 3 6 2 2 3" xfId="25446" xr:uid="{00000000-0005-0000-0000-000092B30000}"/>
    <cellStyle name="Normal 7 3 6 2 2 3 2" xfId="43298" xr:uid="{00000000-0005-0000-0000-000093B30000}"/>
    <cellStyle name="Normal 7 3 6 2 2 4" xfId="27066" xr:uid="{00000000-0005-0000-0000-000094B30000}"/>
    <cellStyle name="Normal 7 3 6 2 3" xfId="43858" xr:uid="{00000000-0005-0000-0000-000095B30000}"/>
    <cellStyle name="Normal 7 3 6 2 3 2" xfId="689" xr:uid="{00000000-0005-0000-0000-000096B30000}"/>
    <cellStyle name="Normal 7 3 6 2 3 2 2" xfId="4133" xr:uid="{00000000-0005-0000-0000-000097B30000}"/>
    <cellStyle name="Normal 7 3 6 2 3 3" xfId="784" xr:uid="{00000000-0005-0000-0000-000098B30000}"/>
    <cellStyle name="Normal 7 3 6 2 4" xfId="47189" xr:uid="{00000000-0005-0000-0000-000099B30000}"/>
    <cellStyle name="Normal 7 3 6 2 4 2" xfId="4154" xr:uid="{00000000-0005-0000-0000-00009AB30000}"/>
    <cellStyle name="Normal 7 3 6 2 4 2 2" xfId="2933" xr:uid="{00000000-0005-0000-0000-00009BB30000}"/>
    <cellStyle name="Normal 7 3 6 2 4 3" xfId="4174" xr:uid="{00000000-0005-0000-0000-00009CB30000}"/>
    <cellStyle name="Normal 7 3 6 2 5" xfId="37308" xr:uid="{00000000-0005-0000-0000-00009DB30000}"/>
    <cellStyle name="Normal 7 3 6 2 5 2" xfId="4185" xr:uid="{00000000-0005-0000-0000-00009EB30000}"/>
    <cellStyle name="Normal 7 3 6 2 6" xfId="34197" xr:uid="{00000000-0005-0000-0000-00009FB30000}"/>
    <cellStyle name="Normal 7 3 6 2 6 2" xfId="4207" xr:uid="{00000000-0005-0000-0000-0000A0B30000}"/>
    <cellStyle name="Normal 7 3 6 2 7" xfId="34202" xr:uid="{00000000-0005-0000-0000-0000A1B30000}"/>
    <cellStyle name="Normal 7 3 6 3" xfId="47190" xr:uid="{00000000-0005-0000-0000-0000A2B30000}"/>
    <cellStyle name="Normal 7 3 6 3 2" xfId="47191" xr:uid="{00000000-0005-0000-0000-0000A3B30000}"/>
    <cellStyle name="Normal 7 3 6 3 2 2" xfId="27113" xr:uid="{00000000-0005-0000-0000-0000A4B30000}"/>
    <cellStyle name="Normal 7 3 6 3 2 2 2" xfId="27117" xr:uid="{00000000-0005-0000-0000-0000A5B30000}"/>
    <cellStyle name="Normal 7 3 6 3 2 3" xfId="27122" xr:uid="{00000000-0005-0000-0000-0000A6B30000}"/>
    <cellStyle name="Normal 7 3 6 3 3" xfId="43863" xr:uid="{00000000-0005-0000-0000-0000A7B30000}"/>
    <cellStyle name="Normal 7 3 6 3 3 2" xfId="702" xr:uid="{00000000-0005-0000-0000-0000A8B30000}"/>
    <cellStyle name="Normal 7 3 6 3 4" xfId="47192" xr:uid="{00000000-0005-0000-0000-0000A9B30000}"/>
    <cellStyle name="Normal 7 3 6 4" xfId="47193" xr:uid="{00000000-0005-0000-0000-0000AAB30000}"/>
    <cellStyle name="Normal 7 3 6 4 2" xfId="47194" xr:uid="{00000000-0005-0000-0000-0000ABB30000}"/>
    <cellStyle name="Normal 7 3 6 4 2 2" xfId="1596" xr:uid="{00000000-0005-0000-0000-0000ACB30000}"/>
    <cellStyle name="Normal 7 3 6 4 3" xfId="47195" xr:uid="{00000000-0005-0000-0000-0000ADB30000}"/>
    <cellStyle name="Normal 7 3 6 5" xfId="47196" xr:uid="{00000000-0005-0000-0000-0000AEB30000}"/>
    <cellStyle name="Normal 7 3 6 5 2" xfId="47197" xr:uid="{00000000-0005-0000-0000-0000AFB30000}"/>
    <cellStyle name="Normal 7 3 6 5 2 2" xfId="43440" xr:uid="{00000000-0005-0000-0000-0000B0B30000}"/>
    <cellStyle name="Normal 7 3 6 5 3" xfId="47198" xr:uid="{00000000-0005-0000-0000-0000B1B30000}"/>
    <cellStyle name="Normal 7 3 6 6" xfId="47199" xr:uid="{00000000-0005-0000-0000-0000B2B30000}"/>
    <cellStyle name="Normal 7 3 6 6 2" xfId="47200" xr:uid="{00000000-0005-0000-0000-0000B3B30000}"/>
    <cellStyle name="Normal 7 3 6 7" xfId="47201" xr:uid="{00000000-0005-0000-0000-0000B4B30000}"/>
    <cellStyle name="Normal 7 3 6 7 2" xfId="47202" xr:uid="{00000000-0005-0000-0000-0000B5B30000}"/>
    <cellStyle name="Normal 7 3 6 8" xfId="47203" xr:uid="{00000000-0005-0000-0000-0000B6B30000}"/>
    <cellStyle name="Normal 7 3 7" xfId="47204" xr:uid="{00000000-0005-0000-0000-0000B7B30000}"/>
    <cellStyle name="Normal 7 3 7 2" xfId="47205" xr:uid="{00000000-0005-0000-0000-0000B8B30000}"/>
    <cellStyle name="Normal 7 3 7 2 2" xfId="47206" xr:uid="{00000000-0005-0000-0000-0000B9B30000}"/>
    <cellStyle name="Normal 7 3 7 2 2 2" xfId="25722" xr:uid="{00000000-0005-0000-0000-0000BAB30000}"/>
    <cellStyle name="Normal 7 3 7 2 2 2 2" xfId="43621" xr:uid="{00000000-0005-0000-0000-0000BBB30000}"/>
    <cellStyle name="Normal 7 3 7 2 2 3" xfId="43628" xr:uid="{00000000-0005-0000-0000-0000BCB30000}"/>
    <cellStyle name="Normal 7 3 7 2 3" xfId="47207" xr:uid="{00000000-0005-0000-0000-0000BDB30000}"/>
    <cellStyle name="Normal 7 3 7 2 3 2" xfId="43653" xr:uid="{00000000-0005-0000-0000-0000BEB30000}"/>
    <cellStyle name="Normal 7 3 7 2 4" xfId="47208" xr:uid="{00000000-0005-0000-0000-0000BFB30000}"/>
    <cellStyle name="Normal 7 3 7 3" xfId="47209" xr:uid="{00000000-0005-0000-0000-0000C0B30000}"/>
    <cellStyle name="Normal 7 3 7 3 2" xfId="47210" xr:uid="{00000000-0005-0000-0000-0000C1B30000}"/>
    <cellStyle name="Normal 7 3 7 3 2 2" xfId="43726" xr:uid="{00000000-0005-0000-0000-0000C2B30000}"/>
    <cellStyle name="Normal 7 3 7 3 3" xfId="47211" xr:uid="{00000000-0005-0000-0000-0000C3B30000}"/>
    <cellStyle name="Normal 7 3 7 4" xfId="47212" xr:uid="{00000000-0005-0000-0000-0000C4B30000}"/>
    <cellStyle name="Normal 7 3 7 4 2" xfId="47213" xr:uid="{00000000-0005-0000-0000-0000C5B30000}"/>
    <cellStyle name="Normal 7 3 7 4 2 2" xfId="43805" xr:uid="{00000000-0005-0000-0000-0000C6B30000}"/>
    <cellStyle name="Normal 7 3 7 4 3" xfId="47214" xr:uid="{00000000-0005-0000-0000-0000C7B30000}"/>
    <cellStyle name="Normal 7 3 7 5" xfId="47215" xr:uid="{00000000-0005-0000-0000-0000C8B30000}"/>
    <cellStyle name="Normal 7 3 7 5 2" xfId="47216" xr:uid="{00000000-0005-0000-0000-0000C9B30000}"/>
    <cellStyle name="Normal 7 3 7 6" xfId="47217" xr:uid="{00000000-0005-0000-0000-0000CAB30000}"/>
    <cellStyle name="Normal 7 3 7 6 2" xfId="3992" xr:uid="{00000000-0005-0000-0000-0000CBB30000}"/>
    <cellStyle name="Normal 7 3 7 7" xfId="47218" xr:uid="{00000000-0005-0000-0000-0000CCB30000}"/>
    <cellStyle name="Normal 7 3 8" xfId="47219" xr:uid="{00000000-0005-0000-0000-0000CDB30000}"/>
    <cellStyle name="Normal 7 3 8 2" xfId="47220" xr:uid="{00000000-0005-0000-0000-0000CEB30000}"/>
    <cellStyle name="Normal 7 3 8 2 2" xfId="47221" xr:uid="{00000000-0005-0000-0000-0000CFB30000}"/>
    <cellStyle name="Normal 7 3 8 2 2 2" xfId="44002" xr:uid="{00000000-0005-0000-0000-0000D0B30000}"/>
    <cellStyle name="Normal 7 3 8 2 3" xfId="47222" xr:uid="{00000000-0005-0000-0000-0000D1B30000}"/>
    <cellStyle name="Normal 7 3 8 3" xfId="47223" xr:uid="{00000000-0005-0000-0000-0000D2B30000}"/>
    <cellStyle name="Normal 7 3 8 3 2" xfId="47224" xr:uid="{00000000-0005-0000-0000-0000D3B30000}"/>
    <cellStyle name="Normal 7 3 8 4" xfId="47225" xr:uid="{00000000-0005-0000-0000-0000D4B30000}"/>
    <cellStyle name="Normal 7 3 9" xfId="47226" xr:uid="{00000000-0005-0000-0000-0000D5B30000}"/>
    <cellStyle name="Normal 7 3 9 2" xfId="47227" xr:uid="{00000000-0005-0000-0000-0000D6B30000}"/>
    <cellStyle name="Normal 7 3 9 2 2" xfId="47228" xr:uid="{00000000-0005-0000-0000-0000D7B30000}"/>
    <cellStyle name="Normal 7 3 9 3" xfId="47229" xr:uid="{00000000-0005-0000-0000-0000D8B30000}"/>
    <cellStyle name="Normal 7 4" xfId="47230" xr:uid="{00000000-0005-0000-0000-0000D9B30000}"/>
    <cellStyle name="Normal 7 5" xfId="18466" xr:uid="{00000000-0005-0000-0000-0000DAB30000}"/>
    <cellStyle name="Normal 7 5 2" xfId="47231" xr:uid="{00000000-0005-0000-0000-0000DBB30000}"/>
    <cellStyle name="Normal 7 5 2 2" xfId="47232" xr:uid="{00000000-0005-0000-0000-0000DCB30000}"/>
    <cellStyle name="Normal 7 5 3" xfId="47233" xr:uid="{00000000-0005-0000-0000-0000DDB30000}"/>
    <cellStyle name="Normal 7 6" xfId="47234" xr:uid="{00000000-0005-0000-0000-0000DEB30000}"/>
    <cellStyle name="Normal 7 6 2" xfId="47235" xr:uid="{00000000-0005-0000-0000-0000DFB30000}"/>
    <cellStyle name="Normal 7 6 2 2" xfId="47236" xr:uid="{00000000-0005-0000-0000-0000E0B30000}"/>
    <cellStyle name="Normal 7 6 2 2 2" xfId="34381" xr:uid="{00000000-0005-0000-0000-0000E1B30000}"/>
    <cellStyle name="Normal 7 6 2 2 2 2" xfId="47237" xr:uid="{00000000-0005-0000-0000-0000E2B30000}"/>
    <cellStyle name="Normal 7 6 2 2 2 2 2" xfId="47238" xr:uid="{00000000-0005-0000-0000-0000E3B30000}"/>
    <cellStyle name="Normal 7 6 2 2 2 2 2 2" xfId="47239" xr:uid="{00000000-0005-0000-0000-0000E4B30000}"/>
    <cellStyle name="Normal 7 6 2 2 2 2 3" xfId="47240" xr:uid="{00000000-0005-0000-0000-0000E5B30000}"/>
    <cellStyle name="Normal 7 6 2 2 2 3" xfId="47241" xr:uid="{00000000-0005-0000-0000-0000E6B30000}"/>
    <cellStyle name="Normal 7 6 2 2 2 3 2" xfId="47242" xr:uid="{00000000-0005-0000-0000-0000E7B30000}"/>
    <cellStyle name="Normal 7 6 2 2 2 4" xfId="47243" xr:uid="{00000000-0005-0000-0000-0000E8B30000}"/>
    <cellStyle name="Normal 7 6 2 2 3" xfId="47244" xr:uid="{00000000-0005-0000-0000-0000E9B30000}"/>
    <cellStyle name="Normal 7 6 2 2 3 2" xfId="47245" xr:uid="{00000000-0005-0000-0000-0000EAB30000}"/>
    <cellStyle name="Normal 7 6 2 2 3 2 2" xfId="10287" xr:uid="{00000000-0005-0000-0000-0000EBB30000}"/>
    <cellStyle name="Normal 7 6 2 2 3 3" xfId="47246" xr:uid="{00000000-0005-0000-0000-0000ECB30000}"/>
    <cellStyle name="Normal 7 6 2 2 4" xfId="47247" xr:uid="{00000000-0005-0000-0000-0000EDB30000}"/>
    <cellStyle name="Normal 7 6 2 2 4 2" xfId="47248" xr:uid="{00000000-0005-0000-0000-0000EEB30000}"/>
    <cellStyle name="Normal 7 6 2 2 4 2 2" xfId="47249" xr:uid="{00000000-0005-0000-0000-0000EFB30000}"/>
    <cellStyle name="Normal 7 6 2 2 4 3" xfId="47250" xr:uid="{00000000-0005-0000-0000-0000F0B30000}"/>
    <cellStyle name="Normal 7 6 2 2 5" xfId="47251" xr:uid="{00000000-0005-0000-0000-0000F1B30000}"/>
    <cellStyle name="Normal 7 6 2 2 5 2" xfId="47252" xr:uid="{00000000-0005-0000-0000-0000F2B30000}"/>
    <cellStyle name="Normal 7 6 2 2 6" xfId="47253" xr:uid="{00000000-0005-0000-0000-0000F3B30000}"/>
    <cellStyle name="Normal 7 6 2 2 6 2" xfId="47254" xr:uid="{00000000-0005-0000-0000-0000F4B30000}"/>
    <cellStyle name="Normal 7 6 2 2 7" xfId="47255" xr:uid="{00000000-0005-0000-0000-0000F5B30000}"/>
    <cellStyle name="Normal 7 6 2 3" xfId="47256" xr:uid="{00000000-0005-0000-0000-0000F6B30000}"/>
    <cellStyle name="Normal 7 6 2 3 2" xfId="47257" xr:uid="{00000000-0005-0000-0000-0000F7B30000}"/>
    <cellStyle name="Normal 7 6 2 3 2 2" xfId="39628" xr:uid="{00000000-0005-0000-0000-0000F8B30000}"/>
    <cellStyle name="Normal 7 6 2 3 2 2 2" xfId="39630" xr:uid="{00000000-0005-0000-0000-0000F9B30000}"/>
    <cellStyle name="Normal 7 6 2 3 2 3" xfId="39634" xr:uid="{00000000-0005-0000-0000-0000FAB30000}"/>
    <cellStyle name="Normal 7 6 2 3 3" xfId="47258" xr:uid="{00000000-0005-0000-0000-0000FBB30000}"/>
    <cellStyle name="Normal 7 6 2 3 3 2" xfId="39637" xr:uid="{00000000-0005-0000-0000-0000FCB30000}"/>
    <cellStyle name="Normal 7 6 2 3 4" xfId="47259" xr:uid="{00000000-0005-0000-0000-0000FDB30000}"/>
    <cellStyle name="Normal 7 6 2 4" xfId="47260" xr:uid="{00000000-0005-0000-0000-0000FEB30000}"/>
    <cellStyle name="Normal 7 6 2 4 2" xfId="47261" xr:uid="{00000000-0005-0000-0000-0000FFB30000}"/>
    <cellStyle name="Normal 7 6 2 4 2 2" xfId="39651" xr:uid="{00000000-0005-0000-0000-000000B40000}"/>
    <cellStyle name="Normal 7 6 2 4 3" xfId="47262" xr:uid="{00000000-0005-0000-0000-000001B40000}"/>
    <cellStyle name="Normal 7 6 2 5" xfId="47263" xr:uid="{00000000-0005-0000-0000-000002B40000}"/>
    <cellStyle name="Normal 7 6 2 5 2" xfId="36233" xr:uid="{00000000-0005-0000-0000-000003B40000}"/>
    <cellStyle name="Normal 7 6 2 5 2 2" xfId="47264" xr:uid="{00000000-0005-0000-0000-000004B40000}"/>
    <cellStyle name="Normal 7 6 2 5 3" xfId="47265" xr:uid="{00000000-0005-0000-0000-000005B40000}"/>
    <cellStyle name="Normal 7 6 2 6" xfId="47266" xr:uid="{00000000-0005-0000-0000-000006B40000}"/>
    <cellStyle name="Normal 7 6 2 6 2" xfId="47267" xr:uid="{00000000-0005-0000-0000-000007B40000}"/>
    <cellStyle name="Normal 7 6 2 7" xfId="34314" xr:uid="{00000000-0005-0000-0000-000008B40000}"/>
    <cellStyle name="Normal 7 6 2 7 2" xfId="47268" xr:uid="{00000000-0005-0000-0000-000009B40000}"/>
    <cellStyle name="Normal 7 6 2 8" xfId="47269" xr:uid="{00000000-0005-0000-0000-00000AB40000}"/>
    <cellStyle name="Normal 7 6 3" xfId="47270" xr:uid="{00000000-0005-0000-0000-00000BB40000}"/>
    <cellStyle name="Normal 7 6 3 2" xfId="47271" xr:uid="{00000000-0005-0000-0000-00000CB40000}"/>
    <cellStyle name="Normal 7 6 3 2 2" xfId="47272" xr:uid="{00000000-0005-0000-0000-00000DB40000}"/>
    <cellStyle name="Normal 7 6 3 2 2 2" xfId="47273" xr:uid="{00000000-0005-0000-0000-00000EB40000}"/>
    <cellStyle name="Normal 7 6 3 2 2 2 2" xfId="47274" xr:uid="{00000000-0005-0000-0000-00000FB40000}"/>
    <cellStyle name="Normal 7 6 3 2 2 3" xfId="47275" xr:uid="{00000000-0005-0000-0000-000010B40000}"/>
    <cellStyle name="Normal 7 6 3 2 3" xfId="47276" xr:uid="{00000000-0005-0000-0000-000011B40000}"/>
    <cellStyle name="Normal 7 6 3 2 3 2" xfId="47277" xr:uid="{00000000-0005-0000-0000-000012B40000}"/>
    <cellStyle name="Normal 7 6 3 2 4" xfId="47278" xr:uid="{00000000-0005-0000-0000-000013B40000}"/>
    <cellStyle name="Normal 7 6 3 3" xfId="47279" xr:uid="{00000000-0005-0000-0000-000014B40000}"/>
    <cellStyle name="Normal 7 6 3 3 2" xfId="47280" xr:uid="{00000000-0005-0000-0000-000015B40000}"/>
    <cellStyle name="Normal 7 6 3 3 2 2" xfId="39674" xr:uid="{00000000-0005-0000-0000-000016B40000}"/>
    <cellStyle name="Normal 7 6 3 3 3" xfId="47281" xr:uid="{00000000-0005-0000-0000-000017B40000}"/>
    <cellStyle name="Normal 7 6 3 4" xfId="47282" xr:uid="{00000000-0005-0000-0000-000018B40000}"/>
    <cellStyle name="Normal 7 6 3 4 2" xfId="47283" xr:uid="{00000000-0005-0000-0000-000019B40000}"/>
    <cellStyle name="Normal 7 6 3 4 2 2" xfId="47284" xr:uid="{00000000-0005-0000-0000-00001AB40000}"/>
    <cellStyle name="Normal 7 6 3 4 3" xfId="47285" xr:uid="{00000000-0005-0000-0000-00001BB40000}"/>
    <cellStyle name="Normal 7 6 3 5" xfId="47286" xr:uid="{00000000-0005-0000-0000-00001CB40000}"/>
    <cellStyle name="Normal 7 6 3 5 2" xfId="47287" xr:uid="{00000000-0005-0000-0000-00001DB40000}"/>
    <cellStyle name="Normal 7 6 3 6" xfId="47288" xr:uid="{00000000-0005-0000-0000-00001EB40000}"/>
    <cellStyle name="Normal 7 6 3 6 2" xfId="47289" xr:uid="{00000000-0005-0000-0000-00001FB40000}"/>
    <cellStyle name="Normal 7 6 3 7" xfId="13743" xr:uid="{00000000-0005-0000-0000-000020B40000}"/>
    <cellStyle name="Normal 7 6 4" xfId="47290" xr:uid="{00000000-0005-0000-0000-000021B40000}"/>
    <cellStyle name="Normal 7 6 4 2" xfId="6647" xr:uid="{00000000-0005-0000-0000-000022B40000}"/>
    <cellStyle name="Normal 7 6 4 2 2" xfId="47291" xr:uid="{00000000-0005-0000-0000-000023B40000}"/>
    <cellStyle name="Normal 7 6 4 2 2 2" xfId="29296" xr:uid="{00000000-0005-0000-0000-000024B40000}"/>
    <cellStyle name="Normal 7 6 4 2 3" xfId="47292" xr:uid="{00000000-0005-0000-0000-000025B40000}"/>
    <cellStyle name="Normal 7 6 4 3" xfId="13758" xr:uid="{00000000-0005-0000-0000-000026B40000}"/>
    <cellStyle name="Normal 7 6 4 3 2" xfId="47293" xr:uid="{00000000-0005-0000-0000-000027B40000}"/>
    <cellStyle name="Normal 7 6 4 4" xfId="47294" xr:uid="{00000000-0005-0000-0000-000028B40000}"/>
    <cellStyle name="Normal 7 6 5" xfId="47295" xr:uid="{00000000-0005-0000-0000-000029B40000}"/>
    <cellStyle name="Normal 7 6 5 2" xfId="47296" xr:uid="{00000000-0005-0000-0000-00002AB40000}"/>
    <cellStyle name="Normal 7 6 5 2 2" xfId="47297" xr:uid="{00000000-0005-0000-0000-00002BB40000}"/>
    <cellStyle name="Normal 7 6 5 3" xfId="47298" xr:uid="{00000000-0005-0000-0000-00002CB40000}"/>
    <cellStyle name="Normal 7 6 6" xfId="47299" xr:uid="{00000000-0005-0000-0000-00002DB40000}"/>
    <cellStyle name="Normal 7 6 6 2" xfId="47300" xr:uid="{00000000-0005-0000-0000-00002EB40000}"/>
    <cellStyle name="Normal 7 6 6 2 2" xfId="47301" xr:uid="{00000000-0005-0000-0000-00002FB40000}"/>
    <cellStyle name="Normal 7 6 6 3" xfId="47302" xr:uid="{00000000-0005-0000-0000-000030B40000}"/>
    <cellStyle name="Normal 7 6 7" xfId="47303" xr:uid="{00000000-0005-0000-0000-000031B40000}"/>
    <cellStyle name="Normal 7 6 7 2" xfId="47304" xr:uid="{00000000-0005-0000-0000-000032B40000}"/>
    <cellStyle name="Normal 7 6 8" xfId="26777" xr:uid="{00000000-0005-0000-0000-000033B40000}"/>
    <cellStyle name="Normal 7 6 8 2" xfId="47305" xr:uid="{00000000-0005-0000-0000-000034B40000}"/>
    <cellStyle name="Normal 7 7" xfId="47306" xr:uid="{00000000-0005-0000-0000-000035B40000}"/>
    <cellStyle name="Normal 7 7 2" xfId="33322" xr:uid="{00000000-0005-0000-0000-000036B40000}"/>
    <cellStyle name="Normal 7 7 2 2" xfId="6779" xr:uid="{00000000-0005-0000-0000-000037B40000}"/>
    <cellStyle name="Normal 7 7 2 2 2" xfId="35543" xr:uid="{00000000-0005-0000-0000-000038B40000}"/>
    <cellStyle name="Normal 7 7 2 2 2 2" xfId="47307" xr:uid="{00000000-0005-0000-0000-000039B40000}"/>
    <cellStyle name="Normal 7 7 2 2 2 2 2" xfId="47308" xr:uid="{00000000-0005-0000-0000-00003AB40000}"/>
    <cellStyle name="Normal 7 7 2 2 2 3" xfId="47309" xr:uid="{00000000-0005-0000-0000-00003BB40000}"/>
    <cellStyle name="Normal 7 7 2 2 3" xfId="47310" xr:uid="{00000000-0005-0000-0000-00003CB40000}"/>
    <cellStyle name="Normal 7 7 2 2 3 2" xfId="47311" xr:uid="{00000000-0005-0000-0000-00003DB40000}"/>
    <cellStyle name="Normal 7 7 2 2 4" xfId="47312" xr:uid="{00000000-0005-0000-0000-00003EB40000}"/>
    <cellStyle name="Normal 7 7 2 3" xfId="47313" xr:uid="{00000000-0005-0000-0000-00003FB40000}"/>
    <cellStyle name="Normal 7 7 2 3 2" xfId="47314" xr:uid="{00000000-0005-0000-0000-000040B40000}"/>
    <cellStyle name="Normal 7 7 2 3 2 2" xfId="39877" xr:uid="{00000000-0005-0000-0000-000041B40000}"/>
    <cellStyle name="Normal 7 7 2 3 3" xfId="47315" xr:uid="{00000000-0005-0000-0000-000042B40000}"/>
    <cellStyle name="Normal 7 7 2 4" xfId="47316" xr:uid="{00000000-0005-0000-0000-000043B40000}"/>
    <cellStyle name="Normal 7 7 2 4 2" xfId="47317" xr:uid="{00000000-0005-0000-0000-000044B40000}"/>
    <cellStyle name="Normal 7 7 2 4 2 2" xfId="47318" xr:uid="{00000000-0005-0000-0000-000045B40000}"/>
    <cellStyle name="Normal 7 7 2 4 3" xfId="47319" xr:uid="{00000000-0005-0000-0000-000046B40000}"/>
    <cellStyle name="Normal 7 7 2 5" xfId="47320" xr:uid="{00000000-0005-0000-0000-000047B40000}"/>
    <cellStyle name="Normal 7 7 2 5 2" xfId="47321" xr:uid="{00000000-0005-0000-0000-000048B40000}"/>
    <cellStyle name="Normal 7 7 2 6" xfId="47322" xr:uid="{00000000-0005-0000-0000-000049B40000}"/>
    <cellStyle name="Normal 7 7 2 6 2" xfId="47323" xr:uid="{00000000-0005-0000-0000-00004AB40000}"/>
    <cellStyle name="Normal 7 7 2 7" xfId="47324" xr:uid="{00000000-0005-0000-0000-00004BB40000}"/>
    <cellStyle name="Normal 7 7 3" xfId="47325" xr:uid="{00000000-0005-0000-0000-00004CB40000}"/>
    <cellStyle name="Normal 7 7 3 2" xfId="47326" xr:uid="{00000000-0005-0000-0000-00004DB40000}"/>
    <cellStyle name="Normal 7 7 3 2 2" xfId="47327" xr:uid="{00000000-0005-0000-0000-00004EB40000}"/>
    <cellStyle name="Normal 7 7 3 2 2 2" xfId="47328" xr:uid="{00000000-0005-0000-0000-00004FB40000}"/>
    <cellStyle name="Normal 7 7 3 2 3" xfId="47329" xr:uid="{00000000-0005-0000-0000-000050B40000}"/>
    <cellStyle name="Normal 7 7 3 3" xfId="47330" xr:uid="{00000000-0005-0000-0000-000051B40000}"/>
    <cellStyle name="Normal 7 7 3 3 2" xfId="47331" xr:uid="{00000000-0005-0000-0000-000052B40000}"/>
    <cellStyle name="Normal 7 7 3 4" xfId="47332" xr:uid="{00000000-0005-0000-0000-000053B40000}"/>
    <cellStyle name="Normal 7 7 4" xfId="47333" xr:uid="{00000000-0005-0000-0000-000054B40000}"/>
    <cellStyle name="Normal 7 7 4 2" xfId="39719" xr:uid="{00000000-0005-0000-0000-000055B40000}"/>
    <cellStyle name="Normal 7 7 4 2 2" xfId="39721" xr:uid="{00000000-0005-0000-0000-000056B40000}"/>
    <cellStyle name="Normal 7 7 4 3" xfId="25559" xr:uid="{00000000-0005-0000-0000-000057B40000}"/>
    <cellStyle name="Normal 7 7 5" xfId="47334" xr:uid="{00000000-0005-0000-0000-000058B40000}"/>
    <cellStyle name="Normal 7 7 5 2" xfId="39729" xr:uid="{00000000-0005-0000-0000-000059B40000}"/>
    <cellStyle name="Normal 7 7 5 2 2" xfId="47335" xr:uid="{00000000-0005-0000-0000-00005AB40000}"/>
    <cellStyle name="Normal 7 7 5 3" xfId="27445" xr:uid="{00000000-0005-0000-0000-00005BB40000}"/>
    <cellStyle name="Normal 7 7 6" xfId="47336" xr:uid="{00000000-0005-0000-0000-00005CB40000}"/>
    <cellStyle name="Normal 7 7 6 2" xfId="47337" xr:uid="{00000000-0005-0000-0000-00005DB40000}"/>
    <cellStyle name="Normal 7 7 7" xfId="47338" xr:uid="{00000000-0005-0000-0000-00005EB40000}"/>
    <cellStyle name="Normal 7 7 7 2" xfId="47339" xr:uid="{00000000-0005-0000-0000-00005FB40000}"/>
    <cellStyle name="Normal 7 7 8" xfId="47340" xr:uid="{00000000-0005-0000-0000-000060B40000}"/>
    <cellStyle name="Normal 7 8" xfId="47341" xr:uid="{00000000-0005-0000-0000-000061B40000}"/>
    <cellStyle name="Normal 7 8 2" xfId="34404" xr:uid="{00000000-0005-0000-0000-000062B40000}"/>
    <cellStyle name="Normal 7 8 2 2" xfId="38295" xr:uid="{00000000-0005-0000-0000-000063B40000}"/>
    <cellStyle name="Normal 7 8 2 2 2" xfId="38298" xr:uid="{00000000-0005-0000-0000-000064B40000}"/>
    <cellStyle name="Normal 7 8 2 2 2 2" xfId="47342" xr:uid="{00000000-0005-0000-0000-000065B40000}"/>
    <cellStyle name="Normal 7 8 2 2 2 2 2" xfId="47343" xr:uid="{00000000-0005-0000-0000-000066B40000}"/>
    <cellStyle name="Normal 7 8 2 2 2 3" xfId="47344" xr:uid="{00000000-0005-0000-0000-000067B40000}"/>
    <cellStyle name="Normal 7 8 2 2 3" xfId="47345" xr:uid="{00000000-0005-0000-0000-000068B40000}"/>
    <cellStyle name="Normal 7 8 2 2 3 2" xfId="47346" xr:uid="{00000000-0005-0000-0000-000069B40000}"/>
    <cellStyle name="Normal 7 8 2 2 4" xfId="47347" xr:uid="{00000000-0005-0000-0000-00006AB40000}"/>
    <cellStyle name="Normal 7 8 2 3" xfId="38301" xr:uid="{00000000-0005-0000-0000-00006BB40000}"/>
    <cellStyle name="Normal 7 8 2 3 2" xfId="47348" xr:uid="{00000000-0005-0000-0000-00006CB40000}"/>
    <cellStyle name="Normal 7 8 2 3 2 2" xfId="47349" xr:uid="{00000000-0005-0000-0000-00006DB40000}"/>
    <cellStyle name="Normal 7 8 2 3 3" xfId="47350" xr:uid="{00000000-0005-0000-0000-00006EB40000}"/>
    <cellStyle name="Normal 7 8 2 4" xfId="47351" xr:uid="{00000000-0005-0000-0000-00006FB40000}"/>
    <cellStyle name="Normal 7 8 2 4 2" xfId="47352" xr:uid="{00000000-0005-0000-0000-000070B40000}"/>
    <cellStyle name="Normal 7 8 2 4 2 2" xfId="47353" xr:uid="{00000000-0005-0000-0000-000071B40000}"/>
    <cellStyle name="Normal 7 8 2 4 3" xfId="47354" xr:uid="{00000000-0005-0000-0000-000072B40000}"/>
    <cellStyle name="Normal 7 8 2 5" xfId="47355" xr:uid="{00000000-0005-0000-0000-000073B40000}"/>
    <cellStyle name="Normal 7 8 2 5 2" xfId="47356" xr:uid="{00000000-0005-0000-0000-000074B40000}"/>
    <cellStyle name="Normal 7 8 2 6" xfId="47357" xr:uid="{00000000-0005-0000-0000-000075B40000}"/>
    <cellStyle name="Normal 7 8 2 6 2" xfId="47358" xr:uid="{00000000-0005-0000-0000-000076B40000}"/>
    <cellStyle name="Normal 7 8 2 7" xfId="47359" xr:uid="{00000000-0005-0000-0000-000077B40000}"/>
    <cellStyle name="Normal 7 8 3" xfId="38304" xr:uid="{00000000-0005-0000-0000-000078B40000}"/>
    <cellStyle name="Normal 7 8 3 2" xfId="38307" xr:uid="{00000000-0005-0000-0000-000079B40000}"/>
    <cellStyle name="Normal 7 8 3 2 2" xfId="47360" xr:uid="{00000000-0005-0000-0000-00007AB40000}"/>
    <cellStyle name="Normal 7 8 3 2 2 2" xfId="47361" xr:uid="{00000000-0005-0000-0000-00007BB40000}"/>
    <cellStyle name="Normal 7 8 3 2 3" xfId="47362" xr:uid="{00000000-0005-0000-0000-00007CB40000}"/>
    <cellStyle name="Normal 7 8 3 3" xfId="47363" xr:uid="{00000000-0005-0000-0000-00007DB40000}"/>
    <cellStyle name="Normal 7 8 3 3 2" xfId="47364" xr:uid="{00000000-0005-0000-0000-00007EB40000}"/>
    <cellStyle name="Normal 7 8 3 4" xfId="47365" xr:uid="{00000000-0005-0000-0000-00007FB40000}"/>
    <cellStyle name="Normal 7 8 4" xfId="38310" xr:uid="{00000000-0005-0000-0000-000080B40000}"/>
    <cellStyle name="Normal 7 8 4 2" xfId="29746" xr:uid="{00000000-0005-0000-0000-000081B40000}"/>
    <cellStyle name="Normal 7 8 4 2 2" xfId="47366" xr:uid="{00000000-0005-0000-0000-000082B40000}"/>
    <cellStyle name="Normal 7 8 4 3" xfId="27462" xr:uid="{00000000-0005-0000-0000-000083B40000}"/>
    <cellStyle name="Normal 7 8 5" xfId="38313" xr:uid="{00000000-0005-0000-0000-000084B40000}"/>
    <cellStyle name="Normal 7 8 5 2" xfId="47367" xr:uid="{00000000-0005-0000-0000-000085B40000}"/>
    <cellStyle name="Normal 7 8 5 2 2" xfId="47368" xr:uid="{00000000-0005-0000-0000-000086B40000}"/>
    <cellStyle name="Normal 7 8 5 3" xfId="27472" xr:uid="{00000000-0005-0000-0000-000087B40000}"/>
    <cellStyle name="Normal 7 8 6" xfId="38316" xr:uid="{00000000-0005-0000-0000-000088B40000}"/>
    <cellStyle name="Normal 7 8 6 2" xfId="47369" xr:uid="{00000000-0005-0000-0000-000089B40000}"/>
    <cellStyle name="Normal 7 8 7" xfId="47370" xr:uid="{00000000-0005-0000-0000-00008AB40000}"/>
    <cellStyle name="Normal 7 8 7 2" xfId="47371" xr:uid="{00000000-0005-0000-0000-00008BB40000}"/>
    <cellStyle name="Normal 7 8 8" xfId="47372" xr:uid="{00000000-0005-0000-0000-00008CB40000}"/>
    <cellStyle name="Normal 7 9" xfId="47373" xr:uid="{00000000-0005-0000-0000-00008DB40000}"/>
    <cellStyle name="Normal 7 9 2" xfId="34415" xr:uid="{00000000-0005-0000-0000-00008EB40000}"/>
    <cellStyle name="Normal 7 9 2 2" xfId="47374" xr:uid="{00000000-0005-0000-0000-00008FB40000}"/>
    <cellStyle name="Normal 7 9 2 2 2" xfId="47375" xr:uid="{00000000-0005-0000-0000-000090B40000}"/>
    <cellStyle name="Normal 7 9 2 2 2 2" xfId="47376" xr:uid="{00000000-0005-0000-0000-000091B40000}"/>
    <cellStyle name="Normal 7 9 2 2 2 2 2" xfId="47377" xr:uid="{00000000-0005-0000-0000-000092B40000}"/>
    <cellStyle name="Normal 7 9 2 2 2 3" xfId="47378" xr:uid="{00000000-0005-0000-0000-000093B40000}"/>
    <cellStyle name="Normal 7 9 2 2 3" xfId="47379" xr:uid="{00000000-0005-0000-0000-000094B40000}"/>
    <cellStyle name="Normal 7 9 2 2 3 2" xfId="47380" xr:uid="{00000000-0005-0000-0000-000095B40000}"/>
    <cellStyle name="Normal 7 9 2 2 4" xfId="47381" xr:uid="{00000000-0005-0000-0000-000096B40000}"/>
    <cellStyle name="Normal 7 9 2 3" xfId="47382" xr:uid="{00000000-0005-0000-0000-000097B40000}"/>
    <cellStyle name="Normal 7 9 2 3 2" xfId="47383" xr:uid="{00000000-0005-0000-0000-000098B40000}"/>
    <cellStyle name="Normal 7 9 2 3 2 2" xfId="47384" xr:uid="{00000000-0005-0000-0000-000099B40000}"/>
    <cellStyle name="Normal 7 9 2 3 3" xfId="47385" xr:uid="{00000000-0005-0000-0000-00009AB40000}"/>
    <cellStyle name="Normal 7 9 2 4" xfId="47386" xr:uid="{00000000-0005-0000-0000-00009BB40000}"/>
    <cellStyle name="Normal 7 9 2 4 2" xfId="15073" xr:uid="{00000000-0005-0000-0000-00009CB40000}"/>
    <cellStyle name="Normal 7 9 2 4 2 2" xfId="12648" xr:uid="{00000000-0005-0000-0000-00009DB40000}"/>
    <cellStyle name="Normal 7 9 2 4 3" xfId="4473" xr:uid="{00000000-0005-0000-0000-00009EB40000}"/>
    <cellStyle name="Normal 7 9 2 5" xfId="46819" xr:uid="{00000000-0005-0000-0000-00009FB40000}"/>
    <cellStyle name="Normal 7 9 2 5 2" xfId="15089" xr:uid="{00000000-0005-0000-0000-0000A0B40000}"/>
    <cellStyle name="Normal 7 9 2 6" xfId="47387" xr:uid="{00000000-0005-0000-0000-0000A1B40000}"/>
    <cellStyle name="Normal 7 9 2 6 2" xfId="15097" xr:uid="{00000000-0005-0000-0000-0000A2B40000}"/>
    <cellStyle name="Normal 7 9 2 7" xfId="47388" xr:uid="{00000000-0005-0000-0000-0000A3B40000}"/>
    <cellStyle name="Normal 7 9 3" xfId="38323" xr:uid="{00000000-0005-0000-0000-0000A4B40000}"/>
    <cellStyle name="Normal 7 9 3 2" xfId="47389" xr:uid="{00000000-0005-0000-0000-0000A5B40000}"/>
    <cellStyle name="Normal 7 9 3 2 2" xfId="47390" xr:uid="{00000000-0005-0000-0000-0000A6B40000}"/>
    <cellStyle name="Normal 7 9 3 2 2 2" xfId="47391" xr:uid="{00000000-0005-0000-0000-0000A7B40000}"/>
    <cellStyle name="Normal 7 9 3 2 3" xfId="47392" xr:uid="{00000000-0005-0000-0000-0000A8B40000}"/>
    <cellStyle name="Normal 7 9 3 3" xfId="47393" xr:uid="{00000000-0005-0000-0000-0000A9B40000}"/>
    <cellStyle name="Normal 7 9 3 3 2" xfId="47394" xr:uid="{00000000-0005-0000-0000-0000AAB40000}"/>
    <cellStyle name="Normal 7 9 3 4" xfId="47395" xr:uid="{00000000-0005-0000-0000-0000ABB40000}"/>
    <cellStyle name="Normal 7 9 4" xfId="47396" xr:uid="{00000000-0005-0000-0000-0000ACB40000}"/>
    <cellStyle name="Normal 7 9 4 2" xfId="47397" xr:uid="{00000000-0005-0000-0000-0000ADB40000}"/>
    <cellStyle name="Normal 7 9 4 2 2" xfId="47398" xr:uid="{00000000-0005-0000-0000-0000AEB40000}"/>
    <cellStyle name="Normal 7 9 4 3" xfId="27477" xr:uid="{00000000-0005-0000-0000-0000AFB40000}"/>
    <cellStyle name="Normal 7 9 5" xfId="47399" xr:uid="{00000000-0005-0000-0000-0000B0B40000}"/>
    <cellStyle name="Normal 7 9 5 2" xfId="3721" xr:uid="{00000000-0005-0000-0000-0000B1B40000}"/>
    <cellStyle name="Normal 7 9 5 2 2" xfId="3723" xr:uid="{00000000-0005-0000-0000-0000B2B40000}"/>
    <cellStyle name="Normal 7 9 5 3" xfId="3791" xr:uid="{00000000-0005-0000-0000-0000B3B40000}"/>
    <cellStyle name="Normal 7 9 6" xfId="47400" xr:uid="{00000000-0005-0000-0000-0000B4B40000}"/>
    <cellStyle name="Normal 7 9 6 2" xfId="5211" xr:uid="{00000000-0005-0000-0000-0000B5B40000}"/>
    <cellStyle name="Normal 7 9 7" xfId="47401" xr:uid="{00000000-0005-0000-0000-0000B6B40000}"/>
    <cellStyle name="Normal 7 9 7 2" xfId="4619" xr:uid="{00000000-0005-0000-0000-0000B7B40000}"/>
    <cellStyle name="Normal 7 9 8" xfId="47402" xr:uid="{00000000-0005-0000-0000-0000B8B40000}"/>
    <cellStyle name="Normal 70" xfId="46310" xr:uid="{00000000-0005-0000-0000-0000B9B40000}"/>
    <cellStyle name="Normal 70 10" xfId="46312" xr:uid="{00000000-0005-0000-0000-0000BAB40000}"/>
    <cellStyle name="Normal 70 10 2" xfId="46314" xr:uid="{00000000-0005-0000-0000-0000BBB40000}"/>
    <cellStyle name="Normal 70 11" xfId="46316" xr:uid="{00000000-0005-0000-0000-0000BCB40000}"/>
    <cellStyle name="Normal 70 11 2" xfId="46318" xr:uid="{00000000-0005-0000-0000-0000BDB40000}"/>
    <cellStyle name="Normal 70 12" xfId="41309" xr:uid="{00000000-0005-0000-0000-0000BEB40000}"/>
    <cellStyle name="Normal 70 12 2" xfId="41313" xr:uid="{00000000-0005-0000-0000-0000BFB40000}"/>
    <cellStyle name="Normal 70 13" xfId="41321" xr:uid="{00000000-0005-0000-0000-0000C0B40000}"/>
    <cellStyle name="Normal 70 14" xfId="41325" xr:uid="{00000000-0005-0000-0000-0000C1B40000}"/>
    <cellStyle name="Normal 70 2" xfId="46320" xr:uid="{00000000-0005-0000-0000-0000C2B40000}"/>
    <cellStyle name="Normal 70 2 10" xfId="25132" xr:uid="{00000000-0005-0000-0000-0000C3B40000}"/>
    <cellStyle name="Normal 70 2 2" xfId="18519" xr:uid="{00000000-0005-0000-0000-0000C4B40000}"/>
    <cellStyle name="Normal 70 2 2 2" xfId="19360" xr:uid="{00000000-0005-0000-0000-0000C5B40000}"/>
    <cellStyle name="Normal 70 2 2 2 2" xfId="19364" xr:uid="{00000000-0005-0000-0000-0000C6B40000}"/>
    <cellStyle name="Normal 70 2 2 2 2 2" xfId="31244" xr:uid="{00000000-0005-0000-0000-0000C7B40000}"/>
    <cellStyle name="Normal 70 2 2 2 2 2 2" xfId="25651" xr:uid="{00000000-0005-0000-0000-0000C8B40000}"/>
    <cellStyle name="Normal 70 2 2 2 2 2 2 2" xfId="31248" xr:uid="{00000000-0005-0000-0000-0000C9B40000}"/>
    <cellStyle name="Normal 70 2 2 2 2 2 3" xfId="31286" xr:uid="{00000000-0005-0000-0000-0000CAB40000}"/>
    <cellStyle name="Normal 70 2 2 2 2 3" xfId="31295" xr:uid="{00000000-0005-0000-0000-0000CBB40000}"/>
    <cellStyle name="Normal 70 2 2 2 2 3 2" xfId="31299" xr:uid="{00000000-0005-0000-0000-0000CCB40000}"/>
    <cellStyle name="Normal 70 2 2 2 2 4" xfId="46322" xr:uid="{00000000-0005-0000-0000-0000CDB40000}"/>
    <cellStyle name="Normal 70 2 2 2 3" xfId="46324" xr:uid="{00000000-0005-0000-0000-0000CEB40000}"/>
    <cellStyle name="Normal 70 2 2 2 3 2" xfId="32985" xr:uid="{00000000-0005-0000-0000-0000CFB40000}"/>
    <cellStyle name="Normal 70 2 2 2 3 2 2" xfId="25679" xr:uid="{00000000-0005-0000-0000-0000D0B40000}"/>
    <cellStyle name="Normal 70 2 2 2 3 3" xfId="33070" xr:uid="{00000000-0005-0000-0000-0000D1B40000}"/>
    <cellStyle name="Normal 70 2 2 2 4" xfId="46326" xr:uid="{00000000-0005-0000-0000-0000D2B40000}"/>
    <cellStyle name="Normal 70 2 2 2 4 2" xfId="34622" xr:uid="{00000000-0005-0000-0000-0000D3B40000}"/>
    <cellStyle name="Normal 70 2 2 2 4 2 2" xfId="34629" xr:uid="{00000000-0005-0000-0000-0000D4B40000}"/>
    <cellStyle name="Normal 70 2 2 2 4 3" xfId="5778" xr:uid="{00000000-0005-0000-0000-0000D5B40000}"/>
    <cellStyle name="Normal 70 2 2 2 5" xfId="46328" xr:uid="{00000000-0005-0000-0000-0000D6B40000}"/>
    <cellStyle name="Normal 70 2 2 2 5 2" xfId="36095" xr:uid="{00000000-0005-0000-0000-0000D7B40000}"/>
    <cellStyle name="Normal 70 2 2 2 6" xfId="46332" xr:uid="{00000000-0005-0000-0000-0000D8B40000}"/>
    <cellStyle name="Normal 70 2 2 2 6 2" xfId="26095" xr:uid="{00000000-0005-0000-0000-0000D9B40000}"/>
    <cellStyle name="Normal 70 2 2 2 7" xfId="46336" xr:uid="{00000000-0005-0000-0000-0000DAB40000}"/>
    <cellStyle name="Normal 70 2 2 2 8" xfId="46339" xr:uid="{00000000-0005-0000-0000-0000DBB40000}"/>
    <cellStyle name="Normal 70 2 2 3" xfId="19368" xr:uid="{00000000-0005-0000-0000-0000DCB40000}"/>
    <cellStyle name="Normal 70 2 2 3 2" xfId="32378" xr:uid="{00000000-0005-0000-0000-0000DDB40000}"/>
    <cellStyle name="Normal 70 2 2 3 2 2" xfId="32383" xr:uid="{00000000-0005-0000-0000-0000DEB40000}"/>
    <cellStyle name="Normal 70 2 2 3 2 2 2" xfId="46341" xr:uid="{00000000-0005-0000-0000-0000DFB40000}"/>
    <cellStyle name="Normal 70 2 2 3 2 3" xfId="46343" xr:uid="{00000000-0005-0000-0000-0000E0B40000}"/>
    <cellStyle name="Normal 70 2 2 3 3" xfId="32387" xr:uid="{00000000-0005-0000-0000-0000E1B40000}"/>
    <cellStyle name="Normal 70 2 2 3 3 2" xfId="32392" xr:uid="{00000000-0005-0000-0000-0000E2B40000}"/>
    <cellStyle name="Normal 70 2 2 3 4" xfId="32396" xr:uid="{00000000-0005-0000-0000-0000E3B40000}"/>
    <cellStyle name="Normal 70 2 2 4" xfId="1202" xr:uid="{00000000-0005-0000-0000-0000E4B40000}"/>
    <cellStyle name="Normal 70 2 2 4 2" xfId="1216" xr:uid="{00000000-0005-0000-0000-0000E5B40000}"/>
    <cellStyle name="Normal 70 2 2 4 2 2" xfId="6631" xr:uid="{00000000-0005-0000-0000-0000E6B40000}"/>
    <cellStyle name="Normal 70 2 2 4 3" xfId="8717" xr:uid="{00000000-0005-0000-0000-0000E7B40000}"/>
    <cellStyle name="Normal 70 2 2 5" xfId="1242" xr:uid="{00000000-0005-0000-0000-0000E8B40000}"/>
    <cellStyle name="Normal 70 2 2 5 2" xfId="5864" xr:uid="{00000000-0005-0000-0000-0000E9B40000}"/>
    <cellStyle name="Normal 70 2 2 5 2 2" xfId="6693" xr:uid="{00000000-0005-0000-0000-0000EAB40000}"/>
    <cellStyle name="Normal 70 2 2 5 3" xfId="6696" xr:uid="{00000000-0005-0000-0000-0000EBB40000}"/>
    <cellStyle name="Normal 70 2 2 6" xfId="4191" xr:uid="{00000000-0005-0000-0000-0000ECB40000}"/>
    <cellStyle name="Normal 70 2 2 6 2" xfId="6710" xr:uid="{00000000-0005-0000-0000-0000EDB40000}"/>
    <cellStyle name="Normal 70 2 2 7" xfId="6725" xr:uid="{00000000-0005-0000-0000-0000EEB40000}"/>
    <cellStyle name="Normal 70 2 2 7 2" xfId="7984" xr:uid="{00000000-0005-0000-0000-0000EFB40000}"/>
    <cellStyle name="Normal 70 2 2 8" xfId="5631" xr:uid="{00000000-0005-0000-0000-0000F0B40000}"/>
    <cellStyle name="Normal 70 2 2 9" xfId="6684" xr:uid="{00000000-0005-0000-0000-0000F1B40000}"/>
    <cellStyle name="Normal 70 2 3" xfId="46345" xr:uid="{00000000-0005-0000-0000-0000F2B40000}"/>
    <cellStyle name="Normal 70 2 3 2" xfId="21364" xr:uid="{00000000-0005-0000-0000-0000F3B40000}"/>
    <cellStyle name="Normal 70 2 3 2 2" xfId="21368" xr:uid="{00000000-0005-0000-0000-0000F4B40000}"/>
    <cellStyle name="Normal 70 2 3 2 2 2" xfId="21372" xr:uid="{00000000-0005-0000-0000-0000F5B40000}"/>
    <cellStyle name="Normal 70 2 3 2 2 2 2" xfId="46347" xr:uid="{00000000-0005-0000-0000-0000F6B40000}"/>
    <cellStyle name="Normal 70 2 3 2 2 3" xfId="46349" xr:uid="{00000000-0005-0000-0000-0000F7B40000}"/>
    <cellStyle name="Normal 70 2 3 2 3" xfId="16020" xr:uid="{00000000-0005-0000-0000-0000F8B40000}"/>
    <cellStyle name="Normal 70 2 3 2 3 2" xfId="45524" xr:uid="{00000000-0005-0000-0000-0000F9B40000}"/>
    <cellStyle name="Normal 70 2 3 2 4" xfId="46351" xr:uid="{00000000-0005-0000-0000-0000FAB40000}"/>
    <cellStyle name="Normal 70 2 3 3" xfId="21375" xr:uid="{00000000-0005-0000-0000-0000FBB40000}"/>
    <cellStyle name="Normal 70 2 3 3 2" xfId="21382" xr:uid="{00000000-0005-0000-0000-0000FCB40000}"/>
    <cellStyle name="Normal 70 2 3 3 2 2" xfId="32452" xr:uid="{00000000-0005-0000-0000-0000FDB40000}"/>
    <cellStyle name="Normal 70 2 3 3 3" xfId="32456" xr:uid="{00000000-0005-0000-0000-0000FEB40000}"/>
    <cellStyle name="Normal 70 2 3 4" xfId="1273" xr:uid="{00000000-0005-0000-0000-0000FFB40000}"/>
    <cellStyle name="Normal 70 2 3 4 2" xfId="4666" xr:uid="{00000000-0005-0000-0000-000000B50000}"/>
    <cellStyle name="Normal 70 2 3 4 2 2" xfId="8068" xr:uid="{00000000-0005-0000-0000-000001B50000}"/>
    <cellStyle name="Normal 70 2 3 4 3" xfId="8793" xr:uid="{00000000-0005-0000-0000-000002B50000}"/>
    <cellStyle name="Normal 70 2 3 5" xfId="5891" xr:uid="{00000000-0005-0000-0000-000003B50000}"/>
    <cellStyle name="Normal 70 2 3 5 2" xfId="5906" xr:uid="{00000000-0005-0000-0000-000004B50000}"/>
    <cellStyle name="Normal 70 2 3 6" xfId="4213" xr:uid="{00000000-0005-0000-0000-000005B50000}"/>
    <cellStyle name="Normal 70 2 3 6 2" xfId="8811" xr:uid="{00000000-0005-0000-0000-000006B50000}"/>
    <cellStyle name="Normal 70 2 3 7" xfId="7990" xr:uid="{00000000-0005-0000-0000-000007B50000}"/>
    <cellStyle name="Normal 70 2 3 8" xfId="8826" xr:uid="{00000000-0005-0000-0000-000008B50000}"/>
    <cellStyle name="Normal 70 2 4" xfId="13395" xr:uid="{00000000-0005-0000-0000-000009B50000}"/>
    <cellStyle name="Normal 70 2 4 2" xfId="13408" xr:uid="{00000000-0005-0000-0000-00000AB50000}"/>
    <cellStyle name="Normal 70 2 4 2 2" xfId="13422" xr:uid="{00000000-0005-0000-0000-00000BB50000}"/>
    <cellStyle name="Normal 70 2 4 2 2 2" xfId="13434" xr:uid="{00000000-0005-0000-0000-00000CB50000}"/>
    <cellStyle name="Normal 70 2 4 2 3" xfId="13445" xr:uid="{00000000-0005-0000-0000-00000DB50000}"/>
    <cellStyle name="Normal 70 2 4 3" xfId="13456" xr:uid="{00000000-0005-0000-0000-00000EB50000}"/>
    <cellStyle name="Normal 70 2 4 3 2" xfId="32531" xr:uid="{00000000-0005-0000-0000-00000FB50000}"/>
    <cellStyle name="Normal 70 2 4 4" xfId="3099" xr:uid="{00000000-0005-0000-0000-000010B50000}"/>
    <cellStyle name="Normal 70 2 5" xfId="13473" xr:uid="{00000000-0005-0000-0000-000011B50000}"/>
    <cellStyle name="Normal 70 2 5 2" xfId="13476" xr:uid="{00000000-0005-0000-0000-000012B50000}"/>
    <cellStyle name="Normal 70 2 5 2 2" xfId="13485" xr:uid="{00000000-0005-0000-0000-000013B50000}"/>
    <cellStyle name="Normal 70 2 5 3" xfId="13488" xr:uid="{00000000-0005-0000-0000-000014B50000}"/>
    <cellStyle name="Normal 70 2 6" xfId="46353" xr:uid="{00000000-0005-0000-0000-000015B50000}"/>
    <cellStyle name="Normal 70 2 6 2" xfId="13497" xr:uid="{00000000-0005-0000-0000-000016B50000}"/>
    <cellStyle name="Normal 70 2 6 2 2" xfId="13504" xr:uid="{00000000-0005-0000-0000-000017B50000}"/>
    <cellStyle name="Normal 70 2 6 3" xfId="13510" xr:uid="{00000000-0005-0000-0000-000018B50000}"/>
    <cellStyle name="Normal 70 2 7" xfId="1336" xr:uid="{00000000-0005-0000-0000-000019B50000}"/>
    <cellStyle name="Normal 70 2 7 2" xfId="13522" xr:uid="{00000000-0005-0000-0000-00001AB50000}"/>
    <cellStyle name="Normal 70 2 8" xfId="34458" xr:uid="{00000000-0005-0000-0000-00001BB50000}"/>
    <cellStyle name="Normal 70 2 8 2" xfId="27996" xr:uid="{00000000-0005-0000-0000-00001CB50000}"/>
    <cellStyle name="Normal 70 2 9" xfId="34464" xr:uid="{00000000-0005-0000-0000-00001DB50000}"/>
    <cellStyle name="Normal 70 3" xfId="46355" xr:uid="{00000000-0005-0000-0000-00001EB50000}"/>
    <cellStyle name="Normal 70 3 2" xfId="46357" xr:uid="{00000000-0005-0000-0000-00001FB50000}"/>
    <cellStyle name="Normal 70 3 2 2" xfId="46360" xr:uid="{00000000-0005-0000-0000-000020B50000}"/>
    <cellStyle name="Normal 70 3 2 2 2" xfId="46364" xr:uid="{00000000-0005-0000-0000-000021B50000}"/>
    <cellStyle name="Normal 70 3 2 2 2 2" xfId="46368" xr:uid="{00000000-0005-0000-0000-000022B50000}"/>
    <cellStyle name="Normal 70 3 2 2 2 2 2" xfId="46372" xr:uid="{00000000-0005-0000-0000-000023B50000}"/>
    <cellStyle name="Normal 70 3 2 2 2 3" xfId="46376" xr:uid="{00000000-0005-0000-0000-000024B50000}"/>
    <cellStyle name="Normal 70 3 2 2 3" xfId="46380" xr:uid="{00000000-0005-0000-0000-000025B50000}"/>
    <cellStyle name="Normal 70 3 2 2 3 2" xfId="46384" xr:uid="{00000000-0005-0000-0000-000026B50000}"/>
    <cellStyle name="Normal 70 3 2 2 4" xfId="46388" xr:uid="{00000000-0005-0000-0000-000027B50000}"/>
    <cellStyle name="Normal 70 3 2 2 5" xfId="46392" xr:uid="{00000000-0005-0000-0000-000028B50000}"/>
    <cellStyle name="Normal 70 3 2 3" xfId="46396" xr:uid="{00000000-0005-0000-0000-000029B50000}"/>
    <cellStyle name="Normal 70 3 2 3 2" xfId="32764" xr:uid="{00000000-0005-0000-0000-00002AB50000}"/>
    <cellStyle name="Normal 70 3 2 3 2 2" xfId="21855" xr:uid="{00000000-0005-0000-0000-00002BB50000}"/>
    <cellStyle name="Normal 70 3 2 3 3" xfId="32770" xr:uid="{00000000-0005-0000-0000-00002CB50000}"/>
    <cellStyle name="Normal 70 3 2 4" xfId="1343" xr:uid="{00000000-0005-0000-0000-00002DB50000}"/>
    <cellStyle name="Normal 70 3 2 4 2" xfId="5227" xr:uid="{00000000-0005-0000-0000-00002EB50000}"/>
    <cellStyle name="Normal 70 3 2 4 2 2" xfId="22183" xr:uid="{00000000-0005-0000-0000-00002FB50000}"/>
    <cellStyle name="Normal 70 3 2 4 3" xfId="46400" xr:uid="{00000000-0005-0000-0000-000030B50000}"/>
    <cellStyle name="Normal 70 3 2 5" xfId="6058" xr:uid="{00000000-0005-0000-0000-000031B50000}"/>
    <cellStyle name="Normal 70 3 2 5 2" xfId="46404" xr:uid="{00000000-0005-0000-0000-000032B50000}"/>
    <cellStyle name="Normal 70 3 2 6" xfId="46408" xr:uid="{00000000-0005-0000-0000-000033B50000}"/>
    <cellStyle name="Normal 70 3 2 6 2" xfId="46412" xr:uid="{00000000-0005-0000-0000-000034B50000}"/>
    <cellStyle name="Normal 70 3 2 7" xfId="46416" xr:uid="{00000000-0005-0000-0000-000035B50000}"/>
    <cellStyle name="Normal 70 3 2 8" xfId="46419" xr:uid="{00000000-0005-0000-0000-000036B50000}"/>
    <cellStyle name="Normal 70 3 3" xfId="46422" xr:uid="{00000000-0005-0000-0000-000037B50000}"/>
    <cellStyle name="Normal 70 3 3 2" xfId="46426" xr:uid="{00000000-0005-0000-0000-000038B50000}"/>
    <cellStyle name="Normal 70 3 3 2 2" xfId="46430" xr:uid="{00000000-0005-0000-0000-000039B50000}"/>
    <cellStyle name="Normal 70 3 3 2 2 2" xfId="46434" xr:uid="{00000000-0005-0000-0000-00003AB50000}"/>
    <cellStyle name="Normal 70 3 3 2 3" xfId="46438" xr:uid="{00000000-0005-0000-0000-00003BB50000}"/>
    <cellStyle name="Normal 70 3 3 3" xfId="46442" xr:uid="{00000000-0005-0000-0000-00003CB50000}"/>
    <cellStyle name="Normal 70 3 3 3 2" xfId="46446" xr:uid="{00000000-0005-0000-0000-00003DB50000}"/>
    <cellStyle name="Normal 70 3 3 4" xfId="9014" xr:uid="{00000000-0005-0000-0000-00003EB50000}"/>
    <cellStyle name="Normal 70 3 3 5" xfId="46450" xr:uid="{00000000-0005-0000-0000-00003FB50000}"/>
    <cellStyle name="Normal 70 3 4" xfId="13532" xr:uid="{00000000-0005-0000-0000-000040B50000}"/>
    <cellStyle name="Normal 70 3 4 2" xfId="46454" xr:uid="{00000000-0005-0000-0000-000041B50000}"/>
    <cellStyle name="Normal 70 3 4 2 2" xfId="46458" xr:uid="{00000000-0005-0000-0000-000042B50000}"/>
    <cellStyle name="Normal 70 3 4 3" xfId="46462" xr:uid="{00000000-0005-0000-0000-000043B50000}"/>
    <cellStyle name="Normal 70 3 5" xfId="46464" xr:uid="{00000000-0005-0000-0000-000044B50000}"/>
    <cellStyle name="Normal 70 3 5 2" xfId="46468" xr:uid="{00000000-0005-0000-0000-000045B50000}"/>
    <cellStyle name="Normal 70 3 5 2 2" xfId="46472" xr:uid="{00000000-0005-0000-0000-000046B50000}"/>
    <cellStyle name="Normal 70 3 5 3" xfId="46476" xr:uid="{00000000-0005-0000-0000-000047B50000}"/>
    <cellStyle name="Normal 70 3 6" xfId="46478" xr:uid="{00000000-0005-0000-0000-000048B50000}"/>
    <cellStyle name="Normal 70 3 6 2" xfId="46482" xr:uid="{00000000-0005-0000-0000-000049B50000}"/>
    <cellStyle name="Normal 70 3 7" xfId="2850" xr:uid="{00000000-0005-0000-0000-00004AB50000}"/>
    <cellStyle name="Normal 70 3 7 2" xfId="46486" xr:uid="{00000000-0005-0000-0000-00004BB50000}"/>
    <cellStyle name="Normal 70 3 8" xfId="34471" xr:uid="{00000000-0005-0000-0000-00004CB50000}"/>
    <cellStyle name="Normal 70 3 9" xfId="46488" xr:uid="{00000000-0005-0000-0000-00004DB50000}"/>
    <cellStyle name="Normal 70 4" xfId="46490" xr:uid="{00000000-0005-0000-0000-00004EB50000}"/>
    <cellStyle name="Normal 70 4 2" xfId="46492" xr:uid="{00000000-0005-0000-0000-00004FB50000}"/>
    <cellStyle name="Normal 70 4 2 2" xfId="46494" xr:uid="{00000000-0005-0000-0000-000050B50000}"/>
    <cellStyle name="Normal 70 4 2 2 2" xfId="46496" xr:uid="{00000000-0005-0000-0000-000051B50000}"/>
    <cellStyle name="Normal 70 4 2 2 2 2" xfId="19649" xr:uid="{00000000-0005-0000-0000-000052B50000}"/>
    <cellStyle name="Normal 70 4 2 2 2 2 2" xfId="19652" xr:uid="{00000000-0005-0000-0000-000053B50000}"/>
    <cellStyle name="Normal 70 4 2 2 2 3" xfId="19668" xr:uid="{00000000-0005-0000-0000-000054B50000}"/>
    <cellStyle name="Normal 70 4 2 2 3" xfId="46498" xr:uid="{00000000-0005-0000-0000-000055B50000}"/>
    <cellStyle name="Normal 70 4 2 2 3 2" xfId="14650" xr:uid="{00000000-0005-0000-0000-000056B50000}"/>
    <cellStyle name="Normal 70 4 2 2 4" xfId="9278" xr:uid="{00000000-0005-0000-0000-000057B50000}"/>
    <cellStyle name="Normal 70 4 2 3" xfId="46500" xr:uid="{00000000-0005-0000-0000-000058B50000}"/>
    <cellStyle name="Normal 70 4 2 3 2" xfId="46502" xr:uid="{00000000-0005-0000-0000-000059B50000}"/>
    <cellStyle name="Normal 70 4 2 3 2 2" xfId="23250" xr:uid="{00000000-0005-0000-0000-00005AB50000}"/>
    <cellStyle name="Normal 70 4 2 3 3" xfId="46504" xr:uid="{00000000-0005-0000-0000-00005BB50000}"/>
    <cellStyle name="Normal 70 4 2 4" xfId="1399" xr:uid="{00000000-0005-0000-0000-00005CB50000}"/>
    <cellStyle name="Normal 70 4 2 4 2" xfId="46506" xr:uid="{00000000-0005-0000-0000-00005DB50000}"/>
    <cellStyle name="Normal 70 4 2 4 2 2" xfId="23297" xr:uid="{00000000-0005-0000-0000-00005EB50000}"/>
    <cellStyle name="Normal 70 4 2 4 3" xfId="46508" xr:uid="{00000000-0005-0000-0000-00005FB50000}"/>
    <cellStyle name="Normal 70 4 2 5" xfId="46510" xr:uid="{00000000-0005-0000-0000-000060B50000}"/>
    <cellStyle name="Normal 70 4 2 5 2" xfId="46512" xr:uid="{00000000-0005-0000-0000-000061B50000}"/>
    <cellStyle name="Normal 70 4 2 6" xfId="46514" xr:uid="{00000000-0005-0000-0000-000062B50000}"/>
    <cellStyle name="Normal 70 4 2 6 2" xfId="46516" xr:uid="{00000000-0005-0000-0000-000063B50000}"/>
    <cellStyle name="Normal 70 4 2 7" xfId="46518" xr:uid="{00000000-0005-0000-0000-000064B50000}"/>
    <cellStyle name="Normal 70 4 2 8" xfId="46520" xr:uid="{00000000-0005-0000-0000-000065B50000}"/>
    <cellStyle name="Normal 70 4 3" xfId="46522" xr:uid="{00000000-0005-0000-0000-000066B50000}"/>
    <cellStyle name="Normal 70 4 3 2" xfId="46524" xr:uid="{00000000-0005-0000-0000-000067B50000}"/>
    <cellStyle name="Normal 70 4 3 2 2" xfId="46526" xr:uid="{00000000-0005-0000-0000-000068B50000}"/>
    <cellStyle name="Normal 70 4 3 2 2 2" xfId="46528" xr:uid="{00000000-0005-0000-0000-000069B50000}"/>
    <cellStyle name="Normal 70 4 3 2 3" xfId="22843" xr:uid="{00000000-0005-0000-0000-00006AB50000}"/>
    <cellStyle name="Normal 70 4 3 3" xfId="46530" xr:uid="{00000000-0005-0000-0000-00006BB50000}"/>
    <cellStyle name="Normal 70 4 3 3 2" xfId="46532" xr:uid="{00000000-0005-0000-0000-00006CB50000}"/>
    <cellStyle name="Normal 70 4 3 4" xfId="9044" xr:uid="{00000000-0005-0000-0000-00006DB50000}"/>
    <cellStyle name="Normal 70 4 4" xfId="13550" xr:uid="{00000000-0005-0000-0000-00006EB50000}"/>
    <cellStyle name="Normal 70 4 4 2" xfId="46534" xr:uid="{00000000-0005-0000-0000-00006FB50000}"/>
    <cellStyle name="Normal 70 4 4 2 2" xfId="46536" xr:uid="{00000000-0005-0000-0000-000070B50000}"/>
    <cellStyle name="Normal 70 4 4 3" xfId="46538" xr:uid="{00000000-0005-0000-0000-000071B50000}"/>
    <cellStyle name="Normal 70 4 5" xfId="46540" xr:uid="{00000000-0005-0000-0000-000072B50000}"/>
    <cellStyle name="Normal 70 4 5 2" xfId="46542" xr:uid="{00000000-0005-0000-0000-000073B50000}"/>
    <cellStyle name="Normal 70 4 5 2 2" xfId="46544" xr:uid="{00000000-0005-0000-0000-000074B50000}"/>
    <cellStyle name="Normal 70 4 5 3" xfId="25666" xr:uid="{00000000-0005-0000-0000-000075B50000}"/>
    <cellStyle name="Normal 70 4 6" xfId="22653" xr:uid="{00000000-0005-0000-0000-000076B50000}"/>
    <cellStyle name="Normal 70 4 6 2" xfId="39204" xr:uid="{00000000-0005-0000-0000-000077B50000}"/>
    <cellStyle name="Normal 70 4 7" xfId="38363" xr:uid="{00000000-0005-0000-0000-000078B50000}"/>
    <cellStyle name="Normal 70 4 7 2" xfId="38368" xr:uid="{00000000-0005-0000-0000-000079B50000}"/>
    <cellStyle name="Normal 70 4 8" xfId="34475" xr:uid="{00000000-0005-0000-0000-00007AB50000}"/>
    <cellStyle name="Normal 70 4 9" xfId="39211" xr:uid="{00000000-0005-0000-0000-00007BB50000}"/>
    <cellStyle name="Normal 70 5" xfId="46546" xr:uid="{00000000-0005-0000-0000-00007CB50000}"/>
    <cellStyle name="Normal 70 5 2" xfId="46548" xr:uid="{00000000-0005-0000-0000-00007DB50000}"/>
    <cellStyle name="Normal 70 5 2 2" xfId="46550" xr:uid="{00000000-0005-0000-0000-00007EB50000}"/>
    <cellStyle name="Normal 70 5 2 2 2" xfId="46552" xr:uid="{00000000-0005-0000-0000-00007FB50000}"/>
    <cellStyle name="Normal 70 5 2 2 2 2" xfId="20862" xr:uid="{00000000-0005-0000-0000-000080B50000}"/>
    <cellStyle name="Normal 70 5 2 2 2 2 2" xfId="23742" xr:uid="{00000000-0005-0000-0000-000081B50000}"/>
    <cellStyle name="Normal 70 5 2 2 2 3" xfId="23746" xr:uid="{00000000-0005-0000-0000-000082B50000}"/>
    <cellStyle name="Normal 70 5 2 2 3" xfId="46554" xr:uid="{00000000-0005-0000-0000-000083B50000}"/>
    <cellStyle name="Normal 70 5 2 2 3 2" xfId="34724" xr:uid="{00000000-0005-0000-0000-000084B50000}"/>
    <cellStyle name="Normal 70 5 2 2 4" xfId="6979" xr:uid="{00000000-0005-0000-0000-000085B50000}"/>
    <cellStyle name="Normal 70 5 2 3" xfId="46556" xr:uid="{00000000-0005-0000-0000-000086B50000}"/>
    <cellStyle name="Normal 70 5 2 3 2" xfId="46558" xr:uid="{00000000-0005-0000-0000-000087B50000}"/>
    <cellStyle name="Normal 70 5 2 3 2 2" xfId="20917" xr:uid="{00000000-0005-0000-0000-000088B50000}"/>
    <cellStyle name="Normal 70 5 2 3 3" xfId="46560" xr:uid="{00000000-0005-0000-0000-000089B50000}"/>
    <cellStyle name="Normal 70 5 2 4" xfId="9055" xr:uid="{00000000-0005-0000-0000-00008AB50000}"/>
    <cellStyle name="Normal 70 5 2 4 2" xfId="46562" xr:uid="{00000000-0005-0000-0000-00008BB50000}"/>
    <cellStyle name="Normal 70 5 2 4 2 2" xfId="20987" xr:uid="{00000000-0005-0000-0000-00008CB50000}"/>
    <cellStyle name="Normal 70 5 2 4 3" xfId="46564" xr:uid="{00000000-0005-0000-0000-00008DB50000}"/>
    <cellStyle name="Normal 70 5 2 5" xfId="46566" xr:uid="{00000000-0005-0000-0000-00008EB50000}"/>
    <cellStyle name="Normal 70 5 2 5 2" xfId="46568" xr:uid="{00000000-0005-0000-0000-00008FB50000}"/>
    <cellStyle name="Normal 70 5 2 6" xfId="46570" xr:uid="{00000000-0005-0000-0000-000090B50000}"/>
    <cellStyle name="Normal 70 5 2 6 2" xfId="46572" xr:uid="{00000000-0005-0000-0000-000091B50000}"/>
    <cellStyle name="Normal 70 5 2 7" xfId="46574" xr:uid="{00000000-0005-0000-0000-000092B50000}"/>
    <cellStyle name="Normal 70 5 2 8" xfId="46576" xr:uid="{00000000-0005-0000-0000-000093B50000}"/>
    <cellStyle name="Normal 70 5 3" xfId="46578" xr:uid="{00000000-0005-0000-0000-000094B50000}"/>
    <cellStyle name="Normal 70 5 3 2" xfId="46580" xr:uid="{00000000-0005-0000-0000-000095B50000}"/>
    <cellStyle name="Normal 70 5 3 2 2" xfId="46582" xr:uid="{00000000-0005-0000-0000-000096B50000}"/>
    <cellStyle name="Normal 70 5 3 2 2 2" xfId="46584" xr:uid="{00000000-0005-0000-0000-000097B50000}"/>
    <cellStyle name="Normal 70 5 3 2 3" xfId="22963" xr:uid="{00000000-0005-0000-0000-000098B50000}"/>
    <cellStyle name="Normal 70 5 3 3" xfId="46586" xr:uid="{00000000-0005-0000-0000-000099B50000}"/>
    <cellStyle name="Normal 70 5 3 3 2" xfId="46588" xr:uid="{00000000-0005-0000-0000-00009AB50000}"/>
    <cellStyle name="Normal 70 5 3 4" xfId="46590" xr:uid="{00000000-0005-0000-0000-00009BB50000}"/>
    <cellStyle name="Normal 70 5 4" xfId="46592" xr:uid="{00000000-0005-0000-0000-00009CB50000}"/>
    <cellStyle name="Normal 70 5 4 2" xfId="46594" xr:uid="{00000000-0005-0000-0000-00009DB50000}"/>
    <cellStyle name="Normal 70 5 4 2 2" xfId="46596" xr:uid="{00000000-0005-0000-0000-00009EB50000}"/>
    <cellStyle name="Normal 70 5 4 3" xfId="46598" xr:uid="{00000000-0005-0000-0000-00009FB50000}"/>
    <cellStyle name="Normal 70 5 5" xfId="46600" xr:uid="{00000000-0005-0000-0000-0000A0B50000}"/>
    <cellStyle name="Normal 70 5 5 2" xfId="46602" xr:uid="{00000000-0005-0000-0000-0000A1B50000}"/>
    <cellStyle name="Normal 70 5 5 2 2" xfId="46604" xr:uid="{00000000-0005-0000-0000-0000A2B50000}"/>
    <cellStyle name="Normal 70 5 5 3" xfId="46606" xr:uid="{00000000-0005-0000-0000-0000A3B50000}"/>
    <cellStyle name="Normal 70 5 6" xfId="39216" xr:uid="{00000000-0005-0000-0000-0000A4B50000}"/>
    <cellStyle name="Normal 70 5 6 2" xfId="39219" xr:uid="{00000000-0005-0000-0000-0000A5B50000}"/>
    <cellStyle name="Normal 70 5 7" xfId="38373" xr:uid="{00000000-0005-0000-0000-0000A6B50000}"/>
    <cellStyle name="Normal 70 5 7 2" xfId="38378" xr:uid="{00000000-0005-0000-0000-0000A7B50000}"/>
    <cellStyle name="Normal 70 5 8" xfId="38383" xr:uid="{00000000-0005-0000-0000-0000A8B50000}"/>
    <cellStyle name="Normal 70 5 9" xfId="46608" xr:uid="{00000000-0005-0000-0000-0000A9B50000}"/>
    <cellStyle name="Normal 70 6" xfId="46610" xr:uid="{00000000-0005-0000-0000-0000AAB50000}"/>
    <cellStyle name="Normal 70 6 2" xfId="46612" xr:uid="{00000000-0005-0000-0000-0000ABB50000}"/>
    <cellStyle name="Normal 70 6 2 2" xfId="46614" xr:uid="{00000000-0005-0000-0000-0000ACB50000}"/>
    <cellStyle name="Normal 70 6 2 2 2" xfId="14886" xr:uid="{00000000-0005-0000-0000-0000ADB50000}"/>
    <cellStyle name="Normal 70 6 2 2 2 2" xfId="23971" xr:uid="{00000000-0005-0000-0000-0000AEB50000}"/>
    <cellStyle name="Normal 70 6 2 2 3" xfId="15224" xr:uid="{00000000-0005-0000-0000-0000AFB50000}"/>
    <cellStyle name="Normal 70 6 2 3" xfId="46616" xr:uid="{00000000-0005-0000-0000-0000B0B50000}"/>
    <cellStyle name="Normal 70 6 2 3 2" xfId="46618" xr:uid="{00000000-0005-0000-0000-0000B1B50000}"/>
    <cellStyle name="Normal 70 6 2 4" xfId="46620" xr:uid="{00000000-0005-0000-0000-0000B2B50000}"/>
    <cellStyle name="Normal 70 6 3" xfId="46622" xr:uid="{00000000-0005-0000-0000-0000B3B50000}"/>
    <cellStyle name="Normal 70 6 3 2" xfId="14896" xr:uid="{00000000-0005-0000-0000-0000B4B50000}"/>
    <cellStyle name="Normal 70 6 3 2 2" xfId="46624" xr:uid="{00000000-0005-0000-0000-0000B5B50000}"/>
    <cellStyle name="Normal 70 6 3 3" xfId="11992" xr:uid="{00000000-0005-0000-0000-0000B6B50000}"/>
    <cellStyle name="Normal 70 6 4" xfId="46626" xr:uid="{00000000-0005-0000-0000-0000B7B50000}"/>
    <cellStyle name="Normal 70 6 4 2" xfId="46628" xr:uid="{00000000-0005-0000-0000-0000B8B50000}"/>
    <cellStyle name="Normal 70 6 4 2 2" xfId="46630" xr:uid="{00000000-0005-0000-0000-0000B9B50000}"/>
    <cellStyle name="Normal 70 6 4 3" xfId="46632" xr:uid="{00000000-0005-0000-0000-0000BAB50000}"/>
    <cellStyle name="Normal 70 6 5" xfId="46634" xr:uid="{00000000-0005-0000-0000-0000BBB50000}"/>
    <cellStyle name="Normal 70 6 5 2" xfId="46636" xr:uid="{00000000-0005-0000-0000-0000BCB50000}"/>
    <cellStyle name="Normal 70 6 6" xfId="39223" xr:uid="{00000000-0005-0000-0000-0000BDB50000}"/>
    <cellStyle name="Normal 70 6 6 2" xfId="39226" xr:uid="{00000000-0005-0000-0000-0000BEB50000}"/>
    <cellStyle name="Normal 70 6 7" xfId="17870" xr:uid="{00000000-0005-0000-0000-0000BFB50000}"/>
    <cellStyle name="Normal 70 6 8" xfId="46638" xr:uid="{00000000-0005-0000-0000-0000C0B50000}"/>
    <cellStyle name="Normal 70 7" xfId="46640" xr:uid="{00000000-0005-0000-0000-0000C1B50000}"/>
    <cellStyle name="Normal 70 7 2" xfId="46642" xr:uid="{00000000-0005-0000-0000-0000C2B50000}"/>
    <cellStyle name="Normal 70 7 2 2" xfId="46644" xr:uid="{00000000-0005-0000-0000-0000C3B50000}"/>
    <cellStyle name="Normal 70 7 2 2 2" xfId="46646" xr:uid="{00000000-0005-0000-0000-0000C4B50000}"/>
    <cellStyle name="Normal 70 7 2 3" xfId="46648" xr:uid="{00000000-0005-0000-0000-0000C5B50000}"/>
    <cellStyle name="Normal 70 7 3" xfId="46650" xr:uid="{00000000-0005-0000-0000-0000C6B50000}"/>
    <cellStyle name="Normal 70 7 3 2" xfId="15618" xr:uid="{00000000-0005-0000-0000-0000C7B50000}"/>
    <cellStyle name="Normal 70 7 4" xfId="46652" xr:uid="{00000000-0005-0000-0000-0000C8B50000}"/>
    <cellStyle name="Normal 70 8" xfId="46654" xr:uid="{00000000-0005-0000-0000-0000C9B50000}"/>
    <cellStyle name="Normal 70 8 2" xfId="46656" xr:uid="{00000000-0005-0000-0000-0000CAB50000}"/>
    <cellStyle name="Normal 70 8 2 2" xfId="46658" xr:uid="{00000000-0005-0000-0000-0000CBB50000}"/>
    <cellStyle name="Normal 70 8 3" xfId="46660" xr:uid="{00000000-0005-0000-0000-0000CCB50000}"/>
    <cellStyle name="Normal 70 9" xfId="46662" xr:uid="{00000000-0005-0000-0000-0000CDB50000}"/>
    <cellStyle name="Normal 70 9 2" xfId="46664" xr:uid="{00000000-0005-0000-0000-0000CEB50000}"/>
    <cellStyle name="Normal 70 9 2 2" xfId="46666" xr:uid="{00000000-0005-0000-0000-0000CFB50000}"/>
    <cellStyle name="Normal 70 9 3" xfId="46668" xr:uid="{00000000-0005-0000-0000-0000D0B50000}"/>
    <cellStyle name="Normal 71" xfId="46670" xr:uid="{00000000-0005-0000-0000-0000D1B50000}"/>
    <cellStyle name="Normal 71 10" xfId="47404" xr:uid="{00000000-0005-0000-0000-0000D2B50000}"/>
    <cellStyle name="Normal 71 11" xfId="47406" xr:uid="{00000000-0005-0000-0000-0000D3B50000}"/>
    <cellStyle name="Normal 71 2" xfId="46672" xr:uid="{00000000-0005-0000-0000-0000D4B50000}"/>
    <cellStyle name="Normal 71 2 2" xfId="47407" xr:uid="{00000000-0005-0000-0000-0000D5B50000}"/>
    <cellStyle name="Normal 71 2 2 2" xfId="47408" xr:uid="{00000000-0005-0000-0000-0000D6B50000}"/>
    <cellStyle name="Normal 71 2 2 2 2" xfId="47409" xr:uid="{00000000-0005-0000-0000-0000D7B50000}"/>
    <cellStyle name="Normal 71 2 2 2 2 2" xfId="47410" xr:uid="{00000000-0005-0000-0000-0000D8B50000}"/>
    <cellStyle name="Normal 71 2 2 2 2 2 2" xfId="47411" xr:uid="{00000000-0005-0000-0000-0000D9B50000}"/>
    <cellStyle name="Normal 71 2 2 2 2 3" xfId="47412" xr:uid="{00000000-0005-0000-0000-0000DAB50000}"/>
    <cellStyle name="Normal 71 2 2 2 3" xfId="47413" xr:uid="{00000000-0005-0000-0000-0000DBB50000}"/>
    <cellStyle name="Normal 71 2 2 2 3 2" xfId="47414" xr:uid="{00000000-0005-0000-0000-0000DCB50000}"/>
    <cellStyle name="Normal 71 2 2 2 4" xfId="47415" xr:uid="{00000000-0005-0000-0000-0000DDB50000}"/>
    <cellStyle name="Normal 71 2 2 2 5" xfId="47416" xr:uid="{00000000-0005-0000-0000-0000DEB50000}"/>
    <cellStyle name="Normal 71 2 2 3" xfId="47417" xr:uid="{00000000-0005-0000-0000-0000DFB50000}"/>
    <cellStyle name="Normal 71 2 2 3 2" xfId="34246" xr:uid="{00000000-0005-0000-0000-0000E0B50000}"/>
    <cellStyle name="Normal 71 2 2 3 2 2" xfId="28088" xr:uid="{00000000-0005-0000-0000-0000E1B50000}"/>
    <cellStyle name="Normal 71 2 2 3 3" xfId="34248" xr:uid="{00000000-0005-0000-0000-0000E2B50000}"/>
    <cellStyle name="Normal 71 2 2 4" xfId="47418" xr:uid="{00000000-0005-0000-0000-0000E3B50000}"/>
    <cellStyle name="Normal 71 2 2 4 2" xfId="34262" xr:uid="{00000000-0005-0000-0000-0000E4B50000}"/>
    <cellStyle name="Normal 71 2 2 4 2 2" xfId="3554" xr:uid="{00000000-0005-0000-0000-0000E5B50000}"/>
    <cellStyle name="Normal 71 2 2 4 3" xfId="36762" xr:uid="{00000000-0005-0000-0000-0000E6B50000}"/>
    <cellStyle name="Normal 71 2 2 5" xfId="47419" xr:uid="{00000000-0005-0000-0000-0000E7B50000}"/>
    <cellStyle name="Normal 71 2 2 5 2" xfId="47420" xr:uid="{00000000-0005-0000-0000-0000E8B50000}"/>
    <cellStyle name="Normal 71 2 2 6" xfId="47421" xr:uid="{00000000-0005-0000-0000-0000E9B50000}"/>
    <cellStyle name="Normal 71 2 2 6 2" xfId="47422" xr:uid="{00000000-0005-0000-0000-0000EAB50000}"/>
    <cellStyle name="Normal 71 2 2 7" xfId="47423" xr:uid="{00000000-0005-0000-0000-0000EBB50000}"/>
    <cellStyle name="Normal 71 2 2 8" xfId="4068" xr:uid="{00000000-0005-0000-0000-0000ECB50000}"/>
    <cellStyle name="Normal 71 2 3" xfId="47424" xr:uid="{00000000-0005-0000-0000-0000EDB50000}"/>
    <cellStyle name="Normal 71 2 3 2" xfId="47425" xr:uid="{00000000-0005-0000-0000-0000EEB50000}"/>
    <cellStyle name="Normal 71 2 3 2 2" xfId="9072" xr:uid="{00000000-0005-0000-0000-0000EFB50000}"/>
    <cellStyle name="Normal 71 2 3 2 2 2" xfId="29439" xr:uid="{00000000-0005-0000-0000-0000F0B50000}"/>
    <cellStyle name="Normal 71 2 3 2 3" xfId="13870" xr:uid="{00000000-0005-0000-0000-0000F1B50000}"/>
    <cellStyle name="Normal 71 2 3 2 4" xfId="29444" xr:uid="{00000000-0005-0000-0000-0000F2B50000}"/>
    <cellStyle name="Normal 71 2 3 3" xfId="47426" xr:uid="{00000000-0005-0000-0000-0000F3B50000}"/>
    <cellStyle name="Normal 71 2 3 3 2" xfId="29452" xr:uid="{00000000-0005-0000-0000-0000F4B50000}"/>
    <cellStyle name="Normal 71 2 3 4" xfId="47427" xr:uid="{00000000-0005-0000-0000-0000F5B50000}"/>
    <cellStyle name="Normal 71 2 3 4 2" xfId="29461" xr:uid="{00000000-0005-0000-0000-0000F6B50000}"/>
    <cellStyle name="Normal 71 2 3 5" xfId="47428" xr:uid="{00000000-0005-0000-0000-0000F7B50000}"/>
    <cellStyle name="Normal 71 2 3 6" xfId="72" xr:uid="{00000000-0005-0000-0000-0000F8B50000}"/>
    <cellStyle name="Normal 71 2 4" xfId="47429" xr:uid="{00000000-0005-0000-0000-0000F9B50000}"/>
    <cellStyle name="Normal 71 2 4 2" xfId="47430" xr:uid="{00000000-0005-0000-0000-0000FAB50000}"/>
    <cellStyle name="Normal 71 2 4 2 2" xfId="47431" xr:uid="{00000000-0005-0000-0000-0000FBB50000}"/>
    <cellStyle name="Normal 71 2 4 3" xfId="30543" xr:uid="{00000000-0005-0000-0000-0000FCB50000}"/>
    <cellStyle name="Normal 71 2 4 4" xfId="47432" xr:uid="{00000000-0005-0000-0000-0000FDB50000}"/>
    <cellStyle name="Normal 71 2 5" xfId="9095" xr:uid="{00000000-0005-0000-0000-0000FEB50000}"/>
    <cellStyle name="Normal 71 2 5 2" xfId="47433" xr:uid="{00000000-0005-0000-0000-0000FFB50000}"/>
    <cellStyle name="Normal 71 2 5 2 2" xfId="10536" xr:uid="{00000000-0005-0000-0000-000000B60000}"/>
    <cellStyle name="Normal 71 2 5 3" xfId="47434" xr:uid="{00000000-0005-0000-0000-000001B60000}"/>
    <cellStyle name="Normal 71 2 6" xfId="39581" xr:uid="{00000000-0005-0000-0000-000002B60000}"/>
    <cellStyle name="Normal 71 2 6 2" xfId="47435" xr:uid="{00000000-0005-0000-0000-000003B60000}"/>
    <cellStyle name="Normal 71 2 7" xfId="1423" xr:uid="{00000000-0005-0000-0000-000004B60000}"/>
    <cellStyle name="Normal 71 2 7 2" xfId="47436" xr:uid="{00000000-0005-0000-0000-000005B60000}"/>
    <cellStyle name="Normal 71 2 8" xfId="34490" xr:uid="{00000000-0005-0000-0000-000006B60000}"/>
    <cellStyle name="Normal 71 2 9" xfId="47437" xr:uid="{00000000-0005-0000-0000-000007B60000}"/>
    <cellStyle name="Normal 71 3" xfId="47438" xr:uid="{00000000-0005-0000-0000-000008B60000}"/>
    <cellStyle name="Normal 71 3 2" xfId="37531" xr:uid="{00000000-0005-0000-0000-000009B60000}"/>
    <cellStyle name="Normal 71 3 2 2" xfId="47439" xr:uid="{00000000-0005-0000-0000-00000AB60000}"/>
    <cellStyle name="Normal 71 3 2 2 2" xfId="47440" xr:uid="{00000000-0005-0000-0000-00000BB60000}"/>
    <cellStyle name="Normal 71 3 2 2 2 2" xfId="6701" xr:uid="{00000000-0005-0000-0000-00000CB60000}"/>
    <cellStyle name="Normal 71 3 2 2 3" xfId="47441" xr:uid="{00000000-0005-0000-0000-00000DB60000}"/>
    <cellStyle name="Normal 71 3 2 2 4" xfId="43240" xr:uid="{00000000-0005-0000-0000-00000EB60000}"/>
    <cellStyle name="Normal 71 3 2 3" xfId="47442" xr:uid="{00000000-0005-0000-0000-00000FB60000}"/>
    <cellStyle name="Normal 71 3 2 3 2" xfId="34449" xr:uid="{00000000-0005-0000-0000-000010B60000}"/>
    <cellStyle name="Normal 71 3 2 3 2 2" xfId="29967" xr:uid="{00000000-0005-0000-0000-000011B60000}"/>
    <cellStyle name="Normal 71 3 2 3 3" xfId="34451" xr:uid="{00000000-0005-0000-0000-000012B60000}"/>
    <cellStyle name="Normal 71 3 2 4" xfId="47443" xr:uid="{00000000-0005-0000-0000-000013B60000}"/>
    <cellStyle name="Normal 71 3 2 4 2" xfId="47444" xr:uid="{00000000-0005-0000-0000-000014B60000}"/>
    <cellStyle name="Normal 71 3 2 5" xfId="47445" xr:uid="{00000000-0005-0000-0000-000015B60000}"/>
    <cellStyle name="Normal 71 3 2 5 2" xfId="47446" xr:uid="{00000000-0005-0000-0000-000016B60000}"/>
    <cellStyle name="Normal 71 3 2 6" xfId="47447" xr:uid="{00000000-0005-0000-0000-000017B60000}"/>
    <cellStyle name="Normal 71 3 2 7" xfId="47448" xr:uid="{00000000-0005-0000-0000-000018B60000}"/>
    <cellStyle name="Normal 71 3 3" xfId="47449" xr:uid="{00000000-0005-0000-0000-000019B60000}"/>
    <cellStyle name="Normal 71 3 3 2" xfId="47450" xr:uid="{00000000-0005-0000-0000-00001AB60000}"/>
    <cellStyle name="Normal 71 3 3 2 2" xfId="14985" xr:uid="{00000000-0005-0000-0000-00001BB60000}"/>
    <cellStyle name="Normal 71 3 3 3" xfId="47451" xr:uid="{00000000-0005-0000-0000-00001CB60000}"/>
    <cellStyle name="Normal 71 3 3 4" xfId="47452" xr:uid="{00000000-0005-0000-0000-00001DB60000}"/>
    <cellStyle name="Normal 71 3 4" xfId="47453" xr:uid="{00000000-0005-0000-0000-00001EB60000}"/>
    <cellStyle name="Normal 71 3 4 2" xfId="47454" xr:uid="{00000000-0005-0000-0000-00001FB60000}"/>
    <cellStyle name="Normal 71 3 4 2 2" xfId="47455" xr:uid="{00000000-0005-0000-0000-000020B60000}"/>
    <cellStyle name="Normal 71 3 4 2 3" xfId="23437" xr:uid="{00000000-0005-0000-0000-000021B60000}"/>
    <cellStyle name="Normal 71 3 4 2 4" xfId="23443" xr:uid="{00000000-0005-0000-0000-000022B60000}"/>
    <cellStyle name="Normal 71 3 4 2 4 2" xfId="29042" xr:uid="{00000000-0005-0000-0000-000023B60000}"/>
    <cellStyle name="Normal 71 3 4 2 4 3" xfId="8315" xr:uid="{00000000-0005-0000-0000-000024B60000}"/>
    <cellStyle name="Normal 71 3 4 3" xfId="30552" xr:uid="{00000000-0005-0000-0000-000025B60000}"/>
    <cellStyle name="Normal 71 3 5" xfId="13579" xr:uid="{00000000-0005-0000-0000-000026B60000}"/>
    <cellStyle name="Normal 71 3 5 2" xfId="47456" xr:uid="{00000000-0005-0000-0000-000027B60000}"/>
    <cellStyle name="Normal 71 3 6" xfId="47457" xr:uid="{00000000-0005-0000-0000-000028B60000}"/>
    <cellStyle name="Normal 71 3 6 2" xfId="47458" xr:uid="{00000000-0005-0000-0000-000029B60000}"/>
    <cellStyle name="Normal 71 3 7" xfId="3292" xr:uid="{00000000-0005-0000-0000-00002AB60000}"/>
    <cellStyle name="Normal 71 3 8" xfId="47459" xr:uid="{00000000-0005-0000-0000-00002BB60000}"/>
    <cellStyle name="Normal 71 4" xfId="47460" xr:uid="{00000000-0005-0000-0000-00002CB60000}"/>
    <cellStyle name="Normal 71 4 2" xfId="47461" xr:uid="{00000000-0005-0000-0000-00002DB60000}"/>
    <cellStyle name="Normal 71 4 2 2" xfId="47462" xr:uid="{00000000-0005-0000-0000-00002EB60000}"/>
    <cellStyle name="Normal 71 4 2 2 2" xfId="47463" xr:uid="{00000000-0005-0000-0000-00002FB60000}"/>
    <cellStyle name="Normal 71 4 2 2 2 2" xfId="24751" xr:uid="{00000000-0005-0000-0000-000030B60000}"/>
    <cellStyle name="Normal 71 4 2 2 3" xfId="47464" xr:uid="{00000000-0005-0000-0000-000031B60000}"/>
    <cellStyle name="Normal 71 4 2 2 4" xfId="47465" xr:uid="{00000000-0005-0000-0000-000032B60000}"/>
    <cellStyle name="Normal 71 4 2 3" xfId="47466" xr:uid="{00000000-0005-0000-0000-000033B60000}"/>
    <cellStyle name="Normal 71 4 2 3 2" xfId="47467" xr:uid="{00000000-0005-0000-0000-000034B60000}"/>
    <cellStyle name="Normal 71 4 2 4" xfId="47468" xr:uid="{00000000-0005-0000-0000-000035B60000}"/>
    <cellStyle name="Normal 71 4 2 4 2" xfId="47469" xr:uid="{00000000-0005-0000-0000-000036B60000}"/>
    <cellStyle name="Normal 71 4 2 5" xfId="47470" xr:uid="{00000000-0005-0000-0000-000037B60000}"/>
    <cellStyle name="Normal 71 4 2 6" xfId="47471" xr:uid="{00000000-0005-0000-0000-000038B60000}"/>
    <cellStyle name="Normal 71 4 3" xfId="47472" xr:uid="{00000000-0005-0000-0000-000039B60000}"/>
    <cellStyle name="Normal 71 4 3 2" xfId="47473" xr:uid="{00000000-0005-0000-0000-00003AB60000}"/>
    <cellStyle name="Normal 71 4 3 2 2" xfId="9163" xr:uid="{00000000-0005-0000-0000-00003BB60000}"/>
    <cellStyle name="Normal 71 4 3 2 2 2" xfId="12630" xr:uid="{00000000-0005-0000-0000-00003CB60000}"/>
    <cellStyle name="Normal 71 4 3 2 3" xfId="12633" xr:uid="{00000000-0005-0000-0000-00003DB60000}"/>
    <cellStyle name="Normal 71 4 3 2 4" xfId="23488" xr:uid="{00000000-0005-0000-0000-00003EB60000}"/>
    <cellStyle name="Normal 71 4 3 3" xfId="47474" xr:uid="{00000000-0005-0000-0000-00003FB60000}"/>
    <cellStyle name="Normal 71 4 3 3 2" xfId="12656" xr:uid="{00000000-0005-0000-0000-000040B60000}"/>
    <cellStyle name="Normal 71 4 3 4" xfId="47475" xr:uid="{00000000-0005-0000-0000-000041B60000}"/>
    <cellStyle name="Normal 71 4 3 4 2" xfId="47476" xr:uid="{00000000-0005-0000-0000-000042B60000}"/>
    <cellStyle name="Normal 71 4 3 5" xfId="47477" xr:uid="{00000000-0005-0000-0000-000043B60000}"/>
    <cellStyle name="Normal 71 4 3 6" xfId="47478" xr:uid="{00000000-0005-0000-0000-000044B60000}"/>
    <cellStyle name="Normal 71 4 4" xfId="47479" xr:uid="{00000000-0005-0000-0000-000045B60000}"/>
    <cellStyle name="Normal 71 4 4 2" xfId="47480" xr:uid="{00000000-0005-0000-0000-000046B60000}"/>
    <cellStyle name="Normal 71 4 4 2 2" xfId="37540" xr:uid="{00000000-0005-0000-0000-000047B60000}"/>
    <cellStyle name="Normal 71 4 4 3" xfId="47481" xr:uid="{00000000-0005-0000-0000-000048B60000}"/>
    <cellStyle name="Normal 71 4 4 4" xfId="47482" xr:uid="{00000000-0005-0000-0000-000049B60000}"/>
    <cellStyle name="Normal 71 4 5" xfId="47483" xr:uid="{00000000-0005-0000-0000-00004AB60000}"/>
    <cellStyle name="Normal 71 4 5 2" xfId="47484" xr:uid="{00000000-0005-0000-0000-00004BB60000}"/>
    <cellStyle name="Normal 71 4 6" xfId="21703" xr:uid="{00000000-0005-0000-0000-00004CB60000}"/>
    <cellStyle name="Normal 71 4 6 2" xfId="39238" xr:uid="{00000000-0005-0000-0000-00004DB60000}"/>
    <cellStyle name="Normal 71 4 7" xfId="38418" xr:uid="{00000000-0005-0000-0000-00004EB60000}"/>
    <cellStyle name="Normal 71 4 8" xfId="38425" xr:uid="{00000000-0005-0000-0000-00004FB60000}"/>
    <cellStyle name="Normal 71 5" xfId="47485" xr:uid="{00000000-0005-0000-0000-000050B60000}"/>
    <cellStyle name="Normal 71 5 2" xfId="47486" xr:uid="{00000000-0005-0000-0000-000051B60000}"/>
    <cellStyle name="Normal 71 5 2 2" xfId="47487" xr:uid="{00000000-0005-0000-0000-000052B60000}"/>
    <cellStyle name="Normal 71 5 2 2 2" xfId="47488" xr:uid="{00000000-0005-0000-0000-000053B60000}"/>
    <cellStyle name="Normal 71 5 2 3" xfId="47489" xr:uid="{00000000-0005-0000-0000-000054B60000}"/>
    <cellStyle name="Normal 71 5 2 4" xfId="46099" xr:uid="{00000000-0005-0000-0000-000055B60000}"/>
    <cellStyle name="Normal 71 5 3" xfId="47490" xr:uid="{00000000-0005-0000-0000-000056B60000}"/>
    <cellStyle name="Normal 71 5 3 2" xfId="47491" xr:uid="{00000000-0005-0000-0000-000057B60000}"/>
    <cellStyle name="Normal 71 5 4" xfId="47492" xr:uid="{00000000-0005-0000-0000-000058B60000}"/>
    <cellStyle name="Normal 71 5 4 2" xfId="47493" xr:uid="{00000000-0005-0000-0000-000059B60000}"/>
    <cellStyle name="Normal 71 5 5" xfId="47494" xr:uid="{00000000-0005-0000-0000-00005AB60000}"/>
    <cellStyle name="Normal 71 5 6" xfId="39245" xr:uid="{00000000-0005-0000-0000-00005BB60000}"/>
    <cellStyle name="Normal 71 6" xfId="47495" xr:uid="{00000000-0005-0000-0000-00005CB60000}"/>
    <cellStyle name="Normal 71 6 2" xfId="47496" xr:uid="{00000000-0005-0000-0000-00005DB60000}"/>
    <cellStyle name="Normal 71 6 2 2" xfId="47497" xr:uid="{00000000-0005-0000-0000-00005EB60000}"/>
    <cellStyle name="Normal 71 6 2 2 2" xfId="47498" xr:uid="{00000000-0005-0000-0000-00005FB60000}"/>
    <cellStyle name="Normal 71 6 2 3" xfId="47499" xr:uid="{00000000-0005-0000-0000-000060B60000}"/>
    <cellStyle name="Normal 71 6 2 4" xfId="46121" xr:uid="{00000000-0005-0000-0000-000061B60000}"/>
    <cellStyle name="Normal 71 6 3" xfId="47500" xr:uid="{00000000-0005-0000-0000-000062B60000}"/>
    <cellStyle name="Normal 71 6 3 2" xfId="47501" xr:uid="{00000000-0005-0000-0000-000063B60000}"/>
    <cellStyle name="Normal 71 6 4" xfId="47502" xr:uid="{00000000-0005-0000-0000-000064B60000}"/>
    <cellStyle name="Normal 71 6 4 2" xfId="47503" xr:uid="{00000000-0005-0000-0000-000065B60000}"/>
    <cellStyle name="Normal 71 6 5" xfId="47504" xr:uid="{00000000-0005-0000-0000-000066B60000}"/>
    <cellStyle name="Normal 71 6 6" xfId="39249" xr:uid="{00000000-0005-0000-0000-000067B60000}"/>
    <cellStyle name="Normal 71 7" xfId="47505" xr:uid="{00000000-0005-0000-0000-000068B60000}"/>
    <cellStyle name="Normal 71 7 2" xfId="47506" xr:uid="{00000000-0005-0000-0000-000069B60000}"/>
    <cellStyle name="Normal 71 7 2 2" xfId="47507" xr:uid="{00000000-0005-0000-0000-00006AB60000}"/>
    <cellStyle name="Normal 71 7 3" xfId="47508" xr:uid="{00000000-0005-0000-0000-00006BB60000}"/>
    <cellStyle name="Normal 71 7 4" xfId="47509" xr:uid="{00000000-0005-0000-0000-00006CB60000}"/>
    <cellStyle name="Normal 71 8" xfId="41153" xr:uid="{00000000-0005-0000-0000-00006DB60000}"/>
    <cellStyle name="Normal 71 8 2" xfId="47510" xr:uid="{00000000-0005-0000-0000-00006EB60000}"/>
    <cellStyle name="Normal 71 9" xfId="47511" xr:uid="{00000000-0005-0000-0000-00006FB60000}"/>
    <cellStyle name="Normal 71 9 2" xfId="47512" xr:uid="{00000000-0005-0000-0000-000070B60000}"/>
    <cellStyle name="Normal 72" xfId="46674" xr:uid="{00000000-0005-0000-0000-000071B60000}"/>
    <cellStyle name="Normal 72 10" xfId="47513" xr:uid="{00000000-0005-0000-0000-000072B60000}"/>
    <cellStyle name="Normal 72 11" xfId="47514" xr:uid="{00000000-0005-0000-0000-000073B60000}"/>
    <cellStyle name="Normal 72 11 2" xfId="47515" xr:uid="{00000000-0005-0000-0000-000074B60000}"/>
    <cellStyle name="Normal 72 11 3" xfId="47516" xr:uid="{00000000-0005-0000-0000-000075B60000}"/>
    <cellStyle name="Normal 72 11 4" xfId="47517" xr:uid="{00000000-0005-0000-0000-000076B60000}"/>
    <cellStyle name="Normal 72 11 4 2" xfId="19205" xr:uid="{00000000-0005-0000-0000-000077B60000}"/>
    <cellStyle name="Normal 72 12" xfId="26791" xr:uid="{00000000-0005-0000-0000-000078B60000}"/>
    <cellStyle name="Normal 72 2" xfId="46676" xr:uid="{00000000-0005-0000-0000-000079B60000}"/>
    <cellStyle name="Normal 72 2 2" xfId="47518" xr:uid="{00000000-0005-0000-0000-00007AB60000}"/>
    <cellStyle name="Normal 72 2 2 2" xfId="47519" xr:uid="{00000000-0005-0000-0000-00007BB60000}"/>
    <cellStyle name="Normal 72 2 2 2 2" xfId="21097" xr:uid="{00000000-0005-0000-0000-00007CB60000}"/>
    <cellStyle name="Normal 72 2 2 2 2 2" xfId="21100" xr:uid="{00000000-0005-0000-0000-00007DB60000}"/>
    <cellStyle name="Normal 72 2 2 2 2 2 2" xfId="47520" xr:uid="{00000000-0005-0000-0000-00007EB60000}"/>
    <cellStyle name="Normal 72 2 2 2 2 2 2 2" xfId="47521" xr:uid="{00000000-0005-0000-0000-00007FB60000}"/>
    <cellStyle name="Normal 72 2 2 2 2 3" xfId="47522" xr:uid="{00000000-0005-0000-0000-000080B60000}"/>
    <cellStyle name="Normal 72 2 2 2 3" xfId="21102" xr:uid="{00000000-0005-0000-0000-000081B60000}"/>
    <cellStyle name="Normal 72 2 2 2 3 2" xfId="47523" xr:uid="{00000000-0005-0000-0000-000082B60000}"/>
    <cellStyle name="Normal 72 2 2 2 4" xfId="21104" xr:uid="{00000000-0005-0000-0000-000083B60000}"/>
    <cellStyle name="Normal 72 2 2 2 5" xfId="47524" xr:uid="{00000000-0005-0000-0000-000084B60000}"/>
    <cellStyle name="Normal 72 2 2 3" xfId="47525" xr:uid="{00000000-0005-0000-0000-000085B60000}"/>
    <cellStyle name="Normal 72 2 2 3 2" xfId="9235" xr:uid="{00000000-0005-0000-0000-000086B60000}"/>
    <cellStyle name="Normal 72 2 2 3 2 2" xfId="13027" xr:uid="{00000000-0005-0000-0000-000087B60000}"/>
    <cellStyle name="Normal 72 2 2 3 3" xfId="7520" xr:uid="{00000000-0005-0000-0000-000088B60000}"/>
    <cellStyle name="Normal 72 2 2 4" xfId="47526" xr:uid="{00000000-0005-0000-0000-000089B60000}"/>
    <cellStyle name="Normal 72 2 2 4 2" xfId="13134" xr:uid="{00000000-0005-0000-0000-00008AB60000}"/>
    <cellStyle name="Normal 72 2 2 4 2 2" xfId="8598" xr:uid="{00000000-0005-0000-0000-00008BB60000}"/>
    <cellStyle name="Normal 72 2 2 4 3" xfId="13147" xr:uid="{00000000-0005-0000-0000-00008CB60000}"/>
    <cellStyle name="Normal 72 2 2 5" xfId="47527" xr:uid="{00000000-0005-0000-0000-00008DB60000}"/>
    <cellStyle name="Normal 72 2 2 5 2" xfId="47528" xr:uid="{00000000-0005-0000-0000-00008EB60000}"/>
    <cellStyle name="Normal 72 2 2 6" xfId="47529" xr:uid="{00000000-0005-0000-0000-00008FB60000}"/>
    <cellStyle name="Normal 72 2 2 6 2" xfId="47530" xr:uid="{00000000-0005-0000-0000-000090B60000}"/>
    <cellStyle name="Normal 72 2 2 7" xfId="47531" xr:uid="{00000000-0005-0000-0000-000091B60000}"/>
    <cellStyle name="Normal 72 2 2 8" xfId="5055" xr:uid="{00000000-0005-0000-0000-000092B60000}"/>
    <cellStyle name="Normal 72 2 3" xfId="47532" xr:uid="{00000000-0005-0000-0000-000093B60000}"/>
    <cellStyle name="Normal 72 2 3 2" xfId="47533" xr:uid="{00000000-0005-0000-0000-000094B60000}"/>
    <cellStyle name="Normal 72 2 3 2 2" xfId="15486" xr:uid="{00000000-0005-0000-0000-000095B60000}"/>
    <cellStyle name="Normal 72 2 3 2 2 2" xfId="47534" xr:uid="{00000000-0005-0000-0000-000096B60000}"/>
    <cellStyle name="Normal 72 2 3 2 3" xfId="3970" xr:uid="{00000000-0005-0000-0000-000097B60000}"/>
    <cellStyle name="Normal 72 2 3 3" xfId="47535" xr:uid="{00000000-0005-0000-0000-000098B60000}"/>
    <cellStyle name="Normal 72 2 3 3 2" xfId="13246" xr:uid="{00000000-0005-0000-0000-000099B60000}"/>
    <cellStyle name="Normal 72 2 3 4" xfId="47536" xr:uid="{00000000-0005-0000-0000-00009AB60000}"/>
    <cellStyle name="Normal 72 2 3 5" xfId="47537" xr:uid="{00000000-0005-0000-0000-00009BB60000}"/>
    <cellStyle name="Normal 72 2 4" xfId="12799" xr:uid="{00000000-0005-0000-0000-00009CB60000}"/>
    <cellStyle name="Normal 72 2 4 2" xfId="13600" xr:uid="{00000000-0005-0000-0000-00009DB60000}"/>
    <cellStyle name="Normal 72 2 4 2 2" xfId="47538" xr:uid="{00000000-0005-0000-0000-00009EB60000}"/>
    <cellStyle name="Normal 72 2 4 3" xfId="13337" xr:uid="{00000000-0005-0000-0000-00009FB60000}"/>
    <cellStyle name="Normal 72 2 5" xfId="2380" xr:uid="{00000000-0005-0000-0000-0000A0B60000}"/>
    <cellStyle name="Normal 72 2 5 2" xfId="2393" xr:uid="{00000000-0005-0000-0000-0000A1B60000}"/>
    <cellStyle name="Normal 72 2 5 2 2" xfId="47539" xr:uid="{00000000-0005-0000-0000-0000A2B60000}"/>
    <cellStyle name="Normal 72 2 5 3" xfId="47540" xr:uid="{00000000-0005-0000-0000-0000A3B60000}"/>
    <cellStyle name="Normal 72 2 6" xfId="2410" xr:uid="{00000000-0005-0000-0000-0000A4B60000}"/>
    <cellStyle name="Normal 72 2 6 2" xfId="15183" xr:uid="{00000000-0005-0000-0000-0000A5B60000}"/>
    <cellStyle name="Normal 72 2 7" xfId="3469" xr:uid="{00000000-0005-0000-0000-0000A6B60000}"/>
    <cellStyle name="Normal 72 2 7 2" xfId="40083" xr:uid="{00000000-0005-0000-0000-0000A7B60000}"/>
    <cellStyle name="Normal 72 2 8" xfId="10966" xr:uid="{00000000-0005-0000-0000-0000A8B60000}"/>
    <cellStyle name="Normal 72 2 9" xfId="47541" xr:uid="{00000000-0005-0000-0000-0000A9B60000}"/>
    <cellStyle name="Normal 72 3" xfId="47542" xr:uid="{00000000-0005-0000-0000-0000AAB60000}"/>
    <cellStyle name="Normal 72 3 2" xfId="47543" xr:uid="{00000000-0005-0000-0000-0000ABB60000}"/>
    <cellStyle name="Normal 72 3 2 2" xfId="47544" xr:uid="{00000000-0005-0000-0000-0000ACB60000}"/>
    <cellStyle name="Normal 72 3 2 2 2" xfId="47545" xr:uid="{00000000-0005-0000-0000-0000ADB60000}"/>
    <cellStyle name="Normal 72 3 2 2 2 2" xfId="25333" xr:uid="{00000000-0005-0000-0000-0000AEB60000}"/>
    <cellStyle name="Normal 72 3 2 2 3" xfId="47546" xr:uid="{00000000-0005-0000-0000-0000AFB60000}"/>
    <cellStyle name="Normal 72 3 2 3" xfId="47547" xr:uid="{00000000-0005-0000-0000-0000B0B60000}"/>
    <cellStyle name="Normal 72 3 2 3 2" xfId="6544" xr:uid="{00000000-0005-0000-0000-0000B1B60000}"/>
    <cellStyle name="Normal 72 3 2 4" xfId="47548" xr:uid="{00000000-0005-0000-0000-0000B2B60000}"/>
    <cellStyle name="Normal 72 3 2 5" xfId="47549" xr:uid="{00000000-0005-0000-0000-0000B3B60000}"/>
    <cellStyle name="Normal 72 3 3" xfId="47550" xr:uid="{00000000-0005-0000-0000-0000B4B60000}"/>
    <cellStyle name="Normal 72 3 3 2" xfId="47551" xr:uid="{00000000-0005-0000-0000-0000B5B60000}"/>
    <cellStyle name="Normal 72 3 3 2 2" xfId="47552" xr:uid="{00000000-0005-0000-0000-0000B6B60000}"/>
    <cellStyle name="Normal 72 3 3 3" xfId="47553" xr:uid="{00000000-0005-0000-0000-0000B7B60000}"/>
    <cellStyle name="Normal 72 3 4" xfId="47554" xr:uid="{00000000-0005-0000-0000-0000B8B60000}"/>
    <cellStyle name="Normal 72 3 4 2" xfId="47555" xr:uid="{00000000-0005-0000-0000-0000B9B60000}"/>
    <cellStyle name="Normal 72 3 4 2 2" xfId="47556" xr:uid="{00000000-0005-0000-0000-0000BAB60000}"/>
    <cellStyle name="Normal 72 3 4 3" xfId="6605" xr:uid="{00000000-0005-0000-0000-0000BBB60000}"/>
    <cellStyle name="Normal 72 3 5" xfId="47557" xr:uid="{00000000-0005-0000-0000-0000BCB60000}"/>
    <cellStyle name="Normal 72 3 5 2" xfId="47558" xr:uid="{00000000-0005-0000-0000-0000BDB60000}"/>
    <cellStyle name="Normal 72 3 6" xfId="47559" xr:uid="{00000000-0005-0000-0000-0000BEB60000}"/>
    <cellStyle name="Normal 72 3 6 2" xfId="47560" xr:uid="{00000000-0005-0000-0000-0000BFB60000}"/>
    <cellStyle name="Normal 72 3 7" xfId="47561" xr:uid="{00000000-0005-0000-0000-0000C0B60000}"/>
    <cellStyle name="Normal 72 3 8" xfId="47562" xr:uid="{00000000-0005-0000-0000-0000C1B60000}"/>
    <cellStyle name="Normal 72 4" xfId="47563" xr:uid="{00000000-0005-0000-0000-0000C2B60000}"/>
    <cellStyle name="Normal 72 4 2" xfId="47564" xr:uid="{00000000-0005-0000-0000-0000C3B60000}"/>
    <cellStyle name="Normal 72 4 2 2" xfId="47565" xr:uid="{00000000-0005-0000-0000-0000C4B60000}"/>
    <cellStyle name="Normal 72 4 2 2 2" xfId="47566" xr:uid="{00000000-0005-0000-0000-0000C5B60000}"/>
    <cellStyle name="Normal 72 4 2 3" xfId="47567" xr:uid="{00000000-0005-0000-0000-0000C6B60000}"/>
    <cellStyle name="Normal 72 4 2 4" xfId="47569" xr:uid="{00000000-0005-0000-0000-0000C7B60000}"/>
    <cellStyle name="Normal 72 4 3" xfId="47570" xr:uid="{00000000-0005-0000-0000-0000C8B60000}"/>
    <cellStyle name="Normal 72 4 3 2" xfId="47571" xr:uid="{00000000-0005-0000-0000-0000C9B60000}"/>
    <cellStyle name="Normal 72 4 4" xfId="47572" xr:uid="{00000000-0005-0000-0000-0000CAB60000}"/>
    <cellStyle name="Normal 72 4 4 2" xfId="47573" xr:uid="{00000000-0005-0000-0000-0000CBB60000}"/>
    <cellStyle name="Normal 72 4 5" xfId="47574" xr:uid="{00000000-0005-0000-0000-0000CCB60000}"/>
    <cellStyle name="Normal 72 4 6" xfId="39258" xr:uid="{00000000-0005-0000-0000-0000CDB60000}"/>
    <cellStyle name="Normal 72 5" xfId="8976" xr:uid="{00000000-0005-0000-0000-0000CEB60000}"/>
    <cellStyle name="Normal 72 5 2" xfId="8984" xr:uid="{00000000-0005-0000-0000-0000CFB60000}"/>
    <cellStyle name="Normal 72 5 2 2" xfId="5638" xr:uid="{00000000-0005-0000-0000-0000D0B60000}"/>
    <cellStyle name="Normal 72 5 2 2 2" xfId="27639" xr:uid="{00000000-0005-0000-0000-0000D1B60000}"/>
    <cellStyle name="Normal 72 5 2 3" xfId="47575" xr:uid="{00000000-0005-0000-0000-0000D2B60000}"/>
    <cellStyle name="Normal 72 5 2 4" xfId="46142" xr:uid="{00000000-0005-0000-0000-0000D3B60000}"/>
    <cellStyle name="Normal 72 5 2 5" xfId="46145" xr:uid="{00000000-0005-0000-0000-0000D4B60000}"/>
    <cellStyle name="Normal 72 5 3" xfId="8989" xr:uid="{00000000-0005-0000-0000-0000D5B60000}"/>
    <cellStyle name="Normal 72 5 3 2" xfId="47576" xr:uid="{00000000-0005-0000-0000-0000D6B60000}"/>
    <cellStyle name="Normal 72 5 4" xfId="8997" xr:uid="{00000000-0005-0000-0000-0000D7B60000}"/>
    <cellStyle name="Normal 72 5 4 2" xfId="47577" xr:uid="{00000000-0005-0000-0000-0000D8B60000}"/>
    <cellStyle name="Normal 72 5 5" xfId="47578" xr:uid="{00000000-0005-0000-0000-0000D9B60000}"/>
    <cellStyle name="Normal 72 5 6" xfId="39267" xr:uid="{00000000-0005-0000-0000-0000DAB60000}"/>
    <cellStyle name="Normal 72 5 6 2" xfId="39269" xr:uid="{00000000-0005-0000-0000-0000DBB60000}"/>
    <cellStyle name="Normal 72 5 6 2 2" xfId="16796" xr:uid="{00000000-0005-0000-0000-0000DCB60000}"/>
    <cellStyle name="Normal 72 5 6 2 3" xfId="41612" xr:uid="{00000000-0005-0000-0000-0000DDB60000}"/>
    <cellStyle name="Normal 72 5 6 2 4" xfId="47579" xr:uid="{00000000-0005-0000-0000-0000DEB60000}"/>
    <cellStyle name="Normal 72 5 7" xfId="38474" xr:uid="{00000000-0005-0000-0000-0000DFB60000}"/>
    <cellStyle name="Normal 72 5 8" xfId="38981" xr:uid="{00000000-0005-0000-0000-0000E0B60000}"/>
    <cellStyle name="Normal 72 6" xfId="5947" xr:uid="{00000000-0005-0000-0000-0000E1B60000}"/>
    <cellStyle name="Normal 72 6 2" xfId="4478" xr:uid="{00000000-0005-0000-0000-0000E2B60000}"/>
    <cellStyle name="Normal 72 6 2 2" xfId="47580" xr:uid="{00000000-0005-0000-0000-0000E3B60000}"/>
    <cellStyle name="Normal 72 6 3" xfId="47581" xr:uid="{00000000-0005-0000-0000-0000E4B60000}"/>
    <cellStyle name="Normal 72 6 4" xfId="47582" xr:uid="{00000000-0005-0000-0000-0000E5B60000}"/>
    <cellStyle name="Normal 72 7" xfId="710" xr:uid="{00000000-0005-0000-0000-0000E6B60000}"/>
    <cellStyle name="Normal 72 7 2" xfId="4272" xr:uid="{00000000-0005-0000-0000-0000E7B60000}"/>
    <cellStyle name="Normal 72 7 2 2" xfId="47583" xr:uid="{00000000-0005-0000-0000-0000E8B60000}"/>
    <cellStyle name="Normal 72 7 3" xfId="47584" xr:uid="{00000000-0005-0000-0000-0000E9B60000}"/>
    <cellStyle name="Normal 72 7 4" xfId="7404" xr:uid="{00000000-0005-0000-0000-0000EAB60000}"/>
    <cellStyle name="Normal 72 8" xfId="800" xr:uid="{00000000-0005-0000-0000-0000EBB60000}"/>
    <cellStyle name="Normal 72 8 2" xfId="47585" xr:uid="{00000000-0005-0000-0000-0000ECB60000}"/>
    <cellStyle name="Normal 72 9" xfId="6005" xr:uid="{00000000-0005-0000-0000-0000EDB60000}"/>
    <cellStyle name="Normal 72 9 2" xfId="47586" xr:uid="{00000000-0005-0000-0000-0000EEB60000}"/>
    <cellStyle name="Normal 73" xfId="34258" xr:uid="{00000000-0005-0000-0000-0000EFB60000}"/>
    <cellStyle name="Normal 73 2" xfId="47587" xr:uid="{00000000-0005-0000-0000-0000F0B60000}"/>
    <cellStyle name="Normal 73 2 2" xfId="47588" xr:uid="{00000000-0005-0000-0000-0000F1B60000}"/>
    <cellStyle name="Normal 73 2 2 2" xfId="47589" xr:uid="{00000000-0005-0000-0000-0000F2B60000}"/>
    <cellStyle name="Normal 73 2 2 2 2" xfId="47590" xr:uid="{00000000-0005-0000-0000-0000F3B60000}"/>
    <cellStyle name="Normal 73 2 2 2 2 2" xfId="47591" xr:uid="{00000000-0005-0000-0000-0000F4B60000}"/>
    <cellStyle name="Normal 73 2 2 2 2 2 2" xfId="40715" xr:uid="{00000000-0005-0000-0000-0000F5B60000}"/>
    <cellStyle name="Normal 73 2 2 2 2 3" xfId="47592" xr:uid="{00000000-0005-0000-0000-0000F6B60000}"/>
    <cellStyle name="Normal 73 2 2 2 3" xfId="47593" xr:uid="{00000000-0005-0000-0000-0000F7B60000}"/>
    <cellStyle name="Normal 73 2 2 2 3 2" xfId="15077" xr:uid="{00000000-0005-0000-0000-0000F8B60000}"/>
    <cellStyle name="Normal 73 2 2 2 4" xfId="47594" xr:uid="{00000000-0005-0000-0000-0000F9B60000}"/>
    <cellStyle name="Normal 73 2 2 2 4 2" xfId="47595" xr:uid="{00000000-0005-0000-0000-0000FAB60000}"/>
    <cellStyle name="Normal 73 2 2 3" xfId="47596" xr:uid="{00000000-0005-0000-0000-0000FBB60000}"/>
    <cellStyle name="Normal 73 2 2 3 2" xfId="4901" xr:uid="{00000000-0005-0000-0000-0000FCB60000}"/>
    <cellStyle name="Normal 73 2 2 3 2 2" xfId="2462" xr:uid="{00000000-0005-0000-0000-0000FDB60000}"/>
    <cellStyle name="Normal 73 2 2 3 3" xfId="4935" xr:uid="{00000000-0005-0000-0000-0000FEB60000}"/>
    <cellStyle name="Normal 73 2 2 4" xfId="47597" xr:uid="{00000000-0005-0000-0000-0000FFB60000}"/>
    <cellStyle name="Normal 73 2 2 4 2" xfId="5186" xr:uid="{00000000-0005-0000-0000-000000B70000}"/>
    <cellStyle name="Normal 73 2 2 4 2 2" xfId="2938" xr:uid="{00000000-0005-0000-0000-000001B70000}"/>
    <cellStyle name="Normal 73 2 2 4 3" xfId="1556" xr:uid="{00000000-0005-0000-0000-000002B70000}"/>
    <cellStyle name="Normal 73 2 2 5" xfId="47598" xr:uid="{00000000-0005-0000-0000-000003B70000}"/>
    <cellStyle name="Normal 73 2 2 5 2" xfId="1354" xr:uid="{00000000-0005-0000-0000-000004B70000}"/>
    <cellStyle name="Normal 73 2 2 6" xfId="45165" xr:uid="{00000000-0005-0000-0000-000005B70000}"/>
    <cellStyle name="Normal 73 2 2 6 2" xfId="135" xr:uid="{00000000-0005-0000-0000-000006B70000}"/>
    <cellStyle name="Normal 73 2 3" xfId="47599" xr:uid="{00000000-0005-0000-0000-000007B70000}"/>
    <cellStyle name="Normal 73 2 3 2" xfId="47600" xr:uid="{00000000-0005-0000-0000-000008B70000}"/>
    <cellStyle name="Normal 73 2 3 2 2" xfId="47601" xr:uid="{00000000-0005-0000-0000-000009B70000}"/>
    <cellStyle name="Normal 73 2 3 2 2 2" xfId="47602" xr:uid="{00000000-0005-0000-0000-00000AB70000}"/>
    <cellStyle name="Normal 73 2 3 2 3" xfId="20556" xr:uid="{00000000-0005-0000-0000-00000BB70000}"/>
    <cellStyle name="Normal 73 2 3 3" xfId="47603" xr:uid="{00000000-0005-0000-0000-00000CB70000}"/>
    <cellStyle name="Normal 73 2 3 3 2" xfId="6092" xr:uid="{00000000-0005-0000-0000-00000DB70000}"/>
    <cellStyle name="Normal 73 2 3 4" xfId="47604" xr:uid="{00000000-0005-0000-0000-00000EB70000}"/>
    <cellStyle name="Normal 73 2 4" xfId="47605" xr:uid="{00000000-0005-0000-0000-00000FB70000}"/>
    <cellStyle name="Normal 73 2 4 2" xfId="47606" xr:uid="{00000000-0005-0000-0000-000010B70000}"/>
    <cellStyle name="Normal 73 2 4 2 2" xfId="47607" xr:uid="{00000000-0005-0000-0000-000011B70000}"/>
    <cellStyle name="Normal 73 2 4 3" xfId="47608" xr:uid="{00000000-0005-0000-0000-000012B70000}"/>
    <cellStyle name="Normal 73 2 5" xfId="47609" xr:uid="{00000000-0005-0000-0000-000013B70000}"/>
    <cellStyle name="Normal 73 2 5 2" xfId="47610" xr:uid="{00000000-0005-0000-0000-000014B70000}"/>
    <cellStyle name="Normal 73 2 5 2 2" xfId="47611" xr:uid="{00000000-0005-0000-0000-000015B70000}"/>
    <cellStyle name="Normal 73 2 5 3" xfId="47612" xr:uid="{00000000-0005-0000-0000-000016B70000}"/>
    <cellStyle name="Normal 73 2 6" xfId="4322" xr:uid="{00000000-0005-0000-0000-000017B70000}"/>
    <cellStyle name="Normal 73 2 6 2" xfId="743" xr:uid="{00000000-0005-0000-0000-000018B70000}"/>
    <cellStyle name="Normal 73 2 7" xfId="4356" xr:uid="{00000000-0005-0000-0000-000019B70000}"/>
    <cellStyle name="Normal 73 2 7 2" xfId="40259" xr:uid="{00000000-0005-0000-0000-00001AB70000}"/>
    <cellStyle name="Normal 73 2 8" xfId="47613" xr:uid="{00000000-0005-0000-0000-00001BB70000}"/>
    <cellStyle name="Normal 73 2 9" xfId="47614" xr:uid="{00000000-0005-0000-0000-00001CB70000}"/>
    <cellStyle name="Normal 73 3" xfId="47615" xr:uid="{00000000-0005-0000-0000-00001DB70000}"/>
    <cellStyle name="Normal 73 3 2" xfId="47616" xr:uid="{00000000-0005-0000-0000-00001EB70000}"/>
    <cellStyle name="Normal 73 3 2 2" xfId="47617" xr:uid="{00000000-0005-0000-0000-00001FB70000}"/>
    <cellStyle name="Normal 73 3 2 2 2" xfId="47618" xr:uid="{00000000-0005-0000-0000-000020B70000}"/>
    <cellStyle name="Normal 73 3 2 2 2 2" xfId="46169" xr:uid="{00000000-0005-0000-0000-000021B70000}"/>
    <cellStyle name="Normal 73 3 2 2 3" xfId="47619" xr:uid="{00000000-0005-0000-0000-000022B70000}"/>
    <cellStyle name="Normal 73 3 2 3" xfId="45600" xr:uid="{00000000-0005-0000-0000-000023B70000}"/>
    <cellStyle name="Normal 73 3 2 3 2" xfId="47620" xr:uid="{00000000-0005-0000-0000-000024B70000}"/>
    <cellStyle name="Normal 73 3 2 4" xfId="47621" xr:uid="{00000000-0005-0000-0000-000025B70000}"/>
    <cellStyle name="Normal 73 3 3" xfId="47622" xr:uid="{00000000-0005-0000-0000-000026B70000}"/>
    <cellStyle name="Normal 73 3 3 2" xfId="47623" xr:uid="{00000000-0005-0000-0000-000027B70000}"/>
    <cellStyle name="Normal 73 3 3 2 2" xfId="47624" xr:uid="{00000000-0005-0000-0000-000028B70000}"/>
    <cellStyle name="Normal 73 3 3 3" xfId="47625" xr:uid="{00000000-0005-0000-0000-000029B70000}"/>
    <cellStyle name="Normal 73 3 4" xfId="47626" xr:uid="{00000000-0005-0000-0000-00002AB70000}"/>
    <cellStyle name="Normal 73 3 4 2" xfId="47627" xr:uid="{00000000-0005-0000-0000-00002BB70000}"/>
    <cellStyle name="Normal 73 3 4 2 2" xfId="47628" xr:uid="{00000000-0005-0000-0000-00002CB70000}"/>
    <cellStyle name="Normal 73 3 4 3" xfId="7987" xr:uid="{00000000-0005-0000-0000-00002DB70000}"/>
    <cellStyle name="Normal 73 3 5" xfId="47629" xr:uid="{00000000-0005-0000-0000-00002EB70000}"/>
    <cellStyle name="Normal 73 3 5 2" xfId="47630" xr:uid="{00000000-0005-0000-0000-00002FB70000}"/>
    <cellStyle name="Normal 73 3 6" xfId="4421" xr:uid="{00000000-0005-0000-0000-000030B70000}"/>
    <cellStyle name="Normal 73 3 6 2" xfId="4449" xr:uid="{00000000-0005-0000-0000-000031B70000}"/>
    <cellStyle name="Normal 73 3 7" xfId="4554" xr:uid="{00000000-0005-0000-0000-000032B70000}"/>
    <cellStyle name="Normal 73 4" xfId="47631" xr:uid="{00000000-0005-0000-0000-000033B70000}"/>
    <cellStyle name="Normal 73 4 2" xfId="32693" xr:uid="{00000000-0005-0000-0000-000034B70000}"/>
    <cellStyle name="Normal 73 4 2 2" xfId="32696" xr:uid="{00000000-0005-0000-0000-000035B70000}"/>
    <cellStyle name="Normal 73 4 2 2 2" xfId="47632" xr:uid="{00000000-0005-0000-0000-000036B70000}"/>
    <cellStyle name="Normal 73 4 2 3" xfId="47633" xr:uid="{00000000-0005-0000-0000-000037B70000}"/>
    <cellStyle name="Normal 73 4 3" xfId="16441" xr:uid="{00000000-0005-0000-0000-000038B70000}"/>
    <cellStyle name="Normal 73 4 3 2" xfId="32699" xr:uid="{00000000-0005-0000-0000-000039B70000}"/>
    <cellStyle name="Normal 73 4 4" xfId="32702" xr:uid="{00000000-0005-0000-0000-00003AB70000}"/>
    <cellStyle name="Normal 73 5" xfId="9006" xr:uid="{00000000-0005-0000-0000-00003BB70000}"/>
    <cellStyle name="Normal 73 5 2" xfId="9008" xr:uid="{00000000-0005-0000-0000-00003CB70000}"/>
    <cellStyle name="Normal 73 5 2 2" xfId="47634" xr:uid="{00000000-0005-0000-0000-00003DB70000}"/>
    <cellStyle name="Normal 73 5 3" xfId="47635" xr:uid="{00000000-0005-0000-0000-00003EB70000}"/>
    <cellStyle name="Normal 73 6" xfId="6036" xr:uid="{00000000-0005-0000-0000-00003FB70000}"/>
    <cellStyle name="Normal 73 6 2" xfId="47636" xr:uid="{00000000-0005-0000-0000-000040B70000}"/>
    <cellStyle name="Normal 73 6 2 2" xfId="47637" xr:uid="{00000000-0005-0000-0000-000041B70000}"/>
    <cellStyle name="Normal 73 6 3" xfId="47638" xr:uid="{00000000-0005-0000-0000-000042B70000}"/>
    <cellStyle name="Normal 73 7" xfId="2726" xr:uid="{00000000-0005-0000-0000-000043B70000}"/>
    <cellStyle name="Normal 73 7 2" xfId="47639" xr:uid="{00000000-0005-0000-0000-000044B70000}"/>
    <cellStyle name="Normal 73 8" xfId="47640" xr:uid="{00000000-0005-0000-0000-000045B70000}"/>
    <cellStyle name="Normal 73 8 2" xfId="47641" xr:uid="{00000000-0005-0000-0000-000046B70000}"/>
    <cellStyle name="Normal 74" xfId="46678" xr:uid="{00000000-0005-0000-0000-000047B70000}"/>
    <cellStyle name="Normal 74 2" xfId="46683" xr:uid="{00000000-0005-0000-0000-000048B70000}"/>
    <cellStyle name="Normal 74 2 2" xfId="9971" xr:uid="{00000000-0005-0000-0000-000049B70000}"/>
    <cellStyle name="Normal 74 2 2 2" xfId="46686" xr:uid="{00000000-0005-0000-0000-00004AB70000}"/>
    <cellStyle name="Normal 74 2 2 2 2" xfId="18137" xr:uid="{00000000-0005-0000-0000-00004BB70000}"/>
    <cellStyle name="Normal 74 2 2 2 2 2" xfId="46688" xr:uid="{00000000-0005-0000-0000-00004CB70000}"/>
    <cellStyle name="Normal 74 2 2 2 2 2 2" xfId="46690" xr:uid="{00000000-0005-0000-0000-00004DB70000}"/>
    <cellStyle name="Normal 74 2 2 2 2 3" xfId="39231" xr:uid="{00000000-0005-0000-0000-00004EB70000}"/>
    <cellStyle name="Normal 74 2 2 2 3" xfId="18141" xr:uid="{00000000-0005-0000-0000-00004FB70000}"/>
    <cellStyle name="Normal 74 2 2 2 3 2" xfId="46694" xr:uid="{00000000-0005-0000-0000-000050B70000}"/>
    <cellStyle name="Normal 74 2 2 2 4" xfId="19656" xr:uid="{00000000-0005-0000-0000-000051B70000}"/>
    <cellStyle name="Normal 74 2 2 3" xfId="46701" xr:uid="{00000000-0005-0000-0000-000052B70000}"/>
    <cellStyle name="Normal 74 2 2 3 2" xfId="46703" xr:uid="{00000000-0005-0000-0000-000053B70000}"/>
    <cellStyle name="Normal 74 2 2 3 2 2" xfId="46705" xr:uid="{00000000-0005-0000-0000-000054B70000}"/>
    <cellStyle name="Normal 74 2 2 3 3" xfId="46709" xr:uid="{00000000-0005-0000-0000-000055B70000}"/>
    <cellStyle name="Normal 74 2 2 4" xfId="46712" xr:uid="{00000000-0005-0000-0000-000056B70000}"/>
    <cellStyle name="Normal 74 2 2 4 2" xfId="46714" xr:uid="{00000000-0005-0000-0000-000057B70000}"/>
    <cellStyle name="Normal 74 2 2 4 2 2" xfId="46716" xr:uid="{00000000-0005-0000-0000-000058B70000}"/>
    <cellStyle name="Normal 74 2 2 4 3" xfId="46718" xr:uid="{00000000-0005-0000-0000-000059B70000}"/>
    <cellStyle name="Normal 74 2 2 5" xfId="46720" xr:uid="{00000000-0005-0000-0000-00005AB70000}"/>
    <cellStyle name="Normal 74 2 2 5 2" xfId="46722" xr:uid="{00000000-0005-0000-0000-00005BB70000}"/>
    <cellStyle name="Normal 74 2 2 6" xfId="46726" xr:uid="{00000000-0005-0000-0000-00005CB70000}"/>
    <cellStyle name="Normal 74 2 2 6 2" xfId="46728" xr:uid="{00000000-0005-0000-0000-00005DB70000}"/>
    <cellStyle name="Normal 74 2 2 7" xfId="46730" xr:uid="{00000000-0005-0000-0000-00005EB70000}"/>
    <cellStyle name="Normal 74 2 3" xfId="46733" xr:uid="{00000000-0005-0000-0000-00005FB70000}"/>
    <cellStyle name="Normal 74 2 3 2" xfId="46735" xr:uid="{00000000-0005-0000-0000-000060B70000}"/>
    <cellStyle name="Normal 74 2 3 2 2" xfId="46737" xr:uid="{00000000-0005-0000-0000-000061B70000}"/>
    <cellStyle name="Normal 74 2 3 2 2 2" xfId="46739" xr:uid="{00000000-0005-0000-0000-000062B70000}"/>
    <cellStyle name="Normal 74 2 3 2 3" xfId="8646" xr:uid="{00000000-0005-0000-0000-000063B70000}"/>
    <cellStyle name="Normal 74 2 3 3" xfId="46743" xr:uid="{00000000-0005-0000-0000-000064B70000}"/>
    <cellStyle name="Normal 74 2 3 3 2" xfId="46745" xr:uid="{00000000-0005-0000-0000-000065B70000}"/>
    <cellStyle name="Normal 74 2 3 4" xfId="46748" xr:uid="{00000000-0005-0000-0000-000066B70000}"/>
    <cellStyle name="Normal 74 2 4" xfId="46757" xr:uid="{00000000-0005-0000-0000-000067B70000}"/>
    <cellStyle name="Normal 74 2 4 2" xfId="46759" xr:uid="{00000000-0005-0000-0000-000068B70000}"/>
    <cellStyle name="Normal 74 2 4 2 2" xfId="46761" xr:uid="{00000000-0005-0000-0000-000069B70000}"/>
    <cellStyle name="Normal 74 2 4 3" xfId="46765" xr:uid="{00000000-0005-0000-0000-00006AB70000}"/>
    <cellStyle name="Normal 74 2 5" xfId="46768" xr:uid="{00000000-0005-0000-0000-00006BB70000}"/>
    <cellStyle name="Normal 74 2 5 2" xfId="46770" xr:uid="{00000000-0005-0000-0000-00006CB70000}"/>
    <cellStyle name="Normal 74 2 5 2 2" xfId="46772" xr:uid="{00000000-0005-0000-0000-00006DB70000}"/>
    <cellStyle name="Normal 74 2 5 3" xfId="46774" xr:uid="{00000000-0005-0000-0000-00006EB70000}"/>
    <cellStyle name="Normal 74 2 6" xfId="46778" xr:uid="{00000000-0005-0000-0000-00006FB70000}"/>
    <cellStyle name="Normal 74 2 6 2" xfId="46782" xr:uid="{00000000-0005-0000-0000-000070B70000}"/>
    <cellStyle name="Normal 74 2 7" xfId="46792" xr:uid="{00000000-0005-0000-0000-000071B70000}"/>
    <cellStyle name="Normal 74 2 7 2" xfId="46796" xr:uid="{00000000-0005-0000-0000-000072B70000}"/>
    <cellStyle name="Normal 74 2 8" xfId="46800" xr:uid="{00000000-0005-0000-0000-000073B70000}"/>
    <cellStyle name="Normal 74 3" xfId="46359" xr:uid="{00000000-0005-0000-0000-000074B70000}"/>
    <cellStyle name="Normal 74 3 2" xfId="46363" xr:uid="{00000000-0005-0000-0000-000075B70000}"/>
    <cellStyle name="Normal 74 3 2 2" xfId="46367" xr:uid="{00000000-0005-0000-0000-000076B70000}"/>
    <cellStyle name="Normal 74 3 2 2 2" xfId="46371" xr:uid="{00000000-0005-0000-0000-000077B70000}"/>
    <cellStyle name="Normal 74 3 2 2 2 2" xfId="14751" xr:uid="{00000000-0005-0000-0000-000078B70000}"/>
    <cellStyle name="Normal 74 3 2 2 3" xfId="46806" xr:uid="{00000000-0005-0000-0000-000079B70000}"/>
    <cellStyle name="Normal 74 3 2 3" xfId="46375" xr:uid="{00000000-0005-0000-0000-00007AB70000}"/>
    <cellStyle name="Normal 74 3 2 3 2" xfId="46810" xr:uid="{00000000-0005-0000-0000-00007BB70000}"/>
    <cellStyle name="Normal 74 3 2 4" xfId="46813" xr:uid="{00000000-0005-0000-0000-00007CB70000}"/>
    <cellStyle name="Normal 74 3 3" xfId="46379" xr:uid="{00000000-0005-0000-0000-00007DB70000}"/>
    <cellStyle name="Normal 74 3 3 2" xfId="46383" xr:uid="{00000000-0005-0000-0000-00007EB70000}"/>
    <cellStyle name="Normal 74 3 3 2 2" xfId="46824" xr:uid="{00000000-0005-0000-0000-00007FB70000}"/>
    <cellStyle name="Normal 74 3 3 3" xfId="46827" xr:uid="{00000000-0005-0000-0000-000080B70000}"/>
    <cellStyle name="Normal 74 3 4" xfId="46387" xr:uid="{00000000-0005-0000-0000-000081B70000}"/>
    <cellStyle name="Normal 74 3 4 2" xfId="46831" xr:uid="{00000000-0005-0000-0000-000082B70000}"/>
    <cellStyle name="Normal 74 3 4 2 2" xfId="46833" xr:uid="{00000000-0005-0000-0000-000083B70000}"/>
    <cellStyle name="Normal 74 3 4 3" xfId="46835" xr:uid="{00000000-0005-0000-0000-000084B70000}"/>
    <cellStyle name="Normal 74 3 5" xfId="46391" xr:uid="{00000000-0005-0000-0000-000085B70000}"/>
    <cellStyle name="Normal 74 3 5 2" xfId="46837" xr:uid="{00000000-0005-0000-0000-000086B70000}"/>
    <cellStyle name="Normal 74 3 6" xfId="46842" xr:uid="{00000000-0005-0000-0000-000087B70000}"/>
    <cellStyle name="Normal 74 3 6 2" xfId="26413" xr:uid="{00000000-0005-0000-0000-000088B70000}"/>
    <cellStyle name="Normal 74 4" xfId="46395" xr:uid="{00000000-0005-0000-0000-000089B70000}"/>
    <cellStyle name="Normal 74 4 2" xfId="32763" xr:uid="{00000000-0005-0000-0000-00008AB70000}"/>
    <cellStyle name="Normal 74 4 2 2" xfId="21854" xr:uid="{00000000-0005-0000-0000-00008BB70000}"/>
    <cellStyle name="Normal 74 4 2 2 2" xfId="21859" xr:uid="{00000000-0005-0000-0000-00008CB70000}"/>
    <cellStyle name="Normal 74 4 2 3" xfId="21864" xr:uid="{00000000-0005-0000-0000-00008DB70000}"/>
    <cellStyle name="Normal 74 4 3" xfId="32769" xr:uid="{00000000-0005-0000-0000-00008EB70000}"/>
    <cellStyle name="Normal 74 4 3 2" xfId="21933" xr:uid="{00000000-0005-0000-0000-00008FB70000}"/>
    <cellStyle name="Normal 74 4 4" xfId="46860" xr:uid="{00000000-0005-0000-0000-000090B70000}"/>
    <cellStyle name="Normal 74 5" xfId="1342" xr:uid="{00000000-0005-0000-0000-000091B70000}"/>
    <cellStyle name="Normal 74 5 2" xfId="5226" xr:uid="{00000000-0005-0000-0000-000092B70000}"/>
    <cellStyle name="Normal 74 5 2 2" xfId="22182" xr:uid="{00000000-0005-0000-0000-000093B70000}"/>
    <cellStyle name="Normal 74 5 3" xfId="46399" xr:uid="{00000000-0005-0000-0000-000094B70000}"/>
    <cellStyle name="Normal 74 6" xfId="6057" xr:uid="{00000000-0005-0000-0000-000095B70000}"/>
    <cellStyle name="Normal 74 6 2" xfId="46403" xr:uid="{00000000-0005-0000-0000-000096B70000}"/>
    <cellStyle name="Normal 74 6 2 2" xfId="22335" xr:uid="{00000000-0005-0000-0000-000097B70000}"/>
    <cellStyle name="Normal 74 6 3" xfId="46892" xr:uid="{00000000-0005-0000-0000-000098B70000}"/>
    <cellStyle name="Normal 74 7" xfId="46407" xr:uid="{00000000-0005-0000-0000-000099B70000}"/>
    <cellStyle name="Normal 74 7 2" xfId="46411" xr:uid="{00000000-0005-0000-0000-00009AB70000}"/>
    <cellStyle name="Normal 74 8" xfId="46415" xr:uid="{00000000-0005-0000-0000-00009BB70000}"/>
    <cellStyle name="Normal 74 8 2" xfId="46909" xr:uid="{00000000-0005-0000-0000-00009CB70000}"/>
    <cellStyle name="Normal 75" xfId="47643" xr:uid="{00000000-0005-0000-0000-00009DB70000}"/>
    <cellStyle name="Normal 75 10" xfId="47644" xr:uid="{00000000-0005-0000-0000-00009EB70000}"/>
    <cellStyle name="Normal 75 2" xfId="47646" xr:uid="{00000000-0005-0000-0000-00009FB70000}"/>
    <cellStyle name="Normal 75 2 2" xfId="211" xr:uid="{00000000-0005-0000-0000-0000A0B70000}"/>
    <cellStyle name="Normal 75 2 2 2" xfId="47648" xr:uid="{00000000-0005-0000-0000-0000A1B70000}"/>
    <cellStyle name="Normal 75 2 2 2 2" xfId="47650" xr:uid="{00000000-0005-0000-0000-0000A2B70000}"/>
    <cellStyle name="Normal 75 2 2 2 2 2" xfId="47652" xr:uid="{00000000-0005-0000-0000-0000A3B70000}"/>
    <cellStyle name="Normal 75 2 2 2 2 2 2" xfId="47653" xr:uid="{00000000-0005-0000-0000-0000A4B70000}"/>
    <cellStyle name="Normal 75 2 2 2 2 3" xfId="47654" xr:uid="{00000000-0005-0000-0000-0000A5B70000}"/>
    <cellStyle name="Normal 75 2 2 2 3" xfId="47656" xr:uid="{00000000-0005-0000-0000-0000A6B70000}"/>
    <cellStyle name="Normal 75 2 2 2 3 2" xfId="47657" xr:uid="{00000000-0005-0000-0000-0000A7B70000}"/>
    <cellStyle name="Normal 75 2 2 2 4" xfId="20106" xr:uid="{00000000-0005-0000-0000-0000A8B70000}"/>
    <cellStyle name="Normal 75 2 2 3" xfId="47659" xr:uid="{00000000-0005-0000-0000-0000A9B70000}"/>
    <cellStyle name="Normal 75 2 2 3 2" xfId="47661" xr:uid="{00000000-0005-0000-0000-0000AAB70000}"/>
    <cellStyle name="Normal 75 2 2 3 2 2" xfId="47662" xr:uid="{00000000-0005-0000-0000-0000ABB70000}"/>
    <cellStyle name="Normal 75 2 2 3 3" xfId="47663" xr:uid="{00000000-0005-0000-0000-0000ACB70000}"/>
    <cellStyle name="Normal 75 2 2 4" xfId="47665" xr:uid="{00000000-0005-0000-0000-0000ADB70000}"/>
    <cellStyle name="Normal 75 2 2 4 2" xfId="47666" xr:uid="{00000000-0005-0000-0000-0000AEB70000}"/>
    <cellStyle name="Normal 75 2 2 4 2 2" xfId="47667" xr:uid="{00000000-0005-0000-0000-0000AFB70000}"/>
    <cellStyle name="Normal 75 2 2 4 3" xfId="47668" xr:uid="{00000000-0005-0000-0000-0000B0B70000}"/>
    <cellStyle name="Normal 75 2 2 5" xfId="47669" xr:uid="{00000000-0005-0000-0000-0000B1B70000}"/>
    <cellStyle name="Normal 75 2 2 5 2" xfId="47670" xr:uid="{00000000-0005-0000-0000-0000B2B70000}"/>
    <cellStyle name="Normal 75 2 2 6" xfId="47671" xr:uid="{00000000-0005-0000-0000-0000B3B70000}"/>
    <cellStyle name="Normal 75 2 2 6 2" xfId="47672" xr:uid="{00000000-0005-0000-0000-0000B4B70000}"/>
    <cellStyle name="Normal 75 2 2 7" xfId="47673" xr:uid="{00000000-0005-0000-0000-0000B5B70000}"/>
    <cellStyle name="Normal 75 2 3" xfId="47675" xr:uid="{00000000-0005-0000-0000-0000B6B70000}"/>
    <cellStyle name="Normal 75 2 3 2" xfId="46331" xr:uid="{00000000-0005-0000-0000-0000B7B70000}"/>
    <cellStyle name="Normal 75 2 3 2 2" xfId="26094" xr:uid="{00000000-0005-0000-0000-0000B8B70000}"/>
    <cellStyle name="Normal 75 2 3 2 2 2" xfId="37447" xr:uid="{00000000-0005-0000-0000-0000B9B70000}"/>
    <cellStyle name="Normal 75 2 3 2 3" xfId="24202" xr:uid="{00000000-0005-0000-0000-0000BAB70000}"/>
    <cellStyle name="Normal 75 2 3 3" xfId="46335" xr:uid="{00000000-0005-0000-0000-0000BBB70000}"/>
    <cellStyle name="Normal 75 2 3 3 2" xfId="38445" xr:uid="{00000000-0005-0000-0000-0000BCB70000}"/>
    <cellStyle name="Normal 75 2 3 4" xfId="46338" xr:uid="{00000000-0005-0000-0000-0000BDB70000}"/>
    <cellStyle name="Normal 75 2 4" xfId="47677" xr:uid="{00000000-0005-0000-0000-0000BEB70000}"/>
    <cellStyle name="Normal 75 2 4 2" xfId="47679" xr:uid="{00000000-0005-0000-0000-0000BFB70000}"/>
    <cellStyle name="Normal 75 2 4 2 2" xfId="47681" xr:uid="{00000000-0005-0000-0000-0000C0B70000}"/>
    <cellStyle name="Normal 75 2 4 3" xfId="47683" xr:uid="{00000000-0005-0000-0000-0000C1B70000}"/>
    <cellStyle name="Normal 75 2 5" xfId="30268" xr:uid="{00000000-0005-0000-0000-0000C2B70000}"/>
    <cellStyle name="Normal 75 2 5 2" xfId="1798" xr:uid="{00000000-0005-0000-0000-0000C3B70000}"/>
    <cellStyle name="Normal 75 2 5 2 2" xfId="8751" xr:uid="{00000000-0005-0000-0000-0000C4B70000}"/>
    <cellStyle name="Normal 75 2 5 3" xfId="8756" xr:uid="{00000000-0005-0000-0000-0000C5B70000}"/>
    <cellStyle name="Normal 75 2 6" xfId="47687" xr:uid="{00000000-0005-0000-0000-0000C6B70000}"/>
    <cellStyle name="Normal 75 2 6 2" xfId="47691" xr:uid="{00000000-0005-0000-0000-0000C7B70000}"/>
    <cellStyle name="Normal 75 2 7" xfId="47695" xr:uid="{00000000-0005-0000-0000-0000C8B70000}"/>
    <cellStyle name="Normal 75 2 7 2" xfId="47697" xr:uid="{00000000-0005-0000-0000-0000C9B70000}"/>
    <cellStyle name="Normal 75 3" xfId="46425" xr:uid="{00000000-0005-0000-0000-0000CAB70000}"/>
    <cellStyle name="Normal 75 3 2" xfId="46429" xr:uid="{00000000-0005-0000-0000-0000CBB70000}"/>
    <cellStyle name="Normal 75 3 2 2" xfId="46433" xr:uid="{00000000-0005-0000-0000-0000CCB70000}"/>
    <cellStyle name="Normal 75 3 2 2 2" xfId="47699" xr:uid="{00000000-0005-0000-0000-0000CDB70000}"/>
    <cellStyle name="Normal 75 3 2 2 2 2" xfId="17000" xr:uid="{00000000-0005-0000-0000-0000CEB70000}"/>
    <cellStyle name="Normal 75 3 2 2 3" xfId="19445" xr:uid="{00000000-0005-0000-0000-0000CFB70000}"/>
    <cellStyle name="Normal 75 3 2 3" xfId="47701" xr:uid="{00000000-0005-0000-0000-0000D0B70000}"/>
    <cellStyle name="Normal 75 3 2 3 2" xfId="47702" xr:uid="{00000000-0005-0000-0000-0000D1B70000}"/>
    <cellStyle name="Normal 75 3 2 4" xfId="47703" xr:uid="{00000000-0005-0000-0000-0000D2B70000}"/>
    <cellStyle name="Normal 75 3 3" xfId="46437" xr:uid="{00000000-0005-0000-0000-0000D3B70000}"/>
    <cellStyle name="Normal 75 3 3 2" xfId="47705" xr:uid="{00000000-0005-0000-0000-0000D4B70000}"/>
    <cellStyle name="Normal 75 3 3 2 2" xfId="47706" xr:uid="{00000000-0005-0000-0000-0000D5B70000}"/>
    <cellStyle name="Normal 75 3 3 3" xfId="47707" xr:uid="{00000000-0005-0000-0000-0000D6B70000}"/>
    <cellStyle name="Normal 75 3 4" xfId="47709" xr:uid="{00000000-0005-0000-0000-0000D7B70000}"/>
    <cellStyle name="Normal 75 3 4 2" xfId="47710" xr:uid="{00000000-0005-0000-0000-0000D8B70000}"/>
    <cellStyle name="Normal 75 3 4 2 2" xfId="40338" xr:uid="{00000000-0005-0000-0000-0000D9B70000}"/>
    <cellStyle name="Normal 75 3 4 3" xfId="47711" xr:uid="{00000000-0005-0000-0000-0000DAB70000}"/>
    <cellStyle name="Normal 75 3 5" xfId="47712" xr:uid="{00000000-0005-0000-0000-0000DBB70000}"/>
    <cellStyle name="Normal 75 3 5 2" xfId="8683" xr:uid="{00000000-0005-0000-0000-0000DCB70000}"/>
    <cellStyle name="Normal 75 3 6" xfId="47715" xr:uid="{00000000-0005-0000-0000-0000DDB70000}"/>
    <cellStyle name="Normal 75 3 6 2" xfId="47717" xr:uid="{00000000-0005-0000-0000-0000DEB70000}"/>
    <cellStyle name="Normal 75 3 7" xfId="47719" xr:uid="{00000000-0005-0000-0000-0000DFB70000}"/>
    <cellStyle name="Normal 75 4" xfId="46441" xr:uid="{00000000-0005-0000-0000-0000E0B70000}"/>
    <cellStyle name="Normal 75 4 2" xfId="46445" xr:uid="{00000000-0005-0000-0000-0000E1B70000}"/>
    <cellStyle name="Normal 75 4 2 2" xfId="22546" xr:uid="{00000000-0005-0000-0000-0000E2B70000}"/>
    <cellStyle name="Normal 75 4 2 2 2" xfId="22548" xr:uid="{00000000-0005-0000-0000-0000E3B70000}"/>
    <cellStyle name="Normal 75 4 2 3" xfId="18374" xr:uid="{00000000-0005-0000-0000-0000E4B70000}"/>
    <cellStyle name="Normal 75 4 3" xfId="47721" xr:uid="{00000000-0005-0000-0000-0000E5B70000}"/>
    <cellStyle name="Normal 75 4 3 2" xfId="22568" xr:uid="{00000000-0005-0000-0000-0000E6B70000}"/>
    <cellStyle name="Normal 75 4 4" xfId="47722" xr:uid="{00000000-0005-0000-0000-0000E7B70000}"/>
    <cellStyle name="Normal 75 5" xfId="9013" xr:uid="{00000000-0005-0000-0000-0000E8B70000}"/>
    <cellStyle name="Normal 75 5 2" xfId="47724" xr:uid="{00000000-0005-0000-0000-0000E9B70000}"/>
    <cellStyle name="Normal 75 5 2 2" xfId="22614" xr:uid="{00000000-0005-0000-0000-0000EAB70000}"/>
    <cellStyle name="Normal 75 5 3" xfId="47726" xr:uid="{00000000-0005-0000-0000-0000EBB70000}"/>
    <cellStyle name="Normal 75 6" xfId="46449" xr:uid="{00000000-0005-0000-0000-0000ECB70000}"/>
    <cellStyle name="Normal 75 6 2" xfId="47728" xr:uid="{00000000-0005-0000-0000-0000EDB70000}"/>
    <cellStyle name="Normal 75 6 2 2" xfId="21701" xr:uid="{00000000-0005-0000-0000-0000EEB70000}"/>
    <cellStyle name="Normal 75 6 3" xfId="21723" xr:uid="{00000000-0005-0000-0000-0000EFB70000}"/>
    <cellStyle name="Normal 75 7" xfId="47730" xr:uid="{00000000-0005-0000-0000-0000F0B70000}"/>
    <cellStyle name="Normal 75 7 2" xfId="47732" xr:uid="{00000000-0005-0000-0000-0000F1B70000}"/>
    <cellStyle name="Normal 75 8" xfId="47734" xr:uid="{00000000-0005-0000-0000-0000F2B70000}"/>
    <cellStyle name="Normal 75 8 2" xfId="47735" xr:uid="{00000000-0005-0000-0000-0000F3B70000}"/>
    <cellStyle name="Normal 75 9" xfId="47736" xr:uid="{00000000-0005-0000-0000-0000F4B70000}"/>
    <cellStyle name="Normal 76" xfId="47738" xr:uid="{00000000-0005-0000-0000-0000F5B70000}"/>
    <cellStyle name="Normal 76 2" xfId="47740" xr:uid="{00000000-0005-0000-0000-0000F6B70000}"/>
    <cellStyle name="Normal 76 2 2" xfId="5102" xr:uid="{00000000-0005-0000-0000-0000F7B70000}"/>
    <cellStyle name="Normal 76 2 2 2" xfId="46777" xr:uid="{00000000-0005-0000-0000-0000F8B70000}"/>
    <cellStyle name="Normal 76 2 2 2 2" xfId="46781" xr:uid="{00000000-0005-0000-0000-0000F9B70000}"/>
    <cellStyle name="Normal 76 2 2 2 2 2" xfId="46785" xr:uid="{00000000-0005-0000-0000-0000FAB70000}"/>
    <cellStyle name="Normal 76 2 2 2 2 2 2" xfId="47741" xr:uid="{00000000-0005-0000-0000-0000FBB70000}"/>
    <cellStyle name="Normal 76 2 2 2 2 3" xfId="47742" xr:uid="{00000000-0005-0000-0000-0000FCB70000}"/>
    <cellStyle name="Normal 76 2 2 2 3" xfId="46788" xr:uid="{00000000-0005-0000-0000-0000FDB70000}"/>
    <cellStyle name="Normal 76 2 2 2 3 2" xfId="47743" xr:uid="{00000000-0005-0000-0000-0000FEB70000}"/>
    <cellStyle name="Normal 76 2 2 2 4" xfId="47744" xr:uid="{00000000-0005-0000-0000-0000FFB70000}"/>
    <cellStyle name="Normal 76 2 2 3" xfId="46791" xr:uid="{00000000-0005-0000-0000-000000B80000}"/>
    <cellStyle name="Normal 76 2 2 3 2" xfId="46795" xr:uid="{00000000-0005-0000-0000-000001B80000}"/>
    <cellStyle name="Normal 76 2 2 3 2 2" xfId="47745" xr:uid="{00000000-0005-0000-0000-000002B80000}"/>
    <cellStyle name="Normal 76 2 2 3 3" xfId="47746" xr:uid="{00000000-0005-0000-0000-000003B80000}"/>
    <cellStyle name="Normal 76 2 2 4" xfId="46799" xr:uid="{00000000-0005-0000-0000-000004B80000}"/>
    <cellStyle name="Normal 76 2 2 4 2" xfId="46802" xr:uid="{00000000-0005-0000-0000-000005B80000}"/>
    <cellStyle name="Normal 76 2 2 4 2 2" xfId="47747" xr:uid="{00000000-0005-0000-0000-000006B80000}"/>
    <cellStyle name="Normal 76 2 2 4 3" xfId="47748" xr:uid="{00000000-0005-0000-0000-000007B80000}"/>
    <cellStyle name="Normal 76 2 2 5" xfId="46804" xr:uid="{00000000-0005-0000-0000-000008B80000}"/>
    <cellStyle name="Normal 76 2 2 5 2" xfId="42083" xr:uid="{00000000-0005-0000-0000-000009B80000}"/>
    <cellStyle name="Normal 76 2 2 6" xfId="47749" xr:uid="{00000000-0005-0000-0000-00000AB80000}"/>
    <cellStyle name="Normal 76 2 2 6 2" xfId="47750" xr:uid="{00000000-0005-0000-0000-00000BB80000}"/>
    <cellStyle name="Normal 76 2 2 7" xfId="47751" xr:uid="{00000000-0005-0000-0000-00000CB80000}"/>
    <cellStyle name="Normal 76 2 3" xfId="47753" xr:uid="{00000000-0005-0000-0000-00000DB80000}"/>
    <cellStyle name="Normal 76 2 3 2" xfId="46841" xr:uid="{00000000-0005-0000-0000-00000EB80000}"/>
    <cellStyle name="Normal 76 2 3 2 2" xfId="26412" xr:uid="{00000000-0005-0000-0000-00000FB80000}"/>
    <cellStyle name="Normal 76 2 3 2 2 2" xfId="47754" xr:uid="{00000000-0005-0000-0000-000010B80000}"/>
    <cellStyle name="Normal 76 2 3 2 3" xfId="47755" xr:uid="{00000000-0005-0000-0000-000011B80000}"/>
    <cellStyle name="Normal 76 2 3 3" xfId="46845" xr:uid="{00000000-0005-0000-0000-000012B80000}"/>
    <cellStyle name="Normal 76 2 3 3 2" xfId="46847" xr:uid="{00000000-0005-0000-0000-000013B80000}"/>
    <cellStyle name="Normal 76 2 3 4" xfId="46849" xr:uid="{00000000-0005-0000-0000-000014B80000}"/>
    <cellStyle name="Normal 76 2 4" xfId="39297" xr:uid="{00000000-0005-0000-0000-000015B80000}"/>
    <cellStyle name="Normal 76 2 4 2" xfId="39300" xr:uid="{00000000-0005-0000-0000-000016B80000}"/>
    <cellStyle name="Normal 76 2 4 2 2" xfId="22080" xr:uid="{00000000-0005-0000-0000-000017B80000}"/>
    <cellStyle name="Normal 76 2 4 3" xfId="39304" xr:uid="{00000000-0005-0000-0000-000018B80000}"/>
    <cellStyle name="Normal 76 2 5" xfId="35051" xr:uid="{00000000-0005-0000-0000-000019B80000}"/>
    <cellStyle name="Normal 76 2 5 2" xfId="39308" xr:uid="{00000000-0005-0000-0000-00001AB80000}"/>
    <cellStyle name="Normal 76 2 5 2 2" xfId="46884" xr:uid="{00000000-0005-0000-0000-00001BB80000}"/>
    <cellStyle name="Normal 76 2 5 3" xfId="46886" xr:uid="{00000000-0005-0000-0000-00001CB80000}"/>
    <cellStyle name="Normal 76 2 6" xfId="39314" xr:uid="{00000000-0005-0000-0000-00001DB80000}"/>
    <cellStyle name="Normal 76 2 6 2" xfId="46905" xr:uid="{00000000-0005-0000-0000-00001EB80000}"/>
    <cellStyle name="Normal 76 2 7" xfId="47758" xr:uid="{00000000-0005-0000-0000-00001FB80000}"/>
    <cellStyle name="Normal 76 2 7 2" xfId="47759" xr:uid="{00000000-0005-0000-0000-000020B80000}"/>
    <cellStyle name="Normal 76 2 8" xfId="47760" xr:uid="{00000000-0005-0000-0000-000021B80000}"/>
    <cellStyle name="Normal 76 3" xfId="46453" xr:uid="{00000000-0005-0000-0000-000022B80000}"/>
    <cellStyle name="Normal 76 3 2" xfId="46457" xr:uid="{00000000-0005-0000-0000-000023B80000}"/>
    <cellStyle name="Normal 76 3 2 2" xfId="47686" xr:uid="{00000000-0005-0000-0000-000024B80000}"/>
    <cellStyle name="Normal 76 3 2 2 2" xfId="47690" xr:uid="{00000000-0005-0000-0000-000025B80000}"/>
    <cellStyle name="Normal 76 3 2 2 2 2" xfId="47762" xr:uid="{00000000-0005-0000-0000-000026B80000}"/>
    <cellStyle name="Normal 76 3 2 2 3" xfId="47763" xr:uid="{00000000-0005-0000-0000-000027B80000}"/>
    <cellStyle name="Normal 76 3 2 3" xfId="47694" xr:uid="{00000000-0005-0000-0000-000028B80000}"/>
    <cellStyle name="Normal 76 3 2 3 2" xfId="47696" xr:uid="{00000000-0005-0000-0000-000029B80000}"/>
    <cellStyle name="Normal 76 3 2 4" xfId="11109" xr:uid="{00000000-0005-0000-0000-00002AB80000}"/>
    <cellStyle name="Normal 76 3 3" xfId="47765" xr:uid="{00000000-0005-0000-0000-00002BB80000}"/>
    <cellStyle name="Normal 76 3 3 2" xfId="47714" xr:uid="{00000000-0005-0000-0000-00002CB80000}"/>
    <cellStyle name="Normal 76 3 3 2 2" xfId="47716" xr:uid="{00000000-0005-0000-0000-00002DB80000}"/>
    <cellStyle name="Normal 76 3 3 3" xfId="47718" xr:uid="{00000000-0005-0000-0000-00002EB80000}"/>
    <cellStyle name="Normal 76 3 4" xfId="39318" xr:uid="{00000000-0005-0000-0000-00002FB80000}"/>
    <cellStyle name="Normal 76 3 4 2" xfId="39320" xr:uid="{00000000-0005-0000-0000-000030B80000}"/>
    <cellStyle name="Normal 76 3 4 2 2" xfId="47766" xr:uid="{00000000-0005-0000-0000-000031B80000}"/>
    <cellStyle name="Normal 76 3 4 3" xfId="47767" xr:uid="{00000000-0005-0000-0000-000032B80000}"/>
    <cellStyle name="Normal 76 3 5" xfId="39322" xr:uid="{00000000-0005-0000-0000-000033B80000}"/>
    <cellStyle name="Normal 76 3 5 2" xfId="47768" xr:uid="{00000000-0005-0000-0000-000034B80000}"/>
    <cellStyle name="Normal 76 3 6" xfId="47770" xr:uid="{00000000-0005-0000-0000-000035B80000}"/>
    <cellStyle name="Normal 76 3 6 2" xfId="47771" xr:uid="{00000000-0005-0000-0000-000036B80000}"/>
    <cellStyle name="Normal 76 3 7" xfId="47772" xr:uid="{00000000-0005-0000-0000-000037B80000}"/>
    <cellStyle name="Normal 76 4" xfId="46461" xr:uid="{00000000-0005-0000-0000-000038B80000}"/>
    <cellStyle name="Normal 76 4 2" xfId="47774" xr:uid="{00000000-0005-0000-0000-000039B80000}"/>
    <cellStyle name="Normal 76 4 2 2" xfId="39313" xr:uid="{00000000-0005-0000-0000-00003AB80000}"/>
    <cellStyle name="Normal 76 4 2 2 2" xfId="46904" xr:uid="{00000000-0005-0000-0000-00003BB80000}"/>
    <cellStyle name="Normal 76 4 2 3" xfId="47757" xr:uid="{00000000-0005-0000-0000-00003CB80000}"/>
    <cellStyle name="Normal 76 4 3" xfId="47776" xr:uid="{00000000-0005-0000-0000-00003DB80000}"/>
    <cellStyle name="Normal 76 4 3 2" xfId="47769" xr:uid="{00000000-0005-0000-0000-00003EB80000}"/>
    <cellStyle name="Normal 76 4 4" xfId="47777" xr:uid="{00000000-0005-0000-0000-00003FB80000}"/>
    <cellStyle name="Normal 76 5" xfId="295" xr:uid="{00000000-0005-0000-0000-000040B80000}"/>
    <cellStyle name="Normal 76 5 2" xfId="47779" xr:uid="{00000000-0005-0000-0000-000041B80000}"/>
    <cellStyle name="Normal 76 5 2 2" xfId="47783" xr:uid="{00000000-0005-0000-0000-000042B80000}"/>
    <cellStyle name="Normal 76 5 3" xfId="47785" xr:uid="{00000000-0005-0000-0000-000043B80000}"/>
    <cellStyle name="Normal 76 6" xfId="47787" xr:uid="{00000000-0005-0000-0000-000044B80000}"/>
    <cellStyle name="Normal 76 6 2" xfId="47789" xr:uid="{00000000-0005-0000-0000-000045B80000}"/>
    <cellStyle name="Normal 76 6 2 2" xfId="47792" xr:uid="{00000000-0005-0000-0000-000046B80000}"/>
    <cellStyle name="Normal 76 6 3" xfId="21805" xr:uid="{00000000-0005-0000-0000-000047B80000}"/>
    <cellStyle name="Normal 76 7" xfId="47794" xr:uid="{00000000-0005-0000-0000-000048B80000}"/>
    <cellStyle name="Normal 76 7 2" xfId="47796" xr:uid="{00000000-0005-0000-0000-000049B80000}"/>
    <cellStyle name="Normal 76 8" xfId="47798" xr:uid="{00000000-0005-0000-0000-00004AB80000}"/>
    <cellStyle name="Normal 76 8 2" xfId="47799" xr:uid="{00000000-0005-0000-0000-00004BB80000}"/>
    <cellStyle name="Normal 76 9" xfId="47800" xr:uid="{00000000-0005-0000-0000-00004CB80000}"/>
    <cellStyle name="Normal 77" xfId="47802" xr:uid="{00000000-0005-0000-0000-00004DB80000}"/>
    <cellStyle name="Normal 77 2" xfId="47804" xr:uid="{00000000-0005-0000-0000-00004EB80000}"/>
    <cellStyle name="Normal 77 2 2" xfId="4701" xr:uid="{00000000-0005-0000-0000-00004FB80000}"/>
    <cellStyle name="Normal 77 2 2 2" xfId="47806" xr:uid="{00000000-0005-0000-0000-000050B80000}"/>
    <cellStyle name="Normal 77 2 2 2 2" xfId="47808" xr:uid="{00000000-0005-0000-0000-000051B80000}"/>
    <cellStyle name="Normal 77 2 2 2 2 2" xfId="47810" xr:uid="{00000000-0005-0000-0000-000052B80000}"/>
    <cellStyle name="Normal 77 2 2 2 2 2 2" xfId="5496" xr:uid="{00000000-0005-0000-0000-000053B80000}"/>
    <cellStyle name="Normal 77 2 2 2 2 3" xfId="6240" xr:uid="{00000000-0005-0000-0000-000054B80000}"/>
    <cellStyle name="Normal 77 2 2 2 3" xfId="47812" xr:uid="{00000000-0005-0000-0000-000055B80000}"/>
    <cellStyle name="Normal 77 2 2 2 3 2" xfId="47813" xr:uid="{00000000-0005-0000-0000-000056B80000}"/>
    <cellStyle name="Normal 77 2 2 2 4" xfId="47814" xr:uid="{00000000-0005-0000-0000-000057B80000}"/>
    <cellStyle name="Normal 77 2 2 3" xfId="47816" xr:uid="{00000000-0005-0000-0000-000058B80000}"/>
    <cellStyle name="Normal 77 2 2 3 2" xfId="47818" xr:uid="{00000000-0005-0000-0000-000059B80000}"/>
    <cellStyle name="Normal 77 2 2 3 2 2" xfId="47819" xr:uid="{00000000-0005-0000-0000-00005AB80000}"/>
    <cellStyle name="Normal 77 2 2 3 3" xfId="47820" xr:uid="{00000000-0005-0000-0000-00005BB80000}"/>
    <cellStyle name="Normal 77 2 2 4" xfId="47822" xr:uid="{00000000-0005-0000-0000-00005CB80000}"/>
    <cellStyle name="Normal 77 2 2 4 2" xfId="47823" xr:uid="{00000000-0005-0000-0000-00005DB80000}"/>
    <cellStyle name="Normal 77 2 2 4 2 2" xfId="47824" xr:uid="{00000000-0005-0000-0000-00005EB80000}"/>
    <cellStyle name="Normal 77 2 2 4 3" xfId="47825" xr:uid="{00000000-0005-0000-0000-00005FB80000}"/>
    <cellStyle name="Normal 77 2 2 5" xfId="39767" xr:uid="{00000000-0005-0000-0000-000060B80000}"/>
    <cellStyle name="Normal 77 2 2 5 2" xfId="42380" xr:uid="{00000000-0005-0000-0000-000061B80000}"/>
    <cellStyle name="Normal 77 2 2 6" xfId="47826" xr:uid="{00000000-0005-0000-0000-000062B80000}"/>
    <cellStyle name="Normal 77 2 2 6 2" xfId="47827" xr:uid="{00000000-0005-0000-0000-000063B80000}"/>
    <cellStyle name="Normal 77 2 2 7" xfId="47828" xr:uid="{00000000-0005-0000-0000-000064B80000}"/>
    <cellStyle name="Normal 77 2 3" xfId="47830" xr:uid="{00000000-0005-0000-0000-000065B80000}"/>
    <cellStyle name="Normal 77 2 3 2" xfId="47832" xr:uid="{00000000-0005-0000-0000-000066B80000}"/>
    <cellStyle name="Normal 77 2 3 2 2" xfId="47834" xr:uid="{00000000-0005-0000-0000-000067B80000}"/>
    <cellStyle name="Normal 77 2 3 2 2 2" xfId="47835" xr:uid="{00000000-0005-0000-0000-000068B80000}"/>
    <cellStyle name="Normal 77 2 3 2 3" xfId="47836" xr:uid="{00000000-0005-0000-0000-000069B80000}"/>
    <cellStyle name="Normal 77 2 3 3" xfId="47838" xr:uid="{00000000-0005-0000-0000-00006AB80000}"/>
    <cellStyle name="Normal 77 2 3 3 2" xfId="47839" xr:uid="{00000000-0005-0000-0000-00006BB80000}"/>
    <cellStyle name="Normal 77 2 3 4" xfId="47840" xr:uid="{00000000-0005-0000-0000-00006CB80000}"/>
    <cellStyle name="Normal 77 2 4" xfId="25620" xr:uid="{00000000-0005-0000-0000-00006DB80000}"/>
    <cellStyle name="Normal 77 2 4 2" xfId="26351" xr:uid="{00000000-0005-0000-0000-00006EB80000}"/>
    <cellStyle name="Normal 77 2 4 2 2" xfId="47842" xr:uid="{00000000-0005-0000-0000-00006FB80000}"/>
    <cellStyle name="Normal 77 2 4 3" xfId="47844" xr:uid="{00000000-0005-0000-0000-000070B80000}"/>
    <cellStyle name="Normal 77 2 5" xfId="24641" xr:uid="{00000000-0005-0000-0000-000071B80000}"/>
    <cellStyle name="Normal 77 2 5 2" xfId="47846" xr:uid="{00000000-0005-0000-0000-000072B80000}"/>
    <cellStyle name="Normal 77 2 5 2 2" xfId="47847" xr:uid="{00000000-0005-0000-0000-000073B80000}"/>
    <cellStyle name="Normal 77 2 5 3" xfId="24985" xr:uid="{00000000-0005-0000-0000-000074B80000}"/>
    <cellStyle name="Normal 77 2 6" xfId="47782" xr:uid="{00000000-0005-0000-0000-000075B80000}"/>
    <cellStyle name="Normal 77 2 6 2" xfId="47849" xr:uid="{00000000-0005-0000-0000-000076B80000}"/>
    <cellStyle name="Normal 77 2 7" xfId="47851" xr:uid="{00000000-0005-0000-0000-000077B80000}"/>
    <cellStyle name="Normal 77 2 7 2" xfId="47852" xr:uid="{00000000-0005-0000-0000-000078B80000}"/>
    <cellStyle name="Normal 77 2 8" xfId="47853" xr:uid="{00000000-0005-0000-0000-000079B80000}"/>
    <cellStyle name="Normal 77 3" xfId="46467" xr:uid="{00000000-0005-0000-0000-00007AB80000}"/>
    <cellStyle name="Normal 77 3 2" xfId="46471" xr:uid="{00000000-0005-0000-0000-00007BB80000}"/>
    <cellStyle name="Normal 77 3 2 2" xfId="22831" xr:uid="{00000000-0005-0000-0000-00007CB80000}"/>
    <cellStyle name="Normal 77 3 2 2 2" xfId="22834" xr:uid="{00000000-0005-0000-0000-00007DB80000}"/>
    <cellStyle name="Normal 77 3 2 2 2 2" xfId="47854" xr:uid="{00000000-0005-0000-0000-00007EB80000}"/>
    <cellStyle name="Normal 77 3 2 2 3" xfId="47855" xr:uid="{00000000-0005-0000-0000-00007FB80000}"/>
    <cellStyle name="Normal 77 3 2 3" xfId="22837" xr:uid="{00000000-0005-0000-0000-000080B80000}"/>
    <cellStyle name="Normal 77 3 2 3 2" xfId="17443" xr:uid="{00000000-0005-0000-0000-000081B80000}"/>
    <cellStyle name="Normal 77 3 2 4" xfId="22841" xr:uid="{00000000-0005-0000-0000-000082B80000}"/>
    <cellStyle name="Normal 77 3 3" xfId="47857" xr:uid="{00000000-0005-0000-0000-000083B80000}"/>
    <cellStyle name="Normal 77 3 3 2" xfId="47859" xr:uid="{00000000-0005-0000-0000-000084B80000}"/>
    <cellStyle name="Normal 77 3 3 2 2" xfId="47860" xr:uid="{00000000-0005-0000-0000-000085B80000}"/>
    <cellStyle name="Normal 77 3 3 3" xfId="47861" xr:uid="{00000000-0005-0000-0000-000086B80000}"/>
    <cellStyle name="Normal 77 3 4" xfId="39372" xr:uid="{00000000-0005-0000-0000-000087B80000}"/>
    <cellStyle name="Normal 77 3 4 2" xfId="39374" xr:uid="{00000000-0005-0000-0000-000088B80000}"/>
    <cellStyle name="Normal 77 3 4 2 2" xfId="39155" xr:uid="{00000000-0005-0000-0000-000089B80000}"/>
    <cellStyle name="Normal 77 3 4 3" xfId="47862" xr:uid="{00000000-0005-0000-0000-00008AB80000}"/>
    <cellStyle name="Normal 77 3 5" xfId="39376" xr:uid="{00000000-0005-0000-0000-00008BB80000}"/>
    <cellStyle name="Normal 77 3 5 2" xfId="47863" xr:uid="{00000000-0005-0000-0000-00008CB80000}"/>
    <cellStyle name="Normal 77 3 6" xfId="47864" xr:uid="{00000000-0005-0000-0000-00008DB80000}"/>
    <cellStyle name="Normal 77 3 6 2" xfId="47865" xr:uid="{00000000-0005-0000-0000-00008EB80000}"/>
    <cellStyle name="Normal 77 3 7" xfId="47866" xr:uid="{00000000-0005-0000-0000-00008FB80000}"/>
    <cellStyle name="Normal 77 4" xfId="46475" xr:uid="{00000000-0005-0000-0000-000090B80000}"/>
    <cellStyle name="Normal 77 4 2" xfId="47868" xr:uid="{00000000-0005-0000-0000-000091B80000}"/>
    <cellStyle name="Normal 77 4 2 2" xfId="47870" xr:uid="{00000000-0005-0000-0000-000092B80000}"/>
    <cellStyle name="Normal 77 4 2 2 2" xfId="47871" xr:uid="{00000000-0005-0000-0000-000093B80000}"/>
    <cellStyle name="Normal 77 4 2 3" xfId="47872" xr:uid="{00000000-0005-0000-0000-000094B80000}"/>
    <cellStyle name="Normal 77 4 3" xfId="47874" xr:uid="{00000000-0005-0000-0000-000095B80000}"/>
    <cellStyle name="Normal 77 4 3 2" xfId="47875" xr:uid="{00000000-0005-0000-0000-000096B80000}"/>
    <cellStyle name="Normal 77 4 4" xfId="47876" xr:uid="{00000000-0005-0000-0000-000097B80000}"/>
    <cellStyle name="Normal 77 5" xfId="47878" xr:uid="{00000000-0005-0000-0000-000098B80000}"/>
    <cellStyle name="Normal 77 5 2" xfId="47880" xr:uid="{00000000-0005-0000-0000-000099B80000}"/>
    <cellStyle name="Normal 77 5 2 2" xfId="47882" xr:uid="{00000000-0005-0000-0000-00009AB80000}"/>
    <cellStyle name="Normal 77 5 3" xfId="47884" xr:uid="{00000000-0005-0000-0000-00009BB80000}"/>
    <cellStyle name="Normal 77 6" xfId="47886" xr:uid="{00000000-0005-0000-0000-00009CB80000}"/>
    <cellStyle name="Normal 77 6 2" xfId="47888" xr:uid="{00000000-0005-0000-0000-00009DB80000}"/>
    <cellStyle name="Normal 77 6 2 2" xfId="47889" xr:uid="{00000000-0005-0000-0000-00009EB80000}"/>
    <cellStyle name="Normal 77 6 3" xfId="16267" xr:uid="{00000000-0005-0000-0000-00009FB80000}"/>
    <cellStyle name="Normal 77 7" xfId="47891" xr:uid="{00000000-0005-0000-0000-0000A0B80000}"/>
    <cellStyle name="Normal 77 7 2" xfId="47893" xr:uid="{00000000-0005-0000-0000-0000A1B80000}"/>
    <cellStyle name="Normal 77 7 2 2" xfId="47894" xr:uid="{00000000-0005-0000-0000-0000A2B80000}"/>
    <cellStyle name="Normal 77 7 3" xfId="47895" xr:uid="{00000000-0005-0000-0000-0000A3B80000}"/>
    <cellStyle name="Normal 77 8" xfId="47897" xr:uid="{00000000-0005-0000-0000-0000A4B80000}"/>
    <cellStyle name="Normal 77 8 2" xfId="47898" xr:uid="{00000000-0005-0000-0000-0000A5B80000}"/>
    <cellStyle name="Normal 77 9" xfId="47899" xr:uid="{00000000-0005-0000-0000-0000A6B80000}"/>
    <cellStyle name="Normal 78" xfId="47901" xr:uid="{00000000-0005-0000-0000-0000A7B80000}"/>
    <cellStyle name="Normal 78 2" xfId="47903" xr:uid="{00000000-0005-0000-0000-0000A8B80000}"/>
    <cellStyle name="Normal 78 2 2" xfId="7575" xr:uid="{00000000-0005-0000-0000-0000A9B80000}"/>
    <cellStyle name="Normal 78 2 2 2" xfId="47905" xr:uid="{00000000-0005-0000-0000-0000AAB80000}"/>
    <cellStyle name="Normal 78 2 2 2 2" xfId="47907" xr:uid="{00000000-0005-0000-0000-0000ABB80000}"/>
    <cellStyle name="Normal 78 2 2 2 2 2" xfId="47909" xr:uid="{00000000-0005-0000-0000-0000ACB80000}"/>
    <cellStyle name="Normal 78 2 2 2 2 2 2" xfId="47910" xr:uid="{00000000-0005-0000-0000-0000ADB80000}"/>
    <cellStyle name="Normal 78 2 2 2 2 3" xfId="47911" xr:uid="{00000000-0005-0000-0000-0000AEB80000}"/>
    <cellStyle name="Normal 78 2 2 2 3" xfId="47913" xr:uid="{00000000-0005-0000-0000-0000AFB80000}"/>
    <cellStyle name="Normal 78 2 2 2 3 2" xfId="47914" xr:uid="{00000000-0005-0000-0000-0000B0B80000}"/>
    <cellStyle name="Normal 78 2 2 2 4" xfId="34823" xr:uid="{00000000-0005-0000-0000-0000B1B80000}"/>
    <cellStyle name="Normal 78 2 2 3" xfId="27643" xr:uid="{00000000-0005-0000-0000-0000B2B80000}"/>
    <cellStyle name="Normal 78 2 2 3 2" xfId="18640" xr:uid="{00000000-0005-0000-0000-0000B3B80000}"/>
    <cellStyle name="Normal 78 2 2 3 2 2" xfId="47915" xr:uid="{00000000-0005-0000-0000-0000B4B80000}"/>
    <cellStyle name="Normal 78 2 2 3 3" xfId="18644" xr:uid="{00000000-0005-0000-0000-0000B5B80000}"/>
    <cellStyle name="Normal 78 2 2 4" xfId="27647" xr:uid="{00000000-0005-0000-0000-0000B6B80000}"/>
    <cellStyle name="Normal 78 2 2 4 2" xfId="27531" xr:uid="{00000000-0005-0000-0000-0000B7B80000}"/>
    <cellStyle name="Normal 78 2 2 4 2 2" xfId="27534" xr:uid="{00000000-0005-0000-0000-0000B8B80000}"/>
    <cellStyle name="Normal 78 2 2 4 3" xfId="27560" xr:uid="{00000000-0005-0000-0000-0000B9B80000}"/>
    <cellStyle name="Normal 78 2 2 5" xfId="47916" xr:uid="{00000000-0005-0000-0000-0000BAB80000}"/>
    <cellStyle name="Normal 78 2 2 5 2" xfId="47917" xr:uid="{00000000-0005-0000-0000-0000BBB80000}"/>
    <cellStyle name="Normal 78 2 2 6" xfId="47403" xr:uid="{00000000-0005-0000-0000-0000BCB80000}"/>
    <cellStyle name="Normal 78 2 2 6 2" xfId="47918" xr:uid="{00000000-0005-0000-0000-0000BDB80000}"/>
    <cellStyle name="Normal 78 2 2 7" xfId="47405" xr:uid="{00000000-0005-0000-0000-0000BEB80000}"/>
    <cellStyle name="Normal 78 2 3" xfId="47920" xr:uid="{00000000-0005-0000-0000-0000BFB80000}"/>
    <cellStyle name="Normal 78 2 3 2" xfId="47922" xr:uid="{00000000-0005-0000-0000-0000C0B80000}"/>
    <cellStyle name="Normal 78 2 3 2 2" xfId="47924" xr:uid="{00000000-0005-0000-0000-0000C1B80000}"/>
    <cellStyle name="Normal 78 2 3 2 2 2" xfId="47925" xr:uid="{00000000-0005-0000-0000-0000C2B80000}"/>
    <cellStyle name="Normal 78 2 3 2 3" xfId="47926" xr:uid="{00000000-0005-0000-0000-0000C3B80000}"/>
    <cellStyle name="Normal 78 2 3 3" xfId="27653" xr:uid="{00000000-0005-0000-0000-0000C4B80000}"/>
    <cellStyle name="Normal 78 2 3 3 2" xfId="47927" xr:uid="{00000000-0005-0000-0000-0000C5B80000}"/>
    <cellStyle name="Normal 78 2 3 4" xfId="47928" xr:uid="{00000000-0005-0000-0000-0000C6B80000}"/>
    <cellStyle name="Normal 78 2 4" xfId="47930" xr:uid="{00000000-0005-0000-0000-0000C7B80000}"/>
    <cellStyle name="Normal 78 2 4 2" xfId="47932" xr:uid="{00000000-0005-0000-0000-0000C8B80000}"/>
    <cellStyle name="Normal 78 2 4 2 2" xfId="22065" xr:uid="{00000000-0005-0000-0000-0000C9B80000}"/>
    <cellStyle name="Normal 78 2 4 3" xfId="23135" xr:uid="{00000000-0005-0000-0000-0000CAB80000}"/>
    <cellStyle name="Normal 78 2 5" xfId="47934" xr:uid="{00000000-0005-0000-0000-0000CBB80000}"/>
    <cellStyle name="Normal 78 2 5 2" xfId="47936" xr:uid="{00000000-0005-0000-0000-0000CCB80000}"/>
    <cellStyle name="Normal 78 2 5 2 2" xfId="47937" xr:uid="{00000000-0005-0000-0000-0000CDB80000}"/>
    <cellStyle name="Normal 78 2 5 3" xfId="47938" xr:uid="{00000000-0005-0000-0000-0000CEB80000}"/>
    <cellStyle name="Normal 78 2 6" xfId="47791" xr:uid="{00000000-0005-0000-0000-0000CFB80000}"/>
    <cellStyle name="Normal 78 2 6 2" xfId="47940" xr:uid="{00000000-0005-0000-0000-0000D0B80000}"/>
    <cellStyle name="Normal 78 2 7" xfId="47942" xr:uid="{00000000-0005-0000-0000-0000D1B80000}"/>
    <cellStyle name="Normal 78 2 7 2" xfId="47943" xr:uid="{00000000-0005-0000-0000-0000D2B80000}"/>
    <cellStyle name="Normal 78 2 8" xfId="47944" xr:uid="{00000000-0005-0000-0000-0000D3B80000}"/>
    <cellStyle name="Normal 78 3" xfId="46481" xr:uid="{00000000-0005-0000-0000-0000D4B80000}"/>
    <cellStyle name="Normal 78 3 2" xfId="47946" xr:uid="{00000000-0005-0000-0000-0000D5B80000}"/>
    <cellStyle name="Normal 78 3 2 2" xfId="47948" xr:uid="{00000000-0005-0000-0000-0000D6B80000}"/>
    <cellStyle name="Normal 78 3 2 2 2" xfId="47950" xr:uid="{00000000-0005-0000-0000-0000D7B80000}"/>
    <cellStyle name="Normal 78 3 2 2 2 2" xfId="47951" xr:uid="{00000000-0005-0000-0000-0000D8B80000}"/>
    <cellStyle name="Normal 78 3 2 2 3" xfId="9104" xr:uid="{00000000-0005-0000-0000-0000D9B80000}"/>
    <cellStyle name="Normal 78 3 2 3" xfId="47953" xr:uid="{00000000-0005-0000-0000-0000DAB80000}"/>
    <cellStyle name="Normal 78 3 2 3 2" xfId="18682" xr:uid="{00000000-0005-0000-0000-0000DBB80000}"/>
    <cellStyle name="Normal 78 3 2 4" xfId="47954" xr:uid="{00000000-0005-0000-0000-0000DCB80000}"/>
    <cellStyle name="Normal 78 3 3" xfId="47956" xr:uid="{00000000-0005-0000-0000-0000DDB80000}"/>
    <cellStyle name="Normal 78 3 3 2" xfId="47958" xr:uid="{00000000-0005-0000-0000-0000DEB80000}"/>
    <cellStyle name="Normal 78 3 3 2 2" xfId="47959" xr:uid="{00000000-0005-0000-0000-0000DFB80000}"/>
    <cellStyle name="Normal 78 3 3 3" xfId="47960" xr:uid="{00000000-0005-0000-0000-0000E0B80000}"/>
    <cellStyle name="Normal 78 3 4" xfId="47962" xr:uid="{00000000-0005-0000-0000-0000E1B80000}"/>
    <cellStyle name="Normal 78 3 4 2" xfId="47963" xr:uid="{00000000-0005-0000-0000-0000E2B80000}"/>
    <cellStyle name="Normal 78 3 4 2 2" xfId="47964" xr:uid="{00000000-0005-0000-0000-0000E3B80000}"/>
    <cellStyle name="Normal 78 3 4 3" xfId="47965" xr:uid="{00000000-0005-0000-0000-0000E4B80000}"/>
    <cellStyle name="Normal 78 3 5" xfId="47966" xr:uid="{00000000-0005-0000-0000-0000E5B80000}"/>
    <cellStyle name="Normal 78 3 5 2" xfId="47967" xr:uid="{00000000-0005-0000-0000-0000E6B80000}"/>
    <cellStyle name="Normal 78 3 6" xfId="21810" xr:uid="{00000000-0005-0000-0000-0000E7B80000}"/>
    <cellStyle name="Normal 78 3 6 2" xfId="47968" xr:uid="{00000000-0005-0000-0000-0000E8B80000}"/>
    <cellStyle name="Normal 78 3 7" xfId="47969" xr:uid="{00000000-0005-0000-0000-0000E9B80000}"/>
    <cellStyle name="Normal 78 4" xfId="47971" xr:uid="{00000000-0005-0000-0000-0000EAB80000}"/>
    <cellStyle name="Normal 78 4 2" xfId="47973" xr:uid="{00000000-0005-0000-0000-0000EBB80000}"/>
    <cellStyle name="Normal 78 4 2 2" xfId="47975" xr:uid="{00000000-0005-0000-0000-0000ECB80000}"/>
    <cellStyle name="Normal 78 4 2 2 2" xfId="47976" xr:uid="{00000000-0005-0000-0000-0000EDB80000}"/>
    <cellStyle name="Normal 78 4 2 3" xfId="47977" xr:uid="{00000000-0005-0000-0000-0000EEB80000}"/>
    <cellStyle name="Normal 78 4 3" xfId="47979" xr:uid="{00000000-0005-0000-0000-0000EFB80000}"/>
    <cellStyle name="Normal 78 4 3 2" xfId="47980" xr:uid="{00000000-0005-0000-0000-0000F0B80000}"/>
    <cellStyle name="Normal 78 4 4" xfId="47981" xr:uid="{00000000-0005-0000-0000-0000F1B80000}"/>
    <cellStyle name="Normal 78 5" xfId="47983" xr:uid="{00000000-0005-0000-0000-0000F2B80000}"/>
    <cellStyle name="Normal 78 5 2" xfId="47985" xr:uid="{00000000-0005-0000-0000-0000F3B80000}"/>
    <cellStyle name="Normal 78 5 2 2" xfId="47987" xr:uid="{00000000-0005-0000-0000-0000F4B80000}"/>
    <cellStyle name="Normal 78 5 3" xfId="47989" xr:uid="{00000000-0005-0000-0000-0000F5B80000}"/>
    <cellStyle name="Normal 78 6" xfId="47991" xr:uid="{00000000-0005-0000-0000-0000F6B80000}"/>
    <cellStyle name="Normal 78 6 2" xfId="47993" xr:uid="{00000000-0005-0000-0000-0000F7B80000}"/>
    <cellStyle name="Normal 78 6 2 2" xfId="47994" xr:uid="{00000000-0005-0000-0000-0000F8B80000}"/>
    <cellStyle name="Normal 78 6 3" xfId="26490" xr:uid="{00000000-0005-0000-0000-0000F9B80000}"/>
    <cellStyle name="Normal 78 7" xfId="47996" xr:uid="{00000000-0005-0000-0000-0000FAB80000}"/>
    <cellStyle name="Normal 78 7 2" xfId="16318" xr:uid="{00000000-0005-0000-0000-0000FBB80000}"/>
    <cellStyle name="Normal 78 8" xfId="32342" xr:uid="{00000000-0005-0000-0000-0000FCB80000}"/>
    <cellStyle name="Normal 78 8 2" xfId="32345" xr:uid="{00000000-0005-0000-0000-0000FDB80000}"/>
    <cellStyle name="Normal 78 9" xfId="32353" xr:uid="{00000000-0005-0000-0000-0000FEB80000}"/>
    <cellStyle name="Normal 79" xfId="47998" xr:uid="{00000000-0005-0000-0000-0000FFB80000}"/>
    <cellStyle name="Normal 79 2" xfId="16971" xr:uid="{00000000-0005-0000-0000-000000B90000}"/>
    <cellStyle name="Normal 79 2 2" xfId="8341" xr:uid="{00000000-0005-0000-0000-000001B90000}"/>
    <cellStyle name="Normal 79 2 2 2" xfId="48000" xr:uid="{00000000-0005-0000-0000-000002B90000}"/>
    <cellStyle name="Normal 79 2 2 2 2" xfId="41763" xr:uid="{00000000-0005-0000-0000-000003B90000}"/>
    <cellStyle name="Normal 79 2 2 2 2 2" xfId="15745" xr:uid="{00000000-0005-0000-0000-000004B90000}"/>
    <cellStyle name="Normal 79 2 2 2 2 2 2" xfId="38256" xr:uid="{00000000-0005-0000-0000-000005B90000}"/>
    <cellStyle name="Normal 79 2 2 2 2 3" xfId="33591" xr:uid="{00000000-0005-0000-0000-000006B90000}"/>
    <cellStyle name="Normal 79 2 2 2 3" xfId="41767" xr:uid="{00000000-0005-0000-0000-000007B90000}"/>
    <cellStyle name="Normal 79 2 2 2 3 2" xfId="48001" xr:uid="{00000000-0005-0000-0000-000008B90000}"/>
    <cellStyle name="Normal 79 2 2 2 4" xfId="35259" xr:uid="{00000000-0005-0000-0000-000009B90000}"/>
    <cellStyle name="Normal 79 2 2 3" xfId="48003" xr:uid="{00000000-0005-0000-0000-00000AB90000}"/>
    <cellStyle name="Normal 79 2 2 3 2" xfId="48005" xr:uid="{00000000-0005-0000-0000-00000BB90000}"/>
    <cellStyle name="Normal 79 2 2 3 2 2" xfId="48006" xr:uid="{00000000-0005-0000-0000-00000CB90000}"/>
    <cellStyle name="Normal 79 2 2 3 3" xfId="48007" xr:uid="{00000000-0005-0000-0000-00000DB90000}"/>
    <cellStyle name="Normal 79 2 2 4" xfId="48009" xr:uid="{00000000-0005-0000-0000-00000EB90000}"/>
    <cellStyle name="Normal 79 2 2 4 2" xfId="48010" xr:uid="{00000000-0005-0000-0000-00000FB90000}"/>
    <cellStyle name="Normal 79 2 2 4 2 2" xfId="48011" xr:uid="{00000000-0005-0000-0000-000010B90000}"/>
    <cellStyle name="Normal 79 2 2 4 3" xfId="48012" xr:uid="{00000000-0005-0000-0000-000011B90000}"/>
    <cellStyle name="Normal 79 2 2 5" xfId="48013" xr:uid="{00000000-0005-0000-0000-000012B90000}"/>
    <cellStyle name="Normal 79 2 2 5 2" xfId="21278" xr:uid="{00000000-0005-0000-0000-000013B90000}"/>
    <cellStyle name="Normal 79 2 2 6" xfId="48014" xr:uid="{00000000-0005-0000-0000-000014B90000}"/>
    <cellStyle name="Normal 79 2 2 6 2" xfId="27684" xr:uid="{00000000-0005-0000-0000-000015B90000}"/>
    <cellStyle name="Normal 79 2 2 7" xfId="48015" xr:uid="{00000000-0005-0000-0000-000016B90000}"/>
    <cellStyle name="Normal 79 2 3" xfId="48017" xr:uid="{00000000-0005-0000-0000-000017B90000}"/>
    <cellStyle name="Normal 79 2 3 2" xfId="48019" xr:uid="{00000000-0005-0000-0000-000018B90000}"/>
    <cellStyle name="Normal 79 2 3 2 2" xfId="41845" xr:uid="{00000000-0005-0000-0000-000019B90000}"/>
    <cellStyle name="Normal 79 2 3 2 2 2" xfId="48020" xr:uid="{00000000-0005-0000-0000-00001AB90000}"/>
    <cellStyle name="Normal 79 2 3 2 3" xfId="41848" xr:uid="{00000000-0005-0000-0000-00001BB90000}"/>
    <cellStyle name="Normal 79 2 3 3" xfId="48022" xr:uid="{00000000-0005-0000-0000-00001CB90000}"/>
    <cellStyle name="Normal 79 2 3 3 2" xfId="48023" xr:uid="{00000000-0005-0000-0000-00001DB90000}"/>
    <cellStyle name="Normal 79 2 3 4" xfId="48024" xr:uid="{00000000-0005-0000-0000-00001EB90000}"/>
    <cellStyle name="Normal 79 2 4" xfId="39407" xr:uid="{00000000-0005-0000-0000-00001FB90000}"/>
    <cellStyle name="Normal 79 2 4 2" xfId="48026" xr:uid="{00000000-0005-0000-0000-000020B90000}"/>
    <cellStyle name="Normal 79 2 4 2 2" xfId="41920" xr:uid="{00000000-0005-0000-0000-000021B90000}"/>
    <cellStyle name="Normal 79 2 4 3" xfId="48028" xr:uid="{00000000-0005-0000-0000-000022B90000}"/>
    <cellStyle name="Normal 79 2 5" xfId="48030" xr:uid="{00000000-0005-0000-0000-000023B90000}"/>
    <cellStyle name="Normal 79 2 5 2" xfId="48032" xr:uid="{00000000-0005-0000-0000-000024B90000}"/>
    <cellStyle name="Normal 79 2 5 2 2" xfId="48033" xr:uid="{00000000-0005-0000-0000-000025B90000}"/>
    <cellStyle name="Normal 79 2 5 3" xfId="48034" xr:uid="{00000000-0005-0000-0000-000026B90000}"/>
    <cellStyle name="Normal 79 2 6" xfId="48036" xr:uid="{00000000-0005-0000-0000-000027B90000}"/>
    <cellStyle name="Normal 79 2 6 2" xfId="48038" xr:uid="{00000000-0005-0000-0000-000028B90000}"/>
    <cellStyle name="Normal 79 2 7" xfId="48040" xr:uid="{00000000-0005-0000-0000-000029B90000}"/>
    <cellStyle name="Normal 79 2 7 2" xfId="48041" xr:uid="{00000000-0005-0000-0000-00002AB90000}"/>
    <cellStyle name="Normal 79 2 8" xfId="48042" xr:uid="{00000000-0005-0000-0000-00002BB90000}"/>
    <cellStyle name="Normal 79 3" xfId="46485" xr:uid="{00000000-0005-0000-0000-00002CB90000}"/>
    <cellStyle name="Normal 79 3 2" xfId="48044" xr:uid="{00000000-0005-0000-0000-00002DB90000}"/>
    <cellStyle name="Normal 79 3 2 2" xfId="48046" xr:uid="{00000000-0005-0000-0000-00002EB90000}"/>
    <cellStyle name="Normal 79 3 2 2 2" xfId="42895" xr:uid="{00000000-0005-0000-0000-00002FB90000}"/>
    <cellStyle name="Normal 79 3 2 2 2 2" xfId="48047" xr:uid="{00000000-0005-0000-0000-000030B90000}"/>
    <cellStyle name="Normal 79 3 2 2 3" xfId="42898" xr:uid="{00000000-0005-0000-0000-000031B90000}"/>
    <cellStyle name="Normal 79 3 2 3" xfId="48049" xr:uid="{00000000-0005-0000-0000-000032B90000}"/>
    <cellStyle name="Normal 79 3 2 3 2" xfId="48050" xr:uid="{00000000-0005-0000-0000-000033B90000}"/>
    <cellStyle name="Normal 79 3 2 4" xfId="48051" xr:uid="{00000000-0005-0000-0000-000034B90000}"/>
    <cellStyle name="Normal 79 3 3" xfId="48053" xr:uid="{00000000-0005-0000-0000-000035B90000}"/>
    <cellStyle name="Normal 79 3 3 2" xfId="48055" xr:uid="{00000000-0005-0000-0000-000036B90000}"/>
    <cellStyle name="Normal 79 3 3 2 2" xfId="42988" xr:uid="{00000000-0005-0000-0000-000037B90000}"/>
    <cellStyle name="Normal 79 3 3 3" xfId="48056" xr:uid="{00000000-0005-0000-0000-000038B90000}"/>
    <cellStyle name="Normal 79 3 4" xfId="48058" xr:uid="{00000000-0005-0000-0000-000039B90000}"/>
    <cellStyle name="Normal 79 3 4 2" xfId="48059" xr:uid="{00000000-0005-0000-0000-00003AB90000}"/>
    <cellStyle name="Normal 79 3 4 2 2" xfId="43079" xr:uid="{00000000-0005-0000-0000-00003BB90000}"/>
    <cellStyle name="Normal 79 3 4 3" xfId="48060" xr:uid="{00000000-0005-0000-0000-00003CB90000}"/>
    <cellStyle name="Normal 79 3 5" xfId="48061" xr:uid="{00000000-0005-0000-0000-00003DB90000}"/>
    <cellStyle name="Normal 79 3 5 2" xfId="48062" xr:uid="{00000000-0005-0000-0000-00003EB90000}"/>
    <cellStyle name="Normal 79 3 6" xfId="48063" xr:uid="{00000000-0005-0000-0000-00003FB90000}"/>
    <cellStyle name="Normal 79 3 6 2" xfId="48064" xr:uid="{00000000-0005-0000-0000-000040B90000}"/>
    <cellStyle name="Normal 79 3 7" xfId="48065" xr:uid="{00000000-0005-0000-0000-000041B90000}"/>
    <cellStyle name="Normal 79 4" xfId="48067" xr:uid="{00000000-0005-0000-0000-000042B90000}"/>
    <cellStyle name="Normal 79 4 2" xfId="48069" xr:uid="{00000000-0005-0000-0000-000043B90000}"/>
    <cellStyle name="Normal 79 4 2 2" xfId="48071" xr:uid="{00000000-0005-0000-0000-000044B90000}"/>
    <cellStyle name="Normal 79 4 2 2 2" xfId="44134" xr:uid="{00000000-0005-0000-0000-000045B90000}"/>
    <cellStyle name="Normal 79 4 2 3" xfId="48072" xr:uid="{00000000-0005-0000-0000-000046B90000}"/>
    <cellStyle name="Normal 79 4 3" xfId="48074" xr:uid="{00000000-0005-0000-0000-000047B90000}"/>
    <cellStyle name="Normal 79 4 3 2" xfId="48075" xr:uid="{00000000-0005-0000-0000-000048B90000}"/>
    <cellStyle name="Normal 79 4 4" xfId="48076" xr:uid="{00000000-0005-0000-0000-000049B90000}"/>
    <cellStyle name="Normal 79 5" xfId="48078" xr:uid="{00000000-0005-0000-0000-00004AB90000}"/>
    <cellStyle name="Normal 79 5 2" xfId="48080" xr:uid="{00000000-0005-0000-0000-00004BB90000}"/>
    <cellStyle name="Normal 79 5 2 2" xfId="48082" xr:uid="{00000000-0005-0000-0000-00004CB90000}"/>
    <cellStyle name="Normal 79 5 3" xfId="48084" xr:uid="{00000000-0005-0000-0000-00004DB90000}"/>
    <cellStyle name="Normal 79 6" xfId="21871" xr:uid="{00000000-0005-0000-0000-00004EB90000}"/>
    <cellStyle name="Normal 79 6 2" xfId="48086" xr:uid="{00000000-0005-0000-0000-00004FB90000}"/>
    <cellStyle name="Normal 79 6 2 2" xfId="48087" xr:uid="{00000000-0005-0000-0000-000050B90000}"/>
    <cellStyle name="Normal 79 6 3" xfId="48088" xr:uid="{00000000-0005-0000-0000-000051B90000}"/>
    <cellStyle name="Normal 79 7" xfId="48090" xr:uid="{00000000-0005-0000-0000-000052B90000}"/>
    <cellStyle name="Normal 79 7 2" xfId="48092" xr:uid="{00000000-0005-0000-0000-000053B90000}"/>
    <cellStyle name="Normal 79 8" xfId="32361" xr:uid="{00000000-0005-0000-0000-000054B90000}"/>
    <cellStyle name="Normal 79 8 2" xfId="32364" xr:uid="{00000000-0005-0000-0000-000055B90000}"/>
    <cellStyle name="Normal 79 9" xfId="32367" xr:uid="{00000000-0005-0000-0000-000056B90000}"/>
    <cellStyle name="Normal 8" xfId="19473" xr:uid="{00000000-0005-0000-0000-000057B90000}"/>
    <cellStyle name="Normal 8 10" xfId="20146" xr:uid="{00000000-0005-0000-0000-000058B90000}"/>
    <cellStyle name="Normal 8 10 2" xfId="48093" xr:uid="{00000000-0005-0000-0000-000059B90000}"/>
    <cellStyle name="Normal 8 10 2 2" xfId="48094" xr:uid="{00000000-0005-0000-0000-00005AB90000}"/>
    <cellStyle name="Normal 8 10 2 2 2" xfId="48095" xr:uid="{00000000-0005-0000-0000-00005BB90000}"/>
    <cellStyle name="Normal 8 10 2 2 2 2" xfId="48096" xr:uid="{00000000-0005-0000-0000-00005CB90000}"/>
    <cellStyle name="Normal 8 10 2 2 2 2 2" xfId="48097" xr:uid="{00000000-0005-0000-0000-00005DB90000}"/>
    <cellStyle name="Normal 8 10 2 2 2 3" xfId="48098" xr:uid="{00000000-0005-0000-0000-00005EB90000}"/>
    <cellStyle name="Normal 8 10 2 2 3" xfId="48099" xr:uid="{00000000-0005-0000-0000-00005FB90000}"/>
    <cellStyle name="Normal 8 10 2 2 3 2" xfId="48100" xr:uid="{00000000-0005-0000-0000-000060B90000}"/>
    <cellStyle name="Normal 8 10 2 2 4" xfId="48101" xr:uid="{00000000-0005-0000-0000-000061B90000}"/>
    <cellStyle name="Normal 8 10 2 3" xfId="48102" xr:uid="{00000000-0005-0000-0000-000062B90000}"/>
    <cellStyle name="Normal 8 10 2 3 2" xfId="48103" xr:uid="{00000000-0005-0000-0000-000063B90000}"/>
    <cellStyle name="Normal 8 10 2 3 2 2" xfId="48104" xr:uid="{00000000-0005-0000-0000-000064B90000}"/>
    <cellStyle name="Normal 8 10 2 3 3" xfId="48105" xr:uid="{00000000-0005-0000-0000-000065B90000}"/>
    <cellStyle name="Normal 8 10 2 4" xfId="30055" xr:uid="{00000000-0005-0000-0000-000066B90000}"/>
    <cellStyle name="Normal 8 10 2 4 2" xfId="30058" xr:uid="{00000000-0005-0000-0000-000067B90000}"/>
    <cellStyle name="Normal 8 10 2 4 2 2" xfId="48106" xr:uid="{00000000-0005-0000-0000-000068B90000}"/>
    <cellStyle name="Normal 8 10 2 4 3" xfId="44848" xr:uid="{00000000-0005-0000-0000-000069B90000}"/>
    <cellStyle name="Normal 8 10 2 5" xfId="30061" xr:uid="{00000000-0005-0000-0000-00006AB90000}"/>
    <cellStyle name="Normal 8 10 2 5 2" xfId="48107" xr:uid="{00000000-0005-0000-0000-00006BB90000}"/>
    <cellStyle name="Normal 8 10 2 6" xfId="46873" xr:uid="{00000000-0005-0000-0000-00006CB90000}"/>
    <cellStyle name="Normal 8 10 2 6 2" xfId="48108" xr:uid="{00000000-0005-0000-0000-00006DB90000}"/>
    <cellStyle name="Normal 8 10 2 7" xfId="48109" xr:uid="{00000000-0005-0000-0000-00006EB90000}"/>
    <cellStyle name="Normal 8 10 3" xfId="48110" xr:uid="{00000000-0005-0000-0000-00006FB90000}"/>
    <cellStyle name="Normal 8 10 3 2" xfId="48111" xr:uid="{00000000-0005-0000-0000-000070B90000}"/>
    <cellStyle name="Normal 8 10 3 2 2" xfId="48112" xr:uid="{00000000-0005-0000-0000-000071B90000}"/>
    <cellStyle name="Normal 8 10 3 2 2 2" xfId="48113" xr:uid="{00000000-0005-0000-0000-000072B90000}"/>
    <cellStyle name="Normal 8 10 3 2 3" xfId="48114" xr:uid="{00000000-0005-0000-0000-000073B90000}"/>
    <cellStyle name="Normal 8 10 3 3" xfId="48115" xr:uid="{00000000-0005-0000-0000-000074B90000}"/>
    <cellStyle name="Normal 8 10 3 3 2" xfId="48116" xr:uid="{00000000-0005-0000-0000-000075B90000}"/>
    <cellStyle name="Normal 8 10 3 3 2 2" xfId="48117" xr:uid="{00000000-0005-0000-0000-000076B90000}"/>
    <cellStyle name="Normal 8 10 3 3 3" xfId="48118" xr:uid="{00000000-0005-0000-0000-000077B90000}"/>
    <cellStyle name="Normal 8 10 3 4" xfId="30065" xr:uid="{00000000-0005-0000-0000-000078B90000}"/>
    <cellStyle name="Normal 8 10 3 4 2" xfId="48119" xr:uid="{00000000-0005-0000-0000-000079B90000}"/>
    <cellStyle name="Normal 8 10 3 5" xfId="48120" xr:uid="{00000000-0005-0000-0000-00007AB90000}"/>
    <cellStyle name="Normal 8 10 3 5 2" xfId="48121" xr:uid="{00000000-0005-0000-0000-00007BB90000}"/>
    <cellStyle name="Normal 8 10 3 6" xfId="48122" xr:uid="{00000000-0005-0000-0000-00007CB90000}"/>
    <cellStyle name="Normal 8 10 4" xfId="48123" xr:uid="{00000000-0005-0000-0000-00007DB90000}"/>
    <cellStyle name="Normal 8 10 4 2" xfId="48124" xr:uid="{00000000-0005-0000-0000-00007EB90000}"/>
    <cellStyle name="Normal 8 10 4 2 2" xfId="17625" xr:uid="{00000000-0005-0000-0000-00007FB90000}"/>
    <cellStyle name="Normal 8 10 4 3" xfId="48125" xr:uid="{00000000-0005-0000-0000-000080B90000}"/>
    <cellStyle name="Normal 8 10 5" xfId="48126" xr:uid="{00000000-0005-0000-0000-000081B90000}"/>
    <cellStyle name="Normal 8 10 5 2" xfId="48127" xr:uid="{00000000-0005-0000-0000-000082B90000}"/>
    <cellStyle name="Normal 8 10 5 2 2" xfId="17575" xr:uid="{00000000-0005-0000-0000-000083B90000}"/>
    <cellStyle name="Normal 8 10 5 3" xfId="48128" xr:uid="{00000000-0005-0000-0000-000084B90000}"/>
    <cellStyle name="Normal 8 10 6" xfId="48129" xr:uid="{00000000-0005-0000-0000-000085B90000}"/>
    <cellStyle name="Normal 8 10 6 2" xfId="48130" xr:uid="{00000000-0005-0000-0000-000086B90000}"/>
    <cellStyle name="Normal 8 10 7" xfId="48131" xr:uid="{00000000-0005-0000-0000-000087B90000}"/>
    <cellStyle name="Normal 8 10 7 2" xfId="48132" xr:uid="{00000000-0005-0000-0000-000088B90000}"/>
    <cellStyle name="Normal 8 10 8" xfId="48133" xr:uid="{00000000-0005-0000-0000-000089B90000}"/>
    <cellStyle name="Normal 8 11" xfId="1050" xr:uid="{00000000-0005-0000-0000-00008AB90000}"/>
    <cellStyle name="Normal 8 11 2" xfId="25453" xr:uid="{00000000-0005-0000-0000-00008BB90000}"/>
    <cellStyle name="Normal 8 11 2 2" xfId="22839" xr:uid="{00000000-0005-0000-0000-00008CB90000}"/>
    <cellStyle name="Normal 8 11 2 2 2" xfId="48134" xr:uid="{00000000-0005-0000-0000-00008DB90000}"/>
    <cellStyle name="Normal 8 11 2 2 2 2" xfId="48135" xr:uid="{00000000-0005-0000-0000-00008EB90000}"/>
    <cellStyle name="Normal 8 11 2 2 3" xfId="48136" xr:uid="{00000000-0005-0000-0000-00008FB90000}"/>
    <cellStyle name="Normal 8 11 2 3" xfId="48137" xr:uid="{00000000-0005-0000-0000-000090B90000}"/>
    <cellStyle name="Normal 8 11 2 3 2" xfId="48138" xr:uid="{00000000-0005-0000-0000-000091B90000}"/>
    <cellStyle name="Normal 8 11 2 4" xfId="30070" xr:uid="{00000000-0005-0000-0000-000092B90000}"/>
    <cellStyle name="Normal 8 11 3" xfId="25455" xr:uid="{00000000-0005-0000-0000-000093B90000}"/>
    <cellStyle name="Normal 8 11 3 2" xfId="48139" xr:uid="{00000000-0005-0000-0000-000094B90000}"/>
    <cellStyle name="Normal 8 11 3 2 2" xfId="48140" xr:uid="{00000000-0005-0000-0000-000095B90000}"/>
    <cellStyle name="Normal 8 11 3 3" xfId="48141" xr:uid="{00000000-0005-0000-0000-000096B90000}"/>
    <cellStyle name="Normal 8 11 4" xfId="48142" xr:uid="{00000000-0005-0000-0000-000097B90000}"/>
    <cellStyle name="Normal 8 11 4 2" xfId="48143" xr:uid="{00000000-0005-0000-0000-000098B90000}"/>
    <cellStyle name="Normal 8 11 4 2 2" xfId="48144" xr:uid="{00000000-0005-0000-0000-000099B90000}"/>
    <cellStyle name="Normal 8 11 4 3" xfId="39345" xr:uid="{00000000-0005-0000-0000-00009AB90000}"/>
    <cellStyle name="Normal 8 11 5" xfId="48145" xr:uid="{00000000-0005-0000-0000-00009BB90000}"/>
    <cellStyle name="Normal 8 11 5 2" xfId="48146" xr:uid="{00000000-0005-0000-0000-00009CB90000}"/>
    <cellStyle name="Normal 8 11 6" xfId="28964" xr:uid="{00000000-0005-0000-0000-00009DB90000}"/>
    <cellStyle name="Normal 8 11 6 2" xfId="9460" xr:uid="{00000000-0005-0000-0000-00009EB90000}"/>
    <cellStyle name="Normal 8 11 7" xfId="48147" xr:uid="{00000000-0005-0000-0000-00009FB90000}"/>
    <cellStyle name="Normal 8 12" xfId="25457" xr:uid="{00000000-0005-0000-0000-0000A0B90000}"/>
    <cellStyle name="Normal 8 12 2" xfId="25459" xr:uid="{00000000-0005-0000-0000-0000A1B90000}"/>
    <cellStyle name="Normal 8 12 2 2" xfId="48148" xr:uid="{00000000-0005-0000-0000-0000A2B90000}"/>
    <cellStyle name="Normal 8 12 3" xfId="48149" xr:uid="{00000000-0005-0000-0000-0000A3B90000}"/>
    <cellStyle name="Normal 8 13" xfId="25461" xr:uid="{00000000-0005-0000-0000-0000A4B90000}"/>
    <cellStyle name="Normal 8 13 2" xfId="25922" xr:uid="{00000000-0005-0000-0000-0000A5B90000}"/>
    <cellStyle name="Normal 8 13 2 2" xfId="16228" xr:uid="{00000000-0005-0000-0000-0000A6B90000}"/>
    <cellStyle name="Normal 8 13 3" xfId="48150" xr:uid="{00000000-0005-0000-0000-0000A7B90000}"/>
    <cellStyle name="Normal 8 14" xfId="48151" xr:uid="{00000000-0005-0000-0000-0000A8B90000}"/>
    <cellStyle name="Normal 8 14 2" xfId="43331" xr:uid="{00000000-0005-0000-0000-0000A9B90000}"/>
    <cellStyle name="Normal 8 15" xfId="48152" xr:uid="{00000000-0005-0000-0000-0000AAB90000}"/>
    <cellStyle name="Normal 8 15 2" xfId="27121" xr:uid="{00000000-0005-0000-0000-0000ABB90000}"/>
    <cellStyle name="Normal 8 16" xfId="48153" xr:uid="{00000000-0005-0000-0000-0000ACB90000}"/>
    <cellStyle name="Normal 8 16 2" xfId="802" xr:uid="{00000000-0005-0000-0000-0000ADB90000}"/>
    <cellStyle name="Normal 8 17" xfId="48154" xr:uid="{00000000-0005-0000-0000-0000AEB90000}"/>
    <cellStyle name="Normal 8 2" xfId="6193" xr:uid="{00000000-0005-0000-0000-0000AFB90000}"/>
    <cellStyle name="Normal 8 2 2" xfId="48155" xr:uid="{00000000-0005-0000-0000-0000B0B90000}"/>
    <cellStyle name="Normal 8 3" xfId="48156" xr:uid="{00000000-0005-0000-0000-0000B1B90000}"/>
    <cellStyle name="Normal 8 3 2" xfId="48157" xr:uid="{00000000-0005-0000-0000-0000B2B90000}"/>
    <cellStyle name="Normal 8 4" xfId="48158" xr:uid="{00000000-0005-0000-0000-0000B3B90000}"/>
    <cellStyle name="Normal 8 5" xfId="19268" xr:uid="{00000000-0005-0000-0000-0000B4B90000}"/>
    <cellStyle name="Normal 8 5 2" xfId="48159" xr:uid="{00000000-0005-0000-0000-0000B5B90000}"/>
    <cellStyle name="Normal 8 5 2 2" xfId="48160" xr:uid="{00000000-0005-0000-0000-0000B6B90000}"/>
    <cellStyle name="Normal 8 5 3" xfId="48161" xr:uid="{00000000-0005-0000-0000-0000B7B90000}"/>
    <cellStyle name="Normal 8 6" xfId="48162" xr:uid="{00000000-0005-0000-0000-0000B8B90000}"/>
    <cellStyle name="Normal 8 6 2" xfId="48163" xr:uid="{00000000-0005-0000-0000-0000B9B90000}"/>
    <cellStyle name="Normal 8 6 2 2" xfId="48164" xr:uid="{00000000-0005-0000-0000-0000BAB90000}"/>
    <cellStyle name="Normal 8 6 2 2 2" xfId="35802" xr:uid="{00000000-0005-0000-0000-0000BBB90000}"/>
    <cellStyle name="Normal 8 6 2 2 2 2" xfId="48165" xr:uid="{00000000-0005-0000-0000-0000BCB90000}"/>
    <cellStyle name="Normal 8 6 2 2 2 2 2" xfId="48166" xr:uid="{00000000-0005-0000-0000-0000BDB90000}"/>
    <cellStyle name="Normal 8 6 2 2 2 2 2 2" xfId="48167" xr:uid="{00000000-0005-0000-0000-0000BEB90000}"/>
    <cellStyle name="Normal 8 6 2 2 2 2 3" xfId="48168" xr:uid="{00000000-0005-0000-0000-0000BFB90000}"/>
    <cellStyle name="Normal 8 6 2 2 2 3" xfId="13413" xr:uid="{00000000-0005-0000-0000-0000C0B90000}"/>
    <cellStyle name="Normal 8 6 2 2 2 3 2" xfId="13426" xr:uid="{00000000-0005-0000-0000-0000C1B90000}"/>
    <cellStyle name="Normal 8 6 2 2 2 4" xfId="13459" xr:uid="{00000000-0005-0000-0000-0000C2B90000}"/>
    <cellStyle name="Normal 8 6 2 2 3" xfId="7580" xr:uid="{00000000-0005-0000-0000-0000C3B90000}"/>
    <cellStyle name="Normal 8 6 2 2 3 2" xfId="7593" xr:uid="{00000000-0005-0000-0000-0000C4B90000}"/>
    <cellStyle name="Normal 8 6 2 2 3 2 2" xfId="21396" xr:uid="{00000000-0005-0000-0000-0000C5B90000}"/>
    <cellStyle name="Normal 8 6 2 2 3 3" xfId="13480" xr:uid="{00000000-0005-0000-0000-0000C6B90000}"/>
    <cellStyle name="Normal 8 6 2 2 4" xfId="7599" xr:uid="{00000000-0005-0000-0000-0000C7B90000}"/>
    <cellStyle name="Normal 8 6 2 2 4 2" xfId="21401" xr:uid="{00000000-0005-0000-0000-0000C8B90000}"/>
    <cellStyle name="Normal 8 6 2 2 4 2 2" xfId="21405" xr:uid="{00000000-0005-0000-0000-0000C9B90000}"/>
    <cellStyle name="Normal 8 6 2 2 4 3" xfId="13501" xr:uid="{00000000-0005-0000-0000-0000CAB90000}"/>
    <cellStyle name="Normal 8 6 2 2 5" xfId="7586" xr:uid="{00000000-0005-0000-0000-0000CBB90000}"/>
    <cellStyle name="Normal 8 6 2 2 5 2" xfId="21409" xr:uid="{00000000-0005-0000-0000-0000CCB90000}"/>
    <cellStyle name="Normal 8 6 2 2 6" xfId="25601" xr:uid="{00000000-0005-0000-0000-0000CDB90000}"/>
    <cellStyle name="Normal 8 6 2 2 6 2" xfId="25603" xr:uid="{00000000-0005-0000-0000-0000CEB90000}"/>
    <cellStyle name="Normal 8 6 2 2 7" xfId="25605" xr:uid="{00000000-0005-0000-0000-0000CFB90000}"/>
    <cellStyle name="Normal 8 6 2 3" xfId="48169" xr:uid="{00000000-0005-0000-0000-0000D0B90000}"/>
    <cellStyle name="Normal 8 6 2 3 2" xfId="48170" xr:uid="{00000000-0005-0000-0000-0000D1B90000}"/>
    <cellStyle name="Normal 8 6 2 3 2 2" xfId="48171" xr:uid="{00000000-0005-0000-0000-0000D2B90000}"/>
    <cellStyle name="Normal 8 6 2 3 2 2 2" xfId="5104" xr:uid="{00000000-0005-0000-0000-0000D3B90000}"/>
    <cellStyle name="Normal 8 6 2 3 2 3" xfId="13536" xr:uid="{00000000-0005-0000-0000-0000D4B90000}"/>
    <cellStyle name="Normal 8 6 2 3 3" xfId="7605" xr:uid="{00000000-0005-0000-0000-0000D5B90000}"/>
    <cellStyle name="Normal 8 6 2 3 3 2" xfId="7611" xr:uid="{00000000-0005-0000-0000-0000D6B90000}"/>
    <cellStyle name="Normal 8 6 2 3 4" xfId="7616" xr:uid="{00000000-0005-0000-0000-0000D7B90000}"/>
    <cellStyle name="Normal 8 6 2 4" xfId="48172" xr:uid="{00000000-0005-0000-0000-0000D8B90000}"/>
    <cellStyle name="Normal 8 6 2 4 2" xfId="48173" xr:uid="{00000000-0005-0000-0000-0000D9B90000}"/>
    <cellStyle name="Normal 8 6 2 4 2 2" xfId="48174" xr:uid="{00000000-0005-0000-0000-0000DAB90000}"/>
    <cellStyle name="Normal 8 6 2 4 3" xfId="4795" xr:uid="{00000000-0005-0000-0000-0000DBB90000}"/>
    <cellStyle name="Normal 8 6 2 5" xfId="48175" xr:uid="{00000000-0005-0000-0000-0000DCB90000}"/>
    <cellStyle name="Normal 8 6 2 5 2" xfId="48176" xr:uid="{00000000-0005-0000-0000-0000DDB90000}"/>
    <cellStyle name="Normal 8 6 2 5 2 2" xfId="48177" xr:uid="{00000000-0005-0000-0000-0000DEB90000}"/>
    <cellStyle name="Normal 8 6 2 5 3" xfId="7621" xr:uid="{00000000-0005-0000-0000-0000DFB90000}"/>
    <cellStyle name="Normal 8 6 2 6" xfId="48178" xr:uid="{00000000-0005-0000-0000-0000E0B90000}"/>
    <cellStyle name="Normal 8 6 2 6 2" xfId="855" xr:uid="{00000000-0005-0000-0000-0000E1B90000}"/>
    <cellStyle name="Normal 8 6 2 7" xfId="12512" xr:uid="{00000000-0005-0000-0000-0000E2B90000}"/>
    <cellStyle name="Normal 8 6 2 7 2" xfId="48179" xr:uid="{00000000-0005-0000-0000-0000E3B90000}"/>
    <cellStyle name="Normal 8 6 2 8" xfId="48180" xr:uid="{00000000-0005-0000-0000-0000E4B90000}"/>
    <cellStyle name="Normal 8 6 3" xfId="48181" xr:uid="{00000000-0005-0000-0000-0000E5B90000}"/>
    <cellStyle name="Normal 8 6 3 2" xfId="48182" xr:uid="{00000000-0005-0000-0000-0000E6B90000}"/>
    <cellStyle name="Normal 8 6 3 2 2" xfId="48183" xr:uid="{00000000-0005-0000-0000-0000E7B90000}"/>
    <cellStyle name="Normal 8 6 3 2 2 2" xfId="48184" xr:uid="{00000000-0005-0000-0000-0000E8B90000}"/>
    <cellStyle name="Normal 8 6 3 2 2 2 2" xfId="48185" xr:uid="{00000000-0005-0000-0000-0000E9B90000}"/>
    <cellStyle name="Normal 8 6 3 2 2 3" xfId="9088" xr:uid="{00000000-0005-0000-0000-0000EAB90000}"/>
    <cellStyle name="Normal 8 6 3 2 3" xfId="45979" xr:uid="{00000000-0005-0000-0000-0000EBB90000}"/>
    <cellStyle name="Normal 8 6 3 2 3 2" xfId="48186" xr:uid="{00000000-0005-0000-0000-0000ECB90000}"/>
    <cellStyle name="Normal 8 6 3 2 4" xfId="48187" xr:uid="{00000000-0005-0000-0000-0000EDB90000}"/>
    <cellStyle name="Normal 8 6 3 3" xfId="48188" xr:uid="{00000000-0005-0000-0000-0000EEB90000}"/>
    <cellStyle name="Normal 8 6 3 3 2" xfId="48189" xr:uid="{00000000-0005-0000-0000-0000EFB90000}"/>
    <cellStyle name="Normal 8 6 3 3 2 2" xfId="48190" xr:uid="{00000000-0005-0000-0000-0000F0B90000}"/>
    <cellStyle name="Normal 8 6 3 3 3" xfId="48191" xr:uid="{00000000-0005-0000-0000-0000F1B90000}"/>
    <cellStyle name="Normal 8 6 3 4" xfId="48192" xr:uid="{00000000-0005-0000-0000-0000F2B90000}"/>
    <cellStyle name="Normal 8 6 3 4 2" xfId="48193" xr:uid="{00000000-0005-0000-0000-0000F3B90000}"/>
    <cellStyle name="Normal 8 6 3 4 2 2" xfId="48194" xr:uid="{00000000-0005-0000-0000-0000F4B90000}"/>
    <cellStyle name="Normal 8 6 3 4 3" xfId="48195" xr:uid="{00000000-0005-0000-0000-0000F5B90000}"/>
    <cellStyle name="Normal 8 6 3 5" xfId="48196" xr:uid="{00000000-0005-0000-0000-0000F6B90000}"/>
    <cellStyle name="Normal 8 6 3 5 2" xfId="12991" xr:uid="{00000000-0005-0000-0000-0000F7B90000}"/>
    <cellStyle name="Normal 8 6 3 6" xfId="48197" xr:uid="{00000000-0005-0000-0000-0000F8B90000}"/>
    <cellStyle name="Normal 8 6 3 6 2" xfId="48198" xr:uid="{00000000-0005-0000-0000-0000F9B90000}"/>
    <cellStyle name="Normal 8 6 3 7" xfId="12517" xr:uid="{00000000-0005-0000-0000-0000FAB90000}"/>
    <cellStyle name="Normal 8 6 4" xfId="48199" xr:uid="{00000000-0005-0000-0000-0000FBB90000}"/>
    <cellStyle name="Normal 8 6 4 2" xfId="48200" xr:uid="{00000000-0005-0000-0000-0000FCB90000}"/>
    <cellStyle name="Normal 8 6 4 2 2" xfId="48201" xr:uid="{00000000-0005-0000-0000-0000FDB90000}"/>
    <cellStyle name="Normal 8 6 4 2 2 2" xfId="48202" xr:uid="{00000000-0005-0000-0000-0000FEB90000}"/>
    <cellStyle name="Normal 8 6 4 2 3" xfId="2711" xr:uid="{00000000-0005-0000-0000-0000FFB90000}"/>
    <cellStyle name="Normal 8 6 4 3" xfId="48203" xr:uid="{00000000-0005-0000-0000-000000BA0000}"/>
    <cellStyle name="Normal 8 6 4 3 2" xfId="48204" xr:uid="{00000000-0005-0000-0000-000001BA0000}"/>
    <cellStyle name="Normal 8 6 4 4" xfId="48205" xr:uid="{00000000-0005-0000-0000-000002BA0000}"/>
    <cellStyle name="Normal 8 6 5" xfId="48206" xr:uid="{00000000-0005-0000-0000-000003BA0000}"/>
    <cellStyle name="Normal 8 6 5 2" xfId="48207" xr:uid="{00000000-0005-0000-0000-000004BA0000}"/>
    <cellStyle name="Normal 8 6 5 2 2" xfId="48208" xr:uid="{00000000-0005-0000-0000-000005BA0000}"/>
    <cellStyle name="Normal 8 6 5 3" xfId="48209" xr:uid="{00000000-0005-0000-0000-000006BA0000}"/>
    <cellStyle name="Normal 8 6 6" xfId="45536" xr:uid="{00000000-0005-0000-0000-000007BA0000}"/>
    <cellStyle name="Normal 8 6 6 2" xfId="45538" xr:uid="{00000000-0005-0000-0000-000008BA0000}"/>
    <cellStyle name="Normal 8 6 6 2 2" xfId="48210" xr:uid="{00000000-0005-0000-0000-000009BA0000}"/>
    <cellStyle name="Normal 8 6 6 3" xfId="48211" xr:uid="{00000000-0005-0000-0000-00000ABA0000}"/>
    <cellStyle name="Normal 8 6 7" xfId="45540" xr:uid="{00000000-0005-0000-0000-00000BBA0000}"/>
    <cellStyle name="Normal 8 6 7 2" xfId="48212" xr:uid="{00000000-0005-0000-0000-00000CBA0000}"/>
    <cellStyle name="Normal 8 6 8" xfId="22881" xr:uid="{00000000-0005-0000-0000-00000DBA0000}"/>
    <cellStyle name="Normal 8 6 8 2" xfId="48213" xr:uid="{00000000-0005-0000-0000-00000EBA0000}"/>
    <cellStyle name="Normal 8 7" xfId="48214" xr:uid="{00000000-0005-0000-0000-00000FBA0000}"/>
    <cellStyle name="Normal 8 7 2" xfId="48215" xr:uid="{00000000-0005-0000-0000-000010BA0000}"/>
    <cellStyle name="Normal 8 8" xfId="48216" xr:uid="{00000000-0005-0000-0000-000011BA0000}"/>
    <cellStyle name="Normal 8 8 2" xfId="34461" xr:uid="{00000000-0005-0000-0000-000012BA0000}"/>
    <cellStyle name="Normal 8 8 2 2" xfId="29911" xr:uid="{00000000-0005-0000-0000-000013BA0000}"/>
    <cellStyle name="Normal 8 8 2 2 2" xfId="29923" xr:uid="{00000000-0005-0000-0000-000014BA0000}"/>
    <cellStyle name="Normal 8 8 2 2 2 2" xfId="48217" xr:uid="{00000000-0005-0000-0000-000015BA0000}"/>
    <cellStyle name="Normal 8 8 2 2 2 2 2" xfId="48218" xr:uid="{00000000-0005-0000-0000-000016BA0000}"/>
    <cellStyle name="Normal 8 8 2 2 2 3" xfId="16447" xr:uid="{00000000-0005-0000-0000-000017BA0000}"/>
    <cellStyle name="Normal 8 8 2 2 3" xfId="39763" xr:uid="{00000000-0005-0000-0000-000018BA0000}"/>
    <cellStyle name="Normal 8 8 2 2 3 2" xfId="39765" xr:uid="{00000000-0005-0000-0000-000019BA0000}"/>
    <cellStyle name="Normal 8 8 2 2 4" xfId="39780" xr:uid="{00000000-0005-0000-0000-00001ABA0000}"/>
    <cellStyle name="Normal 8 8 2 3" xfId="30432" xr:uid="{00000000-0005-0000-0000-00001BBA0000}"/>
    <cellStyle name="Normal 8 8 2 3 2" xfId="48219" xr:uid="{00000000-0005-0000-0000-00001CBA0000}"/>
    <cellStyle name="Normal 8 8 2 3 2 2" xfId="48220" xr:uid="{00000000-0005-0000-0000-00001DBA0000}"/>
    <cellStyle name="Normal 8 8 2 3 3" xfId="39796" xr:uid="{00000000-0005-0000-0000-00001EBA0000}"/>
    <cellStyle name="Normal 8 8 2 4" xfId="48221" xr:uid="{00000000-0005-0000-0000-00001FBA0000}"/>
    <cellStyle name="Normal 8 8 2 4 2" xfId="48222" xr:uid="{00000000-0005-0000-0000-000020BA0000}"/>
    <cellStyle name="Normal 8 8 2 4 2 2" xfId="48223" xr:uid="{00000000-0005-0000-0000-000021BA0000}"/>
    <cellStyle name="Normal 8 8 2 4 3" xfId="39838" xr:uid="{00000000-0005-0000-0000-000022BA0000}"/>
    <cellStyle name="Normal 8 8 2 5" xfId="31106" xr:uid="{00000000-0005-0000-0000-000023BA0000}"/>
    <cellStyle name="Normal 8 8 2 5 2" xfId="48224" xr:uid="{00000000-0005-0000-0000-000024BA0000}"/>
    <cellStyle name="Normal 8 8 2 6" xfId="48225" xr:uid="{00000000-0005-0000-0000-000025BA0000}"/>
    <cellStyle name="Normal 8 8 2 6 2" xfId="48226" xr:uid="{00000000-0005-0000-0000-000026BA0000}"/>
    <cellStyle name="Normal 8 8 2 7" xfId="48227" xr:uid="{00000000-0005-0000-0000-000027BA0000}"/>
    <cellStyle name="Normal 8 8 3" xfId="38338" xr:uid="{00000000-0005-0000-0000-000028BA0000}"/>
    <cellStyle name="Normal 8 8 3 2" xfId="31816" xr:uid="{00000000-0005-0000-0000-000029BA0000}"/>
    <cellStyle name="Normal 8 8 3 2 2" xfId="48228" xr:uid="{00000000-0005-0000-0000-00002ABA0000}"/>
    <cellStyle name="Normal 8 8 3 2 2 2" xfId="48229" xr:uid="{00000000-0005-0000-0000-00002BBA0000}"/>
    <cellStyle name="Normal 8 8 3 2 3" xfId="48230" xr:uid="{00000000-0005-0000-0000-00002CBA0000}"/>
    <cellStyle name="Normal 8 8 3 3" xfId="48231" xr:uid="{00000000-0005-0000-0000-00002DBA0000}"/>
    <cellStyle name="Normal 8 8 3 3 2" xfId="48232" xr:uid="{00000000-0005-0000-0000-00002EBA0000}"/>
    <cellStyle name="Normal 8 8 3 4" xfId="48233" xr:uid="{00000000-0005-0000-0000-00002FBA0000}"/>
    <cellStyle name="Normal 8 8 4" xfId="38341" xr:uid="{00000000-0005-0000-0000-000030BA0000}"/>
    <cellStyle name="Normal 8 8 4 2" xfId="30160" xr:uid="{00000000-0005-0000-0000-000031BA0000}"/>
    <cellStyle name="Normal 8 8 4 2 2" xfId="48234" xr:uid="{00000000-0005-0000-0000-000032BA0000}"/>
    <cellStyle name="Normal 8 8 4 3" xfId="27511" xr:uid="{00000000-0005-0000-0000-000033BA0000}"/>
    <cellStyle name="Normal 8 8 5" xfId="38344" xr:uid="{00000000-0005-0000-0000-000034BA0000}"/>
    <cellStyle name="Normal 8 8 5 2" xfId="48235" xr:uid="{00000000-0005-0000-0000-000035BA0000}"/>
    <cellStyle name="Normal 8 8 5 2 2" xfId="48236" xr:uid="{00000000-0005-0000-0000-000036BA0000}"/>
    <cellStyle name="Normal 8 8 5 3" xfId="48237" xr:uid="{00000000-0005-0000-0000-000037BA0000}"/>
    <cellStyle name="Normal 8 8 6" xfId="38347" xr:uid="{00000000-0005-0000-0000-000038BA0000}"/>
    <cellStyle name="Normal 8 8 6 2" xfId="48238" xr:uid="{00000000-0005-0000-0000-000039BA0000}"/>
    <cellStyle name="Normal 8 8 7" xfId="48239" xr:uid="{00000000-0005-0000-0000-00003ABA0000}"/>
    <cellStyle name="Normal 8 8 7 2" xfId="48240" xr:uid="{00000000-0005-0000-0000-00003BBA0000}"/>
    <cellStyle name="Normal 8 8 8" xfId="48241" xr:uid="{00000000-0005-0000-0000-00003CBA0000}"/>
    <cellStyle name="Normal 8 9" xfId="48242" xr:uid="{00000000-0005-0000-0000-00003DBA0000}"/>
    <cellStyle name="Normal 8 9 2" xfId="38360" xr:uid="{00000000-0005-0000-0000-00003EBA0000}"/>
    <cellStyle name="Normal 8 9 2 2" xfId="48243" xr:uid="{00000000-0005-0000-0000-00003FBA0000}"/>
    <cellStyle name="Normal 8 9 2 2 2" xfId="48244" xr:uid="{00000000-0005-0000-0000-000040BA0000}"/>
    <cellStyle name="Normal 8 9 2 2 2 2" xfId="48245" xr:uid="{00000000-0005-0000-0000-000041BA0000}"/>
    <cellStyle name="Normal 8 9 2 2 2 2 2" xfId="47568" xr:uid="{00000000-0005-0000-0000-000042BA0000}"/>
    <cellStyle name="Normal 8 9 2 2 2 3" xfId="48246" xr:uid="{00000000-0005-0000-0000-000043BA0000}"/>
    <cellStyle name="Normal 8 9 2 2 3" xfId="46138" xr:uid="{00000000-0005-0000-0000-000044BA0000}"/>
    <cellStyle name="Normal 8 9 2 2 3 2" xfId="46140" xr:uid="{00000000-0005-0000-0000-000045BA0000}"/>
    <cellStyle name="Normal 8 9 2 2 4" xfId="46150" xr:uid="{00000000-0005-0000-0000-000046BA0000}"/>
    <cellStyle name="Normal 8 9 2 3" xfId="48247" xr:uid="{00000000-0005-0000-0000-000047BA0000}"/>
    <cellStyle name="Normal 8 9 2 3 2" xfId="48248" xr:uid="{00000000-0005-0000-0000-000048BA0000}"/>
    <cellStyle name="Normal 8 9 2 3 2 2" xfId="48249" xr:uid="{00000000-0005-0000-0000-000049BA0000}"/>
    <cellStyle name="Normal 8 9 2 3 3" xfId="46163" xr:uid="{00000000-0005-0000-0000-00004ABA0000}"/>
    <cellStyle name="Normal 8 9 2 4" xfId="48250" xr:uid="{00000000-0005-0000-0000-00004BBA0000}"/>
    <cellStyle name="Normal 8 9 2 4 2" xfId="48251" xr:uid="{00000000-0005-0000-0000-00004CBA0000}"/>
    <cellStyle name="Normal 8 9 2 4 2 2" xfId="48252" xr:uid="{00000000-0005-0000-0000-00004DBA0000}"/>
    <cellStyle name="Normal 8 9 2 4 3" xfId="46172" xr:uid="{00000000-0005-0000-0000-00004EBA0000}"/>
    <cellStyle name="Normal 8 9 2 5" xfId="21885" xr:uid="{00000000-0005-0000-0000-00004FBA0000}"/>
    <cellStyle name="Normal 8 9 2 5 2" xfId="48253" xr:uid="{00000000-0005-0000-0000-000050BA0000}"/>
    <cellStyle name="Normal 8 9 2 6" xfId="48254" xr:uid="{00000000-0005-0000-0000-000051BA0000}"/>
    <cellStyle name="Normal 8 9 2 6 2" xfId="48255" xr:uid="{00000000-0005-0000-0000-000052BA0000}"/>
    <cellStyle name="Normal 8 9 2 7" xfId="48256" xr:uid="{00000000-0005-0000-0000-000053BA0000}"/>
    <cellStyle name="Normal 8 9 3" xfId="48257" xr:uid="{00000000-0005-0000-0000-000054BA0000}"/>
    <cellStyle name="Normal 8 9 3 2" xfId="48258" xr:uid="{00000000-0005-0000-0000-000055BA0000}"/>
    <cellStyle name="Normal 8 9 3 2 2" xfId="48259" xr:uid="{00000000-0005-0000-0000-000056BA0000}"/>
    <cellStyle name="Normal 8 9 3 2 2 2" xfId="48260" xr:uid="{00000000-0005-0000-0000-000057BA0000}"/>
    <cellStyle name="Normal 8 9 3 2 3" xfId="46219" xr:uid="{00000000-0005-0000-0000-000058BA0000}"/>
    <cellStyle name="Normal 8 9 3 3" xfId="48261" xr:uid="{00000000-0005-0000-0000-000059BA0000}"/>
    <cellStyle name="Normal 8 9 3 3 2" xfId="48262" xr:uid="{00000000-0005-0000-0000-00005ABA0000}"/>
    <cellStyle name="Normal 8 9 3 4" xfId="48263" xr:uid="{00000000-0005-0000-0000-00005BBA0000}"/>
    <cellStyle name="Normal 8 9 4" xfId="48264" xr:uid="{00000000-0005-0000-0000-00005CBA0000}"/>
    <cellStyle name="Normal 8 9 4 2" xfId="48265" xr:uid="{00000000-0005-0000-0000-00005DBA0000}"/>
    <cellStyle name="Normal 8 9 4 2 2" xfId="48266" xr:uid="{00000000-0005-0000-0000-00005EBA0000}"/>
    <cellStyle name="Normal 8 9 4 3" xfId="27521" xr:uid="{00000000-0005-0000-0000-00005FBA0000}"/>
    <cellStyle name="Normal 8 9 5" xfId="48267" xr:uid="{00000000-0005-0000-0000-000060BA0000}"/>
    <cellStyle name="Normal 8 9 5 2" xfId="48268" xr:uid="{00000000-0005-0000-0000-000061BA0000}"/>
    <cellStyle name="Normal 8 9 5 2 2" xfId="48269" xr:uid="{00000000-0005-0000-0000-000062BA0000}"/>
    <cellStyle name="Normal 8 9 5 3" xfId="48270" xr:uid="{00000000-0005-0000-0000-000063BA0000}"/>
    <cellStyle name="Normal 8 9 6" xfId="48271" xr:uid="{00000000-0005-0000-0000-000064BA0000}"/>
    <cellStyle name="Normal 8 9 6 2" xfId="48272" xr:uid="{00000000-0005-0000-0000-000065BA0000}"/>
    <cellStyle name="Normal 8 9 7" xfId="48273" xr:uid="{00000000-0005-0000-0000-000066BA0000}"/>
    <cellStyle name="Normal 8 9 7 2" xfId="48274" xr:uid="{00000000-0005-0000-0000-000067BA0000}"/>
    <cellStyle name="Normal 8 9 8" xfId="48275" xr:uid="{00000000-0005-0000-0000-000068BA0000}"/>
    <cellStyle name="Normal 80" xfId="47642" xr:uid="{00000000-0005-0000-0000-000069BA0000}"/>
    <cellStyle name="Normal 80 2" xfId="47645" xr:uid="{00000000-0005-0000-0000-00006ABA0000}"/>
    <cellStyle name="Normal 80 2 2" xfId="210" xr:uid="{00000000-0005-0000-0000-00006BBA0000}"/>
    <cellStyle name="Normal 80 2 2 2" xfId="47647" xr:uid="{00000000-0005-0000-0000-00006CBA0000}"/>
    <cellStyle name="Normal 80 2 2 2 2" xfId="47649" xr:uid="{00000000-0005-0000-0000-00006DBA0000}"/>
    <cellStyle name="Normal 80 2 2 2 2 2" xfId="47651" xr:uid="{00000000-0005-0000-0000-00006EBA0000}"/>
    <cellStyle name="Normal 80 2 2 2 3" xfId="47655" xr:uid="{00000000-0005-0000-0000-00006FBA0000}"/>
    <cellStyle name="Normal 80 2 2 3" xfId="47658" xr:uid="{00000000-0005-0000-0000-000070BA0000}"/>
    <cellStyle name="Normal 80 2 2 3 2" xfId="47660" xr:uid="{00000000-0005-0000-0000-000071BA0000}"/>
    <cellStyle name="Normal 80 2 2 4" xfId="47664" xr:uid="{00000000-0005-0000-0000-000072BA0000}"/>
    <cellStyle name="Normal 80 2 3" xfId="47674" xr:uid="{00000000-0005-0000-0000-000073BA0000}"/>
    <cellStyle name="Normal 80 2 3 2" xfId="46330" xr:uid="{00000000-0005-0000-0000-000074BA0000}"/>
    <cellStyle name="Normal 80 2 3 2 2" xfId="26093" xr:uid="{00000000-0005-0000-0000-000075BA0000}"/>
    <cellStyle name="Normal 80 2 3 3" xfId="46334" xr:uid="{00000000-0005-0000-0000-000076BA0000}"/>
    <cellStyle name="Normal 80 2 4" xfId="47676" xr:uid="{00000000-0005-0000-0000-000077BA0000}"/>
    <cellStyle name="Normal 80 2 4 2" xfId="47678" xr:uid="{00000000-0005-0000-0000-000078BA0000}"/>
    <cellStyle name="Normal 80 2 4 2 2" xfId="47680" xr:uid="{00000000-0005-0000-0000-000079BA0000}"/>
    <cellStyle name="Normal 80 2 4 3" xfId="47682" xr:uid="{00000000-0005-0000-0000-00007ABA0000}"/>
    <cellStyle name="Normal 80 2 5" xfId="30267" xr:uid="{00000000-0005-0000-0000-00007BBA0000}"/>
    <cellStyle name="Normal 80 2 5 2" xfId="1797" xr:uid="{00000000-0005-0000-0000-00007CBA0000}"/>
    <cellStyle name="Normal 80 2 6" xfId="47685" xr:uid="{00000000-0005-0000-0000-00007DBA0000}"/>
    <cellStyle name="Normal 80 2 6 2" xfId="47689" xr:uid="{00000000-0005-0000-0000-00007EBA0000}"/>
    <cellStyle name="Normal 80 2 7" xfId="47693" xr:uid="{00000000-0005-0000-0000-00007FBA0000}"/>
    <cellStyle name="Normal 80 3" xfId="46424" xr:uid="{00000000-0005-0000-0000-000080BA0000}"/>
    <cellStyle name="Normal 80 3 2" xfId="46428" xr:uid="{00000000-0005-0000-0000-000081BA0000}"/>
    <cellStyle name="Normal 80 3 2 2" xfId="46432" xr:uid="{00000000-0005-0000-0000-000082BA0000}"/>
    <cellStyle name="Normal 80 3 2 2 2" xfId="47698" xr:uid="{00000000-0005-0000-0000-000083BA0000}"/>
    <cellStyle name="Normal 80 3 2 3" xfId="47700" xr:uid="{00000000-0005-0000-0000-000084BA0000}"/>
    <cellStyle name="Normal 80 3 3" xfId="46436" xr:uid="{00000000-0005-0000-0000-000085BA0000}"/>
    <cellStyle name="Normal 80 3 3 2" xfId="47704" xr:uid="{00000000-0005-0000-0000-000086BA0000}"/>
    <cellStyle name="Normal 80 3 4" xfId="47708" xr:uid="{00000000-0005-0000-0000-000087BA0000}"/>
    <cellStyle name="Normal 80 4" xfId="46440" xr:uid="{00000000-0005-0000-0000-000088BA0000}"/>
    <cellStyle name="Normal 80 4 2" xfId="46444" xr:uid="{00000000-0005-0000-0000-000089BA0000}"/>
    <cellStyle name="Normal 80 4 2 2" xfId="22545" xr:uid="{00000000-0005-0000-0000-00008ABA0000}"/>
    <cellStyle name="Normal 80 4 3" xfId="47720" xr:uid="{00000000-0005-0000-0000-00008BBA0000}"/>
    <cellStyle name="Normal 80 5" xfId="9012" xr:uid="{00000000-0005-0000-0000-00008CBA0000}"/>
    <cellStyle name="Normal 80 5 2" xfId="47723" xr:uid="{00000000-0005-0000-0000-00008DBA0000}"/>
    <cellStyle name="Normal 80 5 2 2" xfId="22613" xr:uid="{00000000-0005-0000-0000-00008EBA0000}"/>
    <cellStyle name="Normal 80 5 3" xfId="47725" xr:uid="{00000000-0005-0000-0000-00008FBA0000}"/>
    <cellStyle name="Normal 80 6" xfId="46448" xr:uid="{00000000-0005-0000-0000-000090BA0000}"/>
    <cellStyle name="Normal 80 6 2" xfId="47727" xr:uid="{00000000-0005-0000-0000-000091BA0000}"/>
    <cellStyle name="Normal 80 7" xfId="47729" xr:uid="{00000000-0005-0000-0000-000092BA0000}"/>
    <cellStyle name="Normal 80 7 2" xfId="47731" xr:uid="{00000000-0005-0000-0000-000093BA0000}"/>
    <cellStyle name="Normal 80 8" xfId="47733" xr:uid="{00000000-0005-0000-0000-000094BA0000}"/>
    <cellStyle name="Normal 81" xfId="47737" xr:uid="{00000000-0005-0000-0000-000095BA0000}"/>
    <cellStyle name="Normal 81 2" xfId="47739" xr:uid="{00000000-0005-0000-0000-000096BA0000}"/>
    <cellStyle name="Normal 81 2 2" xfId="5101" xr:uid="{00000000-0005-0000-0000-000097BA0000}"/>
    <cellStyle name="Normal 81 2 2 2" xfId="46776" xr:uid="{00000000-0005-0000-0000-000098BA0000}"/>
    <cellStyle name="Normal 81 2 2 2 2" xfId="46780" xr:uid="{00000000-0005-0000-0000-000099BA0000}"/>
    <cellStyle name="Normal 81 2 2 2 2 2" xfId="46784" xr:uid="{00000000-0005-0000-0000-00009ABA0000}"/>
    <cellStyle name="Normal 81 2 2 2 3" xfId="46787" xr:uid="{00000000-0005-0000-0000-00009BBA0000}"/>
    <cellStyle name="Normal 81 2 2 3" xfId="46790" xr:uid="{00000000-0005-0000-0000-00009CBA0000}"/>
    <cellStyle name="Normal 81 2 2 3 2" xfId="46794" xr:uid="{00000000-0005-0000-0000-00009DBA0000}"/>
    <cellStyle name="Normal 81 2 2 4" xfId="46798" xr:uid="{00000000-0005-0000-0000-00009EBA0000}"/>
    <cellStyle name="Normal 81 2 3" xfId="47752" xr:uid="{00000000-0005-0000-0000-00009FBA0000}"/>
    <cellStyle name="Normal 81 2 3 2" xfId="46840" xr:uid="{00000000-0005-0000-0000-0000A0BA0000}"/>
    <cellStyle name="Normal 81 2 3 2 2" xfId="26411" xr:uid="{00000000-0005-0000-0000-0000A1BA0000}"/>
    <cellStyle name="Normal 81 2 3 3" xfId="46844" xr:uid="{00000000-0005-0000-0000-0000A2BA0000}"/>
    <cellStyle name="Normal 81 2 4" xfId="39296" xr:uid="{00000000-0005-0000-0000-0000A3BA0000}"/>
    <cellStyle name="Normal 81 2 4 2" xfId="39299" xr:uid="{00000000-0005-0000-0000-0000A4BA0000}"/>
    <cellStyle name="Normal 81 2 4 2 2" xfId="22079" xr:uid="{00000000-0005-0000-0000-0000A5BA0000}"/>
    <cellStyle name="Normal 81 2 4 3" xfId="39303" xr:uid="{00000000-0005-0000-0000-0000A6BA0000}"/>
    <cellStyle name="Normal 81 2 5" xfId="35050" xr:uid="{00000000-0005-0000-0000-0000A7BA0000}"/>
    <cellStyle name="Normal 81 2 5 2" xfId="39307" xr:uid="{00000000-0005-0000-0000-0000A8BA0000}"/>
    <cellStyle name="Normal 81 2 6" xfId="39312" xr:uid="{00000000-0005-0000-0000-0000A9BA0000}"/>
    <cellStyle name="Normal 81 2 6 2" xfId="46903" xr:uid="{00000000-0005-0000-0000-0000AABA0000}"/>
    <cellStyle name="Normal 81 2 7" xfId="47756" xr:uid="{00000000-0005-0000-0000-0000ABBA0000}"/>
    <cellStyle name="Normal 81 3" xfId="46452" xr:uid="{00000000-0005-0000-0000-0000ACBA0000}"/>
    <cellStyle name="Normal 81 3 2" xfId="46456" xr:uid="{00000000-0005-0000-0000-0000ADBA0000}"/>
    <cellStyle name="Normal 81 3 2 2" xfId="47684" xr:uid="{00000000-0005-0000-0000-0000AEBA0000}"/>
    <cellStyle name="Normal 81 3 2 2 2" xfId="47688" xr:uid="{00000000-0005-0000-0000-0000AFBA0000}"/>
    <cellStyle name="Normal 81 3 2 3" xfId="47692" xr:uid="{00000000-0005-0000-0000-0000B0BA0000}"/>
    <cellStyle name="Normal 81 3 3" xfId="47764" xr:uid="{00000000-0005-0000-0000-0000B1BA0000}"/>
    <cellStyle name="Normal 81 3 3 2" xfId="47713" xr:uid="{00000000-0005-0000-0000-0000B2BA0000}"/>
    <cellStyle name="Normal 81 3 4" xfId="39317" xr:uid="{00000000-0005-0000-0000-0000B3BA0000}"/>
    <cellStyle name="Normal 81 4" xfId="46460" xr:uid="{00000000-0005-0000-0000-0000B4BA0000}"/>
    <cellStyle name="Normal 81 4 2" xfId="47773" xr:uid="{00000000-0005-0000-0000-0000B5BA0000}"/>
    <cellStyle name="Normal 81 4 2 2" xfId="39311" xr:uid="{00000000-0005-0000-0000-0000B6BA0000}"/>
    <cellStyle name="Normal 81 4 3" xfId="47775" xr:uid="{00000000-0005-0000-0000-0000B7BA0000}"/>
    <cellStyle name="Normal 81 5" xfId="294" xr:uid="{00000000-0005-0000-0000-0000B8BA0000}"/>
    <cellStyle name="Normal 81 5 2" xfId="47778" xr:uid="{00000000-0005-0000-0000-0000B9BA0000}"/>
    <cellStyle name="Normal 81 5 2 2" xfId="47781" xr:uid="{00000000-0005-0000-0000-0000BABA0000}"/>
    <cellStyle name="Normal 81 5 3" xfId="47784" xr:uid="{00000000-0005-0000-0000-0000BBBA0000}"/>
    <cellStyle name="Normal 81 6" xfId="47786" xr:uid="{00000000-0005-0000-0000-0000BCBA0000}"/>
    <cellStyle name="Normal 81 6 2" xfId="47788" xr:uid="{00000000-0005-0000-0000-0000BDBA0000}"/>
    <cellStyle name="Normal 81 7" xfId="47793" xr:uid="{00000000-0005-0000-0000-0000BEBA0000}"/>
    <cellStyle name="Normal 81 7 2" xfId="47795" xr:uid="{00000000-0005-0000-0000-0000BFBA0000}"/>
    <cellStyle name="Normal 81 8" xfId="47797" xr:uid="{00000000-0005-0000-0000-0000C0BA0000}"/>
    <cellStyle name="Normal 82" xfId="47801" xr:uid="{00000000-0005-0000-0000-0000C1BA0000}"/>
    <cellStyle name="Normal 82 2" xfId="47803" xr:uid="{00000000-0005-0000-0000-0000C2BA0000}"/>
    <cellStyle name="Normal 82 2 2" xfId="4700" xr:uid="{00000000-0005-0000-0000-0000C3BA0000}"/>
    <cellStyle name="Normal 82 2 2 2" xfId="47805" xr:uid="{00000000-0005-0000-0000-0000C4BA0000}"/>
    <cellStyle name="Normal 82 2 2 2 2" xfId="47807" xr:uid="{00000000-0005-0000-0000-0000C5BA0000}"/>
    <cellStyle name="Normal 82 2 2 2 2 2" xfId="47809" xr:uid="{00000000-0005-0000-0000-0000C6BA0000}"/>
    <cellStyle name="Normal 82 2 2 2 3" xfId="47811" xr:uid="{00000000-0005-0000-0000-0000C7BA0000}"/>
    <cellStyle name="Normal 82 2 2 3" xfId="47815" xr:uid="{00000000-0005-0000-0000-0000C8BA0000}"/>
    <cellStyle name="Normal 82 2 2 3 2" xfId="47817" xr:uid="{00000000-0005-0000-0000-0000C9BA0000}"/>
    <cellStyle name="Normal 82 2 2 4" xfId="47821" xr:uid="{00000000-0005-0000-0000-0000CABA0000}"/>
    <cellStyle name="Normal 82 2 3" xfId="47829" xr:uid="{00000000-0005-0000-0000-0000CBBA0000}"/>
    <cellStyle name="Normal 82 2 3 2" xfId="47831" xr:uid="{00000000-0005-0000-0000-0000CCBA0000}"/>
    <cellStyle name="Normal 82 2 3 2 2" xfId="47833" xr:uid="{00000000-0005-0000-0000-0000CDBA0000}"/>
    <cellStyle name="Normal 82 2 3 3" xfId="47837" xr:uid="{00000000-0005-0000-0000-0000CEBA0000}"/>
    <cellStyle name="Normal 82 2 4" xfId="25619" xr:uid="{00000000-0005-0000-0000-0000CFBA0000}"/>
    <cellStyle name="Normal 82 2 4 2" xfId="26350" xr:uid="{00000000-0005-0000-0000-0000D0BA0000}"/>
    <cellStyle name="Normal 82 2 4 2 2" xfId="47841" xr:uid="{00000000-0005-0000-0000-0000D1BA0000}"/>
    <cellStyle name="Normal 82 2 4 3" xfId="47843" xr:uid="{00000000-0005-0000-0000-0000D2BA0000}"/>
    <cellStyle name="Normal 82 2 5" xfId="24640" xr:uid="{00000000-0005-0000-0000-0000D3BA0000}"/>
    <cellStyle name="Normal 82 2 5 2" xfId="47845" xr:uid="{00000000-0005-0000-0000-0000D4BA0000}"/>
    <cellStyle name="Normal 82 2 6" xfId="47780" xr:uid="{00000000-0005-0000-0000-0000D5BA0000}"/>
    <cellStyle name="Normal 82 2 6 2" xfId="47848" xr:uid="{00000000-0005-0000-0000-0000D6BA0000}"/>
    <cellStyle name="Normal 82 2 7" xfId="47850" xr:uid="{00000000-0005-0000-0000-0000D7BA0000}"/>
    <cellStyle name="Normal 82 3" xfId="46466" xr:uid="{00000000-0005-0000-0000-0000D8BA0000}"/>
    <cellStyle name="Normal 82 3 2" xfId="46470" xr:uid="{00000000-0005-0000-0000-0000D9BA0000}"/>
    <cellStyle name="Normal 82 3 2 2" xfId="22830" xr:uid="{00000000-0005-0000-0000-0000DABA0000}"/>
    <cellStyle name="Normal 82 3 2 2 2" xfId="22833" xr:uid="{00000000-0005-0000-0000-0000DBBA0000}"/>
    <cellStyle name="Normal 82 3 2 3" xfId="22836" xr:uid="{00000000-0005-0000-0000-0000DCBA0000}"/>
    <cellStyle name="Normal 82 3 3" xfId="47856" xr:uid="{00000000-0005-0000-0000-0000DDBA0000}"/>
    <cellStyle name="Normal 82 3 3 2" xfId="47858" xr:uid="{00000000-0005-0000-0000-0000DEBA0000}"/>
    <cellStyle name="Normal 82 3 4" xfId="39371" xr:uid="{00000000-0005-0000-0000-0000DFBA0000}"/>
    <cellStyle name="Normal 82 4" xfId="46474" xr:uid="{00000000-0005-0000-0000-0000E0BA0000}"/>
    <cellStyle name="Normal 82 4 2" xfId="47867" xr:uid="{00000000-0005-0000-0000-0000E1BA0000}"/>
    <cellStyle name="Normal 82 4 2 2" xfId="47869" xr:uid="{00000000-0005-0000-0000-0000E2BA0000}"/>
    <cellStyle name="Normal 82 4 3" xfId="47873" xr:uid="{00000000-0005-0000-0000-0000E3BA0000}"/>
    <cellStyle name="Normal 82 5" xfId="47877" xr:uid="{00000000-0005-0000-0000-0000E4BA0000}"/>
    <cellStyle name="Normal 82 5 2" xfId="47879" xr:uid="{00000000-0005-0000-0000-0000E5BA0000}"/>
    <cellStyle name="Normal 82 5 2 2" xfId="47881" xr:uid="{00000000-0005-0000-0000-0000E6BA0000}"/>
    <cellStyle name="Normal 82 5 3" xfId="47883" xr:uid="{00000000-0005-0000-0000-0000E7BA0000}"/>
    <cellStyle name="Normal 82 6" xfId="47885" xr:uid="{00000000-0005-0000-0000-0000E8BA0000}"/>
    <cellStyle name="Normal 82 6 2" xfId="47887" xr:uid="{00000000-0005-0000-0000-0000E9BA0000}"/>
    <cellStyle name="Normal 82 7" xfId="47890" xr:uid="{00000000-0005-0000-0000-0000EABA0000}"/>
    <cellStyle name="Normal 82 7 2" xfId="47892" xr:uid="{00000000-0005-0000-0000-0000EBBA0000}"/>
    <cellStyle name="Normal 82 8" xfId="47896" xr:uid="{00000000-0005-0000-0000-0000ECBA0000}"/>
    <cellStyle name="Normal 83" xfId="47900" xr:uid="{00000000-0005-0000-0000-0000EDBA0000}"/>
    <cellStyle name="Normal 83 2" xfId="47902" xr:uid="{00000000-0005-0000-0000-0000EEBA0000}"/>
    <cellStyle name="Normal 83 2 2" xfId="7574" xr:uid="{00000000-0005-0000-0000-0000EFBA0000}"/>
    <cellStyle name="Normal 83 2 2 2" xfId="47904" xr:uid="{00000000-0005-0000-0000-0000F0BA0000}"/>
    <cellStyle name="Normal 83 2 2 2 2" xfId="47906" xr:uid="{00000000-0005-0000-0000-0000F1BA0000}"/>
    <cellStyle name="Normal 83 2 2 2 2 2" xfId="47908" xr:uid="{00000000-0005-0000-0000-0000F2BA0000}"/>
    <cellStyle name="Normal 83 2 2 2 3" xfId="47912" xr:uid="{00000000-0005-0000-0000-0000F3BA0000}"/>
    <cellStyle name="Normal 83 2 2 3" xfId="27642" xr:uid="{00000000-0005-0000-0000-0000F4BA0000}"/>
    <cellStyle name="Normal 83 2 2 3 2" xfId="18639" xr:uid="{00000000-0005-0000-0000-0000F5BA0000}"/>
    <cellStyle name="Normal 83 2 2 4" xfId="27646" xr:uid="{00000000-0005-0000-0000-0000F6BA0000}"/>
    <cellStyle name="Normal 83 2 3" xfId="47919" xr:uid="{00000000-0005-0000-0000-0000F7BA0000}"/>
    <cellStyle name="Normal 83 2 3 2" xfId="47921" xr:uid="{00000000-0005-0000-0000-0000F8BA0000}"/>
    <cellStyle name="Normal 83 2 3 2 2" xfId="47923" xr:uid="{00000000-0005-0000-0000-0000F9BA0000}"/>
    <cellStyle name="Normal 83 2 3 3" xfId="27652" xr:uid="{00000000-0005-0000-0000-0000FABA0000}"/>
    <cellStyle name="Normal 83 2 4" xfId="47929" xr:uid="{00000000-0005-0000-0000-0000FBBA0000}"/>
    <cellStyle name="Normal 83 2 4 2" xfId="47931" xr:uid="{00000000-0005-0000-0000-0000FCBA0000}"/>
    <cellStyle name="Normal 83 2 4 2 2" xfId="22064" xr:uid="{00000000-0005-0000-0000-0000FDBA0000}"/>
    <cellStyle name="Normal 83 2 4 3" xfId="23134" xr:uid="{00000000-0005-0000-0000-0000FEBA0000}"/>
    <cellStyle name="Normal 83 2 5" xfId="47933" xr:uid="{00000000-0005-0000-0000-0000FFBA0000}"/>
    <cellStyle name="Normal 83 2 5 2" xfId="47935" xr:uid="{00000000-0005-0000-0000-000000BB0000}"/>
    <cellStyle name="Normal 83 2 6" xfId="47790" xr:uid="{00000000-0005-0000-0000-000001BB0000}"/>
    <cellStyle name="Normal 83 2 6 2" xfId="47939" xr:uid="{00000000-0005-0000-0000-000002BB0000}"/>
    <cellStyle name="Normal 83 2 7" xfId="47941" xr:uid="{00000000-0005-0000-0000-000003BB0000}"/>
    <cellStyle name="Normal 83 3" xfId="46480" xr:uid="{00000000-0005-0000-0000-000004BB0000}"/>
    <cellStyle name="Normal 83 3 2" xfId="47945" xr:uid="{00000000-0005-0000-0000-000005BB0000}"/>
    <cellStyle name="Normal 83 3 2 2" xfId="47947" xr:uid="{00000000-0005-0000-0000-000006BB0000}"/>
    <cellStyle name="Normal 83 3 2 2 2" xfId="47949" xr:uid="{00000000-0005-0000-0000-000007BB0000}"/>
    <cellStyle name="Normal 83 3 2 3" xfId="47952" xr:uid="{00000000-0005-0000-0000-000008BB0000}"/>
    <cellStyle name="Normal 83 3 3" xfId="47955" xr:uid="{00000000-0005-0000-0000-000009BB0000}"/>
    <cellStyle name="Normal 83 3 3 2" xfId="47957" xr:uid="{00000000-0005-0000-0000-00000ABB0000}"/>
    <cellStyle name="Normal 83 3 4" xfId="47961" xr:uid="{00000000-0005-0000-0000-00000BBB0000}"/>
    <cellStyle name="Normal 83 4" xfId="47970" xr:uid="{00000000-0005-0000-0000-00000CBB0000}"/>
    <cellStyle name="Normal 83 4 2" xfId="47972" xr:uid="{00000000-0005-0000-0000-00000DBB0000}"/>
    <cellStyle name="Normal 83 4 2 2" xfId="47974" xr:uid="{00000000-0005-0000-0000-00000EBB0000}"/>
    <cellStyle name="Normal 83 4 3" xfId="47978" xr:uid="{00000000-0005-0000-0000-00000FBB0000}"/>
    <cellStyle name="Normal 83 5" xfId="47982" xr:uid="{00000000-0005-0000-0000-000010BB0000}"/>
    <cellStyle name="Normal 83 5 2" xfId="47984" xr:uid="{00000000-0005-0000-0000-000011BB0000}"/>
    <cellStyle name="Normal 83 5 2 2" xfId="47986" xr:uid="{00000000-0005-0000-0000-000012BB0000}"/>
    <cellStyle name="Normal 83 5 3" xfId="47988" xr:uid="{00000000-0005-0000-0000-000013BB0000}"/>
    <cellStyle name="Normal 83 6" xfId="47990" xr:uid="{00000000-0005-0000-0000-000014BB0000}"/>
    <cellStyle name="Normal 83 6 2" xfId="47992" xr:uid="{00000000-0005-0000-0000-000015BB0000}"/>
    <cellStyle name="Normal 83 7" xfId="47995" xr:uid="{00000000-0005-0000-0000-000016BB0000}"/>
    <cellStyle name="Normal 83 7 2" xfId="16317" xr:uid="{00000000-0005-0000-0000-000017BB0000}"/>
    <cellStyle name="Normal 83 8" xfId="32341" xr:uid="{00000000-0005-0000-0000-000018BB0000}"/>
    <cellStyle name="Normal 84" xfId="47997" xr:uid="{00000000-0005-0000-0000-000019BB0000}"/>
    <cellStyle name="Normal 84 2" xfId="16970" xr:uid="{00000000-0005-0000-0000-00001ABB0000}"/>
    <cellStyle name="Normal 84 2 2" xfId="8340" xr:uid="{00000000-0005-0000-0000-00001BBB0000}"/>
    <cellStyle name="Normal 84 2 2 2" xfId="47999" xr:uid="{00000000-0005-0000-0000-00001CBB0000}"/>
    <cellStyle name="Normal 84 2 2 2 2" xfId="41762" xr:uid="{00000000-0005-0000-0000-00001DBB0000}"/>
    <cellStyle name="Normal 84 2 2 2 2 2" xfId="15744" xr:uid="{00000000-0005-0000-0000-00001EBB0000}"/>
    <cellStyle name="Normal 84 2 2 2 3" xfId="41766" xr:uid="{00000000-0005-0000-0000-00001FBB0000}"/>
    <cellStyle name="Normal 84 2 2 3" xfId="48002" xr:uid="{00000000-0005-0000-0000-000020BB0000}"/>
    <cellStyle name="Normal 84 2 2 3 2" xfId="48004" xr:uid="{00000000-0005-0000-0000-000021BB0000}"/>
    <cellStyle name="Normal 84 2 2 4" xfId="48008" xr:uid="{00000000-0005-0000-0000-000022BB0000}"/>
    <cellStyle name="Normal 84 2 3" xfId="48016" xr:uid="{00000000-0005-0000-0000-000023BB0000}"/>
    <cellStyle name="Normal 84 2 3 2" xfId="48018" xr:uid="{00000000-0005-0000-0000-000024BB0000}"/>
    <cellStyle name="Normal 84 2 3 2 2" xfId="41844" xr:uid="{00000000-0005-0000-0000-000025BB0000}"/>
    <cellStyle name="Normal 84 2 3 3" xfId="48021" xr:uid="{00000000-0005-0000-0000-000026BB0000}"/>
    <cellStyle name="Normal 84 2 4" xfId="39406" xr:uid="{00000000-0005-0000-0000-000027BB0000}"/>
    <cellStyle name="Normal 84 2 4 2" xfId="48025" xr:uid="{00000000-0005-0000-0000-000028BB0000}"/>
    <cellStyle name="Normal 84 2 4 2 2" xfId="41919" xr:uid="{00000000-0005-0000-0000-000029BB0000}"/>
    <cellStyle name="Normal 84 2 4 3" xfId="48027" xr:uid="{00000000-0005-0000-0000-00002ABB0000}"/>
    <cellStyle name="Normal 84 2 5" xfId="48029" xr:uid="{00000000-0005-0000-0000-00002BBB0000}"/>
    <cellStyle name="Normal 84 2 5 2" xfId="48031" xr:uid="{00000000-0005-0000-0000-00002CBB0000}"/>
    <cellStyle name="Normal 84 2 6" xfId="48035" xr:uid="{00000000-0005-0000-0000-00002DBB0000}"/>
    <cellStyle name="Normal 84 2 6 2" xfId="48037" xr:uid="{00000000-0005-0000-0000-00002EBB0000}"/>
    <cellStyle name="Normal 84 2 7" xfId="48039" xr:uid="{00000000-0005-0000-0000-00002FBB0000}"/>
    <cellStyle name="Normal 84 3" xfId="46484" xr:uid="{00000000-0005-0000-0000-000030BB0000}"/>
    <cellStyle name="Normal 84 3 2" xfId="48043" xr:uid="{00000000-0005-0000-0000-000031BB0000}"/>
    <cellStyle name="Normal 84 3 2 2" xfId="48045" xr:uid="{00000000-0005-0000-0000-000032BB0000}"/>
    <cellStyle name="Normal 84 3 2 2 2" xfId="42894" xr:uid="{00000000-0005-0000-0000-000033BB0000}"/>
    <cellStyle name="Normal 84 3 2 3" xfId="48048" xr:uid="{00000000-0005-0000-0000-000034BB0000}"/>
    <cellStyle name="Normal 84 3 3" xfId="48052" xr:uid="{00000000-0005-0000-0000-000035BB0000}"/>
    <cellStyle name="Normal 84 3 3 2" xfId="48054" xr:uid="{00000000-0005-0000-0000-000036BB0000}"/>
    <cellStyle name="Normal 84 3 4" xfId="48057" xr:uid="{00000000-0005-0000-0000-000037BB0000}"/>
    <cellStyle name="Normal 84 4" xfId="48066" xr:uid="{00000000-0005-0000-0000-000038BB0000}"/>
    <cellStyle name="Normal 84 4 2" xfId="48068" xr:uid="{00000000-0005-0000-0000-000039BB0000}"/>
    <cellStyle name="Normal 84 4 2 2" xfId="48070" xr:uid="{00000000-0005-0000-0000-00003ABB0000}"/>
    <cellStyle name="Normal 84 4 3" xfId="48073" xr:uid="{00000000-0005-0000-0000-00003BBB0000}"/>
    <cellStyle name="Normal 84 5" xfId="48077" xr:uid="{00000000-0005-0000-0000-00003CBB0000}"/>
    <cellStyle name="Normal 84 5 2" xfId="48079" xr:uid="{00000000-0005-0000-0000-00003DBB0000}"/>
    <cellStyle name="Normal 84 5 2 2" xfId="48081" xr:uid="{00000000-0005-0000-0000-00003EBB0000}"/>
    <cellStyle name="Normal 84 5 3" xfId="48083" xr:uid="{00000000-0005-0000-0000-00003FBB0000}"/>
    <cellStyle name="Normal 84 6" xfId="21870" xr:uid="{00000000-0005-0000-0000-000040BB0000}"/>
    <cellStyle name="Normal 84 6 2" xfId="48085" xr:uid="{00000000-0005-0000-0000-000041BB0000}"/>
    <cellStyle name="Normal 84 7" xfId="48089" xr:uid="{00000000-0005-0000-0000-000042BB0000}"/>
    <cellStyle name="Normal 84 7 2" xfId="48091" xr:uid="{00000000-0005-0000-0000-000043BB0000}"/>
    <cellStyle name="Normal 84 8" xfId="32360" xr:uid="{00000000-0005-0000-0000-000044BB0000}"/>
    <cellStyle name="Normal 85" xfId="48277" xr:uid="{00000000-0005-0000-0000-000045BB0000}"/>
    <cellStyle name="Normal 85 10" xfId="48278" xr:uid="{00000000-0005-0000-0000-000046BB0000}"/>
    <cellStyle name="Normal 85 2" xfId="48280" xr:uid="{00000000-0005-0000-0000-000047BB0000}"/>
    <cellStyle name="Normal 85 2 12" xfId="44031" xr:uid="{00000000-0005-0000-0000-000048BB0000}"/>
    <cellStyle name="Normal 85 2 2" xfId="48282" xr:uid="{00000000-0005-0000-0000-000049BB0000}"/>
    <cellStyle name="Normal 85 2 2 2" xfId="48284" xr:uid="{00000000-0005-0000-0000-00004ABB0000}"/>
    <cellStyle name="Normal 85 2 2 2 2" xfId="48285" xr:uid="{00000000-0005-0000-0000-00004BBB0000}"/>
    <cellStyle name="Normal 85 2 2 2 2 2" xfId="48286" xr:uid="{00000000-0005-0000-0000-00004CBB0000}"/>
    <cellStyle name="Normal 85 2 2 2 3" xfId="48287" xr:uid="{00000000-0005-0000-0000-00004DBB0000}"/>
    <cellStyle name="Normal 85 2 2 3" xfId="48288" xr:uid="{00000000-0005-0000-0000-00004EBB0000}"/>
    <cellStyle name="Normal 85 2 2 3 2" xfId="48289" xr:uid="{00000000-0005-0000-0000-00004FBB0000}"/>
    <cellStyle name="Normal 85 2 2 4" xfId="48290" xr:uid="{00000000-0005-0000-0000-000050BB0000}"/>
    <cellStyle name="Normal 85 2 3" xfId="1329" xr:uid="{00000000-0005-0000-0000-000051BB0000}"/>
    <cellStyle name="Normal 85 2 3 2" xfId="1351" xr:uid="{00000000-0005-0000-0000-000052BB0000}"/>
    <cellStyle name="Normal 85 2 3 2 2" xfId="48291" xr:uid="{00000000-0005-0000-0000-000053BB0000}"/>
    <cellStyle name="Normal 85 2 3 3" xfId="48292" xr:uid="{00000000-0005-0000-0000-000054BB0000}"/>
    <cellStyle name="Normal 85 2 4" xfId="266" xr:uid="{00000000-0005-0000-0000-000055BB0000}"/>
    <cellStyle name="Normal 85 2 4 2" xfId="48293" xr:uid="{00000000-0005-0000-0000-000056BB0000}"/>
    <cellStyle name="Normal 85 2 4 2 2" xfId="2887" xr:uid="{00000000-0005-0000-0000-000057BB0000}"/>
    <cellStyle name="Normal 85 2 4 3" xfId="48294" xr:uid="{00000000-0005-0000-0000-000058BB0000}"/>
    <cellStyle name="Normal 85 2 5" xfId="48295" xr:uid="{00000000-0005-0000-0000-000059BB0000}"/>
    <cellStyle name="Normal 85 2 5 2" xfId="48296" xr:uid="{00000000-0005-0000-0000-00005ABB0000}"/>
    <cellStyle name="Normal 85 2 6" xfId="48297" xr:uid="{00000000-0005-0000-0000-00005BBB0000}"/>
    <cellStyle name="Normal 85 2 6 2" xfId="45972" xr:uid="{00000000-0005-0000-0000-00005CBB0000}"/>
    <cellStyle name="Normal 85 2 7" xfId="48298" xr:uid="{00000000-0005-0000-0000-00005DBB0000}"/>
    <cellStyle name="Normal 85 3" xfId="48300" xr:uid="{00000000-0005-0000-0000-00005EBB0000}"/>
    <cellStyle name="Normal 85 3 2" xfId="48302" xr:uid="{00000000-0005-0000-0000-00005FBB0000}"/>
    <cellStyle name="Normal 85 3 2 2" xfId="48304" xr:uid="{00000000-0005-0000-0000-000060BB0000}"/>
    <cellStyle name="Normal 85 3 2 2 2" xfId="48305" xr:uid="{00000000-0005-0000-0000-000061BB0000}"/>
    <cellStyle name="Normal 85 3 2 3" xfId="48306" xr:uid="{00000000-0005-0000-0000-000062BB0000}"/>
    <cellStyle name="Normal 85 3 3" xfId="1378" xr:uid="{00000000-0005-0000-0000-000063BB0000}"/>
    <cellStyle name="Normal 85 3 3 2" xfId="1406" xr:uid="{00000000-0005-0000-0000-000064BB0000}"/>
    <cellStyle name="Normal 85 3 4" xfId="1449" xr:uid="{00000000-0005-0000-0000-000065BB0000}"/>
    <cellStyle name="Normal 85 4" xfId="48308" xr:uid="{00000000-0005-0000-0000-000066BB0000}"/>
    <cellStyle name="Normal 85 4 2" xfId="48310" xr:uid="{00000000-0005-0000-0000-000067BB0000}"/>
    <cellStyle name="Normal 85 4 2 2" xfId="48311" xr:uid="{00000000-0005-0000-0000-000068BB0000}"/>
    <cellStyle name="Normal 85 4 3" xfId="23" xr:uid="{00000000-0005-0000-0000-000069BB0000}"/>
    <cellStyle name="Normal 85 5" xfId="48313" xr:uid="{00000000-0005-0000-0000-00006ABB0000}"/>
    <cellStyle name="Normal 85 5 2" xfId="48315" xr:uid="{00000000-0005-0000-0000-00006BBB0000}"/>
    <cellStyle name="Normal 85 5 2 2" xfId="48316" xr:uid="{00000000-0005-0000-0000-00006CBB0000}"/>
    <cellStyle name="Normal 85 5 3" xfId="1472" xr:uid="{00000000-0005-0000-0000-00006DBB0000}"/>
    <cellStyle name="Normal 85 6" xfId="48318" xr:uid="{00000000-0005-0000-0000-00006EBB0000}"/>
    <cellStyle name="Normal 85 6 2" xfId="13567" xr:uid="{00000000-0005-0000-0000-00006FBB0000}"/>
    <cellStyle name="Normal 85 7" xfId="48319" xr:uid="{00000000-0005-0000-0000-000070BB0000}"/>
    <cellStyle name="Normal 85 7 2" xfId="48320" xr:uid="{00000000-0005-0000-0000-000071BB0000}"/>
    <cellStyle name="Normal 85 8" xfId="32370" xr:uid="{00000000-0005-0000-0000-000072BB0000}"/>
    <cellStyle name="Normal 85 9" xfId="32375" xr:uid="{00000000-0005-0000-0000-000073BB0000}"/>
    <cellStyle name="Normal 86" xfId="48322" xr:uid="{00000000-0005-0000-0000-000074BB0000}"/>
    <cellStyle name="Normal 86 2" xfId="48324" xr:uid="{00000000-0005-0000-0000-000075BB0000}"/>
    <cellStyle name="Normal 86 2 2" xfId="21648" xr:uid="{00000000-0005-0000-0000-000076BB0000}"/>
    <cellStyle name="Normal 86 2 2 2" xfId="21651" xr:uid="{00000000-0005-0000-0000-000077BB0000}"/>
    <cellStyle name="Normal 86 2 2 2 2" xfId="21653" xr:uid="{00000000-0005-0000-0000-000078BB0000}"/>
    <cellStyle name="Normal 86 2 2 2 2 2" xfId="48325" xr:uid="{00000000-0005-0000-0000-000079BB0000}"/>
    <cellStyle name="Normal 86 2 2 2 3" xfId="48326" xr:uid="{00000000-0005-0000-0000-00007ABB0000}"/>
    <cellStyle name="Normal 86 2 2 3" xfId="21655" xr:uid="{00000000-0005-0000-0000-00007BBB0000}"/>
    <cellStyle name="Normal 86 2 2 3 2" xfId="48327" xr:uid="{00000000-0005-0000-0000-00007CBB0000}"/>
    <cellStyle name="Normal 86 2 2 4" xfId="48328" xr:uid="{00000000-0005-0000-0000-00007DBB0000}"/>
    <cellStyle name="Normal 86 2 3" xfId="1690" xr:uid="{00000000-0005-0000-0000-00007EBB0000}"/>
    <cellStyle name="Normal 86 2 3 2" xfId="468" xr:uid="{00000000-0005-0000-0000-00007FBB0000}"/>
    <cellStyle name="Normal 86 2 3 2 2" xfId="21657" xr:uid="{00000000-0005-0000-0000-000080BB0000}"/>
    <cellStyle name="Normal 86 2 3 3" xfId="21660" xr:uid="{00000000-0005-0000-0000-000081BB0000}"/>
    <cellStyle name="Normal 86 2 4" xfId="1697" xr:uid="{00000000-0005-0000-0000-000082BB0000}"/>
    <cellStyle name="Normal 86 2 4 2" xfId="21662" xr:uid="{00000000-0005-0000-0000-000083BB0000}"/>
    <cellStyle name="Normal 86 2 4 2 2" xfId="18281" xr:uid="{00000000-0005-0000-0000-000084BB0000}"/>
    <cellStyle name="Normal 86 2 4 3" xfId="48329" xr:uid="{00000000-0005-0000-0000-000085BB0000}"/>
    <cellStyle name="Normal 86 2 5" xfId="21664" xr:uid="{00000000-0005-0000-0000-000086BB0000}"/>
    <cellStyle name="Normal 86 2 5 2" xfId="18158" xr:uid="{00000000-0005-0000-0000-000087BB0000}"/>
    <cellStyle name="Normal 86 2 6" xfId="1063" xr:uid="{00000000-0005-0000-0000-000088BB0000}"/>
    <cellStyle name="Normal 86 2 6 2" xfId="21666" xr:uid="{00000000-0005-0000-0000-000089BB0000}"/>
    <cellStyle name="Normal 86 2 7" xfId="20690" xr:uid="{00000000-0005-0000-0000-00008ABB0000}"/>
    <cellStyle name="Normal 86 3" xfId="48331" xr:uid="{00000000-0005-0000-0000-00008BBB0000}"/>
    <cellStyle name="Normal 86 3 2" xfId="48333" xr:uid="{00000000-0005-0000-0000-00008CBB0000}"/>
    <cellStyle name="Normal 86 3 2 2" xfId="48335" xr:uid="{00000000-0005-0000-0000-00008DBB0000}"/>
    <cellStyle name="Normal 86 3 2 2 2" xfId="6641" xr:uid="{00000000-0005-0000-0000-00008EBB0000}"/>
    <cellStyle name="Normal 86 3 2 3" xfId="48336" xr:uid="{00000000-0005-0000-0000-00008FBB0000}"/>
    <cellStyle name="Normal 86 3 3" xfId="1703" xr:uid="{00000000-0005-0000-0000-000090BB0000}"/>
    <cellStyle name="Normal 86 3 3 2" xfId="48337" xr:uid="{00000000-0005-0000-0000-000091BB0000}"/>
    <cellStyle name="Normal 86 3 4" xfId="48338" xr:uid="{00000000-0005-0000-0000-000092BB0000}"/>
    <cellStyle name="Normal 86 4" xfId="48340" xr:uid="{00000000-0005-0000-0000-000093BB0000}"/>
    <cellStyle name="Normal 86 4 2" xfId="48342" xr:uid="{00000000-0005-0000-0000-000094BB0000}"/>
    <cellStyle name="Normal 86 4 2 2" xfId="48343" xr:uid="{00000000-0005-0000-0000-000095BB0000}"/>
    <cellStyle name="Normal 86 4 3" xfId="463" xr:uid="{00000000-0005-0000-0000-000096BB0000}"/>
    <cellStyle name="Normal 86 5" xfId="48345" xr:uid="{00000000-0005-0000-0000-000097BB0000}"/>
    <cellStyle name="Normal 86 5 2" xfId="48347" xr:uid="{00000000-0005-0000-0000-000098BB0000}"/>
    <cellStyle name="Normal 86 5 2 2" xfId="48348" xr:uid="{00000000-0005-0000-0000-000099BB0000}"/>
    <cellStyle name="Normal 86 5 3" xfId="48349" xr:uid="{00000000-0005-0000-0000-00009ABB0000}"/>
    <cellStyle name="Normal 86 6" xfId="48351" xr:uid="{00000000-0005-0000-0000-00009BBB0000}"/>
    <cellStyle name="Normal 86 6 2" xfId="48352" xr:uid="{00000000-0005-0000-0000-00009CBB0000}"/>
    <cellStyle name="Normal 86 7" xfId="48353" xr:uid="{00000000-0005-0000-0000-00009DBB0000}"/>
    <cellStyle name="Normal 86 7 2" xfId="22485" xr:uid="{00000000-0005-0000-0000-00009EBB0000}"/>
    <cellStyle name="Normal 86 8" xfId="32382" xr:uid="{00000000-0005-0000-0000-00009FBB0000}"/>
    <cellStyle name="Normal 87" xfId="42558" xr:uid="{00000000-0005-0000-0000-0000A0BB0000}"/>
    <cellStyle name="Normal 87 2" xfId="48355" xr:uid="{00000000-0005-0000-0000-0000A1BB0000}"/>
    <cellStyle name="Normal 87 2 2" xfId="48357" xr:uid="{00000000-0005-0000-0000-0000A2BB0000}"/>
    <cellStyle name="Normal 87 2 2 2" xfId="48359" xr:uid="{00000000-0005-0000-0000-0000A3BB0000}"/>
    <cellStyle name="Normal 87 2 2 2 2" xfId="48360" xr:uid="{00000000-0005-0000-0000-0000A4BB0000}"/>
    <cellStyle name="Normal 87 2 2 2 2 2" xfId="48361" xr:uid="{00000000-0005-0000-0000-0000A5BB0000}"/>
    <cellStyle name="Normal 87 2 2 2 3" xfId="48362" xr:uid="{00000000-0005-0000-0000-0000A6BB0000}"/>
    <cellStyle name="Normal 87 2 2 3" xfId="48363" xr:uid="{00000000-0005-0000-0000-0000A7BB0000}"/>
    <cellStyle name="Normal 87 2 2 3 2" xfId="48364" xr:uid="{00000000-0005-0000-0000-0000A8BB0000}"/>
    <cellStyle name="Normal 87 2 2 4" xfId="48365" xr:uid="{00000000-0005-0000-0000-0000A9BB0000}"/>
    <cellStyle name="Normal 87 2 3" xfId="48367" xr:uid="{00000000-0005-0000-0000-0000AABB0000}"/>
    <cellStyle name="Normal 87 2 3 2" xfId="48368" xr:uid="{00000000-0005-0000-0000-0000ABBB0000}"/>
    <cellStyle name="Normal 87 2 3 2 2" xfId="36447" xr:uid="{00000000-0005-0000-0000-0000ACBB0000}"/>
    <cellStyle name="Normal 87 2 3 3" xfId="48369" xr:uid="{00000000-0005-0000-0000-0000ADBB0000}"/>
    <cellStyle name="Normal 87 2 4" xfId="48370" xr:uid="{00000000-0005-0000-0000-0000AEBB0000}"/>
    <cellStyle name="Normal 87 2 4 2" xfId="48371" xr:uid="{00000000-0005-0000-0000-0000AFBB0000}"/>
    <cellStyle name="Normal 87 2 4 2 2" xfId="48372" xr:uid="{00000000-0005-0000-0000-0000B0BB0000}"/>
    <cellStyle name="Normal 87 2 4 3" xfId="48373" xr:uid="{00000000-0005-0000-0000-0000B1BB0000}"/>
    <cellStyle name="Normal 87 2 5" xfId="48374" xr:uid="{00000000-0005-0000-0000-0000B2BB0000}"/>
    <cellStyle name="Normal 87 2 5 2" xfId="48375" xr:uid="{00000000-0005-0000-0000-0000B3BB0000}"/>
    <cellStyle name="Normal 87 2 6" xfId="14823" xr:uid="{00000000-0005-0000-0000-0000B4BB0000}"/>
    <cellStyle name="Normal 87 2 6 2" xfId="48376" xr:uid="{00000000-0005-0000-0000-0000B5BB0000}"/>
    <cellStyle name="Normal 87 2 7" xfId="48377" xr:uid="{00000000-0005-0000-0000-0000B6BB0000}"/>
    <cellStyle name="Normal 87 3" xfId="48379" xr:uid="{00000000-0005-0000-0000-0000B7BB0000}"/>
    <cellStyle name="Normal 87 3 2" xfId="48381" xr:uid="{00000000-0005-0000-0000-0000B8BB0000}"/>
    <cellStyle name="Normal 87 3 2 2" xfId="48383" xr:uid="{00000000-0005-0000-0000-0000B9BB0000}"/>
    <cellStyle name="Normal 87 3 2 2 2" xfId="25469" xr:uid="{00000000-0005-0000-0000-0000BABB0000}"/>
    <cellStyle name="Normal 87 3 2 3" xfId="48384" xr:uid="{00000000-0005-0000-0000-0000BBBB0000}"/>
    <cellStyle name="Normal 87 3 3" xfId="48386" xr:uid="{00000000-0005-0000-0000-0000BCBB0000}"/>
    <cellStyle name="Normal 87 3 3 2" xfId="48387" xr:uid="{00000000-0005-0000-0000-0000BDBB0000}"/>
    <cellStyle name="Normal 87 3 4" xfId="48388" xr:uid="{00000000-0005-0000-0000-0000BEBB0000}"/>
    <cellStyle name="Normal 87 4" xfId="48390" xr:uid="{00000000-0005-0000-0000-0000BFBB0000}"/>
    <cellStyle name="Normal 87 4 2" xfId="48392" xr:uid="{00000000-0005-0000-0000-0000C0BB0000}"/>
    <cellStyle name="Normal 87 4 2 2" xfId="48393" xr:uid="{00000000-0005-0000-0000-0000C1BB0000}"/>
    <cellStyle name="Normal 87 4 3" xfId="48394" xr:uid="{00000000-0005-0000-0000-0000C2BB0000}"/>
    <cellStyle name="Normal 87 5" xfId="48396" xr:uid="{00000000-0005-0000-0000-0000C3BB0000}"/>
    <cellStyle name="Normal 87 5 2" xfId="48398" xr:uid="{00000000-0005-0000-0000-0000C4BB0000}"/>
    <cellStyle name="Normal 87 5 2 2" xfId="48399" xr:uid="{00000000-0005-0000-0000-0000C5BB0000}"/>
    <cellStyle name="Normal 87 5 3" xfId="48400" xr:uid="{00000000-0005-0000-0000-0000C6BB0000}"/>
    <cellStyle name="Normal 87 6" xfId="48402" xr:uid="{00000000-0005-0000-0000-0000C7BB0000}"/>
    <cellStyle name="Normal 87 6 2" xfId="48403" xr:uid="{00000000-0005-0000-0000-0000C8BB0000}"/>
    <cellStyle name="Normal 87 7" xfId="41593" xr:uid="{00000000-0005-0000-0000-0000C9BB0000}"/>
    <cellStyle name="Normal 87 7 2" xfId="12680" xr:uid="{00000000-0005-0000-0000-0000CABB0000}"/>
    <cellStyle name="Normal 87 8" xfId="32391" xr:uid="{00000000-0005-0000-0000-0000CBBB0000}"/>
    <cellStyle name="Normal 88" xfId="48405" xr:uid="{00000000-0005-0000-0000-0000CCBB0000}"/>
    <cellStyle name="Normal 88 2" xfId="30288" xr:uid="{00000000-0005-0000-0000-0000CDBB0000}"/>
    <cellStyle name="Normal 88 2 2" xfId="30292" xr:uid="{00000000-0005-0000-0000-0000CEBB0000}"/>
    <cellStyle name="Normal 88 2 2 2" xfId="30296" xr:uid="{00000000-0005-0000-0000-0000CFBB0000}"/>
    <cellStyle name="Normal 88 2 2 2 2" xfId="22817" xr:uid="{00000000-0005-0000-0000-0000D0BB0000}"/>
    <cellStyle name="Normal 88 2 2 2 2 2" xfId="22820" xr:uid="{00000000-0005-0000-0000-0000D1BB0000}"/>
    <cellStyle name="Normal 88 2 2 2 3" xfId="22829" xr:uid="{00000000-0005-0000-0000-0000D2BB0000}"/>
    <cellStyle name="Normal 88 2 2 3" xfId="48406" xr:uid="{00000000-0005-0000-0000-0000D3BB0000}"/>
    <cellStyle name="Normal 88 2 2 3 2" xfId="22848" xr:uid="{00000000-0005-0000-0000-0000D4BB0000}"/>
    <cellStyle name="Normal 88 2 2 4" xfId="48407" xr:uid="{00000000-0005-0000-0000-0000D5BB0000}"/>
    <cellStyle name="Normal 88 2 3" xfId="30303" xr:uid="{00000000-0005-0000-0000-0000D6BB0000}"/>
    <cellStyle name="Normal 88 2 3 2" xfId="48408" xr:uid="{00000000-0005-0000-0000-0000D7BB0000}"/>
    <cellStyle name="Normal 88 2 3 2 2" xfId="22887" xr:uid="{00000000-0005-0000-0000-0000D8BB0000}"/>
    <cellStyle name="Normal 88 2 3 3" xfId="48409" xr:uid="{00000000-0005-0000-0000-0000D9BB0000}"/>
    <cellStyle name="Normal 88 2 4" xfId="48410" xr:uid="{00000000-0005-0000-0000-0000DABB0000}"/>
    <cellStyle name="Normal 88 2 4 2" xfId="48411" xr:uid="{00000000-0005-0000-0000-0000DBBB0000}"/>
    <cellStyle name="Normal 88 2 4 2 2" xfId="48412" xr:uid="{00000000-0005-0000-0000-0000DCBB0000}"/>
    <cellStyle name="Normal 88 2 4 3" xfId="48413" xr:uid="{00000000-0005-0000-0000-0000DDBB0000}"/>
    <cellStyle name="Normal 88 2 5" xfId="48414" xr:uid="{00000000-0005-0000-0000-0000DEBB0000}"/>
    <cellStyle name="Normal 88 2 5 2" xfId="48415" xr:uid="{00000000-0005-0000-0000-0000DFBB0000}"/>
    <cellStyle name="Normal 88 2 6" xfId="48416" xr:uid="{00000000-0005-0000-0000-0000E0BB0000}"/>
    <cellStyle name="Normal 88 2 6 2" xfId="48417" xr:uid="{00000000-0005-0000-0000-0000E1BB0000}"/>
    <cellStyle name="Normal 88 2 7" xfId="48418" xr:uid="{00000000-0005-0000-0000-0000E2BB0000}"/>
    <cellStyle name="Normal 88 3" xfId="30307" xr:uid="{00000000-0005-0000-0000-0000E3BB0000}"/>
    <cellStyle name="Normal 88 3 2" xfId="30311" xr:uid="{00000000-0005-0000-0000-0000E4BB0000}"/>
    <cellStyle name="Normal 88 3 2 2" xfId="30315" xr:uid="{00000000-0005-0000-0000-0000E5BB0000}"/>
    <cellStyle name="Normal 88 3 2 2 2" xfId="22960" xr:uid="{00000000-0005-0000-0000-0000E6BB0000}"/>
    <cellStyle name="Normal 88 3 2 3" xfId="48419" xr:uid="{00000000-0005-0000-0000-0000E7BB0000}"/>
    <cellStyle name="Normal 88 3 3" xfId="30319" xr:uid="{00000000-0005-0000-0000-0000E8BB0000}"/>
    <cellStyle name="Normal 88 3 3 2" xfId="48420" xr:uid="{00000000-0005-0000-0000-0000E9BB0000}"/>
    <cellStyle name="Normal 88 3 4" xfId="48421" xr:uid="{00000000-0005-0000-0000-0000EABB0000}"/>
    <cellStyle name="Normal 88 4" xfId="27518" xr:uid="{00000000-0005-0000-0000-0000EBBB0000}"/>
    <cellStyle name="Normal 88 4 2" xfId="30323" xr:uid="{00000000-0005-0000-0000-0000ECBB0000}"/>
    <cellStyle name="Normal 88 4 2 2" xfId="48422" xr:uid="{00000000-0005-0000-0000-0000EDBB0000}"/>
    <cellStyle name="Normal 88 4 3" xfId="48423" xr:uid="{00000000-0005-0000-0000-0000EEBB0000}"/>
    <cellStyle name="Normal 88 5" xfId="30327" xr:uid="{00000000-0005-0000-0000-0000EFBB0000}"/>
    <cellStyle name="Normal 88 5 2" xfId="30331" xr:uid="{00000000-0005-0000-0000-0000F0BB0000}"/>
    <cellStyle name="Normal 88 5 2 2" xfId="48424" xr:uid="{00000000-0005-0000-0000-0000F1BB0000}"/>
    <cellStyle name="Normal 88 5 3" xfId="36810" xr:uid="{00000000-0005-0000-0000-0000F2BB0000}"/>
    <cellStyle name="Normal 88 6" xfId="30335" xr:uid="{00000000-0005-0000-0000-0000F3BB0000}"/>
    <cellStyle name="Normal 88 6 2" xfId="48425" xr:uid="{00000000-0005-0000-0000-0000F4BB0000}"/>
    <cellStyle name="Normal 88 7" xfId="30338" xr:uid="{00000000-0005-0000-0000-0000F5BB0000}"/>
    <cellStyle name="Normal 88 7 2" xfId="48426" xr:uid="{00000000-0005-0000-0000-0000F6BB0000}"/>
    <cellStyle name="Normal 88 8" xfId="48427" xr:uid="{00000000-0005-0000-0000-0000F7BB0000}"/>
    <cellStyle name="Normal 89" xfId="26146" xr:uid="{00000000-0005-0000-0000-0000F8BB0000}"/>
    <cellStyle name="Normal 89 2" xfId="30361" xr:uid="{00000000-0005-0000-0000-0000F9BB0000}"/>
    <cellStyle name="Normal 89 2 2" xfId="30365" xr:uid="{00000000-0005-0000-0000-0000FABB0000}"/>
    <cellStyle name="Normal 89 2 2 2" xfId="48429" xr:uid="{00000000-0005-0000-0000-0000FBBB0000}"/>
    <cellStyle name="Normal 89 2 2 2 2" xfId="23486" xr:uid="{00000000-0005-0000-0000-0000FCBB0000}"/>
    <cellStyle name="Normal 89 2 2 2 2 2" xfId="48430" xr:uid="{00000000-0005-0000-0000-0000FDBB0000}"/>
    <cellStyle name="Normal 89 2 2 2 3" xfId="48431" xr:uid="{00000000-0005-0000-0000-0000FEBB0000}"/>
    <cellStyle name="Normal 89 2 2 3" xfId="48432" xr:uid="{00000000-0005-0000-0000-0000FFBB0000}"/>
    <cellStyle name="Normal 89 2 2 3 2" xfId="48433" xr:uid="{00000000-0005-0000-0000-000000BC0000}"/>
    <cellStyle name="Normal 89 2 2 4" xfId="48434" xr:uid="{00000000-0005-0000-0000-000001BC0000}"/>
    <cellStyle name="Normal 89 2 3" xfId="44627" xr:uid="{00000000-0005-0000-0000-000002BC0000}"/>
    <cellStyle name="Normal 89 2 3 2" xfId="44630" xr:uid="{00000000-0005-0000-0000-000003BC0000}"/>
    <cellStyle name="Normal 89 2 3 2 2" xfId="48435" xr:uid="{00000000-0005-0000-0000-000004BC0000}"/>
    <cellStyle name="Normal 89 2 3 3" xfId="48436" xr:uid="{00000000-0005-0000-0000-000005BC0000}"/>
    <cellStyle name="Normal 89 2 4" xfId="44633" xr:uid="{00000000-0005-0000-0000-000006BC0000}"/>
    <cellStyle name="Normal 89 2 4 2" xfId="48437" xr:uid="{00000000-0005-0000-0000-000007BC0000}"/>
    <cellStyle name="Normal 89 2 4 2 2" xfId="48438" xr:uid="{00000000-0005-0000-0000-000008BC0000}"/>
    <cellStyle name="Normal 89 2 4 3" xfId="48439" xr:uid="{00000000-0005-0000-0000-000009BC0000}"/>
    <cellStyle name="Normal 89 2 5" xfId="48440" xr:uid="{00000000-0005-0000-0000-00000ABC0000}"/>
    <cellStyle name="Normal 89 2 5 2" xfId="48441" xr:uid="{00000000-0005-0000-0000-00000BBC0000}"/>
    <cellStyle name="Normal 89 2 6" xfId="48442" xr:uid="{00000000-0005-0000-0000-00000CBC0000}"/>
    <cellStyle name="Normal 89 2 6 2" xfId="48443" xr:uid="{00000000-0005-0000-0000-00000DBC0000}"/>
    <cellStyle name="Normal 89 2 7" xfId="48444" xr:uid="{00000000-0005-0000-0000-00000EBC0000}"/>
    <cellStyle name="Normal 89 3" xfId="30369" xr:uid="{00000000-0005-0000-0000-00000FBC0000}"/>
    <cellStyle name="Normal 89 3 2" xfId="48446" xr:uid="{00000000-0005-0000-0000-000010BC0000}"/>
    <cellStyle name="Normal 89 3 2 2" xfId="48448" xr:uid="{00000000-0005-0000-0000-000011BC0000}"/>
    <cellStyle name="Normal 89 3 2 2 2" xfId="23552" xr:uid="{00000000-0005-0000-0000-000012BC0000}"/>
    <cellStyle name="Normal 89 3 2 3" xfId="48449" xr:uid="{00000000-0005-0000-0000-000013BC0000}"/>
    <cellStyle name="Normal 89 3 3" xfId="48451" xr:uid="{00000000-0005-0000-0000-000014BC0000}"/>
    <cellStyle name="Normal 89 3 3 2" xfId="48452" xr:uid="{00000000-0005-0000-0000-000015BC0000}"/>
    <cellStyle name="Normal 89 3 4" xfId="48453" xr:uid="{00000000-0005-0000-0000-000016BC0000}"/>
    <cellStyle name="Normal 89 4" xfId="48455" xr:uid="{00000000-0005-0000-0000-000017BC0000}"/>
    <cellStyle name="Normal 89 4 2" xfId="48457" xr:uid="{00000000-0005-0000-0000-000018BC0000}"/>
    <cellStyle name="Normal 89 4 2 2" xfId="48458" xr:uid="{00000000-0005-0000-0000-000019BC0000}"/>
    <cellStyle name="Normal 89 4 3" xfId="48459" xr:uid="{00000000-0005-0000-0000-00001ABC0000}"/>
    <cellStyle name="Normal 89 5" xfId="48461" xr:uid="{00000000-0005-0000-0000-00001BBC0000}"/>
    <cellStyle name="Normal 89 5 2" xfId="48463" xr:uid="{00000000-0005-0000-0000-00001CBC0000}"/>
    <cellStyle name="Normal 89 5 2 2" xfId="48464" xr:uid="{00000000-0005-0000-0000-00001DBC0000}"/>
    <cellStyle name="Normal 89 5 3" xfId="48465" xr:uid="{00000000-0005-0000-0000-00001EBC0000}"/>
    <cellStyle name="Normal 89 6" xfId="48467" xr:uid="{00000000-0005-0000-0000-00001FBC0000}"/>
    <cellStyle name="Normal 89 6 2" xfId="48468" xr:uid="{00000000-0005-0000-0000-000020BC0000}"/>
    <cellStyle name="Normal 89 7" xfId="48469" xr:uid="{00000000-0005-0000-0000-000021BC0000}"/>
    <cellStyle name="Normal 89 7 2" xfId="48470" xr:uid="{00000000-0005-0000-0000-000022BC0000}"/>
    <cellStyle name="Normal 89 8" xfId="48471" xr:uid="{00000000-0005-0000-0000-000023BC0000}"/>
    <cellStyle name="Normal 9" xfId="33769" xr:uid="{00000000-0005-0000-0000-000024BC0000}"/>
    <cellStyle name="Normal 9 2" xfId="48472" xr:uid="{00000000-0005-0000-0000-000025BC0000}"/>
    <cellStyle name="Normal 9 2 2" xfId="48473" xr:uid="{00000000-0005-0000-0000-000026BC0000}"/>
    <cellStyle name="Normal 9 3" xfId="48474" xr:uid="{00000000-0005-0000-0000-000027BC0000}"/>
    <cellStyle name="Normal 9 3 2" xfId="48475" xr:uid="{00000000-0005-0000-0000-000028BC0000}"/>
    <cellStyle name="Normal 9 4" xfId="48476" xr:uid="{00000000-0005-0000-0000-000029BC0000}"/>
    <cellStyle name="Normal 9 5" xfId="14967" xr:uid="{00000000-0005-0000-0000-00002ABC0000}"/>
    <cellStyle name="Normal 9 5 2" xfId="1620" xr:uid="{00000000-0005-0000-0000-00002BBC0000}"/>
    <cellStyle name="Normal 90" xfId="48276" xr:uid="{00000000-0005-0000-0000-00002CBC0000}"/>
    <cellStyle name="Normal 90 2" xfId="48279" xr:uid="{00000000-0005-0000-0000-00002DBC0000}"/>
    <cellStyle name="Normal 90 2 2" xfId="48281" xr:uid="{00000000-0005-0000-0000-00002EBC0000}"/>
    <cellStyle name="Normal 90 2 2 2" xfId="48283" xr:uid="{00000000-0005-0000-0000-00002FBC0000}"/>
    <cellStyle name="Normal 90 2 3" xfId="1328" xr:uid="{00000000-0005-0000-0000-000030BC0000}"/>
    <cellStyle name="Normal 90 3" xfId="48299" xr:uid="{00000000-0005-0000-0000-000031BC0000}"/>
    <cellStyle name="Normal 90 3 2" xfId="48301" xr:uid="{00000000-0005-0000-0000-000032BC0000}"/>
    <cellStyle name="Normal 90 3 2 2" xfId="48303" xr:uid="{00000000-0005-0000-0000-000033BC0000}"/>
    <cellStyle name="Normal 90 3 3" xfId="1377" xr:uid="{00000000-0005-0000-0000-000034BC0000}"/>
    <cellStyle name="Normal 90 4" xfId="48307" xr:uid="{00000000-0005-0000-0000-000035BC0000}"/>
    <cellStyle name="Normal 90 4 2" xfId="48309" xr:uid="{00000000-0005-0000-0000-000036BC0000}"/>
    <cellStyle name="Normal 90 5" xfId="48312" xr:uid="{00000000-0005-0000-0000-000037BC0000}"/>
    <cellStyle name="Normal 90 5 2" xfId="48314" xr:uid="{00000000-0005-0000-0000-000038BC0000}"/>
    <cellStyle name="Normal 90 6" xfId="48317" xr:uid="{00000000-0005-0000-0000-000039BC0000}"/>
    <cellStyle name="Normal 91" xfId="48321" xr:uid="{00000000-0005-0000-0000-00003ABC0000}"/>
    <cellStyle name="Normal 91 2" xfId="48323" xr:uid="{00000000-0005-0000-0000-00003BBC0000}"/>
    <cellStyle name="Normal 91 2 2" xfId="21647" xr:uid="{00000000-0005-0000-0000-00003CBC0000}"/>
    <cellStyle name="Normal 91 2 2 2" xfId="21650" xr:uid="{00000000-0005-0000-0000-00003DBC0000}"/>
    <cellStyle name="Normal 91 2 3" xfId="1689" xr:uid="{00000000-0005-0000-0000-00003EBC0000}"/>
    <cellStyle name="Normal 91 3" xfId="48330" xr:uid="{00000000-0005-0000-0000-00003FBC0000}"/>
    <cellStyle name="Normal 91 3 2" xfId="48332" xr:uid="{00000000-0005-0000-0000-000040BC0000}"/>
    <cellStyle name="Normal 91 3 2 2" xfId="48334" xr:uid="{00000000-0005-0000-0000-000041BC0000}"/>
    <cellStyle name="Normal 91 3 3" xfId="1702" xr:uid="{00000000-0005-0000-0000-000042BC0000}"/>
    <cellStyle name="Normal 91 4" xfId="48339" xr:uid="{00000000-0005-0000-0000-000043BC0000}"/>
    <cellStyle name="Normal 91 4 2" xfId="48341" xr:uid="{00000000-0005-0000-0000-000044BC0000}"/>
    <cellStyle name="Normal 91 5" xfId="48344" xr:uid="{00000000-0005-0000-0000-000045BC0000}"/>
    <cellStyle name="Normal 91 5 2" xfId="48346" xr:uid="{00000000-0005-0000-0000-000046BC0000}"/>
    <cellStyle name="Normal 91 6" xfId="48350" xr:uid="{00000000-0005-0000-0000-000047BC0000}"/>
    <cellStyle name="Normal 92" xfId="42557" xr:uid="{00000000-0005-0000-0000-000048BC0000}"/>
    <cellStyle name="Normal 92 2" xfId="48354" xr:uid="{00000000-0005-0000-0000-000049BC0000}"/>
    <cellStyle name="Normal 92 2 2" xfId="48356" xr:uid="{00000000-0005-0000-0000-00004ABC0000}"/>
    <cellStyle name="Normal 92 2 2 2" xfId="48358" xr:uid="{00000000-0005-0000-0000-00004BBC0000}"/>
    <cellStyle name="Normal 92 2 3" xfId="48366" xr:uid="{00000000-0005-0000-0000-00004CBC0000}"/>
    <cellStyle name="Normal 92 3" xfId="48378" xr:uid="{00000000-0005-0000-0000-00004DBC0000}"/>
    <cellStyle name="Normal 92 3 2" xfId="48380" xr:uid="{00000000-0005-0000-0000-00004EBC0000}"/>
    <cellStyle name="Normal 92 3 2 2" xfId="48382" xr:uid="{00000000-0005-0000-0000-00004FBC0000}"/>
    <cellStyle name="Normal 92 3 3" xfId="48385" xr:uid="{00000000-0005-0000-0000-000050BC0000}"/>
    <cellStyle name="Normal 92 4" xfId="48389" xr:uid="{00000000-0005-0000-0000-000051BC0000}"/>
    <cellStyle name="Normal 92 4 2" xfId="48391" xr:uid="{00000000-0005-0000-0000-000052BC0000}"/>
    <cellStyle name="Normal 92 5" xfId="48395" xr:uid="{00000000-0005-0000-0000-000053BC0000}"/>
    <cellStyle name="Normal 92 5 2" xfId="48397" xr:uid="{00000000-0005-0000-0000-000054BC0000}"/>
    <cellStyle name="Normal 92 6" xfId="48401" xr:uid="{00000000-0005-0000-0000-000055BC0000}"/>
    <cellStyle name="Normal 93" xfId="48404" xr:uid="{00000000-0005-0000-0000-000056BC0000}"/>
    <cellStyle name="Normal 93 2" xfId="30287" xr:uid="{00000000-0005-0000-0000-000057BC0000}"/>
    <cellStyle name="Normal 93 2 2" xfId="30291" xr:uid="{00000000-0005-0000-0000-000058BC0000}"/>
    <cellStyle name="Normal 93 2 2 2" xfId="30295" xr:uid="{00000000-0005-0000-0000-000059BC0000}"/>
    <cellStyle name="Normal 93 2 3" xfId="30302" xr:uid="{00000000-0005-0000-0000-00005ABC0000}"/>
    <cellStyle name="Normal 93 3" xfId="30306" xr:uid="{00000000-0005-0000-0000-00005BBC0000}"/>
    <cellStyle name="Normal 93 3 2" xfId="30310" xr:uid="{00000000-0005-0000-0000-00005CBC0000}"/>
    <cellStyle name="Normal 93 3 2 2" xfId="30314" xr:uid="{00000000-0005-0000-0000-00005DBC0000}"/>
    <cellStyle name="Normal 93 3 3" xfId="30318" xr:uid="{00000000-0005-0000-0000-00005EBC0000}"/>
    <cellStyle name="Normal 93 4" xfId="27517" xr:uid="{00000000-0005-0000-0000-00005FBC0000}"/>
    <cellStyle name="Normal 93 4 2" xfId="30322" xr:uid="{00000000-0005-0000-0000-000060BC0000}"/>
    <cellStyle name="Normal 93 5" xfId="30326" xr:uid="{00000000-0005-0000-0000-000061BC0000}"/>
    <cellStyle name="Normal 93 5 2" xfId="30330" xr:uid="{00000000-0005-0000-0000-000062BC0000}"/>
    <cellStyle name="Normal 93 6" xfId="30334" xr:uid="{00000000-0005-0000-0000-000063BC0000}"/>
    <cellStyle name="Normal 94" xfId="26145" xr:uid="{00000000-0005-0000-0000-000064BC0000}"/>
    <cellStyle name="Normal 94 2" xfId="30360" xr:uid="{00000000-0005-0000-0000-000065BC0000}"/>
    <cellStyle name="Normal 94 2 2" xfId="30364" xr:uid="{00000000-0005-0000-0000-000066BC0000}"/>
    <cellStyle name="Normal 94 2 2 2" xfId="48428" xr:uid="{00000000-0005-0000-0000-000067BC0000}"/>
    <cellStyle name="Normal 94 2 3" xfId="44626" xr:uid="{00000000-0005-0000-0000-000068BC0000}"/>
    <cellStyle name="Normal 94 3" xfId="30368" xr:uid="{00000000-0005-0000-0000-000069BC0000}"/>
    <cellStyle name="Normal 94 3 2" xfId="48445" xr:uid="{00000000-0005-0000-0000-00006ABC0000}"/>
    <cellStyle name="Normal 94 3 2 2" xfId="48447" xr:uid="{00000000-0005-0000-0000-00006BBC0000}"/>
    <cellStyle name="Normal 94 3 3" xfId="48450" xr:uid="{00000000-0005-0000-0000-00006CBC0000}"/>
    <cellStyle name="Normal 94 4" xfId="48454" xr:uid="{00000000-0005-0000-0000-00006DBC0000}"/>
    <cellStyle name="Normal 94 4 2" xfId="48456" xr:uid="{00000000-0005-0000-0000-00006EBC0000}"/>
    <cellStyle name="Normal 94 5" xfId="48460" xr:uid="{00000000-0005-0000-0000-00006FBC0000}"/>
    <cellStyle name="Normal 94 5 2" xfId="48462" xr:uid="{00000000-0005-0000-0000-000070BC0000}"/>
    <cellStyle name="Normal 94 6" xfId="48466" xr:uid="{00000000-0005-0000-0000-000071BC0000}"/>
    <cellStyle name="Normal 95" xfId="18070" xr:uid="{00000000-0005-0000-0000-000072BC0000}"/>
    <cellStyle name="Normal 95 2" xfId="30379" xr:uid="{00000000-0005-0000-0000-000073BC0000}"/>
    <cellStyle name="Normal 95 2 2" xfId="48477" xr:uid="{00000000-0005-0000-0000-000074BC0000}"/>
    <cellStyle name="Normal 95 2 2 2" xfId="48478" xr:uid="{00000000-0005-0000-0000-000075BC0000}"/>
    <cellStyle name="Normal 95 2 3" xfId="45012" xr:uid="{00000000-0005-0000-0000-000076BC0000}"/>
    <cellStyle name="Normal 95 3" xfId="48479" xr:uid="{00000000-0005-0000-0000-000077BC0000}"/>
    <cellStyle name="Normal 95 3 2" xfId="48480" xr:uid="{00000000-0005-0000-0000-000078BC0000}"/>
    <cellStyle name="Normal 95 4" xfId="48481" xr:uid="{00000000-0005-0000-0000-000079BC0000}"/>
    <cellStyle name="Normal 96" xfId="48482" xr:uid="{00000000-0005-0000-0000-00007ABC0000}"/>
    <cellStyle name="Normal 96 2" xfId="30388" xr:uid="{00000000-0005-0000-0000-00007BBC0000}"/>
    <cellStyle name="Normal 96 2 2" xfId="23201" xr:uid="{00000000-0005-0000-0000-00007CBC0000}"/>
    <cellStyle name="Normal 96 2 2 2" xfId="3597" xr:uid="{00000000-0005-0000-0000-00007DBC0000}"/>
    <cellStyle name="Normal 96 2 3" xfId="23205" xr:uid="{00000000-0005-0000-0000-00007EBC0000}"/>
    <cellStyle name="Normal 96 3" xfId="48483" xr:uid="{00000000-0005-0000-0000-00007FBC0000}"/>
    <cellStyle name="Normal 96 3 2" xfId="48484" xr:uid="{00000000-0005-0000-0000-000080BC0000}"/>
    <cellStyle name="Normal 96 4" xfId="48485" xr:uid="{00000000-0005-0000-0000-000081BC0000}"/>
    <cellStyle name="Normal 97" xfId="47761" xr:uid="{00000000-0005-0000-0000-000082BC0000}"/>
    <cellStyle name="Normal 97 2" xfId="48486" xr:uid="{00000000-0005-0000-0000-000083BC0000}"/>
    <cellStyle name="Normal 97 2 2" xfId="48487" xr:uid="{00000000-0005-0000-0000-000084BC0000}"/>
    <cellStyle name="Normal 97 2 2 2" xfId="48488" xr:uid="{00000000-0005-0000-0000-000085BC0000}"/>
    <cellStyle name="Normal 97 2 3" xfId="48489" xr:uid="{00000000-0005-0000-0000-000086BC0000}"/>
    <cellStyle name="Normal 97 3" xfId="48490" xr:uid="{00000000-0005-0000-0000-000087BC0000}"/>
    <cellStyle name="Normal 97 3 2" xfId="48491" xr:uid="{00000000-0005-0000-0000-000088BC0000}"/>
    <cellStyle name="Normal 97 4" xfId="48492" xr:uid="{00000000-0005-0000-0000-000089BC0000}"/>
    <cellStyle name="Normal 98" xfId="48493" xr:uid="{00000000-0005-0000-0000-00008ABC0000}"/>
    <cellStyle name="Normal 98 2" xfId="48494" xr:uid="{00000000-0005-0000-0000-00008BBC0000}"/>
    <cellStyle name="Normal 98 2 2" xfId="48495" xr:uid="{00000000-0005-0000-0000-00008CBC0000}"/>
    <cellStyle name="Normal 98 2 2 2" xfId="48496" xr:uid="{00000000-0005-0000-0000-00008DBC0000}"/>
    <cellStyle name="Normal 98 2 3" xfId="48497" xr:uid="{00000000-0005-0000-0000-00008EBC0000}"/>
    <cellStyle name="Normal 98 3" xfId="48498" xr:uid="{00000000-0005-0000-0000-00008FBC0000}"/>
    <cellStyle name="Normal 98 3 2" xfId="48499" xr:uid="{00000000-0005-0000-0000-000090BC0000}"/>
    <cellStyle name="Normal 98 4" xfId="48500" xr:uid="{00000000-0005-0000-0000-000091BC0000}"/>
    <cellStyle name="Normal 99" xfId="48501" xr:uid="{00000000-0005-0000-0000-000092BC0000}"/>
    <cellStyle name="Normal 99 2" xfId="48502" xr:uid="{00000000-0005-0000-0000-000093BC0000}"/>
    <cellStyle name="Normal 99 2 2" xfId="44911" xr:uid="{00000000-0005-0000-0000-000094BC0000}"/>
    <cellStyle name="Normal 99 2 2 2" xfId="48503" xr:uid="{00000000-0005-0000-0000-000095BC0000}"/>
    <cellStyle name="Normal 99 2 3" xfId="48504" xr:uid="{00000000-0005-0000-0000-000096BC0000}"/>
    <cellStyle name="Normal 99 3" xfId="48505" xr:uid="{00000000-0005-0000-0000-000097BC0000}"/>
    <cellStyle name="Normal 99 3 2" xfId="48506" xr:uid="{00000000-0005-0000-0000-000098BC0000}"/>
    <cellStyle name="Normal 99 4" xfId="48507" xr:uid="{00000000-0005-0000-0000-000099BC0000}"/>
    <cellStyle name="Nota 2" xfId="17788" xr:uid="{00000000-0005-0000-0000-00009ABC0000}"/>
    <cellStyle name="Nota 2 2" xfId="3477" xr:uid="{00000000-0005-0000-0000-00009BBC0000}"/>
    <cellStyle name="Nota 2 2 2" xfId="48508" xr:uid="{00000000-0005-0000-0000-00009CBC0000}"/>
    <cellStyle name="Nota 2 2 2 2" xfId="48509" xr:uid="{00000000-0005-0000-0000-00009DBC0000}"/>
    <cellStyle name="Nota 2 2 2 2 2" xfId="48510" xr:uid="{00000000-0005-0000-0000-00009EBC0000}"/>
    <cellStyle name="Nota 2 2 2 3" xfId="39731" xr:uid="{00000000-0005-0000-0000-00009FBC0000}"/>
    <cellStyle name="Nota 2 2 3" xfId="48511" xr:uid="{00000000-0005-0000-0000-0000A0BC0000}"/>
    <cellStyle name="Nota 2 2 3 2" xfId="48512" xr:uid="{00000000-0005-0000-0000-0000A1BC0000}"/>
    <cellStyle name="Nota 2 2 4" xfId="35567" xr:uid="{00000000-0005-0000-0000-0000A2BC0000}"/>
    <cellStyle name="Nota 2 3" xfId="5499" xr:uid="{00000000-0005-0000-0000-0000A3BC0000}"/>
    <cellStyle name="Nota 2 3 2" xfId="48513" xr:uid="{00000000-0005-0000-0000-0000A4BC0000}"/>
    <cellStyle name="Nota 2 3 2 2" xfId="48514" xr:uid="{00000000-0005-0000-0000-0000A5BC0000}"/>
    <cellStyle name="Nota 2 3 3" xfId="48515" xr:uid="{00000000-0005-0000-0000-0000A6BC0000}"/>
    <cellStyle name="Nota 2 4" xfId="41560" xr:uid="{00000000-0005-0000-0000-0000A7BC0000}"/>
    <cellStyle name="Nota 2 4 2" xfId="48516" xr:uid="{00000000-0005-0000-0000-0000A8BC0000}"/>
    <cellStyle name="Nota 2 5" xfId="48517" xr:uid="{00000000-0005-0000-0000-0000A9BC0000}"/>
    <cellStyle name="Nota 3" xfId="48518" xr:uid="{00000000-0005-0000-0000-0000AABC0000}"/>
    <cellStyle name="Nota 3 2" xfId="9266" xr:uid="{00000000-0005-0000-0000-0000ABBC0000}"/>
    <cellStyle name="Nota 3 2 2" xfId="48519" xr:uid="{00000000-0005-0000-0000-0000ACBC0000}"/>
    <cellStyle name="Nota 3 3" xfId="48520" xr:uid="{00000000-0005-0000-0000-0000ADBC0000}"/>
    <cellStyle name="Nota 4" xfId="48521" xr:uid="{00000000-0005-0000-0000-0000AEBC0000}"/>
    <cellStyle name="Nota 4 2" xfId="48522" xr:uid="{00000000-0005-0000-0000-0000AFBC0000}"/>
    <cellStyle name="Nota 5" xfId="48523" xr:uid="{00000000-0005-0000-0000-0000B0BC0000}"/>
    <cellStyle name="Notas 2" xfId="48524" xr:uid="{00000000-0005-0000-0000-0000B1BC0000}"/>
    <cellStyle name="Notas 2 2" xfId="48525" xr:uid="{00000000-0005-0000-0000-0000B2BC0000}"/>
    <cellStyle name="Notas 2 2 2" xfId="11927" xr:uid="{00000000-0005-0000-0000-0000B3BC0000}"/>
    <cellStyle name="Notas 2 2 2 2" xfId="11929" xr:uid="{00000000-0005-0000-0000-0000B4BC0000}"/>
    <cellStyle name="Notas 2 2 2 2 2" xfId="48526" xr:uid="{00000000-0005-0000-0000-0000B5BC0000}"/>
    <cellStyle name="Notas 2 2 3" xfId="11935" xr:uid="{00000000-0005-0000-0000-0000B6BC0000}"/>
    <cellStyle name="Notas 2 2 3 2" xfId="31065" xr:uid="{00000000-0005-0000-0000-0000B7BC0000}"/>
    <cellStyle name="Notas 2 2 4" xfId="48527" xr:uid="{00000000-0005-0000-0000-0000B8BC0000}"/>
    <cellStyle name="Notas 2 2 4 2" xfId="48528" xr:uid="{00000000-0005-0000-0000-0000B9BC0000}"/>
    <cellStyle name="Notas 2 2 5" xfId="48529" xr:uid="{00000000-0005-0000-0000-0000BABC0000}"/>
    <cellStyle name="Notas 2 2 5 2" xfId="48530" xr:uid="{00000000-0005-0000-0000-0000BBBC0000}"/>
    <cellStyle name="Notas 2 2 6" xfId="48531" xr:uid="{00000000-0005-0000-0000-0000BCBC0000}"/>
    <cellStyle name="Notas 2 2 6 2" xfId="48532" xr:uid="{00000000-0005-0000-0000-0000BDBC0000}"/>
    <cellStyle name="Notas 2 2 7" xfId="48533" xr:uid="{00000000-0005-0000-0000-0000BEBC0000}"/>
    <cellStyle name="Notas 2 3" xfId="48534" xr:uid="{00000000-0005-0000-0000-0000BFBC0000}"/>
    <cellStyle name="Notas 2 3 2" xfId="11941" xr:uid="{00000000-0005-0000-0000-0000C0BC0000}"/>
    <cellStyle name="Notas 2 3 2 2" xfId="31140" xr:uid="{00000000-0005-0000-0000-0000C1BC0000}"/>
    <cellStyle name="Notas 2 3 3" xfId="48535" xr:uid="{00000000-0005-0000-0000-0000C2BC0000}"/>
    <cellStyle name="Notas 2 3 3 2" xfId="48536" xr:uid="{00000000-0005-0000-0000-0000C3BC0000}"/>
    <cellStyle name="Notas 2 3 4" xfId="48537" xr:uid="{00000000-0005-0000-0000-0000C4BC0000}"/>
    <cellStyle name="Notas 2 3 4 2" xfId="48538" xr:uid="{00000000-0005-0000-0000-0000C5BC0000}"/>
    <cellStyle name="Notas 2 3 5" xfId="48539" xr:uid="{00000000-0005-0000-0000-0000C6BC0000}"/>
    <cellStyle name="Notas 2 3 5 2" xfId="48540" xr:uid="{00000000-0005-0000-0000-0000C7BC0000}"/>
    <cellStyle name="Notas 2 3 6" xfId="1862" xr:uid="{00000000-0005-0000-0000-0000C8BC0000}"/>
    <cellStyle name="Notas 2 3 6 2" xfId="48541" xr:uid="{00000000-0005-0000-0000-0000C9BC0000}"/>
    <cellStyle name="Notas 2 4" xfId="48542" xr:uid="{00000000-0005-0000-0000-0000CABC0000}"/>
    <cellStyle name="Notas 2 4 2" xfId="4299" xr:uid="{00000000-0005-0000-0000-0000CBBC0000}"/>
    <cellStyle name="Notas 2 5" xfId="48543" xr:uid="{00000000-0005-0000-0000-0000CCBC0000}"/>
    <cellStyle name="Notas 2 5 2" xfId="48544" xr:uid="{00000000-0005-0000-0000-0000CDBC0000}"/>
    <cellStyle name="Notas 2 6" xfId="48545" xr:uid="{00000000-0005-0000-0000-0000CEBC0000}"/>
    <cellStyle name="Notas 3" xfId="48546" xr:uid="{00000000-0005-0000-0000-0000CFBC0000}"/>
    <cellStyle name="Notas 3 10" xfId="48547" xr:uid="{00000000-0005-0000-0000-0000D0BC0000}"/>
    <cellStyle name="Notas 3 10 2" xfId="48548" xr:uid="{00000000-0005-0000-0000-0000D1BC0000}"/>
    <cellStyle name="Notas 3 11" xfId="48549" xr:uid="{00000000-0005-0000-0000-0000D2BC0000}"/>
    <cellStyle name="Notas 3 11 2" xfId="48550" xr:uid="{00000000-0005-0000-0000-0000D3BC0000}"/>
    <cellStyle name="Notas 3 12" xfId="40560" xr:uid="{00000000-0005-0000-0000-0000D4BC0000}"/>
    <cellStyle name="Notas 3 12 2" xfId="48551" xr:uid="{00000000-0005-0000-0000-0000D5BC0000}"/>
    <cellStyle name="Notas 3 13" xfId="48552" xr:uid="{00000000-0005-0000-0000-0000D6BC0000}"/>
    <cellStyle name="Notas 3 14" xfId="48553" xr:uid="{00000000-0005-0000-0000-0000D7BC0000}"/>
    <cellStyle name="Notas 3 2" xfId="48554" xr:uid="{00000000-0005-0000-0000-0000D8BC0000}"/>
    <cellStyle name="Notas 3 2 10" xfId="48555" xr:uid="{00000000-0005-0000-0000-0000D9BC0000}"/>
    <cellStyle name="Notas 3 2 2" xfId="7094" xr:uid="{00000000-0005-0000-0000-0000DABC0000}"/>
    <cellStyle name="Notas 3 2 2 2" xfId="32743" xr:uid="{00000000-0005-0000-0000-0000DBBC0000}"/>
    <cellStyle name="Notas 3 2 2 2 2" xfId="48556" xr:uid="{00000000-0005-0000-0000-0000DCBC0000}"/>
    <cellStyle name="Notas 3 2 2 2 2 2" xfId="48557" xr:uid="{00000000-0005-0000-0000-0000DDBC0000}"/>
    <cellStyle name="Notas 3 2 2 2 2 2 2" xfId="48558" xr:uid="{00000000-0005-0000-0000-0000DEBC0000}"/>
    <cellStyle name="Notas 3 2 2 2 2 2 2 2" xfId="48559" xr:uid="{00000000-0005-0000-0000-0000DFBC0000}"/>
    <cellStyle name="Notas 3 2 2 2 2 2 3" xfId="48560" xr:uid="{00000000-0005-0000-0000-0000E0BC0000}"/>
    <cellStyle name="Notas 3 2 2 2 2 3" xfId="17518" xr:uid="{00000000-0005-0000-0000-0000E1BC0000}"/>
    <cellStyle name="Notas 3 2 2 2 2 3 2" xfId="48561" xr:uid="{00000000-0005-0000-0000-0000E2BC0000}"/>
    <cellStyle name="Notas 3 2 2 2 2 4" xfId="48562" xr:uid="{00000000-0005-0000-0000-0000E3BC0000}"/>
    <cellStyle name="Notas 3 2 2 2 3" xfId="48563" xr:uid="{00000000-0005-0000-0000-0000E4BC0000}"/>
    <cellStyle name="Notas 3 2 2 2 3 2" xfId="48564" xr:uid="{00000000-0005-0000-0000-0000E5BC0000}"/>
    <cellStyle name="Notas 3 2 2 2 3 2 2" xfId="48565" xr:uid="{00000000-0005-0000-0000-0000E6BC0000}"/>
    <cellStyle name="Notas 3 2 2 2 3 3" xfId="48566" xr:uid="{00000000-0005-0000-0000-0000E7BC0000}"/>
    <cellStyle name="Notas 3 2 2 2 4" xfId="48567" xr:uid="{00000000-0005-0000-0000-0000E8BC0000}"/>
    <cellStyle name="Notas 3 2 2 2 4 2" xfId="48568" xr:uid="{00000000-0005-0000-0000-0000E9BC0000}"/>
    <cellStyle name="Notas 3 2 2 2 4 2 2" xfId="32754" xr:uid="{00000000-0005-0000-0000-0000EABC0000}"/>
    <cellStyle name="Notas 3 2 2 2 4 3" xfId="48569" xr:uid="{00000000-0005-0000-0000-0000EBBC0000}"/>
    <cellStyle name="Notas 3 2 2 2 5" xfId="14593" xr:uid="{00000000-0005-0000-0000-0000ECBC0000}"/>
    <cellStyle name="Notas 3 2 2 2 5 2" xfId="14596" xr:uid="{00000000-0005-0000-0000-0000EDBC0000}"/>
    <cellStyle name="Notas 3 2 2 2 6" xfId="14614" xr:uid="{00000000-0005-0000-0000-0000EEBC0000}"/>
    <cellStyle name="Notas 3 2 2 2 6 2" xfId="14617" xr:uid="{00000000-0005-0000-0000-0000EFBC0000}"/>
    <cellStyle name="Notas 3 2 2 2 7" xfId="8505" xr:uid="{00000000-0005-0000-0000-0000F0BC0000}"/>
    <cellStyle name="Notas 3 2 2 2 8" xfId="14628" xr:uid="{00000000-0005-0000-0000-0000F1BC0000}"/>
    <cellStyle name="Notas 3 2 2 3" xfId="32079" xr:uid="{00000000-0005-0000-0000-0000F2BC0000}"/>
    <cellStyle name="Notas 3 2 2 3 2" xfId="48570" xr:uid="{00000000-0005-0000-0000-0000F3BC0000}"/>
    <cellStyle name="Notas 3 2 2 3 2 2" xfId="48571" xr:uid="{00000000-0005-0000-0000-0000F4BC0000}"/>
    <cellStyle name="Notas 3 2 2 3 2 2 2" xfId="48572" xr:uid="{00000000-0005-0000-0000-0000F5BC0000}"/>
    <cellStyle name="Notas 3 2 2 3 2 3" xfId="48573" xr:uid="{00000000-0005-0000-0000-0000F6BC0000}"/>
    <cellStyle name="Notas 3 2 2 3 3" xfId="17536" xr:uid="{00000000-0005-0000-0000-0000F7BC0000}"/>
    <cellStyle name="Notas 3 2 2 3 3 2" xfId="48574" xr:uid="{00000000-0005-0000-0000-0000F8BC0000}"/>
    <cellStyle name="Notas 3 2 2 3 4" xfId="39940" xr:uid="{00000000-0005-0000-0000-0000F9BC0000}"/>
    <cellStyle name="Notas 3 2 2 4" xfId="48575" xr:uid="{00000000-0005-0000-0000-0000FABC0000}"/>
    <cellStyle name="Notas 3 2 2 4 2" xfId="48576" xr:uid="{00000000-0005-0000-0000-0000FBBC0000}"/>
    <cellStyle name="Notas 3 2 2 4 2 2" xfId="3584" xr:uid="{00000000-0005-0000-0000-0000FCBC0000}"/>
    <cellStyle name="Notas 3 2 2 4 3" xfId="48577" xr:uid="{00000000-0005-0000-0000-0000FDBC0000}"/>
    <cellStyle name="Notas 3 2 2 5" xfId="38545" xr:uid="{00000000-0005-0000-0000-0000FEBC0000}"/>
    <cellStyle name="Notas 3 2 2 5 2" xfId="48578" xr:uid="{00000000-0005-0000-0000-0000FFBC0000}"/>
    <cellStyle name="Notas 3 2 2 5 2 2" xfId="41553" xr:uid="{00000000-0005-0000-0000-000000BD0000}"/>
    <cellStyle name="Notas 3 2 2 5 3" xfId="36050" xr:uid="{00000000-0005-0000-0000-000001BD0000}"/>
    <cellStyle name="Notas 3 2 2 6" xfId="48579" xr:uid="{00000000-0005-0000-0000-000002BD0000}"/>
    <cellStyle name="Notas 3 2 2 6 2" xfId="48580" xr:uid="{00000000-0005-0000-0000-000003BD0000}"/>
    <cellStyle name="Notas 3 2 2 7" xfId="48581" xr:uid="{00000000-0005-0000-0000-000004BD0000}"/>
    <cellStyle name="Notas 3 2 2 7 2" xfId="48582" xr:uid="{00000000-0005-0000-0000-000005BD0000}"/>
    <cellStyle name="Notas 3 2 2 8" xfId="48583" xr:uid="{00000000-0005-0000-0000-000006BD0000}"/>
    <cellStyle name="Notas 3 2 2 9" xfId="48585" xr:uid="{00000000-0005-0000-0000-000007BD0000}"/>
    <cellStyle name="Notas 3 2 3" xfId="48586" xr:uid="{00000000-0005-0000-0000-000008BD0000}"/>
    <cellStyle name="Notas 3 2 3 2" xfId="32793" xr:uid="{00000000-0005-0000-0000-000009BD0000}"/>
    <cellStyle name="Notas 3 2 3 2 2" xfId="48587" xr:uid="{00000000-0005-0000-0000-00000ABD0000}"/>
    <cellStyle name="Notas 3 2 3 2 2 2" xfId="48588" xr:uid="{00000000-0005-0000-0000-00000BBD0000}"/>
    <cellStyle name="Notas 3 2 3 2 2 2 2" xfId="48589" xr:uid="{00000000-0005-0000-0000-00000CBD0000}"/>
    <cellStyle name="Notas 3 2 3 2 2 3" xfId="45898" xr:uid="{00000000-0005-0000-0000-00000DBD0000}"/>
    <cellStyle name="Notas 3 2 3 2 3" xfId="48590" xr:uid="{00000000-0005-0000-0000-00000EBD0000}"/>
    <cellStyle name="Notas 3 2 3 2 3 2" xfId="48591" xr:uid="{00000000-0005-0000-0000-00000FBD0000}"/>
    <cellStyle name="Notas 3 2 3 2 4" xfId="48592" xr:uid="{00000000-0005-0000-0000-000010BD0000}"/>
    <cellStyle name="Notas 3 2 3 3" xfId="33706" xr:uid="{00000000-0005-0000-0000-000011BD0000}"/>
    <cellStyle name="Notas 3 2 3 3 2" xfId="48593" xr:uid="{00000000-0005-0000-0000-000012BD0000}"/>
    <cellStyle name="Notas 3 2 3 3 2 2" xfId="48594" xr:uid="{00000000-0005-0000-0000-000013BD0000}"/>
    <cellStyle name="Notas 3 2 3 3 3" xfId="48596" xr:uid="{00000000-0005-0000-0000-000014BD0000}"/>
    <cellStyle name="Notas 3 2 3 4" xfId="48597" xr:uid="{00000000-0005-0000-0000-000015BD0000}"/>
    <cellStyle name="Notas 3 2 3 4 2" xfId="48598" xr:uid="{00000000-0005-0000-0000-000016BD0000}"/>
    <cellStyle name="Notas 3 2 3 4 2 2" xfId="712" xr:uid="{00000000-0005-0000-0000-000017BD0000}"/>
    <cellStyle name="Notas 3 2 3 4 3" xfId="48600" xr:uid="{00000000-0005-0000-0000-000018BD0000}"/>
    <cellStyle name="Notas 3 2 3 5" xfId="48601" xr:uid="{00000000-0005-0000-0000-000019BD0000}"/>
    <cellStyle name="Notas 3 2 3 5 2" xfId="48602" xr:uid="{00000000-0005-0000-0000-00001ABD0000}"/>
    <cellStyle name="Notas 3 2 3 6" xfId="48603" xr:uid="{00000000-0005-0000-0000-00001BBD0000}"/>
    <cellStyle name="Notas 3 2 3 6 2" xfId="48604" xr:uid="{00000000-0005-0000-0000-00001CBD0000}"/>
    <cellStyle name="Notas 3 2 3 7" xfId="48605" xr:uid="{00000000-0005-0000-0000-00001DBD0000}"/>
    <cellStyle name="Notas 3 2 3 8" xfId="48606" xr:uid="{00000000-0005-0000-0000-00001EBD0000}"/>
    <cellStyle name="Notas 3 2 4" xfId="48607" xr:uid="{00000000-0005-0000-0000-00001FBD0000}"/>
    <cellStyle name="Notas 3 2 4 2" xfId="9641" xr:uid="{00000000-0005-0000-0000-000020BD0000}"/>
    <cellStyle name="Notas 3 2 4 2 2" xfId="48608" xr:uid="{00000000-0005-0000-0000-000021BD0000}"/>
    <cellStyle name="Notas 3 2 4 2 2 2" xfId="48609" xr:uid="{00000000-0005-0000-0000-000022BD0000}"/>
    <cellStyle name="Notas 3 2 4 2 3" xfId="9710" xr:uid="{00000000-0005-0000-0000-000023BD0000}"/>
    <cellStyle name="Notas 3 2 4 3" xfId="48610" xr:uid="{00000000-0005-0000-0000-000024BD0000}"/>
    <cellStyle name="Notas 3 2 4 3 2" xfId="538" xr:uid="{00000000-0005-0000-0000-000025BD0000}"/>
    <cellStyle name="Notas 3 2 4 4" xfId="48611" xr:uid="{00000000-0005-0000-0000-000026BD0000}"/>
    <cellStyle name="Notas 3 2 5" xfId="48612" xr:uid="{00000000-0005-0000-0000-000027BD0000}"/>
    <cellStyle name="Notas 3 2 5 2" xfId="48613" xr:uid="{00000000-0005-0000-0000-000028BD0000}"/>
    <cellStyle name="Notas 3 2 5 2 2" xfId="48614" xr:uid="{00000000-0005-0000-0000-000029BD0000}"/>
    <cellStyle name="Notas 3 2 5 3" xfId="48615" xr:uid="{00000000-0005-0000-0000-00002ABD0000}"/>
    <cellStyle name="Notas 3 2 6" xfId="48616" xr:uid="{00000000-0005-0000-0000-00002BBD0000}"/>
    <cellStyle name="Notas 3 2 6 2" xfId="48617" xr:uid="{00000000-0005-0000-0000-00002CBD0000}"/>
    <cellStyle name="Notas 3 2 6 2 2" xfId="48618" xr:uid="{00000000-0005-0000-0000-00002DBD0000}"/>
    <cellStyle name="Notas 3 2 6 3" xfId="48619" xr:uid="{00000000-0005-0000-0000-00002EBD0000}"/>
    <cellStyle name="Notas 3 2 7" xfId="48620" xr:uid="{00000000-0005-0000-0000-00002FBD0000}"/>
    <cellStyle name="Notas 3 2 7 2" xfId="48621" xr:uid="{00000000-0005-0000-0000-000030BD0000}"/>
    <cellStyle name="Notas 3 2 8" xfId="48622" xr:uid="{00000000-0005-0000-0000-000031BD0000}"/>
    <cellStyle name="Notas 3 2 8 2" xfId="48623" xr:uid="{00000000-0005-0000-0000-000032BD0000}"/>
    <cellStyle name="Notas 3 2 9" xfId="45714" xr:uid="{00000000-0005-0000-0000-000033BD0000}"/>
    <cellStyle name="Notas 3 3" xfId="48624" xr:uid="{00000000-0005-0000-0000-000034BD0000}"/>
    <cellStyle name="Notas 3 3 2" xfId="48625" xr:uid="{00000000-0005-0000-0000-000035BD0000}"/>
    <cellStyle name="Notas 3 3 2 2" xfId="32871" xr:uid="{00000000-0005-0000-0000-000036BD0000}"/>
    <cellStyle name="Notas 3 3 2 2 2" xfId="48626" xr:uid="{00000000-0005-0000-0000-000037BD0000}"/>
    <cellStyle name="Notas 3 3 2 2 2 2" xfId="39664" xr:uid="{00000000-0005-0000-0000-000038BD0000}"/>
    <cellStyle name="Notas 3 3 2 2 2 2 2" xfId="2486" xr:uid="{00000000-0005-0000-0000-000039BD0000}"/>
    <cellStyle name="Notas 3 3 2 2 2 3" xfId="39666" xr:uid="{00000000-0005-0000-0000-00003ABD0000}"/>
    <cellStyle name="Notas 3 3 2 2 3" xfId="48627" xr:uid="{00000000-0005-0000-0000-00003BBD0000}"/>
    <cellStyle name="Notas 3 3 2 2 3 2" xfId="39685" xr:uid="{00000000-0005-0000-0000-00003CBD0000}"/>
    <cellStyle name="Notas 3 3 2 2 4" xfId="48628" xr:uid="{00000000-0005-0000-0000-00003DBD0000}"/>
    <cellStyle name="Notas 3 3 2 2 5" xfId="14562" xr:uid="{00000000-0005-0000-0000-00003EBD0000}"/>
    <cellStyle name="Notas 3 3 2 3" xfId="48629" xr:uid="{00000000-0005-0000-0000-00003FBD0000}"/>
    <cellStyle name="Notas 3 3 2 3 2" xfId="48630" xr:uid="{00000000-0005-0000-0000-000040BD0000}"/>
    <cellStyle name="Notas 3 3 2 3 2 2" xfId="39892" xr:uid="{00000000-0005-0000-0000-000041BD0000}"/>
    <cellStyle name="Notas 3 3 2 3 3" xfId="48631" xr:uid="{00000000-0005-0000-0000-000042BD0000}"/>
    <cellStyle name="Notas 3 3 2 4" xfId="48632" xr:uid="{00000000-0005-0000-0000-000043BD0000}"/>
    <cellStyle name="Notas 3 3 2 4 2" xfId="48633" xr:uid="{00000000-0005-0000-0000-000044BD0000}"/>
    <cellStyle name="Notas 3 3 2 4 2 2" xfId="48634" xr:uid="{00000000-0005-0000-0000-000045BD0000}"/>
    <cellStyle name="Notas 3 3 2 4 3" xfId="48635" xr:uid="{00000000-0005-0000-0000-000046BD0000}"/>
    <cellStyle name="Notas 3 3 2 5" xfId="48636" xr:uid="{00000000-0005-0000-0000-000047BD0000}"/>
    <cellStyle name="Notas 3 3 2 5 2" xfId="48637" xr:uid="{00000000-0005-0000-0000-000048BD0000}"/>
    <cellStyle name="Notas 3 3 2 6" xfId="48638" xr:uid="{00000000-0005-0000-0000-000049BD0000}"/>
    <cellStyle name="Notas 3 3 2 6 2" xfId="48639" xr:uid="{00000000-0005-0000-0000-00004ABD0000}"/>
    <cellStyle name="Notas 3 3 2 7" xfId="48640" xr:uid="{00000000-0005-0000-0000-00004BBD0000}"/>
    <cellStyle name="Notas 3 3 2 8" xfId="48641" xr:uid="{00000000-0005-0000-0000-00004CBD0000}"/>
    <cellStyle name="Notas 3 3 3" xfId="48642" xr:uid="{00000000-0005-0000-0000-00004DBD0000}"/>
    <cellStyle name="Notas 3 3 3 2" xfId="48643" xr:uid="{00000000-0005-0000-0000-00004EBD0000}"/>
    <cellStyle name="Notas 3 3 3 2 2" xfId="48644" xr:uid="{00000000-0005-0000-0000-00004FBD0000}"/>
    <cellStyle name="Notas 3 3 3 2 2 2" xfId="48645" xr:uid="{00000000-0005-0000-0000-000050BD0000}"/>
    <cellStyle name="Notas 3 3 3 2 3" xfId="48646" xr:uid="{00000000-0005-0000-0000-000051BD0000}"/>
    <cellStyle name="Notas 3 3 3 3" xfId="33711" xr:uid="{00000000-0005-0000-0000-000052BD0000}"/>
    <cellStyle name="Notas 3 3 3 3 2" xfId="48647" xr:uid="{00000000-0005-0000-0000-000053BD0000}"/>
    <cellStyle name="Notas 3 3 3 4" xfId="38877" xr:uid="{00000000-0005-0000-0000-000054BD0000}"/>
    <cellStyle name="Notas 3 3 3 5" xfId="38880" xr:uid="{00000000-0005-0000-0000-000055BD0000}"/>
    <cellStyle name="Notas 3 3 4" xfId="48648" xr:uid="{00000000-0005-0000-0000-000056BD0000}"/>
    <cellStyle name="Notas 3 3 4 2" xfId="48649" xr:uid="{00000000-0005-0000-0000-000057BD0000}"/>
    <cellStyle name="Notas 3 3 4 2 2" xfId="48650" xr:uid="{00000000-0005-0000-0000-000058BD0000}"/>
    <cellStyle name="Notas 3 3 4 3" xfId="48651" xr:uid="{00000000-0005-0000-0000-000059BD0000}"/>
    <cellStyle name="Notas 3 3 5" xfId="48652" xr:uid="{00000000-0005-0000-0000-00005ABD0000}"/>
    <cellStyle name="Notas 3 3 5 2" xfId="48653" xr:uid="{00000000-0005-0000-0000-00005BBD0000}"/>
    <cellStyle name="Notas 3 3 5 2 2" xfId="48654" xr:uid="{00000000-0005-0000-0000-00005CBD0000}"/>
    <cellStyle name="Notas 3 3 5 3" xfId="48655" xr:uid="{00000000-0005-0000-0000-00005DBD0000}"/>
    <cellStyle name="Notas 3 3 6" xfId="2326" xr:uid="{00000000-0005-0000-0000-00005EBD0000}"/>
    <cellStyle name="Notas 3 3 6 2" xfId="10684" xr:uid="{00000000-0005-0000-0000-00005FBD0000}"/>
    <cellStyle name="Notas 3 3 7" xfId="13919" xr:uid="{00000000-0005-0000-0000-000060BD0000}"/>
    <cellStyle name="Notas 3 3 7 2" xfId="48656" xr:uid="{00000000-0005-0000-0000-000061BD0000}"/>
    <cellStyle name="Notas 3 3 8" xfId="48657" xr:uid="{00000000-0005-0000-0000-000062BD0000}"/>
    <cellStyle name="Notas 3 3 9" xfId="21904" xr:uid="{00000000-0005-0000-0000-000063BD0000}"/>
    <cellStyle name="Notas 3 4" xfId="16152" xr:uid="{00000000-0005-0000-0000-000064BD0000}"/>
    <cellStyle name="Notas 3 4 2" xfId="16155" xr:uid="{00000000-0005-0000-0000-000065BD0000}"/>
    <cellStyle name="Notas 3 4 2 2" xfId="16157" xr:uid="{00000000-0005-0000-0000-000066BD0000}"/>
    <cellStyle name="Notas 3 4 2 2 2" xfId="16292" xr:uid="{00000000-0005-0000-0000-000067BD0000}"/>
    <cellStyle name="Notas 3 4 2 2 2 2" xfId="16296" xr:uid="{00000000-0005-0000-0000-000068BD0000}"/>
    <cellStyle name="Notas 3 4 2 2 2 2 2" xfId="4507" xr:uid="{00000000-0005-0000-0000-000069BD0000}"/>
    <cellStyle name="Notas 3 4 2 2 2 3" xfId="16300" xr:uid="{00000000-0005-0000-0000-00006ABD0000}"/>
    <cellStyle name="Notas 3 4 2 2 3" xfId="3053" xr:uid="{00000000-0005-0000-0000-00006BBD0000}"/>
    <cellStyle name="Notas 3 4 2 2 3 2" xfId="48658" xr:uid="{00000000-0005-0000-0000-00006CBD0000}"/>
    <cellStyle name="Notas 3 4 2 2 4" xfId="48659" xr:uid="{00000000-0005-0000-0000-00006DBD0000}"/>
    <cellStyle name="Notas 3 4 2 3" xfId="45846" xr:uid="{00000000-0005-0000-0000-00006EBD0000}"/>
    <cellStyle name="Notas 3 4 2 3 2" xfId="16321" xr:uid="{00000000-0005-0000-0000-00006FBD0000}"/>
    <cellStyle name="Notas 3 4 2 3 2 2" xfId="48660" xr:uid="{00000000-0005-0000-0000-000070BD0000}"/>
    <cellStyle name="Notas 3 4 2 3 3" xfId="48661" xr:uid="{00000000-0005-0000-0000-000071BD0000}"/>
    <cellStyle name="Notas 3 4 2 4" xfId="48662" xr:uid="{00000000-0005-0000-0000-000072BD0000}"/>
    <cellStyle name="Notas 3 4 2 4 2" xfId="17700" xr:uid="{00000000-0005-0000-0000-000073BD0000}"/>
    <cellStyle name="Notas 3 4 2 4 2 2" xfId="48663" xr:uid="{00000000-0005-0000-0000-000074BD0000}"/>
    <cellStyle name="Notas 3 4 2 4 3" xfId="48664" xr:uid="{00000000-0005-0000-0000-000075BD0000}"/>
    <cellStyle name="Notas 3 4 2 5" xfId="7848" xr:uid="{00000000-0005-0000-0000-000076BD0000}"/>
    <cellStyle name="Notas 3 4 2 5 2" xfId="29047" xr:uid="{00000000-0005-0000-0000-000077BD0000}"/>
    <cellStyle name="Notas 3 4 2 6" xfId="29050" xr:uid="{00000000-0005-0000-0000-000078BD0000}"/>
    <cellStyle name="Notas 3 4 2 6 2" xfId="48665" xr:uid="{00000000-0005-0000-0000-000079BD0000}"/>
    <cellStyle name="Notas 3 4 2 7" xfId="16523" xr:uid="{00000000-0005-0000-0000-00007ABD0000}"/>
    <cellStyle name="Notas 3 4 2 8" xfId="48666" xr:uid="{00000000-0005-0000-0000-00007BBD0000}"/>
    <cellStyle name="Notas 3 4 3" xfId="16161" xr:uid="{00000000-0005-0000-0000-00007CBD0000}"/>
    <cellStyle name="Notas 3 4 3 2" xfId="48667" xr:uid="{00000000-0005-0000-0000-00007DBD0000}"/>
    <cellStyle name="Notas 3 4 3 2 2" xfId="16371" xr:uid="{00000000-0005-0000-0000-00007EBD0000}"/>
    <cellStyle name="Notas 3 4 3 2 2 2" xfId="48668" xr:uid="{00000000-0005-0000-0000-00007FBD0000}"/>
    <cellStyle name="Notas 3 4 3 2 3" xfId="48669" xr:uid="{00000000-0005-0000-0000-000080BD0000}"/>
    <cellStyle name="Notas 3 4 3 3" xfId="45848" xr:uid="{00000000-0005-0000-0000-000081BD0000}"/>
    <cellStyle name="Notas 3 4 3 3 2" xfId="16378" xr:uid="{00000000-0005-0000-0000-000082BD0000}"/>
    <cellStyle name="Notas 3 4 3 4" xfId="38886" xr:uid="{00000000-0005-0000-0000-000083BD0000}"/>
    <cellStyle name="Notas 3 4 4" xfId="42058" xr:uid="{00000000-0005-0000-0000-000084BD0000}"/>
    <cellStyle name="Notas 3 4 4 2" xfId="48670" xr:uid="{00000000-0005-0000-0000-000085BD0000}"/>
    <cellStyle name="Notas 3 4 4 2 2" xfId="48671" xr:uid="{00000000-0005-0000-0000-000086BD0000}"/>
    <cellStyle name="Notas 3 4 4 3" xfId="48672" xr:uid="{00000000-0005-0000-0000-000087BD0000}"/>
    <cellStyle name="Notas 3 4 5" xfId="48673" xr:uid="{00000000-0005-0000-0000-000088BD0000}"/>
    <cellStyle name="Notas 3 4 5 2" xfId="48674" xr:uid="{00000000-0005-0000-0000-000089BD0000}"/>
    <cellStyle name="Notas 3 4 5 2 2" xfId="48584" xr:uid="{00000000-0005-0000-0000-00008ABD0000}"/>
    <cellStyle name="Notas 3 4 5 3" xfId="48675" xr:uid="{00000000-0005-0000-0000-00008BBD0000}"/>
    <cellStyle name="Notas 3 4 6" xfId="2679" xr:uid="{00000000-0005-0000-0000-00008CBD0000}"/>
    <cellStyle name="Notas 3 4 6 2" xfId="48676" xr:uid="{00000000-0005-0000-0000-00008DBD0000}"/>
    <cellStyle name="Notas 3 4 7" xfId="48677" xr:uid="{00000000-0005-0000-0000-00008EBD0000}"/>
    <cellStyle name="Notas 3 4 7 2" xfId="48678" xr:uid="{00000000-0005-0000-0000-00008FBD0000}"/>
    <cellStyle name="Notas 3 4 8" xfId="48679" xr:uid="{00000000-0005-0000-0000-000090BD0000}"/>
    <cellStyle name="Notas 3 4 9" xfId="48680" xr:uid="{00000000-0005-0000-0000-000091BD0000}"/>
    <cellStyle name="Notas 3 5" xfId="16163" xr:uid="{00000000-0005-0000-0000-000092BD0000}"/>
    <cellStyle name="Notas 3 5 2" xfId="16167" xr:uid="{00000000-0005-0000-0000-000093BD0000}"/>
    <cellStyle name="Notas 3 5 2 2" xfId="33035" xr:uid="{00000000-0005-0000-0000-000094BD0000}"/>
    <cellStyle name="Notas 3 5 2 2 2" xfId="48681" xr:uid="{00000000-0005-0000-0000-000095BD0000}"/>
    <cellStyle name="Notas 3 5 2 2 2 2" xfId="48682" xr:uid="{00000000-0005-0000-0000-000096BD0000}"/>
    <cellStyle name="Notas 3 5 2 2 2 2 2" xfId="4001" xr:uid="{00000000-0005-0000-0000-000097BD0000}"/>
    <cellStyle name="Notas 3 5 2 2 2 3" xfId="48683" xr:uid="{00000000-0005-0000-0000-000098BD0000}"/>
    <cellStyle name="Notas 3 5 2 2 3" xfId="48684" xr:uid="{00000000-0005-0000-0000-000099BD0000}"/>
    <cellStyle name="Notas 3 5 2 2 3 2" xfId="48685" xr:uid="{00000000-0005-0000-0000-00009ABD0000}"/>
    <cellStyle name="Notas 3 5 2 2 4" xfId="48686" xr:uid="{00000000-0005-0000-0000-00009BBD0000}"/>
    <cellStyle name="Notas 3 5 2 3" xfId="48687" xr:uid="{00000000-0005-0000-0000-00009CBD0000}"/>
    <cellStyle name="Notas 3 5 2 3 2" xfId="48688" xr:uid="{00000000-0005-0000-0000-00009DBD0000}"/>
    <cellStyle name="Notas 3 5 2 3 2 2" xfId="48689" xr:uid="{00000000-0005-0000-0000-00009EBD0000}"/>
    <cellStyle name="Notas 3 5 2 3 3" xfId="48690" xr:uid="{00000000-0005-0000-0000-00009FBD0000}"/>
    <cellStyle name="Notas 3 5 2 4" xfId="26328" xr:uid="{00000000-0005-0000-0000-0000A0BD0000}"/>
    <cellStyle name="Notas 3 5 2 4 2" xfId="48691" xr:uid="{00000000-0005-0000-0000-0000A1BD0000}"/>
    <cellStyle name="Notas 3 5 2 4 2 2" xfId="48692" xr:uid="{00000000-0005-0000-0000-0000A2BD0000}"/>
    <cellStyle name="Notas 3 5 2 4 3" xfId="48693" xr:uid="{00000000-0005-0000-0000-0000A3BD0000}"/>
    <cellStyle name="Notas 3 5 2 5" xfId="29069" xr:uid="{00000000-0005-0000-0000-0000A4BD0000}"/>
    <cellStyle name="Notas 3 5 2 5 2" xfId="48694" xr:uid="{00000000-0005-0000-0000-0000A5BD0000}"/>
    <cellStyle name="Notas 3 5 2 6" xfId="48695" xr:uid="{00000000-0005-0000-0000-0000A6BD0000}"/>
    <cellStyle name="Notas 3 5 2 6 2" xfId="48696" xr:uid="{00000000-0005-0000-0000-0000A7BD0000}"/>
    <cellStyle name="Notas 3 5 2 7" xfId="21732" xr:uid="{00000000-0005-0000-0000-0000A8BD0000}"/>
    <cellStyle name="Notas 3 5 2 8" xfId="14069" xr:uid="{00000000-0005-0000-0000-0000A9BD0000}"/>
    <cellStyle name="Notas 3 5 3" xfId="48697" xr:uid="{00000000-0005-0000-0000-0000AABD0000}"/>
    <cellStyle name="Notas 3 5 3 2" xfId="20578" xr:uid="{00000000-0005-0000-0000-0000ABBD0000}"/>
    <cellStyle name="Notas 3 5 3 2 2" xfId="48698" xr:uid="{00000000-0005-0000-0000-0000ACBD0000}"/>
    <cellStyle name="Notas 3 5 3 2 2 2" xfId="48699" xr:uid="{00000000-0005-0000-0000-0000ADBD0000}"/>
    <cellStyle name="Notas 3 5 3 2 3" xfId="48700" xr:uid="{00000000-0005-0000-0000-0000AEBD0000}"/>
    <cellStyle name="Notas 3 5 3 3" xfId="48701" xr:uid="{00000000-0005-0000-0000-0000AFBD0000}"/>
    <cellStyle name="Notas 3 5 3 3 2" xfId="48702" xr:uid="{00000000-0005-0000-0000-0000B0BD0000}"/>
    <cellStyle name="Notas 3 5 3 4" xfId="38892" xr:uid="{00000000-0005-0000-0000-0000B1BD0000}"/>
    <cellStyle name="Notas 3 5 4" xfId="48703" xr:uid="{00000000-0005-0000-0000-0000B2BD0000}"/>
    <cellStyle name="Notas 3 5 4 2" xfId="48704" xr:uid="{00000000-0005-0000-0000-0000B3BD0000}"/>
    <cellStyle name="Notas 3 5 4 2 2" xfId="48705" xr:uid="{00000000-0005-0000-0000-0000B4BD0000}"/>
    <cellStyle name="Notas 3 5 4 3" xfId="48706" xr:uid="{00000000-0005-0000-0000-0000B5BD0000}"/>
    <cellStyle name="Notas 3 5 5" xfId="48707" xr:uid="{00000000-0005-0000-0000-0000B6BD0000}"/>
    <cellStyle name="Notas 3 5 5 2" xfId="48708" xr:uid="{00000000-0005-0000-0000-0000B7BD0000}"/>
    <cellStyle name="Notas 3 5 5 2 2" xfId="48709" xr:uid="{00000000-0005-0000-0000-0000B8BD0000}"/>
    <cellStyle name="Notas 3 5 5 3" xfId="48710" xr:uid="{00000000-0005-0000-0000-0000B9BD0000}"/>
    <cellStyle name="Notas 3 5 6" xfId="10317" xr:uid="{00000000-0005-0000-0000-0000BABD0000}"/>
    <cellStyle name="Notas 3 5 6 2" xfId="48711" xr:uid="{00000000-0005-0000-0000-0000BBBD0000}"/>
    <cellStyle name="Notas 3 5 7" xfId="10324" xr:uid="{00000000-0005-0000-0000-0000BCBD0000}"/>
    <cellStyle name="Notas 3 5 7 2" xfId="48712" xr:uid="{00000000-0005-0000-0000-0000BDBD0000}"/>
    <cellStyle name="Notas 3 5 8" xfId="48713" xr:uid="{00000000-0005-0000-0000-0000BEBD0000}"/>
    <cellStyle name="Notas 3 5 9" xfId="48714" xr:uid="{00000000-0005-0000-0000-0000BFBD0000}"/>
    <cellStyle name="Notas 3 6" xfId="13944" xr:uid="{00000000-0005-0000-0000-0000C0BD0000}"/>
    <cellStyle name="Notas 3 6 2" xfId="13947" xr:uid="{00000000-0005-0000-0000-0000C1BD0000}"/>
    <cellStyle name="Notas 3 6 2 2" xfId="13951" xr:uid="{00000000-0005-0000-0000-0000C2BD0000}"/>
    <cellStyle name="Notas 3 6 2 2 2" xfId="48715" xr:uid="{00000000-0005-0000-0000-0000C3BD0000}"/>
    <cellStyle name="Notas 3 6 2 2 2 2" xfId="48716" xr:uid="{00000000-0005-0000-0000-0000C4BD0000}"/>
    <cellStyle name="Notas 3 6 2 2 3" xfId="48717" xr:uid="{00000000-0005-0000-0000-0000C5BD0000}"/>
    <cellStyle name="Notas 3 6 2 3" xfId="48718" xr:uid="{00000000-0005-0000-0000-0000C6BD0000}"/>
    <cellStyle name="Notas 3 6 2 3 2" xfId="48719" xr:uid="{00000000-0005-0000-0000-0000C7BD0000}"/>
    <cellStyle name="Notas 3 6 2 4" xfId="48720" xr:uid="{00000000-0005-0000-0000-0000C8BD0000}"/>
    <cellStyle name="Notas 3 6 3" xfId="13954" xr:uid="{00000000-0005-0000-0000-0000C9BD0000}"/>
    <cellStyle name="Notas 3 6 3 2" xfId="48721" xr:uid="{00000000-0005-0000-0000-0000CABD0000}"/>
    <cellStyle name="Notas 3 6 3 2 2" xfId="48722" xr:uid="{00000000-0005-0000-0000-0000CBBD0000}"/>
    <cellStyle name="Notas 3 6 3 3" xfId="48723" xr:uid="{00000000-0005-0000-0000-0000CCBD0000}"/>
    <cellStyle name="Notas 3 6 4" xfId="48724" xr:uid="{00000000-0005-0000-0000-0000CDBD0000}"/>
    <cellStyle name="Notas 3 6 4 2" xfId="48725" xr:uid="{00000000-0005-0000-0000-0000CEBD0000}"/>
    <cellStyle name="Notas 3 6 4 2 2" xfId="48726" xr:uid="{00000000-0005-0000-0000-0000CFBD0000}"/>
    <cellStyle name="Notas 3 6 4 3" xfId="48727" xr:uid="{00000000-0005-0000-0000-0000D0BD0000}"/>
    <cellStyle name="Notas 3 6 5" xfId="48728" xr:uid="{00000000-0005-0000-0000-0000D1BD0000}"/>
    <cellStyle name="Notas 3 6 5 2" xfId="48729" xr:uid="{00000000-0005-0000-0000-0000D2BD0000}"/>
    <cellStyle name="Notas 3 6 6" xfId="10407" xr:uid="{00000000-0005-0000-0000-0000D3BD0000}"/>
    <cellStyle name="Notas 3 6 6 2" xfId="41203" xr:uid="{00000000-0005-0000-0000-0000D4BD0000}"/>
    <cellStyle name="Notas 3 6 7" xfId="41206" xr:uid="{00000000-0005-0000-0000-0000D5BD0000}"/>
    <cellStyle name="Notas 3 7" xfId="13956" xr:uid="{00000000-0005-0000-0000-0000D6BD0000}"/>
    <cellStyle name="Notas 3 7 2" xfId="13961" xr:uid="{00000000-0005-0000-0000-0000D7BD0000}"/>
    <cellStyle name="Notas 3 7 2 2" xfId="13229" xr:uid="{00000000-0005-0000-0000-0000D8BD0000}"/>
    <cellStyle name="Notas 3 7 2 2 2" xfId="13232" xr:uid="{00000000-0005-0000-0000-0000D9BD0000}"/>
    <cellStyle name="Notas 3 7 2 3" xfId="8480" xr:uid="{00000000-0005-0000-0000-0000DABD0000}"/>
    <cellStyle name="Notas 3 7 3" xfId="48730" xr:uid="{00000000-0005-0000-0000-0000DBBD0000}"/>
    <cellStyle name="Notas 3 7 3 2" xfId="13319" xr:uid="{00000000-0005-0000-0000-0000DCBD0000}"/>
    <cellStyle name="Notas 3 7 4" xfId="48731" xr:uid="{00000000-0005-0000-0000-0000DDBD0000}"/>
    <cellStyle name="Notas 3 7 5" xfId="48732" xr:uid="{00000000-0005-0000-0000-0000DEBD0000}"/>
    <cellStyle name="Notas 3 8" xfId="13967" xr:uid="{00000000-0005-0000-0000-0000DFBD0000}"/>
    <cellStyle name="Notas 3 8 2" xfId="48733" xr:uid="{00000000-0005-0000-0000-0000E0BD0000}"/>
    <cellStyle name="Notas 3 8 2 2" xfId="48734" xr:uid="{00000000-0005-0000-0000-0000E1BD0000}"/>
    <cellStyle name="Notas 3 8 3" xfId="48735" xr:uid="{00000000-0005-0000-0000-0000E2BD0000}"/>
    <cellStyle name="Notas 3 9" xfId="48736" xr:uid="{00000000-0005-0000-0000-0000E3BD0000}"/>
    <cellStyle name="Notas 3 9 2" xfId="48737" xr:uid="{00000000-0005-0000-0000-0000E4BD0000}"/>
    <cellStyle name="Notas 3 9 2 2" xfId="48738" xr:uid="{00000000-0005-0000-0000-0000E5BD0000}"/>
    <cellStyle name="Notas 3 9 3" xfId="48739" xr:uid="{00000000-0005-0000-0000-0000E6BD0000}"/>
    <cellStyle name="Notas 4" xfId="48740" xr:uid="{00000000-0005-0000-0000-0000E7BD0000}"/>
    <cellStyle name="Notas 4 2" xfId="48741" xr:uid="{00000000-0005-0000-0000-0000E8BD0000}"/>
    <cellStyle name="Notas 4 2 2" xfId="48742" xr:uid="{00000000-0005-0000-0000-0000E9BD0000}"/>
    <cellStyle name="Notas 4 2 2 2" xfId="34433" xr:uid="{00000000-0005-0000-0000-0000EABD0000}"/>
    <cellStyle name="Notas 4 2 3" xfId="48743" xr:uid="{00000000-0005-0000-0000-0000EBBD0000}"/>
    <cellStyle name="Notas 4 3" xfId="48744" xr:uid="{00000000-0005-0000-0000-0000ECBD0000}"/>
    <cellStyle name="Notas 4 3 2" xfId="48745" xr:uid="{00000000-0005-0000-0000-0000EDBD0000}"/>
    <cellStyle name="Notas 4 3 2 2" xfId="34534" xr:uid="{00000000-0005-0000-0000-0000EEBD0000}"/>
    <cellStyle name="Notas 4 3 3" xfId="48746" xr:uid="{00000000-0005-0000-0000-0000EFBD0000}"/>
    <cellStyle name="Notas 4 4" xfId="15796" xr:uid="{00000000-0005-0000-0000-0000F0BD0000}"/>
    <cellStyle name="Notas 4 4 2" xfId="15799" xr:uid="{00000000-0005-0000-0000-0000F1BD0000}"/>
    <cellStyle name="Notas 4 5" xfId="15803" xr:uid="{00000000-0005-0000-0000-0000F2BD0000}"/>
    <cellStyle name="Notas 4 5 2" xfId="48747" xr:uid="{00000000-0005-0000-0000-0000F3BD0000}"/>
    <cellStyle name="Notas 4 6" xfId="13974" xr:uid="{00000000-0005-0000-0000-0000F4BD0000}"/>
    <cellStyle name="Notas 5" xfId="48748" xr:uid="{00000000-0005-0000-0000-0000F5BD0000}"/>
    <cellStyle name="Notas 5 2" xfId="48749" xr:uid="{00000000-0005-0000-0000-0000F6BD0000}"/>
    <cellStyle name="Notas 5 2 2" xfId="48750" xr:uid="{00000000-0005-0000-0000-0000F7BD0000}"/>
    <cellStyle name="Notas 5 3" xfId="48751" xr:uid="{00000000-0005-0000-0000-0000F8BD0000}"/>
    <cellStyle name="Notas 6" xfId="48752" xr:uid="{00000000-0005-0000-0000-0000F9BD0000}"/>
    <cellStyle name="Notas 6 2" xfId="48753" xr:uid="{00000000-0005-0000-0000-0000FABD0000}"/>
    <cellStyle name="Notas 6 2 2" xfId="48754" xr:uid="{00000000-0005-0000-0000-0000FBBD0000}"/>
    <cellStyle name="Notas 6 3" xfId="48755" xr:uid="{00000000-0005-0000-0000-0000FCBD0000}"/>
    <cellStyle name="Notas 7" xfId="48756" xr:uid="{00000000-0005-0000-0000-0000FDBD0000}"/>
    <cellStyle name="Notas 7 2" xfId="48757" xr:uid="{00000000-0005-0000-0000-0000FEBD0000}"/>
    <cellStyle name="Porcentaje" xfId="5" builtinId="5"/>
    <cellStyle name="Porcentaje 2" xfId="3" xr:uid="{00000000-0005-0000-0000-000000BE0000}"/>
    <cellStyle name="Porcentaje 2 2" xfId="48759" xr:uid="{00000000-0005-0000-0000-000001BE0000}"/>
    <cellStyle name="Porcentaje 2 2 2" xfId="48760" xr:uid="{00000000-0005-0000-0000-000002BE0000}"/>
    <cellStyle name="Porcentaje 2 3" xfId="48761" xr:uid="{00000000-0005-0000-0000-000003BE0000}"/>
    <cellStyle name="Porcentaje 2 3 2" xfId="48762" xr:uid="{00000000-0005-0000-0000-000004BE0000}"/>
    <cellStyle name="Porcentaje 2 4" xfId="48763" xr:uid="{00000000-0005-0000-0000-000005BE0000}"/>
    <cellStyle name="Porcentaje 2 5" xfId="1092" xr:uid="{00000000-0005-0000-0000-000006BE0000}"/>
    <cellStyle name="Porcentaje 2 6" xfId="48758" xr:uid="{00000000-0005-0000-0000-000007BE0000}"/>
    <cellStyle name="Porcentaje 3" xfId="8820" xr:uid="{00000000-0005-0000-0000-000008BE0000}"/>
    <cellStyle name="Porcentaje 3 2" xfId="4522" xr:uid="{00000000-0005-0000-0000-000009BE0000}"/>
    <cellStyle name="Porcentaje 4" xfId="8823" xr:uid="{00000000-0005-0000-0000-00000ABE0000}"/>
    <cellStyle name="Porcentaje 4 2" xfId="26452" xr:uid="{00000000-0005-0000-0000-00000BBE0000}"/>
    <cellStyle name="Porcentaje 5" xfId="10047" xr:uid="{00000000-0005-0000-0000-00000CBE0000}"/>
    <cellStyle name="Porcentaje 5 2" xfId="48764" xr:uid="{00000000-0005-0000-0000-00000DBE0000}"/>
    <cellStyle name="Porcentaje 5 2 2" xfId="48765" xr:uid="{00000000-0005-0000-0000-00000EBE0000}"/>
    <cellStyle name="Porcentaje 5 2 2 2" xfId="48766" xr:uid="{00000000-0005-0000-0000-00000FBE0000}"/>
    <cellStyle name="Porcentaje 5 2 2 2 2" xfId="48767" xr:uid="{00000000-0005-0000-0000-000010BE0000}"/>
    <cellStyle name="Porcentaje 5 2 2 2 2 2" xfId="20580" xr:uid="{00000000-0005-0000-0000-000011BE0000}"/>
    <cellStyle name="Porcentaje 5 2 2 2 3" xfId="48768" xr:uid="{00000000-0005-0000-0000-000012BE0000}"/>
    <cellStyle name="Porcentaje 5 2 2 2 4" xfId="48769" xr:uid="{00000000-0005-0000-0000-000013BE0000}"/>
    <cellStyle name="Porcentaje 5 2 2 3" xfId="48770" xr:uid="{00000000-0005-0000-0000-000014BE0000}"/>
    <cellStyle name="Porcentaje 5 2 2 3 2" xfId="48771" xr:uid="{00000000-0005-0000-0000-000015BE0000}"/>
    <cellStyle name="Porcentaje 5 2 2 4" xfId="48772" xr:uid="{00000000-0005-0000-0000-000016BE0000}"/>
    <cellStyle name="Porcentaje 5 2 2 4 2" xfId="48773" xr:uid="{00000000-0005-0000-0000-000017BE0000}"/>
    <cellStyle name="Porcentaje 5 2 2 5" xfId="48774" xr:uid="{00000000-0005-0000-0000-000018BE0000}"/>
    <cellStyle name="Porcentaje 5 2 2 6" xfId="48775" xr:uid="{00000000-0005-0000-0000-000019BE0000}"/>
    <cellStyle name="Porcentaje 5 2 3" xfId="48776" xr:uid="{00000000-0005-0000-0000-00001ABE0000}"/>
    <cellStyle name="Porcentaje 5 2 3 2" xfId="48777" xr:uid="{00000000-0005-0000-0000-00001BBE0000}"/>
    <cellStyle name="Porcentaje 5 2 3 2 2" xfId="48778" xr:uid="{00000000-0005-0000-0000-00001CBE0000}"/>
    <cellStyle name="Porcentaje 5 2 3 2 2 2" xfId="48779" xr:uid="{00000000-0005-0000-0000-00001DBE0000}"/>
    <cellStyle name="Porcentaje 5 2 3 2 3" xfId="48780" xr:uid="{00000000-0005-0000-0000-00001EBE0000}"/>
    <cellStyle name="Porcentaje 5 2 3 2 4" xfId="41170" xr:uid="{00000000-0005-0000-0000-00001FBE0000}"/>
    <cellStyle name="Porcentaje 5 2 3 3" xfId="48781" xr:uid="{00000000-0005-0000-0000-000020BE0000}"/>
    <cellStyle name="Porcentaje 5 2 3 3 2" xfId="48782" xr:uid="{00000000-0005-0000-0000-000021BE0000}"/>
    <cellStyle name="Porcentaje 5 2 3 4" xfId="48783" xr:uid="{00000000-0005-0000-0000-000022BE0000}"/>
    <cellStyle name="Porcentaje 5 2 3 4 2" xfId="48784" xr:uid="{00000000-0005-0000-0000-000023BE0000}"/>
    <cellStyle name="Porcentaje 5 2 3 5" xfId="48785" xr:uid="{00000000-0005-0000-0000-000024BE0000}"/>
    <cellStyle name="Porcentaje 5 2 3 6" xfId="48786" xr:uid="{00000000-0005-0000-0000-000025BE0000}"/>
    <cellStyle name="Porcentaje 5 2 4" xfId="46908" xr:uid="{00000000-0005-0000-0000-000026BE0000}"/>
    <cellStyle name="Porcentaje 5 2 4 2" xfId="7862" xr:uid="{00000000-0005-0000-0000-000027BE0000}"/>
    <cellStyle name="Porcentaje 5 2 4 2 2" xfId="7883" xr:uid="{00000000-0005-0000-0000-000028BE0000}"/>
    <cellStyle name="Porcentaje 5 2 4 3" xfId="3185" xr:uid="{00000000-0005-0000-0000-000029BE0000}"/>
    <cellStyle name="Porcentaje 5 2 4 4" xfId="3242" xr:uid="{00000000-0005-0000-0000-00002ABE0000}"/>
    <cellStyle name="Porcentaje 5 2 5" xfId="40475" xr:uid="{00000000-0005-0000-0000-00002BBE0000}"/>
    <cellStyle name="Porcentaje 5 2 5 2" xfId="48787" xr:uid="{00000000-0005-0000-0000-00002CBE0000}"/>
    <cellStyle name="Porcentaje 5 2 6" xfId="48788" xr:uid="{00000000-0005-0000-0000-00002DBE0000}"/>
    <cellStyle name="Porcentaje 5 2 6 2" xfId="48789" xr:uid="{00000000-0005-0000-0000-00002EBE0000}"/>
    <cellStyle name="Porcentaje 5 2 7" xfId="48790" xr:uid="{00000000-0005-0000-0000-00002FBE0000}"/>
    <cellStyle name="Porcentaje 5 2 8" xfId="48791" xr:uid="{00000000-0005-0000-0000-000030BE0000}"/>
    <cellStyle name="Porcentaje 5 3" xfId="48792" xr:uid="{00000000-0005-0000-0000-000031BE0000}"/>
    <cellStyle name="Porcentaje 5 3 2" xfId="48793" xr:uid="{00000000-0005-0000-0000-000032BE0000}"/>
    <cellStyle name="Porcentaje 5 3 2 2" xfId="48794" xr:uid="{00000000-0005-0000-0000-000033BE0000}"/>
    <cellStyle name="Porcentaje 5 3 2 2 2" xfId="48795" xr:uid="{00000000-0005-0000-0000-000034BE0000}"/>
    <cellStyle name="Porcentaje 5 3 2 3" xfId="48796" xr:uid="{00000000-0005-0000-0000-000035BE0000}"/>
    <cellStyle name="Porcentaje 5 3 2 4" xfId="48797" xr:uid="{00000000-0005-0000-0000-000036BE0000}"/>
    <cellStyle name="Porcentaje 5 3 3" xfId="48798" xr:uid="{00000000-0005-0000-0000-000037BE0000}"/>
    <cellStyle name="Porcentaje 5 3 3 2" xfId="48799" xr:uid="{00000000-0005-0000-0000-000038BE0000}"/>
    <cellStyle name="Porcentaje 5 3 4" xfId="46911" xr:uid="{00000000-0005-0000-0000-000039BE0000}"/>
    <cellStyle name="Porcentaje 5 3 4 2" xfId="46913" xr:uid="{00000000-0005-0000-0000-00003ABE0000}"/>
    <cellStyle name="Porcentaje 5 3 5" xfId="42200" xr:uid="{00000000-0005-0000-0000-00003BBE0000}"/>
    <cellStyle name="Porcentaje 5 3 6" xfId="42210" xr:uid="{00000000-0005-0000-0000-00003CBE0000}"/>
    <cellStyle name="Porcentaje 5 4" xfId="48800" xr:uid="{00000000-0005-0000-0000-00003DBE0000}"/>
    <cellStyle name="Porcentaje 5 5" xfId="25025" xr:uid="{00000000-0005-0000-0000-00003EBE0000}"/>
    <cellStyle name="Porcentaje 5 5 2" xfId="48595" xr:uid="{00000000-0005-0000-0000-00003FBE0000}"/>
    <cellStyle name="Porcentaje 5 5 2 2" xfId="48801" xr:uid="{00000000-0005-0000-0000-000040BE0000}"/>
    <cellStyle name="Porcentaje 5 5 3" xfId="39945" xr:uid="{00000000-0005-0000-0000-000041BE0000}"/>
    <cellStyle name="Porcentaje 5 5 4" xfId="14756" xr:uid="{00000000-0005-0000-0000-000042BE0000}"/>
    <cellStyle name="Porcentaje 5 6" xfId="48802" xr:uid="{00000000-0005-0000-0000-000043BE0000}"/>
    <cellStyle name="Porcentaje 5 6 2" xfId="48599" xr:uid="{00000000-0005-0000-0000-000044BE0000}"/>
    <cellStyle name="Porcentaje 5 7" xfId="36102" xr:uid="{00000000-0005-0000-0000-000045BE0000}"/>
    <cellStyle name="Porcentaje 5 7 2" xfId="36105" xr:uid="{00000000-0005-0000-0000-000046BE0000}"/>
    <cellStyle name="Porcentaje 5 8" xfId="26754" xr:uid="{00000000-0005-0000-0000-000047BE0000}"/>
    <cellStyle name="Porcentaje 5 9" xfId="30636" xr:uid="{00000000-0005-0000-0000-000048BE0000}"/>
    <cellStyle name="Porcentaje 6" xfId="48803" xr:uid="{00000000-0005-0000-0000-000049BE0000}"/>
    <cellStyle name="Porcentual 10" xfId="24631" xr:uid="{00000000-0005-0000-0000-00004ABE0000}"/>
    <cellStyle name="Porcentual 10 2" xfId="24635" xr:uid="{00000000-0005-0000-0000-00004BBE0000}"/>
    <cellStyle name="Porcentual 10 2 2" xfId="24646" xr:uid="{00000000-0005-0000-0000-00004CBE0000}"/>
    <cellStyle name="Porcentual 10 2 2 2" xfId="32420" xr:uid="{00000000-0005-0000-0000-00004DBE0000}"/>
    <cellStyle name="Porcentual 10 2 3" xfId="31150" xr:uid="{00000000-0005-0000-0000-00004EBE0000}"/>
    <cellStyle name="Porcentual 10 3" xfId="24651" xr:uid="{00000000-0005-0000-0000-00004FBE0000}"/>
    <cellStyle name="Porcentual 10 3 2" xfId="40244" xr:uid="{00000000-0005-0000-0000-000050BE0000}"/>
    <cellStyle name="Porcentual 10 4" xfId="40246" xr:uid="{00000000-0005-0000-0000-000051BE0000}"/>
    <cellStyle name="Porcentual 11" xfId="24654" xr:uid="{00000000-0005-0000-0000-000052BE0000}"/>
    <cellStyle name="Porcentual 11 2" xfId="24662" xr:uid="{00000000-0005-0000-0000-000053BE0000}"/>
    <cellStyle name="Porcentual 11 2 2" xfId="24667" xr:uid="{00000000-0005-0000-0000-000054BE0000}"/>
    <cellStyle name="Porcentual 11 3" xfId="24670" xr:uid="{00000000-0005-0000-0000-000055BE0000}"/>
    <cellStyle name="Porcentual 12" xfId="2998" xr:uid="{00000000-0005-0000-0000-000056BE0000}"/>
    <cellStyle name="Porcentual 12 2" xfId="24673" xr:uid="{00000000-0005-0000-0000-000057BE0000}"/>
    <cellStyle name="Porcentual 12 2 2" xfId="26378" xr:uid="{00000000-0005-0000-0000-000058BE0000}"/>
    <cellStyle name="Porcentual 12 3" xfId="26381" xr:uid="{00000000-0005-0000-0000-000059BE0000}"/>
    <cellStyle name="Porcentual 13" xfId="24677" xr:uid="{00000000-0005-0000-0000-00005ABE0000}"/>
    <cellStyle name="Porcentual 13 2" xfId="519" xr:uid="{00000000-0005-0000-0000-00005BBE0000}"/>
    <cellStyle name="Porcentual 13 2 2" xfId="2863" xr:uid="{00000000-0005-0000-0000-00005CBE0000}"/>
    <cellStyle name="Porcentual 13 3" xfId="640" xr:uid="{00000000-0005-0000-0000-00005DBE0000}"/>
    <cellStyle name="Porcentual 14" xfId="15066" xr:uid="{00000000-0005-0000-0000-00005EBE0000}"/>
    <cellStyle name="Porcentual 14 2" xfId="4372" xr:uid="{00000000-0005-0000-0000-00005FBE0000}"/>
    <cellStyle name="Porcentual 14 2 2" xfId="40316" xr:uid="{00000000-0005-0000-0000-000060BE0000}"/>
    <cellStyle name="Porcentual 14 3" xfId="40318" xr:uid="{00000000-0005-0000-0000-000061BE0000}"/>
    <cellStyle name="Porcentual 15" xfId="19479" xr:uid="{00000000-0005-0000-0000-000062BE0000}"/>
    <cellStyle name="Porcentual 15 2" xfId="19483" xr:uid="{00000000-0005-0000-0000-000063BE0000}"/>
    <cellStyle name="Porcentual 15 2 2" xfId="33685" xr:uid="{00000000-0005-0000-0000-000064BE0000}"/>
    <cellStyle name="Porcentual 15 3" xfId="35907" xr:uid="{00000000-0005-0000-0000-000065BE0000}"/>
    <cellStyle name="Porcentual 16" xfId="19488" xr:uid="{00000000-0005-0000-0000-000066BE0000}"/>
    <cellStyle name="Porcentual 16 2" xfId="33798" xr:uid="{00000000-0005-0000-0000-000067BE0000}"/>
    <cellStyle name="Porcentual 16 2 2" xfId="24702" xr:uid="{00000000-0005-0000-0000-000068BE0000}"/>
    <cellStyle name="Porcentual 16 3" xfId="35918" xr:uid="{00000000-0005-0000-0000-000069BE0000}"/>
    <cellStyle name="Porcentual 17" xfId="48805" xr:uid="{00000000-0005-0000-0000-00006ABE0000}"/>
    <cellStyle name="Porcentual 17 2" xfId="35922" xr:uid="{00000000-0005-0000-0000-00006BBE0000}"/>
    <cellStyle name="Porcentual 17 2 2" xfId="24944" xr:uid="{00000000-0005-0000-0000-00006CBE0000}"/>
    <cellStyle name="Porcentual 17 3" xfId="48807" xr:uid="{00000000-0005-0000-0000-00006DBE0000}"/>
    <cellStyle name="Porcentual 18" xfId="48809" xr:uid="{00000000-0005-0000-0000-00006EBE0000}"/>
    <cellStyle name="Porcentual 18 2" xfId="35928" xr:uid="{00000000-0005-0000-0000-00006FBE0000}"/>
    <cellStyle name="Porcentual 18 2 2" xfId="25144" xr:uid="{00000000-0005-0000-0000-000070BE0000}"/>
    <cellStyle name="Porcentual 18 3" xfId="48811" xr:uid="{00000000-0005-0000-0000-000071BE0000}"/>
    <cellStyle name="Porcentual 19" xfId="48813" xr:uid="{00000000-0005-0000-0000-000072BE0000}"/>
    <cellStyle name="Porcentual 19 2" xfId="48815" xr:uid="{00000000-0005-0000-0000-000073BE0000}"/>
    <cellStyle name="Porcentual 19 2 2" xfId="20016" xr:uid="{00000000-0005-0000-0000-000074BE0000}"/>
    <cellStyle name="Porcentual 19 3" xfId="48817" xr:uid="{00000000-0005-0000-0000-000075BE0000}"/>
    <cellStyle name="Porcentual 2" xfId="35179" xr:uid="{00000000-0005-0000-0000-000076BE0000}"/>
    <cellStyle name="Porcentual 2 2" xfId="48818" xr:uid="{00000000-0005-0000-0000-000077BE0000}"/>
    <cellStyle name="Porcentual 2 2 2" xfId="48819" xr:uid="{00000000-0005-0000-0000-000078BE0000}"/>
    <cellStyle name="Porcentual 2 2 2 2" xfId="48820" xr:uid="{00000000-0005-0000-0000-000079BE0000}"/>
    <cellStyle name="Porcentual 2 2 3" xfId="48821" xr:uid="{00000000-0005-0000-0000-00007ABE0000}"/>
    <cellStyle name="Porcentual 2 3" xfId="48822" xr:uid="{00000000-0005-0000-0000-00007BBE0000}"/>
    <cellStyle name="Porcentual 2 3 2" xfId="48823" xr:uid="{00000000-0005-0000-0000-00007CBE0000}"/>
    <cellStyle name="Porcentual 2 4" xfId="48824" xr:uid="{00000000-0005-0000-0000-00007DBE0000}"/>
    <cellStyle name="Porcentual 2 4 2" xfId="48825" xr:uid="{00000000-0005-0000-0000-00007EBE0000}"/>
    <cellStyle name="Porcentual 2 5" xfId="48826" xr:uid="{00000000-0005-0000-0000-00007FBE0000}"/>
    <cellStyle name="Porcentual 2_INDICADORES ALERTAS SEPTIEMBRE 2010(1)" xfId="48827" xr:uid="{00000000-0005-0000-0000-000080BE0000}"/>
    <cellStyle name="Porcentual 20" xfId="19478" xr:uid="{00000000-0005-0000-0000-000081BE0000}"/>
    <cellStyle name="Porcentual 20 2" xfId="19482" xr:uid="{00000000-0005-0000-0000-000082BE0000}"/>
    <cellStyle name="Porcentual 20 2 2" xfId="33684" xr:uid="{00000000-0005-0000-0000-000083BE0000}"/>
    <cellStyle name="Porcentual 20 3" xfId="35906" xr:uid="{00000000-0005-0000-0000-000084BE0000}"/>
    <cellStyle name="Porcentual 21" xfId="19487" xr:uid="{00000000-0005-0000-0000-000085BE0000}"/>
    <cellStyle name="Porcentual 21 2" xfId="33797" xr:uid="{00000000-0005-0000-0000-000086BE0000}"/>
    <cellStyle name="Porcentual 21 2 2" xfId="24701" xr:uid="{00000000-0005-0000-0000-000087BE0000}"/>
    <cellStyle name="Porcentual 21 3" xfId="35917" xr:uid="{00000000-0005-0000-0000-000088BE0000}"/>
    <cellStyle name="Porcentual 22" xfId="48804" xr:uid="{00000000-0005-0000-0000-000089BE0000}"/>
    <cellStyle name="Porcentual 22 2" xfId="35921" xr:uid="{00000000-0005-0000-0000-00008ABE0000}"/>
    <cellStyle name="Porcentual 22 2 2" xfId="24943" xr:uid="{00000000-0005-0000-0000-00008BBE0000}"/>
    <cellStyle name="Porcentual 22 3" xfId="48806" xr:uid="{00000000-0005-0000-0000-00008CBE0000}"/>
    <cellStyle name="Porcentual 23" xfId="48808" xr:uid="{00000000-0005-0000-0000-00008DBE0000}"/>
    <cellStyle name="Porcentual 23 2" xfId="35927" xr:uid="{00000000-0005-0000-0000-00008EBE0000}"/>
    <cellStyle name="Porcentual 23 2 2" xfId="25143" xr:uid="{00000000-0005-0000-0000-00008FBE0000}"/>
    <cellStyle name="Porcentual 23 3" xfId="48810" xr:uid="{00000000-0005-0000-0000-000090BE0000}"/>
    <cellStyle name="Porcentual 24" xfId="48812" xr:uid="{00000000-0005-0000-0000-000091BE0000}"/>
    <cellStyle name="Porcentual 24 2" xfId="48814" xr:uid="{00000000-0005-0000-0000-000092BE0000}"/>
    <cellStyle name="Porcentual 24 2 2" xfId="20015" xr:uid="{00000000-0005-0000-0000-000093BE0000}"/>
    <cellStyle name="Porcentual 24 3" xfId="48816" xr:uid="{00000000-0005-0000-0000-000094BE0000}"/>
    <cellStyle name="Porcentual 25" xfId="41906" xr:uid="{00000000-0005-0000-0000-000095BE0000}"/>
    <cellStyle name="Porcentual 25 2" xfId="48828" xr:uid="{00000000-0005-0000-0000-000096BE0000}"/>
    <cellStyle name="Porcentual 25 2 2" xfId="48829" xr:uid="{00000000-0005-0000-0000-000097BE0000}"/>
    <cellStyle name="Porcentual 25 3" xfId="48830" xr:uid="{00000000-0005-0000-0000-000098BE0000}"/>
    <cellStyle name="Porcentual 26" xfId="48831" xr:uid="{00000000-0005-0000-0000-000099BE0000}"/>
    <cellStyle name="Porcentual 26 2" xfId="48832" xr:uid="{00000000-0005-0000-0000-00009ABE0000}"/>
    <cellStyle name="Porcentual 27" xfId="25229" xr:uid="{00000000-0005-0000-0000-00009BBE0000}"/>
    <cellStyle name="Porcentual 27 2" xfId="25851" xr:uid="{00000000-0005-0000-0000-00009CBE0000}"/>
    <cellStyle name="Porcentual 3" xfId="48833" xr:uid="{00000000-0005-0000-0000-00009DBE0000}"/>
    <cellStyle name="Porcentual 3 2" xfId="48834" xr:uid="{00000000-0005-0000-0000-00009EBE0000}"/>
    <cellStyle name="Porcentual 3 2 2" xfId="48835" xr:uid="{00000000-0005-0000-0000-00009FBE0000}"/>
    <cellStyle name="Porcentual 3 2 2 2" xfId="48836" xr:uid="{00000000-0005-0000-0000-0000A0BE0000}"/>
    <cellStyle name="Porcentual 3 2 3" xfId="48837" xr:uid="{00000000-0005-0000-0000-0000A1BE0000}"/>
    <cellStyle name="Porcentual 3 3" xfId="26787" xr:uid="{00000000-0005-0000-0000-0000A2BE0000}"/>
    <cellStyle name="Porcentual 3 3 2" xfId="48838" xr:uid="{00000000-0005-0000-0000-0000A3BE0000}"/>
    <cellStyle name="Porcentual 3 4" xfId="48839" xr:uid="{00000000-0005-0000-0000-0000A4BE0000}"/>
    <cellStyle name="Porcentual 4" xfId="48840" xr:uid="{00000000-0005-0000-0000-0000A5BE0000}"/>
    <cellStyle name="Porcentual 4 2" xfId="48841" xr:uid="{00000000-0005-0000-0000-0000A6BE0000}"/>
    <cellStyle name="Porcentual 4 2 2" xfId="48842" xr:uid="{00000000-0005-0000-0000-0000A7BE0000}"/>
    <cellStyle name="Porcentual 4 3" xfId="22720" xr:uid="{00000000-0005-0000-0000-0000A8BE0000}"/>
    <cellStyle name="Porcentual 5" xfId="36445" xr:uid="{00000000-0005-0000-0000-0000A9BE0000}"/>
    <cellStyle name="Porcentual 5 2" xfId="48843" xr:uid="{00000000-0005-0000-0000-0000AABE0000}"/>
    <cellStyle name="Porcentual 5 2 2" xfId="48844" xr:uid="{00000000-0005-0000-0000-0000ABBE0000}"/>
    <cellStyle name="Porcentual 5 3" xfId="22734" xr:uid="{00000000-0005-0000-0000-0000ACBE0000}"/>
    <cellStyle name="Porcentual 6" xfId="48845" xr:uid="{00000000-0005-0000-0000-0000ADBE0000}"/>
    <cellStyle name="Porcentual 6 2" xfId="48846" xr:uid="{00000000-0005-0000-0000-0000AEBE0000}"/>
    <cellStyle name="Porcentual 6 2 2" xfId="48847" xr:uid="{00000000-0005-0000-0000-0000AFBE0000}"/>
    <cellStyle name="Porcentual 6 3" xfId="26932" xr:uid="{00000000-0005-0000-0000-0000B0BE0000}"/>
    <cellStyle name="Porcentual 7" xfId="38651" xr:uid="{00000000-0005-0000-0000-0000B1BE0000}"/>
    <cellStyle name="Porcentual 7 2" xfId="48848" xr:uid="{00000000-0005-0000-0000-0000B2BE0000}"/>
    <cellStyle name="Porcentual 7 2 2" xfId="48849" xr:uid="{00000000-0005-0000-0000-0000B3BE0000}"/>
    <cellStyle name="Porcentual 7 3" xfId="6008" xr:uid="{00000000-0005-0000-0000-0000B4BE0000}"/>
    <cellStyle name="Porcentual 8" xfId="48850" xr:uid="{00000000-0005-0000-0000-0000B5BE0000}"/>
    <cellStyle name="Porcentual 8 2" xfId="40795" xr:uid="{00000000-0005-0000-0000-0000B6BE0000}"/>
    <cellStyle name="Porcentual 8 2 2" xfId="48851" xr:uid="{00000000-0005-0000-0000-0000B7BE0000}"/>
    <cellStyle name="Porcentual 8 3" xfId="16144" xr:uid="{00000000-0005-0000-0000-0000B8BE0000}"/>
    <cellStyle name="Porcentual 9" xfId="48852" xr:uid="{00000000-0005-0000-0000-0000B9BE0000}"/>
    <cellStyle name="Porcentual 9 2" xfId="48853" xr:uid="{00000000-0005-0000-0000-0000BABE0000}"/>
    <cellStyle name="Porcentual 9 2 2" xfId="48854" xr:uid="{00000000-0005-0000-0000-0000BBBE0000}"/>
    <cellStyle name="Porcentual 9 3" xfId="16532" xr:uid="{00000000-0005-0000-0000-0000BCBE0000}"/>
    <cellStyle name="Salida 2" xfId="48855" xr:uid="{00000000-0005-0000-0000-0000BDBE0000}"/>
    <cellStyle name="Salida 2 2" xfId="48856" xr:uid="{00000000-0005-0000-0000-0000BEBE0000}"/>
    <cellStyle name="Salida 2 2 2" xfId="48857" xr:uid="{00000000-0005-0000-0000-0000BFBE0000}"/>
    <cellStyle name="Salida 2 2 2 2" xfId="44918" xr:uid="{00000000-0005-0000-0000-0000C0BE0000}"/>
    <cellStyle name="Salida 2 2 3" xfId="33138" xr:uid="{00000000-0005-0000-0000-0000C1BE0000}"/>
    <cellStyle name="Salida 2 2 3 2" xfId="23039" xr:uid="{00000000-0005-0000-0000-0000C2BE0000}"/>
    <cellStyle name="Salida 2 2 4" xfId="5075" xr:uid="{00000000-0005-0000-0000-0000C3BE0000}"/>
    <cellStyle name="Salida 2 2 4 2" xfId="23054" xr:uid="{00000000-0005-0000-0000-0000C4BE0000}"/>
    <cellStyle name="Salida 2 2 5" xfId="26165" xr:uid="{00000000-0005-0000-0000-0000C5BE0000}"/>
    <cellStyle name="Salida 2 2 5 2" xfId="48858" xr:uid="{00000000-0005-0000-0000-0000C6BE0000}"/>
    <cellStyle name="Salida 2 2 6" xfId="39653" xr:uid="{00000000-0005-0000-0000-0000C7BE0000}"/>
    <cellStyle name="Salida 2 2 6 2" xfId="22033" xr:uid="{00000000-0005-0000-0000-0000C8BE0000}"/>
    <cellStyle name="Salida 2 3" xfId="48859" xr:uid="{00000000-0005-0000-0000-0000C9BE0000}"/>
    <cellStyle name="Salida 2 3 2" xfId="29902" xr:uid="{00000000-0005-0000-0000-0000CABE0000}"/>
    <cellStyle name="Salida 2 3 2 2" xfId="23069" xr:uid="{00000000-0005-0000-0000-0000CBBE0000}"/>
    <cellStyle name="Salida 2 3 3" xfId="33143" xr:uid="{00000000-0005-0000-0000-0000CCBE0000}"/>
    <cellStyle name="Salida 2 3 3 2" xfId="48861" xr:uid="{00000000-0005-0000-0000-0000CDBE0000}"/>
    <cellStyle name="Salida 2 3 4" xfId="26170" xr:uid="{00000000-0005-0000-0000-0000CEBE0000}"/>
    <cellStyle name="Salida 2 3 4 2" xfId="48862" xr:uid="{00000000-0005-0000-0000-0000CFBE0000}"/>
    <cellStyle name="Salida 2 3 5" xfId="48863" xr:uid="{00000000-0005-0000-0000-0000D0BE0000}"/>
    <cellStyle name="Salida 2 3 5 2" xfId="48864" xr:uid="{00000000-0005-0000-0000-0000D1BE0000}"/>
    <cellStyle name="Salida 2 3 6" xfId="22530" xr:uid="{00000000-0005-0000-0000-0000D2BE0000}"/>
    <cellStyle name="Salida 2 4" xfId="48865" xr:uid="{00000000-0005-0000-0000-0000D3BE0000}"/>
    <cellStyle name="Salida 2 4 2" xfId="30425" xr:uid="{00000000-0005-0000-0000-0000D4BE0000}"/>
    <cellStyle name="Salida 2 5" xfId="24467" xr:uid="{00000000-0005-0000-0000-0000D5BE0000}"/>
    <cellStyle name="Salida 2 5 2" xfId="14747" xr:uid="{00000000-0005-0000-0000-0000D6BE0000}"/>
    <cellStyle name="Salida 2 6" xfId="48866" xr:uid="{00000000-0005-0000-0000-0000D7BE0000}"/>
    <cellStyle name="Salida 2 7" xfId="23255" xr:uid="{00000000-0005-0000-0000-0000D8BE0000}"/>
    <cellStyle name="Salida 3" xfId="48867" xr:uid="{00000000-0005-0000-0000-0000D9BE0000}"/>
    <cellStyle name="Salida 3 2" xfId="48868" xr:uid="{00000000-0005-0000-0000-0000DABE0000}"/>
    <cellStyle name="Texto de advertencia 2" xfId="34077" xr:uid="{00000000-0005-0000-0000-0000DBBE0000}"/>
    <cellStyle name="Texto de advertencia 2 2" xfId="48869" xr:uid="{00000000-0005-0000-0000-0000DCBE0000}"/>
    <cellStyle name="Texto de advertencia 3" xfId="48870" xr:uid="{00000000-0005-0000-0000-0000DDBE0000}"/>
    <cellStyle name="Texto explicativo 2" xfId="30485" xr:uid="{00000000-0005-0000-0000-0000DEBE0000}"/>
    <cellStyle name="Texto explicativo 3" xfId="48871" xr:uid="{00000000-0005-0000-0000-0000DFBE0000}"/>
    <cellStyle name="Título 1 2" xfId="48872" xr:uid="{00000000-0005-0000-0000-0000E0BE0000}"/>
    <cellStyle name="Título 1 3" xfId="45394" xr:uid="{00000000-0005-0000-0000-0000E1BE0000}"/>
    <cellStyle name="Título 2 2" xfId="48873" xr:uid="{00000000-0005-0000-0000-0000E2BE0000}"/>
    <cellStyle name="Título 2 3" xfId="48874" xr:uid="{00000000-0005-0000-0000-0000E3BE0000}"/>
    <cellStyle name="Título 3 2" xfId="48875" xr:uid="{00000000-0005-0000-0000-0000E4BE0000}"/>
    <cellStyle name="Título 3 3" xfId="48876" xr:uid="{00000000-0005-0000-0000-0000E5BE0000}"/>
    <cellStyle name="Título 5" xfId="48877" xr:uid="{00000000-0005-0000-0000-0000E6BE0000}"/>
    <cellStyle name="Total 2" xfId="12004" xr:uid="{00000000-0005-0000-0000-0000E7BE0000}"/>
    <cellStyle name="Total 2 2" xfId="12007" xr:uid="{00000000-0005-0000-0000-0000E8BE0000}"/>
    <cellStyle name="Total 2 2 2" xfId="48878" xr:uid="{00000000-0005-0000-0000-0000E9BE0000}"/>
    <cellStyle name="Total 2 2 2 2" xfId="48879" xr:uid="{00000000-0005-0000-0000-0000EABE0000}"/>
    <cellStyle name="Total 2 2 3" xfId="38188" xr:uid="{00000000-0005-0000-0000-0000EBBE0000}"/>
    <cellStyle name="Total 2 2 3 2" xfId="48880" xr:uid="{00000000-0005-0000-0000-0000ECBE0000}"/>
    <cellStyle name="Total 2 2 4" xfId="48881" xr:uid="{00000000-0005-0000-0000-0000EDBE0000}"/>
    <cellStyle name="Total 2 2 4 2" xfId="48882" xr:uid="{00000000-0005-0000-0000-0000EEBE0000}"/>
    <cellStyle name="Total 2 2 5" xfId="48883" xr:uid="{00000000-0005-0000-0000-0000EFBE0000}"/>
    <cellStyle name="Total 2 2 5 2" xfId="48884" xr:uid="{00000000-0005-0000-0000-0000F0BE0000}"/>
    <cellStyle name="Total 2 2 6" xfId="48885" xr:uid="{00000000-0005-0000-0000-0000F1BE0000}"/>
    <cellStyle name="Total 2 2 6 2" xfId="48886" xr:uid="{00000000-0005-0000-0000-0000F2BE0000}"/>
    <cellStyle name="Total 2 3" xfId="48887" xr:uid="{00000000-0005-0000-0000-0000F3BE0000}"/>
    <cellStyle name="Total 2 3 2" xfId="48888" xr:uid="{00000000-0005-0000-0000-0000F4BE0000}"/>
    <cellStyle name="Total 2 3 2 2" xfId="48889" xr:uid="{00000000-0005-0000-0000-0000F5BE0000}"/>
    <cellStyle name="Total 2 3 3" xfId="19559" xr:uid="{00000000-0005-0000-0000-0000F6BE0000}"/>
    <cellStyle name="Total 2 3 3 2" xfId="48890" xr:uid="{00000000-0005-0000-0000-0000F7BE0000}"/>
    <cellStyle name="Total 2 3 4" xfId="48891" xr:uid="{00000000-0005-0000-0000-0000F8BE0000}"/>
    <cellStyle name="Total 2 3 4 2" xfId="48892" xr:uid="{00000000-0005-0000-0000-0000F9BE0000}"/>
    <cellStyle name="Total 2 3 5" xfId="48893" xr:uid="{00000000-0005-0000-0000-0000FABE0000}"/>
    <cellStyle name="Total 2 3 5 2" xfId="48894" xr:uid="{00000000-0005-0000-0000-0000FBBE0000}"/>
    <cellStyle name="Total 2 3 6" xfId="2558" xr:uid="{00000000-0005-0000-0000-0000FCBE0000}"/>
    <cellStyle name="Total 2 4" xfId="44941" xr:uid="{00000000-0005-0000-0000-0000FDBE0000}"/>
    <cellStyle name="Total 2 4 2" xfId="48895" xr:uid="{00000000-0005-0000-0000-0000FEBE0000}"/>
    <cellStyle name="Total 2 5" xfId="48896" xr:uid="{00000000-0005-0000-0000-0000FFBE0000}"/>
    <cellStyle name="Total 2 5 2" xfId="31917" xr:uid="{00000000-0005-0000-0000-000000BF0000}"/>
    <cellStyle name="Total 2 6" xfId="48860" xr:uid="{00000000-0005-0000-0000-000001BF0000}"/>
    <cellStyle name="Total 3" xfId="2973" xr:uid="{00000000-0005-0000-0000-000002BF0000}"/>
    <cellStyle name="Total 3 2" xfId="48897" xr:uid="{00000000-0005-0000-0000-000003BF0000}"/>
  </cellStyles>
  <dxfs count="5">
    <dxf>
      <font>
        <b/>
      </font>
    </dxf>
    <dxf>
      <font>
        <b/>
      </font>
    </dxf>
    <dxf>
      <fill>
        <patternFill patternType="solid">
          <fgColor rgb="FFF3F3F3"/>
          <bgColor rgb="FFF3F3F3"/>
        </patternFill>
      </fill>
    </dxf>
    <dxf>
      <fill>
        <patternFill patternType="solid">
          <fgColor rgb="FFFFFFFF"/>
          <bgColor rgb="FFFFFFFF"/>
        </patternFill>
      </fill>
    </dxf>
    <dxf>
      <fill>
        <patternFill patternType="solid">
          <fgColor rgb="FFBDBDBD"/>
          <bgColor rgb="FFBDBDBD"/>
        </patternFill>
      </fill>
    </dxf>
  </dxfs>
  <tableStyles count="1" defaultTableStyle="TableStyleMedium2" defaultPivotStyle="PivotStyleLight16">
    <tableStyle name="MEMORIA DGC 2018-2021-style" pivot="0" count="3" xr9:uid="{00000000-0011-0000-FFFF-FFFF00000000}">
      <tableStyleElement type="headerRow" dxfId="4"/>
      <tableStyleElement type="firstRowStripe" dxfId="3"/>
      <tableStyleElement type="secondRowStripe" dxfId="2"/>
    </tableStyle>
  </tableStyles>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0" i="0" u="none" strike="noStrike" kern="1200" spc="0" baseline="0">
                <a:solidFill>
                  <a:srgbClr val="000000">
                    <a:lumMod val="65000"/>
                    <a:lumOff val="35000"/>
                  </a:srgbClr>
                </a:solidFill>
              </a:rPr>
              <a:t>Participación en órdenes técnicas de Investigación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dLbls>
            <c:dLbl>
              <c:idx val="0"/>
              <c:layout>
                <c:manualLayout>
                  <c:x val="2.5462668816039986E-17"/>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B02-4F3B-8B77-82600D724371}"/>
                </c:ext>
              </c:extLst>
            </c:dLbl>
            <c:dLbl>
              <c:idx val="1"/>
              <c:layout>
                <c:manualLayout>
                  <c:x val="0"/>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B02-4F3B-8B77-82600D724371}"/>
                </c:ext>
              </c:extLst>
            </c:dLbl>
            <c:dLbl>
              <c:idx val="2"/>
              <c:layout>
                <c:manualLayout>
                  <c:x val="0"/>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B02-4F3B-8B77-82600D72437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DFDF!$B$46:$B$48</c:f>
              <c:strCache>
                <c:ptCount val="3"/>
                <c:pt idx="0">
                  <c:v>Ene.2025</c:v>
                </c:pt>
                <c:pt idx="1">
                  <c:v>Feb.2025</c:v>
                </c:pt>
                <c:pt idx="2">
                  <c:v>Mzo.2025</c:v>
                </c:pt>
              </c:strCache>
            </c:strRef>
          </c:cat>
          <c:val>
            <c:numRef>
              <c:f>DFDF!$C$46:$C$48</c:f>
              <c:numCache>
                <c:formatCode>General</c:formatCode>
                <c:ptCount val="3"/>
                <c:pt idx="0">
                  <c:v>90</c:v>
                </c:pt>
                <c:pt idx="1">
                  <c:v>53</c:v>
                </c:pt>
                <c:pt idx="2">
                  <c:v>88</c:v>
                </c:pt>
              </c:numCache>
            </c:numRef>
          </c:val>
          <c:extLst>
            <c:ext xmlns:c16="http://schemas.microsoft.com/office/drawing/2014/chart" uri="{C3380CC4-5D6E-409C-BE32-E72D297353CC}">
              <c16:uniqueId val="{00000003-2B02-4F3B-8B77-82600D724371}"/>
            </c:ext>
          </c:extLst>
        </c:ser>
        <c:dLbls>
          <c:showLegendKey val="0"/>
          <c:showVal val="0"/>
          <c:showCatName val="0"/>
          <c:showSerName val="0"/>
          <c:showPercent val="0"/>
          <c:showBubbleSize val="0"/>
        </c:dLbls>
        <c:gapWidth val="150"/>
        <c:shape val="box"/>
        <c:axId val="328784448"/>
        <c:axId val="328767648"/>
        <c:axId val="326028368"/>
      </c:bar3DChart>
      <c:catAx>
        <c:axId val="328784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767648"/>
        <c:crosses val="autoZero"/>
        <c:auto val="1"/>
        <c:lblAlgn val="ctr"/>
        <c:lblOffset val="100"/>
        <c:noMultiLvlLbl val="0"/>
      </c:catAx>
      <c:valAx>
        <c:axId val="32876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784448"/>
        <c:crosses val="autoZero"/>
        <c:crossBetween val="between"/>
      </c:valAx>
      <c:serAx>
        <c:axId val="3260283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767648"/>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0" i="0" u="none" strike="noStrike" kern="1200" spc="0" baseline="0">
                <a:solidFill>
                  <a:srgbClr val="000000">
                    <a:lumMod val="65000"/>
                    <a:lumOff val="35000"/>
                  </a:srgbClr>
                </a:solidFill>
              </a:rPr>
              <a:t>Participación en órdenes técnicas de Investigación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DFDF!$I$28:$I$29</c:f>
              <c:strCache>
                <c:ptCount val="2"/>
                <c:pt idx="0">
                  <c:v>Nov.2024</c:v>
                </c:pt>
                <c:pt idx="1">
                  <c:v>Dic. 2024</c:v>
                </c:pt>
              </c:strCache>
            </c:strRef>
          </c:cat>
          <c:val>
            <c:numRef>
              <c:f>DFDF!$J$28:$J$29</c:f>
              <c:numCache>
                <c:formatCode>General</c:formatCode>
                <c:ptCount val="2"/>
                <c:pt idx="0">
                  <c:v>63</c:v>
                </c:pt>
                <c:pt idx="1">
                  <c:v>66</c:v>
                </c:pt>
              </c:numCache>
            </c:numRef>
          </c:val>
          <c:extLst>
            <c:ext xmlns:c16="http://schemas.microsoft.com/office/drawing/2014/chart" uri="{C3380CC4-5D6E-409C-BE32-E72D297353CC}">
              <c16:uniqueId val="{00000000-C7F7-4468-971F-682831EBA389}"/>
            </c:ext>
          </c:extLst>
        </c:ser>
        <c:dLbls>
          <c:showLegendKey val="0"/>
          <c:showVal val="0"/>
          <c:showCatName val="0"/>
          <c:showSerName val="0"/>
          <c:showPercent val="0"/>
          <c:showBubbleSize val="0"/>
        </c:dLbls>
        <c:gapWidth val="150"/>
        <c:shape val="box"/>
        <c:axId val="328763808"/>
        <c:axId val="328780128"/>
        <c:axId val="0"/>
      </c:bar3DChart>
      <c:catAx>
        <c:axId val="328763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780128"/>
        <c:crosses val="autoZero"/>
        <c:auto val="1"/>
        <c:lblAlgn val="ctr"/>
        <c:lblOffset val="100"/>
        <c:noMultiLvlLbl val="0"/>
      </c:catAx>
      <c:valAx>
        <c:axId val="32878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76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s-MX" sz="1400" b="0" i="0" u="none" strike="noStrike" kern="1200" spc="0" baseline="0">
                <a:solidFill>
                  <a:srgbClr val="000000">
                    <a:lumMod val="65000"/>
                    <a:lumOff val="35000"/>
                  </a:srgbClr>
                </a:solidFill>
              </a:rPr>
              <a:t>Participación en órdenes técnicas de Investigación</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s-MX"/>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DFDF!$C$65:$C$69</c:f>
              <c:strCache>
                <c:ptCount val="5"/>
                <c:pt idx="0">
                  <c:v>Nov.2024</c:v>
                </c:pt>
                <c:pt idx="1">
                  <c:v>Dic. 2024</c:v>
                </c:pt>
                <c:pt idx="2">
                  <c:v>Ene.2025</c:v>
                </c:pt>
                <c:pt idx="3">
                  <c:v>Feb.2025</c:v>
                </c:pt>
                <c:pt idx="4">
                  <c:v>Mzo.2025</c:v>
                </c:pt>
              </c:strCache>
            </c:strRef>
          </c:cat>
          <c:val>
            <c:numRef>
              <c:f>DFDF!$D$65:$D$69</c:f>
              <c:numCache>
                <c:formatCode>General</c:formatCode>
                <c:ptCount val="5"/>
                <c:pt idx="0">
                  <c:v>99</c:v>
                </c:pt>
                <c:pt idx="1">
                  <c:v>66</c:v>
                </c:pt>
                <c:pt idx="2">
                  <c:v>90</c:v>
                </c:pt>
                <c:pt idx="3">
                  <c:v>53</c:v>
                </c:pt>
                <c:pt idx="4">
                  <c:v>88</c:v>
                </c:pt>
              </c:numCache>
            </c:numRef>
          </c:val>
          <c:extLst>
            <c:ext xmlns:c16="http://schemas.microsoft.com/office/drawing/2014/chart" uri="{C3380CC4-5D6E-409C-BE32-E72D297353CC}">
              <c16:uniqueId val="{00000000-9423-4A08-9D80-679ED1EF03C3}"/>
            </c:ext>
          </c:extLst>
        </c:ser>
        <c:dLbls>
          <c:showLegendKey val="0"/>
          <c:showVal val="0"/>
          <c:showCatName val="0"/>
          <c:showSerName val="0"/>
          <c:showPercent val="0"/>
          <c:showBubbleSize val="0"/>
        </c:dLbls>
        <c:gapWidth val="150"/>
        <c:shape val="box"/>
        <c:axId val="1786937888"/>
        <c:axId val="1786942208"/>
        <c:axId val="0"/>
      </c:bar3DChart>
      <c:catAx>
        <c:axId val="178693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86942208"/>
        <c:crosses val="autoZero"/>
        <c:auto val="1"/>
        <c:lblAlgn val="ctr"/>
        <c:lblOffset val="100"/>
        <c:noMultiLvlLbl val="0"/>
      </c:catAx>
      <c:valAx>
        <c:axId val="178694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8693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0" i="0" u="none" strike="noStrike" kern="1200" spc="0" baseline="0">
                <a:solidFill>
                  <a:srgbClr val="000000">
                    <a:lumMod val="65000"/>
                    <a:lumOff val="35000"/>
                  </a:srgbClr>
                </a:solidFill>
              </a:rPr>
              <a:t>Participación en órdenes técnicas de Investigación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dLbl>
              <c:idx val="0"/>
              <c:layout>
                <c:manualLayout>
                  <c:x val="1.6666666666666642E-2"/>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28B-44F7-A199-2CDF87F358B4}"/>
                </c:ext>
              </c:extLst>
            </c:dLbl>
            <c:dLbl>
              <c:idx val="1"/>
              <c:layout>
                <c:manualLayout>
                  <c:x val="1.9444444444444344E-2"/>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28B-44F7-A199-2CDF87F358B4}"/>
                </c:ext>
              </c:extLst>
            </c:dLbl>
            <c:dLbl>
              <c:idx val="2"/>
              <c:layout>
                <c:manualLayout>
                  <c:x val="5.5555555555555558E-3"/>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28B-44F7-A199-2CDF87F358B4}"/>
                </c:ext>
              </c:extLst>
            </c:dLbl>
            <c:dLbl>
              <c:idx val="3"/>
              <c:layout>
                <c:manualLayout>
                  <c:x val="2.4999999999999897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28B-44F7-A199-2CDF87F358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DFDF!$D$96:$D$99</c:f>
              <c:strCache>
                <c:ptCount val="4"/>
                <c:pt idx="0">
                  <c:v>Abril 2025</c:v>
                </c:pt>
                <c:pt idx="1">
                  <c:v>15 de Mayo 2025</c:v>
                </c:pt>
                <c:pt idx="2">
                  <c:v>Abril 2025</c:v>
                </c:pt>
                <c:pt idx="3">
                  <c:v>15 de Mayo 2025</c:v>
                </c:pt>
              </c:strCache>
            </c:strRef>
          </c:cat>
          <c:val>
            <c:numRef>
              <c:f>DFDF!$E$96:$E$99</c:f>
              <c:numCache>
                <c:formatCode>General</c:formatCode>
                <c:ptCount val="4"/>
                <c:pt idx="0">
                  <c:v>1</c:v>
                </c:pt>
                <c:pt idx="1">
                  <c:v>1</c:v>
                </c:pt>
                <c:pt idx="2">
                  <c:v>84</c:v>
                </c:pt>
                <c:pt idx="3">
                  <c:v>38</c:v>
                </c:pt>
              </c:numCache>
            </c:numRef>
          </c:val>
          <c:extLst>
            <c:ext xmlns:c16="http://schemas.microsoft.com/office/drawing/2014/chart" uri="{C3380CC4-5D6E-409C-BE32-E72D297353CC}">
              <c16:uniqueId val="{00000004-B28B-44F7-A199-2CDF87F358B4}"/>
            </c:ext>
          </c:extLst>
        </c:ser>
        <c:dLbls>
          <c:showLegendKey val="0"/>
          <c:showVal val="0"/>
          <c:showCatName val="0"/>
          <c:showSerName val="0"/>
          <c:showPercent val="0"/>
          <c:showBubbleSize val="0"/>
        </c:dLbls>
        <c:gapWidth val="150"/>
        <c:shape val="box"/>
        <c:axId val="1651415103"/>
        <c:axId val="1651417503"/>
        <c:axId val="0"/>
      </c:bar3DChart>
      <c:catAx>
        <c:axId val="16514151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51417503"/>
        <c:crosses val="autoZero"/>
        <c:auto val="1"/>
        <c:lblAlgn val="ctr"/>
        <c:lblOffset val="100"/>
        <c:noMultiLvlLbl val="0"/>
      </c:catAx>
      <c:valAx>
        <c:axId val="16514175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514151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spPr>
            <a:solidFill>
              <a:schemeClr val="accent1"/>
            </a:solidFill>
            <a:ln>
              <a:noFill/>
            </a:ln>
            <a:effectLst/>
          </c:spPr>
          <c:invertIfNegative val="0"/>
          <c:cat>
            <c:multiLvlStrRef>
              <c:f>DFDF!$C$96:$D$99</c:f>
              <c:multiLvlStrCache>
                <c:ptCount val="4"/>
                <c:lvl>
                  <c:pt idx="0">
                    <c:v>Abril 2025</c:v>
                  </c:pt>
                  <c:pt idx="1">
                    <c:v>15 de Mayo 2025</c:v>
                  </c:pt>
                  <c:pt idx="2">
                    <c:v>Abril 2025</c:v>
                  </c:pt>
                  <c:pt idx="3">
                    <c:v>15 de Mayo 2025</c:v>
                  </c:pt>
                </c:lvl>
                <c:lvl>
                  <c:pt idx="0">
                    <c:v>forense</c:v>
                  </c:pt>
                  <c:pt idx="2">
                    <c:v>ciberinvest</c:v>
                  </c:pt>
                </c:lvl>
              </c:multiLvlStrCache>
            </c:multiLvlStrRef>
          </c:cat>
          <c:val>
            <c:numRef>
              <c:f>DFDF!$E$96:$E$99</c:f>
              <c:numCache>
                <c:formatCode>General</c:formatCode>
                <c:ptCount val="4"/>
                <c:pt idx="0">
                  <c:v>1</c:v>
                </c:pt>
                <c:pt idx="1">
                  <c:v>1</c:v>
                </c:pt>
                <c:pt idx="2">
                  <c:v>84</c:v>
                </c:pt>
                <c:pt idx="3">
                  <c:v>38</c:v>
                </c:pt>
              </c:numCache>
            </c:numRef>
          </c:val>
          <c:extLst>
            <c:ext xmlns:c16="http://schemas.microsoft.com/office/drawing/2014/chart" uri="{C3380CC4-5D6E-409C-BE32-E72D297353CC}">
              <c16:uniqueId val="{00000000-1CCE-475E-97A8-93367B4D78A4}"/>
            </c:ext>
          </c:extLst>
        </c:ser>
        <c:dLbls>
          <c:showLegendKey val="0"/>
          <c:showVal val="0"/>
          <c:showCatName val="0"/>
          <c:showSerName val="0"/>
          <c:showPercent val="0"/>
          <c:showBubbleSize val="0"/>
        </c:dLbls>
        <c:gapWidth val="219"/>
        <c:overlap val="-27"/>
        <c:axId val="1651424223"/>
        <c:axId val="1651436223"/>
      </c:barChart>
      <c:catAx>
        <c:axId val="165142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51436223"/>
        <c:crosses val="autoZero"/>
        <c:auto val="1"/>
        <c:lblAlgn val="ctr"/>
        <c:lblOffset val="100"/>
        <c:noMultiLvlLbl val="0"/>
      </c:catAx>
      <c:valAx>
        <c:axId val="165143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514242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0" i="0" u="none" strike="noStrike" kern="1200" spc="0" baseline="0">
                <a:solidFill>
                  <a:srgbClr val="000000">
                    <a:lumMod val="65000"/>
                    <a:lumOff val="35000"/>
                  </a:srgbClr>
                </a:solidFill>
              </a:rPr>
              <a:t>Participación en órdenes técnicas de Investigación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dLbl>
              <c:idx val="0"/>
              <c:layout>
                <c:manualLayout>
                  <c:x val="0"/>
                  <c:y val="0.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77-4C4A-9A47-9A76A906525E}"/>
                </c:ext>
              </c:extLst>
            </c:dLbl>
            <c:dLbl>
              <c:idx val="1"/>
              <c:layout>
                <c:manualLayout>
                  <c:x val="2.7777777777777779E-3"/>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77-4C4A-9A47-9A76A906525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DFDF!$D$98:$D$99</c:f>
              <c:strCache>
                <c:ptCount val="2"/>
                <c:pt idx="0">
                  <c:v>Abril 2025</c:v>
                </c:pt>
                <c:pt idx="1">
                  <c:v>15 de Mayo 2025</c:v>
                </c:pt>
              </c:strCache>
            </c:strRef>
          </c:cat>
          <c:val>
            <c:numRef>
              <c:f>DFDF!$E$98:$E$99</c:f>
              <c:numCache>
                <c:formatCode>General</c:formatCode>
                <c:ptCount val="2"/>
                <c:pt idx="0">
                  <c:v>84</c:v>
                </c:pt>
                <c:pt idx="1">
                  <c:v>38</c:v>
                </c:pt>
              </c:numCache>
            </c:numRef>
          </c:val>
          <c:extLst>
            <c:ext xmlns:c16="http://schemas.microsoft.com/office/drawing/2014/chart" uri="{C3380CC4-5D6E-409C-BE32-E72D297353CC}">
              <c16:uniqueId val="{00000002-6B77-4C4A-9A47-9A76A906525E}"/>
            </c:ext>
          </c:extLst>
        </c:ser>
        <c:dLbls>
          <c:showLegendKey val="0"/>
          <c:showVal val="0"/>
          <c:showCatName val="0"/>
          <c:showSerName val="0"/>
          <c:showPercent val="0"/>
          <c:showBubbleSize val="0"/>
        </c:dLbls>
        <c:gapWidth val="150"/>
        <c:shape val="box"/>
        <c:axId val="1651433823"/>
        <c:axId val="1651443903"/>
        <c:axId val="0"/>
      </c:bar3DChart>
      <c:catAx>
        <c:axId val="165143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51443903"/>
        <c:crosses val="autoZero"/>
        <c:auto val="1"/>
        <c:lblAlgn val="ctr"/>
        <c:lblOffset val="100"/>
        <c:noMultiLvlLbl val="0"/>
      </c:catAx>
      <c:valAx>
        <c:axId val="165144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51433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0" i="0" u="none" strike="noStrike" kern="1200" spc="0" baseline="0">
                <a:solidFill>
                  <a:srgbClr val="000000">
                    <a:lumMod val="65000"/>
                    <a:lumOff val="35000"/>
                  </a:srgbClr>
                </a:solidFill>
              </a:rPr>
              <a:t>Participación en órdenes técnicas de Investigación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dLbls>
            <c:dLbl>
              <c:idx val="0"/>
              <c:layout>
                <c:manualLayout>
                  <c:x val="2.5462668816039986E-17"/>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70E-457C-8075-515714004F94}"/>
                </c:ext>
              </c:extLst>
            </c:dLbl>
            <c:dLbl>
              <c:idx val="1"/>
              <c:layout>
                <c:manualLayout>
                  <c:x val="0"/>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0E-457C-8075-515714004F94}"/>
                </c:ext>
              </c:extLst>
            </c:dLbl>
            <c:dLbl>
              <c:idx val="2"/>
              <c:layout>
                <c:manualLayout>
                  <c:x val="0"/>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0E-457C-8075-515714004F9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'1er corte FAP'!$B$46:$B$48</c:f>
              <c:strCache>
                <c:ptCount val="3"/>
                <c:pt idx="0">
                  <c:v>Ene.2025</c:v>
                </c:pt>
                <c:pt idx="1">
                  <c:v>Feb.2025</c:v>
                </c:pt>
                <c:pt idx="2">
                  <c:v>Mzo.2025</c:v>
                </c:pt>
              </c:strCache>
            </c:strRef>
          </c:cat>
          <c:val>
            <c:numRef>
              <c:f>'1er corte FAP'!$C$46:$C$48</c:f>
              <c:numCache>
                <c:formatCode>General</c:formatCode>
                <c:ptCount val="3"/>
                <c:pt idx="0">
                  <c:v>90</c:v>
                </c:pt>
                <c:pt idx="1">
                  <c:v>53</c:v>
                </c:pt>
                <c:pt idx="2">
                  <c:v>88</c:v>
                </c:pt>
              </c:numCache>
            </c:numRef>
          </c:val>
          <c:extLst>
            <c:ext xmlns:c16="http://schemas.microsoft.com/office/drawing/2014/chart" uri="{C3380CC4-5D6E-409C-BE32-E72D297353CC}">
              <c16:uniqueId val="{00000003-170E-457C-8075-515714004F94}"/>
            </c:ext>
          </c:extLst>
        </c:ser>
        <c:dLbls>
          <c:showLegendKey val="0"/>
          <c:showVal val="0"/>
          <c:showCatName val="0"/>
          <c:showSerName val="0"/>
          <c:showPercent val="0"/>
          <c:showBubbleSize val="0"/>
        </c:dLbls>
        <c:gapWidth val="150"/>
        <c:shape val="box"/>
        <c:axId val="328784448"/>
        <c:axId val="328767648"/>
        <c:axId val="326028368"/>
      </c:bar3DChart>
      <c:catAx>
        <c:axId val="328784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767648"/>
        <c:crosses val="autoZero"/>
        <c:auto val="1"/>
        <c:lblAlgn val="ctr"/>
        <c:lblOffset val="100"/>
        <c:noMultiLvlLbl val="0"/>
      </c:catAx>
      <c:valAx>
        <c:axId val="32876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784448"/>
        <c:crosses val="autoZero"/>
        <c:crossBetween val="between"/>
      </c:valAx>
      <c:serAx>
        <c:axId val="3260283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767648"/>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0" i="0" u="none" strike="noStrike" kern="1200" spc="0" baseline="0">
                <a:solidFill>
                  <a:srgbClr val="000000">
                    <a:lumMod val="65000"/>
                    <a:lumOff val="35000"/>
                  </a:srgbClr>
                </a:solidFill>
              </a:rPr>
              <a:t>Participación en órdenes técnicas de Investigación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'1er corte FAP'!$I$28:$I$29</c:f>
              <c:strCache>
                <c:ptCount val="2"/>
                <c:pt idx="0">
                  <c:v>Nov.2024</c:v>
                </c:pt>
                <c:pt idx="1">
                  <c:v>Dic. 2024</c:v>
                </c:pt>
              </c:strCache>
            </c:strRef>
          </c:cat>
          <c:val>
            <c:numRef>
              <c:f>'1er corte FAP'!$J$28:$J$29</c:f>
              <c:numCache>
                <c:formatCode>General</c:formatCode>
                <c:ptCount val="2"/>
                <c:pt idx="0">
                  <c:v>63</c:v>
                </c:pt>
                <c:pt idx="1">
                  <c:v>66</c:v>
                </c:pt>
              </c:numCache>
            </c:numRef>
          </c:val>
          <c:extLst>
            <c:ext xmlns:c16="http://schemas.microsoft.com/office/drawing/2014/chart" uri="{C3380CC4-5D6E-409C-BE32-E72D297353CC}">
              <c16:uniqueId val="{00000000-A6CC-41A7-8691-EB5C8F4DA4A1}"/>
            </c:ext>
          </c:extLst>
        </c:ser>
        <c:dLbls>
          <c:showLegendKey val="0"/>
          <c:showVal val="0"/>
          <c:showCatName val="0"/>
          <c:showSerName val="0"/>
          <c:showPercent val="0"/>
          <c:showBubbleSize val="0"/>
        </c:dLbls>
        <c:gapWidth val="150"/>
        <c:shape val="box"/>
        <c:axId val="328763808"/>
        <c:axId val="328780128"/>
        <c:axId val="0"/>
      </c:bar3DChart>
      <c:catAx>
        <c:axId val="328763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780128"/>
        <c:crosses val="autoZero"/>
        <c:auto val="1"/>
        <c:lblAlgn val="ctr"/>
        <c:lblOffset val="100"/>
        <c:noMultiLvlLbl val="0"/>
      </c:catAx>
      <c:valAx>
        <c:axId val="32878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76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s-MX" sz="1400" b="0" i="0" u="none" strike="noStrike" kern="1200" spc="0" baseline="0">
                <a:solidFill>
                  <a:srgbClr val="000000">
                    <a:lumMod val="65000"/>
                    <a:lumOff val="35000"/>
                  </a:srgbClr>
                </a:solidFill>
              </a:rPr>
              <a:t>Participación en órdenes técnicas de Investigación</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s-MX"/>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'1er corte FAP'!$C$65:$C$69</c:f>
              <c:strCache>
                <c:ptCount val="5"/>
                <c:pt idx="0">
                  <c:v>Nov.2024</c:v>
                </c:pt>
                <c:pt idx="1">
                  <c:v>Dic. 2024</c:v>
                </c:pt>
                <c:pt idx="2">
                  <c:v>Ene.2025</c:v>
                </c:pt>
                <c:pt idx="3">
                  <c:v>Feb.2025</c:v>
                </c:pt>
                <c:pt idx="4">
                  <c:v>Mzo.2025</c:v>
                </c:pt>
              </c:strCache>
            </c:strRef>
          </c:cat>
          <c:val>
            <c:numRef>
              <c:f>'1er corte FAP'!$D$65:$D$69</c:f>
              <c:numCache>
                <c:formatCode>General</c:formatCode>
                <c:ptCount val="5"/>
                <c:pt idx="0">
                  <c:v>99</c:v>
                </c:pt>
                <c:pt idx="1">
                  <c:v>66</c:v>
                </c:pt>
                <c:pt idx="2">
                  <c:v>90</c:v>
                </c:pt>
                <c:pt idx="3">
                  <c:v>53</c:v>
                </c:pt>
                <c:pt idx="4">
                  <c:v>88</c:v>
                </c:pt>
              </c:numCache>
            </c:numRef>
          </c:val>
          <c:extLst>
            <c:ext xmlns:c16="http://schemas.microsoft.com/office/drawing/2014/chart" uri="{C3380CC4-5D6E-409C-BE32-E72D297353CC}">
              <c16:uniqueId val="{00000000-B93E-4E2B-9485-E0F349FF757A}"/>
            </c:ext>
          </c:extLst>
        </c:ser>
        <c:dLbls>
          <c:showLegendKey val="0"/>
          <c:showVal val="0"/>
          <c:showCatName val="0"/>
          <c:showSerName val="0"/>
          <c:showPercent val="0"/>
          <c:showBubbleSize val="0"/>
        </c:dLbls>
        <c:gapWidth val="150"/>
        <c:shape val="box"/>
        <c:axId val="1786937888"/>
        <c:axId val="1786942208"/>
        <c:axId val="0"/>
      </c:bar3DChart>
      <c:catAx>
        <c:axId val="178693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86942208"/>
        <c:crosses val="autoZero"/>
        <c:auto val="1"/>
        <c:lblAlgn val="ctr"/>
        <c:lblOffset val="100"/>
        <c:noMultiLvlLbl val="0"/>
      </c:catAx>
      <c:valAx>
        <c:axId val="178694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8693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0" i="0" u="none" strike="noStrike" kern="1200" spc="0" baseline="0">
                <a:solidFill>
                  <a:srgbClr val="000000">
                    <a:lumMod val="65000"/>
                    <a:lumOff val="35000"/>
                  </a:srgbClr>
                </a:solidFill>
              </a:rPr>
              <a:t>Participación en órdenes técnicas de Investigación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dLbls>
            <c:dLbl>
              <c:idx val="0"/>
              <c:layout>
                <c:manualLayout>
                  <c:x val="2.5462668816039986E-17"/>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C5F-49E7-9AA2-D673056568F5}"/>
                </c:ext>
              </c:extLst>
            </c:dLbl>
            <c:dLbl>
              <c:idx val="1"/>
              <c:layout>
                <c:manualLayout>
                  <c:x val="0"/>
                  <c:y val="0.13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C5F-49E7-9AA2-D673056568F5}"/>
                </c:ext>
              </c:extLst>
            </c:dLbl>
            <c:dLbl>
              <c:idx val="2"/>
              <c:layout>
                <c:manualLayout>
                  <c:x val="0"/>
                  <c:y val="8.79629629629629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C5F-49E7-9AA2-D673056568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Ene.2025</c:v>
              </c:pt>
              <c:pt idx="1">
                <c:v>Feb.2025</c:v>
              </c:pt>
              <c:pt idx="2">
                <c:v>Mzo.2025</c:v>
              </c:pt>
            </c:strLit>
          </c:cat>
          <c:val>
            <c:numLit>
              <c:formatCode>General</c:formatCode>
              <c:ptCount val="3"/>
              <c:pt idx="0">
                <c:v>90</c:v>
              </c:pt>
              <c:pt idx="1">
                <c:v>53</c:v>
              </c:pt>
              <c:pt idx="2">
                <c:v>88</c:v>
              </c:pt>
            </c:numLit>
          </c:val>
          <c:extLst>
            <c:ext xmlns:c16="http://schemas.microsoft.com/office/drawing/2014/chart" uri="{C3380CC4-5D6E-409C-BE32-E72D297353CC}">
              <c16:uniqueId val="{00000003-EC5F-49E7-9AA2-D673056568F5}"/>
            </c:ext>
          </c:extLst>
        </c:ser>
        <c:dLbls>
          <c:showLegendKey val="0"/>
          <c:showVal val="0"/>
          <c:showCatName val="0"/>
          <c:showSerName val="0"/>
          <c:showPercent val="0"/>
          <c:showBubbleSize val="0"/>
        </c:dLbls>
        <c:gapWidth val="150"/>
        <c:shape val="box"/>
        <c:axId val="328784448"/>
        <c:axId val="328767648"/>
        <c:axId val="326028368"/>
      </c:bar3DChart>
      <c:catAx>
        <c:axId val="328784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767648"/>
        <c:crosses val="autoZero"/>
        <c:auto val="1"/>
        <c:lblAlgn val="ctr"/>
        <c:lblOffset val="100"/>
        <c:noMultiLvlLbl val="0"/>
      </c:catAx>
      <c:valAx>
        <c:axId val="32876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784448"/>
        <c:crosses val="autoZero"/>
        <c:crossBetween val="between"/>
      </c:valAx>
      <c:serAx>
        <c:axId val="3260283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767648"/>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0" i="0" u="none" strike="noStrike" kern="1200" spc="0" baseline="0">
                <a:solidFill>
                  <a:srgbClr val="000000">
                    <a:lumMod val="65000"/>
                    <a:lumOff val="35000"/>
                  </a:srgbClr>
                </a:solidFill>
              </a:rPr>
              <a:t>Participación en órdenes técnicas de Investigación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Nov.2024</c:v>
              </c:pt>
              <c:pt idx="1">
                <c:v>Dic. 2024</c:v>
              </c:pt>
            </c:strLit>
          </c:cat>
          <c:val>
            <c:numLit>
              <c:formatCode>General</c:formatCode>
              <c:ptCount val="2"/>
              <c:pt idx="0">
                <c:v>63</c:v>
              </c:pt>
              <c:pt idx="1">
                <c:v>66</c:v>
              </c:pt>
            </c:numLit>
          </c:val>
          <c:extLst>
            <c:ext xmlns:c16="http://schemas.microsoft.com/office/drawing/2014/chart" uri="{C3380CC4-5D6E-409C-BE32-E72D297353CC}">
              <c16:uniqueId val="{00000000-93B3-4F14-9F75-B06F6D07DB88}"/>
            </c:ext>
          </c:extLst>
        </c:ser>
        <c:dLbls>
          <c:showLegendKey val="0"/>
          <c:showVal val="0"/>
          <c:showCatName val="0"/>
          <c:showSerName val="0"/>
          <c:showPercent val="0"/>
          <c:showBubbleSize val="0"/>
        </c:dLbls>
        <c:gapWidth val="150"/>
        <c:shape val="box"/>
        <c:axId val="328763808"/>
        <c:axId val="328780128"/>
        <c:axId val="0"/>
      </c:bar3DChart>
      <c:catAx>
        <c:axId val="328763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780128"/>
        <c:crosses val="autoZero"/>
        <c:auto val="1"/>
        <c:lblAlgn val="ctr"/>
        <c:lblOffset val="100"/>
        <c:noMultiLvlLbl val="0"/>
      </c:catAx>
      <c:valAx>
        <c:axId val="32878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2876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s-MX" sz="1400" b="0" i="0" u="none" strike="noStrike" kern="1200" spc="0" baseline="0">
                <a:solidFill>
                  <a:srgbClr val="000000">
                    <a:lumMod val="65000"/>
                    <a:lumOff val="35000"/>
                  </a:srgbClr>
                </a:solidFill>
              </a:rPr>
              <a:t>Participación en órdenes técnicas de Investigación</a:t>
            </a:r>
          </a:p>
          <a:p>
            <a:pPr marL="0" marR="0" lvl="0" indent="0" algn="ctr" defTabSz="914400" rtl="0" eaLnBrk="1" fontAlgn="auto" latinLnBrk="0" hangingPunct="1">
              <a:lnSpc>
                <a:spcPct val="100000"/>
              </a:lnSpc>
              <a:spcBef>
                <a:spcPts val="0"/>
              </a:spcBef>
              <a:spcAft>
                <a:spcPts val="0"/>
              </a:spcAft>
              <a:buClrTx/>
              <a:buSzTx/>
              <a:buFontTx/>
              <a:buNone/>
              <a:tabLst/>
              <a:defRPr>
                <a:solidFill>
                  <a:srgbClr val="000000">
                    <a:lumMod val="65000"/>
                    <a:lumOff val="35000"/>
                  </a:srgbClr>
                </a:solidFill>
              </a:defRPr>
            </a:pPr>
            <a:endParaRPr lang="es-MX"/>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Nov.2024</c:v>
              </c:pt>
              <c:pt idx="1">
                <c:v>Dic. 2024</c:v>
              </c:pt>
              <c:pt idx="2">
                <c:v>Ene.2025</c:v>
              </c:pt>
              <c:pt idx="3">
                <c:v>Feb.2025</c:v>
              </c:pt>
              <c:pt idx="4">
                <c:v>Mzo.2025</c:v>
              </c:pt>
            </c:strLit>
          </c:cat>
          <c:val>
            <c:numLit>
              <c:formatCode>General</c:formatCode>
              <c:ptCount val="5"/>
              <c:pt idx="0">
                <c:v>99</c:v>
              </c:pt>
              <c:pt idx="1">
                <c:v>66</c:v>
              </c:pt>
              <c:pt idx="2">
                <c:v>90</c:v>
              </c:pt>
              <c:pt idx="3">
                <c:v>53</c:v>
              </c:pt>
              <c:pt idx="4">
                <c:v>88</c:v>
              </c:pt>
            </c:numLit>
          </c:val>
          <c:extLst>
            <c:ext xmlns:c16="http://schemas.microsoft.com/office/drawing/2014/chart" uri="{C3380CC4-5D6E-409C-BE32-E72D297353CC}">
              <c16:uniqueId val="{00000000-635E-4C41-BA4D-72D6DB299BA2}"/>
            </c:ext>
          </c:extLst>
        </c:ser>
        <c:dLbls>
          <c:showLegendKey val="0"/>
          <c:showVal val="0"/>
          <c:showCatName val="0"/>
          <c:showSerName val="0"/>
          <c:showPercent val="0"/>
          <c:showBubbleSize val="0"/>
        </c:dLbls>
        <c:gapWidth val="150"/>
        <c:shape val="box"/>
        <c:axId val="1786937888"/>
        <c:axId val="1786942208"/>
        <c:axId val="0"/>
      </c:bar3DChart>
      <c:catAx>
        <c:axId val="1786937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86942208"/>
        <c:crosses val="autoZero"/>
        <c:auto val="1"/>
        <c:lblAlgn val="ctr"/>
        <c:lblOffset val="100"/>
        <c:noMultiLvlLbl val="0"/>
      </c:catAx>
      <c:valAx>
        <c:axId val="1786942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869378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0" i="0" u="none" strike="noStrike" kern="1200" spc="0" baseline="0">
                <a:solidFill>
                  <a:srgbClr val="000000">
                    <a:lumMod val="65000"/>
                    <a:lumOff val="35000"/>
                  </a:srgbClr>
                </a:solidFill>
              </a:rPr>
              <a:t>Participación en órdenes técnicas de Investigación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dLbl>
              <c:idx val="0"/>
              <c:layout>
                <c:manualLayout>
                  <c:x val="0"/>
                  <c:y val="0.2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F7A-47E1-8ABA-BED1DF00FAB0}"/>
                </c:ext>
              </c:extLst>
            </c:dLbl>
            <c:dLbl>
              <c:idx val="1"/>
              <c:layout>
                <c:manualLayout>
                  <c:x val="2.7777777777777779E-3"/>
                  <c:y val="0.1342592592592592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MX"/>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F7A-47E1-8ABA-BED1DF00FA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corte FAP'!$D$98:$D$99</c:f>
              <c:strCache>
                <c:ptCount val="2"/>
                <c:pt idx="0">
                  <c:v>Abril 2025</c:v>
                </c:pt>
                <c:pt idx="1">
                  <c:v>15 de Mayo 2025</c:v>
                </c:pt>
              </c:strCache>
            </c:strRef>
          </c:cat>
          <c:val>
            <c:numRef>
              <c:f>'2 corte FAP'!$E$98:$E$99</c:f>
              <c:numCache>
                <c:formatCode>General</c:formatCode>
                <c:ptCount val="2"/>
                <c:pt idx="0">
                  <c:v>84</c:v>
                </c:pt>
                <c:pt idx="1">
                  <c:v>38</c:v>
                </c:pt>
              </c:numCache>
            </c:numRef>
          </c:val>
          <c:extLst>
            <c:ext xmlns:c16="http://schemas.microsoft.com/office/drawing/2014/chart" uri="{C3380CC4-5D6E-409C-BE32-E72D297353CC}">
              <c16:uniqueId val="{00000002-1F7A-47E1-8ABA-BED1DF00FAB0}"/>
            </c:ext>
          </c:extLst>
        </c:ser>
        <c:dLbls>
          <c:showLegendKey val="0"/>
          <c:showVal val="0"/>
          <c:showCatName val="0"/>
          <c:showSerName val="0"/>
          <c:showPercent val="0"/>
          <c:showBubbleSize val="0"/>
        </c:dLbls>
        <c:gapWidth val="150"/>
        <c:shape val="box"/>
        <c:axId val="1651433823"/>
        <c:axId val="1651443903"/>
        <c:axId val="0"/>
      </c:bar3DChart>
      <c:catAx>
        <c:axId val="16514338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51443903"/>
        <c:crosses val="autoZero"/>
        <c:auto val="1"/>
        <c:lblAlgn val="ctr"/>
        <c:lblOffset val="100"/>
        <c:noMultiLvlLbl val="0"/>
      </c:catAx>
      <c:valAx>
        <c:axId val="165144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51433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sz="1400" b="0" i="0" u="none" strike="noStrike" kern="1200" spc="0" baseline="0">
                <a:solidFill>
                  <a:srgbClr val="000000">
                    <a:lumMod val="65000"/>
                    <a:lumOff val="35000"/>
                  </a:srgbClr>
                </a:solidFill>
              </a:rPr>
              <a:t>Participación en órdenes técnicas de Investigación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dLbl>
              <c:idx val="0"/>
              <c:layout>
                <c:manualLayout>
                  <c:x val="0"/>
                  <c:y val="0.236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7BC-421E-8179-BD0D92F20A6D}"/>
                </c:ext>
              </c:extLst>
            </c:dLbl>
            <c:dLbl>
              <c:idx val="1"/>
              <c:layout>
                <c:manualLayout>
                  <c:x val="0"/>
                  <c:y val="0.12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7BC-421E-8179-BD0D92F20A6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corte FAP'!$F$128:$F$129</c:f>
              <c:strCache>
                <c:ptCount val="2"/>
                <c:pt idx="0">
                  <c:v>Abril 2025</c:v>
                </c:pt>
                <c:pt idx="1">
                  <c:v>19 de Mayo 2025</c:v>
                </c:pt>
              </c:strCache>
            </c:strRef>
          </c:cat>
          <c:val>
            <c:numRef>
              <c:f>'2 corte FAP'!$G$128:$G$129</c:f>
              <c:numCache>
                <c:formatCode>General</c:formatCode>
                <c:ptCount val="2"/>
                <c:pt idx="0">
                  <c:v>84</c:v>
                </c:pt>
                <c:pt idx="1">
                  <c:v>50</c:v>
                </c:pt>
              </c:numCache>
            </c:numRef>
          </c:val>
          <c:extLst>
            <c:ext xmlns:c16="http://schemas.microsoft.com/office/drawing/2014/chart" uri="{C3380CC4-5D6E-409C-BE32-E72D297353CC}">
              <c16:uniqueId val="{00000000-17BC-421E-8179-BD0D92F20A6D}"/>
            </c:ext>
          </c:extLst>
        </c:ser>
        <c:dLbls>
          <c:showLegendKey val="0"/>
          <c:showVal val="0"/>
          <c:showCatName val="0"/>
          <c:showSerName val="0"/>
          <c:showPercent val="0"/>
          <c:showBubbleSize val="0"/>
        </c:dLbls>
        <c:gapWidth val="150"/>
        <c:shape val="box"/>
        <c:axId val="1832046847"/>
        <c:axId val="1832055007"/>
        <c:axId val="0"/>
      </c:bar3DChart>
      <c:catAx>
        <c:axId val="18320468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832055007"/>
        <c:crosses val="autoZero"/>
        <c:auto val="1"/>
        <c:lblAlgn val="ctr"/>
        <c:lblOffset val="100"/>
        <c:noMultiLvlLbl val="0"/>
      </c:catAx>
      <c:valAx>
        <c:axId val="183205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832046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561975</xdr:colOff>
      <xdr:row>39</xdr:row>
      <xdr:rowOff>128587</xdr:rowOff>
    </xdr:from>
    <xdr:to>
      <xdr:col>8</xdr:col>
      <xdr:colOff>66675</xdr:colOff>
      <xdr:row>54</xdr:row>
      <xdr:rowOff>14287</xdr:rowOff>
    </xdr:to>
    <xdr:graphicFrame macro="">
      <xdr:nvGraphicFramePr>
        <xdr:cNvPr id="2" name="Gráfico 1">
          <a:extLst>
            <a:ext uri="{FF2B5EF4-FFF2-40B4-BE49-F238E27FC236}">
              <a16:creationId xmlns:a16="http://schemas.microsoft.com/office/drawing/2014/main" id="{02297908-BFBD-4913-BE22-A2A40905D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161925</xdr:colOff>
      <xdr:row>24</xdr:row>
      <xdr:rowOff>80962</xdr:rowOff>
    </xdr:from>
    <xdr:to>
      <xdr:col>17</xdr:col>
      <xdr:colOff>161925</xdr:colOff>
      <xdr:row>38</xdr:row>
      <xdr:rowOff>157162</xdr:rowOff>
    </xdr:to>
    <xdr:graphicFrame macro="">
      <xdr:nvGraphicFramePr>
        <xdr:cNvPr id="3" name="Gráfico 2">
          <a:extLst>
            <a:ext uri="{FF2B5EF4-FFF2-40B4-BE49-F238E27FC236}">
              <a16:creationId xmlns:a16="http://schemas.microsoft.com/office/drawing/2014/main" id="{5D1EC2B3-AEB7-4939-BDE8-08A409EBE9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819150</xdr:colOff>
      <xdr:row>57</xdr:row>
      <xdr:rowOff>4762</xdr:rowOff>
    </xdr:from>
    <xdr:to>
      <xdr:col>10</xdr:col>
      <xdr:colOff>361950</xdr:colOff>
      <xdr:row>71</xdr:row>
      <xdr:rowOff>80962</xdr:rowOff>
    </xdr:to>
    <xdr:graphicFrame macro="">
      <xdr:nvGraphicFramePr>
        <xdr:cNvPr id="4" name="Gráfico 3">
          <a:extLst>
            <a:ext uri="{FF2B5EF4-FFF2-40B4-BE49-F238E27FC236}">
              <a16:creationId xmlns:a16="http://schemas.microsoft.com/office/drawing/2014/main" id="{9439BE65-887E-428F-9353-AB65790877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247650</xdr:colOff>
      <xdr:row>93</xdr:row>
      <xdr:rowOff>138112</xdr:rowOff>
    </xdr:from>
    <xdr:to>
      <xdr:col>13</xdr:col>
      <xdr:colOff>247650</xdr:colOff>
      <xdr:row>108</xdr:row>
      <xdr:rowOff>23812</xdr:rowOff>
    </xdr:to>
    <xdr:graphicFrame macro="">
      <xdr:nvGraphicFramePr>
        <xdr:cNvPr id="5" name="Gráfico 4">
          <a:extLst>
            <a:ext uri="{FF2B5EF4-FFF2-40B4-BE49-F238E27FC236}">
              <a16:creationId xmlns:a16="http://schemas.microsoft.com/office/drawing/2014/main" id="{505861AD-592C-40C2-8969-305EAFC05F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190500</xdr:colOff>
      <xdr:row>104</xdr:row>
      <xdr:rowOff>71437</xdr:rowOff>
    </xdr:from>
    <xdr:to>
      <xdr:col>6</xdr:col>
      <xdr:colOff>1000125</xdr:colOff>
      <xdr:row>118</xdr:row>
      <xdr:rowOff>147637</xdr:rowOff>
    </xdr:to>
    <xdr:graphicFrame macro="">
      <xdr:nvGraphicFramePr>
        <xdr:cNvPr id="6" name="Gráfico 5">
          <a:extLst>
            <a:ext uri="{FF2B5EF4-FFF2-40B4-BE49-F238E27FC236}">
              <a16:creationId xmlns:a16="http://schemas.microsoft.com/office/drawing/2014/main" id="{C9442DFE-4B8C-436E-A87C-429B2236C0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514350</xdr:colOff>
      <xdr:row>101</xdr:row>
      <xdr:rowOff>185737</xdr:rowOff>
    </xdr:from>
    <xdr:to>
      <xdr:col>19</xdr:col>
      <xdr:colOff>228600</xdr:colOff>
      <xdr:row>116</xdr:row>
      <xdr:rowOff>71437</xdr:rowOff>
    </xdr:to>
    <xdr:graphicFrame macro="">
      <xdr:nvGraphicFramePr>
        <xdr:cNvPr id="7" name="Gráfico 6">
          <a:extLst>
            <a:ext uri="{FF2B5EF4-FFF2-40B4-BE49-F238E27FC236}">
              <a16:creationId xmlns:a16="http://schemas.microsoft.com/office/drawing/2014/main" id="{7A064368-DEC6-44F3-91B3-C0EFABBD25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561975</xdr:colOff>
      <xdr:row>39</xdr:row>
      <xdr:rowOff>128587</xdr:rowOff>
    </xdr:from>
    <xdr:to>
      <xdr:col>8</xdr:col>
      <xdr:colOff>66675</xdr:colOff>
      <xdr:row>54</xdr:row>
      <xdr:rowOff>14287</xdr:rowOff>
    </xdr:to>
    <xdr:graphicFrame macro="">
      <xdr:nvGraphicFramePr>
        <xdr:cNvPr id="2" name="Gráfico 1">
          <a:extLst>
            <a:ext uri="{FF2B5EF4-FFF2-40B4-BE49-F238E27FC236}">
              <a16:creationId xmlns:a16="http://schemas.microsoft.com/office/drawing/2014/main" id="{8DE266FA-0853-4CF4-BDC1-8D1F048D7E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161925</xdr:colOff>
      <xdr:row>24</xdr:row>
      <xdr:rowOff>80962</xdr:rowOff>
    </xdr:from>
    <xdr:to>
      <xdr:col>17</xdr:col>
      <xdr:colOff>161925</xdr:colOff>
      <xdr:row>38</xdr:row>
      <xdr:rowOff>157162</xdr:rowOff>
    </xdr:to>
    <xdr:graphicFrame macro="">
      <xdr:nvGraphicFramePr>
        <xdr:cNvPr id="3" name="Gráfico 2">
          <a:extLst>
            <a:ext uri="{FF2B5EF4-FFF2-40B4-BE49-F238E27FC236}">
              <a16:creationId xmlns:a16="http://schemas.microsoft.com/office/drawing/2014/main" id="{521AA170-2AFC-4CA4-8F41-962B4B178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819150</xdr:colOff>
      <xdr:row>57</xdr:row>
      <xdr:rowOff>4762</xdr:rowOff>
    </xdr:from>
    <xdr:to>
      <xdr:col>10</xdr:col>
      <xdr:colOff>361950</xdr:colOff>
      <xdr:row>71</xdr:row>
      <xdr:rowOff>80962</xdr:rowOff>
    </xdr:to>
    <xdr:graphicFrame macro="">
      <xdr:nvGraphicFramePr>
        <xdr:cNvPr id="4" name="Gráfico 3">
          <a:extLst>
            <a:ext uri="{FF2B5EF4-FFF2-40B4-BE49-F238E27FC236}">
              <a16:creationId xmlns:a16="http://schemas.microsoft.com/office/drawing/2014/main" id="{D7CCCC25-DF18-479C-894B-9004676DDA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561975</xdr:colOff>
      <xdr:row>39</xdr:row>
      <xdr:rowOff>128587</xdr:rowOff>
    </xdr:from>
    <xdr:to>
      <xdr:col>8</xdr:col>
      <xdr:colOff>66675</xdr:colOff>
      <xdr:row>54</xdr:row>
      <xdr:rowOff>14287</xdr:rowOff>
    </xdr:to>
    <xdr:graphicFrame macro="">
      <xdr:nvGraphicFramePr>
        <xdr:cNvPr id="2" name="Gráfico 1">
          <a:extLst>
            <a:ext uri="{FF2B5EF4-FFF2-40B4-BE49-F238E27FC236}">
              <a16:creationId xmlns:a16="http://schemas.microsoft.com/office/drawing/2014/main" id="{A69F9A64-17C3-41C9-A6BF-997A8E35C6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161925</xdr:colOff>
      <xdr:row>24</xdr:row>
      <xdr:rowOff>80962</xdr:rowOff>
    </xdr:from>
    <xdr:to>
      <xdr:col>17</xdr:col>
      <xdr:colOff>161925</xdr:colOff>
      <xdr:row>38</xdr:row>
      <xdr:rowOff>157162</xdr:rowOff>
    </xdr:to>
    <xdr:graphicFrame macro="">
      <xdr:nvGraphicFramePr>
        <xdr:cNvPr id="3" name="Gráfico 2">
          <a:extLst>
            <a:ext uri="{FF2B5EF4-FFF2-40B4-BE49-F238E27FC236}">
              <a16:creationId xmlns:a16="http://schemas.microsoft.com/office/drawing/2014/main" id="{A57D734E-E8BA-4312-9E4A-DA77CC760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819150</xdr:colOff>
      <xdr:row>57</xdr:row>
      <xdr:rowOff>4762</xdr:rowOff>
    </xdr:from>
    <xdr:to>
      <xdr:col>10</xdr:col>
      <xdr:colOff>361950</xdr:colOff>
      <xdr:row>71</xdr:row>
      <xdr:rowOff>80962</xdr:rowOff>
    </xdr:to>
    <xdr:graphicFrame macro="">
      <xdr:nvGraphicFramePr>
        <xdr:cNvPr id="4" name="Gráfico 3">
          <a:extLst>
            <a:ext uri="{FF2B5EF4-FFF2-40B4-BE49-F238E27FC236}">
              <a16:creationId xmlns:a16="http://schemas.microsoft.com/office/drawing/2014/main" id="{5C189599-0007-445D-904C-FAC164A8B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1704975</xdr:colOff>
      <xdr:row>87</xdr:row>
      <xdr:rowOff>109537</xdr:rowOff>
    </xdr:from>
    <xdr:to>
      <xdr:col>12</xdr:col>
      <xdr:colOff>609600</xdr:colOff>
      <xdr:row>101</xdr:row>
      <xdr:rowOff>185737</xdr:rowOff>
    </xdr:to>
    <xdr:graphicFrame macro="">
      <xdr:nvGraphicFramePr>
        <xdr:cNvPr id="5" name="Gráfico 4">
          <a:extLst>
            <a:ext uri="{FF2B5EF4-FFF2-40B4-BE49-F238E27FC236}">
              <a16:creationId xmlns:a16="http://schemas.microsoft.com/office/drawing/2014/main" id="{8ED37C61-7F61-4743-8129-171D65F98B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628650</xdr:colOff>
      <xdr:row>116</xdr:row>
      <xdr:rowOff>166687</xdr:rowOff>
    </xdr:from>
    <xdr:to>
      <xdr:col>14</xdr:col>
      <xdr:colOff>628650</xdr:colOff>
      <xdr:row>131</xdr:row>
      <xdr:rowOff>52387</xdr:rowOff>
    </xdr:to>
    <xdr:graphicFrame macro="">
      <xdr:nvGraphicFramePr>
        <xdr:cNvPr id="6" name="Gráfico 5">
          <a:extLst>
            <a:ext uri="{FF2B5EF4-FFF2-40B4-BE49-F238E27FC236}">
              <a16:creationId xmlns:a16="http://schemas.microsoft.com/office/drawing/2014/main" id="{5E2F5D70-90E1-E062-8515-6314BB1D7B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VANESSA ARGELIA DE JESUS PERALTA" id="{0AE76364-124A-4ABA-A124-B2F1D0A28C57}" userId="S-1-5-21-1005985328-90042635-2121446689-34529" providerId="AD"/>
  <person displayName="JESSICA LIZETH MORENO ARIAS" id="{4390EB4B-E96B-4B4F-ABD8-EC974D9C653F}" userId="S-1-5-21-1005985328-90042635-2121446689-5715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13" displayName="Tabla13" ref="D2:Q7" totalsRowShown="0">
  <autoFilter ref="D2:Q7" xr:uid="{00000000-0009-0000-0100-000002000000}"/>
  <tableColumns count="14">
    <tableColumn id="1" xr3:uid="{00000000-0010-0000-0000-000001000000}" name="Gestiones de desactivacion de sitios web" dataDxfId="1"/>
    <tableColumn id="2" xr3:uid="{00000000-0010-0000-0000-000002000000}" name="Enero"/>
    <tableColumn id="3" xr3:uid="{00000000-0010-0000-0000-000003000000}" name="Febrero"/>
    <tableColumn id="4" xr3:uid="{00000000-0010-0000-0000-000004000000}" name="Marzo"/>
    <tableColumn id="5" xr3:uid="{00000000-0010-0000-0000-000005000000}" name="Abril"/>
    <tableColumn id="6" xr3:uid="{00000000-0010-0000-0000-000006000000}" name="Mayo"/>
    <tableColumn id="7" xr3:uid="{00000000-0010-0000-0000-000007000000}" name="Junio"/>
    <tableColumn id="8" xr3:uid="{00000000-0010-0000-0000-000008000000}" name="Julio"/>
    <tableColumn id="9" xr3:uid="{00000000-0010-0000-0000-000009000000}" name="Agosto"/>
    <tableColumn id="10" xr3:uid="{00000000-0010-0000-0000-00000A000000}" name="Septiembre"/>
    <tableColumn id="11" xr3:uid="{00000000-0010-0000-0000-00000B000000}" name="Octubre"/>
    <tableColumn id="12" xr3:uid="{00000000-0010-0000-0000-00000C000000}" name="Noviembre"/>
    <tableColumn id="13" xr3:uid="{00000000-0010-0000-0000-00000D000000}" name="Diciembre"/>
    <tableColumn id="14" xr3:uid="{00000000-0010-0000-0000-00000E000000}" name="Total"/>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1" displayName="Tabla1" ref="B2:O14" totalsRowShown="0">
  <autoFilter ref="B2:O14" xr:uid="{00000000-0009-0000-0100-000001000000}"/>
  <tableColumns count="14">
    <tableColumn id="1" xr3:uid="{00000000-0010-0000-0100-000001000000}" name="Investigaciones cibernéticas" dataDxfId="0"/>
    <tableColumn id="2" xr3:uid="{00000000-0010-0000-0100-000002000000}" name="Enero"/>
    <tableColumn id="3" xr3:uid="{00000000-0010-0000-0100-000003000000}" name="Febrero"/>
    <tableColumn id="4" xr3:uid="{00000000-0010-0000-0100-000004000000}" name="Marzo"/>
    <tableColumn id="5" xr3:uid="{00000000-0010-0000-0100-000005000000}" name="Abril"/>
    <tableColumn id="6" xr3:uid="{00000000-0010-0000-0100-000006000000}" name="Mayo"/>
    <tableColumn id="7" xr3:uid="{00000000-0010-0000-0100-000007000000}" name="Junio"/>
    <tableColumn id="8" xr3:uid="{00000000-0010-0000-0100-000008000000}" name="Julio"/>
    <tableColumn id="9" xr3:uid="{00000000-0010-0000-0100-000009000000}" name="Agosto"/>
    <tableColumn id="10" xr3:uid="{00000000-0010-0000-0100-00000A000000}" name="Septiembre"/>
    <tableColumn id="11" xr3:uid="{00000000-0010-0000-0100-00000B000000}" name="Octubre"/>
    <tableColumn id="12" xr3:uid="{00000000-0010-0000-0100-00000C000000}" name="Noviembre"/>
    <tableColumn id="13" xr3:uid="{00000000-0010-0000-0100-00000D000000}" name="Diciembre"/>
    <tableColumn id="14" xr3:uid="{00000000-0010-0000-0100-00000E000000}" name="Total">
      <calculatedColumnFormula>SUM(Tabla1[[#This Row],[Enero]:[Diciembre]])</calculatedColumnFormula>
    </tableColumn>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N13" dT="2024-09-05T17:28:06.72" personId="{0AE76364-124A-4ABA-A124-B2F1D0A28C57}" id="{41978D7D-5A30-41F0-A7E3-4D46018EF616}">
    <text>Se agregan 06 servicios de la 2a quincena de agosto</text>
  </threadedComment>
  <threadedComment ref="CN13" dT="2024-09-12T16:42:09.68" personId="{0AE76364-124A-4ABA-A124-B2F1D0A28C57}" id="{0B1C29CE-3192-4F6B-8756-E34EA4BE9B6C}" parentId="{41978D7D-5A30-41F0-A7E3-4D46018EF616}">
    <text>1a quincena de septiembre 11 servicios.
Se suman los 6 de la segunda quincena de agosto, en total : 17</text>
  </threadedComment>
  <threadedComment ref="CN14" dT="2024-09-05T17:28:27.36" personId="{0AE76364-124A-4ABA-A124-B2F1D0A28C57}" id="{CBD9BAB0-F115-491C-84D3-59B37417348B}">
    <text>Se agregan 03 solicitudes de la 2a quincena de agosto</text>
  </threadedComment>
  <threadedComment ref="CN14" dT="2024-09-12T16:49:52.43" personId="{0AE76364-124A-4ABA-A124-B2F1D0A28C57}" id="{7A51E71C-FB3B-4985-9DEF-E982FAEE2422}" parentId="{CBD9BAB0-F115-491C-84D3-59B37417348B}">
    <text>1a quincena de septiembre 5 solicitudes atendidas. 
Se suman las 3 sol de la 2a quincena de agosto, en total :8 solicitudes</text>
  </threadedComment>
  <threadedComment ref="BX22" dT="2024-06-11T18:53:38.69" personId="{0AE76364-124A-4ABA-A124-B2F1D0A28C57}" id="{562B7278-FA68-43A4-9E9C-5F419902C7A7}">
    <text>TENIA 11 PERO ERAN TRAFICO</text>
  </threadedComment>
  <threadedComment ref="BZ22" dT="2024-06-11T18:54:27.16" personId="{0AE76364-124A-4ABA-A124-B2F1D0A28C57}" id="{E0F784BF-09F3-4BE0-9776-3D97932AE888}">
    <text>TENIA 5 PERO ERAN TRAFICO</text>
  </threadedComment>
  <threadedComment ref="B23" dT="2022-12-06T19:49:33.04" personId="{0AE76364-124A-4ABA-A124-B2F1D0A28C57}" id="{96E2B4CC-82D3-4AB0-9AE7-2BA4FD917D57}">
    <text>SE TOMARA A PARTIR DE DICIEMBRE -SEGUN LO REQUERIDO POR LA MTRA. MIRYAM</text>
  </threadedComment>
  <threadedComment ref="BX24" dT="2024-08-16T18:48:48.09" personId="{0AE76364-124A-4ABA-A124-B2F1D0A28C57}" id="{5DFDFC01-33D7-4574-9F62-83A52248CA72}">
    <text>Se quitan de trata y pasan a trafico, según el detalle</text>
  </threadedComment>
  <threadedComment ref="B30" dT="2024-05-29T17:57:31.07" personId="{0AE76364-124A-4ABA-A124-B2F1D0A28C57}" id="{22A4F432-D675-4AF0-AFCE-3204392080FF}">
    <text>VIOLACIÓN DE LA INTIMIDAD PERSONAL Y FAMILIAR,VIOLENCIA DE GÉNERO,VIOLENCIA CONTRA LA INTIMIDAD SEXUAL,VIOLENCIA CONTRA LAS MUJERES,VIOLACIÓN A LA INTIMIDAD SEXUAL,VIOLENCIA DIGITAL</text>
  </threadedComment>
  <threadedComment ref="BY30" dT="2024-08-16T18:46:39.23" personId="{0AE76364-124A-4ABA-A124-B2F1D0A28C57}" id="{A66E0923-DE13-4A43-B1C8-8DC1C48FB3A3}">
    <text>Tenia 3, se ajusta de acuerdo al detalle</text>
  </threadedComment>
  <threadedComment ref="CC30" dT="2024-08-16T18:50:09.04" personId="{0AE76364-124A-4ABA-A124-B2F1D0A28C57}" id="{2ED59D40-C68A-459F-872D-102888A13CB8}">
    <text>Tenia 2, son 3 según el detalle</text>
  </threadedComment>
  <threadedComment ref="CG30" dT="2024-10-29T15:25:42.27" personId="{0AE76364-124A-4ABA-A124-B2F1D0A28C57}" id="{EFB7E532-296C-443F-8E6A-FB44B9ECA0AD}">
    <text>1: se cambia a octubre , debido a que en PAT el enlace de información tiene 87 ciberinvestigaciones en mayo</text>
  </threadedComment>
  <threadedComment ref="CQ30" dT="2024-10-29T15:27:07.26" personId="{0AE76364-124A-4ABA-A124-B2F1D0A28C57}" id="{6DE47BB4-FCAB-41A8-8206-7CDD9DE4A56B}">
    <text>Se agrega 1 UAGN de mayo, debido a que el enlace de información tiene 87 ciberinvestigaciones en mayo</text>
  </threadedComment>
  <threadedComment ref="AQ35" dT="2022-12-21T23:03:05.22" personId="{0AE76364-124A-4ABA-A124-B2F1D0A28C57}" id="{62D989DA-EF7E-4385-BC0F-DA48373654C0}">
    <text>EL AREA INDICA QUE ES 1 DEMIGRANTES</text>
  </threadedComment>
  <threadedComment ref="AU35" dT="2022-12-21T23:03:42.87" personId="{0AE76364-124A-4ABA-A124-B2F1D0A28C57}" id="{515786D1-D769-40FE-9710-95ECA20300C9}">
    <text>EL ÁREA INDICA QUE EN AGOSTO FALTO REPORTAR EN POA 1</text>
  </threadedComment>
  <threadedComment ref="AQ36" dT="2022-12-21T23:04:18.38" personId="{0AE76364-124A-4ABA-A124-B2F1D0A28C57}" id="{A3FE2EBF-5864-49CA-9542-48985F63D73F}">
    <text>1 DE MIGRANTES</text>
  </threadedComment>
  <threadedComment ref="B40" dT="2024-08-29T12:47:14.41" personId="{0AE76364-124A-4ABA-A124-B2F1D0A28C57}" id="{B1BD4138-F198-41F7-B973-62589406E79C}">
    <text>29/08/2024
Se agrega rubro, denuncia de Atención Ciudadana</text>
  </threadedComment>
  <threadedComment ref="CO41" dT="2024-10-15T02:17:54.68" personId="{0AE76364-124A-4ABA-A124-B2F1D0A28C57}" id="{88BA878B-8B0D-4D6E-8508-FA18BFC2D5CE}">
    <text>Atención Ciudadana</text>
  </threadedComment>
  <threadedComment ref="BW48" dT="2023-12-20T19:30:57.77" personId="{0AE76364-124A-4ABA-A124-B2F1D0A28C57}" id="{49938666-21EB-4D4D-8698-2AD4E2AB9F82}">
    <text>Son dos víctimas identificadas en la 1a en POA no lo reportaron pasa a la 2 de diciembre</text>
  </threadedComment>
  <threadedComment ref="CK48" dT="2024-08-12T21:13:43.95" personId="{4390EB4B-E96B-4B4F-ABD8-EC974D9C653F}" id="{3424BB25-AF1A-4077-91F4-F0B46A0DA701}">
    <text>Tener en cuenta ivan alejandro castillo leon</text>
  </threadedComment>
  <threadedComment ref="CK48" dT="2024-08-13T19:25:51.87" personId="{0AE76364-124A-4ABA-A124-B2F1D0A28C57}" id="{91AF623D-BD55-47A8-8FA1-16EE6815F62C}" parentId="{3424BB25-AF1A-4077-91F4-F0B46A0DA701}">
    <text>En esta quincena NO había victima de IVAN ALEJANDRO CASILLO LEON. 
12-08-2024 CENADEM INFORMA: que solo cambio el estatus de identificada a recuperada para la victima, pero no informo del cambio. SOLO ENVIO EL RELEVANTE Y SE REPORTO COMO OTRA VICTIMA. 
LO CORRECTO  EN ESTA QUINCENA ES 1 VICTIMA.</text>
  </threadedComment>
  <threadedComment ref="CL48" dT="2024-08-12T22:18:57.80" personId="{0AE76364-124A-4ABA-A124-B2F1D0A28C57}" id="{C3EC076D-F317-4EED-B0EA-620207CEFECB}">
    <text xml:space="preserve">Se había dejado 7, se ajusta a 6 ya se habían enviado los reportes.
</text>
  </threadedComment>
  <threadedComment ref="BU52" dT="2023-12-12T02:32:10.41" personId="{0AE76364-124A-4ABA-A124-B2F1D0A28C57}" id="{9C0B56C7-BB89-4E36-9864-3D5512CC9B6D}">
    <text xml:space="preserve">POR ERROR INVOLUNTARIO NO SE CONTARON 2 ALERTAS, PASAN A LA 1A QUINCENA DE DICIEMBRE </text>
  </threadedComment>
  <threadedComment ref="BV52" dT="2023-12-14T01:05:19.89" personId="{0AE76364-124A-4ABA-A124-B2F1D0A28C57}" id="{4863E2F2-4E26-499E-B621-EF5BDF1EF833}">
    <text>Se agregan 02 alertas de noviembre</text>
  </threadedComment>
  <threadedComment ref="BW56" dT="2024-07-31T18:09:26.06" personId="{4390EB4B-E96B-4B4F-ABD8-EC974D9C653F}" id="{E0D4A4D1-66E5-4C44-B63C-96EA2CA1D06F}">
    <text>REVISAR SACDE PASADO</text>
  </threadedComment>
  <threadedComment ref="CA56" dT="2024-07-31T18:09:35.58" personId="{4390EB4B-E96B-4B4F-ABD8-EC974D9C653F}" id="{E3FFE9D7-1B9A-4490-B8B9-D31D152CE3C3}">
    <text>REVISAR SACDE PASADO</text>
  </threadedComment>
  <threadedComment ref="B57" dT="2025-01-28T02:06:44.81" personId="{0AE76364-124A-4ABA-A124-B2F1D0A28C57}" id="{2228E9E6-4D28-4EB1-AC70-393E5CAA20FB}">
    <text>ATENCIÓN CIUDADANA ANTES: Monitoreo de sitios web en internet (30-01-2025)</text>
  </threadedComment>
  <threadedComment ref="BO60" dT="2023-10-13T19:43:50.33" personId="{0AE76364-124A-4ABA-A124-B2F1D0A28C57}" id="{3D48B06C-2F4E-413A-8842-03257AA91EE9}">
    <text>CERT; INFORMA QUE SON 19.
ANTES REPORTARON  15</text>
  </threadedComment>
  <threadedComment ref="BO61" dT="2023-10-13T19:44:08.32" personId="{0AE76364-124A-4ABA-A124-B2F1D0A28C57}" id="{ECEC7945-1796-4376-9D36-FA8F763E0B43}">
    <text>CERT INFORMA SON 59.
ANTES REPORTO 63</text>
  </threadedComment>
  <threadedComment ref="CJ67" dT="2024-10-29T15:38:41.78" personId="{0AE76364-124A-4ABA-A124-B2F1D0A28C57}" id="{8E973DF7-A3A2-49D1-9530-89F1D0680FBF}">
    <text>265 SE PASA A LA 2A QUINCENA DE SEPTIEMBRE</text>
  </threadedComment>
  <threadedComment ref="CO67" dT="2024-10-28T22:05:43.72" personId="{0AE76364-124A-4ABA-A124-B2F1D0A28C57}" id="{568240F4-7985-4652-B522-2330E2844DBA}">
    <text>Para el mes de septiembre se suma la 1a quincena de julio</text>
  </threadedComment>
  <threadedComment ref="CJ69" dT="2024-10-29T15:38:55.90" personId="{0AE76364-124A-4ABA-A124-B2F1D0A28C57}" id="{07D900BB-3FF4-44DA-AA5D-AC360185E410}">
    <text>1: PASA A LA 2A QUINCENA DE SEPTIEMBRE</text>
  </threadedComment>
  <threadedComment ref="CJ70" dT="2024-10-29T15:39:10.41" personId="{0AE76364-124A-4ABA-A124-B2F1D0A28C57}" id="{10466D99-0651-419F-8231-FFC736133AF7}">
    <text>262 PASA A LA 2A QUINCENA DE SEPTIEMBRE</text>
  </threadedComment>
  <threadedComment ref="CJ71" dT="2024-10-29T15:39:38.16" personId="{0AE76364-124A-4ABA-A124-B2F1D0A28C57}" id="{A4BF30C0-6D14-469C-B921-614B4E0466B5}">
    <text>2: PASA A LA 2A QUINCENA DE SEPT</text>
  </threadedComment>
  <threadedComment ref="CA76" dT="2024-06-14T17:56:37.14" personId="{0AE76364-124A-4ABA-A124-B2F1D0A28C57}" id="{7C136264-147D-4126-882C-F5D96106521A}">
    <text>Tenia 8837460</text>
  </threadedComment>
  <threadedComment ref="CC76" dT="2024-06-14T17:59:13.87" personId="{0AE76364-124A-4ABA-A124-B2F1D0A28C57}" id="{9ABE94C4-173D-4866-98DB-52F12B1F1788}">
    <text>LAS CIFRAS DE ESTE MES NO LAS REPORTO EL AREA SE PASAN A LA 1A QUINCENA DE JUNIO</text>
  </threadedComment>
  <threadedComment ref="CE76" dT="2024-05-28T19:04:25.55" personId="{0AE76364-124A-4ABA-A124-B2F1D0A28C57}" id="{46C75488-E904-44A0-B4A1-6008D9F2F111}">
    <text>SE REPORTO LO QUE INDICAN EN CORREO NO SE ABRIO EL ARCHIVO</text>
  </threadedComment>
  <threadedComment ref="CE76" dT="2024-06-14T17:50:08.80" personId="{0AE76364-124A-4ABA-A124-B2F1D0A28C57}" id="{FF479D85-4F44-4D6B-8280-5FFB6A78D930}" parentId="{46C75488-E904-44A0-B4A1-6008D9F2F111}">
    <text>153144</text>
  </threadedComment>
  <threadedComment ref="CF76" dT="2024-05-28T19:05:59.11" personId="{0AE76364-124A-4ABA-A124-B2F1D0A28C57}" id="{DED4D916-093C-4A02-BB1F-349ABBF8633A}">
    <text xml:space="preserve">SE REPORTO LA CIFRA DEL CORREO NO ENVIARON ARCHIVO
#InternetSeguroParaTodasyTodos 2,708,320 
#JusticiaYPaz 2,480,140 </text>
  </threadedComment>
  <threadedComment ref="CG76" dT="2024-05-29T17:57:19.79" personId="{0AE76364-124A-4ABA-A124-B2F1D0A28C57}" id="{0171A62A-2041-4897-A39D-CD6FE4AD0E7D}">
    <text>Se tomo en cuenta lo que restaba de la 1a quincena de mayo que no habían reportado + la 2a de mayo</text>
  </threadedComment>
  <threadedComment ref="CH76" dT="2024-06-13T22:22:22.79" personId="{0AE76364-124A-4ABA-A124-B2F1D0A28C57}" id="{5300C8B7-F1C2-4306-8886-4AB32FBFDAC5}">
    <text xml:space="preserve">PARA ESTA QUINCENA DE JUNIO EL AREA DE PREVENCIÓN SOLICITA SE CONSIDERA LAS VISUALIZACIONES DE LA 2A QUINCENA DE MARZO QUE NO HABIAN REPORTADO.
SE CONSIDERAN LAS SEMANAS DE 
02 al 08 de mar.
09 al 15 de mar.
16 al 22 de mar.
MAS LO REPORTADO EN LA 1A QUINCENA DE JUNIO </text>
  </threadedComment>
  <threadedComment ref="CE77" dT="2024-12-26T19:48:32.12" personId="{4390EB4B-E96B-4B4F-ABD8-EC974D9C653F}" id="{E301F896-F518-40B0-A6F8-5C2F0CBE04C4}">
    <text xml:space="preserve">Tenia 40
</text>
  </threadedComment>
  <threadedComment ref="CM77" dT="2024-12-26T19:49:14.94" personId="{4390EB4B-E96B-4B4F-ABD8-EC974D9C653F}" id="{808E4C80-DFAB-4324-9DEC-CAF9B2EDC0F0}">
    <text xml:space="preserve">Tenia 114
</text>
  </threadedComment>
  <threadedComment ref="CY77" dT="2025-03-26T06:16:18.64" personId="{4390EB4B-E96B-4B4F-ABD8-EC974D9C653F}" id="{CE4DAD37-8A4E-4320-AE58-18545E724BE5}">
    <text>Dato anterior 7049 error por lanzamiento campaña</text>
  </threadedComment>
  <threadedComment ref="AB79" dT="2023-10-20T17:32:14.34" personId="{0AE76364-124A-4ABA-A124-B2F1D0A28C57}" id="{43654FF2-7596-4896-8AB6-CA4D91E25292}">
    <text>FORO</text>
  </threadedComment>
  <threadedComment ref="AE79" dT="2023-10-20T17:33:44.91" personId="{0AE76364-124A-4ABA-A124-B2F1D0A28C57}" id="{205DE1FE-F562-4989-9AEE-B203C1AD4664}">
    <text>01 FORO; 01 ASESORIA</text>
  </threadedComment>
  <threadedComment ref="AF79" dT="2023-10-20T17:35:18.95" personId="{0AE76364-124A-4ABA-A124-B2F1D0A28C57}" id="{4A27BF2F-C38A-4352-8880-112415993A06}">
    <text>09 ASESORIAS; 03 FOROS</text>
  </threadedComment>
  <threadedComment ref="AH79" dT="2023-10-20T17:53:30.96" personId="{0AE76364-124A-4ABA-A124-B2F1D0A28C57}" id="{9BBA296F-DEF7-4657-AA1E-8C71A4C413BA}">
    <text>FORO</text>
  </threadedComment>
  <threadedComment ref="AK79" dT="2023-10-20T17:53:36.57" personId="{0AE76364-124A-4ABA-A124-B2F1D0A28C57}" id="{8E7D1781-D78F-40FE-9369-92AAD518A095}">
    <text>FORO</text>
  </threadedComment>
  <threadedComment ref="AL79" dT="2023-10-20T17:56:12.95" personId="{0AE76364-124A-4ABA-A124-B2F1D0A28C57}" id="{413F21D5-95DC-4DCD-81B2-934F182A6B83}">
    <text>FORO</text>
  </threadedComment>
  <threadedComment ref="AM79" dT="2023-10-20T17:57:46.27" personId="{0AE76364-124A-4ABA-A124-B2F1D0A28C57}" id="{308F5479-4C53-487A-9CA7-568185258809}">
    <text>FORO</text>
  </threadedComment>
  <threadedComment ref="BT82" dT="2023-11-28T22:38:39.93" personId="{0AE76364-124A-4ABA-A124-B2F1D0A28C57}" id="{3A6BA6DC-4322-448C-8D38-9CFDE1E4D62A}">
    <text>02 panel
01 foro</text>
  </threadedComment>
  <threadedComment ref="CS84" dT="2024-12-11T01:02:31.39" personId="{0AE76364-124A-4ABA-A124-B2F1D0A28C57}" id="{1A9A6AE1-869F-4546-8BFF-1E93C83ABEDA}">
    <text xml:space="preserve">#MexicoContraElCiberFraude (01 a 25 Nov 2024)
16,441,643 
</text>
  </threadedComment>
</ThreadedComments>
</file>

<file path=xl/threadedComments/threadedComment2.xml><?xml version="1.0" encoding="utf-8"?>
<ThreadedComments xmlns="http://schemas.microsoft.com/office/spreadsheetml/2018/threadedcomments" xmlns:x="http://schemas.openxmlformats.org/spreadsheetml/2006/main">
  <threadedComment ref="R4" dT="2023-10-13T19:43:50.33" personId="{0AE76364-124A-4ABA-A124-B2F1D0A28C57}" id="{E272C621-078C-4F90-932C-76C5EA5FE0D5}">
    <text>CERT; INFORMA QUE SON 19.
ANTES REPORTARON  15</text>
  </threadedComment>
  <threadedComment ref="R5" dT="2023-10-13T19:44:08.32" personId="{0AE76364-124A-4ABA-A124-B2F1D0A28C57}" id="{86F186DF-3BD7-4871-BF5C-7ACDB6258A84}">
    <text>CERT INFORMA SON 59.
ANTES REPORTO 63</text>
  </threadedComment>
  <threadedComment ref="R5" dT="2023-12-09T05:04:26.16" personId="{4390EB4B-E96B-4B4F-ABD8-EC974D9C653F}" id="{4379E1AA-BD9B-49EA-9D61-3ADCBEE5701A}" parentId="{86F186DF-3BD7-4871-BF5C-7ACDB6258A84}">
    <text>Lo correcto es 15 y 63</text>
  </threadedComment>
  <threadedComment ref="R5" dT="2023-12-09T05:04:42.25" personId="{4390EB4B-E96B-4B4F-ABD8-EC974D9C653F}" id="{D70F29E0-8C2F-4062-81D8-876741FD19CA}" parentId="{86F186DF-3BD7-4871-BF5C-7ACDB6258A84}">
    <text>Lo anterior estaba 19 y 59</text>
  </threadedComment>
</ThreadedComments>
</file>

<file path=xl/threadedComments/threadedComment3.xml><?xml version="1.0" encoding="utf-8"?>
<ThreadedComments xmlns="http://schemas.microsoft.com/office/spreadsheetml/2018/threadedcomments" xmlns:x="http://schemas.openxmlformats.org/spreadsheetml/2006/main">
  <threadedComment ref="AP3" dT="2023-10-24T17:35:48.29" personId="{0AE76364-124A-4ABA-A124-B2F1D0A28C57}" id="{554784EC-997A-4DEC-8E6C-08A679ECA070}">
    <text>quincenal
16</text>
  </threadedComment>
</ThreadedComments>
</file>

<file path=xl/threadedComments/threadedComment4.xml><?xml version="1.0" encoding="utf-8"?>
<ThreadedComments xmlns="http://schemas.microsoft.com/office/spreadsheetml/2018/threadedcomments" xmlns:x="http://schemas.openxmlformats.org/spreadsheetml/2006/main">
  <threadedComment ref="CJ13" dT="2024-10-29T15:38:41.78" personId="{0AE76364-124A-4ABA-A124-B2F1D0A28C57}" id="{EBDEF20A-2735-4BB4-936D-72FF50E69096}">
    <text>265 SE PASA A LA 2A QUINCENA DE SEPTIEMBRE</text>
  </threadedComment>
  <threadedComment ref="CO13" dT="2024-10-28T22:05:43.72" personId="{0AE76364-124A-4ABA-A124-B2F1D0A28C57}" id="{CAA2EE2B-19BD-4B99-AD05-830266B61A67}">
    <text>Para el mes de septiembre se suma la 1a quincena de julio</text>
  </threadedComment>
  <threadedComment ref="CJ23" dT="2024-10-29T15:38:55.90" personId="{0AE76364-124A-4ABA-A124-B2F1D0A28C57}" id="{4C739F31-FAE8-4E16-9839-1385A0830CDF}">
    <text>1: PASA A LA 2A QUINCENA DE SEPTIEMBRE</text>
  </threadedComment>
  <threadedComment ref="CJ24" dT="2024-10-29T15:39:10.41" personId="{0AE76364-124A-4ABA-A124-B2F1D0A28C57}" id="{EE0A3196-71CE-4B84-84B3-0D0FDCAEABAE}">
    <text>262 PASA A LA 2A QUINCENA DE SEPTIEMBRE</text>
  </threadedComment>
  <threadedComment ref="CJ25" dT="2024-10-29T15:39:38.16" personId="{0AE76364-124A-4ABA-A124-B2F1D0A28C57}" id="{2C2DE982-5153-4ED7-AB80-F1C2870AACEA}">
    <text>2: PASA A LA 2A QUINCENA DE SEPT</text>
  </threadedComment>
  <threadedComment ref="BO29" dT="2023-10-13T19:43:50.33" personId="{0AE76364-124A-4ABA-A124-B2F1D0A28C57}" id="{5E1A26CC-5336-4BBF-93E5-FD59DC80AE80}">
    <text>CERT; INFORMA QUE SON 19.
ANTES REPORTARON  15</text>
  </threadedComment>
  <threadedComment ref="BO30" dT="2023-10-13T19:44:08.32" personId="{0AE76364-124A-4ABA-A124-B2F1D0A28C57}" id="{F5D5B772-7D6B-40A7-8807-1BA9E65B1EDA}">
    <text>CERT INFORMA SON 59.
ANTES REPORTO 63</text>
  </threadedComment>
  <threadedComment ref="AQ48" dT="2022-12-21T23:03:05.22" personId="{0AE76364-124A-4ABA-A124-B2F1D0A28C57}" id="{4CA042CA-FCC7-42E6-9CF2-FE95EFB3C220}">
    <text>EL AREA INDICA QUE ES 1 DEMIGRANTES</text>
  </threadedComment>
  <threadedComment ref="AU48" dT="2022-12-21T23:03:42.87" personId="{0AE76364-124A-4ABA-A124-B2F1D0A28C57}" id="{9ECB4DF3-BADA-4012-B5D4-A73427A9398A}">
    <text>EL ÁREA INDICA QUE EN AGOSTO FALTO REPORTAR EN POA 1</text>
  </threadedComment>
  <threadedComment ref="AQ49" dT="2022-12-21T23:04:18.38" personId="{0AE76364-124A-4ABA-A124-B2F1D0A28C57}" id="{D10FC9C7-22E3-4309-8580-DE8614F33CE9}">
    <text>1 DE MIGRANTES</text>
  </threadedComment>
  <threadedComment ref="B53" dT="2024-08-29T12:47:14.41" personId="{0AE76364-124A-4ABA-A124-B2F1D0A28C57}" id="{39EC51D6-2CF4-476A-B340-F868F5114615}">
    <text>29/08/2024
Se agrega rubro, denuncia de Atención Ciudadana</text>
  </threadedComment>
  <threadedComment ref="CO54" dT="2024-10-15T02:17:54.68" personId="{0AE76364-124A-4ABA-A124-B2F1D0A28C57}" id="{4F1A0387-335D-4F49-B8DE-50C45C647248}">
    <text>Atención Ciudadana</text>
  </threadedComment>
  <threadedComment ref="BW62" dT="2024-07-31T18:09:26.06" personId="{4390EB4B-E96B-4B4F-ABD8-EC974D9C653F}" id="{8D60BB74-0F24-4B9C-95ED-126A88556F35}">
    <text>REVISAR SACDE PASADO</text>
  </threadedComment>
  <threadedComment ref="CA62" dT="2024-07-31T18:09:35.58" personId="{4390EB4B-E96B-4B4F-ABD8-EC974D9C653F}" id="{E63DB458-B4AE-4BCC-BF0C-5287B6EB5B2F}">
    <text>REVISAR SACDE PASADO</text>
  </threadedComment>
  <threadedComment ref="B63" dT="2025-01-28T02:06:44.81" personId="{0AE76364-124A-4ABA-A124-B2F1D0A28C57}" id="{1F86DF97-090D-493C-83D9-E4A691ACD1E4}">
    <text>ATENCIÓN CIUDADANA ANTES: Monitoreo de sitios web en internet (30-01-2025)</text>
  </threadedComment>
  <threadedComment ref="BW66" dT="2023-12-20T19:30:57.77" personId="{0AE76364-124A-4ABA-A124-B2F1D0A28C57}" id="{5F585C78-CF64-43D1-93E0-C9F6EB2CAE1C}">
    <text>Son dos víctimas identificadas en la 1a en POA no lo reportaron pasa a la 2 de diciembre</text>
  </threadedComment>
  <threadedComment ref="CK66" dT="2024-08-12T21:13:43.95" personId="{4390EB4B-E96B-4B4F-ABD8-EC974D9C653F}" id="{D0B3CBDF-9AB4-44C4-9C24-70A814A0DC20}">
    <text>Tener en cuenta ivan alejandro castillo leon</text>
  </threadedComment>
  <threadedComment ref="CK66" dT="2024-08-13T19:25:51.87" personId="{0AE76364-124A-4ABA-A124-B2F1D0A28C57}" id="{17808AB6-2143-427D-A1EA-023BF14B4275}" parentId="{D0B3CBDF-9AB4-44C4-9C24-70A814A0DC20}">
    <text>En esta quincena NO había victima de IVAN ALEJANDRO CASILLO LEON. 
12-08-2024 CENADEM INFORMA: que solo cambio el estatus de identificada a recuperada para la victima, pero no informo del cambio. SOLO ENVIO EL RELEVANTE Y SE REPORTO COMO OTRA VICTIMA. 
LO CORRECTO  EN ESTA QUINCENA ES 1 VICTIMA.</text>
  </threadedComment>
  <threadedComment ref="CL66" dT="2024-08-12T22:18:57.80" personId="{0AE76364-124A-4ABA-A124-B2F1D0A28C57}" id="{F680D680-F73E-45BF-8887-D8D4A0C5B267}">
    <text xml:space="preserve">Se había dejado 7, se ajusta a 6 ya se habían enviado los reportes.
</text>
  </threadedComment>
  <threadedComment ref="BU77" dT="2023-12-12T02:32:10.41" personId="{0AE76364-124A-4ABA-A124-B2F1D0A28C57}" id="{7A406F24-F125-4DBD-BD64-11D0FC8A99B4}">
    <text xml:space="preserve">POR ERROR INVOLUNTARIO NO SE CONTARON 2 ALERTAS, PASAN A LA 1A QUINCENA DE DICIEMBRE </text>
  </threadedComment>
  <threadedComment ref="BV77" dT="2023-12-14T01:05:19.89" personId="{0AE76364-124A-4ABA-A124-B2F1D0A28C57}" id="{5DBA7C54-26FF-49B0-9EB4-6C9A5B573FE8}">
    <text>Se agregan 02 alertas de noviembre</text>
  </threadedComment>
  <threadedComment ref="BX87" dT="2024-06-11T18:53:38.69" personId="{0AE76364-124A-4ABA-A124-B2F1D0A28C57}" id="{7E84F90F-9DA0-4C29-B382-3199A5491AA9}">
    <text>TENIA 11 PERO ERAN TRAFICO</text>
  </threadedComment>
  <threadedComment ref="BZ87" dT="2024-06-11T18:54:27.16" personId="{0AE76364-124A-4ABA-A124-B2F1D0A28C57}" id="{7D2A8800-3E4C-42C8-A191-323A816EE507}">
    <text>TENIA 5 PERO ERAN TRAFICO</text>
  </threadedComment>
  <threadedComment ref="BX88" dT="2024-08-16T18:48:48.09" personId="{0AE76364-124A-4ABA-A124-B2F1D0A28C57}" id="{5A978C01-AA09-4680-8974-326CB380A158}">
    <text>Se quitan de trata y pasan a trafico, según el detalle</text>
  </threadedComment>
  <threadedComment ref="CN97" dT="2024-09-05T17:28:06.72" personId="{0AE76364-124A-4ABA-A124-B2F1D0A28C57}" id="{1F486EA3-B891-4105-B370-59F864D3F55D}">
    <text>Se agregan 06 servicios de la 2a quincena de agosto</text>
  </threadedComment>
  <threadedComment ref="CN97" dT="2024-09-12T16:42:09.68" personId="{0AE76364-124A-4ABA-A124-B2F1D0A28C57}" id="{2C634AFF-1E37-477F-9B27-FE2BA007057F}" parentId="{1F486EA3-B891-4105-B370-59F864D3F55D}">
    <text>1a quincena de septiembre 11 servicios.
Se suman los 6 de la segunda quincena de agosto, en total : 17</text>
  </threadedComment>
  <threadedComment ref="CN98" dT="2024-09-05T17:28:27.36" personId="{0AE76364-124A-4ABA-A124-B2F1D0A28C57}" id="{1C417F96-B1CB-4925-94A4-B36CB5DCD845}">
    <text>Se agregan 03 solicitudes de la 2a quincena de agosto</text>
  </threadedComment>
  <threadedComment ref="CN98" dT="2024-09-12T16:49:52.43" personId="{0AE76364-124A-4ABA-A124-B2F1D0A28C57}" id="{3823DFF0-784B-42B6-978D-269D271178A3}" parentId="{1C417F96-B1CB-4925-94A4-B36CB5DCD845}">
    <text>1a quincena de septiembre 5 solicitudes atendidas. 
Se suman las 3 sol de la 2a quincena de agosto, en total :8 solicitudes</text>
  </threadedComment>
  <threadedComment ref="CA101" dT="2024-06-14T17:56:37.14" personId="{0AE76364-124A-4ABA-A124-B2F1D0A28C57}" id="{2062E54C-420E-4940-B8C2-8C91FE4CCB9E}">
    <text>Tenia 8837460</text>
  </threadedComment>
  <threadedComment ref="CC101" dT="2024-06-14T17:59:13.87" personId="{0AE76364-124A-4ABA-A124-B2F1D0A28C57}" id="{CDA55848-23E7-4E10-BD97-4DF75B793F41}">
    <text>LAS CIFRAS DE ESTE MES NO LAS REPORTO EL AREA SE PASAN A LA 1A QUINCENA DE JUNIO</text>
  </threadedComment>
  <threadedComment ref="CE101" dT="2024-05-28T19:04:25.55" personId="{0AE76364-124A-4ABA-A124-B2F1D0A28C57}" id="{748EC84E-88F6-4FA9-B7AA-2DF217ADF6CE}">
    <text>SE REPORTO LO QUE INDICAN EN CORREO NO SE ABRIO EL ARCHIVO</text>
  </threadedComment>
  <threadedComment ref="CE101" dT="2024-06-14T17:50:08.80" personId="{0AE76364-124A-4ABA-A124-B2F1D0A28C57}" id="{BAFF2981-CB06-4B17-9122-0A98EE605EFF}" parentId="{748EC84E-88F6-4FA9-B7AA-2DF217ADF6CE}">
    <text>153144</text>
  </threadedComment>
  <threadedComment ref="CF101" dT="2024-05-28T19:05:59.11" personId="{0AE76364-124A-4ABA-A124-B2F1D0A28C57}" id="{49B8603B-183B-4407-BC29-9E878B4844CB}">
    <text xml:space="preserve">SE REPORTO LA CIFRA DEL CORREO NO ENVIARON ARCHIVO
#InternetSeguroParaTodasyTodos 2,708,320 
#JusticiaYPaz 2,480,140 </text>
  </threadedComment>
  <threadedComment ref="CG101" dT="2024-05-29T17:57:19.79" personId="{0AE76364-124A-4ABA-A124-B2F1D0A28C57}" id="{F5C51E12-FEC1-4DD1-B27C-FF66E34A04C0}">
    <text>Se tomo en cuenta lo que restaba de la 1a quincena de mayo que no habían reportado + la 2a de mayo</text>
  </threadedComment>
  <threadedComment ref="CH101" dT="2024-06-13T22:22:22.79" personId="{0AE76364-124A-4ABA-A124-B2F1D0A28C57}" id="{9D63C1EF-8D60-40FA-9BC8-9486EFD7F453}">
    <text xml:space="preserve">PARA ESTA QUINCENA DE JUNIO EL AREA DE PREVENCIÓN SOLICITA SE CONSIDERA LAS VISUALIZACIONES DE LA 2A QUINCENA DE MARZO QUE NO HABIAN REPORTADO.
SE CONSIDERAN LAS SEMANAS DE 
02 al 08 de mar.
09 al 15 de mar.
16 al 22 de mar.
MAS LO REPORTADO EN LA 1A QUINCENA DE JUNIO </text>
  </threadedComment>
  <threadedComment ref="CE102" dT="2024-12-26T19:48:32.12" personId="{4390EB4B-E96B-4B4F-ABD8-EC974D9C653F}" id="{DEDD9819-78DB-4E2E-9893-CEE3D58C9D57}">
    <text xml:space="preserve">Tenia 40
</text>
  </threadedComment>
  <threadedComment ref="CM102" dT="2024-12-26T19:49:14.94" personId="{4390EB4B-E96B-4B4F-ABD8-EC974D9C653F}" id="{D4F01B9C-853B-450F-ABCE-3A02BEC777FB}">
    <text xml:space="preserve">Tenia 114
</text>
  </threadedComment>
  <threadedComment ref="AB104" dT="2023-10-20T17:32:14.34" personId="{0AE76364-124A-4ABA-A124-B2F1D0A28C57}" id="{C8E36DB5-6F39-4995-9C60-997F6A130766}">
    <text>FORO</text>
  </threadedComment>
  <threadedComment ref="AE104" dT="2023-10-20T17:33:44.91" personId="{0AE76364-124A-4ABA-A124-B2F1D0A28C57}" id="{E9C4CC4C-7928-430E-BA3B-D29CE96C0FCA}">
    <text>01 FORO; 01 ASESORIA</text>
  </threadedComment>
  <threadedComment ref="AF104" dT="2023-10-20T17:35:18.95" personId="{0AE76364-124A-4ABA-A124-B2F1D0A28C57}" id="{B3B855A7-A9D6-4F29-BAEE-AEB4292A488F}">
    <text>09 ASESORIAS; 03 FOROS</text>
  </threadedComment>
  <threadedComment ref="AH104" dT="2023-10-20T17:53:30.96" personId="{0AE76364-124A-4ABA-A124-B2F1D0A28C57}" id="{58788B9C-85F4-49DA-A340-7AD554E94FB0}">
    <text>FORO</text>
  </threadedComment>
  <threadedComment ref="AK104" dT="2023-10-20T17:53:36.57" personId="{0AE76364-124A-4ABA-A124-B2F1D0A28C57}" id="{550BDC9F-0BF4-4F69-8D42-602E1B03B24D}">
    <text>FORO</text>
  </threadedComment>
  <threadedComment ref="AL104" dT="2023-10-20T17:56:12.95" personId="{0AE76364-124A-4ABA-A124-B2F1D0A28C57}" id="{356F1119-CFA4-49CA-90BD-8E6979507C49}">
    <text>FORO</text>
  </threadedComment>
  <threadedComment ref="AM104" dT="2023-10-20T17:57:46.27" personId="{0AE76364-124A-4ABA-A124-B2F1D0A28C57}" id="{25257CC2-5315-4AF3-8C5B-0F970C7400BA}">
    <text>FORO</text>
  </threadedComment>
  <threadedComment ref="BT107" dT="2023-11-28T22:38:39.93" personId="{0AE76364-124A-4ABA-A124-B2F1D0A28C57}" id="{A60A6214-B39A-4217-B539-7BAC38D7C2E5}">
    <text>02 panel
01 foro</text>
  </threadedComment>
  <threadedComment ref="CS110" dT="2024-12-11T01:02:31.39" personId="{0AE76364-124A-4ABA-A124-B2F1D0A28C57}" id="{2067281D-A250-4BD0-B5D7-B4FA17073E3F}">
    <text xml:space="preserve">#MexicoContraElCiberFraude (01 a 25 Nov 2024)
16,441,643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 Id="rId4" Type="http://schemas.microsoft.com/office/2017/10/relationships/threadedComment" Target="../threadedComments/threadedComment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EZ923"/>
  <sheetViews>
    <sheetView topLeftCell="A8" zoomScaleNormal="100" workbookViewId="0">
      <pane xSplit="2" ySplit="5" topLeftCell="DK20" activePane="bottomRight" state="frozen"/>
      <selection activeCell="A8" sqref="A8"/>
      <selection pane="topRight" activeCell="C8" sqref="C8"/>
      <selection pane="bottomLeft" activeCell="A13" sqref="A13"/>
      <selection pane="bottomRight" activeCell="EK23" sqref="EK23"/>
    </sheetView>
  </sheetViews>
  <sheetFormatPr baseColWidth="10" defaultColWidth="14.42578125" defaultRowHeight="15" customHeight="1" x14ac:dyDescent="0.25"/>
  <cols>
    <col min="1" max="1" width="30.140625" customWidth="1"/>
    <col min="2" max="2" width="16.42578125" customWidth="1"/>
    <col min="3" max="51" width="10.5703125" customWidth="1"/>
    <col min="52" max="64" width="10.42578125" customWidth="1"/>
    <col min="65" max="74" width="12.7109375" customWidth="1"/>
    <col min="75" max="75" width="10.28515625" customWidth="1"/>
    <col min="76" max="76" width="11.85546875" customWidth="1"/>
    <col min="77" max="77" width="10" customWidth="1"/>
    <col min="78" max="78" width="8.5703125" customWidth="1"/>
    <col min="79" max="79" width="11.5703125" customWidth="1"/>
    <col min="80" max="83" width="10.28515625" customWidth="1"/>
    <col min="84" max="84" width="8.85546875" customWidth="1"/>
    <col min="85" max="85" width="9.85546875" customWidth="1"/>
    <col min="86" max="86" width="8.5703125" customWidth="1"/>
    <col min="87" max="87" width="8.42578125" customWidth="1"/>
    <col min="88" max="97" width="10.28515625" customWidth="1"/>
    <col min="98" max="98" width="15" customWidth="1"/>
    <col min="99" max="99" width="14.7109375" customWidth="1"/>
    <col min="100" max="100" width="12.42578125" customWidth="1"/>
    <col min="101" max="101" width="8.85546875" customWidth="1"/>
    <col min="102" max="102" width="11.7109375" customWidth="1"/>
    <col min="103" max="103" width="11" customWidth="1"/>
    <col min="104" max="105" width="10.5703125" customWidth="1"/>
    <col min="106" max="106" width="12.140625" customWidth="1"/>
    <col min="107" max="107" width="11.5703125" customWidth="1"/>
    <col min="108" max="108" width="10.42578125" customWidth="1"/>
    <col min="109" max="109" width="12" customWidth="1"/>
    <col min="110" max="111" width="9.85546875" customWidth="1"/>
    <col min="112" max="115" width="10.140625" customWidth="1"/>
    <col min="116" max="116" width="10.28515625" customWidth="1"/>
    <col min="117" max="119" width="10.7109375" customWidth="1"/>
    <col min="120" max="120" width="8.85546875" customWidth="1"/>
    <col min="121" max="121" width="10.42578125" customWidth="1"/>
    <col min="122" max="122" width="14.7109375" customWidth="1"/>
    <col min="123" max="123" width="13.7109375" customWidth="1"/>
    <col min="124" max="124" width="13.7109375" style="207" customWidth="1"/>
    <col min="125" max="125" width="13.7109375" style="216" customWidth="1"/>
    <col min="126" max="126" width="13.7109375" style="229" customWidth="1"/>
    <col min="127" max="127" width="13.7109375" style="242" customWidth="1"/>
    <col min="128" max="128" width="13.7109375" style="247" customWidth="1"/>
    <col min="129" max="129" width="13.7109375" style="250" customWidth="1"/>
    <col min="130" max="130" width="13.7109375" style="254" customWidth="1"/>
    <col min="131" max="131" width="13.7109375" style="285" customWidth="1"/>
    <col min="132" max="132" width="13.7109375" style="295" customWidth="1"/>
    <col min="133" max="133" width="13.7109375" style="298" customWidth="1"/>
    <col min="134" max="134" width="13.7109375" style="299" customWidth="1"/>
    <col min="135" max="135" width="13.7109375" style="301" customWidth="1"/>
    <col min="136" max="136" width="13.7109375" style="302" customWidth="1"/>
    <col min="137" max="137" width="13.7109375" style="303" customWidth="1"/>
    <col min="138" max="138" width="14.140625" customWidth="1"/>
    <col min="139" max="139" width="16.42578125" hidden="1" customWidth="1"/>
    <col min="140" max="140" width="15.28515625" hidden="1" customWidth="1"/>
    <col min="141" max="141" width="15.28515625" style="283" customWidth="1"/>
    <col min="142" max="142" width="8" hidden="1" customWidth="1"/>
    <col min="143" max="143" width="9" hidden="1" customWidth="1"/>
    <col min="144" max="147" width="10" hidden="1" customWidth="1"/>
    <col min="148" max="148" width="13" hidden="1" customWidth="1"/>
    <col min="149" max="149" width="9.28515625" hidden="1" customWidth="1"/>
    <col min="150" max="150" width="11.42578125" style="229" customWidth="1"/>
    <col min="151" max="151" width="7.5703125" customWidth="1"/>
    <col min="152" max="152" width="10.140625" customWidth="1"/>
    <col min="153" max="160" width="14.42578125" customWidth="1"/>
  </cols>
  <sheetData>
    <row r="1" spans="1:156" ht="18.75" hidden="1" x14ac:dyDescent="0.35">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t="s">
        <v>0</v>
      </c>
      <c r="EJ1" s="1"/>
      <c r="EK1" s="1"/>
    </row>
    <row r="2" spans="1:156" ht="18.75" hidden="1" x14ac:dyDescent="0.35">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t="s">
        <v>1</v>
      </c>
      <c r="EJ2" s="1"/>
      <c r="EK2" s="1"/>
    </row>
    <row r="3" spans="1:156" ht="18.75" hidden="1" x14ac:dyDescent="0.35">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t="s">
        <v>2</v>
      </c>
      <c r="EJ3" s="1"/>
      <c r="EK3" s="1"/>
    </row>
    <row r="4" spans="1:156" ht="15" hidden="1" customHeight="1" x14ac:dyDescent="0.25"/>
    <row r="5" spans="1:156" ht="18.75" hidden="1" x14ac:dyDescent="0.25">
      <c r="A5" s="304" t="s">
        <v>3</v>
      </c>
      <c r="B5" s="305"/>
      <c r="C5" s="305"/>
      <c r="D5" s="305"/>
      <c r="E5" s="305"/>
      <c r="F5" s="305"/>
      <c r="G5" s="305"/>
      <c r="H5" s="305"/>
      <c r="I5" s="305"/>
      <c r="J5" s="305"/>
      <c r="K5" s="305"/>
      <c r="L5" s="305"/>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c r="AL5" s="305"/>
      <c r="AM5" s="305"/>
      <c r="AN5" s="305"/>
      <c r="AO5" s="305"/>
      <c r="AP5" s="305"/>
      <c r="AQ5" s="305"/>
      <c r="AR5" s="305"/>
      <c r="AS5" s="305"/>
      <c r="AT5" s="305"/>
      <c r="AU5" s="305"/>
      <c r="AV5" s="305"/>
      <c r="AW5" s="305"/>
      <c r="AX5" s="305"/>
      <c r="AY5" s="305"/>
      <c r="AZ5" s="305"/>
      <c r="BA5" s="305"/>
      <c r="BB5" s="305"/>
      <c r="BC5" s="305"/>
      <c r="BD5" s="305"/>
      <c r="BE5" s="305"/>
      <c r="BF5" s="305"/>
      <c r="BG5" s="305"/>
      <c r="BH5" s="305"/>
      <c r="BI5" s="305"/>
      <c r="BJ5" s="305"/>
      <c r="BK5" s="305"/>
      <c r="BL5" s="305"/>
      <c r="BM5" s="305"/>
      <c r="BN5" s="305"/>
      <c r="BO5" s="305"/>
      <c r="BP5" s="305"/>
      <c r="BQ5" s="305"/>
      <c r="BR5" s="305"/>
      <c r="BS5" s="305"/>
      <c r="BT5" s="305"/>
      <c r="BU5" s="305"/>
      <c r="BV5" s="305"/>
      <c r="BW5" s="305"/>
      <c r="BX5" s="305"/>
      <c r="BY5" s="305"/>
      <c r="BZ5" s="305"/>
      <c r="CA5" s="305"/>
      <c r="CB5" s="305"/>
      <c r="CC5" s="305"/>
      <c r="CD5" s="305"/>
      <c r="CE5" s="305"/>
      <c r="CF5" s="305"/>
      <c r="CG5" s="305"/>
      <c r="CH5" s="305"/>
      <c r="CI5" s="305"/>
      <c r="CJ5" s="305"/>
      <c r="CK5" s="305"/>
      <c r="CL5" s="305"/>
      <c r="CM5" s="305"/>
      <c r="CN5" s="305"/>
      <c r="CO5" s="305"/>
      <c r="CP5" s="305"/>
      <c r="CQ5" s="305"/>
      <c r="CR5" s="305"/>
      <c r="CS5" s="305"/>
      <c r="CT5" s="305"/>
      <c r="CU5" s="305"/>
      <c r="CV5" s="305"/>
      <c r="CW5" s="305"/>
      <c r="CX5" s="305"/>
      <c r="CY5" s="305"/>
      <c r="CZ5" s="305"/>
      <c r="DA5" s="305"/>
      <c r="DB5" s="305"/>
      <c r="DC5" s="305"/>
      <c r="DD5" s="305"/>
      <c r="DE5" s="305"/>
      <c r="DF5" s="305"/>
      <c r="DG5" s="305"/>
      <c r="DH5" s="305"/>
      <c r="DI5" s="305"/>
      <c r="DJ5" s="305"/>
      <c r="DK5" s="305"/>
      <c r="DL5" s="305"/>
      <c r="DM5" s="305"/>
      <c r="DN5" s="305"/>
      <c r="DO5" s="305"/>
      <c r="DP5" s="305"/>
      <c r="DQ5" s="305"/>
      <c r="DR5" s="305"/>
      <c r="DS5" s="305"/>
      <c r="DT5" s="305"/>
      <c r="DU5" s="305"/>
      <c r="DV5" s="305"/>
      <c r="DW5" s="305"/>
      <c r="DX5" s="305"/>
      <c r="DY5" s="305"/>
      <c r="DZ5" s="305"/>
      <c r="EA5" s="305"/>
      <c r="EB5" s="305"/>
      <c r="EC5" s="305"/>
      <c r="ED5" s="305"/>
      <c r="EE5" s="305"/>
      <c r="EF5" s="305"/>
      <c r="EG5" s="305"/>
      <c r="EH5" s="305"/>
      <c r="EI5" s="305"/>
    </row>
    <row r="6" spans="1:156" ht="15" hidden="1" customHeight="1" x14ac:dyDescent="0.25"/>
    <row r="7" spans="1:156" ht="15.75" hidden="1" customHeight="1" x14ac:dyDescent="0.2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row>
    <row r="8" spans="1:156" ht="15.75" customHeight="1" x14ac:dyDescent="0.25">
      <c r="A8" s="2" t="s">
        <v>6</v>
      </c>
      <c r="B8" s="3"/>
      <c r="C8" s="3"/>
      <c r="D8" s="3"/>
      <c r="E8" s="3"/>
      <c r="F8" s="3"/>
      <c r="G8" s="3"/>
      <c r="H8" s="3"/>
      <c r="I8" s="3"/>
      <c r="J8" s="3"/>
      <c r="K8" s="3"/>
      <c r="L8" s="3"/>
      <c r="M8" s="3"/>
      <c r="N8" s="3"/>
      <c r="O8" s="3"/>
      <c r="P8" s="3"/>
      <c r="Q8" s="3"/>
      <c r="R8" s="3"/>
      <c r="S8" s="3"/>
      <c r="T8" s="3"/>
      <c r="U8" s="3"/>
      <c r="V8" s="3"/>
      <c r="W8" s="3"/>
      <c r="X8" s="3"/>
      <c r="Y8" s="3"/>
      <c r="Z8" s="3"/>
      <c r="AA8" s="3"/>
      <c r="AB8" s="3"/>
      <c r="AC8" s="3"/>
      <c r="AD8" s="3"/>
      <c r="AE8" s="3"/>
    </row>
    <row r="9" spans="1:156" ht="15.75" customHeight="1" x14ac:dyDescent="0.25">
      <c r="A9" s="8"/>
      <c r="B9" s="8"/>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row>
    <row r="10" spans="1:156" ht="15.75" customHeight="1" x14ac:dyDescent="0.35">
      <c r="A10" s="4" t="s">
        <v>7</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row>
    <row r="11" spans="1:156" ht="15.75" customHeight="1" thickBot="1" x14ac:dyDescent="0.4">
      <c r="A11" s="4"/>
    </row>
    <row r="12" spans="1:156" ht="65.25" thickTop="1" thickBot="1" x14ac:dyDescent="0.3">
      <c r="A12" s="5" t="s">
        <v>8</v>
      </c>
      <c r="B12" s="5" t="s">
        <v>4</v>
      </c>
      <c r="C12" s="6">
        <v>43435</v>
      </c>
      <c r="D12" s="6">
        <v>43466</v>
      </c>
      <c r="E12" s="6">
        <v>43497</v>
      </c>
      <c r="F12" s="6">
        <v>43525</v>
      </c>
      <c r="G12" s="6">
        <v>43556</v>
      </c>
      <c r="H12" s="6">
        <v>43586</v>
      </c>
      <c r="I12" s="6">
        <v>43617</v>
      </c>
      <c r="J12" s="6">
        <v>43647</v>
      </c>
      <c r="K12" s="6">
        <v>43678</v>
      </c>
      <c r="L12" s="6">
        <v>43709</v>
      </c>
      <c r="M12" s="6">
        <v>43739</v>
      </c>
      <c r="N12" s="6">
        <v>43770</v>
      </c>
      <c r="O12" s="6">
        <v>43800</v>
      </c>
      <c r="P12" s="6">
        <v>43831</v>
      </c>
      <c r="Q12" s="6">
        <v>43862</v>
      </c>
      <c r="R12" s="6">
        <v>43891</v>
      </c>
      <c r="S12" s="6">
        <v>43922</v>
      </c>
      <c r="T12" s="6">
        <v>43952</v>
      </c>
      <c r="U12" s="6">
        <v>43983</v>
      </c>
      <c r="V12" s="6">
        <v>44013</v>
      </c>
      <c r="W12" s="6">
        <v>44044</v>
      </c>
      <c r="X12" s="6">
        <v>44075</v>
      </c>
      <c r="Y12" s="6">
        <v>44105</v>
      </c>
      <c r="Z12" s="6">
        <v>44136</v>
      </c>
      <c r="AA12" s="6">
        <v>44166</v>
      </c>
      <c r="AB12" s="6">
        <v>44197</v>
      </c>
      <c r="AC12" s="6">
        <v>44228</v>
      </c>
      <c r="AD12" s="6">
        <v>44256</v>
      </c>
      <c r="AE12" s="7">
        <v>44287</v>
      </c>
      <c r="AF12" s="7">
        <v>44317</v>
      </c>
      <c r="AG12" s="7">
        <v>44348</v>
      </c>
      <c r="AH12" s="7">
        <v>44378</v>
      </c>
      <c r="AI12" s="7">
        <v>44409</v>
      </c>
      <c r="AJ12" s="7">
        <v>44440</v>
      </c>
      <c r="AK12" s="7">
        <v>44470</v>
      </c>
      <c r="AL12" s="7">
        <v>44501</v>
      </c>
      <c r="AM12" s="7">
        <v>44531</v>
      </c>
      <c r="AN12" s="7">
        <v>44562</v>
      </c>
      <c r="AO12" s="7">
        <v>44593</v>
      </c>
      <c r="AP12" s="7">
        <v>44621</v>
      </c>
      <c r="AQ12" s="6">
        <v>44652</v>
      </c>
      <c r="AR12" s="6">
        <v>44703</v>
      </c>
      <c r="AS12" s="6">
        <v>44734</v>
      </c>
      <c r="AT12" s="6">
        <v>44764</v>
      </c>
      <c r="AU12" s="6">
        <v>44774</v>
      </c>
      <c r="AV12" s="6">
        <v>44819</v>
      </c>
      <c r="AW12" s="6">
        <v>44864</v>
      </c>
      <c r="AX12" s="6">
        <v>44866</v>
      </c>
      <c r="AY12" s="6">
        <v>44896</v>
      </c>
      <c r="AZ12" s="7">
        <v>44927</v>
      </c>
      <c r="BA12" s="7">
        <v>44956</v>
      </c>
      <c r="BB12" s="7">
        <v>44972</v>
      </c>
      <c r="BC12" s="7">
        <v>44985</v>
      </c>
      <c r="BD12" s="7">
        <v>45000</v>
      </c>
      <c r="BE12" s="7">
        <v>45015</v>
      </c>
      <c r="BF12" s="7">
        <v>45031</v>
      </c>
      <c r="BG12" s="7">
        <v>45046</v>
      </c>
      <c r="BH12" s="7">
        <v>45061</v>
      </c>
      <c r="BI12" s="7">
        <v>45076</v>
      </c>
      <c r="BJ12" s="7">
        <v>45092</v>
      </c>
      <c r="BK12" s="7">
        <v>45107</v>
      </c>
      <c r="BL12" s="7">
        <v>45122</v>
      </c>
      <c r="BM12" s="7">
        <v>45137</v>
      </c>
      <c r="BN12" s="7">
        <v>45139</v>
      </c>
      <c r="BO12" s="7">
        <v>45168</v>
      </c>
      <c r="BP12" s="7">
        <v>45184</v>
      </c>
      <c r="BQ12" s="7">
        <v>45199</v>
      </c>
      <c r="BR12" s="7">
        <v>45214</v>
      </c>
      <c r="BS12" s="7">
        <v>45229</v>
      </c>
      <c r="BT12" s="7">
        <v>45245</v>
      </c>
      <c r="BU12" s="7">
        <v>45260</v>
      </c>
      <c r="BV12" s="7">
        <v>45275</v>
      </c>
      <c r="BW12" s="7">
        <v>45290</v>
      </c>
      <c r="BX12" s="7">
        <v>45306</v>
      </c>
      <c r="BY12" s="7">
        <v>45321</v>
      </c>
      <c r="BZ12" s="7">
        <v>45337</v>
      </c>
      <c r="CA12" s="7">
        <v>45351</v>
      </c>
      <c r="CB12" s="7">
        <v>45366</v>
      </c>
      <c r="CC12" s="7">
        <v>45381</v>
      </c>
      <c r="CD12" s="7">
        <v>45397</v>
      </c>
      <c r="CE12" s="7">
        <v>45412</v>
      </c>
      <c r="CF12" s="7">
        <v>45427</v>
      </c>
      <c r="CG12" s="7">
        <v>45442</v>
      </c>
      <c r="CH12" s="7">
        <v>45458</v>
      </c>
      <c r="CI12" s="7">
        <v>45473</v>
      </c>
      <c r="CJ12" s="7">
        <v>45488</v>
      </c>
      <c r="CK12" s="7">
        <v>45503</v>
      </c>
      <c r="CL12" s="7">
        <v>45519</v>
      </c>
      <c r="CM12" s="7">
        <v>45534</v>
      </c>
      <c r="CN12" s="7">
        <v>45550</v>
      </c>
      <c r="CO12" s="7">
        <v>45565</v>
      </c>
      <c r="CP12" s="7">
        <v>45580</v>
      </c>
      <c r="CQ12" s="7">
        <v>45595</v>
      </c>
      <c r="CR12" s="7">
        <v>45611</v>
      </c>
      <c r="CS12" s="7">
        <v>45626</v>
      </c>
      <c r="CT12" s="7">
        <v>45641</v>
      </c>
      <c r="CU12" s="7">
        <v>45656</v>
      </c>
      <c r="CV12" s="7">
        <v>45658</v>
      </c>
      <c r="CW12" s="7">
        <v>45658</v>
      </c>
      <c r="CX12" s="7">
        <v>45689</v>
      </c>
      <c r="CY12" s="7">
        <v>45689</v>
      </c>
      <c r="CZ12" s="7">
        <v>45717</v>
      </c>
      <c r="DA12" s="7">
        <v>45717</v>
      </c>
      <c r="DB12" s="7">
        <v>38443</v>
      </c>
      <c r="DC12" s="7">
        <v>45748</v>
      </c>
      <c r="DD12" s="7">
        <v>45778</v>
      </c>
      <c r="DE12" s="7">
        <v>45778</v>
      </c>
      <c r="DF12" s="7">
        <v>45809</v>
      </c>
      <c r="DG12" s="7">
        <v>45809</v>
      </c>
      <c r="DH12" s="7">
        <v>45839</v>
      </c>
      <c r="DI12" s="7">
        <v>45839</v>
      </c>
      <c r="DJ12" s="7">
        <v>45870</v>
      </c>
      <c r="DK12" s="7">
        <v>45870</v>
      </c>
      <c r="DL12" s="7">
        <v>45901</v>
      </c>
      <c r="DM12" s="7">
        <v>45901</v>
      </c>
      <c r="DN12" s="7">
        <v>45931</v>
      </c>
      <c r="DO12" s="7">
        <v>45931</v>
      </c>
      <c r="DP12" s="7">
        <v>45962</v>
      </c>
      <c r="DQ12" s="7">
        <v>45962</v>
      </c>
      <c r="DR12" s="7">
        <v>45992</v>
      </c>
      <c r="DS12" s="7">
        <v>45992</v>
      </c>
      <c r="DT12" s="7">
        <v>46023</v>
      </c>
      <c r="DU12" s="7">
        <v>46023</v>
      </c>
      <c r="DV12" s="7">
        <v>46068</v>
      </c>
      <c r="DW12" s="7">
        <v>46081</v>
      </c>
      <c r="DX12" s="7">
        <v>46096</v>
      </c>
      <c r="DY12" s="7">
        <v>46111</v>
      </c>
      <c r="DZ12" s="7">
        <v>46127</v>
      </c>
      <c r="EA12" s="7">
        <v>46142</v>
      </c>
      <c r="EB12" s="7">
        <v>46157</v>
      </c>
      <c r="EC12" s="7">
        <v>46172</v>
      </c>
      <c r="ED12" s="7">
        <v>46188</v>
      </c>
      <c r="EE12" s="7">
        <v>46203</v>
      </c>
      <c r="EF12" s="7">
        <v>46218</v>
      </c>
      <c r="EG12" s="7">
        <v>46233</v>
      </c>
      <c r="EH12" s="346" t="s">
        <v>264</v>
      </c>
      <c r="EI12" s="32" t="s">
        <v>153</v>
      </c>
      <c r="EJ12" s="48" t="s">
        <v>265</v>
      </c>
      <c r="EK12" s="48" t="s">
        <v>293</v>
      </c>
      <c r="EL12" s="48">
        <v>2018</v>
      </c>
      <c r="EM12" s="32">
        <v>2019</v>
      </c>
      <c r="EN12" s="32" t="s">
        <v>61</v>
      </c>
      <c r="EO12" s="32" t="s">
        <v>62</v>
      </c>
      <c r="EP12" s="32" t="s">
        <v>64</v>
      </c>
      <c r="EQ12" s="32" t="s">
        <v>95</v>
      </c>
      <c r="ER12" s="32" t="s">
        <v>110</v>
      </c>
      <c r="ES12" s="32" t="s">
        <v>150</v>
      </c>
      <c r="ET12" s="32" t="s">
        <v>270</v>
      </c>
      <c r="EU12" s="31" t="s">
        <v>65</v>
      </c>
      <c r="EV12" s="73" t="s">
        <v>149</v>
      </c>
      <c r="EX12" s="11" t="s">
        <v>151</v>
      </c>
      <c r="EY12" s="11" t="s">
        <v>263</v>
      </c>
    </row>
    <row r="13" spans="1:156" ht="12.75" customHeight="1" thickTop="1" thickBot="1" x14ac:dyDescent="0.3">
      <c r="A13" s="145" t="s">
        <v>9</v>
      </c>
      <c r="B13" s="145" t="s">
        <v>10</v>
      </c>
      <c r="C13" s="33">
        <v>75</v>
      </c>
      <c r="D13" s="33">
        <v>38</v>
      </c>
      <c r="E13" s="33">
        <v>34</v>
      </c>
      <c r="F13" s="33">
        <v>32</v>
      </c>
      <c r="G13" s="33">
        <v>46</v>
      </c>
      <c r="H13" s="33">
        <v>39</v>
      </c>
      <c r="I13" s="33">
        <v>96</v>
      </c>
      <c r="J13" s="33">
        <v>4</v>
      </c>
      <c r="K13" s="33">
        <v>18</v>
      </c>
      <c r="L13" s="33">
        <v>140</v>
      </c>
      <c r="M13" s="33">
        <v>160</v>
      </c>
      <c r="N13" s="33">
        <v>6</v>
      </c>
      <c r="O13" s="33">
        <v>95</v>
      </c>
      <c r="P13" s="33">
        <v>65</v>
      </c>
      <c r="Q13" s="33">
        <v>0</v>
      </c>
      <c r="R13" s="33">
        <v>56</v>
      </c>
      <c r="S13" s="33">
        <v>54</v>
      </c>
      <c r="T13" s="33">
        <v>2</v>
      </c>
      <c r="U13" s="33">
        <v>0</v>
      </c>
      <c r="V13" s="33">
        <v>4</v>
      </c>
      <c r="W13" s="33">
        <v>4</v>
      </c>
      <c r="X13" s="33">
        <v>2</v>
      </c>
      <c r="Y13" s="33">
        <v>23</v>
      </c>
      <c r="Z13" s="33">
        <v>8</v>
      </c>
      <c r="AA13" s="33">
        <v>5</v>
      </c>
      <c r="AB13" s="33">
        <v>6</v>
      </c>
      <c r="AC13" s="33">
        <v>3</v>
      </c>
      <c r="AD13" s="33">
        <v>6</v>
      </c>
      <c r="AE13" s="33">
        <v>67</v>
      </c>
      <c r="AF13" s="33">
        <v>0</v>
      </c>
      <c r="AG13" s="33">
        <v>77</v>
      </c>
      <c r="AH13" s="33">
        <v>2</v>
      </c>
      <c r="AI13" s="33">
        <v>14</v>
      </c>
      <c r="AJ13" s="34">
        <v>13</v>
      </c>
      <c r="AK13" s="34">
        <v>4</v>
      </c>
      <c r="AL13" s="34">
        <v>3</v>
      </c>
      <c r="AM13" s="34">
        <v>0</v>
      </c>
      <c r="AN13" s="34">
        <v>0</v>
      </c>
      <c r="AO13" s="34">
        <v>3</v>
      </c>
      <c r="AP13" s="34">
        <v>0</v>
      </c>
      <c r="AQ13" s="34">
        <v>0</v>
      </c>
      <c r="AR13" s="34">
        <v>0</v>
      </c>
      <c r="AS13" s="34">
        <v>0</v>
      </c>
      <c r="AT13" s="34">
        <v>2</v>
      </c>
      <c r="AU13" s="34">
        <v>134</v>
      </c>
      <c r="AV13" s="34">
        <v>3</v>
      </c>
      <c r="AW13" s="33">
        <v>17</v>
      </c>
      <c r="AX13" s="34">
        <v>129</v>
      </c>
      <c r="AY13" s="34">
        <v>0</v>
      </c>
      <c r="AZ13" s="34">
        <v>0</v>
      </c>
      <c r="BA13" s="34">
        <v>0</v>
      </c>
      <c r="BB13" s="34">
        <v>7</v>
      </c>
      <c r="BC13" s="34">
        <v>0</v>
      </c>
      <c r="BD13" s="34">
        <v>1</v>
      </c>
      <c r="BE13" s="34">
        <v>0</v>
      </c>
      <c r="BF13" s="34">
        <v>141</v>
      </c>
      <c r="BG13" s="34">
        <v>6</v>
      </c>
      <c r="BH13" s="34">
        <v>1</v>
      </c>
      <c r="BI13" s="34">
        <v>1</v>
      </c>
      <c r="BJ13" s="34">
        <v>0</v>
      </c>
      <c r="BK13" s="34">
        <v>153</v>
      </c>
      <c r="BL13" s="34">
        <v>0</v>
      </c>
      <c r="BM13" s="34">
        <v>0</v>
      </c>
      <c r="BN13" s="34">
        <v>5</v>
      </c>
      <c r="BO13" s="34">
        <v>0</v>
      </c>
      <c r="BP13" s="34">
        <v>3</v>
      </c>
      <c r="BQ13" s="34">
        <v>0</v>
      </c>
      <c r="BR13" s="42">
        <v>2</v>
      </c>
      <c r="BS13" s="42">
        <v>0</v>
      </c>
      <c r="BT13" s="42">
        <v>6</v>
      </c>
      <c r="BU13" s="42">
        <v>6</v>
      </c>
      <c r="BV13" s="42">
        <v>3</v>
      </c>
      <c r="BW13" s="34">
        <v>26</v>
      </c>
      <c r="BX13" s="55">
        <v>1</v>
      </c>
      <c r="BY13" s="55">
        <v>3</v>
      </c>
      <c r="BZ13" s="55">
        <v>1</v>
      </c>
      <c r="CA13" s="55">
        <v>1</v>
      </c>
      <c r="CB13" s="55">
        <v>1</v>
      </c>
      <c r="CC13" s="55">
        <v>7</v>
      </c>
      <c r="CD13" s="55">
        <v>3</v>
      </c>
      <c r="CE13" s="56">
        <v>4</v>
      </c>
      <c r="CF13" s="55">
        <v>14</v>
      </c>
      <c r="CG13" s="55">
        <v>9</v>
      </c>
      <c r="CH13" s="55">
        <v>17</v>
      </c>
      <c r="CI13" s="55">
        <v>8</v>
      </c>
      <c r="CJ13" s="34">
        <v>16</v>
      </c>
      <c r="CK13" s="34">
        <v>8</v>
      </c>
      <c r="CL13" s="34">
        <v>4</v>
      </c>
      <c r="CM13" s="34">
        <v>7</v>
      </c>
      <c r="CN13" s="34">
        <f>11+6</f>
        <v>17</v>
      </c>
      <c r="CO13" s="34">
        <v>21</v>
      </c>
      <c r="CP13" s="34">
        <v>3</v>
      </c>
      <c r="CQ13" s="34">
        <v>22</v>
      </c>
      <c r="CR13" s="34">
        <v>9</v>
      </c>
      <c r="CS13" s="34">
        <v>4</v>
      </c>
      <c r="CT13" s="34">
        <v>4</v>
      </c>
      <c r="CU13" s="34">
        <v>2</v>
      </c>
      <c r="CV13" s="34">
        <v>1</v>
      </c>
      <c r="CW13" s="42">
        <v>8</v>
      </c>
      <c r="CX13" s="34">
        <v>0</v>
      </c>
      <c r="CY13" s="137">
        <v>7</v>
      </c>
      <c r="CZ13" s="34">
        <v>3</v>
      </c>
      <c r="DA13" s="34">
        <v>5</v>
      </c>
      <c r="DB13" s="34">
        <v>0</v>
      </c>
      <c r="DC13" s="34">
        <v>1</v>
      </c>
      <c r="DD13" s="34">
        <v>3</v>
      </c>
      <c r="DE13" s="34">
        <v>3</v>
      </c>
      <c r="DF13" s="34">
        <v>0</v>
      </c>
      <c r="DG13" s="34">
        <v>11</v>
      </c>
      <c r="DH13" s="42">
        <v>3</v>
      </c>
      <c r="DI13" s="34">
        <v>4</v>
      </c>
      <c r="DJ13" s="34">
        <v>15</v>
      </c>
      <c r="DK13" s="34">
        <v>0</v>
      </c>
      <c r="DL13" s="34">
        <v>7</v>
      </c>
      <c r="DM13" s="34">
        <v>7</v>
      </c>
      <c r="DN13" s="34">
        <v>0</v>
      </c>
      <c r="DO13" s="34">
        <v>0</v>
      </c>
      <c r="DP13" s="34">
        <v>1</v>
      </c>
      <c r="DQ13" s="34">
        <v>17</v>
      </c>
      <c r="DR13" s="34">
        <v>14</v>
      </c>
      <c r="DS13" s="34">
        <v>2</v>
      </c>
      <c r="DT13" s="218"/>
      <c r="DU13" s="213"/>
      <c r="DV13" s="213"/>
      <c r="DW13" s="213"/>
      <c r="DX13" s="218"/>
      <c r="DY13" s="218"/>
      <c r="DZ13" s="218"/>
      <c r="EA13" s="218"/>
      <c r="EB13" s="218"/>
      <c r="EC13" s="218"/>
      <c r="ED13" s="218"/>
      <c r="EE13" s="218"/>
      <c r="EF13" s="218"/>
      <c r="EG13" s="218"/>
      <c r="EH13" s="249">
        <f>SUM(CP13:EG13)</f>
        <v>156</v>
      </c>
      <c r="EI13" s="150">
        <f>SUM(C13:DM13)</f>
        <v>2114</v>
      </c>
      <c r="EJ13" s="150">
        <f>SUM(J13:DM13)</f>
        <v>1754</v>
      </c>
      <c r="EK13" s="284">
        <f>SUM(DL13:EG13)</f>
        <v>48</v>
      </c>
      <c r="EL13" s="151">
        <f>SUM(C13:C13)</f>
        <v>75</v>
      </c>
      <c r="EM13" s="150">
        <f>SUM(D13:O13)</f>
        <v>708</v>
      </c>
      <c r="EN13" s="150">
        <f>SUM(P13:AA13)</f>
        <v>223</v>
      </c>
      <c r="EO13" s="150">
        <f>SUM(AB13:AM13)</f>
        <v>195</v>
      </c>
      <c r="EP13" s="150">
        <f>SUM(AN13:AY13)</f>
        <v>288</v>
      </c>
      <c r="EQ13" s="150">
        <f>SUM(AZ13:BW13)</f>
        <v>361</v>
      </c>
      <c r="ER13" s="150">
        <f>SUM(BX13:CU13)</f>
        <v>186</v>
      </c>
      <c r="ES13" s="152">
        <f>SUM(CV13:DS13)</f>
        <v>112</v>
      </c>
      <c r="ET13" s="152">
        <f>SUM(DT13:EG13)</f>
        <v>0</v>
      </c>
      <c r="EU13" s="49">
        <f>SUM(CW13:EH13)</f>
        <v>267</v>
      </c>
      <c r="EV13" s="49">
        <f>SUM(CX13:EI13)</f>
        <v>2373</v>
      </c>
      <c r="EW13" s="49">
        <f>SUM(CY13:EJ13)</f>
        <v>4127</v>
      </c>
      <c r="EX13" s="49">
        <f>SUM(CZ13:EL13)</f>
        <v>4243</v>
      </c>
      <c r="EY13" s="133">
        <f>SUM(F13:DK13)</f>
        <v>1953</v>
      </c>
    </row>
    <row r="14" spans="1:156" ht="15.75" customHeight="1" thickBot="1" x14ac:dyDescent="0.3">
      <c r="A14" s="8" t="s">
        <v>9</v>
      </c>
      <c r="B14" s="8" t="s">
        <v>76</v>
      </c>
      <c r="C14" s="33">
        <v>6</v>
      </c>
      <c r="D14" s="33">
        <v>3</v>
      </c>
      <c r="E14" s="33">
        <v>11</v>
      </c>
      <c r="F14" s="33">
        <v>6</v>
      </c>
      <c r="G14" s="33">
        <v>4</v>
      </c>
      <c r="H14" s="33">
        <v>5</v>
      </c>
      <c r="I14" s="33">
        <v>9</v>
      </c>
      <c r="J14" s="33">
        <v>3</v>
      </c>
      <c r="K14" s="33">
        <v>7</v>
      </c>
      <c r="L14" s="33">
        <v>5</v>
      </c>
      <c r="M14" s="33">
        <v>6</v>
      </c>
      <c r="N14" s="33">
        <v>4</v>
      </c>
      <c r="O14" s="33">
        <v>6</v>
      </c>
      <c r="P14" s="33">
        <v>4</v>
      </c>
      <c r="Q14" s="33">
        <v>0</v>
      </c>
      <c r="R14" s="33">
        <v>4</v>
      </c>
      <c r="S14" s="33">
        <v>3</v>
      </c>
      <c r="T14" s="33">
        <v>2</v>
      </c>
      <c r="U14" s="33">
        <v>0</v>
      </c>
      <c r="V14" s="33">
        <v>1</v>
      </c>
      <c r="W14" s="33">
        <v>1</v>
      </c>
      <c r="X14" s="33">
        <v>3</v>
      </c>
      <c r="Y14" s="33">
        <v>3</v>
      </c>
      <c r="Z14" s="33">
        <v>1</v>
      </c>
      <c r="AA14" s="33">
        <v>2</v>
      </c>
      <c r="AB14" s="33">
        <v>3</v>
      </c>
      <c r="AC14" s="33">
        <v>1</v>
      </c>
      <c r="AD14" s="33">
        <v>2</v>
      </c>
      <c r="AE14" s="33">
        <v>3</v>
      </c>
      <c r="AF14" s="33">
        <v>0</v>
      </c>
      <c r="AG14" s="33">
        <v>2</v>
      </c>
      <c r="AH14" s="33">
        <v>1</v>
      </c>
      <c r="AI14" s="33">
        <v>5</v>
      </c>
      <c r="AJ14" s="33">
        <v>1</v>
      </c>
      <c r="AK14" s="33">
        <v>3</v>
      </c>
      <c r="AL14" s="33">
        <v>2</v>
      </c>
      <c r="AM14" s="33">
        <v>0</v>
      </c>
      <c r="AN14" s="34">
        <v>0</v>
      </c>
      <c r="AO14" s="34">
        <v>1</v>
      </c>
      <c r="AP14" s="34">
        <v>0</v>
      </c>
      <c r="AQ14" s="34">
        <v>0</v>
      </c>
      <c r="AR14" s="34">
        <v>0</v>
      </c>
      <c r="AS14" s="34">
        <v>0</v>
      </c>
      <c r="AT14" s="34">
        <v>1</v>
      </c>
      <c r="AU14" s="34">
        <v>3</v>
      </c>
      <c r="AV14" s="34">
        <v>1</v>
      </c>
      <c r="AW14" s="33">
        <v>1</v>
      </c>
      <c r="AX14" s="34">
        <v>3</v>
      </c>
      <c r="AY14" s="34">
        <v>0</v>
      </c>
      <c r="AZ14" s="34">
        <v>0</v>
      </c>
      <c r="BA14" s="34">
        <v>0</v>
      </c>
      <c r="BB14" s="34">
        <v>2</v>
      </c>
      <c r="BC14" s="34">
        <v>0</v>
      </c>
      <c r="BD14" s="34">
        <v>1</v>
      </c>
      <c r="BE14" s="34">
        <v>0</v>
      </c>
      <c r="BF14" s="34">
        <v>2</v>
      </c>
      <c r="BG14" s="34">
        <v>3</v>
      </c>
      <c r="BH14" s="34">
        <v>1</v>
      </c>
      <c r="BI14" s="34">
        <v>1</v>
      </c>
      <c r="BJ14" s="34">
        <v>0</v>
      </c>
      <c r="BK14" s="34">
        <v>4</v>
      </c>
      <c r="BL14" s="34">
        <v>0</v>
      </c>
      <c r="BM14" s="34">
        <v>0</v>
      </c>
      <c r="BN14" s="34">
        <v>1</v>
      </c>
      <c r="BO14" s="34">
        <v>0</v>
      </c>
      <c r="BP14" s="34">
        <v>1</v>
      </c>
      <c r="BQ14" s="34">
        <v>0</v>
      </c>
      <c r="BR14" s="42">
        <v>1</v>
      </c>
      <c r="BS14" s="42">
        <v>0</v>
      </c>
      <c r="BT14" s="42">
        <v>3</v>
      </c>
      <c r="BU14" s="42">
        <v>5</v>
      </c>
      <c r="BV14" s="42">
        <v>2</v>
      </c>
      <c r="BW14" s="34">
        <v>9</v>
      </c>
      <c r="BX14" s="34">
        <v>1</v>
      </c>
      <c r="BY14" s="34">
        <v>2</v>
      </c>
      <c r="BZ14" s="34">
        <v>1</v>
      </c>
      <c r="CA14" s="34">
        <v>1</v>
      </c>
      <c r="CB14" s="34">
        <v>1</v>
      </c>
      <c r="CC14" s="34">
        <v>2</v>
      </c>
      <c r="CD14" s="34">
        <v>1</v>
      </c>
      <c r="CE14" s="42">
        <v>2</v>
      </c>
      <c r="CF14" s="34">
        <v>4</v>
      </c>
      <c r="CG14" s="34">
        <v>3</v>
      </c>
      <c r="CH14" s="55">
        <v>4</v>
      </c>
      <c r="CI14" s="55">
        <v>2</v>
      </c>
      <c r="CJ14" s="34">
        <v>6</v>
      </c>
      <c r="CK14" s="34">
        <v>6</v>
      </c>
      <c r="CL14" s="34">
        <v>2</v>
      </c>
      <c r="CM14" s="34">
        <v>3</v>
      </c>
      <c r="CN14" s="34">
        <f>5+3</f>
        <v>8</v>
      </c>
      <c r="CO14" s="34">
        <v>3</v>
      </c>
      <c r="CP14" s="34">
        <v>1</v>
      </c>
      <c r="CQ14" s="34">
        <v>5</v>
      </c>
      <c r="CR14" s="34">
        <v>2</v>
      </c>
      <c r="CS14" s="34">
        <v>2</v>
      </c>
      <c r="CT14" s="34">
        <v>3</v>
      </c>
      <c r="CU14" s="34">
        <v>2</v>
      </c>
      <c r="CV14" s="34">
        <v>1</v>
      </c>
      <c r="CW14" s="42">
        <v>6</v>
      </c>
      <c r="CX14" s="34">
        <v>1</v>
      </c>
      <c r="CY14" s="137">
        <v>3</v>
      </c>
      <c r="CZ14" s="34">
        <v>4</v>
      </c>
      <c r="DA14" s="34">
        <v>2</v>
      </c>
      <c r="DB14" s="34">
        <v>0</v>
      </c>
      <c r="DC14" s="34">
        <v>1</v>
      </c>
      <c r="DD14" s="34">
        <v>1</v>
      </c>
      <c r="DE14" s="34">
        <v>3</v>
      </c>
      <c r="DF14" s="34">
        <v>0</v>
      </c>
      <c r="DG14" s="34">
        <v>3</v>
      </c>
      <c r="DH14" s="42">
        <v>5</v>
      </c>
      <c r="DI14" s="34">
        <v>3</v>
      </c>
      <c r="DJ14" s="34">
        <v>8</v>
      </c>
      <c r="DK14" s="34">
        <v>0</v>
      </c>
      <c r="DL14" s="34">
        <v>5</v>
      </c>
      <c r="DM14" s="34">
        <v>4</v>
      </c>
      <c r="DN14" s="34"/>
      <c r="DO14" s="34"/>
      <c r="DP14" s="34"/>
      <c r="DQ14" s="34"/>
      <c r="DR14" s="34"/>
      <c r="DS14" s="34"/>
      <c r="DT14" s="218"/>
      <c r="DU14" s="213"/>
      <c r="DV14" s="213"/>
      <c r="DW14" s="213"/>
      <c r="DX14" s="218"/>
      <c r="DY14" s="218"/>
      <c r="DZ14" s="218"/>
      <c r="EA14" s="218"/>
      <c r="EB14" s="218"/>
      <c r="EC14" s="218"/>
      <c r="ED14" s="218"/>
      <c r="EE14" s="218"/>
      <c r="EF14" s="218"/>
      <c r="EG14" s="218"/>
      <c r="EH14" s="249">
        <f t="shared" ref="EH14:EH77" si="0">SUM(CP14:EG14)</f>
        <v>65</v>
      </c>
      <c r="EI14" s="150">
        <f>SUM(C14:DM14)</f>
        <v>285</v>
      </c>
      <c r="EJ14" s="150">
        <f>SUM(J14:DM14)</f>
        <v>241</v>
      </c>
      <c r="EK14" s="284">
        <f t="shared" ref="EK14:EK77" si="1">SUM(DL14:EG14)</f>
        <v>9</v>
      </c>
      <c r="EL14" s="151">
        <f>SUM(C14:C14)</f>
        <v>6</v>
      </c>
      <c r="EM14" s="150">
        <f>SUM(D14:O14)</f>
        <v>69</v>
      </c>
      <c r="EN14" s="150">
        <f>SUM(P14:AA14)</f>
        <v>24</v>
      </c>
      <c r="EO14" s="150">
        <f>SUM(AB14:AM14)</f>
        <v>23</v>
      </c>
      <c r="EP14" s="150">
        <f>SUM(AN14:AY14)</f>
        <v>10</v>
      </c>
      <c r="EQ14" s="150">
        <f>SUM(AZ14:BW14)</f>
        <v>36</v>
      </c>
      <c r="ER14" s="150">
        <f>SUM(BX14:CU14)</f>
        <v>67</v>
      </c>
      <c r="ES14" s="152">
        <f>SUM(CV14:DS14)</f>
        <v>50</v>
      </c>
      <c r="ET14" s="152">
        <f t="shared" ref="ET14:ET77" si="2">SUM(DT14:EG14)</f>
        <v>0</v>
      </c>
      <c r="EU14" s="57">
        <f>SUM(BP14:CK14)</f>
        <v>57</v>
      </c>
      <c r="EV14" s="12">
        <f>SUM(CD14:CU14)</f>
        <v>59</v>
      </c>
      <c r="EX14" s="12">
        <f>SUM(C14:CO14)</f>
        <v>220</v>
      </c>
      <c r="EY14" s="131">
        <f>SUM(F14:DK14)</f>
        <v>256</v>
      </c>
      <c r="EZ14" t="s">
        <v>269</v>
      </c>
    </row>
    <row r="15" spans="1:156" s="253" customFormat="1" ht="23.25" customHeight="1" thickBot="1" x14ac:dyDescent="0.3">
      <c r="A15" s="306" t="s">
        <v>285</v>
      </c>
      <c r="B15" s="307"/>
      <c r="C15" s="257"/>
      <c r="D15" s="258"/>
      <c r="E15" s="258"/>
      <c r="F15" s="258"/>
      <c r="G15" s="258"/>
      <c r="H15" s="258"/>
      <c r="I15" s="258"/>
      <c r="J15" s="258"/>
      <c r="K15" s="258"/>
      <c r="L15" s="258"/>
      <c r="M15" s="258"/>
      <c r="N15" s="258"/>
      <c r="O15" s="258"/>
      <c r="P15" s="258"/>
      <c r="Q15" s="258"/>
      <c r="R15" s="258"/>
      <c r="S15" s="258"/>
      <c r="T15" s="258"/>
      <c r="U15" s="258"/>
      <c r="V15" s="258"/>
      <c r="W15" s="258"/>
      <c r="X15" s="258"/>
      <c r="Y15" s="258"/>
      <c r="Z15" s="258"/>
      <c r="AA15" s="258"/>
      <c r="AB15" s="258"/>
      <c r="AC15" s="258"/>
      <c r="AD15" s="258"/>
      <c r="AE15" s="258"/>
      <c r="AF15" s="258"/>
      <c r="AG15" s="258"/>
      <c r="AH15" s="258"/>
      <c r="AI15" s="258"/>
      <c r="AJ15" s="258"/>
      <c r="AK15" s="258"/>
      <c r="AL15" s="258"/>
      <c r="AM15" s="258"/>
      <c r="AN15" s="258"/>
      <c r="AO15" s="258"/>
      <c r="AP15" s="258"/>
      <c r="AQ15" s="258"/>
      <c r="AR15" s="258"/>
      <c r="AS15" s="258"/>
      <c r="AT15" s="258"/>
      <c r="AU15" s="258"/>
      <c r="AV15" s="258"/>
      <c r="AW15" s="258"/>
      <c r="AX15" s="258"/>
      <c r="AY15" s="258"/>
      <c r="AZ15" s="258"/>
      <c r="BA15" s="258"/>
      <c r="BB15" s="258"/>
      <c r="BC15" s="258"/>
      <c r="BD15" s="258"/>
      <c r="BE15" s="258"/>
      <c r="BF15" s="258"/>
      <c r="BG15" s="258"/>
      <c r="BH15" s="258"/>
      <c r="BI15" s="258"/>
      <c r="BJ15" s="258"/>
      <c r="BK15" s="258"/>
      <c r="BL15" s="258"/>
      <c r="BM15" s="258"/>
      <c r="BN15" s="258"/>
      <c r="BO15" s="258"/>
      <c r="BP15" s="258"/>
      <c r="BQ15" s="258"/>
      <c r="BR15" s="258"/>
      <c r="BS15" s="258"/>
      <c r="BT15" s="258"/>
      <c r="BU15" s="258"/>
      <c r="BV15" s="258"/>
      <c r="BW15" s="258"/>
      <c r="BX15" s="258"/>
      <c r="BY15" s="258"/>
      <c r="BZ15" s="258"/>
      <c r="CA15" s="258"/>
      <c r="CB15" s="258"/>
      <c r="CC15" s="258"/>
      <c r="CD15" s="258"/>
      <c r="CE15" s="258"/>
      <c r="CF15" s="258"/>
      <c r="CG15" s="258"/>
      <c r="CH15" s="258"/>
      <c r="CI15" s="258"/>
      <c r="CJ15" s="258"/>
      <c r="CK15" s="258"/>
      <c r="CL15" s="258"/>
      <c r="CM15" s="258"/>
      <c r="CN15" s="258"/>
      <c r="CO15" s="258"/>
      <c r="CP15" s="258"/>
      <c r="CQ15" s="258"/>
      <c r="CR15" s="258"/>
      <c r="CS15" s="258"/>
      <c r="CT15" s="258"/>
      <c r="CU15" s="258"/>
      <c r="CV15" s="258"/>
      <c r="CW15" s="258"/>
      <c r="CX15" s="258"/>
      <c r="CY15" s="258"/>
      <c r="CZ15" s="258"/>
      <c r="DA15" s="258"/>
      <c r="DB15" s="258"/>
      <c r="DC15" s="258"/>
      <c r="DD15" s="258"/>
      <c r="DE15" s="258"/>
      <c r="DF15" s="258"/>
      <c r="DG15" s="258"/>
      <c r="DH15" s="258"/>
      <c r="DI15" s="258"/>
      <c r="DJ15" s="258"/>
      <c r="DK15" s="258"/>
      <c r="DL15" s="258"/>
      <c r="DM15" s="258"/>
      <c r="DN15" s="258"/>
      <c r="DO15" s="258"/>
      <c r="DP15" s="258"/>
      <c r="DQ15" s="258"/>
      <c r="DR15" s="258"/>
      <c r="DS15" s="258"/>
      <c r="DT15" s="258"/>
      <c r="DU15" s="258"/>
      <c r="DV15" s="258"/>
      <c r="DW15" s="258"/>
      <c r="DX15" s="258"/>
      <c r="DY15" s="258"/>
      <c r="DZ15" s="258"/>
      <c r="EA15" s="258"/>
      <c r="EB15" s="258"/>
      <c r="EC15" s="258"/>
      <c r="ED15" s="258"/>
      <c r="EE15" s="258"/>
      <c r="EF15" s="258"/>
      <c r="EG15" s="258"/>
      <c r="EH15" s="249">
        <f t="shared" si="0"/>
        <v>0</v>
      </c>
      <c r="EI15" s="150"/>
      <c r="EJ15" s="150"/>
      <c r="EK15" s="284">
        <f t="shared" si="1"/>
        <v>0</v>
      </c>
      <c r="EL15" s="151"/>
      <c r="EM15" s="150"/>
      <c r="EN15" s="150"/>
      <c r="EO15" s="150"/>
      <c r="EP15" s="150"/>
      <c r="EQ15" s="150"/>
      <c r="ER15" s="150"/>
      <c r="ES15" s="152"/>
      <c r="ET15" s="152">
        <f t="shared" si="2"/>
        <v>0</v>
      </c>
      <c r="EU15" s="57"/>
      <c r="EV15" s="12"/>
      <c r="EX15" s="12"/>
      <c r="EY15" s="131"/>
    </row>
    <row r="16" spans="1:156" s="253" customFormat="1" ht="30" customHeight="1" thickBot="1" x14ac:dyDescent="0.3">
      <c r="A16" s="8" t="s">
        <v>284</v>
      </c>
      <c r="B16" s="8"/>
      <c r="C16" s="33">
        <v>0</v>
      </c>
      <c r="D16" s="33">
        <v>0</v>
      </c>
      <c r="E16" s="33">
        <v>0</v>
      </c>
      <c r="F16" s="33">
        <v>0</v>
      </c>
      <c r="G16" s="33">
        <v>0</v>
      </c>
      <c r="H16" s="33">
        <v>0</v>
      </c>
      <c r="I16" s="33">
        <v>0</v>
      </c>
      <c r="J16" s="33">
        <v>0</v>
      </c>
      <c r="K16" s="33">
        <v>0</v>
      </c>
      <c r="L16" s="33">
        <v>0</v>
      </c>
      <c r="M16" s="33">
        <v>0</v>
      </c>
      <c r="N16" s="33">
        <v>0</v>
      </c>
      <c r="O16" s="33">
        <v>0</v>
      </c>
      <c r="P16" s="33">
        <v>0</v>
      </c>
      <c r="Q16" s="33">
        <v>0</v>
      </c>
      <c r="R16" s="33">
        <v>0</v>
      </c>
      <c r="S16" s="33">
        <v>0</v>
      </c>
      <c r="T16" s="33">
        <v>0</v>
      </c>
      <c r="U16" s="33">
        <v>0</v>
      </c>
      <c r="V16" s="33">
        <v>0</v>
      </c>
      <c r="W16" s="33">
        <v>0</v>
      </c>
      <c r="X16" s="33">
        <v>0</v>
      </c>
      <c r="Y16" s="33">
        <v>0</v>
      </c>
      <c r="Z16" s="33">
        <v>0</v>
      </c>
      <c r="AA16" s="33">
        <v>0</v>
      </c>
      <c r="AB16" s="33">
        <v>0</v>
      </c>
      <c r="AC16" s="33">
        <v>0</v>
      </c>
      <c r="AD16" s="33">
        <v>0</v>
      </c>
      <c r="AE16" s="33">
        <v>0</v>
      </c>
      <c r="AF16" s="33">
        <v>0</v>
      </c>
      <c r="AG16" s="33">
        <v>0</v>
      </c>
      <c r="AH16" s="33">
        <v>0</v>
      </c>
      <c r="AI16" s="33">
        <v>0</v>
      </c>
      <c r="AJ16" s="33">
        <v>0</v>
      </c>
      <c r="AK16" s="33">
        <v>0</v>
      </c>
      <c r="AL16" s="33">
        <v>0</v>
      </c>
      <c r="AM16" s="33">
        <v>0</v>
      </c>
      <c r="AN16" s="34">
        <v>0</v>
      </c>
      <c r="AO16" s="34">
        <v>0</v>
      </c>
      <c r="AP16" s="34">
        <v>0</v>
      </c>
      <c r="AQ16" s="34">
        <v>0</v>
      </c>
      <c r="AR16" s="34">
        <v>0</v>
      </c>
      <c r="AS16" s="34">
        <v>0</v>
      </c>
      <c r="AT16" s="34">
        <v>0</v>
      </c>
      <c r="AU16" s="34">
        <v>0</v>
      </c>
      <c r="AV16" s="34">
        <v>0</v>
      </c>
      <c r="AW16" s="33">
        <v>0</v>
      </c>
      <c r="AX16" s="34">
        <v>0</v>
      </c>
      <c r="AY16" s="34">
        <v>0</v>
      </c>
      <c r="AZ16" s="34">
        <v>0</v>
      </c>
      <c r="BA16" s="34">
        <v>0</v>
      </c>
      <c r="BB16" s="34">
        <v>0</v>
      </c>
      <c r="BC16" s="34">
        <v>0</v>
      </c>
      <c r="BD16" s="34">
        <v>0</v>
      </c>
      <c r="BE16" s="34">
        <v>0</v>
      </c>
      <c r="BF16" s="34">
        <v>0</v>
      </c>
      <c r="BG16" s="34">
        <v>0</v>
      </c>
      <c r="BH16" s="34">
        <v>0</v>
      </c>
      <c r="BI16" s="34">
        <v>0</v>
      </c>
      <c r="BJ16" s="34">
        <v>0</v>
      </c>
      <c r="BK16" s="34">
        <v>0</v>
      </c>
      <c r="BL16" s="34">
        <v>0</v>
      </c>
      <c r="BM16" s="34">
        <v>0</v>
      </c>
      <c r="BN16" s="34">
        <v>0</v>
      </c>
      <c r="BO16" s="34">
        <v>0</v>
      </c>
      <c r="BP16" s="34">
        <v>0</v>
      </c>
      <c r="BQ16" s="34">
        <v>0</v>
      </c>
      <c r="BR16" s="42">
        <v>0</v>
      </c>
      <c r="BS16" s="42">
        <v>0</v>
      </c>
      <c r="BT16" s="42">
        <v>0</v>
      </c>
      <c r="BU16" s="42">
        <v>0</v>
      </c>
      <c r="BV16" s="42">
        <v>0</v>
      </c>
      <c r="BW16" s="34">
        <v>0</v>
      </c>
      <c r="BX16" s="34">
        <v>0</v>
      </c>
      <c r="BY16" s="34">
        <v>0</v>
      </c>
      <c r="BZ16" s="34">
        <v>0</v>
      </c>
      <c r="CA16" s="34">
        <v>0</v>
      </c>
      <c r="CB16" s="34">
        <v>0</v>
      </c>
      <c r="CC16" s="34">
        <v>0</v>
      </c>
      <c r="CD16" s="34">
        <v>0</v>
      </c>
      <c r="CE16" s="42">
        <v>0</v>
      </c>
      <c r="CF16" s="34">
        <v>0</v>
      </c>
      <c r="CG16" s="34">
        <v>0</v>
      </c>
      <c r="CH16" s="55">
        <v>0</v>
      </c>
      <c r="CI16" s="55">
        <v>0</v>
      </c>
      <c r="CJ16" s="34">
        <v>0</v>
      </c>
      <c r="CK16" s="34">
        <v>0</v>
      </c>
      <c r="CL16" s="34">
        <v>0</v>
      </c>
      <c r="CM16" s="34">
        <v>0</v>
      </c>
      <c r="CN16" s="34">
        <v>0</v>
      </c>
      <c r="CO16" s="34">
        <v>0</v>
      </c>
      <c r="CP16" s="34">
        <v>0</v>
      </c>
      <c r="CQ16" s="34">
        <v>0</v>
      </c>
      <c r="CR16" s="34">
        <v>0</v>
      </c>
      <c r="CS16" s="34">
        <v>0</v>
      </c>
      <c r="CT16" s="34">
        <v>0</v>
      </c>
      <c r="CU16" s="34">
        <v>0</v>
      </c>
      <c r="CV16" s="34">
        <v>0</v>
      </c>
      <c r="CW16" s="42">
        <v>0</v>
      </c>
      <c r="CX16" s="34">
        <v>0</v>
      </c>
      <c r="CY16" s="137">
        <v>0</v>
      </c>
      <c r="CZ16" s="34">
        <v>0</v>
      </c>
      <c r="DA16" s="34">
        <v>0</v>
      </c>
      <c r="DB16" s="34">
        <v>0</v>
      </c>
      <c r="DC16" s="34">
        <v>0</v>
      </c>
      <c r="DD16" s="34">
        <v>0</v>
      </c>
      <c r="DE16" s="34">
        <v>0</v>
      </c>
      <c r="DF16" s="34">
        <v>0</v>
      </c>
      <c r="DG16" s="34">
        <v>0</v>
      </c>
      <c r="DH16" s="42">
        <v>0</v>
      </c>
      <c r="DI16" s="34">
        <v>0</v>
      </c>
      <c r="DJ16" s="34">
        <v>0</v>
      </c>
      <c r="DK16" s="34">
        <v>0</v>
      </c>
      <c r="DL16" s="34">
        <v>0</v>
      </c>
      <c r="DM16" s="34">
        <v>0</v>
      </c>
      <c r="DN16" s="34">
        <v>0</v>
      </c>
      <c r="DO16" s="34">
        <v>0</v>
      </c>
      <c r="DP16" s="34">
        <v>0</v>
      </c>
      <c r="DQ16" s="34">
        <v>0</v>
      </c>
      <c r="DR16" s="34">
        <v>0</v>
      </c>
      <c r="DS16" s="34">
        <v>0</v>
      </c>
      <c r="DT16" s="134">
        <v>0</v>
      </c>
      <c r="DU16" s="118">
        <v>0</v>
      </c>
      <c r="DV16" s="134">
        <v>0</v>
      </c>
      <c r="DW16" s="134">
        <v>0</v>
      </c>
      <c r="DX16" s="134">
        <v>0</v>
      </c>
      <c r="DY16" s="134">
        <v>0</v>
      </c>
      <c r="DZ16" s="134">
        <v>22</v>
      </c>
      <c r="EA16" s="134">
        <v>0</v>
      </c>
      <c r="EB16" s="134">
        <v>0</v>
      </c>
      <c r="EC16" s="134">
        <v>0</v>
      </c>
      <c r="ED16" s="134">
        <v>0</v>
      </c>
      <c r="EE16" s="134">
        <v>0</v>
      </c>
      <c r="EF16" s="134">
        <v>0</v>
      </c>
      <c r="EG16" s="134">
        <v>0</v>
      </c>
      <c r="EH16" s="249">
        <f t="shared" si="0"/>
        <v>22</v>
      </c>
      <c r="EI16" s="150"/>
      <c r="EJ16" s="150"/>
      <c r="EK16" s="284">
        <f t="shared" si="1"/>
        <v>22</v>
      </c>
      <c r="EL16" s="151"/>
      <c r="EM16" s="150"/>
      <c r="EN16" s="150"/>
      <c r="EO16" s="150"/>
      <c r="EP16" s="150"/>
      <c r="EQ16" s="150"/>
      <c r="ER16" s="150"/>
      <c r="ES16" s="152"/>
      <c r="ET16" s="152">
        <f t="shared" si="2"/>
        <v>22</v>
      </c>
      <c r="EU16" s="57"/>
      <c r="EV16" s="12"/>
      <c r="EX16" s="12"/>
      <c r="EY16" s="131"/>
    </row>
    <row r="17" spans="1:156" s="253" customFormat="1" ht="30" customHeight="1" thickBot="1" x14ac:dyDescent="0.3">
      <c r="A17" s="8" t="s">
        <v>286</v>
      </c>
      <c r="B17" s="8"/>
      <c r="C17" s="33">
        <v>0</v>
      </c>
      <c r="D17" s="33">
        <v>0</v>
      </c>
      <c r="E17" s="33">
        <v>0</v>
      </c>
      <c r="F17" s="33">
        <v>0</v>
      </c>
      <c r="G17" s="33">
        <v>0</v>
      </c>
      <c r="H17" s="33">
        <v>0</v>
      </c>
      <c r="I17" s="33">
        <v>0</v>
      </c>
      <c r="J17" s="33">
        <v>0</v>
      </c>
      <c r="K17" s="33">
        <v>0</v>
      </c>
      <c r="L17" s="33">
        <v>0</v>
      </c>
      <c r="M17" s="33">
        <v>0</v>
      </c>
      <c r="N17" s="33">
        <v>0</v>
      </c>
      <c r="O17" s="33">
        <v>0</v>
      </c>
      <c r="P17" s="33">
        <v>0</v>
      </c>
      <c r="Q17" s="33">
        <v>0</v>
      </c>
      <c r="R17" s="33">
        <v>0</v>
      </c>
      <c r="S17" s="33">
        <v>0</v>
      </c>
      <c r="T17" s="33">
        <v>0</v>
      </c>
      <c r="U17" s="33">
        <v>0</v>
      </c>
      <c r="V17" s="33">
        <v>0</v>
      </c>
      <c r="W17" s="33">
        <v>0</v>
      </c>
      <c r="X17" s="33">
        <v>0</v>
      </c>
      <c r="Y17" s="33">
        <v>0</v>
      </c>
      <c r="Z17" s="33">
        <v>0</v>
      </c>
      <c r="AA17" s="33">
        <v>0</v>
      </c>
      <c r="AB17" s="33">
        <v>0</v>
      </c>
      <c r="AC17" s="33">
        <v>0</v>
      </c>
      <c r="AD17" s="33">
        <v>0</v>
      </c>
      <c r="AE17" s="33">
        <v>0</v>
      </c>
      <c r="AF17" s="33">
        <v>0</v>
      </c>
      <c r="AG17" s="33">
        <v>0</v>
      </c>
      <c r="AH17" s="33">
        <v>0</v>
      </c>
      <c r="AI17" s="33">
        <v>0</v>
      </c>
      <c r="AJ17" s="33">
        <v>0</v>
      </c>
      <c r="AK17" s="33">
        <v>0</v>
      </c>
      <c r="AL17" s="33">
        <v>0</v>
      </c>
      <c r="AM17" s="33">
        <v>0</v>
      </c>
      <c r="AN17" s="34">
        <v>0</v>
      </c>
      <c r="AO17" s="34">
        <v>0</v>
      </c>
      <c r="AP17" s="34">
        <v>0</v>
      </c>
      <c r="AQ17" s="34">
        <v>0</v>
      </c>
      <c r="AR17" s="34">
        <v>0</v>
      </c>
      <c r="AS17" s="34">
        <v>0</v>
      </c>
      <c r="AT17" s="34">
        <v>0</v>
      </c>
      <c r="AU17" s="34">
        <v>0</v>
      </c>
      <c r="AV17" s="34">
        <v>0</v>
      </c>
      <c r="AW17" s="33">
        <v>0</v>
      </c>
      <c r="AX17" s="34">
        <v>0</v>
      </c>
      <c r="AY17" s="34">
        <v>0</v>
      </c>
      <c r="AZ17" s="34">
        <v>0</v>
      </c>
      <c r="BA17" s="34">
        <v>0</v>
      </c>
      <c r="BB17" s="34">
        <v>0</v>
      </c>
      <c r="BC17" s="34">
        <v>0</v>
      </c>
      <c r="BD17" s="34">
        <v>0</v>
      </c>
      <c r="BE17" s="34">
        <v>0</v>
      </c>
      <c r="BF17" s="34">
        <v>0</v>
      </c>
      <c r="BG17" s="34">
        <v>0</v>
      </c>
      <c r="BH17" s="34">
        <v>0</v>
      </c>
      <c r="BI17" s="34">
        <v>0</v>
      </c>
      <c r="BJ17" s="34">
        <v>0</v>
      </c>
      <c r="BK17" s="34">
        <v>0</v>
      </c>
      <c r="BL17" s="34">
        <v>0</v>
      </c>
      <c r="BM17" s="34">
        <v>0</v>
      </c>
      <c r="BN17" s="34">
        <v>0</v>
      </c>
      <c r="BO17" s="34">
        <v>0</v>
      </c>
      <c r="BP17" s="34">
        <v>0</v>
      </c>
      <c r="BQ17" s="34">
        <v>0</v>
      </c>
      <c r="BR17" s="42">
        <v>0</v>
      </c>
      <c r="BS17" s="42">
        <v>0</v>
      </c>
      <c r="BT17" s="42">
        <v>0</v>
      </c>
      <c r="BU17" s="42">
        <v>0</v>
      </c>
      <c r="BV17" s="42">
        <v>0</v>
      </c>
      <c r="BW17" s="34">
        <v>0</v>
      </c>
      <c r="BX17" s="34">
        <v>0</v>
      </c>
      <c r="BY17" s="34">
        <v>0</v>
      </c>
      <c r="BZ17" s="34">
        <v>0</v>
      </c>
      <c r="CA17" s="34">
        <v>0</v>
      </c>
      <c r="CB17" s="34">
        <v>0</v>
      </c>
      <c r="CC17" s="34">
        <v>0</v>
      </c>
      <c r="CD17" s="34">
        <v>0</v>
      </c>
      <c r="CE17" s="42">
        <v>0</v>
      </c>
      <c r="CF17" s="34">
        <v>0</v>
      </c>
      <c r="CG17" s="34">
        <v>0</v>
      </c>
      <c r="CH17" s="55">
        <v>0</v>
      </c>
      <c r="CI17" s="55">
        <v>0</v>
      </c>
      <c r="CJ17" s="34">
        <v>0</v>
      </c>
      <c r="CK17" s="34">
        <v>0</v>
      </c>
      <c r="CL17" s="34">
        <v>0</v>
      </c>
      <c r="CM17" s="34">
        <v>0</v>
      </c>
      <c r="CN17" s="34">
        <v>0</v>
      </c>
      <c r="CO17" s="34">
        <v>0</v>
      </c>
      <c r="CP17" s="34">
        <v>0</v>
      </c>
      <c r="CQ17" s="34">
        <v>0</v>
      </c>
      <c r="CR17" s="34">
        <v>0</v>
      </c>
      <c r="CS17" s="34">
        <v>0</v>
      </c>
      <c r="CT17" s="34">
        <v>0</v>
      </c>
      <c r="CU17" s="34">
        <v>0</v>
      </c>
      <c r="CV17" s="34">
        <v>0</v>
      </c>
      <c r="CW17" s="42">
        <v>0</v>
      </c>
      <c r="CX17" s="34">
        <v>0</v>
      </c>
      <c r="CY17" s="137">
        <v>0</v>
      </c>
      <c r="CZ17" s="34">
        <v>0</v>
      </c>
      <c r="DA17" s="34">
        <v>0</v>
      </c>
      <c r="DB17" s="34">
        <v>0</v>
      </c>
      <c r="DC17" s="34">
        <v>0</v>
      </c>
      <c r="DD17" s="34">
        <v>0</v>
      </c>
      <c r="DE17" s="34">
        <v>0</v>
      </c>
      <c r="DF17" s="34">
        <v>0</v>
      </c>
      <c r="DG17" s="34">
        <v>0</v>
      </c>
      <c r="DH17" s="42">
        <v>0</v>
      </c>
      <c r="DI17" s="34">
        <v>0</v>
      </c>
      <c r="DJ17" s="34">
        <v>0</v>
      </c>
      <c r="DK17" s="34">
        <v>0</v>
      </c>
      <c r="DL17" s="34">
        <v>0</v>
      </c>
      <c r="DM17" s="34">
        <v>0</v>
      </c>
      <c r="DN17" s="34">
        <v>0</v>
      </c>
      <c r="DO17" s="34">
        <v>0</v>
      </c>
      <c r="DP17" s="34">
        <v>0</v>
      </c>
      <c r="DQ17" s="34">
        <v>0</v>
      </c>
      <c r="DR17" s="34">
        <v>0</v>
      </c>
      <c r="DS17" s="34">
        <v>0</v>
      </c>
      <c r="DT17" s="134">
        <v>0</v>
      </c>
      <c r="DU17" s="118">
        <v>0</v>
      </c>
      <c r="DV17" s="134">
        <v>0</v>
      </c>
      <c r="DW17" s="134">
        <v>0</v>
      </c>
      <c r="DX17" s="134">
        <v>0</v>
      </c>
      <c r="DY17" s="134">
        <v>0</v>
      </c>
      <c r="DZ17" s="134">
        <v>12</v>
      </c>
      <c r="EA17" s="134">
        <v>0</v>
      </c>
      <c r="EB17" s="134">
        <v>0</v>
      </c>
      <c r="EC17" s="134">
        <v>0</v>
      </c>
      <c r="ED17" s="134">
        <v>0</v>
      </c>
      <c r="EE17" s="134">
        <v>0</v>
      </c>
      <c r="EF17" s="134">
        <v>0</v>
      </c>
      <c r="EG17" s="134">
        <v>0</v>
      </c>
      <c r="EH17" s="249">
        <f t="shared" si="0"/>
        <v>12</v>
      </c>
      <c r="EI17" s="150"/>
      <c r="EJ17" s="150"/>
      <c r="EK17" s="284">
        <f t="shared" si="1"/>
        <v>12</v>
      </c>
      <c r="EL17" s="151"/>
      <c r="EM17" s="150"/>
      <c r="EN17" s="150"/>
      <c r="EO17" s="150"/>
      <c r="EP17" s="150"/>
      <c r="EQ17" s="150"/>
      <c r="ER17" s="150"/>
      <c r="ES17" s="152"/>
      <c r="ET17" s="152">
        <f t="shared" si="2"/>
        <v>12</v>
      </c>
      <c r="EU17" s="57"/>
      <c r="EV17" s="12"/>
      <c r="EX17" s="12"/>
      <c r="EY17" s="131"/>
    </row>
    <row r="18" spans="1:156" s="253" customFormat="1" ht="30" customHeight="1" thickBot="1" x14ac:dyDescent="0.3">
      <c r="A18" s="8" t="s">
        <v>287</v>
      </c>
      <c r="B18" s="8"/>
      <c r="C18" s="33">
        <v>0</v>
      </c>
      <c r="D18" s="33">
        <v>0</v>
      </c>
      <c r="E18" s="33">
        <v>0</v>
      </c>
      <c r="F18" s="33">
        <v>0</v>
      </c>
      <c r="G18" s="33">
        <v>0</v>
      </c>
      <c r="H18" s="33">
        <v>0</v>
      </c>
      <c r="I18" s="33">
        <v>0</v>
      </c>
      <c r="J18" s="33">
        <v>0</v>
      </c>
      <c r="K18" s="33">
        <v>0</v>
      </c>
      <c r="L18" s="33">
        <v>0</v>
      </c>
      <c r="M18" s="33">
        <v>0</v>
      </c>
      <c r="N18" s="33">
        <v>0</v>
      </c>
      <c r="O18" s="33">
        <v>0</v>
      </c>
      <c r="P18" s="33">
        <v>0</v>
      </c>
      <c r="Q18" s="33">
        <v>0</v>
      </c>
      <c r="R18" s="33">
        <v>0</v>
      </c>
      <c r="S18" s="33">
        <v>0</v>
      </c>
      <c r="T18" s="33">
        <v>0</v>
      </c>
      <c r="U18" s="33">
        <v>0</v>
      </c>
      <c r="V18" s="33">
        <v>0</v>
      </c>
      <c r="W18" s="33">
        <v>0</v>
      </c>
      <c r="X18" s="33">
        <v>0</v>
      </c>
      <c r="Y18" s="33">
        <v>0</v>
      </c>
      <c r="Z18" s="33">
        <v>0</v>
      </c>
      <c r="AA18" s="33">
        <v>0</v>
      </c>
      <c r="AB18" s="33">
        <v>0</v>
      </c>
      <c r="AC18" s="33">
        <v>0</v>
      </c>
      <c r="AD18" s="33">
        <v>0</v>
      </c>
      <c r="AE18" s="33">
        <v>0</v>
      </c>
      <c r="AF18" s="33">
        <v>0</v>
      </c>
      <c r="AG18" s="33">
        <v>0</v>
      </c>
      <c r="AH18" s="33">
        <v>0</v>
      </c>
      <c r="AI18" s="33">
        <v>0</v>
      </c>
      <c r="AJ18" s="33">
        <v>0</v>
      </c>
      <c r="AK18" s="33">
        <v>0</v>
      </c>
      <c r="AL18" s="33">
        <v>0</v>
      </c>
      <c r="AM18" s="33">
        <v>0</v>
      </c>
      <c r="AN18" s="34">
        <v>0</v>
      </c>
      <c r="AO18" s="34">
        <v>0</v>
      </c>
      <c r="AP18" s="34">
        <v>0</v>
      </c>
      <c r="AQ18" s="34">
        <v>0</v>
      </c>
      <c r="AR18" s="34">
        <v>0</v>
      </c>
      <c r="AS18" s="34">
        <v>0</v>
      </c>
      <c r="AT18" s="34">
        <v>0</v>
      </c>
      <c r="AU18" s="34">
        <v>0</v>
      </c>
      <c r="AV18" s="34">
        <v>0</v>
      </c>
      <c r="AW18" s="33">
        <v>0</v>
      </c>
      <c r="AX18" s="34">
        <v>0</v>
      </c>
      <c r="AY18" s="34">
        <v>0</v>
      </c>
      <c r="AZ18" s="34">
        <v>0</v>
      </c>
      <c r="BA18" s="34">
        <v>0</v>
      </c>
      <c r="BB18" s="34">
        <v>0</v>
      </c>
      <c r="BC18" s="34">
        <v>0</v>
      </c>
      <c r="BD18" s="34">
        <v>0</v>
      </c>
      <c r="BE18" s="34">
        <v>0</v>
      </c>
      <c r="BF18" s="34">
        <v>0</v>
      </c>
      <c r="BG18" s="34">
        <v>0</v>
      </c>
      <c r="BH18" s="34">
        <v>0</v>
      </c>
      <c r="BI18" s="34">
        <v>0</v>
      </c>
      <c r="BJ18" s="34">
        <v>0</v>
      </c>
      <c r="BK18" s="34">
        <v>0</v>
      </c>
      <c r="BL18" s="34">
        <v>0</v>
      </c>
      <c r="BM18" s="34">
        <v>0</v>
      </c>
      <c r="BN18" s="34">
        <v>0</v>
      </c>
      <c r="BO18" s="34">
        <v>0</v>
      </c>
      <c r="BP18" s="34">
        <v>0</v>
      </c>
      <c r="BQ18" s="34">
        <v>0</v>
      </c>
      <c r="BR18" s="42">
        <v>0</v>
      </c>
      <c r="BS18" s="42">
        <v>0</v>
      </c>
      <c r="BT18" s="42">
        <v>0</v>
      </c>
      <c r="BU18" s="42">
        <v>0</v>
      </c>
      <c r="BV18" s="42">
        <v>0</v>
      </c>
      <c r="BW18" s="34">
        <v>0</v>
      </c>
      <c r="BX18" s="34">
        <v>0</v>
      </c>
      <c r="BY18" s="34">
        <v>0</v>
      </c>
      <c r="BZ18" s="34">
        <v>0</v>
      </c>
      <c r="CA18" s="34">
        <v>0</v>
      </c>
      <c r="CB18" s="34">
        <v>0</v>
      </c>
      <c r="CC18" s="34">
        <v>0</v>
      </c>
      <c r="CD18" s="34">
        <v>0</v>
      </c>
      <c r="CE18" s="42">
        <v>0</v>
      </c>
      <c r="CF18" s="34">
        <v>0</v>
      </c>
      <c r="CG18" s="34">
        <v>0</v>
      </c>
      <c r="CH18" s="55">
        <v>0</v>
      </c>
      <c r="CI18" s="55">
        <v>0</v>
      </c>
      <c r="CJ18" s="34">
        <v>0</v>
      </c>
      <c r="CK18" s="34">
        <v>0</v>
      </c>
      <c r="CL18" s="34">
        <v>0</v>
      </c>
      <c r="CM18" s="34">
        <v>0</v>
      </c>
      <c r="CN18" s="34">
        <v>0</v>
      </c>
      <c r="CO18" s="34">
        <v>0</v>
      </c>
      <c r="CP18" s="34">
        <v>0</v>
      </c>
      <c r="CQ18" s="34">
        <v>0</v>
      </c>
      <c r="CR18" s="34">
        <v>0</v>
      </c>
      <c r="CS18" s="34">
        <v>0</v>
      </c>
      <c r="CT18" s="34">
        <v>0</v>
      </c>
      <c r="CU18" s="34">
        <v>0</v>
      </c>
      <c r="CV18" s="34">
        <v>0</v>
      </c>
      <c r="CW18" s="42">
        <v>0</v>
      </c>
      <c r="CX18" s="34">
        <v>0</v>
      </c>
      <c r="CY18" s="137">
        <v>0</v>
      </c>
      <c r="CZ18" s="34">
        <v>0</v>
      </c>
      <c r="DA18" s="34">
        <v>0</v>
      </c>
      <c r="DB18" s="34">
        <v>0</v>
      </c>
      <c r="DC18" s="34">
        <v>0</v>
      </c>
      <c r="DD18" s="34">
        <v>0</v>
      </c>
      <c r="DE18" s="34">
        <v>0</v>
      </c>
      <c r="DF18" s="34">
        <v>0</v>
      </c>
      <c r="DG18" s="34">
        <v>0</v>
      </c>
      <c r="DH18" s="42">
        <v>0</v>
      </c>
      <c r="DI18" s="34">
        <v>0</v>
      </c>
      <c r="DJ18" s="34">
        <v>0</v>
      </c>
      <c r="DK18" s="34">
        <v>0</v>
      </c>
      <c r="DL18" s="34">
        <v>0</v>
      </c>
      <c r="DM18" s="34">
        <v>0</v>
      </c>
      <c r="DN18" s="34">
        <v>0</v>
      </c>
      <c r="DO18" s="34">
        <v>0</v>
      </c>
      <c r="DP18" s="34">
        <v>0</v>
      </c>
      <c r="DQ18" s="34">
        <v>0</v>
      </c>
      <c r="DR18" s="34">
        <v>0</v>
      </c>
      <c r="DS18" s="34">
        <v>0</v>
      </c>
      <c r="DT18" s="134">
        <v>0</v>
      </c>
      <c r="DU18" s="118">
        <v>0</v>
      </c>
      <c r="DV18" s="134">
        <v>0</v>
      </c>
      <c r="DW18" s="134">
        <v>0</v>
      </c>
      <c r="DX18" s="134">
        <v>0</v>
      </c>
      <c r="DY18" s="134">
        <v>0</v>
      </c>
      <c r="DZ18" s="134">
        <v>3</v>
      </c>
      <c r="EA18" s="134">
        <v>0</v>
      </c>
      <c r="EB18" s="134">
        <v>0</v>
      </c>
      <c r="EC18" s="134">
        <v>0</v>
      </c>
      <c r="ED18" s="134">
        <v>0</v>
      </c>
      <c r="EE18" s="134">
        <v>0</v>
      </c>
      <c r="EF18" s="134">
        <v>0</v>
      </c>
      <c r="EG18" s="134">
        <v>0</v>
      </c>
      <c r="EH18" s="249">
        <f t="shared" si="0"/>
        <v>3</v>
      </c>
      <c r="EI18" s="150"/>
      <c r="EJ18" s="150"/>
      <c r="EK18" s="284">
        <f t="shared" si="1"/>
        <v>3</v>
      </c>
      <c r="EL18" s="151"/>
      <c r="EM18" s="150"/>
      <c r="EN18" s="150"/>
      <c r="EO18" s="150"/>
      <c r="EP18" s="150"/>
      <c r="EQ18" s="150"/>
      <c r="ER18" s="150"/>
      <c r="ES18" s="152"/>
      <c r="ET18" s="152">
        <f t="shared" si="2"/>
        <v>3</v>
      </c>
      <c r="EU18" s="57"/>
      <c r="EV18" s="12"/>
      <c r="EX18" s="12"/>
      <c r="EY18" s="131"/>
    </row>
    <row r="19" spans="1:156" s="253" customFormat="1" ht="30" customHeight="1" thickBot="1" x14ac:dyDescent="0.3">
      <c r="A19" s="8" t="s">
        <v>288</v>
      </c>
      <c r="B19" s="8"/>
      <c r="C19" s="33">
        <v>0</v>
      </c>
      <c r="D19" s="33">
        <v>0</v>
      </c>
      <c r="E19" s="33">
        <v>0</v>
      </c>
      <c r="F19" s="33">
        <v>0</v>
      </c>
      <c r="G19" s="33">
        <v>0</v>
      </c>
      <c r="H19" s="33">
        <v>0</v>
      </c>
      <c r="I19" s="33">
        <v>0</v>
      </c>
      <c r="J19" s="33">
        <v>0</v>
      </c>
      <c r="K19" s="33">
        <v>0</v>
      </c>
      <c r="L19" s="33">
        <v>0</v>
      </c>
      <c r="M19" s="33">
        <v>0</v>
      </c>
      <c r="N19" s="33">
        <v>0</v>
      </c>
      <c r="O19" s="33">
        <v>0</v>
      </c>
      <c r="P19" s="33">
        <v>0</v>
      </c>
      <c r="Q19" s="33">
        <v>0</v>
      </c>
      <c r="R19" s="33">
        <v>0</v>
      </c>
      <c r="S19" s="33">
        <v>0</v>
      </c>
      <c r="T19" s="33">
        <v>0</v>
      </c>
      <c r="U19" s="33">
        <v>0</v>
      </c>
      <c r="V19" s="33">
        <v>0</v>
      </c>
      <c r="W19" s="33">
        <v>0</v>
      </c>
      <c r="X19" s="33">
        <v>0</v>
      </c>
      <c r="Y19" s="33">
        <v>0</v>
      </c>
      <c r="Z19" s="33">
        <v>0</v>
      </c>
      <c r="AA19" s="33">
        <v>0</v>
      </c>
      <c r="AB19" s="33">
        <v>0</v>
      </c>
      <c r="AC19" s="33">
        <v>0</v>
      </c>
      <c r="AD19" s="33">
        <v>0</v>
      </c>
      <c r="AE19" s="33">
        <v>0</v>
      </c>
      <c r="AF19" s="33">
        <v>0</v>
      </c>
      <c r="AG19" s="33">
        <v>0</v>
      </c>
      <c r="AH19" s="33">
        <v>0</v>
      </c>
      <c r="AI19" s="33">
        <v>0</v>
      </c>
      <c r="AJ19" s="33">
        <v>0</v>
      </c>
      <c r="AK19" s="33">
        <v>0</v>
      </c>
      <c r="AL19" s="33">
        <v>0</v>
      </c>
      <c r="AM19" s="33">
        <v>0</v>
      </c>
      <c r="AN19" s="34">
        <v>0</v>
      </c>
      <c r="AO19" s="34">
        <v>0</v>
      </c>
      <c r="AP19" s="34">
        <v>0</v>
      </c>
      <c r="AQ19" s="34">
        <v>0</v>
      </c>
      <c r="AR19" s="34">
        <v>0</v>
      </c>
      <c r="AS19" s="34">
        <v>0</v>
      </c>
      <c r="AT19" s="34">
        <v>0</v>
      </c>
      <c r="AU19" s="34">
        <v>0</v>
      </c>
      <c r="AV19" s="34">
        <v>0</v>
      </c>
      <c r="AW19" s="33">
        <v>0</v>
      </c>
      <c r="AX19" s="34">
        <v>0</v>
      </c>
      <c r="AY19" s="34">
        <v>0</v>
      </c>
      <c r="AZ19" s="34">
        <v>0</v>
      </c>
      <c r="BA19" s="34">
        <v>0</v>
      </c>
      <c r="BB19" s="34">
        <v>0</v>
      </c>
      <c r="BC19" s="34">
        <v>0</v>
      </c>
      <c r="BD19" s="34">
        <v>0</v>
      </c>
      <c r="BE19" s="34">
        <v>0</v>
      </c>
      <c r="BF19" s="34">
        <v>0</v>
      </c>
      <c r="BG19" s="34">
        <v>0</v>
      </c>
      <c r="BH19" s="34">
        <v>0</v>
      </c>
      <c r="BI19" s="34">
        <v>0</v>
      </c>
      <c r="BJ19" s="34">
        <v>0</v>
      </c>
      <c r="BK19" s="34">
        <v>0</v>
      </c>
      <c r="BL19" s="34">
        <v>0</v>
      </c>
      <c r="BM19" s="34">
        <v>0</v>
      </c>
      <c r="BN19" s="34">
        <v>0</v>
      </c>
      <c r="BO19" s="34">
        <v>0</v>
      </c>
      <c r="BP19" s="34">
        <v>0</v>
      </c>
      <c r="BQ19" s="34">
        <v>0</v>
      </c>
      <c r="BR19" s="42">
        <v>0</v>
      </c>
      <c r="BS19" s="42">
        <v>0</v>
      </c>
      <c r="BT19" s="42">
        <v>0</v>
      </c>
      <c r="BU19" s="42">
        <v>0</v>
      </c>
      <c r="BV19" s="42">
        <v>0</v>
      </c>
      <c r="BW19" s="34">
        <v>0</v>
      </c>
      <c r="BX19" s="34">
        <v>0</v>
      </c>
      <c r="BY19" s="34">
        <v>0</v>
      </c>
      <c r="BZ19" s="34">
        <v>0</v>
      </c>
      <c r="CA19" s="34">
        <v>0</v>
      </c>
      <c r="CB19" s="34">
        <v>0</v>
      </c>
      <c r="CC19" s="34">
        <v>0</v>
      </c>
      <c r="CD19" s="34">
        <v>0</v>
      </c>
      <c r="CE19" s="42">
        <v>0</v>
      </c>
      <c r="CF19" s="34">
        <v>0</v>
      </c>
      <c r="CG19" s="34">
        <v>0</v>
      </c>
      <c r="CH19" s="55">
        <v>0</v>
      </c>
      <c r="CI19" s="55">
        <v>0</v>
      </c>
      <c r="CJ19" s="34">
        <v>0</v>
      </c>
      <c r="CK19" s="34">
        <v>0</v>
      </c>
      <c r="CL19" s="34">
        <v>0</v>
      </c>
      <c r="CM19" s="34">
        <v>0</v>
      </c>
      <c r="CN19" s="34">
        <v>0</v>
      </c>
      <c r="CO19" s="34">
        <v>0</v>
      </c>
      <c r="CP19" s="34">
        <v>0</v>
      </c>
      <c r="CQ19" s="34">
        <v>0</v>
      </c>
      <c r="CR19" s="34">
        <v>0</v>
      </c>
      <c r="CS19" s="34">
        <v>0</v>
      </c>
      <c r="CT19" s="34">
        <v>0</v>
      </c>
      <c r="CU19" s="34">
        <v>0</v>
      </c>
      <c r="CV19" s="34">
        <v>0</v>
      </c>
      <c r="CW19" s="42">
        <v>0</v>
      </c>
      <c r="CX19" s="34">
        <v>0</v>
      </c>
      <c r="CY19" s="137">
        <v>0</v>
      </c>
      <c r="CZ19" s="34">
        <v>0</v>
      </c>
      <c r="DA19" s="34">
        <v>0</v>
      </c>
      <c r="DB19" s="34">
        <v>0</v>
      </c>
      <c r="DC19" s="34">
        <v>0</v>
      </c>
      <c r="DD19" s="34">
        <v>0</v>
      </c>
      <c r="DE19" s="34">
        <v>0</v>
      </c>
      <c r="DF19" s="34">
        <v>0</v>
      </c>
      <c r="DG19" s="34">
        <v>0</v>
      </c>
      <c r="DH19" s="42">
        <v>0</v>
      </c>
      <c r="DI19" s="34">
        <v>0</v>
      </c>
      <c r="DJ19" s="34">
        <v>0</v>
      </c>
      <c r="DK19" s="34">
        <v>0</v>
      </c>
      <c r="DL19" s="34">
        <v>0</v>
      </c>
      <c r="DM19" s="34">
        <v>0</v>
      </c>
      <c r="DN19" s="34">
        <v>0</v>
      </c>
      <c r="DO19" s="34">
        <v>0</v>
      </c>
      <c r="DP19" s="34">
        <v>0</v>
      </c>
      <c r="DQ19" s="34">
        <v>0</v>
      </c>
      <c r="DR19" s="34">
        <v>0</v>
      </c>
      <c r="DS19" s="34">
        <v>0</v>
      </c>
      <c r="DT19" s="134">
        <v>0</v>
      </c>
      <c r="DU19" s="118">
        <v>0</v>
      </c>
      <c r="DV19" s="134">
        <v>0</v>
      </c>
      <c r="DW19" s="134">
        <v>0</v>
      </c>
      <c r="DX19" s="134">
        <v>0</v>
      </c>
      <c r="DY19" s="134">
        <v>0</v>
      </c>
      <c r="DZ19" s="134">
        <v>0</v>
      </c>
      <c r="EA19" s="134">
        <v>0</v>
      </c>
      <c r="EB19" s="134">
        <v>0</v>
      </c>
      <c r="EC19" s="134">
        <v>0</v>
      </c>
      <c r="ED19" s="134">
        <v>0</v>
      </c>
      <c r="EE19" s="134">
        <v>0</v>
      </c>
      <c r="EF19" s="134">
        <v>0</v>
      </c>
      <c r="EG19" s="134">
        <v>0</v>
      </c>
      <c r="EH19" s="249">
        <f t="shared" si="0"/>
        <v>0</v>
      </c>
      <c r="EI19" s="150"/>
      <c r="EJ19" s="150"/>
      <c r="EK19" s="284">
        <f t="shared" si="1"/>
        <v>0</v>
      </c>
      <c r="EL19" s="151"/>
      <c r="EM19" s="150"/>
      <c r="EN19" s="150"/>
      <c r="EO19" s="150"/>
      <c r="EP19" s="150"/>
      <c r="EQ19" s="150"/>
      <c r="ER19" s="150"/>
      <c r="ES19" s="152"/>
      <c r="ET19" s="152">
        <f t="shared" si="2"/>
        <v>0</v>
      </c>
      <c r="EU19" s="57"/>
      <c r="EV19" s="12"/>
      <c r="EX19" s="12"/>
      <c r="EY19" s="131"/>
    </row>
    <row r="20" spans="1:156" s="253" customFormat="1" ht="30" customHeight="1" thickBot="1" x14ac:dyDescent="0.3">
      <c r="A20" s="8" t="s">
        <v>289</v>
      </c>
      <c r="B20" s="8"/>
      <c r="C20" s="33">
        <v>0</v>
      </c>
      <c r="D20" s="33">
        <v>0</v>
      </c>
      <c r="E20" s="33">
        <v>0</v>
      </c>
      <c r="F20" s="33">
        <v>0</v>
      </c>
      <c r="G20" s="33">
        <v>0</v>
      </c>
      <c r="H20" s="33">
        <v>0</v>
      </c>
      <c r="I20" s="33">
        <v>0</v>
      </c>
      <c r="J20" s="33">
        <v>0</v>
      </c>
      <c r="K20" s="33">
        <v>0</v>
      </c>
      <c r="L20" s="33">
        <v>0</v>
      </c>
      <c r="M20" s="33">
        <v>0</v>
      </c>
      <c r="N20" s="33">
        <v>0</v>
      </c>
      <c r="O20" s="33">
        <v>0</v>
      </c>
      <c r="P20" s="33">
        <v>0</v>
      </c>
      <c r="Q20" s="33">
        <v>0</v>
      </c>
      <c r="R20" s="33">
        <v>0</v>
      </c>
      <c r="S20" s="33">
        <v>0</v>
      </c>
      <c r="T20" s="33">
        <v>0</v>
      </c>
      <c r="U20" s="33">
        <v>0</v>
      </c>
      <c r="V20" s="33">
        <v>0</v>
      </c>
      <c r="W20" s="33">
        <v>0</v>
      </c>
      <c r="X20" s="33">
        <v>0</v>
      </c>
      <c r="Y20" s="33">
        <v>0</v>
      </c>
      <c r="Z20" s="33">
        <v>0</v>
      </c>
      <c r="AA20" s="33">
        <v>0</v>
      </c>
      <c r="AB20" s="33">
        <v>0</v>
      </c>
      <c r="AC20" s="33">
        <v>0</v>
      </c>
      <c r="AD20" s="33">
        <v>0</v>
      </c>
      <c r="AE20" s="33">
        <v>0</v>
      </c>
      <c r="AF20" s="33">
        <v>0</v>
      </c>
      <c r="AG20" s="33">
        <v>0</v>
      </c>
      <c r="AH20" s="33">
        <v>0</v>
      </c>
      <c r="AI20" s="33">
        <v>0</v>
      </c>
      <c r="AJ20" s="33">
        <v>0</v>
      </c>
      <c r="AK20" s="33">
        <v>0</v>
      </c>
      <c r="AL20" s="33">
        <v>0</v>
      </c>
      <c r="AM20" s="33">
        <v>0</v>
      </c>
      <c r="AN20" s="34">
        <v>0</v>
      </c>
      <c r="AO20" s="34">
        <v>0</v>
      </c>
      <c r="AP20" s="34">
        <v>0</v>
      </c>
      <c r="AQ20" s="34">
        <v>0</v>
      </c>
      <c r="AR20" s="34">
        <v>0</v>
      </c>
      <c r="AS20" s="34">
        <v>0</v>
      </c>
      <c r="AT20" s="34">
        <v>0</v>
      </c>
      <c r="AU20" s="34">
        <v>0</v>
      </c>
      <c r="AV20" s="34">
        <v>0</v>
      </c>
      <c r="AW20" s="33">
        <v>0</v>
      </c>
      <c r="AX20" s="34">
        <v>0</v>
      </c>
      <c r="AY20" s="34">
        <v>0</v>
      </c>
      <c r="AZ20" s="34">
        <v>0</v>
      </c>
      <c r="BA20" s="34">
        <v>0</v>
      </c>
      <c r="BB20" s="34">
        <v>0</v>
      </c>
      <c r="BC20" s="34">
        <v>0</v>
      </c>
      <c r="BD20" s="34">
        <v>0</v>
      </c>
      <c r="BE20" s="34">
        <v>0</v>
      </c>
      <c r="BF20" s="34">
        <v>0</v>
      </c>
      <c r="BG20" s="34">
        <v>0</v>
      </c>
      <c r="BH20" s="34">
        <v>0</v>
      </c>
      <c r="BI20" s="34">
        <v>0</v>
      </c>
      <c r="BJ20" s="34">
        <v>0</v>
      </c>
      <c r="BK20" s="34">
        <v>0</v>
      </c>
      <c r="BL20" s="34">
        <v>0</v>
      </c>
      <c r="BM20" s="34">
        <v>0</v>
      </c>
      <c r="BN20" s="34">
        <v>0</v>
      </c>
      <c r="BO20" s="34">
        <v>0</v>
      </c>
      <c r="BP20" s="34">
        <v>0</v>
      </c>
      <c r="BQ20" s="34">
        <v>0</v>
      </c>
      <c r="BR20" s="42">
        <v>0</v>
      </c>
      <c r="BS20" s="42">
        <v>0</v>
      </c>
      <c r="BT20" s="42">
        <v>0</v>
      </c>
      <c r="BU20" s="42">
        <v>0</v>
      </c>
      <c r="BV20" s="42">
        <v>0</v>
      </c>
      <c r="BW20" s="34">
        <v>0</v>
      </c>
      <c r="BX20" s="34">
        <v>0</v>
      </c>
      <c r="BY20" s="34">
        <v>0</v>
      </c>
      <c r="BZ20" s="34">
        <v>0</v>
      </c>
      <c r="CA20" s="34">
        <v>0</v>
      </c>
      <c r="CB20" s="34">
        <v>0</v>
      </c>
      <c r="CC20" s="34">
        <v>0</v>
      </c>
      <c r="CD20" s="34">
        <v>0</v>
      </c>
      <c r="CE20" s="42">
        <v>0</v>
      </c>
      <c r="CF20" s="34">
        <v>0</v>
      </c>
      <c r="CG20" s="34">
        <v>0</v>
      </c>
      <c r="CH20" s="55">
        <v>0</v>
      </c>
      <c r="CI20" s="55">
        <v>0</v>
      </c>
      <c r="CJ20" s="34">
        <v>0</v>
      </c>
      <c r="CK20" s="34">
        <v>0</v>
      </c>
      <c r="CL20" s="34">
        <v>0</v>
      </c>
      <c r="CM20" s="34">
        <v>0</v>
      </c>
      <c r="CN20" s="34">
        <v>0</v>
      </c>
      <c r="CO20" s="34">
        <v>0</v>
      </c>
      <c r="CP20" s="34">
        <v>0</v>
      </c>
      <c r="CQ20" s="34">
        <v>0</v>
      </c>
      <c r="CR20" s="34">
        <v>0</v>
      </c>
      <c r="CS20" s="34">
        <v>0</v>
      </c>
      <c r="CT20" s="34">
        <v>0</v>
      </c>
      <c r="CU20" s="34">
        <v>0</v>
      </c>
      <c r="CV20" s="34">
        <v>0</v>
      </c>
      <c r="CW20" s="42">
        <v>0</v>
      </c>
      <c r="CX20" s="34">
        <v>0</v>
      </c>
      <c r="CY20" s="137">
        <v>0</v>
      </c>
      <c r="CZ20" s="34">
        <v>0</v>
      </c>
      <c r="DA20" s="34">
        <v>0</v>
      </c>
      <c r="DB20" s="34">
        <v>0</v>
      </c>
      <c r="DC20" s="34">
        <v>0</v>
      </c>
      <c r="DD20" s="34">
        <v>0</v>
      </c>
      <c r="DE20" s="34">
        <v>0</v>
      </c>
      <c r="DF20" s="34">
        <v>0</v>
      </c>
      <c r="DG20" s="34">
        <v>0</v>
      </c>
      <c r="DH20" s="42">
        <v>0</v>
      </c>
      <c r="DI20" s="34">
        <v>0</v>
      </c>
      <c r="DJ20" s="34">
        <v>0</v>
      </c>
      <c r="DK20" s="34">
        <v>0</v>
      </c>
      <c r="DL20" s="34">
        <v>0</v>
      </c>
      <c r="DM20" s="34">
        <v>0</v>
      </c>
      <c r="DN20" s="34">
        <v>0</v>
      </c>
      <c r="DO20" s="34">
        <v>0</v>
      </c>
      <c r="DP20" s="34">
        <v>0</v>
      </c>
      <c r="DQ20" s="34">
        <v>0</v>
      </c>
      <c r="DR20" s="34">
        <v>0</v>
      </c>
      <c r="DS20" s="34">
        <v>0</v>
      </c>
      <c r="DT20" s="134">
        <v>0</v>
      </c>
      <c r="DU20" s="118">
        <v>0</v>
      </c>
      <c r="DV20" s="134">
        <v>0</v>
      </c>
      <c r="DW20" s="134">
        <v>0</v>
      </c>
      <c r="DX20" s="134">
        <v>0</v>
      </c>
      <c r="DY20" s="134">
        <v>0</v>
      </c>
      <c r="DZ20" s="134">
        <v>2</v>
      </c>
      <c r="EA20" s="134">
        <v>0</v>
      </c>
      <c r="EB20" s="134">
        <v>0</v>
      </c>
      <c r="EC20" s="134">
        <v>0</v>
      </c>
      <c r="ED20" s="134">
        <v>0</v>
      </c>
      <c r="EE20" s="134">
        <v>0</v>
      </c>
      <c r="EF20" s="134">
        <v>0</v>
      </c>
      <c r="EG20" s="134">
        <v>0</v>
      </c>
      <c r="EH20" s="249">
        <f t="shared" si="0"/>
        <v>2</v>
      </c>
      <c r="EI20" s="150"/>
      <c r="EJ20" s="150"/>
      <c r="EK20" s="284">
        <f t="shared" si="1"/>
        <v>2</v>
      </c>
      <c r="EL20" s="151"/>
      <c r="EM20" s="150"/>
      <c r="EN20" s="150"/>
      <c r="EO20" s="150"/>
      <c r="EP20" s="150"/>
      <c r="EQ20" s="150"/>
      <c r="ER20" s="150"/>
      <c r="ES20" s="152"/>
      <c r="ET20" s="152">
        <f t="shared" si="2"/>
        <v>2</v>
      </c>
      <c r="EU20" s="57"/>
      <c r="EV20" s="12"/>
      <c r="EX20" s="12"/>
      <c r="EY20" s="131"/>
    </row>
    <row r="21" spans="1:156" s="253" customFormat="1" ht="30" customHeight="1" thickBot="1" x14ac:dyDescent="0.3">
      <c r="A21" s="8" t="s">
        <v>290</v>
      </c>
      <c r="B21" s="8"/>
      <c r="C21" s="33">
        <v>0</v>
      </c>
      <c r="D21" s="33">
        <v>0</v>
      </c>
      <c r="E21" s="33">
        <v>0</v>
      </c>
      <c r="F21" s="33">
        <v>0</v>
      </c>
      <c r="G21" s="33">
        <v>0</v>
      </c>
      <c r="H21" s="33">
        <v>0</v>
      </c>
      <c r="I21" s="33">
        <v>0</v>
      </c>
      <c r="J21" s="33">
        <v>0</v>
      </c>
      <c r="K21" s="33">
        <v>0</v>
      </c>
      <c r="L21" s="33">
        <v>0</v>
      </c>
      <c r="M21" s="33">
        <v>0</v>
      </c>
      <c r="N21" s="33">
        <v>0</v>
      </c>
      <c r="O21" s="33">
        <v>0</v>
      </c>
      <c r="P21" s="33">
        <v>0</v>
      </c>
      <c r="Q21" s="33">
        <v>0</v>
      </c>
      <c r="R21" s="33">
        <v>0</v>
      </c>
      <c r="S21" s="33">
        <v>0</v>
      </c>
      <c r="T21" s="33">
        <v>0</v>
      </c>
      <c r="U21" s="33">
        <v>0</v>
      </c>
      <c r="V21" s="33">
        <v>0</v>
      </c>
      <c r="W21" s="33">
        <v>0</v>
      </c>
      <c r="X21" s="33">
        <v>0</v>
      </c>
      <c r="Y21" s="33">
        <v>0</v>
      </c>
      <c r="Z21" s="33">
        <v>0</v>
      </c>
      <c r="AA21" s="33">
        <v>0</v>
      </c>
      <c r="AB21" s="33">
        <v>0</v>
      </c>
      <c r="AC21" s="33">
        <v>0</v>
      </c>
      <c r="AD21" s="33">
        <v>0</v>
      </c>
      <c r="AE21" s="33">
        <v>0</v>
      </c>
      <c r="AF21" s="33">
        <v>0</v>
      </c>
      <c r="AG21" s="33">
        <v>0</v>
      </c>
      <c r="AH21" s="33">
        <v>0</v>
      </c>
      <c r="AI21" s="33">
        <v>0</v>
      </c>
      <c r="AJ21" s="33">
        <v>0</v>
      </c>
      <c r="AK21" s="33">
        <v>0</v>
      </c>
      <c r="AL21" s="33">
        <v>0</v>
      </c>
      <c r="AM21" s="33">
        <v>0</v>
      </c>
      <c r="AN21" s="34">
        <v>0</v>
      </c>
      <c r="AO21" s="34">
        <v>0</v>
      </c>
      <c r="AP21" s="34">
        <v>0</v>
      </c>
      <c r="AQ21" s="34">
        <v>0</v>
      </c>
      <c r="AR21" s="34">
        <v>0</v>
      </c>
      <c r="AS21" s="34">
        <v>0</v>
      </c>
      <c r="AT21" s="34">
        <v>0</v>
      </c>
      <c r="AU21" s="34">
        <v>0</v>
      </c>
      <c r="AV21" s="34">
        <v>0</v>
      </c>
      <c r="AW21" s="33">
        <v>0</v>
      </c>
      <c r="AX21" s="34">
        <v>0</v>
      </c>
      <c r="AY21" s="34">
        <v>0</v>
      </c>
      <c r="AZ21" s="34">
        <v>0</v>
      </c>
      <c r="BA21" s="34">
        <v>0</v>
      </c>
      <c r="BB21" s="34">
        <v>0</v>
      </c>
      <c r="BC21" s="34">
        <v>0</v>
      </c>
      <c r="BD21" s="34">
        <v>0</v>
      </c>
      <c r="BE21" s="34">
        <v>0</v>
      </c>
      <c r="BF21" s="34">
        <v>0</v>
      </c>
      <c r="BG21" s="34">
        <v>0</v>
      </c>
      <c r="BH21" s="34">
        <v>0</v>
      </c>
      <c r="BI21" s="34">
        <v>0</v>
      </c>
      <c r="BJ21" s="34">
        <v>0</v>
      </c>
      <c r="BK21" s="34">
        <v>0</v>
      </c>
      <c r="BL21" s="34">
        <v>0</v>
      </c>
      <c r="BM21" s="34">
        <v>0</v>
      </c>
      <c r="BN21" s="34">
        <v>0</v>
      </c>
      <c r="BO21" s="34">
        <v>0</v>
      </c>
      <c r="BP21" s="34">
        <v>0</v>
      </c>
      <c r="BQ21" s="34">
        <v>0</v>
      </c>
      <c r="BR21" s="42">
        <v>0</v>
      </c>
      <c r="BS21" s="42">
        <v>0</v>
      </c>
      <c r="BT21" s="42">
        <v>0</v>
      </c>
      <c r="BU21" s="42">
        <v>0</v>
      </c>
      <c r="BV21" s="42">
        <v>0</v>
      </c>
      <c r="BW21" s="34">
        <v>0</v>
      </c>
      <c r="BX21" s="34">
        <v>0</v>
      </c>
      <c r="BY21" s="34">
        <v>0</v>
      </c>
      <c r="BZ21" s="34">
        <v>0</v>
      </c>
      <c r="CA21" s="34">
        <v>0</v>
      </c>
      <c r="CB21" s="34">
        <v>0</v>
      </c>
      <c r="CC21" s="34">
        <v>0</v>
      </c>
      <c r="CD21" s="34">
        <v>0</v>
      </c>
      <c r="CE21" s="42">
        <v>0</v>
      </c>
      <c r="CF21" s="34">
        <v>0</v>
      </c>
      <c r="CG21" s="34">
        <v>0</v>
      </c>
      <c r="CH21" s="55">
        <v>0</v>
      </c>
      <c r="CI21" s="55">
        <v>0</v>
      </c>
      <c r="CJ21" s="34">
        <v>0</v>
      </c>
      <c r="CK21" s="34">
        <v>0</v>
      </c>
      <c r="CL21" s="34">
        <v>0</v>
      </c>
      <c r="CM21" s="34">
        <v>0</v>
      </c>
      <c r="CN21" s="34">
        <v>0</v>
      </c>
      <c r="CO21" s="34">
        <v>0</v>
      </c>
      <c r="CP21" s="34">
        <v>0</v>
      </c>
      <c r="CQ21" s="34">
        <v>0</v>
      </c>
      <c r="CR21" s="34">
        <v>0</v>
      </c>
      <c r="CS21" s="34">
        <v>0</v>
      </c>
      <c r="CT21" s="34">
        <v>0</v>
      </c>
      <c r="CU21" s="34">
        <v>0</v>
      </c>
      <c r="CV21" s="34">
        <v>0</v>
      </c>
      <c r="CW21" s="42">
        <v>0</v>
      </c>
      <c r="CX21" s="34">
        <v>0</v>
      </c>
      <c r="CY21" s="137">
        <v>0</v>
      </c>
      <c r="CZ21" s="34">
        <v>0</v>
      </c>
      <c r="DA21" s="34">
        <v>0</v>
      </c>
      <c r="DB21" s="34">
        <v>0</v>
      </c>
      <c r="DC21" s="34">
        <v>0</v>
      </c>
      <c r="DD21" s="34">
        <v>0</v>
      </c>
      <c r="DE21" s="34">
        <v>0</v>
      </c>
      <c r="DF21" s="34">
        <v>0</v>
      </c>
      <c r="DG21" s="34">
        <v>0</v>
      </c>
      <c r="DH21" s="42">
        <v>0</v>
      </c>
      <c r="DI21" s="34">
        <v>0</v>
      </c>
      <c r="DJ21" s="34">
        <v>0</v>
      </c>
      <c r="DK21" s="34">
        <v>0</v>
      </c>
      <c r="DL21" s="34">
        <v>0</v>
      </c>
      <c r="DM21" s="34">
        <v>0</v>
      </c>
      <c r="DN21" s="34">
        <v>0</v>
      </c>
      <c r="DO21" s="34">
        <v>0</v>
      </c>
      <c r="DP21" s="34">
        <v>0</v>
      </c>
      <c r="DQ21" s="34">
        <v>0</v>
      </c>
      <c r="DR21" s="34">
        <v>0</v>
      </c>
      <c r="DS21" s="34">
        <v>0</v>
      </c>
      <c r="DT21" s="134">
        <v>0</v>
      </c>
      <c r="DU21" s="118">
        <v>0</v>
      </c>
      <c r="DV21" s="134">
        <v>0</v>
      </c>
      <c r="DW21" s="134">
        <v>0</v>
      </c>
      <c r="DX21" s="134">
        <v>0</v>
      </c>
      <c r="DY21" s="134">
        <v>0</v>
      </c>
      <c r="DZ21" s="134">
        <v>0</v>
      </c>
      <c r="EA21" s="134">
        <v>0</v>
      </c>
      <c r="EB21" s="134">
        <v>0</v>
      </c>
      <c r="EC21" s="134">
        <v>0</v>
      </c>
      <c r="ED21" s="134">
        <v>0</v>
      </c>
      <c r="EE21" s="134">
        <v>0</v>
      </c>
      <c r="EF21" s="134">
        <v>0</v>
      </c>
      <c r="EG21" s="134">
        <v>0</v>
      </c>
      <c r="EH21" s="249">
        <f t="shared" si="0"/>
        <v>0</v>
      </c>
      <c r="EI21" s="150"/>
      <c r="EJ21" s="150"/>
      <c r="EK21" s="284">
        <f t="shared" si="1"/>
        <v>0</v>
      </c>
      <c r="EL21" s="151"/>
      <c r="EM21" s="150"/>
      <c r="EN21" s="150"/>
      <c r="EO21" s="150"/>
      <c r="EP21" s="150"/>
      <c r="EQ21" s="150"/>
      <c r="ER21" s="150"/>
      <c r="ES21" s="152"/>
      <c r="ET21" s="152">
        <f t="shared" si="2"/>
        <v>0</v>
      </c>
      <c r="EU21" s="57"/>
      <c r="EV21" s="12"/>
      <c r="EX21" s="12"/>
      <c r="EY21" s="131"/>
    </row>
    <row r="22" spans="1:156" s="253" customFormat="1" ht="45" customHeight="1" thickBot="1" x14ac:dyDescent="0.3">
      <c r="A22" s="8" t="s">
        <v>292</v>
      </c>
      <c r="B22" s="8"/>
      <c r="C22" s="33">
        <v>0</v>
      </c>
      <c r="D22" s="33">
        <v>0</v>
      </c>
      <c r="E22" s="33">
        <v>0</v>
      </c>
      <c r="F22" s="33">
        <v>0</v>
      </c>
      <c r="G22" s="33">
        <v>0</v>
      </c>
      <c r="H22" s="33">
        <v>0</v>
      </c>
      <c r="I22" s="33">
        <v>0</v>
      </c>
      <c r="J22" s="33">
        <v>0</v>
      </c>
      <c r="K22" s="33">
        <v>0</v>
      </c>
      <c r="L22" s="33">
        <v>0</v>
      </c>
      <c r="M22" s="33">
        <v>0</v>
      </c>
      <c r="N22" s="33">
        <v>0</v>
      </c>
      <c r="O22" s="33">
        <v>0</v>
      </c>
      <c r="P22" s="33">
        <v>0</v>
      </c>
      <c r="Q22" s="33">
        <v>0</v>
      </c>
      <c r="R22" s="33">
        <v>0</v>
      </c>
      <c r="S22" s="33">
        <v>0</v>
      </c>
      <c r="T22" s="33">
        <v>0</v>
      </c>
      <c r="U22" s="33">
        <v>0</v>
      </c>
      <c r="V22" s="33">
        <v>0</v>
      </c>
      <c r="W22" s="33">
        <v>0</v>
      </c>
      <c r="X22" s="33">
        <v>0</v>
      </c>
      <c r="Y22" s="33">
        <v>0</v>
      </c>
      <c r="Z22" s="33">
        <v>0</v>
      </c>
      <c r="AA22" s="33">
        <v>0</v>
      </c>
      <c r="AB22" s="33">
        <v>0</v>
      </c>
      <c r="AC22" s="33">
        <v>0</v>
      </c>
      <c r="AD22" s="33">
        <v>0</v>
      </c>
      <c r="AE22" s="33">
        <v>0</v>
      </c>
      <c r="AF22" s="33">
        <v>0</v>
      </c>
      <c r="AG22" s="33">
        <v>0</v>
      </c>
      <c r="AH22" s="33">
        <v>0</v>
      </c>
      <c r="AI22" s="33">
        <v>0</v>
      </c>
      <c r="AJ22" s="33">
        <v>0</v>
      </c>
      <c r="AK22" s="33">
        <v>0</v>
      </c>
      <c r="AL22" s="33">
        <v>0</v>
      </c>
      <c r="AM22" s="33">
        <v>0</v>
      </c>
      <c r="AN22" s="34">
        <v>0</v>
      </c>
      <c r="AO22" s="34">
        <v>0</v>
      </c>
      <c r="AP22" s="34">
        <v>0</v>
      </c>
      <c r="AQ22" s="34">
        <v>0</v>
      </c>
      <c r="AR22" s="34">
        <v>0</v>
      </c>
      <c r="AS22" s="34">
        <v>0</v>
      </c>
      <c r="AT22" s="34">
        <v>0</v>
      </c>
      <c r="AU22" s="34">
        <v>0</v>
      </c>
      <c r="AV22" s="34">
        <v>0</v>
      </c>
      <c r="AW22" s="33">
        <v>0</v>
      </c>
      <c r="AX22" s="34">
        <v>0</v>
      </c>
      <c r="AY22" s="34">
        <v>0</v>
      </c>
      <c r="AZ22" s="34">
        <v>0</v>
      </c>
      <c r="BA22" s="34">
        <v>0</v>
      </c>
      <c r="BB22" s="34">
        <v>0</v>
      </c>
      <c r="BC22" s="34">
        <v>0</v>
      </c>
      <c r="BD22" s="34">
        <v>0</v>
      </c>
      <c r="BE22" s="34">
        <v>0</v>
      </c>
      <c r="BF22" s="34">
        <v>0</v>
      </c>
      <c r="BG22" s="34">
        <v>0</v>
      </c>
      <c r="BH22" s="34">
        <v>0</v>
      </c>
      <c r="BI22" s="34">
        <v>0</v>
      </c>
      <c r="BJ22" s="34">
        <v>0</v>
      </c>
      <c r="BK22" s="34">
        <v>0</v>
      </c>
      <c r="BL22" s="34">
        <v>0</v>
      </c>
      <c r="BM22" s="34">
        <v>0</v>
      </c>
      <c r="BN22" s="34">
        <v>0</v>
      </c>
      <c r="BO22" s="34">
        <v>0</v>
      </c>
      <c r="BP22" s="34">
        <v>0</v>
      </c>
      <c r="BQ22" s="34">
        <v>0</v>
      </c>
      <c r="BR22" s="42">
        <v>0</v>
      </c>
      <c r="BS22" s="42">
        <v>0</v>
      </c>
      <c r="BT22" s="42">
        <v>0</v>
      </c>
      <c r="BU22" s="42">
        <v>0</v>
      </c>
      <c r="BV22" s="42">
        <v>0</v>
      </c>
      <c r="BW22" s="34">
        <v>0</v>
      </c>
      <c r="BX22" s="34">
        <v>0</v>
      </c>
      <c r="BY22" s="34">
        <v>0</v>
      </c>
      <c r="BZ22" s="34">
        <v>0</v>
      </c>
      <c r="CA22" s="34">
        <v>0</v>
      </c>
      <c r="CB22" s="34">
        <v>0</v>
      </c>
      <c r="CC22" s="34">
        <v>0</v>
      </c>
      <c r="CD22" s="34">
        <v>0</v>
      </c>
      <c r="CE22" s="42">
        <v>0</v>
      </c>
      <c r="CF22" s="34">
        <v>0</v>
      </c>
      <c r="CG22" s="34">
        <v>0</v>
      </c>
      <c r="CH22" s="55">
        <v>0</v>
      </c>
      <c r="CI22" s="55">
        <v>0</v>
      </c>
      <c r="CJ22" s="34">
        <v>0</v>
      </c>
      <c r="CK22" s="34">
        <v>0</v>
      </c>
      <c r="CL22" s="34">
        <v>0</v>
      </c>
      <c r="CM22" s="34">
        <v>0</v>
      </c>
      <c r="CN22" s="34">
        <v>0</v>
      </c>
      <c r="CO22" s="34">
        <v>0</v>
      </c>
      <c r="CP22" s="34">
        <v>0</v>
      </c>
      <c r="CQ22" s="34">
        <v>0</v>
      </c>
      <c r="CR22" s="34">
        <v>0</v>
      </c>
      <c r="CS22" s="34">
        <v>0</v>
      </c>
      <c r="CT22" s="34">
        <v>0</v>
      </c>
      <c r="CU22" s="34">
        <v>0</v>
      </c>
      <c r="CV22" s="34">
        <v>0</v>
      </c>
      <c r="CW22" s="42">
        <v>0</v>
      </c>
      <c r="CX22" s="34">
        <v>0</v>
      </c>
      <c r="CY22" s="137">
        <v>0</v>
      </c>
      <c r="CZ22" s="34">
        <v>0</v>
      </c>
      <c r="DA22" s="34">
        <v>0</v>
      </c>
      <c r="DB22" s="34">
        <v>0</v>
      </c>
      <c r="DC22" s="34">
        <v>0</v>
      </c>
      <c r="DD22" s="34">
        <v>0</v>
      </c>
      <c r="DE22" s="34">
        <v>0</v>
      </c>
      <c r="DF22" s="34">
        <v>0</v>
      </c>
      <c r="DG22" s="34">
        <v>0</v>
      </c>
      <c r="DH22" s="42">
        <v>0</v>
      </c>
      <c r="DI22" s="34">
        <v>0</v>
      </c>
      <c r="DJ22" s="34">
        <v>0</v>
      </c>
      <c r="DK22" s="34">
        <v>0</v>
      </c>
      <c r="DL22" s="34">
        <v>0</v>
      </c>
      <c r="DM22" s="34">
        <v>0</v>
      </c>
      <c r="DN22" s="34">
        <v>0</v>
      </c>
      <c r="DO22" s="34">
        <v>0</v>
      </c>
      <c r="DP22" s="34">
        <v>0</v>
      </c>
      <c r="DQ22" s="34">
        <v>0</v>
      </c>
      <c r="DR22" s="34">
        <v>0</v>
      </c>
      <c r="DS22" s="34">
        <v>0</v>
      </c>
      <c r="DT22" s="134">
        <v>0</v>
      </c>
      <c r="DU22" s="118">
        <v>0</v>
      </c>
      <c r="DV22" s="134">
        <v>0</v>
      </c>
      <c r="DW22" s="134">
        <v>0</v>
      </c>
      <c r="DX22" s="134">
        <v>0</v>
      </c>
      <c r="DY22" s="134">
        <v>2</v>
      </c>
      <c r="DZ22" s="134">
        <v>171</v>
      </c>
      <c r="EA22" s="134">
        <v>0</v>
      </c>
      <c r="EB22" s="134">
        <v>0</v>
      </c>
      <c r="EC22" s="134">
        <v>0</v>
      </c>
      <c r="ED22" s="134">
        <v>0</v>
      </c>
      <c r="EE22" s="134">
        <v>0</v>
      </c>
      <c r="EF22" s="134">
        <v>0</v>
      </c>
      <c r="EG22" s="134">
        <v>0</v>
      </c>
      <c r="EH22" s="249">
        <f t="shared" si="0"/>
        <v>173</v>
      </c>
      <c r="EI22" s="150"/>
      <c r="EJ22" s="150"/>
      <c r="EK22" s="284">
        <f t="shared" si="1"/>
        <v>173</v>
      </c>
      <c r="EL22" s="151"/>
      <c r="EM22" s="150"/>
      <c r="EN22" s="150"/>
      <c r="EO22" s="150"/>
      <c r="EP22" s="150"/>
      <c r="EQ22" s="150"/>
      <c r="ER22" s="150"/>
      <c r="ES22" s="152"/>
      <c r="ET22" s="152">
        <f t="shared" si="2"/>
        <v>173</v>
      </c>
      <c r="EU22" s="57"/>
      <c r="EV22" s="12"/>
      <c r="EX22" s="12"/>
      <c r="EY22" s="131"/>
    </row>
    <row r="23" spans="1:156" ht="47.25" customHeight="1" thickBot="1" x14ac:dyDescent="0.3">
      <c r="A23" s="256" t="s">
        <v>291</v>
      </c>
      <c r="B23" s="255"/>
      <c r="C23" s="33">
        <v>347</v>
      </c>
      <c r="D23" s="33">
        <v>216</v>
      </c>
      <c r="E23" s="33">
        <v>256</v>
      </c>
      <c r="F23" s="33">
        <v>200</v>
      </c>
      <c r="G23" s="33">
        <v>154</v>
      </c>
      <c r="H23" s="33">
        <v>152</v>
      </c>
      <c r="I23" s="33">
        <v>199</v>
      </c>
      <c r="J23" s="33">
        <v>130</v>
      </c>
      <c r="K23" s="33">
        <v>177</v>
      </c>
      <c r="L23" s="33">
        <v>306</v>
      </c>
      <c r="M23" s="33">
        <v>600</v>
      </c>
      <c r="N23" s="33">
        <v>203</v>
      </c>
      <c r="O23" s="33">
        <v>160</v>
      </c>
      <c r="P23" s="33">
        <v>153</v>
      </c>
      <c r="Q23" s="33">
        <v>119</v>
      </c>
      <c r="R23" s="33">
        <v>123</v>
      </c>
      <c r="S23" s="33">
        <v>44</v>
      </c>
      <c r="T23" s="33">
        <v>16</v>
      </c>
      <c r="U23" s="33">
        <v>80</v>
      </c>
      <c r="V23" s="33">
        <v>115</v>
      </c>
      <c r="W23" s="33">
        <v>123</v>
      </c>
      <c r="X23" s="33">
        <v>66</v>
      </c>
      <c r="Y23" s="33">
        <v>90</v>
      </c>
      <c r="Z23" s="33">
        <v>36</v>
      </c>
      <c r="AA23" s="33">
        <v>139</v>
      </c>
      <c r="AB23" s="33">
        <v>100</v>
      </c>
      <c r="AC23" s="33">
        <v>82</v>
      </c>
      <c r="AD23" s="33">
        <v>164</v>
      </c>
      <c r="AE23" s="33">
        <v>93</v>
      </c>
      <c r="AF23" s="33">
        <v>102</v>
      </c>
      <c r="AG23" s="33">
        <v>138</v>
      </c>
      <c r="AH23" s="33">
        <v>119</v>
      </c>
      <c r="AI23" s="33">
        <v>224</v>
      </c>
      <c r="AJ23" s="34">
        <v>154</v>
      </c>
      <c r="AK23" s="34">
        <v>141</v>
      </c>
      <c r="AL23" s="34">
        <v>99</v>
      </c>
      <c r="AM23" s="34">
        <v>94</v>
      </c>
      <c r="AN23" s="34">
        <v>121</v>
      </c>
      <c r="AO23" s="34">
        <v>158</v>
      </c>
      <c r="AP23" s="34">
        <v>108</v>
      </c>
      <c r="AQ23" s="34">
        <v>66</v>
      </c>
      <c r="AR23" s="34">
        <v>82</v>
      </c>
      <c r="AS23" s="34">
        <v>83</v>
      </c>
      <c r="AT23" s="34">
        <v>88</v>
      </c>
      <c r="AU23" s="34">
        <v>69</v>
      </c>
      <c r="AV23" s="34">
        <v>71</v>
      </c>
      <c r="AW23" s="33">
        <v>88</v>
      </c>
      <c r="AX23" s="34">
        <v>68</v>
      </c>
      <c r="AY23" s="34">
        <v>62</v>
      </c>
      <c r="AZ23" s="34">
        <v>35</v>
      </c>
      <c r="BA23" s="34">
        <v>45</v>
      </c>
      <c r="BB23" s="34">
        <v>36</v>
      </c>
      <c r="BC23" s="34">
        <v>37</v>
      </c>
      <c r="BD23" s="34">
        <v>28</v>
      </c>
      <c r="BE23" s="34">
        <v>38</v>
      </c>
      <c r="BF23" s="34">
        <v>40</v>
      </c>
      <c r="BG23" s="34">
        <v>31</v>
      </c>
      <c r="BH23" s="34">
        <v>30</v>
      </c>
      <c r="BI23" s="34">
        <v>40</v>
      </c>
      <c r="BJ23" s="34">
        <v>47</v>
      </c>
      <c r="BK23" s="34">
        <v>25</v>
      </c>
      <c r="BL23" s="34">
        <v>48</v>
      </c>
      <c r="BM23" s="34">
        <v>35</v>
      </c>
      <c r="BN23" s="34">
        <v>33</v>
      </c>
      <c r="BO23" s="34">
        <v>43</v>
      </c>
      <c r="BP23" s="34">
        <v>61</v>
      </c>
      <c r="BQ23" s="34">
        <v>35</v>
      </c>
      <c r="BR23" s="42">
        <v>26</v>
      </c>
      <c r="BS23" s="42">
        <v>20</v>
      </c>
      <c r="BT23" s="42">
        <v>33</v>
      </c>
      <c r="BU23" s="42">
        <v>43</v>
      </c>
      <c r="BV23" s="42">
        <v>29</v>
      </c>
      <c r="BW23" s="34">
        <v>23</v>
      </c>
      <c r="BX23" s="34">
        <v>50</v>
      </c>
      <c r="BY23" s="34">
        <v>31</v>
      </c>
      <c r="BZ23" s="34">
        <v>39</v>
      </c>
      <c r="CA23" s="34">
        <v>35</v>
      </c>
      <c r="CB23" s="34">
        <v>27</v>
      </c>
      <c r="CC23" s="34">
        <v>48</v>
      </c>
      <c r="CD23" s="34">
        <v>40</v>
      </c>
      <c r="CE23" s="42">
        <v>53</v>
      </c>
      <c r="CF23" s="34">
        <v>40</v>
      </c>
      <c r="CG23" s="34">
        <v>47</v>
      </c>
      <c r="CH23" s="55">
        <v>41</v>
      </c>
      <c r="CI23" s="55">
        <v>31</v>
      </c>
      <c r="CJ23" s="34">
        <v>33</v>
      </c>
      <c r="CK23" s="34">
        <v>57</v>
      </c>
      <c r="CL23" s="34">
        <v>25</v>
      </c>
      <c r="CM23" s="34">
        <v>68</v>
      </c>
      <c r="CN23" s="34">
        <v>50</v>
      </c>
      <c r="CO23" s="34">
        <v>48</v>
      </c>
      <c r="CP23" s="34">
        <v>35</v>
      </c>
      <c r="CQ23" s="34">
        <v>35</v>
      </c>
      <c r="CR23" s="34">
        <v>37</v>
      </c>
      <c r="CS23" s="34">
        <v>61</v>
      </c>
      <c r="CT23" s="34">
        <v>28</v>
      </c>
      <c r="CU23" s="34">
        <v>33</v>
      </c>
      <c r="CV23" s="34">
        <v>18</v>
      </c>
      <c r="CW23" s="42">
        <v>65</v>
      </c>
      <c r="CX23" s="34">
        <v>36</v>
      </c>
      <c r="CY23" s="137">
        <v>13</v>
      </c>
      <c r="CZ23" s="34">
        <v>59</v>
      </c>
      <c r="DA23" s="34">
        <v>23</v>
      </c>
      <c r="DB23" s="34">
        <v>39</v>
      </c>
      <c r="DC23" s="34">
        <v>44</v>
      </c>
      <c r="DD23" s="34">
        <v>37</v>
      </c>
      <c r="DE23" s="34">
        <v>37</v>
      </c>
      <c r="DF23" s="34">
        <v>56</v>
      </c>
      <c r="DG23" s="34">
        <v>38</v>
      </c>
      <c r="DH23" s="42">
        <v>56</v>
      </c>
      <c r="DI23" s="34">
        <v>25</v>
      </c>
      <c r="DJ23" s="34">
        <v>35</v>
      </c>
      <c r="DK23" s="34">
        <v>15</v>
      </c>
      <c r="DL23" s="118">
        <f>4+18</f>
        <v>22</v>
      </c>
      <c r="DM23" s="34">
        <f>3+37</f>
        <v>40</v>
      </c>
      <c r="DN23" s="137">
        <f>36+1</f>
        <v>37</v>
      </c>
      <c r="DO23" s="34">
        <f>32+1</f>
        <v>33</v>
      </c>
      <c r="DP23" s="34">
        <v>55</v>
      </c>
      <c r="DQ23" s="34">
        <v>17</v>
      </c>
      <c r="DR23" s="34">
        <f>2+25</f>
        <v>27</v>
      </c>
      <c r="DS23" s="34">
        <f>31+0</f>
        <v>31</v>
      </c>
      <c r="DT23" s="42">
        <v>1</v>
      </c>
      <c r="DU23" s="34">
        <v>2</v>
      </c>
      <c r="DV23" s="34">
        <v>0</v>
      </c>
      <c r="DW23" s="34">
        <v>1</v>
      </c>
      <c r="DX23" s="34">
        <v>0</v>
      </c>
      <c r="DY23" s="34">
        <v>0</v>
      </c>
      <c r="DZ23" s="34">
        <v>1</v>
      </c>
      <c r="EA23" s="34">
        <v>2</v>
      </c>
      <c r="EB23" s="34">
        <v>0</v>
      </c>
      <c r="EC23" s="34">
        <v>0</v>
      </c>
      <c r="ED23" s="34">
        <v>0</v>
      </c>
      <c r="EE23" s="34">
        <v>1</v>
      </c>
      <c r="EF23" s="34">
        <v>1</v>
      </c>
      <c r="EG23" s="34">
        <v>1</v>
      </c>
      <c r="EH23" s="249">
        <f t="shared" si="0"/>
        <v>1097</v>
      </c>
      <c r="EI23" s="150">
        <f t="shared" ref="EI23:EI54" si="3">SUM(C23:DM23)</f>
        <v>9289</v>
      </c>
      <c r="EJ23" s="150">
        <f t="shared" ref="EJ23:EJ54" si="4">SUM(J23:DM23)</f>
        <v>7765</v>
      </c>
      <c r="EK23" s="284">
        <f>SUM(DL23:EG23)</f>
        <v>272</v>
      </c>
      <c r="EL23" s="151">
        <f t="shared" ref="EL23:EL47" si="5">SUM(C23:C23)</f>
        <v>347</v>
      </c>
      <c r="EM23" s="150">
        <f t="shared" ref="EM23:EM47" si="6">SUM(D23:O23)</f>
        <v>2753</v>
      </c>
      <c r="EN23" s="150">
        <f t="shared" ref="EN23:EN47" si="7">SUM(P23:AA23)</f>
        <v>1104</v>
      </c>
      <c r="EO23" s="150">
        <f t="shared" ref="EO23:EO47" si="8">SUM(AB23:AM23)</f>
        <v>1510</v>
      </c>
      <c r="EP23" s="150">
        <f t="shared" ref="EP23:EP47" si="9">SUM(AN23:AY23)</f>
        <v>1064</v>
      </c>
      <c r="EQ23" s="150">
        <f t="shared" ref="EQ23:EQ47" si="10">SUM(AZ23:BW23)</f>
        <v>861</v>
      </c>
      <c r="ER23" s="150">
        <f t="shared" ref="ER23:ER52" si="11">SUM(BX23:CU23)</f>
        <v>992</v>
      </c>
      <c r="ES23" s="152">
        <f t="shared" ref="ES23:ES54" si="12">SUM(CV23:DS23)</f>
        <v>858</v>
      </c>
      <c r="ET23" s="152">
        <f t="shared" si="2"/>
        <v>10</v>
      </c>
      <c r="EU23" s="57">
        <f t="shared" ref="EU23:EU48" si="13">SUM(BP23:CK23)</f>
        <v>842</v>
      </c>
      <c r="EV23" s="12">
        <f t="shared" ref="EV23:EV52" si="14">SUM(CD23:CU23)</f>
        <v>762</v>
      </c>
      <c r="EX23" s="12">
        <f t="shared" ref="EX23:EX52" si="15">SUM(C23:CO23)</f>
        <v>8402</v>
      </c>
      <c r="EY23" s="131">
        <f t="shared" ref="EY23:EY54" si="16">SUM(F23:DK23)</f>
        <v>8408</v>
      </c>
      <c r="EZ23" s="204">
        <v>816</v>
      </c>
    </row>
    <row r="24" spans="1:156" ht="33.75" customHeight="1" thickBot="1" x14ac:dyDescent="0.3">
      <c r="A24" s="8" t="s">
        <v>11</v>
      </c>
      <c r="B24" s="8" t="s">
        <v>12</v>
      </c>
      <c r="C24" s="33">
        <v>18</v>
      </c>
      <c r="D24" s="33">
        <v>13</v>
      </c>
      <c r="E24" s="33">
        <v>10</v>
      </c>
      <c r="F24" s="33">
        <v>11</v>
      </c>
      <c r="G24" s="33">
        <v>6</v>
      </c>
      <c r="H24" s="33">
        <v>4</v>
      </c>
      <c r="I24" s="33">
        <v>7</v>
      </c>
      <c r="J24" s="33">
        <v>8</v>
      </c>
      <c r="K24" s="33">
        <v>8</v>
      </c>
      <c r="L24" s="33">
        <v>13</v>
      </c>
      <c r="M24" s="33">
        <v>13</v>
      </c>
      <c r="N24" s="33">
        <v>7</v>
      </c>
      <c r="O24" s="33">
        <v>7</v>
      </c>
      <c r="P24" s="33">
        <v>9</v>
      </c>
      <c r="Q24" s="33">
        <v>19</v>
      </c>
      <c r="R24" s="33">
        <v>7</v>
      </c>
      <c r="S24" s="33">
        <v>0</v>
      </c>
      <c r="T24" s="33">
        <v>0</v>
      </c>
      <c r="U24" s="33">
        <v>2</v>
      </c>
      <c r="V24" s="33">
        <v>3</v>
      </c>
      <c r="W24" s="33">
        <v>14</v>
      </c>
      <c r="X24" s="33">
        <v>0</v>
      </c>
      <c r="Y24" s="33">
        <v>5</v>
      </c>
      <c r="Z24" s="33">
        <v>0</v>
      </c>
      <c r="AA24" s="33">
        <v>5</v>
      </c>
      <c r="AB24" s="33">
        <v>1</v>
      </c>
      <c r="AC24" s="33">
        <v>1</v>
      </c>
      <c r="AD24" s="33">
        <v>4</v>
      </c>
      <c r="AE24" s="33">
        <v>3</v>
      </c>
      <c r="AF24" s="33">
        <v>9</v>
      </c>
      <c r="AG24" s="33">
        <v>7</v>
      </c>
      <c r="AH24" s="33">
        <v>2</v>
      </c>
      <c r="AI24" s="33">
        <v>6</v>
      </c>
      <c r="AJ24" s="34">
        <v>10</v>
      </c>
      <c r="AK24" s="34">
        <v>2</v>
      </c>
      <c r="AL24" s="34">
        <v>3</v>
      </c>
      <c r="AM24" s="34">
        <v>1</v>
      </c>
      <c r="AN24" s="60">
        <v>1</v>
      </c>
      <c r="AO24" s="60">
        <v>1</v>
      </c>
      <c r="AP24" s="60">
        <v>0</v>
      </c>
      <c r="AQ24" s="60">
        <v>0</v>
      </c>
      <c r="AR24" s="60">
        <v>0</v>
      </c>
      <c r="AS24" s="60">
        <v>1</v>
      </c>
      <c r="AT24" s="34">
        <v>0</v>
      </c>
      <c r="AU24" s="34">
        <v>0</v>
      </c>
      <c r="AV24" s="34">
        <v>1</v>
      </c>
      <c r="AW24" s="33">
        <v>1</v>
      </c>
      <c r="AX24" s="34">
        <v>0</v>
      </c>
      <c r="AY24" s="34">
        <v>2</v>
      </c>
      <c r="AZ24" s="34">
        <v>0</v>
      </c>
      <c r="BA24" s="34">
        <v>0</v>
      </c>
      <c r="BB24" s="34">
        <v>0</v>
      </c>
      <c r="BC24" s="34">
        <v>0</v>
      </c>
      <c r="BD24" s="34">
        <v>0</v>
      </c>
      <c r="BE24" s="34">
        <v>0</v>
      </c>
      <c r="BF24" s="34">
        <v>0</v>
      </c>
      <c r="BG24" s="34">
        <v>3</v>
      </c>
      <c r="BH24" s="34">
        <v>0</v>
      </c>
      <c r="BI24" s="34">
        <v>0</v>
      </c>
      <c r="BJ24" s="34">
        <v>1</v>
      </c>
      <c r="BK24" s="34">
        <v>0</v>
      </c>
      <c r="BL24" s="34">
        <v>0</v>
      </c>
      <c r="BM24" s="34">
        <v>0</v>
      </c>
      <c r="BN24" s="34">
        <v>0</v>
      </c>
      <c r="BO24" s="34">
        <v>0</v>
      </c>
      <c r="BP24" s="34">
        <v>2</v>
      </c>
      <c r="BQ24" s="34">
        <v>0</v>
      </c>
      <c r="BR24" s="42">
        <v>1</v>
      </c>
      <c r="BS24" s="42">
        <v>0</v>
      </c>
      <c r="BT24" s="42">
        <v>1</v>
      </c>
      <c r="BU24" s="42">
        <v>0</v>
      </c>
      <c r="BV24" s="42">
        <v>0</v>
      </c>
      <c r="BW24" s="34">
        <v>0</v>
      </c>
      <c r="BX24" s="34">
        <v>0</v>
      </c>
      <c r="BY24" s="34">
        <v>0</v>
      </c>
      <c r="BZ24" s="34">
        <v>0</v>
      </c>
      <c r="CA24" s="34">
        <v>0</v>
      </c>
      <c r="CB24" s="34">
        <v>0</v>
      </c>
      <c r="CC24" s="34">
        <v>1</v>
      </c>
      <c r="CD24" s="34">
        <v>0</v>
      </c>
      <c r="CE24" s="42">
        <v>0</v>
      </c>
      <c r="CF24" s="34">
        <v>0</v>
      </c>
      <c r="CG24" s="34">
        <v>0</v>
      </c>
      <c r="CH24" s="55">
        <v>0</v>
      </c>
      <c r="CI24" s="55">
        <v>0</v>
      </c>
      <c r="CJ24" s="34">
        <v>0</v>
      </c>
      <c r="CK24" s="34">
        <v>0</v>
      </c>
      <c r="CL24" s="34">
        <v>0</v>
      </c>
      <c r="CM24" s="34">
        <v>3</v>
      </c>
      <c r="CN24" s="34">
        <v>0</v>
      </c>
      <c r="CO24" s="34">
        <v>0</v>
      </c>
      <c r="CP24" s="34">
        <v>0</v>
      </c>
      <c r="CQ24" s="34">
        <v>0</v>
      </c>
      <c r="CR24" s="34">
        <v>0</v>
      </c>
      <c r="CS24" s="34">
        <v>0</v>
      </c>
      <c r="CT24" s="34">
        <v>0</v>
      </c>
      <c r="CU24" s="34">
        <v>1</v>
      </c>
      <c r="CV24" s="34">
        <v>0</v>
      </c>
      <c r="CW24" s="42">
        <v>1</v>
      </c>
      <c r="CX24" s="34">
        <v>0</v>
      </c>
      <c r="CY24" s="137">
        <v>0</v>
      </c>
      <c r="CZ24" s="34">
        <v>0</v>
      </c>
      <c r="DA24" s="34">
        <v>0</v>
      </c>
      <c r="DB24" s="34">
        <v>0</v>
      </c>
      <c r="DC24" s="34">
        <v>0</v>
      </c>
      <c r="DD24" s="34">
        <v>0</v>
      </c>
      <c r="DE24" s="34">
        <v>0</v>
      </c>
      <c r="DF24" s="34">
        <v>0</v>
      </c>
      <c r="DG24" s="34">
        <v>0</v>
      </c>
      <c r="DH24" s="42">
        <v>0</v>
      </c>
      <c r="DI24" s="34">
        <v>0</v>
      </c>
      <c r="DJ24" s="34">
        <v>0</v>
      </c>
      <c r="DK24" s="34">
        <v>0</v>
      </c>
      <c r="DL24" s="118">
        <v>0</v>
      </c>
      <c r="DM24" s="213"/>
      <c r="DN24" s="213"/>
      <c r="DO24" s="213"/>
      <c r="DP24" s="213"/>
      <c r="DQ24" s="213"/>
      <c r="DR24" s="213"/>
      <c r="DS24" s="213"/>
      <c r="DT24" s="218"/>
      <c r="DU24" s="213"/>
      <c r="DV24" s="213"/>
      <c r="DW24" s="213"/>
      <c r="DX24" s="218"/>
      <c r="DY24" s="218"/>
      <c r="DZ24" s="218"/>
      <c r="EA24" s="218"/>
      <c r="EB24" s="218"/>
      <c r="EC24" s="218"/>
      <c r="ED24" s="218"/>
      <c r="EE24" s="218"/>
      <c r="EF24" s="218"/>
      <c r="EG24" s="218"/>
      <c r="EH24" s="249">
        <f t="shared" si="0"/>
        <v>2</v>
      </c>
      <c r="EI24" s="150">
        <f t="shared" si="3"/>
        <v>259</v>
      </c>
      <c r="EJ24" s="150">
        <f t="shared" si="4"/>
        <v>190</v>
      </c>
      <c r="EK24" s="284">
        <f t="shared" si="1"/>
        <v>0</v>
      </c>
      <c r="EL24" s="151">
        <f t="shared" si="5"/>
        <v>18</v>
      </c>
      <c r="EM24" s="150">
        <f t="shared" si="6"/>
        <v>107</v>
      </c>
      <c r="EN24" s="150">
        <f t="shared" si="7"/>
        <v>64</v>
      </c>
      <c r="EO24" s="150">
        <f t="shared" si="8"/>
        <v>49</v>
      </c>
      <c r="EP24" s="150">
        <f t="shared" si="9"/>
        <v>7</v>
      </c>
      <c r="EQ24" s="150">
        <f t="shared" si="10"/>
        <v>8</v>
      </c>
      <c r="ER24" s="150">
        <f t="shared" si="11"/>
        <v>5</v>
      </c>
      <c r="ES24" s="152">
        <f t="shared" si="12"/>
        <v>1</v>
      </c>
      <c r="ET24" s="152">
        <f t="shared" si="2"/>
        <v>0</v>
      </c>
      <c r="EU24" s="57">
        <f t="shared" si="13"/>
        <v>5</v>
      </c>
      <c r="EV24" s="12">
        <f t="shared" si="14"/>
        <v>4</v>
      </c>
      <c r="EX24" s="12">
        <f t="shared" si="15"/>
        <v>257</v>
      </c>
      <c r="EY24" s="131">
        <f t="shared" si="16"/>
        <v>218</v>
      </c>
    </row>
    <row r="25" spans="1:156" ht="32.25" customHeight="1" thickBot="1" x14ac:dyDescent="0.3">
      <c r="A25" s="8" t="s">
        <v>11</v>
      </c>
      <c r="B25" s="8" t="s">
        <v>13</v>
      </c>
      <c r="C25" s="33">
        <v>7</v>
      </c>
      <c r="D25" s="33">
        <v>2</v>
      </c>
      <c r="E25" s="33">
        <v>1</v>
      </c>
      <c r="F25" s="33">
        <v>6</v>
      </c>
      <c r="G25" s="33">
        <v>1</v>
      </c>
      <c r="H25" s="33">
        <v>4</v>
      </c>
      <c r="I25" s="33">
        <v>9</v>
      </c>
      <c r="J25" s="33">
        <v>2</v>
      </c>
      <c r="K25" s="33">
        <v>4</v>
      </c>
      <c r="L25" s="33">
        <v>13</v>
      </c>
      <c r="M25" s="33">
        <v>11</v>
      </c>
      <c r="N25" s="33">
        <v>4</v>
      </c>
      <c r="O25" s="33">
        <v>4</v>
      </c>
      <c r="P25" s="33">
        <v>6</v>
      </c>
      <c r="Q25" s="33">
        <v>8</v>
      </c>
      <c r="R25" s="33">
        <v>6</v>
      </c>
      <c r="S25" s="33">
        <v>3</v>
      </c>
      <c r="T25" s="33">
        <v>0</v>
      </c>
      <c r="U25" s="33">
        <v>3</v>
      </c>
      <c r="V25" s="33">
        <v>0</v>
      </c>
      <c r="W25" s="33">
        <v>7</v>
      </c>
      <c r="X25" s="33">
        <v>3</v>
      </c>
      <c r="Y25" s="33">
        <v>1</v>
      </c>
      <c r="Z25" s="33">
        <v>0</v>
      </c>
      <c r="AA25" s="33">
        <v>3</v>
      </c>
      <c r="AB25" s="33">
        <v>1</v>
      </c>
      <c r="AC25" s="33">
        <v>1</v>
      </c>
      <c r="AD25" s="33">
        <v>4</v>
      </c>
      <c r="AE25" s="33">
        <v>1</v>
      </c>
      <c r="AF25" s="33">
        <v>6</v>
      </c>
      <c r="AG25" s="33">
        <v>4</v>
      </c>
      <c r="AH25" s="33">
        <v>10</v>
      </c>
      <c r="AI25" s="33">
        <v>12</v>
      </c>
      <c r="AJ25" s="34">
        <v>2</v>
      </c>
      <c r="AK25" s="34">
        <v>1</v>
      </c>
      <c r="AL25" s="34">
        <v>6</v>
      </c>
      <c r="AM25" s="34">
        <v>5</v>
      </c>
      <c r="AN25" s="60">
        <v>2</v>
      </c>
      <c r="AO25" s="60">
        <v>23</v>
      </c>
      <c r="AP25" s="60">
        <v>12</v>
      </c>
      <c r="AQ25" s="60">
        <v>3</v>
      </c>
      <c r="AR25" s="60">
        <v>9</v>
      </c>
      <c r="AS25" s="60">
        <v>8</v>
      </c>
      <c r="AT25" s="34">
        <v>8</v>
      </c>
      <c r="AU25" s="34">
        <v>3</v>
      </c>
      <c r="AV25" s="34">
        <v>5</v>
      </c>
      <c r="AW25" s="33">
        <v>2</v>
      </c>
      <c r="AX25" s="34">
        <v>0</v>
      </c>
      <c r="AY25" s="34">
        <v>3</v>
      </c>
      <c r="AZ25" s="34">
        <v>1</v>
      </c>
      <c r="BA25" s="34">
        <v>1</v>
      </c>
      <c r="BB25" s="34">
        <v>0</v>
      </c>
      <c r="BC25" s="34">
        <v>0</v>
      </c>
      <c r="BD25" s="34">
        <v>0</v>
      </c>
      <c r="BE25" s="34">
        <v>2</v>
      </c>
      <c r="BF25" s="34">
        <v>0</v>
      </c>
      <c r="BG25" s="34">
        <v>0</v>
      </c>
      <c r="BH25" s="34">
        <v>0</v>
      </c>
      <c r="BI25" s="34">
        <v>2</v>
      </c>
      <c r="BJ25" s="34">
        <v>1</v>
      </c>
      <c r="BK25" s="34">
        <v>1</v>
      </c>
      <c r="BL25" s="34">
        <v>2</v>
      </c>
      <c r="BM25" s="34">
        <v>1</v>
      </c>
      <c r="BN25" s="34">
        <v>1</v>
      </c>
      <c r="BO25" s="34">
        <v>0</v>
      </c>
      <c r="BP25" s="34">
        <v>3</v>
      </c>
      <c r="BQ25" s="34">
        <v>0</v>
      </c>
      <c r="BR25" s="42">
        <v>0</v>
      </c>
      <c r="BS25" s="42">
        <v>3</v>
      </c>
      <c r="BT25" s="42">
        <v>1</v>
      </c>
      <c r="BU25" s="42">
        <v>4</v>
      </c>
      <c r="BV25" s="42">
        <v>3</v>
      </c>
      <c r="BW25" s="34">
        <v>1</v>
      </c>
      <c r="BX25" s="34">
        <v>11</v>
      </c>
      <c r="BY25" s="34">
        <v>2</v>
      </c>
      <c r="BZ25" s="34">
        <v>1</v>
      </c>
      <c r="CA25" s="34">
        <v>13</v>
      </c>
      <c r="CB25" s="34">
        <v>1</v>
      </c>
      <c r="CC25" s="34">
        <v>11</v>
      </c>
      <c r="CD25" s="34">
        <v>8</v>
      </c>
      <c r="CE25" s="42">
        <v>8</v>
      </c>
      <c r="CF25" s="34">
        <v>8</v>
      </c>
      <c r="CG25" s="34">
        <v>3</v>
      </c>
      <c r="CH25" s="55">
        <v>10</v>
      </c>
      <c r="CI25" s="55">
        <v>5</v>
      </c>
      <c r="CJ25" s="34">
        <v>1</v>
      </c>
      <c r="CK25" s="34">
        <v>7</v>
      </c>
      <c r="CL25" s="34">
        <v>0</v>
      </c>
      <c r="CM25" s="34">
        <v>16</v>
      </c>
      <c r="CN25" s="34">
        <v>17</v>
      </c>
      <c r="CO25" s="34">
        <v>4</v>
      </c>
      <c r="CP25" s="34">
        <v>5</v>
      </c>
      <c r="CQ25" s="34">
        <v>7</v>
      </c>
      <c r="CR25" s="34">
        <v>11</v>
      </c>
      <c r="CS25" s="34">
        <v>4</v>
      </c>
      <c r="CT25" s="34">
        <v>1</v>
      </c>
      <c r="CU25" s="34">
        <v>13</v>
      </c>
      <c r="CV25" s="34">
        <v>0</v>
      </c>
      <c r="CW25" s="42">
        <v>5</v>
      </c>
      <c r="CX25" s="34">
        <v>5</v>
      </c>
      <c r="CY25" s="137">
        <v>0</v>
      </c>
      <c r="CZ25" s="34">
        <v>27</v>
      </c>
      <c r="DA25" s="34">
        <v>7</v>
      </c>
      <c r="DB25" s="34">
        <v>10</v>
      </c>
      <c r="DC25" s="34">
        <v>13</v>
      </c>
      <c r="DD25" s="34">
        <v>11</v>
      </c>
      <c r="DE25" s="34">
        <v>13</v>
      </c>
      <c r="DF25" s="34">
        <v>17</v>
      </c>
      <c r="DG25" s="34">
        <v>18</v>
      </c>
      <c r="DH25" s="42">
        <v>10</v>
      </c>
      <c r="DI25" s="34">
        <v>0</v>
      </c>
      <c r="DJ25" s="34">
        <v>12</v>
      </c>
      <c r="DK25" s="34">
        <v>3</v>
      </c>
      <c r="DL25" s="118">
        <v>0</v>
      </c>
      <c r="DM25" s="213"/>
      <c r="DN25" s="213"/>
      <c r="DO25" s="213"/>
      <c r="DP25" s="213"/>
      <c r="DQ25" s="213"/>
      <c r="DR25" s="213"/>
      <c r="DS25" s="213"/>
      <c r="DT25" s="218"/>
      <c r="DU25" s="213"/>
      <c r="DV25" s="213"/>
      <c r="DW25" s="213"/>
      <c r="DX25" s="218"/>
      <c r="DY25" s="218"/>
      <c r="DZ25" s="218"/>
      <c r="EA25" s="218"/>
      <c r="EB25" s="218"/>
      <c r="EC25" s="218"/>
      <c r="ED25" s="218"/>
      <c r="EE25" s="218"/>
      <c r="EF25" s="218"/>
      <c r="EG25" s="218"/>
      <c r="EH25" s="249">
        <f t="shared" si="0"/>
        <v>192</v>
      </c>
      <c r="EI25" s="150">
        <f t="shared" si="3"/>
        <v>584</v>
      </c>
      <c r="EJ25" s="150">
        <f t="shared" si="4"/>
        <v>554</v>
      </c>
      <c r="EK25" s="284">
        <f t="shared" si="1"/>
        <v>0</v>
      </c>
      <c r="EL25" s="151">
        <f t="shared" si="5"/>
        <v>7</v>
      </c>
      <c r="EM25" s="150">
        <f t="shared" si="6"/>
        <v>61</v>
      </c>
      <c r="EN25" s="150">
        <f t="shared" si="7"/>
        <v>40</v>
      </c>
      <c r="EO25" s="150">
        <f t="shared" si="8"/>
        <v>53</v>
      </c>
      <c r="EP25" s="150">
        <f t="shared" si="9"/>
        <v>78</v>
      </c>
      <c r="EQ25" s="150">
        <f t="shared" si="10"/>
        <v>27</v>
      </c>
      <c r="ER25" s="150">
        <f t="shared" si="11"/>
        <v>167</v>
      </c>
      <c r="ES25" s="152">
        <f t="shared" si="12"/>
        <v>151</v>
      </c>
      <c r="ET25" s="152">
        <f t="shared" si="2"/>
        <v>0</v>
      </c>
      <c r="EU25" s="57">
        <f t="shared" si="13"/>
        <v>104</v>
      </c>
      <c r="EV25" s="12">
        <f t="shared" si="14"/>
        <v>128</v>
      </c>
      <c r="EX25" s="12">
        <f t="shared" si="15"/>
        <v>392</v>
      </c>
      <c r="EY25" s="131">
        <f t="shared" si="16"/>
        <v>574</v>
      </c>
    </row>
    <row r="26" spans="1:156" ht="19.5" customHeight="1" thickBot="1" x14ac:dyDescent="0.3">
      <c r="A26" s="8" t="s">
        <v>11</v>
      </c>
      <c r="B26" s="8" t="s">
        <v>14</v>
      </c>
      <c r="C26" s="33">
        <v>28</v>
      </c>
      <c r="D26" s="33">
        <v>11</v>
      </c>
      <c r="E26" s="33">
        <v>17</v>
      </c>
      <c r="F26" s="33">
        <v>21</v>
      </c>
      <c r="G26" s="33">
        <v>20</v>
      </c>
      <c r="H26" s="33">
        <v>8</v>
      </c>
      <c r="I26" s="33">
        <v>15</v>
      </c>
      <c r="J26" s="33">
        <v>8</v>
      </c>
      <c r="K26" s="33">
        <v>10</v>
      </c>
      <c r="L26" s="33">
        <v>6</v>
      </c>
      <c r="M26" s="33">
        <v>18</v>
      </c>
      <c r="N26" s="33">
        <v>14</v>
      </c>
      <c r="O26" s="33">
        <v>8</v>
      </c>
      <c r="P26" s="33">
        <v>4</v>
      </c>
      <c r="Q26" s="33">
        <v>9</v>
      </c>
      <c r="R26" s="33">
        <v>5</v>
      </c>
      <c r="S26" s="33">
        <v>3</v>
      </c>
      <c r="T26" s="33">
        <v>1</v>
      </c>
      <c r="U26" s="33">
        <v>1</v>
      </c>
      <c r="V26" s="33">
        <v>0</v>
      </c>
      <c r="W26" s="33">
        <v>1</v>
      </c>
      <c r="X26" s="33">
        <v>1</v>
      </c>
      <c r="Y26" s="33">
        <v>5</v>
      </c>
      <c r="Z26" s="33">
        <v>2</v>
      </c>
      <c r="AA26" s="33">
        <v>6</v>
      </c>
      <c r="AB26" s="33">
        <v>6</v>
      </c>
      <c r="AC26" s="33">
        <v>2</v>
      </c>
      <c r="AD26" s="33">
        <v>3</v>
      </c>
      <c r="AE26" s="33">
        <v>6</v>
      </c>
      <c r="AF26" s="33">
        <v>6</v>
      </c>
      <c r="AG26" s="33">
        <v>7</v>
      </c>
      <c r="AH26" s="33">
        <v>14</v>
      </c>
      <c r="AI26" s="33">
        <v>9</v>
      </c>
      <c r="AJ26" s="34">
        <v>9</v>
      </c>
      <c r="AK26" s="34">
        <v>7</v>
      </c>
      <c r="AL26" s="34">
        <v>0</v>
      </c>
      <c r="AM26" s="34">
        <v>5</v>
      </c>
      <c r="AN26" s="60">
        <v>4</v>
      </c>
      <c r="AO26" s="60">
        <v>13</v>
      </c>
      <c r="AP26" s="60">
        <v>9</v>
      </c>
      <c r="AQ26" s="60">
        <v>6</v>
      </c>
      <c r="AR26" s="60">
        <v>2</v>
      </c>
      <c r="AS26" s="60">
        <v>9</v>
      </c>
      <c r="AT26" s="34">
        <v>15</v>
      </c>
      <c r="AU26" s="34">
        <v>7</v>
      </c>
      <c r="AV26" s="34">
        <v>6</v>
      </c>
      <c r="AW26" s="33">
        <v>5</v>
      </c>
      <c r="AX26" s="34">
        <v>4</v>
      </c>
      <c r="AY26" s="34">
        <v>1</v>
      </c>
      <c r="AZ26" s="34">
        <v>2</v>
      </c>
      <c r="BA26" s="34">
        <v>0</v>
      </c>
      <c r="BB26" s="34">
        <v>5</v>
      </c>
      <c r="BC26" s="34">
        <v>3</v>
      </c>
      <c r="BD26" s="34">
        <v>3</v>
      </c>
      <c r="BE26" s="34">
        <v>6</v>
      </c>
      <c r="BF26" s="34">
        <v>5</v>
      </c>
      <c r="BG26" s="34">
        <v>0</v>
      </c>
      <c r="BH26" s="34">
        <v>0</v>
      </c>
      <c r="BI26" s="34">
        <v>0</v>
      </c>
      <c r="BJ26" s="34">
        <v>7</v>
      </c>
      <c r="BK26" s="34">
        <v>2</v>
      </c>
      <c r="BL26" s="34">
        <v>5</v>
      </c>
      <c r="BM26" s="34">
        <v>3</v>
      </c>
      <c r="BN26" s="34">
        <v>0</v>
      </c>
      <c r="BO26" s="34">
        <v>3</v>
      </c>
      <c r="BP26" s="34">
        <v>4</v>
      </c>
      <c r="BQ26" s="34">
        <v>1</v>
      </c>
      <c r="BR26" s="42">
        <v>1</v>
      </c>
      <c r="BS26" s="42">
        <v>2</v>
      </c>
      <c r="BT26" s="42">
        <v>0</v>
      </c>
      <c r="BU26" s="42">
        <v>1</v>
      </c>
      <c r="BV26" s="42">
        <v>0</v>
      </c>
      <c r="BW26" s="34">
        <v>0</v>
      </c>
      <c r="BX26" s="34">
        <v>5</v>
      </c>
      <c r="BY26" s="34">
        <v>3</v>
      </c>
      <c r="BZ26" s="34">
        <v>2</v>
      </c>
      <c r="CA26" s="34">
        <v>1</v>
      </c>
      <c r="CB26" s="34">
        <v>1</v>
      </c>
      <c r="CC26" s="34">
        <v>1</v>
      </c>
      <c r="CD26" s="34">
        <v>2</v>
      </c>
      <c r="CE26" s="42">
        <v>2</v>
      </c>
      <c r="CF26" s="34">
        <v>1</v>
      </c>
      <c r="CG26" s="34">
        <v>4</v>
      </c>
      <c r="CH26" s="55">
        <v>0</v>
      </c>
      <c r="CI26" s="55">
        <v>0</v>
      </c>
      <c r="CJ26" s="34">
        <v>2</v>
      </c>
      <c r="CK26" s="34">
        <v>2</v>
      </c>
      <c r="CL26" s="34">
        <v>1</v>
      </c>
      <c r="CM26" s="34">
        <v>4</v>
      </c>
      <c r="CN26" s="34">
        <v>1</v>
      </c>
      <c r="CO26" s="34">
        <v>3</v>
      </c>
      <c r="CP26" s="34">
        <v>2</v>
      </c>
      <c r="CQ26" s="34">
        <v>1</v>
      </c>
      <c r="CR26" s="34">
        <v>3</v>
      </c>
      <c r="CS26" s="34">
        <v>2</v>
      </c>
      <c r="CT26" s="34">
        <v>1</v>
      </c>
      <c r="CU26" s="34">
        <v>6</v>
      </c>
      <c r="CV26" s="34">
        <v>1</v>
      </c>
      <c r="CW26" s="42">
        <v>4</v>
      </c>
      <c r="CX26" s="34">
        <v>1</v>
      </c>
      <c r="CY26" s="137">
        <v>0</v>
      </c>
      <c r="CZ26" s="34">
        <v>1</v>
      </c>
      <c r="DA26" s="34">
        <v>0</v>
      </c>
      <c r="DB26" s="34">
        <v>0</v>
      </c>
      <c r="DC26" s="34">
        <v>1</v>
      </c>
      <c r="DD26" s="34">
        <v>0</v>
      </c>
      <c r="DE26" s="34">
        <v>0</v>
      </c>
      <c r="DF26" s="34">
        <v>0</v>
      </c>
      <c r="DG26" s="34">
        <v>1</v>
      </c>
      <c r="DH26" s="42">
        <v>0</v>
      </c>
      <c r="DI26" s="34">
        <v>0</v>
      </c>
      <c r="DJ26" s="34">
        <v>0</v>
      </c>
      <c r="DK26" s="34">
        <v>0</v>
      </c>
      <c r="DL26" s="118">
        <v>0</v>
      </c>
      <c r="DM26" s="213"/>
      <c r="DN26" s="213"/>
      <c r="DO26" s="213"/>
      <c r="DP26" s="213"/>
      <c r="DQ26" s="213"/>
      <c r="DR26" s="213"/>
      <c r="DS26" s="213"/>
      <c r="DT26" s="218"/>
      <c r="DU26" s="213"/>
      <c r="DV26" s="213"/>
      <c r="DW26" s="213"/>
      <c r="DX26" s="218"/>
      <c r="DY26" s="218"/>
      <c r="DZ26" s="218"/>
      <c r="EA26" s="218"/>
      <c r="EB26" s="218"/>
      <c r="EC26" s="218"/>
      <c r="ED26" s="218"/>
      <c r="EE26" s="218"/>
      <c r="EF26" s="218"/>
      <c r="EG26" s="218"/>
      <c r="EH26" s="249">
        <f t="shared" si="0"/>
        <v>24</v>
      </c>
      <c r="EI26" s="150">
        <f t="shared" si="3"/>
        <v>489</v>
      </c>
      <c r="EJ26" s="150">
        <f t="shared" si="4"/>
        <v>369</v>
      </c>
      <c r="EK26" s="284">
        <f t="shared" si="1"/>
        <v>0</v>
      </c>
      <c r="EL26" s="151">
        <f t="shared" si="5"/>
        <v>28</v>
      </c>
      <c r="EM26" s="150">
        <f t="shared" si="6"/>
        <v>156</v>
      </c>
      <c r="EN26" s="150">
        <f t="shared" si="7"/>
        <v>38</v>
      </c>
      <c r="EO26" s="150">
        <f t="shared" si="8"/>
        <v>74</v>
      </c>
      <c r="EP26" s="150">
        <f t="shared" si="9"/>
        <v>81</v>
      </c>
      <c r="EQ26" s="150">
        <f t="shared" si="10"/>
        <v>53</v>
      </c>
      <c r="ER26" s="150">
        <f t="shared" si="11"/>
        <v>50</v>
      </c>
      <c r="ES26" s="152">
        <f t="shared" si="12"/>
        <v>9</v>
      </c>
      <c r="ET26" s="152">
        <f t="shared" si="2"/>
        <v>0</v>
      </c>
      <c r="EU26" s="57">
        <f t="shared" si="13"/>
        <v>35</v>
      </c>
      <c r="EV26" s="12">
        <f t="shared" si="14"/>
        <v>37</v>
      </c>
      <c r="EX26" s="12">
        <f t="shared" si="15"/>
        <v>465</v>
      </c>
      <c r="EY26" s="131">
        <f t="shared" si="16"/>
        <v>433</v>
      </c>
    </row>
    <row r="27" spans="1:156" ht="33.75" customHeight="1" thickBot="1" x14ac:dyDescent="0.3">
      <c r="A27" s="8" t="s">
        <v>11</v>
      </c>
      <c r="B27" s="8" t="s">
        <v>15</v>
      </c>
      <c r="C27" s="33">
        <v>25</v>
      </c>
      <c r="D27" s="33">
        <v>25</v>
      </c>
      <c r="E27" s="33">
        <v>24</v>
      </c>
      <c r="F27" s="33">
        <v>15</v>
      </c>
      <c r="G27" s="33">
        <v>18</v>
      </c>
      <c r="H27" s="33">
        <v>24</v>
      </c>
      <c r="I27" s="33">
        <v>31</v>
      </c>
      <c r="J27" s="33">
        <v>12</v>
      </c>
      <c r="K27" s="33">
        <v>24</v>
      </c>
      <c r="L27" s="33">
        <v>43</v>
      </c>
      <c r="M27" s="33">
        <v>59</v>
      </c>
      <c r="N27" s="33">
        <v>13</v>
      </c>
      <c r="O27" s="33">
        <v>7</v>
      </c>
      <c r="P27" s="33">
        <v>14</v>
      </c>
      <c r="Q27" s="33">
        <v>9</v>
      </c>
      <c r="R27" s="33">
        <v>7</v>
      </c>
      <c r="S27" s="33">
        <v>3</v>
      </c>
      <c r="T27" s="33">
        <v>0</v>
      </c>
      <c r="U27" s="33">
        <v>5</v>
      </c>
      <c r="V27" s="33">
        <v>1</v>
      </c>
      <c r="W27" s="33">
        <v>10</v>
      </c>
      <c r="X27" s="33">
        <v>4</v>
      </c>
      <c r="Y27" s="33">
        <v>15</v>
      </c>
      <c r="Z27" s="33">
        <v>3</v>
      </c>
      <c r="AA27" s="33">
        <v>2</v>
      </c>
      <c r="AB27" s="33">
        <v>10</v>
      </c>
      <c r="AC27" s="33">
        <v>7</v>
      </c>
      <c r="AD27" s="33">
        <v>9</v>
      </c>
      <c r="AE27" s="33">
        <v>18</v>
      </c>
      <c r="AF27" s="33">
        <v>10</v>
      </c>
      <c r="AG27" s="33">
        <v>8</v>
      </c>
      <c r="AH27" s="33">
        <v>20</v>
      </c>
      <c r="AI27" s="33">
        <v>7</v>
      </c>
      <c r="AJ27" s="34">
        <v>7</v>
      </c>
      <c r="AK27" s="34">
        <v>3</v>
      </c>
      <c r="AL27" s="34">
        <v>2</v>
      </c>
      <c r="AM27" s="34">
        <v>2</v>
      </c>
      <c r="AN27" s="60">
        <v>9</v>
      </c>
      <c r="AO27" s="60">
        <v>12</v>
      </c>
      <c r="AP27" s="60">
        <v>5</v>
      </c>
      <c r="AQ27" s="60">
        <v>8</v>
      </c>
      <c r="AR27" s="60">
        <v>15</v>
      </c>
      <c r="AS27" s="60">
        <v>8</v>
      </c>
      <c r="AT27" s="34">
        <v>5</v>
      </c>
      <c r="AU27" s="34">
        <v>12</v>
      </c>
      <c r="AV27" s="34">
        <v>3</v>
      </c>
      <c r="AW27" s="33">
        <v>9</v>
      </c>
      <c r="AX27" s="137">
        <v>4</v>
      </c>
      <c r="AY27" s="137">
        <v>6</v>
      </c>
      <c r="AZ27" s="137">
        <v>1</v>
      </c>
      <c r="BA27" s="137">
        <v>7</v>
      </c>
      <c r="BB27" s="137">
        <v>2</v>
      </c>
      <c r="BC27" s="137">
        <v>3</v>
      </c>
      <c r="BD27" s="137">
        <v>0</v>
      </c>
      <c r="BE27" s="137">
        <v>0</v>
      </c>
      <c r="BF27" s="137">
        <v>8</v>
      </c>
      <c r="BG27" s="137">
        <v>3</v>
      </c>
      <c r="BH27" s="137">
        <v>1</v>
      </c>
      <c r="BI27" s="137">
        <v>1</v>
      </c>
      <c r="BJ27" s="137">
        <v>0</v>
      </c>
      <c r="BK27" s="137">
        <v>2</v>
      </c>
      <c r="BL27" s="137">
        <v>5</v>
      </c>
      <c r="BM27" s="137">
        <v>0</v>
      </c>
      <c r="BN27" s="137">
        <v>1</v>
      </c>
      <c r="BO27" s="137">
        <v>2</v>
      </c>
      <c r="BP27" s="137">
        <v>1</v>
      </c>
      <c r="BQ27" s="137">
        <v>5</v>
      </c>
      <c r="BR27" s="138">
        <v>4</v>
      </c>
      <c r="BS27" s="138">
        <v>1</v>
      </c>
      <c r="BT27" s="138">
        <v>0</v>
      </c>
      <c r="BU27" s="138">
        <v>1</v>
      </c>
      <c r="BV27" s="138">
        <v>2</v>
      </c>
      <c r="BW27" s="137">
        <v>3</v>
      </c>
      <c r="BX27" s="137">
        <v>4</v>
      </c>
      <c r="BY27" s="137">
        <v>4</v>
      </c>
      <c r="BZ27" s="137">
        <v>1</v>
      </c>
      <c r="CA27" s="137">
        <v>0</v>
      </c>
      <c r="CB27" s="137">
        <v>0</v>
      </c>
      <c r="CC27" s="137">
        <v>2</v>
      </c>
      <c r="CD27" s="137">
        <v>2</v>
      </c>
      <c r="CE27" s="138">
        <v>1</v>
      </c>
      <c r="CF27" s="34">
        <v>0</v>
      </c>
      <c r="CG27" s="34">
        <v>2</v>
      </c>
      <c r="CH27" s="55">
        <v>0</v>
      </c>
      <c r="CI27" s="55">
        <v>0</v>
      </c>
      <c r="CJ27" s="34">
        <v>1</v>
      </c>
      <c r="CK27" s="34">
        <v>0</v>
      </c>
      <c r="CL27" s="34">
        <v>0</v>
      </c>
      <c r="CM27" s="34">
        <v>6</v>
      </c>
      <c r="CN27" s="34">
        <v>2</v>
      </c>
      <c r="CO27" s="34">
        <v>6</v>
      </c>
      <c r="CP27" s="34">
        <v>0</v>
      </c>
      <c r="CQ27" s="34">
        <v>1</v>
      </c>
      <c r="CR27" s="34">
        <v>1</v>
      </c>
      <c r="CS27" s="34">
        <v>2</v>
      </c>
      <c r="CT27" s="34">
        <v>2</v>
      </c>
      <c r="CU27" s="34">
        <v>0</v>
      </c>
      <c r="CV27" s="34">
        <v>0</v>
      </c>
      <c r="CW27" s="42">
        <v>5</v>
      </c>
      <c r="CX27" s="34">
        <v>0</v>
      </c>
      <c r="CY27" s="137">
        <v>0</v>
      </c>
      <c r="CZ27" s="34">
        <v>2</v>
      </c>
      <c r="DA27" s="34">
        <v>0</v>
      </c>
      <c r="DB27" s="34">
        <v>2</v>
      </c>
      <c r="DC27" s="34">
        <v>1</v>
      </c>
      <c r="DD27" s="34">
        <v>1</v>
      </c>
      <c r="DE27" s="34">
        <v>1</v>
      </c>
      <c r="DF27" s="34">
        <v>4</v>
      </c>
      <c r="DG27" s="34">
        <v>2</v>
      </c>
      <c r="DH27" s="42">
        <v>1</v>
      </c>
      <c r="DI27" s="34">
        <v>0</v>
      </c>
      <c r="DJ27" s="34">
        <v>3</v>
      </c>
      <c r="DK27" s="34">
        <v>0</v>
      </c>
      <c r="DL27" s="118">
        <v>0</v>
      </c>
      <c r="DM27" s="213"/>
      <c r="DN27" s="213"/>
      <c r="DO27" s="213"/>
      <c r="DP27" s="213"/>
      <c r="DQ27" s="213"/>
      <c r="DR27" s="213"/>
      <c r="DS27" s="213"/>
      <c r="DT27" s="218"/>
      <c r="DU27" s="213"/>
      <c r="DV27" s="213"/>
      <c r="DW27" s="213"/>
      <c r="DX27" s="218"/>
      <c r="DY27" s="218"/>
      <c r="DZ27" s="218"/>
      <c r="EA27" s="218"/>
      <c r="EB27" s="218"/>
      <c r="EC27" s="218"/>
      <c r="ED27" s="218"/>
      <c r="EE27" s="218"/>
      <c r="EF27" s="218"/>
      <c r="EG27" s="218"/>
      <c r="EH27" s="249">
        <f t="shared" si="0"/>
        <v>28</v>
      </c>
      <c r="EI27" s="150">
        <f t="shared" si="3"/>
        <v>704</v>
      </c>
      <c r="EJ27" s="150">
        <f t="shared" si="4"/>
        <v>542</v>
      </c>
      <c r="EK27" s="284">
        <f t="shared" si="1"/>
        <v>0</v>
      </c>
      <c r="EL27" s="151">
        <f t="shared" si="5"/>
        <v>25</v>
      </c>
      <c r="EM27" s="150">
        <f t="shared" si="6"/>
        <v>295</v>
      </c>
      <c r="EN27" s="150">
        <f t="shared" si="7"/>
        <v>73</v>
      </c>
      <c r="EO27" s="150">
        <f t="shared" si="8"/>
        <v>103</v>
      </c>
      <c r="EP27" s="150">
        <f t="shared" si="9"/>
        <v>96</v>
      </c>
      <c r="EQ27" s="150">
        <f t="shared" si="10"/>
        <v>53</v>
      </c>
      <c r="ER27" s="150">
        <f t="shared" si="11"/>
        <v>37</v>
      </c>
      <c r="ES27" s="152">
        <f t="shared" si="12"/>
        <v>22</v>
      </c>
      <c r="ET27" s="152">
        <f t="shared" si="2"/>
        <v>0</v>
      </c>
      <c r="EU27" s="57">
        <f t="shared" si="13"/>
        <v>34</v>
      </c>
      <c r="EV27" s="12">
        <f t="shared" si="14"/>
        <v>26</v>
      </c>
      <c r="EX27" s="12">
        <f t="shared" si="15"/>
        <v>676</v>
      </c>
      <c r="EY27" s="131">
        <f t="shared" si="16"/>
        <v>630</v>
      </c>
    </row>
    <row r="28" spans="1:156" ht="33.75" customHeight="1" thickBot="1" x14ac:dyDescent="0.3">
      <c r="A28" s="145" t="s">
        <v>11</v>
      </c>
      <c r="B28" s="145" t="s">
        <v>16</v>
      </c>
      <c r="C28" s="33">
        <v>23</v>
      </c>
      <c r="D28" s="33">
        <v>57</v>
      </c>
      <c r="E28" s="33">
        <v>41</v>
      </c>
      <c r="F28" s="33">
        <v>30</v>
      </c>
      <c r="G28" s="33">
        <v>11</v>
      </c>
      <c r="H28" s="33">
        <v>25</v>
      </c>
      <c r="I28" s="33">
        <v>19</v>
      </c>
      <c r="J28" s="33">
        <v>18</v>
      </c>
      <c r="K28" s="33">
        <v>6</v>
      </c>
      <c r="L28" s="33">
        <v>50</v>
      </c>
      <c r="M28" s="33">
        <v>306</v>
      </c>
      <c r="N28" s="33">
        <v>24</v>
      </c>
      <c r="O28" s="33">
        <v>40</v>
      </c>
      <c r="P28" s="33">
        <v>17</v>
      </c>
      <c r="Q28" s="33">
        <v>1</v>
      </c>
      <c r="R28" s="33">
        <v>28</v>
      </c>
      <c r="S28" s="33">
        <v>13</v>
      </c>
      <c r="T28" s="33">
        <v>4</v>
      </c>
      <c r="U28" s="33">
        <v>23</v>
      </c>
      <c r="V28" s="33">
        <v>49</v>
      </c>
      <c r="W28" s="33">
        <v>8</v>
      </c>
      <c r="X28" s="33">
        <v>16</v>
      </c>
      <c r="Y28" s="33">
        <v>10</v>
      </c>
      <c r="Z28" s="33">
        <v>12</v>
      </c>
      <c r="AA28" s="33">
        <v>59</v>
      </c>
      <c r="AB28" s="33">
        <v>44</v>
      </c>
      <c r="AC28" s="33">
        <v>23</v>
      </c>
      <c r="AD28" s="33">
        <v>84</v>
      </c>
      <c r="AE28" s="33">
        <v>17</v>
      </c>
      <c r="AF28" s="33">
        <v>18</v>
      </c>
      <c r="AG28" s="33">
        <v>37</v>
      </c>
      <c r="AH28" s="33">
        <v>14</v>
      </c>
      <c r="AI28" s="33">
        <v>90</v>
      </c>
      <c r="AJ28" s="34">
        <v>74</v>
      </c>
      <c r="AK28" s="34">
        <v>74</v>
      </c>
      <c r="AL28" s="34">
        <v>25</v>
      </c>
      <c r="AM28" s="34">
        <v>23</v>
      </c>
      <c r="AN28" s="60">
        <v>13</v>
      </c>
      <c r="AO28" s="60">
        <v>32</v>
      </c>
      <c r="AP28" s="60">
        <v>41</v>
      </c>
      <c r="AQ28" s="60">
        <v>11</v>
      </c>
      <c r="AR28" s="60">
        <v>14</v>
      </c>
      <c r="AS28" s="60">
        <v>12</v>
      </c>
      <c r="AT28" s="34">
        <v>20</v>
      </c>
      <c r="AU28" s="34">
        <v>11</v>
      </c>
      <c r="AV28" s="34">
        <v>17</v>
      </c>
      <c r="AW28" s="33">
        <v>9</v>
      </c>
      <c r="AX28" s="137">
        <v>14</v>
      </c>
      <c r="AY28" s="137">
        <v>14</v>
      </c>
      <c r="AZ28" s="137">
        <v>8</v>
      </c>
      <c r="BA28" s="137">
        <v>6</v>
      </c>
      <c r="BB28" s="137">
        <v>9</v>
      </c>
      <c r="BC28" s="137">
        <v>8</v>
      </c>
      <c r="BD28" s="137">
        <v>7</v>
      </c>
      <c r="BE28" s="137">
        <v>8</v>
      </c>
      <c r="BF28" s="137">
        <v>9</v>
      </c>
      <c r="BG28" s="137">
        <v>11</v>
      </c>
      <c r="BH28" s="137">
        <v>11</v>
      </c>
      <c r="BI28" s="137">
        <v>6</v>
      </c>
      <c r="BJ28" s="137">
        <v>11</v>
      </c>
      <c r="BK28" s="137">
        <v>8</v>
      </c>
      <c r="BL28" s="137">
        <v>10</v>
      </c>
      <c r="BM28" s="137">
        <v>12</v>
      </c>
      <c r="BN28" s="137">
        <v>4</v>
      </c>
      <c r="BO28" s="137">
        <v>15</v>
      </c>
      <c r="BP28" s="137">
        <v>10</v>
      </c>
      <c r="BQ28" s="137">
        <v>11</v>
      </c>
      <c r="BR28" s="138">
        <v>5</v>
      </c>
      <c r="BS28" s="138">
        <v>3</v>
      </c>
      <c r="BT28" s="138">
        <v>8</v>
      </c>
      <c r="BU28" s="138">
        <v>12</v>
      </c>
      <c r="BV28" s="138">
        <v>10</v>
      </c>
      <c r="BW28" s="137">
        <v>3</v>
      </c>
      <c r="BX28" s="137">
        <v>4</v>
      </c>
      <c r="BY28" s="137">
        <v>7</v>
      </c>
      <c r="BZ28" s="137">
        <v>9</v>
      </c>
      <c r="CA28" s="137">
        <v>4</v>
      </c>
      <c r="CB28" s="137">
        <v>5</v>
      </c>
      <c r="CC28" s="137">
        <v>11</v>
      </c>
      <c r="CD28" s="137">
        <v>7</v>
      </c>
      <c r="CE28" s="138">
        <v>5</v>
      </c>
      <c r="CF28" s="34">
        <v>7</v>
      </c>
      <c r="CG28" s="34">
        <v>10</v>
      </c>
      <c r="CH28" s="55">
        <v>8</v>
      </c>
      <c r="CI28" s="55">
        <v>11</v>
      </c>
      <c r="CJ28" s="34">
        <v>6</v>
      </c>
      <c r="CK28" s="34">
        <v>8</v>
      </c>
      <c r="CL28" s="34">
        <v>5</v>
      </c>
      <c r="CM28" s="34">
        <v>8</v>
      </c>
      <c r="CN28" s="34">
        <v>11</v>
      </c>
      <c r="CO28" s="34">
        <v>9</v>
      </c>
      <c r="CP28" s="34">
        <v>11</v>
      </c>
      <c r="CQ28" s="34">
        <v>10</v>
      </c>
      <c r="CR28" s="34">
        <v>4</v>
      </c>
      <c r="CS28" s="34">
        <v>25</v>
      </c>
      <c r="CT28" s="34">
        <v>8</v>
      </c>
      <c r="CU28" s="34">
        <v>2</v>
      </c>
      <c r="CV28" s="34">
        <v>2</v>
      </c>
      <c r="CW28" s="42">
        <v>11</v>
      </c>
      <c r="CX28" s="34">
        <v>9</v>
      </c>
      <c r="CY28" s="137">
        <v>3</v>
      </c>
      <c r="CZ28" s="34">
        <v>12</v>
      </c>
      <c r="DA28" s="34">
        <v>4</v>
      </c>
      <c r="DB28" s="34">
        <v>9</v>
      </c>
      <c r="DC28" s="34">
        <v>5</v>
      </c>
      <c r="DD28" s="34">
        <v>2</v>
      </c>
      <c r="DE28" s="34">
        <v>11</v>
      </c>
      <c r="DF28" s="34">
        <v>5</v>
      </c>
      <c r="DG28" s="34">
        <v>3</v>
      </c>
      <c r="DH28" s="42">
        <v>16</v>
      </c>
      <c r="DI28" s="34">
        <v>10</v>
      </c>
      <c r="DJ28" s="34">
        <v>0</v>
      </c>
      <c r="DK28" s="34">
        <v>2</v>
      </c>
      <c r="DL28" s="118">
        <v>18</v>
      </c>
      <c r="DM28" s="213"/>
      <c r="DN28" s="213"/>
      <c r="DO28" s="213"/>
      <c r="DP28" s="213"/>
      <c r="DQ28" s="213"/>
      <c r="DR28" s="213"/>
      <c r="DS28" s="213"/>
      <c r="DT28" s="218"/>
      <c r="DU28" s="213"/>
      <c r="DV28" s="213"/>
      <c r="DW28" s="213"/>
      <c r="DX28" s="218"/>
      <c r="DY28" s="218"/>
      <c r="DZ28" s="218"/>
      <c r="EA28" s="218"/>
      <c r="EB28" s="218"/>
      <c r="EC28" s="218"/>
      <c r="ED28" s="218"/>
      <c r="EE28" s="218"/>
      <c r="EF28" s="218"/>
      <c r="EG28" s="218"/>
      <c r="EH28" s="249">
        <f t="shared" si="0"/>
        <v>182</v>
      </c>
      <c r="EI28" s="150">
        <f t="shared" si="3"/>
        <v>2143</v>
      </c>
      <c r="EJ28" s="150">
        <f t="shared" si="4"/>
        <v>1937</v>
      </c>
      <c r="EK28" s="284">
        <f t="shared" si="1"/>
        <v>18</v>
      </c>
      <c r="EL28" s="151">
        <f t="shared" si="5"/>
        <v>23</v>
      </c>
      <c r="EM28" s="150">
        <f t="shared" si="6"/>
        <v>627</v>
      </c>
      <c r="EN28" s="150">
        <f t="shared" si="7"/>
        <v>240</v>
      </c>
      <c r="EO28" s="150">
        <f t="shared" si="8"/>
        <v>523</v>
      </c>
      <c r="EP28" s="150">
        <f t="shared" si="9"/>
        <v>208</v>
      </c>
      <c r="EQ28" s="150">
        <f t="shared" si="10"/>
        <v>205</v>
      </c>
      <c r="ER28" s="150">
        <f t="shared" si="11"/>
        <v>195</v>
      </c>
      <c r="ES28" s="152">
        <f t="shared" si="12"/>
        <v>122</v>
      </c>
      <c r="ET28" s="152">
        <f t="shared" si="2"/>
        <v>0</v>
      </c>
      <c r="EU28" s="57">
        <f t="shared" si="13"/>
        <v>164</v>
      </c>
      <c r="EV28" s="12">
        <f t="shared" si="14"/>
        <v>155</v>
      </c>
      <c r="EX28" s="12">
        <f t="shared" si="15"/>
        <v>1961</v>
      </c>
      <c r="EY28" s="131">
        <f t="shared" si="16"/>
        <v>2004</v>
      </c>
    </row>
    <row r="29" spans="1:156" ht="19.5" customHeight="1" thickBot="1" x14ac:dyDescent="0.3">
      <c r="A29" s="8" t="s">
        <v>11</v>
      </c>
      <c r="B29" s="8" t="s">
        <v>17</v>
      </c>
      <c r="C29" s="33">
        <v>73</v>
      </c>
      <c r="D29" s="33">
        <v>0</v>
      </c>
      <c r="E29" s="33">
        <v>37</v>
      </c>
      <c r="F29" s="33">
        <v>33</v>
      </c>
      <c r="G29" s="33">
        <v>30</v>
      </c>
      <c r="H29" s="33">
        <v>31</v>
      </c>
      <c r="I29" s="33">
        <v>27</v>
      </c>
      <c r="J29" s="33">
        <v>14</v>
      </c>
      <c r="K29" s="33">
        <v>50</v>
      </c>
      <c r="L29" s="33">
        <v>78</v>
      </c>
      <c r="M29" s="33">
        <v>31</v>
      </c>
      <c r="N29" s="33">
        <v>49</v>
      </c>
      <c r="O29" s="33">
        <v>30</v>
      </c>
      <c r="P29" s="33">
        <v>31</v>
      </c>
      <c r="Q29" s="33">
        <v>12</v>
      </c>
      <c r="R29" s="33">
        <v>7</v>
      </c>
      <c r="S29" s="33">
        <v>2</v>
      </c>
      <c r="T29" s="33">
        <v>0</v>
      </c>
      <c r="U29" s="33">
        <v>11</v>
      </c>
      <c r="V29" s="33">
        <v>0</v>
      </c>
      <c r="W29" s="33">
        <v>18</v>
      </c>
      <c r="X29" s="33">
        <v>3</v>
      </c>
      <c r="Y29" s="33">
        <v>7</v>
      </c>
      <c r="Z29" s="33">
        <v>2</v>
      </c>
      <c r="AA29" s="33">
        <v>8</v>
      </c>
      <c r="AB29" s="33">
        <v>6</v>
      </c>
      <c r="AC29" s="33">
        <v>0</v>
      </c>
      <c r="AD29" s="33">
        <v>4</v>
      </c>
      <c r="AE29" s="33">
        <v>1</v>
      </c>
      <c r="AF29" s="33">
        <v>4</v>
      </c>
      <c r="AG29" s="33">
        <v>5</v>
      </c>
      <c r="AH29" s="33">
        <v>14</v>
      </c>
      <c r="AI29" s="33">
        <v>7</v>
      </c>
      <c r="AJ29" s="34">
        <v>8</v>
      </c>
      <c r="AK29" s="34">
        <v>3</v>
      </c>
      <c r="AL29" s="34">
        <v>1</v>
      </c>
      <c r="AM29" s="34">
        <v>2</v>
      </c>
      <c r="AN29" s="60">
        <v>8</v>
      </c>
      <c r="AO29" s="60">
        <v>7</v>
      </c>
      <c r="AP29" s="60">
        <v>5</v>
      </c>
      <c r="AQ29" s="60">
        <v>3</v>
      </c>
      <c r="AR29" s="60">
        <v>2</v>
      </c>
      <c r="AS29" s="60">
        <v>2</v>
      </c>
      <c r="AT29" s="34">
        <v>2</v>
      </c>
      <c r="AU29" s="34">
        <v>0</v>
      </c>
      <c r="AV29" s="34">
        <v>4</v>
      </c>
      <c r="AW29" s="33">
        <v>1</v>
      </c>
      <c r="AX29" s="137">
        <v>1</v>
      </c>
      <c r="AY29" s="137">
        <v>0</v>
      </c>
      <c r="AZ29" s="137">
        <v>2</v>
      </c>
      <c r="BA29" s="137">
        <v>2</v>
      </c>
      <c r="BB29" s="137">
        <v>2</v>
      </c>
      <c r="BC29" s="137">
        <v>2</v>
      </c>
      <c r="BD29" s="137">
        <v>1</v>
      </c>
      <c r="BE29" s="137">
        <v>0</v>
      </c>
      <c r="BF29" s="137">
        <v>0</v>
      </c>
      <c r="BG29" s="137">
        <v>1</v>
      </c>
      <c r="BH29" s="137">
        <v>1</v>
      </c>
      <c r="BI29" s="137">
        <v>2</v>
      </c>
      <c r="BJ29" s="137">
        <v>0</v>
      </c>
      <c r="BK29" s="137">
        <v>0</v>
      </c>
      <c r="BL29" s="137">
        <v>1</v>
      </c>
      <c r="BM29" s="137">
        <v>2</v>
      </c>
      <c r="BN29" s="137">
        <v>3</v>
      </c>
      <c r="BO29" s="137">
        <v>2</v>
      </c>
      <c r="BP29" s="137">
        <v>3</v>
      </c>
      <c r="BQ29" s="137">
        <v>5</v>
      </c>
      <c r="BR29" s="138">
        <v>2</v>
      </c>
      <c r="BS29" s="138">
        <v>1</v>
      </c>
      <c r="BT29" s="138">
        <v>0</v>
      </c>
      <c r="BU29" s="138">
        <v>4</v>
      </c>
      <c r="BV29" s="138">
        <v>0</v>
      </c>
      <c r="BW29" s="137">
        <v>0</v>
      </c>
      <c r="BX29" s="137">
        <v>1</v>
      </c>
      <c r="BY29" s="137">
        <v>0</v>
      </c>
      <c r="BZ29" s="137">
        <v>0</v>
      </c>
      <c r="CA29" s="137">
        <v>1</v>
      </c>
      <c r="CB29" s="137">
        <v>0</v>
      </c>
      <c r="CC29" s="137">
        <v>0</v>
      </c>
      <c r="CD29" s="137">
        <v>2</v>
      </c>
      <c r="CE29" s="138">
        <v>2</v>
      </c>
      <c r="CF29" s="34">
        <v>0</v>
      </c>
      <c r="CG29" s="34">
        <v>0</v>
      </c>
      <c r="CH29" s="55">
        <v>4</v>
      </c>
      <c r="CI29" s="55">
        <v>0</v>
      </c>
      <c r="CJ29" s="34">
        <v>3</v>
      </c>
      <c r="CK29" s="34">
        <v>2</v>
      </c>
      <c r="CL29" s="34">
        <v>0</v>
      </c>
      <c r="CM29" s="34">
        <v>0</v>
      </c>
      <c r="CN29" s="34">
        <v>1</v>
      </c>
      <c r="CO29" s="34">
        <v>3</v>
      </c>
      <c r="CP29" s="34">
        <v>1</v>
      </c>
      <c r="CQ29" s="34">
        <v>0</v>
      </c>
      <c r="CR29" s="34">
        <v>0</v>
      </c>
      <c r="CS29" s="34">
        <v>0</v>
      </c>
      <c r="CT29" s="34">
        <v>3</v>
      </c>
      <c r="CU29" s="34">
        <v>0</v>
      </c>
      <c r="CV29" s="34">
        <v>0</v>
      </c>
      <c r="CW29" s="42">
        <v>1</v>
      </c>
      <c r="CX29" s="34">
        <v>1</v>
      </c>
      <c r="CY29" s="137">
        <v>0</v>
      </c>
      <c r="CZ29" s="34">
        <v>0</v>
      </c>
      <c r="DA29" s="34">
        <v>0</v>
      </c>
      <c r="DB29" s="34">
        <v>0</v>
      </c>
      <c r="DC29" s="34">
        <v>0</v>
      </c>
      <c r="DD29" s="34">
        <v>0</v>
      </c>
      <c r="DE29" s="34">
        <v>1</v>
      </c>
      <c r="DF29" s="34">
        <v>0</v>
      </c>
      <c r="DG29" s="34">
        <v>2</v>
      </c>
      <c r="DH29" s="42">
        <v>2</v>
      </c>
      <c r="DI29" s="34">
        <v>0</v>
      </c>
      <c r="DJ29" s="34">
        <v>0</v>
      </c>
      <c r="DK29" s="34">
        <v>0</v>
      </c>
      <c r="DL29" s="118">
        <v>0</v>
      </c>
      <c r="DM29" s="213"/>
      <c r="DN29" s="213"/>
      <c r="DO29" s="213"/>
      <c r="DP29" s="213"/>
      <c r="DQ29" s="213"/>
      <c r="DR29" s="213"/>
      <c r="DS29" s="213"/>
      <c r="DT29" s="218"/>
      <c r="DU29" s="213"/>
      <c r="DV29" s="213"/>
      <c r="DW29" s="213"/>
      <c r="DX29" s="218"/>
      <c r="DY29" s="218"/>
      <c r="DZ29" s="218"/>
      <c r="EA29" s="218"/>
      <c r="EB29" s="218"/>
      <c r="EC29" s="218"/>
      <c r="ED29" s="218"/>
      <c r="EE29" s="218"/>
      <c r="EF29" s="218"/>
      <c r="EG29" s="218"/>
      <c r="EH29" s="249">
        <f t="shared" si="0"/>
        <v>11</v>
      </c>
      <c r="EI29" s="150">
        <f t="shared" si="3"/>
        <v>740</v>
      </c>
      <c r="EJ29" s="150">
        <f t="shared" si="4"/>
        <v>509</v>
      </c>
      <c r="EK29" s="284">
        <f t="shared" si="1"/>
        <v>0</v>
      </c>
      <c r="EL29" s="151">
        <f t="shared" si="5"/>
        <v>73</v>
      </c>
      <c r="EM29" s="150">
        <f t="shared" si="6"/>
        <v>410</v>
      </c>
      <c r="EN29" s="150">
        <f t="shared" si="7"/>
        <v>101</v>
      </c>
      <c r="EO29" s="150">
        <f t="shared" si="8"/>
        <v>55</v>
      </c>
      <c r="EP29" s="150">
        <f t="shared" si="9"/>
        <v>35</v>
      </c>
      <c r="EQ29" s="150">
        <f t="shared" si="10"/>
        <v>36</v>
      </c>
      <c r="ER29" s="150">
        <f t="shared" si="11"/>
        <v>23</v>
      </c>
      <c r="ES29" s="152">
        <f t="shared" si="12"/>
        <v>7</v>
      </c>
      <c r="ET29" s="152">
        <f t="shared" si="2"/>
        <v>0</v>
      </c>
      <c r="EU29" s="57">
        <f t="shared" si="13"/>
        <v>30</v>
      </c>
      <c r="EV29" s="12">
        <f t="shared" si="14"/>
        <v>21</v>
      </c>
      <c r="EX29" s="12">
        <f t="shared" si="15"/>
        <v>729</v>
      </c>
      <c r="EY29" s="131">
        <f t="shared" si="16"/>
        <v>630</v>
      </c>
    </row>
    <row r="30" spans="1:156" ht="27.75" customHeight="1" thickBot="1" x14ac:dyDescent="0.3">
      <c r="A30" s="8" t="s">
        <v>11</v>
      </c>
      <c r="B30" s="8" t="s">
        <v>18</v>
      </c>
      <c r="C30" s="33">
        <v>37</v>
      </c>
      <c r="D30" s="33">
        <v>20</v>
      </c>
      <c r="E30" s="33">
        <v>20</v>
      </c>
      <c r="F30" s="33">
        <v>14</v>
      </c>
      <c r="G30" s="33">
        <v>5</v>
      </c>
      <c r="H30" s="33">
        <v>12</v>
      </c>
      <c r="I30" s="33">
        <v>20</v>
      </c>
      <c r="J30" s="33">
        <v>19</v>
      </c>
      <c r="K30" s="33">
        <v>14</v>
      </c>
      <c r="L30" s="33">
        <v>12</v>
      </c>
      <c r="M30" s="33">
        <v>66</v>
      </c>
      <c r="N30" s="33">
        <v>25</v>
      </c>
      <c r="O30" s="33">
        <v>20</v>
      </c>
      <c r="P30" s="33">
        <v>22</v>
      </c>
      <c r="Q30" s="33">
        <v>14</v>
      </c>
      <c r="R30" s="33">
        <v>12</v>
      </c>
      <c r="S30" s="33">
        <v>0</v>
      </c>
      <c r="T30" s="33">
        <v>7</v>
      </c>
      <c r="U30" s="33">
        <v>14</v>
      </c>
      <c r="V30" s="33">
        <v>39</v>
      </c>
      <c r="W30" s="33">
        <v>9</v>
      </c>
      <c r="X30" s="33">
        <v>12</v>
      </c>
      <c r="Y30" s="33">
        <v>12</v>
      </c>
      <c r="Z30" s="33">
        <v>5</v>
      </c>
      <c r="AA30" s="33">
        <v>18</v>
      </c>
      <c r="AB30" s="33">
        <v>6</v>
      </c>
      <c r="AC30" s="33">
        <v>32</v>
      </c>
      <c r="AD30" s="33">
        <v>10</v>
      </c>
      <c r="AE30" s="33">
        <v>7</v>
      </c>
      <c r="AF30" s="33">
        <v>18</v>
      </c>
      <c r="AG30" s="33">
        <v>11</v>
      </c>
      <c r="AH30" s="33">
        <v>5</v>
      </c>
      <c r="AI30" s="33">
        <v>31</v>
      </c>
      <c r="AJ30" s="34">
        <v>6</v>
      </c>
      <c r="AK30" s="34">
        <v>17</v>
      </c>
      <c r="AL30" s="34">
        <v>9</v>
      </c>
      <c r="AM30" s="34">
        <v>4</v>
      </c>
      <c r="AN30" s="60">
        <v>0</v>
      </c>
      <c r="AO30" s="60">
        <v>20</v>
      </c>
      <c r="AP30" s="60">
        <v>3</v>
      </c>
      <c r="AQ30" s="60">
        <v>4</v>
      </c>
      <c r="AR30" s="60">
        <v>3</v>
      </c>
      <c r="AS30" s="60">
        <v>8</v>
      </c>
      <c r="AT30" s="34">
        <v>1</v>
      </c>
      <c r="AU30" s="34">
        <v>8</v>
      </c>
      <c r="AV30" s="34">
        <v>2</v>
      </c>
      <c r="AW30" s="33">
        <v>3</v>
      </c>
      <c r="AX30" s="137">
        <v>2</v>
      </c>
      <c r="AY30" s="137">
        <v>6</v>
      </c>
      <c r="AZ30" s="137">
        <v>1</v>
      </c>
      <c r="BA30" s="137">
        <v>4</v>
      </c>
      <c r="BB30" s="137">
        <v>2</v>
      </c>
      <c r="BC30" s="137">
        <v>6</v>
      </c>
      <c r="BD30" s="137">
        <v>3</v>
      </c>
      <c r="BE30" s="137">
        <v>1</v>
      </c>
      <c r="BF30" s="137">
        <v>0</v>
      </c>
      <c r="BG30" s="137">
        <v>2</v>
      </c>
      <c r="BH30" s="137">
        <v>1</v>
      </c>
      <c r="BI30" s="137">
        <v>5</v>
      </c>
      <c r="BJ30" s="137">
        <v>6</v>
      </c>
      <c r="BK30" s="137">
        <v>1</v>
      </c>
      <c r="BL30" s="137">
        <v>1</v>
      </c>
      <c r="BM30" s="137">
        <v>0</v>
      </c>
      <c r="BN30" s="137">
        <v>0</v>
      </c>
      <c r="BO30" s="137">
        <v>0</v>
      </c>
      <c r="BP30" s="137">
        <v>1</v>
      </c>
      <c r="BQ30" s="137">
        <v>1</v>
      </c>
      <c r="BR30" s="138">
        <v>0</v>
      </c>
      <c r="BS30" s="138">
        <v>1</v>
      </c>
      <c r="BT30" s="138">
        <v>0</v>
      </c>
      <c r="BU30" s="138">
        <v>0</v>
      </c>
      <c r="BV30" s="138">
        <v>0</v>
      </c>
      <c r="BW30" s="137">
        <v>0</v>
      </c>
      <c r="BX30" s="137">
        <v>0</v>
      </c>
      <c r="BY30" s="137">
        <v>0</v>
      </c>
      <c r="BZ30" s="137">
        <v>0</v>
      </c>
      <c r="CA30" s="137">
        <v>0</v>
      </c>
      <c r="CB30" s="137">
        <v>0</v>
      </c>
      <c r="CC30" s="137">
        <v>0</v>
      </c>
      <c r="CD30" s="137">
        <v>0</v>
      </c>
      <c r="CE30" s="138">
        <v>2</v>
      </c>
      <c r="CF30" s="34">
        <v>0</v>
      </c>
      <c r="CG30" s="34">
        <v>1</v>
      </c>
      <c r="CH30" s="55">
        <v>0</v>
      </c>
      <c r="CI30" s="55">
        <v>0</v>
      </c>
      <c r="CJ30" s="34">
        <v>0</v>
      </c>
      <c r="CK30" s="34">
        <v>0</v>
      </c>
      <c r="CL30" s="34">
        <v>0</v>
      </c>
      <c r="CM30" s="34">
        <v>0</v>
      </c>
      <c r="CN30" s="34">
        <v>0</v>
      </c>
      <c r="CO30" s="34">
        <v>0</v>
      </c>
      <c r="CP30" s="34">
        <v>0</v>
      </c>
      <c r="CQ30" s="34">
        <v>0</v>
      </c>
      <c r="CR30" s="34">
        <v>0</v>
      </c>
      <c r="CS30" s="34">
        <v>0</v>
      </c>
      <c r="CT30" s="34">
        <v>1</v>
      </c>
      <c r="CU30" s="34">
        <v>0</v>
      </c>
      <c r="CV30" s="34">
        <v>2</v>
      </c>
      <c r="CW30" s="42">
        <v>1</v>
      </c>
      <c r="CX30" s="34">
        <v>0</v>
      </c>
      <c r="CY30" s="137">
        <v>0</v>
      </c>
      <c r="CZ30" s="34">
        <v>1</v>
      </c>
      <c r="DA30" s="34">
        <v>1</v>
      </c>
      <c r="DB30" s="34">
        <v>0</v>
      </c>
      <c r="DC30" s="34">
        <v>0</v>
      </c>
      <c r="DD30" s="34">
        <v>1</v>
      </c>
      <c r="DE30" s="34">
        <v>1</v>
      </c>
      <c r="DF30" s="34">
        <v>0</v>
      </c>
      <c r="DG30" s="34">
        <v>0</v>
      </c>
      <c r="DH30" s="42">
        <v>0</v>
      </c>
      <c r="DI30" s="34">
        <v>0</v>
      </c>
      <c r="DJ30" s="34">
        <v>0</v>
      </c>
      <c r="DK30" s="34">
        <v>0</v>
      </c>
      <c r="DL30" s="118">
        <v>0</v>
      </c>
      <c r="DM30" s="213"/>
      <c r="DN30" s="213"/>
      <c r="DO30" s="213"/>
      <c r="DP30" s="213"/>
      <c r="DQ30" s="213"/>
      <c r="DR30" s="213"/>
      <c r="DS30" s="213"/>
      <c r="DT30" s="218"/>
      <c r="DU30" s="213"/>
      <c r="DV30" s="213"/>
      <c r="DW30" s="213"/>
      <c r="DX30" s="218"/>
      <c r="DY30" s="218"/>
      <c r="DZ30" s="218"/>
      <c r="EA30" s="218"/>
      <c r="EB30" s="218"/>
      <c r="EC30" s="218"/>
      <c r="ED30" s="218"/>
      <c r="EE30" s="218"/>
      <c r="EF30" s="218"/>
      <c r="EG30" s="218"/>
      <c r="EH30" s="249">
        <f t="shared" si="0"/>
        <v>8</v>
      </c>
      <c r="EI30" s="150">
        <f t="shared" si="3"/>
        <v>711</v>
      </c>
      <c r="EJ30" s="150">
        <f t="shared" si="4"/>
        <v>583</v>
      </c>
      <c r="EK30" s="284">
        <f t="shared" si="1"/>
        <v>0</v>
      </c>
      <c r="EL30" s="151">
        <f t="shared" si="5"/>
        <v>37</v>
      </c>
      <c r="EM30" s="150">
        <f t="shared" si="6"/>
        <v>247</v>
      </c>
      <c r="EN30" s="150">
        <f t="shared" si="7"/>
        <v>164</v>
      </c>
      <c r="EO30" s="150">
        <f t="shared" si="8"/>
        <v>156</v>
      </c>
      <c r="EP30" s="150">
        <f t="shared" si="9"/>
        <v>60</v>
      </c>
      <c r="EQ30" s="150">
        <f t="shared" si="10"/>
        <v>36</v>
      </c>
      <c r="ER30" s="150">
        <f t="shared" si="11"/>
        <v>4</v>
      </c>
      <c r="ES30" s="152">
        <f t="shared" si="12"/>
        <v>7</v>
      </c>
      <c r="ET30" s="152">
        <f t="shared" si="2"/>
        <v>0</v>
      </c>
      <c r="EU30" s="57">
        <f t="shared" si="13"/>
        <v>6</v>
      </c>
      <c r="EV30" s="12">
        <f t="shared" si="14"/>
        <v>4</v>
      </c>
      <c r="EX30" s="12">
        <f t="shared" si="15"/>
        <v>703</v>
      </c>
      <c r="EY30" s="131">
        <f t="shared" si="16"/>
        <v>634</v>
      </c>
    </row>
    <row r="31" spans="1:156" ht="27.75" customHeight="1" thickBot="1" x14ac:dyDescent="0.3">
      <c r="A31" s="8" t="s">
        <v>11</v>
      </c>
      <c r="B31" s="8" t="s">
        <v>94</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1</v>
      </c>
      <c r="W31" s="33">
        <v>1</v>
      </c>
      <c r="X31" s="33">
        <v>0</v>
      </c>
      <c r="Y31" s="33">
        <v>0</v>
      </c>
      <c r="Z31" s="33">
        <v>0</v>
      </c>
      <c r="AA31" s="33">
        <v>2</v>
      </c>
      <c r="AB31" s="33">
        <v>2</v>
      </c>
      <c r="AC31" s="33">
        <v>0</v>
      </c>
      <c r="AD31" s="33">
        <v>0</v>
      </c>
      <c r="AE31" s="33">
        <v>0</v>
      </c>
      <c r="AF31" s="33">
        <v>0</v>
      </c>
      <c r="AG31" s="33">
        <v>5</v>
      </c>
      <c r="AH31" s="33">
        <v>0</v>
      </c>
      <c r="AI31" s="33">
        <v>1</v>
      </c>
      <c r="AJ31" s="34">
        <v>0</v>
      </c>
      <c r="AK31" s="34">
        <v>2</v>
      </c>
      <c r="AL31" s="34">
        <v>1</v>
      </c>
      <c r="AM31" s="34">
        <v>0</v>
      </c>
      <c r="AN31" s="60">
        <v>0</v>
      </c>
      <c r="AO31" s="60">
        <v>2</v>
      </c>
      <c r="AP31" s="60">
        <v>0</v>
      </c>
      <c r="AQ31" s="60">
        <v>0</v>
      </c>
      <c r="AR31" s="60">
        <v>5</v>
      </c>
      <c r="AS31" s="60">
        <v>0</v>
      </c>
      <c r="AT31" s="34">
        <v>1</v>
      </c>
      <c r="AU31" s="34">
        <v>0</v>
      </c>
      <c r="AV31" s="34">
        <v>3</v>
      </c>
      <c r="AW31" s="33">
        <v>6</v>
      </c>
      <c r="AX31" s="137">
        <v>5</v>
      </c>
      <c r="AY31" s="137">
        <v>2</v>
      </c>
      <c r="AZ31" s="137">
        <v>2</v>
      </c>
      <c r="BA31" s="137">
        <v>1</v>
      </c>
      <c r="BB31" s="137">
        <v>1</v>
      </c>
      <c r="BC31" s="137">
        <v>2</v>
      </c>
      <c r="BD31" s="137">
        <v>2</v>
      </c>
      <c r="BE31" s="137">
        <v>3</v>
      </c>
      <c r="BF31" s="137">
        <v>2</v>
      </c>
      <c r="BG31" s="137">
        <v>0</v>
      </c>
      <c r="BH31" s="137">
        <v>0</v>
      </c>
      <c r="BI31" s="137">
        <v>1</v>
      </c>
      <c r="BJ31" s="137">
        <v>0</v>
      </c>
      <c r="BK31" s="137">
        <v>1</v>
      </c>
      <c r="BL31" s="137">
        <v>0</v>
      </c>
      <c r="BM31" s="137">
        <v>1</v>
      </c>
      <c r="BN31" s="137">
        <v>1</v>
      </c>
      <c r="BO31" s="137">
        <v>3</v>
      </c>
      <c r="BP31" s="137">
        <v>0</v>
      </c>
      <c r="BQ31" s="137">
        <v>0</v>
      </c>
      <c r="BR31" s="138">
        <v>1</v>
      </c>
      <c r="BS31" s="138">
        <v>0</v>
      </c>
      <c r="BT31" s="138">
        <v>1</v>
      </c>
      <c r="BU31" s="138">
        <v>0</v>
      </c>
      <c r="BV31" s="138">
        <v>0</v>
      </c>
      <c r="BW31" s="137">
        <v>0</v>
      </c>
      <c r="BX31" s="137">
        <v>0</v>
      </c>
      <c r="BY31" s="137">
        <v>0</v>
      </c>
      <c r="BZ31" s="137">
        <v>1</v>
      </c>
      <c r="CA31" s="137">
        <v>0</v>
      </c>
      <c r="CB31" s="137">
        <v>0</v>
      </c>
      <c r="CC31" s="137">
        <v>0</v>
      </c>
      <c r="CD31" s="137">
        <v>0</v>
      </c>
      <c r="CE31" s="138">
        <v>0</v>
      </c>
      <c r="CF31" s="34">
        <v>0</v>
      </c>
      <c r="CG31" s="34">
        <v>0</v>
      </c>
      <c r="CH31" s="55">
        <v>0</v>
      </c>
      <c r="CI31" s="55">
        <v>0</v>
      </c>
      <c r="CJ31" s="34">
        <v>0</v>
      </c>
      <c r="CK31" s="34">
        <v>0</v>
      </c>
      <c r="CL31" s="34">
        <v>0</v>
      </c>
      <c r="CM31" s="34">
        <v>0</v>
      </c>
      <c r="CN31" s="34">
        <v>0</v>
      </c>
      <c r="CO31" s="34">
        <v>0</v>
      </c>
      <c r="CP31" s="34">
        <v>0</v>
      </c>
      <c r="CQ31" s="34">
        <v>0</v>
      </c>
      <c r="CR31" s="34">
        <v>0</v>
      </c>
      <c r="CS31" s="34">
        <v>0</v>
      </c>
      <c r="CT31" s="34">
        <v>0</v>
      </c>
      <c r="CU31" s="34">
        <v>1</v>
      </c>
      <c r="CV31" s="34">
        <v>0</v>
      </c>
      <c r="CW31" s="42">
        <v>0</v>
      </c>
      <c r="CX31" s="34">
        <v>0</v>
      </c>
      <c r="CY31" s="137">
        <v>0</v>
      </c>
      <c r="CZ31" s="34">
        <v>0</v>
      </c>
      <c r="DA31" s="34">
        <v>0</v>
      </c>
      <c r="DB31" s="34">
        <v>0</v>
      </c>
      <c r="DC31" s="34">
        <v>0</v>
      </c>
      <c r="DD31" s="34">
        <v>0</v>
      </c>
      <c r="DE31" s="34">
        <v>0</v>
      </c>
      <c r="DF31" s="34">
        <v>0</v>
      </c>
      <c r="DG31" s="34">
        <v>0</v>
      </c>
      <c r="DH31" s="42">
        <v>0</v>
      </c>
      <c r="DI31" s="34">
        <v>0</v>
      </c>
      <c r="DJ31" s="34">
        <v>0</v>
      </c>
      <c r="DK31" s="34">
        <v>0</v>
      </c>
      <c r="DL31" s="118">
        <v>0</v>
      </c>
      <c r="DM31" s="213"/>
      <c r="DN31" s="213"/>
      <c r="DO31" s="213"/>
      <c r="DP31" s="213"/>
      <c r="DQ31" s="213"/>
      <c r="DR31" s="213"/>
      <c r="DS31" s="213"/>
      <c r="DT31" s="218"/>
      <c r="DU31" s="213"/>
      <c r="DV31" s="213"/>
      <c r="DW31" s="213"/>
      <c r="DX31" s="218"/>
      <c r="DY31" s="218"/>
      <c r="DZ31" s="218"/>
      <c r="EA31" s="218"/>
      <c r="EB31" s="218"/>
      <c r="EC31" s="218"/>
      <c r="ED31" s="218"/>
      <c r="EE31" s="218"/>
      <c r="EF31" s="218"/>
      <c r="EG31" s="218"/>
      <c r="EH31" s="249">
        <f t="shared" si="0"/>
        <v>1</v>
      </c>
      <c r="EI31" s="150">
        <f t="shared" si="3"/>
        <v>63</v>
      </c>
      <c r="EJ31" s="150">
        <f t="shared" si="4"/>
        <v>63</v>
      </c>
      <c r="EK31" s="284">
        <f t="shared" si="1"/>
        <v>0</v>
      </c>
      <c r="EL31" s="151">
        <f t="shared" si="5"/>
        <v>0</v>
      </c>
      <c r="EM31" s="150">
        <f t="shared" si="6"/>
        <v>0</v>
      </c>
      <c r="EN31" s="150">
        <f t="shared" si="7"/>
        <v>4</v>
      </c>
      <c r="EO31" s="150">
        <f t="shared" si="8"/>
        <v>11</v>
      </c>
      <c r="EP31" s="150">
        <f t="shared" si="9"/>
        <v>24</v>
      </c>
      <c r="EQ31" s="150">
        <f t="shared" si="10"/>
        <v>22</v>
      </c>
      <c r="ER31" s="150">
        <f t="shared" si="11"/>
        <v>2</v>
      </c>
      <c r="ES31" s="152">
        <f t="shared" si="12"/>
        <v>0</v>
      </c>
      <c r="ET31" s="152">
        <f t="shared" si="2"/>
        <v>0</v>
      </c>
      <c r="EU31" s="57">
        <f t="shared" si="13"/>
        <v>3</v>
      </c>
      <c r="EV31" s="12">
        <f t="shared" si="14"/>
        <v>1</v>
      </c>
      <c r="EX31" s="12">
        <f t="shared" si="15"/>
        <v>62</v>
      </c>
      <c r="EY31" s="131">
        <f t="shared" si="16"/>
        <v>63</v>
      </c>
    </row>
    <row r="32" spans="1:156" ht="27.75" customHeight="1" thickBot="1" x14ac:dyDescent="0.3">
      <c r="A32" s="8" t="s">
        <v>11</v>
      </c>
      <c r="B32" s="8" t="s">
        <v>112</v>
      </c>
      <c r="C32" s="33">
        <v>0</v>
      </c>
      <c r="D32" s="33">
        <v>0</v>
      </c>
      <c r="E32" s="33">
        <v>0</v>
      </c>
      <c r="F32" s="33">
        <v>0</v>
      </c>
      <c r="G32" s="33">
        <v>0</v>
      </c>
      <c r="H32" s="33">
        <v>0</v>
      </c>
      <c r="I32" s="33">
        <v>0</v>
      </c>
      <c r="J32" s="33">
        <v>0</v>
      </c>
      <c r="K32" s="33">
        <v>0</v>
      </c>
      <c r="L32" s="33">
        <v>0</v>
      </c>
      <c r="M32" s="33">
        <v>0</v>
      </c>
      <c r="N32" s="33">
        <v>0</v>
      </c>
      <c r="O32" s="33">
        <v>0</v>
      </c>
      <c r="P32" s="33">
        <v>0</v>
      </c>
      <c r="Q32" s="33">
        <v>0</v>
      </c>
      <c r="R32" s="33">
        <v>0</v>
      </c>
      <c r="S32" s="33">
        <v>0</v>
      </c>
      <c r="T32" s="33">
        <v>0</v>
      </c>
      <c r="U32" s="33">
        <v>0</v>
      </c>
      <c r="V32" s="33">
        <v>0</v>
      </c>
      <c r="W32" s="33">
        <v>0</v>
      </c>
      <c r="X32" s="33">
        <v>0</v>
      </c>
      <c r="Y32" s="33">
        <v>0</v>
      </c>
      <c r="Z32" s="33">
        <v>0</v>
      </c>
      <c r="AA32" s="33">
        <v>0</v>
      </c>
      <c r="AB32" s="33">
        <v>0</v>
      </c>
      <c r="AC32" s="33">
        <v>0</v>
      </c>
      <c r="AD32" s="33">
        <v>0</v>
      </c>
      <c r="AE32" s="33">
        <v>0</v>
      </c>
      <c r="AF32" s="33">
        <v>0</v>
      </c>
      <c r="AG32" s="33">
        <v>0</v>
      </c>
      <c r="AH32" s="33">
        <v>0</v>
      </c>
      <c r="AI32" s="33">
        <v>0</v>
      </c>
      <c r="AJ32" s="34">
        <v>0</v>
      </c>
      <c r="AK32" s="34">
        <v>0</v>
      </c>
      <c r="AL32" s="34">
        <v>0</v>
      </c>
      <c r="AM32" s="34">
        <v>0</v>
      </c>
      <c r="AN32" s="60">
        <v>0</v>
      </c>
      <c r="AO32" s="60">
        <v>0</v>
      </c>
      <c r="AP32" s="60">
        <v>0</v>
      </c>
      <c r="AQ32" s="60">
        <v>0</v>
      </c>
      <c r="AR32" s="60">
        <v>0</v>
      </c>
      <c r="AS32" s="60">
        <v>1</v>
      </c>
      <c r="AT32" s="34">
        <v>0</v>
      </c>
      <c r="AU32" s="34">
        <v>0</v>
      </c>
      <c r="AV32" s="34">
        <v>0</v>
      </c>
      <c r="AW32" s="33">
        <v>4</v>
      </c>
      <c r="AX32" s="137">
        <v>8</v>
      </c>
      <c r="AY32" s="137">
        <v>0</v>
      </c>
      <c r="AZ32" s="137">
        <v>7</v>
      </c>
      <c r="BA32" s="137">
        <v>8</v>
      </c>
      <c r="BB32" s="137">
        <v>5</v>
      </c>
      <c r="BC32" s="137">
        <v>2</v>
      </c>
      <c r="BD32" s="137">
        <v>6</v>
      </c>
      <c r="BE32" s="137">
        <v>4</v>
      </c>
      <c r="BF32" s="137">
        <v>3</v>
      </c>
      <c r="BG32" s="137">
        <v>0</v>
      </c>
      <c r="BH32" s="137">
        <v>0</v>
      </c>
      <c r="BI32" s="137">
        <v>6</v>
      </c>
      <c r="BJ32" s="137">
        <v>3</v>
      </c>
      <c r="BK32" s="137">
        <v>1</v>
      </c>
      <c r="BL32" s="137">
        <v>3</v>
      </c>
      <c r="BM32" s="137">
        <v>9</v>
      </c>
      <c r="BN32" s="137">
        <v>9</v>
      </c>
      <c r="BO32" s="137">
        <v>2</v>
      </c>
      <c r="BP32" s="137">
        <v>19</v>
      </c>
      <c r="BQ32" s="137">
        <v>1</v>
      </c>
      <c r="BR32" s="138">
        <v>3</v>
      </c>
      <c r="BS32" s="138">
        <v>0</v>
      </c>
      <c r="BT32" s="138">
        <v>9</v>
      </c>
      <c r="BU32" s="138">
        <v>8</v>
      </c>
      <c r="BV32" s="138">
        <v>9</v>
      </c>
      <c r="BW32" s="137">
        <v>4</v>
      </c>
      <c r="BX32" s="137">
        <v>11</v>
      </c>
      <c r="BY32" s="137">
        <v>7</v>
      </c>
      <c r="BZ32" s="137">
        <v>10</v>
      </c>
      <c r="CA32" s="137">
        <v>5</v>
      </c>
      <c r="CB32" s="137">
        <v>9</v>
      </c>
      <c r="CC32" s="137">
        <v>5</v>
      </c>
      <c r="CD32" s="137">
        <v>8</v>
      </c>
      <c r="CE32" s="138">
        <v>14</v>
      </c>
      <c r="CF32" s="34">
        <v>11</v>
      </c>
      <c r="CG32" s="34">
        <v>16</v>
      </c>
      <c r="CH32" s="55">
        <v>9</v>
      </c>
      <c r="CI32" s="55">
        <v>6</v>
      </c>
      <c r="CJ32" s="34">
        <v>11</v>
      </c>
      <c r="CK32" s="34">
        <v>10</v>
      </c>
      <c r="CL32" s="34">
        <v>15</v>
      </c>
      <c r="CM32" s="34">
        <v>4</v>
      </c>
      <c r="CN32" s="34">
        <v>7</v>
      </c>
      <c r="CO32" s="34">
        <v>6</v>
      </c>
      <c r="CP32" s="34">
        <v>6</v>
      </c>
      <c r="CQ32" s="34">
        <v>5</v>
      </c>
      <c r="CR32" s="34">
        <v>9</v>
      </c>
      <c r="CS32" s="34">
        <v>12</v>
      </c>
      <c r="CT32" s="34">
        <v>5</v>
      </c>
      <c r="CU32" s="34">
        <v>7</v>
      </c>
      <c r="CV32" s="34">
        <v>8</v>
      </c>
      <c r="CW32" s="42">
        <v>16</v>
      </c>
      <c r="CX32" s="34">
        <v>8</v>
      </c>
      <c r="CY32" s="137">
        <v>9</v>
      </c>
      <c r="CZ32" s="34">
        <v>3</v>
      </c>
      <c r="DA32" s="34">
        <v>6</v>
      </c>
      <c r="DB32" s="34">
        <v>8</v>
      </c>
      <c r="DC32" s="34">
        <v>16</v>
      </c>
      <c r="DD32" s="34">
        <v>9</v>
      </c>
      <c r="DE32" s="34">
        <v>3</v>
      </c>
      <c r="DF32" s="34">
        <v>6</v>
      </c>
      <c r="DG32" s="34">
        <v>4</v>
      </c>
      <c r="DH32" s="42">
        <v>17</v>
      </c>
      <c r="DI32" s="34">
        <v>10</v>
      </c>
      <c r="DJ32" s="34">
        <v>0</v>
      </c>
      <c r="DK32" s="34">
        <v>0</v>
      </c>
      <c r="DL32" s="118">
        <v>0</v>
      </c>
      <c r="DM32" s="213"/>
      <c r="DN32" s="213"/>
      <c r="DO32" s="213"/>
      <c r="DP32" s="213"/>
      <c r="DQ32" s="213"/>
      <c r="DR32" s="213"/>
      <c r="DS32" s="213"/>
      <c r="DT32" s="218"/>
      <c r="DU32" s="213"/>
      <c r="DV32" s="213"/>
      <c r="DW32" s="213"/>
      <c r="DX32" s="218"/>
      <c r="DY32" s="218"/>
      <c r="DZ32" s="218"/>
      <c r="EA32" s="218"/>
      <c r="EB32" s="218"/>
      <c r="EC32" s="218"/>
      <c r="ED32" s="218"/>
      <c r="EE32" s="218"/>
      <c r="EF32" s="218"/>
      <c r="EG32" s="218"/>
      <c r="EH32" s="249">
        <f t="shared" si="0"/>
        <v>167</v>
      </c>
      <c r="EI32" s="150">
        <f t="shared" si="3"/>
        <v>465</v>
      </c>
      <c r="EJ32" s="150">
        <f t="shared" si="4"/>
        <v>465</v>
      </c>
      <c r="EK32" s="284">
        <f t="shared" si="1"/>
        <v>0</v>
      </c>
      <c r="EL32" s="151">
        <f t="shared" si="5"/>
        <v>0</v>
      </c>
      <c r="EM32" s="150">
        <f t="shared" si="6"/>
        <v>0</v>
      </c>
      <c r="EN32" s="150">
        <f t="shared" si="7"/>
        <v>0</v>
      </c>
      <c r="EO32" s="150">
        <f t="shared" si="8"/>
        <v>0</v>
      </c>
      <c r="EP32" s="150">
        <f t="shared" si="9"/>
        <v>13</v>
      </c>
      <c r="EQ32" s="150">
        <f t="shared" si="10"/>
        <v>121</v>
      </c>
      <c r="ER32" s="150">
        <f t="shared" si="11"/>
        <v>208</v>
      </c>
      <c r="ES32" s="152">
        <f t="shared" si="12"/>
        <v>123</v>
      </c>
      <c r="ET32" s="152">
        <f t="shared" si="2"/>
        <v>0</v>
      </c>
      <c r="EU32" s="57">
        <f t="shared" si="13"/>
        <v>185</v>
      </c>
      <c r="EV32" s="12">
        <f t="shared" si="14"/>
        <v>161</v>
      </c>
      <c r="EX32" s="12">
        <f t="shared" si="15"/>
        <v>298</v>
      </c>
      <c r="EY32" s="131">
        <f t="shared" si="16"/>
        <v>465</v>
      </c>
    </row>
    <row r="33" spans="1:155" ht="27.75" customHeight="1" thickBot="1" x14ac:dyDescent="0.3">
      <c r="A33" s="8" t="s">
        <v>11</v>
      </c>
      <c r="B33" s="8" t="s">
        <v>113</v>
      </c>
      <c r="C33" s="33">
        <v>13</v>
      </c>
      <c r="D33" s="33">
        <v>3</v>
      </c>
      <c r="E33" s="33">
        <v>16</v>
      </c>
      <c r="F33" s="33">
        <v>8</v>
      </c>
      <c r="G33" s="33">
        <v>5</v>
      </c>
      <c r="H33" s="33">
        <v>8</v>
      </c>
      <c r="I33" s="33">
        <v>5</v>
      </c>
      <c r="J33" s="33">
        <v>0</v>
      </c>
      <c r="K33" s="33">
        <v>6</v>
      </c>
      <c r="L33" s="33">
        <v>8</v>
      </c>
      <c r="M33" s="33">
        <v>2</v>
      </c>
      <c r="N33" s="33">
        <v>6</v>
      </c>
      <c r="O33" s="33">
        <v>6</v>
      </c>
      <c r="P33" s="33">
        <v>5</v>
      </c>
      <c r="Q33" s="33">
        <v>5</v>
      </c>
      <c r="R33" s="33">
        <v>4</v>
      </c>
      <c r="S33" s="33">
        <v>0</v>
      </c>
      <c r="T33" s="33">
        <v>0</v>
      </c>
      <c r="U33" s="33">
        <v>2</v>
      </c>
      <c r="V33" s="33">
        <v>0</v>
      </c>
      <c r="W33" s="33">
        <v>5</v>
      </c>
      <c r="X33" s="33">
        <v>1</v>
      </c>
      <c r="Y33" s="33">
        <v>1</v>
      </c>
      <c r="Z33" s="33">
        <v>0</v>
      </c>
      <c r="AA33" s="33">
        <v>1</v>
      </c>
      <c r="AB33" s="33">
        <v>1</v>
      </c>
      <c r="AC33" s="33">
        <v>0</v>
      </c>
      <c r="AD33" s="33">
        <v>5</v>
      </c>
      <c r="AE33" s="33">
        <v>3</v>
      </c>
      <c r="AF33" s="33">
        <v>4</v>
      </c>
      <c r="AG33" s="33">
        <v>2</v>
      </c>
      <c r="AH33" s="33">
        <v>10</v>
      </c>
      <c r="AI33" s="33">
        <v>3</v>
      </c>
      <c r="AJ33" s="34">
        <v>8</v>
      </c>
      <c r="AK33" s="34">
        <v>4</v>
      </c>
      <c r="AL33" s="34">
        <v>5</v>
      </c>
      <c r="AM33" s="34">
        <v>4</v>
      </c>
      <c r="AN33" s="60">
        <v>3</v>
      </c>
      <c r="AO33" s="60">
        <v>2</v>
      </c>
      <c r="AP33" s="60">
        <v>2</v>
      </c>
      <c r="AQ33" s="60">
        <v>1</v>
      </c>
      <c r="AR33" s="60">
        <v>0</v>
      </c>
      <c r="AS33" s="60">
        <v>2</v>
      </c>
      <c r="AT33" s="34">
        <v>3</v>
      </c>
      <c r="AU33" s="34">
        <v>0</v>
      </c>
      <c r="AV33" s="34">
        <v>3</v>
      </c>
      <c r="AW33" s="33">
        <v>2</v>
      </c>
      <c r="AX33" s="137">
        <v>0</v>
      </c>
      <c r="AY33" s="137">
        <v>1</v>
      </c>
      <c r="AZ33" s="137">
        <v>0</v>
      </c>
      <c r="BA33" s="137">
        <v>0</v>
      </c>
      <c r="BB33" s="137">
        <v>0</v>
      </c>
      <c r="BC33" s="137">
        <v>0</v>
      </c>
      <c r="BD33" s="137">
        <v>0</v>
      </c>
      <c r="BE33" s="137">
        <v>0</v>
      </c>
      <c r="BF33" s="137">
        <v>0</v>
      </c>
      <c r="BG33" s="137">
        <v>0</v>
      </c>
      <c r="BH33" s="137">
        <v>0</v>
      </c>
      <c r="BI33" s="137">
        <v>0</v>
      </c>
      <c r="BJ33" s="137">
        <v>0</v>
      </c>
      <c r="BK33" s="137">
        <v>0</v>
      </c>
      <c r="BL33" s="137">
        <v>1</v>
      </c>
      <c r="BM33" s="137">
        <v>0</v>
      </c>
      <c r="BN33" s="137">
        <v>0</v>
      </c>
      <c r="BO33" s="137">
        <v>0</v>
      </c>
      <c r="BP33" s="137">
        <v>0</v>
      </c>
      <c r="BQ33" s="137">
        <v>0</v>
      </c>
      <c r="BR33" s="138">
        <v>0</v>
      </c>
      <c r="BS33" s="138">
        <v>0</v>
      </c>
      <c r="BT33" s="138">
        <v>0</v>
      </c>
      <c r="BU33" s="138">
        <v>0</v>
      </c>
      <c r="BV33" s="138">
        <v>0</v>
      </c>
      <c r="BW33" s="137">
        <v>1</v>
      </c>
      <c r="BX33" s="137">
        <v>1</v>
      </c>
      <c r="BY33" s="137">
        <v>0</v>
      </c>
      <c r="BZ33" s="137">
        <v>1</v>
      </c>
      <c r="CA33" s="137">
        <v>1</v>
      </c>
      <c r="CB33" s="137">
        <v>1</v>
      </c>
      <c r="CC33" s="137">
        <v>2</v>
      </c>
      <c r="CD33" s="137">
        <v>1</v>
      </c>
      <c r="CE33" s="138">
        <v>0</v>
      </c>
      <c r="CF33" s="34"/>
      <c r="CG33" s="34">
        <v>1</v>
      </c>
      <c r="CH33" s="55">
        <v>1</v>
      </c>
      <c r="CI33" s="55">
        <v>1</v>
      </c>
      <c r="CJ33" s="34">
        <v>1</v>
      </c>
      <c r="CK33" s="34">
        <v>1</v>
      </c>
      <c r="CL33" s="34">
        <v>0</v>
      </c>
      <c r="CM33" s="34">
        <v>2</v>
      </c>
      <c r="CN33" s="34">
        <v>1</v>
      </c>
      <c r="CO33" s="34">
        <v>0</v>
      </c>
      <c r="CP33" s="34">
        <v>0</v>
      </c>
      <c r="CQ33" s="34">
        <v>0</v>
      </c>
      <c r="CR33" s="34">
        <v>0</v>
      </c>
      <c r="CS33" s="34">
        <v>1</v>
      </c>
      <c r="CT33" s="34">
        <v>0</v>
      </c>
      <c r="CU33" s="34">
        <v>0</v>
      </c>
      <c r="CV33" s="34">
        <v>1</v>
      </c>
      <c r="CW33" s="42">
        <v>6</v>
      </c>
      <c r="CX33" s="34">
        <v>2</v>
      </c>
      <c r="CY33" s="137">
        <v>0</v>
      </c>
      <c r="CZ33" s="34">
        <v>1</v>
      </c>
      <c r="DA33" s="34">
        <v>0</v>
      </c>
      <c r="DB33" s="34">
        <v>0</v>
      </c>
      <c r="DC33" s="34">
        <v>0</v>
      </c>
      <c r="DD33" s="34">
        <v>3</v>
      </c>
      <c r="DE33" s="34">
        <v>0</v>
      </c>
      <c r="DF33" s="34">
        <v>1</v>
      </c>
      <c r="DG33" s="34">
        <v>0</v>
      </c>
      <c r="DH33" s="42">
        <v>1</v>
      </c>
      <c r="DI33" s="34">
        <v>0</v>
      </c>
      <c r="DJ33" s="34">
        <v>0</v>
      </c>
      <c r="DK33" s="34">
        <v>0</v>
      </c>
      <c r="DL33" s="118">
        <v>0</v>
      </c>
      <c r="DM33" s="213"/>
      <c r="DN33" s="213"/>
      <c r="DO33" s="213"/>
      <c r="DP33" s="213"/>
      <c r="DQ33" s="213"/>
      <c r="DR33" s="213"/>
      <c r="DS33" s="213"/>
      <c r="DT33" s="218"/>
      <c r="DU33" s="213"/>
      <c r="DV33" s="213"/>
      <c r="DW33" s="213"/>
      <c r="DX33" s="218"/>
      <c r="DY33" s="218"/>
      <c r="DZ33" s="218"/>
      <c r="EA33" s="218"/>
      <c r="EB33" s="218"/>
      <c r="EC33" s="218"/>
      <c r="ED33" s="218"/>
      <c r="EE33" s="218"/>
      <c r="EF33" s="218"/>
      <c r="EG33" s="218"/>
      <c r="EH33" s="249">
        <f t="shared" si="0"/>
        <v>16</v>
      </c>
      <c r="EI33" s="150">
        <f t="shared" si="3"/>
        <v>211</v>
      </c>
      <c r="EJ33" s="150">
        <f t="shared" si="4"/>
        <v>153</v>
      </c>
      <c r="EK33" s="284">
        <f t="shared" si="1"/>
        <v>0</v>
      </c>
      <c r="EL33" s="151">
        <f t="shared" si="5"/>
        <v>13</v>
      </c>
      <c r="EM33" s="150">
        <f t="shared" si="6"/>
        <v>73</v>
      </c>
      <c r="EN33" s="150">
        <f t="shared" si="7"/>
        <v>24</v>
      </c>
      <c r="EO33" s="150">
        <f t="shared" si="8"/>
        <v>49</v>
      </c>
      <c r="EP33" s="150">
        <f t="shared" si="9"/>
        <v>19</v>
      </c>
      <c r="EQ33" s="150">
        <f t="shared" si="10"/>
        <v>2</v>
      </c>
      <c r="ER33" s="150">
        <f t="shared" si="11"/>
        <v>16</v>
      </c>
      <c r="ES33" s="152">
        <f t="shared" si="12"/>
        <v>15</v>
      </c>
      <c r="ET33" s="152">
        <f t="shared" si="2"/>
        <v>0</v>
      </c>
      <c r="EU33" s="57">
        <f t="shared" si="13"/>
        <v>13</v>
      </c>
      <c r="EV33" s="12">
        <f t="shared" si="14"/>
        <v>10</v>
      </c>
      <c r="EX33" s="12">
        <f t="shared" si="15"/>
        <v>195</v>
      </c>
      <c r="EY33" s="131">
        <f t="shared" si="16"/>
        <v>179</v>
      </c>
    </row>
    <row r="34" spans="1:155" ht="27.75" customHeight="1" thickBot="1" x14ac:dyDescent="0.3">
      <c r="A34" s="8" t="s">
        <v>11</v>
      </c>
      <c r="B34" s="8" t="s">
        <v>114</v>
      </c>
      <c r="C34" s="33">
        <v>17</v>
      </c>
      <c r="D34" s="33">
        <v>2</v>
      </c>
      <c r="E34" s="33">
        <v>20</v>
      </c>
      <c r="F34" s="33">
        <v>6</v>
      </c>
      <c r="G34" s="33">
        <v>6</v>
      </c>
      <c r="H34" s="33">
        <v>2</v>
      </c>
      <c r="I34" s="33">
        <v>4</v>
      </c>
      <c r="J34" s="33">
        <v>1</v>
      </c>
      <c r="K34" s="33">
        <v>6</v>
      </c>
      <c r="L34" s="33">
        <v>11</v>
      </c>
      <c r="M34" s="33">
        <v>8</v>
      </c>
      <c r="N34" s="33">
        <v>6</v>
      </c>
      <c r="O34" s="33">
        <v>2</v>
      </c>
      <c r="P34" s="33">
        <v>4</v>
      </c>
      <c r="Q34" s="33">
        <v>4</v>
      </c>
      <c r="R34" s="33">
        <v>0</v>
      </c>
      <c r="S34" s="33">
        <v>2</v>
      </c>
      <c r="T34" s="33">
        <v>0</v>
      </c>
      <c r="U34" s="33">
        <v>1</v>
      </c>
      <c r="V34" s="33">
        <v>1</v>
      </c>
      <c r="W34" s="33">
        <v>3</v>
      </c>
      <c r="X34" s="33">
        <v>0</v>
      </c>
      <c r="Y34" s="33">
        <v>5</v>
      </c>
      <c r="Z34" s="33">
        <v>0</v>
      </c>
      <c r="AA34" s="33">
        <v>0</v>
      </c>
      <c r="AB34" s="33">
        <v>0</v>
      </c>
      <c r="AC34" s="33">
        <v>0</v>
      </c>
      <c r="AD34" s="33">
        <v>0</v>
      </c>
      <c r="AE34" s="33">
        <v>0</v>
      </c>
      <c r="AF34" s="33">
        <v>0</v>
      </c>
      <c r="AG34" s="33">
        <v>1</v>
      </c>
      <c r="AH34" s="33">
        <v>2</v>
      </c>
      <c r="AI34" s="33">
        <v>4</v>
      </c>
      <c r="AJ34" s="34">
        <v>5</v>
      </c>
      <c r="AK34" s="34">
        <v>0</v>
      </c>
      <c r="AL34" s="34">
        <v>1</v>
      </c>
      <c r="AM34" s="34">
        <v>1</v>
      </c>
      <c r="AN34" s="60">
        <v>3</v>
      </c>
      <c r="AO34" s="60">
        <v>2</v>
      </c>
      <c r="AP34" s="60">
        <v>1</v>
      </c>
      <c r="AQ34" s="60">
        <v>1</v>
      </c>
      <c r="AR34" s="60">
        <v>1</v>
      </c>
      <c r="AS34" s="60">
        <v>0</v>
      </c>
      <c r="AT34" s="34">
        <v>1</v>
      </c>
      <c r="AU34" s="34">
        <v>3</v>
      </c>
      <c r="AV34" s="34">
        <v>3</v>
      </c>
      <c r="AW34" s="33">
        <v>4</v>
      </c>
      <c r="AX34" s="137">
        <v>5</v>
      </c>
      <c r="AY34" s="137">
        <v>3</v>
      </c>
      <c r="AZ34" s="137">
        <v>0</v>
      </c>
      <c r="BA34" s="137">
        <v>1</v>
      </c>
      <c r="BB34" s="137">
        <v>0</v>
      </c>
      <c r="BC34" s="137">
        <v>1</v>
      </c>
      <c r="BD34" s="137">
        <v>0</v>
      </c>
      <c r="BE34" s="137">
        <v>0</v>
      </c>
      <c r="BF34" s="137">
        <v>1</v>
      </c>
      <c r="BG34" s="137">
        <v>1</v>
      </c>
      <c r="BH34" s="137">
        <v>0</v>
      </c>
      <c r="BI34" s="137">
        <v>1</v>
      </c>
      <c r="BJ34" s="137">
        <v>0</v>
      </c>
      <c r="BK34" s="137">
        <v>0</v>
      </c>
      <c r="BL34" s="137">
        <v>0</v>
      </c>
      <c r="BM34" s="137">
        <v>0</v>
      </c>
      <c r="BN34" s="137">
        <v>1</v>
      </c>
      <c r="BO34" s="137">
        <v>0</v>
      </c>
      <c r="BP34" s="137">
        <v>0</v>
      </c>
      <c r="BQ34" s="137">
        <v>1</v>
      </c>
      <c r="BR34" s="138">
        <v>1</v>
      </c>
      <c r="BS34" s="138">
        <v>0</v>
      </c>
      <c r="BT34" s="138">
        <v>0</v>
      </c>
      <c r="BU34" s="138">
        <v>0</v>
      </c>
      <c r="BV34" s="138">
        <v>1</v>
      </c>
      <c r="BW34" s="137">
        <v>1</v>
      </c>
      <c r="BX34" s="137">
        <v>0</v>
      </c>
      <c r="BY34" s="137">
        <v>0</v>
      </c>
      <c r="BZ34" s="137">
        <v>0</v>
      </c>
      <c r="CA34" s="137">
        <v>0</v>
      </c>
      <c r="CB34" s="137">
        <v>0</v>
      </c>
      <c r="CC34" s="137">
        <v>1</v>
      </c>
      <c r="CD34" s="137">
        <v>0</v>
      </c>
      <c r="CE34" s="138">
        <v>1</v>
      </c>
      <c r="CF34" s="34">
        <v>0</v>
      </c>
      <c r="CG34" s="34">
        <v>0</v>
      </c>
      <c r="CH34" s="55">
        <v>0</v>
      </c>
      <c r="CI34" s="55">
        <v>0</v>
      </c>
      <c r="CJ34" s="34">
        <v>1</v>
      </c>
      <c r="CK34" s="34">
        <v>1</v>
      </c>
      <c r="CL34" s="34">
        <v>0</v>
      </c>
      <c r="CM34" s="34">
        <v>3</v>
      </c>
      <c r="CN34" s="34">
        <v>2</v>
      </c>
      <c r="CO34" s="34">
        <v>1</v>
      </c>
      <c r="CP34" s="34">
        <v>1</v>
      </c>
      <c r="CQ34" s="34">
        <v>1</v>
      </c>
      <c r="CR34" s="34">
        <v>0</v>
      </c>
      <c r="CS34" s="34">
        <v>0</v>
      </c>
      <c r="CT34" s="34">
        <v>0</v>
      </c>
      <c r="CU34" s="34">
        <v>1</v>
      </c>
      <c r="CV34" s="34">
        <v>0</v>
      </c>
      <c r="CW34" s="42">
        <v>0</v>
      </c>
      <c r="CX34" s="34">
        <v>1</v>
      </c>
      <c r="CY34" s="137">
        <v>0</v>
      </c>
      <c r="CZ34" s="34">
        <v>0</v>
      </c>
      <c r="DA34" s="34">
        <v>1</v>
      </c>
      <c r="DB34" s="34">
        <v>0</v>
      </c>
      <c r="DC34" s="34">
        <v>0</v>
      </c>
      <c r="DD34" s="34">
        <v>1</v>
      </c>
      <c r="DE34" s="34">
        <v>0</v>
      </c>
      <c r="DF34" s="34">
        <v>1</v>
      </c>
      <c r="DG34" s="34">
        <v>0</v>
      </c>
      <c r="DH34" s="42">
        <v>0</v>
      </c>
      <c r="DI34" s="34">
        <v>0</v>
      </c>
      <c r="DJ34" s="34">
        <v>0</v>
      </c>
      <c r="DK34" s="34">
        <v>0</v>
      </c>
      <c r="DL34" s="118">
        <v>0</v>
      </c>
      <c r="DM34" s="213"/>
      <c r="DN34" s="213"/>
      <c r="DO34" s="213"/>
      <c r="DP34" s="213"/>
      <c r="DQ34" s="213"/>
      <c r="DR34" s="213"/>
      <c r="DS34" s="213"/>
      <c r="DT34" s="218"/>
      <c r="DU34" s="213"/>
      <c r="DV34" s="213"/>
      <c r="DW34" s="213"/>
      <c r="DX34" s="218"/>
      <c r="DY34" s="218"/>
      <c r="DZ34" s="218"/>
      <c r="EA34" s="218"/>
      <c r="EB34" s="218"/>
      <c r="EC34" s="218"/>
      <c r="ED34" s="218"/>
      <c r="EE34" s="218"/>
      <c r="EF34" s="218"/>
      <c r="EG34" s="218"/>
      <c r="EH34" s="249">
        <f t="shared" si="0"/>
        <v>7</v>
      </c>
      <c r="EI34" s="150">
        <f t="shared" si="3"/>
        <v>179</v>
      </c>
      <c r="EJ34" s="150">
        <f t="shared" si="4"/>
        <v>122</v>
      </c>
      <c r="EK34" s="284">
        <f t="shared" si="1"/>
        <v>0</v>
      </c>
      <c r="EL34" s="151">
        <f t="shared" si="5"/>
        <v>17</v>
      </c>
      <c r="EM34" s="150">
        <f t="shared" si="6"/>
        <v>74</v>
      </c>
      <c r="EN34" s="150">
        <f t="shared" si="7"/>
        <v>20</v>
      </c>
      <c r="EO34" s="150">
        <f t="shared" si="8"/>
        <v>14</v>
      </c>
      <c r="EP34" s="150">
        <f t="shared" si="9"/>
        <v>27</v>
      </c>
      <c r="EQ34" s="150">
        <f t="shared" si="10"/>
        <v>10</v>
      </c>
      <c r="ER34" s="150">
        <f t="shared" si="11"/>
        <v>13</v>
      </c>
      <c r="ES34" s="152">
        <f t="shared" si="12"/>
        <v>4</v>
      </c>
      <c r="ET34" s="152">
        <f t="shared" si="2"/>
        <v>0</v>
      </c>
      <c r="EU34" s="57">
        <f t="shared" si="13"/>
        <v>8</v>
      </c>
      <c r="EV34" s="12">
        <f t="shared" si="14"/>
        <v>12</v>
      </c>
      <c r="EX34" s="12">
        <f t="shared" si="15"/>
        <v>172</v>
      </c>
      <c r="EY34" s="131">
        <f t="shared" si="16"/>
        <v>140</v>
      </c>
    </row>
    <row r="35" spans="1:155" ht="27.75" customHeight="1" thickBot="1" x14ac:dyDescent="0.3">
      <c r="A35" s="8" t="s">
        <v>11</v>
      </c>
      <c r="B35" s="8" t="s">
        <v>115</v>
      </c>
      <c r="C35" s="33">
        <v>10</v>
      </c>
      <c r="D35" s="33">
        <v>5</v>
      </c>
      <c r="E35" s="33">
        <v>9</v>
      </c>
      <c r="F35" s="33">
        <v>2</v>
      </c>
      <c r="G35" s="33">
        <v>4</v>
      </c>
      <c r="H35" s="33">
        <v>11</v>
      </c>
      <c r="I35" s="33">
        <v>5</v>
      </c>
      <c r="J35" s="33">
        <v>2</v>
      </c>
      <c r="K35" s="33">
        <v>5</v>
      </c>
      <c r="L35" s="33">
        <v>14</v>
      </c>
      <c r="M35" s="33">
        <v>7</v>
      </c>
      <c r="N35" s="33">
        <v>7</v>
      </c>
      <c r="O35" s="33">
        <v>8</v>
      </c>
      <c r="P35" s="33">
        <v>15</v>
      </c>
      <c r="Q35" s="33">
        <v>2</v>
      </c>
      <c r="R35" s="33">
        <v>2</v>
      </c>
      <c r="S35" s="33">
        <v>1</v>
      </c>
      <c r="T35" s="58">
        <v>0</v>
      </c>
      <c r="U35" s="58">
        <v>0</v>
      </c>
      <c r="V35" s="33">
        <v>6</v>
      </c>
      <c r="W35" s="33">
        <v>5</v>
      </c>
      <c r="X35" s="33">
        <v>3</v>
      </c>
      <c r="Y35" s="33">
        <v>6</v>
      </c>
      <c r="Z35" s="33">
        <v>2</v>
      </c>
      <c r="AA35" s="33">
        <v>0</v>
      </c>
      <c r="AB35" s="33">
        <v>3</v>
      </c>
      <c r="AC35" s="33">
        <v>0</v>
      </c>
      <c r="AD35" s="33">
        <v>3</v>
      </c>
      <c r="AE35" s="33">
        <v>3</v>
      </c>
      <c r="AF35" s="33">
        <v>3</v>
      </c>
      <c r="AG35" s="33">
        <v>0</v>
      </c>
      <c r="AH35" s="33">
        <v>0</v>
      </c>
      <c r="AI35" s="33">
        <v>1</v>
      </c>
      <c r="AJ35" s="34">
        <v>0</v>
      </c>
      <c r="AK35" s="34">
        <v>0</v>
      </c>
      <c r="AL35" s="34">
        <v>1</v>
      </c>
      <c r="AM35" s="34">
        <v>0</v>
      </c>
      <c r="AN35" s="60">
        <v>0</v>
      </c>
      <c r="AO35" s="60">
        <v>0</v>
      </c>
      <c r="AP35" s="60">
        <v>0</v>
      </c>
      <c r="AQ35" s="60">
        <v>0</v>
      </c>
      <c r="AR35" s="60">
        <v>0</v>
      </c>
      <c r="AS35" s="60">
        <v>0</v>
      </c>
      <c r="AT35" s="34">
        <v>0</v>
      </c>
      <c r="AU35" s="34">
        <v>0</v>
      </c>
      <c r="AV35" s="34">
        <v>0</v>
      </c>
      <c r="AW35" s="33">
        <v>0</v>
      </c>
      <c r="AX35" s="137">
        <v>0</v>
      </c>
      <c r="AY35" s="137">
        <v>0</v>
      </c>
      <c r="AZ35" s="137">
        <v>0</v>
      </c>
      <c r="BA35" s="137">
        <v>0</v>
      </c>
      <c r="BB35" s="137">
        <v>0</v>
      </c>
      <c r="BC35" s="137">
        <v>0</v>
      </c>
      <c r="BD35" s="137">
        <v>0</v>
      </c>
      <c r="BE35" s="137">
        <v>0</v>
      </c>
      <c r="BF35" s="137">
        <v>0</v>
      </c>
      <c r="BG35" s="137">
        <v>0</v>
      </c>
      <c r="BH35" s="137">
        <v>0</v>
      </c>
      <c r="BI35" s="137">
        <v>0</v>
      </c>
      <c r="BJ35" s="137">
        <v>0</v>
      </c>
      <c r="BK35" s="137">
        <v>0</v>
      </c>
      <c r="BL35" s="137">
        <v>0</v>
      </c>
      <c r="BM35" s="137">
        <v>0</v>
      </c>
      <c r="BN35" s="137">
        <v>0</v>
      </c>
      <c r="BO35" s="137">
        <v>0</v>
      </c>
      <c r="BP35" s="137">
        <v>0</v>
      </c>
      <c r="BQ35" s="137">
        <v>0</v>
      </c>
      <c r="BR35" s="138">
        <v>0</v>
      </c>
      <c r="BS35" s="138">
        <v>0</v>
      </c>
      <c r="BT35" s="138">
        <v>0</v>
      </c>
      <c r="BU35" s="138">
        <v>0</v>
      </c>
      <c r="BV35" s="138">
        <v>0</v>
      </c>
      <c r="BW35" s="137">
        <v>0</v>
      </c>
      <c r="BX35" s="137">
        <v>0</v>
      </c>
      <c r="BY35" s="137">
        <v>0</v>
      </c>
      <c r="BZ35" s="137">
        <v>0</v>
      </c>
      <c r="CA35" s="137">
        <v>0</v>
      </c>
      <c r="CB35" s="137">
        <v>0</v>
      </c>
      <c r="CC35" s="137">
        <v>0</v>
      </c>
      <c r="CD35" s="137">
        <v>0</v>
      </c>
      <c r="CE35" s="138">
        <v>0</v>
      </c>
      <c r="CF35" s="34">
        <v>0</v>
      </c>
      <c r="CG35" s="34">
        <v>0</v>
      </c>
      <c r="CH35" s="55">
        <v>0</v>
      </c>
      <c r="CI35" s="55">
        <v>0</v>
      </c>
      <c r="CJ35" s="34">
        <v>0</v>
      </c>
      <c r="CK35" s="34">
        <v>0</v>
      </c>
      <c r="CL35" s="34">
        <v>0</v>
      </c>
      <c r="CM35" s="34">
        <v>1</v>
      </c>
      <c r="CN35" s="34">
        <v>0</v>
      </c>
      <c r="CO35" s="34">
        <v>0</v>
      </c>
      <c r="CP35" s="34">
        <v>1</v>
      </c>
      <c r="CQ35" s="34">
        <v>0</v>
      </c>
      <c r="CR35" s="34">
        <v>0</v>
      </c>
      <c r="CS35" s="34">
        <v>0</v>
      </c>
      <c r="CT35" s="34">
        <v>0</v>
      </c>
      <c r="CU35" s="34">
        <v>0</v>
      </c>
      <c r="CV35" s="34">
        <v>0</v>
      </c>
      <c r="CW35" s="42">
        <v>0</v>
      </c>
      <c r="CX35" s="34">
        <v>0</v>
      </c>
      <c r="CY35" s="137">
        <v>0</v>
      </c>
      <c r="CZ35" s="34">
        <v>0</v>
      </c>
      <c r="DA35" s="34">
        <v>0</v>
      </c>
      <c r="DB35" s="34">
        <v>0</v>
      </c>
      <c r="DC35" s="34">
        <v>0</v>
      </c>
      <c r="DD35" s="34">
        <v>0</v>
      </c>
      <c r="DE35" s="34">
        <v>0</v>
      </c>
      <c r="DF35" s="34">
        <v>1</v>
      </c>
      <c r="DG35" s="34">
        <v>0</v>
      </c>
      <c r="DH35" s="42">
        <v>1</v>
      </c>
      <c r="DI35" s="34">
        <v>0</v>
      </c>
      <c r="DJ35" s="34">
        <v>0</v>
      </c>
      <c r="DK35" s="34">
        <v>0</v>
      </c>
      <c r="DL35" s="118">
        <v>0</v>
      </c>
      <c r="DM35" s="213"/>
      <c r="DN35" s="213"/>
      <c r="DO35" s="213"/>
      <c r="DP35" s="213"/>
      <c r="DQ35" s="213"/>
      <c r="DR35" s="213"/>
      <c r="DS35" s="213"/>
      <c r="DT35" s="218"/>
      <c r="DU35" s="213"/>
      <c r="DV35" s="213"/>
      <c r="DW35" s="213"/>
      <c r="DX35" s="218"/>
      <c r="DY35" s="218"/>
      <c r="DZ35" s="218"/>
      <c r="EA35" s="218"/>
      <c r="EB35" s="218"/>
      <c r="EC35" s="218"/>
      <c r="ED35" s="218"/>
      <c r="EE35" s="218"/>
      <c r="EF35" s="218"/>
      <c r="EG35" s="218"/>
      <c r="EH35" s="249">
        <f t="shared" si="0"/>
        <v>3</v>
      </c>
      <c r="EI35" s="150">
        <f t="shared" si="3"/>
        <v>149</v>
      </c>
      <c r="EJ35" s="150">
        <f t="shared" si="4"/>
        <v>103</v>
      </c>
      <c r="EK35" s="284">
        <f t="shared" si="1"/>
        <v>0</v>
      </c>
      <c r="EL35" s="151">
        <f t="shared" si="5"/>
        <v>10</v>
      </c>
      <c r="EM35" s="150">
        <f t="shared" si="6"/>
        <v>79</v>
      </c>
      <c r="EN35" s="150">
        <f t="shared" si="7"/>
        <v>42</v>
      </c>
      <c r="EO35" s="150">
        <f t="shared" si="8"/>
        <v>14</v>
      </c>
      <c r="EP35" s="150">
        <f t="shared" si="9"/>
        <v>0</v>
      </c>
      <c r="EQ35" s="150">
        <f t="shared" si="10"/>
        <v>0</v>
      </c>
      <c r="ER35" s="150">
        <f t="shared" si="11"/>
        <v>2</v>
      </c>
      <c r="ES35" s="152">
        <f t="shared" si="12"/>
        <v>2</v>
      </c>
      <c r="ET35" s="152">
        <f t="shared" si="2"/>
        <v>0</v>
      </c>
      <c r="EU35" s="57">
        <f t="shared" si="13"/>
        <v>0</v>
      </c>
      <c r="EV35" s="12">
        <f t="shared" si="14"/>
        <v>2</v>
      </c>
      <c r="EX35" s="12">
        <f t="shared" si="15"/>
        <v>146</v>
      </c>
      <c r="EY35" s="131">
        <f t="shared" si="16"/>
        <v>125</v>
      </c>
    </row>
    <row r="36" spans="1:155" ht="27.75" customHeight="1" thickBot="1" x14ac:dyDescent="0.3">
      <c r="A36" s="8" t="s">
        <v>11</v>
      </c>
      <c r="B36" s="8" t="s">
        <v>116</v>
      </c>
      <c r="C36" s="33">
        <v>12</v>
      </c>
      <c r="D36" s="33">
        <v>12</v>
      </c>
      <c r="E36" s="33">
        <v>13</v>
      </c>
      <c r="F36" s="33">
        <v>5</v>
      </c>
      <c r="G36" s="33">
        <v>8</v>
      </c>
      <c r="H36" s="33">
        <v>0</v>
      </c>
      <c r="I36" s="33">
        <v>7</v>
      </c>
      <c r="J36" s="33">
        <v>5</v>
      </c>
      <c r="K36" s="33">
        <v>2</v>
      </c>
      <c r="L36" s="33">
        <v>4</v>
      </c>
      <c r="M36" s="33">
        <v>1</v>
      </c>
      <c r="N36" s="33">
        <v>3</v>
      </c>
      <c r="O36" s="33">
        <v>2</v>
      </c>
      <c r="P36" s="33">
        <v>1</v>
      </c>
      <c r="Q36" s="33">
        <v>1</v>
      </c>
      <c r="R36" s="33">
        <v>1</v>
      </c>
      <c r="S36" s="33">
        <v>1</v>
      </c>
      <c r="T36" s="33">
        <v>0</v>
      </c>
      <c r="U36" s="33">
        <v>0</v>
      </c>
      <c r="V36" s="33">
        <v>0</v>
      </c>
      <c r="W36" s="33">
        <v>1</v>
      </c>
      <c r="X36" s="33">
        <v>0</v>
      </c>
      <c r="Y36" s="33">
        <v>0</v>
      </c>
      <c r="Z36" s="33">
        <v>0</v>
      </c>
      <c r="AA36" s="33">
        <v>0</v>
      </c>
      <c r="AB36" s="33">
        <v>0</v>
      </c>
      <c r="AC36" s="33">
        <v>0</v>
      </c>
      <c r="AD36" s="33">
        <v>0</v>
      </c>
      <c r="AE36" s="33">
        <v>0</v>
      </c>
      <c r="AF36" s="33">
        <v>0</v>
      </c>
      <c r="AG36" s="33">
        <v>2</v>
      </c>
      <c r="AH36" s="33">
        <v>0</v>
      </c>
      <c r="AI36" s="33">
        <v>4</v>
      </c>
      <c r="AJ36" s="34">
        <v>4</v>
      </c>
      <c r="AK36" s="34">
        <v>5</v>
      </c>
      <c r="AL36" s="34">
        <v>1</v>
      </c>
      <c r="AM36" s="34">
        <v>1</v>
      </c>
      <c r="AN36" s="60">
        <v>4</v>
      </c>
      <c r="AO36" s="60">
        <v>2</v>
      </c>
      <c r="AP36" s="60">
        <v>0</v>
      </c>
      <c r="AQ36" s="60">
        <v>2</v>
      </c>
      <c r="AR36" s="60">
        <v>3</v>
      </c>
      <c r="AS36" s="60">
        <v>0</v>
      </c>
      <c r="AT36" s="34">
        <v>2</v>
      </c>
      <c r="AU36" s="34">
        <v>2</v>
      </c>
      <c r="AV36" s="34">
        <v>3</v>
      </c>
      <c r="AW36" s="33">
        <v>1</v>
      </c>
      <c r="AX36" s="137">
        <v>1</v>
      </c>
      <c r="AY36" s="137">
        <v>4</v>
      </c>
      <c r="AZ36" s="137">
        <v>0</v>
      </c>
      <c r="BA36" s="137">
        <v>1</v>
      </c>
      <c r="BB36" s="137">
        <v>0</v>
      </c>
      <c r="BC36" s="137">
        <v>0</v>
      </c>
      <c r="BD36" s="137">
        <v>0</v>
      </c>
      <c r="BE36" s="137">
        <v>0</v>
      </c>
      <c r="BF36" s="137">
        <v>0</v>
      </c>
      <c r="BG36" s="137">
        <v>0</v>
      </c>
      <c r="BH36" s="137">
        <v>3</v>
      </c>
      <c r="BI36" s="137">
        <v>0</v>
      </c>
      <c r="BJ36" s="137">
        <v>3</v>
      </c>
      <c r="BK36" s="137">
        <v>1</v>
      </c>
      <c r="BL36" s="137">
        <v>2</v>
      </c>
      <c r="BM36" s="137">
        <v>0</v>
      </c>
      <c r="BN36" s="137">
        <v>0</v>
      </c>
      <c r="BO36" s="137">
        <v>1</v>
      </c>
      <c r="BP36" s="137">
        <v>1</v>
      </c>
      <c r="BQ36" s="137">
        <v>0</v>
      </c>
      <c r="BR36" s="138">
        <v>0</v>
      </c>
      <c r="BS36" s="138">
        <v>2</v>
      </c>
      <c r="BT36" s="138">
        <v>0</v>
      </c>
      <c r="BU36" s="138">
        <v>1</v>
      </c>
      <c r="BV36" s="138">
        <v>0</v>
      </c>
      <c r="BW36" s="137">
        <v>0</v>
      </c>
      <c r="BX36" s="137">
        <v>1</v>
      </c>
      <c r="BY36" s="137">
        <v>0</v>
      </c>
      <c r="BZ36" s="137">
        <v>1</v>
      </c>
      <c r="CA36" s="137">
        <v>0</v>
      </c>
      <c r="CB36" s="137">
        <v>1</v>
      </c>
      <c r="CC36" s="137">
        <v>0</v>
      </c>
      <c r="CD36" s="137">
        <v>0</v>
      </c>
      <c r="CE36" s="138">
        <v>1</v>
      </c>
      <c r="CF36" s="34">
        <v>0</v>
      </c>
      <c r="CG36" s="34">
        <v>1</v>
      </c>
      <c r="CH36" s="55">
        <v>0</v>
      </c>
      <c r="CI36" s="55">
        <v>0</v>
      </c>
      <c r="CJ36" s="34">
        <v>0</v>
      </c>
      <c r="CK36" s="34">
        <v>4</v>
      </c>
      <c r="CL36" s="34">
        <v>0</v>
      </c>
      <c r="CM36" s="34">
        <v>0</v>
      </c>
      <c r="CN36" s="34">
        <v>0</v>
      </c>
      <c r="CO36" s="34">
        <v>1</v>
      </c>
      <c r="CP36" s="34">
        <v>0</v>
      </c>
      <c r="CQ36" s="34">
        <v>1</v>
      </c>
      <c r="CR36" s="34">
        <v>0</v>
      </c>
      <c r="CS36" s="34">
        <v>0</v>
      </c>
      <c r="CT36" s="34">
        <v>0</v>
      </c>
      <c r="CU36" s="34">
        <v>0</v>
      </c>
      <c r="CV36" s="34">
        <v>0</v>
      </c>
      <c r="CW36" s="42">
        <v>0</v>
      </c>
      <c r="CX36" s="34">
        <v>0</v>
      </c>
      <c r="CY36" s="137">
        <v>0</v>
      </c>
      <c r="CZ36" s="34">
        <v>1</v>
      </c>
      <c r="DA36" s="34">
        <v>1</v>
      </c>
      <c r="DB36" s="34">
        <v>1</v>
      </c>
      <c r="DC36" s="34">
        <v>0</v>
      </c>
      <c r="DD36" s="34">
        <v>0</v>
      </c>
      <c r="DE36" s="34">
        <v>1</v>
      </c>
      <c r="DF36" s="34">
        <v>0</v>
      </c>
      <c r="DG36" s="34">
        <v>1</v>
      </c>
      <c r="DH36" s="42">
        <v>1</v>
      </c>
      <c r="DI36" s="34">
        <v>0</v>
      </c>
      <c r="DJ36" s="34">
        <v>0</v>
      </c>
      <c r="DK36" s="34">
        <v>0</v>
      </c>
      <c r="DL36" s="118">
        <v>0</v>
      </c>
      <c r="DM36" s="213"/>
      <c r="DN36" s="213"/>
      <c r="DO36" s="213"/>
      <c r="DP36" s="213"/>
      <c r="DQ36" s="213"/>
      <c r="DR36" s="213"/>
      <c r="DS36" s="213"/>
      <c r="DT36" s="218"/>
      <c r="DU36" s="213"/>
      <c r="DV36" s="213"/>
      <c r="DW36" s="213"/>
      <c r="DX36" s="218"/>
      <c r="DY36" s="218"/>
      <c r="DZ36" s="218"/>
      <c r="EA36" s="218"/>
      <c r="EB36" s="218"/>
      <c r="EC36" s="218"/>
      <c r="ED36" s="218"/>
      <c r="EE36" s="218"/>
      <c r="EF36" s="218"/>
      <c r="EG36" s="218"/>
      <c r="EH36" s="249">
        <f t="shared" si="0"/>
        <v>7</v>
      </c>
      <c r="EI36" s="150">
        <f t="shared" si="3"/>
        <v>152</v>
      </c>
      <c r="EJ36" s="150">
        <f t="shared" si="4"/>
        <v>95</v>
      </c>
      <c r="EK36" s="284">
        <f t="shared" si="1"/>
        <v>0</v>
      </c>
      <c r="EL36" s="151">
        <f t="shared" si="5"/>
        <v>12</v>
      </c>
      <c r="EM36" s="150">
        <f t="shared" si="6"/>
        <v>62</v>
      </c>
      <c r="EN36" s="150">
        <f t="shared" si="7"/>
        <v>5</v>
      </c>
      <c r="EO36" s="150">
        <f t="shared" si="8"/>
        <v>17</v>
      </c>
      <c r="EP36" s="150">
        <f t="shared" si="9"/>
        <v>24</v>
      </c>
      <c r="EQ36" s="150">
        <f t="shared" si="10"/>
        <v>15</v>
      </c>
      <c r="ER36" s="150">
        <f t="shared" si="11"/>
        <v>11</v>
      </c>
      <c r="ES36" s="152">
        <f t="shared" si="12"/>
        <v>6</v>
      </c>
      <c r="ET36" s="152">
        <f t="shared" si="2"/>
        <v>0</v>
      </c>
      <c r="EU36" s="57">
        <f t="shared" si="13"/>
        <v>13</v>
      </c>
      <c r="EV36" s="12">
        <f t="shared" si="14"/>
        <v>8</v>
      </c>
      <c r="EX36" s="12">
        <f t="shared" si="15"/>
        <v>145</v>
      </c>
      <c r="EY36" s="131">
        <f t="shared" si="16"/>
        <v>115</v>
      </c>
    </row>
    <row r="37" spans="1:155" ht="27.75" customHeight="1" thickBot="1" x14ac:dyDescent="0.3">
      <c r="A37" s="8" t="s">
        <v>11</v>
      </c>
      <c r="B37" s="8" t="s">
        <v>117</v>
      </c>
      <c r="C37" s="33">
        <v>14</v>
      </c>
      <c r="D37" s="33">
        <v>5</v>
      </c>
      <c r="E37" s="33">
        <v>7</v>
      </c>
      <c r="F37" s="33">
        <v>3</v>
      </c>
      <c r="G37" s="33">
        <v>6</v>
      </c>
      <c r="H37" s="33">
        <v>2</v>
      </c>
      <c r="I37" s="33">
        <v>14</v>
      </c>
      <c r="J37" s="33">
        <v>3</v>
      </c>
      <c r="K37" s="33">
        <v>4</v>
      </c>
      <c r="L37" s="33">
        <v>2</v>
      </c>
      <c r="M37" s="33">
        <v>5</v>
      </c>
      <c r="N37" s="33">
        <v>2</v>
      </c>
      <c r="O37" s="33">
        <v>0</v>
      </c>
      <c r="P37" s="33">
        <v>0</v>
      </c>
      <c r="Q37" s="33">
        <v>0</v>
      </c>
      <c r="R37" s="33">
        <v>0</v>
      </c>
      <c r="S37" s="33">
        <v>0</v>
      </c>
      <c r="T37" s="33">
        <v>0</v>
      </c>
      <c r="U37" s="33">
        <v>0</v>
      </c>
      <c r="V37" s="33">
        <v>0</v>
      </c>
      <c r="W37" s="33">
        <v>0</v>
      </c>
      <c r="X37" s="33">
        <v>0</v>
      </c>
      <c r="Y37" s="33">
        <v>0</v>
      </c>
      <c r="Z37" s="33">
        <v>0</v>
      </c>
      <c r="AA37" s="33">
        <v>0</v>
      </c>
      <c r="AB37" s="33">
        <v>0</v>
      </c>
      <c r="AC37" s="33">
        <v>0</v>
      </c>
      <c r="AD37" s="33">
        <v>0</v>
      </c>
      <c r="AE37" s="33">
        <v>0</v>
      </c>
      <c r="AF37" s="33">
        <v>3</v>
      </c>
      <c r="AG37" s="33">
        <v>8</v>
      </c>
      <c r="AH37" s="33">
        <v>6</v>
      </c>
      <c r="AI37" s="33">
        <v>1</v>
      </c>
      <c r="AJ37" s="34">
        <v>1</v>
      </c>
      <c r="AK37" s="34">
        <v>4</v>
      </c>
      <c r="AL37" s="34">
        <v>4</v>
      </c>
      <c r="AM37" s="34">
        <v>3</v>
      </c>
      <c r="AN37" s="60">
        <v>1</v>
      </c>
      <c r="AO37" s="60">
        <v>0</v>
      </c>
      <c r="AP37" s="60">
        <v>0</v>
      </c>
      <c r="AQ37" s="60">
        <v>0</v>
      </c>
      <c r="AR37" s="60">
        <v>0</v>
      </c>
      <c r="AS37" s="60">
        <v>1</v>
      </c>
      <c r="AT37" s="34">
        <v>0</v>
      </c>
      <c r="AU37" s="34">
        <v>0</v>
      </c>
      <c r="AV37" s="34">
        <v>1</v>
      </c>
      <c r="AW37" s="33">
        <v>1</v>
      </c>
      <c r="AX37" s="137">
        <v>0</v>
      </c>
      <c r="AY37" s="137">
        <v>1</v>
      </c>
      <c r="AZ37" s="137">
        <v>0</v>
      </c>
      <c r="BA37" s="137">
        <v>0</v>
      </c>
      <c r="BB37" s="137">
        <v>0</v>
      </c>
      <c r="BC37" s="137">
        <v>0</v>
      </c>
      <c r="BD37" s="137">
        <v>0</v>
      </c>
      <c r="BE37" s="137">
        <v>0</v>
      </c>
      <c r="BF37" s="137">
        <v>0</v>
      </c>
      <c r="BG37" s="137">
        <v>0</v>
      </c>
      <c r="BH37" s="137">
        <v>0</v>
      </c>
      <c r="BI37" s="137">
        <v>0</v>
      </c>
      <c r="BJ37" s="137">
        <v>0</v>
      </c>
      <c r="BK37" s="137">
        <v>0</v>
      </c>
      <c r="BL37" s="148">
        <v>1</v>
      </c>
      <c r="BM37" s="148">
        <v>0</v>
      </c>
      <c r="BN37" s="137">
        <v>0</v>
      </c>
      <c r="BO37" s="137">
        <v>0</v>
      </c>
      <c r="BP37" s="137">
        <v>1</v>
      </c>
      <c r="BQ37" s="137">
        <v>0</v>
      </c>
      <c r="BR37" s="138">
        <v>0</v>
      </c>
      <c r="BS37" s="138">
        <v>0</v>
      </c>
      <c r="BT37" s="138">
        <v>0</v>
      </c>
      <c r="BU37" s="138">
        <v>0</v>
      </c>
      <c r="BV37" s="138">
        <v>0</v>
      </c>
      <c r="BW37" s="137">
        <v>0</v>
      </c>
      <c r="BX37" s="137">
        <v>0</v>
      </c>
      <c r="BY37" s="137">
        <v>0</v>
      </c>
      <c r="BZ37" s="137">
        <v>0</v>
      </c>
      <c r="CA37" s="137">
        <v>0</v>
      </c>
      <c r="CB37" s="137">
        <v>0</v>
      </c>
      <c r="CC37" s="137">
        <v>0</v>
      </c>
      <c r="CD37" s="137">
        <v>2</v>
      </c>
      <c r="CE37" s="138">
        <v>0</v>
      </c>
      <c r="CF37" s="34">
        <v>0</v>
      </c>
      <c r="CG37" s="34">
        <v>0</v>
      </c>
      <c r="CH37" s="55">
        <v>1</v>
      </c>
      <c r="CI37" s="55">
        <v>0</v>
      </c>
      <c r="CJ37" s="34">
        <v>0</v>
      </c>
      <c r="CK37" s="34">
        <v>0</v>
      </c>
      <c r="CL37" s="34">
        <v>0</v>
      </c>
      <c r="CM37" s="34">
        <v>0</v>
      </c>
      <c r="CN37" s="34">
        <v>0</v>
      </c>
      <c r="CO37" s="34">
        <v>0</v>
      </c>
      <c r="CP37" s="34">
        <v>0</v>
      </c>
      <c r="CQ37" s="34">
        <v>0</v>
      </c>
      <c r="CR37" s="34">
        <v>0</v>
      </c>
      <c r="CS37" s="34">
        <v>0</v>
      </c>
      <c r="CT37" s="34">
        <v>0</v>
      </c>
      <c r="CU37" s="34">
        <v>0</v>
      </c>
      <c r="CV37" s="34">
        <v>0</v>
      </c>
      <c r="CW37" s="42">
        <v>0</v>
      </c>
      <c r="CX37" s="34">
        <v>0</v>
      </c>
      <c r="CY37" s="137">
        <v>0</v>
      </c>
      <c r="CZ37" s="34">
        <v>0</v>
      </c>
      <c r="DA37" s="34">
        <v>0</v>
      </c>
      <c r="DB37" s="34">
        <v>0</v>
      </c>
      <c r="DC37" s="34">
        <v>0</v>
      </c>
      <c r="DD37" s="34">
        <v>0</v>
      </c>
      <c r="DE37" s="34">
        <v>0</v>
      </c>
      <c r="DF37" s="34">
        <v>0</v>
      </c>
      <c r="DG37" s="34">
        <v>0</v>
      </c>
      <c r="DH37" s="42">
        <v>0</v>
      </c>
      <c r="DI37" s="34">
        <v>0</v>
      </c>
      <c r="DJ37" s="34">
        <v>0</v>
      </c>
      <c r="DK37" s="34">
        <v>0</v>
      </c>
      <c r="DL37" s="118">
        <v>0</v>
      </c>
      <c r="DM37" s="213"/>
      <c r="DN37" s="213"/>
      <c r="DO37" s="213"/>
      <c r="DP37" s="213"/>
      <c r="DQ37" s="213"/>
      <c r="DR37" s="213"/>
      <c r="DS37" s="213"/>
      <c r="DT37" s="218"/>
      <c r="DU37" s="213"/>
      <c r="DV37" s="213"/>
      <c r="DW37" s="213"/>
      <c r="DX37" s="218"/>
      <c r="DY37" s="218"/>
      <c r="DZ37" s="218"/>
      <c r="EA37" s="218"/>
      <c r="EB37" s="218"/>
      <c r="EC37" s="218"/>
      <c r="ED37" s="218"/>
      <c r="EE37" s="218"/>
      <c r="EF37" s="218"/>
      <c r="EG37" s="218"/>
      <c r="EH37" s="249">
        <f t="shared" si="0"/>
        <v>0</v>
      </c>
      <c r="EI37" s="150">
        <f t="shared" si="3"/>
        <v>107</v>
      </c>
      <c r="EJ37" s="150">
        <f t="shared" si="4"/>
        <v>56</v>
      </c>
      <c r="EK37" s="284">
        <f t="shared" si="1"/>
        <v>0</v>
      </c>
      <c r="EL37" s="151">
        <f t="shared" si="5"/>
        <v>14</v>
      </c>
      <c r="EM37" s="150">
        <f t="shared" si="6"/>
        <v>53</v>
      </c>
      <c r="EN37" s="150">
        <f t="shared" si="7"/>
        <v>0</v>
      </c>
      <c r="EO37" s="150">
        <f t="shared" si="8"/>
        <v>30</v>
      </c>
      <c r="EP37" s="150">
        <f t="shared" si="9"/>
        <v>5</v>
      </c>
      <c r="EQ37" s="150">
        <f t="shared" si="10"/>
        <v>2</v>
      </c>
      <c r="ER37" s="150">
        <f t="shared" si="11"/>
        <v>3</v>
      </c>
      <c r="ES37" s="152">
        <f t="shared" si="12"/>
        <v>0</v>
      </c>
      <c r="ET37" s="152">
        <f t="shared" si="2"/>
        <v>0</v>
      </c>
      <c r="EU37" s="57">
        <f t="shared" si="13"/>
        <v>4</v>
      </c>
      <c r="EV37" s="12">
        <f t="shared" si="14"/>
        <v>3</v>
      </c>
      <c r="EX37" s="12">
        <f t="shared" si="15"/>
        <v>107</v>
      </c>
      <c r="EY37" s="131">
        <f t="shared" si="16"/>
        <v>81</v>
      </c>
    </row>
    <row r="38" spans="1:155" ht="27.75" customHeight="1" thickBot="1" x14ac:dyDescent="0.3">
      <c r="A38" s="8" t="s">
        <v>11</v>
      </c>
      <c r="B38" s="8" t="s">
        <v>118</v>
      </c>
      <c r="C38" s="33">
        <v>6</v>
      </c>
      <c r="D38" s="33">
        <v>0</v>
      </c>
      <c r="E38" s="33">
        <v>0</v>
      </c>
      <c r="F38" s="33">
        <v>0</v>
      </c>
      <c r="G38" s="33">
        <v>2</v>
      </c>
      <c r="H38" s="33">
        <v>0</v>
      </c>
      <c r="I38" s="33">
        <v>2</v>
      </c>
      <c r="J38" s="33">
        <v>1</v>
      </c>
      <c r="K38" s="33">
        <v>3</v>
      </c>
      <c r="L38" s="33">
        <v>2</v>
      </c>
      <c r="M38" s="33">
        <v>5</v>
      </c>
      <c r="N38" s="33">
        <v>3</v>
      </c>
      <c r="O38" s="33">
        <v>3</v>
      </c>
      <c r="P38" s="33">
        <v>1</v>
      </c>
      <c r="Q38" s="33">
        <v>1</v>
      </c>
      <c r="R38" s="33">
        <v>1</v>
      </c>
      <c r="S38" s="33">
        <v>0</v>
      </c>
      <c r="T38" s="33">
        <v>0</v>
      </c>
      <c r="U38" s="33">
        <v>0</v>
      </c>
      <c r="V38" s="33">
        <v>0</v>
      </c>
      <c r="W38" s="33">
        <v>4</v>
      </c>
      <c r="X38" s="33">
        <v>2</v>
      </c>
      <c r="Y38" s="33">
        <v>2</v>
      </c>
      <c r="Z38" s="33">
        <v>3</v>
      </c>
      <c r="AA38" s="33">
        <v>0</v>
      </c>
      <c r="AB38" s="33">
        <v>6</v>
      </c>
      <c r="AC38" s="33">
        <v>0</v>
      </c>
      <c r="AD38" s="33">
        <v>3</v>
      </c>
      <c r="AE38" s="33">
        <v>1</v>
      </c>
      <c r="AF38" s="33">
        <v>4</v>
      </c>
      <c r="AG38" s="33">
        <v>9</v>
      </c>
      <c r="AH38" s="33">
        <v>0</v>
      </c>
      <c r="AI38" s="33">
        <v>18</v>
      </c>
      <c r="AJ38" s="34">
        <v>9</v>
      </c>
      <c r="AK38" s="34">
        <v>3</v>
      </c>
      <c r="AL38" s="34">
        <v>7</v>
      </c>
      <c r="AM38" s="34">
        <v>3</v>
      </c>
      <c r="AN38" s="60">
        <v>4</v>
      </c>
      <c r="AO38" s="60">
        <v>4</v>
      </c>
      <c r="AP38" s="60">
        <v>1</v>
      </c>
      <c r="AQ38" s="60">
        <v>1</v>
      </c>
      <c r="AR38" s="60">
        <v>4</v>
      </c>
      <c r="AS38" s="60">
        <v>6</v>
      </c>
      <c r="AT38" s="34">
        <v>3</v>
      </c>
      <c r="AU38" s="34">
        <v>0</v>
      </c>
      <c r="AV38" s="34">
        <v>2</v>
      </c>
      <c r="AW38" s="33">
        <v>4</v>
      </c>
      <c r="AX38" s="137">
        <v>0</v>
      </c>
      <c r="AY38" s="137">
        <v>6</v>
      </c>
      <c r="AZ38" s="137">
        <v>1</v>
      </c>
      <c r="BA38" s="137">
        <v>4</v>
      </c>
      <c r="BB38" s="137">
        <v>0</v>
      </c>
      <c r="BC38" s="137">
        <v>1</v>
      </c>
      <c r="BD38" s="137">
        <v>0</v>
      </c>
      <c r="BE38" s="137">
        <v>0</v>
      </c>
      <c r="BF38" s="137">
        <v>1</v>
      </c>
      <c r="BG38" s="137">
        <v>1</v>
      </c>
      <c r="BH38" s="137">
        <v>3</v>
      </c>
      <c r="BI38" s="137">
        <v>1</v>
      </c>
      <c r="BJ38" s="137">
        <v>3</v>
      </c>
      <c r="BK38" s="137">
        <v>2</v>
      </c>
      <c r="BL38" s="137">
        <v>1</v>
      </c>
      <c r="BM38" s="137">
        <v>3</v>
      </c>
      <c r="BN38" s="137">
        <v>1</v>
      </c>
      <c r="BO38" s="137">
        <v>0</v>
      </c>
      <c r="BP38" s="137">
        <v>7</v>
      </c>
      <c r="BQ38" s="137">
        <v>0</v>
      </c>
      <c r="BR38" s="138">
        <v>3</v>
      </c>
      <c r="BS38" s="138">
        <v>0</v>
      </c>
      <c r="BT38" s="138">
        <v>2</v>
      </c>
      <c r="BU38" s="138">
        <v>1</v>
      </c>
      <c r="BV38" s="138">
        <v>1</v>
      </c>
      <c r="BW38" s="137">
        <v>2</v>
      </c>
      <c r="BX38" s="137">
        <v>3</v>
      </c>
      <c r="BY38" s="137">
        <v>1</v>
      </c>
      <c r="BZ38" s="137">
        <v>2</v>
      </c>
      <c r="CA38" s="137">
        <v>2</v>
      </c>
      <c r="CB38" s="137">
        <v>7</v>
      </c>
      <c r="CC38" s="137">
        <v>3</v>
      </c>
      <c r="CD38" s="137">
        <v>1</v>
      </c>
      <c r="CE38" s="138">
        <v>3</v>
      </c>
      <c r="CF38" s="34">
        <v>0</v>
      </c>
      <c r="CG38" s="34">
        <v>0</v>
      </c>
      <c r="CH38" s="55">
        <v>0</v>
      </c>
      <c r="CI38" s="55">
        <v>0</v>
      </c>
      <c r="CJ38" s="34">
        <v>0</v>
      </c>
      <c r="CK38" s="34">
        <v>4</v>
      </c>
      <c r="CL38" s="34">
        <v>0</v>
      </c>
      <c r="CM38" s="34">
        <v>9</v>
      </c>
      <c r="CN38" s="34">
        <v>1</v>
      </c>
      <c r="CO38" s="34">
        <v>1</v>
      </c>
      <c r="CP38" s="34">
        <v>3</v>
      </c>
      <c r="CQ38" s="34">
        <v>3</v>
      </c>
      <c r="CR38" s="34">
        <v>1</v>
      </c>
      <c r="CS38" s="34">
        <v>2</v>
      </c>
      <c r="CT38" s="34">
        <v>0</v>
      </c>
      <c r="CU38" s="34">
        <v>0</v>
      </c>
      <c r="CV38" s="34">
        <v>0</v>
      </c>
      <c r="CW38" s="42">
        <v>4</v>
      </c>
      <c r="CX38" s="34">
        <v>0</v>
      </c>
      <c r="CY38" s="137">
        <v>1</v>
      </c>
      <c r="CZ38" s="34">
        <v>1</v>
      </c>
      <c r="DA38" s="34">
        <v>0</v>
      </c>
      <c r="DB38" s="34">
        <v>2</v>
      </c>
      <c r="DC38" s="34">
        <v>0</v>
      </c>
      <c r="DD38" s="34">
        <v>1</v>
      </c>
      <c r="DE38" s="34">
        <v>0</v>
      </c>
      <c r="DF38" s="34">
        <v>8</v>
      </c>
      <c r="DG38" s="34">
        <v>1</v>
      </c>
      <c r="DH38" s="42">
        <v>4</v>
      </c>
      <c r="DI38" s="34">
        <v>3</v>
      </c>
      <c r="DJ38" s="34">
        <v>0</v>
      </c>
      <c r="DK38" s="34">
        <v>0</v>
      </c>
      <c r="DL38" s="118">
        <v>1</v>
      </c>
      <c r="DM38" s="34">
        <v>2</v>
      </c>
      <c r="DN38" s="213"/>
      <c r="DO38" s="213"/>
      <c r="DP38" s="213"/>
      <c r="DQ38" s="213"/>
      <c r="DR38" s="213"/>
      <c r="DS38" s="213"/>
      <c r="DT38" s="218"/>
      <c r="DU38" s="213"/>
      <c r="DV38" s="213"/>
      <c r="DW38" s="213"/>
      <c r="DX38" s="218"/>
      <c r="DY38" s="218"/>
      <c r="DZ38" s="218"/>
      <c r="EA38" s="218"/>
      <c r="EB38" s="218"/>
      <c r="EC38" s="218"/>
      <c r="ED38" s="218"/>
      <c r="EE38" s="218"/>
      <c r="EF38" s="218"/>
      <c r="EG38" s="218"/>
      <c r="EH38" s="249">
        <f t="shared" si="0"/>
        <v>37</v>
      </c>
      <c r="EI38" s="150">
        <f t="shared" si="3"/>
        <v>251</v>
      </c>
      <c r="EJ38" s="150">
        <f t="shared" si="4"/>
        <v>241</v>
      </c>
      <c r="EK38" s="284">
        <f t="shared" si="1"/>
        <v>3</v>
      </c>
      <c r="EL38" s="151">
        <f t="shared" si="5"/>
        <v>6</v>
      </c>
      <c r="EM38" s="150">
        <f t="shared" si="6"/>
        <v>21</v>
      </c>
      <c r="EN38" s="150">
        <f t="shared" si="7"/>
        <v>14</v>
      </c>
      <c r="EO38" s="150">
        <f t="shared" si="8"/>
        <v>63</v>
      </c>
      <c r="EP38" s="150">
        <f t="shared" si="9"/>
        <v>35</v>
      </c>
      <c r="EQ38" s="150">
        <f t="shared" si="10"/>
        <v>38</v>
      </c>
      <c r="ER38" s="150">
        <f t="shared" si="11"/>
        <v>46</v>
      </c>
      <c r="ES38" s="152">
        <f t="shared" si="12"/>
        <v>28</v>
      </c>
      <c r="ET38" s="152">
        <f t="shared" si="2"/>
        <v>0</v>
      </c>
      <c r="EU38" s="57">
        <f t="shared" si="13"/>
        <v>42</v>
      </c>
      <c r="EV38" s="12">
        <f t="shared" si="14"/>
        <v>28</v>
      </c>
      <c r="EX38" s="12">
        <f t="shared" si="15"/>
        <v>214</v>
      </c>
      <c r="EY38" s="131">
        <f t="shared" si="16"/>
        <v>242</v>
      </c>
    </row>
    <row r="39" spans="1:155" ht="27.75" customHeight="1" thickBot="1" x14ac:dyDescent="0.3">
      <c r="A39" s="193" t="s">
        <v>11</v>
      </c>
      <c r="B39" s="193" t="s">
        <v>19</v>
      </c>
      <c r="C39" s="189">
        <v>64</v>
      </c>
      <c r="D39" s="33">
        <v>61</v>
      </c>
      <c r="E39" s="33">
        <v>41</v>
      </c>
      <c r="F39" s="33">
        <v>46</v>
      </c>
      <c r="G39" s="33">
        <v>32</v>
      </c>
      <c r="H39" s="33">
        <v>21</v>
      </c>
      <c r="I39" s="33">
        <v>34</v>
      </c>
      <c r="J39" s="33">
        <v>37</v>
      </c>
      <c r="K39" s="33">
        <v>35</v>
      </c>
      <c r="L39" s="33">
        <v>50</v>
      </c>
      <c r="M39" s="33">
        <v>68</v>
      </c>
      <c r="N39" s="33">
        <v>40</v>
      </c>
      <c r="O39" s="33">
        <v>23</v>
      </c>
      <c r="P39" s="33">
        <v>24</v>
      </c>
      <c r="Q39" s="33">
        <v>34</v>
      </c>
      <c r="R39" s="33">
        <v>43</v>
      </c>
      <c r="S39" s="33">
        <v>16</v>
      </c>
      <c r="T39" s="33">
        <v>4</v>
      </c>
      <c r="U39" s="33">
        <v>18</v>
      </c>
      <c r="V39" s="33">
        <v>15</v>
      </c>
      <c r="W39" s="33">
        <v>37</v>
      </c>
      <c r="X39" s="33">
        <v>21</v>
      </c>
      <c r="Y39" s="33">
        <v>21</v>
      </c>
      <c r="Z39" s="33">
        <v>7</v>
      </c>
      <c r="AA39" s="33">
        <v>35</v>
      </c>
      <c r="AB39" s="33">
        <v>14</v>
      </c>
      <c r="AC39" s="33">
        <v>16</v>
      </c>
      <c r="AD39" s="33">
        <v>35</v>
      </c>
      <c r="AE39" s="33">
        <v>33</v>
      </c>
      <c r="AF39" s="33">
        <v>17</v>
      </c>
      <c r="AG39" s="33">
        <v>32</v>
      </c>
      <c r="AH39" s="33">
        <v>22</v>
      </c>
      <c r="AI39" s="33">
        <v>30</v>
      </c>
      <c r="AJ39" s="34">
        <v>11</v>
      </c>
      <c r="AK39" s="34">
        <v>16</v>
      </c>
      <c r="AL39" s="34">
        <v>33</v>
      </c>
      <c r="AM39" s="34">
        <v>40</v>
      </c>
      <c r="AN39" s="60">
        <v>69</v>
      </c>
      <c r="AO39" s="60">
        <v>38</v>
      </c>
      <c r="AP39" s="60">
        <v>29</v>
      </c>
      <c r="AQ39" s="60">
        <v>26</v>
      </c>
      <c r="AR39" s="60">
        <v>24</v>
      </c>
      <c r="AS39" s="60">
        <v>25</v>
      </c>
      <c r="AT39" s="34">
        <v>27</v>
      </c>
      <c r="AU39" s="34">
        <v>23</v>
      </c>
      <c r="AV39" s="34">
        <v>18</v>
      </c>
      <c r="AW39" s="33">
        <v>36</v>
      </c>
      <c r="AX39" s="137">
        <v>24</v>
      </c>
      <c r="AY39" s="137">
        <v>13</v>
      </c>
      <c r="AZ39" s="137">
        <v>10</v>
      </c>
      <c r="BA39" s="137">
        <v>10</v>
      </c>
      <c r="BB39" s="137">
        <v>10</v>
      </c>
      <c r="BC39" s="137">
        <v>9</v>
      </c>
      <c r="BD39" s="137">
        <v>6</v>
      </c>
      <c r="BE39" s="137">
        <v>14</v>
      </c>
      <c r="BF39" s="137">
        <v>11</v>
      </c>
      <c r="BG39" s="137">
        <v>9</v>
      </c>
      <c r="BH39" s="137">
        <v>10</v>
      </c>
      <c r="BI39" s="137">
        <v>15</v>
      </c>
      <c r="BJ39" s="137">
        <v>12</v>
      </c>
      <c r="BK39" s="137">
        <v>6</v>
      </c>
      <c r="BL39" s="137">
        <v>16</v>
      </c>
      <c r="BM39" s="137">
        <v>4</v>
      </c>
      <c r="BN39" s="137">
        <v>12</v>
      </c>
      <c r="BO39" s="137">
        <v>15</v>
      </c>
      <c r="BP39" s="137">
        <v>9</v>
      </c>
      <c r="BQ39" s="137">
        <v>10</v>
      </c>
      <c r="BR39" s="138">
        <v>5</v>
      </c>
      <c r="BS39" s="138">
        <v>7</v>
      </c>
      <c r="BT39" s="138">
        <v>11</v>
      </c>
      <c r="BU39" s="138">
        <v>11</v>
      </c>
      <c r="BV39" s="138">
        <v>3</v>
      </c>
      <c r="BW39" s="137">
        <v>8</v>
      </c>
      <c r="BX39" s="137">
        <v>9</v>
      </c>
      <c r="BY39" s="137">
        <v>7</v>
      </c>
      <c r="BZ39" s="137">
        <v>11</v>
      </c>
      <c r="CA39" s="137">
        <v>8</v>
      </c>
      <c r="CB39" s="137">
        <v>2</v>
      </c>
      <c r="CC39" s="137">
        <v>11</v>
      </c>
      <c r="CD39" s="137">
        <v>7</v>
      </c>
      <c r="CE39" s="138">
        <v>14</v>
      </c>
      <c r="CF39" s="34">
        <v>13</v>
      </c>
      <c r="CG39" s="34">
        <v>9</v>
      </c>
      <c r="CH39" s="55">
        <v>8</v>
      </c>
      <c r="CI39" s="55">
        <v>8</v>
      </c>
      <c r="CJ39" s="34">
        <v>7</v>
      </c>
      <c r="CK39" s="34">
        <v>18</v>
      </c>
      <c r="CL39" s="34">
        <v>4</v>
      </c>
      <c r="CM39" s="34">
        <v>12</v>
      </c>
      <c r="CN39" s="34">
        <v>7</v>
      </c>
      <c r="CO39" s="34">
        <v>14</v>
      </c>
      <c r="CP39" s="34">
        <v>5</v>
      </c>
      <c r="CQ39" s="34">
        <v>6</v>
      </c>
      <c r="CR39" s="34">
        <v>8</v>
      </c>
      <c r="CS39" s="34">
        <v>13</v>
      </c>
      <c r="CT39" s="34">
        <v>7</v>
      </c>
      <c r="CU39" s="34">
        <v>2</v>
      </c>
      <c r="CV39" s="34">
        <v>4</v>
      </c>
      <c r="CW39" s="42">
        <v>11</v>
      </c>
      <c r="CX39" s="34">
        <v>9</v>
      </c>
      <c r="CY39" s="137">
        <v>0</v>
      </c>
      <c r="CZ39" s="34">
        <v>10</v>
      </c>
      <c r="DA39" s="34">
        <v>3</v>
      </c>
      <c r="DB39" s="34">
        <v>7</v>
      </c>
      <c r="DC39" s="34">
        <v>8</v>
      </c>
      <c r="DD39" s="34">
        <v>8</v>
      </c>
      <c r="DE39" s="34">
        <v>6</v>
      </c>
      <c r="DF39" s="34">
        <v>13</v>
      </c>
      <c r="DG39" s="34">
        <v>6</v>
      </c>
      <c r="DH39" s="42">
        <v>3</v>
      </c>
      <c r="DI39" s="34">
        <v>2</v>
      </c>
      <c r="DJ39" s="34">
        <v>20</v>
      </c>
      <c r="DK39" s="34">
        <v>10</v>
      </c>
      <c r="DL39" s="118">
        <v>4</v>
      </c>
      <c r="DM39" s="34">
        <v>1</v>
      </c>
      <c r="DN39" s="34">
        <v>1</v>
      </c>
      <c r="DO39" s="34">
        <v>1</v>
      </c>
      <c r="DP39" s="213"/>
      <c r="DQ39" s="213"/>
      <c r="DR39" s="42"/>
      <c r="DS39" s="213"/>
      <c r="DT39" s="42">
        <v>1</v>
      </c>
      <c r="DU39" s="34">
        <v>2</v>
      </c>
      <c r="DV39" s="34">
        <v>0</v>
      </c>
      <c r="DW39" s="34">
        <v>1</v>
      </c>
      <c r="DX39" s="34">
        <v>0</v>
      </c>
      <c r="DY39" s="34">
        <v>0</v>
      </c>
      <c r="DZ39" s="34">
        <v>1</v>
      </c>
      <c r="EA39" s="34">
        <v>2</v>
      </c>
      <c r="EB39" s="34">
        <v>0</v>
      </c>
      <c r="EC39" s="34">
        <v>0</v>
      </c>
      <c r="ED39" s="34">
        <v>0</v>
      </c>
      <c r="EE39" s="34">
        <v>1</v>
      </c>
      <c r="EF39" s="34">
        <v>1</v>
      </c>
      <c r="EG39" s="34">
        <v>1</v>
      </c>
      <c r="EH39" s="249">
        <f t="shared" si="0"/>
        <v>178</v>
      </c>
      <c r="EI39" s="150">
        <f t="shared" si="3"/>
        <v>2046</v>
      </c>
      <c r="EJ39" s="150">
        <f t="shared" si="4"/>
        <v>1747</v>
      </c>
      <c r="EK39" s="284">
        <f t="shared" si="1"/>
        <v>17</v>
      </c>
      <c r="EL39" s="151">
        <f t="shared" si="5"/>
        <v>64</v>
      </c>
      <c r="EM39" s="150">
        <f t="shared" si="6"/>
        <v>488</v>
      </c>
      <c r="EN39" s="150">
        <f t="shared" si="7"/>
        <v>275</v>
      </c>
      <c r="EO39" s="150">
        <f t="shared" si="8"/>
        <v>299</v>
      </c>
      <c r="EP39" s="150">
        <f t="shared" si="9"/>
        <v>352</v>
      </c>
      <c r="EQ39" s="150">
        <f t="shared" si="10"/>
        <v>233</v>
      </c>
      <c r="ER39" s="150">
        <f t="shared" si="11"/>
        <v>210</v>
      </c>
      <c r="ES39" s="152">
        <f t="shared" si="12"/>
        <v>127</v>
      </c>
      <c r="ET39" s="152">
        <f t="shared" si="2"/>
        <v>10</v>
      </c>
      <c r="EU39" s="57">
        <f t="shared" si="13"/>
        <v>196</v>
      </c>
      <c r="EV39" s="12">
        <f t="shared" si="14"/>
        <v>162</v>
      </c>
      <c r="EX39" s="12">
        <f t="shared" si="15"/>
        <v>1880</v>
      </c>
      <c r="EY39" s="131">
        <f t="shared" si="16"/>
        <v>1875</v>
      </c>
    </row>
    <row r="40" spans="1:155" ht="27.75" customHeight="1" thickBot="1" x14ac:dyDescent="0.3">
      <c r="A40" s="243" t="s">
        <v>20</v>
      </c>
      <c r="B40" s="243" t="s">
        <v>20</v>
      </c>
      <c r="C40" s="189">
        <f t="shared" ref="C40:AS40" si="17">SUM(C41:C52)</f>
        <v>5</v>
      </c>
      <c r="D40" s="33">
        <f t="shared" si="17"/>
        <v>3</v>
      </c>
      <c r="E40" s="33">
        <f t="shared" si="17"/>
        <v>2</v>
      </c>
      <c r="F40" s="33">
        <f t="shared" si="17"/>
        <v>5</v>
      </c>
      <c r="G40" s="33">
        <f t="shared" si="17"/>
        <v>3</v>
      </c>
      <c r="H40" s="33">
        <f t="shared" si="17"/>
        <v>6</v>
      </c>
      <c r="I40" s="33">
        <f t="shared" si="17"/>
        <v>1</v>
      </c>
      <c r="J40" s="33">
        <f t="shared" si="17"/>
        <v>4</v>
      </c>
      <c r="K40" s="33">
        <f t="shared" si="17"/>
        <v>10</v>
      </c>
      <c r="L40" s="33">
        <f t="shared" si="17"/>
        <v>6</v>
      </c>
      <c r="M40" s="33">
        <f t="shared" si="17"/>
        <v>6</v>
      </c>
      <c r="N40" s="33">
        <f t="shared" si="17"/>
        <v>4</v>
      </c>
      <c r="O40" s="33">
        <f t="shared" si="17"/>
        <v>10</v>
      </c>
      <c r="P40" s="33">
        <f t="shared" si="17"/>
        <v>3</v>
      </c>
      <c r="Q40" s="33">
        <f t="shared" si="17"/>
        <v>6</v>
      </c>
      <c r="R40" s="33">
        <f t="shared" si="17"/>
        <v>6</v>
      </c>
      <c r="S40" s="33">
        <f t="shared" si="17"/>
        <v>7</v>
      </c>
      <c r="T40" s="33">
        <f t="shared" si="17"/>
        <v>6</v>
      </c>
      <c r="U40" s="33">
        <f t="shared" si="17"/>
        <v>10</v>
      </c>
      <c r="V40" s="33">
        <f t="shared" si="17"/>
        <v>8</v>
      </c>
      <c r="W40" s="33">
        <f t="shared" si="17"/>
        <v>8</v>
      </c>
      <c r="X40" s="33">
        <f t="shared" si="17"/>
        <v>6</v>
      </c>
      <c r="Y40" s="33">
        <f t="shared" si="17"/>
        <v>8</v>
      </c>
      <c r="Z40" s="33">
        <f t="shared" si="17"/>
        <v>5</v>
      </c>
      <c r="AA40" s="33">
        <f t="shared" si="17"/>
        <v>7</v>
      </c>
      <c r="AB40" s="33">
        <f t="shared" si="17"/>
        <v>8</v>
      </c>
      <c r="AC40" s="33">
        <f t="shared" si="17"/>
        <v>5</v>
      </c>
      <c r="AD40" s="33">
        <f t="shared" si="17"/>
        <v>8</v>
      </c>
      <c r="AE40" s="33">
        <f t="shared" si="17"/>
        <v>6</v>
      </c>
      <c r="AF40" s="33">
        <f t="shared" si="17"/>
        <v>5</v>
      </c>
      <c r="AG40" s="33">
        <f t="shared" si="17"/>
        <v>13</v>
      </c>
      <c r="AH40" s="33">
        <f t="shared" si="17"/>
        <v>13</v>
      </c>
      <c r="AI40" s="33">
        <f t="shared" si="17"/>
        <v>6</v>
      </c>
      <c r="AJ40" s="33">
        <f t="shared" si="17"/>
        <v>4</v>
      </c>
      <c r="AK40" s="33">
        <f t="shared" si="17"/>
        <v>10</v>
      </c>
      <c r="AL40" s="33">
        <f t="shared" si="17"/>
        <v>6</v>
      </c>
      <c r="AM40" s="33">
        <f t="shared" si="17"/>
        <v>7</v>
      </c>
      <c r="AN40" s="33">
        <f t="shared" si="17"/>
        <v>6</v>
      </c>
      <c r="AO40" s="33">
        <f t="shared" si="17"/>
        <v>17</v>
      </c>
      <c r="AP40" s="33">
        <f t="shared" si="17"/>
        <v>12</v>
      </c>
      <c r="AQ40" s="33">
        <f t="shared" si="17"/>
        <v>11</v>
      </c>
      <c r="AR40" s="33">
        <f t="shared" si="17"/>
        <v>15</v>
      </c>
      <c r="AS40" s="33">
        <f t="shared" si="17"/>
        <v>8</v>
      </c>
      <c r="AT40" s="33">
        <v>8</v>
      </c>
      <c r="AU40" s="33">
        <v>7</v>
      </c>
      <c r="AV40" s="33">
        <v>8</v>
      </c>
      <c r="AW40" s="33">
        <v>7</v>
      </c>
      <c r="AX40" s="136">
        <v>9</v>
      </c>
      <c r="AY40" s="136">
        <v>8</v>
      </c>
      <c r="AZ40" s="136">
        <v>1</v>
      </c>
      <c r="BA40" s="136">
        <v>7</v>
      </c>
      <c r="BB40" s="136">
        <v>4</v>
      </c>
      <c r="BC40" s="136">
        <v>3</v>
      </c>
      <c r="BD40" s="136">
        <v>4</v>
      </c>
      <c r="BE40" s="136">
        <v>4</v>
      </c>
      <c r="BF40" s="136">
        <v>5</v>
      </c>
      <c r="BG40" s="136">
        <v>4</v>
      </c>
      <c r="BH40" s="136">
        <v>4</v>
      </c>
      <c r="BI40" s="136">
        <v>4</v>
      </c>
      <c r="BJ40" s="136">
        <v>4</v>
      </c>
      <c r="BK40" s="136">
        <v>5</v>
      </c>
      <c r="BL40" s="136">
        <v>2</v>
      </c>
      <c r="BM40" s="136">
        <v>6</v>
      </c>
      <c r="BN40" s="136">
        <v>2</v>
      </c>
      <c r="BO40" s="136">
        <v>6</v>
      </c>
      <c r="BP40" s="136">
        <v>4</v>
      </c>
      <c r="BQ40" s="136">
        <v>4</v>
      </c>
      <c r="BR40" s="181">
        <v>4</v>
      </c>
      <c r="BS40" s="181">
        <v>5</v>
      </c>
      <c r="BT40" s="181">
        <v>2</v>
      </c>
      <c r="BU40" s="181">
        <v>7</v>
      </c>
      <c r="BV40" s="181">
        <v>4</v>
      </c>
      <c r="BW40" s="136">
        <v>8</v>
      </c>
      <c r="BX40" s="136">
        <v>3</v>
      </c>
      <c r="BY40" s="136">
        <v>5</v>
      </c>
      <c r="BZ40" s="136">
        <v>0</v>
      </c>
      <c r="CA40" s="136">
        <v>8</v>
      </c>
      <c r="CB40" s="136">
        <v>2</v>
      </c>
      <c r="CC40" s="136">
        <v>2</v>
      </c>
      <c r="CD40" s="136">
        <v>5</v>
      </c>
      <c r="CE40" s="181">
        <v>3</v>
      </c>
      <c r="CF40" s="33">
        <v>2</v>
      </c>
      <c r="CG40" s="33">
        <v>2</v>
      </c>
      <c r="CH40" s="55">
        <v>5</v>
      </c>
      <c r="CI40" s="55">
        <v>1</v>
      </c>
      <c r="CJ40" s="33">
        <v>4</v>
      </c>
      <c r="CK40" s="33">
        <v>5</v>
      </c>
      <c r="CL40" s="33">
        <v>4</v>
      </c>
      <c r="CM40" s="33">
        <v>7</v>
      </c>
      <c r="CN40" s="33">
        <v>5</v>
      </c>
      <c r="CO40" s="33">
        <v>8</v>
      </c>
      <c r="CP40" s="33">
        <v>5</v>
      </c>
      <c r="CQ40" s="33">
        <v>5</v>
      </c>
      <c r="CR40" s="33">
        <v>6</v>
      </c>
      <c r="CS40" s="33">
        <v>6</v>
      </c>
      <c r="CT40" s="33">
        <v>5</v>
      </c>
      <c r="CU40" s="33">
        <v>11</v>
      </c>
      <c r="CV40" s="33">
        <v>1</v>
      </c>
      <c r="CW40" s="43">
        <v>7</v>
      </c>
      <c r="CX40" s="33">
        <v>7</v>
      </c>
      <c r="CY40" s="137">
        <v>6</v>
      </c>
      <c r="CZ40" s="34">
        <v>4</v>
      </c>
      <c r="DA40" s="33">
        <v>1</v>
      </c>
      <c r="DB40" s="33">
        <v>3</v>
      </c>
      <c r="DC40" s="33">
        <v>2</v>
      </c>
      <c r="DD40" s="33">
        <v>3</v>
      </c>
      <c r="DE40" s="119">
        <v>1</v>
      </c>
      <c r="DF40" s="33">
        <v>7</v>
      </c>
      <c r="DG40" s="33">
        <v>11</v>
      </c>
      <c r="DH40" s="43">
        <v>9</v>
      </c>
      <c r="DI40" s="33">
        <v>5</v>
      </c>
      <c r="DJ40" s="33">
        <v>4</v>
      </c>
      <c r="DK40" s="33">
        <v>0</v>
      </c>
      <c r="DL40" s="34">
        <v>2</v>
      </c>
      <c r="DM40" s="33">
        <v>0</v>
      </c>
      <c r="DN40" s="33">
        <v>1</v>
      </c>
      <c r="DO40" s="33">
        <v>0</v>
      </c>
      <c r="DP40" s="33">
        <v>2</v>
      </c>
      <c r="DQ40" s="33">
        <v>2</v>
      </c>
      <c r="DR40" s="33">
        <v>3</v>
      </c>
      <c r="DS40" s="33">
        <v>4</v>
      </c>
      <c r="DT40" s="218"/>
      <c r="DU40" s="218"/>
      <c r="DV40" s="213"/>
      <c r="DW40" s="213"/>
      <c r="DX40" s="218"/>
      <c r="DY40" s="218"/>
      <c r="DZ40" s="218"/>
      <c r="EA40" s="218"/>
      <c r="EB40" s="218"/>
      <c r="EC40" s="218"/>
      <c r="ED40" s="218"/>
      <c r="EE40" s="218"/>
      <c r="EF40" s="218"/>
      <c r="EG40" s="218"/>
      <c r="EH40" s="249">
        <f t="shared" si="0"/>
        <v>123</v>
      </c>
      <c r="EI40" s="150">
        <f t="shared" si="3"/>
        <v>637</v>
      </c>
      <c r="EJ40" s="150">
        <f t="shared" si="4"/>
        <v>612</v>
      </c>
      <c r="EK40" s="284">
        <f t="shared" si="1"/>
        <v>14</v>
      </c>
      <c r="EL40" s="151">
        <f t="shared" si="5"/>
        <v>5</v>
      </c>
      <c r="EM40" s="150">
        <f t="shared" si="6"/>
        <v>60</v>
      </c>
      <c r="EN40" s="150">
        <f t="shared" si="7"/>
        <v>80</v>
      </c>
      <c r="EO40" s="150">
        <f t="shared" si="8"/>
        <v>91</v>
      </c>
      <c r="EP40" s="150">
        <f t="shared" si="9"/>
        <v>116</v>
      </c>
      <c r="EQ40" s="150">
        <f t="shared" si="10"/>
        <v>103</v>
      </c>
      <c r="ER40" s="150">
        <f t="shared" si="11"/>
        <v>109</v>
      </c>
      <c r="ES40" s="152">
        <f t="shared" si="12"/>
        <v>85</v>
      </c>
      <c r="ET40" s="152">
        <f t="shared" si="2"/>
        <v>0</v>
      </c>
      <c r="EU40" s="57">
        <f t="shared" si="13"/>
        <v>85</v>
      </c>
      <c r="EV40" s="12">
        <f t="shared" si="14"/>
        <v>89</v>
      </c>
      <c r="EX40" s="12">
        <f t="shared" si="15"/>
        <v>526</v>
      </c>
      <c r="EY40" s="131">
        <f t="shared" si="16"/>
        <v>625</v>
      </c>
    </row>
    <row r="41" spans="1:155" ht="27.75" customHeight="1" thickBot="1" x14ac:dyDescent="0.3">
      <c r="A41" s="193" t="s">
        <v>20</v>
      </c>
      <c r="B41" s="193" t="s">
        <v>21</v>
      </c>
      <c r="C41" s="189">
        <v>0</v>
      </c>
      <c r="D41" s="33">
        <v>0</v>
      </c>
      <c r="E41" s="33">
        <v>0</v>
      </c>
      <c r="F41" s="33">
        <v>0</v>
      </c>
      <c r="G41" s="33">
        <v>0</v>
      </c>
      <c r="H41" s="33">
        <v>0</v>
      </c>
      <c r="I41" s="33">
        <v>0</v>
      </c>
      <c r="J41" s="33">
        <v>0</v>
      </c>
      <c r="K41" s="33">
        <v>0</v>
      </c>
      <c r="L41" s="33">
        <v>0</v>
      </c>
      <c r="M41" s="33">
        <v>0</v>
      </c>
      <c r="N41" s="33">
        <v>0</v>
      </c>
      <c r="O41" s="33">
        <v>0</v>
      </c>
      <c r="P41" s="33">
        <v>0</v>
      </c>
      <c r="Q41" s="33">
        <v>0</v>
      </c>
      <c r="R41" s="33">
        <v>0</v>
      </c>
      <c r="S41" s="33">
        <v>0</v>
      </c>
      <c r="T41" s="33">
        <v>0</v>
      </c>
      <c r="U41" s="33">
        <v>0</v>
      </c>
      <c r="V41" s="33">
        <v>0</v>
      </c>
      <c r="W41" s="33">
        <v>0</v>
      </c>
      <c r="X41" s="33">
        <v>0</v>
      </c>
      <c r="Y41" s="33">
        <v>0</v>
      </c>
      <c r="Z41" s="33">
        <v>0</v>
      </c>
      <c r="AA41" s="33">
        <v>0</v>
      </c>
      <c r="AB41" s="33">
        <v>0</v>
      </c>
      <c r="AC41" s="33">
        <v>0</v>
      </c>
      <c r="AD41" s="33">
        <v>2</v>
      </c>
      <c r="AE41" s="33">
        <v>0</v>
      </c>
      <c r="AF41" s="33">
        <v>0</v>
      </c>
      <c r="AG41" s="33">
        <v>4</v>
      </c>
      <c r="AH41" s="33">
        <v>0</v>
      </c>
      <c r="AI41" s="33">
        <v>0</v>
      </c>
      <c r="AJ41" s="34">
        <v>0</v>
      </c>
      <c r="AK41" s="34">
        <v>2</v>
      </c>
      <c r="AL41" s="34">
        <v>0</v>
      </c>
      <c r="AM41" s="34">
        <v>0</v>
      </c>
      <c r="AN41" s="34">
        <v>0</v>
      </c>
      <c r="AO41" s="34">
        <v>4</v>
      </c>
      <c r="AP41" s="34">
        <v>2</v>
      </c>
      <c r="AQ41" s="34">
        <v>2</v>
      </c>
      <c r="AR41" s="34">
        <v>2</v>
      </c>
      <c r="AS41" s="34">
        <v>0</v>
      </c>
      <c r="AT41" s="34">
        <v>0</v>
      </c>
      <c r="AU41" s="34">
        <v>1</v>
      </c>
      <c r="AV41" s="34">
        <v>0</v>
      </c>
      <c r="AW41" s="33">
        <v>0</v>
      </c>
      <c r="AX41" s="137">
        <v>3</v>
      </c>
      <c r="AY41" s="137">
        <v>1</v>
      </c>
      <c r="AZ41" s="137">
        <v>0</v>
      </c>
      <c r="BA41" s="137">
        <v>0</v>
      </c>
      <c r="BB41" s="137">
        <v>0</v>
      </c>
      <c r="BC41" s="137">
        <v>0</v>
      </c>
      <c r="BD41" s="137">
        <v>0</v>
      </c>
      <c r="BE41" s="137">
        <v>0</v>
      </c>
      <c r="BF41" s="137">
        <v>1</v>
      </c>
      <c r="BG41" s="137">
        <v>1</v>
      </c>
      <c r="BH41" s="137">
        <v>0</v>
      </c>
      <c r="BI41" s="137">
        <v>1</v>
      </c>
      <c r="BJ41" s="137">
        <v>0</v>
      </c>
      <c r="BK41" s="137">
        <v>0</v>
      </c>
      <c r="BL41" s="137">
        <v>0</v>
      </c>
      <c r="BM41" s="137">
        <v>0</v>
      </c>
      <c r="BN41" s="137">
        <v>0</v>
      </c>
      <c r="BO41" s="137">
        <v>0</v>
      </c>
      <c r="BP41" s="137">
        <v>0</v>
      </c>
      <c r="BQ41" s="137">
        <v>0</v>
      </c>
      <c r="BR41" s="138">
        <v>0</v>
      </c>
      <c r="BS41" s="138">
        <v>0</v>
      </c>
      <c r="BT41" s="138">
        <v>0</v>
      </c>
      <c r="BU41" s="138">
        <v>0</v>
      </c>
      <c r="BV41" s="138">
        <v>0</v>
      </c>
      <c r="BW41" s="137">
        <v>0</v>
      </c>
      <c r="BX41" s="137">
        <v>0</v>
      </c>
      <c r="BY41" s="137">
        <v>0</v>
      </c>
      <c r="BZ41" s="137">
        <v>0</v>
      </c>
      <c r="CA41" s="137">
        <v>0</v>
      </c>
      <c r="CB41" s="137">
        <v>0</v>
      </c>
      <c r="CC41" s="137">
        <v>0</v>
      </c>
      <c r="CD41" s="137">
        <v>2</v>
      </c>
      <c r="CE41" s="138">
        <v>0</v>
      </c>
      <c r="CF41" s="34">
        <v>0</v>
      </c>
      <c r="CG41" s="34">
        <v>0</v>
      </c>
      <c r="CH41" s="55">
        <v>0</v>
      </c>
      <c r="CI41" s="55">
        <v>0</v>
      </c>
      <c r="CJ41" s="34">
        <v>0</v>
      </c>
      <c r="CK41" s="34">
        <v>0</v>
      </c>
      <c r="CL41" s="34">
        <v>0</v>
      </c>
      <c r="CM41" s="34">
        <v>0</v>
      </c>
      <c r="CN41" s="34">
        <v>0</v>
      </c>
      <c r="CO41" s="34">
        <v>0</v>
      </c>
      <c r="CP41" s="34">
        <v>0</v>
      </c>
      <c r="CQ41" s="34">
        <v>0</v>
      </c>
      <c r="CR41" s="34">
        <v>0</v>
      </c>
      <c r="CS41" s="34">
        <v>0</v>
      </c>
      <c r="CT41" s="34">
        <v>0</v>
      </c>
      <c r="CU41" s="34">
        <v>0</v>
      </c>
      <c r="CV41" s="34">
        <v>0</v>
      </c>
      <c r="CW41" s="42">
        <v>0</v>
      </c>
      <c r="CX41" s="34">
        <v>0</v>
      </c>
      <c r="CY41" s="137">
        <v>2</v>
      </c>
      <c r="CZ41" s="34">
        <v>0</v>
      </c>
      <c r="DA41" s="34">
        <v>0</v>
      </c>
      <c r="DB41" s="34">
        <v>1</v>
      </c>
      <c r="DC41" s="34">
        <v>0</v>
      </c>
      <c r="DD41" s="34">
        <v>0</v>
      </c>
      <c r="DE41" s="34">
        <v>0</v>
      </c>
      <c r="DF41" s="34">
        <v>0</v>
      </c>
      <c r="DG41" s="34">
        <v>0</v>
      </c>
      <c r="DH41" s="42">
        <v>0</v>
      </c>
      <c r="DI41" s="34">
        <v>0</v>
      </c>
      <c r="DJ41" s="34">
        <v>0</v>
      </c>
      <c r="DK41" s="34">
        <v>0</v>
      </c>
      <c r="DL41" s="34">
        <v>0</v>
      </c>
      <c r="DM41" s="34">
        <v>0</v>
      </c>
      <c r="DN41" s="34">
        <v>0</v>
      </c>
      <c r="DO41" s="34">
        <v>0</v>
      </c>
      <c r="DP41" s="34">
        <v>0</v>
      </c>
      <c r="DQ41" s="213"/>
      <c r="DR41" s="213"/>
      <c r="DS41" s="213"/>
      <c r="DT41" s="218"/>
      <c r="DU41" s="218"/>
      <c r="DV41" s="213"/>
      <c r="DW41" s="213"/>
      <c r="DX41" s="218"/>
      <c r="DY41" s="218"/>
      <c r="DZ41" s="218"/>
      <c r="EA41" s="218"/>
      <c r="EB41" s="218"/>
      <c r="EC41" s="218"/>
      <c r="ED41" s="218"/>
      <c r="EE41" s="218"/>
      <c r="EF41" s="218"/>
      <c r="EG41" s="218"/>
      <c r="EH41" s="249">
        <f t="shared" si="0"/>
        <v>3</v>
      </c>
      <c r="EI41" s="150">
        <f t="shared" si="3"/>
        <v>31</v>
      </c>
      <c r="EJ41" s="150">
        <f t="shared" si="4"/>
        <v>31</v>
      </c>
      <c r="EK41" s="284">
        <f t="shared" si="1"/>
        <v>0</v>
      </c>
      <c r="EL41" s="151">
        <f t="shared" si="5"/>
        <v>0</v>
      </c>
      <c r="EM41" s="150">
        <f t="shared" si="6"/>
        <v>0</v>
      </c>
      <c r="EN41" s="150">
        <f t="shared" si="7"/>
        <v>0</v>
      </c>
      <c r="EO41" s="150">
        <f t="shared" si="8"/>
        <v>8</v>
      </c>
      <c r="EP41" s="150">
        <f t="shared" si="9"/>
        <v>15</v>
      </c>
      <c r="EQ41" s="150">
        <f t="shared" si="10"/>
        <v>3</v>
      </c>
      <c r="ER41" s="150">
        <f t="shared" si="11"/>
        <v>2</v>
      </c>
      <c r="ES41" s="152">
        <f t="shared" si="12"/>
        <v>3</v>
      </c>
      <c r="ET41" s="152">
        <f t="shared" si="2"/>
        <v>0</v>
      </c>
      <c r="EU41" s="57">
        <f t="shared" si="13"/>
        <v>2</v>
      </c>
      <c r="EV41" s="12">
        <f t="shared" si="14"/>
        <v>2</v>
      </c>
      <c r="EX41" s="12">
        <f t="shared" si="15"/>
        <v>28</v>
      </c>
      <c r="EY41" s="131">
        <f t="shared" si="16"/>
        <v>31</v>
      </c>
    </row>
    <row r="42" spans="1:155" ht="27.75" customHeight="1" thickBot="1" x14ac:dyDescent="0.3">
      <c r="A42" s="8" t="s">
        <v>20</v>
      </c>
      <c r="B42" s="8" t="s">
        <v>22</v>
      </c>
      <c r="C42" s="33">
        <v>0</v>
      </c>
      <c r="D42" s="33">
        <v>0</v>
      </c>
      <c r="E42" s="33">
        <v>0</v>
      </c>
      <c r="F42" s="33">
        <v>0</v>
      </c>
      <c r="G42" s="33">
        <v>0</v>
      </c>
      <c r="H42" s="33">
        <v>0</v>
      </c>
      <c r="I42" s="33">
        <v>0</v>
      </c>
      <c r="J42" s="33">
        <v>0</v>
      </c>
      <c r="K42" s="33">
        <v>0</v>
      </c>
      <c r="L42" s="33">
        <v>0</v>
      </c>
      <c r="M42" s="33">
        <v>0</v>
      </c>
      <c r="N42" s="33">
        <v>0</v>
      </c>
      <c r="O42" s="33">
        <v>0</v>
      </c>
      <c r="P42" s="33">
        <v>0</v>
      </c>
      <c r="Q42" s="33">
        <v>0</v>
      </c>
      <c r="R42" s="33">
        <v>0</v>
      </c>
      <c r="S42" s="33">
        <v>0</v>
      </c>
      <c r="T42" s="33">
        <v>0</v>
      </c>
      <c r="U42" s="33">
        <v>0</v>
      </c>
      <c r="V42" s="33">
        <v>0</v>
      </c>
      <c r="W42" s="33">
        <v>0</v>
      </c>
      <c r="X42" s="33">
        <v>0</v>
      </c>
      <c r="Y42" s="33">
        <v>0</v>
      </c>
      <c r="Z42" s="33">
        <v>0</v>
      </c>
      <c r="AA42" s="33">
        <v>0</v>
      </c>
      <c r="AB42" s="33">
        <v>0</v>
      </c>
      <c r="AC42" s="33">
        <v>0</v>
      </c>
      <c r="AD42" s="33">
        <v>0</v>
      </c>
      <c r="AE42" s="33">
        <v>0</v>
      </c>
      <c r="AF42" s="33">
        <v>0</v>
      </c>
      <c r="AG42" s="33">
        <v>0</v>
      </c>
      <c r="AH42" s="33">
        <v>4</v>
      </c>
      <c r="AI42" s="33">
        <v>0</v>
      </c>
      <c r="AJ42" s="34">
        <v>0</v>
      </c>
      <c r="AK42" s="34">
        <v>0</v>
      </c>
      <c r="AL42" s="34">
        <v>0</v>
      </c>
      <c r="AM42" s="34">
        <v>0</v>
      </c>
      <c r="AN42" s="34">
        <v>0</v>
      </c>
      <c r="AO42" s="34">
        <v>1</v>
      </c>
      <c r="AP42" s="34">
        <v>1</v>
      </c>
      <c r="AQ42" s="34">
        <v>0</v>
      </c>
      <c r="AR42" s="34">
        <v>2</v>
      </c>
      <c r="AS42" s="34">
        <v>0</v>
      </c>
      <c r="AT42" s="34">
        <v>2</v>
      </c>
      <c r="AU42" s="34">
        <v>0</v>
      </c>
      <c r="AV42" s="34">
        <v>2</v>
      </c>
      <c r="AW42" s="33">
        <v>0</v>
      </c>
      <c r="AX42" s="137">
        <v>0</v>
      </c>
      <c r="AY42" s="137">
        <v>0</v>
      </c>
      <c r="AZ42" s="137">
        <v>0</v>
      </c>
      <c r="BA42" s="137">
        <v>0</v>
      </c>
      <c r="BB42" s="137">
        <v>0</v>
      </c>
      <c r="BC42" s="137">
        <v>0</v>
      </c>
      <c r="BD42" s="137">
        <v>0</v>
      </c>
      <c r="BE42" s="137">
        <v>0</v>
      </c>
      <c r="BF42" s="137">
        <v>0</v>
      </c>
      <c r="BG42" s="137">
        <v>0</v>
      </c>
      <c r="BH42" s="137">
        <v>0</v>
      </c>
      <c r="BI42" s="137">
        <v>0</v>
      </c>
      <c r="BJ42" s="137">
        <v>0</v>
      </c>
      <c r="BK42" s="137">
        <v>0</v>
      </c>
      <c r="BL42" s="137">
        <v>0</v>
      </c>
      <c r="BM42" s="137">
        <v>0</v>
      </c>
      <c r="BN42" s="137">
        <v>0</v>
      </c>
      <c r="BO42" s="137">
        <v>0</v>
      </c>
      <c r="BP42" s="137">
        <v>0</v>
      </c>
      <c r="BQ42" s="137">
        <v>0</v>
      </c>
      <c r="BR42" s="138">
        <v>0</v>
      </c>
      <c r="BS42" s="138">
        <v>0</v>
      </c>
      <c r="BT42" s="138">
        <v>0</v>
      </c>
      <c r="BU42" s="138">
        <v>0</v>
      </c>
      <c r="BV42" s="138">
        <v>0</v>
      </c>
      <c r="BW42" s="137">
        <v>0</v>
      </c>
      <c r="BX42" s="137">
        <v>0</v>
      </c>
      <c r="BY42" s="137">
        <v>0</v>
      </c>
      <c r="BZ42" s="137">
        <v>0</v>
      </c>
      <c r="CA42" s="137">
        <v>0</v>
      </c>
      <c r="CB42" s="137">
        <v>0</v>
      </c>
      <c r="CC42" s="137">
        <v>0</v>
      </c>
      <c r="CD42" s="137">
        <v>0</v>
      </c>
      <c r="CE42" s="138">
        <v>0</v>
      </c>
      <c r="CF42" s="34">
        <v>0</v>
      </c>
      <c r="CG42" s="34">
        <v>0</v>
      </c>
      <c r="CH42" s="55">
        <v>0</v>
      </c>
      <c r="CI42" s="55">
        <v>0</v>
      </c>
      <c r="CJ42" s="34">
        <v>0</v>
      </c>
      <c r="CK42" s="34">
        <v>0</v>
      </c>
      <c r="CL42" s="34">
        <v>0</v>
      </c>
      <c r="CM42" s="34">
        <v>0</v>
      </c>
      <c r="CN42" s="34">
        <v>0</v>
      </c>
      <c r="CO42" s="34">
        <v>0</v>
      </c>
      <c r="CP42" s="34">
        <v>0</v>
      </c>
      <c r="CQ42" s="34">
        <v>0</v>
      </c>
      <c r="CR42" s="34">
        <v>0</v>
      </c>
      <c r="CS42" s="34">
        <v>0</v>
      </c>
      <c r="CT42" s="34">
        <v>0</v>
      </c>
      <c r="CU42" s="34">
        <v>0</v>
      </c>
      <c r="CV42" s="34">
        <v>0</v>
      </c>
      <c r="CW42" s="42">
        <v>0</v>
      </c>
      <c r="CX42" s="34">
        <v>0</v>
      </c>
      <c r="CY42" s="137">
        <v>0</v>
      </c>
      <c r="CZ42" s="34">
        <v>0</v>
      </c>
      <c r="DA42" s="34">
        <v>0</v>
      </c>
      <c r="DB42" s="34">
        <v>0</v>
      </c>
      <c r="DC42" s="34">
        <v>0</v>
      </c>
      <c r="DD42" s="34">
        <v>0</v>
      </c>
      <c r="DE42" s="34">
        <v>0</v>
      </c>
      <c r="DF42" s="34">
        <v>0</v>
      </c>
      <c r="DG42" s="34">
        <v>0</v>
      </c>
      <c r="DH42" s="42">
        <v>0</v>
      </c>
      <c r="DI42" s="34">
        <v>0</v>
      </c>
      <c r="DJ42" s="34">
        <v>0</v>
      </c>
      <c r="DK42" s="34">
        <v>0</v>
      </c>
      <c r="DL42" s="34">
        <v>0</v>
      </c>
      <c r="DM42" s="34">
        <v>0</v>
      </c>
      <c r="DN42" s="34">
        <v>0</v>
      </c>
      <c r="DO42" s="34">
        <v>0</v>
      </c>
      <c r="DP42" s="34">
        <v>0</v>
      </c>
      <c r="DQ42" s="213"/>
      <c r="DR42" s="213"/>
      <c r="DS42" s="213"/>
      <c r="DT42" s="218"/>
      <c r="DU42" s="218"/>
      <c r="DV42" s="213"/>
      <c r="DW42" s="213"/>
      <c r="DX42" s="218"/>
      <c r="DY42" s="218"/>
      <c r="DZ42" s="218"/>
      <c r="EA42" s="218"/>
      <c r="EB42" s="218"/>
      <c r="EC42" s="218"/>
      <c r="ED42" s="218"/>
      <c r="EE42" s="218"/>
      <c r="EF42" s="218"/>
      <c r="EG42" s="218"/>
      <c r="EH42" s="249">
        <f t="shared" si="0"/>
        <v>0</v>
      </c>
      <c r="EI42" s="150">
        <f t="shared" si="3"/>
        <v>12</v>
      </c>
      <c r="EJ42" s="150">
        <f t="shared" si="4"/>
        <v>12</v>
      </c>
      <c r="EK42" s="284">
        <f t="shared" si="1"/>
        <v>0</v>
      </c>
      <c r="EL42" s="151">
        <f t="shared" si="5"/>
        <v>0</v>
      </c>
      <c r="EM42" s="150">
        <f t="shared" si="6"/>
        <v>0</v>
      </c>
      <c r="EN42" s="150">
        <f t="shared" si="7"/>
        <v>0</v>
      </c>
      <c r="EO42" s="150">
        <f t="shared" si="8"/>
        <v>4</v>
      </c>
      <c r="EP42" s="150">
        <f t="shared" si="9"/>
        <v>8</v>
      </c>
      <c r="EQ42" s="150">
        <f t="shared" si="10"/>
        <v>0</v>
      </c>
      <c r="ER42" s="150">
        <f t="shared" si="11"/>
        <v>0</v>
      </c>
      <c r="ES42" s="152">
        <f t="shared" si="12"/>
        <v>0</v>
      </c>
      <c r="ET42" s="152">
        <f t="shared" si="2"/>
        <v>0</v>
      </c>
      <c r="EU42" s="57">
        <f t="shared" si="13"/>
        <v>0</v>
      </c>
      <c r="EV42" s="12">
        <f t="shared" si="14"/>
        <v>0</v>
      </c>
      <c r="EX42" s="12">
        <f t="shared" si="15"/>
        <v>12</v>
      </c>
      <c r="EY42" s="131">
        <f t="shared" si="16"/>
        <v>12</v>
      </c>
    </row>
    <row r="43" spans="1:155" ht="27.75" customHeight="1" thickBot="1" x14ac:dyDescent="0.3">
      <c r="A43" s="8" t="s">
        <v>20</v>
      </c>
      <c r="B43" s="8" t="s">
        <v>23</v>
      </c>
      <c r="C43" s="33">
        <v>0</v>
      </c>
      <c r="D43" s="33">
        <v>0</v>
      </c>
      <c r="E43" s="33">
        <v>0</v>
      </c>
      <c r="F43" s="33">
        <v>0</v>
      </c>
      <c r="G43" s="33">
        <v>0</v>
      </c>
      <c r="H43" s="33">
        <v>0</v>
      </c>
      <c r="I43" s="33">
        <v>0</v>
      </c>
      <c r="J43" s="33">
        <v>0</v>
      </c>
      <c r="K43" s="33">
        <v>0</v>
      </c>
      <c r="L43" s="33">
        <v>0</v>
      </c>
      <c r="M43" s="33">
        <v>0</v>
      </c>
      <c r="N43" s="33">
        <v>0</v>
      </c>
      <c r="O43" s="33">
        <v>0</v>
      </c>
      <c r="P43" s="33">
        <v>0</v>
      </c>
      <c r="Q43" s="33">
        <v>0</v>
      </c>
      <c r="R43" s="33">
        <v>0</v>
      </c>
      <c r="S43" s="33">
        <v>0</v>
      </c>
      <c r="T43" s="33">
        <v>0</v>
      </c>
      <c r="U43" s="33">
        <v>0</v>
      </c>
      <c r="V43" s="33">
        <v>0</v>
      </c>
      <c r="W43" s="33">
        <v>0</v>
      </c>
      <c r="X43" s="33">
        <v>0</v>
      </c>
      <c r="Y43" s="33">
        <v>0</v>
      </c>
      <c r="Z43" s="33">
        <v>0</v>
      </c>
      <c r="AA43" s="33">
        <v>0</v>
      </c>
      <c r="AB43" s="33">
        <v>0</v>
      </c>
      <c r="AC43" s="33">
        <v>0</v>
      </c>
      <c r="AD43" s="33">
        <v>0</v>
      </c>
      <c r="AE43" s="33">
        <v>0</v>
      </c>
      <c r="AF43" s="33">
        <v>0</v>
      </c>
      <c r="AG43" s="33">
        <v>0</v>
      </c>
      <c r="AH43" s="33">
        <v>0</v>
      </c>
      <c r="AI43" s="33">
        <v>0</v>
      </c>
      <c r="AJ43" s="34">
        <v>0</v>
      </c>
      <c r="AK43" s="34">
        <v>0</v>
      </c>
      <c r="AL43" s="34">
        <v>0</v>
      </c>
      <c r="AM43" s="34">
        <v>0</v>
      </c>
      <c r="AN43" s="34">
        <v>0</v>
      </c>
      <c r="AO43" s="34">
        <v>3</v>
      </c>
      <c r="AP43" s="34">
        <v>3</v>
      </c>
      <c r="AQ43" s="34">
        <v>2</v>
      </c>
      <c r="AR43" s="34">
        <v>3</v>
      </c>
      <c r="AS43" s="34">
        <v>0</v>
      </c>
      <c r="AT43" s="34">
        <v>0</v>
      </c>
      <c r="AU43" s="34">
        <v>0</v>
      </c>
      <c r="AV43" s="34">
        <v>0</v>
      </c>
      <c r="AW43" s="33">
        <v>0</v>
      </c>
      <c r="AX43" s="137">
        <v>0</v>
      </c>
      <c r="AY43" s="137">
        <v>0</v>
      </c>
      <c r="AZ43" s="137">
        <v>0</v>
      </c>
      <c r="BA43" s="137">
        <v>0</v>
      </c>
      <c r="BB43" s="137">
        <v>0</v>
      </c>
      <c r="BC43" s="137">
        <v>0</v>
      </c>
      <c r="BD43" s="137">
        <v>0</v>
      </c>
      <c r="BE43" s="137">
        <v>0</v>
      </c>
      <c r="BF43" s="137">
        <v>0</v>
      </c>
      <c r="BG43" s="137">
        <v>0</v>
      </c>
      <c r="BH43" s="137">
        <v>0</v>
      </c>
      <c r="BI43" s="137">
        <v>0</v>
      </c>
      <c r="BJ43" s="137">
        <v>0</v>
      </c>
      <c r="BK43" s="137">
        <v>0</v>
      </c>
      <c r="BL43" s="137">
        <v>0</v>
      </c>
      <c r="BM43" s="137">
        <v>0</v>
      </c>
      <c r="BN43" s="137">
        <v>0</v>
      </c>
      <c r="BO43" s="137">
        <v>1</v>
      </c>
      <c r="BP43" s="137">
        <v>0</v>
      </c>
      <c r="BQ43" s="137">
        <v>0</v>
      </c>
      <c r="BR43" s="138">
        <v>0</v>
      </c>
      <c r="BS43" s="138">
        <v>1</v>
      </c>
      <c r="BT43" s="138">
        <v>0</v>
      </c>
      <c r="BU43" s="138">
        <v>0</v>
      </c>
      <c r="BV43" s="138">
        <v>0</v>
      </c>
      <c r="BW43" s="137">
        <v>0</v>
      </c>
      <c r="BX43" s="137">
        <v>0</v>
      </c>
      <c r="BY43" s="137">
        <v>0</v>
      </c>
      <c r="BZ43" s="137">
        <v>0</v>
      </c>
      <c r="CA43" s="137">
        <v>0</v>
      </c>
      <c r="CB43" s="137">
        <v>0</v>
      </c>
      <c r="CC43" s="137">
        <v>0</v>
      </c>
      <c r="CD43" s="137">
        <v>0</v>
      </c>
      <c r="CE43" s="138">
        <v>0</v>
      </c>
      <c r="CF43" s="34">
        <v>0</v>
      </c>
      <c r="CG43" s="34">
        <v>0</v>
      </c>
      <c r="CH43" s="55">
        <v>0</v>
      </c>
      <c r="CI43" s="55">
        <v>0</v>
      </c>
      <c r="CJ43" s="34">
        <v>0</v>
      </c>
      <c r="CK43" s="34">
        <v>0</v>
      </c>
      <c r="CL43" s="34">
        <v>0</v>
      </c>
      <c r="CM43" s="34">
        <v>0</v>
      </c>
      <c r="CN43" s="34">
        <v>0</v>
      </c>
      <c r="CO43" s="34">
        <v>0</v>
      </c>
      <c r="CP43" s="34">
        <v>0</v>
      </c>
      <c r="CQ43" s="34">
        <v>0</v>
      </c>
      <c r="CR43" s="34">
        <v>0</v>
      </c>
      <c r="CS43" s="34">
        <v>0</v>
      </c>
      <c r="CT43" s="34">
        <v>0</v>
      </c>
      <c r="CU43" s="34">
        <v>0</v>
      </c>
      <c r="CV43" s="34">
        <v>0</v>
      </c>
      <c r="CW43" s="42">
        <v>0</v>
      </c>
      <c r="CX43" s="34">
        <v>0</v>
      </c>
      <c r="CY43" s="137">
        <v>0</v>
      </c>
      <c r="CZ43" s="34">
        <v>0</v>
      </c>
      <c r="DA43" s="34">
        <v>0</v>
      </c>
      <c r="DB43" s="34">
        <v>0</v>
      </c>
      <c r="DC43" s="34">
        <v>0</v>
      </c>
      <c r="DD43" s="34">
        <v>0</v>
      </c>
      <c r="DE43" s="34">
        <v>0</v>
      </c>
      <c r="DF43" s="34">
        <v>0</v>
      </c>
      <c r="DG43" s="34">
        <v>0</v>
      </c>
      <c r="DH43" s="42">
        <v>0</v>
      </c>
      <c r="DI43" s="34">
        <v>0</v>
      </c>
      <c r="DJ43" s="34">
        <v>0</v>
      </c>
      <c r="DK43" s="34">
        <v>0</v>
      </c>
      <c r="DL43" s="34">
        <v>0</v>
      </c>
      <c r="DM43" s="34">
        <v>0</v>
      </c>
      <c r="DN43" s="34">
        <v>0</v>
      </c>
      <c r="DO43" s="34">
        <v>0</v>
      </c>
      <c r="DP43" s="34">
        <v>0</v>
      </c>
      <c r="DQ43" s="213"/>
      <c r="DR43" s="213"/>
      <c r="DS43" s="213"/>
      <c r="DT43" s="218"/>
      <c r="DU43" s="218"/>
      <c r="DV43" s="213"/>
      <c r="DW43" s="213"/>
      <c r="DX43" s="218"/>
      <c r="DY43" s="218"/>
      <c r="DZ43" s="218"/>
      <c r="EA43" s="218"/>
      <c r="EB43" s="218"/>
      <c r="EC43" s="218"/>
      <c r="ED43" s="218"/>
      <c r="EE43" s="218"/>
      <c r="EF43" s="218"/>
      <c r="EG43" s="218"/>
      <c r="EH43" s="249">
        <f t="shared" si="0"/>
        <v>0</v>
      </c>
      <c r="EI43" s="150">
        <f t="shared" si="3"/>
        <v>13</v>
      </c>
      <c r="EJ43" s="150">
        <f t="shared" si="4"/>
        <v>13</v>
      </c>
      <c r="EK43" s="284">
        <f t="shared" si="1"/>
        <v>0</v>
      </c>
      <c r="EL43" s="151">
        <f t="shared" si="5"/>
        <v>0</v>
      </c>
      <c r="EM43" s="150">
        <f t="shared" si="6"/>
        <v>0</v>
      </c>
      <c r="EN43" s="150">
        <f t="shared" si="7"/>
        <v>0</v>
      </c>
      <c r="EO43" s="150">
        <f t="shared" si="8"/>
        <v>0</v>
      </c>
      <c r="EP43" s="150">
        <f t="shared" si="9"/>
        <v>11</v>
      </c>
      <c r="EQ43" s="150">
        <f t="shared" si="10"/>
        <v>2</v>
      </c>
      <c r="ER43" s="150">
        <f t="shared" si="11"/>
        <v>0</v>
      </c>
      <c r="ES43" s="152">
        <f t="shared" si="12"/>
        <v>0</v>
      </c>
      <c r="ET43" s="152">
        <f t="shared" si="2"/>
        <v>0</v>
      </c>
      <c r="EU43" s="57">
        <f t="shared" si="13"/>
        <v>1</v>
      </c>
      <c r="EV43" s="12">
        <f t="shared" si="14"/>
        <v>0</v>
      </c>
      <c r="EX43" s="12">
        <f t="shared" si="15"/>
        <v>13</v>
      </c>
      <c r="EY43" s="131">
        <f t="shared" si="16"/>
        <v>13</v>
      </c>
    </row>
    <row r="44" spans="1:155" ht="27.75" customHeight="1" thickBot="1" x14ac:dyDescent="0.3">
      <c r="A44" s="8" t="s">
        <v>20</v>
      </c>
      <c r="B44" s="8" t="s">
        <v>24</v>
      </c>
      <c r="C44" s="33">
        <v>0</v>
      </c>
      <c r="D44" s="33">
        <v>0</v>
      </c>
      <c r="E44" s="33">
        <v>0</v>
      </c>
      <c r="F44" s="33">
        <v>0</v>
      </c>
      <c r="G44" s="33">
        <v>0</v>
      </c>
      <c r="H44" s="33">
        <v>0</v>
      </c>
      <c r="I44" s="33">
        <v>0</v>
      </c>
      <c r="J44" s="33">
        <v>0</v>
      </c>
      <c r="K44" s="33">
        <v>0</v>
      </c>
      <c r="L44" s="33">
        <v>0</v>
      </c>
      <c r="M44" s="33">
        <v>0</v>
      </c>
      <c r="N44" s="33">
        <v>0</v>
      </c>
      <c r="O44" s="33">
        <v>0</v>
      </c>
      <c r="P44" s="33">
        <v>0</v>
      </c>
      <c r="Q44" s="33">
        <v>0</v>
      </c>
      <c r="R44" s="33">
        <v>0</v>
      </c>
      <c r="S44" s="33">
        <v>0</v>
      </c>
      <c r="T44" s="33">
        <v>0</v>
      </c>
      <c r="U44" s="33">
        <v>0</v>
      </c>
      <c r="V44" s="33">
        <v>0</v>
      </c>
      <c r="W44" s="33">
        <v>0</v>
      </c>
      <c r="X44" s="33">
        <v>0</v>
      </c>
      <c r="Y44" s="33">
        <v>0</v>
      </c>
      <c r="Z44" s="33">
        <v>0</v>
      </c>
      <c r="AA44" s="33">
        <v>0</v>
      </c>
      <c r="AB44" s="33">
        <v>0</v>
      </c>
      <c r="AC44" s="33">
        <v>0</v>
      </c>
      <c r="AD44" s="33">
        <v>0</v>
      </c>
      <c r="AE44" s="33">
        <v>0</v>
      </c>
      <c r="AF44" s="33">
        <v>0</v>
      </c>
      <c r="AG44" s="33">
        <v>0</v>
      </c>
      <c r="AH44" s="33">
        <v>0</v>
      </c>
      <c r="AI44" s="33">
        <v>0</v>
      </c>
      <c r="AJ44" s="34">
        <v>0</v>
      </c>
      <c r="AK44" s="34">
        <v>0</v>
      </c>
      <c r="AL44" s="34">
        <v>0</v>
      </c>
      <c r="AM44" s="34">
        <v>0</v>
      </c>
      <c r="AN44" s="34">
        <v>0</v>
      </c>
      <c r="AO44" s="34">
        <v>1</v>
      </c>
      <c r="AP44" s="34">
        <v>0</v>
      </c>
      <c r="AQ44" s="34">
        <v>0</v>
      </c>
      <c r="AR44" s="34">
        <v>1</v>
      </c>
      <c r="AS44" s="34">
        <v>0</v>
      </c>
      <c r="AT44" s="34">
        <v>0</v>
      </c>
      <c r="AU44" s="34">
        <v>0</v>
      </c>
      <c r="AV44" s="34">
        <v>0</v>
      </c>
      <c r="AW44" s="33">
        <v>0</v>
      </c>
      <c r="AX44" s="137">
        <v>0</v>
      </c>
      <c r="AY44" s="137">
        <v>0</v>
      </c>
      <c r="AZ44" s="137">
        <v>1</v>
      </c>
      <c r="BA44" s="137">
        <v>0</v>
      </c>
      <c r="BB44" s="137">
        <v>0</v>
      </c>
      <c r="BC44" s="137">
        <v>0</v>
      </c>
      <c r="BD44" s="137">
        <v>1</v>
      </c>
      <c r="BE44" s="137">
        <v>0</v>
      </c>
      <c r="BF44" s="137">
        <v>0</v>
      </c>
      <c r="BG44" s="137">
        <v>0</v>
      </c>
      <c r="BH44" s="137">
        <v>0</v>
      </c>
      <c r="BI44" s="137">
        <v>0</v>
      </c>
      <c r="BJ44" s="137">
        <v>0</v>
      </c>
      <c r="BK44" s="137">
        <v>0</v>
      </c>
      <c r="BL44" s="137">
        <v>0</v>
      </c>
      <c r="BM44" s="137">
        <v>0</v>
      </c>
      <c r="BN44" s="137">
        <v>0</v>
      </c>
      <c r="BO44" s="137">
        <v>0</v>
      </c>
      <c r="BP44" s="137">
        <v>0</v>
      </c>
      <c r="BQ44" s="137">
        <v>0</v>
      </c>
      <c r="BR44" s="138">
        <v>0</v>
      </c>
      <c r="BS44" s="138">
        <v>0</v>
      </c>
      <c r="BT44" s="138">
        <v>0</v>
      </c>
      <c r="BU44" s="138">
        <v>0</v>
      </c>
      <c r="BV44" s="138">
        <v>0</v>
      </c>
      <c r="BW44" s="137">
        <v>0</v>
      </c>
      <c r="BX44" s="137">
        <v>0</v>
      </c>
      <c r="BY44" s="137">
        <v>0</v>
      </c>
      <c r="BZ44" s="137">
        <v>0</v>
      </c>
      <c r="CA44" s="137">
        <v>0</v>
      </c>
      <c r="CB44" s="137">
        <v>0</v>
      </c>
      <c r="CC44" s="137">
        <v>0</v>
      </c>
      <c r="CD44" s="137">
        <v>1</v>
      </c>
      <c r="CE44" s="138">
        <v>1</v>
      </c>
      <c r="CF44" s="34">
        <v>0</v>
      </c>
      <c r="CG44" s="34">
        <v>0</v>
      </c>
      <c r="CH44" s="55">
        <v>0</v>
      </c>
      <c r="CI44" s="55">
        <v>0</v>
      </c>
      <c r="CJ44" s="34">
        <v>0</v>
      </c>
      <c r="CK44" s="34">
        <v>0</v>
      </c>
      <c r="CL44" s="34">
        <v>0</v>
      </c>
      <c r="CM44" s="34">
        <v>0</v>
      </c>
      <c r="CN44" s="34">
        <v>0</v>
      </c>
      <c r="CO44" s="34">
        <v>0</v>
      </c>
      <c r="CP44" s="34">
        <v>0</v>
      </c>
      <c r="CQ44" s="34">
        <v>0</v>
      </c>
      <c r="CR44" s="34">
        <v>0</v>
      </c>
      <c r="CS44" s="34">
        <v>0</v>
      </c>
      <c r="CT44" s="34">
        <v>0</v>
      </c>
      <c r="CU44" s="34">
        <v>0</v>
      </c>
      <c r="CV44" s="34">
        <v>0</v>
      </c>
      <c r="CW44" s="42">
        <v>0</v>
      </c>
      <c r="CX44" s="34">
        <v>0</v>
      </c>
      <c r="CY44" s="137">
        <v>0</v>
      </c>
      <c r="CZ44" s="34">
        <v>0</v>
      </c>
      <c r="DA44" s="34">
        <v>0</v>
      </c>
      <c r="DB44" s="34">
        <v>0</v>
      </c>
      <c r="DC44" s="34">
        <v>0</v>
      </c>
      <c r="DD44" s="34">
        <v>0</v>
      </c>
      <c r="DE44" s="34">
        <v>0</v>
      </c>
      <c r="DF44" s="34">
        <v>0</v>
      </c>
      <c r="DG44" s="34">
        <v>0</v>
      </c>
      <c r="DH44" s="42">
        <v>0</v>
      </c>
      <c r="DI44" s="34">
        <v>0</v>
      </c>
      <c r="DJ44" s="34">
        <v>0</v>
      </c>
      <c r="DK44" s="34">
        <v>0</v>
      </c>
      <c r="DL44" s="34">
        <v>0</v>
      </c>
      <c r="DM44" s="34">
        <v>0</v>
      </c>
      <c r="DN44" s="34">
        <v>0</v>
      </c>
      <c r="DO44" s="34">
        <v>0</v>
      </c>
      <c r="DP44" s="34">
        <v>0</v>
      </c>
      <c r="DQ44" s="213"/>
      <c r="DR44" s="213"/>
      <c r="DS44" s="213"/>
      <c r="DT44" s="218"/>
      <c r="DU44" s="218"/>
      <c r="DV44" s="213"/>
      <c r="DW44" s="213"/>
      <c r="DX44" s="218"/>
      <c r="DY44" s="218"/>
      <c r="DZ44" s="218"/>
      <c r="EA44" s="218"/>
      <c r="EB44" s="218"/>
      <c r="EC44" s="218"/>
      <c r="ED44" s="218"/>
      <c r="EE44" s="218"/>
      <c r="EF44" s="218"/>
      <c r="EG44" s="218"/>
      <c r="EH44" s="249">
        <f t="shared" si="0"/>
        <v>0</v>
      </c>
      <c r="EI44" s="150">
        <f t="shared" si="3"/>
        <v>6</v>
      </c>
      <c r="EJ44" s="150">
        <f t="shared" si="4"/>
        <v>6</v>
      </c>
      <c r="EK44" s="284">
        <f t="shared" si="1"/>
        <v>0</v>
      </c>
      <c r="EL44" s="151">
        <f t="shared" si="5"/>
        <v>0</v>
      </c>
      <c r="EM44" s="150">
        <f t="shared" si="6"/>
        <v>0</v>
      </c>
      <c r="EN44" s="150">
        <f t="shared" si="7"/>
        <v>0</v>
      </c>
      <c r="EO44" s="150">
        <f t="shared" si="8"/>
        <v>0</v>
      </c>
      <c r="EP44" s="150">
        <f t="shared" si="9"/>
        <v>2</v>
      </c>
      <c r="EQ44" s="150">
        <f t="shared" si="10"/>
        <v>2</v>
      </c>
      <c r="ER44" s="150">
        <f t="shared" si="11"/>
        <v>2</v>
      </c>
      <c r="ES44" s="152">
        <f t="shared" si="12"/>
        <v>0</v>
      </c>
      <c r="ET44" s="152">
        <f t="shared" si="2"/>
        <v>0</v>
      </c>
      <c r="EU44" s="57">
        <f t="shared" si="13"/>
        <v>2</v>
      </c>
      <c r="EV44" s="12">
        <f t="shared" si="14"/>
        <v>2</v>
      </c>
      <c r="EX44" s="12">
        <f t="shared" si="15"/>
        <v>6</v>
      </c>
      <c r="EY44" s="131">
        <f t="shared" si="16"/>
        <v>6</v>
      </c>
    </row>
    <row r="45" spans="1:155" ht="27.75" customHeight="1" thickBot="1" x14ac:dyDescent="0.4">
      <c r="A45" s="8" t="s">
        <v>20</v>
      </c>
      <c r="B45" s="8" t="s">
        <v>18</v>
      </c>
      <c r="C45" s="36">
        <v>1</v>
      </c>
      <c r="D45" s="36">
        <v>0</v>
      </c>
      <c r="E45" s="36">
        <v>0</v>
      </c>
      <c r="F45" s="36">
        <v>0</v>
      </c>
      <c r="G45" s="36">
        <v>0</v>
      </c>
      <c r="H45" s="36">
        <v>0</v>
      </c>
      <c r="I45" s="36">
        <v>0</v>
      </c>
      <c r="J45" s="36">
        <v>3</v>
      </c>
      <c r="K45" s="36">
        <v>3</v>
      </c>
      <c r="L45" s="36">
        <v>0</v>
      </c>
      <c r="M45" s="36">
        <v>3</v>
      </c>
      <c r="N45" s="36">
        <v>1</v>
      </c>
      <c r="O45" s="36">
        <v>0</v>
      </c>
      <c r="P45" s="36">
        <v>0</v>
      </c>
      <c r="Q45" s="36">
        <v>0</v>
      </c>
      <c r="R45" s="36">
        <v>0</v>
      </c>
      <c r="S45" s="36">
        <v>0</v>
      </c>
      <c r="T45" s="36">
        <v>0</v>
      </c>
      <c r="U45" s="36">
        <v>2</v>
      </c>
      <c r="V45" s="36">
        <v>0</v>
      </c>
      <c r="W45" s="36">
        <v>1</v>
      </c>
      <c r="X45" s="36">
        <v>0</v>
      </c>
      <c r="Y45" s="36">
        <v>0</v>
      </c>
      <c r="Z45" s="36">
        <v>0</v>
      </c>
      <c r="AA45" s="36">
        <v>0</v>
      </c>
      <c r="AB45" s="37">
        <v>1</v>
      </c>
      <c r="AC45" s="37">
        <v>0</v>
      </c>
      <c r="AD45" s="37">
        <v>0</v>
      </c>
      <c r="AE45" s="37">
        <v>0</v>
      </c>
      <c r="AF45" s="37">
        <v>0</v>
      </c>
      <c r="AG45" s="37">
        <v>0</v>
      </c>
      <c r="AH45" s="37">
        <v>0</v>
      </c>
      <c r="AI45" s="37">
        <v>0</v>
      </c>
      <c r="AJ45" s="38">
        <v>0</v>
      </c>
      <c r="AK45" s="38">
        <v>0</v>
      </c>
      <c r="AL45" s="38">
        <v>0</v>
      </c>
      <c r="AM45" s="38">
        <v>0</v>
      </c>
      <c r="AN45" s="38">
        <v>0</v>
      </c>
      <c r="AO45" s="38">
        <v>0</v>
      </c>
      <c r="AP45" s="38">
        <v>0</v>
      </c>
      <c r="AQ45" s="38">
        <v>0</v>
      </c>
      <c r="AR45" s="38">
        <v>0</v>
      </c>
      <c r="AS45" s="34">
        <v>0</v>
      </c>
      <c r="AT45" s="34">
        <v>0</v>
      </c>
      <c r="AU45" s="34">
        <v>0</v>
      </c>
      <c r="AV45" s="34">
        <v>0</v>
      </c>
      <c r="AW45" s="33">
        <v>0</v>
      </c>
      <c r="AX45" s="34">
        <v>0</v>
      </c>
      <c r="AY45" s="34">
        <v>0</v>
      </c>
      <c r="AZ45" s="34">
        <v>0</v>
      </c>
      <c r="BA45" s="34">
        <v>0</v>
      </c>
      <c r="BB45" s="34">
        <v>0</v>
      </c>
      <c r="BC45" s="34">
        <v>0</v>
      </c>
      <c r="BD45" s="34">
        <v>0</v>
      </c>
      <c r="BE45" s="34">
        <v>0</v>
      </c>
      <c r="BF45" s="34">
        <v>0</v>
      </c>
      <c r="BG45" s="34">
        <v>0</v>
      </c>
      <c r="BH45" s="34">
        <v>0</v>
      </c>
      <c r="BI45" s="34">
        <v>0</v>
      </c>
      <c r="BJ45" s="34">
        <v>0</v>
      </c>
      <c r="BK45" s="34">
        <v>0</v>
      </c>
      <c r="BL45" s="34">
        <v>0</v>
      </c>
      <c r="BM45" s="34">
        <v>0</v>
      </c>
      <c r="BN45" s="34">
        <v>0</v>
      </c>
      <c r="BO45" s="34">
        <v>0</v>
      </c>
      <c r="BP45" s="34">
        <v>0</v>
      </c>
      <c r="BQ45" s="34">
        <v>0</v>
      </c>
      <c r="BR45" s="42">
        <v>0</v>
      </c>
      <c r="BS45" s="42">
        <v>0</v>
      </c>
      <c r="BT45" s="42">
        <v>0</v>
      </c>
      <c r="BU45" s="42">
        <v>0</v>
      </c>
      <c r="BV45" s="42">
        <v>0</v>
      </c>
      <c r="BW45" s="34">
        <v>0</v>
      </c>
      <c r="BX45" s="34">
        <v>0</v>
      </c>
      <c r="BY45" s="34">
        <v>0</v>
      </c>
      <c r="BZ45" s="34">
        <v>0</v>
      </c>
      <c r="CA45" s="34">
        <v>0</v>
      </c>
      <c r="CB45" s="34">
        <v>0</v>
      </c>
      <c r="CC45" s="34">
        <v>0</v>
      </c>
      <c r="CD45" s="34">
        <v>0</v>
      </c>
      <c r="CE45" s="42">
        <v>0</v>
      </c>
      <c r="CF45" s="34">
        <v>0</v>
      </c>
      <c r="CG45" s="34">
        <v>0</v>
      </c>
      <c r="CH45" s="55">
        <v>0</v>
      </c>
      <c r="CI45" s="55">
        <v>0</v>
      </c>
      <c r="CJ45" s="34">
        <v>0</v>
      </c>
      <c r="CK45" s="34">
        <v>0</v>
      </c>
      <c r="CL45" s="34">
        <v>0</v>
      </c>
      <c r="CM45" s="34">
        <v>0</v>
      </c>
      <c r="CN45" s="34">
        <v>0</v>
      </c>
      <c r="CO45" s="34">
        <v>0</v>
      </c>
      <c r="CP45" s="34">
        <v>0</v>
      </c>
      <c r="CQ45" s="34">
        <v>0</v>
      </c>
      <c r="CR45" s="34">
        <v>0</v>
      </c>
      <c r="CS45" s="34">
        <v>0</v>
      </c>
      <c r="CT45" s="34">
        <v>0</v>
      </c>
      <c r="CU45" s="34">
        <v>0</v>
      </c>
      <c r="CV45" s="34">
        <v>0</v>
      </c>
      <c r="CW45" s="42">
        <v>0</v>
      </c>
      <c r="CX45" s="34">
        <v>0</v>
      </c>
      <c r="CY45" s="137">
        <v>0</v>
      </c>
      <c r="CZ45" s="34">
        <v>0</v>
      </c>
      <c r="DA45" s="34">
        <v>0</v>
      </c>
      <c r="DB45" s="34">
        <v>0</v>
      </c>
      <c r="DC45" s="34">
        <v>0</v>
      </c>
      <c r="DD45" s="34">
        <v>0</v>
      </c>
      <c r="DE45" s="34">
        <v>0</v>
      </c>
      <c r="DF45" s="34">
        <v>0</v>
      </c>
      <c r="DG45" s="34">
        <v>0</v>
      </c>
      <c r="DH45" s="42">
        <v>0</v>
      </c>
      <c r="DI45" s="34">
        <v>0</v>
      </c>
      <c r="DJ45" s="34">
        <v>0</v>
      </c>
      <c r="DK45" s="34">
        <v>0</v>
      </c>
      <c r="DL45" s="34">
        <v>0</v>
      </c>
      <c r="DM45" s="34">
        <v>0</v>
      </c>
      <c r="DN45" s="34">
        <v>0</v>
      </c>
      <c r="DO45" s="34">
        <v>0</v>
      </c>
      <c r="DP45" s="34">
        <v>0</v>
      </c>
      <c r="DQ45" s="213"/>
      <c r="DR45" s="213"/>
      <c r="DS45" s="213"/>
      <c r="DT45" s="218"/>
      <c r="DU45" s="218"/>
      <c r="DV45" s="213"/>
      <c r="DW45" s="213"/>
      <c r="DX45" s="218"/>
      <c r="DY45" s="218"/>
      <c r="DZ45" s="218"/>
      <c r="EA45" s="218"/>
      <c r="EB45" s="218"/>
      <c r="EC45" s="218"/>
      <c r="ED45" s="218"/>
      <c r="EE45" s="218"/>
      <c r="EF45" s="218"/>
      <c r="EG45" s="218"/>
      <c r="EH45" s="249">
        <f t="shared" si="0"/>
        <v>0</v>
      </c>
      <c r="EI45" s="150">
        <f t="shared" si="3"/>
        <v>15</v>
      </c>
      <c r="EJ45" s="150">
        <f t="shared" si="4"/>
        <v>14</v>
      </c>
      <c r="EK45" s="284">
        <f t="shared" si="1"/>
        <v>0</v>
      </c>
      <c r="EL45" s="151">
        <f t="shared" si="5"/>
        <v>1</v>
      </c>
      <c r="EM45" s="150">
        <f t="shared" si="6"/>
        <v>10</v>
      </c>
      <c r="EN45" s="150">
        <f t="shared" si="7"/>
        <v>3</v>
      </c>
      <c r="EO45" s="150">
        <f t="shared" si="8"/>
        <v>1</v>
      </c>
      <c r="EP45" s="150">
        <f t="shared" si="9"/>
        <v>0</v>
      </c>
      <c r="EQ45" s="150">
        <f t="shared" si="10"/>
        <v>0</v>
      </c>
      <c r="ER45" s="150">
        <f t="shared" si="11"/>
        <v>0</v>
      </c>
      <c r="ES45" s="152">
        <f t="shared" si="12"/>
        <v>0</v>
      </c>
      <c r="ET45" s="152">
        <f t="shared" si="2"/>
        <v>0</v>
      </c>
      <c r="EU45" s="57">
        <f t="shared" si="13"/>
        <v>0</v>
      </c>
      <c r="EV45" s="12">
        <f t="shared" si="14"/>
        <v>0</v>
      </c>
      <c r="EX45" s="12">
        <f t="shared" si="15"/>
        <v>15</v>
      </c>
      <c r="EY45" s="131">
        <f t="shared" si="16"/>
        <v>14</v>
      </c>
    </row>
    <row r="46" spans="1:155" ht="27.75" customHeight="1" thickBot="1" x14ac:dyDescent="0.4">
      <c r="A46" s="8" t="s">
        <v>20</v>
      </c>
      <c r="B46" s="8" t="s">
        <v>25</v>
      </c>
      <c r="C46" s="36">
        <v>0</v>
      </c>
      <c r="D46" s="36">
        <v>0</v>
      </c>
      <c r="E46" s="36">
        <v>0</v>
      </c>
      <c r="F46" s="36">
        <v>0</v>
      </c>
      <c r="G46" s="36">
        <v>0</v>
      </c>
      <c r="H46" s="36">
        <v>0</v>
      </c>
      <c r="I46" s="36">
        <v>0</v>
      </c>
      <c r="J46" s="36">
        <v>0</v>
      </c>
      <c r="K46" s="36">
        <v>0</v>
      </c>
      <c r="L46" s="36">
        <v>0</v>
      </c>
      <c r="M46" s="36">
        <v>0</v>
      </c>
      <c r="N46" s="36">
        <v>0</v>
      </c>
      <c r="O46" s="36">
        <v>0</v>
      </c>
      <c r="P46" s="36">
        <v>0</v>
      </c>
      <c r="Q46" s="36">
        <v>0</v>
      </c>
      <c r="R46" s="36">
        <v>0</v>
      </c>
      <c r="S46" s="36">
        <v>0</v>
      </c>
      <c r="T46" s="36">
        <v>0</v>
      </c>
      <c r="U46" s="36">
        <v>0</v>
      </c>
      <c r="V46" s="36">
        <v>0</v>
      </c>
      <c r="W46" s="36">
        <v>1</v>
      </c>
      <c r="X46" s="36">
        <v>0</v>
      </c>
      <c r="Y46" s="36">
        <v>0</v>
      </c>
      <c r="Z46" s="36">
        <v>0</v>
      </c>
      <c r="AA46" s="36">
        <v>0</v>
      </c>
      <c r="AB46" s="37">
        <v>0</v>
      </c>
      <c r="AC46" s="37">
        <v>0</v>
      </c>
      <c r="AD46" s="37">
        <v>0</v>
      </c>
      <c r="AE46" s="37">
        <v>0</v>
      </c>
      <c r="AF46" s="37">
        <v>0</v>
      </c>
      <c r="AG46" s="37">
        <v>0</v>
      </c>
      <c r="AH46" s="37">
        <v>0</v>
      </c>
      <c r="AI46" s="37">
        <v>0</v>
      </c>
      <c r="AJ46" s="38">
        <v>0</v>
      </c>
      <c r="AK46" s="38">
        <v>0</v>
      </c>
      <c r="AL46" s="38">
        <v>0</v>
      </c>
      <c r="AM46" s="38">
        <v>0</v>
      </c>
      <c r="AN46" s="38">
        <v>0</v>
      </c>
      <c r="AO46" s="38">
        <v>0</v>
      </c>
      <c r="AP46" s="38">
        <v>0</v>
      </c>
      <c r="AQ46" s="38">
        <v>0</v>
      </c>
      <c r="AR46" s="38">
        <v>0</v>
      </c>
      <c r="AS46" s="34">
        <v>0</v>
      </c>
      <c r="AT46" s="34">
        <v>0</v>
      </c>
      <c r="AU46" s="34">
        <v>0</v>
      </c>
      <c r="AV46" s="34">
        <v>0</v>
      </c>
      <c r="AW46" s="33">
        <v>0</v>
      </c>
      <c r="AX46" s="34">
        <v>0</v>
      </c>
      <c r="AY46" s="34">
        <v>0</v>
      </c>
      <c r="AZ46" s="34">
        <v>0</v>
      </c>
      <c r="BA46" s="34">
        <v>0</v>
      </c>
      <c r="BB46" s="34">
        <v>0</v>
      </c>
      <c r="BC46" s="34">
        <v>0</v>
      </c>
      <c r="BD46" s="34">
        <v>0</v>
      </c>
      <c r="BE46" s="34">
        <v>0</v>
      </c>
      <c r="BF46" s="34">
        <v>0</v>
      </c>
      <c r="BG46" s="34">
        <v>0</v>
      </c>
      <c r="BH46" s="34">
        <v>0</v>
      </c>
      <c r="BI46" s="34">
        <v>0</v>
      </c>
      <c r="BJ46" s="34">
        <v>0</v>
      </c>
      <c r="BK46" s="34">
        <v>0</v>
      </c>
      <c r="BL46" s="34">
        <v>0</v>
      </c>
      <c r="BM46" s="34">
        <v>0</v>
      </c>
      <c r="BN46" s="34">
        <v>0</v>
      </c>
      <c r="BO46" s="34">
        <v>0</v>
      </c>
      <c r="BP46" s="34">
        <v>0</v>
      </c>
      <c r="BQ46" s="34">
        <v>0</v>
      </c>
      <c r="BR46" s="42">
        <v>0</v>
      </c>
      <c r="BS46" s="42">
        <v>0</v>
      </c>
      <c r="BT46" s="42">
        <v>0</v>
      </c>
      <c r="BU46" s="42">
        <v>0</v>
      </c>
      <c r="BV46" s="42">
        <v>0</v>
      </c>
      <c r="BW46" s="34">
        <v>0</v>
      </c>
      <c r="BX46" s="34">
        <v>0</v>
      </c>
      <c r="BY46" s="34">
        <v>0</v>
      </c>
      <c r="BZ46" s="34">
        <v>0</v>
      </c>
      <c r="CA46" s="34">
        <v>0</v>
      </c>
      <c r="CB46" s="34">
        <v>0</v>
      </c>
      <c r="CC46" s="34">
        <v>0</v>
      </c>
      <c r="CD46" s="34">
        <v>0</v>
      </c>
      <c r="CE46" s="42">
        <v>0</v>
      </c>
      <c r="CF46" s="34">
        <v>0</v>
      </c>
      <c r="CG46" s="34">
        <v>0</v>
      </c>
      <c r="CH46" s="55">
        <v>0</v>
      </c>
      <c r="CI46" s="55">
        <v>0</v>
      </c>
      <c r="CJ46" s="34">
        <v>0</v>
      </c>
      <c r="CK46" s="34">
        <v>0</v>
      </c>
      <c r="CL46" s="34">
        <v>0</v>
      </c>
      <c r="CM46" s="34">
        <v>0</v>
      </c>
      <c r="CN46" s="34">
        <v>0</v>
      </c>
      <c r="CO46" s="34">
        <v>0</v>
      </c>
      <c r="CP46" s="34">
        <v>0</v>
      </c>
      <c r="CQ46" s="34">
        <v>0</v>
      </c>
      <c r="CR46" s="34">
        <v>0</v>
      </c>
      <c r="CS46" s="34">
        <v>0</v>
      </c>
      <c r="CT46" s="34">
        <v>0</v>
      </c>
      <c r="CU46" s="34">
        <v>0</v>
      </c>
      <c r="CV46" s="34">
        <v>0</v>
      </c>
      <c r="CW46" s="42">
        <v>0</v>
      </c>
      <c r="CX46" s="34">
        <v>0</v>
      </c>
      <c r="CY46" s="137">
        <v>0</v>
      </c>
      <c r="CZ46" s="34">
        <v>0</v>
      </c>
      <c r="DA46" s="34">
        <v>0</v>
      </c>
      <c r="DB46" s="34">
        <v>0</v>
      </c>
      <c r="DC46" s="34">
        <v>0</v>
      </c>
      <c r="DD46" s="34">
        <v>0</v>
      </c>
      <c r="DE46" s="34">
        <v>0</v>
      </c>
      <c r="DF46" s="34">
        <v>0</v>
      </c>
      <c r="DG46" s="34">
        <v>0</v>
      </c>
      <c r="DH46" s="42">
        <v>0</v>
      </c>
      <c r="DI46" s="34">
        <v>0</v>
      </c>
      <c r="DJ46" s="34">
        <v>0</v>
      </c>
      <c r="DK46" s="34">
        <v>0</v>
      </c>
      <c r="DL46" s="34">
        <v>0</v>
      </c>
      <c r="DM46" s="34">
        <v>0</v>
      </c>
      <c r="DN46" s="34">
        <v>0</v>
      </c>
      <c r="DO46" s="34">
        <v>0</v>
      </c>
      <c r="DP46" s="34">
        <v>0</v>
      </c>
      <c r="DQ46" s="213"/>
      <c r="DR46" s="213"/>
      <c r="DS46" s="213"/>
      <c r="DT46" s="218"/>
      <c r="DU46" s="218"/>
      <c r="DV46" s="213"/>
      <c r="DW46" s="213"/>
      <c r="DX46" s="218"/>
      <c r="DY46" s="218"/>
      <c r="DZ46" s="218"/>
      <c r="EA46" s="218"/>
      <c r="EB46" s="218"/>
      <c r="EC46" s="218"/>
      <c r="ED46" s="218"/>
      <c r="EE46" s="218"/>
      <c r="EF46" s="218"/>
      <c r="EG46" s="218"/>
      <c r="EH46" s="249">
        <f t="shared" si="0"/>
        <v>0</v>
      </c>
      <c r="EI46" s="150">
        <f t="shared" si="3"/>
        <v>1</v>
      </c>
      <c r="EJ46" s="150">
        <f t="shared" si="4"/>
        <v>1</v>
      </c>
      <c r="EK46" s="284">
        <f t="shared" si="1"/>
        <v>0</v>
      </c>
      <c r="EL46" s="151">
        <f t="shared" si="5"/>
        <v>0</v>
      </c>
      <c r="EM46" s="150">
        <f t="shared" si="6"/>
        <v>0</v>
      </c>
      <c r="EN46" s="150">
        <f t="shared" si="7"/>
        <v>1</v>
      </c>
      <c r="EO46" s="150">
        <f t="shared" si="8"/>
        <v>0</v>
      </c>
      <c r="EP46" s="150">
        <f t="shared" si="9"/>
        <v>0</v>
      </c>
      <c r="EQ46" s="150">
        <f t="shared" si="10"/>
        <v>0</v>
      </c>
      <c r="ER46" s="150">
        <f t="shared" si="11"/>
        <v>0</v>
      </c>
      <c r="ES46" s="152">
        <f t="shared" si="12"/>
        <v>0</v>
      </c>
      <c r="ET46" s="152">
        <f t="shared" si="2"/>
        <v>0</v>
      </c>
      <c r="EU46" s="57">
        <f t="shared" si="13"/>
        <v>0</v>
      </c>
      <c r="EV46" s="12">
        <f t="shared" si="14"/>
        <v>0</v>
      </c>
      <c r="EX46" s="12">
        <f t="shared" si="15"/>
        <v>1</v>
      </c>
      <c r="EY46" s="131">
        <f t="shared" si="16"/>
        <v>1</v>
      </c>
    </row>
    <row r="47" spans="1:155" ht="27.75" customHeight="1" thickBot="1" x14ac:dyDescent="0.4">
      <c r="A47" s="8" t="s">
        <v>20</v>
      </c>
      <c r="B47" s="8" t="s">
        <v>26</v>
      </c>
      <c r="C47" s="36">
        <v>0</v>
      </c>
      <c r="D47" s="36">
        <v>0</v>
      </c>
      <c r="E47" s="36">
        <v>0</v>
      </c>
      <c r="F47" s="36">
        <v>0</v>
      </c>
      <c r="G47" s="36">
        <v>0</v>
      </c>
      <c r="H47" s="36">
        <v>0</v>
      </c>
      <c r="I47" s="36">
        <v>0</v>
      </c>
      <c r="J47" s="36">
        <v>0</v>
      </c>
      <c r="K47" s="36">
        <v>0</v>
      </c>
      <c r="L47" s="36">
        <v>0</v>
      </c>
      <c r="M47" s="36">
        <v>0</v>
      </c>
      <c r="N47" s="36">
        <v>0</v>
      </c>
      <c r="O47" s="36">
        <v>0</v>
      </c>
      <c r="P47" s="36">
        <v>0</v>
      </c>
      <c r="Q47" s="36">
        <v>0</v>
      </c>
      <c r="R47" s="36">
        <v>0</v>
      </c>
      <c r="S47" s="36">
        <v>1</v>
      </c>
      <c r="T47" s="36">
        <v>0</v>
      </c>
      <c r="U47" s="36">
        <v>1</v>
      </c>
      <c r="V47" s="36">
        <v>0</v>
      </c>
      <c r="W47" s="36">
        <v>0</v>
      </c>
      <c r="X47" s="36">
        <v>0</v>
      </c>
      <c r="Y47" s="36">
        <v>0</v>
      </c>
      <c r="Z47" s="36">
        <v>0</v>
      </c>
      <c r="AA47" s="36">
        <v>0</v>
      </c>
      <c r="AB47" s="37">
        <v>0</v>
      </c>
      <c r="AC47" s="37">
        <v>0</v>
      </c>
      <c r="AD47" s="37">
        <v>0</v>
      </c>
      <c r="AE47" s="37">
        <v>0</v>
      </c>
      <c r="AF47" s="37">
        <v>0</v>
      </c>
      <c r="AG47" s="37">
        <v>0</v>
      </c>
      <c r="AH47" s="37">
        <v>0</v>
      </c>
      <c r="AI47" s="37">
        <v>0</v>
      </c>
      <c r="AJ47" s="38">
        <v>0</v>
      </c>
      <c r="AK47" s="38">
        <v>0</v>
      </c>
      <c r="AL47" s="38">
        <v>0</v>
      </c>
      <c r="AM47" s="38">
        <v>0</v>
      </c>
      <c r="AN47" s="38">
        <v>0</v>
      </c>
      <c r="AO47" s="38">
        <v>0</v>
      </c>
      <c r="AP47" s="38">
        <v>0</v>
      </c>
      <c r="AQ47" s="38">
        <v>0</v>
      </c>
      <c r="AR47" s="38">
        <v>0</v>
      </c>
      <c r="AS47" s="34">
        <v>0</v>
      </c>
      <c r="AT47" s="34">
        <v>0</v>
      </c>
      <c r="AU47" s="34">
        <v>0</v>
      </c>
      <c r="AV47" s="34">
        <v>0</v>
      </c>
      <c r="AW47" s="33">
        <v>0</v>
      </c>
      <c r="AX47" s="34">
        <v>0</v>
      </c>
      <c r="AY47" s="34">
        <v>0</v>
      </c>
      <c r="AZ47" s="34">
        <v>0</v>
      </c>
      <c r="BA47" s="34">
        <v>0</v>
      </c>
      <c r="BB47" s="34">
        <v>0</v>
      </c>
      <c r="BC47" s="34">
        <v>0</v>
      </c>
      <c r="BD47" s="34">
        <v>0</v>
      </c>
      <c r="BE47" s="34">
        <v>0</v>
      </c>
      <c r="BF47" s="34">
        <v>0</v>
      </c>
      <c r="BG47" s="34">
        <v>0</v>
      </c>
      <c r="BH47" s="34">
        <v>0</v>
      </c>
      <c r="BI47" s="34">
        <v>0</v>
      </c>
      <c r="BJ47" s="34">
        <v>0</v>
      </c>
      <c r="BK47" s="34">
        <v>0</v>
      </c>
      <c r="BL47" s="34">
        <v>0</v>
      </c>
      <c r="BM47" s="34">
        <v>0</v>
      </c>
      <c r="BN47" s="34">
        <v>0</v>
      </c>
      <c r="BO47" s="34">
        <v>0</v>
      </c>
      <c r="BP47" s="34">
        <v>0</v>
      </c>
      <c r="BQ47" s="34">
        <v>0</v>
      </c>
      <c r="BR47" s="42">
        <v>0</v>
      </c>
      <c r="BS47" s="42">
        <v>0</v>
      </c>
      <c r="BT47" s="42">
        <v>0</v>
      </c>
      <c r="BU47" s="42">
        <v>0</v>
      </c>
      <c r="BV47" s="42">
        <v>0</v>
      </c>
      <c r="BW47" s="34">
        <v>0</v>
      </c>
      <c r="BX47" s="34">
        <v>0</v>
      </c>
      <c r="BY47" s="34">
        <v>0</v>
      </c>
      <c r="BZ47" s="34">
        <v>0</v>
      </c>
      <c r="CA47" s="34">
        <v>0</v>
      </c>
      <c r="CB47" s="34">
        <v>0</v>
      </c>
      <c r="CC47" s="34">
        <v>0</v>
      </c>
      <c r="CD47" s="34">
        <v>0</v>
      </c>
      <c r="CE47" s="42">
        <v>0</v>
      </c>
      <c r="CF47" s="34">
        <v>0</v>
      </c>
      <c r="CG47" s="34">
        <v>0</v>
      </c>
      <c r="CH47" s="55">
        <v>0</v>
      </c>
      <c r="CI47" s="55">
        <v>0</v>
      </c>
      <c r="CJ47" s="34">
        <v>0</v>
      </c>
      <c r="CK47" s="34">
        <v>0</v>
      </c>
      <c r="CL47" s="34">
        <v>0</v>
      </c>
      <c r="CM47" s="34">
        <v>0</v>
      </c>
      <c r="CN47" s="34">
        <v>0</v>
      </c>
      <c r="CO47" s="34">
        <v>0</v>
      </c>
      <c r="CP47" s="34">
        <v>0</v>
      </c>
      <c r="CQ47" s="34">
        <v>0</v>
      </c>
      <c r="CR47" s="34">
        <v>0</v>
      </c>
      <c r="CS47" s="34">
        <v>0</v>
      </c>
      <c r="CT47" s="34">
        <v>0</v>
      </c>
      <c r="CU47" s="34">
        <v>0</v>
      </c>
      <c r="CV47" s="34">
        <v>0</v>
      </c>
      <c r="CW47" s="42">
        <v>0</v>
      </c>
      <c r="CX47" s="34">
        <v>0</v>
      </c>
      <c r="CY47" s="137">
        <v>0</v>
      </c>
      <c r="CZ47" s="34">
        <v>0</v>
      </c>
      <c r="DA47" s="34">
        <v>0</v>
      </c>
      <c r="DB47" s="34">
        <v>0</v>
      </c>
      <c r="DC47" s="34">
        <v>0</v>
      </c>
      <c r="DD47" s="34">
        <v>0</v>
      </c>
      <c r="DE47" s="34">
        <v>0</v>
      </c>
      <c r="DF47" s="34">
        <v>0</v>
      </c>
      <c r="DG47" s="34">
        <v>0</v>
      </c>
      <c r="DH47" s="42">
        <v>0</v>
      </c>
      <c r="DI47" s="34">
        <v>0</v>
      </c>
      <c r="DJ47" s="34">
        <v>0</v>
      </c>
      <c r="DK47" s="34">
        <v>0</v>
      </c>
      <c r="DL47" s="34">
        <v>0</v>
      </c>
      <c r="DM47" s="34">
        <v>0</v>
      </c>
      <c r="DN47" s="34">
        <v>0</v>
      </c>
      <c r="DO47" s="34">
        <v>0</v>
      </c>
      <c r="DP47" s="34">
        <v>0</v>
      </c>
      <c r="DQ47" s="213"/>
      <c r="DR47" s="213"/>
      <c r="DS47" s="213"/>
      <c r="DT47" s="218"/>
      <c r="DU47" s="218"/>
      <c r="DV47" s="213"/>
      <c r="DW47" s="213"/>
      <c r="DX47" s="218"/>
      <c r="DY47" s="218"/>
      <c r="DZ47" s="218"/>
      <c r="EA47" s="218"/>
      <c r="EB47" s="218"/>
      <c r="EC47" s="218"/>
      <c r="ED47" s="218"/>
      <c r="EE47" s="218"/>
      <c r="EF47" s="218"/>
      <c r="EG47" s="218"/>
      <c r="EH47" s="249">
        <f t="shared" si="0"/>
        <v>0</v>
      </c>
      <c r="EI47" s="150">
        <f t="shared" si="3"/>
        <v>2</v>
      </c>
      <c r="EJ47" s="150">
        <f t="shared" si="4"/>
        <v>2</v>
      </c>
      <c r="EK47" s="284">
        <f t="shared" si="1"/>
        <v>0</v>
      </c>
      <c r="EL47" s="151">
        <f t="shared" si="5"/>
        <v>0</v>
      </c>
      <c r="EM47" s="150">
        <f t="shared" si="6"/>
        <v>0</v>
      </c>
      <c r="EN47" s="150">
        <f t="shared" si="7"/>
        <v>2</v>
      </c>
      <c r="EO47" s="150">
        <f t="shared" si="8"/>
        <v>0</v>
      </c>
      <c r="EP47" s="150">
        <f t="shared" si="9"/>
        <v>0</v>
      </c>
      <c r="EQ47" s="150">
        <f t="shared" si="10"/>
        <v>0</v>
      </c>
      <c r="ER47" s="150">
        <f t="shared" si="11"/>
        <v>0</v>
      </c>
      <c r="ES47" s="152">
        <f t="shared" si="12"/>
        <v>0</v>
      </c>
      <c r="ET47" s="152">
        <f t="shared" si="2"/>
        <v>0</v>
      </c>
      <c r="EU47" s="57">
        <f t="shared" si="13"/>
        <v>0</v>
      </c>
      <c r="EV47" s="12">
        <f t="shared" si="14"/>
        <v>0</v>
      </c>
      <c r="EX47" s="12">
        <f t="shared" si="15"/>
        <v>2</v>
      </c>
      <c r="EY47" s="131">
        <f t="shared" si="16"/>
        <v>2</v>
      </c>
    </row>
    <row r="48" spans="1:155" ht="27.75" customHeight="1" thickBot="1" x14ac:dyDescent="0.4">
      <c r="A48" s="8" t="s">
        <v>20</v>
      </c>
      <c r="B48" s="8" t="s">
        <v>136</v>
      </c>
      <c r="C48" s="36">
        <v>0</v>
      </c>
      <c r="D48" s="36">
        <v>0</v>
      </c>
      <c r="E48" s="36">
        <v>0</v>
      </c>
      <c r="F48" s="36">
        <v>0</v>
      </c>
      <c r="G48" s="36">
        <v>0</v>
      </c>
      <c r="H48" s="36">
        <v>0</v>
      </c>
      <c r="I48" s="36">
        <v>0</v>
      </c>
      <c r="J48" s="36">
        <v>0</v>
      </c>
      <c r="K48" s="36">
        <v>0</v>
      </c>
      <c r="L48" s="36">
        <v>0</v>
      </c>
      <c r="M48" s="36">
        <v>0</v>
      </c>
      <c r="N48" s="36">
        <v>0</v>
      </c>
      <c r="O48" s="36">
        <v>0</v>
      </c>
      <c r="P48" s="36">
        <v>0</v>
      </c>
      <c r="Q48" s="36">
        <v>0</v>
      </c>
      <c r="R48" s="36">
        <v>0</v>
      </c>
      <c r="S48" s="36">
        <v>0</v>
      </c>
      <c r="T48" s="36">
        <v>0</v>
      </c>
      <c r="U48" s="36">
        <v>0</v>
      </c>
      <c r="V48" s="36">
        <v>0</v>
      </c>
      <c r="W48" s="36">
        <v>0</v>
      </c>
      <c r="X48" s="36">
        <v>0</v>
      </c>
      <c r="Y48" s="36">
        <v>0</v>
      </c>
      <c r="Z48" s="36">
        <v>0</v>
      </c>
      <c r="AA48" s="36">
        <v>0</v>
      </c>
      <c r="AB48" s="37">
        <v>0</v>
      </c>
      <c r="AC48" s="37">
        <v>0</v>
      </c>
      <c r="AD48" s="37">
        <v>0</v>
      </c>
      <c r="AE48" s="37">
        <v>0</v>
      </c>
      <c r="AF48" s="37">
        <v>0</v>
      </c>
      <c r="AG48" s="37">
        <v>0</v>
      </c>
      <c r="AH48" s="37">
        <v>0</v>
      </c>
      <c r="AI48" s="37">
        <v>0</v>
      </c>
      <c r="AJ48" s="38">
        <v>0</v>
      </c>
      <c r="AK48" s="38">
        <v>0</v>
      </c>
      <c r="AL48" s="38">
        <v>0</v>
      </c>
      <c r="AM48" s="38">
        <v>0</v>
      </c>
      <c r="AN48" s="38">
        <v>0</v>
      </c>
      <c r="AO48" s="38">
        <v>0</v>
      </c>
      <c r="AP48" s="38">
        <v>0</v>
      </c>
      <c r="AQ48" s="38">
        <v>0</v>
      </c>
      <c r="AR48" s="38">
        <v>0</v>
      </c>
      <c r="AS48" s="34">
        <v>0</v>
      </c>
      <c r="AT48" s="34">
        <v>0</v>
      </c>
      <c r="AU48" s="34">
        <v>0</v>
      </c>
      <c r="AV48" s="34">
        <v>0</v>
      </c>
      <c r="AW48" s="33">
        <v>0</v>
      </c>
      <c r="AX48" s="34">
        <v>0</v>
      </c>
      <c r="AY48" s="34">
        <v>0</v>
      </c>
      <c r="AZ48" s="34">
        <v>0</v>
      </c>
      <c r="BA48" s="34">
        <v>0</v>
      </c>
      <c r="BB48" s="34">
        <v>0</v>
      </c>
      <c r="BC48" s="34">
        <v>0</v>
      </c>
      <c r="BD48" s="34">
        <v>0</v>
      </c>
      <c r="BE48" s="34">
        <v>0</v>
      </c>
      <c r="BF48" s="34">
        <v>0</v>
      </c>
      <c r="BG48" s="34">
        <v>0</v>
      </c>
      <c r="BH48" s="34">
        <v>0</v>
      </c>
      <c r="BI48" s="34">
        <v>0</v>
      </c>
      <c r="BJ48" s="34">
        <v>0</v>
      </c>
      <c r="BK48" s="34">
        <v>0</v>
      </c>
      <c r="BL48" s="34">
        <v>0</v>
      </c>
      <c r="BM48" s="34">
        <v>0</v>
      </c>
      <c r="BN48" s="34">
        <v>0</v>
      </c>
      <c r="BO48" s="34">
        <v>0</v>
      </c>
      <c r="BP48" s="34">
        <v>0</v>
      </c>
      <c r="BQ48" s="34">
        <v>0</v>
      </c>
      <c r="BR48" s="42">
        <v>0</v>
      </c>
      <c r="BS48" s="42">
        <v>0</v>
      </c>
      <c r="BT48" s="42">
        <v>0</v>
      </c>
      <c r="BU48" s="42">
        <v>0</v>
      </c>
      <c r="BV48" s="42">
        <v>0</v>
      </c>
      <c r="BW48" s="34">
        <v>0</v>
      </c>
      <c r="BX48" s="34">
        <v>0</v>
      </c>
      <c r="BY48" s="34">
        <v>0</v>
      </c>
      <c r="BZ48" s="34">
        <v>0</v>
      </c>
      <c r="CA48" s="34">
        <v>0</v>
      </c>
      <c r="CB48" s="34">
        <v>0</v>
      </c>
      <c r="CC48" s="34">
        <v>0</v>
      </c>
      <c r="CD48" s="34">
        <v>0</v>
      </c>
      <c r="CE48" s="42">
        <v>0</v>
      </c>
      <c r="CF48" s="34">
        <v>0</v>
      </c>
      <c r="CG48" s="34">
        <v>0</v>
      </c>
      <c r="CH48" s="55">
        <v>0</v>
      </c>
      <c r="CI48" s="55">
        <v>0</v>
      </c>
      <c r="CJ48" s="34">
        <v>0</v>
      </c>
      <c r="CK48" s="34">
        <v>0</v>
      </c>
      <c r="CL48" s="34">
        <v>0</v>
      </c>
      <c r="CM48" s="34">
        <v>1</v>
      </c>
      <c r="CN48" s="34">
        <v>0</v>
      </c>
      <c r="CO48" s="34">
        <v>0</v>
      </c>
      <c r="CP48" s="34">
        <v>0</v>
      </c>
      <c r="CQ48" s="34">
        <v>0</v>
      </c>
      <c r="CR48" s="34">
        <v>0</v>
      </c>
      <c r="CS48" s="34">
        <v>0</v>
      </c>
      <c r="CT48" s="34">
        <v>0</v>
      </c>
      <c r="CU48" s="34">
        <v>0</v>
      </c>
      <c r="CV48" s="34">
        <v>0</v>
      </c>
      <c r="CW48" s="42">
        <v>0</v>
      </c>
      <c r="CX48" s="34">
        <v>0</v>
      </c>
      <c r="CY48" s="137">
        <v>0</v>
      </c>
      <c r="CZ48" s="34">
        <v>0</v>
      </c>
      <c r="DA48" s="34">
        <v>0</v>
      </c>
      <c r="DB48" s="34"/>
      <c r="DC48" s="34">
        <v>0</v>
      </c>
      <c r="DD48" s="34">
        <v>0</v>
      </c>
      <c r="DE48" s="34">
        <v>0</v>
      </c>
      <c r="DF48" s="34">
        <v>0</v>
      </c>
      <c r="DG48" s="34">
        <v>0</v>
      </c>
      <c r="DH48" s="42">
        <v>0</v>
      </c>
      <c r="DI48" s="34">
        <v>0</v>
      </c>
      <c r="DJ48" s="34">
        <v>0</v>
      </c>
      <c r="DK48" s="34">
        <v>0</v>
      </c>
      <c r="DL48" s="34">
        <v>0</v>
      </c>
      <c r="DM48" s="34">
        <v>0</v>
      </c>
      <c r="DN48" s="34">
        <v>0</v>
      </c>
      <c r="DO48" s="34">
        <v>0</v>
      </c>
      <c r="DP48" s="34">
        <v>0</v>
      </c>
      <c r="DQ48" s="213"/>
      <c r="DR48" s="213"/>
      <c r="DS48" s="213"/>
      <c r="DT48" s="218"/>
      <c r="DU48" s="218"/>
      <c r="DV48" s="213"/>
      <c r="DW48" s="213"/>
      <c r="DX48" s="218"/>
      <c r="DY48" s="218"/>
      <c r="DZ48" s="218"/>
      <c r="EA48" s="218"/>
      <c r="EB48" s="218"/>
      <c r="EC48" s="218"/>
      <c r="ED48" s="218"/>
      <c r="EE48" s="218"/>
      <c r="EF48" s="218"/>
      <c r="EG48" s="218"/>
      <c r="EH48" s="249">
        <f t="shared" si="0"/>
        <v>0</v>
      </c>
      <c r="EI48" s="150">
        <f t="shared" si="3"/>
        <v>1</v>
      </c>
      <c r="EJ48" s="150">
        <f t="shared" si="4"/>
        <v>1</v>
      </c>
      <c r="EK48" s="284">
        <f t="shared" si="1"/>
        <v>0</v>
      </c>
      <c r="EL48" s="151"/>
      <c r="EM48" s="153"/>
      <c r="EN48" s="153"/>
      <c r="EO48" s="153"/>
      <c r="EP48" s="152"/>
      <c r="EQ48" s="152"/>
      <c r="ER48" s="150">
        <f t="shared" si="11"/>
        <v>1</v>
      </c>
      <c r="ES48" s="152">
        <f t="shared" si="12"/>
        <v>0</v>
      </c>
      <c r="ET48" s="152">
        <f t="shared" si="2"/>
        <v>0</v>
      </c>
      <c r="EU48" s="57">
        <f t="shared" si="13"/>
        <v>0</v>
      </c>
      <c r="EV48" s="12">
        <f t="shared" si="14"/>
        <v>1</v>
      </c>
      <c r="EX48" s="12">
        <f t="shared" si="15"/>
        <v>1</v>
      </c>
      <c r="EY48" s="131">
        <f t="shared" si="16"/>
        <v>1</v>
      </c>
    </row>
    <row r="49" spans="1:155" ht="27.75" customHeight="1" thickBot="1" x14ac:dyDescent="0.3">
      <c r="A49" s="8" t="s">
        <v>20</v>
      </c>
      <c r="B49" s="8" t="s">
        <v>12</v>
      </c>
      <c r="C49" s="34">
        <v>0</v>
      </c>
      <c r="D49" s="34">
        <v>0</v>
      </c>
      <c r="E49" s="34">
        <v>0</v>
      </c>
      <c r="F49" s="34">
        <v>0</v>
      </c>
      <c r="G49" s="34">
        <v>0</v>
      </c>
      <c r="H49" s="34">
        <v>0</v>
      </c>
      <c r="I49" s="34">
        <v>0</v>
      </c>
      <c r="J49" s="34">
        <v>0</v>
      </c>
      <c r="K49" s="34">
        <v>0</v>
      </c>
      <c r="L49" s="34">
        <v>0</v>
      </c>
      <c r="M49" s="34">
        <v>0</v>
      </c>
      <c r="N49" s="34">
        <v>0</v>
      </c>
      <c r="O49" s="34">
        <v>0</v>
      </c>
      <c r="P49" s="34">
        <v>0</v>
      </c>
      <c r="Q49" s="34">
        <v>0</v>
      </c>
      <c r="R49" s="34">
        <v>0</v>
      </c>
      <c r="S49" s="34">
        <v>0</v>
      </c>
      <c r="T49" s="34">
        <v>0</v>
      </c>
      <c r="U49" s="34">
        <v>0</v>
      </c>
      <c r="V49" s="34">
        <v>0</v>
      </c>
      <c r="W49" s="34">
        <v>0</v>
      </c>
      <c r="X49" s="34">
        <v>0</v>
      </c>
      <c r="Y49" s="34">
        <v>0</v>
      </c>
      <c r="Z49" s="34">
        <v>0</v>
      </c>
      <c r="AA49" s="34">
        <v>0</v>
      </c>
      <c r="AB49" s="34">
        <v>0</v>
      </c>
      <c r="AC49" s="34">
        <v>0</v>
      </c>
      <c r="AD49" s="34">
        <v>0</v>
      </c>
      <c r="AE49" s="34">
        <v>0</v>
      </c>
      <c r="AF49" s="34">
        <v>0</v>
      </c>
      <c r="AG49" s="34">
        <v>0</v>
      </c>
      <c r="AH49" s="34">
        <v>0</v>
      </c>
      <c r="AI49" s="34">
        <v>0</v>
      </c>
      <c r="AJ49" s="34">
        <v>0</v>
      </c>
      <c r="AK49" s="34">
        <v>0</v>
      </c>
      <c r="AL49" s="34">
        <v>0</v>
      </c>
      <c r="AM49" s="34">
        <v>0</v>
      </c>
      <c r="AN49" s="34">
        <v>0</v>
      </c>
      <c r="AO49" s="34">
        <v>0</v>
      </c>
      <c r="AP49" s="34">
        <v>0</v>
      </c>
      <c r="AQ49" s="34">
        <v>0</v>
      </c>
      <c r="AR49" s="34">
        <v>0</v>
      </c>
      <c r="AS49" s="34">
        <v>0</v>
      </c>
      <c r="AT49" s="34">
        <v>0</v>
      </c>
      <c r="AU49" s="34">
        <v>0</v>
      </c>
      <c r="AV49" s="34">
        <v>0</v>
      </c>
      <c r="AW49" s="34">
        <v>0</v>
      </c>
      <c r="AX49" s="34">
        <v>0</v>
      </c>
      <c r="AY49" s="34">
        <v>0</v>
      </c>
      <c r="AZ49" s="34">
        <v>0</v>
      </c>
      <c r="BA49" s="34">
        <v>0</v>
      </c>
      <c r="BB49" s="34">
        <v>0</v>
      </c>
      <c r="BC49" s="34">
        <v>0</v>
      </c>
      <c r="BD49" s="34">
        <v>0</v>
      </c>
      <c r="BE49" s="34">
        <v>0</v>
      </c>
      <c r="BF49" s="34">
        <v>0</v>
      </c>
      <c r="BG49" s="34">
        <v>0</v>
      </c>
      <c r="BH49" s="34">
        <v>0</v>
      </c>
      <c r="BI49" s="34">
        <v>0</v>
      </c>
      <c r="BJ49" s="34">
        <v>0</v>
      </c>
      <c r="BK49" s="34">
        <v>0</v>
      </c>
      <c r="BL49" s="34">
        <v>0</v>
      </c>
      <c r="BM49" s="34">
        <v>0</v>
      </c>
      <c r="BN49" s="34">
        <v>0</v>
      </c>
      <c r="BO49" s="34">
        <v>0</v>
      </c>
      <c r="BP49" s="34">
        <v>0</v>
      </c>
      <c r="BQ49" s="34">
        <v>0</v>
      </c>
      <c r="BR49" s="34">
        <v>0</v>
      </c>
      <c r="BS49" s="34">
        <v>0</v>
      </c>
      <c r="BT49" s="34">
        <v>0</v>
      </c>
      <c r="BU49" s="34">
        <v>0</v>
      </c>
      <c r="BV49" s="34">
        <v>0</v>
      </c>
      <c r="BW49" s="34">
        <v>0</v>
      </c>
      <c r="BX49" s="34">
        <v>0</v>
      </c>
      <c r="BY49" s="34">
        <v>0</v>
      </c>
      <c r="BZ49" s="34">
        <v>0</v>
      </c>
      <c r="CA49" s="34">
        <v>0</v>
      </c>
      <c r="CB49" s="34">
        <v>0</v>
      </c>
      <c r="CC49" s="34">
        <v>0</v>
      </c>
      <c r="CD49" s="34">
        <v>0</v>
      </c>
      <c r="CE49" s="34">
        <v>0</v>
      </c>
      <c r="CF49" s="34">
        <v>0</v>
      </c>
      <c r="CG49" s="34">
        <v>0</v>
      </c>
      <c r="CH49" s="34">
        <v>0</v>
      </c>
      <c r="CI49" s="34">
        <v>0</v>
      </c>
      <c r="CJ49" s="34">
        <v>0</v>
      </c>
      <c r="CK49" s="34">
        <v>0</v>
      </c>
      <c r="CL49" s="34">
        <v>0</v>
      </c>
      <c r="CM49" s="34">
        <v>0</v>
      </c>
      <c r="CN49" s="34">
        <v>0</v>
      </c>
      <c r="CO49" s="34">
        <v>1</v>
      </c>
      <c r="CP49" s="34">
        <v>0</v>
      </c>
      <c r="CQ49" s="34">
        <v>0</v>
      </c>
      <c r="CR49" s="34">
        <v>0</v>
      </c>
      <c r="CS49" s="34">
        <v>0</v>
      </c>
      <c r="CT49" s="34">
        <v>0</v>
      </c>
      <c r="CU49" s="34">
        <v>0</v>
      </c>
      <c r="CV49" s="34">
        <v>0</v>
      </c>
      <c r="CW49" s="42">
        <v>0</v>
      </c>
      <c r="CX49" s="34">
        <v>0</v>
      </c>
      <c r="CY49" s="137">
        <v>0</v>
      </c>
      <c r="CZ49" s="34">
        <v>0</v>
      </c>
      <c r="DA49" s="34">
        <v>0</v>
      </c>
      <c r="DB49" s="34">
        <v>0</v>
      </c>
      <c r="DC49" s="34">
        <v>0</v>
      </c>
      <c r="DD49" s="34">
        <v>0</v>
      </c>
      <c r="DE49" s="34">
        <v>0</v>
      </c>
      <c r="DF49" s="34">
        <v>0</v>
      </c>
      <c r="DG49" s="34">
        <v>0</v>
      </c>
      <c r="DH49" s="42">
        <v>0</v>
      </c>
      <c r="DI49" s="34">
        <v>0</v>
      </c>
      <c r="DJ49" s="34">
        <v>0</v>
      </c>
      <c r="DK49" s="34">
        <v>0</v>
      </c>
      <c r="DL49" s="34">
        <v>0</v>
      </c>
      <c r="DM49" s="34">
        <v>0</v>
      </c>
      <c r="DN49" s="34">
        <v>0</v>
      </c>
      <c r="DO49" s="34">
        <v>0</v>
      </c>
      <c r="DP49" s="34">
        <v>0</v>
      </c>
      <c r="DQ49" s="213"/>
      <c r="DR49" s="213"/>
      <c r="DS49" s="213"/>
      <c r="DT49" s="218"/>
      <c r="DU49" s="218"/>
      <c r="DV49" s="213"/>
      <c r="DW49" s="213"/>
      <c r="DX49" s="218"/>
      <c r="DY49" s="218"/>
      <c r="DZ49" s="218"/>
      <c r="EA49" s="218"/>
      <c r="EB49" s="218"/>
      <c r="EC49" s="218"/>
      <c r="ED49" s="218"/>
      <c r="EE49" s="218"/>
      <c r="EF49" s="218"/>
      <c r="EG49" s="218"/>
      <c r="EH49" s="249">
        <f t="shared" si="0"/>
        <v>0</v>
      </c>
      <c r="EI49" s="150">
        <f t="shared" si="3"/>
        <v>1</v>
      </c>
      <c r="EJ49" s="150">
        <f t="shared" si="4"/>
        <v>1</v>
      </c>
      <c r="EK49" s="284">
        <f t="shared" si="1"/>
        <v>0</v>
      </c>
      <c r="EL49" s="151"/>
      <c r="EM49" s="153"/>
      <c r="EN49" s="153"/>
      <c r="EO49" s="153"/>
      <c r="EP49" s="152"/>
      <c r="EQ49" s="152"/>
      <c r="ER49" s="150">
        <f t="shared" si="11"/>
        <v>1</v>
      </c>
      <c r="ES49" s="152">
        <f t="shared" si="12"/>
        <v>0</v>
      </c>
      <c r="ET49" s="152">
        <f t="shared" si="2"/>
        <v>0</v>
      </c>
      <c r="EU49" s="57"/>
      <c r="EV49" s="12">
        <f t="shared" si="14"/>
        <v>1</v>
      </c>
      <c r="EX49" s="12">
        <f t="shared" si="15"/>
        <v>1</v>
      </c>
      <c r="EY49" s="131">
        <f t="shared" si="16"/>
        <v>1</v>
      </c>
    </row>
    <row r="50" spans="1:155" ht="27.75" customHeight="1" thickBot="1" x14ac:dyDescent="0.4">
      <c r="A50" s="191" t="s">
        <v>66</v>
      </c>
      <c r="B50" s="191" t="s">
        <v>17</v>
      </c>
      <c r="C50" s="188">
        <v>0</v>
      </c>
      <c r="D50" s="36">
        <v>0</v>
      </c>
      <c r="E50" s="36">
        <v>0</v>
      </c>
      <c r="F50" s="36">
        <v>0</v>
      </c>
      <c r="G50" s="36">
        <v>0</v>
      </c>
      <c r="H50" s="36">
        <v>1</v>
      </c>
      <c r="I50" s="36">
        <v>0</v>
      </c>
      <c r="J50" s="36">
        <v>0</v>
      </c>
      <c r="K50" s="36">
        <v>0</v>
      </c>
      <c r="L50" s="36">
        <v>0</v>
      </c>
      <c r="M50" s="36">
        <v>0</v>
      </c>
      <c r="N50" s="36">
        <v>0</v>
      </c>
      <c r="O50" s="36">
        <v>0</v>
      </c>
      <c r="P50" s="36">
        <v>0</v>
      </c>
      <c r="Q50" s="36">
        <v>0</v>
      </c>
      <c r="R50" s="36">
        <v>0</v>
      </c>
      <c r="S50" s="36">
        <v>0</v>
      </c>
      <c r="T50" s="36">
        <v>0</v>
      </c>
      <c r="U50" s="36">
        <v>0</v>
      </c>
      <c r="V50" s="36">
        <v>0</v>
      </c>
      <c r="W50" s="36">
        <v>0</v>
      </c>
      <c r="X50" s="36">
        <v>0</v>
      </c>
      <c r="Y50" s="36">
        <v>0</v>
      </c>
      <c r="Z50" s="36">
        <v>0</v>
      </c>
      <c r="AA50" s="36">
        <v>0</v>
      </c>
      <c r="AB50" s="36">
        <v>0</v>
      </c>
      <c r="AC50" s="36">
        <v>0</v>
      </c>
      <c r="AD50" s="36">
        <v>0</v>
      </c>
      <c r="AE50" s="36">
        <v>0</v>
      </c>
      <c r="AF50" s="36">
        <v>0</v>
      </c>
      <c r="AG50" s="36">
        <v>0</v>
      </c>
      <c r="AH50" s="36">
        <v>0</v>
      </c>
      <c r="AI50" s="36">
        <v>0</v>
      </c>
      <c r="AJ50" s="36">
        <v>0</v>
      </c>
      <c r="AK50" s="36">
        <v>0</v>
      </c>
      <c r="AL50" s="36">
        <v>0</v>
      </c>
      <c r="AM50" s="36">
        <v>0</v>
      </c>
      <c r="AN50" s="36">
        <v>0</v>
      </c>
      <c r="AO50" s="36">
        <v>0</v>
      </c>
      <c r="AP50" s="36">
        <v>0</v>
      </c>
      <c r="AQ50" s="36">
        <v>0</v>
      </c>
      <c r="AR50" s="36">
        <v>0</v>
      </c>
      <c r="AS50" s="36">
        <v>0</v>
      </c>
      <c r="AT50" s="36">
        <v>0</v>
      </c>
      <c r="AU50" s="36">
        <v>0</v>
      </c>
      <c r="AV50" s="36">
        <v>0</v>
      </c>
      <c r="AW50" s="36">
        <v>0</v>
      </c>
      <c r="AX50" s="36">
        <v>0</v>
      </c>
      <c r="AY50" s="36">
        <v>0</v>
      </c>
      <c r="AZ50" s="36">
        <v>0</v>
      </c>
      <c r="BA50" s="36">
        <v>0</v>
      </c>
      <c r="BB50" s="36">
        <v>0</v>
      </c>
      <c r="BC50" s="36">
        <v>0</v>
      </c>
      <c r="BD50" s="36">
        <v>0</v>
      </c>
      <c r="BE50" s="36">
        <v>0</v>
      </c>
      <c r="BF50" s="36">
        <v>0</v>
      </c>
      <c r="BG50" s="36">
        <v>0</v>
      </c>
      <c r="BH50" s="36">
        <v>0</v>
      </c>
      <c r="BI50" s="36">
        <v>0</v>
      </c>
      <c r="BJ50" s="36">
        <v>0</v>
      </c>
      <c r="BK50" s="36">
        <v>0</v>
      </c>
      <c r="BL50" s="36">
        <v>0</v>
      </c>
      <c r="BM50" s="36">
        <v>0</v>
      </c>
      <c r="BN50" s="36">
        <v>0</v>
      </c>
      <c r="BO50" s="36">
        <v>0</v>
      </c>
      <c r="BP50" s="36">
        <v>0</v>
      </c>
      <c r="BQ50" s="36">
        <v>0</v>
      </c>
      <c r="BR50" s="36">
        <v>0</v>
      </c>
      <c r="BS50" s="36">
        <v>0</v>
      </c>
      <c r="BT50" s="36">
        <v>0</v>
      </c>
      <c r="BU50" s="36">
        <v>0</v>
      </c>
      <c r="BV50" s="36">
        <v>0</v>
      </c>
      <c r="BW50" s="36">
        <v>0</v>
      </c>
      <c r="BX50" s="36">
        <v>0</v>
      </c>
      <c r="BY50" s="36">
        <v>0</v>
      </c>
      <c r="BZ50" s="36">
        <v>0</v>
      </c>
      <c r="CA50" s="36">
        <v>0</v>
      </c>
      <c r="CB50" s="36">
        <v>0</v>
      </c>
      <c r="CC50" s="36">
        <v>0</v>
      </c>
      <c r="CD50" s="36">
        <v>0</v>
      </c>
      <c r="CE50" s="36">
        <v>0</v>
      </c>
      <c r="CF50" s="36">
        <v>0</v>
      </c>
      <c r="CG50" s="36">
        <v>0</v>
      </c>
      <c r="CH50" s="36">
        <v>0</v>
      </c>
      <c r="CI50" s="36">
        <v>0</v>
      </c>
      <c r="CJ50" s="36">
        <v>0</v>
      </c>
      <c r="CK50" s="36">
        <v>0</v>
      </c>
      <c r="CL50" s="36">
        <v>0</v>
      </c>
      <c r="CM50" s="36">
        <v>0</v>
      </c>
      <c r="CN50" s="36">
        <v>0</v>
      </c>
      <c r="CO50" s="36">
        <v>0</v>
      </c>
      <c r="CP50" s="34">
        <v>0</v>
      </c>
      <c r="CQ50" s="34">
        <v>0</v>
      </c>
      <c r="CR50" s="34">
        <v>0</v>
      </c>
      <c r="CS50" s="34">
        <v>0</v>
      </c>
      <c r="CT50" s="34">
        <v>0</v>
      </c>
      <c r="CU50" s="34">
        <v>0</v>
      </c>
      <c r="CV50" s="34">
        <v>0</v>
      </c>
      <c r="CW50" s="42">
        <v>0</v>
      </c>
      <c r="CX50" s="34">
        <v>0</v>
      </c>
      <c r="CY50" s="137">
        <v>0</v>
      </c>
      <c r="CZ50" s="34">
        <v>0</v>
      </c>
      <c r="DA50" s="34">
        <v>0</v>
      </c>
      <c r="DB50" s="34">
        <v>0</v>
      </c>
      <c r="DC50" s="34">
        <v>0</v>
      </c>
      <c r="DD50" s="34">
        <v>0</v>
      </c>
      <c r="DE50" s="34">
        <v>0</v>
      </c>
      <c r="DF50" s="34">
        <v>0</v>
      </c>
      <c r="DG50" s="34">
        <v>0</v>
      </c>
      <c r="DH50" s="42">
        <v>0</v>
      </c>
      <c r="DI50" s="34">
        <v>0</v>
      </c>
      <c r="DJ50" s="34">
        <v>0</v>
      </c>
      <c r="DK50" s="34">
        <v>0</v>
      </c>
      <c r="DL50" s="34">
        <v>0</v>
      </c>
      <c r="DM50" s="34">
        <v>0</v>
      </c>
      <c r="DN50" s="34">
        <v>0</v>
      </c>
      <c r="DO50" s="34">
        <v>0</v>
      </c>
      <c r="DP50" s="34">
        <v>0</v>
      </c>
      <c r="DQ50" s="213"/>
      <c r="DR50" s="213"/>
      <c r="DS50" s="213"/>
      <c r="DT50" s="218"/>
      <c r="DU50" s="218"/>
      <c r="DV50" s="213"/>
      <c r="DW50" s="213"/>
      <c r="DX50" s="218"/>
      <c r="DY50" s="218"/>
      <c r="DZ50" s="218"/>
      <c r="EA50" s="218"/>
      <c r="EB50" s="218"/>
      <c r="EC50" s="218"/>
      <c r="ED50" s="218"/>
      <c r="EE50" s="218"/>
      <c r="EF50" s="218"/>
      <c r="EG50" s="218"/>
      <c r="EH50" s="249">
        <f t="shared" si="0"/>
        <v>0</v>
      </c>
      <c r="EI50" s="150">
        <f t="shared" si="3"/>
        <v>1</v>
      </c>
      <c r="EJ50" s="150">
        <f t="shared" si="4"/>
        <v>0</v>
      </c>
      <c r="EK50" s="284">
        <f t="shared" si="1"/>
        <v>0</v>
      </c>
      <c r="EL50" s="151">
        <f>SUM(C50:C50)</f>
        <v>0</v>
      </c>
      <c r="EM50" s="153">
        <f>SUM(D50:O50)</f>
        <v>1</v>
      </c>
      <c r="EN50" s="153">
        <f>SUM(P50:AA50)</f>
        <v>0</v>
      </c>
      <c r="EO50" s="153">
        <f>SUM(AB50:AM50)</f>
        <v>0</v>
      </c>
      <c r="EP50" s="152">
        <f>SUM(AN50:AY50)</f>
        <v>0</v>
      </c>
      <c r="EQ50" s="152">
        <f>SUM(AZ50:BW50)</f>
        <v>0</v>
      </c>
      <c r="ER50" s="150">
        <f t="shared" si="11"/>
        <v>0</v>
      </c>
      <c r="ES50" s="152">
        <f t="shared" si="12"/>
        <v>0</v>
      </c>
      <c r="ET50" s="152">
        <f t="shared" si="2"/>
        <v>0</v>
      </c>
      <c r="EU50" s="57">
        <f>SUM(BP50:CK50)</f>
        <v>0</v>
      </c>
      <c r="EV50" s="12">
        <f t="shared" si="14"/>
        <v>0</v>
      </c>
      <c r="EX50" s="12">
        <f t="shared" si="15"/>
        <v>1</v>
      </c>
      <c r="EY50" s="131">
        <f t="shared" si="16"/>
        <v>1</v>
      </c>
    </row>
    <row r="51" spans="1:155" ht="27.75" customHeight="1" thickBot="1" x14ac:dyDescent="0.4">
      <c r="A51" s="192" t="s">
        <v>66</v>
      </c>
      <c r="B51" s="192" t="s">
        <v>67</v>
      </c>
      <c r="C51" s="188">
        <v>0</v>
      </c>
      <c r="D51" s="36">
        <v>0</v>
      </c>
      <c r="E51" s="36">
        <v>0</v>
      </c>
      <c r="F51" s="36">
        <v>1</v>
      </c>
      <c r="G51" s="36">
        <v>0</v>
      </c>
      <c r="H51" s="36">
        <v>0</v>
      </c>
      <c r="I51" s="36">
        <v>0</v>
      </c>
      <c r="J51" s="36">
        <v>0</v>
      </c>
      <c r="K51" s="36">
        <v>0</v>
      </c>
      <c r="L51" s="36">
        <v>0</v>
      </c>
      <c r="M51" s="36">
        <v>0</v>
      </c>
      <c r="N51" s="36">
        <v>0</v>
      </c>
      <c r="O51" s="36">
        <v>0</v>
      </c>
      <c r="P51" s="36">
        <v>0</v>
      </c>
      <c r="Q51" s="36">
        <v>0</v>
      </c>
      <c r="R51" s="36">
        <v>0</v>
      </c>
      <c r="S51" s="36">
        <v>0</v>
      </c>
      <c r="T51" s="36">
        <v>0</v>
      </c>
      <c r="U51" s="36">
        <v>0</v>
      </c>
      <c r="V51" s="36">
        <v>0</v>
      </c>
      <c r="W51" s="36">
        <v>0</v>
      </c>
      <c r="X51" s="36">
        <v>0</v>
      </c>
      <c r="Y51" s="36">
        <v>0</v>
      </c>
      <c r="Z51" s="36">
        <v>0</v>
      </c>
      <c r="AA51" s="36">
        <v>0</v>
      </c>
      <c r="AB51" s="37">
        <v>0</v>
      </c>
      <c r="AC51" s="37">
        <v>0</v>
      </c>
      <c r="AD51" s="37">
        <v>0</v>
      </c>
      <c r="AE51" s="37">
        <v>0</v>
      </c>
      <c r="AF51" s="37">
        <v>0</v>
      </c>
      <c r="AG51" s="37">
        <v>0</v>
      </c>
      <c r="AH51" s="37">
        <v>0</v>
      </c>
      <c r="AI51" s="37">
        <v>0</v>
      </c>
      <c r="AJ51" s="38">
        <v>0</v>
      </c>
      <c r="AK51" s="38">
        <v>0</v>
      </c>
      <c r="AL51" s="38">
        <v>0</v>
      </c>
      <c r="AM51" s="38">
        <v>0</v>
      </c>
      <c r="AN51" s="38">
        <v>0</v>
      </c>
      <c r="AO51" s="38">
        <v>0</v>
      </c>
      <c r="AP51" s="38">
        <v>0</v>
      </c>
      <c r="AQ51" s="38">
        <v>0</v>
      </c>
      <c r="AR51" s="38">
        <v>0</v>
      </c>
      <c r="AS51" s="34">
        <v>0</v>
      </c>
      <c r="AT51" s="34">
        <v>0</v>
      </c>
      <c r="AU51" s="34">
        <v>0</v>
      </c>
      <c r="AV51" s="34">
        <v>0</v>
      </c>
      <c r="AW51" s="33">
        <v>0</v>
      </c>
      <c r="AX51" s="34">
        <v>0</v>
      </c>
      <c r="AY51" s="34">
        <v>0</v>
      </c>
      <c r="AZ51" s="34">
        <v>0</v>
      </c>
      <c r="BA51" s="34">
        <v>0</v>
      </c>
      <c r="BB51" s="34">
        <v>0</v>
      </c>
      <c r="BC51" s="34">
        <v>0</v>
      </c>
      <c r="BD51" s="34">
        <v>0</v>
      </c>
      <c r="BE51" s="34">
        <v>0</v>
      </c>
      <c r="BF51" s="34">
        <v>0</v>
      </c>
      <c r="BG51" s="34">
        <v>0</v>
      </c>
      <c r="BH51" s="34">
        <v>0</v>
      </c>
      <c r="BI51" s="34">
        <v>0</v>
      </c>
      <c r="BJ51" s="34">
        <v>0</v>
      </c>
      <c r="BK51" s="34">
        <v>0</v>
      </c>
      <c r="BL51" s="34">
        <v>0</v>
      </c>
      <c r="BM51" s="34">
        <v>0</v>
      </c>
      <c r="BN51" s="34">
        <v>0</v>
      </c>
      <c r="BO51" s="34">
        <v>0</v>
      </c>
      <c r="BP51" s="34">
        <v>0</v>
      </c>
      <c r="BQ51" s="34">
        <v>0</v>
      </c>
      <c r="BR51" s="42">
        <v>0</v>
      </c>
      <c r="BS51" s="42">
        <v>0</v>
      </c>
      <c r="BT51" s="42">
        <v>0</v>
      </c>
      <c r="BU51" s="42">
        <v>0</v>
      </c>
      <c r="BV51" s="42">
        <v>0</v>
      </c>
      <c r="BW51" s="34">
        <v>0</v>
      </c>
      <c r="BX51" s="34">
        <v>0</v>
      </c>
      <c r="BY51" s="34">
        <v>0</v>
      </c>
      <c r="BZ51" s="34">
        <v>0</v>
      </c>
      <c r="CA51" s="34">
        <v>0</v>
      </c>
      <c r="CB51" s="34">
        <v>0</v>
      </c>
      <c r="CC51" s="34">
        <v>0</v>
      </c>
      <c r="CD51" s="34">
        <v>0</v>
      </c>
      <c r="CE51" s="42">
        <v>0</v>
      </c>
      <c r="CF51" s="34">
        <v>0</v>
      </c>
      <c r="CG51" s="34">
        <v>0</v>
      </c>
      <c r="CH51" s="55">
        <v>0</v>
      </c>
      <c r="CI51" s="55">
        <v>0</v>
      </c>
      <c r="CJ51" s="34">
        <v>0</v>
      </c>
      <c r="CK51" s="34">
        <v>0</v>
      </c>
      <c r="CL51" s="34">
        <v>0</v>
      </c>
      <c r="CM51" s="34">
        <v>0</v>
      </c>
      <c r="CN51" s="34">
        <v>0</v>
      </c>
      <c r="CO51" s="34">
        <v>0</v>
      </c>
      <c r="CP51" s="34">
        <v>0</v>
      </c>
      <c r="CQ51" s="34">
        <v>0</v>
      </c>
      <c r="CR51" s="34">
        <v>0</v>
      </c>
      <c r="CS51" s="34">
        <v>0</v>
      </c>
      <c r="CT51" s="34">
        <v>0</v>
      </c>
      <c r="CU51" s="34">
        <v>0</v>
      </c>
      <c r="CV51" s="34">
        <v>0</v>
      </c>
      <c r="CW51" s="42">
        <v>0</v>
      </c>
      <c r="CX51" s="34">
        <v>0</v>
      </c>
      <c r="CY51" s="137">
        <v>0</v>
      </c>
      <c r="CZ51" s="34">
        <v>0</v>
      </c>
      <c r="DA51" s="34">
        <v>0</v>
      </c>
      <c r="DB51" s="34">
        <v>0</v>
      </c>
      <c r="DC51" s="34">
        <v>0</v>
      </c>
      <c r="DD51" s="34">
        <v>0</v>
      </c>
      <c r="DE51" s="34">
        <v>0</v>
      </c>
      <c r="DF51" s="34">
        <v>0</v>
      </c>
      <c r="DG51" s="34">
        <v>0</v>
      </c>
      <c r="DH51" s="42">
        <v>0</v>
      </c>
      <c r="DI51" s="34">
        <v>0</v>
      </c>
      <c r="DJ51" s="34">
        <v>0</v>
      </c>
      <c r="DK51" s="34">
        <v>0</v>
      </c>
      <c r="DL51" s="34">
        <v>0</v>
      </c>
      <c r="DM51" s="34">
        <v>0</v>
      </c>
      <c r="DN51" s="34">
        <v>0</v>
      </c>
      <c r="DO51" s="34">
        <v>0</v>
      </c>
      <c r="DP51" s="34">
        <v>0</v>
      </c>
      <c r="DQ51" s="213"/>
      <c r="DR51" s="213"/>
      <c r="DS51" s="213"/>
      <c r="DT51" s="218"/>
      <c r="DU51" s="218"/>
      <c r="DV51" s="213"/>
      <c r="DW51" s="213"/>
      <c r="DX51" s="218"/>
      <c r="DY51" s="218"/>
      <c r="DZ51" s="218"/>
      <c r="EA51" s="218"/>
      <c r="EB51" s="218"/>
      <c r="EC51" s="218"/>
      <c r="ED51" s="218"/>
      <c r="EE51" s="218"/>
      <c r="EF51" s="218"/>
      <c r="EG51" s="218"/>
      <c r="EH51" s="249">
        <f t="shared" si="0"/>
        <v>0</v>
      </c>
      <c r="EI51" s="150">
        <f t="shared" si="3"/>
        <v>1</v>
      </c>
      <c r="EJ51" s="150">
        <f t="shared" si="4"/>
        <v>0</v>
      </c>
      <c r="EK51" s="284">
        <f t="shared" si="1"/>
        <v>0</v>
      </c>
      <c r="EL51" s="151">
        <f>SUM(C51:C51)</f>
        <v>0</v>
      </c>
      <c r="EM51" s="153">
        <f>SUM(D51:O51)</f>
        <v>1</v>
      </c>
      <c r="EN51" s="153">
        <f>SUM(P51:AA51)</f>
        <v>0</v>
      </c>
      <c r="EO51" s="153">
        <f>SUM(AB51:AM51)</f>
        <v>0</v>
      </c>
      <c r="EP51" s="152">
        <f>SUM(AN51:AY51)</f>
        <v>0</v>
      </c>
      <c r="EQ51" s="152">
        <f>SUM(AZ51:BW51)</f>
        <v>0</v>
      </c>
      <c r="ER51" s="150">
        <f t="shared" si="11"/>
        <v>0</v>
      </c>
      <c r="ES51" s="152">
        <f t="shared" si="12"/>
        <v>0</v>
      </c>
      <c r="ET51" s="152">
        <f t="shared" si="2"/>
        <v>0</v>
      </c>
      <c r="EU51" s="57">
        <f>SUM(BP51:CK51)</f>
        <v>0</v>
      </c>
      <c r="EV51" s="12">
        <f t="shared" si="14"/>
        <v>0</v>
      </c>
      <c r="EX51" s="12">
        <f t="shared" si="15"/>
        <v>1</v>
      </c>
      <c r="EY51" s="131">
        <f t="shared" si="16"/>
        <v>1</v>
      </c>
    </row>
    <row r="52" spans="1:155" ht="27.75" customHeight="1" thickBot="1" x14ac:dyDescent="0.3">
      <c r="A52" s="230" t="s">
        <v>27</v>
      </c>
      <c r="B52" s="230" t="s">
        <v>28</v>
      </c>
      <c r="C52" s="189">
        <v>4</v>
      </c>
      <c r="D52" s="33">
        <v>3</v>
      </c>
      <c r="E52" s="33">
        <v>2</v>
      </c>
      <c r="F52" s="33">
        <v>4</v>
      </c>
      <c r="G52" s="33">
        <v>3</v>
      </c>
      <c r="H52" s="33">
        <v>5</v>
      </c>
      <c r="I52" s="33">
        <v>1</v>
      </c>
      <c r="J52" s="33">
        <v>1</v>
      </c>
      <c r="K52" s="33">
        <v>7</v>
      </c>
      <c r="L52" s="33">
        <v>6</v>
      </c>
      <c r="M52" s="33">
        <v>3</v>
      </c>
      <c r="N52" s="33">
        <v>3</v>
      </c>
      <c r="O52" s="33">
        <v>10</v>
      </c>
      <c r="P52" s="33">
        <v>3</v>
      </c>
      <c r="Q52" s="33">
        <v>6</v>
      </c>
      <c r="R52" s="33">
        <v>6</v>
      </c>
      <c r="S52" s="33">
        <v>6</v>
      </c>
      <c r="T52" s="33">
        <v>6</v>
      </c>
      <c r="U52" s="33">
        <v>7</v>
      </c>
      <c r="V52" s="33">
        <v>8</v>
      </c>
      <c r="W52" s="33">
        <v>6</v>
      </c>
      <c r="X52" s="33">
        <v>6</v>
      </c>
      <c r="Y52" s="33">
        <v>8</v>
      </c>
      <c r="Z52" s="33">
        <v>5</v>
      </c>
      <c r="AA52" s="33">
        <v>7</v>
      </c>
      <c r="AB52" s="33">
        <v>7</v>
      </c>
      <c r="AC52" s="33">
        <v>5</v>
      </c>
      <c r="AD52" s="33">
        <v>6</v>
      </c>
      <c r="AE52" s="33">
        <v>6</v>
      </c>
      <c r="AF52" s="33">
        <v>5</v>
      </c>
      <c r="AG52" s="33">
        <v>9</v>
      </c>
      <c r="AH52" s="33">
        <v>9</v>
      </c>
      <c r="AI52" s="33">
        <v>6</v>
      </c>
      <c r="AJ52" s="34">
        <v>4</v>
      </c>
      <c r="AK52" s="34">
        <v>8</v>
      </c>
      <c r="AL52" s="34">
        <v>6</v>
      </c>
      <c r="AM52" s="34">
        <v>7</v>
      </c>
      <c r="AN52" s="34">
        <v>6</v>
      </c>
      <c r="AO52" s="34">
        <v>8</v>
      </c>
      <c r="AP52" s="34">
        <v>6</v>
      </c>
      <c r="AQ52" s="34">
        <v>7</v>
      </c>
      <c r="AR52" s="34">
        <v>7</v>
      </c>
      <c r="AS52" s="34">
        <v>8</v>
      </c>
      <c r="AT52" s="34">
        <v>6</v>
      </c>
      <c r="AU52" s="34">
        <v>6</v>
      </c>
      <c r="AV52" s="34">
        <v>6</v>
      </c>
      <c r="AW52" s="33">
        <v>7</v>
      </c>
      <c r="AX52" s="34">
        <v>6</v>
      </c>
      <c r="AY52" s="34">
        <v>7</v>
      </c>
      <c r="AZ52" s="34">
        <v>0</v>
      </c>
      <c r="BA52" s="34">
        <v>7</v>
      </c>
      <c r="BB52" s="34">
        <v>4</v>
      </c>
      <c r="BC52" s="34">
        <v>3</v>
      </c>
      <c r="BD52" s="34">
        <v>3</v>
      </c>
      <c r="BE52" s="34">
        <v>4</v>
      </c>
      <c r="BF52" s="34">
        <v>4</v>
      </c>
      <c r="BG52" s="34">
        <v>3</v>
      </c>
      <c r="BH52" s="34">
        <v>4</v>
      </c>
      <c r="BI52" s="34">
        <v>3</v>
      </c>
      <c r="BJ52" s="34">
        <v>4</v>
      </c>
      <c r="BK52" s="34">
        <v>5</v>
      </c>
      <c r="BL52" s="34">
        <v>2</v>
      </c>
      <c r="BM52" s="34">
        <v>6</v>
      </c>
      <c r="BN52" s="34">
        <v>2</v>
      </c>
      <c r="BO52" s="34">
        <v>5</v>
      </c>
      <c r="BP52" s="34">
        <v>4</v>
      </c>
      <c r="BQ52" s="34">
        <v>4</v>
      </c>
      <c r="BR52" s="42">
        <v>4</v>
      </c>
      <c r="BS52" s="42">
        <v>4</v>
      </c>
      <c r="BT52" s="42">
        <v>2</v>
      </c>
      <c r="BU52" s="42">
        <v>7</v>
      </c>
      <c r="BV52" s="42">
        <v>4</v>
      </c>
      <c r="BW52" s="34">
        <v>8</v>
      </c>
      <c r="BX52" s="34">
        <v>3</v>
      </c>
      <c r="BY52" s="34">
        <v>5</v>
      </c>
      <c r="BZ52" s="34">
        <v>0</v>
      </c>
      <c r="CA52" s="34">
        <v>8</v>
      </c>
      <c r="CB52" s="34">
        <v>2</v>
      </c>
      <c r="CC52" s="34">
        <v>2</v>
      </c>
      <c r="CD52" s="34">
        <v>2</v>
      </c>
      <c r="CE52" s="42">
        <v>2</v>
      </c>
      <c r="CF52" s="34">
        <v>2</v>
      </c>
      <c r="CG52" s="34">
        <v>2</v>
      </c>
      <c r="CH52" s="55">
        <v>5</v>
      </c>
      <c r="CI52" s="55">
        <v>1</v>
      </c>
      <c r="CJ52" s="34">
        <v>4</v>
      </c>
      <c r="CK52" s="34">
        <v>5</v>
      </c>
      <c r="CL52" s="34">
        <v>4</v>
      </c>
      <c r="CM52" s="34">
        <v>6</v>
      </c>
      <c r="CN52" s="34">
        <v>5</v>
      </c>
      <c r="CO52" s="34">
        <v>7</v>
      </c>
      <c r="CP52" s="34">
        <v>5</v>
      </c>
      <c r="CQ52" s="34">
        <v>5</v>
      </c>
      <c r="CR52" s="34">
        <v>6</v>
      </c>
      <c r="CS52" s="34">
        <v>6</v>
      </c>
      <c r="CT52" s="34">
        <v>5</v>
      </c>
      <c r="CU52" s="34">
        <v>11</v>
      </c>
      <c r="CV52" s="34">
        <v>1</v>
      </c>
      <c r="CW52" s="42">
        <v>7</v>
      </c>
      <c r="CX52" s="34">
        <v>7</v>
      </c>
      <c r="CY52" s="137">
        <v>4</v>
      </c>
      <c r="CZ52" s="34">
        <v>4</v>
      </c>
      <c r="DA52" s="34">
        <v>1</v>
      </c>
      <c r="DB52" s="34">
        <v>2</v>
      </c>
      <c r="DC52" s="34">
        <v>2</v>
      </c>
      <c r="DD52" s="34">
        <v>3</v>
      </c>
      <c r="DE52" s="118">
        <v>1</v>
      </c>
      <c r="DF52" s="34">
        <v>7</v>
      </c>
      <c r="DG52" s="34">
        <v>11</v>
      </c>
      <c r="DH52" s="42">
        <v>9</v>
      </c>
      <c r="DI52" s="34">
        <v>5</v>
      </c>
      <c r="DJ52" s="34">
        <v>4</v>
      </c>
      <c r="DK52" s="34">
        <v>0</v>
      </c>
      <c r="DL52" s="34">
        <v>0</v>
      </c>
      <c r="DM52" s="34">
        <v>0</v>
      </c>
      <c r="DN52" s="34">
        <v>1</v>
      </c>
      <c r="DO52" s="34">
        <v>0</v>
      </c>
      <c r="DP52" s="34">
        <v>2</v>
      </c>
      <c r="DQ52" s="34">
        <v>2</v>
      </c>
      <c r="DR52" s="34">
        <v>3</v>
      </c>
      <c r="DS52" s="34">
        <v>4</v>
      </c>
      <c r="DT52" s="218"/>
      <c r="DU52" s="218"/>
      <c r="DV52" s="213"/>
      <c r="DW52" s="213"/>
      <c r="DX52" s="218"/>
      <c r="DY52" s="218"/>
      <c r="DZ52" s="218"/>
      <c r="EA52" s="218"/>
      <c r="EB52" s="218"/>
      <c r="EC52" s="218"/>
      <c r="ED52" s="218"/>
      <c r="EE52" s="218"/>
      <c r="EF52" s="218"/>
      <c r="EG52" s="218"/>
      <c r="EH52" s="249">
        <f t="shared" si="0"/>
        <v>118</v>
      </c>
      <c r="EI52" s="150">
        <f t="shared" si="3"/>
        <v>551</v>
      </c>
      <c r="EJ52" s="150">
        <f t="shared" si="4"/>
        <v>529</v>
      </c>
      <c r="EK52" s="284">
        <f t="shared" si="1"/>
        <v>12</v>
      </c>
      <c r="EL52" s="151">
        <f>SUM(C52:C52)</f>
        <v>4</v>
      </c>
      <c r="EM52" s="153">
        <f>SUM(D52:O52)</f>
        <v>48</v>
      </c>
      <c r="EN52" s="153">
        <f>SUM(P52:AA52)</f>
        <v>74</v>
      </c>
      <c r="EO52" s="153">
        <f>SUM(AB52:AM52)</f>
        <v>78</v>
      </c>
      <c r="EP52" s="152">
        <f>SUM(AN52:AY52)</f>
        <v>80</v>
      </c>
      <c r="EQ52" s="152">
        <f>SUM(AZ52:BW52)</f>
        <v>96</v>
      </c>
      <c r="ER52" s="150">
        <f t="shared" si="11"/>
        <v>103</v>
      </c>
      <c r="ES52" s="152">
        <f t="shared" si="12"/>
        <v>80</v>
      </c>
      <c r="ET52" s="152">
        <f t="shared" si="2"/>
        <v>0</v>
      </c>
      <c r="EU52" s="57">
        <f>SUM(BP52:CK52)</f>
        <v>80</v>
      </c>
      <c r="EV52" s="74">
        <f t="shared" si="14"/>
        <v>83</v>
      </c>
      <c r="EX52" s="12">
        <f t="shared" si="15"/>
        <v>445</v>
      </c>
      <c r="EY52" s="131">
        <f t="shared" si="16"/>
        <v>542</v>
      </c>
    </row>
    <row r="53" spans="1:155" ht="27.75" customHeight="1" thickBot="1" x14ac:dyDescent="0.3">
      <c r="A53" s="192" t="s">
        <v>223</v>
      </c>
      <c r="B53" s="192" t="s">
        <v>224</v>
      </c>
      <c r="C53" s="189">
        <v>8</v>
      </c>
      <c r="D53" s="33">
        <v>1</v>
      </c>
      <c r="E53" s="33">
        <v>0</v>
      </c>
      <c r="F53" s="33">
        <v>1</v>
      </c>
      <c r="G53" s="33">
        <v>0</v>
      </c>
      <c r="H53" s="33">
        <v>1</v>
      </c>
      <c r="I53" s="33">
        <v>1</v>
      </c>
      <c r="J53" s="33">
        <v>0</v>
      </c>
      <c r="K53" s="33">
        <v>0</v>
      </c>
      <c r="L53" s="33">
        <v>1</v>
      </c>
      <c r="M53" s="33">
        <v>0</v>
      </c>
      <c r="N53" s="33">
        <v>0</v>
      </c>
      <c r="O53" s="33">
        <v>5</v>
      </c>
      <c r="P53" s="33">
        <v>3</v>
      </c>
      <c r="Q53" s="33">
        <v>1</v>
      </c>
      <c r="R53" s="33">
        <v>0</v>
      </c>
      <c r="S53" s="33">
        <v>0</v>
      </c>
      <c r="T53" s="33">
        <v>0</v>
      </c>
      <c r="U53" s="33">
        <v>0</v>
      </c>
      <c r="V53" s="33">
        <v>0</v>
      </c>
      <c r="W53" s="33">
        <v>1</v>
      </c>
      <c r="X53" s="33">
        <v>3</v>
      </c>
      <c r="Y53" s="33">
        <v>4</v>
      </c>
      <c r="Z53" s="33">
        <v>1</v>
      </c>
      <c r="AA53" s="33">
        <v>0</v>
      </c>
      <c r="AB53" s="33">
        <v>0</v>
      </c>
      <c r="AC53" s="33">
        <v>2</v>
      </c>
      <c r="AD53" s="33">
        <v>2</v>
      </c>
      <c r="AE53" s="33">
        <v>3</v>
      </c>
      <c r="AF53" s="33">
        <v>2</v>
      </c>
      <c r="AG53" s="33">
        <v>3</v>
      </c>
      <c r="AH53" s="33">
        <v>3</v>
      </c>
      <c r="AI53" s="33">
        <v>3</v>
      </c>
      <c r="AJ53" s="34">
        <v>0</v>
      </c>
      <c r="AK53" s="34">
        <v>4</v>
      </c>
      <c r="AL53" s="34">
        <v>0</v>
      </c>
      <c r="AM53" s="34">
        <v>2</v>
      </c>
      <c r="AN53" s="34">
        <v>1</v>
      </c>
      <c r="AO53" s="34">
        <v>0</v>
      </c>
      <c r="AP53" s="34">
        <v>3</v>
      </c>
      <c r="AQ53" s="34">
        <v>0</v>
      </c>
      <c r="AR53" s="34">
        <v>5</v>
      </c>
      <c r="AS53" s="34">
        <v>6</v>
      </c>
      <c r="AT53" s="34">
        <v>5</v>
      </c>
      <c r="AU53" s="34">
        <v>1</v>
      </c>
      <c r="AV53" s="34">
        <v>1</v>
      </c>
      <c r="AW53" s="33">
        <v>1</v>
      </c>
      <c r="AX53" s="34">
        <v>2</v>
      </c>
      <c r="AY53" s="34">
        <v>2</v>
      </c>
      <c r="AZ53" s="34">
        <v>2</v>
      </c>
      <c r="BA53" s="34">
        <v>3</v>
      </c>
      <c r="BB53" s="34">
        <v>0</v>
      </c>
      <c r="BC53" s="34">
        <v>0</v>
      </c>
      <c r="BD53" s="34">
        <v>2</v>
      </c>
      <c r="BE53" s="34">
        <v>0</v>
      </c>
      <c r="BF53" s="34">
        <v>1</v>
      </c>
      <c r="BG53" s="34">
        <v>0</v>
      </c>
      <c r="BH53" s="34">
        <v>0</v>
      </c>
      <c r="BI53" s="34">
        <v>1</v>
      </c>
      <c r="BJ53" s="34">
        <v>2</v>
      </c>
      <c r="BK53" s="34">
        <v>0</v>
      </c>
      <c r="BL53" s="34">
        <v>2</v>
      </c>
      <c r="BM53" s="34">
        <v>1</v>
      </c>
      <c r="BN53" s="34">
        <v>7</v>
      </c>
      <c r="BO53" s="34">
        <v>1</v>
      </c>
      <c r="BP53" s="34">
        <v>1</v>
      </c>
      <c r="BQ53" s="34">
        <v>0</v>
      </c>
      <c r="BR53" s="42">
        <v>0</v>
      </c>
      <c r="BS53" s="42">
        <v>0</v>
      </c>
      <c r="BT53" s="42">
        <v>2</v>
      </c>
      <c r="BU53" s="42">
        <v>0</v>
      </c>
      <c r="BV53" s="42">
        <v>1</v>
      </c>
      <c r="BW53" s="34">
        <v>2</v>
      </c>
      <c r="BX53" s="34">
        <v>2</v>
      </c>
      <c r="BY53" s="34">
        <v>0</v>
      </c>
      <c r="BZ53" s="34">
        <v>2</v>
      </c>
      <c r="CA53" s="34">
        <v>2</v>
      </c>
      <c r="CB53" s="34">
        <v>0</v>
      </c>
      <c r="CC53" s="34">
        <v>1</v>
      </c>
      <c r="CD53" s="34">
        <v>1</v>
      </c>
      <c r="CE53" s="42">
        <v>2</v>
      </c>
      <c r="CF53" s="34">
        <v>1</v>
      </c>
      <c r="CG53" s="34">
        <v>3</v>
      </c>
      <c r="CH53" s="55">
        <v>1</v>
      </c>
      <c r="CI53" s="55">
        <v>2</v>
      </c>
      <c r="CJ53" s="34">
        <v>3</v>
      </c>
      <c r="CK53" s="34">
        <v>1</v>
      </c>
      <c r="CL53" s="34">
        <v>4</v>
      </c>
      <c r="CM53" s="34">
        <v>0</v>
      </c>
      <c r="CN53" s="34">
        <v>1</v>
      </c>
      <c r="CO53" s="34">
        <v>7</v>
      </c>
      <c r="CP53" s="34">
        <v>2</v>
      </c>
      <c r="CQ53" s="34">
        <v>0</v>
      </c>
      <c r="CR53" s="34">
        <v>4</v>
      </c>
      <c r="CS53" s="34">
        <v>0</v>
      </c>
      <c r="CT53" s="34">
        <v>0</v>
      </c>
      <c r="CU53" s="34">
        <v>0</v>
      </c>
      <c r="CV53" s="34">
        <v>0</v>
      </c>
      <c r="CW53" s="42">
        <v>2</v>
      </c>
      <c r="CX53" s="34">
        <v>3</v>
      </c>
      <c r="CY53" s="137">
        <v>0</v>
      </c>
      <c r="CZ53" s="34">
        <v>0</v>
      </c>
      <c r="DA53" s="34">
        <v>3</v>
      </c>
      <c r="DB53" s="34">
        <v>0</v>
      </c>
      <c r="DC53" s="34">
        <v>1</v>
      </c>
      <c r="DD53" s="34">
        <v>2</v>
      </c>
      <c r="DE53" s="34">
        <v>2</v>
      </c>
      <c r="DF53" s="34">
        <v>1</v>
      </c>
      <c r="DG53" s="34">
        <v>1</v>
      </c>
      <c r="DH53" s="42">
        <v>0</v>
      </c>
      <c r="DI53" s="34">
        <v>0</v>
      </c>
      <c r="DJ53" s="34">
        <v>2</v>
      </c>
      <c r="DK53" s="34">
        <v>3</v>
      </c>
      <c r="DL53" s="34">
        <v>0</v>
      </c>
      <c r="DM53" s="34">
        <v>3</v>
      </c>
      <c r="DN53" s="34">
        <v>0</v>
      </c>
      <c r="DO53" s="34">
        <v>2</v>
      </c>
      <c r="DP53" s="34">
        <v>0</v>
      </c>
      <c r="DQ53" s="34">
        <v>0</v>
      </c>
      <c r="DR53" s="34">
        <v>0</v>
      </c>
      <c r="DS53" s="34">
        <v>1</v>
      </c>
      <c r="DT53" s="218"/>
      <c r="DU53" s="218"/>
      <c r="DV53" s="213"/>
      <c r="DW53" s="213"/>
      <c r="DX53" s="218"/>
      <c r="DY53" s="218"/>
      <c r="DZ53" s="218"/>
      <c r="EA53" s="218"/>
      <c r="EB53" s="218"/>
      <c r="EC53" s="218"/>
      <c r="ED53" s="218"/>
      <c r="EE53" s="218"/>
      <c r="EF53" s="218"/>
      <c r="EG53" s="218"/>
      <c r="EH53" s="249">
        <f t="shared" si="0"/>
        <v>32</v>
      </c>
      <c r="EI53" s="150">
        <f t="shared" si="3"/>
        <v>172</v>
      </c>
      <c r="EJ53" s="150">
        <f t="shared" si="4"/>
        <v>160</v>
      </c>
      <c r="EK53" s="284">
        <f t="shared" si="1"/>
        <v>6</v>
      </c>
      <c r="EL53" s="151"/>
      <c r="EM53" s="153"/>
      <c r="EN53" s="153"/>
      <c r="EO53" s="153"/>
      <c r="EP53" s="152"/>
      <c r="EQ53" s="152"/>
      <c r="ER53" s="152"/>
      <c r="ES53" s="152">
        <f t="shared" si="12"/>
        <v>26</v>
      </c>
      <c r="ET53" s="152">
        <f t="shared" si="2"/>
        <v>0</v>
      </c>
      <c r="EU53" s="57"/>
      <c r="EV53" s="74"/>
      <c r="EX53" s="12"/>
      <c r="EY53" s="131">
        <f t="shared" si="16"/>
        <v>160</v>
      </c>
    </row>
    <row r="54" spans="1:155" ht="27.75" customHeight="1" thickBot="1" x14ac:dyDescent="0.3">
      <c r="A54" s="192" t="s">
        <v>225</v>
      </c>
      <c r="B54" s="192" t="s">
        <v>226</v>
      </c>
      <c r="C54" s="189">
        <v>0</v>
      </c>
      <c r="D54" s="33">
        <v>0</v>
      </c>
      <c r="E54" s="33">
        <v>0</v>
      </c>
      <c r="F54" s="33">
        <v>0</v>
      </c>
      <c r="G54" s="33">
        <v>0</v>
      </c>
      <c r="H54" s="33">
        <v>0</v>
      </c>
      <c r="I54" s="33">
        <v>0</v>
      </c>
      <c r="J54" s="33">
        <v>0</v>
      </c>
      <c r="K54" s="33">
        <v>0</v>
      </c>
      <c r="L54" s="33">
        <v>0</v>
      </c>
      <c r="M54" s="33">
        <v>0</v>
      </c>
      <c r="N54" s="33">
        <v>0</v>
      </c>
      <c r="O54" s="33">
        <v>0</v>
      </c>
      <c r="P54" s="33">
        <v>0</v>
      </c>
      <c r="Q54" s="33">
        <v>0</v>
      </c>
      <c r="R54" s="33">
        <v>0</v>
      </c>
      <c r="S54" s="33">
        <v>0</v>
      </c>
      <c r="T54" s="33">
        <v>0</v>
      </c>
      <c r="U54" s="33">
        <v>0</v>
      </c>
      <c r="V54" s="33">
        <v>0</v>
      </c>
      <c r="W54" s="33">
        <v>0</v>
      </c>
      <c r="X54" s="33">
        <v>0</v>
      </c>
      <c r="Y54" s="33">
        <v>0</v>
      </c>
      <c r="Z54" s="33">
        <v>0</v>
      </c>
      <c r="AA54" s="33">
        <v>0</v>
      </c>
      <c r="AB54" s="33">
        <v>0</v>
      </c>
      <c r="AC54" s="33">
        <v>0</v>
      </c>
      <c r="AD54" s="33">
        <v>0</v>
      </c>
      <c r="AE54" s="33">
        <v>0</v>
      </c>
      <c r="AF54" s="33">
        <v>0</v>
      </c>
      <c r="AG54" s="33">
        <v>0</v>
      </c>
      <c r="AH54" s="33">
        <v>0</v>
      </c>
      <c r="AI54" s="33">
        <v>0</v>
      </c>
      <c r="AJ54" s="34">
        <v>0</v>
      </c>
      <c r="AK54" s="34">
        <v>0</v>
      </c>
      <c r="AL54" s="34">
        <v>0</v>
      </c>
      <c r="AM54" s="34">
        <v>0</v>
      </c>
      <c r="AN54" s="34">
        <v>0</v>
      </c>
      <c r="AO54" s="34">
        <v>0</v>
      </c>
      <c r="AP54" s="34">
        <v>0</v>
      </c>
      <c r="AQ54" s="34">
        <v>0</v>
      </c>
      <c r="AR54" s="34">
        <v>0</v>
      </c>
      <c r="AS54" s="34">
        <v>0</v>
      </c>
      <c r="AT54" s="34">
        <v>0</v>
      </c>
      <c r="AU54" s="34">
        <v>0</v>
      </c>
      <c r="AV54" s="34">
        <v>0</v>
      </c>
      <c r="AW54" s="33">
        <v>0</v>
      </c>
      <c r="AX54" s="34">
        <v>0</v>
      </c>
      <c r="AY54" s="34">
        <v>0</v>
      </c>
      <c r="AZ54" s="34">
        <v>0</v>
      </c>
      <c r="BA54" s="34">
        <v>0</v>
      </c>
      <c r="BB54" s="34">
        <v>0</v>
      </c>
      <c r="BC54" s="34">
        <v>0</v>
      </c>
      <c r="BD54" s="34">
        <v>0</v>
      </c>
      <c r="BE54" s="34">
        <v>0</v>
      </c>
      <c r="BF54" s="34">
        <v>0</v>
      </c>
      <c r="BG54" s="34">
        <v>0</v>
      </c>
      <c r="BH54" s="34">
        <v>0</v>
      </c>
      <c r="BI54" s="34">
        <v>0</v>
      </c>
      <c r="BJ54" s="34">
        <v>0</v>
      </c>
      <c r="BK54" s="34">
        <v>0</v>
      </c>
      <c r="BL54" s="34">
        <v>0</v>
      </c>
      <c r="BM54" s="137">
        <v>0</v>
      </c>
      <c r="BN54" s="137">
        <v>0</v>
      </c>
      <c r="BO54" s="137">
        <v>0</v>
      </c>
      <c r="BP54" s="137">
        <v>0</v>
      </c>
      <c r="BQ54" s="137">
        <v>0</v>
      </c>
      <c r="BR54" s="138">
        <v>0</v>
      </c>
      <c r="BS54" s="138">
        <v>0</v>
      </c>
      <c r="BT54" s="138">
        <v>0</v>
      </c>
      <c r="BU54" s="138">
        <v>0</v>
      </c>
      <c r="BV54" s="138">
        <v>0</v>
      </c>
      <c r="BW54" s="137">
        <v>0</v>
      </c>
      <c r="BX54" s="137">
        <v>0</v>
      </c>
      <c r="BY54" s="137">
        <v>0</v>
      </c>
      <c r="BZ54" s="137">
        <v>0</v>
      </c>
      <c r="CA54" s="137">
        <v>0</v>
      </c>
      <c r="CB54" s="137">
        <v>0</v>
      </c>
      <c r="CC54" s="137">
        <v>0</v>
      </c>
      <c r="CD54" s="137">
        <v>0</v>
      </c>
      <c r="CE54" s="138">
        <v>0</v>
      </c>
      <c r="CF54" s="137">
        <v>0</v>
      </c>
      <c r="CG54" s="137">
        <v>0</v>
      </c>
      <c r="CH54" s="139">
        <v>0</v>
      </c>
      <c r="CI54" s="139">
        <v>0</v>
      </c>
      <c r="CJ54" s="137">
        <v>0</v>
      </c>
      <c r="CK54" s="137">
        <v>0</v>
      </c>
      <c r="CL54" s="137">
        <v>0</v>
      </c>
      <c r="CM54" s="137">
        <v>0</v>
      </c>
      <c r="CN54" s="137">
        <v>0</v>
      </c>
      <c r="CO54" s="137">
        <v>0</v>
      </c>
      <c r="CP54" s="137">
        <v>0</v>
      </c>
      <c r="CQ54" s="137">
        <v>0</v>
      </c>
      <c r="CR54" s="137">
        <v>0</v>
      </c>
      <c r="CS54" s="34">
        <v>0</v>
      </c>
      <c r="CT54" s="34">
        <v>0</v>
      </c>
      <c r="CU54" s="34">
        <v>0</v>
      </c>
      <c r="CV54" s="34">
        <v>0</v>
      </c>
      <c r="CW54" s="42">
        <v>0</v>
      </c>
      <c r="CX54" s="34">
        <v>0</v>
      </c>
      <c r="CY54" s="137">
        <v>0</v>
      </c>
      <c r="CZ54" s="34">
        <v>0</v>
      </c>
      <c r="DA54" s="34">
        <v>0</v>
      </c>
      <c r="DB54" s="34">
        <v>0</v>
      </c>
      <c r="DC54" s="34">
        <v>1</v>
      </c>
      <c r="DD54" s="34">
        <v>0</v>
      </c>
      <c r="DE54" s="34">
        <v>0</v>
      </c>
      <c r="DF54" s="34">
        <v>0</v>
      </c>
      <c r="DG54" s="34">
        <v>0</v>
      </c>
      <c r="DH54" s="42">
        <v>0</v>
      </c>
      <c r="DI54" s="34">
        <v>0</v>
      </c>
      <c r="DJ54" s="34">
        <v>0</v>
      </c>
      <c r="DK54" s="34">
        <v>0</v>
      </c>
      <c r="DL54" s="34">
        <v>0</v>
      </c>
      <c r="DM54" s="34">
        <v>0</v>
      </c>
      <c r="DN54" s="34">
        <v>0</v>
      </c>
      <c r="DO54" s="34">
        <v>0</v>
      </c>
      <c r="DP54" s="34">
        <v>0</v>
      </c>
      <c r="DQ54" s="34">
        <v>0</v>
      </c>
      <c r="DR54" s="34">
        <v>0</v>
      </c>
      <c r="DS54" s="34">
        <v>0</v>
      </c>
      <c r="DT54" s="218"/>
      <c r="DU54" s="218"/>
      <c r="DV54" s="213"/>
      <c r="DW54" s="213"/>
      <c r="DX54" s="218"/>
      <c r="DY54" s="218"/>
      <c r="DZ54" s="218"/>
      <c r="EA54" s="218"/>
      <c r="EB54" s="218"/>
      <c r="EC54" s="218"/>
      <c r="ED54" s="218"/>
      <c r="EE54" s="218"/>
      <c r="EF54" s="218"/>
      <c r="EG54" s="218"/>
      <c r="EH54" s="249">
        <f t="shared" si="0"/>
        <v>1</v>
      </c>
      <c r="EI54" s="150">
        <f t="shared" si="3"/>
        <v>1</v>
      </c>
      <c r="EJ54" s="150">
        <f t="shared" si="4"/>
        <v>1</v>
      </c>
      <c r="EK54" s="284">
        <f t="shared" si="1"/>
        <v>0</v>
      </c>
      <c r="EL54" s="151"/>
      <c r="EM54" s="153"/>
      <c r="EN54" s="153"/>
      <c r="EO54" s="153"/>
      <c r="EP54" s="152"/>
      <c r="EQ54" s="152"/>
      <c r="ER54" s="152"/>
      <c r="ES54" s="152">
        <f t="shared" si="12"/>
        <v>1</v>
      </c>
      <c r="ET54" s="152">
        <f t="shared" si="2"/>
        <v>0</v>
      </c>
      <c r="EU54" s="57"/>
      <c r="EV54" s="74"/>
      <c r="EX54" s="12"/>
      <c r="EY54" s="131">
        <f t="shared" si="16"/>
        <v>1</v>
      </c>
    </row>
    <row r="55" spans="1:155" ht="27.75" customHeight="1" thickBot="1" x14ac:dyDescent="0.3">
      <c r="A55" s="230" t="s">
        <v>29</v>
      </c>
      <c r="B55" s="230" t="s">
        <v>30</v>
      </c>
      <c r="C55" s="189">
        <v>8</v>
      </c>
      <c r="D55" s="33">
        <v>1</v>
      </c>
      <c r="E55" s="33">
        <v>0</v>
      </c>
      <c r="F55" s="33">
        <v>1</v>
      </c>
      <c r="G55" s="33">
        <v>0</v>
      </c>
      <c r="H55" s="33">
        <v>1</v>
      </c>
      <c r="I55" s="33">
        <v>1</v>
      </c>
      <c r="J55" s="33">
        <v>0</v>
      </c>
      <c r="K55" s="33">
        <v>0</v>
      </c>
      <c r="L55" s="33">
        <v>1</v>
      </c>
      <c r="M55" s="33">
        <v>0</v>
      </c>
      <c r="N55" s="33">
        <v>0</v>
      </c>
      <c r="O55" s="33">
        <v>5</v>
      </c>
      <c r="P55" s="33">
        <v>3</v>
      </c>
      <c r="Q55" s="33">
        <v>1</v>
      </c>
      <c r="R55" s="33">
        <v>0</v>
      </c>
      <c r="S55" s="33">
        <v>0</v>
      </c>
      <c r="T55" s="33">
        <v>0</v>
      </c>
      <c r="U55" s="33">
        <v>0</v>
      </c>
      <c r="V55" s="33">
        <v>0</v>
      </c>
      <c r="W55" s="33">
        <v>1</v>
      </c>
      <c r="X55" s="33">
        <v>3</v>
      </c>
      <c r="Y55" s="33">
        <v>4</v>
      </c>
      <c r="Z55" s="33">
        <v>1</v>
      </c>
      <c r="AA55" s="33">
        <v>0</v>
      </c>
      <c r="AB55" s="33">
        <v>0</v>
      </c>
      <c r="AC55" s="33">
        <v>2</v>
      </c>
      <c r="AD55" s="33">
        <v>2</v>
      </c>
      <c r="AE55" s="33">
        <v>3</v>
      </c>
      <c r="AF55" s="33">
        <v>2</v>
      </c>
      <c r="AG55" s="33">
        <v>3</v>
      </c>
      <c r="AH55" s="33">
        <v>3</v>
      </c>
      <c r="AI55" s="33">
        <v>3</v>
      </c>
      <c r="AJ55" s="34">
        <v>0</v>
      </c>
      <c r="AK55" s="34">
        <v>4</v>
      </c>
      <c r="AL55" s="34">
        <v>0</v>
      </c>
      <c r="AM55" s="34">
        <v>2</v>
      </c>
      <c r="AN55" s="34">
        <v>1</v>
      </c>
      <c r="AO55" s="34">
        <v>0</v>
      </c>
      <c r="AP55" s="34">
        <v>3</v>
      </c>
      <c r="AQ55" s="34">
        <v>0</v>
      </c>
      <c r="AR55" s="34">
        <v>5</v>
      </c>
      <c r="AS55" s="34">
        <v>6</v>
      </c>
      <c r="AT55" s="34">
        <v>5</v>
      </c>
      <c r="AU55" s="34">
        <v>1</v>
      </c>
      <c r="AV55" s="34">
        <v>1</v>
      </c>
      <c r="AW55" s="33">
        <v>1</v>
      </c>
      <c r="AX55" s="34">
        <v>2</v>
      </c>
      <c r="AY55" s="34">
        <v>2</v>
      </c>
      <c r="AZ55" s="34">
        <v>2</v>
      </c>
      <c r="BA55" s="34">
        <v>3</v>
      </c>
      <c r="BB55" s="34">
        <v>0</v>
      </c>
      <c r="BC55" s="34">
        <v>0</v>
      </c>
      <c r="BD55" s="34">
        <v>2</v>
      </c>
      <c r="BE55" s="34">
        <v>0</v>
      </c>
      <c r="BF55" s="34">
        <v>1</v>
      </c>
      <c r="BG55" s="34">
        <v>0</v>
      </c>
      <c r="BH55" s="34">
        <v>0</v>
      </c>
      <c r="BI55" s="34">
        <v>1</v>
      </c>
      <c r="BJ55" s="34">
        <v>2</v>
      </c>
      <c r="BK55" s="34">
        <v>0</v>
      </c>
      <c r="BL55" s="34">
        <v>2</v>
      </c>
      <c r="BM55" s="137">
        <v>1</v>
      </c>
      <c r="BN55" s="137">
        <v>7</v>
      </c>
      <c r="BO55" s="137">
        <v>1</v>
      </c>
      <c r="BP55" s="137">
        <v>1</v>
      </c>
      <c r="BQ55" s="137">
        <v>0</v>
      </c>
      <c r="BR55" s="138">
        <v>0</v>
      </c>
      <c r="BS55" s="138">
        <v>0</v>
      </c>
      <c r="BT55" s="138">
        <v>2</v>
      </c>
      <c r="BU55" s="138">
        <v>0</v>
      </c>
      <c r="BV55" s="138">
        <v>1</v>
      </c>
      <c r="BW55" s="137">
        <v>2</v>
      </c>
      <c r="BX55" s="137">
        <v>2</v>
      </c>
      <c r="BY55" s="137">
        <v>0</v>
      </c>
      <c r="BZ55" s="137">
        <v>2</v>
      </c>
      <c r="CA55" s="137">
        <v>2</v>
      </c>
      <c r="CB55" s="137">
        <v>0</v>
      </c>
      <c r="CC55" s="137">
        <v>1</v>
      </c>
      <c r="CD55" s="137">
        <v>1</v>
      </c>
      <c r="CE55" s="138">
        <v>2</v>
      </c>
      <c r="CF55" s="137">
        <v>1</v>
      </c>
      <c r="CG55" s="137">
        <v>3</v>
      </c>
      <c r="CH55" s="139">
        <v>1</v>
      </c>
      <c r="CI55" s="139">
        <v>2</v>
      </c>
      <c r="CJ55" s="137">
        <v>3</v>
      </c>
      <c r="CK55" s="137">
        <v>1</v>
      </c>
      <c r="CL55" s="168">
        <v>4</v>
      </c>
      <c r="CM55" s="137">
        <v>0</v>
      </c>
      <c r="CN55" s="137">
        <v>1</v>
      </c>
      <c r="CO55" s="137">
        <v>7</v>
      </c>
      <c r="CP55" s="137">
        <v>2</v>
      </c>
      <c r="CQ55" s="137">
        <v>0</v>
      </c>
      <c r="CR55" s="137">
        <v>4</v>
      </c>
      <c r="CS55" s="34">
        <v>0</v>
      </c>
      <c r="CT55" s="34">
        <v>0</v>
      </c>
      <c r="CU55" s="34">
        <v>0</v>
      </c>
      <c r="CV55" s="34">
        <v>0</v>
      </c>
      <c r="CW55" s="42">
        <v>2</v>
      </c>
      <c r="CX55" s="34">
        <v>3</v>
      </c>
      <c r="CY55" s="137">
        <v>0</v>
      </c>
      <c r="CZ55" s="34">
        <v>0</v>
      </c>
      <c r="DA55" s="34">
        <v>3</v>
      </c>
      <c r="DB55" s="34">
        <v>0</v>
      </c>
      <c r="DC55" s="34">
        <v>0</v>
      </c>
      <c r="DD55" s="34">
        <v>2</v>
      </c>
      <c r="DE55" s="118">
        <v>2</v>
      </c>
      <c r="DF55" s="34">
        <v>1</v>
      </c>
      <c r="DG55" s="34">
        <v>1</v>
      </c>
      <c r="DH55" s="42">
        <v>1</v>
      </c>
      <c r="DI55" s="34">
        <v>0</v>
      </c>
      <c r="DJ55" s="34">
        <v>2</v>
      </c>
      <c r="DK55" s="34">
        <v>3</v>
      </c>
      <c r="DL55" s="34">
        <v>0</v>
      </c>
      <c r="DM55" s="34">
        <v>3</v>
      </c>
      <c r="DN55" s="34">
        <v>0</v>
      </c>
      <c r="DO55" s="34">
        <v>0</v>
      </c>
      <c r="DP55" s="34">
        <v>0</v>
      </c>
      <c r="DQ55" s="34">
        <v>0</v>
      </c>
      <c r="DR55" s="34">
        <v>0</v>
      </c>
      <c r="DS55" s="34">
        <v>1</v>
      </c>
      <c r="DT55" s="218"/>
      <c r="DU55" s="218"/>
      <c r="DV55" s="213"/>
      <c r="DW55" s="213"/>
      <c r="DX55" s="218"/>
      <c r="DY55" s="218"/>
      <c r="DZ55" s="218"/>
      <c r="EA55" s="218"/>
      <c r="EB55" s="218"/>
      <c r="EC55" s="218"/>
      <c r="ED55" s="218"/>
      <c r="EE55" s="218"/>
      <c r="EF55" s="218"/>
      <c r="EG55" s="218"/>
      <c r="EH55" s="249">
        <f t="shared" si="0"/>
        <v>30</v>
      </c>
      <c r="EI55" s="150">
        <f t="shared" ref="EI55:EI84" si="18">SUM(C55:DM55)</f>
        <v>172</v>
      </c>
      <c r="EJ55" s="150">
        <f t="shared" ref="EJ55:EJ84" si="19">SUM(J55:DM55)</f>
        <v>160</v>
      </c>
      <c r="EK55" s="284">
        <f t="shared" si="1"/>
        <v>4</v>
      </c>
      <c r="EL55" s="151">
        <f t="shared" ref="EL55:EL89" si="20">SUM(C55:C55)</f>
        <v>8</v>
      </c>
      <c r="EM55" s="153">
        <f t="shared" ref="EM55:EM89" si="21">SUM(D55:O55)</f>
        <v>10</v>
      </c>
      <c r="EN55" s="153">
        <f t="shared" ref="EN55:EN89" si="22">SUM(P55:AA55)</f>
        <v>13</v>
      </c>
      <c r="EO55" s="153">
        <f t="shared" ref="EO55:EO89" si="23">SUM(AB55:AM55)</f>
        <v>24</v>
      </c>
      <c r="EP55" s="152">
        <f t="shared" ref="EP55:EP89" si="24">SUM(AN55:AY55)</f>
        <v>27</v>
      </c>
      <c r="EQ55" s="152">
        <f t="shared" ref="EQ55:EQ89" si="25">SUM(AZ55:BW55)</f>
        <v>28</v>
      </c>
      <c r="ER55" s="152">
        <f t="shared" ref="ER55:ER94" si="26">SUM(BX55:CU55)</f>
        <v>39</v>
      </c>
      <c r="ES55" s="152">
        <f t="shared" ref="ES55:ES84" si="27">SUM(CV55:DS55)</f>
        <v>24</v>
      </c>
      <c r="ET55" s="152">
        <f t="shared" si="2"/>
        <v>0</v>
      </c>
      <c r="EU55" s="57">
        <f t="shared" ref="EU55:EU89" si="28">SUM(BP55:CK55)</f>
        <v>27</v>
      </c>
      <c r="EV55" s="12">
        <f t="shared" ref="EV55:EV87" si="29">SUM(CD55:CU55)</f>
        <v>32</v>
      </c>
      <c r="EX55" s="12">
        <f t="shared" ref="EX55:EX87" si="30">SUM(C55:CO55)</f>
        <v>143</v>
      </c>
      <c r="EY55" s="131">
        <f t="shared" ref="EY55:EY85" si="31">SUM(F55:DK55)</f>
        <v>160</v>
      </c>
    </row>
    <row r="56" spans="1:155" ht="27.75" customHeight="1" thickBot="1" x14ac:dyDescent="0.3">
      <c r="A56" s="192" t="s">
        <v>29</v>
      </c>
      <c r="B56" s="192" t="s">
        <v>31</v>
      </c>
      <c r="C56" s="189">
        <v>8</v>
      </c>
      <c r="D56" s="33">
        <v>0</v>
      </c>
      <c r="E56" s="33">
        <v>0</v>
      </c>
      <c r="F56" s="33">
        <v>1</v>
      </c>
      <c r="G56" s="33">
        <v>0</v>
      </c>
      <c r="H56" s="33">
        <v>1</v>
      </c>
      <c r="I56" s="33">
        <v>1</v>
      </c>
      <c r="J56" s="33">
        <v>0</v>
      </c>
      <c r="K56" s="33">
        <v>0</v>
      </c>
      <c r="L56" s="33">
        <v>1</v>
      </c>
      <c r="M56" s="33">
        <v>0</v>
      </c>
      <c r="N56" s="33">
        <v>0</v>
      </c>
      <c r="O56" s="33">
        <v>0</v>
      </c>
      <c r="P56" s="33">
        <v>3</v>
      </c>
      <c r="Q56" s="33">
        <v>1</v>
      </c>
      <c r="R56" s="33">
        <v>0</v>
      </c>
      <c r="S56" s="33">
        <v>0</v>
      </c>
      <c r="T56" s="33">
        <v>0</v>
      </c>
      <c r="U56" s="33">
        <v>0</v>
      </c>
      <c r="V56" s="33">
        <v>0</v>
      </c>
      <c r="W56" s="33">
        <v>4</v>
      </c>
      <c r="X56" s="33">
        <v>4</v>
      </c>
      <c r="Y56" s="33">
        <v>3</v>
      </c>
      <c r="Z56" s="33">
        <v>2</v>
      </c>
      <c r="AA56" s="33">
        <v>0</v>
      </c>
      <c r="AB56" s="33">
        <v>0</v>
      </c>
      <c r="AC56" s="33">
        <v>3</v>
      </c>
      <c r="AD56" s="33">
        <v>2</v>
      </c>
      <c r="AE56" s="33">
        <v>1</v>
      </c>
      <c r="AF56" s="33">
        <v>1</v>
      </c>
      <c r="AG56" s="33">
        <v>4</v>
      </c>
      <c r="AH56" s="33">
        <v>6</v>
      </c>
      <c r="AI56" s="33">
        <v>4</v>
      </c>
      <c r="AJ56" s="34">
        <v>0</v>
      </c>
      <c r="AK56" s="34">
        <v>2</v>
      </c>
      <c r="AL56" s="34">
        <v>0</v>
      </c>
      <c r="AM56" s="34">
        <v>3</v>
      </c>
      <c r="AN56" s="34">
        <v>0</v>
      </c>
      <c r="AO56" s="34">
        <v>1</v>
      </c>
      <c r="AP56" s="34">
        <v>3</v>
      </c>
      <c r="AQ56" s="34">
        <v>0</v>
      </c>
      <c r="AR56" s="34">
        <v>3</v>
      </c>
      <c r="AS56" s="34">
        <v>5</v>
      </c>
      <c r="AT56" s="34">
        <v>3</v>
      </c>
      <c r="AU56" s="34">
        <v>0</v>
      </c>
      <c r="AV56" s="34">
        <v>1</v>
      </c>
      <c r="AW56" s="33">
        <v>0</v>
      </c>
      <c r="AX56" s="34">
        <v>2</v>
      </c>
      <c r="AY56" s="34">
        <v>1</v>
      </c>
      <c r="AZ56" s="34">
        <v>2</v>
      </c>
      <c r="BA56" s="34">
        <v>3</v>
      </c>
      <c r="BB56" s="34">
        <v>0</v>
      </c>
      <c r="BC56" s="34">
        <v>0</v>
      </c>
      <c r="BD56" s="34">
        <v>1</v>
      </c>
      <c r="BE56" s="34">
        <v>0</v>
      </c>
      <c r="BF56" s="34">
        <v>1</v>
      </c>
      <c r="BG56" s="34">
        <v>0</v>
      </c>
      <c r="BH56" s="34">
        <v>0</v>
      </c>
      <c r="BI56" s="34">
        <v>1</v>
      </c>
      <c r="BJ56" s="34">
        <v>0</v>
      </c>
      <c r="BK56" s="34">
        <v>0</v>
      </c>
      <c r="BL56" s="34">
        <v>2</v>
      </c>
      <c r="BM56" s="137">
        <v>0</v>
      </c>
      <c r="BN56" s="137">
        <v>3</v>
      </c>
      <c r="BO56" s="137">
        <v>0</v>
      </c>
      <c r="BP56" s="137">
        <v>0</v>
      </c>
      <c r="BQ56" s="137">
        <v>0</v>
      </c>
      <c r="BR56" s="138">
        <v>0</v>
      </c>
      <c r="BS56" s="138">
        <v>0</v>
      </c>
      <c r="BT56" s="138">
        <v>0</v>
      </c>
      <c r="BU56" s="138">
        <v>0</v>
      </c>
      <c r="BV56" s="138">
        <v>0</v>
      </c>
      <c r="BW56" s="137">
        <v>4</v>
      </c>
      <c r="BX56" s="137">
        <v>2</v>
      </c>
      <c r="BY56" s="137">
        <v>0</v>
      </c>
      <c r="BZ56" s="137">
        <v>1</v>
      </c>
      <c r="CA56" s="137">
        <v>3</v>
      </c>
      <c r="CB56" s="137">
        <v>0</v>
      </c>
      <c r="CC56" s="137">
        <v>2</v>
      </c>
      <c r="CD56" s="137">
        <v>0</v>
      </c>
      <c r="CE56" s="138">
        <v>0</v>
      </c>
      <c r="CF56" s="137">
        <v>0</v>
      </c>
      <c r="CG56" s="137">
        <v>2</v>
      </c>
      <c r="CH56" s="139">
        <v>2</v>
      </c>
      <c r="CI56" s="139">
        <v>3</v>
      </c>
      <c r="CJ56" s="137">
        <v>4</v>
      </c>
      <c r="CK56" s="176">
        <v>1</v>
      </c>
      <c r="CL56" s="168">
        <v>6</v>
      </c>
      <c r="CM56" s="137">
        <v>0</v>
      </c>
      <c r="CN56" s="137">
        <v>0</v>
      </c>
      <c r="CO56" s="137">
        <v>8</v>
      </c>
      <c r="CP56" s="137">
        <v>2</v>
      </c>
      <c r="CQ56" s="137">
        <v>0</v>
      </c>
      <c r="CR56" s="137">
        <v>5</v>
      </c>
      <c r="CS56" s="34">
        <v>0</v>
      </c>
      <c r="CT56" s="34">
        <v>0</v>
      </c>
      <c r="CU56" s="34">
        <v>0</v>
      </c>
      <c r="CV56" s="34">
        <v>0</v>
      </c>
      <c r="CW56" s="42">
        <v>1</v>
      </c>
      <c r="CX56" s="34">
        <v>3</v>
      </c>
      <c r="CY56" s="137">
        <v>0</v>
      </c>
      <c r="CZ56" s="34">
        <v>0</v>
      </c>
      <c r="DA56" s="34">
        <v>15</v>
      </c>
      <c r="DB56" s="34">
        <v>0</v>
      </c>
      <c r="DC56" s="34">
        <v>0</v>
      </c>
      <c r="DD56" s="34">
        <v>1</v>
      </c>
      <c r="DE56" s="118">
        <v>3</v>
      </c>
      <c r="DF56" s="34">
        <v>2</v>
      </c>
      <c r="DG56" s="34">
        <v>0</v>
      </c>
      <c r="DH56" s="42">
        <v>0</v>
      </c>
      <c r="DI56" s="34">
        <v>0</v>
      </c>
      <c r="DJ56" s="34">
        <v>0</v>
      </c>
      <c r="DK56" s="34">
        <v>0</v>
      </c>
      <c r="DL56" s="34">
        <v>0</v>
      </c>
      <c r="DM56" s="34">
        <v>0</v>
      </c>
      <c r="DN56" s="34">
        <v>0</v>
      </c>
      <c r="DO56" s="34">
        <v>0</v>
      </c>
      <c r="DP56" s="34">
        <v>0</v>
      </c>
      <c r="DQ56" s="34">
        <v>2</v>
      </c>
      <c r="DR56" s="34">
        <v>4</v>
      </c>
      <c r="DS56" s="34">
        <v>4</v>
      </c>
      <c r="DT56" s="218"/>
      <c r="DU56" s="218"/>
      <c r="DV56" s="213"/>
      <c r="DW56" s="213"/>
      <c r="DX56" s="218"/>
      <c r="DY56" s="218"/>
      <c r="DZ56" s="218"/>
      <c r="EA56" s="218"/>
      <c r="EB56" s="218"/>
      <c r="EC56" s="218"/>
      <c r="ED56" s="218"/>
      <c r="EE56" s="218"/>
      <c r="EF56" s="218"/>
      <c r="EG56" s="218"/>
      <c r="EH56" s="249">
        <f t="shared" si="0"/>
        <v>42</v>
      </c>
      <c r="EI56" s="150">
        <f t="shared" si="18"/>
        <v>157</v>
      </c>
      <c r="EJ56" s="150">
        <f t="shared" si="19"/>
        <v>146</v>
      </c>
      <c r="EK56" s="284">
        <f t="shared" si="1"/>
        <v>10</v>
      </c>
      <c r="EL56" s="151">
        <f t="shared" si="20"/>
        <v>8</v>
      </c>
      <c r="EM56" s="153">
        <f t="shared" si="21"/>
        <v>4</v>
      </c>
      <c r="EN56" s="153">
        <f t="shared" si="22"/>
        <v>17</v>
      </c>
      <c r="EO56" s="153">
        <f t="shared" si="23"/>
        <v>26</v>
      </c>
      <c r="EP56" s="152">
        <f t="shared" si="24"/>
        <v>19</v>
      </c>
      <c r="EQ56" s="152">
        <f t="shared" si="25"/>
        <v>17</v>
      </c>
      <c r="ER56" s="152">
        <f t="shared" si="26"/>
        <v>41</v>
      </c>
      <c r="ES56" s="152">
        <f t="shared" si="27"/>
        <v>35</v>
      </c>
      <c r="ET56" s="152">
        <f t="shared" si="2"/>
        <v>0</v>
      </c>
      <c r="EU56" s="57">
        <f t="shared" si="28"/>
        <v>24</v>
      </c>
      <c r="EV56" s="12">
        <f t="shared" si="29"/>
        <v>33</v>
      </c>
      <c r="EX56" s="12">
        <f t="shared" si="30"/>
        <v>125</v>
      </c>
      <c r="EY56" s="131">
        <f t="shared" si="31"/>
        <v>149</v>
      </c>
    </row>
    <row r="57" spans="1:155" ht="27.75" customHeight="1" thickBot="1" x14ac:dyDescent="0.3">
      <c r="A57" s="192" t="s">
        <v>29</v>
      </c>
      <c r="B57" s="192" t="s">
        <v>101</v>
      </c>
      <c r="C57" s="189">
        <v>2</v>
      </c>
      <c r="D57" s="33">
        <v>0</v>
      </c>
      <c r="E57" s="33">
        <v>0</v>
      </c>
      <c r="F57" s="33">
        <v>0</v>
      </c>
      <c r="G57" s="33">
        <v>0</v>
      </c>
      <c r="H57" s="33">
        <v>0</v>
      </c>
      <c r="I57" s="33">
        <v>2</v>
      </c>
      <c r="J57" s="33">
        <v>0</v>
      </c>
      <c r="K57" s="33">
        <v>0</v>
      </c>
      <c r="L57" s="33">
        <v>0</v>
      </c>
      <c r="M57" s="33">
        <v>0</v>
      </c>
      <c r="N57" s="33">
        <v>0</v>
      </c>
      <c r="O57" s="33">
        <v>0</v>
      </c>
      <c r="P57" s="33">
        <v>1</v>
      </c>
      <c r="Q57" s="33">
        <v>1</v>
      </c>
      <c r="R57" s="33">
        <v>0</v>
      </c>
      <c r="S57" s="33">
        <v>0</v>
      </c>
      <c r="T57" s="33">
        <v>0</v>
      </c>
      <c r="U57" s="33">
        <v>0</v>
      </c>
      <c r="V57" s="33">
        <v>0</v>
      </c>
      <c r="W57" s="33">
        <v>0</v>
      </c>
      <c r="X57" s="33">
        <v>0</v>
      </c>
      <c r="Y57" s="33">
        <v>1</v>
      </c>
      <c r="Z57" s="33">
        <v>0</v>
      </c>
      <c r="AA57" s="33">
        <v>2</v>
      </c>
      <c r="AB57" s="33">
        <v>0</v>
      </c>
      <c r="AC57" s="33">
        <v>1</v>
      </c>
      <c r="AD57" s="33">
        <v>0</v>
      </c>
      <c r="AE57" s="33">
        <v>0</v>
      </c>
      <c r="AF57" s="33">
        <v>0</v>
      </c>
      <c r="AG57" s="33">
        <v>1</v>
      </c>
      <c r="AH57" s="33">
        <v>1</v>
      </c>
      <c r="AI57" s="33">
        <v>3</v>
      </c>
      <c r="AJ57" s="34">
        <v>2</v>
      </c>
      <c r="AK57" s="34">
        <v>2</v>
      </c>
      <c r="AL57" s="34">
        <v>0</v>
      </c>
      <c r="AM57" s="34">
        <v>1</v>
      </c>
      <c r="AN57" s="34">
        <v>0</v>
      </c>
      <c r="AO57" s="34">
        <v>2</v>
      </c>
      <c r="AP57" s="34">
        <v>1</v>
      </c>
      <c r="AQ57" s="34">
        <v>0</v>
      </c>
      <c r="AR57" s="34">
        <v>2</v>
      </c>
      <c r="AS57" s="34">
        <v>0</v>
      </c>
      <c r="AT57" s="34">
        <v>0</v>
      </c>
      <c r="AU57" s="34">
        <v>2</v>
      </c>
      <c r="AV57" s="34">
        <v>0</v>
      </c>
      <c r="AW57" s="33">
        <v>7</v>
      </c>
      <c r="AX57" s="34">
        <v>2</v>
      </c>
      <c r="AY57" s="34">
        <v>0</v>
      </c>
      <c r="AZ57" s="34">
        <v>0</v>
      </c>
      <c r="BA57" s="34">
        <v>2</v>
      </c>
      <c r="BB57" s="34">
        <v>0</v>
      </c>
      <c r="BC57" s="34">
        <v>0</v>
      </c>
      <c r="BD57" s="34">
        <v>1</v>
      </c>
      <c r="BE57" s="34">
        <v>0</v>
      </c>
      <c r="BF57" s="34">
        <v>0</v>
      </c>
      <c r="BG57" s="34">
        <v>0</v>
      </c>
      <c r="BH57" s="34">
        <v>0</v>
      </c>
      <c r="BI57" s="34">
        <v>0</v>
      </c>
      <c r="BJ57" s="34">
        <v>1</v>
      </c>
      <c r="BK57" s="34">
        <v>0</v>
      </c>
      <c r="BL57" s="34">
        <v>3</v>
      </c>
      <c r="BM57" s="137">
        <v>1</v>
      </c>
      <c r="BN57" s="137">
        <v>3</v>
      </c>
      <c r="BO57" s="137">
        <v>1</v>
      </c>
      <c r="BP57" s="137">
        <v>0</v>
      </c>
      <c r="BQ57" s="137">
        <v>0</v>
      </c>
      <c r="BR57" s="138">
        <v>0</v>
      </c>
      <c r="BS57" s="138">
        <v>0</v>
      </c>
      <c r="BT57" s="138">
        <v>3</v>
      </c>
      <c r="BU57" s="138">
        <v>1</v>
      </c>
      <c r="BV57" s="138">
        <v>0</v>
      </c>
      <c r="BW57" s="137">
        <v>0</v>
      </c>
      <c r="BX57" s="137">
        <v>0</v>
      </c>
      <c r="BY57" s="137">
        <v>0</v>
      </c>
      <c r="BZ57" s="137">
        <v>0</v>
      </c>
      <c r="CA57" s="137">
        <v>2</v>
      </c>
      <c r="CB57" s="137">
        <v>0</v>
      </c>
      <c r="CC57" s="137">
        <v>0</v>
      </c>
      <c r="CD57" s="137">
        <v>1</v>
      </c>
      <c r="CE57" s="138">
        <v>1</v>
      </c>
      <c r="CF57" s="137">
        <v>0</v>
      </c>
      <c r="CG57" s="137">
        <v>0</v>
      </c>
      <c r="CH57" s="139">
        <v>1</v>
      </c>
      <c r="CI57" s="139">
        <v>0</v>
      </c>
      <c r="CJ57" s="137">
        <v>2</v>
      </c>
      <c r="CK57" s="137">
        <v>2</v>
      </c>
      <c r="CL57" s="168">
        <v>1</v>
      </c>
      <c r="CM57" s="137">
        <v>1</v>
      </c>
      <c r="CN57" s="137">
        <v>0</v>
      </c>
      <c r="CO57" s="137">
        <v>2</v>
      </c>
      <c r="CP57" s="137">
        <v>0</v>
      </c>
      <c r="CQ57" s="137">
        <v>0</v>
      </c>
      <c r="CR57" s="137">
        <v>1</v>
      </c>
      <c r="CS57" s="34">
        <v>1</v>
      </c>
      <c r="CT57" s="34">
        <v>0</v>
      </c>
      <c r="CU57" s="34">
        <v>0</v>
      </c>
      <c r="CV57" s="34">
        <v>1</v>
      </c>
      <c r="CW57" s="42">
        <v>0</v>
      </c>
      <c r="CX57" s="34">
        <v>2</v>
      </c>
      <c r="CY57" s="137">
        <v>0</v>
      </c>
      <c r="CZ57" s="34">
        <v>0</v>
      </c>
      <c r="DA57" s="34">
        <v>0</v>
      </c>
      <c r="DB57" s="34">
        <v>0</v>
      </c>
      <c r="DC57" s="34">
        <v>1</v>
      </c>
      <c r="DD57" s="34">
        <v>0</v>
      </c>
      <c r="DE57" s="34">
        <v>1</v>
      </c>
      <c r="DF57" s="34">
        <v>0</v>
      </c>
      <c r="DG57" s="34">
        <v>1</v>
      </c>
      <c r="DH57" s="42">
        <v>0</v>
      </c>
      <c r="DI57" s="34">
        <v>0</v>
      </c>
      <c r="DJ57" s="34">
        <v>0</v>
      </c>
      <c r="DK57" s="34">
        <v>0</v>
      </c>
      <c r="DL57" s="34">
        <v>0</v>
      </c>
      <c r="DM57" s="34">
        <v>0</v>
      </c>
      <c r="DN57" s="34">
        <v>0</v>
      </c>
      <c r="DO57" s="34">
        <v>0</v>
      </c>
      <c r="DP57" s="34">
        <v>0</v>
      </c>
      <c r="DQ57" s="213"/>
      <c r="DR57" s="213"/>
      <c r="DS57" s="213"/>
      <c r="DT57" s="218"/>
      <c r="DU57" s="218"/>
      <c r="DV57" s="213"/>
      <c r="DW57" s="213"/>
      <c r="DX57" s="218"/>
      <c r="DY57" s="218"/>
      <c r="DZ57" s="218"/>
      <c r="EA57" s="218"/>
      <c r="EB57" s="218"/>
      <c r="EC57" s="218"/>
      <c r="ED57" s="218"/>
      <c r="EE57" s="218"/>
      <c r="EF57" s="218"/>
      <c r="EG57" s="218"/>
      <c r="EH57" s="249">
        <f t="shared" si="0"/>
        <v>8</v>
      </c>
      <c r="EI57" s="150">
        <f t="shared" si="18"/>
        <v>73</v>
      </c>
      <c r="EJ57" s="150">
        <f t="shared" si="19"/>
        <v>69</v>
      </c>
      <c r="EK57" s="284">
        <f t="shared" si="1"/>
        <v>0</v>
      </c>
      <c r="EL57" s="151">
        <f t="shared" si="20"/>
        <v>2</v>
      </c>
      <c r="EM57" s="153">
        <f t="shared" si="21"/>
        <v>2</v>
      </c>
      <c r="EN57" s="153">
        <f t="shared" si="22"/>
        <v>5</v>
      </c>
      <c r="EO57" s="153">
        <f t="shared" si="23"/>
        <v>11</v>
      </c>
      <c r="EP57" s="152">
        <f t="shared" si="24"/>
        <v>16</v>
      </c>
      <c r="EQ57" s="152">
        <f t="shared" si="25"/>
        <v>16</v>
      </c>
      <c r="ER57" s="152">
        <f t="shared" si="26"/>
        <v>15</v>
      </c>
      <c r="ES57" s="152">
        <f t="shared" si="27"/>
        <v>6</v>
      </c>
      <c r="ET57" s="152">
        <f t="shared" si="2"/>
        <v>0</v>
      </c>
      <c r="EU57" s="57">
        <f t="shared" si="28"/>
        <v>13</v>
      </c>
      <c r="EV57" s="12">
        <f t="shared" si="29"/>
        <v>13</v>
      </c>
      <c r="EX57" s="12">
        <f t="shared" si="30"/>
        <v>65</v>
      </c>
      <c r="EY57" s="131">
        <f t="shared" si="31"/>
        <v>71</v>
      </c>
    </row>
    <row r="58" spans="1:155" ht="27.75" customHeight="1" thickBot="1" x14ac:dyDescent="0.3">
      <c r="A58" s="192" t="s">
        <v>29</v>
      </c>
      <c r="B58" s="192" t="s">
        <v>32</v>
      </c>
      <c r="C58" s="189">
        <v>0</v>
      </c>
      <c r="D58" s="33">
        <v>0</v>
      </c>
      <c r="E58" s="33">
        <v>0</v>
      </c>
      <c r="F58" s="33">
        <v>1</v>
      </c>
      <c r="G58" s="33">
        <v>1</v>
      </c>
      <c r="H58" s="33">
        <v>1</v>
      </c>
      <c r="I58" s="33">
        <v>1</v>
      </c>
      <c r="J58" s="33">
        <v>0</v>
      </c>
      <c r="K58" s="33">
        <v>0</v>
      </c>
      <c r="L58" s="33">
        <v>0</v>
      </c>
      <c r="M58" s="33">
        <v>0</v>
      </c>
      <c r="N58" s="33">
        <v>1</v>
      </c>
      <c r="O58" s="33">
        <v>1</v>
      </c>
      <c r="P58" s="33">
        <v>0</v>
      </c>
      <c r="Q58" s="33">
        <v>1</v>
      </c>
      <c r="R58" s="33">
        <v>1</v>
      </c>
      <c r="S58" s="33">
        <v>0</v>
      </c>
      <c r="T58" s="33">
        <v>0</v>
      </c>
      <c r="U58" s="33">
        <v>0</v>
      </c>
      <c r="V58" s="33">
        <v>0</v>
      </c>
      <c r="W58" s="33">
        <v>0</v>
      </c>
      <c r="X58" s="33">
        <v>3</v>
      </c>
      <c r="Y58" s="33">
        <v>1</v>
      </c>
      <c r="Z58" s="33">
        <v>0</v>
      </c>
      <c r="AA58" s="33">
        <v>1</v>
      </c>
      <c r="AB58" s="33">
        <v>0</v>
      </c>
      <c r="AC58" s="33">
        <v>1</v>
      </c>
      <c r="AD58" s="33">
        <v>2</v>
      </c>
      <c r="AE58" s="33">
        <v>1</v>
      </c>
      <c r="AF58" s="33">
        <v>1</v>
      </c>
      <c r="AG58" s="33">
        <v>0</v>
      </c>
      <c r="AH58" s="33">
        <v>1</v>
      </c>
      <c r="AI58" s="33">
        <v>1</v>
      </c>
      <c r="AJ58" s="34">
        <v>0</v>
      </c>
      <c r="AK58" s="34">
        <v>0</v>
      </c>
      <c r="AL58" s="34">
        <v>0</v>
      </c>
      <c r="AM58" s="34">
        <v>0</v>
      </c>
      <c r="AN58" s="34">
        <v>0</v>
      </c>
      <c r="AO58" s="34">
        <v>0</v>
      </c>
      <c r="AP58" s="34">
        <v>0</v>
      </c>
      <c r="AQ58" s="34">
        <v>0</v>
      </c>
      <c r="AR58" s="34">
        <v>1</v>
      </c>
      <c r="AS58" s="34">
        <v>1</v>
      </c>
      <c r="AT58" s="34">
        <v>0</v>
      </c>
      <c r="AU58" s="34">
        <v>0</v>
      </c>
      <c r="AV58" s="34">
        <v>0</v>
      </c>
      <c r="AW58" s="33">
        <v>0</v>
      </c>
      <c r="AX58" s="34">
        <v>0</v>
      </c>
      <c r="AY58" s="34">
        <v>0</v>
      </c>
      <c r="AZ58" s="34">
        <v>0</v>
      </c>
      <c r="BA58" s="34">
        <v>0</v>
      </c>
      <c r="BB58" s="34">
        <v>0</v>
      </c>
      <c r="BC58" s="34">
        <v>0</v>
      </c>
      <c r="BD58" s="34">
        <v>1</v>
      </c>
      <c r="BE58" s="34">
        <v>0</v>
      </c>
      <c r="BF58" s="34">
        <v>0</v>
      </c>
      <c r="BG58" s="34">
        <v>0</v>
      </c>
      <c r="BH58" s="34">
        <v>0</v>
      </c>
      <c r="BI58" s="34">
        <v>0</v>
      </c>
      <c r="BJ58" s="34">
        <v>0</v>
      </c>
      <c r="BK58" s="34">
        <v>0</v>
      </c>
      <c r="BL58" s="34">
        <v>1</v>
      </c>
      <c r="BM58" s="137">
        <v>0</v>
      </c>
      <c r="BN58" s="137">
        <v>0</v>
      </c>
      <c r="BO58" s="137">
        <v>0</v>
      </c>
      <c r="BP58" s="137">
        <v>0</v>
      </c>
      <c r="BQ58" s="137">
        <v>0</v>
      </c>
      <c r="BR58" s="138">
        <v>0</v>
      </c>
      <c r="BS58" s="138">
        <v>0</v>
      </c>
      <c r="BT58" s="138">
        <v>0</v>
      </c>
      <c r="BU58" s="138">
        <v>0</v>
      </c>
      <c r="BV58" s="138">
        <v>0</v>
      </c>
      <c r="BW58" s="137">
        <v>0</v>
      </c>
      <c r="BX58" s="137">
        <v>0</v>
      </c>
      <c r="BY58" s="137">
        <v>0</v>
      </c>
      <c r="BZ58" s="137">
        <v>0</v>
      </c>
      <c r="CA58" s="137">
        <v>0</v>
      </c>
      <c r="CB58" s="137">
        <v>0</v>
      </c>
      <c r="CC58" s="137">
        <v>0</v>
      </c>
      <c r="CD58" s="137">
        <v>0</v>
      </c>
      <c r="CE58" s="138">
        <v>0</v>
      </c>
      <c r="CF58" s="137">
        <v>0</v>
      </c>
      <c r="CG58" s="137">
        <v>0</v>
      </c>
      <c r="CH58" s="139">
        <v>0</v>
      </c>
      <c r="CI58" s="139">
        <v>0</v>
      </c>
      <c r="CJ58" s="137">
        <v>0</v>
      </c>
      <c r="CK58" s="137">
        <v>0</v>
      </c>
      <c r="CL58" s="137">
        <v>0</v>
      </c>
      <c r="CM58" s="137">
        <v>0</v>
      </c>
      <c r="CN58" s="137">
        <v>0</v>
      </c>
      <c r="CO58" s="137">
        <v>0</v>
      </c>
      <c r="CP58" s="137">
        <v>0</v>
      </c>
      <c r="CQ58" s="137">
        <v>0</v>
      </c>
      <c r="CR58" s="137">
        <v>0</v>
      </c>
      <c r="CS58" s="34">
        <v>1</v>
      </c>
      <c r="CT58" s="34">
        <v>0</v>
      </c>
      <c r="CU58" s="34">
        <v>0</v>
      </c>
      <c r="CV58" s="34">
        <v>0</v>
      </c>
      <c r="CW58" s="42">
        <v>0</v>
      </c>
      <c r="CX58" s="34">
        <v>0</v>
      </c>
      <c r="CY58" s="137">
        <v>0</v>
      </c>
      <c r="CZ58" s="34">
        <v>0</v>
      </c>
      <c r="DA58" s="34">
        <v>0</v>
      </c>
      <c r="DB58" s="34">
        <v>0</v>
      </c>
      <c r="DC58" s="34">
        <v>1</v>
      </c>
      <c r="DD58" s="34">
        <v>1</v>
      </c>
      <c r="DE58" s="34">
        <v>0</v>
      </c>
      <c r="DF58" s="34">
        <v>0</v>
      </c>
      <c r="DG58" s="34">
        <v>0</v>
      </c>
      <c r="DH58" s="42">
        <v>0</v>
      </c>
      <c r="DI58" s="34">
        <v>0</v>
      </c>
      <c r="DJ58" s="34">
        <v>0</v>
      </c>
      <c r="DK58" s="34">
        <v>0</v>
      </c>
      <c r="DL58" s="34">
        <v>0</v>
      </c>
      <c r="DM58" s="34">
        <v>0</v>
      </c>
      <c r="DN58" s="34">
        <v>0</v>
      </c>
      <c r="DO58" s="34">
        <v>0</v>
      </c>
      <c r="DP58" s="34">
        <v>0</v>
      </c>
      <c r="DQ58" s="213"/>
      <c r="DR58" s="213"/>
      <c r="DS58" s="213"/>
      <c r="DT58" s="218"/>
      <c r="DU58" s="218"/>
      <c r="DV58" s="213"/>
      <c r="DW58" s="213"/>
      <c r="DX58" s="218"/>
      <c r="DY58" s="218"/>
      <c r="DZ58" s="218"/>
      <c r="EA58" s="218"/>
      <c r="EB58" s="218"/>
      <c r="EC58" s="218"/>
      <c r="ED58" s="218"/>
      <c r="EE58" s="218"/>
      <c r="EF58" s="218"/>
      <c r="EG58" s="218"/>
      <c r="EH58" s="249">
        <f t="shared" si="0"/>
        <v>3</v>
      </c>
      <c r="EI58" s="150">
        <f t="shared" si="18"/>
        <v>27</v>
      </c>
      <c r="EJ58" s="150">
        <f t="shared" si="19"/>
        <v>23</v>
      </c>
      <c r="EK58" s="284">
        <f t="shared" si="1"/>
        <v>0</v>
      </c>
      <c r="EL58" s="151">
        <f t="shared" si="20"/>
        <v>0</v>
      </c>
      <c r="EM58" s="153">
        <f t="shared" si="21"/>
        <v>6</v>
      </c>
      <c r="EN58" s="153">
        <f t="shared" si="22"/>
        <v>7</v>
      </c>
      <c r="EO58" s="153">
        <f t="shared" si="23"/>
        <v>7</v>
      </c>
      <c r="EP58" s="152">
        <f t="shared" si="24"/>
        <v>2</v>
      </c>
      <c r="EQ58" s="152">
        <f t="shared" si="25"/>
        <v>2</v>
      </c>
      <c r="ER58" s="152">
        <f t="shared" si="26"/>
        <v>1</v>
      </c>
      <c r="ES58" s="152">
        <f t="shared" si="27"/>
        <v>2</v>
      </c>
      <c r="ET58" s="152">
        <f t="shared" si="2"/>
        <v>0</v>
      </c>
      <c r="EU58" s="57">
        <f t="shared" si="28"/>
        <v>0</v>
      </c>
      <c r="EV58" s="12">
        <f t="shared" si="29"/>
        <v>1</v>
      </c>
      <c r="EX58" s="12">
        <f t="shared" si="30"/>
        <v>24</v>
      </c>
      <c r="EY58" s="131">
        <f t="shared" si="31"/>
        <v>27</v>
      </c>
    </row>
    <row r="59" spans="1:155" ht="27.75" customHeight="1" thickBot="1" x14ac:dyDescent="0.3">
      <c r="A59" s="192" t="s">
        <v>29</v>
      </c>
      <c r="B59" s="192" t="s">
        <v>33</v>
      </c>
      <c r="C59" s="189">
        <v>0</v>
      </c>
      <c r="D59" s="33">
        <v>0</v>
      </c>
      <c r="E59" s="33">
        <v>0</v>
      </c>
      <c r="F59" s="33">
        <v>58</v>
      </c>
      <c r="G59" s="33">
        <v>18</v>
      </c>
      <c r="H59" s="33">
        <v>12</v>
      </c>
      <c r="I59" s="33">
        <v>8</v>
      </c>
      <c r="J59" s="33">
        <v>0</v>
      </c>
      <c r="K59" s="33">
        <v>0</v>
      </c>
      <c r="L59" s="33">
        <v>0</v>
      </c>
      <c r="M59" s="33">
        <v>0</v>
      </c>
      <c r="N59" s="33">
        <v>250</v>
      </c>
      <c r="O59" s="33">
        <v>30</v>
      </c>
      <c r="P59" s="33">
        <v>0</v>
      </c>
      <c r="Q59" s="33">
        <v>30</v>
      </c>
      <c r="R59" s="33">
        <v>70</v>
      </c>
      <c r="S59" s="33">
        <v>0</v>
      </c>
      <c r="T59" s="33">
        <v>0</v>
      </c>
      <c r="U59" s="33">
        <v>0</v>
      </c>
      <c r="V59" s="33">
        <v>0</v>
      </c>
      <c r="W59" s="33">
        <v>0</v>
      </c>
      <c r="X59" s="33">
        <v>1067</v>
      </c>
      <c r="Y59" s="33">
        <v>100</v>
      </c>
      <c r="Z59" s="33">
        <v>0</v>
      </c>
      <c r="AA59" s="33">
        <v>44</v>
      </c>
      <c r="AB59" s="33">
        <v>0</v>
      </c>
      <c r="AC59" s="33">
        <v>41</v>
      </c>
      <c r="AD59" s="33">
        <v>110</v>
      </c>
      <c r="AE59" s="33">
        <v>58</v>
      </c>
      <c r="AF59" s="33">
        <v>249</v>
      </c>
      <c r="AG59" s="33">
        <v>0</v>
      </c>
      <c r="AH59" s="33">
        <v>25</v>
      </c>
      <c r="AI59" s="33">
        <v>50</v>
      </c>
      <c r="AJ59" s="34">
        <v>0</v>
      </c>
      <c r="AK59" s="34">
        <v>0</v>
      </c>
      <c r="AL59" s="34">
        <v>0</v>
      </c>
      <c r="AM59" s="34">
        <v>0</v>
      </c>
      <c r="AN59" s="34">
        <v>0</v>
      </c>
      <c r="AO59" s="34">
        <v>0</v>
      </c>
      <c r="AP59" s="34">
        <v>0</v>
      </c>
      <c r="AQ59" s="34">
        <v>0</v>
      </c>
      <c r="AR59" s="34">
        <v>1087</v>
      </c>
      <c r="AS59" s="34">
        <v>630</v>
      </c>
      <c r="AT59" s="34">
        <v>0</v>
      </c>
      <c r="AU59" s="34">
        <v>0</v>
      </c>
      <c r="AV59" s="34">
        <v>0</v>
      </c>
      <c r="AW59" s="33">
        <v>0</v>
      </c>
      <c r="AX59" s="34">
        <v>0</v>
      </c>
      <c r="AY59" s="34">
        <v>0</v>
      </c>
      <c r="AZ59" s="34">
        <v>0</v>
      </c>
      <c r="BA59" s="34">
        <v>0</v>
      </c>
      <c r="BB59" s="34">
        <v>0</v>
      </c>
      <c r="BC59" s="34">
        <v>0</v>
      </c>
      <c r="BD59" s="34">
        <v>59</v>
      </c>
      <c r="BE59" s="34">
        <v>0</v>
      </c>
      <c r="BF59" s="34">
        <v>0</v>
      </c>
      <c r="BG59" s="34">
        <v>0</v>
      </c>
      <c r="BH59" s="34">
        <v>0</v>
      </c>
      <c r="BI59" s="34">
        <v>0</v>
      </c>
      <c r="BJ59" s="34">
        <v>0</v>
      </c>
      <c r="BK59" s="34">
        <v>0</v>
      </c>
      <c r="BL59" s="34">
        <v>1333</v>
      </c>
      <c r="BM59" s="137">
        <v>0</v>
      </c>
      <c r="BN59" s="137">
        <v>0</v>
      </c>
      <c r="BO59" s="137">
        <v>0</v>
      </c>
      <c r="BP59" s="137">
        <v>0</v>
      </c>
      <c r="BQ59" s="137">
        <v>0</v>
      </c>
      <c r="BR59" s="138">
        <v>0</v>
      </c>
      <c r="BS59" s="138">
        <v>0</v>
      </c>
      <c r="BT59" s="138">
        <v>0</v>
      </c>
      <c r="BU59" s="138">
        <v>0</v>
      </c>
      <c r="BV59" s="138">
        <v>0</v>
      </c>
      <c r="BW59" s="137">
        <v>0</v>
      </c>
      <c r="BX59" s="137">
        <v>0</v>
      </c>
      <c r="BY59" s="137">
        <v>0</v>
      </c>
      <c r="BZ59" s="137">
        <v>0</v>
      </c>
      <c r="CA59" s="137">
        <v>0</v>
      </c>
      <c r="CB59" s="137">
        <v>0</v>
      </c>
      <c r="CC59" s="137">
        <v>0</v>
      </c>
      <c r="CD59" s="137">
        <v>0</v>
      </c>
      <c r="CE59" s="138">
        <v>0</v>
      </c>
      <c r="CF59" s="137">
        <v>0</v>
      </c>
      <c r="CG59" s="137">
        <v>0</v>
      </c>
      <c r="CH59" s="139">
        <v>0</v>
      </c>
      <c r="CI59" s="139">
        <v>0</v>
      </c>
      <c r="CJ59" s="137">
        <v>0</v>
      </c>
      <c r="CK59" s="137">
        <v>0</v>
      </c>
      <c r="CL59" s="137">
        <v>0</v>
      </c>
      <c r="CM59" s="137">
        <v>0</v>
      </c>
      <c r="CN59" s="137">
        <v>0</v>
      </c>
      <c r="CO59" s="137">
        <v>0</v>
      </c>
      <c r="CP59" s="137">
        <v>0</v>
      </c>
      <c r="CQ59" s="137">
        <v>0</v>
      </c>
      <c r="CR59" s="137">
        <v>0</v>
      </c>
      <c r="CS59" s="34">
        <v>1050</v>
      </c>
      <c r="CT59" s="34">
        <v>0</v>
      </c>
      <c r="CU59" s="34">
        <v>0</v>
      </c>
      <c r="CV59" s="34">
        <v>0</v>
      </c>
      <c r="CW59" s="42">
        <v>0</v>
      </c>
      <c r="CX59" s="34">
        <v>0</v>
      </c>
      <c r="CY59" s="137">
        <v>0</v>
      </c>
      <c r="CZ59" s="34">
        <v>0</v>
      </c>
      <c r="DA59" s="34">
        <v>0</v>
      </c>
      <c r="DB59" s="34">
        <v>0</v>
      </c>
      <c r="DC59" s="34">
        <v>60</v>
      </c>
      <c r="DD59" s="34">
        <v>150</v>
      </c>
      <c r="DE59" s="34">
        <v>0</v>
      </c>
      <c r="DF59" s="34">
        <v>0</v>
      </c>
      <c r="DG59" s="34">
        <v>0</v>
      </c>
      <c r="DH59" s="42">
        <v>0</v>
      </c>
      <c r="DI59" s="34">
        <v>0</v>
      </c>
      <c r="DJ59" s="34">
        <v>0</v>
      </c>
      <c r="DK59" s="34">
        <v>0</v>
      </c>
      <c r="DL59" s="34">
        <v>0</v>
      </c>
      <c r="DM59" s="34">
        <v>0</v>
      </c>
      <c r="DN59" s="34">
        <v>0</v>
      </c>
      <c r="DO59" s="34">
        <v>0</v>
      </c>
      <c r="DP59" s="34">
        <v>0</v>
      </c>
      <c r="DQ59" s="213"/>
      <c r="DR59" s="213"/>
      <c r="DS59" s="213"/>
      <c r="DT59" s="218"/>
      <c r="DU59" s="218"/>
      <c r="DV59" s="213"/>
      <c r="DW59" s="213"/>
      <c r="DX59" s="218"/>
      <c r="DY59" s="218"/>
      <c r="DZ59" s="218"/>
      <c r="EA59" s="218"/>
      <c r="EB59" s="218"/>
      <c r="EC59" s="218"/>
      <c r="ED59" s="218"/>
      <c r="EE59" s="218"/>
      <c r="EF59" s="218"/>
      <c r="EG59" s="218"/>
      <c r="EH59" s="249">
        <f t="shared" si="0"/>
        <v>1260</v>
      </c>
      <c r="EI59" s="150">
        <f t="shared" si="18"/>
        <v>6589</v>
      </c>
      <c r="EJ59" s="150">
        <f t="shared" si="19"/>
        <v>6493</v>
      </c>
      <c r="EK59" s="284">
        <f t="shared" si="1"/>
        <v>0</v>
      </c>
      <c r="EL59" s="151">
        <f t="shared" si="20"/>
        <v>0</v>
      </c>
      <c r="EM59" s="153">
        <f t="shared" si="21"/>
        <v>376</v>
      </c>
      <c r="EN59" s="153">
        <f t="shared" si="22"/>
        <v>1311</v>
      </c>
      <c r="EO59" s="153">
        <f t="shared" si="23"/>
        <v>533</v>
      </c>
      <c r="EP59" s="152">
        <f t="shared" si="24"/>
        <v>1717</v>
      </c>
      <c r="EQ59" s="152">
        <f t="shared" si="25"/>
        <v>1392</v>
      </c>
      <c r="ER59" s="152">
        <f t="shared" si="26"/>
        <v>1050</v>
      </c>
      <c r="ES59" s="152">
        <f t="shared" si="27"/>
        <v>210</v>
      </c>
      <c r="ET59" s="152">
        <f t="shared" si="2"/>
        <v>0</v>
      </c>
      <c r="EU59" s="57">
        <f t="shared" si="28"/>
        <v>0</v>
      </c>
      <c r="EV59" s="12">
        <f t="shared" si="29"/>
        <v>1050</v>
      </c>
      <c r="EX59" s="12">
        <f t="shared" si="30"/>
        <v>5329</v>
      </c>
      <c r="EY59" s="131">
        <f t="shared" si="31"/>
        <v>6589</v>
      </c>
    </row>
    <row r="60" spans="1:155" ht="27.75" customHeight="1" thickBot="1" x14ac:dyDescent="0.3">
      <c r="A60" s="192" t="s">
        <v>34</v>
      </c>
      <c r="B60" s="192" t="s">
        <v>35</v>
      </c>
      <c r="C60" s="189">
        <v>6</v>
      </c>
      <c r="D60" s="33">
        <v>14</v>
      </c>
      <c r="E60" s="33">
        <v>7</v>
      </c>
      <c r="F60" s="33">
        <v>12</v>
      </c>
      <c r="G60" s="33">
        <v>7</v>
      </c>
      <c r="H60" s="33">
        <v>12</v>
      </c>
      <c r="I60" s="33">
        <v>6</v>
      </c>
      <c r="J60" s="33">
        <v>3</v>
      </c>
      <c r="K60" s="33">
        <v>11</v>
      </c>
      <c r="L60" s="33">
        <v>7</v>
      </c>
      <c r="M60" s="33">
        <v>5</v>
      </c>
      <c r="N60" s="33">
        <v>3</v>
      </c>
      <c r="O60" s="33">
        <v>6</v>
      </c>
      <c r="P60" s="33">
        <v>4</v>
      </c>
      <c r="Q60" s="33">
        <v>8</v>
      </c>
      <c r="R60" s="33">
        <v>8</v>
      </c>
      <c r="S60" s="33">
        <v>7</v>
      </c>
      <c r="T60" s="33">
        <v>8</v>
      </c>
      <c r="U60" s="33">
        <v>10</v>
      </c>
      <c r="V60" s="33">
        <v>3</v>
      </c>
      <c r="W60" s="33">
        <v>4</v>
      </c>
      <c r="X60" s="33">
        <v>10</v>
      </c>
      <c r="Y60" s="33">
        <v>7</v>
      </c>
      <c r="Z60" s="33">
        <v>10</v>
      </c>
      <c r="AA60" s="33">
        <v>8</v>
      </c>
      <c r="AB60" s="33">
        <v>12</v>
      </c>
      <c r="AC60" s="33">
        <v>15</v>
      </c>
      <c r="AD60" s="33">
        <v>16</v>
      </c>
      <c r="AE60" s="33">
        <v>11</v>
      </c>
      <c r="AF60" s="33">
        <v>6</v>
      </c>
      <c r="AG60" s="33">
        <v>7</v>
      </c>
      <c r="AH60" s="33">
        <v>15</v>
      </c>
      <c r="AI60" s="33">
        <v>6</v>
      </c>
      <c r="AJ60" s="34">
        <v>15</v>
      </c>
      <c r="AK60" s="34">
        <v>13</v>
      </c>
      <c r="AL60" s="34">
        <v>22</v>
      </c>
      <c r="AM60" s="34">
        <v>5</v>
      </c>
      <c r="AN60" s="34">
        <v>17</v>
      </c>
      <c r="AO60" s="34">
        <v>14</v>
      </c>
      <c r="AP60" s="34">
        <v>12</v>
      </c>
      <c r="AQ60" s="34">
        <v>32</v>
      </c>
      <c r="AR60" s="34">
        <v>25</v>
      </c>
      <c r="AS60" s="34">
        <v>23</v>
      </c>
      <c r="AT60" s="34">
        <v>17</v>
      </c>
      <c r="AU60" s="34">
        <v>10</v>
      </c>
      <c r="AV60" s="34">
        <v>19</v>
      </c>
      <c r="AW60" s="34">
        <v>27</v>
      </c>
      <c r="AX60" s="34">
        <v>17</v>
      </c>
      <c r="AY60" s="34">
        <v>14</v>
      </c>
      <c r="AZ60" s="34">
        <v>4</v>
      </c>
      <c r="BA60" s="34">
        <v>8</v>
      </c>
      <c r="BB60" s="34">
        <v>10</v>
      </c>
      <c r="BC60" s="34">
        <v>5</v>
      </c>
      <c r="BD60" s="34">
        <v>10</v>
      </c>
      <c r="BE60" s="34">
        <v>6</v>
      </c>
      <c r="BF60" s="34">
        <v>9</v>
      </c>
      <c r="BG60" s="34">
        <v>7</v>
      </c>
      <c r="BH60" s="34">
        <v>15</v>
      </c>
      <c r="BI60" s="34">
        <v>9</v>
      </c>
      <c r="BJ60" s="34">
        <v>13</v>
      </c>
      <c r="BK60" s="34">
        <v>8</v>
      </c>
      <c r="BL60" s="34">
        <v>9</v>
      </c>
      <c r="BM60" s="137">
        <v>10</v>
      </c>
      <c r="BN60" s="137">
        <v>4</v>
      </c>
      <c r="BO60" s="137">
        <v>7</v>
      </c>
      <c r="BP60" s="137">
        <v>15</v>
      </c>
      <c r="BQ60" s="137">
        <v>5</v>
      </c>
      <c r="BR60" s="138">
        <v>8</v>
      </c>
      <c r="BS60" s="138">
        <v>8</v>
      </c>
      <c r="BT60" s="138">
        <v>10</v>
      </c>
      <c r="BU60" s="177">
        <v>9</v>
      </c>
      <c r="BV60" s="138">
        <v>9</v>
      </c>
      <c r="BW60" s="137">
        <v>9</v>
      </c>
      <c r="BX60" s="137">
        <v>5</v>
      </c>
      <c r="BY60" s="137">
        <v>13</v>
      </c>
      <c r="BZ60" s="137">
        <v>7</v>
      </c>
      <c r="CA60" s="137">
        <v>3</v>
      </c>
      <c r="CB60" s="137">
        <v>6</v>
      </c>
      <c r="CC60" s="137">
        <v>12</v>
      </c>
      <c r="CD60" s="137">
        <v>15</v>
      </c>
      <c r="CE60" s="138">
        <v>10</v>
      </c>
      <c r="CF60" s="137">
        <v>5</v>
      </c>
      <c r="CG60" s="137">
        <v>9</v>
      </c>
      <c r="CH60" s="139">
        <v>6</v>
      </c>
      <c r="CI60" s="139">
        <v>3</v>
      </c>
      <c r="CJ60" s="137">
        <v>12</v>
      </c>
      <c r="CK60" s="137">
        <v>8</v>
      </c>
      <c r="CL60" s="137">
        <v>1</v>
      </c>
      <c r="CM60" s="137">
        <v>5</v>
      </c>
      <c r="CN60" s="137">
        <v>7</v>
      </c>
      <c r="CO60" s="137">
        <v>4</v>
      </c>
      <c r="CP60" s="137">
        <v>10</v>
      </c>
      <c r="CQ60" s="137">
        <v>9</v>
      </c>
      <c r="CR60" s="137">
        <v>9</v>
      </c>
      <c r="CS60" s="34">
        <v>5</v>
      </c>
      <c r="CT60" s="34">
        <v>5</v>
      </c>
      <c r="CU60" s="34">
        <v>3</v>
      </c>
      <c r="CV60" s="34">
        <v>15</v>
      </c>
      <c r="CW60" s="75">
        <v>7</v>
      </c>
      <c r="CX60" s="34">
        <v>7</v>
      </c>
      <c r="CY60" s="137">
        <v>9</v>
      </c>
      <c r="CZ60" s="34">
        <v>2</v>
      </c>
      <c r="DA60" s="34">
        <v>4</v>
      </c>
      <c r="DB60" s="34">
        <v>8</v>
      </c>
      <c r="DC60" s="34">
        <v>9</v>
      </c>
      <c r="DD60" s="34">
        <v>8</v>
      </c>
      <c r="DE60" s="118">
        <v>6</v>
      </c>
      <c r="DF60" s="34">
        <v>4</v>
      </c>
      <c r="DG60" s="34">
        <v>5</v>
      </c>
      <c r="DH60" s="42">
        <v>5</v>
      </c>
      <c r="DI60" s="34">
        <v>7</v>
      </c>
      <c r="DJ60" s="34">
        <v>3</v>
      </c>
      <c r="DK60" s="34">
        <v>7</v>
      </c>
      <c r="DL60" s="34">
        <v>0</v>
      </c>
      <c r="DM60" s="213"/>
      <c r="DN60" s="213"/>
      <c r="DO60" s="213"/>
      <c r="DP60" s="213"/>
      <c r="DQ60" s="213"/>
      <c r="DR60" s="213"/>
      <c r="DS60" s="213"/>
      <c r="DT60" s="218"/>
      <c r="DU60" s="218"/>
      <c r="DV60" s="213"/>
      <c r="DW60" s="213"/>
      <c r="DX60" s="218"/>
      <c r="DY60" s="218"/>
      <c r="DZ60" s="218"/>
      <c r="EA60" s="218"/>
      <c r="EB60" s="218"/>
      <c r="EC60" s="218"/>
      <c r="ED60" s="218"/>
      <c r="EE60" s="218"/>
      <c r="EF60" s="218"/>
      <c r="EG60" s="218"/>
      <c r="EH60" s="249">
        <f t="shared" si="0"/>
        <v>147</v>
      </c>
      <c r="EI60" s="150">
        <f t="shared" si="18"/>
        <v>1041</v>
      </c>
      <c r="EJ60" s="150">
        <f t="shared" si="19"/>
        <v>977</v>
      </c>
      <c r="EK60" s="284">
        <f t="shared" si="1"/>
        <v>0</v>
      </c>
      <c r="EL60" s="154">
        <f t="shared" si="20"/>
        <v>6</v>
      </c>
      <c r="EM60" s="155">
        <f t="shared" si="21"/>
        <v>93</v>
      </c>
      <c r="EN60" s="155">
        <f t="shared" si="22"/>
        <v>87</v>
      </c>
      <c r="EO60" s="155">
        <f t="shared" si="23"/>
        <v>143</v>
      </c>
      <c r="EP60" s="156">
        <f t="shared" si="24"/>
        <v>227</v>
      </c>
      <c r="EQ60" s="156">
        <f t="shared" si="25"/>
        <v>207</v>
      </c>
      <c r="ER60" s="156">
        <f t="shared" si="26"/>
        <v>172</v>
      </c>
      <c r="ES60" s="152">
        <f t="shared" si="27"/>
        <v>106</v>
      </c>
      <c r="ET60" s="152">
        <f t="shared" si="2"/>
        <v>0</v>
      </c>
      <c r="EU60" s="57">
        <f t="shared" si="28"/>
        <v>187</v>
      </c>
      <c r="EV60" s="12">
        <f t="shared" si="29"/>
        <v>126</v>
      </c>
      <c r="EX60" s="12">
        <f t="shared" si="30"/>
        <v>894</v>
      </c>
      <c r="EY60" s="131">
        <f t="shared" si="31"/>
        <v>1014</v>
      </c>
    </row>
    <row r="61" spans="1:155" ht="27.75" customHeight="1" thickBot="1" x14ac:dyDescent="0.3">
      <c r="A61" s="192" t="s">
        <v>34</v>
      </c>
      <c r="B61" s="192" t="s">
        <v>36</v>
      </c>
      <c r="C61" s="189">
        <v>5</v>
      </c>
      <c r="D61" s="33">
        <v>10</v>
      </c>
      <c r="E61" s="33">
        <v>7</v>
      </c>
      <c r="F61" s="33">
        <v>8</v>
      </c>
      <c r="G61" s="33">
        <v>6</v>
      </c>
      <c r="H61" s="33">
        <v>7</v>
      </c>
      <c r="I61" s="33">
        <v>4</v>
      </c>
      <c r="J61" s="33">
        <v>1</v>
      </c>
      <c r="K61" s="33">
        <v>7</v>
      </c>
      <c r="L61" s="33">
        <v>2</v>
      </c>
      <c r="M61" s="33">
        <v>5</v>
      </c>
      <c r="N61" s="33">
        <v>2</v>
      </c>
      <c r="O61" s="33">
        <v>3</v>
      </c>
      <c r="P61" s="33">
        <v>1</v>
      </c>
      <c r="Q61" s="33">
        <v>7</v>
      </c>
      <c r="R61" s="33">
        <v>7</v>
      </c>
      <c r="S61" s="33">
        <v>4</v>
      </c>
      <c r="T61" s="33">
        <v>1</v>
      </c>
      <c r="U61" s="33">
        <v>7</v>
      </c>
      <c r="V61" s="33">
        <v>2</v>
      </c>
      <c r="W61" s="33">
        <v>0</v>
      </c>
      <c r="X61" s="33">
        <v>6</v>
      </c>
      <c r="Y61" s="33">
        <v>4</v>
      </c>
      <c r="Z61" s="33">
        <v>8</v>
      </c>
      <c r="AA61" s="33">
        <v>3</v>
      </c>
      <c r="AB61" s="33">
        <v>0</v>
      </c>
      <c r="AC61" s="33">
        <v>9</v>
      </c>
      <c r="AD61" s="33">
        <v>9</v>
      </c>
      <c r="AE61" s="33">
        <v>9</v>
      </c>
      <c r="AF61" s="33">
        <v>3</v>
      </c>
      <c r="AG61" s="33">
        <v>7</v>
      </c>
      <c r="AH61" s="33">
        <v>13</v>
      </c>
      <c r="AI61" s="33">
        <v>4</v>
      </c>
      <c r="AJ61" s="34">
        <v>4</v>
      </c>
      <c r="AK61" s="34">
        <v>7</v>
      </c>
      <c r="AL61" s="34">
        <v>9</v>
      </c>
      <c r="AM61" s="34">
        <v>2</v>
      </c>
      <c r="AN61" s="34">
        <v>13</v>
      </c>
      <c r="AO61" s="34">
        <v>10</v>
      </c>
      <c r="AP61" s="34">
        <v>5</v>
      </c>
      <c r="AQ61" s="34">
        <v>11</v>
      </c>
      <c r="AR61" s="34">
        <v>10</v>
      </c>
      <c r="AS61" s="34">
        <v>13</v>
      </c>
      <c r="AT61" s="34">
        <v>10</v>
      </c>
      <c r="AU61" s="34">
        <v>4</v>
      </c>
      <c r="AV61" s="34">
        <v>4</v>
      </c>
      <c r="AW61" s="34">
        <v>14</v>
      </c>
      <c r="AX61" s="34">
        <v>13</v>
      </c>
      <c r="AY61" s="34">
        <v>8</v>
      </c>
      <c r="AZ61" s="34">
        <v>8</v>
      </c>
      <c r="BA61" s="34">
        <v>5</v>
      </c>
      <c r="BB61" s="34">
        <v>8</v>
      </c>
      <c r="BC61" s="34">
        <v>2</v>
      </c>
      <c r="BD61" s="34">
        <v>2</v>
      </c>
      <c r="BE61" s="34">
        <v>1</v>
      </c>
      <c r="BF61" s="34">
        <v>5</v>
      </c>
      <c r="BG61" s="34">
        <v>2</v>
      </c>
      <c r="BH61" s="34">
        <v>5</v>
      </c>
      <c r="BI61" s="34">
        <v>4</v>
      </c>
      <c r="BJ61" s="34">
        <v>11</v>
      </c>
      <c r="BK61" s="34">
        <v>2</v>
      </c>
      <c r="BL61" s="34">
        <v>2</v>
      </c>
      <c r="BM61" s="137">
        <v>1</v>
      </c>
      <c r="BN61" s="137">
        <v>1</v>
      </c>
      <c r="BO61" s="137">
        <v>8</v>
      </c>
      <c r="BP61" s="137">
        <v>8</v>
      </c>
      <c r="BQ61" s="137">
        <v>3</v>
      </c>
      <c r="BR61" s="138">
        <v>2</v>
      </c>
      <c r="BS61" s="138">
        <v>2</v>
      </c>
      <c r="BT61" s="138">
        <v>5</v>
      </c>
      <c r="BU61" s="138">
        <v>5</v>
      </c>
      <c r="BV61" s="138">
        <v>0</v>
      </c>
      <c r="BW61" s="137">
        <v>3</v>
      </c>
      <c r="BX61" s="137">
        <v>2</v>
      </c>
      <c r="BY61" s="137">
        <v>5</v>
      </c>
      <c r="BZ61" s="137">
        <v>1</v>
      </c>
      <c r="CA61" s="137">
        <v>1</v>
      </c>
      <c r="CB61" s="137">
        <v>1</v>
      </c>
      <c r="CC61" s="137">
        <v>4</v>
      </c>
      <c r="CD61" s="137">
        <v>10</v>
      </c>
      <c r="CE61" s="138">
        <v>2</v>
      </c>
      <c r="CF61" s="137">
        <v>1</v>
      </c>
      <c r="CG61" s="137">
        <v>11</v>
      </c>
      <c r="CH61" s="139">
        <v>4</v>
      </c>
      <c r="CI61" s="139">
        <v>0</v>
      </c>
      <c r="CJ61" s="137">
        <v>3</v>
      </c>
      <c r="CK61" s="137">
        <v>7</v>
      </c>
      <c r="CL61" s="137">
        <v>1</v>
      </c>
      <c r="CM61" s="137">
        <v>1</v>
      </c>
      <c r="CN61" s="137">
        <v>3</v>
      </c>
      <c r="CO61" s="137">
        <v>0</v>
      </c>
      <c r="CP61" s="137">
        <v>3</v>
      </c>
      <c r="CQ61" s="137">
        <v>3</v>
      </c>
      <c r="CR61" s="148">
        <v>2</v>
      </c>
      <c r="CS61" s="34">
        <v>2</v>
      </c>
      <c r="CT61" s="34">
        <v>2</v>
      </c>
      <c r="CU61" s="34">
        <v>1</v>
      </c>
      <c r="CV61" s="34">
        <v>18</v>
      </c>
      <c r="CW61" s="75">
        <v>4</v>
      </c>
      <c r="CX61" s="34">
        <v>5</v>
      </c>
      <c r="CY61" s="137">
        <v>13</v>
      </c>
      <c r="CZ61" s="34">
        <v>1</v>
      </c>
      <c r="DA61" s="34">
        <v>2</v>
      </c>
      <c r="DB61" s="34">
        <v>3</v>
      </c>
      <c r="DC61" s="34">
        <v>2</v>
      </c>
      <c r="DD61" s="34">
        <v>3</v>
      </c>
      <c r="DE61" s="118">
        <v>2</v>
      </c>
      <c r="DF61" s="34">
        <v>1</v>
      </c>
      <c r="DG61" s="34">
        <v>3</v>
      </c>
      <c r="DH61" s="42">
        <v>5</v>
      </c>
      <c r="DI61" s="34">
        <v>2</v>
      </c>
      <c r="DJ61" s="34">
        <v>1</v>
      </c>
      <c r="DK61" s="34">
        <v>2</v>
      </c>
      <c r="DL61" s="34">
        <v>0</v>
      </c>
      <c r="DM61" s="213"/>
      <c r="DN61" s="213"/>
      <c r="DO61" s="213"/>
      <c r="DP61" s="213"/>
      <c r="DQ61" s="213"/>
      <c r="DR61" s="213"/>
      <c r="DS61" s="213"/>
      <c r="DT61" s="218"/>
      <c r="DU61" s="218"/>
      <c r="DV61" s="213"/>
      <c r="DW61" s="213"/>
      <c r="DX61" s="218"/>
      <c r="DY61" s="218"/>
      <c r="DZ61" s="218"/>
      <c r="EA61" s="218"/>
      <c r="EB61" s="218"/>
      <c r="EC61" s="218"/>
      <c r="ED61" s="218"/>
      <c r="EE61" s="218"/>
      <c r="EF61" s="218"/>
      <c r="EG61" s="218"/>
      <c r="EH61" s="249">
        <f t="shared" si="0"/>
        <v>80</v>
      </c>
      <c r="EI61" s="150">
        <f t="shared" si="18"/>
        <v>540</v>
      </c>
      <c r="EJ61" s="150">
        <f t="shared" si="19"/>
        <v>493</v>
      </c>
      <c r="EK61" s="284">
        <f t="shared" si="1"/>
        <v>0</v>
      </c>
      <c r="EL61" s="154">
        <f t="shared" si="20"/>
        <v>5</v>
      </c>
      <c r="EM61" s="155">
        <f t="shared" si="21"/>
        <v>62</v>
      </c>
      <c r="EN61" s="155">
        <f t="shared" si="22"/>
        <v>50</v>
      </c>
      <c r="EO61" s="155">
        <f t="shared" si="23"/>
        <v>76</v>
      </c>
      <c r="EP61" s="156">
        <f t="shared" si="24"/>
        <v>115</v>
      </c>
      <c r="EQ61" s="156">
        <f t="shared" si="25"/>
        <v>95</v>
      </c>
      <c r="ER61" s="156">
        <f t="shared" si="26"/>
        <v>70</v>
      </c>
      <c r="ES61" s="152">
        <f t="shared" si="27"/>
        <v>67</v>
      </c>
      <c r="ET61" s="152">
        <f t="shared" si="2"/>
        <v>0</v>
      </c>
      <c r="EU61" s="57">
        <f t="shared" si="28"/>
        <v>80</v>
      </c>
      <c r="EV61" s="12">
        <f t="shared" si="29"/>
        <v>56</v>
      </c>
      <c r="EX61" s="12">
        <f t="shared" si="30"/>
        <v>460</v>
      </c>
      <c r="EY61" s="131">
        <f t="shared" si="31"/>
        <v>518</v>
      </c>
    </row>
    <row r="62" spans="1:155" ht="27.75" customHeight="1" thickBot="1" x14ac:dyDescent="0.3">
      <c r="A62" s="192" t="s">
        <v>37</v>
      </c>
      <c r="B62" s="192" t="s">
        <v>38</v>
      </c>
      <c r="C62" s="189">
        <v>995</v>
      </c>
      <c r="D62" s="33">
        <v>953</v>
      </c>
      <c r="E62" s="33">
        <v>1024</v>
      </c>
      <c r="F62" s="33">
        <v>1047</v>
      </c>
      <c r="G62" s="33">
        <v>1066</v>
      </c>
      <c r="H62" s="33">
        <v>1068</v>
      </c>
      <c r="I62" s="33">
        <v>929</v>
      </c>
      <c r="J62" s="33">
        <v>1096</v>
      </c>
      <c r="K62" s="33">
        <v>1007</v>
      </c>
      <c r="L62" s="33">
        <v>1023</v>
      </c>
      <c r="M62" s="33">
        <v>1100</v>
      </c>
      <c r="N62" s="33">
        <v>1030</v>
      </c>
      <c r="O62" s="33">
        <v>1001</v>
      </c>
      <c r="P62" s="33">
        <v>1080</v>
      </c>
      <c r="Q62" s="33">
        <v>1196</v>
      </c>
      <c r="R62" s="33">
        <v>1076</v>
      </c>
      <c r="S62" s="33">
        <v>1380</v>
      </c>
      <c r="T62" s="33">
        <v>1537</v>
      </c>
      <c r="U62" s="33">
        <v>2290</v>
      </c>
      <c r="V62" s="33">
        <v>2202</v>
      </c>
      <c r="W62" s="33">
        <v>3414</v>
      </c>
      <c r="X62" s="33">
        <v>2830</v>
      </c>
      <c r="Y62" s="33">
        <v>1919</v>
      </c>
      <c r="Z62" s="33">
        <v>1245</v>
      </c>
      <c r="AA62" s="33">
        <v>1121</v>
      </c>
      <c r="AB62" s="33">
        <v>1187</v>
      </c>
      <c r="AC62" s="33">
        <v>1410</v>
      </c>
      <c r="AD62" s="33">
        <v>1419</v>
      </c>
      <c r="AE62" s="33">
        <v>1071</v>
      </c>
      <c r="AF62" s="33">
        <v>1090</v>
      </c>
      <c r="AG62" s="33">
        <v>1452</v>
      </c>
      <c r="AH62" s="33">
        <v>1515</v>
      </c>
      <c r="AI62" s="33">
        <v>1262</v>
      </c>
      <c r="AJ62" s="34">
        <v>1839</v>
      </c>
      <c r="AK62" s="34">
        <v>2240</v>
      </c>
      <c r="AL62" s="34">
        <v>2424</v>
      </c>
      <c r="AM62" s="34">
        <v>1854</v>
      </c>
      <c r="AN62" s="34">
        <v>1444</v>
      </c>
      <c r="AO62" s="34">
        <v>2057</v>
      </c>
      <c r="AP62" s="34">
        <v>1965</v>
      </c>
      <c r="AQ62" s="34">
        <v>2796</v>
      </c>
      <c r="AR62" s="34">
        <v>2020</v>
      </c>
      <c r="AS62" s="34">
        <v>2706</v>
      </c>
      <c r="AT62" s="34">
        <v>2883</v>
      </c>
      <c r="AU62" s="34">
        <v>1951</v>
      </c>
      <c r="AV62" s="34">
        <v>1960</v>
      </c>
      <c r="AW62" s="34">
        <v>1693</v>
      </c>
      <c r="AX62" s="34">
        <v>1452</v>
      </c>
      <c r="AY62" s="34">
        <v>1412</v>
      </c>
      <c r="AZ62" s="34">
        <v>984</v>
      </c>
      <c r="BA62" s="34">
        <v>1851</v>
      </c>
      <c r="BB62" s="34">
        <v>1244</v>
      </c>
      <c r="BC62" s="34">
        <v>1472</v>
      </c>
      <c r="BD62" s="34">
        <v>1811</v>
      </c>
      <c r="BE62" s="34">
        <v>1873</v>
      </c>
      <c r="BF62" s="34">
        <v>1814</v>
      </c>
      <c r="BG62" s="34">
        <v>1542</v>
      </c>
      <c r="BH62" s="34">
        <v>2375</v>
      </c>
      <c r="BI62" s="34">
        <v>2353</v>
      </c>
      <c r="BJ62" s="34">
        <v>2197</v>
      </c>
      <c r="BK62" s="34">
        <v>2151</v>
      </c>
      <c r="BL62" s="39">
        <v>1918</v>
      </c>
      <c r="BM62" s="137">
        <v>1626</v>
      </c>
      <c r="BN62" s="137">
        <v>2693</v>
      </c>
      <c r="BO62" s="137">
        <v>1900</v>
      </c>
      <c r="BP62" s="137">
        <v>2796</v>
      </c>
      <c r="BQ62" s="137">
        <v>2682</v>
      </c>
      <c r="BR62" s="138">
        <v>2566</v>
      </c>
      <c r="BS62" s="138">
        <v>1822</v>
      </c>
      <c r="BT62" s="138">
        <v>1618</v>
      </c>
      <c r="BU62" s="138">
        <v>1577</v>
      </c>
      <c r="BV62" s="138">
        <v>1276</v>
      </c>
      <c r="BW62" s="137">
        <v>2718</v>
      </c>
      <c r="BX62" s="137">
        <v>2394</v>
      </c>
      <c r="BY62" s="137">
        <v>2370</v>
      </c>
      <c r="BZ62" s="137">
        <v>1656</v>
      </c>
      <c r="CA62" s="137">
        <v>2554</v>
      </c>
      <c r="CB62" s="137">
        <v>1961</v>
      </c>
      <c r="CC62" s="137">
        <v>1519</v>
      </c>
      <c r="CD62" s="137">
        <v>4265</v>
      </c>
      <c r="CE62" s="138">
        <v>2471</v>
      </c>
      <c r="CF62" s="137">
        <v>1754</v>
      </c>
      <c r="CG62" s="137">
        <v>2509</v>
      </c>
      <c r="CH62" s="139">
        <v>3462</v>
      </c>
      <c r="CI62" s="139">
        <v>3862</v>
      </c>
      <c r="CJ62" s="137">
        <v>2456</v>
      </c>
      <c r="CK62" s="137">
        <v>2931</v>
      </c>
      <c r="CL62" s="137">
        <v>3192</v>
      </c>
      <c r="CM62" s="137">
        <v>4962</v>
      </c>
      <c r="CN62" s="137">
        <v>3332</v>
      </c>
      <c r="CO62" s="137">
        <v>2529</v>
      </c>
      <c r="CP62" s="137">
        <v>1795</v>
      </c>
      <c r="CQ62" s="137">
        <v>2225</v>
      </c>
      <c r="CR62" s="137">
        <v>3386</v>
      </c>
      <c r="CS62" s="34">
        <v>2897</v>
      </c>
      <c r="CT62" s="34">
        <v>2001</v>
      </c>
      <c r="CU62" s="34">
        <v>1704</v>
      </c>
      <c r="CV62" s="34">
        <v>2416</v>
      </c>
      <c r="CW62" s="42">
        <v>2735</v>
      </c>
      <c r="CX62" s="34">
        <v>2669</v>
      </c>
      <c r="CY62" s="137">
        <v>1724</v>
      </c>
      <c r="CZ62" s="34">
        <v>1002</v>
      </c>
      <c r="DA62" s="34">
        <v>1656</v>
      </c>
      <c r="DB62" s="34">
        <v>3241</v>
      </c>
      <c r="DC62" s="34">
        <v>1674</v>
      </c>
      <c r="DD62" s="34">
        <v>2688</v>
      </c>
      <c r="DE62" s="34">
        <v>2003</v>
      </c>
      <c r="DF62" s="34">
        <v>3772</v>
      </c>
      <c r="DG62" s="34">
        <v>2253</v>
      </c>
      <c r="DH62" s="42">
        <v>3919</v>
      </c>
      <c r="DI62" s="34">
        <v>1895</v>
      </c>
      <c r="DJ62" s="34">
        <v>2254</v>
      </c>
      <c r="DK62" s="34">
        <v>2743</v>
      </c>
      <c r="DL62" s="34">
        <v>1975</v>
      </c>
      <c r="DM62" s="34">
        <v>2002</v>
      </c>
      <c r="DN62" s="34">
        <v>1125</v>
      </c>
      <c r="DO62" s="34">
        <v>2239</v>
      </c>
      <c r="DP62" s="34">
        <v>2792</v>
      </c>
      <c r="DQ62" s="34">
        <v>3182</v>
      </c>
      <c r="DR62" s="34">
        <v>2911</v>
      </c>
      <c r="DS62" s="34">
        <v>1292</v>
      </c>
      <c r="DT62" s="218"/>
      <c r="DU62" s="218"/>
      <c r="DV62" s="213"/>
      <c r="DW62" s="213"/>
      <c r="DX62" s="218"/>
      <c r="DY62" s="218"/>
      <c r="DZ62" s="218"/>
      <c r="EA62" s="218"/>
      <c r="EB62" s="218"/>
      <c r="EC62" s="218"/>
      <c r="ED62" s="218"/>
      <c r="EE62" s="218"/>
      <c r="EF62" s="218"/>
      <c r="EG62" s="218"/>
      <c r="EH62" s="249">
        <f t="shared" si="0"/>
        <v>70170</v>
      </c>
      <c r="EI62" s="150">
        <f t="shared" si="18"/>
        <v>231398</v>
      </c>
      <c r="EJ62" s="150">
        <f t="shared" si="19"/>
        <v>224316</v>
      </c>
      <c r="EK62" s="284">
        <f t="shared" si="1"/>
        <v>17518</v>
      </c>
      <c r="EL62" s="154">
        <f t="shared" si="20"/>
        <v>995</v>
      </c>
      <c r="EM62" s="155">
        <f t="shared" si="21"/>
        <v>12344</v>
      </c>
      <c r="EN62" s="155">
        <f t="shared" si="22"/>
        <v>21290</v>
      </c>
      <c r="EO62" s="155">
        <f t="shared" si="23"/>
        <v>18763</v>
      </c>
      <c r="EP62" s="156">
        <f t="shared" si="24"/>
        <v>24339</v>
      </c>
      <c r="EQ62" s="156">
        <f t="shared" si="25"/>
        <v>46859</v>
      </c>
      <c r="ER62" s="156">
        <f t="shared" si="26"/>
        <v>64187</v>
      </c>
      <c r="ES62" s="152">
        <f t="shared" si="27"/>
        <v>56162</v>
      </c>
      <c r="ET62" s="152">
        <f t="shared" si="2"/>
        <v>0</v>
      </c>
      <c r="EU62" s="57">
        <f t="shared" si="28"/>
        <v>53219</v>
      </c>
      <c r="EV62" s="12">
        <f t="shared" si="29"/>
        <v>51733</v>
      </c>
      <c r="EX62" s="12">
        <f t="shared" si="30"/>
        <v>174769</v>
      </c>
      <c r="EY62" s="131">
        <f t="shared" si="31"/>
        <v>224449</v>
      </c>
    </row>
    <row r="63" spans="1:155" ht="27.75" customHeight="1" thickBot="1" x14ac:dyDescent="0.3">
      <c r="A63" s="192" t="s">
        <v>37</v>
      </c>
      <c r="B63" s="192" t="s">
        <v>111</v>
      </c>
      <c r="C63" s="190">
        <v>0</v>
      </c>
      <c r="D63" s="34">
        <v>0</v>
      </c>
      <c r="E63" s="34">
        <v>0</v>
      </c>
      <c r="F63" s="34">
        <v>0</v>
      </c>
      <c r="G63" s="34">
        <v>0</v>
      </c>
      <c r="H63" s="34">
        <v>0</v>
      </c>
      <c r="I63" s="34">
        <v>0</v>
      </c>
      <c r="J63" s="34">
        <v>0</v>
      </c>
      <c r="K63" s="34">
        <v>0</v>
      </c>
      <c r="L63" s="34">
        <v>0</v>
      </c>
      <c r="M63" s="34">
        <v>0</v>
      </c>
      <c r="N63" s="34">
        <v>0</v>
      </c>
      <c r="O63" s="34">
        <v>0</v>
      </c>
      <c r="P63" s="34">
        <v>0</v>
      </c>
      <c r="Q63" s="34">
        <v>0</v>
      </c>
      <c r="R63" s="34">
        <v>0</v>
      </c>
      <c r="S63" s="34">
        <v>0</v>
      </c>
      <c r="T63" s="34">
        <v>0</v>
      </c>
      <c r="U63" s="34">
        <v>0</v>
      </c>
      <c r="V63" s="34">
        <v>0</v>
      </c>
      <c r="W63" s="34">
        <v>0</v>
      </c>
      <c r="X63" s="34">
        <v>0</v>
      </c>
      <c r="Y63" s="34">
        <v>0</v>
      </c>
      <c r="Z63" s="34">
        <v>0</v>
      </c>
      <c r="AA63" s="34">
        <v>0</v>
      </c>
      <c r="AB63" s="34">
        <v>0</v>
      </c>
      <c r="AC63" s="34">
        <v>0</v>
      </c>
      <c r="AD63" s="34">
        <v>0</v>
      </c>
      <c r="AE63" s="34">
        <v>0</v>
      </c>
      <c r="AF63" s="34">
        <v>0</v>
      </c>
      <c r="AG63" s="34">
        <v>0</v>
      </c>
      <c r="AH63" s="34">
        <v>0</v>
      </c>
      <c r="AI63" s="34">
        <v>0</v>
      </c>
      <c r="AJ63" s="34">
        <v>0</v>
      </c>
      <c r="AK63" s="34">
        <v>0</v>
      </c>
      <c r="AL63" s="34">
        <v>0</v>
      </c>
      <c r="AM63" s="34">
        <v>0</v>
      </c>
      <c r="AN63" s="34">
        <v>0</v>
      </c>
      <c r="AO63" s="34">
        <v>0</v>
      </c>
      <c r="AP63" s="34">
        <v>0</v>
      </c>
      <c r="AQ63" s="34">
        <v>0</v>
      </c>
      <c r="AR63" s="34">
        <v>0</v>
      </c>
      <c r="AS63" s="34">
        <v>0</v>
      </c>
      <c r="AT63" s="34">
        <v>0</v>
      </c>
      <c r="AU63" s="34">
        <v>0</v>
      </c>
      <c r="AV63" s="34">
        <v>0</v>
      </c>
      <c r="AW63" s="34">
        <v>0</v>
      </c>
      <c r="AX63" s="34">
        <v>0</v>
      </c>
      <c r="AY63" s="34">
        <v>0</v>
      </c>
      <c r="AZ63" s="34">
        <v>0</v>
      </c>
      <c r="BA63" s="34">
        <v>0</v>
      </c>
      <c r="BB63" s="34">
        <v>0</v>
      </c>
      <c r="BC63" s="34">
        <v>0</v>
      </c>
      <c r="BD63" s="34">
        <v>0</v>
      </c>
      <c r="BE63" s="34">
        <v>0</v>
      </c>
      <c r="BF63" s="34">
        <v>0</v>
      </c>
      <c r="BG63" s="34">
        <v>0</v>
      </c>
      <c r="BH63" s="34">
        <v>0</v>
      </c>
      <c r="BI63" s="34">
        <v>0</v>
      </c>
      <c r="BJ63" s="34">
        <v>0</v>
      </c>
      <c r="BK63" s="34">
        <v>0</v>
      </c>
      <c r="BL63" s="34">
        <v>0</v>
      </c>
      <c r="BM63" s="137">
        <v>0</v>
      </c>
      <c r="BN63" s="137">
        <v>0</v>
      </c>
      <c r="BO63" s="137">
        <v>0</v>
      </c>
      <c r="BP63" s="137">
        <v>0</v>
      </c>
      <c r="BQ63" s="137">
        <v>0</v>
      </c>
      <c r="BR63" s="137">
        <v>0</v>
      </c>
      <c r="BS63" s="137">
        <v>0</v>
      </c>
      <c r="BT63" s="137">
        <v>0</v>
      </c>
      <c r="BU63" s="137">
        <v>0</v>
      </c>
      <c r="BV63" s="137">
        <v>0</v>
      </c>
      <c r="BW63" s="137">
        <v>0</v>
      </c>
      <c r="BX63" s="137">
        <v>24</v>
      </c>
      <c r="BY63" s="176">
        <v>32</v>
      </c>
      <c r="BZ63" s="176">
        <v>29</v>
      </c>
      <c r="CA63" s="176">
        <v>40</v>
      </c>
      <c r="CB63" s="137">
        <v>52</v>
      </c>
      <c r="CC63" s="137">
        <v>32</v>
      </c>
      <c r="CD63" s="137">
        <v>59</v>
      </c>
      <c r="CE63" s="138">
        <v>37</v>
      </c>
      <c r="CF63" s="137">
        <v>7</v>
      </c>
      <c r="CG63" s="137">
        <v>4</v>
      </c>
      <c r="CH63" s="139">
        <v>17</v>
      </c>
      <c r="CI63" s="139">
        <v>7</v>
      </c>
      <c r="CJ63" s="137">
        <v>1</v>
      </c>
      <c r="CK63" s="137">
        <v>12</v>
      </c>
      <c r="CL63" s="137">
        <v>24</v>
      </c>
      <c r="CM63" s="137">
        <v>72</v>
      </c>
      <c r="CN63" s="137">
        <v>67</v>
      </c>
      <c r="CO63" s="137">
        <v>18</v>
      </c>
      <c r="CP63" s="137">
        <v>36</v>
      </c>
      <c r="CQ63" s="137">
        <v>17</v>
      </c>
      <c r="CR63" s="137">
        <v>76</v>
      </c>
      <c r="CS63" s="34">
        <v>52</v>
      </c>
      <c r="CT63" s="34">
        <v>5</v>
      </c>
      <c r="CU63" s="34">
        <v>5</v>
      </c>
      <c r="CV63" s="34">
        <v>25</v>
      </c>
      <c r="CW63" s="42">
        <v>0</v>
      </c>
      <c r="CX63" s="34">
        <v>0</v>
      </c>
      <c r="CY63" s="137">
        <v>0</v>
      </c>
      <c r="CZ63" s="34">
        <v>0</v>
      </c>
      <c r="DA63" s="34">
        <v>0</v>
      </c>
      <c r="DB63" s="34">
        <v>0</v>
      </c>
      <c r="DC63" s="34">
        <v>0</v>
      </c>
      <c r="DD63" s="34">
        <v>0</v>
      </c>
      <c r="DE63" s="34">
        <v>0</v>
      </c>
      <c r="DF63" s="34">
        <v>0</v>
      </c>
      <c r="DG63" s="34">
        <v>0</v>
      </c>
      <c r="DH63" s="42">
        <v>0</v>
      </c>
      <c r="DI63" s="34">
        <v>0</v>
      </c>
      <c r="DJ63" s="34">
        <v>0</v>
      </c>
      <c r="DK63" s="34">
        <v>0</v>
      </c>
      <c r="DL63" s="34">
        <v>0</v>
      </c>
      <c r="DM63" s="213"/>
      <c r="DN63" s="213"/>
      <c r="DO63" s="213"/>
      <c r="DP63" s="213"/>
      <c r="DQ63" s="213"/>
      <c r="DR63" s="213"/>
      <c r="DS63" s="213"/>
      <c r="DT63" s="218"/>
      <c r="DU63" s="218"/>
      <c r="DV63" s="213"/>
      <c r="DW63" s="213"/>
      <c r="DX63" s="218"/>
      <c r="DY63" s="218"/>
      <c r="DZ63" s="218"/>
      <c r="EA63" s="218"/>
      <c r="EB63" s="218"/>
      <c r="EC63" s="218"/>
      <c r="ED63" s="218"/>
      <c r="EE63" s="218"/>
      <c r="EF63" s="218"/>
      <c r="EG63" s="218"/>
      <c r="EH63" s="249">
        <f t="shared" si="0"/>
        <v>216</v>
      </c>
      <c r="EI63" s="150">
        <f t="shared" si="18"/>
        <v>750</v>
      </c>
      <c r="EJ63" s="150">
        <f t="shared" si="19"/>
        <v>750</v>
      </c>
      <c r="EK63" s="284">
        <f t="shared" si="1"/>
        <v>0</v>
      </c>
      <c r="EL63" s="151">
        <f t="shared" si="20"/>
        <v>0</v>
      </c>
      <c r="EM63" s="153">
        <f t="shared" si="21"/>
        <v>0</v>
      </c>
      <c r="EN63" s="153">
        <f t="shared" si="22"/>
        <v>0</v>
      </c>
      <c r="EO63" s="153">
        <f t="shared" si="23"/>
        <v>0</v>
      </c>
      <c r="EP63" s="152">
        <f t="shared" si="24"/>
        <v>0</v>
      </c>
      <c r="EQ63" s="152">
        <f t="shared" si="25"/>
        <v>0</v>
      </c>
      <c r="ER63" s="152">
        <f t="shared" si="26"/>
        <v>725</v>
      </c>
      <c r="ES63" s="152">
        <f t="shared" si="27"/>
        <v>25</v>
      </c>
      <c r="ET63" s="152">
        <f t="shared" si="2"/>
        <v>0</v>
      </c>
      <c r="EU63" s="57">
        <f t="shared" si="28"/>
        <v>353</v>
      </c>
      <c r="EV63" s="12">
        <f t="shared" si="29"/>
        <v>516</v>
      </c>
      <c r="EX63" s="12">
        <f t="shared" si="30"/>
        <v>534</v>
      </c>
      <c r="EY63" s="131">
        <f t="shared" si="31"/>
        <v>750</v>
      </c>
    </row>
    <row r="64" spans="1:155" ht="27.75" customHeight="1" thickBot="1" x14ac:dyDescent="0.3">
      <c r="A64" s="191" t="s">
        <v>37</v>
      </c>
      <c r="B64" s="191" t="s">
        <v>39</v>
      </c>
      <c r="C64" s="189">
        <v>830</v>
      </c>
      <c r="D64" s="33">
        <v>785</v>
      </c>
      <c r="E64" s="33">
        <v>800</v>
      </c>
      <c r="F64" s="33">
        <v>863</v>
      </c>
      <c r="G64" s="33">
        <v>854</v>
      </c>
      <c r="H64" s="33">
        <v>879</v>
      </c>
      <c r="I64" s="33">
        <v>778</v>
      </c>
      <c r="J64" s="33">
        <v>898</v>
      </c>
      <c r="K64" s="33">
        <v>789</v>
      </c>
      <c r="L64" s="33">
        <v>827</v>
      </c>
      <c r="M64" s="33">
        <v>945</v>
      </c>
      <c r="N64" s="33">
        <v>939</v>
      </c>
      <c r="O64" s="33">
        <v>798</v>
      </c>
      <c r="P64" s="33">
        <v>944</v>
      </c>
      <c r="Q64" s="33">
        <v>970</v>
      </c>
      <c r="R64" s="33">
        <v>886</v>
      </c>
      <c r="S64" s="33">
        <v>1120</v>
      </c>
      <c r="T64" s="33">
        <v>1024</v>
      </c>
      <c r="U64" s="33">
        <v>1381</v>
      </c>
      <c r="V64" s="33">
        <v>1815</v>
      </c>
      <c r="W64" s="33">
        <v>2232</v>
      </c>
      <c r="X64" s="33">
        <v>1860</v>
      </c>
      <c r="Y64" s="33">
        <v>1494</v>
      </c>
      <c r="Z64" s="33">
        <v>1026</v>
      </c>
      <c r="AA64" s="33">
        <v>926</v>
      </c>
      <c r="AB64" s="33">
        <v>989</v>
      </c>
      <c r="AC64" s="33">
        <v>1099</v>
      </c>
      <c r="AD64" s="33">
        <v>1249</v>
      </c>
      <c r="AE64" s="33">
        <v>938</v>
      </c>
      <c r="AF64" s="33">
        <v>980</v>
      </c>
      <c r="AG64" s="33">
        <v>1326</v>
      </c>
      <c r="AH64" s="33">
        <v>1403</v>
      </c>
      <c r="AI64" s="33">
        <v>1181</v>
      </c>
      <c r="AJ64" s="34">
        <v>1754</v>
      </c>
      <c r="AK64" s="34">
        <v>2150</v>
      </c>
      <c r="AL64" s="34">
        <v>2334</v>
      </c>
      <c r="AM64" s="34">
        <v>1814</v>
      </c>
      <c r="AN64" s="34">
        <v>1383</v>
      </c>
      <c r="AO64" s="34">
        <v>1983</v>
      </c>
      <c r="AP64" s="34">
        <v>1898</v>
      </c>
      <c r="AQ64" s="34">
        <v>2730</v>
      </c>
      <c r="AR64" s="34">
        <v>1981</v>
      </c>
      <c r="AS64" s="34">
        <v>2623</v>
      </c>
      <c r="AT64" s="34">
        <v>2838</v>
      </c>
      <c r="AU64" s="34">
        <v>1832</v>
      </c>
      <c r="AV64" s="34">
        <v>1912</v>
      </c>
      <c r="AW64" s="34">
        <v>1631</v>
      </c>
      <c r="AX64" s="34">
        <v>1413</v>
      </c>
      <c r="AY64" s="34">
        <v>1113</v>
      </c>
      <c r="AZ64" s="34">
        <v>880</v>
      </c>
      <c r="BA64" s="34">
        <v>1571</v>
      </c>
      <c r="BB64" s="34">
        <v>1018</v>
      </c>
      <c r="BC64" s="34">
        <v>1263</v>
      </c>
      <c r="BD64" s="34">
        <v>1689</v>
      </c>
      <c r="BE64" s="34">
        <v>1693</v>
      </c>
      <c r="BF64" s="34">
        <v>1611</v>
      </c>
      <c r="BG64" s="34">
        <v>1370</v>
      </c>
      <c r="BH64" s="34">
        <v>2069</v>
      </c>
      <c r="BI64" s="34">
        <v>2068</v>
      </c>
      <c r="BJ64" s="34">
        <v>1765</v>
      </c>
      <c r="BK64" s="34">
        <v>1868</v>
      </c>
      <c r="BL64" s="34">
        <v>1712</v>
      </c>
      <c r="BM64" s="137">
        <v>1349</v>
      </c>
      <c r="BN64" s="137">
        <v>2108</v>
      </c>
      <c r="BO64" s="137">
        <v>1416</v>
      </c>
      <c r="BP64" s="137">
        <v>2415</v>
      </c>
      <c r="BQ64" s="137">
        <v>2102</v>
      </c>
      <c r="BR64" s="138">
        <v>1975</v>
      </c>
      <c r="BS64" s="138">
        <v>1148</v>
      </c>
      <c r="BT64" s="138">
        <v>957</v>
      </c>
      <c r="BU64" s="138">
        <v>1063</v>
      </c>
      <c r="BV64" s="138">
        <v>854</v>
      </c>
      <c r="BW64" s="137">
        <f>1914+23</f>
        <v>1937</v>
      </c>
      <c r="BX64" s="137">
        <v>1669</v>
      </c>
      <c r="BY64" s="176">
        <v>1672</v>
      </c>
      <c r="BZ64" s="176">
        <v>1211</v>
      </c>
      <c r="CA64" s="176">
        <f>1856+300</f>
        <v>2156</v>
      </c>
      <c r="CB64" s="137">
        <v>1660</v>
      </c>
      <c r="CC64" s="137">
        <v>1266</v>
      </c>
      <c r="CD64" s="137">
        <v>3752</v>
      </c>
      <c r="CE64" s="138">
        <v>2079</v>
      </c>
      <c r="CF64" s="137">
        <v>1552</v>
      </c>
      <c r="CG64" s="137">
        <v>2202</v>
      </c>
      <c r="CH64" s="139">
        <v>2974</v>
      </c>
      <c r="CI64" s="139">
        <v>3223</v>
      </c>
      <c r="CJ64" s="137">
        <v>1996</v>
      </c>
      <c r="CK64" s="137">
        <v>2376</v>
      </c>
      <c r="CL64" s="137">
        <v>2716</v>
      </c>
      <c r="CM64" s="137">
        <v>4344</v>
      </c>
      <c r="CN64" s="137">
        <v>2886</v>
      </c>
      <c r="CO64" s="137">
        <v>2198</v>
      </c>
      <c r="CP64" s="137">
        <v>1538</v>
      </c>
      <c r="CQ64" s="137">
        <v>1908</v>
      </c>
      <c r="CR64" s="137">
        <v>2923</v>
      </c>
      <c r="CS64" s="34">
        <v>2471</v>
      </c>
      <c r="CT64" s="34">
        <v>1787</v>
      </c>
      <c r="CU64" s="34">
        <v>1555</v>
      </c>
      <c r="CV64" s="34">
        <v>2071</v>
      </c>
      <c r="CW64" s="42">
        <v>2387</v>
      </c>
      <c r="CX64" s="34">
        <v>2036</v>
      </c>
      <c r="CY64" s="137">
        <v>1468</v>
      </c>
      <c r="CZ64" s="34">
        <v>878</v>
      </c>
      <c r="DA64" s="34">
        <v>1415</v>
      </c>
      <c r="DB64" s="34">
        <v>2797</v>
      </c>
      <c r="DC64" s="34">
        <v>1462</v>
      </c>
      <c r="DD64" s="34">
        <v>2290</v>
      </c>
      <c r="DE64" s="34">
        <v>1766</v>
      </c>
      <c r="DF64" s="34">
        <v>3289</v>
      </c>
      <c r="DG64" s="34">
        <v>1974</v>
      </c>
      <c r="DH64" s="42">
        <v>3391</v>
      </c>
      <c r="DI64" s="34">
        <v>1647</v>
      </c>
      <c r="DJ64" s="34">
        <v>1948</v>
      </c>
      <c r="DK64" s="34">
        <v>2373</v>
      </c>
      <c r="DL64" s="34">
        <v>0</v>
      </c>
      <c r="DM64" s="213"/>
      <c r="DN64" s="213"/>
      <c r="DO64" s="213"/>
      <c r="DP64" s="213"/>
      <c r="DQ64" s="213"/>
      <c r="DR64" s="213"/>
      <c r="DS64" s="213"/>
      <c r="DT64" s="218"/>
      <c r="DU64" s="218"/>
      <c r="DV64" s="213"/>
      <c r="DW64" s="213"/>
      <c r="DX64" s="218"/>
      <c r="DY64" s="218"/>
      <c r="DZ64" s="218"/>
      <c r="EA64" s="218"/>
      <c r="EB64" s="218"/>
      <c r="EC64" s="218"/>
      <c r="ED64" s="218"/>
      <c r="EE64" s="218"/>
      <c r="EF64" s="218"/>
      <c r="EG64" s="218"/>
      <c r="EH64" s="249">
        <f t="shared" si="0"/>
        <v>45374</v>
      </c>
      <c r="EI64" s="150">
        <f t="shared" si="18"/>
        <v>192424</v>
      </c>
      <c r="EJ64" s="150">
        <f t="shared" si="19"/>
        <v>186635</v>
      </c>
      <c r="EK64" s="284">
        <f t="shared" si="1"/>
        <v>0</v>
      </c>
      <c r="EL64" s="151">
        <f t="shared" si="20"/>
        <v>830</v>
      </c>
      <c r="EM64" s="153">
        <f t="shared" si="21"/>
        <v>10155</v>
      </c>
      <c r="EN64" s="153">
        <f t="shared" si="22"/>
        <v>15678</v>
      </c>
      <c r="EO64" s="153">
        <f t="shared" si="23"/>
        <v>17217</v>
      </c>
      <c r="EP64" s="152">
        <f t="shared" si="24"/>
        <v>23337</v>
      </c>
      <c r="EQ64" s="152">
        <f t="shared" si="25"/>
        <v>37901</v>
      </c>
      <c r="ER64" s="152">
        <f t="shared" si="26"/>
        <v>54114</v>
      </c>
      <c r="ES64" s="152">
        <f t="shared" si="27"/>
        <v>33192</v>
      </c>
      <c r="ET64" s="152">
        <f t="shared" si="2"/>
        <v>0</v>
      </c>
      <c r="EU64" s="57">
        <f t="shared" si="28"/>
        <v>42239</v>
      </c>
      <c r="EV64" s="12">
        <f t="shared" si="29"/>
        <v>44480</v>
      </c>
      <c r="EX64" s="12">
        <f t="shared" si="30"/>
        <v>147050</v>
      </c>
      <c r="EY64" s="131">
        <f t="shared" si="31"/>
        <v>190009</v>
      </c>
    </row>
    <row r="65" spans="1:156" ht="27.75" customHeight="1" thickBot="1" x14ac:dyDescent="0.3">
      <c r="A65" s="8" t="s">
        <v>37</v>
      </c>
      <c r="B65" s="8" t="s">
        <v>152</v>
      </c>
      <c r="C65" s="33">
        <v>0</v>
      </c>
      <c r="D65" s="33">
        <v>0</v>
      </c>
      <c r="E65" s="33">
        <v>0</v>
      </c>
      <c r="F65" s="33">
        <v>0</v>
      </c>
      <c r="G65" s="33">
        <v>168</v>
      </c>
      <c r="H65" s="33">
        <v>134</v>
      </c>
      <c r="I65" s="33">
        <v>117</v>
      </c>
      <c r="J65" s="33">
        <v>0</v>
      </c>
      <c r="K65" s="33">
        <v>0</v>
      </c>
      <c r="L65" s="33">
        <v>0</v>
      </c>
      <c r="M65" s="33">
        <v>0</v>
      </c>
      <c r="N65" s="33">
        <v>74</v>
      </c>
      <c r="O65" s="33">
        <v>117</v>
      </c>
      <c r="P65" s="33">
        <v>99</v>
      </c>
      <c r="Q65" s="33">
        <v>139</v>
      </c>
      <c r="R65" s="33">
        <v>135</v>
      </c>
      <c r="S65" s="33">
        <v>215</v>
      </c>
      <c r="T65" s="33">
        <v>465</v>
      </c>
      <c r="U65" s="33">
        <v>858</v>
      </c>
      <c r="V65" s="33">
        <v>305</v>
      </c>
      <c r="W65" s="33">
        <v>1063</v>
      </c>
      <c r="X65" s="33">
        <v>890</v>
      </c>
      <c r="Y65" s="33">
        <v>323</v>
      </c>
      <c r="Z65" s="33">
        <v>124</v>
      </c>
      <c r="AA65" s="33">
        <v>143</v>
      </c>
      <c r="AB65" s="33">
        <v>129</v>
      </c>
      <c r="AC65" s="33">
        <v>219</v>
      </c>
      <c r="AD65" s="33">
        <v>128</v>
      </c>
      <c r="AE65" s="33">
        <v>82</v>
      </c>
      <c r="AF65" s="33">
        <v>81</v>
      </c>
      <c r="AG65" s="33">
        <v>96</v>
      </c>
      <c r="AH65" s="33">
        <v>84</v>
      </c>
      <c r="AI65" s="33">
        <v>71</v>
      </c>
      <c r="AJ65" s="34">
        <v>65</v>
      </c>
      <c r="AK65" s="34">
        <v>78</v>
      </c>
      <c r="AL65" s="34">
        <v>82</v>
      </c>
      <c r="AM65" s="34">
        <v>35</v>
      </c>
      <c r="AN65" s="34">
        <v>54</v>
      </c>
      <c r="AO65" s="34">
        <v>53</v>
      </c>
      <c r="AP65" s="34">
        <v>48</v>
      </c>
      <c r="AQ65" s="34">
        <v>36</v>
      </c>
      <c r="AR65" s="34">
        <v>29</v>
      </c>
      <c r="AS65" s="34">
        <v>64</v>
      </c>
      <c r="AT65" s="34">
        <v>33</v>
      </c>
      <c r="AU65" s="34">
        <v>116</v>
      </c>
      <c r="AV65" s="34">
        <v>33</v>
      </c>
      <c r="AW65" s="34">
        <v>52</v>
      </c>
      <c r="AX65" s="34">
        <v>32</v>
      </c>
      <c r="AY65" s="34">
        <v>203</v>
      </c>
      <c r="AZ65" s="34">
        <v>83</v>
      </c>
      <c r="BA65" s="34">
        <v>210</v>
      </c>
      <c r="BB65" s="34">
        <v>178</v>
      </c>
      <c r="BC65" s="34">
        <v>182</v>
      </c>
      <c r="BD65" s="34">
        <v>91</v>
      </c>
      <c r="BE65" s="34">
        <v>168</v>
      </c>
      <c r="BF65" s="34">
        <v>193</v>
      </c>
      <c r="BG65" s="34">
        <v>163</v>
      </c>
      <c r="BH65" s="34">
        <v>304</v>
      </c>
      <c r="BI65" s="34">
        <v>279</v>
      </c>
      <c r="BJ65" s="34">
        <v>430</v>
      </c>
      <c r="BK65" s="34">
        <v>283</v>
      </c>
      <c r="BL65" s="34">
        <v>204</v>
      </c>
      <c r="BM65" s="137">
        <v>277</v>
      </c>
      <c r="BN65" s="137">
        <v>574</v>
      </c>
      <c r="BO65" s="137">
        <v>483</v>
      </c>
      <c r="BP65" s="137">
        <v>369</v>
      </c>
      <c r="BQ65" s="137">
        <v>561</v>
      </c>
      <c r="BR65" s="138">
        <v>564</v>
      </c>
      <c r="BS65" s="138">
        <v>559</v>
      </c>
      <c r="BT65" s="138">
        <v>489</v>
      </c>
      <c r="BU65" s="138">
        <v>430</v>
      </c>
      <c r="BV65" s="138">
        <v>397</v>
      </c>
      <c r="BW65" s="137">
        <f>776-20</f>
        <v>756</v>
      </c>
      <c r="BX65" s="137">
        <v>701</v>
      </c>
      <c r="BY65" s="176">
        <v>666</v>
      </c>
      <c r="BZ65" s="176">
        <v>416</v>
      </c>
      <c r="CA65" s="176">
        <f>645-287</f>
        <v>358</v>
      </c>
      <c r="CB65" s="137">
        <v>249</v>
      </c>
      <c r="CC65" s="137">
        <v>221</v>
      </c>
      <c r="CD65" s="137">
        <v>454</v>
      </c>
      <c r="CE65" s="138">
        <v>355</v>
      </c>
      <c r="CF65" s="137">
        <v>195</v>
      </c>
      <c r="CG65" s="137">
        <v>303</v>
      </c>
      <c r="CH65" s="139">
        <v>399</v>
      </c>
      <c r="CI65" s="139">
        <v>483</v>
      </c>
      <c r="CJ65" s="137">
        <v>383</v>
      </c>
      <c r="CK65" s="137">
        <v>454</v>
      </c>
      <c r="CL65" s="137">
        <v>436</v>
      </c>
      <c r="CM65" s="137">
        <v>499</v>
      </c>
      <c r="CN65" s="137">
        <v>379</v>
      </c>
      <c r="CO65" s="137">
        <v>313</v>
      </c>
      <c r="CP65" s="137">
        <v>220</v>
      </c>
      <c r="CQ65" s="137">
        <v>291</v>
      </c>
      <c r="CR65" s="137">
        <v>374</v>
      </c>
      <c r="CS65" s="34">
        <v>357</v>
      </c>
      <c r="CT65" s="34">
        <v>209</v>
      </c>
      <c r="CU65" s="34">
        <v>144</v>
      </c>
      <c r="CV65" s="34">
        <v>320</v>
      </c>
      <c r="CW65" s="42">
        <v>348</v>
      </c>
      <c r="CX65" s="34">
        <v>633</v>
      </c>
      <c r="CY65" s="137">
        <v>256</v>
      </c>
      <c r="CZ65" s="34">
        <v>124</v>
      </c>
      <c r="DA65" s="34">
        <v>241</v>
      </c>
      <c r="DB65" s="34">
        <v>444</v>
      </c>
      <c r="DC65" s="34">
        <v>212</v>
      </c>
      <c r="DD65" s="34">
        <v>398</v>
      </c>
      <c r="DE65" s="34">
        <v>237</v>
      </c>
      <c r="DF65" s="34">
        <v>483</v>
      </c>
      <c r="DG65" s="34">
        <v>279</v>
      </c>
      <c r="DH65" s="42">
        <v>526</v>
      </c>
      <c r="DI65" s="34">
        <v>248</v>
      </c>
      <c r="DJ65" s="34">
        <v>306</v>
      </c>
      <c r="DK65" s="34">
        <v>370</v>
      </c>
      <c r="DL65" s="34">
        <v>0</v>
      </c>
      <c r="DM65" s="213"/>
      <c r="DN65" s="213"/>
      <c r="DO65" s="213"/>
      <c r="DP65" s="213"/>
      <c r="DQ65" s="213"/>
      <c r="DR65" s="213"/>
      <c r="DS65" s="213"/>
      <c r="DT65" s="218"/>
      <c r="DU65" s="218"/>
      <c r="DV65" s="213"/>
      <c r="DW65" s="213"/>
      <c r="DX65" s="218"/>
      <c r="DY65" s="218"/>
      <c r="DZ65" s="218"/>
      <c r="EA65" s="218"/>
      <c r="EB65" s="218"/>
      <c r="EC65" s="218"/>
      <c r="ED65" s="218"/>
      <c r="EE65" s="218"/>
      <c r="EF65" s="218"/>
      <c r="EG65" s="218"/>
      <c r="EH65" s="249">
        <f t="shared" si="0"/>
        <v>7020</v>
      </c>
      <c r="EI65" s="150">
        <f t="shared" si="18"/>
        <v>29783</v>
      </c>
      <c r="EJ65" s="150">
        <f t="shared" si="19"/>
        <v>29364</v>
      </c>
      <c r="EK65" s="284">
        <f t="shared" si="1"/>
        <v>0</v>
      </c>
      <c r="EL65" s="151">
        <f t="shared" si="20"/>
        <v>0</v>
      </c>
      <c r="EM65" s="153">
        <f t="shared" si="21"/>
        <v>610</v>
      </c>
      <c r="EN65" s="153">
        <f t="shared" si="22"/>
        <v>4759</v>
      </c>
      <c r="EO65" s="153">
        <f t="shared" si="23"/>
        <v>1150</v>
      </c>
      <c r="EP65" s="152">
        <f t="shared" si="24"/>
        <v>753</v>
      </c>
      <c r="EQ65" s="152">
        <f t="shared" si="25"/>
        <v>8227</v>
      </c>
      <c r="ER65" s="152">
        <f t="shared" si="26"/>
        <v>8859</v>
      </c>
      <c r="ES65" s="152">
        <f t="shared" si="27"/>
        <v>5425</v>
      </c>
      <c r="ET65" s="152">
        <f t="shared" si="2"/>
        <v>0</v>
      </c>
      <c r="EU65" s="57">
        <f t="shared" si="28"/>
        <v>9762</v>
      </c>
      <c r="EV65" s="12">
        <f t="shared" si="29"/>
        <v>6248</v>
      </c>
      <c r="EX65" s="12">
        <f t="shared" si="30"/>
        <v>22763</v>
      </c>
      <c r="EY65" s="131">
        <f t="shared" si="31"/>
        <v>29783</v>
      </c>
    </row>
    <row r="66" spans="1:156" ht="27.75" customHeight="1" thickBot="1" x14ac:dyDescent="0.3">
      <c r="A66" s="8" t="s">
        <v>37</v>
      </c>
      <c r="B66" s="8" t="s">
        <v>40</v>
      </c>
      <c r="C66" s="33">
        <v>165</v>
      </c>
      <c r="D66" s="33">
        <v>168</v>
      </c>
      <c r="E66" s="33">
        <v>224</v>
      </c>
      <c r="F66" s="33">
        <v>184</v>
      </c>
      <c r="G66" s="33">
        <v>44</v>
      </c>
      <c r="H66" s="33">
        <v>55</v>
      </c>
      <c r="I66" s="33">
        <v>34</v>
      </c>
      <c r="J66" s="33">
        <v>198</v>
      </c>
      <c r="K66" s="33">
        <v>218</v>
      </c>
      <c r="L66" s="33">
        <v>196</v>
      </c>
      <c r="M66" s="33">
        <v>155</v>
      </c>
      <c r="N66" s="33">
        <v>17</v>
      </c>
      <c r="O66" s="33">
        <v>86</v>
      </c>
      <c r="P66" s="33">
        <v>37</v>
      </c>
      <c r="Q66" s="33">
        <v>87</v>
      </c>
      <c r="R66" s="33">
        <v>55</v>
      </c>
      <c r="S66" s="33">
        <v>45</v>
      </c>
      <c r="T66" s="33">
        <v>48</v>
      </c>
      <c r="U66" s="33">
        <v>51</v>
      </c>
      <c r="V66" s="33">
        <v>82</v>
      </c>
      <c r="W66" s="33">
        <v>119</v>
      </c>
      <c r="X66" s="33">
        <v>80</v>
      </c>
      <c r="Y66" s="33">
        <v>102</v>
      </c>
      <c r="Z66" s="33">
        <v>95</v>
      </c>
      <c r="AA66" s="33">
        <v>52</v>
      </c>
      <c r="AB66" s="33">
        <v>69</v>
      </c>
      <c r="AC66" s="33">
        <v>92</v>
      </c>
      <c r="AD66" s="33">
        <v>42</v>
      </c>
      <c r="AE66" s="33">
        <v>51</v>
      </c>
      <c r="AF66" s="33">
        <v>29</v>
      </c>
      <c r="AG66" s="33">
        <v>30</v>
      </c>
      <c r="AH66" s="33">
        <v>28</v>
      </c>
      <c r="AI66" s="33">
        <v>10</v>
      </c>
      <c r="AJ66" s="34">
        <v>20</v>
      </c>
      <c r="AK66" s="34">
        <v>12</v>
      </c>
      <c r="AL66" s="34">
        <v>8</v>
      </c>
      <c r="AM66" s="34">
        <v>5</v>
      </c>
      <c r="AN66" s="34">
        <v>7</v>
      </c>
      <c r="AO66" s="34">
        <v>21</v>
      </c>
      <c r="AP66" s="34">
        <v>19</v>
      </c>
      <c r="AQ66" s="34">
        <v>30</v>
      </c>
      <c r="AR66" s="34">
        <v>10</v>
      </c>
      <c r="AS66" s="34">
        <v>19</v>
      </c>
      <c r="AT66" s="34">
        <v>12</v>
      </c>
      <c r="AU66" s="34">
        <v>3</v>
      </c>
      <c r="AV66" s="34">
        <v>15</v>
      </c>
      <c r="AW66" s="34">
        <v>10</v>
      </c>
      <c r="AX66" s="34">
        <v>7</v>
      </c>
      <c r="AY66" s="34">
        <v>96</v>
      </c>
      <c r="AZ66" s="34">
        <v>21</v>
      </c>
      <c r="BA66" s="34">
        <v>70</v>
      </c>
      <c r="BB66" s="34">
        <v>48</v>
      </c>
      <c r="BC66" s="34">
        <v>27</v>
      </c>
      <c r="BD66" s="34">
        <v>31</v>
      </c>
      <c r="BE66" s="34">
        <v>12</v>
      </c>
      <c r="BF66" s="34">
        <v>10</v>
      </c>
      <c r="BG66" s="34">
        <v>9</v>
      </c>
      <c r="BH66" s="34">
        <v>2</v>
      </c>
      <c r="BI66" s="34">
        <v>6</v>
      </c>
      <c r="BJ66" s="34">
        <v>2</v>
      </c>
      <c r="BK66" s="34">
        <v>0</v>
      </c>
      <c r="BL66" s="34">
        <v>2</v>
      </c>
      <c r="BM66" s="137">
        <v>0</v>
      </c>
      <c r="BN66" s="137">
        <v>11</v>
      </c>
      <c r="BO66" s="137">
        <v>1</v>
      </c>
      <c r="BP66" s="137">
        <v>12</v>
      </c>
      <c r="BQ66" s="137">
        <v>19</v>
      </c>
      <c r="BR66" s="138">
        <v>27</v>
      </c>
      <c r="BS66" s="138">
        <v>115</v>
      </c>
      <c r="BT66" s="138">
        <v>172</v>
      </c>
      <c r="BU66" s="138">
        <v>84</v>
      </c>
      <c r="BV66" s="138">
        <v>25</v>
      </c>
      <c r="BW66" s="137">
        <f>28-3</f>
        <v>25</v>
      </c>
      <c r="BX66" s="137">
        <v>0</v>
      </c>
      <c r="BY66" s="176">
        <v>0</v>
      </c>
      <c r="BZ66" s="176">
        <v>0</v>
      </c>
      <c r="CA66" s="176">
        <f>13-13</f>
        <v>0</v>
      </c>
      <c r="CB66" s="137">
        <v>0</v>
      </c>
      <c r="CC66" s="137">
        <v>0</v>
      </c>
      <c r="CD66" s="137">
        <v>0</v>
      </c>
      <c r="CE66" s="138">
        <v>0</v>
      </c>
      <c r="CF66" s="137">
        <v>0</v>
      </c>
      <c r="CG66" s="137">
        <v>0</v>
      </c>
      <c r="CH66" s="139">
        <v>72</v>
      </c>
      <c r="CI66" s="139">
        <v>149</v>
      </c>
      <c r="CJ66" s="137">
        <v>76</v>
      </c>
      <c r="CK66" s="137">
        <v>89</v>
      </c>
      <c r="CL66" s="137">
        <v>16</v>
      </c>
      <c r="CM66" s="137">
        <v>47</v>
      </c>
      <c r="CN66" s="137">
        <v>0</v>
      </c>
      <c r="CO66" s="137">
        <v>0</v>
      </c>
      <c r="CP66" s="137">
        <v>1</v>
      </c>
      <c r="CQ66" s="137">
        <v>9</v>
      </c>
      <c r="CR66" s="137">
        <v>13</v>
      </c>
      <c r="CS66" s="34">
        <v>17</v>
      </c>
      <c r="CT66" s="34">
        <v>0</v>
      </c>
      <c r="CU66" s="34">
        <v>0</v>
      </c>
      <c r="CV66" s="34">
        <v>0</v>
      </c>
      <c r="CW66" s="42">
        <v>0</v>
      </c>
      <c r="CX66" s="34">
        <v>0</v>
      </c>
      <c r="CY66" s="137">
        <v>0</v>
      </c>
      <c r="CZ66" s="34">
        <v>0</v>
      </c>
      <c r="DA66" s="34">
        <v>0</v>
      </c>
      <c r="DB66" s="34">
        <v>0</v>
      </c>
      <c r="DC66" s="34">
        <v>0</v>
      </c>
      <c r="DD66" s="34">
        <v>0</v>
      </c>
      <c r="DE66" s="34">
        <v>0</v>
      </c>
      <c r="DF66" s="34">
        <v>0</v>
      </c>
      <c r="DG66" s="34">
        <v>0</v>
      </c>
      <c r="DH66" s="42">
        <v>2</v>
      </c>
      <c r="DI66" s="34">
        <v>0</v>
      </c>
      <c r="DJ66" s="34">
        <v>0</v>
      </c>
      <c r="DK66" s="34">
        <v>0</v>
      </c>
      <c r="DL66" s="34">
        <v>0</v>
      </c>
      <c r="DM66" s="213"/>
      <c r="DN66" s="213"/>
      <c r="DO66" s="213"/>
      <c r="DP66" s="213"/>
      <c r="DQ66" s="213"/>
      <c r="DR66" s="213"/>
      <c r="DS66" s="213"/>
      <c r="DT66" s="218"/>
      <c r="DU66" s="218"/>
      <c r="DV66" s="213"/>
      <c r="DW66" s="213"/>
      <c r="DX66" s="218"/>
      <c r="DY66" s="218"/>
      <c r="DZ66" s="218"/>
      <c r="EA66" s="218"/>
      <c r="EB66" s="218"/>
      <c r="EC66" s="218"/>
      <c r="ED66" s="218"/>
      <c r="EE66" s="218"/>
      <c r="EF66" s="218"/>
      <c r="EG66" s="218"/>
      <c r="EH66" s="249">
        <f t="shared" si="0"/>
        <v>42</v>
      </c>
      <c r="EI66" s="150">
        <f t="shared" si="18"/>
        <v>4464</v>
      </c>
      <c r="EJ66" s="150">
        <f t="shared" si="19"/>
        <v>3590</v>
      </c>
      <c r="EK66" s="284">
        <f t="shared" si="1"/>
        <v>0</v>
      </c>
      <c r="EL66" s="151">
        <f t="shared" si="20"/>
        <v>165</v>
      </c>
      <c r="EM66" s="153">
        <f t="shared" si="21"/>
        <v>1579</v>
      </c>
      <c r="EN66" s="153">
        <f t="shared" si="22"/>
        <v>853</v>
      </c>
      <c r="EO66" s="153">
        <f t="shared" si="23"/>
        <v>396</v>
      </c>
      <c r="EP66" s="152">
        <f t="shared" si="24"/>
        <v>249</v>
      </c>
      <c r="EQ66" s="152">
        <f t="shared" si="25"/>
        <v>731</v>
      </c>
      <c r="ER66" s="152">
        <f t="shared" si="26"/>
        <v>489</v>
      </c>
      <c r="ES66" s="152">
        <f t="shared" si="27"/>
        <v>2</v>
      </c>
      <c r="ET66" s="152">
        <f t="shared" si="2"/>
        <v>0</v>
      </c>
      <c r="EU66" s="57">
        <f t="shared" si="28"/>
        <v>865</v>
      </c>
      <c r="EV66" s="12">
        <f t="shared" si="29"/>
        <v>489</v>
      </c>
      <c r="EX66" s="12">
        <f t="shared" si="30"/>
        <v>4422</v>
      </c>
      <c r="EY66" s="131">
        <f t="shared" si="31"/>
        <v>3907</v>
      </c>
    </row>
    <row r="67" spans="1:156" ht="38.25" customHeight="1" thickBot="1" x14ac:dyDescent="0.3">
      <c r="A67" s="232" t="s">
        <v>41</v>
      </c>
      <c r="B67" s="231" t="s">
        <v>41</v>
      </c>
      <c r="C67" s="33">
        <v>51</v>
      </c>
      <c r="D67" s="33">
        <v>39</v>
      </c>
      <c r="E67" s="33">
        <v>43</v>
      </c>
      <c r="F67" s="33">
        <v>39</v>
      </c>
      <c r="G67" s="33">
        <v>48</v>
      </c>
      <c r="H67" s="33">
        <v>27</v>
      </c>
      <c r="I67" s="33">
        <v>26</v>
      </c>
      <c r="J67" s="33">
        <v>36</v>
      </c>
      <c r="K67" s="33">
        <v>53</v>
      </c>
      <c r="L67" s="33">
        <v>36</v>
      </c>
      <c r="M67" s="33">
        <v>53</v>
      </c>
      <c r="N67" s="33">
        <v>42</v>
      </c>
      <c r="O67" s="33">
        <v>0</v>
      </c>
      <c r="P67" s="33">
        <v>49</v>
      </c>
      <c r="Q67" s="33">
        <v>65</v>
      </c>
      <c r="R67" s="33">
        <v>44</v>
      </c>
      <c r="S67" s="33">
        <v>59</v>
      </c>
      <c r="T67" s="33">
        <v>38</v>
      </c>
      <c r="U67" s="33">
        <v>52</v>
      </c>
      <c r="V67" s="33">
        <v>69</v>
      </c>
      <c r="W67" s="33">
        <v>47</v>
      </c>
      <c r="X67" s="33">
        <v>49</v>
      </c>
      <c r="Y67" s="33">
        <v>44</v>
      </c>
      <c r="Z67" s="33">
        <v>28</v>
      </c>
      <c r="AA67" s="33">
        <v>23</v>
      </c>
      <c r="AB67" s="33">
        <v>46</v>
      </c>
      <c r="AC67" s="33">
        <v>37</v>
      </c>
      <c r="AD67" s="33">
        <v>44</v>
      </c>
      <c r="AE67" s="33">
        <v>26</v>
      </c>
      <c r="AF67" s="33">
        <v>38</v>
      </c>
      <c r="AG67" s="33">
        <v>44</v>
      </c>
      <c r="AH67" s="33">
        <v>43</v>
      </c>
      <c r="AI67" s="33">
        <v>48</v>
      </c>
      <c r="AJ67" s="34">
        <v>42</v>
      </c>
      <c r="AK67" s="34">
        <v>40</v>
      </c>
      <c r="AL67" s="34">
        <v>41</v>
      </c>
      <c r="AM67" s="34">
        <v>31</v>
      </c>
      <c r="AN67" s="34">
        <v>57</v>
      </c>
      <c r="AO67" s="34">
        <v>61</v>
      </c>
      <c r="AP67" s="34">
        <v>74</v>
      </c>
      <c r="AQ67" s="34">
        <v>69</v>
      </c>
      <c r="AR67" s="34">
        <v>39</v>
      </c>
      <c r="AS67" s="34">
        <v>95</v>
      </c>
      <c r="AT67" s="34">
        <v>114</v>
      </c>
      <c r="AU67" s="34">
        <v>97</v>
      </c>
      <c r="AV67" s="34">
        <v>112</v>
      </c>
      <c r="AW67" s="34">
        <v>102</v>
      </c>
      <c r="AX67" s="34">
        <v>81</v>
      </c>
      <c r="AY67" s="34">
        <v>82</v>
      </c>
      <c r="AZ67" s="34">
        <v>32</v>
      </c>
      <c r="BA67" s="34">
        <v>51</v>
      </c>
      <c r="BB67" s="34">
        <v>47</v>
      </c>
      <c r="BC67" s="34">
        <v>37</v>
      </c>
      <c r="BD67" s="34">
        <v>48</v>
      </c>
      <c r="BE67" s="34">
        <v>46</v>
      </c>
      <c r="BF67" s="34">
        <v>40</v>
      </c>
      <c r="BG67" s="34">
        <v>49</v>
      </c>
      <c r="BH67" s="34">
        <v>18</v>
      </c>
      <c r="BI67" s="34">
        <v>12</v>
      </c>
      <c r="BJ67" s="34">
        <v>24</v>
      </c>
      <c r="BK67" s="34">
        <v>39</v>
      </c>
      <c r="BL67" s="34">
        <v>20</v>
      </c>
      <c r="BM67" s="137">
        <v>31</v>
      </c>
      <c r="BN67" s="137">
        <v>0</v>
      </c>
      <c r="BO67" s="137">
        <v>78</v>
      </c>
      <c r="BP67" s="137">
        <v>37</v>
      </c>
      <c r="BQ67" s="137">
        <v>41</v>
      </c>
      <c r="BR67" s="138">
        <v>31</v>
      </c>
      <c r="BS67" s="138">
        <v>18</v>
      </c>
      <c r="BT67" s="138">
        <v>24</v>
      </c>
      <c r="BU67" s="138">
        <v>9</v>
      </c>
      <c r="BV67" s="138">
        <v>26</v>
      </c>
      <c r="BW67" s="137">
        <v>15</v>
      </c>
      <c r="BX67" s="137">
        <v>16</v>
      </c>
      <c r="BY67" s="137">
        <v>24</v>
      </c>
      <c r="BZ67" s="137">
        <v>16</v>
      </c>
      <c r="CA67" s="137">
        <v>17</v>
      </c>
      <c r="CB67" s="137">
        <v>14</v>
      </c>
      <c r="CC67" s="137">
        <v>39</v>
      </c>
      <c r="CD67" s="137">
        <v>27</v>
      </c>
      <c r="CE67" s="138">
        <v>27</v>
      </c>
      <c r="CF67" s="137">
        <v>25</v>
      </c>
      <c r="CG67" s="137">
        <v>46</v>
      </c>
      <c r="CH67" s="139">
        <v>21</v>
      </c>
      <c r="CI67" s="139">
        <v>34</v>
      </c>
      <c r="CJ67" s="137">
        <v>30</v>
      </c>
      <c r="CK67" s="137">
        <v>19</v>
      </c>
      <c r="CL67" s="137">
        <v>20</v>
      </c>
      <c r="CM67" s="137">
        <v>28</v>
      </c>
      <c r="CN67" s="137">
        <v>19</v>
      </c>
      <c r="CO67" s="137">
        <v>39</v>
      </c>
      <c r="CP67" s="137">
        <v>38</v>
      </c>
      <c r="CQ67" s="137">
        <v>31</v>
      </c>
      <c r="CR67" s="137">
        <v>18</v>
      </c>
      <c r="CS67" s="34">
        <v>24</v>
      </c>
      <c r="CT67" s="34">
        <v>13</v>
      </c>
      <c r="CU67" s="34">
        <v>27</v>
      </c>
      <c r="CV67" s="34">
        <v>15</v>
      </c>
      <c r="CW67" s="42">
        <v>47</v>
      </c>
      <c r="CX67" s="34">
        <v>39</v>
      </c>
      <c r="CY67" s="137">
        <v>37</v>
      </c>
      <c r="CZ67" s="34">
        <v>28</v>
      </c>
      <c r="DA67" s="34">
        <v>28</v>
      </c>
      <c r="DB67" s="34">
        <v>36</v>
      </c>
      <c r="DC67" s="34">
        <v>25</v>
      </c>
      <c r="DD67" s="34">
        <v>31</v>
      </c>
      <c r="DE67" s="34">
        <v>39</v>
      </c>
      <c r="DF67" s="34">
        <v>49</v>
      </c>
      <c r="DG67" s="34">
        <v>29</v>
      </c>
      <c r="DH67" s="42">
        <v>36</v>
      </c>
      <c r="DI67" s="34">
        <v>35</v>
      </c>
      <c r="DJ67" s="34">
        <v>35</v>
      </c>
      <c r="DK67" s="34">
        <v>27</v>
      </c>
      <c r="DL67" s="34">
        <v>34</v>
      </c>
      <c r="DM67" s="34">
        <v>27</v>
      </c>
      <c r="DN67" s="34">
        <v>35</v>
      </c>
      <c r="DO67" s="34">
        <v>35</v>
      </c>
      <c r="DP67" s="34">
        <v>34</v>
      </c>
      <c r="DQ67" s="34">
        <v>15</v>
      </c>
      <c r="DR67" s="137">
        <v>34</v>
      </c>
      <c r="DS67" s="34">
        <v>25</v>
      </c>
      <c r="DT67" s="42">
        <v>22</v>
      </c>
      <c r="DU67" s="34">
        <v>35</v>
      </c>
      <c r="DV67" s="34">
        <v>30</v>
      </c>
      <c r="DW67" s="34">
        <v>22</v>
      </c>
      <c r="DX67" s="42">
        <v>37</v>
      </c>
      <c r="DY67" s="42">
        <v>20</v>
      </c>
      <c r="DZ67" s="42">
        <v>32</v>
      </c>
      <c r="EA67" s="42">
        <v>36</v>
      </c>
      <c r="EB67" s="42">
        <v>27</v>
      </c>
      <c r="EC67" s="42">
        <v>26</v>
      </c>
      <c r="ED67" s="42">
        <v>36</v>
      </c>
      <c r="EE67" s="42">
        <v>38</v>
      </c>
      <c r="EF67" s="42">
        <v>33</v>
      </c>
      <c r="EG67" s="42">
        <v>24</v>
      </c>
      <c r="EH67" s="249">
        <f t="shared" si="0"/>
        <v>1344</v>
      </c>
      <c r="EI67" s="150">
        <f t="shared" si="18"/>
        <v>4505</v>
      </c>
      <c r="EJ67" s="150">
        <f t="shared" si="19"/>
        <v>4232</v>
      </c>
      <c r="EK67" s="284">
        <f t="shared" si="1"/>
        <v>657</v>
      </c>
      <c r="EL67" s="151">
        <f t="shared" si="20"/>
        <v>51</v>
      </c>
      <c r="EM67" s="153">
        <f t="shared" si="21"/>
        <v>442</v>
      </c>
      <c r="EN67" s="153">
        <f t="shared" si="22"/>
        <v>567</v>
      </c>
      <c r="EO67" s="153">
        <f t="shared" si="23"/>
        <v>480</v>
      </c>
      <c r="EP67" s="152">
        <f t="shared" si="24"/>
        <v>983</v>
      </c>
      <c r="EQ67" s="152">
        <f t="shared" si="25"/>
        <v>773</v>
      </c>
      <c r="ER67" s="152">
        <f t="shared" si="26"/>
        <v>612</v>
      </c>
      <c r="ES67" s="152">
        <f t="shared" si="27"/>
        <v>775</v>
      </c>
      <c r="ET67" s="152">
        <f t="shared" si="2"/>
        <v>418</v>
      </c>
      <c r="EU67" s="57">
        <f t="shared" si="28"/>
        <v>556</v>
      </c>
      <c r="EV67" s="12">
        <f t="shared" si="29"/>
        <v>486</v>
      </c>
      <c r="EX67" s="12">
        <f t="shared" si="30"/>
        <v>3757</v>
      </c>
      <c r="EY67" s="131">
        <f t="shared" si="31"/>
        <v>4311</v>
      </c>
    </row>
    <row r="68" spans="1:156" ht="30.75" thickBot="1" x14ac:dyDescent="0.3">
      <c r="A68" s="8" t="s">
        <v>77</v>
      </c>
      <c r="B68" s="8" t="s">
        <v>46</v>
      </c>
      <c r="C68" s="33">
        <v>32</v>
      </c>
      <c r="D68" s="33">
        <v>31</v>
      </c>
      <c r="E68" s="33">
        <v>25</v>
      </c>
      <c r="F68" s="33">
        <v>30</v>
      </c>
      <c r="G68" s="33">
        <v>32</v>
      </c>
      <c r="H68" s="33">
        <v>21</v>
      </c>
      <c r="I68" s="33">
        <v>19</v>
      </c>
      <c r="J68" s="33">
        <v>27</v>
      </c>
      <c r="K68" s="33">
        <v>36</v>
      </c>
      <c r="L68" s="33">
        <v>23</v>
      </c>
      <c r="M68" s="33">
        <v>39</v>
      </c>
      <c r="N68" s="33">
        <v>31</v>
      </c>
      <c r="O68" s="33">
        <v>0</v>
      </c>
      <c r="P68" s="33">
        <v>39</v>
      </c>
      <c r="Q68" s="33">
        <v>56</v>
      </c>
      <c r="R68" s="33">
        <v>37</v>
      </c>
      <c r="S68" s="33">
        <v>39</v>
      </c>
      <c r="T68" s="33">
        <v>28</v>
      </c>
      <c r="U68" s="33">
        <v>44</v>
      </c>
      <c r="V68" s="33">
        <v>41</v>
      </c>
      <c r="W68" s="33">
        <v>30</v>
      </c>
      <c r="X68" s="33">
        <v>33</v>
      </c>
      <c r="Y68" s="33">
        <v>38</v>
      </c>
      <c r="Z68" s="33">
        <v>16</v>
      </c>
      <c r="AA68" s="33">
        <v>9</v>
      </c>
      <c r="AB68" s="33">
        <v>20</v>
      </c>
      <c r="AC68" s="33">
        <v>17</v>
      </c>
      <c r="AD68" s="33">
        <v>22</v>
      </c>
      <c r="AE68" s="33">
        <v>15</v>
      </c>
      <c r="AF68" s="33">
        <v>21</v>
      </c>
      <c r="AG68" s="33">
        <v>22</v>
      </c>
      <c r="AH68" s="33">
        <v>22</v>
      </c>
      <c r="AI68" s="33">
        <v>26</v>
      </c>
      <c r="AJ68" s="34">
        <v>22</v>
      </c>
      <c r="AK68" s="34">
        <v>19</v>
      </c>
      <c r="AL68" s="34">
        <v>21</v>
      </c>
      <c r="AM68" s="34">
        <v>16</v>
      </c>
      <c r="AN68" s="34">
        <v>25</v>
      </c>
      <c r="AO68" s="34">
        <v>26</v>
      </c>
      <c r="AP68" s="34">
        <v>35</v>
      </c>
      <c r="AQ68" s="34">
        <v>27</v>
      </c>
      <c r="AR68" s="34">
        <v>18</v>
      </c>
      <c r="AS68" s="34">
        <v>28</v>
      </c>
      <c r="AT68" s="34">
        <v>56</v>
      </c>
      <c r="AU68" s="34">
        <v>41</v>
      </c>
      <c r="AV68" s="34">
        <v>60</v>
      </c>
      <c r="AW68" s="34">
        <v>37</v>
      </c>
      <c r="AX68" s="34">
        <v>32</v>
      </c>
      <c r="AY68" s="34">
        <v>27</v>
      </c>
      <c r="AZ68" s="34">
        <v>14</v>
      </c>
      <c r="BA68" s="34">
        <v>19</v>
      </c>
      <c r="BB68" s="34">
        <v>15</v>
      </c>
      <c r="BC68" s="34">
        <v>11</v>
      </c>
      <c r="BD68" s="34">
        <v>25</v>
      </c>
      <c r="BE68" s="34">
        <v>15</v>
      </c>
      <c r="BF68" s="34">
        <v>19</v>
      </c>
      <c r="BG68" s="34">
        <v>13</v>
      </c>
      <c r="BH68" s="34">
        <v>3</v>
      </c>
      <c r="BI68" s="34">
        <v>3</v>
      </c>
      <c r="BJ68" s="34">
        <v>0</v>
      </c>
      <c r="BK68" s="34">
        <v>14</v>
      </c>
      <c r="BL68" s="34">
        <v>2</v>
      </c>
      <c r="BM68" s="137">
        <v>5</v>
      </c>
      <c r="BN68" s="137">
        <v>0</v>
      </c>
      <c r="BO68" s="137">
        <v>15</v>
      </c>
      <c r="BP68" s="137">
        <v>14</v>
      </c>
      <c r="BQ68" s="137">
        <v>9</v>
      </c>
      <c r="BR68" s="138">
        <v>3</v>
      </c>
      <c r="BS68" s="138">
        <v>1</v>
      </c>
      <c r="BT68" s="138">
        <v>2</v>
      </c>
      <c r="BU68" s="138">
        <v>2</v>
      </c>
      <c r="BV68" s="138">
        <v>1</v>
      </c>
      <c r="BW68" s="137">
        <v>0</v>
      </c>
      <c r="BX68" s="137">
        <v>1</v>
      </c>
      <c r="BY68" s="137">
        <v>1</v>
      </c>
      <c r="BZ68" s="137">
        <v>2</v>
      </c>
      <c r="CA68" s="137">
        <v>1</v>
      </c>
      <c r="CB68" s="137">
        <v>0</v>
      </c>
      <c r="CC68" s="137">
        <v>6</v>
      </c>
      <c r="CD68" s="137">
        <v>3</v>
      </c>
      <c r="CE68" s="138">
        <v>1</v>
      </c>
      <c r="CF68" s="137">
        <v>2</v>
      </c>
      <c r="CG68" s="137">
        <v>3</v>
      </c>
      <c r="CH68" s="139">
        <v>0</v>
      </c>
      <c r="CI68" s="139">
        <v>11</v>
      </c>
      <c r="CJ68" s="137">
        <v>2</v>
      </c>
      <c r="CK68" s="137">
        <v>0</v>
      </c>
      <c r="CL68" s="137">
        <v>2</v>
      </c>
      <c r="CM68" s="137">
        <v>1</v>
      </c>
      <c r="CN68" s="137">
        <v>5</v>
      </c>
      <c r="CO68" s="137">
        <v>4</v>
      </c>
      <c r="CP68" s="137">
        <v>9</v>
      </c>
      <c r="CQ68" s="137">
        <v>7</v>
      </c>
      <c r="CR68" s="137">
        <v>2</v>
      </c>
      <c r="CS68" s="34">
        <v>0</v>
      </c>
      <c r="CT68" s="34">
        <v>0</v>
      </c>
      <c r="CU68" s="34">
        <v>6</v>
      </c>
      <c r="CV68" s="34">
        <v>2</v>
      </c>
      <c r="CW68" s="42">
        <v>5</v>
      </c>
      <c r="CX68" s="34">
        <v>3</v>
      </c>
      <c r="CY68" s="137">
        <v>4</v>
      </c>
      <c r="CZ68" s="34">
        <v>3</v>
      </c>
      <c r="DA68" s="34">
        <v>1</v>
      </c>
      <c r="DB68" s="34">
        <v>4</v>
      </c>
      <c r="DC68" s="34">
        <v>5</v>
      </c>
      <c r="DD68" s="34">
        <v>1</v>
      </c>
      <c r="DE68" s="34">
        <v>3</v>
      </c>
      <c r="DF68" s="34">
        <v>1</v>
      </c>
      <c r="DG68" s="34">
        <v>1</v>
      </c>
      <c r="DH68" s="42">
        <v>0</v>
      </c>
      <c r="DI68" s="34">
        <v>1</v>
      </c>
      <c r="DJ68" s="34">
        <v>1</v>
      </c>
      <c r="DK68" s="34">
        <v>3</v>
      </c>
      <c r="DL68" s="34">
        <v>0</v>
      </c>
      <c r="DM68" s="34">
        <v>1</v>
      </c>
      <c r="DN68" s="34">
        <v>2</v>
      </c>
      <c r="DO68" s="34">
        <v>0</v>
      </c>
      <c r="DP68" s="34">
        <v>0</v>
      </c>
      <c r="DQ68" s="34">
        <v>0</v>
      </c>
      <c r="DR68" s="137">
        <v>0</v>
      </c>
      <c r="DS68" s="34">
        <v>0</v>
      </c>
      <c r="DT68" s="42">
        <v>0</v>
      </c>
      <c r="DU68" s="34">
        <v>1</v>
      </c>
      <c r="DV68" s="34">
        <v>0</v>
      </c>
      <c r="DW68" s="34">
        <v>0</v>
      </c>
      <c r="DX68" s="42">
        <v>0</v>
      </c>
      <c r="DY68" s="42">
        <v>0</v>
      </c>
      <c r="DZ68" s="42">
        <v>0</v>
      </c>
      <c r="EA68" s="42">
        <v>0</v>
      </c>
      <c r="EB68" s="42">
        <v>0</v>
      </c>
      <c r="EC68" s="42">
        <v>1</v>
      </c>
      <c r="ED68" s="42">
        <v>1</v>
      </c>
      <c r="EE68" s="42">
        <v>3</v>
      </c>
      <c r="EF68" s="42">
        <v>3</v>
      </c>
      <c r="EG68" s="42">
        <v>1</v>
      </c>
      <c r="EH68" s="249">
        <f t="shared" si="0"/>
        <v>75</v>
      </c>
      <c r="EI68" s="150">
        <f t="shared" si="18"/>
        <v>1724</v>
      </c>
      <c r="EJ68" s="150">
        <f t="shared" si="19"/>
        <v>1534</v>
      </c>
      <c r="EK68" s="284">
        <f t="shared" si="1"/>
        <v>13</v>
      </c>
      <c r="EL68" s="151">
        <f t="shared" si="20"/>
        <v>32</v>
      </c>
      <c r="EM68" s="153">
        <f t="shared" si="21"/>
        <v>314</v>
      </c>
      <c r="EN68" s="153">
        <f t="shared" si="22"/>
        <v>410</v>
      </c>
      <c r="EO68" s="153">
        <f t="shared" si="23"/>
        <v>243</v>
      </c>
      <c r="EP68" s="152">
        <f t="shared" si="24"/>
        <v>412</v>
      </c>
      <c r="EQ68" s="152">
        <f t="shared" si="25"/>
        <v>205</v>
      </c>
      <c r="ER68" s="152">
        <f t="shared" si="26"/>
        <v>69</v>
      </c>
      <c r="ES68" s="152">
        <f t="shared" si="27"/>
        <v>41</v>
      </c>
      <c r="ET68" s="152">
        <f t="shared" si="2"/>
        <v>10</v>
      </c>
      <c r="EU68" s="57">
        <f t="shared" si="28"/>
        <v>65</v>
      </c>
      <c r="EV68" s="12">
        <f t="shared" si="29"/>
        <v>58</v>
      </c>
      <c r="EX68" s="12">
        <f t="shared" si="30"/>
        <v>1661</v>
      </c>
      <c r="EY68" s="131">
        <f t="shared" si="31"/>
        <v>1635</v>
      </c>
    </row>
    <row r="69" spans="1:156" ht="15" customHeight="1" thickBot="1" x14ac:dyDescent="0.3">
      <c r="A69" s="8" t="s">
        <v>78</v>
      </c>
      <c r="B69" s="8" t="s">
        <v>46</v>
      </c>
      <c r="C69" s="33">
        <v>19</v>
      </c>
      <c r="D69" s="33">
        <v>8</v>
      </c>
      <c r="E69" s="33">
        <v>18</v>
      </c>
      <c r="F69" s="33">
        <v>9</v>
      </c>
      <c r="G69" s="33">
        <v>16</v>
      </c>
      <c r="H69" s="33">
        <v>6</v>
      </c>
      <c r="I69" s="33">
        <v>7</v>
      </c>
      <c r="J69" s="33">
        <v>9</v>
      </c>
      <c r="K69" s="33">
        <v>17</v>
      </c>
      <c r="L69" s="33">
        <v>13</v>
      </c>
      <c r="M69" s="33">
        <v>14</v>
      </c>
      <c r="N69" s="33">
        <v>11</v>
      </c>
      <c r="O69" s="33">
        <v>0</v>
      </c>
      <c r="P69" s="33">
        <v>10</v>
      </c>
      <c r="Q69" s="33">
        <v>9</v>
      </c>
      <c r="R69" s="33">
        <v>7</v>
      </c>
      <c r="S69" s="33">
        <v>20</v>
      </c>
      <c r="T69" s="33">
        <v>10</v>
      </c>
      <c r="U69" s="33">
        <v>8</v>
      </c>
      <c r="V69" s="33">
        <v>28</v>
      </c>
      <c r="W69" s="33">
        <v>17</v>
      </c>
      <c r="X69" s="33">
        <v>16</v>
      </c>
      <c r="Y69" s="33">
        <v>6</v>
      </c>
      <c r="Z69" s="33">
        <v>12</v>
      </c>
      <c r="AA69" s="33">
        <v>14</v>
      </c>
      <c r="AB69" s="33">
        <v>26</v>
      </c>
      <c r="AC69" s="33">
        <v>20</v>
      </c>
      <c r="AD69" s="33">
        <v>22</v>
      </c>
      <c r="AE69" s="33">
        <v>11</v>
      </c>
      <c r="AF69" s="33">
        <v>17</v>
      </c>
      <c r="AG69" s="33">
        <v>22</v>
      </c>
      <c r="AH69" s="33">
        <v>21</v>
      </c>
      <c r="AI69" s="33">
        <v>22</v>
      </c>
      <c r="AJ69" s="34">
        <v>20</v>
      </c>
      <c r="AK69" s="34">
        <v>21</v>
      </c>
      <c r="AL69" s="34">
        <v>20</v>
      </c>
      <c r="AM69" s="34">
        <v>15</v>
      </c>
      <c r="AN69" s="34">
        <v>32</v>
      </c>
      <c r="AO69" s="34">
        <v>35</v>
      </c>
      <c r="AP69" s="34">
        <v>39</v>
      </c>
      <c r="AQ69" s="34">
        <v>42</v>
      </c>
      <c r="AR69" s="34">
        <v>21</v>
      </c>
      <c r="AS69" s="34">
        <v>67</v>
      </c>
      <c r="AT69" s="34">
        <v>58</v>
      </c>
      <c r="AU69" s="34">
        <v>56</v>
      </c>
      <c r="AV69" s="34">
        <v>52</v>
      </c>
      <c r="AW69" s="34">
        <v>65</v>
      </c>
      <c r="AX69" s="34">
        <v>49</v>
      </c>
      <c r="AY69" s="34">
        <v>55</v>
      </c>
      <c r="AZ69" s="34">
        <v>18</v>
      </c>
      <c r="BA69" s="34">
        <v>32</v>
      </c>
      <c r="BB69" s="34">
        <v>32</v>
      </c>
      <c r="BC69" s="34">
        <v>26</v>
      </c>
      <c r="BD69" s="34">
        <v>23</v>
      </c>
      <c r="BE69" s="34">
        <v>31</v>
      </c>
      <c r="BF69" s="34">
        <v>21</v>
      </c>
      <c r="BG69" s="34">
        <v>36</v>
      </c>
      <c r="BH69" s="34">
        <v>15</v>
      </c>
      <c r="BI69" s="34">
        <v>9</v>
      </c>
      <c r="BJ69" s="34">
        <v>24</v>
      </c>
      <c r="BK69" s="34">
        <v>25</v>
      </c>
      <c r="BL69" s="34">
        <v>18</v>
      </c>
      <c r="BM69" s="137">
        <v>26</v>
      </c>
      <c r="BN69" s="137">
        <v>0</v>
      </c>
      <c r="BO69" s="137">
        <v>63</v>
      </c>
      <c r="BP69" s="137">
        <v>23</v>
      </c>
      <c r="BQ69" s="137">
        <v>32</v>
      </c>
      <c r="BR69" s="138">
        <v>28</v>
      </c>
      <c r="BS69" s="138">
        <v>17</v>
      </c>
      <c r="BT69" s="138">
        <v>22</v>
      </c>
      <c r="BU69" s="138">
        <v>7</v>
      </c>
      <c r="BV69" s="138">
        <v>25</v>
      </c>
      <c r="BW69" s="137">
        <v>15</v>
      </c>
      <c r="BX69" s="137">
        <v>15</v>
      </c>
      <c r="BY69" s="137">
        <v>23</v>
      </c>
      <c r="BZ69" s="137">
        <v>14</v>
      </c>
      <c r="CA69" s="137">
        <v>16</v>
      </c>
      <c r="CB69" s="137">
        <v>14</v>
      </c>
      <c r="CC69" s="137">
        <v>33</v>
      </c>
      <c r="CD69" s="137">
        <v>24</v>
      </c>
      <c r="CE69" s="138">
        <v>26</v>
      </c>
      <c r="CF69" s="137">
        <v>23</v>
      </c>
      <c r="CG69" s="137">
        <v>43</v>
      </c>
      <c r="CH69" s="139">
        <v>21</v>
      </c>
      <c r="CI69" s="139">
        <v>23</v>
      </c>
      <c r="CJ69" s="137">
        <v>28</v>
      </c>
      <c r="CK69" s="137">
        <v>19</v>
      </c>
      <c r="CL69" s="137">
        <v>18</v>
      </c>
      <c r="CM69" s="137">
        <v>27</v>
      </c>
      <c r="CN69" s="137">
        <v>14</v>
      </c>
      <c r="CO69" s="137">
        <v>35</v>
      </c>
      <c r="CP69" s="137">
        <v>29</v>
      </c>
      <c r="CQ69" s="137">
        <v>24</v>
      </c>
      <c r="CR69" s="137">
        <v>16</v>
      </c>
      <c r="CS69" s="34">
        <v>24</v>
      </c>
      <c r="CT69" s="34">
        <v>13</v>
      </c>
      <c r="CU69" s="34">
        <v>21</v>
      </c>
      <c r="CV69" s="34">
        <v>13</v>
      </c>
      <c r="CW69" s="42">
        <v>42</v>
      </c>
      <c r="CX69" s="34">
        <v>36</v>
      </c>
      <c r="CY69" s="137">
        <v>33</v>
      </c>
      <c r="CZ69" s="34">
        <v>25</v>
      </c>
      <c r="DA69" s="34">
        <v>27</v>
      </c>
      <c r="DB69" s="34">
        <v>32</v>
      </c>
      <c r="DC69" s="34">
        <v>20</v>
      </c>
      <c r="DD69" s="34">
        <v>30</v>
      </c>
      <c r="DE69" s="34">
        <v>36</v>
      </c>
      <c r="DF69" s="34">
        <v>48</v>
      </c>
      <c r="DG69" s="34">
        <v>28</v>
      </c>
      <c r="DH69" s="42">
        <v>36</v>
      </c>
      <c r="DI69" s="34">
        <v>34</v>
      </c>
      <c r="DJ69" s="34">
        <v>34</v>
      </c>
      <c r="DK69" s="34">
        <v>24</v>
      </c>
      <c r="DL69" s="34">
        <v>34</v>
      </c>
      <c r="DM69" s="34">
        <v>26</v>
      </c>
      <c r="DN69" s="34">
        <v>33</v>
      </c>
      <c r="DO69" s="34">
        <v>35</v>
      </c>
      <c r="DP69" s="34">
        <v>34</v>
      </c>
      <c r="DQ69" s="34">
        <v>15</v>
      </c>
      <c r="DR69" s="137">
        <v>34</v>
      </c>
      <c r="DS69" s="34">
        <v>25</v>
      </c>
      <c r="DT69" s="42">
        <v>22</v>
      </c>
      <c r="DU69" s="34">
        <v>34</v>
      </c>
      <c r="DV69" s="34">
        <v>30</v>
      </c>
      <c r="DW69" s="34">
        <v>22</v>
      </c>
      <c r="DX69" s="42">
        <v>37</v>
      </c>
      <c r="DY69" s="42">
        <v>20</v>
      </c>
      <c r="DZ69" s="42">
        <v>32</v>
      </c>
      <c r="EA69" s="42">
        <v>36</v>
      </c>
      <c r="EB69" s="42">
        <v>27</v>
      </c>
      <c r="EC69" s="42">
        <v>25</v>
      </c>
      <c r="ED69" s="42">
        <v>35</v>
      </c>
      <c r="EE69" s="42">
        <v>35</v>
      </c>
      <c r="EF69" s="42">
        <v>30</v>
      </c>
      <c r="EG69" s="42">
        <v>23</v>
      </c>
      <c r="EH69" s="249">
        <f t="shared" si="0"/>
        <v>1269</v>
      </c>
      <c r="EI69" s="150">
        <f t="shared" si="18"/>
        <v>2781</v>
      </c>
      <c r="EJ69" s="150">
        <f t="shared" si="19"/>
        <v>2698</v>
      </c>
      <c r="EK69" s="284">
        <f t="shared" si="1"/>
        <v>644</v>
      </c>
      <c r="EL69" s="151">
        <f t="shared" si="20"/>
        <v>19</v>
      </c>
      <c r="EM69" s="153">
        <f t="shared" si="21"/>
        <v>128</v>
      </c>
      <c r="EN69" s="153">
        <f t="shared" si="22"/>
        <v>157</v>
      </c>
      <c r="EO69" s="153">
        <f t="shared" si="23"/>
        <v>237</v>
      </c>
      <c r="EP69" s="152">
        <f t="shared" si="24"/>
        <v>571</v>
      </c>
      <c r="EQ69" s="152">
        <f t="shared" si="25"/>
        <v>568</v>
      </c>
      <c r="ER69" s="152">
        <f t="shared" si="26"/>
        <v>543</v>
      </c>
      <c r="ES69" s="152">
        <f t="shared" si="27"/>
        <v>734</v>
      </c>
      <c r="ET69" s="152">
        <f t="shared" si="2"/>
        <v>408</v>
      </c>
      <c r="EU69" s="57">
        <f t="shared" si="28"/>
        <v>491</v>
      </c>
      <c r="EV69" s="12">
        <f t="shared" si="29"/>
        <v>428</v>
      </c>
      <c r="EX69" s="12">
        <f t="shared" si="30"/>
        <v>2096</v>
      </c>
      <c r="EY69" s="131">
        <f t="shared" si="31"/>
        <v>2676</v>
      </c>
    </row>
    <row r="70" spans="1:156" ht="30.75" thickBot="1" x14ac:dyDescent="0.3">
      <c r="A70" s="232" t="s">
        <v>42</v>
      </c>
      <c r="B70" s="232" t="s">
        <v>43</v>
      </c>
      <c r="C70" s="33">
        <v>608</v>
      </c>
      <c r="D70" s="33">
        <v>446</v>
      </c>
      <c r="E70" s="33">
        <v>405</v>
      </c>
      <c r="F70" s="33">
        <v>589</v>
      </c>
      <c r="G70" s="33">
        <v>555</v>
      </c>
      <c r="H70" s="33">
        <v>394</v>
      </c>
      <c r="I70" s="33">
        <v>426</v>
      </c>
      <c r="J70" s="33">
        <v>269</v>
      </c>
      <c r="K70" s="33">
        <v>512</v>
      </c>
      <c r="L70" s="33">
        <v>488</v>
      </c>
      <c r="M70" s="33">
        <v>456</v>
      </c>
      <c r="N70" s="33">
        <v>265</v>
      </c>
      <c r="O70" s="33">
        <v>384</v>
      </c>
      <c r="P70" s="33">
        <v>382</v>
      </c>
      <c r="Q70" s="33">
        <v>680</v>
      </c>
      <c r="R70" s="33">
        <v>484</v>
      </c>
      <c r="S70" s="33">
        <v>628</v>
      </c>
      <c r="T70" s="33">
        <v>694</v>
      </c>
      <c r="U70" s="33">
        <v>627</v>
      </c>
      <c r="V70" s="33">
        <v>725</v>
      </c>
      <c r="W70" s="33">
        <v>535</v>
      </c>
      <c r="X70" s="33">
        <v>416</v>
      </c>
      <c r="Y70" s="33">
        <v>337</v>
      </c>
      <c r="Z70" s="33">
        <v>199</v>
      </c>
      <c r="AA70" s="33">
        <v>213</v>
      </c>
      <c r="AB70" s="33">
        <v>128</v>
      </c>
      <c r="AC70" s="33">
        <v>414</v>
      </c>
      <c r="AD70" s="33">
        <v>546</v>
      </c>
      <c r="AE70" s="33">
        <v>466</v>
      </c>
      <c r="AF70" s="33">
        <v>437</v>
      </c>
      <c r="AG70" s="33">
        <v>541</v>
      </c>
      <c r="AH70" s="33">
        <v>618</v>
      </c>
      <c r="AI70" s="33">
        <v>641</v>
      </c>
      <c r="AJ70" s="34">
        <v>661</v>
      </c>
      <c r="AK70" s="34">
        <v>479</v>
      </c>
      <c r="AL70" s="34">
        <v>347</v>
      </c>
      <c r="AM70" s="34">
        <v>279</v>
      </c>
      <c r="AN70" s="34">
        <v>511</v>
      </c>
      <c r="AO70" s="34">
        <v>281</v>
      </c>
      <c r="AP70" s="34">
        <v>514</v>
      </c>
      <c r="AQ70" s="34">
        <v>529</v>
      </c>
      <c r="AR70" s="34">
        <v>372</v>
      </c>
      <c r="AS70" s="34">
        <v>134</v>
      </c>
      <c r="AT70" s="34">
        <v>415</v>
      </c>
      <c r="AU70" s="34">
        <v>532</v>
      </c>
      <c r="AV70" s="34">
        <v>472</v>
      </c>
      <c r="AW70" s="34">
        <v>112</v>
      </c>
      <c r="AX70" s="34">
        <v>252</v>
      </c>
      <c r="AY70" s="34">
        <v>239</v>
      </c>
      <c r="AZ70" s="34">
        <v>55</v>
      </c>
      <c r="BA70" s="34">
        <v>376</v>
      </c>
      <c r="BB70" s="34">
        <v>160</v>
      </c>
      <c r="BC70" s="34">
        <v>342</v>
      </c>
      <c r="BD70" s="34">
        <v>157</v>
      </c>
      <c r="BE70" s="34">
        <v>349</v>
      </c>
      <c r="BF70" s="34">
        <v>192</v>
      </c>
      <c r="BG70" s="34">
        <v>264</v>
      </c>
      <c r="BH70" s="34">
        <v>20</v>
      </c>
      <c r="BI70" s="34">
        <v>380</v>
      </c>
      <c r="BJ70" s="34">
        <v>454</v>
      </c>
      <c r="BK70" s="34">
        <v>0</v>
      </c>
      <c r="BL70" s="34">
        <v>420</v>
      </c>
      <c r="BM70" s="137">
        <v>272</v>
      </c>
      <c r="BN70" s="137">
        <v>190</v>
      </c>
      <c r="BO70" s="137">
        <v>189</v>
      </c>
      <c r="BP70" s="137">
        <v>322</v>
      </c>
      <c r="BQ70" s="137">
        <v>211</v>
      </c>
      <c r="BR70" s="138">
        <v>250</v>
      </c>
      <c r="BS70" s="138">
        <v>217</v>
      </c>
      <c r="BT70" s="138">
        <v>122</v>
      </c>
      <c r="BU70" s="138">
        <v>82</v>
      </c>
      <c r="BV70" s="138">
        <v>98</v>
      </c>
      <c r="BW70" s="137">
        <v>204</v>
      </c>
      <c r="BX70" s="137">
        <v>86</v>
      </c>
      <c r="BY70" s="137">
        <v>45</v>
      </c>
      <c r="BZ70" s="137">
        <v>79</v>
      </c>
      <c r="CA70" s="137">
        <v>143</v>
      </c>
      <c r="CB70" s="137">
        <v>143</v>
      </c>
      <c r="CC70" s="137">
        <v>113</v>
      </c>
      <c r="CD70" s="137">
        <v>260</v>
      </c>
      <c r="CE70" s="138">
        <v>174</v>
      </c>
      <c r="CF70" s="137">
        <v>157</v>
      </c>
      <c r="CG70" s="137">
        <v>206</v>
      </c>
      <c r="CH70" s="139">
        <v>115</v>
      </c>
      <c r="CI70" s="139">
        <v>151</v>
      </c>
      <c r="CJ70" s="137">
        <v>226</v>
      </c>
      <c r="CK70" s="137">
        <v>221</v>
      </c>
      <c r="CL70" s="137">
        <v>187</v>
      </c>
      <c r="CM70" s="137">
        <v>264</v>
      </c>
      <c r="CN70" s="137">
        <v>210</v>
      </c>
      <c r="CO70" s="137">
        <v>153</v>
      </c>
      <c r="CP70" s="137">
        <v>204</v>
      </c>
      <c r="CQ70" s="137">
        <v>314</v>
      </c>
      <c r="CR70" s="137">
        <v>215</v>
      </c>
      <c r="CS70" s="34">
        <v>327</v>
      </c>
      <c r="CT70" s="34">
        <v>187</v>
      </c>
      <c r="CU70" s="34">
        <v>227</v>
      </c>
      <c r="CV70" s="34">
        <v>30</v>
      </c>
      <c r="CW70" s="42">
        <v>299</v>
      </c>
      <c r="CX70" s="34">
        <v>195</v>
      </c>
      <c r="CY70" s="137">
        <v>159</v>
      </c>
      <c r="CZ70" s="34">
        <v>118</v>
      </c>
      <c r="DA70" s="34">
        <v>113</v>
      </c>
      <c r="DB70" s="34">
        <v>119</v>
      </c>
      <c r="DC70" s="34">
        <v>259</v>
      </c>
      <c r="DD70" s="34">
        <v>90</v>
      </c>
      <c r="DE70" s="34">
        <v>142</v>
      </c>
      <c r="DF70" s="34">
        <v>77</v>
      </c>
      <c r="DG70" s="34">
        <v>45</v>
      </c>
      <c r="DH70" s="42">
        <v>52</v>
      </c>
      <c r="DI70" s="34">
        <v>36</v>
      </c>
      <c r="DJ70" s="34">
        <v>26</v>
      </c>
      <c r="DK70" s="34">
        <v>162</v>
      </c>
      <c r="DL70" s="34">
        <v>96</v>
      </c>
      <c r="DM70" s="34">
        <v>115</v>
      </c>
      <c r="DN70" s="34">
        <v>0</v>
      </c>
      <c r="DO70" s="34">
        <v>62</v>
      </c>
      <c r="DP70" s="34">
        <v>11</v>
      </c>
      <c r="DQ70" s="34">
        <v>9</v>
      </c>
      <c r="DR70" s="34">
        <v>2</v>
      </c>
      <c r="DS70" s="34">
        <v>10</v>
      </c>
      <c r="DT70" s="42">
        <v>0</v>
      </c>
      <c r="DU70" s="34">
        <v>104</v>
      </c>
      <c r="DV70" s="34">
        <v>52</v>
      </c>
      <c r="DW70" s="34">
        <v>64</v>
      </c>
      <c r="DX70" s="42">
        <v>107</v>
      </c>
      <c r="DY70" s="42">
        <v>23</v>
      </c>
      <c r="DZ70" s="42">
        <v>28</v>
      </c>
      <c r="EA70" s="42">
        <v>110</v>
      </c>
      <c r="EB70" s="42">
        <v>51</v>
      </c>
      <c r="EC70" s="42">
        <v>53</v>
      </c>
      <c r="ED70" s="42">
        <v>60</v>
      </c>
      <c r="EE70" s="42">
        <v>26</v>
      </c>
      <c r="EF70" s="42">
        <v>55</v>
      </c>
      <c r="EG70" s="42">
        <v>33</v>
      </c>
      <c r="EH70" s="249">
        <f t="shared" si="0"/>
        <v>4467</v>
      </c>
      <c r="EI70" s="150">
        <f t="shared" si="18"/>
        <v>33503</v>
      </c>
      <c r="EJ70" s="150">
        <f t="shared" si="19"/>
        <v>30080</v>
      </c>
      <c r="EK70" s="284">
        <f t="shared" si="1"/>
        <v>1071</v>
      </c>
      <c r="EL70" s="151">
        <f t="shared" si="20"/>
        <v>608</v>
      </c>
      <c r="EM70" s="153">
        <f t="shared" si="21"/>
        <v>5189</v>
      </c>
      <c r="EN70" s="153">
        <f t="shared" si="22"/>
        <v>5920</v>
      </c>
      <c r="EO70" s="153">
        <f t="shared" si="23"/>
        <v>5557</v>
      </c>
      <c r="EP70" s="152">
        <f t="shared" si="24"/>
        <v>4363</v>
      </c>
      <c r="EQ70" s="152">
        <f t="shared" si="25"/>
        <v>5326</v>
      </c>
      <c r="ER70" s="152">
        <f t="shared" si="26"/>
        <v>4407</v>
      </c>
      <c r="ES70" s="152">
        <f t="shared" si="27"/>
        <v>2227</v>
      </c>
      <c r="ET70" s="152">
        <f t="shared" si="2"/>
        <v>766</v>
      </c>
      <c r="EU70" s="57">
        <f t="shared" si="28"/>
        <v>3625</v>
      </c>
      <c r="EV70" s="12">
        <f t="shared" si="29"/>
        <v>3798</v>
      </c>
      <c r="EX70" s="12">
        <f t="shared" si="30"/>
        <v>29896</v>
      </c>
      <c r="EY70" s="131">
        <f t="shared" si="31"/>
        <v>31833</v>
      </c>
    </row>
    <row r="71" spans="1:156" ht="15.75" customHeight="1" thickBot="1" x14ac:dyDescent="0.3">
      <c r="A71" s="8" t="s">
        <v>43</v>
      </c>
      <c r="B71" s="8" t="s">
        <v>44</v>
      </c>
      <c r="C71" s="33">
        <v>0</v>
      </c>
      <c r="D71" s="33">
        <v>0</v>
      </c>
      <c r="E71" s="33">
        <v>0</v>
      </c>
      <c r="F71" s="33">
        <v>0</v>
      </c>
      <c r="G71" s="33">
        <v>0</v>
      </c>
      <c r="H71" s="33">
        <v>0</v>
      </c>
      <c r="I71" s="33">
        <v>0</v>
      </c>
      <c r="J71" s="33">
        <v>0</v>
      </c>
      <c r="K71" s="33">
        <v>0</v>
      </c>
      <c r="L71" s="33">
        <v>0</v>
      </c>
      <c r="M71" s="33">
        <v>0</v>
      </c>
      <c r="N71" s="33">
        <v>0</v>
      </c>
      <c r="O71" s="33">
        <v>2</v>
      </c>
      <c r="P71" s="33">
        <v>0</v>
      </c>
      <c r="Q71" s="33">
        <v>0</v>
      </c>
      <c r="R71" s="33">
        <v>0</v>
      </c>
      <c r="S71" s="33">
        <v>0</v>
      </c>
      <c r="T71" s="33">
        <v>0</v>
      </c>
      <c r="U71" s="33">
        <v>0</v>
      </c>
      <c r="V71" s="33">
        <v>0</v>
      </c>
      <c r="W71" s="33">
        <v>0</v>
      </c>
      <c r="X71" s="33">
        <v>0</v>
      </c>
      <c r="Y71" s="33">
        <v>0</v>
      </c>
      <c r="Z71" s="33">
        <v>0</v>
      </c>
      <c r="AA71" s="33">
        <v>0</v>
      </c>
      <c r="AB71" s="33">
        <v>0</v>
      </c>
      <c r="AC71" s="33">
        <v>0</v>
      </c>
      <c r="AD71" s="33">
        <v>0</v>
      </c>
      <c r="AE71" s="33">
        <v>1</v>
      </c>
      <c r="AF71" s="33">
        <v>0</v>
      </c>
      <c r="AG71" s="33">
        <v>0</v>
      </c>
      <c r="AH71" s="33">
        <v>0</v>
      </c>
      <c r="AI71" s="33">
        <v>0</v>
      </c>
      <c r="AJ71" s="34">
        <v>0</v>
      </c>
      <c r="AK71" s="34">
        <v>0</v>
      </c>
      <c r="AL71" s="34">
        <v>0</v>
      </c>
      <c r="AM71" s="34">
        <v>0</v>
      </c>
      <c r="AN71" s="34">
        <v>0</v>
      </c>
      <c r="AO71" s="34">
        <v>0</v>
      </c>
      <c r="AP71" s="34">
        <v>0</v>
      </c>
      <c r="AQ71" s="34">
        <v>0</v>
      </c>
      <c r="AR71" s="34">
        <v>0</v>
      </c>
      <c r="AS71" s="34">
        <v>0</v>
      </c>
      <c r="AT71" s="34">
        <v>0</v>
      </c>
      <c r="AU71" s="34">
        <v>0</v>
      </c>
      <c r="AV71" s="34">
        <v>0</v>
      </c>
      <c r="AW71" s="34">
        <v>0</v>
      </c>
      <c r="AX71" s="34">
        <v>0</v>
      </c>
      <c r="AY71" s="34">
        <v>0</v>
      </c>
      <c r="AZ71" s="34">
        <v>0</v>
      </c>
      <c r="BA71" s="34">
        <v>0</v>
      </c>
      <c r="BB71" s="34">
        <v>0</v>
      </c>
      <c r="BC71" s="34">
        <v>0</v>
      </c>
      <c r="BD71" s="34">
        <v>0</v>
      </c>
      <c r="BE71" s="34">
        <v>0</v>
      </c>
      <c r="BF71" s="34">
        <v>0</v>
      </c>
      <c r="BG71" s="34">
        <v>0</v>
      </c>
      <c r="BH71" s="34">
        <v>0</v>
      </c>
      <c r="BI71" s="34">
        <v>0</v>
      </c>
      <c r="BJ71" s="34">
        <v>0</v>
      </c>
      <c r="BK71" s="34">
        <v>0</v>
      </c>
      <c r="BL71" s="34">
        <v>0</v>
      </c>
      <c r="BM71" s="137">
        <v>0</v>
      </c>
      <c r="BN71" s="137">
        <v>0</v>
      </c>
      <c r="BO71" s="137">
        <v>0</v>
      </c>
      <c r="BP71" s="137">
        <v>0</v>
      </c>
      <c r="BQ71" s="137">
        <v>0</v>
      </c>
      <c r="BR71" s="138">
        <v>0</v>
      </c>
      <c r="BS71" s="138">
        <v>0</v>
      </c>
      <c r="BT71" s="138">
        <v>0</v>
      </c>
      <c r="BU71" s="138">
        <v>0</v>
      </c>
      <c r="BV71" s="138">
        <v>0</v>
      </c>
      <c r="BW71" s="137">
        <v>0</v>
      </c>
      <c r="BX71" s="137">
        <v>0</v>
      </c>
      <c r="BY71" s="137">
        <v>0</v>
      </c>
      <c r="BZ71" s="137">
        <v>0</v>
      </c>
      <c r="CA71" s="137">
        <v>0</v>
      </c>
      <c r="CB71" s="137">
        <v>0</v>
      </c>
      <c r="CC71" s="137">
        <v>0</v>
      </c>
      <c r="CD71" s="137">
        <v>0</v>
      </c>
      <c r="CE71" s="138">
        <v>0</v>
      </c>
      <c r="CF71" s="137">
        <v>0</v>
      </c>
      <c r="CG71" s="137">
        <v>0</v>
      </c>
      <c r="CH71" s="139">
        <v>0</v>
      </c>
      <c r="CI71" s="139">
        <v>0</v>
      </c>
      <c r="CJ71" s="137">
        <v>0</v>
      </c>
      <c r="CK71" s="137">
        <v>0</v>
      </c>
      <c r="CL71" s="137">
        <v>0</v>
      </c>
      <c r="CM71" s="137">
        <v>0</v>
      </c>
      <c r="CN71" s="137">
        <v>0</v>
      </c>
      <c r="CO71" s="137">
        <v>0</v>
      </c>
      <c r="CP71" s="137">
        <v>0</v>
      </c>
      <c r="CQ71" s="137">
        <v>0</v>
      </c>
      <c r="CR71" s="137">
        <v>0</v>
      </c>
      <c r="CS71" s="34">
        <v>0</v>
      </c>
      <c r="CT71" s="34">
        <v>0</v>
      </c>
      <c r="CU71" s="34">
        <v>0</v>
      </c>
      <c r="CV71" s="34">
        <v>0</v>
      </c>
      <c r="CW71" s="42">
        <v>0</v>
      </c>
      <c r="CX71" s="34">
        <v>0</v>
      </c>
      <c r="CY71" s="137">
        <v>0</v>
      </c>
      <c r="CZ71" s="34">
        <v>0</v>
      </c>
      <c r="DA71" s="34">
        <v>0</v>
      </c>
      <c r="DB71" s="34">
        <v>0</v>
      </c>
      <c r="DC71" s="34">
        <v>0</v>
      </c>
      <c r="DD71" s="34">
        <v>0</v>
      </c>
      <c r="DE71" s="34">
        <v>0</v>
      </c>
      <c r="DF71" s="34">
        <v>0</v>
      </c>
      <c r="DG71" s="34">
        <v>0</v>
      </c>
      <c r="DH71" s="42">
        <v>0</v>
      </c>
      <c r="DI71" s="34">
        <v>0</v>
      </c>
      <c r="DJ71" s="34">
        <v>0</v>
      </c>
      <c r="DK71" s="34">
        <v>2</v>
      </c>
      <c r="DL71" s="34">
        <v>0</v>
      </c>
      <c r="DM71" s="34">
        <v>0</v>
      </c>
      <c r="DN71" s="34">
        <v>0</v>
      </c>
      <c r="DO71" s="34">
        <v>0</v>
      </c>
      <c r="DP71" s="34">
        <v>0</v>
      </c>
      <c r="DQ71" s="34">
        <v>0</v>
      </c>
      <c r="DR71" s="34">
        <v>0</v>
      </c>
      <c r="DS71" s="34">
        <v>0</v>
      </c>
      <c r="DT71" s="42">
        <v>0</v>
      </c>
      <c r="DU71" s="34">
        <v>0</v>
      </c>
      <c r="DV71" s="34">
        <v>0</v>
      </c>
      <c r="DW71" s="34">
        <v>0</v>
      </c>
      <c r="DX71" s="42">
        <v>0</v>
      </c>
      <c r="DY71" s="42">
        <v>0</v>
      </c>
      <c r="DZ71" s="42">
        <v>0</v>
      </c>
      <c r="EA71" s="42">
        <v>0</v>
      </c>
      <c r="EB71" s="42">
        <v>0</v>
      </c>
      <c r="EC71" s="42">
        <v>0</v>
      </c>
      <c r="ED71" s="42">
        <v>0</v>
      </c>
      <c r="EE71" s="42">
        <v>0</v>
      </c>
      <c r="EF71" s="42">
        <v>0</v>
      </c>
      <c r="EG71" s="42">
        <v>0</v>
      </c>
      <c r="EH71" s="249">
        <f t="shared" si="0"/>
        <v>2</v>
      </c>
      <c r="EI71" s="150">
        <f t="shared" si="18"/>
        <v>5</v>
      </c>
      <c r="EJ71" s="150">
        <f t="shared" si="19"/>
        <v>5</v>
      </c>
      <c r="EK71" s="284">
        <f t="shared" si="1"/>
        <v>0</v>
      </c>
      <c r="EL71" s="151">
        <f t="shared" si="20"/>
        <v>0</v>
      </c>
      <c r="EM71" s="153">
        <f t="shared" si="21"/>
        <v>2</v>
      </c>
      <c r="EN71" s="153">
        <f t="shared" si="22"/>
        <v>0</v>
      </c>
      <c r="EO71" s="153">
        <f t="shared" si="23"/>
        <v>1</v>
      </c>
      <c r="EP71" s="152">
        <f t="shared" si="24"/>
        <v>0</v>
      </c>
      <c r="EQ71" s="152">
        <f t="shared" si="25"/>
        <v>0</v>
      </c>
      <c r="ER71" s="152">
        <f t="shared" si="26"/>
        <v>0</v>
      </c>
      <c r="ES71" s="152">
        <f t="shared" si="27"/>
        <v>2</v>
      </c>
      <c r="ET71" s="152">
        <f t="shared" si="2"/>
        <v>0</v>
      </c>
      <c r="EU71" s="57">
        <f t="shared" si="28"/>
        <v>0</v>
      </c>
      <c r="EV71" s="12">
        <f t="shared" si="29"/>
        <v>0</v>
      </c>
      <c r="EX71" s="12">
        <f t="shared" si="30"/>
        <v>3</v>
      </c>
      <c r="EY71" s="132">
        <f t="shared" si="31"/>
        <v>5</v>
      </c>
      <c r="EZ71" s="90">
        <f>EY71/EY70</f>
        <v>1.5706970753620456E-4</v>
      </c>
    </row>
    <row r="72" spans="1:156" ht="15.75" customHeight="1" thickBot="1" x14ac:dyDescent="0.3">
      <c r="A72" s="8" t="s">
        <v>43</v>
      </c>
      <c r="B72" s="8" t="s">
        <v>45</v>
      </c>
      <c r="C72" s="33">
        <v>22</v>
      </c>
      <c r="D72" s="33">
        <v>2</v>
      </c>
      <c r="E72" s="33">
        <v>7</v>
      </c>
      <c r="F72" s="33">
        <v>35</v>
      </c>
      <c r="G72" s="33">
        <v>2</v>
      </c>
      <c r="H72" s="33">
        <v>15</v>
      </c>
      <c r="I72" s="33">
        <v>6</v>
      </c>
      <c r="J72" s="33">
        <v>128</v>
      </c>
      <c r="K72" s="33">
        <v>71</v>
      </c>
      <c r="L72" s="33">
        <v>24</v>
      </c>
      <c r="M72" s="33">
        <v>26</v>
      </c>
      <c r="N72" s="33">
        <v>0</v>
      </c>
      <c r="O72" s="33">
        <v>9</v>
      </c>
      <c r="P72" s="33">
        <v>6</v>
      </c>
      <c r="Q72" s="33">
        <v>8</v>
      </c>
      <c r="R72" s="33">
        <v>5</v>
      </c>
      <c r="S72" s="33">
        <v>19</v>
      </c>
      <c r="T72" s="33">
        <v>54</v>
      </c>
      <c r="U72" s="33">
        <v>0</v>
      </c>
      <c r="V72" s="33">
        <v>37</v>
      </c>
      <c r="W72" s="33">
        <v>29</v>
      </c>
      <c r="X72" s="33">
        <v>0</v>
      </c>
      <c r="Y72" s="33">
        <v>0</v>
      </c>
      <c r="Z72" s="33">
        <v>0</v>
      </c>
      <c r="AA72" s="33">
        <v>0</v>
      </c>
      <c r="AB72" s="33">
        <v>0</v>
      </c>
      <c r="AC72" s="33">
        <v>0</v>
      </c>
      <c r="AD72" s="33">
        <v>2</v>
      </c>
      <c r="AE72" s="33">
        <v>0</v>
      </c>
      <c r="AF72" s="33">
        <v>0</v>
      </c>
      <c r="AG72" s="33">
        <v>0</v>
      </c>
      <c r="AH72" s="33">
        <v>0</v>
      </c>
      <c r="AI72" s="33">
        <v>0</v>
      </c>
      <c r="AJ72" s="34">
        <v>0</v>
      </c>
      <c r="AK72" s="34">
        <v>0</v>
      </c>
      <c r="AL72" s="34">
        <v>0</v>
      </c>
      <c r="AM72" s="34">
        <v>35</v>
      </c>
      <c r="AN72" s="34">
        <v>0</v>
      </c>
      <c r="AO72" s="34">
        <v>0</v>
      </c>
      <c r="AP72" s="34">
        <v>0</v>
      </c>
      <c r="AQ72" s="34">
        <v>1</v>
      </c>
      <c r="AR72" s="34">
        <v>0</v>
      </c>
      <c r="AS72" s="34">
        <v>27</v>
      </c>
      <c r="AT72" s="34">
        <v>9</v>
      </c>
      <c r="AU72" s="34">
        <v>0</v>
      </c>
      <c r="AV72" s="34">
        <v>9</v>
      </c>
      <c r="AW72" s="34">
        <v>0</v>
      </c>
      <c r="AX72" s="34">
        <v>0</v>
      </c>
      <c r="AY72" s="34">
        <v>0</v>
      </c>
      <c r="AZ72" s="34">
        <v>0</v>
      </c>
      <c r="BA72" s="34">
        <v>0</v>
      </c>
      <c r="BB72" s="34">
        <v>0</v>
      </c>
      <c r="BC72" s="34">
        <v>0</v>
      </c>
      <c r="BD72" s="34">
        <v>0</v>
      </c>
      <c r="BE72" s="34">
        <v>0</v>
      </c>
      <c r="BF72" s="34">
        <v>0</v>
      </c>
      <c r="BG72" s="34">
        <v>0</v>
      </c>
      <c r="BH72" s="34">
        <v>0</v>
      </c>
      <c r="BI72" s="34">
        <v>0</v>
      </c>
      <c r="BJ72" s="34">
        <v>0</v>
      </c>
      <c r="BK72" s="34">
        <v>0</v>
      </c>
      <c r="BL72" s="34">
        <v>18</v>
      </c>
      <c r="BM72" s="137">
        <v>13</v>
      </c>
      <c r="BN72" s="137">
        <v>2</v>
      </c>
      <c r="BO72" s="137">
        <v>0</v>
      </c>
      <c r="BP72" s="137">
        <v>4</v>
      </c>
      <c r="BQ72" s="137">
        <v>0</v>
      </c>
      <c r="BR72" s="138">
        <v>0</v>
      </c>
      <c r="BS72" s="138">
        <v>0</v>
      </c>
      <c r="BT72" s="138">
        <v>0</v>
      </c>
      <c r="BU72" s="138">
        <v>0</v>
      </c>
      <c r="BV72" s="138">
        <v>13</v>
      </c>
      <c r="BW72" s="137">
        <v>39</v>
      </c>
      <c r="BX72" s="137">
        <v>0</v>
      </c>
      <c r="BY72" s="137">
        <v>0</v>
      </c>
      <c r="BZ72" s="137">
        <v>1</v>
      </c>
      <c r="CA72" s="137">
        <v>0</v>
      </c>
      <c r="CB72" s="137">
        <v>0</v>
      </c>
      <c r="CC72" s="137">
        <v>0</v>
      </c>
      <c r="CD72" s="137">
        <v>0</v>
      </c>
      <c r="CE72" s="138">
        <v>0</v>
      </c>
      <c r="CF72" s="137">
        <v>0</v>
      </c>
      <c r="CG72" s="137">
        <v>0</v>
      </c>
      <c r="CH72" s="139">
        <v>0</v>
      </c>
      <c r="CI72" s="139">
        <v>3</v>
      </c>
      <c r="CJ72" s="137">
        <v>1</v>
      </c>
      <c r="CK72" s="137">
        <v>1</v>
      </c>
      <c r="CL72" s="137">
        <v>33</v>
      </c>
      <c r="CM72" s="137">
        <v>1</v>
      </c>
      <c r="CN72" s="137">
        <v>18</v>
      </c>
      <c r="CO72" s="137">
        <v>26</v>
      </c>
      <c r="CP72" s="137">
        <v>37</v>
      </c>
      <c r="CQ72" s="137">
        <v>25</v>
      </c>
      <c r="CR72" s="137">
        <v>0</v>
      </c>
      <c r="CS72" s="34">
        <v>9</v>
      </c>
      <c r="CT72" s="34">
        <v>18</v>
      </c>
      <c r="CU72" s="34">
        <v>1</v>
      </c>
      <c r="CV72" s="34">
        <v>0</v>
      </c>
      <c r="CW72" s="42">
        <v>11</v>
      </c>
      <c r="CX72" s="34">
        <v>46</v>
      </c>
      <c r="CY72" s="137">
        <v>45</v>
      </c>
      <c r="CZ72" s="34">
        <v>99</v>
      </c>
      <c r="DA72" s="34">
        <v>27</v>
      </c>
      <c r="DB72" s="34">
        <v>82</v>
      </c>
      <c r="DC72" s="34">
        <v>148</v>
      </c>
      <c r="DD72" s="34">
        <v>15</v>
      </c>
      <c r="DE72" s="34">
        <v>25</v>
      </c>
      <c r="DF72" s="34">
        <v>4</v>
      </c>
      <c r="DG72" s="34">
        <v>0</v>
      </c>
      <c r="DH72" s="42">
        <v>2</v>
      </c>
      <c r="DI72" s="34">
        <v>2</v>
      </c>
      <c r="DJ72" s="34">
        <v>0</v>
      </c>
      <c r="DK72" s="34">
        <v>4</v>
      </c>
      <c r="DL72" s="34">
        <v>3</v>
      </c>
      <c r="DM72" s="34">
        <v>0</v>
      </c>
      <c r="DN72" s="34">
        <v>0</v>
      </c>
      <c r="DO72" s="34">
        <v>0</v>
      </c>
      <c r="DP72" s="34">
        <v>0</v>
      </c>
      <c r="DQ72" s="34">
        <v>0</v>
      </c>
      <c r="DR72" s="34">
        <v>0</v>
      </c>
      <c r="DS72" s="34">
        <v>0</v>
      </c>
      <c r="DT72" s="42">
        <v>0</v>
      </c>
      <c r="DU72" s="34">
        <v>0</v>
      </c>
      <c r="DV72" s="34">
        <v>0</v>
      </c>
      <c r="DW72" s="34">
        <v>1</v>
      </c>
      <c r="DX72" s="42">
        <v>2</v>
      </c>
      <c r="DY72" s="42">
        <v>0</v>
      </c>
      <c r="DZ72" s="42">
        <v>0</v>
      </c>
      <c r="EA72" s="42">
        <v>0</v>
      </c>
      <c r="EB72" s="42">
        <v>0</v>
      </c>
      <c r="EC72" s="42">
        <v>0</v>
      </c>
      <c r="ED72" s="42">
        <v>0</v>
      </c>
      <c r="EE72" s="42">
        <v>0</v>
      </c>
      <c r="EF72" s="42">
        <v>0</v>
      </c>
      <c r="EG72" s="42">
        <v>0</v>
      </c>
      <c r="EH72" s="249">
        <f t="shared" si="0"/>
        <v>606</v>
      </c>
      <c r="EI72" s="150">
        <f t="shared" si="18"/>
        <v>1364</v>
      </c>
      <c r="EJ72" s="150">
        <f t="shared" si="19"/>
        <v>1275</v>
      </c>
      <c r="EK72" s="284">
        <f t="shared" si="1"/>
        <v>6</v>
      </c>
      <c r="EL72" s="151">
        <f t="shared" si="20"/>
        <v>22</v>
      </c>
      <c r="EM72" s="153">
        <f t="shared" si="21"/>
        <v>325</v>
      </c>
      <c r="EN72" s="153">
        <f t="shared" si="22"/>
        <v>158</v>
      </c>
      <c r="EO72" s="153">
        <f t="shared" si="23"/>
        <v>37</v>
      </c>
      <c r="EP72" s="152">
        <f t="shared" si="24"/>
        <v>46</v>
      </c>
      <c r="EQ72" s="152">
        <f t="shared" si="25"/>
        <v>89</v>
      </c>
      <c r="ER72" s="152">
        <f t="shared" si="26"/>
        <v>174</v>
      </c>
      <c r="ES72" s="152">
        <f t="shared" si="27"/>
        <v>513</v>
      </c>
      <c r="ET72" s="152">
        <f t="shared" si="2"/>
        <v>3</v>
      </c>
      <c r="EU72" s="57">
        <f t="shared" si="28"/>
        <v>62</v>
      </c>
      <c r="EV72" s="12">
        <f t="shared" si="29"/>
        <v>173</v>
      </c>
      <c r="EW72">
        <f>41/138</f>
        <v>0.29710144927536231</v>
      </c>
      <c r="EX72" s="76">
        <f t="shared" si="30"/>
        <v>761</v>
      </c>
      <c r="EY72" s="132">
        <f t="shared" si="31"/>
        <v>1330</v>
      </c>
      <c r="EZ72" s="90">
        <f>EY72/EY70</f>
        <v>4.1780542204630414E-2</v>
      </c>
    </row>
    <row r="73" spans="1:156" ht="15.75" customHeight="1" thickBot="1" x14ac:dyDescent="0.3">
      <c r="A73" s="8" t="s">
        <v>43</v>
      </c>
      <c r="B73" s="8" t="s">
        <v>46</v>
      </c>
      <c r="C73" s="33">
        <v>168</v>
      </c>
      <c r="D73" s="33">
        <v>97</v>
      </c>
      <c r="E73" s="33">
        <v>241</v>
      </c>
      <c r="F73" s="33">
        <v>427</v>
      </c>
      <c r="G73" s="33">
        <v>298</v>
      </c>
      <c r="H73" s="33">
        <v>259</v>
      </c>
      <c r="I73" s="33">
        <v>109</v>
      </c>
      <c r="J73" s="33">
        <v>103</v>
      </c>
      <c r="K73" s="33">
        <v>95</v>
      </c>
      <c r="L73" s="33">
        <v>224</v>
      </c>
      <c r="M73" s="33">
        <v>379</v>
      </c>
      <c r="N73" s="33">
        <v>58</v>
      </c>
      <c r="O73" s="33">
        <v>86</v>
      </c>
      <c r="P73" s="33">
        <v>116</v>
      </c>
      <c r="Q73" s="33">
        <v>350</v>
      </c>
      <c r="R73" s="33">
        <v>254</v>
      </c>
      <c r="S73" s="33">
        <v>512</v>
      </c>
      <c r="T73" s="33">
        <v>510</v>
      </c>
      <c r="U73" s="33">
        <v>372</v>
      </c>
      <c r="V73" s="33">
        <v>475</v>
      </c>
      <c r="W73" s="33">
        <v>386</v>
      </c>
      <c r="X73" s="33">
        <v>321</v>
      </c>
      <c r="Y73" s="33">
        <v>230</v>
      </c>
      <c r="Z73" s="33">
        <v>168</v>
      </c>
      <c r="AA73" s="33">
        <v>86</v>
      </c>
      <c r="AB73" s="33">
        <v>52</v>
      </c>
      <c r="AC73" s="33">
        <v>372</v>
      </c>
      <c r="AD73" s="33">
        <v>544</v>
      </c>
      <c r="AE73" s="33">
        <v>390</v>
      </c>
      <c r="AF73" s="33">
        <v>370</v>
      </c>
      <c r="AG73" s="33">
        <v>320</v>
      </c>
      <c r="AH73" s="33">
        <v>397</v>
      </c>
      <c r="AI73" s="33">
        <v>315</v>
      </c>
      <c r="AJ73" s="34">
        <v>483</v>
      </c>
      <c r="AK73" s="34">
        <v>305</v>
      </c>
      <c r="AL73" s="34">
        <v>263</v>
      </c>
      <c r="AM73" s="34">
        <v>191</v>
      </c>
      <c r="AN73" s="34">
        <v>462</v>
      </c>
      <c r="AO73" s="34">
        <v>223</v>
      </c>
      <c r="AP73" s="34">
        <v>467</v>
      </c>
      <c r="AQ73" s="34">
        <v>447</v>
      </c>
      <c r="AR73" s="34">
        <v>337</v>
      </c>
      <c r="AS73" s="34">
        <v>63</v>
      </c>
      <c r="AT73" s="34">
        <v>266</v>
      </c>
      <c r="AU73" s="34">
        <v>301</v>
      </c>
      <c r="AV73" s="34">
        <v>285</v>
      </c>
      <c r="AW73" s="34">
        <v>29</v>
      </c>
      <c r="AX73" s="34">
        <v>196</v>
      </c>
      <c r="AY73" s="34">
        <v>236</v>
      </c>
      <c r="AZ73" s="34">
        <v>55</v>
      </c>
      <c r="BA73" s="34">
        <v>176</v>
      </c>
      <c r="BB73" s="34">
        <v>94</v>
      </c>
      <c r="BC73" s="34">
        <v>183</v>
      </c>
      <c r="BD73" s="34">
        <v>157</v>
      </c>
      <c r="BE73" s="34">
        <v>161</v>
      </c>
      <c r="BF73" s="34">
        <v>123</v>
      </c>
      <c r="BG73" s="34">
        <v>191</v>
      </c>
      <c r="BH73" s="34">
        <v>19</v>
      </c>
      <c r="BI73" s="34">
        <v>379</v>
      </c>
      <c r="BJ73" s="34">
        <v>410</v>
      </c>
      <c r="BK73" s="34">
        <v>0</v>
      </c>
      <c r="BL73" s="34">
        <v>359</v>
      </c>
      <c r="BM73" s="137">
        <v>246</v>
      </c>
      <c r="BN73" s="137">
        <v>180</v>
      </c>
      <c r="BO73" s="137">
        <v>135</v>
      </c>
      <c r="BP73" s="137">
        <v>260</v>
      </c>
      <c r="BQ73" s="137">
        <v>165</v>
      </c>
      <c r="BR73" s="138">
        <v>148</v>
      </c>
      <c r="BS73" s="138">
        <v>164</v>
      </c>
      <c r="BT73" s="138">
        <v>121</v>
      </c>
      <c r="BU73" s="138">
        <v>37</v>
      </c>
      <c r="BV73" s="138">
        <v>39</v>
      </c>
      <c r="BW73" s="137">
        <v>163</v>
      </c>
      <c r="BX73" s="137">
        <v>86</v>
      </c>
      <c r="BY73" s="137">
        <v>45</v>
      </c>
      <c r="BZ73" s="137">
        <v>78</v>
      </c>
      <c r="CA73" s="137">
        <v>141</v>
      </c>
      <c r="CB73" s="137">
        <v>87</v>
      </c>
      <c r="CC73" s="137">
        <v>113</v>
      </c>
      <c r="CD73" s="137">
        <v>135</v>
      </c>
      <c r="CE73" s="138">
        <v>169</v>
      </c>
      <c r="CF73" s="137">
        <v>135</v>
      </c>
      <c r="CG73" s="137">
        <v>146</v>
      </c>
      <c r="CH73" s="139">
        <v>88</v>
      </c>
      <c r="CI73" s="139">
        <v>124</v>
      </c>
      <c r="CJ73" s="137">
        <v>223</v>
      </c>
      <c r="CK73" s="137">
        <v>213</v>
      </c>
      <c r="CL73" s="137">
        <v>151</v>
      </c>
      <c r="CM73" s="137">
        <v>247</v>
      </c>
      <c r="CN73" s="137">
        <v>152</v>
      </c>
      <c r="CO73" s="137">
        <v>120</v>
      </c>
      <c r="CP73" s="137">
        <v>167</v>
      </c>
      <c r="CQ73" s="137">
        <v>289</v>
      </c>
      <c r="CR73" s="137">
        <v>215</v>
      </c>
      <c r="CS73" s="34">
        <v>318</v>
      </c>
      <c r="CT73" s="34">
        <v>168</v>
      </c>
      <c r="CU73" s="34">
        <v>221</v>
      </c>
      <c r="CV73" s="34">
        <v>29</v>
      </c>
      <c r="CW73" s="42">
        <v>288</v>
      </c>
      <c r="CX73" s="34">
        <v>146</v>
      </c>
      <c r="CY73" s="137">
        <v>114</v>
      </c>
      <c r="CZ73" s="34">
        <v>19</v>
      </c>
      <c r="DA73" s="34">
        <v>85</v>
      </c>
      <c r="DB73" s="34">
        <v>37</v>
      </c>
      <c r="DC73" s="34">
        <v>107</v>
      </c>
      <c r="DD73" s="34">
        <v>74</v>
      </c>
      <c r="DE73" s="34">
        <v>103</v>
      </c>
      <c r="DF73" s="34">
        <v>68</v>
      </c>
      <c r="DG73" s="34">
        <v>36</v>
      </c>
      <c r="DH73" s="42">
        <v>38</v>
      </c>
      <c r="DI73" s="34">
        <v>22</v>
      </c>
      <c r="DJ73" s="34">
        <v>16</v>
      </c>
      <c r="DK73" s="34">
        <v>142</v>
      </c>
      <c r="DL73" s="34">
        <v>92</v>
      </c>
      <c r="DM73" s="34">
        <v>113</v>
      </c>
      <c r="DN73" s="34">
        <v>0</v>
      </c>
      <c r="DO73" s="34">
        <v>61</v>
      </c>
      <c r="DP73" s="34">
        <v>11</v>
      </c>
      <c r="DQ73" s="34">
        <v>0</v>
      </c>
      <c r="DR73" s="34">
        <v>2</v>
      </c>
      <c r="DS73" s="34">
        <v>7</v>
      </c>
      <c r="DT73" s="42">
        <v>0</v>
      </c>
      <c r="DU73" s="34">
        <v>99</v>
      </c>
      <c r="DV73" s="34">
        <v>14</v>
      </c>
      <c r="DW73" s="34">
        <v>48</v>
      </c>
      <c r="DX73" s="42">
        <v>100</v>
      </c>
      <c r="DY73" s="42">
        <v>20</v>
      </c>
      <c r="DZ73" s="42">
        <v>27</v>
      </c>
      <c r="EA73" s="42">
        <v>14</v>
      </c>
      <c r="EB73" s="42">
        <v>49</v>
      </c>
      <c r="EC73" s="42">
        <v>52</v>
      </c>
      <c r="ED73" s="42">
        <v>57</v>
      </c>
      <c r="EE73" s="42">
        <v>14</v>
      </c>
      <c r="EF73" s="42">
        <v>52</v>
      </c>
      <c r="EG73" s="42">
        <v>30</v>
      </c>
      <c r="EH73" s="249">
        <f t="shared" si="0"/>
        <v>3564</v>
      </c>
      <c r="EI73" s="150">
        <f t="shared" si="18"/>
        <v>22963</v>
      </c>
      <c r="EJ73" s="150">
        <f t="shared" si="19"/>
        <v>21364</v>
      </c>
      <c r="EK73" s="284">
        <f t="shared" si="1"/>
        <v>862</v>
      </c>
      <c r="EL73" s="151">
        <f t="shared" si="20"/>
        <v>168</v>
      </c>
      <c r="EM73" s="153">
        <f t="shared" si="21"/>
        <v>2376</v>
      </c>
      <c r="EN73" s="153">
        <f t="shared" si="22"/>
        <v>3780</v>
      </c>
      <c r="EO73" s="153">
        <f t="shared" si="23"/>
        <v>4002</v>
      </c>
      <c r="EP73" s="152">
        <f t="shared" si="24"/>
        <v>3312</v>
      </c>
      <c r="EQ73" s="152">
        <f t="shared" si="25"/>
        <v>3965</v>
      </c>
      <c r="ER73" s="152">
        <f t="shared" si="26"/>
        <v>3831</v>
      </c>
      <c r="ES73" s="152">
        <f t="shared" si="27"/>
        <v>1610</v>
      </c>
      <c r="ET73" s="152">
        <f t="shared" si="2"/>
        <v>576</v>
      </c>
      <c r="EU73" s="57">
        <f t="shared" si="28"/>
        <v>2880</v>
      </c>
      <c r="EV73" s="12">
        <f t="shared" si="29"/>
        <v>3281</v>
      </c>
      <c r="EW73">
        <f>97/138</f>
        <v>0.70289855072463769</v>
      </c>
      <c r="EX73" s="76">
        <f t="shared" si="30"/>
        <v>20056</v>
      </c>
      <c r="EY73" s="132">
        <f t="shared" si="31"/>
        <v>22252</v>
      </c>
      <c r="EZ73" s="90">
        <f>EY73/EY70</f>
        <v>0.69902302641912484</v>
      </c>
    </row>
    <row r="74" spans="1:156" ht="15.75" customHeight="1" thickBot="1" x14ac:dyDescent="0.3">
      <c r="A74" s="8" t="s">
        <v>43</v>
      </c>
      <c r="B74" s="8" t="s">
        <v>47</v>
      </c>
      <c r="C74" s="33">
        <v>418</v>
      </c>
      <c r="D74" s="33">
        <v>347</v>
      </c>
      <c r="E74" s="33">
        <v>157</v>
      </c>
      <c r="F74" s="33">
        <v>127</v>
      </c>
      <c r="G74" s="33">
        <v>255</v>
      </c>
      <c r="H74" s="33">
        <v>120</v>
      </c>
      <c r="I74" s="33">
        <v>311</v>
      </c>
      <c r="J74" s="33">
        <v>38</v>
      </c>
      <c r="K74" s="33">
        <v>346</v>
      </c>
      <c r="L74" s="33">
        <v>240</v>
      </c>
      <c r="M74" s="33">
        <v>51</v>
      </c>
      <c r="N74" s="33">
        <v>207</v>
      </c>
      <c r="O74" s="33">
        <v>287</v>
      </c>
      <c r="P74" s="33">
        <v>260</v>
      </c>
      <c r="Q74" s="33">
        <v>322</v>
      </c>
      <c r="R74" s="33">
        <v>225</v>
      </c>
      <c r="S74" s="33">
        <v>97</v>
      </c>
      <c r="T74" s="33">
        <v>130</v>
      </c>
      <c r="U74" s="33">
        <v>255</v>
      </c>
      <c r="V74" s="33">
        <v>213</v>
      </c>
      <c r="W74" s="33">
        <v>120</v>
      </c>
      <c r="X74" s="33">
        <v>95</v>
      </c>
      <c r="Y74" s="33">
        <v>107</v>
      </c>
      <c r="Z74" s="33">
        <v>31</v>
      </c>
      <c r="AA74" s="33">
        <v>127</v>
      </c>
      <c r="AB74" s="33">
        <v>76</v>
      </c>
      <c r="AC74" s="33">
        <v>42</v>
      </c>
      <c r="AD74" s="33">
        <v>0</v>
      </c>
      <c r="AE74" s="33">
        <v>75</v>
      </c>
      <c r="AF74" s="33">
        <v>67</v>
      </c>
      <c r="AG74" s="33">
        <v>221</v>
      </c>
      <c r="AH74" s="33">
        <v>221</v>
      </c>
      <c r="AI74" s="33">
        <v>326</v>
      </c>
      <c r="AJ74" s="34">
        <v>178</v>
      </c>
      <c r="AK74" s="34">
        <v>174</v>
      </c>
      <c r="AL74" s="34">
        <v>84</v>
      </c>
      <c r="AM74" s="34">
        <v>53</v>
      </c>
      <c r="AN74" s="34">
        <v>49</v>
      </c>
      <c r="AO74" s="34">
        <v>58</v>
      </c>
      <c r="AP74" s="34">
        <v>47</v>
      </c>
      <c r="AQ74" s="34">
        <v>81</v>
      </c>
      <c r="AR74" s="34">
        <v>35</v>
      </c>
      <c r="AS74" s="34">
        <v>44</v>
      </c>
      <c r="AT74" s="34">
        <v>140</v>
      </c>
      <c r="AU74" s="34">
        <v>231</v>
      </c>
      <c r="AV74" s="34">
        <v>178</v>
      </c>
      <c r="AW74" s="34">
        <v>83</v>
      </c>
      <c r="AX74" s="34">
        <v>56</v>
      </c>
      <c r="AY74" s="34">
        <v>3</v>
      </c>
      <c r="AZ74" s="34">
        <v>0</v>
      </c>
      <c r="BA74" s="34">
        <v>200</v>
      </c>
      <c r="BB74" s="34">
        <v>66</v>
      </c>
      <c r="BC74" s="34">
        <v>159</v>
      </c>
      <c r="BD74" s="34">
        <v>0</v>
      </c>
      <c r="BE74" s="34">
        <v>188</v>
      </c>
      <c r="BF74" s="34">
        <v>69</v>
      </c>
      <c r="BG74" s="34">
        <v>73</v>
      </c>
      <c r="BH74" s="34">
        <v>1</v>
      </c>
      <c r="BI74" s="34">
        <v>1</v>
      </c>
      <c r="BJ74" s="34">
        <v>44</v>
      </c>
      <c r="BK74" s="34">
        <v>0</v>
      </c>
      <c r="BL74" s="34">
        <v>43</v>
      </c>
      <c r="BM74" s="137">
        <v>13</v>
      </c>
      <c r="BN74" s="137">
        <v>8</v>
      </c>
      <c r="BO74" s="137">
        <v>54</v>
      </c>
      <c r="BP74" s="137">
        <v>58</v>
      </c>
      <c r="BQ74" s="137">
        <v>46</v>
      </c>
      <c r="BR74" s="138">
        <v>102</v>
      </c>
      <c r="BS74" s="138">
        <v>53</v>
      </c>
      <c r="BT74" s="138">
        <v>1</v>
      </c>
      <c r="BU74" s="138">
        <v>45</v>
      </c>
      <c r="BV74" s="138">
        <v>46</v>
      </c>
      <c r="BW74" s="137">
        <v>2</v>
      </c>
      <c r="BX74" s="137">
        <v>0</v>
      </c>
      <c r="BY74" s="137">
        <v>0</v>
      </c>
      <c r="BZ74" s="137">
        <v>0</v>
      </c>
      <c r="CA74" s="137">
        <v>2</v>
      </c>
      <c r="CB74" s="137">
        <v>56</v>
      </c>
      <c r="CC74" s="137">
        <v>0</v>
      </c>
      <c r="CD74" s="137">
        <v>125</v>
      </c>
      <c r="CE74" s="138">
        <v>5</v>
      </c>
      <c r="CF74" s="137">
        <v>22</v>
      </c>
      <c r="CG74" s="137">
        <v>60</v>
      </c>
      <c r="CH74" s="139">
        <v>27</v>
      </c>
      <c r="CI74" s="139">
        <v>24</v>
      </c>
      <c r="CJ74" s="137">
        <v>2</v>
      </c>
      <c r="CK74" s="137">
        <v>7</v>
      </c>
      <c r="CL74" s="137">
        <v>3</v>
      </c>
      <c r="CM74" s="137">
        <v>16</v>
      </c>
      <c r="CN74" s="137">
        <v>40</v>
      </c>
      <c r="CO74" s="137">
        <v>7</v>
      </c>
      <c r="CP74" s="137">
        <v>0</v>
      </c>
      <c r="CQ74" s="137">
        <v>0</v>
      </c>
      <c r="CR74" s="137">
        <v>0</v>
      </c>
      <c r="CS74" s="34">
        <v>0</v>
      </c>
      <c r="CT74" s="34">
        <v>1</v>
      </c>
      <c r="CU74" s="34">
        <v>5</v>
      </c>
      <c r="CV74" s="34">
        <v>1</v>
      </c>
      <c r="CW74" s="42">
        <v>0</v>
      </c>
      <c r="CX74" s="34">
        <v>3</v>
      </c>
      <c r="CY74" s="137">
        <v>0</v>
      </c>
      <c r="CZ74" s="34">
        <v>0</v>
      </c>
      <c r="DA74" s="34">
        <v>1</v>
      </c>
      <c r="DB74" s="34">
        <v>0</v>
      </c>
      <c r="DC74" s="34">
        <v>4</v>
      </c>
      <c r="DD74" s="34">
        <v>1</v>
      </c>
      <c r="DE74" s="34">
        <v>14</v>
      </c>
      <c r="DF74" s="34">
        <v>5</v>
      </c>
      <c r="DG74" s="34">
        <v>9</v>
      </c>
      <c r="DH74" s="42">
        <v>12</v>
      </c>
      <c r="DI74" s="34">
        <v>12</v>
      </c>
      <c r="DJ74" s="34">
        <v>10</v>
      </c>
      <c r="DK74" s="34">
        <v>14</v>
      </c>
      <c r="DL74" s="34">
        <v>1</v>
      </c>
      <c r="DM74" s="34">
        <v>2</v>
      </c>
      <c r="DN74" s="34">
        <v>0</v>
      </c>
      <c r="DO74" s="34">
        <v>1</v>
      </c>
      <c r="DP74" s="34">
        <v>0</v>
      </c>
      <c r="DQ74" s="34">
        <v>9</v>
      </c>
      <c r="DR74" s="34">
        <v>0</v>
      </c>
      <c r="DS74" s="34">
        <v>3</v>
      </c>
      <c r="DT74" s="42">
        <v>0</v>
      </c>
      <c r="DU74" s="34">
        <v>5</v>
      </c>
      <c r="DV74" s="34">
        <v>38</v>
      </c>
      <c r="DW74" s="34">
        <v>15</v>
      </c>
      <c r="DX74" s="42">
        <v>5</v>
      </c>
      <c r="DY74" s="42">
        <v>3</v>
      </c>
      <c r="DZ74" s="42">
        <v>1</v>
      </c>
      <c r="EA74" s="42">
        <v>96</v>
      </c>
      <c r="EB74" s="42">
        <v>2</v>
      </c>
      <c r="EC74" s="42">
        <v>1</v>
      </c>
      <c r="ED74" s="42">
        <v>3</v>
      </c>
      <c r="EE74" s="42">
        <v>12</v>
      </c>
      <c r="EF74" s="42">
        <v>3</v>
      </c>
      <c r="EG74" s="42">
        <v>3</v>
      </c>
      <c r="EH74" s="249">
        <f t="shared" si="0"/>
        <v>295</v>
      </c>
      <c r="EI74" s="150">
        <f t="shared" si="18"/>
        <v>9171</v>
      </c>
      <c r="EJ74" s="150">
        <f t="shared" si="19"/>
        <v>7436</v>
      </c>
      <c r="EK74" s="284">
        <f t="shared" si="1"/>
        <v>203</v>
      </c>
      <c r="EL74" s="151">
        <f t="shared" si="20"/>
        <v>418</v>
      </c>
      <c r="EM74" s="153">
        <f t="shared" si="21"/>
        <v>2486</v>
      </c>
      <c r="EN74" s="153">
        <f t="shared" si="22"/>
        <v>1982</v>
      </c>
      <c r="EO74" s="153">
        <f t="shared" si="23"/>
        <v>1517</v>
      </c>
      <c r="EP74" s="152">
        <f t="shared" si="24"/>
        <v>1005</v>
      </c>
      <c r="EQ74" s="152">
        <f t="shared" si="25"/>
        <v>1272</v>
      </c>
      <c r="ER74" s="152">
        <f t="shared" si="26"/>
        <v>402</v>
      </c>
      <c r="ES74" s="152">
        <f t="shared" si="27"/>
        <v>102</v>
      </c>
      <c r="ET74" s="152">
        <f t="shared" si="2"/>
        <v>187</v>
      </c>
      <c r="EU74" s="57">
        <f t="shared" si="28"/>
        <v>683</v>
      </c>
      <c r="EV74" s="12">
        <f t="shared" si="29"/>
        <v>344</v>
      </c>
      <c r="EX74" s="76">
        <f t="shared" si="30"/>
        <v>9076</v>
      </c>
      <c r="EY74" s="132">
        <f t="shared" si="31"/>
        <v>8246</v>
      </c>
      <c r="EZ74" s="90">
        <f>EY74/EY70</f>
        <v>0.25903936166870856</v>
      </c>
    </row>
    <row r="75" spans="1:156" ht="30.75" customHeight="1" thickBot="1" x14ac:dyDescent="0.3">
      <c r="A75" s="232" t="s">
        <v>48</v>
      </c>
      <c r="B75" s="232" t="s">
        <v>49</v>
      </c>
      <c r="C75" s="33">
        <v>1578</v>
      </c>
      <c r="D75" s="33">
        <v>2948</v>
      </c>
      <c r="E75" s="33">
        <v>3530</v>
      </c>
      <c r="F75" s="33">
        <v>3242</v>
      </c>
      <c r="G75" s="33">
        <v>5722</v>
      </c>
      <c r="H75" s="33">
        <v>5191</v>
      </c>
      <c r="I75" s="33">
        <v>5246</v>
      </c>
      <c r="J75" s="33">
        <v>4448</v>
      </c>
      <c r="K75" s="33">
        <v>3744</v>
      </c>
      <c r="L75" s="33">
        <v>2560</v>
      </c>
      <c r="M75" s="33">
        <v>5306</v>
      </c>
      <c r="N75" s="33">
        <v>4276</v>
      </c>
      <c r="O75" s="33">
        <v>5443</v>
      </c>
      <c r="P75" s="33">
        <v>7940</v>
      </c>
      <c r="Q75" s="33">
        <v>8294</v>
      </c>
      <c r="R75" s="33">
        <v>25787</v>
      </c>
      <c r="S75" s="33">
        <v>24383</v>
      </c>
      <c r="T75" s="33">
        <v>5159</v>
      </c>
      <c r="U75" s="33">
        <v>9733</v>
      </c>
      <c r="V75" s="33">
        <v>10770</v>
      </c>
      <c r="W75" s="33">
        <v>8185</v>
      </c>
      <c r="X75" s="33">
        <v>13061</v>
      </c>
      <c r="Y75" s="33">
        <v>7611</v>
      </c>
      <c r="Z75" s="33">
        <v>7278</v>
      </c>
      <c r="AA75" s="33">
        <v>5268</v>
      </c>
      <c r="AB75" s="33">
        <v>1485</v>
      </c>
      <c r="AC75" s="33">
        <v>974</v>
      </c>
      <c r="AD75" s="33">
        <v>1704</v>
      </c>
      <c r="AE75" s="33">
        <v>1812</v>
      </c>
      <c r="AF75" s="33">
        <v>1833</v>
      </c>
      <c r="AG75" s="33">
        <v>2752</v>
      </c>
      <c r="AH75" s="33">
        <v>3834</v>
      </c>
      <c r="AI75" s="33">
        <v>3855</v>
      </c>
      <c r="AJ75" s="34">
        <v>2674</v>
      </c>
      <c r="AK75" s="34">
        <v>3130</v>
      </c>
      <c r="AL75" s="34">
        <v>1714</v>
      </c>
      <c r="AM75" s="34">
        <v>2432</v>
      </c>
      <c r="AN75" s="34">
        <v>2586</v>
      </c>
      <c r="AO75" s="34">
        <v>2644</v>
      </c>
      <c r="AP75" s="34">
        <v>2888</v>
      </c>
      <c r="AQ75" s="34">
        <v>2219</v>
      </c>
      <c r="AR75" s="34">
        <v>2000</v>
      </c>
      <c r="AS75" s="34">
        <v>2044</v>
      </c>
      <c r="AT75" s="34">
        <v>3256</v>
      </c>
      <c r="AU75" s="34">
        <v>3701</v>
      </c>
      <c r="AV75" s="34">
        <v>2744</v>
      </c>
      <c r="AW75" s="34">
        <v>957</v>
      </c>
      <c r="AX75" s="34">
        <v>580</v>
      </c>
      <c r="AY75" s="34">
        <v>719</v>
      </c>
      <c r="AZ75" s="34">
        <v>145</v>
      </c>
      <c r="BA75" s="34">
        <v>1479</v>
      </c>
      <c r="BB75" s="34">
        <v>651</v>
      </c>
      <c r="BC75" s="34">
        <v>963</v>
      </c>
      <c r="BD75" s="34">
        <v>392</v>
      </c>
      <c r="BE75" s="34">
        <v>1195</v>
      </c>
      <c r="BF75" s="34">
        <v>834</v>
      </c>
      <c r="BG75" s="34">
        <v>877</v>
      </c>
      <c r="BH75" s="34">
        <v>52</v>
      </c>
      <c r="BI75" s="34">
        <v>725</v>
      </c>
      <c r="BJ75" s="34">
        <v>464</v>
      </c>
      <c r="BK75" s="34">
        <v>457</v>
      </c>
      <c r="BL75" s="34">
        <v>1610</v>
      </c>
      <c r="BM75" s="137">
        <v>672</v>
      </c>
      <c r="BN75" s="137">
        <v>960</v>
      </c>
      <c r="BO75" s="137">
        <v>1899</v>
      </c>
      <c r="BP75" s="137">
        <v>2383</v>
      </c>
      <c r="BQ75" s="137">
        <v>1220</v>
      </c>
      <c r="BR75" s="138">
        <v>1515</v>
      </c>
      <c r="BS75" s="138">
        <v>1791</v>
      </c>
      <c r="BT75" s="138">
        <v>664</v>
      </c>
      <c r="BU75" s="138">
        <v>4010</v>
      </c>
      <c r="BV75" s="138">
        <v>6146</v>
      </c>
      <c r="BW75" s="137">
        <v>4067</v>
      </c>
      <c r="BX75" s="137">
        <v>2943</v>
      </c>
      <c r="BY75" s="137">
        <v>10368</v>
      </c>
      <c r="BZ75" s="137">
        <v>5096</v>
      </c>
      <c r="CA75" s="137">
        <v>6489</v>
      </c>
      <c r="CB75" s="137">
        <v>3047</v>
      </c>
      <c r="CC75" s="137">
        <v>2655</v>
      </c>
      <c r="CD75" s="137">
        <v>1220</v>
      </c>
      <c r="CE75" s="138">
        <v>1346</v>
      </c>
      <c r="CF75" s="137">
        <v>173</v>
      </c>
      <c r="CG75" s="137">
        <v>250</v>
      </c>
      <c r="CH75" s="139">
        <v>164</v>
      </c>
      <c r="CI75" s="139">
        <v>177</v>
      </c>
      <c r="CJ75" s="137">
        <v>0</v>
      </c>
      <c r="CK75" s="137">
        <v>310</v>
      </c>
      <c r="CL75" s="137">
        <v>210</v>
      </c>
      <c r="CM75" s="137">
        <v>318</v>
      </c>
      <c r="CN75" s="137">
        <v>254</v>
      </c>
      <c r="CO75" s="137">
        <f>236+265</f>
        <v>501</v>
      </c>
      <c r="CP75" s="137">
        <v>256</v>
      </c>
      <c r="CQ75" s="137">
        <v>335</v>
      </c>
      <c r="CR75" s="137">
        <v>245</v>
      </c>
      <c r="CS75" s="34">
        <v>337</v>
      </c>
      <c r="CT75" s="34">
        <v>198</v>
      </c>
      <c r="CU75" s="34">
        <v>227</v>
      </c>
      <c r="CV75" s="34">
        <v>44</v>
      </c>
      <c r="CW75" s="42">
        <v>322</v>
      </c>
      <c r="CX75" s="34">
        <v>197</v>
      </c>
      <c r="CY75" s="137">
        <v>159</v>
      </c>
      <c r="CZ75" s="34">
        <v>126</v>
      </c>
      <c r="DA75" s="34">
        <v>121</v>
      </c>
      <c r="DB75" s="34">
        <v>170</v>
      </c>
      <c r="DC75" s="34">
        <v>289</v>
      </c>
      <c r="DD75" s="34">
        <v>109</v>
      </c>
      <c r="DE75" s="34">
        <v>197</v>
      </c>
      <c r="DF75" s="34">
        <v>81</v>
      </c>
      <c r="DG75" s="34">
        <v>79</v>
      </c>
      <c r="DH75" s="42">
        <v>58</v>
      </c>
      <c r="DI75" s="34">
        <v>58</v>
      </c>
      <c r="DJ75" s="34">
        <v>26</v>
      </c>
      <c r="DK75" s="34">
        <v>198</v>
      </c>
      <c r="DL75" s="34">
        <v>110</v>
      </c>
      <c r="DM75" s="34">
        <v>159</v>
      </c>
      <c r="DN75" s="34">
        <v>0</v>
      </c>
      <c r="DO75" s="34">
        <v>90</v>
      </c>
      <c r="DP75" s="34">
        <v>11</v>
      </c>
      <c r="DQ75" s="34">
        <v>13</v>
      </c>
      <c r="DR75" s="34">
        <v>10</v>
      </c>
      <c r="DS75" s="34">
        <v>11</v>
      </c>
      <c r="DT75" s="42">
        <v>0</v>
      </c>
      <c r="DU75" s="34">
        <v>119</v>
      </c>
      <c r="DV75" s="34">
        <v>70</v>
      </c>
      <c r="DW75" s="34">
        <v>67</v>
      </c>
      <c r="DX75" s="42">
        <v>124</v>
      </c>
      <c r="DY75" s="42">
        <v>23</v>
      </c>
      <c r="DZ75" s="42">
        <v>28</v>
      </c>
      <c r="EA75" s="42">
        <v>110</v>
      </c>
      <c r="EB75" s="42">
        <v>51</v>
      </c>
      <c r="EC75" s="42">
        <v>60</v>
      </c>
      <c r="ED75" s="42">
        <v>61</v>
      </c>
      <c r="EE75" s="42">
        <v>28</v>
      </c>
      <c r="EF75" s="42">
        <v>55</v>
      </c>
      <c r="EG75" s="42">
        <v>33</v>
      </c>
      <c r="EH75" s="249">
        <f t="shared" si="0"/>
        <v>5065</v>
      </c>
      <c r="EI75" s="150">
        <f t="shared" si="18"/>
        <v>316033</v>
      </c>
      <c r="EJ75" s="150">
        <f t="shared" si="19"/>
        <v>288576</v>
      </c>
      <c r="EK75" s="284">
        <f t="shared" si="1"/>
        <v>1233</v>
      </c>
      <c r="EL75" s="151">
        <f t="shared" si="20"/>
        <v>1578</v>
      </c>
      <c r="EM75" s="153">
        <f t="shared" si="21"/>
        <v>51656</v>
      </c>
      <c r="EN75" s="153">
        <f t="shared" si="22"/>
        <v>133469</v>
      </c>
      <c r="EO75" s="153">
        <f t="shared" si="23"/>
        <v>28199</v>
      </c>
      <c r="EP75" s="152">
        <f t="shared" si="24"/>
        <v>26338</v>
      </c>
      <c r="EQ75" s="152">
        <f t="shared" si="25"/>
        <v>35171</v>
      </c>
      <c r="ER75" s="152">
        <f t="shared" si="26"/>
        <v>37119</v>
      </c>
      <c r="ES75" s="152">
        <f t="shared" si="27"/>
        <v>2638</v>
      </c>
      <c r="ET75" s="152">
        <f t="shared" si="2"/>
        <v>829</v>
      </c>
      <c r="EU75" s="57">
        <f t="shared" si="28"/>
        <v>56034</v>
      </c>
      <c r="EV75" s="12">
        <f t="shared" si="29"/>
        <v>6521</v>
      </c>
      <c r="EX75" s="12">
        <f t="shared" si="30"/>
        <v>311932</v>
      </c>
      <c r="EY75" s="131">
        <f t="shared" si="31"/>
        <v>307708</v>
      </c>
    </row>
    <row r="76" spans="1:156" ht="15.75" customHeight="1" thickBot="1" x14ac:dyDescent="0.3">
      <c r="A76" s="8" t="s">
        <v>49</v>
      </c>
      <c r="B76" s="8" t="s">
        <v>44</v>
      </c>
      <c r="C76" s="33">
        <v>254</v>
      </c>
      <c r="D76" s="33">
        <v>418</v>
      </c>
      <c r="E76" s="33">
        <v>492</v>
      </c>
      <c r="F76" s="33">
        <v>557</v>
      </c>
      <c r="G76" s="33">
        <v>1279</v>
      </c>
      <c r="H76" s="33">
        <v>1578</v>
      </c>
      <c r="I76" s="33">
        <v>1222</v>
      </c>
      <c r="J76" s="33">
        <v>380</v>
      </c>
      <c r="K76" s="33">
        <v>550</v>
      </c>
      <c r="L76" s="33">
        <v>197</v>
      </c>
      <c r="M76" s="33">
        <v>1706</v>
      </c>
      <c r="N76" s="33">
        <v>128</v>
      </c>
      <c r="O76" s="33">
        <v>185</v>
      </c>
      <c r="P76" s="33">
        <v>764</v>
      </c>
      <c r="Q76" s="33">
        <v>1248</v>
      </c>
      <c r="R76" s="33">
        <v>14017</v>
      </c>
      <c r="S76" s="33">
        <v>8525</v>
      </c>
      <c r="T76" s="33">
        <v>243</v>
      </c>
      <c r="U76" s="33">
        <v>664</v>
      </c>
      <c r="V76" s="33">
        <v>1058</v>
      </c>
      <c r="W76" s="33">
        <v>1250</v>
      </c>
      <c r="X76" s="33">
        <v>1979</v>
      </c>
      <c r="Y76" s="33">
        <v>1008</v>
      </c>
      <c r="Z76" s="33">
        <v>902</v>
      </c>
      <c r="AA76" s="33">
        <v>843</v>
      </c>
      <c r="AB76" s="33">
        <v>404</v>
      </c>
      <c r="AC76" s="33">
        <v>440</v>
      </c>
      <c r="AD76" s="33">
        <v>481</v>
      </c>
      <c r="AE76" s="33">
        <v>377</v>
      </c>
      <c r="AF76" s="33">
        <v>593</v>
      </c>
      <c r="AG76" s="33">
        <v>554</v>
      </c>
      <c r="AH76" s="33">
        <v>1159</v>
      </c>
      <c r="AI76" s="33">
        <v>771</v>
      </c>
      <c r="AJ76" s="34">
        <v>724</v>
      </c>
      <c r="AK76" s="34">
        <v>1001</v>
      </c>
      <c r="AL76" s="34">
        <v>324</v>
      </c>
      <c r="AM76" s="34">
        <v>339</v>
      </c>
      <c r="AN76" s="34">
        <v>917</v>
      </c>
      <c r="AO76" s="34">
        <v>276</v>
      </c>
      <c r="AP76" s="34">
        <v>136</v>
      </c>
      <c r="AQ76" s="34">
        <v>120</v>
      </c>
      <c r="AR76" s="34">
        <v>0</v>
      </c>
      <c r="AS76" s="34">
        <v>432</v>
      </c>
      <c r="AT76" s="34">
        <v>340</v>
      </c>
      <c r="AU76" s="34">
        <v>748</v>
      </c>
      <c r="AV76" s="34">
        <v>433</v>
      </c>
      <c r="AW76" s="34">
        <v>0</v>
      </c>
      <c r="AX76" s="34">
        <v>0</v>
      </c>
      <c r="AY76" s="34">
        <v>0</v>
      </c>
      <c r="AZ76" s="34">
        <v>0</v>
      </c>
      <c r="BA76" s="34">
        <v>216</v>
      </c>
      <c r="BB76" s="34">
        <v>0</v>
      </c>
      <c r="BC76" s="34">
        <v>120</v>
      </c>
      <c r="BD76" s="34">
        <v>1</v>
      </c>
      <c r="BE76" s="34">
        <v>1</v>
      </c>
      <c r="BF76" s="34">
        <v>0</v>
      </c>
      <c r="BG76" s="34">
        <v>0</v>
      </c>
      <c r="BH76" s="34">
        <v>0</v>
      </c>
      <c r="BI76" s="34">
        <v>0</v>
      </c>
      <c r="BJ76" s="34">
        <v>0</v>
      </c>
      <c r="BK76" s="34">
        <v>0</v>
      </c>
      <c r="BL76" s="34">
        <v>12</v>
      </c>
      <c r="BM76" s="137">
        <v>0</v>
      </c>
      <c r="BN76" s="137">
        <v>3</v>
      </c>
      <c r="BO76" s="137">
        <v>0</v>
      </c>
      <c r="BP76" s="137">
        <v>22</v>
      </c>
      <c r="BQ76" s="137">
        <v>4</v>
      </c>
      <c r="BR76" s="138">
        <v>209</v>
      </c>
      <c r="BS76" s="138">
        <v>4</v>
      </c>
      <c r="BT76" s="138">
        <v>1</v>
      </c>
      <c r="BU76" s="138">
        <v>10</v>
      </c>
      <c r="BV76" s="138">
        <v>21</v>
      </c>
      <c r="BW76" s="137">
        <v>5</v>
      </c>
      <c r="BX76" s="137">
        <v>0</v>
      </c>
      <c r="BY76" s="137">
        <v>5</v>
      </c>
      <c r="BZ76" s="137">
        <v>6</v>
      </c>
      <c r="CA76" s="137">
        <v>12</v>
      </c>
      <c r="CB76" s="137">
        <v>8</v>
      </c>
      <c r="CC76" s="137">
        <v>4</v>
      </c>
      <c r="CD76" s="137">
        <v>0</v>
      </c>
      <c r="CE76" s="138">
        <v>3</v>
      </c>
      <c r="CF76" s="137">
        <v>0</v>
      </c>
      <c r="CG76" s="137">
        <v>0</v>
      </c>
      <c r="CH76" s="139">
        <v>0</v>
      </c>
      <c r="CI76" s="139">
        <v>0</v>
      </c>
      <c r="CJ76" s="137">
        <v>0</v>
      </c>
      <c r="CK76" s="137">
        <v>0</v>
      </c>
      <c r="CL76" s="137">
        <v>0</v>
      </c>
      <c r="CM76" s="137">
        <v>0</v>
      </c>
      <c r="CN76" s="137">
        <v>0</v>
      </c>
      <c r="CO76" s="137">
        <v>0</v>
      </c>
      <c r="CP76" s="137">
        <v>0</v>
      </c>
      <c r="CQ76" s="137">
        <v>0</v>
      </c>
      <c r="CR76" s="137">
        <v>0</v>
      </c>
      <c r="CS76" s="34">
        <v>0</v>
      </c>
      <c r="CT76" s="34">
        <v>0</v>
      </c>
      <c r="CU76" s="34">
        <v>0</v>
      </c>
      <c r="CV76" s="34">
        <v>0</v>
      </c>
      <c r="CW76" s="42">
        <v>0</v>
      </c>
      <c r="CX76" s="34">
        <v>0</v>
      </c>
      <c r="CY76" s="137">
        <v>0</v>
      </c>
      <c r="CZ76" s="34">
        <v>0</v>
      </c>
      <c r="DA76" s="34">
        <v>0</v>
      </c>
      <c r="DB76" s="34">
        <v>0</v>
      </c>
      <c r="DC76" s="34">
        <v>21</v>
      </c>
      <c r="DD76" s="34">
        <v>1</v>
      </c>
      <c r="DE76" s="34">
        <v>0</v>
      </c>
      <c r="DF76" s="34">
        <v>0</v>
      </c>
      <c r="DG76" s="34">
        <v>0</v>
      </c>
      <c r="DH76" s="42">
        <v>0</v>
      </c>
      <c r="DI76" s="34">
        <v>4</v>
      </c>
      <c r="DJ76" s="34">
        <v>0</v>
      </c>
      <c r="DK76" s="34">
        <v>2</v>
      </c>
      <c r="DL76" s="34">
        <v>10</v>
      </c>
      <c r="DM76" s="34">
        <v>1</v>
      </c>
      <c r="DN76" s="34">
        <v>0</v>
      </c>
      <c r="DO76" s="34">
        <v>0</v>
      </c>
      <c r="DP76" s="34">
        <v>0</v>
      </c>
      <c r="DQ76" s="34">
        <v>0</v>
      </c>
      <c r="DR76" s="34">
        <v>0</v>
      </c>
      <c r="DS76" s="34">
        <v>0</v>
      </c>
      <c r="DT76" s="42">
        <v>0</v>
      </c>
      <c r="DU76" s="34">
        <v>0</v>
      </c>
      <c r="DV76" s="34">
        <v>3</v>
      </c>
      <c r="DW76" s="34">
        <v>0</v>
      </c>
      <c r="DX76" s="42">
        <v>0</v>
      </c>
      <c r="DY76" s="42">
        <v>0</v>
      </c>
      <c r="DZ76" s="42">
        <v>0</v>
      </c>
      <c r="EA76" s="42">
        <v>0</v>
      </c>
      <c r="EB76" s="42">
        <v>0</v>
      </c>
      <c r="EC76" s="42">
        <v>0</v>
      </c>
      <c r="ED76" s="42">
        <v>0</v>
      </c>
      <c r="EE76" s="42">
        <v>0</v>
      </c>
      <c r="EF76" s="42">
        <v>0</v>
      </c>
      <c r="EG76" s="42">
        <v>0</v>
      </c>
      <c r="EH76" s="249">
        <f t="shared" si="0"/>
        <v>42</v>
      </c>
      <c r="EI76" s="150">
        <f t="shared" si="18"/>
        <v>52722</v>
      </c>
      <c r="EJ76" s="150">
        <f t="shared" si="19"/>
        <v>46922</v>
      </c>
      <c r="EK76" s="284">
        <f t="shared" si="1"/>
        <v>14</v>
      </c>
      <c r="EL76" s="151">
        <f t="shared" si="20"/>
        <v>254</v>
      </c>
      <c r="EM76" s="153">
        <f t="shared" si="21"/>
        <v>8692</v>
      </c>
      <c r="EN76" s="153">
        <f t="shared" si="22"/>
        <v>32501</v>
      </c>
      <c r="EO76" s="153">
        <f t="shared" si="23"/>
        <v>7167</v>
      </c>
      <c r="EP76" s="152">
        <f t="shared" si="24"/>
        <v>3402</v>
      </c>
      <c r="EQ76" s="152">
        <f t="shared" si="25"/>
        <v>629</v>
      </c>
      <c r="ER76" s="152">
        <f t="shared" si="26"/>
        <v>38</v>
      </c>
      <c r="ES76" s="152">
        <f t="shared" si="27"/>
        <v>39</v>
      </c>
      <c r="ET76" s="152">
        <f t="shared" si="2"/>
        <v>3</v>
      </c>
      <c r="EU76" s="57">
        <f t="shared" si="28"/>
        <v>314</v>
      </c>
      <c r="EV76" s="12">
        <f t="shared" si="29"/>
        <v>3</v>
      </c>
      <c r="EX76" s="12">
        <f t="shared" si="30"/>
        <v>52683</v>
      </c>
      <c r="EY76" s="131">
        <f t="shared" si="31"/>
        <v>51547</v>
      </c>
    </row>
    <row r="77" spans="1:156" ht="15.75" customHeight="1" thickBot="1" x14ac:dyDescent="0.3">
      <c r="A77" s="8" t="s">
        <v>49</v>
      </c>
      <c r="B77" s="8" t="s">
        <v>45</v>
      </c>
      <c r="C77" s="33">
        <v>22</v>
      </c>
      <c r="D77" s="33">
        <v>2</v>
      </c>
      <c r="E77" s="33">
        <v>7</v>
      </c>
      <c r="F77" s="33">
        <v>35</v>
      </c>
      <c r="G77" s="33">
        <v>2</v>
      </c>
      <c r="H77" s="33">
        <v>15</v>
      </c>
      <c r="I77" s="33">
        <v>6</v>
      </c>
      <c r="J77" s="33">
        <v>128</v>
      </c>
      <c r="K77" s="33">
        <v>72</v>
      </c>
      <c r="L77" s="33">
        <v>24</v>
      </c>
      <c r="M77" s="33">
        <v>26</v>
      </c>
      <c r="N77" s="33">
        <v>0</v>
      </c>
      <c r="O77" s="33">
        <v>9</v>
      </c>
      <c r="P77" s="33">
        <v>6</v>
      </c>
      <c r="Q77" s="33">
        <v>8</v>
      </c>
      <c r="R77" s="33">
        <v>5</v>
      </c>
      <c r="S77" s="33">
        <v>19</v>
      </c>
      <c r="T77" s="33">
        <v>54</v>
      </c>
      <c r="U77" s="33">
        <v>0</v>
      </c>
      <c r="V77" s="33">
        <v>37</v>
      </c>
      <c r="W77" s="33">
        <v>35</v>
      </c>
      <c r="X77" s="33">
        <v>0</v>
      </c>
      <c r="Y77" s="33">
        <v>0</v>
      </c>
      <c r="Z77" s="33">
        <v>0</v>
      </c>
      <c r="AA77" s="33">
        <v>0</v>
      </c>
      <c r="AB77" s="33">
        <v>0</v>
      </c>
      <c r="AC77" s="33">
        <v>0</v>
      </c>
      <c r="AD77" s="33">
        <v>2</v>
      </c>
      <c r="AE77" s="33">
        <v>0</v>
      </c>
      <c r="AF77" s="33">
        <v>0</v>
      </c>
      <c r="AG77" s="33">
        <v>0</v>
      </c>
      <c r="AH77" s="33">
        <v>0</v>
      </c>
      <c r="AI77" s="33">
        <v>0</v>
      </c>
      <c r="AJ77" s="34">
        <v>0</v>
      </c>
      <c r="AK77" s="34">
        <v>0</v>
      </c>
      <c r="AL77" s="34">
        <v>0</v>
      </c>
      <c r="AM77" s="34">
        <v>35</v>
      </c>
      <c r="AN77" s="34">
        <v>0</v>
      </c>
      <c r="AO77" s="34">
        <v>0</v>
      </c>
      <c r="AP77" s="34">
        <v>0</v>
      </c>
      <c r="AQ77" s="34">
        <v>1</v>
      </c>
      <c r="AR77" s="34">
        <v>0</v>
      </c>
      <c r="AS77" s="34">
        <v>27</v>
      </c>
      <c r="AT77" s="34">
        <v>9</v>
      </c>
      <c r="AU77" s="34">
        <v>0</v>
      </c>
      <c r="AV77" s="34">
        <v>9</v>
      </c>
      <c r="AW77" s="34">
        <v>0</v>
      </c>
      <c r="AX77" s="34">
        <v>0</v>
      </c>
      <c r="AY77" s="34">
        <v>0</v>
      </c>
      <c r="AZ77" s="34">
        <v>0</v>
      </c>
      <c r="BA77" s="34">
        <v>0</v>
      </c>
      <c r="BB77" s="34">
        <v>0</v>
      </c>
      <c r="BC77" s="34">
        <v>0</v>
      </c>
      <c r="BD77" s="34">
        <v>0</v>
      </c>
      <c r="BE77" s="34">
        <v>0</v>
      </c>
      <c r="BF77" s="34">
        <v>0</v>
      </c>
      <c r="BG77" s="34">
        <v>0</v>
      </c>
      <c r="BH77" s="34">
        <v>0</v>
      </c>
      <c r="BI77" s="34">
        <v>0</v>
      </c>
      <c r="BJ77" s="34">
        <v>0</v>
      </c>
      <c r="BK77" s="34">
        <v>0</v>
      </c>
      <c r="BL77" s="34">
        <v>18</v>
      </c>
      <c r="BM77" s="137">
        <v>13</v>
      </c>
      <c r="BN77" s="137">
        <v>2</v>
      </c>
      <c r="BO77" s="137">
        <v>0</v>
      </c>
      <c r="BP77" s="137">
        <v>4</v>
      </c>
      <c r="BQ77" s="137">
        <v>0</v>
      </c>
      <c r="BR77" s="138">
        <v>0</v>
      </c>
      <c r="BS77" s="138">
        <v>0</v>
      </c>
      <c r="BT77" s="138">
        <v>0</v>
      </c>
      <c r="BU77" s="138">
        <v>0</v>
      </c>
      <c r="BV77" s="138">
        <v>13</v>
      </c>
      <c r="BW77" s="137">
        <v>39</v>
      </c>
      <c r="BX77" s="137">
        <v>0</v>
      </c>
      <c r="BY77" s="137">
        <v>0</v>
      </c>
      <c r="BZ77" s="137">
        <v>1</v>
      </c>
      <c r="CA77" s="148">
        <v>0</v>
      </c>
      <c r="CB77" s="137">
        <v>0</v>
      </c>
      <c r="CC77" s="137">
        <v>0</v>
      </c>
      <c r="CD77" s="137">
        <v>0</v>
      </c>
      <c r="CE77" s="138">
        <v>0</v>
      </c>
      <c r="CF77" s="137">
        <v>0</v>
      </c>
      <c r="CG77" s="137">
        <v>0</v>
      </c>
      <c r="CH77" s="139">
        <v>2</v>
      </c>
      <c r="CI77" s="139">
        <v>3</v>
      </c>
      <c r="CJ77" s="137">
        <v>0</v>
      </c>
      <c r="CK77" s="137">
        <v>1</v>
      </c>
      <c r="CL77" s="137">
        <v>33</v>
      </c>
      <c r="CM77" s="137">
        <v>1</v>
      </c>
      <c r="CN77" s="137">
        <v>18</v>
      </c>
      <c r="CO77" s="137">
        <v>27</v>
      </c>
      <c r="CP77" s="137">
        <v>37</v>
      </c>
      <c r="CQ77" s="137">
        <v>25</v>
      </c>
      <c r="CR77" s="137">
        <v>0</v>
      </c>
      <c r="CS77" s="34">
        <v>9</v>
      </c>
      <c r="CT77" s="34">
        <v>18</v>
      </c>
      <c r="CU77" s="34">
        <v>1</v>
      </c>
      <c r="CV77" s="34">
        <v>0</v>
      </c>
      <c r="CW77" s="42">
        <v>11</v>
      </c>
      <c r="CX77" s="34">
        <v>46</v>
      </c>
      <c r="CY77" s="137">
        <v>45</v>
      </c>
      <c r="CZ77" s="34">
        <v>99</v>
      </c>
      <c r="DA77" s="34">
        <v>27</v>
      </c>
      <c r="DB77" s="34">
        <v>83</v>
      </c>
      <c r="DC77" s="34">
        <v>148</v>
      </c>
      <c r="DD77" s="34">
        <v>15</v>
      </c>
      <c r="DE77" s="34">
        <v>25</v>
      </c>
      <c r="DF77" s="34">
        <v>6</v>
      </c>
      <c r="DG77" s="34">
        <v>0</v>
      </c>
      <c r="DH77" s="42">
        <v>2</v>
      </c>
      <c r="DI77" s="34">
        <v>2</v>
      </c>
      <c r="DJ77" s="34">
        <v>0</v>
      </c>
      <c r="DK77" s="34">
        <v>4</v>
      </c>
      <c r="DL77" s="34">
        <v>3</v>
      </c>
      <c r="DM77" s="34">
        <v>0</v>
      </c>
      <c r="DN77" s="34">
        <v>0</v>
      </c>
      <c r="DO77" s="34">
        <v>0</v>
      </c>
      <c r="DP77" s="34">
        <v>0</v>
      </c>
      <c r="DQ77" s="34">
        <v>0</v>
      </c>
      <c r="DR77" s="34">
        <v>0</v>
      </c>
      <c r="DS77" s="34">
        <v>0</v>
      </c>
      <c r="DT77" s="42">
        <v>0</v>
      </c>
      <c r="DU77" s="34">
        <v>1</v>
      </c>
      <c r="DV77" s="34">
        <v>0</v>
      </c>
      <c r="DW77" s="34">
        <v>1</v>
      </c>
      <c r="DX77" s="42">
        <v>2</v>
      </c>
      <c r="DY77" s="42">
        <v>0</v>
      </c>
      <c r="DZ77" s="42">
        <v>0</v>
      </c>
      <c r="EA77" s="42">
        <v>0</v>
      </c>
      <c r="EB77" s="42">
        <v>0</v>
      </c>
      <c r="EC77" s="42">
        <v>0</v>
      </c>
      <c r="ED77" s="42">
        <v>0</v>
      </c>
      <c r="EE77" s="42">
        <v>0</v>
      </c>
      <c r="EF77" s="42">
        <v>0</v>
      </c>
      <c r="EG77" s="42">
        <v>0</v>
      </c>
      <c r="EH77" s="249">
        <f t="shared" si="0"/>
        <v>610</v>
      </c>
      <c r="EI77" s="150">
        <f t="shared" si="18"/>
        <v>1376</v>
      </c>
      <c r="EJ77" s="150">
        <f t="shared" si="19"/>
        <v>1287</v>
      </c>
      <c r="EK77" s="284">
        <f t="shared" si="1"/>
        <v>7</v>
      </c>
      <c r="EL77" s="151">
        <f t="shared" si="20"/>
        <v>22</v>
      </c>
      <c r="EM77" s="153">
        <f t="shared" si="21"/>
        <v>326</v>
      </c>
      <c r="EN77" s="153">
        <f t="shared" si="22"/>
        <v>164</v>
      </c>
      <c r="EO77" s="153">
        <f t="shared" si="23"/>
        <v>37</v>
      </c>
      <c r="EP77" s="152">
        <f t="shared" si="24"/>
        <v>46</v>
      </c>
      <c r="EQ77" s="152">
        <f t="shared" si="25"/>
        <v>89</v>
      </c>
      <c r="ER77" s="152">
        <f t="shared" si="26"/>
        <v>176</v>
      </c>
      <c r="ES77" s="152">
        <f t="shared" si="27"/>
        <v>516</v>
      </c>
      <c r="ET77" s="152">
        <f t="shared" si="2"/>
        <v>4</v>
      </c>
      <c r="EU77" s="57">
        <f t="shared" si="28"/>
        <v>63</v>
      </c>
      <c r="EV77" s="12">
        <f t="shared" si="29"/>
        <v>175</v>
      </c>
      <c r="EX77" s="12">
        <f t="shared" si="30"/>
        <v>770</v>
      </c>
      <c r="EY77" s="131">
        <f t="shared" si="31"/>
        <v>1342</v>
      </c>
    </row>
    <row r="78" spans="1:156" ht="15.75" customHeight="1" thickBot="1" x14ac:dyDescent="0.3">
      <c r="A78" s="8" t="s">
        <v>49</v>
      </c>
      <c r="B78" s="8" t="s">
        <v>46</v>
      </c>
      <c r="C78" s="33">
        <v>249</v>
      </c>
      <c r="D78" s="33">
        <v>898</v>
      </c>
      <c r="E78" s="33">
        <v>610</v>
      </c>
      <c r="F78" s="33">
        <v>852</v>
      </c>
      <c r="G78" s="33">
        <v>1697</v>
      </c>
      <c r="H78" s="33">
        <v>1999</v>
      </c>
      <c r="I78" s="33">
        <v>1129</v>
      </c>
      <c r="J78" s="33">
        <v>221</v>
      </c>
      <c r="K78" s="33">
        <v>163</v>
      </c>
      <c r="L78" s="33">
        <v>245</v>
      </c>
      <c r="M78" s="33">
        <v>654</v>
      </c>
      <c r="N78" s="33">
        <v>94</v>
      </c>
      <c r="O78" s="33">
        <v>244</v>
      </c>
      <c r="P78" s="33">
        <v>354</v>
      </c>
      <c r="Q78" s="33">
        <v>644</v>
      </c>
      <c r="R78" s="33">
        <v>499</v>
      </c>
      <c r="S78" s="33">
        <v>9850</v>
      </c>
      <c r="T78" s="33">
        <v>757</v>
      </c>
      <c r="U78" s="33">
        <v>628</v>
      </c>
      <c r="V78" s="33">
        <v>644</v>
      </c>
      <c r="W78" s="33">
        <v>621</v>
      </c>
      <c r="X78" s="33">
        <v>570</v>
      </c>
      <c r="Y78" s="33">
        <v>391</v>
      </c>
      <c r="Z78" s="33">
        <v>298</v>
      </c>
      <c r="AA78" s="33">
        <v>196</v>
      </c>
      <c r="AB78" s="33">
        <v>345</v>
      </c>
      <c r="AC78" s="33">
        <v>448</v>
      </c>
      <c r="AD78" s="33">
        <v>595</v>
      </c>
      <c r="AE78" s="33">
        <v>578</v>
      </c>
      <c r="AF78" s="33">
        <v>404</v>
      </c>
      <c r="AG78" s="33">
        <v>634</v>
      </c>
      <c r="AH78" s="33">
        <v>537</v>
      </c>
      <c r="AI78" s="33">
        <v>1033</v>
      </c>
      <c r="AJ78" s="34">
        <v>644</v>
      </c>
      <c r="AK78" s="34">
        <v>333</v>
      </c>
      <c r="AL78" s="34">
        <v>538</v>
      </c>
      <c r="AM78" s="34">
        <v>304</v>
      </c>
      <c r="AN78" s="34">
        <v>471</v>
      </c>
      <c r="AO78" s="34">
        <v>248</v>
      </c>
      <c r="AP78" s="34">
        <v>486</v>
      </c>
      <c r="AQ78" s="34">
        <v>450</v>
      </c>
      <c r="AR78" s="34">
        <v>345</v>
      </c>
      <c r="AS78" s="34">
        <v>63</v>
      </c>
      <c r="AT78" s="34">
        <v>343</v>
      </c>
      <c r="AU78" s="34">
        <v>302</v>
      </c>
      <c r="AV78" s="34">
        <v>287</v>
      </c>
      <c r="AW78" s="34">
        <v>43</v>
      </c>
      <c r="AX78" s="34">
        <v>209</v>
      </c>
      <c r="AY78" s="34">
        <v>236</v>
      </c>
      <c r="AZ78" s="34">
        <v>55</v>
      </c>
      <c r="BA78" s="34">
        <v>177</v>
      </c>
      <c r="BB78" s="34">
        <v>95</v>
      </c>
      <c r="BC78" s="34">
        <v>199</v>
      </c>
      <c r="BD78" s="34">
        <v>182</v>
      </c>
      <c r="BE78" s="34">
        <v>440</v>
      </c>
      <c r="BF78" s="34">
        <v>282</v>
      </c>
      <c r="BG78" s="34">
        <v>372</v>
      </c>
      <c r="BH78" s="34">
        <v>19</v>
      </c>
      <c r="BI78" s="34">
        <v>529</v>
      </c>
      <c r="BJ78" s="34">
        <v>420</v>
      </c>
      <c r="BK78" s="34">
        <v>0</v>
      </c>
      <c r="BL78" s="34">
        <v>453</v>
      </c>
      <c r="BM78" s="137">
        <v>314</v>
      </c>
      <c r="BN78" s="137">
        <v>207</v>
      </c>
      <c r="BO78" s="137">
        <v>180</v>
      </c>
      <c r="BP78" s="137">
        <v>298</v>
      </c>
      <c r="BQ78" s="137">
        <v>244</v>
      </c>
      <c r="BR78" s="138">
        <v>207</v>
      </c>
      <c r="BS78" s="138">
        <v>450</v>
      </c>
      <c r="BT78" s="138">
        <v>163</v>
      </c>
      <c r="BU78" s="138">
        <v>224</v>
      </c>
      <c r="BV78" s="138">
        <v>192</v>
      </c>
      <c r="BW78" s="137">
        <v>376</v>
      </c>
      <c r="BX78" s="137">
        <v>86</v>
      </c>
      <c r="BY78" s="137">
        <v>127</v>
      </c>
      <c r="BZ78" s="137">
        <v>157</v>
      </c>
      <c r="CA78" s="137">
        <v>272</v>
      </c>
      <c r="CB78" s="137">
        <v>165</v>
      </c>
      <c r="CC78" s="137">
        <v>154</v>
      </c>
      <c r="CD78" s="137">
        <v>236</v>
      </c>
      <c r="CE78" s="138">
        <v>198</v>
      </c>
      <c r="CF78" s="137">
        <v>149</v>
      </c>
      <c r="CG78" s="137">
        <v>190</v>
      </c>
      <c r="CH78" s="139">
        <v>135</v>
      </c>
      <c r="CI78" s="139">
        <v>150</v>
      </c>
      <c r="CJ78" s="137">
        <v>0</v>
      </c>
      <c r="CK78" s="137">
        <v>302</v>
      </c>
      <c r="CL78" s="137">
        <v>174</v>
      </c>
      <c r="CM78" s="137">
        <v>301</v>
      </c>
      <c r="CN78" s="137">
        <v>180</v>
      </c>
      <c r="CO78" s="137">
        <f>203+262</f>
        <v>465</v>
      </c>
      <c r="CP78" s="137">
        <v>219</v>
      </c>
      <c r="CQ78" s="137">
        <v>310</v>
      </c>
      <c r="CR78" s="137">
        <v>245</v>
      </c>
      <c r="CS78" s="34">
        <v>327</v>
      </c>
      <c r="CT78" s="34">
        <v>179</v>
      </c>
      <c r="CU78" s="34">
        <v>221</v>
      </c>
      <c r="CV78" s="34">
        <v>43</v>
      </c>
      <c r="CW78" s="42">
        <v>311</v>
      </c>
      <c r="CX78" s="34">
        <v>148</v>
      </c>
      <c r="CY78" s="137">
        <v>114</v>
      </c>
      <c r="CZ78" s="34">
        <v>27</v>
      </c>
      <c r="DA78" s="34">
        <v>93</v>
      </c>
      <c r="DB78" s="34">
        <v>86</v>
      </c>
      <c r="DC78" s="34">
        <v>116</v>
      </c>
      <c r="DD78" s="34">
        <v>92</v>
      </c>
      <c r="DE78" s="34">
        <v>151</v>
      </c>
      <c r="DF78" s="34">
        <v>68</v>
      </c>
      <c r="DG78" s="34">
        <v>70</v>
      </c>
      <c r="DH78" s="42">
        <v>38</v>
      </c>
      <c r="DI78" s="34">
        <v>38</v>
      </c>
      <c r="DJ78" s="34">
        <v>16</v>
      </c>
      <c r="DK78" s="34">
        <v>175</v>
      </c>
      <c r="DL78" s="34">
        <v>94</v>
      </c>
      <c r="DM78" s="34">
        <v>156</v>
      </c>
      <c r="DN78" s="34">
        <v>0</v>
      </c>
      <c r="DO78" s="34">
        <v>89</v>
      </c>
      <c r="DP78" s="34">
        <v>11</v>
      </c>
      <c r="DQ78" s="34">
        <v>4</v>
      </c>
      <c r="DR78" s="34">
        <v>10</v>
      </c>
      <c r="DS78" s="34">
        <v>8</v>
      </c>
      <c r="DT78" s="42">
        <v>0</v>
      </c>
      <c r="DU78" s="34">
        <v>113</v>
      </c>
      <c r="DV78" s="34">
        <v>28</v>
      </c>
      <c r="DW78" s="34">
        <v>51</v>
      </c>
      <c r="DX78" s="42">
        <v>117</v>
      </c>
      <c r="DY78" s="42">
        <v>20</v>
      </c>
      <c r="DZ78" s="42">
        <v>27</v>
      </c>
      <c r="EA78" s="42">
        <v>14</v>
      </c>
      <c r="EB78" s="42">
        <v>49</v>
      </c>
      <c r="EC78" s="42">
        <v>59</v>
      </c>
      <c r="ED78" s="42">
        <v>58</v>
      </c>
      <c r="EE78" s="42">
        <v>16</v>
      </c>
      <c r="EF78" s="42">
        <v>52</v>
      </c>
      <c r="EG78" s="42">
        <v>30</v>
      </c>
      <c r="EH78" s="249">
        <f t="shared" ref="EH78:EH96" si="32">SUM(CP78:EG78)</f>
        <v>4093</v>
      </c>
      <c r="EI78" s="150">
        <f t="shared" si="18"/>
        <v>47239</v>
      </c>
      <c r="EJ78" s="150">
        <f t="shared" si="19"/>
        <v>39805</v>
      </c>
      <c r="EK78" s="284">
        <f t="shared" ref="EK78:EK96" si="33">SUM(DL78:EG78)</f>
        <v>1006</v>
      </c>
      <c r="EL78" s="151">
        <f t="shared" si="20"/>
        <v>249</v>
      </c>
      <c r="EM78" s="153">
        <f t="shared" si="21"/>
        <v>8806</v>
      </c>
      <c r="EN78" s="153">
        <f t="shared" si="22"/>
        <v>15452</v>
      </c>
      <c r="EO78" s="153">
        <f t="shared" si="23"/>
        <v>6393</v>
      </c>
      <c r="EP78" s="152">
        <f t="shared" si="24"/>
        <v>3483</v>
      </c>
      <c r="EQ78" s="152">
        <f t="shared" si="25"/>
        <v>6078</v>
      </c>
      <c r="ER78" s="152">
        <f t="shared" si="26"/>
        <v>4942</v>
      </c>
      <c r="ES78" s="152">
        <f t="shared" si="27"/>
        <v>1958</v>
      </c>
      <c r="ET78" s="152">
        <f t="shared" ref="ET78:ET96" si="34">SUM(DT78:EG78)</f>
        <v>634</v>
      </c>
      <c r="EU78" s="57">
        <f t="shared" si="28"/>
        <v>4475</v>
      </c>
      <c r="EV78" s="12">
        <f t="shared" si="29"/>
        <v>3981</v>
      </c>
      <c r="EX78" s="12">
        <f t="shared" si="30"/>
        <v>43902</v>
      </c>
      <c r="EY78" s="131">
        <f t="shared" si="31"/>
        <v>45232</v>
      </c>
    </row>
    <row r="79" spans="1:156" ht="15.75" customHeight="1" thickBot="1" x14ac:dyDescent="0.3">
      <c r="A79" s="8" t="s">
        <v>49</v>
      </c>
      <c r="B79" s="8" t="s">
        <v>47</v>
      </c>
      <c r="C79" s="33">
        <v>1053</v>
      </c>
      <c r="D79" s="33">
        <v>1630</v>
      </c>
      <c r="E79" s="33">
        <v>2421</v>
      </c>
      <c r="F79" s="33">
        <v>1798</v>
      </c>
      <c r="G79" s="33">
        <v>2744</v>
      </c>
      <c r="H79" s="33">
        <v>1599</v>
      </c>
      <c r="I79" s="33">
        <v>2889</v>
      </c>
      <c r="J79" s="33">
        <v>3719</v>
      </c>
      <c r="K79" s="33">
        <v>2959</v>
      </c>
      <c r="L79" s="33">
        <v>2094</v>
      </c>
      <c r="M79" s="33">
        <v>2920</v>
      </c>
      <c r="N79" s="33">
        <v>4054</v>
      </c>
      <c r="O79" s="33">
        <v>5005</v>
      </c>
      <c r="P79" s="33">
        <v>6816</v>
      </c>
      <c r="Q79" s="33">
        <v>6394</v>
      </c>
      <c r="R79" s="33">
        <v>11266</v>
      </c>
      <c r="S79" s="33">
        <v>5989</v>
      </c>
      <c r="T79" s="33">
        <v>4105</v>
      </c>
      <c r="U79" s="33">
        <v>8441</v>
      </c>
      <c r="V79" s="33">
        <v>9031</v>
      </c>
      <c r="W79" s="33">
        <v>6279</v>
      </c>
      <c r="X79" s="33">
        <v>10512</v>
      </c>
      <c r="Y79" s="33">
        <v>6212</v>
      </c>
      <c r="Z79" s="33">
        <v>6078</v>
      </c>
      <c r="AA79" s="33">
        <v>4229</v>
      </c>
      <c r="AB79" s="33">
        <v>736</v>
      </c>
      <c r="AC79" s="33">
        <v>86</v>
      </c>
      <c r="AD79" s="33">
        <v>626</v>
      </c>
      <c r="AE79" s="33">
        <v>857</v>
      </c>
      <c r="AF79" s="33">
        <v>836</v>
      </c>
      <c r="AG79" s="33">
        <v>1564</v>
      </c>
      <c r="AH79" s="33">
        <v>2138</v>
      </c>
      <c r="AI79" s="33">
        <v>2051</v>
      </c>
      <c r="AJ79" s="34">
        <v>1306</v>
      </c>
      <c r="AK79" s="34">
        <v>1796</v>
      </c>
      <c r="AL79" s="34">
        <v>852</v>
      </c>
      <c r="AM79" s="34">
        <v>1754</v>
      </c>
      <c r="AN79" s="34">
        <v>1198</v>
      </c>
      <c r="AO79" s="34">
        <v>2120</v>
      </c>
      <c r="AP79" s="34">
        <v>2266</v>
      </c>
      <c r="AQ79" s="34">
        <v>1648</v>
      </c>
      <c r="AR79" s="34">
        <v>1655</v>
      </c>
      <c r="AS79" s="34">
        <v>1522</v>
      </c>
      <c r="AT79" s="34">
        <v>2564</v>
      </c>
      <c r="AU79" s="34">
        <v>2651</v>
      </c>
      <c r="AV79" s="34">
        <v>2015</v>
      </c>
      <c r="AW79" s="34">
        <v>914</v>
      </c>
      <c r="AX79" s="34">
        <v>371</v>
      </c>
      <c r="AY79" s="34">
        <v>483</v>
      </c>
      <c r="AZ79" s="34">
        <v>90</v>
      </c>
      <c r="BA79" s="34">
        <v>1086</v>
      </c>
      <c r="BB79" s="34">
        <v>556</v>
      </c>
      <c r="BC79" s="34">
        <v>644</v>
      </c>
      <c r="BD79" s="34">
        <v>209</v>
      </c>
      <c r="BE79" s="34">
        <v>754</v>
      </c>
      <c r="BF79" s="34">
        <v>552</v>
      </c>
      <c r="BG79" s="34">
        <v>505</v>
      </c>
      <c r="BH79" s="34">
        <v>33</v>
      </c>
      <c r="BI79" s="34">
        <v>196</v>
      </c>
      <c r="BJ79" s="34">
        <v>44</v>
      </c>
      <c r="BK79" s="34">
        <v>457</v>
      </c>
      <c r="BL79" s="34">
        <v>1127</v>
      </c>
      <c r="BM79" s="137">
        <v>345</v>
      </c>
      <c r="BN79" s="137">
        <v>748</v>
      </c>
      <c r="BO79" s="137">
        <v>1719</v>
      </c>
      <c r="BP79" s="137">
        <v>2059</v>
      </c>
      <c r="BQ79" s="137">
        <v>972</v>
      </c>
      <c r="BR79" s="138">
        <v>1099</v>
      </c>
      <c r="BS79" s="138">
        <v>1337</v>
      </c>
      <c r="BT79" s="138">
        <v>500</v>
      </c>
      <c r="BU79" s="138">
        <v>3776</v>
      </c>
      <c r="BV79" s="138">
        <v>5920</v>
      </c>
      <c r="BW79" s="137">
        <v>3647</v>
      </c>
      <c r="BX79" s="137">
        <v>2857</v>
      </c>
      <c r="BY79" s="137">
        <v>10236</v>
      </c>
      <c r="BZ79" s="137">
        <v>4932</v>
      </c>
      <c r="CA79" s="137">
        <v>6205</v>
      </c>
      <c r="CB79" s="137">
        <v>2874</v>
      </c>
      <c r="CC79" s="137">
        <v>2497</v>
      </c>
      <c r="CD79" s="137">
        <v>984</v>
      </c>
      <c r="CE79" s="138">
        <v>1145</v>
      </c>
      <c r="CF79" s="137">
        <v>24</v>
      </c>
      <c r="CG79" s="137">
        <v>60</v>
      </c>
      <c r="CH79" s="139">
        <v>27</v>
      </c>
      <c r="CI79" s="139">
        <v>24</v>
      </c>
      <c r="CJ79" s="137">
        <v>0</v>
      </c>
      <c r="CK79" s="137">
        <v>7</v>
      </c>
      <c r="CL79" s="137">
        <v>3</v>
      </c>
      <c r="CM79" s="137">
        <v>16</v>
      </c>
      <c r="CN79" s="137">
        <v>56</v>
      </c>
      <c r="CO79" s="137">
        <f>7+2</f>
        <v>9</v>
      </c>
      <c r="CP79" s="137">
        <v>0</v>
      </c>
      <c r="CQ79" s="137">
        <v>0</v>
      </c>
      <c r="CR79" s="137">
        <v>0</v>
      </c>
      <c r="CS79" s="34">
        <v>1</v>
      </c>
      <c r="CT79" s="34">
        <v>1</v>
      </c>
      <c r="CU79" s="34">
        <v>5</v>
      </c>
      <c r="CV79" s="34">
        <v>1</v>
      </c>
      <c r="CW79" s="42">
        <v>0</v>
      </c>
      <c r="CX79" s="34">
        <v>3</v>
      </c>
      <c r="CY79" s="137">
        <v>0</v>
      </c>
      <c r="CZ79" s="34">
        <v>0</v>
      </c>
      <c r="DA79" s="34">
        <v>1</v>
      </c>
      <c r="DB79" s="34">
        <v>1</v>
      </c>
      <c r="DC79" s="34">
        <v>4</v>
      </c>
      <c r="DD79" s="34">
        <v>1</v>
      </c>
      <c r="DE79" s="34">
        <v>21</v>
      </c>
      <c r="DF79" s="34">
        <v>7</v>
      </c>
      <c r="DG79" s="34">
        <v>9</v>
      </c>
      <c r="DH79" s="42">
        <v>18</v>
      </c>
      <c r="DI79" s="34">
        <v>14</v>
      </c>
      <c r="DJ79" s="34">
        <v>10</v>
      </c>
      <c r="DK79" s="34">
        <v>17</v>
      </c>
      <c r="DL79" s="34">
        <v>3</v>
      </c>
      <c r="DM79" s="34">
        <v>2</v>
      </c>
      <c r="DN79" s="34">
        <v>0</v>
      </c>
      <c r="DO79" s="34">
        <v>1</v>
      </c>
      <c r="DP79" s="34">
        <v>0</v>
      </c>
      <c r="DQ79" s="34">
        <v>9</v>
      </c>
      <c r="DR79" s="34">
        <v>0</v>
      </c>
      <c r="DS79" s="34">
        <v>3</v>
      </c>
      <c r="DT79" s="42">
        <v>0</v>
      </c>
      <c r="DU79" s="34">
        <v>5</v>
      </c>
      <c r="DV79" s="34">
        <v>39</v>
      </c>
      <c r="DW79" s="34">
        <v>15</v>
      </c>
      <c r="DX79" s="42">
        <v>5</v>
      </c>
      <c r="DY79" s="42">
        <v>3</v>
      </c>
      <c r="DZ79" s="42">
        <v>1</v>
      </c>
      <c r="EA79" s="42">
        <v>96</v>
      </c>
      <c r="EB79" s="42">
        <v>2</v>
      </c>
      <c r="EC79" s="42">
        <v>1</v>
      </c>
      <c r="ED79" s="42">
        <v>3</v>
      </c>
      <c r="EE79" s="42">
        <v>12</v>
      </c>
      <c r="EF79" s="42">
        <v>3</v>
      </c>
      <c r="EG79" s="42">
        <v>3</v>
      </c>
      <c r="EH79" s="249">
        <f t="shared" si="32"/>
        <v>320</v>
      </c>
      <c r="EI79" s="150">
        <f t="shared" si="18"/>
        <v>214696</v>
      </c>
      <c r="EJ79" s="150">
        <f t="shared" si="19"/>
        <v>200562</v>
      </c>
      <c r="EK79" s="284">
        <f t="shared" si="33"/>
        <v>206</v>
      </c>
      <c r="EL79" s="151">
        <f t="shared" si="20"/>
        <v>1053</v>
      </c>
      <c r="EM79" s="153">
        <f t="shared" si="21"/>
        <v>33832</v>
      </c>
      <c r="EN79" s="153">
        <f t="shared" si="22"/>
        <v>85352</v>
      </c>
      <c r="EO79" s="153">
        <f t="shared" si="23"/>
        <v>14602</v>
      </c>
      <c r="EP79" s="152">
        <f t="shared" si="24"/>
        <v>19407</v>
      </c>
      <c r="EQ79" s="152">
        <f t="shared" si="25"/>
        <v>28375</v>
      </c>
      <c r="ER79" s="152">
        <f t="shared" si="26"/>
        <v>31963</v>
      </c>
      <c r="ES79" s="152">
        <f t="shared" si="27"/>
        <v>125</v>
      </c>
      <c r="ET79" s="152">
        <f t="shared" si="34"/>
        <v>188</v>
      </c>
      <c r="EU79" s="57">
        <f t="shared" si="28"/>
        <v>51182</v>
      </c>
      <c r="EV79" s="12">
        <f t="shared" si="29"/>
        <v>2362</v>
      </c>
      <c r="EX79" s="12">
        <f t="shared" si="30"/>
        <v>214577</v>
      </c>
      <c r="EY79" s="131">
        <f t="shared" si="31"/>
        <v>209587</v>
      </c>
    </row>
    <row r="80" spans="1:156" ht="29.25" customHeight="1" thickBot="1" x14ac:dyDescent="0.3">
      <c r="A80" s="8" t="s">
        <v>93</v>
      </c>
      <c r="B80" s="8" t="s">
        <v>32</v>
      </c>
      <c r="C80" s="33">
        <v>0</v>
      </c>
      <c r="D80" s="33">
        <v>0</v>
      </c>
      <c r="E80" s="33">
        <v>0</v>
      </c>
      <c r="F80" s="33">
        <v>0</v>
      </c>
      <c r="G80" s="33">
        <v>0</v>
      </c>
      <c r="H80" s="33">
        <v>0</v>
      </c>
      <c r="I80" s="33">
        <v>0</v>
      </c>
      <c r="J80" s="33">
        <v>0</v>
      </c>
      <c r="K80" s="33">
        <v>0</v>
      </c>
      <c r="L80" s="33">
        <v>0</v>
      </c>
      <c r="M80" s="33">
        <v>0</v>
      </c>
      <c r="N80" s="33">
        <v>0</v>
      </c>
      <c r="O80" s="33">
        <v>0</v>
      </c>
      <c r="P80" s="33">
        <v>0</v>
      </c>
      <c r="Q80" s="33">
        <v>0</v>
      </c>
      <c r="R80" s="33">
        <v>0</v>
      </c>
      <c r="S80" s="33">
        <v>0</v>
      </c>
      <c r="T80" s="33">
        <v>0</v>
      </c>
      <c r="U80" s="33">
        <v>0</v>
      </c>
      <c r="V80" s="33">
        <v>0</v>
      </c>
      <c r="W80" s="33">
        <v>0</v>
      </c>
      <c r="X80" s="33">
        <v>0</v>
      </c>
      <c r="Y80" s="33">
        <v>0</v>
      </c>
      <c r="Z80" s="33">
        <v>0</v>
      </c>
      <c r="AA80" s="33">
        <v>0</v>
      </c>
      <c r="AB80" s="33">
        <v>0</v>
      </c>
      <c r="AC80" s="33">
        <v>0</v>
      </c>
      <c r="AD80" s="33">
        <v>0</v>
      </c>
      <c r="AE80" s="33">
        <v>0</v>
      </c>
      <c r="AF80" s="33">
        <v>0</v>
      </c>
      <c r="AG80" s="33">
        <v>0</v>
      </c>
      <c r="AH80" s="33">
        <v>0</v>
      </c>
      <c r="AI80" s="33">
        <v>0</v>
      </c>
      <c r="AJ80" s="34">
        <v>0</v>
      </c>
      <c r="AK80" s="34">
        <v>0</v>
      </c>
      <c r="AL80" s="34">
        <v>0</v>
      </c>
      <c r="AM80" s="34">
        <v>0</v>
      </c>
      <c r="AN80" s="34">
        <v>0</v>
      </c>
      <c r="AO80" s="34">
        <v>0</v>
      </c>
      <c r="AP80" s="34">
        <v>0</v>
      </c>
      <c r="AQ80" s="34">
        <v>0</v>
      </c>
      <c r="AR80" s="34">
        <v>0</v>
      </c>
      <c r="AS80" s="34">
        <v>0</v>
      </c>
      <c r="AT80" s="34">
        <v>0</v>
      </c>
      <c r="AU80" s="34">
        <v>0</v>
      </c>
      <c r="AV80" s="172">
        <v>1</v>
      </c>
      <c r="AW80" s="173">
        <v>3</v>
      </c>
      <c r="AX80" s="34">
        <v>0</v>
      </c>
      <c r="AY80" s="34">
        <v>0</v>
      </c>
      <c r="AZ80" s="34">
        <v>0</v>
      </c>
      <c r="BA80" s="34">
        <v>0</v>
      </c>
      <c r="BB80" s="34">
        <v>0</v>
      </c>
      <c r="BC80" s="34">
        <v>0</v>
      </c>
      <c r="BD80" s="34">
        <v>0</v>
      </c>
      <c r="BE80" s="34">
        <v>0</v>
      </c>
      <c r="BF80" s="34">
        <v>0</v>
      </c>
      <c r="BG80" s="34">
        <v>0</v>
      </c>
      <c r="BH80" s="34">
        <v>0</v>
      </c>
      <c r="BI80" s="34">
        <v>0</v>
      </c>
      <c r="BJ80" s="34">
        <v>0</v>
      </c>
      <c r="BK80" s="34">
        <v>0</v>
      </c>
      <c r="BL80" s="34">
        <v>0</v>
      </c>
      <c r="BM80" s="178">
        <v>1</v>
      </c>
      <c r="BN80" s="137">
        <v>0</v>
      </c>
      <c r="BO80" s="137">
        <v>0</v>
      </c>
      <c r="BP80" s="137">
        <v>0</v>
      </c>
      <c r="BQ80" s="137">
        <v>0</v>
      </c>
      <c r="BR80" s="179">
        <v>1</v>
      </c>
      <c r="BS80" s="138">
        <v>0</v>
      </c>
      <c r="BT80" s="138">
        <v>0</v>
      </c>
      <c r="BU80" s="138">
        <v>0</v>
      </c>
      <c r="BV80" s="138">
        <v>0</v>
      </c>
      <c r="BW80" s="137">
        <v>0</v>
      </c>
      <c r="BX80" s="137">
        <v>0</v>
      </c>
      <c r="BY80" s="137">
        <v>0</v>
      </c>
      <c r="BZ80" s="137">
        <v>0</v>
      </c>
      <c r="CA80" s="137">
        <v>0</v>
      </c>
      <c r="CB80" s="137">
        <v>0</v>
      </c>
      <c r="CC80" s="137">
        <v>0</v>
      </c>
      <c r="CD80" s="137">
        <v>0</v>
      </c>
      <c r="CE80" s="138">
        <v>0</v>
      </c>
      <c r="CF80" s="137">
        <v>0</v>
      </c>
      <c r="CG80" s="137">
        <v>0</v>
      </c>
      <c r="CH80" s="139">
        <v>0</v>
      </c>
      <c r="CI80" s="139">
        <v>0</v>
      </c>
      <c r="CJ80" s="137">
        <v>0</v>
      </c>
      <c r="CK80" s="137">
        <v>0</v>
      </c>
      <c r="CL80" s="137">
        <v>0</v>
      </c>
      <c r="CM80" s="137">
        <v>0</v>
      </c>
      <c r="CN80" s="137">
        <v>0</v>
      </c>
      <c r="CO80" s="137">
        <v>0</v>
      </c>
      <c r="CP80" s="137">
        <v>0</v>
      </c>
      <c r="CQ80" s="137">
        <v>0</v>
      </c>
      <c r="CR80" s="137">
        <v>0</v>
      </c>
      <c r="CS80" s="34">
        <v>0</v>
      </c>
      <c r="CT80" s="34">
        <v>0</v>
      </c>
      <c r="CU80" s="34">
        <v>0</v>
      </c>
      <c r="CV80" s="34">
        <v>0</v>
      </c>
      <c r="CW80" s="42">
        <v>0</v>
      </c>
      <c r="CX80" s="34">
        <v>0</v>
      </c>
      <c r="CY80" s="137">
        <v>0</v>
      </c>
      <c r="CZ80" s="34">
        <v>0</v>
      </c>
      <c r="DA80" s="34">
        <v>0</v>
      </c>
      <c r="DB80" s="34">
        <v>0</v>
      </c>
      <c r="DC80" s="34">
        <v>0</v>
      </c>
      <c r="DD80" s="34">
        <v>0</v>
      </c>
      <c r="DE80" s="34">
        <v>0</v>
      </c>
      <c r="DF80" s="34">
        <v>0</v>
      </c>
      <c r="DG80" s="34">
        <v>0</v>
      </c>
      <c r="DH80" s="42">
        <v>0</v>
      </c>
      <c r="DI80" s="34">
        <v>0</v>
      </c>
      <c r="DJ80" s="194">
        <v>2</v>
      </c>
      <c r="DK80" s="194">
        <v>2</v>
      </c>
      <c r="DL80" s="34">
        <v>0</v>
      </c>
      <c r="DM80" s="194">
        <v>3</v>
      </c>
      <c r="DN80" s="194">
        <v>0</v>
      </c>
      <c r="DO80" s="194">
        <v>0</v>
      </c>
      <c r="DP80" s="173">
        <v>0</v>
      </c>
      <c r="DQ80" s="173">
        <v>0</v>
      </c>
      <c r="DR80" s="173">
        <v>0</v>
      </c>
      <c r="DS80" s="173">
        <v>0</v>
      </c>
      <c r="DT80" s="174">
        <v>0</v>
      </c>
      <c r="DU80" s="173">
        <v>0</v>
      </c>
      <c r="DV80" s="173">
        <v>0</v>
      </c>
      <c r="DW80" s="173">
        <v>0</v>
      </c>
      <c r="DX80" s="174">
        <v>0</v>
      </c>
      <c r="DY80" s="174">
        <v>0</v>
      </c>
      <c r="DZ80" s="174">
        <v>0</v>
      </c>
      <c r="EA80" s="174">
        <v>0</v>
      </c>
      <c r="EB80" s="174">
        <v>0</v>
      </c>
      <c r="EC80" s="174">
        <v>0</v>
      </c>
      <c r="ED80" s="174">
        <v>0</v>
      </c>
      <c r="EE80" s="174">
        <v>0</v>
      </c>
      <c r="EF80" s="174">
        <v>0</v>
      </c>
      <c r="EG80" s="174">
        <v>0</v>
      </c>
      <c r="EH80" s="249">
        <f t="shared" si="32"/>
        <v>7</v>
      </c>
      <c r="EI80" s="150">
        <f t="shared" si="18"/>
        <v>13</v>
      </c>
      <c r="EJ80" s="150">
        <f t="shared" si="19"/>
        <v>13</v>
      </c>
      <c r="EK80" s="284">
        <f t="shared" si="33"/>
        <v>3</v>
      </c>
      <c r="EL80" s="151">
        <f t="shared" si="20"/>
        <v>0</v>
      </c>
      <c r="EM80" s="153">
        <f t="shared" si="21"/>
        <v>0</v>
      </c>
      <c r="EN80" s="153">
        <f t="shared" si="22"/>
        <v>0</v>
      </c>
      <c r="EO80" s="153">
        <f t="shared" si="23"/>
        <v>0</v>
      </c>
      <c r="EP80" s="152">
        <f t="shared" si="24"/>
        <v>4</v>
      </c>
      <c r="EQ80" s="152">
        <f t="shared" si="25"/>
        <v>2</v>
      </c>
      <c r="ER80" s="152">
        <f t="shared" si="26"/>
        <v>0</v>
      </c>
      <c r="ES80" s="152">
        <f t="shared" si="27"/>
        <v>7</v>
      </c>
      <c r="ET80" s="152">
        <f t="shared" si="34"/>
        <v>0</v>
      </c>
      <c r="EU80" s="57">
        <f t="shared" si="28"/>
        <v>1</v>
      </c>
      <c r="EV80" s="12">
        <f t="shared" si="29"/>
        <v>0</v>
      </c>
      <c r="EX80" s="12">
        <f t="shared" si="30"/>
        <v>6</v>
      </c>
      <c r="EY80" s="131">
        <f t="shared" si="31"/>
        <v>10</v>
      </c>
    </row>
    <row r="81" spans="1:155" ht="30" customHeight="1" thickBot="1" x14ac:dyDescent="0.3">
      <c r="A81" s="8" t="s">
        <v>93</v>
      </c>
      <c r="B81" s="8" t="s">
        <v>52</v>
      </c>
      <c r="C81" s="33">
        <v>0</v>
      </c>
      <c r="D81" s="33">
        <v>0</v>
      </c>
      <c r="E81" s="33">
        <v>0</v>
      </c>
      <c r="F81" s="33">
        <v>0</v>
      </c>
      <c r="G81" s="33">
        <v>0</v>
      </c>
      <c r="H81" s="33">
        <v>0</v>
      </c>
      <c r="I81" s="33">
        <v>0</v>
      </c>
      <c r="J81" s="33">
        <v>0</v>
      </c>
      <c r="K81" s="33">
        <v>0</v>
      </c>
      <c r="L81" s="33">
        <v>0</v>
      </c>
      <c r="M81" s="33">
        <v>0</v>
      </c>
      <c r="N81" s="33">
        <v>0</v>
      </c>
      <c r="O81" s="33">
        <v>0</v>
      </c>
      <c r="P81" s="33">
        <v>0</v>
      </c>
      <c r="Q81" s="33">
        <v>0</v>
      </c>
      <c r="R81" s="33">
        <v>0</v>
      </c>
      <c r="S81" s="33">
        <v>0</v>
      </c>
      <c r="T81" s="33">
        <v>0</v>
      </c>
      <c r="U81" s="33">
        <v>0</v>
      </c>
      <c r="V81" s="33">
        <v>0</v>
      </c>
      <c r="W81" s="33">
        <v>0</v>
      </c>
      <c r="X81" s="33">
        <v>0</v>
      </c>
      <c r="Y81" s="33">
        <v>0</v>
      </c>
      <c r="Z81" s="33">
        <v>0</v>
      </c>
      <c r="AA81" s="33">
        <v>0</v>
      </c>
      <c r="AB81" s="33">
        <v>0</v>
      </c>
      <c r="AC81" s="33">
        <v>0</v>
      </c>
      <c r="AD81" s="33">
        <v>0</v>
      </c>
      <c r="AE81" s="33">
        <v>0</v>
      </c>
      <c r="AF81" s="33">
        <v>0</v>
      </c>
      <c r="AG81" s="33">
        <v>0</v>
      </c>
      <c r="AH81" s="33">
        <v>0</v>
      </c>
      <c r="AI81" s="33">
        <v>0</v>
      </c>
      <c r="AJ81" s="34">
        <v>0</v>
      </c>
      <c r="AK81" s="34">
        <v>0</v>
      </c>
      <c r="AL81" s="34">
        <v>0</v>
      </c>
      <c r="AM81" s="34">
        <v>0</v>
      </c>
      <c r="AN81" s="34">
        <v>0</v>
      </c>
      <c r="AO81" s="34">
        <v>0</v>
      </c>
      <c r="AP81" s="34">
        <v>0</v>
      </c>
      <c r="AQ81" s="34">
        <v>0</v>
      </c>
      <c r="AR81" s="34">
        <v>0</v>
      </c>
      <c r="AS81" s="34">
        <v>0</v>
      </c>
      <c r="AT81" s="34">
        <v>0</v>
      </c>
      <c r="AU81" s="34">
        <v>0</v>
      </c>
      <c r="AV81" s="172">
        <v>59</v>
      </c>
      <c r="AW81" s="173">
        <v>186</v>
      </c>
      <c r="AX81" s="34">
        <v>0</v>
      </c>
      <c r="AY81" s="34">
        <v>0</v>
      </c>
      <c r="AZ81" s="34">
        <v>0</v>
      </c>
      <c r="BA81" s="34">
        <v>0</v>
      </c>
      <c r="BB81" s="34">
        <v>0</v>
      </c>
      <c r="BC81" s="34">
        <v>0</v>
      </c>
      <c r="BD81" s="34">
        <v>0</v>
      </c>
      <c r="BE81" s="34">
        <v>0</v>
      </c>
      <c r="BF81" s="34">
        <v>0</v>
      </c>
      <c r="BG81" s="34">
        <v>0</v>
      </c>
      <c r="BH81" s="34">
        <v>0</v>
      </c>
      <c r="BI81" s="34">
        <v>0</v>
      </c>
      <c r="BJ81" s="34">
        <v>0</v>
      </c>
      <c r="BK81" s="34">
        <v>0</v>
      </c>
      <c r="BL81" s="34">
        <v>0</v>
      </c>
      <c r="BM81" s="178">
        <v>82</v>
      </c>
      <c r="BN81" s="137">
        <v>0</v>
      </c>
      <c r="BO81" s="137">
        <v>0</v>
      </c>
      <c r="BP81" s="137">
        <v>0</v>
      </c>
      <c r="BQ81" s="137">
        <v>0</v>
      </c>
      <c r="BR81" s="179">
        <v>368</v>
      </c>
      <c r="BS81" s="138">
        <v>0</v>
      </c>
      <c r="BT81" s="138">
        <v>0</v>
      </c>
      <c r="BU81" s="138">
        <v>0</v>
      </c>
      <c r="BV81" s="138">
        <v>0</v>
      </c>
      <c r="BW81" s="137">
        <v>0</v>
      </c>
      <c r="BX81" s="137">
        <v>0</v>
      </c>
      <c r="BY81" s="137">
        <v>0</v>
      </c>
      <c r="BZ81" s="137">
        <v>0</v>
      </c>
      <c r="CA81" s="137">
        <v>0</v>
      </c>
      <c r="CB81" s="137">
        <v>0</v>
      </c>
      <c r="CC81" s="137">
        <v>0</v>
      </c>
      <c r="CD81" s="137">
        <v>0</v>
      </c>
      <c r="CE81" s="138">
        <v>0</v>
      </c>
      <c r="CF81" s="137">
        <v>0</v>
      </c>
      <c r="CG81" s="137">
        <v>0</v>
      </c>
      <c r="CH81" s="139">
        <v>0</v>
      </c>
      <c r="CI81" s="139">
        <v>0</v>
      </c>
      <c r="CJ81" s="137">
        <v>0</v>
      </c>
      <c r="CK81" s="137">
        <v>0</v>
      </c>
      <c r="CL81" s="137">
        <v>0</v>
      </c>
      <c r="CM81" s="137">
        <v>0</v>
      </c>
      <c r="CN81" s="137">
        <v>0</v>
      </c>
      <c r="CO81" s="137">
        <v>0</v>
      </c>
      <c r="CP81" s="137">
        <v>0</v>
      </c>
      <c r="CQ81" s="137">
        <v>0</v>
      </c>
      <c r="CR81" s="137">
        <v>0</v>
      </c>
      <c r="CS81" s="34">
        <v>0</v>
      </c>
      <c r="CT81" s="34">
        <v>0</v>
      </c>
      <c r="CU81" s="34">
        <v>0</v>
      </c>
      <c r="CV81" s="34">
        <v>0</v>
      </c>
      <c r="CW81" s="42">
        <v>0</v>
      </c>
      <c r="CX81" s="34">
        <v>0</v>
      </c>
      <c r="CY81" s="137">
        <v>0</v>
      </c>
      <c r="CZ81" s="34">
        <v>0</v>
      </c>
      <c r="DA81" s="34">
        <v>0</v>
      </c>
      <c r="DB81" s="34">
        <v>0</v>
      </c>
      <c r="DC81" s="34">
        <v>0</v>
      </c>
      <c r="DD81" s="34">
        <v>0</v>
      </c>
      <c r="DE81" s="34">
        <v>0</v>
      </c>
      <c r="DF81" s="34">
        <v>0</v>
      </c>
      <c r="DG81" s="34">
        <v>0</v>
      </c>
      <c r="DH81" s="42">
        <v>0</v>
      </c>
      <c r="DI81" s="34">
        <v>0</v>
      </c>
      <c r="DJ81" s="194">
        <v>59</v>
      </c>
      <c r="DK81" s="194">
        <v>93</v>
      </c>
      <c r="DL81" s="34">
        <v>0</v>
      </c>
      <c r="DM81" s="194">
        <v>187</v>
      </c>
      <c r="DN81" s="194">
        <v>0</v>
      </c>
      <c r="DO81" s="194">
        <v>0</v>
      </c>
      <c r="DP81" s="173">
        <v>0</v>
      </c>
      <c r="DQ81" s="173">
        <v>0</v>
      </c>
      <c r="DR81" s="173">
        <v>0</v>
      </c>
      <c r="DS81" s="173">
        <v>0</v>
      </c>
      <c r="DT81" s="174">
        <v>0</v>
      </c>
      <c r="DU81" s="173">
        <v>0</v>
      </c>
      <c r="DV81" s="173">
        <v>0</v>
      </c>
      <c r="DW81" s="173">
        <v>0</v>
      </c>
      <c r="DX81" s="174">
        <v>0</v>
      </c>
      <c r="DY81" s="174">
        <v>0</v>
      </c>
      <c r="DZ81" s="174">
        <v>0</v>
      </c>
      <c r="EA81" s="174">
        <v>0</v>
      </c>
      <c r="EB81" s="174">
        <v>0</v>
      </c>
      <c r="EC81" s="174">
        <v>0</v>
      </c>
      <c r="ED81" s="174">
        <v>0</v>
      </c>
      <c r="EE81" s="174">
        <v>0</v>
      </c>
      <c r="EF81" s="174">
        <v>0</v>
      </c>
      <c r="EG81" s="174">
        <v>0</v>
      </c>
      <c r="EH81" s="249">
        <f t="shared" si="32"/>
        <v>339</v>
      </c>
      <c r="EI81" s="150">
        <f t="shared" si="18"/>
        <v>1034</v>
      </c>
      <c r="EJ81" s="150">
        <f t="shared" si="19"/>
        <v>1034</v>
      </c>
      <c r="EK81" s="284">
        <f t="shared" si="33"/>
        <v>187</v>
      </c>
      <c r="EL81" s="151">
        <f t="shared" si="20"/>
        <v>0</v>
      </c>
      <c r="EM81" s="153">
        <f t="shared" si="21"/>
        <v>0</v>
      </c>
      <c r="EN81" s="153">
        <f t="shared" si="22"/>
        <v>0</v>
      </c>
      <c r="EO81" s="153">
        <f t="shared" si="23"/>
        <v>0</v>
      </c>
      <c r="EP81" s="152">
        <f t="shared" si="24"/>
        <v>245</v>
      </c>
      <c r="EQ81" s="152">
        <f t="shared" si="25"/>
        <v>450</v>
      </c>
      <c r="ER81" s="152">
        <f t="shared" si="26"/>
        <v>0</v>
      </c>
      <c r="ES81" s="152">
        <f t="shared" si="27"/>
        <v>339</v>
      </c>
      <c r="ET81" s="152">
        <f t="shared" si="34"/>
        <v>0</v>
      </c>
      <c r="EU81" s="57">
        <f t="shared" si="28"/>
        <v>368</v>
      </c>
      <c r="EV81" s="12">
        <f t="shared" si="29"/>
        <v>0</v>
      </c>
      <c r="EX81" s="12">
        <f t="shared" si="30"/>
        <v>695</v>
      </c>
      <c r="EY81" s="131">
        <f t="shared" si="31"/>
        <v>847</v>
      </c>
    </row>
    <row r="82" spans="1:155" s="142" customFormat="1" ht="42.75" customHeight="1" thickBot="1" x14ac:dyDescent="0.3">
      <c r="A82" s="232" t="s">
        <v>50</v>
      </c>
      <c r="B82" s="232" t="s">
        <v>51</v>
      </c>
      <c r="C82" s="136">
        <v>0</v>
      </c>
      <c r="D82" s="136">
        <v>0</v>
      </c>
      <c r="E82" s="136">
        <v>0</v>
      </c>
      <c r="F82" s="136">
        <v>0</v>
      </c>
      <c r="G82" s="136">
        <v>0</v>
      </c>
      <c r="H82" s="136">
        <v>0</v>
      </c>
      <c r="I82" s="136">
        <v>0</v>
      </c>
      <c r="J82" s="136">
        <v>0</v>
      </c>
      <c r="K82" s="136">
        <v>0</v>
      </c>
      <c r="L82" s="136">
        <v>0</v>
      </c>
      <c r="M82" s="136">
        <v>0</v>
      </c>
      <c r="N82" s="136">
        <v>0</v>
      </c>
      <c r="O82" s="136">
        <v>0</v>
      </c>
      <c r="P82" s="136">
        <v>0</v>
      </c>
      <c r="Q82" s="136">
        <v>0</v>
      </c>
      <c r="R82" s="136">
        <v>0</v>
      </c>
      <c r="S82" s="136">
        <v>0</v>
      </c>
      <c r="T82" s="136">
        <v>0</v>
      </c>
      <c r="U82" s="136">
        <v>0</v>
      </c>
      <c r="V82" s="136">
        <v>0</v>
      </c>
      <c r="W82" s="136">
        <v>0</v>
      </c>
      <c r="X82" s="136">
        <v>0</v>
      </c>
      <c r="Y82" s="136">
        <v>0</v>
      </c>
      <c r="Z82" s="136">
        <v>0</v>
      </c>
      <c r="AA82" s="136">
        <v>0</v>
      </c>
      <c r="AB82" s="136">
        <v>0</v>
      </c>
      <c r="AC82" s="136">
        <v>0</v>
      </c>
      <c r="AD82" s="136">
        <v>0</v>
      </c>
      <c r="AE82" s="136">
        <v>2</v>
      </c>
      <c r="AF82" s="136">
        <v>1</v>
      </c>
      <c r="AG82" s="136">
        <v>1</v>
      </c>
      <c r="AH82" s="136">
        <v>0</v>
      </c>
      <c r="AI82" s="136">
        <v>0</v>
      </c>
      <c r="AJ82" s="137">
        <v>0</v>
      </c>
      <c r="AK82" s="137">
        <v>1</v>
      </c>
      <c r="AL82" s="137">
        <v>1</v>
      </c>
      <c r="AM82" s="137">
        <v>0</v>
      </c>
      <c r="AN82" s="137">
        <v>0</v>
      </c>
      <c r="AO82" s="137">
        <v>1</v>
      </c>
      <c r="AP82" s="137">
        <v>0</v>
      </c>
      <c r="AQ82" s="137">
        <v>0</v>
      </c>
      <c r="AR82" s="137">
        <v>3</v>
      </c>
      <c r="AS82" s="137">
        <v>2</v>
      </c>
      <c r="AT82" s="137">
        <v>2</v>
      </c>
      <c r="AU82" s="137">
        <v>0</v>
      </c>
      <c r="AV82" s="137">
        <v>1</v>
      </c>
      <c r="AW82" s="137">
        <v>0</v>
      </c>
      <c r="AX82" s="137">
        <v>1</v>
      </c>
      <c r="AY82" s="137">
        <v>0</v>
      </c>
      <c r="AZ82" s="137">
        <v>0</v>
      </c>
      <c r="BA82" s="137">
        <v>0</v>
      </c>
      <c r="BB82" s="137">
        <v>0</v>
      </c>
      <c r="BC82" s="137">
        <v>0</v>
      </c>
      <c r="BD82" s="137">
        <v>0</v>
      </c>
      <c r="BE82" s="137">
        <v>0</v>
      </c>
      <c r="BF82" s="137">
        <v>1</v>
      </c>
      <c r="BG82" s="137">
        <v>0</v>
      </c>
      <c r="BH82" s="137">
        <v>0</v>
      </c>
      <c r="BI82" s="137">
        <v>0</v>
      </c>
      <c r="BJ82" s="137">
        <v>0</v>
      </c>
      <c r="BK82" s="137">
        <v>2</v>
      </c>
      <c r="BL82" s="137">
        <v>0</v>
      </c>
      <c r="BM82" s="137">
        <v>0</v>
      </c>
      <c r="BN82" s="137">
        <v>0</v>
      </c>
      <c r="BO82" s="137">
        <v>0</v>
      </c>
      <c r="BP82" s="137">
        <v>0</v>
      </c>
      <c r="BQ82" s="137">
        <v>0</v>
      </c>
      <c r="BR82" s="138">
        <v>0</v>
      </c>
      <c r="BS82" s="138">
        <v>1</v>
      </c>
      <c r="BT82" s="138">
        <v>0</v>
      </c>
      <c r="BU82" s="138">
        <v>0</v>
      </c>
      <c r="BV82" s="138">
        <v>0</v>
      </c>
      <c r="BW82" s="137">
        <v>0</v>
      </c>
      <c r="BX82" s="137">
        <v>0</v>
      </c>
      <c r="BY82" s="137">
        <v>0</v>
      </c>
      <c r="BZ82" s="137">
        <v>0</v>
      </c>
      <c r="CA82" s="137">
        <v>0</v>
      </c>
      <c r="CB82" s="137">
        <v>0</v>
      </c>
      <c r="CC82" s="137">
        <v>0</v>
      </c>
      <c r="CD82" s="137">
        <v>0</v>
      </c>
      <c r="CE82" s="138">
        <v>1</v>
      </c>
      <c r="CF82" s="137">
        <v>0</v>
      </c>
      <c r="CG82" s="137">
        <v>0</v>
      </c>
      <c r="CH82" s="139">
        <v>0</v>
      </c>
      <c r="CI82" s="139">
        <v>0</v>
      </c>
      <c r="CJ82" s="137">
        <v>0</v>
      </c>
      <c r="CK82" s="137">
        <v>0</v>
      </c>
      <c r="CL82" s="137">
        <v>0</v>
      </c>
      <c r="CM82" s="137">
        <v>1</v>
      </c>
      <c r="CN82" s="137">
        <v>0</v>
      </c>
      <c r="CO82" s="137">
        <v>0</v>
      </c>
      <c r="CP82" s="137">
        <v>0</v>
      </c>
      <c r="CQ82" s="137">
        <v>0</v>
      </c>
      <c r="CR82" s="137">
        <v>0</v>
      </c>
      <c r="CS82" s="137">
        <v>0</v>
      </c>
      <c r="CT82" s="137">
        <v>0</v>
      </c>
      <c r="CU82" s="137">
        <v>0</v>
      </c>
      <c r="CV82" s="137">
        <v>0</v>
      </c>
      <c r="CW82" s="138">
        <v>3</v>
      </c>
      <c r="CX82" s="137">
        <v>0</v>
      </c>
      <c r="CY82" s="137">
        <v>0</v>
      </c>
      <c r="CZ82" s="137">
        <v>0</v>
      </c>
      <c r="DA82" s="137">
        <v>2</v>
      </c>
      <c r="DB82" s="137">
        <v>2</v>
      </c>
      <c r="DC82" s="137">
        <v>0</v>
      </c>
      <c r="DD82" s="137">
        <v>0</v>
      </c>
      <c r="DE82" s="137">
        <v>0</v>
      </c>
      <c r="DF82" s="137">
        <v>0</v>
      </c>
      <c r="DG82" s="137">
        <v>0</v>
      </c>
      <c r="DH82" s="138">
        <v>0</v>
      </c>
      <c r="DI82" s="137">
        <v>0</v>
      </c>
      <c r="DJ82" s="137">
        <v>2</v>
      </c>
      <c r="DK82" s="137">
        <v>2</v>
      </c>
      <c r="DL82" s="137">
        <v>0</v>
      </c>
      <c r="DM82" s="137">
        <v>0</v>
      </c>
      <c r="DN82" s="137">
        <v>0</v>
      </c>
      <c r="DO82" s="137">
        <v>0</v>
      </c>
      <c r="DP82" s="137">
        <v>0</v>
      </c>
      <c r="DQ82" s="137">
        <v>0</v>
      </c>
      <c r="DR82" s="137">
        <v>0</v>
      </c>
      <c r="DS82" s="137">
        <v>0</v>
      </c>
      <c r="DT82" s="138">
        <v>0</v>
      </c>
      <c r="DU82" s="137">
        <v>0</v>
      </c>
      <c r="DV82" s="137">
        <v>0</v>
      </c>
      <c r="DW82" s="137">
        <v>0</v>
      </c>
      <c r="DX82" s="138">
        <v>0</v>
      </c>
      <c r="DY82" s="138">
        <v>0</v>
      </c>
      <c r="DZ82" s="138">
        <v>0</v>
      </c>
      <c r="EA82" s="138">
        <v>0</v>
      </c>
      <c r="EB82" s="138">
        <v>0</v>
      </c>
      <c r="EC82" s="138">
        <v>0</v>
      </c>
      <c r="ED82" s="138">
        <v>0</v>
      </c>
      <c r="EE82" s="138">
        <v>0</v>
      </c>
      <c r="EF82" s="138">
        <v>0</v>
      </c>
      <c r="EG82" s="138">
        <v>0</v>
      </c>
      <c r="EH82" s="249">
        <f t="shared" si="32"/>
        <v>11</v>
      </c>
      <c r="EI82" s="150">
        <f t="shared" si="18"/>
        <v>33</v>
      </c>
      <c r="EJ82" s="150">
        <f t="shared" si="19"/>
        <v>33</v>
      </c>
      <c r="EK82" s="284">
        <f t="shared" si="33"/>
        <v>0</v>
      </c>
      <c r="EL82" s="157">
        <f t="shared" si="20"/>
        <v>0</v>
      </c>
      <c r="EM82" s="158">
        <f t="shared" si="21"/>
        <v>0</v>
      </c>
      <c r="EN82" s="158">
        <f t="shared" si="22"/>
        <v>0</v>
      </c>
      <c r="EO82" s="158">
        <f t="shared" si="23"/>
        <v>6</v>
      </c>
      <c r="EP82" s="159">
        <f t="shared" si="24"/>
        <v>10</v>
      </c>
      <c r="EQ82" s="159">
        <f t="shared" si="25"/>
        <v>4</v>
      </c>
      <c r="ER82" s="159">
        <f t="shared" si="26"/>
        <v>2</v>
      </c>
      <c r="ES82" s="152">
        <f t="shared" si="27"/>
        <v>11</v>
      </c>
      <c r="ET82" s="152">
        <f t="shared" si="34"/>
        <v>0</v>
      </c>
      <c r="EU82" s="141">
        <f t="shared" si="28"/>
        <v>2</v>
      </c>
      <c r="EV82" s="140">
        <f t="shared" si="29"/>
        <v>2</v>
      </c>
      <c r="EX82" s="140">
        <f t="shared" si="30"/>
        <v>22</v>
      </c>
      <c r="EY82" s="143">
        <f t="shared" si="31"/>
        <v>33</v>
      </c>
    </row>
    <row r="83" spans="1:155" s="142" customFormat="1" ht="60.75" thickBot="1" x14ac:dyDescent="0.3">
      <c r="A83" s="144" t="s">
        <v>50</v>
      </c>
      <c r="B83" s="144" t="s">
        <v>52</v>
      </c>
      <c r="C83" s="136">
        <v>0</v>
      </c>
      <c r="D83" s="136">
        <v>0</v>
      </c>
      <c r="E83" s="136">
        <v>0</v>
      </c>
      <c r="F83" s="136">
        <v>0</v>
      </c>
      <c r="G83" s="136">
        <v>0</v>
      </c>
      <c r="H83" s="136">
        <v>0</v>
      </c>
      <c r="I83" s="136">
        <v>0</v>
      </c>
      <c r="J83" s="136">
        <v>0</v>
      </c>
      <c r="K83" s="136">
        <v>0</v>
      </c>
      <c r="L83" s="136">
        <v>0</v>
      </c>
      <c r="M83" s="136">
        <v>0</v>
      </c>
      <c r="N83" s="136">
        <v>0</v>
      </c>
      <c r="O83" s="136">
        <v>0</v>
      </c>
      <c r="P83" s="136">
        <v>0</v>
      </c>
      <c r="Q83" s="136">
        <v>0</v>
      </c>
      <c r="R83" s="136">
        <v>0</v>
      </c>
      <c r="S83" s="136">
        <v>0</v>
      </c>
      <c r="T83" s="136">
        <v>0</v>
      </c>
      <c r="U83" s="136">
        <v>0</v>
      </c>
      <c r="V83" s="136">
        <v>0</v>
      </c>
      <c r="W83" s="136">
        <v>0</v>
      </c>
      <c r="X83" s="136">
        <v>0</v>
      </c>
      <c r="Y83" s="136">
        <v>0</v>
      </c>
      <c r="Z83" s="136">
        <v>0</v>
      </c>
      <c r="AA83" s="136">
        <v>0</v>
      </c>
      <c r="AB83" s="136">
        <v>0</v>
      </c>
      <c r="AC83" s="136">
        <v>0</v>
      </c>
      <c r="AD83" s="136">
        <v>0</v>
      </c>
      <c r="AE83" s="136">
        <v>50</v>
      </c>
      <c r="AF83" s="136">
        <v>25</v>
      </c>
      <c r="AG83" s="136">
        <v>20</v>
      </c>
      <c r="AH83" s="136">
        <v>0</v>
      </c>
      <c r="AI83" s="136">
        <v>0</v>
      </c>
      <c r="AJ83" s="137">
        <v>0</v>
      </c>
      <c r="AK83" s="137">
        <v>39</v>
      </c>
      <c r="AL83" s="137">
        <v>20</v>
      </c>
      <c r="AM83" s="137">
        <v>0</v>
      </c>
      <c r="AN83" s="137">
        <v>0</v>
      </c>
      <c r="AO83" s="137">
        <v>80</v>
      </c>
      <c r="AP83" s="137">
        <v>0</v>
      </c>
      <c r="AQ83" s="137">
        <v>0</v>
      </c>
      <c r="AR83" s="137">
        <v>70</v>
      </c>
      <c r="AS83" s="137">
        <v>36</v>
      </c>
      <c r="AT83" s="137">
        <v>64</v>
      </c>
      <c r="AU83" s="137">
        <v>0</v>
      </c>
      <c r="AV83" s="137">
        <v>54</v>
      </c>
      <c r="AW83" s="137">
        <v>0</v>
      </c>
      <c r="AX83" s="137">
        <v>13</v>
      </c>
      <c r="AY83" s="137">
        <v>0</v>
      </c>
      <c r="AZ83" s="137">
        <v>0</v>
      </c>
      <c r="BA83" s="137">
        <v>0</v>
      </c>
      <c r="BB83" s="137">
        <v>0</v>
      </c>
      <c r="BC83" s="137">
        <v>0</v>
      </c>
      <c r="BD83" s="137">
        <v>0</v>
      </c>
      <c r="BE83" s="137">
        <v>0</v>
      </c>
      <c r="BF83" s="137">
        <v>100</v>
      </c>
      <c r="BG83" s="137">
        <v>0</v>
      </c>
      <c r="BH83" s="137">
        <v>0</v>
      </c>
      <c r="BI83" s="137">
        <v>0</v>
      </c>
      <c r="BJ83" s="137">
        <v>0</v>
      </c>
      <c r="BK83" s="137">
        <v>111</v>
      </c>
      <c r="BL83" s="137">
        <v>0</v>
      </c>
      <c r="BM83" s="137">
        <v>0</v>
      </c>
      <c r="BN83" s="137">
        <v>0</v>
      </c>
      <c r="BO83" s="137">
        <v>0</v>
      </c>
      <c r="BP83" s="137">
        <v>0</v>
      </c>
      <c r="BQ83" s="137">
        <v>0</v>
      </c>
      <c r="BR83" s="138">
        <v>0</v>
      </c>
      <c r="BS83" s="138">
        <v>35</v>
      </c>
      <c r="BT83" s="138">
        <v>0</v>
      </c>
      <c r="BU83" s="138">
        <v>0</v>
      </c>
      <c r="BV83" s="138">
        <v>0</v>
      </c>
      <c r="BW83" s="137">
        <v>0</v>
      </c>
      <c r="BX83" s="137">
        <v>0</v>
      </c>
      <c r="BY83" s="137">
        <v>0</v>
      </c>
      <c r="BZ83" s="137">
        <v>0</v>
      </c>
      <c r="CA83" s="137">
        <v>0</v>
      </c>
      <c r="CB83" s="137">
        <v>0</v>
      </c>
      <c r="CC83" s="137">
        <v>0</v>
      </c>
      <c r="CD83" s="137">
        <v>0</v>
      </c>
      <c r="CE83" s="138">
        <v>28</v>
      </c>
      <c r="CF83" s="137">
        <v>0</v>
      </c>
      <c r="CG83" s="137">
        <v>0</v>
      </c>
      <c r="CH83" s="139">
        <v>0</v>
      </c>
      <c r="CI83" s="139">
        <v>0</v>
      </c>
      <c r="CJ83" s="137">
        <v>0</v>
      </c>
      <c r="CK83" s="137">
        <v>0</v>
      </c>
      <c r="CL83" s="137">
        <v>0</v>
      </c>
      <c r="CM83" s="137">
        <v>47</v>
      </c>
      <c r="CN83" s="137">
        <v>0</v>
      </c>
      <c r="CO83" s="137">
        <v>0</v>
      </c>
      <c r="CP83" s="137">
        <v>0</v>
      </c>
      <c r="CQ83" s="137">
        <v>0</v>
      </c>
      <c r="CR83" s="137">
        <v>0</v>
      </c>
      <c r="CS83" s="137">
        <v>0</v>
      </c>
      <c r="CT83" s="137">
        <v>0</v>
      </c>
      <c r="CU83" s="137">
        <v>0</v>
      </c>
      <c r="CV83" s="137">
        <v>0</v>
      </c>
      <c r="CW83" s="138">
        <v>85</v>
      </c>
      <c r="CX83" s="137">
        <v>0</v>
      </c>
      <c r="CY83" s="137">
        <v>0</v>
      </c>
      <c r="CZ83" s="137">
        <v>0</v>
      </c>
      <c r="DA83" s="137">
        <v>16</v>
      </c>
      <c r="DB83" s="137">
        <v>4</v>
      </c>
      <c r="DC83" s="137">
        <v>0</v>
      </c>
      <c r="DD83" s="137">
        <v>0</v>
      </c>
      <c r="DE83" s="137">
        <v>0</v>
      </c>
      <c r="DF83" s="137">
        <v>0</v>
      </c>
      <c r="DG83" s="137">
        <v>0</v>
      </c>
      <c r="DH83" s="138">
        <v>0</v>
      </c>
      <c r="DI83" s="137">
        <v>0</v>
      </c>
      <c r="DJ83" s="137">
        <v>59</v>
      </c>
      <c r="DK83" s="137">
        <v>93</v>
      </c>
      <c r="DL83" s="137">
        <v>0</v>
      </c>
      <c r="DM83" s="137">
        <v>0</v>
      </c>
      <c r="DN83" s="137">
        <v>0</v>
      </c>
      <c r="DO83" s="137">
        <v>0</v>
      </c>
      <c r="DP83" s="137">
        <v>0</v>
      </c>
      <c r="DQ83" s="137">
        <v>0</v>
      </c>
      <c r="DR83" s="137">
        <v>0</v>
      </c>
      <c r="DS83" s="137">
        <v>0</v>
      </c>
      <c r="DT83" s="138">
        <v>0</v>
      </c>
      <c r="DU83" s="137">
        <v>0</v>
      </c>
      <c r="DV83" s="137">
        <v>0</v>
      </c>
      <c r="DW83" s="137">
        <v>0</v>
      </c>
      <c r="DX83" s="138">
        <v>0</v>
      </c>
      <c r="DY83" s="138">
        <v>0</v>
      </c>
      <c r="DZ83" s="138">
        <v>0</v>
      </c>
      <c r="EA83" s="138">
        <v>0</v>
      </c>
      <c r="EB83" s="138">
        <v>0</v>
      </c>
      <c r="EC83" s="138">
        <v>0</v>
      </c>
      <c r="ED83" s="138">
        <v>0</v>
      </c>
      <c r="EE83" s="138">
        <v>0</v>
      </c>
      <c r="EF83" s="138">
        <v>0</v>
      </c>
      <c r="EG83" s="138">
        <v>0</v>
      </c>
      <c r="EH83" s="249">
        <f t="shared" si="32"/>
        <v>257</v>
      </c>
      <c r="EI83" s="150">
        <f t="shared" si="18"/>
        <v>1049</v>
      </c>
      <c r="EJ83" s="150">
        <f t="shared" si="19"/>
        <v>1049</v>
      </c>
      <c r="EK83" s="284">
        <f t="shared" si="33"/>
        <v>0</v>
      </c>
      <c r="EL83" s="157">
        <f t="shared" si="20"/>
        <v>0</v>
      </c>
      <c r="EM83" s="158">
        <f t="shared" si="21"/>
        <v>0</v>
      </c>
      <c r="EN83" s="158">
        <f t="shared" si="22"/>
        <v>0</v>
      </c>
      <c r="EO83" s="158">
        <f t="shared" si="23"/>
        <v>154</v>
      </c>
      <c r="EP83" s="159">
        <f t="shared" si="24"/>
        <v>317</v>
      </c>
      <c r="EQ83" s="159">
        <f t="shared" si="25"/>
        <v>246</v>
      </c>
      <c r="ER83" s="159">
        <f t="shared" si="26"/>
        <v>75</v>
      </c>
      <c r="ES83" s="152">
        <f t="shared" si="27"/>
        <v>257</v>
      </c>
      <c r="ET83" s="152">
        <f t="shared" si="34"/>
        <v>0</v>
      </c>
      <c r="EU83" s="141">
        <f t="shared" si="28"/>
        <v>63</v>
      </c>
      <c r="EV83" s="140">
        <f t="shared" si="29"/>
        <v>75</v>
      </c>
      <c r="EX83" s="140">
        <f t="shared" si="30"/>
        <v>792</v>
      </c>
      <c r="EY83" s="143">
        <f t="shared" si="31"/>
        <v>1049</v>
      </c>
    </row>
    <row r="84" spans="1:155" ht="30.75" thickBot="1" x14ac:dyDescent="0.3">
      <c r="A84" s="8" t="s">
        <v>53</v>
      </c>
      <c r="B84" s="8" t="s">
        <v>54</v>
      </c>
      <c r="C84" s="33">
        <v>2221884</v>
      </c>
      <c r="D84" s="33">
        <v>1222217</v>
      </c>
      <c r="E84" s="33">
        <v>1061542</v>
      </c>
      <c r="F84" s="33">
        <v>1112892</v>
      </c>
      <c r="G84" s="33">
        <v>1146110</v>
      </c>
      <c r="H84" s="33">
        <v>5911243</v>
      </c>
      <c r="I84" s="33">
        <v>2974069</v>
      </c>
      <c r="J84" s="33">
        <v>4167200</v>
      </c>
      <c r="K84" s="33">
        <v>7234628</v>
      </c>
      <c r="L84" s="33">
        <v>9208441</v>
      </c>
      <c r="M84" s="33">
        <v>18745033</v>
      </c>
      <c r="N84" s="33">
        <v>12391996</v>
      </c>
      <c r="O84" s="33">
        <v>16684546</v>
      </c>
      <c r="P84" s="33">
        <v>8996004</v>
      </c>
      <c r="Q84" s="33">
        <v>5527719</v>
      </c>
      <c r="R84" s="33">
        <v>6307170</v>
      </c>
      <c r="S84" s="33">
        <v>7322540</v>
      </c>
      <c r="T84" s="33">
        <v>8890616</v>
      </c>
      <c r="U84" s="33">
        <v>14600688</v>
      </c>
      <c r="V84" s="33">
        <v>23832184</v>
      </c>
      <c r="W84" s="33">
        <v>12700304</v>
      </c>
      <c r="X84" s="33">
        <v>9127384</v>
      </c>
      <c r="Y84" s="33">
        <v>17473373</v>
      </c>
      <c r="Z84" s="33">
        <v>9803379</v>
      </c>
      <c r="AA84" s="33">
        <v>13233356</v>
      </c>
      <c r="AB84" s="33">
        <v>9433880</v>
      </c>
      <c r="AC84" s="33">
        <v>10422275</v>
      </c>
      <c r="AD84" s="33">
        <v>6400473</v>
      </c>
      <c r="AE84" s="33">
        <v>6772078</v>
      </c>
      <c r="AF84" s="33">
        <v>13496251</v>
      </c>
      <c r="AG84" s="33">
        <v>13349486</v>
      </c>
      <c r="AH84" s="33">
        <v>12575504</v>
      </c>
      <c r="AI84" s="33">
        <v>21014364</v>
      </c>
      <c r="AJ84" s="34">
        <v>20168400</v>
      </c>
      <c r="AK84" s="34">
        <v>16546234</v>
      </c>
      <c r="AL84" s="34">
        <v>40911645</v>
      </c>
      <c r="AM84" s="34">
        <v>59459456</v>
      </c>
      <c r="AN84" s="34">
        <v>68419489</v>
      </c>
      <c r="AO84" s="34">
        <v>33222931</v>
      </c>
      <c r="AP84" s="34">
        <v>26767978</v>
      </c>
      <c r="AQ84" s="34">
        <v>51858480</v>
      </c>
      <c r="AR84" s="34">
        <v>58978792</v>
      </c>
      <c r="AS84" s="34">
        <v>72001536</v>
      </c>
      <c r="AT84" s="34">
        <v>67109798</v>
      </c>
      <c r="AU84" s="34">
        <v>77238131</v>
      </c>
      <c r="AV84" s="34">
        <v>105100640</v>
      </c>
      <c r="AW84" s="34">
        <v>43562323</v>
      </c>
      <c r="AX84" s="34">
        <v>23703878</v>
      </c>
      <c r="AY84" s="34">
        <v>16143026</v>
      </c>
      <c r="AZ84" s="34">
        <v>8136512</v>
      </c>
      <c r="BA84" s="34">
        <v>12578407</v>
      </c>
      <c r="BB84" s="34">
        <v>11504726</v>
      </c>
      <c r="BC84" s="34">
        <v>16977557</v>
      </c>
      <c r="BD84" s="40">
        <v>8522907</v>
      </c>
      <c r="BE84" s="40">
        <v>8638971</v>
      </c>
      <c r="BF84" s="34">
        <v>8523854</v>
      </c>
      <c r="BG84" s="34">
        <v>10359775</v>
      </c>
      <c r="BH84" s="34">
        <v>2162629</v>
      </c>
      <c r="BI84" s="34">
        <v>8247386</v>
      </c>
      <c r="BJ84" s="34">
        <v>22699000</v>
      </c>
      <c r="BK84" s="34">
        <v>22004197</v>
      </c>
      <c r="BL84" s="34">
        <v>20868352</v>
      </c>
      <c r="BM84" s="137">
        <v>28084299</v>
      </c>
      <c r="BN84" s="137">
        <v>20250851</v>
      </c>
      <c r="BO84" s="137">
        <v>21875528</v>
      </c>
      <c r="BP84" s="137">
        <v>40298638</v>
      </c>
      <c r="BQ84" s="137">
        <v>20928510</v>
      </c>
      <c r="BR84" s="138">
        <v>21776884</v>
      </c>
      <c r="BS84" s="138">
        <v>90097194</v>
      </c>
      <c r="BT84" s="138">
        <v>8514395</v>
      </c>
      <c r="BU84" s="138">
        <v>26464587</v>
      </c>
      <c r="BV84" s="138">
        <v>6605085</v>
      </c>
      <c r="BW84" s="137">
        <v>24385322</v>
      </c>
      <c r="BX84" s="137">
        <v>29323508</v>
      </c>
      <c r="BY84" s="137">
        <v>28203025</v>
      </c>
      <c r="BZ84" s="137">
        <v>18167985</v>
      </c>
      <c r="CA84" s="137">
        <v>8837459.5</v>
      </c>
      <c r="CB84" s="137">
        <v>6123840</v>
      </c>
      <c r="CC84" s="137">
        <v>0</v>
      </c>
      <c r="CD84" s="137">
        <v>801373</v>
      </c>
      <c r="CE84" s="137">
        <v>1162399</v>
      </c>
      <c r="CF84" s="137">
        <v>5188460</v>
      </c>
      <c r="CG84" s="137">
        <v>6225624</v>
      </c>
      <c r="CH84" s="139">
        <v>11559111</v>
      </c>
      <c r="CI84" s="139">
        <v>22789542</v>
      </c>
      <c r="CJ84" s="137">
        <v>30088527</v>
      </c>
      <c r="CK84" s="137">
        <v>22284029</v>
      </c>
      <c r="CL84" s="137">
        <v>21308915</v>
      </c>
      <c r="CM84" s="137">
        <v>31533550</v>
      </c>
      <c r="CN84" s="137">
        <v>15938626</v>
      </c>
      <c r="CO84" s="137">
        <v>23732254</v>
      </c>
      <c r="CP84" s="137">
        <v>10830537</v>
      </c>
      <c r="CQ84" s="137">
        <v>25100423</v>
      </c>
      <c r="CR84" s="137">
        <v>8366834</v>
      </c>
      <c r="CS84" s="34">
        <v>32299247</v>
      </c>
      <c r="CT84" s="34">
        <v>16011986</v>
      </c>
      <c r="CU84" s="34">
        <v>17568994</v>
      </c>
      <c r="CV84" s="34">
        <v>5857556</v>
      </c>
      <c r="CW84" s="42">
        <v>25672511</v>
      </c>
      <c r="CX84" s="34">
        <v>9461448</v>
      </c>
      <c r="CY84" s="137">
        <v>12865526</v>
      </c>
      <c r="CZ84" s="34">
        <v>12723748</v>
      </c>
      <c r="DA84" s="34">
        <v>15997297.5</v>
      </c>
      <c r="DB84" s="34">
        <v>20383882</v>
      </c>
      <c r="DC84" s="34">
        <v>14986375</v>
      </c>
      <c r="DD84" s="34">
        <v>19863595</v>
      </c>
      <c r="DE84" s="34">
        <v>27770416</v>
      </c>
      <c r="DF84" s="34">
        <v>25889212.5</v>
      </c>
      <c r="DG84" s="34">
        <v>34555949</v>
      </c>
      <c r="DH84" s="42">
        <v>39802221</v>
      </c>
      <c r="DI84" s="34">
        <v>30986591.5</v>
      </c>
      <c r="DJ84" s="34">
        <v>14393265.5</v>
      </c>
      <c r="DK84" s="34">
        <v>17141897</v>
      </c>
      <c r="DL84" s="34">
        <v>22658778</v>
      </c>
      <c r="DM84" s="34">
        <v>23645054</v>
      </c>
      <c r="DN84" s="34">
        <v>31352907.5</v>
      </c>
      <c r="DO84" s="34">
        <v>20584732</v>
      </c>
      <c r="DP84" s="34">
        <v>9297155.5</v>
      </c>
      <c r="DQ84" s="34">
        <v>23876160</v>
      </c>
      <c r="DR84" s="34">
        <v>15747102</v>
      </c>
      <c r="DS84" s="118">
        <v>20471803</v>
      </c>
      <c r="DT84" s="134">
        <v>12265694</v>
      </c>
      <c r="DU84" s="118">
        <v>11820643</v>
      </c>
      <c r="DV84" s="118">
        <v>15746663</v>
      </c>
      <c r="DW84" s="118">
        <v>17337656</v>
      </c>
      <c r="DX84" s="134">
        <v>16724964</v>
      </c>
      <c r="DY84" s="134">
        <v>18299079</v>
      </c>
      <c r="DZ84" s="134">
        <v>15818264</v>
      </c>
      <c r="EA84" s="134">
        <v>16988167</v>
      </c>
      <c r="EB84" s="138">
        <v>0</v>
      </c>
      <c r="EC84" s="134">
        <v>0</v>
      </c>
      <c r="ED84" s="134">
        <v>20974526</v>
      </c>
      <c r="EE84" s="134">
        <v>16361452</v>
      </c>
      <c r="EF84" s="134">
        <v>12849194</v>
      </c>
      <c r="EG84" s="134">
        <v>0</v>
      </c>
      <c r="EH84" s="249">
        <f t="shared" si="32"/>
        <v>781349506</v>
      </c>
      <c r="EI84" s="150">
        <f t="shared" si="18"/>
        <v>2335160703.5</v>
      </c>
      <c r="EJ84" s="150">
        <f t="shared" si="19"/>
        <v>2319510746.5</v>
      </c>
      <c r="EK84" s="284">
        <f t="shared" si="33"/>
        <v>342819994</v>
      </c>
      <c r="EL84" s="151">
        <f t="shared" si="20"/>
        <v>2221884</v>
      </c>
      <c r="EM84" s="153">
        <f t="shared" si="21"/>
        <v>81859917</v>
      </c>
      <c r="EN84" s="153">
        <f t="shared" si="22"/>
        <v>137814717</v>
      </c>
      <c r="EO84" s="153">
        <f t="shared" si="23"/>
        <v>230550046</v>
      </c>
      <c r="EP84" s="152">
        <f t="shared" si="24"/>
        <v>644107002</v>
      </c>
      <c r="EQ84" s="152">
        <f t="shared" si="25"/>
        <v>470505566</v>
      </c>
      <c r="ER84" s="152">
        <f t="shared" si="26"/>
        <v>393446248.5</v>
      </c>
      <c r="ES84" s="152">
        <f t="shared" si="27"/>
        <v>495985183</v>
      </c>
      <c r="ET84" s="152">
        <f t="shared" si="34"/>
        <v>175186302</v>
      </c>
      <c r="EU84" s="57">
        <f t="shared" si="28"/>
        <v>429825497.5</v>
      </c>
      <c r="EV84" s="12">
        <f t="shared" si="29"/>
        <v>302790431</v>
      </c>
      <c r="EX84" s="12">
        <f t="shared" si="30"/>
        <v>1850327359.5</v>
      </c>
      <c r="EY84" s="131">
        <f t="shared" si="31"/>
        <v>2284351228.5</v>
      </c>
    </row>
    <row r="85" spans="1:155" ht="60.75" thickBot="1" x14ac:dyDescent="0.3">
      <c r="A85" s="8" t="s">
        <v>53</v>
      </c>
      <c r="B85" s="251" t="s">
        <v>55</v>
      </c>
      <c r="C85" s="33">
        <v>0</v>
      </c>
      <c r="D85" s="33">
        <v>20</v>
      </c>
      <c r="E85" s="33">
        <v>2983</v>
      </c>
      <c r="F85" s="33">
        <v>11127</v>
      </c>
      <c r="G85" s="33">
        <v>12529</v>
      </c>
      <c r="H85" s="33">
        <v>15483</v>
      </c>
      <c r="I85" s="33">
        <v>23983</v>
      </c>
      <c r="J85" s="33">
        <v>8975</v>
      </c>
      <c r="K85" s="33">
        <v>4339</v>
      </c>
      <c r="L85" s="33">
        <v>2380</v>
      </c>
      <c r="M85" s="33">
        <v>17643</v>
      </c>
      <c r="N85" s="33">
        <v>41934</v>
      </c>
      <c r="O85" s="33">
        <v>14270</v>
      </c>
      <c r="P85" s="33">
        <v>2402</v>
      </c>
      <c r="Q85" s="33">
        <v>4340</v>
      </c>
      <c r="R85" s="33">
        <v>4266</v>
      </c>
      <c r="S85" s="33">
        <v>433</v>
      </c>
      <c r="T85" s="33">
        <v>6910</v>
      </c>
      <c r="U85" s="33">
        <v>29609</v>
      </c>
      <c r="V85" s="33">
        <v>1595</v>
      </c>
      <c r="W85" s="33">
        <v>503</v>
      </c>
      <c r="X85" s="33">
        <v>120</v>
      </c>
      <c r="Y85" s="33">
        <v>6794</v>
      </c>
      <c r="Z85" s="33">
        <v>1815</v>
      </c>
      <c r="AA85" s="33">
        <v>2133</v>
      </c>
      <c r="AB85" s="33">
        <v>1146</v>
      </c>
      <c r="AC85" s="33">
        <v>17398</v>
      </c>
      <c r="AD85" s="33">
        <v>20165</v>
      </c>
      <c r="AE85" s="33">
        <v>2273</v>
      </c>
      <c r="AF85" s="33">
        <v>4269</v>
      </c>
      <c r="AG85" s="33">
        <v>722</v>
      </c>
      <c r="AH85" s="33">
        <v>2383</v>
      </c>
      <c r="AI85" s="33">
        <v>398</v>
      </c>
      <c r="AJ85" s="34">
        <v>1094</v>
      </c>
      <c r="AK85" s="34">
        <v>1120</v>
      </c>
      <c r="AL85" s="34">
        <v>6539</v>
      </c>
      <c r="AM85" s="34">
        <v>1579</v>
      </c>
      <c r="AN85" s="34">
        <v>637</v>
      </c>
      <c r="AO85" s="34">
        <v>167</v>
      </c>
      <c r="AP85" s="34">
        <v>126</v>
      </c>
      <c r="AQ85" s="34">
        <v>720</v>
      </c>
      <c r="AR85" s="34">
        <v>2792</v>
      </c>
      <c r="AS85" s="34">
        <v>1107</v>
      </c>
      <c r="AT85" s="34">
        <v>16714</v>
      </c>
      <c r="AU85" s="34">
        <v>1552</v>
      </c>
      <c r="AV85" s="34">
        <v>4143</v>
      </c>
      <c r="AW85" s="34">
        <v>9087</v>
      </c>
      <c r="AX85" s="34">
        <v>4881</v>
      </c>
      <c r="AY85" s="34">
        <v>1756</v>
      </c>
      <c r="AZ85" s="34">
        <v>217</v>
      </c>
      <c r="BA85" s="34">
        <v>655</v>
      </c>
      <c r="BB85" s="34">
        <v>260</v>
      </c>
      <c r="BC85" s="34">
        <v>3062</v>
      </c>
      <c r="BD85" s="34">
        <f>270+368+20+53</f>
        <v>711</v>
      </c>
      <c r="BE85" s="39">
        <v>591</v>
      </c>
      <c r="BF85" s="34">
        <v>5361</v>
      </c>
      <c r="BG85" s="34">
        <v>3551</v>
      </c>
      <c r="BH85" s="34">
        <v>2645</v>
      </c>
      <c r="BI85" s="34">
        <v>3910</v>
      </c>
      <c r="BJ85" s="34">
        <v>3362</v>
      </c>
      <c r="BK85" s="34">
        <v>3168</v>
      </c>
      <c r="BL85" s="34">
        <v>3068</v>
      </c>
      <c r="BM85" s="137">
        <v>425</v>
      </c>
      <c r="BN85" s="137">
        <v>651</v>
      </c>
      <c r="BO85" s="137">
        <v>1799</v>
      </c>
      <c r="BP85" s="137">
        <v>2219</v>
      </c>
      <c r="BQ85" s="137">
        <v>1017</v>
      </c>
      <c r="BR85" s="138">
        <v>7441</v>
      </c>
      <c r="BS85" s="138">
        <v>9362</v>
      </c>
      <c r="BT85" s="138">
        <v>628</v>
      </c>
      <c r="BU85" s="138">
        <v>5520</v>
      </c>
      <c r="BV85" s="138">
        <v>3321</v>
      </c>
      <c r="BW85" s="137">
        <v>425</v>
      </c>
      <c r="BX85" s="137">
        <v>336</v>
      </c>
      <c r="BY85" s="137">
        <v>71</v>
      </c>
      <c r="BZ85" s="137">
        <v>2745</v>
      </c>
      <c r="CA85" s="137">
        <v>2858</v>
      </c>
      <c r="CB85" s="137">
        <v>1538</v>
      </c>
      <c r="CC85" s="137">
        <v>0</v>
      </c>
      <c r="CD85" s="137">
        <v>38</v>
      </c>
      <c r="CE85" s="138">
        <v>83</v>
      </c>
      <c r="CF85" s="137">
        <v>900</v>
      </c>
      <c r="CG85" s="137">
        <v>120</v>
      </c>
      <c r="CH85" s="139">
        <v>778</v>
      </c>
      <c r="CI85" s="139">
        <v>741</v>
      </c>
      <c r="CJ85" s="137">
        <v>334</v>
      </c>
      <c r="CK85" s="137">
        <v>5916</v>
      </c>
      <c r="CL85" s="137">
        <v>149</v>
      </c>
      <c r="CM85" s="137">
        <v>161</v>
      </c>
      <c r="CN85" s="137">
        <v>128</v>
      </c>
      <c r="CO85" s="137">
        <v>540</v>
      </c>
      <c r="CP85" s="137">
        <v>611</v>
      </c>
      <c r="CQ85" s="137">
        <v>238</v>
      </c>
      <c r="CR85" s="137">
        <v>0</v>
      </c>
      <c r="CS85" s="34">
        <v>6324</v>
      </c>
      <c r="CT85" s="34">
        <v>5961</v>
      </c>
      <c r="CU85" s="34">
        <v>3100</v>
      </c>
      <c r="CV85" s="34">
        <v>0</v>
      </c>
      <c r="CW85" s="42">
        <f>85+22</f>
        <v>107</v>
      </c>
      <c r="CX85" s="34">
        <v>106</v>
      </c>
      <c r="CY85" s="137">
        <v>7229</v>
      </c>
      <c r="CZ85" s="34">
        <v>4260</v>
      </c>
      <c r="DA85" s="34">
        <v>1772</v>
      </c>
      <c r="DB85" s="34">
        <v>619</v>
      </c>
      <c r="DC85" s="34">
        <v>266</v>
      </c>
      <c r="DD85" s="34">
        <v>148</v>
      </c>
      <c r="DE85" s="34">
        <v>478</v>
      </c>
      <c r="DF85" s="34">
        <v>469</v>
      </c>
      <c r="DG85" s="34">
        <v>0</v>
      </c>
      <c r="DH85" s="42">
        <v>166</v>
      </c>
      <c r="DI85" s="34">
        <v>206</v>
      </c>
      <c r="DJ85" s="34">
        <v>651</v>
      </c>
      <c r="DK85" s="34">
        <v>707</v>
      </c>
      <c r="DL85" s="34">
        <v>450</v>
      </c>
      <c r="DM85" s="34">
        <v>66</v>
      </c>
      <c r="DN85" s="34">
        <v>27520</v>
      </c>
      <c r="DO85" s="34">
        <v>1064</v>
      </c>
      <c r="DP85" s="34">
        <v>355</v>
      </c>
      <c r="DQ85" s="34">
        <v>1995</v>
      </c>
      <c r="DR85" s="34">
        <v>14458</v>
      </c>
      <c r="DS85" s="34">
        <v>136</v>
      </c>
      <c r="DT85" s="42">
        <v>0</v>
      </c>
      <c r="DU85" s="34">
        <v>213</v>
      </c>
      <c r="DV85" s="34">
        <v>875</v>
      </c>
      <c r="DW85" s="34">
        <v>1347</v>
      </c>
      <c r="DX85" s="42">
        <v>637</v>
      </c>
      <c r="DY85" s="42">
        <v>334</v>
      </c>
      <c r="DZ85" s="42">
        <v>0</v>
      </c>
      <c r="EA85" s="42">
        <v>25</v>
      </c>
      <c r="EB85" s="134">
        <v>20</v>
      </c>
      <c r="EC85" s="42">
        <v>234</v>
      </c>
      <c r="ED85" s="42">
        <v>41</v>
      </c>
      <c r="EE85" s="42">
        <v>248</v>
      </c>
      <c r="EF85" s="42">
        <v>0</v>
      </c>
      <c r="EG85" s="42">
        <v>0</v>
      </c>
      <c r="EH85" s="249">
        <f t="shared" si="32"/>
        <v>83436</v>
      </c>
      <c r="EI85" s="150">
        <f t="shared" ref="EI85:EI96" si="35">SUM(C85:DM85)</f>
        <v>434093</v>
      </c>
      <c r="EJ85" s="150">
        <f t="shared" ref="EJ85:EJ96" si="36">SUM(J85:DM85)</f>
        <v>367968</v>
      </c>
      <c r="EK85" s="284">
        <f>SUM(DL85:EG85)</f>
        <v>50018</v>
      </c>
      <c r="EL85" s="151">
        <f t="shared" si="20"/>
        <v>0</v>
      </c>
      <c r="EM85" s="153">
        <f t="shared" si="21"/>
        <v>155666</v>
      </c>
      <c r="EN85" s="153">
        <f t="shared" si="22"/>
        <v>60920</v>
      </c>
      <c r="EO85" s="153">
        <f t="shared" si="23"/>
        <v>59086</v>
      </c>
      <c r="EP85" s="152">
        <f t="shared" si="24"/>
        <v>43682</v>
      </c>
      <c r="EQ85" s="152">
        <f t="shared" si="25"/>
        <v>63369</v>
      </c>
      <c r="ER85" s="152">
        <f t="shared" si="26"/>
        <v>33670</v>
      </c>
      <c r="ES85" s="152">
        <f t="shared" ref="ES85:ES96" si="37">SUM(CV85:DS85)</f>
        <v>63228</v>
      </c>
      <c r="ET85" s="152">
        <f t="shared" si="34"/>
        <v>3974</v>
      </c>
      <c r="EU85" s="57">
        <f t="shared" si="28"/>
        <v>46391</v>
      </c>
      <c r="EV85" s="12">
        <f t="shared" si="29"/>
        <v>26122</v>
      </c>
      <c r="EX85" s="12">
        <f t="shared" si="30"/>
        <v>400159</v>
      </c>
      <c r="EY85" s="131">
        <f t="shared" si="31"/>
        <v>430574</v>
      </c>
    </row>
    <row r="86" spans="1:155" ht="45.75" thickBot="1" x14ac:dyDescent="0.3">
      <c r="A86" s="232" t="s">
        <v>53</v>
      </c>
      <c r="B86" s="232" t="s">
        <v>56</v>
      </c>
      <c r="C86" s="182">
        <v>0</v>
      </c>
      <c r="D86" s="182">
        <v>1</v>
      </c>
      <c r="E86" s="182">
        <v>4</v>
      </c>
      <c r="F86" s="182">
        <v>47</v>
      </c>
      <c r="G86" s="182">
        <v>40</v>
      </c>
      <c r="H86" s="182">
        <v>45</v>
      </c>
      <c r="I86" s="182">
        <v>45</v>
      </c>
      <c r="J86" s="182">
        <v>23</v>
      </c>
      <c r="K86" s="182">
        <v>18</v>
      </c>
      <c r="L86" s="182">
        <v>6</v>
      </c>
      <c r="M86" s="182">
        <v>22</v>
      </c>
      <c r="N86" s="182">
        <v>22</v>
      </c>
      <c r="O86" s="182">
        <v>16</v>
      </c>
      <c r="P86" s="182">
        <v>8</v>
      </c>
      <c r="Q86" s="182">
        <v>11</v>
      </c>
      <c r="R86" s="182">
        <v>18</v>
      </c>
      <c r="S86" s="182">
        <v>4</v>
      </c>
      <c r="T86" s="182">
        <v>5</v>
      </c>
      <c r="U86" s="182">
        <v>14</v>
      </c>
      <c r="V86" s="182">
        <v>6</v>
      </c>
      <c r="W86" s="182">
        <v>3</v>
      </c>
      <c r="X86" s="182">
        <v>2</v>
      </c>
      <c r="Y86" s="182">
        <v>6</v>
      </c>
      <c r="Z86" s="182">
        <v>5</v>
      </c>
      <c r="AA86" s="182">
        <v>5</v>
      </c>
      <c r="AB86" s="182">
        <v>4</v>
      </c>
      <c r="AC86" s="182">
        <v>6</v>
      </c>
      <c r="AD86" s="182">
        <v>4</v>
      </c>
      <c r="AE86" s="182">
        <v>5</v>
      </c>
      <c r="AF86" s="182">
        <v>17</v>
      </c>
      <c r="AG86" s="182">
        <v>5</v>
      </c>
      <c r="AH86" s="182">
        <v>12</v>
      </c>
      <c r="AI86" s="182">
        <v>5</v>
      </c>
      <c r="AJ86" s="41">
        <v>17</v>
      </c>
      <c r="AK86" s="41">
        <v>12</v>
      </c>
      <c r="AL86" s="41">
        <v>40</v>
      </c>
      <c r="AM86" s="41">
        <v>5</v>
      </c>
      <c r="AN86" s="41">
        <v>5</v>
      </c>
      <c r="AO86" s="41">
        <v>1</v>
      </c>
      <c r="AP86" s="41">
        <v>5</v>
      </c>
      <c r="AQ86" s="41">
        <v>5</v>
      </c>
      <c r="AR86" s="41">
        <v>17</v>
      </c>
      <c r="AS86" s="41">
        <v>11</v>
      </c>
      <c r="AT86" s="41">
        <v>25</v>
      </c>
      <c r="AU86" s="41">
        <v>10</v>
      </c>
      <c r="AV86" s="41">
        <v>12</v>
      </c>
      <c r="AW86" s="41">
        <v>62</v>
      </c>
      <c r="AX86" s="41">
        <v>16</v>
      </c>
      <c r="AY86" s="41">
        <v>11</v>
      </c>
      <c r="AZ86" s="41">
        <v>2</v>
      </c>
      <c r="BA86" s="41">
        <v>12</v>
      </c>
      <c r="BB86" s="41">
        <v>5</v>
      </c>
      <c r="BC86" s="41">
        <v>7</v>
      </c>
      <c r="BD86" s="41">
        <v>8</v>
      </c>
      <c r="BE86" s="41">
        <v>3</v>
      </c>
      <c r="BF86" s="41">
        <v>8</v>
      </c>
      <c r="BG86" s="41">
        <v>23</v>
      </c>
      <c r="BH86" s="41">
        <v>11</v>
      </c>
      <c r="BI86" s="41">
        <v>12</v>
      </c>
      <c r="BJ86" s="41">
        <v>10</v>
      </c>
      <c r="BK86" s="41">
        <v>9</v>
      </c>
      <c r="BL86" s="41">
        <v>8</v>
      </c>
      <c r="BM86" s="149">
        <v>4</v>
      </c>
      <c r="BN86" s="149">
        <v>5</v>
      </c>
      <c r="BO86" s="149">
        <v>11</v>
      </c>
      <c r="BP86" s="149">
        <v>4</v>
      </c>
      <c r="BQ86" s="149">
        <v>8</v>
      </c>
      <c r="BR86" s="180">
        <v>23</v>
      </c>
      <c r="BS86" s="180">
        <v>31</v>
      </c>
      <c r="BT86" s="180">
        <v>3</v>
      </c>
      <c r="BU86" s="180">
        <v>18</v>
      </c>
      <c r="BV86" s="180">
        <v>16</v>
      </c>
      <c r="BW86" s="149">
        <v>5</v>
      </c>
      <c r="BX86" s="149">
        <v>5</v>
      </c>
      <c r="BY86" s="149">
        <v>3</v>
      </c>
      <c r="BZ86" s="149">
        <v>5</v>
      </c>
      <c r="CA86" s="149">
        <v>12</v>
      </c>
      <c r="CB86" s="149">
        <v>6</v>
      </c>
      <c r="CC86" s="149">
        <v>0</v>
      </c>
      <c r="CD86" s="149">
        <v>5</v>
      </c>
      <c r="CE86" s="180">
        <v>5</v>
      </c>
      <c r="CF86" s="149">
        <v>1</v>
      </c>
      <c r="CG86" s="149">
        <v>1</v>
      </c>
      <c r="CH86" s="149">
        <v>18</v>
      </c>
      <c r="CI86" s="149">
        <v>8</v>
      </c>
      <c r="CJ86" s="149">
        <v>3</v>
      </c>
      <c r="CK86" s="149">
        <v>5</v>
      </c>
      <c r="CL86" s="149">
        <v>2</v>
      </c>
      <c r="CM86" s="149">
        <v>2</v>
      </c>
      <c r="CN86" s="149">
        <v>3</v>
      </c>
      <c r="CO86" s="149">
        <v>5</v>
      </c>
      <c r="CP86" s="149">
        <v>8</v>
      </c>
      <c r="CQ86" s="149">
        <v>2</v>
      </c>
      <c r="CR86" s="149">
        <v>0</v>
      </c>
      <c r="CS86" s="41">
        <v>16</v>
      </c>
      <c r="CT86" s="41">
        <v>23</v>
      </c>
      <c r="CU86" s="41">
        <v>13</v>
      </c>
      <c r="CV86" s="41">
        <v>0</v>
      </c>
      <c r="CW86" s="44">
        <v>6</v>
      </c>
      <c r="CX86" s="41">
        <v>2</v>
      </c>
      <c r="CY86" s="149">
        <v>6</v>
      </c>
      <c r="CZ86" s="41">
        <v>7</v>
      </c>
      <c r="DA86" s="41">
        <v>12</v>
      </c>
      <c r="DB86" s="41">
        <v>18</v>
      </c>
      <c r="DC86" s="41">
        <v>5</v>
      </c>
      <c r="DD86" s="41">
        <v>2</v>
      </c>
      <c r="DE86" s="41">
        <v>4</v>
      </c>
      <c r="DF86" s="41">
        <v>7</v>
      </c>
      <c r="DG86" s="41">
        <v>0</v>
      </c>
      <c r="DH86" s="44">
        <v>2</v>
      </c>
      <c r="DI86" s="41">
        <v>3</v>
      </c>
      <c r="DJ86" s="41">
        <v>15</v>
      </c>
      <c r="DK86" s="41">
        <v>6</v>
      </c>
      <c r="DL86" s="41">
        <v>1</v>
      </c>
      <c r="DM86" s="41">
        <v>1</v>
      </c>
      <c r="DN86" s="41">
        <v>18</v>
      </c>
      <c r="DO86" s="41">
        <v>5</v>
      </c>
      <c r="DP86" s="41">
        <v>6</v>
      </c>
      <c r="DQ86" s="41">
        <v>3</v>
      </c>
      <c r="DR86" s="41">
        <v>15</v>
      </c>
      <c r="DS86" s="41">
        <v>1</v>
      </c>
      <c r="DT86" s="44">
        <v>0</v>
      </c>
      <c r="DU86" s="41">
        <v>3</v>
      </c>
      <c r="DV86" s="41">
        <v>2</v>
      </c>
      <c r="DW86" s="41">
        <v>4</v>
      </c>
      <c r="DX86" s="44">
        <v>3</v>
      </c>
      <c r="DY86" s="44">
        <v>2</v>
      </c>
      <c r="DZ86" s="44">
        <v>0</v>
      </c>
      <c r="EA86" s="44">
        <v>1</v>
      </c>
      <c r="EB86" s="297">
        <v>1</v>
      </c>
      <c r="EC86" s="44">
        <v>4</v>
      </c>
      <c r="ED86" s="44">
        <v>6</v>
      </c>
      <c r="EE86" s="44">
        <v>4</v>
      </c>
      <c r="EF86" s="44">
        <v>0</v>
      </c>
      <c r="EG86" s="44">
        <v>0</v>
      </c>
      <c r="EH86" s="249">
        <f t="shared" si="32"/>
        <v>237</v>
      </c>
      <c r="EI86" s="150">
        <f t="shared" si="35"/>
        <v>1182</v>
      </c>
      <c r="EJ86" s="150">
        <f t="shared" si="36"/>
        <v>1000</v>
      </c>
      <c r="EK86" s="284">
        <f t="shared" si="33"/>
        <v>80</v>
      </c>
      <c r="EL86" s="151">
        <f t="shared" si="20"/>
        <v>0</v>
      </c>
      <c r="EM86" s="153">
        <f t="shared" si="21"/>
        <v>289</v>
      </c>
      <c r="EN86" s="153">
        <f t="shared" si="22"/>
        <v>87</v>
      </c>
      <c r="EO86" s="153">
        <f t="shared" si="23"/>
        <v>132</v>
      </c>
      <c r="EP86" s="152">
        <f t="shared" si="24"/>
        <v>180</v>
      </c>
      <c r="EQ86" s="152">
        <f t="shared" si="25"/>
        <v>246</v>
      </c>
      <c r="ER86" s="152">
        <f t="shared" si="26"/>
        <v>151</v>
      </c>
      <c r="ES86" s="152">
        <f t="shared" si="37"/>
        <v>145</v>
      </c>
      <c r="ET86" s="152">
        <f t="shared" si="34"/>
        <v>30</v>
      </c>
      <c r="EU86" s="57">
        <f t="shared" si="28"/>
        <v>185</v>
      </c>
      <c r="EV86" s="12">
        <f t="shared" si="29"/>
        <v>120</v>
      </c>
      <c r="EX86" s="12">
        <f t="shared" si="30"/>
        <v>1023</v>
      </c>
      <c r="EY86" s="131">
        <f t="shared" ref="EY86:EY96" si="38">SUM(F86:DK86)</f>
        <v>1175</v>
      </c>
    </row>
    <row r="87" spans="1:155" ht="30.75" thickBot="1" x14ac:dyDescent="0.3">
      <c r="A87" s="8" t="s">
        <v>53</v>
      </c>
      <c r="B87" s="8" t="s">
        <v>104</v>
      </c>
      <c r="C87" s="182">
        <v>0</v>
      </c>
      <c r="D87" s="182">
        <v>0</v>
      </c>
      <c r="E87" s="182">
        <v>0</v>
      </c>
      <c r="F87" s="182">
        <v>0</v>
      </c>
      <c r="G87" s="182">
        <v>0</v>
      </c>
      <c r="H87" s="182">
        <v>0</v>
      </c>
      <c r="I87" s="182">
        <v>0</v>
      </c>
      <c r="J87" s="182">
        <v>0</v>
      </c>
      <c r="K87" s="182">
        <v>0</v>
      </c>
      <c r="L87" s="182">
        <v>0</v>
      </c>
      <c r="M87" s="182">
        <v>0</v>
      </c>
      <c r="N87" s="182">
        <v>0</v>
      </c>
      <c r="O87" s="182">
        <v>0</v>
      </c>
      <c r="P87" s="183">
        <v>0</v>
      </c>
      <c r="Q87" s="183">
        <v>0</v>
      </c>
      <c r="R87" s="183">
        <v>0</v>
      </c>
      <c r="S87" s="183">
        <v>0</v>
      </c>
      <c r="T87" s="183">
        <v>0</v>
      </c>
      <c r="U87" s="183">
        <v>0</v>
      </c>
      <c r="V87" s="183">
        <v>0</v>
      </c>
      <c r="W87" s="183">
        <v>0</v>
      </c>
      <c r="X87" s="183">
        <v>0</v>
      </c>
      <c r="Y87" s="183">
        <v>0</v>
      </c>
      <c r="Z87" s="183">
        <v>0</v>
      </c>
      <c r="AA87" s="183">
        <v>0</v>
      </c>
      <c r="AB87" s="184">
        <v>0</v>
      </c>
      <c r="AC87" s="184">
        <v>1</v>
      </c>
      <c r="AD87" s="184">
        <v>1</v>
      </c>
      <c r="AE87" s="184">
        <v>0</v>
      </c>
      <c r="AF87" s="184">
        <v>0</v>
      </c>
      <c r="AG87" s="184">
        <v>0</v>
      </c>
      <c r="AH87" s="184">
        <v>0</v>
      </c>
      <c r="AI87" s="184">
        <v>0</v>
      </c>
      <c r="AJ87" s="185">
        <v>0</v>
      </c>
      <c r="AK87" s="185">
        <v>0</v>
      </c>
      <c r="AL87" s="185">
        <v>0</v>
      </c>
      <c r="AM87" s="185">
        <v>0</v>
      </c>
      <c r="AN87" s="41">
        <v>0</v>
      </c>
      <c r="AO87" s="41">
        <v>0</v>
      </c>
      <c r="AP87" s="41">
        <v>0</v>
      </c>
      <c r="AQ87" s="41">
        <v>0</v>
      </c>
      <c r="AR87" s="41">
        <v>0</v>
      </c>
      <c r="AS87" s="41">
        <v>0</v>
      </c>
      <c r="AT87" s="41">
        <v>0</v>
      </c>
      <c r="AU87" s="41">
        <v>0</v>
      </c>
      <c r="AV87" s="41">
        <v>0</v>
      </c>
      <c r="AW87" s="41">
        <v>16</v>
      </c>
      <c r="AX87" s="41">
        <v>0</v>
      </c>
      <c r="AY87" s="41">
        <v>0</v>
      </c>
      <c r="AZ87" s="41">
        <v>0</v>
      </c>
      <c r="BA87" s="41">
        <v>10</v>
      </c>
      <c r="BB87" s="41">
        <v>5</v>
      </c>
      <c r="BC87" s="41">
        <v>5</v>
      </c>
      <c r="BD87" s="41">
        <v>5</v>
      </c>
      <c r="BE87" s="41">
        <v>0</v>
      </c>
      <c r="BF87" s="41">
        <v>2</v>
      </c>
      <c r="BG87" s="41">
        <v>0</v>
      </c>
      <c r="BH87" s="41">
        <v>0</v>
      </c>
      <c r="BI87" s="41">
        <v>1</v>
      </c>
      <c r="BJ87" s="41">
        <v>0</v>
      </c>
      <c r="BK87" s="41">
        <v>2</v>
      </c>
      <c r="BL87" s="41">
        <v>0</v>
      </c>
      <c r="BM87" s="149">
        <v>0</v>
      </c>
      <c r="BN87" s="149">
        <v>0</v>
      </c>
      <c r="BO87" s="149">
        <v>5</v>
      </c>
      <c r="BP87" s="149">
        <v>0</v>
      </c>
      <c r="BQ87" s="149">
        <v>0</v>
      </c>
      <c r="BR87" s="180">
        <v>11</v>
      </c>
      <c r="BS87" s="180">
        <v>8</v>
      </c>
      <c r="BT87" s="180">
        <v>0</v>
      </c>
      <c r="BU87" s="180">
        <v>0</v>
      </c>
      <c r="BV87" s="180">
        <v>2</v>
      </c>
      <c r="BW87" s="149">
        <v>0</v>
      </c>
      <c r="BX87" s="149">
        <v>0</v>
      </c>
      <c r="BY87" s="149">
        <v>2</v>
      </c>
      <c r="BZ87" s="149">
        <v>0</v>
      </c>
      <c r="CA87" s="149">
        <v>0</v>
      </c>
      <c r="CB87" s="149">
        <v>0</v>
      </c>
      <c r="CC87" s="149">
        <v>0</v>
      </c>
      <c r="CD87" s="149">
        <v>5</v>
      </c>
      <c r="CE87" s="180">
        <v>5</v>
      </c>
      <c r="CF87" s="149">
        <v>0</v>
      </c>
      <c r="CG87" s="149">
        <v>0</v>
      </c>
      <c r="CH87" s="149">
        <v>6</v>
      </c>
      <c r="CI87" s="149">
        <v>1</v>
      </c>
      <c r="CJ87" s="149">
        <v>1</v>
      </c>
      <c r="CK87" s="149">
        <v>0</v>
      </c>
      <c r="CL87" s="149">
        <v>0</v>
      </c>
      <c r="CM87" s="149">
        <v>1</v>
      </c>
      <c r="CN87" s="149">
        <v>0</v>
      </c>
      <c r="CO87" s="149">
        <v>4</v>
      </c>
      <c r="CP87" s="149">
        <v>1</v>
      </c>
      <c r="CQ87" s="149">
        <v>1</v>
      </c>
      <c r="CR87" s="149">
        <v>0</v>
      </c>
      <c r="CS87" s="41">
        <v>0</v>
      </c>
      <c r="CT87" s="41">
        <v>5</v>
      </c>
      <c r="CU87" s="41">
        <v>0</v>
      </c>
      <c r="CV87" s="41">
        <v>0</v>
      </c>
      <c r="CW87" s="44">
        <v>6</v>
      </c>
      <c r="CX87" s="41">
        <v>0</v>
      </c>
      <c r="CY87" s="149">
        <v>4</v>
      </c>
      <c r="CZ87" s="41">
        <v>0</v>
      </c>
      <c r="DA87" s="41">
        <v>5</v>
      </c>
      <c r="DB87" s="41">
        <v>6</v>
      </c>
      <c r="DC87" s="41">
        <v>0</v>
      </c>
      <c r="DD87" s="41">
        <v>0</v>
      </c>
      <c r="DE87" s="41">
        <v>0</v>
      </c>
      <c r="DF87" s="41">
        <v>0</v>
      </c>
      <c r="DG87" s="41">
        <v>0</v>
      </c>
      <c r="DH87" s="44">
        <v>0</v>
      </c>
      <c r="DI87" s="41">
        <v>1</v>
      </c>
      <c r="DJ87" s="41">
        <v>14</v>
      </c>
      <c r="DK87" s="41">
        <v>5</v>
      </c>
      <c r="DL87" s="41">
        <v>0</v>
      </c>
      <c r="DM87" s="41">
        <v>1</v>
      </c>
      <c r="DN87" s="149">
        <v>0</v>
      </c>
      <c r="DO87" s="149">
        <v>0</v>
      </c>
      <c r="DP87" s="41">
        <v>0</v>
      </c>
      <c r="DQ87" s="41">
        <v>1</v>
      </c>
      <c r="DR87" s="41">
        <v>1</v>
      </c>
      <c r="DS87" s="41">
        <v>1</v>
      </c>
      <c r="DT87" s="44">
        <v>0</v>
      </c>
      <c r="DU87" s="41">
        <v>0</v>
      </c>
      <c r="DV87" s="41">
        <v>0</v>
      </c>
      <c r="DW87" s="41">
        <v>0</v>
      </c>
      <c r="DX87" s="44">
        <v>0</v>
      </c>
      <c r="DY87" s="44">
        <v>0</v>
      </c>
      <c r="DZ87" s="44">
        <v>0</v>
      </c>
      <c r="EA87" s="44">
        <v>1</v>
      </c>
      <c r="EB87" s="297">
        <v>0</v>
      </c>
      <c r="EC87" s="44">
        <v>1</v>
      </c>
      <c r="ED87" s="44">
        <v>5</v>
      </c>
      <c r="EE87" s="44">
        <v>1</v>
      </c>
      <c r="EF87" s="44">
        <v>0</v>
      </c>
      <c r="EG87" s="44">
        <v>0</v>
      </c>
      <c r="EH87" s="249">
        <f t="shared" si="32"/>
        <v>60</v>
      </c>
      <c r="EI87" s="150">
        <f t="shared" si="35"/>
        <v>148</v>
      </c>
      <c r="EJ87" s="150">
        <f t="shared" si="36"/>
        <v>148</v>
      </c>
      <c r="EK87" s="284">
        <f t="shared" si="33"/>
        <v>12</v>
      </c>
      <c r="EL87" s="151">
        <f t="shared" si="20"/>
        <v>0</v>
      </c>
      <c r="EM87" s="153">
        <f t="shared" si="21"/>
        <v>0</v>
      </c>
      <c r="EN87" s="153">
        <f t="shared" si="22"/>
        <v>0</v>
      </c>
      <c r="EO87" s="153">
        <f t="shared" si="23"/>
        <v>2</v>
      </c>
      <c r="EP87" s="152">
        <f t="shared" si="24"/>
        <v>16</v>
      </c>
      <c r="EQ87" s="152">
        <f t="shared" si="25"/>
        <v>56</v>
      </c>
      <c r="ER87" s="152">
        <f t="shared" si="26"/>
        <v>32</v>
      </c>
      <c r="ES87" s="152">
        <f t="shared" si="37"/>
        <v>45</v>
      </c>
      <c r="ET87" s="152">
        <f t="shared" si="34"/>
        <v>8</v>
      </c>
      <c r="EU87" s="57">
        <f t="shared" si="28"/>
        <v>41</v>
      </c>
      <c r="EV87" s="12">
        <f t="shared" si="29"/>
        <v>30</v>
      </c>
      <c r="EX87" s="12">
        <f t="shared" si="30"/>
        <v>99</v>
      </c>
      <c r="EY87" s="131">
        <f t="shared" si="38"/>
        <v>147</v>
      </c>
    </row>
    <row r="88" spans="1:155" ht="30.75" thickBot="1" x14ac:dyDescent="0.3">
      <c r="A88" s="8" t="s">
        <v>53</v>
      </c>
      <c r="B88" s="8" t="s">
        <v>105</v>
      </c>
      <c r="C88" s="182">
        <v>0</v>
      </c>
      <c r="D88" s="182">
        <v>0</v>
      </c>
      <c r="E88" s="182">
        <v>0</v>
      </c>
      <c r="F88" s="182">
        <v>0</v>
      </c>
      <c r="G88" s="182">
        <v>0</v>
      </c>
      <c r="H88" s="182">
        <v>0</v>
      </c>
      <c r="I88" s="182">
        <v>0</v>
      </c>
      <c r="J88" s="182">
        <v>0</v>
      </c>
      <c r="K88" s="182">
        <v>0</v>
      </c>
      <c r="L88" s="182">
        <v>0</v>
      </c>
      <c r="M88" s="182">
        <v>0</v>
      </c>
      <c r="N88" s="182">
        <v>0</v>
      </c>
      <c r="O88" s="182">
        <v>0</v>
      </c>
      <c r="P88" s="182">
        <v>0</v>
      </c>
      <c r="Q88" s="182">
        <v>0</v>
      </c>
      <c r="R88" s="182">
        <v>0</v>
      </c>
      <c r="S88" s="182">
        <v>0</v>
      </c>
      <c r="T88" s="182">
        <v>0</v>
      </c>
      <c r="U88" s="182">
        <v>0</v>
      </c>
      <c r="V88" s="182">
        <v>0</v>
      </c>
      <c r="W88" s="182">
        <v>0</v>
      </c>
      <c r="X88" s="182">
        <v>0</v>
      </c>
      <c r="Y88" s="182">
        <v>0</v>
      </c>
      <c r="Z88" s="182">
        <v>0</v>
      </c>
      <c r="AA88" s="182">
        <v>0</v>
      </c>
      <c r="AB88" s="184">
        <v>1</v>
      </c>
      <c r="AC88" s="184">
        <v>0</v>
      </c>
      <c r="AD88" s="184">
        <v>1</v>
      </c>
      <c r="AE88" s="184">
        <v>4</v>
      </c>
      <c r="AF88" s="184">
        <v>12</v>
      </c>
      <c r="AG88" s="184">
        <v>0</v>
      </c>
      <c r="AH88" s="184">
        <v>1</v>
      </c>
      <c r="AI88" s="184">
        <v>0</v>
      </c>
      <c r="AJ88" s="185">
        <v>0</v>
      </c>
      <c r="AK88" s="185">
        <v>1</v>
      </c>
      <c r="AL88" s="185">
        <v>13</v>
      </c>
      <c r="AM88" s="185">
        <v>1</v>
      </c>
      <c r="AN88" s="41">
        <v>1</v>
      </c>
      <c r="AO88" s="41">
        <v>0</v>
      </c>
      <c r="AP88" s="41">
        <v>0</v>
      </c>
      <c r="AQ88" s="41">
        <v>0</v>
      </c>
      <c r="AR88" s="41">
        <v>0</v>
      </c>
      <c r="AS88" s="41">
        <v>0</v>
      </c>
      <c r="AT88" s="41">
        <v>3</v>
      </c>
      <c r="AU88" s="41">
        <v>1</v>
      </c>
      <c r="AV88" s="41">
        <v>0</v>
      </c>
      <c r="AW88" s="41">
        <v>34</v>
      </c>
      <c r="AX88" s="41">
        <v>1</v>
      </c>
      <c r="AY88" s="41">
        <v>2</v>
      </c>
      <c r="AZ88" s="41">
        <v>0</v>
      </c>
      <c r="BA88" s="41">
        <v>0</v>
      </c>
      <c r="BB88" s="41">
        <v>0</v>
      </c>
      <c r="BC88" s="41">
        <v>0</v>
      </c>
      <c r="BD88" s="41">
        <v>1</v>
      </c>
      <c r="BE88" s="41">
        <v>2</v>
      </c>
      <c r="BF88" s="41">
        <v>3</v>
      </c>
      <c r="BG88" s="41">
        <v>19</v>
      </c>
      <c r="BH88" s="41">
        <v>7</v>
      </c>
      <c r="BI88" s="41">
        <v>1</v>
      </c>
      <c r="BJ88" s="41">
        <v>3</v>
      </c>
      <c r="BK88" s="41">
        <v>4</v>
      </c>
      <c r="BL88" s="41">
        <v>2</v>
      </c>
      <c r="BM88" s="149">
        <v>2</v>
      </c>
      <c r="BN88" s="149">
        <v>4</v>
      </c>
      <c r="BO88" s="149">
        <v>3</v>
      </c>
      <c r="BP88" s="149">
        <v>0</v>
      </c>
      <c r="BQ88" s="149">
        <v>0</v>
      </c>
      <c r="BR88" s="180">
        <v>0</v>
      </c>
      <c r="BS88" s="180">
        <v>7</v>
      </c>
      <c r="BT88" s="180">
        <v>0</v>
      </c>
      <c r="BU88" s="180">
        <v>17</v>
      </c>
      <c r="BV88" s="180">
        <v>7</v>
      </c>
      <c r="BW88" s="149">
        <v>3</v>
      </c>
      <c r="BX88" s="149">
        <v>5</v>
      </c>
      <c r="BY88" s="149">
        <v>1</v>
      </c>
      <c r="BZ88" s="149">
        <v>5</v>
      </c>
      <c r="CA88" s="149">
        <v>12</v>
      </c>
      <c r="CB88" s="149">
        <v>6</v>
      </c>
      <c r="CC88" s="149">
        <v>0</v>
      </c>
      <c r="CD88" s="149">
        <v>0</v>
      </c>
      <c r="CE88" s="180">
        <v>0</v>
      </c>
      <c r="CF88" s="149">
        <v>1</v>
      </c>
      <c r="CG88" s="149">
        <v>1</v>
      </c>
      <c r="CH88" s="149">
        <v>12</v>
      </c>
      <c r="CI88" s="149">
        <v>6</v>
      </c>
      <c r="CJ88" s="149">
        <v>2</v>
      </c>
      <c r="CK88" s="149">
        <v>2</v>
      </c>
      <c r="CL88" s="149">
        <v>2</v>
      </c>
      <c r="CM88" s="149">
        <v>1</v>
      </c>
      <c r="CN88" s="149">
        <v>3</v>
      </c>
      <c r="CO88" s="149">
        <v>1</v>
      </c>
      <c r="CP88" s="149">
        <v>7</v>
      </c>
      <c r="CQ88" s="149">
        <v>1</v>
      </c>
      <c r="CR88" s="149">
        <v>0</v>
      </c>
      <c r="CS88" s="41">
        <v>12</v>
      </c>
      <c r="CT88" s="41">
        <v>15</v>
      </c>
      <c r="CU88" s="41">
        <v>12</v>
      </c>
      <c r="CV88" s="41">
        <v>0</v>
      </c>
      <c r="CW88" s="44">
        <v>0</v>
      </c>
      <c r="CX88" s="41">
        <v>2</v>
      </c>
      <c r="CY88" s="196">
        <v>1</v>
      </c>
      <c r="CZ88" s="41">
        <v>6</v>
      </c>
      <c r="DA88" s="41">
        <v>7</v>
      </c>
      <c r="DB88" s="41">
        <v>11</v>
      </c>
      <c r="DC88" s="41">
        <v>5</v>
      </c>
      <c r="DD88" s="41">
        <v>2</v>
      </c>
      <c r="DE88" s="41">
        <v>3</v>
      </c>
      <c r="DF88" s="41">
        <v>6</v>
      </c>
      <c r="DG88" s="41">
        <v>0</v>
      </c>
      <c r="DH88" s="44">
        <v>2</v>
      </c>
      <c r="DI88" s="41">
        <v>2</v>
      </c>
      <c r="DJ88" s="41">
        <v>1</v>
      </c>
      <c r="DK88" s="41">
        <v>1</v>
      </c>
      <c r="DL88" s="41">
        <v>1</v>
      </c>
      <c r="DM88" s="41">
        <v>0</v>
      </c>
      <c r="DN88" s="149">
        <v>0</v>
      </c>
      <c r="DO88" s="196">
        <v>3</v>
      </c>
      <c r="DP88" s="41">
        <v>4</v>
      </c>
      <c r="DQ88" s="41">
        <v>0</v>
      </c>
      <c r="DR88" s="41">
        <v>11</v>
      </c>
      <c r="DS88" s="41">
        <v>0</v>
      </c>
      <c r="DT88" s="44">
        <v>0</v>
      </c>
      <c r="DU88" s="41">
        <v>1</v>
      </c>
      <c r="DV88" s="41">
        <v>2</v>
      </c>
      <c r="DW88" s="41">
        <v>4</v>
      </c>
      <c r="DX88" s="44">
        <v>2</v>
      </c>
      <c r="DY88" s="44">
        <v>2</v>
      </c>
      <c r="DZ88" s="44">
        <v>0</v>
      </c>
      <c r="EA88" s="44">
        <v>0</v>
      </c>
      <c r="EB88" s="297">
        <v>1</v>
      </c>
      <c r="EC88" s="44">
        <v>3</v>
      </c>
      <c r="ED88" s="44">
        <v>1</v>
      </c>
      <c r="EE88" s="44">
        <v>3</v>
      </c>
      <c r="EF88" s="44">
        <v>0</v>
      </c>
      <c r="EG88" s="44">
        <v>0</v>
      </c>
      <c r="EH88" s="249">
        <f t="shared" si="32"/>
        <v>134</v>
      </c>
      <c r="EI88" s="150">
        <f t="shared" si="35"/>
        <v>318</v>
      </c>
      <c r="EJ88" s="150">
        <f t="shared" si="36"/>
        <v>318</v>
      </c>
      <c r="EK88" s="284">
        <f t="shared" si="33"/>
        <v>38</v>
      </c>
      <c r="EL88" s="151">
        <f t="shared" si="20"/>
        <v>0</v>
      </c>
      <c r="EM88" s="153">
        <f t="shared" si="21"/>
        <v>0</v>
      </c>
      <c r="EN88" s="153">
        <f t="shared" si="22"/>
        <v>0</v>
      </c>
      <c r="EO88" s="153">
        <f t="shared" si="23"/>
        <v>34</v>
      </c>
      <c r="EP88" s="152">
        <f t="shared" si="24"/>
        <v>42</v>
      </c>
      <c r="EQ88" s="152">
        <f t="shared" si="25"/>
        <v>85</v>
      </c>
      <c r="ER88" s="152">
        <f t="shared" si="26"/>
        <v>107</v>
      </c>
      <c r="ES88" s="152">
        <f t="shared" si="37"/>
        <v>68</v>
      </c>
      <c r="ET88" s="152">
        <f t="shared" si="34"/>
        <v>19</v>
      </c>
      <c r="EU88" s="57">
        <f t="shared" si="28"/>
        <v>87</v>
      </c>
      <c r="EV88" s="12">
        <f t="shared" ref="EV88:EV96" si="39">SUM(CD88:CU88)</f>
        <v>78</v>
      </c>
      <c r="EX88" s="12">
        <f t="shared" ref="EX88:EX96" si="40">SUM(C88:CO88)</f>
        <v>221</v>
      </c>
      <c r="EY88" s="131">
        <f t="shared" si="38"/>
        <v>317</v>
      </c>
    </row>
    <row r="89" spans="1:155" ht="30.75" thickBot="1" x14ac:dyDescent="0.3">
      <c r="A89" s="8" t="s">
        <v>53</v>
      </c>
      <c r="B89" s="8" t="s">
        <v>106</v>
      </c>
      <c r="C89" s="182">
        <v>0</v>
      </c>
      <c r="D89" s="182">
        <v>1</v>
      </c>
      <c r="E89" s="182">
        <v>4</v>
      </c>
      <c r="F89" s="182">
        <v>47</v>
      </c>
      <c r="G89" s="182">
        <v>40</v>
      </c>
      <c r="H89" s="182">
        <v>45</v>
      </c>
      <c r="I89" s="182">
        <v>45</v>
      </c>
      <c r="J89" s="182">
        <v>23</v>
      </c>
      <c r="K89" s="182">
        <v>18</v>
      </c>
      <c r="L89" s="182">
        <v>6</v>
      </c>
      <c r="M89" s="182">
        <v>22</v>
      </c>
      <c r="N89" s="182">
        <v>22</v>
      </c>
      <c r="O89" s="182">
        <v>16</v>
      </c>
      <c r="P89" s="182">
        <v>8</v>
      </c>
      <c r="Q89" s="182">
        <v>11</v>
      </c>
      <c r="R89" s="182">
        <v>18</v>
      </c>
      <c r="S89" s="182">
        <v>4</v>
      </c>
      <c r="T89" s="182">
        <v>5</v>
      </c>
      <c r="U89" s="182">
        <v>14</v>
      </c>
      <c r="V89" s="182">
        <v>6</v>
      </c>
      <c r="W89" s="182">
        <v>3</v>
      </c>
      <c r="X89" s="182">
        <v>2</v>
      </c>
      <c r="Y89" s="182">
        <v>6</v>
      </c>
      <c r="Z89" s="182">
        <v>5</v>
      </c>
      <c r="AA89" s="182">
        <v>5</v>
      </c>
      <c r="AB89" s="184">
        <v>3</v>
      </c>
      <c r="AC89" s="184">
        <v>5</v>
      </c>
      <c r="AD89" s="184">
        <v>2</v>
      </c>
      <c r="AE89" s="184">
        <v>1</v>
      </c>
      <c r="AF89" s="184">
        <v>5</v>
      </c>
      <c r="AG89" s="184">
        <v>5</v>
      </c>
      <c r="AH89" s="184">
        <v>11</v>
      </c>
      <c r="AI89" s="184">
        <v>5</v>
      </c>
      <c r="AJ89" s="185">
        <v>17</v>
      </c>
      <c r="AK89" s="185">
        <v>11</v>
      </c>
      <c r="AL89" s="185">
        <v>27</v>
      </c>
      <c r="AM89" s="185">
        <v>4</v>
      </c>
      <c r="AN89" s="41">
        <v>4</v>
      </c>
      <c r="AO89" s="41">
        <v>1</v>
      </c>
      <c r="AP89" s="41">
        <v>5</v>
      </c>
      <c r="AQ89" s="41">
        <v>5</v>
      </c>
      <c r="AR89" s="41">
        <v>17</v>
      </c>
      <c r="AS89" s="41">
        <v>11</v>
      </c>
      <c r="AT89" s="41">
        <v>20</v>
      </c>
      <c r="AU89" s="41">
        <v>9</v>
      </c>
      <c r="AV89" s="41">
        <v>12</v>
      </c>
      <c r="AW89" s="41">
        <v>0</v>
      </c>
      <c r="AX89" s="41">
        <v>15</v>
      </c>
      <c r="AY89" s="41">
        <v>9</v>
      </c>
      <c r="AZ89" s="41">
        <v>0</v>
      </c>
      <c r="BA89" s="41">
        <v>0</v>
      </c>
      <c r="BB89" s="41">
        <v>0</v>
      </c>
      <c r="BC89" s="41">
        <v>2</v>
      </c>
      <c r="BD89" s="41">
        <v>0</v>
      </c>
      <c r="BE89" s="41">
        <v>1</v>
      </c>
      <c r="BF89" s="41">
        <v>3</v>
      </c>
      <c r="BG89" s="41">
        <v>3</v>
      </c>
      <c r="BH89" s="41">
        <v>4</v>
      </c>
      <c r="BI89" s="41">
        <v>10</v>
      </c>
      <c r="BJ89" s="41">
        <v>7</v>
      </c>
      <c r="BK89" s="41">
        <v>2</v>
      </c>
      <c r="BL89" s="41">
        <v>4</v>
      </c>
      <c r="BM89" s="149">
        <v>1</v>
      </c>
      <c r="BN89" s="149">
        <v>1</v>
      </c>
      <c r="BO89" s="149">
        <v>3</v>
      </c>
      <c r="BP89" s="149">
        <v>4</v>
      </c>
      <c r="BQ89" s="149">
        <v>8</v>
      </c>
      <c r="BR89" s="180">
        <v>8</v>
      </c>
      <c r="BS89" s="180">
        <v>1</v>
      </c>
      <c r="BT89" s="180">
        <v>0</v>
      </c>
      <c r="BU89" s="180">
        <v>1</v>
      </c>
      <c r="BV89" s="180">
        <v>1</v>
      </c>
      <c r="BW89" s="149">
        <v>0</v>
      </c>
      <c r="BX89" s="149">
        <v>0</v>
      </c>
      <c r="BY89" s="149">
        <v>0</v>
      </c>
      <c r="BZ89" s="149">
        <v>0</v>
      </c>
      <c r="CA89" s="149">
        <v>0</v>
      </c>
      <c r="CB89" s="149">
        <v>0</v>
      </c>
      <c r="CC89" s="149">
        <v>0</v>
      </c>
      <c r="CD89" s="149">
        <v>0</v>
      </c>
      <c r="CE89" s="180">
        <v>0</v>
      </c>
      <c r="CF89" s="149">
        <v>0</v>
      </c>
      <c r="CG89" s="149">
        <v>0</v>
      </c>
      <c r="CH89" s="149">
        <v>0</v>
      </c>
      <c r="CI89" s="149">
        <v>0</v>
      </c>
      <c r="CJ89" s="149">
        <v>0</v>
      </c>
      <c r="CK89" s="149">
        <v>3</v>
      </c>
      <c r="CL89" s="149">
        <v>0</v>
      </c>
      <c r="CM89" s="149">
        <v>0</v>
      </c>
      <c r="CN89" s="149">
        <v>0</v>
      </c>
      <c r="CO89" s="149">
        <v>0</v>
      </c>
      <c r="CP89" s="149">
        <v>0</v>
      </c>
      <c r="CQ89" s="149">
        <v>0</v>
      </c>
      <c r="CR89" s="149">
        <v>0</v>
      </c>
      <c r="CS89" s="41">
        <v>1</v>
      </c>
      <c r="CT89" s="41">
        <v>0</v>
      </c>
      <c r="CU89" s="41">
        <v>0</v>
      </c>
      <c r="CV89" s="41">
        <v>0</v>
      </c>
      <c r="CW89" s="44">
        <v>0</v>
      </c>
      <c r="CX89" s="41">
        <v>0</v>
      </c>
      <c r="CY89" s="196">
        <v>1</v>
      </c>
      <c r="CZ89" s="41">
        <v>1</v>
      </c>
      <c r="DA89" s="41">
        <v>0</v>
      </c>
      <c r="DB89" s="41">
        <v>1</v>
      </c>
      <c r="DC89" s="41">
        <v>0</v>
      </c>
      <c r="DD89" s="41">
        <v>0</v>
      </c>
      <c r="DE89" s="41">
        <v>1</v>
      </c>
      <c r="DF89" s="41">
        <v>0</v>
      </c>
      <c r="DG89" s="41">
        <v>0</v>
      </c>
      <c r="DH89" s="44">
        <v>0</v>
      </c>
      <c r="DI89" s="41">
        <v>0</v>
      </c>
      <c r="DJ89" s="41">
        <v>0</v>
      </c>
      <c r="DK89" s="41">
        <v>0</v>
      </c>
      <c r="DL89" s="41">
        <v>0</v>
      </c>
      <c r="DM89" s="41">
        <v>0</v>
      </c>
      <c r="DN89" s="149">
        <v>14</v>
      </c>
      <c r="DO89" s="196">
        <v>1</v>
      </c>
      <c r="DP89" s="41">
        <v>0</v>
      </c>
      <c r="DQ89" s="41">
        <v>1</v>
      </c>
      <c r="DR89" s="41">
        <v>0</v>
      </c>
      <c r="DS89" s="41">
        <v>0</v>
      </c>
      <c r="DT89" s="44">
        <v>0</v>
      </c>
      <c r="DU89" s="41">
        <v>1</v>
      </c>
      <c r="DV89" s="41">
        <v>0</v>
      </c>
      <c r="DW89" s="41">
        <v>0</v>
      </c>
      <c r="DX89" s="44">
        <v>0</v>
      </c>
      <c r="DY89" s="44">
        <v>0</v>
      </c>
      <c r="DZ89" s="44">
        <v>0</v>
      </c>
      <c r="EA89" s="44">
        <v>0</v>
      </c>
      <c r="EB89" s="297">
        <v>0</v>
      </c>
      <c r="EC89" s="44">
        <v>0</v>
      </c>
      <c r="ED89" s="44">
        <v>0</v>
      </c>
      <c r="EE89" s="44">
        <v>0</v>
      </c>
      <c r="EF89" s="44">
        <v>0</v>
      </c>
      <c r="EG89" s="44">
        <v>0</v>
      </c>
      <c r="EH89" s="249">
        <f t="shared" si="32"/>
        <v>22</v>
      </c>
      <c r="EI89" s="150">
        <f t="shared" si="35"/>
        <v>652</v>
      </c>
      <c r="EJ89" s="150">
        <f t="shared" si="36"/>
        <v>470</v>
      </c>
      <c r="EK89" s="284">
        <f t="shared" si="33"/>
        <v>17</v>
      </c>
      <c r="EL89" s="151">
        <f t="shared" si="20"/>
        <v>0</v>
      </c>
      <c r="EM89" s="153">
        <f t="shared" si="21"/>
        <v>289</v>
      </c>
      <c r="EN89" s="153">
        <f t="shared" si="22"/>
        <v>87</v>
      </c>
      <c r="EO89" s="153">
        <f t="shared" si="23"/>
        <v>96</v>
      </c>
      <c r="EP89" s="152">
        <f t="shared" si="24"/>
        <v>108</v>
      </c>
      <c r="EQ89" s="152">
        <f t="shared" si="25"/>
        <v>64</v>
      </c>
      <c r="ER89" s="152">
        <f t="shared" si="26"/>
        <v>4</v>
      </c>
      <c r="ES89" s="152">
        <f t="shared" si="37"/>
        <v>20</v>
      </c>
      <c r="ET89" s="152">
        <f t="shared" si="34"/>
        <v>1</v>
      </c>
      <c r="EU89" s="57">
        <f t="shared" si="28"/>
        <v>26</v>
      </c>
      <c r="EV89" s="12">
        <f t="shared" si="39"/>
        <v>4</v>
      </c>
      <c r="EX89" s="12">
        <f t="shared" si="40"/>
        <v>647</v>
      </c>
      <c r="EY89" s="131">
        <f t="shared" si="38"/>
        <v>647</v>
      </c>
    </row>
    <row r="90" spans="1:155" ht="30.75" thickBot="1" x14ac:dyDescent="0.3">
      <c r="A90" s="8" t="s">
        <v>53</v>
      </c>
      <c r="B90" s="8" t="s">
        <v>107</v>
      </c>
      <c r="C90" s="182">
        <v>0</v>
      </c>
      <c r="D90" s="182">
        <v>0</v>
      </c>
      <c r="E90" s="182">
        <v>0</v>
      </c>
      <c r="F90" s="182">
        <v>0</v>
      </c>
      <c r="G90" s="182">
        <v>0</v>
      </c>
      <c r="H90" s="182">
        <v>0</v>
      </c>
      <c r="I90" s="182">
        <v>0</v>
      </c>
      <c r="J90" s="182">
        <v>0</v>
      </c>
      <c r="K90" s="182">
        <v>0</v>
      </c>
      <c r="L90" s="182">
        <v>0</v>
      </c>
      <c r="M90" s="182">
        <v>0</v>
      </c>
      <c r="N90" s="182">
        <v>0</v>
      </c>
      <c r="O90" s="182">
        <v>0</v>
      </c>
      <c r="P90" s="183">
        <v>0</v>
      </c>
      <c r="Q90" s="183">
        <v>0</v>
      </c>
      <c r="R90" s="183">
        <v>0</v>
      </c>
      <c r="S90" s="183">
        <v>0</v>
      </c>
      <c r="T90" s="183">
        <v>0</v>
      </c>
      <c r="U90" s="183">
        <v>0</v>
      </c>
      <c r="V90" s="183">
        <v>0</v>
      </c>
      <c r="W90" s="183">
        <v>0</v>
      </c>
      <c r="X90" s="183">
        <v>0</v>
      </c>
      <c r="Y90" s="183">
        <v>0</v>
      </c>
      <c r="Z90" s="183">
        <v>0</v>
      </c>
      <c r="AA90" s="183">
        <v>0</v>
      </c>
      <c r="AB90" s="184">
        <v>0</v>
      </c>
      <c r="AC90" s="184">
        <v>0</v>
      </c>
      <c r="AD90" s="184">
        <v>0</v>
      </c>
      <c r="AE90" s="184">
        <v>0</v>
      </c>
      <c r="AF90" s="184">
        <v>0</v>
      </c>
      <c r="AG90" s="184">
        <v>0</v>
      </c>
      <c r="AH90" s="184">
        <v>0</v>
      </c>
      <c r="AI90" s="184">
        <v>0</v>
      </c>
      <c r="AJ90" s="185">
        <v>0</v>
      </c>
      <c r="AK90" s="185">
        <v>0</v>
      </c>
      <c r="AL90" s="185">
        <v>0</v>
      </c>
      <c r="AM90" s="185">
        <v>0</v>
      </c>
      <c r="AN90" s="41">
        <v>0</v>
      </c>
      <c r="AO90" s="41">
        <v>0</v>
      </c>
      <c r="AP90" s="41">
        <v>0</v>
      </c>
      <c r="AQ90" s="41">
        <v>0</v>
      </c>
      <c r="AR90" s="41">
        <v>0</v>
      </c>
      <c r="AS90" s="41">
        <v>0</v>
      </c>
      <c r="AT90" s="41">
        <v>0</v>
      </c>
      <c r="AU90" s="41">
        <v>0</v>
      </c>
      <c r="AV90" s="41">
        <v>0</v>
      </c>
      <c r="AW90" s="41">
        <v>12</v>
      </c>
      <c r="AX90" s="149">
        <v>0</v>
      </c>
      <c r="AY90" s="149">
        <v>0</v>
      </c>
      <c r="AZ90" s="149">
        <v>2</v>
      </c>
      <c r="BA90" s="149">
        <v>2</v>
      </c>
      <c r="BB90" s="149">
        <v>0</v>
      </c>
      <c r="BC90" s="41">
        <v>0</v>
      </c>
      <c r="BD90" s="41">
        <v>2</v>
      </c>
      <c r="BE90" s="41">
        <v>0</v>
      </c>
      <c r="BF90" s="41">
        <v>0</v>
      </c>
      <c r="BG90" s="41">
        <v>0</v>
      </c>
      <c r="BH90" s="41">
        <v>0</v>
      </c>
      <c r="BI90" s="41">
        <v>0</v>
      </c>
      <c r="BJ90" s="41">
        <v>0</v>
      </c>
      <c r="BK90" s="41">
        <v>0</v>
      </c>
      <c r="BL90" s="41">
        <v>2</v>
      </c>
      <c r="BM90" s="149">
        <v>1</v>
      </c>
      <c r="BN90" s="149">
        <v>0</v>
      </c>
      <c r="BO90" s="149">
        <v>0</v>
      </c>
      <c r="BP90" s="149">
        <v>0</v>
      </c>
      <c r="BQ90" s="149">
        <v>0</v>
      </c>
      <c r="BR90" s="180">
        <v>4</v>
      </c>
      <c r="BS90" s="180">
        <v>15</v>
      </c>
      <c r="BT90" s="180">
        <v>3</v>
      </c>
      <c r="BU90" s="180">
        <v>0</v>
      </c>
      <c r="BV90" s="180">
        <v>6</v>
      </c>
      <c r="BW90" s="149">
        <v>2</v>
      </c>
      <c r="BX90" s="149">
        <v>0</v>
      </c>
      <c r="BY90" s="149">
        <v>0</v>
      </c>
      <c r="BZ90" s="149">
        <v>0</v>
      </c>
      <c r="CA90" s="149">
        <v>0</v>
      </c>
      <c r="CB90" s="149">
        <v>0</v>
      </c>
      <c r="CC90" s="149">
        <v>0</v>
      </c>
      <c r="CD90" s="149">
        <v>0</v>
      </c>
      <c r="CE90" s="180">
        <v>0</v>
      </c>
      <c r="CF90" s="149">
        <v>0</v>
      </c>
      <c r="CG90" s="149">
        <v>0</v>
      </c>
      <c r="CH90" s="149">
        <v>0</v>
      </c>
      <c r="CI90" s="149">
        <v>1</v>
      </c>
      <c r="CJ90" s="149">
        <v>0</v>
      </c>
      <c r="CK90" s="149">
        <v>0</v>
      </c>
      <c r="CL90" s="149">
        <v>0</v>
      </c>
      <c r="CM90" s="149">
        <v>0</v>
      </c>
      <c r="CN90" s="149">
        <v>0</v>
      </c>
      <c r="CO90" s="149">
        <v>0</v>
      </c>
      <c r="CP90" s="149">
        <v>0</v>
      </c>
      <c r="CQ90" s="149">
        <v>0</v>
      </c>
      <c r="CR90" s="149">
        <v>0</v>
      </c>
      <c r="CS90" s="41">
        <v>3</v>
      </c>
      <c r="CT90" s="41">
        <v>3</v>
      </c>
      <c r="CU90" s="41">
        <v>1</v>
      </c>
      <c r="CV90" s="41">
        <v>0</v>
      </c>
      <c r="CW90" s="44">
        <v>0</v>
      </c>
      <c r="CX90" s="41">
        <v>0</v>
      </c>
      <c r="CY90" s="149">
        <v>0</v>
      </c>
      <c r="CZ90" s="41">
        <v>0</v>
      </c>
      <c r="DA90" s="41">
        <v>0</v>
      </c>
      <c r="DB90" s="41">
        <v>0</v>
      </c>
      <c r="DC90" s="41">
        <v>0</v>
      </c>
      <c r="DD90" s="41">
        <v>0</v>
      </c>
      <c r="DE90" s="41">
        <v>0</v>
      </c>
      <c r="DF90" s="41">
        <v>1</v>
      </c>
      <c r="DG90" s="41">
        <v>0</v>
      </c>
      <c r="DH90" s="44">
        <v>0</v>
      </c>
      <c r="DI90" s="41">
        <v>0</v>
      </c>
      <c r="DJ90" s="41">
        <v>0</v>
      </c>
      <c r="DK90" s="41">
        <v>0</v>
      </c>
      <c r="DL90" s="41">
        <v>0</v>
      </c>
      <c r="DM90" s="41">
        <v>0</v>
      </c>
      <c r="DN90" s="149">
        <v>4</v>
      </c>
      <c r="DO90" s="149">
        <v>1</v>
      </c>
      <c r="DP90" s="41">
        <v>2</v>
      </c>
      <c r="DQ90" s="41">
        <v>1</v>
      </c>
      <c r="DR90" s="41">
        <v>3</v>
      </c>
      <c r="DS90" s="41">
        <v>0</v>
      </c>
      <c r="DT90" s="44">
        <v>0</v>
      </c>
      <c r="DU90" s="41">
        <v>1</v>
      </c>
      <c r="DV90" s="41">
        <v>0</v>
      </c>
      <c r="DW90" s="41">
        <v>0</v>
      </c>
      <c r="DX90" s="44">
        <v>1</v>
      </c>
      <c r="DY90" s="44">
        <v>0</v>
      </c>
      <c r="DZ90" s="44">
        <v>0</v>
      </c>
      <c r="EA90" s="44">
        <v>0</v>
      </c>
      <c r="EB90" s="297">
        <v>0</v>
      </c>
      <c r="EC90" s="44">
        <v>0</v>
      </c>
      <c r="ED90" s="44">
        <v>0</v>
      </c>
      <c r="EE90" s="44">
        <v>0</v>
      </c>
      <c r="EF90" s="44">
        <v>0</v>
      </c>
      <c r="EG90" s="44">
        <v>0</v>
      </c>
      <c r="EH90" s="249">
        <f t="shared" si="32"/>
        <v>21</v>
      </c>
      <c r="EI90" s="150">
        <f t="shared" si="35"/>
        <v>60</v>
      </c>
      <c r="EJ90" s="150">
        <f t="shared" si="36"/>
        <v>60</v>
      </c>
      <c r="EK90" s="284">
        <f t="shared" si="33"/>
        <v>13</v>
      </c>
      <c r="EL90" s="151">
        <f t="shared" ref="EL90:EL96" si="41">SUM(C90:C90)</f>
        <v>0</v>
      </c>
      <c r="EM90" s="153">
        <f t="shared" ref="EM90:EM96" si="42">SUM(D90:O90)</f>
        <v>0</v>
      </c>
      <c r="EN90" s="153">
        <f t="shared" ref="EN90:EN96" si="43">SUM(P90:AA90)</f>
        <v>0</v>
      </c>
      <c r="EO90" s="153">
        <f t="shared" ref="EO90:EO96" si="44">SUM(AB90:AM90)</f>
        <v>0</v>
      </c>
      <c r="EP90" s="152">
        <f t="shared" ref="EP90:EP96" si="45">SUM(AN90:AY90)</f>
        <v>12</v>
      </c>
      <c r="EQ90" s="152">
        <f t="shared" ref="EQ90:EQ96" si="46">SUM(AZ90:BW90)</f>
        <v>39</v>
      </c>
      <c r="ER90" s="152">
        <f t="shared" si="26"/>
        <v>8</v>
      </c>
      <c r="ES90" s="152">
        <f t="shared" si="37"/>
        <v>12</v>
      </c>
      <c r="ET90" s="152">
        <f t="shared" si="34"/>
        <v>2</v>
      </c>
      <c r="EU90" s="57">
        <f t="shared" ref="EU90:EU96" si="47">SUM(BP90:CK90)</f>
        <v>31</v>
      </c>
      <c r="EV90" s="12">
        <f t="shared" si="39"/>
        <v>8</v>
      </c>
      <c r="EX90" s="12">
        <f t="shared" si="40"/>
        <v>52</v>
      </c>
      <c r="EY90" s="131">
        <f t="shared" si="38"/>
        <v>60</v>
      </c>
    </row>
    <row r="91" spans="1:155" ht="30.75" thickBot="1" x14ac:dyDescent="0.3">
      <c r="A91" s="8" t="s">
        <v>53</v>
      </c>
      <c r="B91" s="8" t="s">
        <v>108</v>
      </c>
      <c r="C91" s="182">
        <v>0</v>
      </c>
      <c r="D91" s="182">
        <v>0</v>
      </c>
      <c r="E91" s="182">
        <v>0</v>
      </c>
      <c r="F91" s="182">
        <v>0</v>
      </c>
      <c r="G91" s="182">
        <v>0</v>
      </c>
      <c r="H91" s="182">
        <v>0</v>
      </c>
      <c r="I91" s="182">
        <v>0</v>
      </c>
      <c r="J91" s="182">
        <v>0</v>
      </c>
      <c r="K91" s="182">
        <v>0</v>
      </c>
      <c r="L91" s="182">
        <v>0</v>
      </c>
      <c r="M91" s="182">
        <v>0</v>
      </c>
      <c r="N91" s="182">
        <v>0</v>
      </c>
      <c r="O91" s="182">
        <v>0</v>
      </c>
      <c r="P91" s="182">
        <v>0</v>
      </c>
      <c r="Q91" s="182">
        <v>0</v>
      </c>
      <c r="R91" s="182">
        <v>0</v>
      </c>
      <c r="S91" s="182">
        <v>0</v>
      </c>
      <c r="T91" s="182">
        <v>0</v>
      </c>
      <c r="U91" s="182">
        <v>0</v>
      </c>
      <c r="V91" s="182">
        <v>0</v>
      </c>
      <c r="W91" s="182">
        <v>0</v>
      </c>
      <c r="X91" s="182">
        <v>0</v>
      </c>
      <c r="Y91" s="182">
        <v>0</v>
      </c>
      <c r="Z91" s="182">
        <v>0</v>
      </c>
      <c r="AA91" s="182">
        <v>0</v>
      </c>
      <c r="AB91" s="182">
        <v>0</v>
      </c>
      <c r="AC91" s="182">
        <v>0</v>
      </c>
      <c r="AD91" s="182">
        <v>0</v>
      </c>
      <c r="AE91" s="182">
        <v>0</v>
      </c>
      <c r="AF91" s="182">
        <v>0</v>
      </c>
      <c r="AG91" s="182">
        <v>0</v>
      </c>
      <c r="AH91" s="182">
        <v>0</v>
      </c>
      <c r="AI91" s="182">
        <v>0</v>
      </c>
      <c r="AJ91" s="41">
        <v>0</v>
      </c>
      <c r="AK91" s="41">
        <v>0</v>
      </c>
      <c r="AL91" s="41">
        <v>0</v>
      </c>
      <c r="AM91" s="41">
        <v>0</v>
      </c>
      <c r="AN91" s="41">
        <v>0</v>
      </c>
      <c r="AO91" s="41">
        <v>0</v>
      </c>
      <c r="AP91" s="41">
        <v>0</v>
      </c>
      <c r="AQ91" s="41">
        <v>0</v>
      </c>
      <c r="AR91" s="41">
        <v>0</v>
      </c>
      <c r="AS91" s="41">
        <v>0</v>
      </c>
      <c r="AT91" s="41">
        <v>2</v>
      </c>
      <c r="AU91" s="41">
        <v>0</v>
      </c>
      <c r="AV91" s="41">
        <v>0</v>
      </c>
      <c r="AW91" s="41">
        <v>0</v>
      </c>
      <c r="AX91" s="149">
        <v>0</v>
      </c>
      <c r="AY91" s="149">
        <v>0</v>
      </c>
      <c r="AZ91" s="149">
        <v>0</v>
      </c>
      <c r="BA91" s="149">
        <v>0</v>
      </c>
      <c r="BB91" s="149">
        <v>0</v>
      </c>
      <c r="BC91" s="41">
        <v>0</v>
      </c>
      <c r="BD91" s="41">
        <v>0</v>
      </c>
      <c r="BE91" s="41">
        <v>0</v>
      </c>
      <c r="BF91" s="41">
        <v>0</v>
      </c>
      <c r="BG91" s="41">
        <v>1</v>
      </c>
      <c r="BH91" s="41">
        <v>0</v>
      </c>
      <c r="BI91" s="41">
        <v>0</v>
      </c>
      <c r="BJ91" s="41">
        <v>0</v>
      </c>
      <c r="BK91" s="41">
        <v>1</v>
      </c>
      <c r="BL91" s="41">
        <v>0</v>
      </c>
      <c r="BM91" s="149">
        <v>0</v>
      </c>
      <c r="BN91" s="149">
        <v>0</v>
      </c>
      <c r="BO91" s="149">
        <v>0</v>
      </c>
      <c r="BP91" s="149">
        <v>0</v>
      </c>
      <c r="BQ91" s="149">
        <v>0</v>
      </c>
      <c r="BR91" s="180">
        <v>0</v>
      </c>
      <c r="BS91" s="180">
        <v>0</v>
      </c>
      <c r="BT91" s="180">
        <v>0</v>
      </c>
      <c r="BU91" s="180">
        <v>0</v>
      </c>
      <c r="BV91" s="180">
        <v>0</v>
      </c>
      <c r="BW91" s="149">
        <v>0</v>
      </c>
      <c r="BX91" s="149">
        <v>0</v>
      </c>
      <c r="BY91" s="149">
        <v>0</v>
      </c>
      <c r="BZ91" s="149">
        <v>0</v>
      </c>
      <c r="CA91" s="149">
        <v>0</v>
      </c>
      <c r="CB91" s="149">
        <v>0</v>
      </c>
      <c r="CC91" s="149">
        <v>0</v>
      </c>
      <c r="CD91" s="149">
        <v>0</v>
      </c>
      <c r="CE91" s="180">
        <v>0</v>
      </c>
      <c r="CF91" s="149">
        <v>0</v>
      </c>
      <c r="CG91" s="149">
        <v>0</v>
      </c>
      <c r="CH91" s="186">
        <v>0</v>
      </c>
      <c r="CI91" s="186">
        <v>0</v>
      </c>
      <c r="CJ91" s="149">
        <v>0</v>
      </c>
      <c r="CK91" s="149">
        <v>0</v>
      </c>
      <c r="CL91" s="149">
        <v>0</v>
      </c>
      <c r="CM91" s="149">
        <v>0</v>
      </c>
      <c r="CN91" s="149">
        <v>0</v>
      </c>
      <c r="CO91" s="149">
        <v>0</v>
      </c>
      <c r="CP91" s="149">
        <v>0</v>
      </c>
      <c r="CQ91" s="149">
        <v>0</v>
      </c>
      <c r="CR91" s="149">
        <v>0</v>
      </c>
      <c r="CS91" s="41">
        <v>0</v>
      </c>
      <c r="CT91" s="41">
        <v>0</v>
      </c>
      <c r="CU91" s="41">
        <v>0</v>
      </c>
      <c r="CV91" s="41">
        <v>0</v>
      </c>
      <c r="CW91" s="44">
        <v>0</v>
      </c>
      <c r="CX91" s="41">
        <v>0</v>
      </c>
      <c r="CY91" s="149">
        <v>0</v>
      </c>
      <c r="CZ91" s="41">
        <v>0</v>
      </c>
      <c r="DA91" s="41">
        <v>0</v>
      </c>
      <c r="DB91" s="41">
        <v>0</v>
      </c>
      <c r="DC91" s="41">
        <v>0</v>
      </c>
      <c r="DD91" s="41">
        <v>0</v>
      </c>
      <c r="DE91" s="41">
        <v>0</v>
      </c>
      <c r="DF91" s="41">
        <v>0</v>
      </c>
      <c r="DG91" s="41">
        <v>0</v>
      </c>
      <c r="DH91" s="44">
        <v>0</v>
      </c>
      <c r="DI91" s="41">
        <v>0</v>
      </c>
      <c r="DJ91" s="41">
        <v>0</v>
      </c>
      <c r="DK91" s="41">
        <v>0</v>
      </c>
      <c r="DL91" s="41">
        <v>0</v>
      </c>
      <c r="DM91" s="41">
        <v>0</v>
      </c>
      <c r="DN91" s="149">
        <v>0</v>
      </c>
      <c r="DO91" s="149">
        <v>0</v>
      </c>
      <c r="DP91" s="41">
        <v>0</v>
      </c>
      <c r="DQ91" s="41">
        <v>0</v>
      </c>
      <c r="DR91" s="41">
        <v>0</v>
      </c>
      <c r="DS91" s="41">
        <v>0</v>
      </c>
      <c r="DT91" s="44">
        <v>0</v>
      </c>
      <c r="DU91" s="41">
        <v>0</v>
      </c>
      <c r="DV91" s="41">
        <v>0</v>
      </c>
      <c r="DW91" s="41">
        <v>0</v>
      </c>
      <c r="DX91" s="44">
        <v>0</v>
      </c>
      <c r="DY91" s="44">
        <v>0</v>
      </c>
      <c r="DZ91" s="44">
        <v>0</v>
      </c>
      <c r="EA91" s="44">
        <v>0</v>
      </c>
      <c r="EB91" s="297">
        <v>0</v>
      </c>
      <c r="EC91" s="44">
        <v>0</v>
      </c>
      <c r="ED91" s="44">
        <v>0</v>
      </c>
      <c r="EE91" s="44">
        <v>0</v>
      </c>
      <c r="EF91" s="44">
        <v>0</v>
      </c>
      <c r="EG91" s="44">
        <v>0</v>
      </c>
      <c r="EH91" s="249">
        <f t="shared" si="32"/>
        <v>0</v>
      </c>
      <c r="EI91" s="150">
        <f t="shared" si="35"/>
        <v>4</v>
      </c>
      <c r="EJ91" s="150">
        <f t="shared" si="36"/>
        <v>4</v>
      </c>
      <c r="EK91" s="284">
        <f t="shared" si="33"/>
        <v>0</v>
      </c>
      <c r="EL91" s="151">
        <f t="shared" si="41"/>
        <v>0</v>
      </c>
      <c r="EM91" s="153">
        <f t="shared" si="42"/>
        <v>0</v>
      </c>
      <c r="EN91" s="153">
        <f t="shared" si="43"/>
        <v>0</v>
      </c>
      <c r="EO91" s="153">
        <f t="shared" si="44"/>
        <v>0</v>
      </c>
      <c r="EP91" s="152">
        <f t="shared" si="45"/>
        <v>2</v>
      </c>
      <c r="EQ91" s="152">
        <f t="shared" si="46"/>
        <v>2</v>
      </c>
      <c r="ER91" s="152">
        <f t="shared" si="26"/>
        <v>0</v>
      </c>
      <c r="ES91" s="152">
        <f t="shared" si="37"/>
        <v>0</v>
      </c>
      <c r="ET91" s="152">
        <f t="shared" si="34"/>
        <v>0</v>
      </c>
      <c r="EU91" s="57">
        <f t="shared" si="47"/>
        <v>0</v>
      </c>
      <c r="EV91" s="12">
        <f t="shared" si="39"/>
        <v>0</v>
      </c>
      <c r="EX91" s="12">
        <f t="shared" si="40"/>
        <v>4</v>
      </c>
      <c r="EY91" s="131">
        <f t="shared" si="38"/>
        <v>4</v>
      </c>
    </row>
    <row r="92" spans="1:155" ht="30.75" thickBot="1" x14ac:dyDescent="0.3">
      <c r="A92" s="232" t="s">
        <v>57</v>
      </c>
      <c r="B92" s="231" t="s">
        <v>54</v>
      </c>
      <c r="C92" s="33">
        <v>0</v>
      </c>
      <c r="D92" s="33">
        <v>0</v>
      </c>
      <c r="E92" s="33">
        <v>0</v>
      </c>
      <c r="F92" s="33">
        <v>0</v>
      </c>
      <c r="G92" s="33">
        <v>0</v>
      </c>
      <c r="H92" s="33">
        <v>0</v>
      </c>
      <c r="I92" s="33">
        <v>0</v>
      </c>
      <c r="J92" s="33">
        <v>0</v>
      </c>
      <c r="K92" s="33">
        <v>0</v>
      </c>
      <c r="L92" s="33">
        <v>0</v>
      </c>
      <c r="M92" s="33">
        <v>0</v>
      </c>
      <c r="N92" s="33">
        <v>0</v>
      </c>
      <c r="O92" s="33">
        <v>0</v>
      </c>
      <c r="P92" s="33">
        <v>0</v>
      </c>
      <c r="Q92" s="33">
        <v>0</v>
      </c>
      <c r="R92" s="33">
        <v>0</v>
      </c>
      <c r="S92" s="33">
        <v>0</v>
      </c>
      <c r="T92" s="33">
        <v>0</v>
      </c>
      <c r="U92" s="33">
        <v>0</v>
      </c>
      <c r="V92" s="33">
        <v>0</v>
      </c>
      <c r="W92" s="33">
        <v>0</v>
      </c>
      <c r="X92" s="33">
        <v>0</v>
      </c>
      <c r="Y92" s="33">
        <v>0</v>
      </c>
      <c r="Z92" s="33">
        <v>0</v>
      </c>
      <c r="AA92" s="33">
        <v>0</v>
      </c>
      <c r="AB92" s="33">
        <v>109000000</v>
      </c>
      <c r="AC92" s="33">
        <v>0</v>
      </c>
      <c r="AD92" s="33">
        <v>0</v>
      </c>
      <c r="AE92" s="33">
        <v>0</v>
      </c>
      <c r="AF92" s="33">
        <v>0</v>
      </c>
      <c r="AG92" s="33">
        <v>0</v>
      </c>
      <c r="AH92" s="33">
        <v>0</v>
      </c>
      <c r="AI92" s="33">
        <v>0</v>
      </c>
      <c r="AJ92" s="34">
        <v>0</v>
      </c>
      <c r="AK92" s="34">
        <v>0</v>
      </c>
      <c r="AL92" s="34">
        <v>26985874</v>
      </c>
      <c r="AM92" s="34">
        <v>30931661</v>
      </c>
      <c r="AN92" s="34">
        <v>38925806</v>
      </c>
      <c r="AO92" s="34">
        <v>0</v>
      </c>
      <c r="AP92" s="34">
        <v>0</v>
      </c>
      <c r="AQ92" s="34">
        <v>0</v>
      </c>
      <c r="AR92" s="34">
        <v>0</v>
      </c>
      <c r="AS92" s="34">
        <v>0</v>
      </c>
      <c r="AT92" s="34">
        <v>0</v>
      </c>
      <c r="AU92" s="34">
        <v>0</v>
      </c>
      <c r="AV92" s="34">
        <v>0</v>
      </c>
      <c r="AW92" s="34">
        <v>0</v>
      </c>
      <c r="AX92" s="137">
        <v>0</v>
      </c>
      <c r="AY92" s="137">
        <v>0</v>
      </c>
      <c r="AZ92" s="137">
        <v>0</v>
      </c>
      <c r="BA92" s="137">
        <v>0</v>
      </c>
      <c r="BB92" s="137">
        <v>0</v>
      </c>
      <c r="BC92" s="34">
        <v>0</v>
      </c>
      <c r="BD92" s="34">
        <v>0</v>
      </c>
      <c r="BE92" s="34">
        <v>0</v>
      </c>
      <c r="BF92" s="34">
        <v>0</v>
      </c>
      <c r="BG92" s="34">
        <v>0</v>
      </c>
      <c r="BH92" s="34">
        <v>0</v>
      </c>
      <c r="BI92" s="34">
        <v>0</v>
      </c>
      <c r="BJ92" s="34">
        <v>0</v>
      </c>
      <c r="BK92" s="34">
        <v>0</v>
      </c>
      <c r="BL92" s="34">
        <v>0</v>
      </c>
      <c r="BM92" s="34">
        <v>0</v>
      </c>
      <c r="BN92" s="34">
        <v>0</v>
      </c>
      <c r="BO92" s="34">
        <v>0</v>
      </c>
      <c r="BP92" s="34">
        <v>0</v>
      </c>
      <c r="BQ92" s="34">
        <v>0</v>
      </c>
      <c r="BR92" s="42">
        <v>0</v>
      </c>
      <c r="BS92" s="42">
        <v>0</v>
      </c>
      <c r="BT92" s="42">
        <v>0</v>
      </c>
      <c r="BU92" s="42">
        <v>0</v>
      </c>
      <c r="BV92" s="42">
        <v>0</v>
      </c>
      <c r="BW92" s="34">
        <v>0</v>
      </c>
      <c r="BX92" s="34">
        <v>0</v>
      </c>
      <c r="BY92" s="34">
        <v>0</v>
      </c>
      <c r="BZ92" s="34">
        <v>0</v>
      </c>
      <c r="CA92" s="34">
        <v>0</v>
      </c>
      <c r="CB92" s="34">
        <v>0</v>
      </c>
      <c r="CC92" s="34">
        <v>0</v>
      </c>
      <c r="CD92" s="34">
        <v>0</v>
      </c>
      <c r="CE92" s="42">
        <v>0</v>
      </c>
      <c r="CF92" s="34">
        <v>0</v>
      </c>
      <c r="CG92" s="34">
        <v>0</v>
      </c>
      <c r="CH92" s="55">
        <v>0</v>
      </c>
      <c r="CI92" s="55">
        <v>0</v>
      </c>
      <c r="CJ92" s="34">
        <v>0</v>
      </c>
      <c r="CK92" s="34">
        <v>0</v>
      </c>
      <c r="CL92" s="34">
        <v>0</v>
      </c>
      <c r="CM92" s="34">
        <v>0</v>
      </c>
      <c r="CN92" s="34">
        <v>0</v>
      </c>
      <c r="CO92" s="34">
        <v>0</v>
      </c>
      <c r="CP92" s="34">
        <v>0</v>
      </c>
      <c r="CQ92" s="34">
        <v>0</v>
      </c>
      <c r="CR92" s="34">
        <v>0</v>
      </c>
      <c r="CS92" s="54">
        <v>16441643</v>
      </c>
      <c r="CT92" s="54">
        <v>15070896</v>
      </c>
      <c r="CU92" s="54">
        <v>5659259</v>
      </c>
      <c r="CV92" s="54">
        <v>3436070</v>
      </c>
      <c r="CW92" s="77">
        <v>4933292</v>
      </c>
      <c r="CX92" s="54">
        <v>6383935</v>
      </c>
      <c r="CY92" s="148">
        <v>0</v>
      </c>
      <c r="CZ92" s="34">
        <v>0</v>
      </c>
      <c r="DA92" s="34">
        <v>0</v>
      </c>
      <c r="DB92" s="34">
        <v>0</v>
      </c>
      <c r="DC92" s="34">
        <v>0</v>
      </c>
      <c r="DD92" s="34">
        <v>0</v>
      </c>
      <c r="DE92" s="34">
        <v>0</v>
      </c>
      <c r="DF92" s="34">
        <v>0</v>
      </c>
      <c r="DG92" s="34">
        <v>0</v>
      </c>
      <c r="DH92" s="42">
        <v>0</v>
      </c>
      <c r="DI92" s="34">
        <v>0</v>
      </c>
      <c r="DJ92" s="34">
        <v>0</v>
      </c>
      <c r="DK92" s="34">
        <v>0</v>
      </c>
      <c r="DL92" s="34">
        <v>0</v>
      </c>
      <c r="DM92" s="34">
        <v>0</v>
      </c>
      <c r="DN92" s="34">
        <v>0</v>
      </c>
      <c r="DO92" s="34">
        <v>0</v>
      </c>
      <c r="DP92" s="34">
        <v>0</v>
      </c>
      <c r="DQ92" s="34">
        <v>0</v>
      </c>
      <c r="DR92" s="34">
        <f>10428636+6003089</f>
        <v>16431725</v>
      </c>
      <c r="DS92" s="118">
        <v>7458994</v>
      </c>
      <c r="DT92" s="134">
        <v>12747947</v>
      </c>
      <c r="DU92" s="118">
        <v>9684517</v>
      </c>
      <c r="DV92" s="118">
        <v>8645031</v>
      </c>
      <c r="DW92" s="118">
        <v>8968364</v>
      </c>
      <c r="DX92" s="134">
        <v>4201634</v>
      </c>
      <c r="DY92" s="134">
        <v>4840844</v>
      </c>
      <c r="DZ92" s="134">
        <v>8734477</v>
      </c>
      <c r="EA92" s="134">
        <v>8948605</v>
      </c>
      <c r="EB92" s="138">
        <v>0</v>
      </c>
      <c r="EC92" s="134">
        <v>0</v>
      </c>
      <c r="ED92" s="134">
        <v>12199980</v>
      </c>
      <c r="EE92" s="134">
        <v>6267081</v>
      </c>
      <c r="EF92" s="134">
        <v>5632742</v>
      </c>
      <c r="EG92" s="134">
        <v>0</v>
      </c>
      <c r="EH92" s="249">
        <f t="shared" si="32"/>
        <v>166687036</v>
      </c>
      <c r="EI92" s="150">
        <f t="shared" si="35"/>
        <v>257768436</v>
      </c>
      <c r="EJ92" s="150">
        <f t="shared" si="36"/>
        <v>257768436</v>
      </c>
      <c r="EK92" s="284">
        <f t="shared" si="33"/>
        <v>114761941</v>
      </c>
      <c r="EL92" s="151">
        <f t="shared" si="41"/>
        <v>0</v>
      </c>
      <c r="EM92" s="153">
        <f t="shared" si="42"/>
        <v>0</v>
      </c>
      <c r="EN92" s="153">
        <f t="shared" si="43"/>
        <v>0</v>
      </c>
      <c r="EO92" s="153">
        <f t="shared" si="44"/>
        <v>166917535</v>
      </c>
      <c r="EP92" s="152">
        <f t="shared" si="45"/>
        <v>38925806</v>
      </c>
      <c r="EQ92" s="152">
        <f t="shared" si="46"/>
        <v>0</v>
      </c>
      <c r="ER92" s="152">
        <f t="shared" si="26"/>
        <v>37171798</v>
      </c>
      <c r="ES92" s="152">
        <f t="shared" si="37"/>
        <v>38644016</v>
      </c>
      <c r="ET92" s="152">
        <f t="shared" si="34"/>
        <v>90871222</v>
      </c>
      <c r="EU92" s="57">
        <f t="shared" si="47"/>
        <v>0</v>
      </c>
      <c r="EV92" s="12">
        <f t="shared" si="39"/>
        <v>37171798</v>
      </c>
      <c r="EX92" s="12">
        <f t="shared" si="40"/>
        <v>205843341</v>
      </c>
      <c r="EY92" s="131">
        <f t="shared" si="38"/>
        <v>257768436</v>
      </c>
    </row>
    <row r="93" spans="1:155" ht="30.75" thickBot="1" x14ac:dyDescent="0.3">
      <c r="A93" s="8" t="s">
        <v>57</v>
      </c>
      <c r="B93" s="206" t="s">
        <v>155</v>
      </c>
      <c r="C93" s="33">
        <v>0</v>
      </c>
      <c r="D93" s="33">
        <v>0</v>
      </c>
      <c r="E93" s="33">
        <v>0</v>
      </c>
      <c r="F93" s="33">
        <v>0</v>
      </c>
      <c r="G93" s="33">
        <v>0</v>
      </c>
      <c r="H93" s="33">
        <v>0</v>
      </c>
      <c r="I93" s="33">
        <v>0</v>
      </c>
      <c r="J93" s="33">
        <v>0</v>
      </c>
      <c r="K93" s="33">
        <v>0</v>
      </c>
      <c r="L93" s="33">
        <v>0</v>
      </c>
      <c r="M93" s="33">
        <v>0</v>
      </c>
      <c r="N93" s="33">
        <v>0</v>
      </c>
      <c r="O93" s="33">
        <v>0</v>
      </c>
      <c r="P93" s="33">
        <v>0</v>
      </c>
      <c r="Q93" s="33">
        <v>0</v>
      </c>
      <c r="R93" s="33">
        <v>0</v>
      </c>
      <c r="S93" s="33">
        <v>0</v>
      </c>
      <c r="T93" s="33">
        <v>0</v>
      </c>
      <c r="U93" s="33">
        <v>0</v>
      </c>
      <c r="V93" s="33">
        <v>0</v>
      </c>
      <c r="W93" s="33">
        <v>0</v>
      </c>
      <c r="X93" s="33">
        <v>0</v>
      </c>
      <c r="Y93" s="33">
        <v>0</v>
      </c>
      <c r="Z93" s="33">
        <v>0</v>
      </c>
      <c r="AA93" s="33">
        <v>0</v>
      </c>
      <c r="AB93" s="33">
        <v>5198</v>
      </c>
      <c r="AC93" s="33">
        <v>0</v>
      </c>
      <c r="AD93" s="33">
        <v>0</v>
      </c>
      <c r="AE93" s="33">
        <v>0</v>
      </c>
      <c r="AF93" s="33">
        <v>0</v>
      </c>
      <c r="AG93" s="33">
        <v>0</v>
      </c>
      <c r="AH93" s="33">
        <v>0</v>
      </c>
      <c r="AI93" s="33">
        <v>0</v>
      </c>
      <c r="AJ93" s="34">
        <v>0</v>
      </c>
      <c r="AK93" s="34">
        <v>0</v>
      </c>
      <c r="AL93" s="34">
        <v>554</v>
      </c>
      <c r="AM93" s="34">
        <v>1572</v>
      </c>
      <c r="AN93" s="34">
        <v>846</v>
      </c>
      <c r="AO93" s="34">
        <v>0</v>
      </c>
      <c r="AP93" s="34">
        <v>0</v>
      </c>
      <c r="AQ93" s="34">
        <v>0</v>
      </c>
      <c r="AR93" s="34">
        <v>0</v>
      </c>
      <c r="AS93" s="34">
        <v>0</v>
      </c>
      <c r="AT93" s="34">
        <v>0</v>
      </c>
      <c r="AU93" s="34">
        <v>0</v>
      </c>
      <c r="AV93" s="34">
        <v>0</v>
      </c>
      <c r="AW93" s="34">
        <v>0</v>
      </c>
      <c r="AX93" s="178">
        <v>2</v>
      </c>
      <c r="AY93" s="178">
        <v>3</v>
      </c>
      <c r="AZ93" s="178">
        <v>4</v>
      </c>
      <c r="BA93" s="137">
        <v>0</v>
      </c>
      <c r="BB93" s="137">
        <v>0</v>
      </c>
      <c r="BC93" s="34">
        <v>0</v>
      </c>
      <c r="BD93" s="34">
        <v>0</v>
      </c>
      <c r="BE93" s="34">
        <v>0</v>
      </c>
      <c r="BF93" s="34">
        <v>0</v>
      </c>
      <c r="BG93" s="34">
        <v>0</v>
      </c>
      <c r="BH93" s="34">
        <v>0</v>
      </c>
      <c r="BI93" s="34">
        <v>0</v>
      </c>
      <c r="BJ93" s="34">
        <v>0</v>
      </c>
      <c r="BK93" s="34">
        <v>0</v>
      </c>
      <c r="BL93" s="34">
        <v>0</v>
      </c>
      <c r="BM93" s="34">
        <v>0</v>
      </c>
      <c r="BN93" s="34">
        <v>0</v>
      </c>
      <c r="BO93" s="34">
        <v>0</v>
      </c>
      <c r="BP93" s="34">
        <v>0</v>
      </c>
      <c r="BQ93" s="34">
        <v>0</v>
      </c>
      <c r="BR93" s="42">
        <v>0</v>
      </c>
      <c r="BS93" s="42">
        <v>0</v>
      </c>
      <c r="BT93" s="42">
        <v>0</v>
      </c>
      <c r="BU93" s="42">
        <v>0</v>
      </c>
      <c r="BV93" s="174">
        <v>4</v>
      </c>
      <c r="BW93" s="173">
        <v>3</v>
      </c>
      <c r="BX93" s="34">
        <v>0</v>
      </c>
      <c r="BY93" s="34">
        <v>0</v>
      </c>
      <c r="BZ93" s="34">
        <v>0</v>
      </c>
      <c r="CA93" s="34">
        <v>0</v>
      </c>
      <c r="CB93" s="34">
        <v>0</v>
      </c>
      <c r="CC93" s="34">
        <v>0</v>
      </c>
      <c r="CD93" s="34">
        <v>0</v>
      </c>
      <c r="CE93" s="42">
        <v>0</v>
      </c>
      <c r="CF93" s="34">
        <v>0</v>
      </c>
      <c r="CG93" s="34">
        <v>0</v>
      </c>
      <c r="CH93" s="55">
        <v>0</v>
      </c>
      <c r="CI93" s="55">
        <v>0</v>
      </c>
      <c r="CJ93" s="34">
        <v>0</v>
      </c>
      <c r="CK93" s="34">
        <v>0</v>
      </c>
      <c r="CL93" s="34">
        <v>0</v>
      </c>
      <c r="CM93" s="34">
        <v>0</v>
      </c>
      <c r="CN93" s="34">
        <v>0</v>
      </c>
      <c r="CO93" s="34">
        <v>0</v>
      </c>
      <c r="CP93" s="34">
        <v>0</v>
      </c>
      <c r="CQ93" s="34">
        <v>0</v>
      </c>
      <c r="CR93" s="34">
        <v>0</v>
      </c>
      <c r="CS93" s="173">
        <v>3</v>
      </c>
      <c r="CT93" s="173">
        <v>3</v>
      </c>
      <c r="CU93" s="173">
        <v>1</v>
      </c>
      <c r="CV93" s="137">
        <v>0</v>
      </c>
      <c r="CW93" s="138">
        <v>0</v>
      </c>
      <c r="CX93" s="137">
        <v>0</v>
      </c>
      <c r="CY93" s="137">
        <v>0</v>
      </c>
      <c r="CZ93" s="137">
        <v>0</v>
      </c>
      <c r="DA93" s="34">
        <v>0</v>
      </c>
      <c r="DB93" s="34">
        <v>0</v>
      </c>
      <c r="DC93" s="34">
        <v>0</v>
      </c>
      <c r="DD93" s="34">
        <v>0</v>
      </c>
      <c r="DE93" s="34">
        <v>0</v>
      </c>
      <c r="DF93" s="34">
        <v>0</v>
      </c>
      <c r="DG93" s="34">
        <v>0</v>
      </c>
      <c r="DH93" s="42">
        <v>0</v>
      </c>
      <c r="DI93" s="34">
        <v>0</v>
      </c>
      <c r="DJ93" s="34">
        <v>0</v>
      </c>
      <c r="DK93" s="34">
        <v>0</v>
      </c>
      <c r="DL93" s="34">
        <v>0</v>
      </c>
      <c r="DM93" s="34">
        <v>0</v>
      </c>
      <c r="DN93" s="34">
        <v>0</v>
      </c>
      <c r="DO93" s="34">
        <v>0</v>
      </c>
      <c r="DP93" s="34">
        <v>0</v>
      </c>
      <c r="DQ93" s="34">
        <v>1</v>
      </c>
      <c r="DR93" s="34">
        <v>3</v>
      </c>
      <c r="DS93" s="118">
        <v>0</v>
      </c>
      <c r="DT93" s="134">
        <v>0</v>
      </c>
      <c r="DU93" s="118">
        <v>0</v>
      </c>
      <c r="DV93" s="118">
        <v>0</v>
      </c>
      <c r="DW93" s="118">
        <v>0</v>
      </c>
      <c r="DX93" s="134">
        <v>0</v>
      </c>
      <c r="DY93" s="134">
        <v>0</v>
      </c>
      <c r="DZ93" s="134">
        <v>0</v>
      </c>
      <c r="EA93" s="134">
        <v>0</v>
      </c>
      <c r="EB93" s="134">
        <v>0</v>
      </c>
      <c r="EC93" s="134">
        <v>0</v>
      </c>
      <c r="ED93" s="134">
        <v>0</v>
      </c>
      <c r="EE93" s="134">
        <v>0</v>
      </c>
      <c r="EF93" s="134">
        <v>0</v>
      </c>
      <c r="EG93" s="134">
        <v>0</v>
      </c>
      <c r="EH93" s="249">
        <f t="shared" si="32"/>
        <v>11</v>
      </c>
      <c r="EI93" s="150">
        <f t="shared" si="35"/>
        <v>8193</v>
      </c>
      <c r="EJ93" s="150">
        <f t="shared" si="36"/>
        <v>8193</v>
      </c>
      <c r="EK93" s="284">
        <f t="shared" si="33"/>
        <v>4</v>
      </c>
      <c r="EL93" s="151">
        <f t="shared" si="41"/>
        <v>0</v>
      </c>
      <c r="EM93" s="153">
        <f t="shared" si="42"/>
        <v>0</v>
      </c>
      <c r="EN93" s="153">
        <f t="shared" si="43"/>
        <v>0</v>
      </c>
      <c r="EO93" s="153">
        <f t="shared" si="44"/>
        <v>7324</v>
      </c>
      <c r="EP93" s="152">
        <f t="shared" si="45"/>
        <v>851</v>
      </c>
      <c r="EQ93" s="152">
        <f t="shared" si="46"/>
        <v>11</v>
      </c>
      <c r="ER93" s="152">
        <f t="shared" si="26"/>
        <v>7</v>
      </c>
      <c r="ES93" s="152">
        <f t="shared" si="37"/>
        <v>4</v>
      </c>
      <c r="ET93" s="152">
        <f t="shared" si="34"/>
        <v>0</v>
      </c>
      <c r="EU93" s="57">
        <f t="shared" si="47"/>
        <v>7</v>
      </c>
      <c r="EV93" s="12">
        <f t="shared" si="39"/>
        <v>7</v>
      </c>
      <c r="EX93" s="12">
        <f t="shared" si="40"/>
        <v>8186</v>
      </c>
      <c r="EY93" s="131">
        <f t="shared" si="38"/>
        <v>8193</v>
      </c>
    </row>
    <row r="94" spans="1:155" ht="30.75" thickBot="1" x14ac:dyDescent="0.3">
      <c r="A94" s="8" t="s">
        <v>57</v>
      </c>
      <c r="B94" s="206" t="s">
        <v>109</v>
      </c>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0</v>
      </c>
      <c r="Z94" s="33">
        <v>0</v>
      </c>
      <c r="AA94" s="33">
        <v>0</v>
      </c>
      <c r="AB94" s="33">
        <v>0</v>
      </c>
      <c r="AC94" s="33">
        <v>0</v>
      </c>
      <c r="AD94" s="33">
        <v>0</v>
      </c>
      <c r="AE94" s="33">
        <v>0</v>
      </c>
      <c r="AF94" s="33">
        <v>0</v>
      </c>
      <c r="AG94" s="33">
        <v>0</v>
      </c>
      <c r="AH94" s="33">
        <v>0</v>
      </c>
      <c r="AI94" s="33">
        <v>0</v>
      </c>
      <c r="AJ94" s="33">
        <v>0</v>
      </c>
      <c r="AK94" s="33">
        <v>0</v>
      </c>
      <c r="AL94" s="34">
        <v>0</v>
      </c>
      <c r="AM94" s="34">
        <v>0</v>
      </c>
      <c r="AN94" s="34">
        <v>0</v>
      </c>
      <c r="AO94" s="34">
        <v>0</v>
      </c>
      <c r="AP94" s="34">
        <v>0</v>
      </c>
      <c r="AQ94" s="34">
        <v>0</v>
      </c>
      <c r="AR94" s="34">
        <v>0</v>
      </c>
      <c r="AS94" s="34">
        <v>0</v>
      </c>
      <c r="AT94" s="34">
        <v>0</v>
      </c>
      <c r="AU94" s="34">
        <v>0</v>
      </c>
      <c r="AV94" s="34">
        <v>0</v>
      </c>
      <c r="AW94" s="34">
        <v>0</v>
      </c>
      <c r="AX94" s="178">
        <v>1711</v>
      </c>
      <c r="AY94" s="178">
        <v>211</v>
      </c>
      <c r="AZ94" s="178">
        <v>331</v>
      </c>
      <c r="BA94" s="137">
        <v>0</v>
      </c>
      <c r="BB94" s="137">
        <v>0</v>
      </c>
      <c r="BC94" s="34">
        <v>0</v>
      </c>
      <c r="BD94" s="34">
        <v>0</v>
      </c>
      <c r="BE94" s="34">
        <v>0</v>
      </c>
      <c r="BF94" s="34">
        <v>0</v>
      </c>
      <c r="BG94" s="34">
        <v>0</v>
      </c>
      <c r="BH94" s="34">
        <v>0</v>
      </c>
      <c r="BI94" s="34">
        <v>0</v>
      </c>
      <c r="BJ94" s="34">
        <v>0</v>
      </c>
      <c r="BK94" s="34">
        <v>0</v>
      </c>
      <c r="BL94" s="34">
        <v>0</v>
      </c>
      <c r="BM94" s="34">
        <v>0</v>
      </c>
      <c r="BN94" s="34">
        <v>0</v>
      </c>
      <c r="BO94" s="34">
        <v>0</v>
      </c>
      <c r="BP94" s="34">
        <v>0</v>
      </c>
      <c r="BQ94" s="34">
        <v>0</v>
      </c>
      <c r="BR94" s="42">
        <v>0</v>
      </c>
      <c r="BS94" s="42">
        <v>0</v>
      </c>
      <c r="BT94" s="42">
        <v>0</v>
      </c>
      <c r="BU94" s="42">
        <v>0</v>
      </c>
      <c r="BV94" s="174">
        <v>566</v>
      </c>
      <c r="BW94" s="173">
        <v>272</v>
      </c>
      <c r="BX94" s="34">
        <v>0</v>
      </c>
      <c r="BY94" s="34">
        <v>0</v>
      </c>
      <c r="BZ94" s="34">
        <v>0</v>
      </c>
      <c r="CA94" s="34">
        <v>0</v>
      </c>
      <c r="CB94" s="34">
        <v>0</v>
      </c>
      <c r="CC94" s="34">
        <v>0</v>
      </c>
      <c r="CD94" s="34">
        <v>0</v>
      </c>
      <c r="CE94" s="42">
        <v>0</v>
      </c>
      <c r="CF94" s="34">
        <v>0</v>
      </c>
      <c r="CG94" s="34">
        <v>0</v>
      </c>
      <c r="CH94" s="55">
        <v>0</v>
      </c>
      <c r="CI94" s="55">
        <v>0</v>
      </c>
      <c r="CJ94" s="34">
        <v>0</v>
      </c>
      <c r="CK94" s="34">
        <v>0</v>
      </c>
      <c r="CL94" s="34">
        <v>0</v>
      </c>
      <c r="CM94" s="34">
        <v>0</v>
      </c>
      <c r="CN94" s="34">
        <v>0</v>
      </c>
      <c r="CO94" s="34">
        <v>0</v>
      </c>
      <c r="CP94" s="34">
        <v>0</v>
      </c>
      <c r="CQ94" s="34">
        <v>0</v>
      </c>
      <c r="CR94" s="34">
        <v>0</v>
      </c>
      <c r="CS94" s="178">
        <v>4994</v>
      </c>
      <c r="CT94" s="178">
        <v>4724</v>
      </c>
      <c r="CU94" s="178">
        <v>2484</v>
      </c>
      <c r="CV94" s="137">
        <v>0</v>
      </c>
      <c r="CW94" s="138">
        <v>0</v>
      </c>
      <c r="CX94" s="137">
        <v>0</v>
      </c>
      <c r="CY94" s="137">
        <v>0</v>
      </c>
      <c r="CZ94" s="137">
        <v>0</v>
      </c>
      <c r="DA94" s="34">
        <v>0</v>
      </c>
      <c r="DB94" s="34">
        <v>0</v>
      </c>
      <c r="DC94" s="34">
        <v>0</v>
      </c>
      <c r="DD94" s="34">
        <v>0</v>
      </c>
      <c r="DE94" s="34">
        <v>0</v>
      </c>
      <c r="DF94" s="34">
        <v>0</v>
      </c>
      <c r="DG94" s="34">
        <v>0</v>
      </c>
      <c r="DH94" s="42">
        <v>0</v>
      </c>
      <c r="DI94" s="34">
        <v>0</v>
      </c>
      <c r="DJ94" s="34">
        <v>0</v>
      </c>
      <c r="DK94" s="34">
        <v>0</v>
      </c>
      <c r="DL94" s="34">
        <v>0</v>
      </c>
      <c r="DM94" s="34">
        <v>0</v>
      </c>
      <c r="DN94" s="34">
        <v>0</v>
      </c>
      <c r="DO94" s="34">
        <v>0</v>
      </c>
      <c r="DP94" s="34">
        <v>0</v>
      </c>
      <c r="DQ94" s="34">
        <v>1561</v>
      </c>
      <c r="DR94" s="34">
        <v>24100</v>
      </c>
      <c r="DS94" s="118">
        <v>0</v>
      </c>
      <c r="DT94" s="134">
        <v>0</v>
      </c>
      <c r="DU94" s="118">
        <v>0</v>
      </c>
      <c r="DV94" s="118">
        <v>0</v>
      </c>
      <c r="DW94" s="118">
        <v>0</v>
      </c>
      <c r="DX94" s="134">
        <v>0</v>
      </c>
      <c r="DY94" s="134">
        <v>0</v>
      </c>
      <c r="DZ94" s="134">
        <v>0</v>
      </c>
      <c r="EA94" s="134">
        <v>0</v>
      </c>
      <c r="EB94" s="134">
        <v>0</v>
      </c>
      <c r="EC94" s="134">
        <v>0</v>
      </c>
      <c r="ED94" s="134">
        <v>0</v>
      </c>
      <c r="EE94" s="134">
        <v>0</v>
      </c>
      <c r="EF94" s="134">
        <v>0</v>
      </c>
      <c r="EG94" s="134">
        <v>0</v>
      </c>
      <c r="EH94" s="249">
        <f t="shared" si="32"/>
        <v>37863</v>
      </c>
      <c r="EI94" s="150">
        <f t="shared" si="35"/>
        <v>15293</v>
      </c>
      <c r="EJ94" s="150">
        <f t="shared" si="36"/>
        <v>15293</v>
      </c>
      <c r="EK94" s="284">
        <f t="shared" si="33"/>
        <v>25661</v>
      </c>
      <c r="EL94" s="151">
        <f t="shared" si="41"/>
        <v>0</v>
      </c>
      <c r="EM94" s="153">
        <f t="shared" si="42"/>
        <v>0</v>
      </c>
      <c r="EN94" s="153">
        <f t="shared" si="43"/>
        <v>0</v>
      </c>
      <c r="EO94" s="153">
        <f t="shared" si="44"/>
        <v>0</v>
      </c>
      <c r="EP94" s="152">
        <f t="shared" si="45"/>
        <v>1922</v>
      </c>
      <c r="EQ94" s="152">
        <f t="shared" si="46"/>
        <v>1169</v>
      </c>
      <c r="ER94" s="152">
        <f t="shared" si="26"/>
        <v>12202</v>
      </c>
      <c r="ES94" s="152">
        <f t="shared" si="37"/>
        <v>25661</v>
      </c>
      <c r="ET94" s="152">
        <f t="shared" si="34"/>
        <v>0</v>
      </c>
      <c r="EU94" s="57">
        <f t="shared" si="47"/>
        <v>838</v>
      </c>
      <c r="EV94" s="12">
        <f t="shared" si="39"/>
        <v>12202</v>
      </c>
      <c r="EX94" s="12">
        <f t="shared" si="40"/>
        <v>3091</v>
      </c>
      <c r="EY94" s="131">
        <f t="shared" si="38"/>
        <v>15293</v>
      </c>
    </row>
    <row r="95" spans="1:155" ht="30.75" thickBot="1" x14ac:dyDescent="0.3">
      <c r="A95" s="8" t="s">
        <v>57</v>
      </c>
      <c r="B95" s="206" t="s">
        <v>156</v>
      </c>
      <c r="C95" s="33" t="s">
        <v>154</v>
      </c>
      <c r="D95" s="33" t="s">
        <v>154</v>
      </c>
      <c r="E95" s="33" t="s">
        <v>154</v>
      </c>
      <c r="F95" s="33" t="s">
        <v>154</v>
      </c>
      <c r="G95" s="33" t="s">
        <v>154</v>
      </c>
      <c r="H95" s="33" t="s">
        <v>154</v>
      </c>
      <c r="I95" s="33" t="s">
        <v>154</v>
      </c>
      <c r="J95" s="33" t="s">
        <v>154</v>
      </c>
      <c r="K95" s="33" t="s">
        <v>154</v>
      </c>
      <c r="L95" s="33" t="s">
        <v>154</v>
      </c>
      <c r="M95" s="33" t="s">
        <v>154</v>
      </c>
      <c r="N95" s="33" t="s">
        <v>154</v>
      </c>
      <c r="O95" s="33" t="s">
        <v>154</v>
      </c>
      <c r="P95" s="33" t="s">
        <v>154</v>
      </c>
      <c r="Q95" s="33" t="s">
        <v>154</v>
      </c>
      <c r="R95" s="33" t="s">
        <v>154</v>
      </c>
      <c r="S95" s="33" t="s">
        <v>154</v>
      </c>
      <c r="T95" s="33" t="s">
        <v>154</v>
      </c>
      <c r="U95" s="33" t="s">
        <v>154</v>
      </c>
      <c r="V95" s="33" t="s">
        <v>154</v>
      </c>
      <c r="W95" s="33" t="s">
        <v>154</v>
      </c>
      <c r="X95" s="33" t="s">
        <v>154</v>
      </c>
      <c r="Y95" s="33" t="s">
        <v>154</v>
      </c>
      <c r="Z95" s="33" t="s">
        <v>154</v>
      </c>
      <c r="AA95" s="33" t="s">
        <v>154</v>
      </c>
      <c r="AB95" s="33" t="s">
        <v>154</v>
      </c>
      <c r="AC95" s="33" t="s">
        <v>154</v>
      </c>
      <c r="AD95" s="33" t="s">
        <v>154</v>
      </c>
      <c r="AE95" s="33" t="s">
        <v>154</v>
      </c>
      <c r="AF95" s="33" t="s">
        <v>154</v>
      </c>
      <c r="AG95" s="33" t="s">
        <v>154</v>
      </c>
      <c r="AH95" s="33" t="s">
        <v>154</v>
      </c>
      <c r="AI95" s="33" t="s">
        <v>154</v>
      </c>
      <c r="AJ95" s="33" t="s">
        <v>154</v>
      </c>
      <c r="AK95" s="33" t="s">
        <v>154</v>
      </c>
      <c r="AL95" s="33" t="s">
        <v>154</v>
      </c>
      <c r="AM95" s="33" t="s">
        <v>154</v>
      </c>
      <c r="AN95" s="33" t="s">
        <v>154</v>
      </c>
      <c r="AO95" s="33" t="s">
        <v>154</v>
      </c>
      <c r="AP95" s="33" t="s">
        <v>154</v>
      </c>
      <c r="AQ95" s="33" t="s">
        <v>154</v>
      </c>
      <c r="AR95" s="33" t="s">
        <v>154</v>
      </c>
      <c r="AS95" s="33" t="s">
        <v>154</v>
      </c>
      <c r="AT95" s="33" t="s">
        <v>154</v>
      </c>
      <c r="AU95" s="33" t="s">
        <v>154</v>
      </c>
      <c r="AV95" s="33" t="s">
        <v>154</v>
      </c>
      <c r="AW95" s="33" t="s">
        <v>154</v>
      </c>
      <c r="AX95" s="33" t="s">
        <v>154</v>
      </c>
      <c r="AY95" s="33" t="s">
        <v>154</v>
      </c>
      <c r="AZ95" s="33" t="s">
        <v>154</v>
      </c>
      <c r="BA95" s="33" t="s">
        <v>154</v>
      </c>
      <c r="BB95" s="33" t="s">
        <v>154</v>
      </c>
      <c r="BC95" s="33" t="s">
        <v>154</v>
      </c>
      <c r="BD95" s="33" t="s">
        <v>154</v>
      </c>
      <c r="BE95" s="33" t="s">
        <v>154</v>
      </c>
      <c r="BF95" s="33" t="s">
        <v>154</v>
      </c>
      <c r="BG95" s="33" t="s">
        <v>154</v>
      </c>
      <c r="BH95" s="33" t="s">
        <v>154</v>
      </c>
      <c r="BI95" s="33" t="s">
        <v>154</v>
      </c>
      <c r="BJ95" s="33" t="s">
        <v>154</v>
      </c>
      <c r="BK95" s="33" t="s">
        <v>154</v>
      </c>
      <c r="BL95" s="33" t="s">
        <v>154</v>
      </c>
      <c r="BM95" s="33" t="s">
        <v>154</v>
      </c>
      <c r="BN95" s="33" t="s">
        <v>154</v>
      </c>
      <c r="BO95" s="33" t="s">
        <v>154</v>
      </c>
      <c r="BP95" s="33" t="s">
        <v>154</v>
      </c>
      <c r="BQ95" s="33" t="s">
        <v>154</v>
      </c>
      <c r="BR95" s="33" t="s">
        <v>154</v>
      </c>
      <c r="BS95" s="33" t="s">
        <v>154</v>
      </c>
      <c r="BT95" s="33" t="s">
        <v>154</v>
      </c>
      <c r="BU95" s="33" t="s">
        <v>154</v>
      </c>
      <c r="BV95" s="33" t="s">
        <v>154</v>
      </c>
      <c r="BW95" s="33" t="s">
        <v>154</v>
      </c>
      <c r="BX95" s="33" t="s">
        <v>154</v>
      </c>
      <c r="BY95" s="33" t="s">
        <v>154</v>
      </c>
      <c r="BZ95" s="33" t="s">
        <v>154</v>
      </c>
      <c r="CA95" s="33" t="s">
        <v>154</v>
      </c>
      <c r="CB95" s="33" t="s">
        <v>154</v>
      </c>
      <c r="CC95" s="33" t="s">
        <v>154</v>
      </c>
      <c r="CD95" s="33" t="s">
        <v>154</v>
      </c>
      <c r="CE95" s="33" t="s">
        <v>154</v>
      </c>
      <c r="CF95" s="33" t="s">
        <v>154</v>
      </c>
      <c r="CG95" s="33" t="s">
        <v>154</v>
      </c>
      <c r="CH95" s="33" t="s">
        <v>154</v>
      </c>
      <c r="CI95" s="33" t="s">
        <v>154</v>
      </c>
      <c r="CJ95" s="33" t="s">
        <v>154</v>
      </c>
      <c r="CK95" s="33" t="s">
        <v>154</v>
      </c>
      <c r="CL95" s="33" t="s">
        <v>154</v>
      </c>
      <c r="CM95" s="33" t="s">
        <v>154</v>
      </c>
      <c r="CN95" s="33" t="s">
        <v>154</v>
      </c>
      <c r="CO95" s="33" t="s">
        <v>154</v>
      </c>
      <c r="CP95" s="33" t="s">
        <v>154</v>
      </c>
      <c r="CQ95" s="33" t="s">
        <v>154</v>
      </c>
      <c r="CR95" s="34" t="s">
        <v>154</v>
      </c>
      <c r="CS95" s="34" t="s">
        <v>154</v>
      </c>
      <c r="CT95" s="34" t="s">
        <v>154</v>
      </c>
      <c r="CU95" s="34" t="s">
        <v>154</v>
      </c>
      <c r="CV95" s="137">
        <v>29</v>
      </c>
      <c r="CW95" s="138" t="s">
        <v>154</v>
      </c>
      <c r="CX95" s="137" t="s">
        <v>154</v>
      </c>
      <c r="CY95" s="137">
        <v>0</v>
      </c>
      <c r="CZ95" s="137">
        <v>0</v>
      </c>
      <c r="DA95" s="34">
        <v>0</v>
      </c>
      <c r="DB95" s="34">
        <v>0</v>
      </c>
      <c r="DC95" s="34">
        <v>0</v>
      </c>
      <c r="DD95" s="34">
        <v>0</v>
      </c>
      <c r="DE95" s="34">
        <v>0</v>
      </c>
      <c r="DF95" s="34">
        <v>0</v>
      </c>
      <c r="DG95" s="34">
        <v>0</v>
      </c>
      <c r="DH95" s="42">
        <v>0</v>
      </c>
      <c r="DI95" s="34">
        <v>0</v>
      </c>
      <c r="DJ95" s="34">
        <v>0</v>
      </c>
      <c r="DK95" s="34">
        <v>0</v>
      </c>
      <c r="DL95" s="34">
        <v>0</v>
      </c>
      <c r="DM95" s="34">
        <v>0</v>
      </c>
      <c r="DN95" s="34">
        <v>0</v>
      </c>
      <c r="DO95" s="34">
        <v>0</v>
      </c>
      <c r="DP95" s="34">
        <v>0</v>
      </c>
      <c r="DQ95" s="34">
        <v>0</v>
      </c>
      <c r="DR95" s="34">
        <v>57</v>
      </c>
      <c r="DS95" s="118">
        <v>16</v>
      </c>
      <c r="DT95" s="134">
        <v>66</v>
      </c>
      <c r="DU95" s="137">
        <v>0</v>
      </c>
      <c r="DV95" s="137">
        <v>0</v>
      </c>
      <c r="DW95" s="137">
        <v>0</v>
      </c>
      <c r="DX95" s="138">
        <v>0</v>
      </c>
      <c r="DY95" s="138">
        <v>0</v>
      </c>
      <c r="DZ95" s="138">
        <v>0</v>
      </c>
      <c r="EA95" s="138">
        <v>0</v>
      </c>
      <c r="EB95" s="138">
        <v>0</v>
      </c>
      <c r="EC95" s="138">
        <v>0</v>
      </c>
      <c r="ED95" s="138">
        <v>0</v>
      </c>
      <c r="EE95" s="138">
        <v>0</v>
      </c>
      <c r="EF95" s="138">
        <v>0</v>
      </c>
      <c r="EG95" s="138">
        <v>0</v>
      </c>
      <c r="EH95" s="249">
        <f t="shared" si="32"/>
        <v>168</v>
      </c>
      <c r="EI95" s="150">
        <f t="shared" si="35"/>
        <v>29</v>
      </c>
      <c r="EJ95" s="150">
        <f t="shared" si="36"/>
        <v>29</v>
      </c>
      <c r="EK95" s="284">
        <f t="shared" si="33"/>
        <v>139</v>
      </c>
      <c r="EL95" s="151"/>
      <c r="EM95" s="153"/>
      <c r="EN95" s="153"/>
      <c r="EO95" s="153"/>
      <c r="EP95" s="152"/>
      <c r="EQ95" s="152"/>
      <c r="ER95" s="152"/>
      <c r="ES95" s="152">
        <f t="shared" si="37"/>
        <v>102</v>
      </c>
      <c r="ET95" s="152">
        <f t="shared" si="34"/>
        <v>66</v>
      </c>
      <c r="EU95" s="57"/>
      <c r="EV95" s="12"/>
      <c r="EX95" s="12"/>
      <c r="EY95" s="131">
        <f t="shared" si="38"/>
        <v>29</v>
      </c>
    </row>
    <row r="96" spans="1:155" ht="30" x14ac:dyDescent="0.25">
      <c r="A96" s="8" t="s">
        <v>57</v>
      </c>
      <c r="B96" s="144" t="s">
        <v>43</v>
      </c>
      <c r="C96" s="33">
        <v>0</v>
      </c>
      <c r="D96" s="33">
        <v>0</v>
      </c>
      <c r="E96" s="33">
        <v>0</v>
      </c>
      <c r="F96" s="33">
        <v>0</v>
      </c>
      <c r="G96" s="33">
        <v>0</v>
      </c>
      <c r="H96" s="33">
        <v>0</v>
      </c>
      <c r="I96" s="33">
        <v>0</v>
      </c>
      <c r="J96" s="33">
        <v>0</v>
      </c>
      <c r="K96" s="33">
        <v>0</v>
      </c>
      <c r="L96" s="33">
        <v>0</v>
      </c>
      <c r="M96" s="33">
        <v>0</v>
      </c>
      <c r="N96" s="33">
        <v>0</v>
      </c>
      <c r="O96" s="33">
        <v>0</v>
      </c>
      <c r="P96" s="33">
        <v>0</v>
      </c>
      <c r="Q96" s="33">
        <v>0</v>
      </c>
      <c r="R96" s="33">
        <v>0</v>
      </c>
      <c r="S96" s="33">
        <v>0</v>
      </c>
      <c r="T96" s="33">
        <v>0</v>
      </c>
      <c r="U96" s="33">
        <v>0</v>
      </c>
      <c r="V96" s="33">
        <v>0</v>
      </c>
      <c r="W96" s="33">
        <v>0</v>
      </c>
      <c r="X96" s="33">
        <v>0</v>
      </c>
      <c r="Y96" s="33">
        <v>0</v>
      </c>
      <c r="Z96" s="33">
        <v>0</v>
      </c>
      <c r="AA96" s="33">
        <v>0</v>
      </c>
      <c r="AB96" s="33">
        <v>788</v>
      </c>
      <c r="AC96" s="33">
        <v>0</v>
      </c>
      <c r="AD96" s="33">
        <v>0</v>
      </c>
      <c r="AE96" s="33">
        <v>0</v>
      </c>
      <c r="AF96" s="33">
        <v>0</v>
      </c>
      <c r="AG96" s="33">
        <v>0</v>
      </c>
      <c r="AH96" s="33">
        <v>0</v>
      </c>
      <c r="AI96" s="33">
        <v>0</v>
      </c>
      <c r="AJ96" s="34">
        <v>0</v>
      </c>
      <c r="AK96" s="34">
        <v>0</v>
      </c>
      <c r="AL96" s="34">
        <v>202</v>
      </c>
      <c r="AM96" s="34">
        <v>495</v>
      </c>
      <c r="AN96" s="34">
        <v>266</v>
      </c>
      <c r="AO96" s="34" t="s">
        <v>154</v>
      </c>
      <c r="AP96" s="34" t="s">
        <v>154</v>
      </c>
      <c r="AQ96" s="34" t="s">
        <v>154</v>
      </c>
      <c r="AR96" s="34" t="s">
        <v>154</v>
      </c>
      <c r="AS96" s="34" t="s">
        <v>154</v>
      </c>
      <c r="AT96" s="34" t="s">
        <v>154</v>
      </c>
      <c r="AU96" s="34" t="s">
        <v>154</v>
      </c>
      <c r="AV96" s="34" t="s">
        <v>154</v>
      </c>
      <c r="AW96" s="34" t="s">
        <v>154</v>
      </c>
      <c r="AX96" s="34" t="s">
        <v>154</v>
      </c>
      <c r="AY96" s="34" t="s">
        <v>154</v>
      </c>
      <c r="AZ96" s="34" t="s">
        <v>154</v>
      </c>
      <c r="BA96" s="34" t="s">
        <v>154</v>
      </c>
      <c r="BB96" s="34" t="s">
        <v>154</v>
      </c>
      <c r="BC96" s="34" t="s">
        <v>154</v>
      </c>
      <c r="BD96" s="34" t="s">
        <v>154</v>
      </c>
      <c r="BE96" s="34" t="s">
        <v>154</v>
      </c>
      <c r="BF96" s="34" t="s">
        <v>154</v>
      </c>
      <c r="BG96" s="34" t="s">
        <v>154</v>
      </c>
      <c r="BH96" s="34" t="s">
        <v>154</v>
      </c>
      <c r="BI96" s="34" t="s">
        <v>154</v>
      </c>
      <c r="BJ96" s="34" t="s">
        <v>154</v>
      </c>
      <c r="BK96" s="34" t="s">
        <v>154</v>
      </c>
      <c r="BL96" s="34" t="s">
        <v>154</v>
      </c>
      <c r="BM96" s="34" t="s">
        <v>154</v>
      </c>
      <c r="BN96" s="34" t="s">
        <v>154</v>
      </c>
      <c r="BO96" s="34" t="s">
        <v>154</v>
      </c>
      <c r="BP96" s="34" t="s">
        <v>154</v>
      </c>
      <c r="BQ96" s="34" t="s">
        <v>154</v>
      </c>
      <c r="BR96" s="34" t="s">
        <v>154</v>
      </c>
      <c r="BS96" s="34" t="s">
        <v>154</v>
      </c>
      <c r="BT96" s="34" t="s">
        <v>154</v>
      </c>
      <c r="BU96" s="34" t="s">
        <v>154</v>
      </c>
      <c r="BV96" s="34" t="s">
        <v>154</v>
      </c>
      <c r="BW96" s="34" t="s">
        <v>154</v>
      </c>
      <c r="BX96" s="34" t="s">
        <v>154</v>
      </c>
      <c r="BY96" s="34" t="s">
        <v>154</v>
      </c>
      <c r="BZ96" s="34" t="s">
        <v>154</v>
      </c>
      <c r="CA96" s="34" t="s">
        <v>154</v>
      </c>
      <c r="CB96" s="34" t="s">
        <v>154</v>
      </c>
      <c r="CC96" s="34" t="s">
        <v>154</v>
      </c>
      <c r="CD96" s="34" t="s">
        <v>154</v>
      </c>
      <c r="CE96" s="34" t="s">
        <v>154</v>
      </c>
      <c r="CF96" s="34" t="s">
        <v>154</v>
      </c>
      <c r="CG96" s="34" t="s">
        <v>154</v>
      </c>
      <c r="CH96" s="34" t="s">
        <v>154</v>
      </c>
      <c r="CI96" s="34" t="s">
        <v>154</v>
      </c>
      <c r="CJ96" s="34" t="s">
        <v>154</v>
      </c>
      <c r="CK96" s="34" t="s">
        <v>154</v>
      </c>
      <c r="CL96" s="34" t="s">
        <v>154</v>
      </c>
      <c r="CM96" s="34" t="s">
        <v>154</v>
      </c>
      <c r="CN96" s="34" t="s">
        <v>154</v>
      </c>
      <c r="CO96" s="34" t="s">
        <v>154</v>
      </c>
      <c r="CP96" s="34" t="s">
        <v>154</v>
      </c>
      <c r="CQ96" s="34" t="s">
        <v>154</v>
      </c>
      <c r="CR96" s="34" t="s">
        <v>154</v>
      </c>
      <c r="CS96" s="34" t="s">
        <v>154</v>
      </c>
      <c r="CT96" s="34" t="s">
        <v>154</v>
      </c>
      <c r="CU96" s="34" t="s">
        <v>154</v>
      </c>
      <c r="CV96" s="34" t="s">
        <v>154</v>
      </c>
      <c r="CW96" s="34" t="s">
        <v>154</v>
      </c>
      <c r="CX96" s="34" t="s">
        <v>154</v>
      </c>
      <c r="CY96" s="34">
        <v>0</v>
      </c>
      <c r="CZ96" s="34">
        <v>0</v>
      </c>
      <c r="DA96" s="34">
        <v>0</v>
      </c>
      <c r="DB96" s="34">
        <v>0</v>
      </c>
      <c r="DC96" s="34">
        <v>0</v>
      </c>
      <c r="DD96" s="34">
        <v>0</v>
      </c>
      <c r="DE96" s="34">
        <v>0</v>
      </c>
      <c r="DF96" s="34">
        <v>0</v>
      </c>
      <c r="DG96" s="34">
        <v>0</v>
      </c>
      <c r="DH96" s="42">
        <v>0</v>
      </c>
      <c r="DI96" s="34">
        <v>0</v>
      </c>
      <c r="DJ96" s="34">
        <v>0</v>
      </c>
      <c r="DK96" s="34">
        <v>0</v>
      </c>
      <c r="DL96" s="34">
        <v>0</v>
      </c>
      <c r="DM96" s="34">
        <v>0</v>
      </c>
      <c r="DN96" s="34">
        <v>0</v>
      </c>
      <c r="DO96" s="34">
        <v>0</v>
      </c>
      <c r="DP96" s="34">
        <v>0</v>
      </c>
      <c r="DQ96" s="34">
        <v>0</v>
      </c>
      <c r="DR96" s="34">
        <v>0</v>
      </c>
      <c r="DS96" s="118">
        <v>0</v>
      </c>
      <c r="DT96" s="134">
        <v>0</v>
      </c>
      <c r="DU96" s="118">
        <v>0</v>
      </c>
      <c r="DV96" s="118">
        <v>0</v>
      </c>
      <c r="DW96" s="118">
        <v>0</v>
      </c>
      <c r="DX96" s="134">
        <v>0</v>
      </c>
      <c r="DY96" s="134">
        <v>0</v>
      </c>
      <c r="DZ96" s="134">
        <v>0</v>
      </c>
      <c r="EA96" s="134">
        <v>0</v>
      </c>
      <c r="EB96" s="134">
        <v>0</v>
      </c>
      <c r="EC96" s="134">
        <v>0</v>
      </c>
      <c r="ED96" s="134">
        <v>0</v>
      </c>
      <c r="EE96" s="134">
        <v>0</v>
      </c>
      <c r="EF96" s="134">
        <v>0</v>
      </c>
      <c r="EG96" s="134">
        <v>0</v>
      </c>
      <c r="EH96" s="249">
        <f t="shared" si="32"/>
        <v>0</v>
      </c>
      <c r="EI96" s="150">
        <f t="shared" si="35"/>
        <v>1751</v>
      </c>
      <c r="EJ96" s="150">
        <f t="shared" si="36"/>
        <v>1751</v>
      </c>
      <c r="EK96" s="284">
        <f t="shared" si="33"/>
        <v>0</v>
      </c>
      <c r="EL96" s="151">
        <f t="shared" si="41"/>
        <v>0</v>
      </c>
      <c r="EM96" s="153">
        <f t="shared" si="42"/>
        <v>0</v>
      </c>
      <c r="EN96" s="153">
        <f t="shared" si="43"/>
        <v>0</v>
      </c>
      <c r="EO96" s="153">
        <f t="shared" si="44"/>
        <v>1485</v>
      </c>
      <c r="EP96" s="152">
        <f t="shared" si="45"/>
        <v>266</v>
      </c>
      <c r="EQ96" s="152">
        <f t="shared" si="46"/>
        <v>0</v>
      </c>
      <c r="ER96" s="152">
        <f>SUM(BX96:CU96)</f>
        <v>0</v>
      </c>
      <c r="ES96" s="152">
        <f t="shared" si="37"/>
        <v>0</v>
      </c>
      <c r="ET96" s="152">
        <f t="shared" si="34"/>
        <v>0</v>
      </c>
      <c r="EU96" s="57">
        <f t="shared" si="47"/>
        <v>0</v>
      </c>
      <c r="EV96" s="12">
        <f t="shared" si="39"/>
        <v>0</v>
      </c>
      <c r="EX96" s="12">
        <f t="shared" si="40"/>
        <v>1751</v>
      </c>
      <c r="EY96" s="131">
        <f t="shared" si="38"/>
        <v>1751</v>
      </c>
    </row>
    <row r="97" spans="1:152" ht="18.75" x14ac:dyDescent="0.25">
      <c r="A97" s="8"/>
      <c r="B97" s="8"/>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13"/>
      <c r="AK97" s="13"/>
      <c r="AL97" s="13"/>
      <c r="AM97" s="13"/>
      <c r="AN97" s="13"/>
      <c r="AO97" s="13"/>
      <c r="AP97" s="13"/>
      <c r="AQ97" s="13"/>
      <c r="AR97" s="13"/>
      <c r="AS97" s="13"/>
      <c r="AT97" s="13"/>
      <c r="AU97" s="13"/>
      <c r="AV97" s="13"/>
      <c r="AW97" s="13"/>
      <c r="AX97" s="13"/>
      <c r="AY97" s="13"/>
      <c r="AZ97" s="13"/>
      <c r="BA97" s="13"/>
      <c r="BB97" s="13"/>
      <c r="BC97" s="13"/>
      <c r="BD97" s="13"/>
      <c r="BE97" s="13"/>
      <c r="BF97" s="13"/>
      <c r="BG97" s="13"/>
      <c r="BH97" s="13"/>
      <c r="BI97" s="13"/>
      <c r="BJ97" s="13"/>
      <c r="BK97" s="13"/>
      <c r="BL97" s="13"/>
      <c r="BM97" s="13"/>
      <c r="BN97" s="13"/>
      <c r="BO97" s="13"/>
      <c r="BP97" s="13"/>
      <c r="BQ97" s="13"/>
      <c r="BR97" s="13"/>
      <c r="BS97" s="13"/>
      <c r="BT97" s="13"/>
      <c r="BU97" s="13"/>
      <c r="BV97" s="13"/>
      <c r="BW97" s="13"/>
      <c r="BX97" s="13"/>
      <c r="BY97" s="13"/>
      <c r="BZ97" s="13"/>
      <c r="CA97" s="13"/>
      <c r="CB97" s="13"/>
      <c r="CC97" s="13"/>
      <c r="CD97" s="13"/>
      <c r="CE97" s="13"/>
      <c r="CF97" s="13"/>
      <c r="CG97" s="13"/>
      <c r="CH97" s="13"/>
      <c r="CI97" s="13"/>
      <c r="CJ97" s="13"/>
      <c r="CK97" s="13"/>
      <c r="CL97" s="13"/>
      <c r="CM97" s="13"/>
      <c r="CN97" s="13"/>
      <c r="CO97" s="13"/>
      <c r="CP97" s="13"/>
      <c r="CQ97" s="13"/>
      <c r="CR97" s="13"/>
      <c r="CS97" s="13"/>
      <c r="CT97" s="13"/>
      <c r="CU97" s="13"/>
      <c r="CV97" s="13"/>
      <c r="CW97" s="13"/>
      <c r="CX97" s="13"/>
      <c r="CY97" s="13"/>
      <c r="CZ97" s="13"/>
      <c r="DA97" s="13"/>
      <c r="DB97" s="13"/>
      <c r="DC97" s="13"/>
      <c r="DD97" s="13"/>
      <c r="DE97" s="13"/>
      <c r="DF97" s="13"/>
      <c r="DG97" s="13"/>
      <c r="DH97" s="13"/>
      <c r="DI97" s="13"/>
      <c r="DJ97" s="13"/>
      <c r="DK97" s="13"/>
      <c r="DL97" s="13"/>
      <c r="DM97" s="13"/>
      <c r="DN97" s="13"/>
      <c r="DO97" s="13"/>
      <c r="DP97" s="13"/>
      <c r="DQ97" s="13"/>
      <c r="DR97" s="13"/>
      <c r="DS97" s="13"/>
      <c r="DT97" s="13"/>
      <c r="DU97" s="13"/>
      <c r="DV97" s="13"/>
      <c r="DW97" s="13"/>
      <c r="DX97" s="13"/>
      <c r="DY97" s="13"/>
      <c r="DZ97" s="13"/>
      <c r="EA97" s="13"/>
      <c r="EB97" s="13"/>
      <c r="EC97" s="13"/>
      <c r="ED97" s="13"/>
      <c r="EE97" s="13"/>
      <c r="EF97" s="13"/>
      <c r="EG97" s="13"/>
      <c r="EH97" s="13"/>
      <c r="EI97" s="14"/>
      <c r="EJ97" s="14"/>
      <c r="EK97" s="14"/>
      <c r="EL97" s="21"/>
      <c r="EM97" s="21"/>
      <c r="EN97" s="21"/>
      <c r="EO97" s="21"/>
      <c r="EP97" s="22"/>
      <c r="EQ97" s="22"/>
      <c r="ER97" s="22"/>
      <c r="ES97" s="22"/>
      <c r="ET97" s="22"/>
      <c r="EU97" s="23"/>
    </row>
    <row r="98" spans="1:152" ht="15.75" hidden="1" customHeight="1" x14ac:dyDescent="0.25">
      <c r="A98" s="8"/>
      <c r="B98" s="8"/>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10"/>
      <c r="AT98" s="10"/>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c r="CJ98" s="10"/>
      <c r="CK98" s="10"/>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row>
    <row r="99" spans="1:152" ht="15.75" hidden="1" customHeight="1" x14ac:dyDescent="0.35">
      <c r="A99" s="4" t="s">
        <v>58</v>
      </c>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c r="DH99" s="4"/>
      <c r="DI99" s="4"/>
      <c r="DJ99" s="4"/>
      <c r="DK99" s="4"/>
      <c r="DL99" s="4"/>
      <c r="DM99" s="4"/>
      <c r="DN99" s="4"/>
      <c r="DO99" s="4"/>
      <c r="DP99" s="4"/>
      <c r="DQ99" s="4"/>
      <c r="DR99" s="4"/>
      <c r="DS99" s="4"/>
      <c r="DT99" s="4"/>
      <c r="DU99" s="4"/>
      <c r="DV99" s="4"/>
      <c r="DW99" s="4"/>
      <c r="DX99" s="4"/>
      <c r="DY99" s="4"/>
      <c r="DZ99" s="4"/>
      <c r="EA99" s="4"/>
      <c r="EB99" s="4"/>
      <c r="EC99" s="4"/>
      <c r="ED99" s="4"/>
      <c r="EE99" s="4"/>
      <c r="EF99" s="4"/>
      <c r="EG99" s="4"/>
      <c r="EH99" s="4"/>
      <c r="EI99" s="4"/>
      <c r="EJ99" s="4"/>
      <c r="EK99" s="4"/>
      <c r="EL99" s="4"/>
      <c r="EM99" s="4"/>
      <c r="EN99" s="4"/>
      <c r="EO99" s="4"/>
      <c r="EP99" s="4"/>
      <c r="EQ99" s="4"/>
      <c r="ER99" s="4"/>
      <c r="ES99" s="4"/>
      <c r="ET99" s="4"/>
      <c r="EU99" s="4"/>
      <c r="EV99" s="4"/>
    </row>
    <row r="100" spans="1:152" ht="15.75" hidden="1" customHeight="1" x14ac:dyDescent="0.25"/>
    <row r="101" spans="1:152" ht="15.75" hidden="1" customHeight="1" x14ac:dyDescent="0.25">
      <c r="A101" s="5" t="s">
        <v>8</v>
      </c>
      <c r="B101" s="5" t="s">
        <v>4</v>
      </c>
      <c r="C101" s="6">
        <v>43435</v>
      </c>
      <c r="D101" s="6">
        <v>43466</v>
      </c>
      <c r="E101" s="6">
        <v>43497</v>
      </c>
      <c r="F101" s="6">
        <v>43525</v>
      </c>
      <c r="G101" s="6">
        <v>43556</v>
      </c>
      <c r="H101" s="6">
        <v>43586</v>
      </c>
      <c r="I101" s="6">
        <v>43617</v>
      </c>
      <c r="J101" s="6">
        <v>43647</v>
      </c>
      <c r="K101" s="6">
        <v>43678</v>
      </c>
      <c r="L101" s="6">
        <v>43709</v>
      </c>
      <c r="M101" s="6">
        <v>43739</v>
      </c>
      <c r="N101" s="6">
        <v>43770</v>
      </c>
      <c r="O101" s="6">
        <v>43800</v>
      </c>
      <c r="P101" s="6">
        <v>43831</v>
      </c>
      <c r="Q101" s="6">
        <v>43862</v>
      </c>
      <c r="R101" s="6">
        <v>43891</v>
      </c>
      <c r="S101" s="6">
        <v>43922</v>
      </c>
      <c r="T101" s="6">
        <v>43952</v>
      </c>
      <c r="U101" s="6">
        <v>43983</v>
      </c>
      <c r="V101" s="6">
        <v>44013</v>
      </c>
      <c r="W101" s="6">
        <v>44044</v>
      </c>
      <c r="X101" s="6">
        <v>44075</v>
      </c>
      <c r="Y101" s="6">
        <v>44105</v>
      </c>
      <c r="Z101" s="6">
        <v>44136</v>
      </c>
      <c r="AA101" s="6">
        <v>44166</v>
      </c>
      <c r="AB101" s="6">
        <v>44197</v>
      </c>
      <c r="AC101" s="6">
        <v>44228</v>
      </c>
      <c r="AD101" s="6">
        <v>44256</v>
      </c>
      <c r="AE101" s="7">
        <v>44287</v>
      </c>
      <c r="AF101" s="7">
        <v>44317</v>
      </c>
      <c r="AG101" s="7">
        <v>44348</v>
      </c>
      <c r="AH101" s="7">
        <v>44378</v>
      </c>
      <c r="AI101" s="7">
        <v>44409</v>
      </c>
      <c r="AJ101" s="7">
        <v>44440</v>
      </c>
      <c r="AK101" s="7">
        <v>44470</v>
      </c>
      <c r="AL101" s="7">
        <v>44501</v>
      </c>
      <c r="AM101" s="7">
        <v>44531</v>
      </c>
      <c r="AN101" s="7">
        <v>44562</v>
      </c>
      <c r="AO101" s="7">
        <v>44593</v>
      </c>
      <c r="AP101" s="7">
        <v>44621</v>
      </c>
      <c r="AQ101" s="6">
        <v>44652</v>
      </c>
      <c r="AR101" s="6">
        <v>44703</v>
      </c>
      <c r="AS101" s="6">
        <v>44734</v>
      </c>
      <c r="AT101" s="6">
        <v>44764</v>
      </c>
      <c r="AU101" s="6">
        <v>44795</v>
      </c>
      <c r="AV101" s="6">
        <v>44826</v>
      </c>
      <c r="AW101" s="6">
        <v>44856</v>
      </c>
      <c r="AX101" s="6">
        <v>44887</v>
      </c>
      <c r="AY101" s="6"/>
      <c r="AZ101" s="6">
        <v>44927</v>
      </c>
      <c r="BA101" s="6"/>
      <c r="BB101" s="6">
        <v>44958</v>
      </c>
      <c r="BC101" s="6"/>
      <c r="BD101" s="6"/>
      <c r="BE101" s="6"/>
      <c r="BF101" s="6"/>
      <c r="BG101" s="6"/>
      <c r="BH101" s="6"/>
      <c r="BI101" s="6"/>
      <c r="BJ101" s="6"/>
      <c r="BK101" s="6"/>
      <c r="BL101" s="6"/>
      <c r="BM101" s="6"/>
      <c r="BN101" s="6"/>
      <c r="BO101" s="6"/>
      <c r="BP101" s="6"/>
      <c r="BQ101" s="6"/>
      <c r="BR101" s="6"/>
      <c r="BS101" s="6"/>
      <c r="BT101" s="6"/>
      <c r="BU101" s="6"/>
      <c r="BV101" s="6"/>
      <c r="BW101" s="6"/>
      <c r="BX101" s="6"/>
      <c r="BY101" s="6"/>
      <c r="BZ101" s="6"/>
      <c r="CA101" s="6"/>
      <c r="CB101" s="6"/>
      <c r="CC101" s="6"/>
      <c r="CD101" s="6"/>
      <c r="CE101" s="6"/>
      <c r="CF101" s="6"/>
      <c r="CG101" s="6"/>
      <c r="CH101" s="6"/>
      <c r="CI101" s="6"/>
      <c r="CJ101" s="6"/>
      <c r="CK101" s="6"/>
      <c r="CL101" s="6"/>
      <c r="CM101" s="6"/>
      <c r="CN101" s="6"/>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6"/>
      <c r="DN101" s="6"/>
      <c r="DO101" s="6"/>
      <c r="DP101" s="6"/>
      <c r="DQ101" s="6"/>
      <c r="DR101" s="6"/>
      <c r="DS101" s="6"/>
      <c r="DT101" s="6"/>
      <c r="DU101" s="6"/>
      <c r="DV101" s="6"/>
      <c r="DW101" s="6"/>
      <c r="DX101" s="6"/>
      <c r="DY101" s="6"/>
      <c r="DZ101" s="6"/>
      <c r="EA101" s="6"/>
      <c r="EB101" s="6"/>
      <c r="EC101" s="6"/>
      <c r="ED101" s="6"/>
      <c r="EE101" s="6"/>
      <c r="EF101" s="6"/>
      <c r="EG101" s="6"/>
      <c r="EH101" s="6"/>
      <c r="EI101" s="7" t="s">
        <v>5</v>
      </c>
      <c r="EJ101" s="7"/>
      <c r="EK101" s="7"/>
      <c r="EL101" s="11">
        <v>2018</v>
      </c>
      <c r="EM101" s="11" t="s">
        <v>63</v>
      </c>
      <c r="EN101" s="11" t="s">
        <v>61</v>
      </c>
      <c r="EO101" s="11" t="s">
        <v>62</v>
      </c>
    </row>
    <row r="102" spans="1:152" ht="56.25" hidden="1" customHeight="1" x14ac:dyDescent="0.25">
      <c r="A102" s="25" t="s">
        <v>59</v>
      </c>
      <c r="B102" s="25" t="s">
        <v>60</v>
      </c>
      <c r="C102" s="28">
        <v>0</v>
      </c>
      <c r="D102" s="28">
        <v>0</v>
      </c>
      <c r="E102" s="28">
        <v>0</v>
      </c>
      <c r="F102" s="28">
        <v>0</v>
      </c>
      <c r="G102" s="28">
        <v>0</v>
      </c>
      <c r="H102" s="28">
        <v>0</v>
      </c>
      <c r="I102" s="28">
        <v>0</v>
      </c>
      <c r="J102" s="28">
        <v>0</v>
      </c>
      <c r="K102" s="28">
        <v>0</v>
      </c>
      <c r="L102" s="28">
        <v>0</v>
      </c>
      <c r="M102" s="28">
        <v>0</v>
      </c>
      <c r="N102" s="28">
        <v>0</v>
      </c>
      <c r="O102" s="28">
        <v>0</v>
      </c>
      <c r="P102" s="28">
        <v>0</v>
      </c>
      <c r="Q102" s="28">
        <v>0</v>
      </c>
      <c r="R102" s="28">
        <v>0</v>
      </c>
      <c r="S102" s="28">
        <v>0</v>
      </c>
      <c r="T102" s="28">
        <v>0</v>
      </c>
      <c r="U102" s="28">
        <v>0</v>
      </c>
      <c r="V102" s="28">
        <v>0</v>
      </c>
      <c r="W102" s="28">
        <v>0</v>
      </c>
      <c r="X102" s="28">
        <v>0</v>
      </c>
      <c r="Y102" s="28">
        <v>0</v>
      </c>
      <c r="Z102" s="28">
        <v>0</v>
      </c>
      <c r="AA102" s="28">
        <v>0</v>
      </c>
      <c r="AB102" s="28">
        <v>0</v>
      </c>
      <c r="AC102" s="28">
        <v>0</v>
      </c>
      <c r="AD102" s="28">
        <v>0</v>
      </c>
      <c r="AE102" s="28">
        <v>2</v>
      </c>
      <c r="AF102" s="28">
        <v>0</v>
      </c>
      <c r="AG102" s="28">
        <v>1</v>
      </c>
      <c r="AH102" s="28">
        <v>1</v>
      </c>
      <c r="AI102" s="28">
        <v>0</v>
      </c>
      <c r="AJ102" s="28">
        <v>0</v>
      </c>
      <c r="AK102" s="28">
        <v>1</v>
      </c>
      <c r="AL102" s="28">
        <v>1</v>
      </c>
      <c r="AM102" s="28">
        <v>1</v>
      </c>
      <c r="AN102" s="28">
        <v>0</v>
      </c>
      <c r="AO102" s="28">
        <v>0</v>
      </c>
      <c r="AP102" s="28">
        <v>1</v>
      </c>
      <c r="AQ102" s="28">
        <v>1</v>
      </c>
      <c r="AR102" s="28">
        <v>0</v>
      </c>
      <c r="AS102" s="28">
        <v>0</v>
      </c>
      <c r="AT102" s="28">
        <v>0</v>
      </c>
      <c r="AU102" s="28"/>
      <c r="AV102" s="28"/>
      <c r="AW102" s="28"/>
      <c r="AX102" s="28"/>
      <c r="AY102" s="28"/>
      <c r="AZ102" s="28"/>
      <c r="BA102" s="28"/>
      <c r="BB102" s="28"/>
      <c r="BC102" s="28"/>
      <c r="BD102" s="28"/>
      <c r="BE102" s="28"/>
      <c r="BF102" s="28"/>
      <c r="BG102" s="28"/>
      <c r="BH102" s="28"/>
      <c r="BI102" s="28"/>
      <c r="BJ102" s="28"/>
      <c r="BK102" s="28"/>
      <c r="BL102" s="28"/>
      <c r="BM102" s="28"/>
      <c r="BN102" s="28"/>
      <c r="BO102" s="28"/>
      <c r="BP102" s="28"/>
      <c r="BQ102" s="28"/>
      <c r="BR102" s="28"/>
      <c r="BS102" s="28"/>
      <c r="BT102" s="28"/>
      <c r="BU102" s="28"/>
      <c r="BV102" s="28"/>
      <c r="BW102" s="28"/>
      <c r="BX102" s="28"/>
      <c r="BY102" s="28"/>
      <c r="BZ102" s="28"/>
      <c r="CA102" s="28"/>
      <c r="CB102" s="28"/>
      <c r="CC102" s="28"/>
      <c r="CD102" s="28"/>
      <c r="CE102" s="28"/>
      <c r="CF102" s="28"/>
      <c r="CG102" s="28"/>
      <c r="CH102" s="28"/>
      <c r="CI102" s="28"/>
      <c r="CJ102" s="28"/>
      <c r="CK102" s="28"/>
      <c r="CL102" s="28"/>
      <c r="CM102" s="28"/>
      <c r="CN102" s="28"/>
      <c r="CO102" s="28"/>
      <c r="CP102" s="28"/>
      <c r="CQ102" s="28"/>
      <c r="CR102" s="28"/>
      <c r="CS102" s="28"/>
      <c r="CT102" s="28"/>
      <c r="CU102" s="28"/>
      <c r="CV102" s="28"/>
      <c r="CW102" s="28"/>
      <c r="CX102" s="28"/>
      <c r="CY102" s="28"/>
      <c r="CZ102" s="28"/>
      <c r="DA102" s="28"/>
      <c r="DB102" s="28"/>
      <c r="DC102" s="28"/>
      <c r="DD102" s="28"/>
      <c r="DE102" s="28"/>
      <c r="DF102" s="28"/>
      <c r="DG102" s="28"/>
      <c r="DH102" s="28"/>
      <c r="DI102" s="28"/>
      <c r="DJ102" s="28"/>
      <c r="DK102" s="28"/>
      <c r="DL102" s="28"/>
      <c r="DM102" s="28"/>
      <c r="DN102" s="28"/>
      <c r="DO102" s="28"/>
      <c r="DP102" s="28"/>
      <c r="DQ102" s="28"/>
      <c r="DR102" s="28"/>
      <c r="DS102" s="28"/>
      <c r="DT102" s="28"/>
      <c r="DU102" s="28"/>
      <c r="DV102" s="28"/>
      <c r="DW102" s="28"/>
      <c r="DX102" s="28"/>
      <c r="DY102" s="28"/>
      <c r="DZ102" s="28"/>
      <c r="EA102" s="28"/>
      <c r="EB102" s="28"/>
      <c r="EC102" s="28"/>
      <c r="ED102" s="28"/>
      <c r="EE102" s="28"/>
      <c r="EF102" s="28"/>
      <c r="EG102" s="28"/>
      <c r="EH102" s="28"/>
      <c r="EI102" s="29">
        <f>SUM(AJ102:AS102)</f>
        <v>5</v>
      </c>
      <c r="EJ102" s="29"/>
      <c r="EK102" s="29"/>
      <c r="EL102" s="27">
        <f>SUM(C102:C102)</f>
        <v>0</v>
      </c>
      <c r="EM102" s="27">
        <f>SUM(D102:O102)</f>
        <v>0</v>
      </c>
      <c r="EN102" s="27"/>
      <c r="EO102" s="27"/>
    </row>
    <row r="103" spans="1:152" ht="38.25" hidden="1" customHeight="1" x14ac:dyDescent="0.25">
      <c r="A103" s="25" t="s">
        <v>68</v>
      </c>
      <c r="B103" s="25" t="s">
        <v>60</v>
      </c>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c r="AA103" s="28"/>
      <c r="AB103" s="28"/>
      <c r="AC103" s="28"/>
      <c r="AD103" s="28"/>
      <c r="AE103" s="28"/>
      <c r="AF103" s="28"/>
      <c r="AG103" s="28"/>
      <c r="AH103" s="28"/>
      <c r="AI103" s="28"/>
      <c r="AJ103" s="28"/>
      <c r="AK103" s="28"/>
      <c r="AL103" s="28"/>
      <c r="AM103" s="28"/>
      <c r="AN103" s="28"/>
      <c r="AO103" s="28"/>
      <c r="AP103" s="28"/>
      <c r="AQ103" s="28"/>
      <c r="AR103" s="28"/>
      <c r="AS103" s="28"/>
      <c r="AT103" s="28">
        <v>0</v>
      </c>
      <c r="AU103" s="28"/>
      <c r="AV103" s="28"/>
      <c r="AW103" s="28"/>
      <c r="AX103" s="28">
        <v>1</v>
      </c>
      <c r="AY103" s="28"/>
      <c r="AZ103" s="28"/>
      <c r="BA103" s="28"/>
      <c r="BB103" s="28"/>
      <c r="BC103" s="28"/>
      <c r="BD103" s="28"/>
      <c r="BE103" s="28"/>
      <c r="BF103" s="28"/>
      <c r="BG103" s="28"/>
      <c r="BH103" s="28"/>
      <c r="BI103" s="28"/>
      <c r="BJ103" s="28"/>
      <c r="BK103" s="28"/>
      <c r="BL103" s="28"/>
      <c r="BM103" s="28"/>
      <c r="BN103" s="28"/>
      <c r="BO103" s="28"/>
      <c r="BP103" s="28"/>
      <c r="BQ103" s="28"/>
      <c r="BR103" s="28"/>
      <c r="BS103" s="28"/>
      <c r="BT103" s="28"/>
      <c r="BU103" s="28"/>
      <c r="BV103" s="28"/>
      <c r="BW103" s="28"/>
      <c r="BX103" s="28"/>
      <c r="BY103" s="28"/>
      <c r="BZ103" s="28"/>
      <c r="CA103" s="28"/>
      <c r="CB103" s="28"/>
      <c r="CC103" s="28"/>
      <c r="CD103" s="28"/>
      <c r="CE103" s="28"/>
      <c r="CF103" s="28"/>
      <c r="CG103" s="28"/>
      <c r="CH103" s="28"/>
      <c r="CI103" s="28"/>
      <c r="CJ103" s="28"/>
      <c r="CK103" s="28"/>
      <c r="CL103" s="28"/>
      <c r="CM103" s="28"/>
      <c r="CN103" s="28"/>
      <c r="CO103" s="28"/>
      <c r="CP103" s="28"/>
      <c r="CQ103" s="28"/>
      <c r="CR103" s="28"/>
      <c r="CS103" s="28"/>
      <c r="CT103" s="28"/>
      <c r="CU103" s="28"/>
      <c r="CV103" s="28"/>
      <c r="CW103" s="28"/>
      <c r="CX103" s="28"/>
      <c r="CY103" s="28"/>
      <c r="CZ103" s="28"/>
      <c r="DA103" s="28"/>
      <c r="DB103" s="28"/>
      <c r="DC103" s="28"/>
      <c r="DD103" s="28"/>
      <c r="DE103" s="28"/>
      <c r="DF103" s="28"/>
      <c r="DG103" s="28"/>
      <c r="DH103" s="28"/>
      <c r="DI103" s="28"/>
      <c r="DJ103" s="28"/>
      <c r="DK103" s="28"/>
      <c r="DL103" s="28"/>
      <c r="DM103" s="28"/>
      <c r="DN103" s="28"/>
      <c r="DO103" s="28"/>
      <c r="DP103" s="28"/>
      <c r="DQ103" s="28"/>
      <c r="DR103" s="28"/>
      <c r="DS103" s="28"/>
      <c r="DT103" s="28"/>
      <c r="DU103" s="28"/>
      <c r="DV103" s="28"/>
      <c r="DW103" s="28"/>
      <c r="DX103" s="28"/>
      <c r="DY103" s="28"/>
      <c r="DZ103" s="28"/>
      <c r="EA103" s="28"/>
      <c r="EB103" s="28"/>
      <c r="EC103" s="28"/>
      <c r="ED103" s="28"/>
      <c r="EE103" s="28"/>
      <c r="EF103" s="28"/>
      <c r="EG103" s="28"/>
      <c r="EH103" s="28"/>
      <c r="EI103" s="29">
        <v>5</v>
      </c>
      <c r="EJ103" s="29"/>
      <c r="EK103" s="29"/>
      <c r="EL103" s="27"/>
      <c r="EM103" s="27"/>
      <c r="EN103" s="27"/>
      <c r="EO103" s="27"/>
    </row>
    <row r="104" spans="1:152" ht="40.15" hidden="1" customHeight="1" x14ac:dyDescent="0.2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7"/>
      <c r="BO104" s="27"/>
      <c r="BP104" s="27"/>
      <c r="BQ104" s="27"/>
      <c r="BR104" s="27"/>
      <c r="BS104" s="27"/>
      <c r="BT104" s="27"/>
      <c r="BU104" s="27"/>
      <c r="BV104" s="27"/>
      <c r="BW104" s="27"/>
      <c r="BX104" s="27"/>
      <c r="BY104" s="27"/>
      <c r="BZ104" s="27"/>
      <c r="CA104" s="27"/>
      <c r="CB104" s="27"/>
      <c r="CC104" s="27"/>
      <c r="CD104" s="27"/>
      <c r="CE104" s="27"/>
      <c r="CF104" s="27"/>
      <c r="CG104" s="27"/>
      <c r="CH104" s="27"/>
      <c r="CI104" s="27"/>
      <c r="CJ104" s="27"/>
      <c r="CK104" s="27"/>
      <c r="CL104" s="27"/>
      <c r="CM104" s="27"/>
      <c r="CN104" s="27"/>
      <c r="CO104" s="27"/>
      <c r="CP104" s="27"/>
      <c r="CQ104" s="27"/>
      <c r="CR104" s="27"/>
      <c r="CS104" s="27"/>
      <c r="CT104" s="27"/>
      <c r="CU104" s="27"/>
      <c r="CV104" s="27"/>
      <c r="CW104" s="27"/>
      <c r="CX104" s="27"/>
      <c r="CY104" s="27"/>
      <c r="CZ104" s="27"/>
      <c r="DA104" s="27"/>
      <c r="DB104" s="27"/>
      <c r="DC104" s="27"/>
      <c r="DD104" s="27"/>
      <c r="DE104" s="27"/>
      <c r="DF104" s="27"/>
      <c r="DG104" s="27"/>
      <c r="DH104" s="27"/>
      <c r="DI104" s="27"/>
      <c r="DJ104" s="27"/>
      <c r="DK104" s="27"/>
      <c r="DL104" s="27"/>
      <c r="DM104" s="27"/>
      <c r="DN104" s="27"/>
      <c r="DO104" s="27"/>
      <c r="DP104" s="27"/>
      <c r="DQ104" s="27"/>
      <c r="DR104" s="27"/>
      <c r="DS104" s="27"/>
      <c r="DT104" s="27"/>
      <c r="DU104" s="27"/>
      <c r="DV104" s="27"/>
      <c r="DW104" s="27"/>
      <c r="DX104" s="27"/>
      <c r="DY104" s="27"/>
      <c r="DZ104" s="27"/>
      <c r="EA104" s="27"/>
      <c r="EB104" s="27"/>
      <c r="EC104" s="27"/>
      <c r="ED104" s="27"/>
      <c r="EE104" s="27"/>
      <c r="EF104" s="27"/>
      <c r="EG104" s="27"/>
      <c r="EH104" s="27"/>
      <c r="EI104" s="27"/>
      <c r="EJ104" s="27"/>
      <c r="EK104" s="27"/>
      <c r="EL104" s="27"/>
      <c r="EM104" s="27"/>
      <c r="EN104" s="27"/>
      <c r="EO104" s="27"/>
    </row>
    <row r="105" spans="1:152" ht="44.45" hidden="1" customHeight="1" x14ac:dyDescent="0.25">
      <c r="A105" s="30" t="s">
        <v>69</v>
      </c>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7"/>
      <c r="BO105" s="27"/>
      <c r="BP105" s="27"/>
      <c r="BQ105" s="27"/>
      <c r="BR105" s="27"/>
      <c r="BS105" s="27"/>
      <c r="BT105" s="27"/>
      <c r="BU105" s="27"/>
      <c r="BV105" s="27"/>
      <c r="BW105" s="27"/>
      <c r="BX105" s="27"/>
      <c r="BY105" s="27"/>
      <c r="BZ105" s="27"/>
      <c r="CA105" s="27"/>
      <c r="CB105" s="27"/>
      <c r="CC105" s="27"/>
      <c r="CD105" s="27"/>
      <c r="CE105" s="27"/>
      <c r="CF105" s="27"/>
      <c r="CG105" s="27"/>
      <c r="CH105" s="27"/>
      <c r="CI105" s="27"/>
      <c r="CJ105" s="27"/>
      <c r="CK105" s="27"/>
      <c r="CL105" s="27"/>
      <c r="CM105" s="27"/>
      <c r="CN105" s="27"/>
      <c r="CO105" s="27"/>
      <c r="CP105" s="27"/>
      <c r="CQ105" s="27"/>
      <c r="CR105" s="27"/>
      <c r="CS105" s="27"/>
      <c r="CT105" s="27"/>
      <c r="CU105" s="27"/>
      <c r="CV105" s="27"/>
      <c r="CW105" s="27"/>
      <c r="CX105" s="27"/>
      <c r="CY105" s="27"/>
      <c r="CZ105" s="27"/>
      <c r="DA105" s="27"/>
      <c r="DB105" s="27"/>
      <c r="DC105" s="27"/>
      <c r="DD105" s="27"/>
      <c r="DE105" s="27"/>
      <c r="DF105" s="27"/>
      <c r="DG105" s="27"/>
      <c r="DH105" s="27"/>
      <c r="DI105" s="27"/>
      <c r="DJ105" s="27"/>
      <c r="DK105" s="27"/>
      <c r="DL105" s="27"/>
      <c r="DM105" s="27"/>
      <c r="DN105" s="27"/>
      <c r="DO105" s="27"/>
      <c r="DP105" s="27"/>
      <c r="DQ105" s="27"/>
      <c r="DR105" s="27"/>
      <c r="DS105" s="27"/>
      <c r="DT105" s="27"/>
      <c r="DU105" s="27"/>
      <c r="DV105" s="27"/>
      <c r="DW105" s="27"/>
      <c r="DX105" s="27"/>
      <c r="DY105" s="27"/>
      <c r="DZ105" s="27"/>
      <c r="EA105" s="27"/>
      <c r="EB105" s="27"/>
      <c r="EC105" s="27"/>
      <c r="ED105" s="27"/>
      <c r="EE105" s="27"/>
      <c r="EF105" s="27"/>
      <c r="EG105" s="27"/>
      <c r="EH105" s="27"/>
      <c r="EI105" s="27"/>
      <c r="EJ105" s="27"/>
      <c r="EK105" s="27"/>
      <c r="EL105" s="27"/>
      <c r="EM105" s="27"/>
      <c r="EN105" s="27"/>
      <c r="EO105" s="27"/>
    </row>
    <row r="106" spans="1:152" ht="59.45" hidden="1" customHeight="1" x14ac:dyDescent="0.25">
      <c r="A106" s="30" t="s">
        <v>70</v>
      </c>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7"/>
      <c r="BO106" s="27"/>
      <c r="BP106" s="27"/>
      <c r="BQ106" s="27"/>
      <c r="BR106" s="27"/>
      <c r="BS106" s="27"/>
      <c r="BT106" s="27"/>
      <c r="BU106" s="27"/>
      <c r="BV106" s="27"/>
      <c r="BW106" s="27"/>
      <c r="BX106" s="27"/>
      <c r="BY106" s="27"/>
      <c r="BZ106" s="27"/>
      <c r="CA106" s="27"/>
      <c r="CB106" s="27"/>
      <c r="CC106" s="27"/>
      <c r="CD106" s="27"/>
      <c r="CE106" s="27"/>
      <c r="CF106" s="27"/>
      <c r="CG106" s="27"/>
      <c r="CH106" s="27"/>
      <c r="CI106" s="27"/>
      <c r="CJ106" s="27"/>
      <c r="CK106" s="27"/>
      <c r="CL106" s="27"/>
      <c r="CM106" s="27"/>
      <c r="CN106" s="27"/>
      <c r="CO106" s="27"/>
      <c r="CP106" s="27"/>
      <c r="CQ106" s="27"/>
      <c r="CR106" s="27"/>
      <c r="CS106" s="27"/>
      <c r="CT106" s="27"/>
      <c r="CU106" s="27"/>
      <c r="CV106" s="27"/>
      <c r="CW106" s="27"/>
      <c r="CX106" s="27"/>
      <c r="CY106" s="27"/>
      <c r="CZ106" s="27"/>
      <c r="DA106" s="27"/>
      <c r="DB106" s="27"/>
      <c r="DC106" s="27"/>
      <c r="DD106" s="27"/>
      <c r="DE106" s="27"/>
      <c r="DF106" s="27"/>
      <c r="DG106" s="27"/>
      <c r="DH106" s="27"/>
      <c r="DI106" s="27"/>
      <c r="DJ106" s="27"/>
      <c r="DK106" s="27"/>
      <c r="DL106" s="27"/>
      <c r="DM106" s="27"/>
      <c r="DN106" s="27"/>
      <c r="DO106" s="27"/>
      <c r="DP106" s="27"/>
      <c r="DQ106" s="27"/>
      <c r="DR106" s="27"/>
      <c r="DS106" s="27"/>
      <c r="DT106" s="27"/>
      <c r="DU106" s="27"/>
      <c r="DV106" s="27"/>
      <c r="DW106" s="27"/>
      <c r="DX106" s="27"/>
      <c r="DY106" s="27"/>
      <c r="DZ106" s="27"/>
      <c r="EA106" s="27"/>
      <c r="EB106" s="27"/>
      <c r="EC106" s="27"/>
      <c r="ED106" s="27"/>
      <c r="EE106" s="27"/>
      <c r="EF106" s="27"/>
      <c r="EG106" s="27"/>
      <c r="EH106" s="27"/>
      <c r="EI106" s="27"/>
      <c r="EJ106" s="27"/>
      <c r="EK106" s="27"/>
      <c r="EL106" s="27"/>
      <c r="EM106" s="27"/>
      <c r="EN106" s="27"/>
      <c r="EO106" s="27"/>
    </row>
    <row r="107" spans="1:152" ht="80.45" hidden="1" customHeight="1" x14ac:dyDescent="0.25">
      <c r="A107" s="30" t="s">
        <v>71</v>
      </c>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7"/>
      <c r="BO107" s="27"/>
      <c r="BP107" s="27"/>
      <c r="BQ107" s="27"/>
      <c r="BR107" s="27"/>
      <c r="BS107" s="27"/>
      <c r="BT107" s="27"/>
      <c r="BU107" s="27"/>
      <c r="BV107" s="27"/>
      <c r="BW107" s="27"/>
      <c r="BX107" s="27"/>
      <c r="BY107" s="27"/>
      <c r="BZ107" s="27"/>
      <c r="CA107" s="27"/>
      <c r="CB107" s="27"/>
      <c r="CC107" s="27"/>
      <c r="CD107" s="27"/>
      <c r="CE107" s="27"/>
      <c r="CF107" s="27"/>
      <c r="CG107" s="27"/>
      <c r="CH107" s="27"/>
      <c r="CI107" s="27"/>
      <c r="CJ107" s="27"/>
      <c r="CK107" s="27"/>
      <c r="CL107" s="27"/>
      <c r="CM107" s="27"/>
      <c r="CN107" s="27"/>
      <c r="CO107" s="27"/>
      <c r="CP107" s="27"/>
      <c r="CQ107" s="27"/>
      <c r="CR107" s="27"/>
      <c r="CS107" s="27"/>
      <c r="CT107" s="27"/>
      <c r="CU107" s="27"/>
      <c r="CV107" s="27"/>
      <c r="CW107" s="27"/>
      <c r="CX107" s="27"/>
      <c r="CY107" s="27"/>
      <c r="CZ107" s="27"/>
      <c r="DA107" s="27"/>
      <c r="DB107" s="27"/>
      <c r="DC107" s="27"/>
      <c r="DD107" s="27"/>
      <c r="DE107" s="27"/>
      <c r="DF107" s="27"/>
      <c r="DG107" s="27"/>
      <c r="DH107" s="27"/>
      <c r="DI107" s="27"/>
      <c r="DJ107" s="27"/>
      <c r="DK107" s="27"/>
      <c r="DL107" s="27"/>
      <c r="DM107" s="27"/>
      <c r="DN107" s="27"/>
      <c r="DO107" s="27"/>
      <c r="DP107" s="27"/>
      <c r="DQ107" s="27"/>
      <c r="DR107" s="27"/>
      <c r="DS107" s="27"/>
      <c r="DT107" s="27"/>
      <c r="DU107" s="27"/>
      <c r="DV107" s="27"/>
      <c r="DW107" s="27"/>
      <c r="DX107" s="27"/>
      <c r="DY107" s="27"/>
      <c r="DZ107" s="27"/>
      <c r="EA107" s="27"/>
      <c r="EB107" s="27"/>
      <c r="EC107" s="27"/>
      <c r="ED107" s="27"/>
      <c r="EE107" s="27"/>
      <c r="EF107" s="27"/>
      <c r="EG107" s="27"/>
      <c r="EH107" s="27"/>
      <c r="EI107" s="27"/>
      <c r="EJ107" s="27"/>
      <c r="EK107" s="27"/>
      <c r="EL107" s="27"/>
      <c r="EM107" s="27"/>
      <c r="EN107" s="27"/>
      <c r="EO107" s="27"/>
    </row>
    <row r="108" spans="1:152" ht="54.6" hidden="1" customHeight="1" x14ac:dyDescent="0.25">
      <c r="A108" s="30" t="s">
        <v>72</v>
      </c>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c r="CC108" s="27"/>
      <c r="CD108" s="27"/>
      <c r="CE108" s="27"/>
      <c r="CF108" s="27"/>
      <c r="CG108" s="27"/>
      <c r="CH108" s="27"/>
      <c r="CI108" s="27"/>
      <c r="CJ108" s="27"/>
      <c r="CK108" s="27"/>
      <c r="CL108" s="27"/>
      <c r="CM108" s="27"/>
      <c r="CN108" s="27"/>
      <c r="CO108" s="27"/>
      <c r="CP108" s="27"/>
      <c r="CQ108" s="27"/>
      <c r="CR108" s="27"/>
      <c r="CS108" s="27"/>
      <c r="CT108" s="27"/>
      <c r="CU108" s="27"/>
      <c r="CV108" s="27"/>
      <c r="CW108" s="27"/>
      <c r="CX108" s="27"/>
      <c r="CY108" s="27"/>
      <c r="CZ108" s="27"/>
      <c r="DA108" s="27"/>
      <c r="DB108" s="27"/>
      <c r="DC108" s="27"/>
      <c r="DD108" s="27"/>
      <c r="DE108" s="27"/>
      <c r="DF108" s="27"/>
      <c r="DG108" s="27"/>
      <c r="DH108" s="27"/>
      <c r="DI108" s="27"/>
      <c r="DJ108" s="27"/>
      <c r="DK108" s="27"/>
      <c r="DL108" s="27"/>
      <c r="DM108" s="27"/>
      <c r="DN108" s="27"/>
      <c r="DO108" s="27"/>
      <c r="DP108" s="27"/>
      <c r="DQ108" s="27"/>
      <c r="DR108" s="27"/>
      <c r="DS108" s="27"/>
      <c r="DT108" s="27"/>
      <c r="DU108" s="27"/>
      <c r="DV108" s="27"/>
      <c r="DW108" s="27"/>
      <c r="DX108" s="27"/>
      <c r="DY108" s="27"/>
      <c r="DZ108" s="27"/>
      <c r="EA108" s="27"/>
      <c r="EB108" s="27"/>
      <c r="EC108" s="27"/>
      <c r="ED108" s="27"/>
      <c r="EE108" s="27"/>
      <c r="EF108" s="27"/>
      <c r="EG108" s="27"/>
      <c r="EH108" s="27"/>
      <c r="EI108" s="27"/>
      <c r="EJ108" s="27"/>
      <c r="EK108" s="27"/>
      <c r="EL108" s="27"/>
      <c r="EM108" s="27"/>
      <c r="EN108" s="27"/>
      <c r="EO108" s="27"/>
    </row>
    <row r="109" spans="1:152" ht="33.6" hidden="1" customHeight="1" x14ac:dyDescent="0.25">
      <c r="A109" s="30" t="s">
        <v>73</v>
      </c>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7"/>
      <c r="BO109" s="27"/>
      <c r="BP109" s="27"/>
      <c r="BQ109" s="27"/>
      <c r="BR109" s="27"/>
      <c r="BS109" s="27"/>
      <c r="BT109" s="27"/>
      <c r="BU109" s="27"/>
      <c r="BV109" s="27"/>
      <c r="BW109" s="27"/>
      <c r="BX109" s="27"/>
      <c r="BY109" s="27"/>
      <c r="BZ109" s="27"/>
      <c r="CA109" s="27"/>
      <c r="CB109" s="27"/>
      <c r="CC109" s="27"/>
      <c r="CD109" s="27"/>
      <c r="CE109" s="27"/>
      <c r="CF109" s="27"/>
      <c r="CG109" s="27"/>
      <c r="CH109" s="27"/>
      <c r="CI109" s="27"/>
      <c r="CJ109" s="27"/>
      <c r="CK109" s="27"/>
      <c r="CL109" s="27"/>
      <c r="CM109" s="27"/>
      <c r="CN109" s="27"/>
      <c r="CO109" s="27"/>
      <c r="CP109" s="27"/>
      <c r="CQ109" s="27"/>
      <c r="CR109" s="27"/>
      <c r="CS109" s="27"/>
      <c r="CT109" s="27"/>
      <c r="CU109" s="27"/>
      <c r="CV109" s="27"/>
      <c r="CW109" s="27"/>
      <c r="CX109" s="27"/>
      <c r="CY109" s="27"/>
      <c r="CZ109" s="27"/>
      <c r="DA109" s="27"/>
      <c r="DB109" s="27"/>
      <c r="DC109" s="27"/>
      <c r="DD109" s="27"/>
      <c r="DE109" s="27"/>
      <c r="DF109" s="27"/>
      <c r="DG109" s="27"/>
      <c r="DH109" s="27"/>
      <c r="DI109" s="27"/>
      <c r="DJ109" s="27"/>
      <c r="DK109" s="27"/>
      <c r="DL109" s="27"/>
      <c r="DM109" s="27"/>
      <c r="DN109" s="27"/>
      <c r="DO109" s="27"/>
      <c r="DP109" s="27"/>
      <c r="DQ109" s="27"/>
      <c r="DR109" s="27"/>
      <c r="DS109" s="27"/>
      <c r="DT109" s="27"/>
      <c r="DU109" s="27"/>
      <c r="DV109" s="27"/>
      <c r="DW109" s="27"/>
      <c r="DX109" s="27"/>
      <c r="DY109" s="27"/>
      <c r="DZ109" s="27"/>
      <c r="EA109" s="27"/>
      <c r="EB109" s="27"/>
      <c r="EC109" s="27"/>
      <c r="ED109" s="27"/>
      <c r="EE109" s="27"/>
      <c r="EF109" s="27"/>
      <c r="EG109" s="27"/>
      <c r="EH109" s="27"/>
      <c r="EI109" s="27"/>
      <c r="EJ109" s="27"/>
      <c r="EK109" s="27"/>
      <c r="EL109" s="27"/>
      <c r="EM109" s="27"/>
      <c r="EN109" s="27"/>
      <c r="EO109" s="27"/>
    </row>
    <row r="110" spans="1:152" ht="27" hidden="1" customHeight="1" x14ac:dyDescent="0.25">
      <c r="A110" s="30" t="s">
        <v>74</v>
      </c>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7"/>
      <c r="BX110" s="27"/>
      <c r="BY110" s="27"/>
      <c r="BZ110" s="27"/>
      <c r="CA110" s="27"/>
      <c r="CB110" s="27"/>
      <c r="CC110" s="27"/>
      <c r="CD110" s="27"/>
      <c r="CE110" s="27"/>
      <c r="CF110" s="27"/>
      <c r="CG110" s="27"/>
      <c r="CH110" s="27"/>
      <c r="CI110" s="27"/>
      <c r="CJ110" s="27"/>
      <c r="CK110" s="27"/>
      <c r="CL110" s="27"/>
      <c r="CM110" s="27"/>
      <c r="CN110" s="27"/>
      <c r="CO110" s="27"/>
      <c r="CP110" s="27"/>
      <c r="CQ110" s="27"/>
      <c r="CR110" s="27"/>
      <c r="CS110" s="27"/>
      <c r="CT110" s="27"/>
      <c r="CU110" s="27"/>
      <c r="CV110" s="27"/>
      <c r="CW110" s="27"/>
      <c r="CX110" s="27"/>
      <c r="CY110" s="27"/>
      <c r="CZ110" s="27"/>
      <c r="DA110" s="27"/>
      <c r="DB110" s="27"/>
      <c r="DC110" s="27"/>
      <c r="DD110" s="27"/>
      <c r="DE110" s="27"/>
      <c r="DF110" s="27"/>
      <c r="DG110" s="27"/>
      <c r="DH110" s="27"/>
      <c r="DI110" s="27"/>
      <c r="DJ110" s="27"/>
      <c r="DK110" s="27"/>
      <c r="DL110" s="27"/>
      <c r="DM110" s="27"/>
      <c r="DN110" s="27"/>
      <c r="DO110" s="27"/>
      <c r="DP110" s="27"/>
      <c r="DQ110" s="27"/>
      <c r="DR110" s="27"/>
      <c r="DS110" s="27"/>
      <c r="DT110" s="27"/>
      <c r="DU110" s="27"/>
      <c r="DV110" s="27"/>
      <c r="DW110" s="27"/>
      <c r="DX110" s="27"/>
      <c r="DY110" s="27"/>
      <c r="DZ110" s="27"/>
      <c r="EA110" s="27"/>
      <c r="EB110" s="27"/>
      <c r="EC110" s="27"/>
      <c r="ED110" s="27"/>
      <c r="EE110" s="27"/>
      <c r="EF110" s="27"/>
      <c r="EG110" s="27"/>
      <c r="EH110" s="27"/>
      <c r="EI110" s="27"/>
      <c r="EJ110" s="27"/>
      <c r="EK110" s="27"/>
      <c r="EL110" s="27"/>
      <c r="EM110" s="27"/>
      <c r="EN110" s="27"/>
      <c r="EO110" s="27"/>
    </row>
    <row r="111" spans="1:152" ht="15.75" hidden="1" customHeight="1" x14ac:dyDescent="0.25">
      <c r="A111" s="30" t="s">
        <v>75</v>
      </c>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7"/>
      <c r="BO111" s="27"/>
      <c r="BP111" s="27"/>
      <c r="BQ111" s="27"/>
      <c r="BR111" s="27"/>
      <c r="BS111" s="27"/>
      <c r="BT111" s="27"/>
      <c r="BU111" s="27"/>
      <c r="BV111" s="27"/>
      <c r="BW111" s="27"/>
      <c r="BX111" s="27"/>
      <c r="BY111" s="27"/>
      <c r="BZ111" s="27"/>
      <c r="CA111" s="27"/>
      <c r="CB111" s="27"/>
      <c r="CC111" s="27"/>
      <c r="CD111" s="27"/>
      <c r="CE111" s="27"/>
      <c r="CF111" s="27"/>
      <c r="CG111" s="27"/>
      <c r="CH111" s="27"/>
      <c r="CI111" s="27"/>
      <c r="CJ111" s="27"/>
      <c r="CK111" s="27"/>
      <c r="CL111" s="27"/>
      <c r="CM111" s="27"/>
      <c r="CN111" s="27"/>
      <c r="CO111" s="27"/>
      <c r="CP111" s="27"/>
      <c r="CQ111" s="27"/>
      <c r="CR111" s="27"/>
      <c r="CS111" s="27"/>
      <c r="CT111" s="27"/>
      <c r="CU111" s="27"/>
      <c r="CV111" s="27"/>
      <c r="CW111" s="27"/>
      <c r="CX111" s="27"/>
      <c r="CY111" s="27"/>
      <c r="CZ111" s="27"/>
      <c r="DA111" s="27"/>
      <c r="DB111" s="27"/>
      <c r="DC111" s="27"/>
      <c r="DD111" s="27"/>
      <c r="DE111" s="27"/>
      <c r="DF111" s="27"/>
      <c r="DG111" s="27"/>
      <c r="DH111" s="27"/>
      <c r="DI111" s="27"/>
      <c r="DJ111" s="27"/>
      <c r="DK111" s="27"/>
      <c r="DL111" s="27"/>
      <c r="DM111" s="27"/>
      <c r="DN111" s="27"/>
      <c r="DO111" s="27"/>
      <c r="DP111" s="27"/>
      <c r="DQ111" s="27"/>
      <c r="DR111" s="27"/>
      <c r="DS111" s="27"/>
      <c r="DT111" s="27"/>
      <c r="DU111" s="27"/>
      <c r="DV111" s="27"/>
      <c r="DW111" s="27"/>
      <c r="DX111" s="27"/>
      <c r="DY111" s="27"/>
      <c r="DZ111" s="27"/>
      <c r="EA111" s="27"/>
      <c r="EB111" s="27"/>
      <c r="EC111" s="27"/>
      <c r="ED111" s="27"/>
      <c r="EE111" s="27"/>
      <c r="EF111" s="27"/>
      <c r="EG111" s="27"/>
      <c r="EH111" s="27"/>
      <c r="EI111" s="27"/>
      <c r="EJ111" s="27"/>
      <c r="EK111" s="27"/>
      <c r="EL111" s="27"/>
      <c r="EM111" s="27"/>
      <c r="EN111" s="27"/>
      <c r="EO111" s="27"/>
    </row>
    <row r="112" spans="1:152" ht="15.75" hidden="1" customHeight="1" x14ac:dyDescent="0.25"/>
    <row r="113" ht="15.75" hidden="1" customHeight="1" x14ac:dyDescent="0.25"/>
    <row r="114" ht="15.75" hidden="1" customHeight="1" x14ac:dyDescent="0.25"/>
    <row r="115" ht="15.75" hidden="1" customHeight="1" x14ac:dyDescent="0.25"/>
    <row r="116" ht="15.75" hidden="1" customHeight="1" x14ac:dyDescent="0.25"/>
    <row r="117" ht="15.75" hidden="1" customHeight="1" x14ac:dyDescent="0.25"/>
    <row r="118" ht="15.75" hidden="1" customHeight="1" x14ac:dyDescent="0.25"/>
    <row r="119" ht="15.75" hidden="1" customHeight="1" x14ac:dyDescent="0.25"/>
    <row r="120" ht="15.75" hidden="1" customHeight="1" x14ac:dyDescent="0.25"/>
    <row r="121" ht="15.75" hidden="1" customHeight="1" x14ac:dyDescent="0.25"/>
    <row r="122" ht="15.75" hidden="1" customHeight="1" x14ac:dyDescent="0.25"/>
    <row r="123" ht="15.75" hidden="1" customHeight="1" x14ac:dyDescent="0.25"/>
    <row r="124" ht="15.75" hidden="1" customHeight="1" x14ac:dyDescent="0.25"/>
    <row r="125" ht="15.75" hidden="1" customHeight="1" x14ac:dyDescent="0.25"/>
    <row r="126" ht="15.75" hidden="1" customHeight="1" x14ac:dyDescent="0.25"/>
    <row r="127" ht="15.75" hidden="1" customHeight="1" x14ac:dyDescent="0.25"/>
    <row r="128" ht="15.75" hidden="1" customHeight="1" x14ac:dyDescent="0.25"/>
    <row r="129" ht="15.75" hidden="1" customHeight="1" x14ac:dyDescent="0.25"/>
    <row r="130" ht="15.75" hidden="1" customHeight="1" x14ac:dyDescent="0.25"/>
    <row r="131" ht="15.75" hidden="1" customHeight="1" x14ac:dyDescent="0.25"/>
    <row r="132" ht="15.75" hidden="1" customHeight="1" x14ac:dyDescent="0.25"/>
    <row r="133" ht="15.75" hidden="1" customHeight="1" x14ac:dyDescent="0.25"/>
    <row r="134" ht="15.75" hidden="1" customHeight="1" x14ac:dyDescent="0.25"/>
    <row r="135" ht="15.75" hidden="1" customHeight="1" x14ac:dyDescent="0.25"/>
    <row r="136" ht="15.75" hidden="1" customHeight="1" x14ac:dyDescent="0.25"/>
    <row r="137" ht="15.75" hidden="1" customHeight="1" x14ac:dyDescent="0.25"/>
    <row r="138" ht="15.75" hidden="1" customHeight="1" x14ac:dyDescent="0.25"/>
    <row r="139" ht="15.75" hidden="1" customHeight="1" x14ac:dyDescent="0.25"/>
    <row r="140" ht="15.75" hidden="1" customHeight="1" x14ac:dyDescent="0.25"/>
    <row r="141" ht="15.75" hidden="1" customHeight="1" x14ac:dyDescent="0.25"/>
    <row r="142" ht="15.75" hidden="1" customHeight="1" x14ac:dyDescent="0.25"/>
    <row r="143" ht="15.75" customHeight="1" x14ac:dyDescent="0.25"/>
    <row r="144" ht="15.75" customHeight="1" x14ac:dyDescent="0.25"/>
    <row r="145" spans="122:123" ht="15.75" customHeight="1" x14ac:dyDescent="0.25">
      <c r="DR145">
        <v>16431725</v>
      </c>
    </row>
    <row r="146" spans="122:123" ht="15.75" customHeight="1" x14ac:dyDescent="0.25">
      <c r="DS146">
        <f>DR145-DR147</f>
        <v>-7458994</v>
      </c>
    </row>
    <row r="147" spans="122:123" ht="15.75" customHeight="1" x14ac:dyDescent="0.25">
      <c r="DR147">
        <v>23890719</v>
      </c>
    </row>
    <row r="148" spans="122:123" ht="15.75" customHeight="1" x14ac:dyDescent="0.25">
      <c r="DS148" s="214">
        <f>DR147-DR149</f>
        <v>-12747947</v>
      </c>
    </row>
    <row r="149" spans="122:123" ht="15.75" customHeight="1" x14ac:dyDescent="0.25">
      <c r="DR149" s="214">
        <v>36638666</v>
      </c>
    </row>
    <row r="150" spans="122:123" ht="15.75" customHeight="1" x14ac:dyDescent="0.25"/>
    <row r="151" spans="122:123" ht="15.75" customHeight="1" x14ac:dyDescent="0.25"/>
    <row r="152" spans="122:123" ht="15.75" customHeight="1" x14ac:dyDescent="0.25"/>
    <row r="153" spans="122:123" ht="15.75" customHeight="1" x14ac:dyDescent="0.25"/>
    <row r="154" spans="122:123" ht="15.75" customHeight="1" x14ac:dyDescent="0.25"/>
    <row r="155" spans="122:123" ht="15.75" customHeight="1" x14ac:dyDescent="0.25"/>
    <row r="156" spans="122:123" ht="15.75" customHeight="1" x14ac:dyDescent="0.25"/>
    <row r="157" spans="122:123" ht="15.75" customHeight="1" x14ac:dyDescent="0.25"/>
    <row r="158" spans="122:123" ht="15.75" customHeight="1" x14ac:dyDescent="0.25"/>
    <row r="159" spans="122:123" ht="15.75" customHeight="1" x14ac:dyDescent="0.25"/>
    <row r="160" spans="122:123"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sheetData>
  <mergeCells count="2">
    <mergeCell ref="A5:EI5"/>
    <mergeCell ref="A15:B15"/>
  </mergeCells>
  <phoneticPr fontId="16" type="noConversion"/>
  <printOptions horizontalCentered="1"/>
  <pageMargins left="0.31496062992126" right="0.31496062992126" top="0.35433070866141703" bottom="0.35433070866141703" header="0" footer="0"/>
  <pageSetup scale="54" orientation="landscape" r:id="rId1"/>
  <ignoredErrors>
    <ignoredError sqref="C40:AS40 EJ97 BD40:BE40 BA40 BB40:BC40" formulaRange="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AH5"/>
  <sheetViews>
    <sheetView workbookViewId="0"/>
  </sheetViews>
  <sheetFormatPr baseColWidth="10" defaultRowHeight="15" x14ac:dyDescent="0.25"/>
  <sheetData>
    <row r="3" spans="1:34" ht="30" x14ac:dyDescent="0.25">
      <c r="A3" s="8" t="s">
        <v>41</v>
      </c>
      <c r="B3" s="8" t="s">
        <v>41</v>
      </c>
      <c r="C3" s="34">
        <v>32</v>
      </c>
      <c r="D3" s="34">
        <v>51</v>
      </c>
      <c r="E3" s="34">
        <v>47</v>
      </c>
      <c r="F3" s="34">
        <v>37</v>
      </c>
      <c r="G3" s="34">
        <v>48</v>
      </c>
      <c r="H3" s="34">
        <v>46</v>
      </c>
      <c r="I3" s="34">
        <v>40</v>
      </c>
      <c r="J3" s="34">
        <v>49</v>
      </c>
      <c r="K3" s="34">
        <v>18</v>
      </c>
      <c r="L3" s="34">
        <v>12</v>
      </c>
      <c r="M3" s="34">
        <v>24</v>
      </c>
      <c r="N3" s="34">
        <v>39</v>
      </c>
      <c r="O3" s="34">
        <v>20</v>
      </c>
      <c r="P3" s="34">
        <v>31</v>
      </c>
      <c r="Q3" s="34">
        <v>46</v>
      </c>
      <c r="R3" s="34">
        <v>78</v>
      </c>
      <c r="S3" s="34">
        <v>37</v>
      </c>
      <c r="T3" s="34">
        <v>41</v>
      </c>
      <c r="U3" s="42">
        <v>31</v>
      </c>
      <c r="V3" s="42">
        <v>18</v>
      </c>
      <c r="W3" s="42">
        <v>24</v>
      </c>
      <c r="X3" s="42">
        <v>9</v>
      </c>
      <c r="Y3" s="42">
        <v>26</v>
      </c>
      <c r="Z3" s="47">
        <f>SUM(C3:Y3)</f>
        <v>804</v>
      </c>
      <c r="AA3" s="50" t="e">
        <f>SUM(#REF!)</f>
        <v>#REF!</v>
      </c>
      <c r="AB3" s="45" t="e">
        <f>SUM(#REF!)</f>
        <v>#REF!</v>
      </c>
      <c r="AC3" s="12" t="e">
        <f>SUM(#REF!)</f>
        <v>#REF!</v>
      </c>
      <c r="AD3" s="12" t="e">
        <f>SUM(#REF!)</f>
        <v>#REF!</v>
      </c>
      <c r="AE3" s="12" t="e">
        <f>SUM(#REF!)</f>
        <v>#REF!</v>
      </c>
      <c r="AF3" s="15" t="e">
        <f>SUM(#REF!)</f>
        <v>#REF!</v>
      </c>
      <c r="AG3" s="49">
        <f>SUM(C3:Y3)</f>
        <v>804</v>
      </c>
    </row>
    <row r="4" spans="1:34" ht="30" x14ac:dyDescent="0.25">
      <c r="A4" s="8" t="s">
        <v>77</v>
      </c>
      <c r="B4" s="8" t="s">
        <v>46</v>
      </c>
      <c r="C4" s="52">
        <v>14</v>
      </c>
      <c r="D4" s="52">
        <v>19</v>
      </c>
      <c r="E4" s="52">
        <v>15</v>
      </c>
      <c r="F4" s="52">
        <v>11</v>
      </c>
      <c r="G4" s="52">
        <v>25</v>
      </c>
      <c r="H4" s="52">
        <v>15</v>
      </c>
      <c r="I4" s="52">
        <v>19</v>
      </c>
      <c r="J4" s="52">
        <v>13</v>
      </c>
      <c r="K4" s="52">
        <v>3</v>
      </c>
      <c r="L4" s="52">
        <v>3</v>
      </c>
      <c r="M4" s="52">
        <v>0</v>
      </c>
      <c r="N4" s="52">
        <v>14</v>
      </c>
      <c r="O4" s="52">
        <v>2</v>
      </c>
      <c r="P4" s="52">
        <v>5</v>
      </c>
      <c r="Q4" s="52">
        <v>9</v>
      </c>
      <c r="R4" s="35">
        <v>15</v>
      </c>
      <c r="S4" s="52">
        <v>14</v>
      </c>
      <c r="T4" s="52">
        <v>9</v>
      </c>
      <c r="U4" s="53">
        <v>3</v>
      </c>
      <c r="V4" s="53">
        <v>1</v>
      </c>
      <c r="W4" s="53">
        <v>2</v>
      </c>
      <c r="X4" s="53">
        <v>2</v>
      </c>
      <c r="Y4" s="53">
        <v>1</v>
      </c>
      <c r="Z4" s="47">
        <f>SUM(C4:Y4)</f>
        <v>214</v>
      </c>
      <c r="AA4" s="50" t="e">
        <f>SUM(#REF!)</f>
        <v>#REF!</v>
      </c>
      <c r="AB4" s="45" t="e">
        <f>SUM(#REF!)</f>
        <v>#REF!</v>
      </c>
      <c r="AC4" s="12" t="e">
        <f>SUM(#REF!)</f>
        <v>#REF!</v>
      </c>
      <c r="AD4" s="12" t="e">
        <f>SUM(#REF!)</f>
        <v>#REF!</v>
      </c>
      <c r="AE4" s="12" t="e">
        <f>SUM(#REF!)</f>
        <v>#REF!</v>
      </c>
      <c r="AF4" s="15" t="e">
        <f>SUM(#REF!)</f>
        <v>#REF!</v>
      </c>
      <c r="AG4" s="49">
        <f>SUM(C4:Y4)</f>
        <v>214</v>
      </c>
      <c r="AH4">
        <v>214</v>
      </c>
    </row>
    <row r="5" spans="1:34" ht="30" x14ac:dyDescent="0.25">
      <c r="A5" s="8" t="s">
        <v>78</v>
      </c>
      <c r="B5" s="8" t="s">
        <v>46</v>
      </c>
      <c r="C5" s="52">
        <v>18</v>
      </c>
      <c r="D5" s="52">
        <v>32</v>
      </c>
      <c r="E5" s="52">
        <v>32</v>
      </c>
      <c r="F5" s="52">
        <v>26</v>
      </c>
      <c r="G5" s="52">
        <v>23</v>
      </c>
      <c r="H5" s="52">
        <v>31</v>
      </c>
      <c r="I5" s="52">
        <v>21</v>
      </c>
      <c r="J5" s="52">
        <v>36</v>
      </c>
      <c r="K5" s="52">
        <v>15</v>
      </c>
      <c r="L5" s="52">
        <v>9</v>
      </c>
      <c r="M5" s="52">
        <v>24</v>
      </c>
      <c r="N5" s="52">
        <v>25</v>
      </c>
      <c r="O5" s="52">
        <v>18</v>
      </c>
      <c r="P5" s="52">
        <v>26</v>
      </c>
      <c r="Q5" s="52">
        <v>37</v>
      </c>
      <c r="R5" s="35">
        <v>63</v>
      </c>
      <c r="S5" s="52">
        <v>23</v>
      </c>
      <c r="T5" s="52">
        <v>32</v>
      </c>
      <c r="U5" s="53">
        <v>28</v>
      </c>
      <c r="V5" s="53">
        <v>17</v>
      </c>
      <c r="W5" s="53">
        <v>22</v>
      </c>
      <c r="X5" s="53">
        <v>7</v>
      </c>
      <c r="Y5" s="53">
        <v>25</v>
      </c>
      <c r="Z5" s="47">
        <f>SUM(C5:Y5)</f>
        <v>590</v>
      </c>
      <c r="AA5" s="50" t="e">
        <f>SUM(#REF!)</f>
        <v>#REF!</v>
      </c>
      <c r="AB5" s="46" t="e">
        <f>SUM(#REF!)</f>
        <v>#REF!</v>
      </c>
      <c r="AC5" s="16" t="e">
        <f>SUM(#REF!)</f>
        <v>#REF!</v>
      </c>
      <c r="AD5" s="16" t="e">
        <f>SUM(#REF!)</f>
        <v>#REF!</v>
      </c>
      <c r="AE5" s="16" t="e">
        <f>SUM(#REF!)</f>
        <v>#REF!</v>
      </c>
      <c r="AF5" s="15" t="e">
        <f>SUM(#REF!)</f>
        <v>#REF!</v>
      </c>
      <c r="AG5" s="49">
        <f>SUM(C5:Y5)</f>
        <v>590</v>
      </c>
      <c r="AH5">
        <v>590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3:AS4"/>
  <sheetViews>
    <sheetView workbookViewId="0"/>
  </sheetViews>
  <sheetFormatPr baseColWidth="10" defaultRowHeight="15" x14ac:dyDescent="0.25"/>
  <sheetData>
    <row r="3" spans="3:45" x14ac:dyDescent="0.25">
      <c r="C3" s="33">
        <v>23</v>
      </c>
      <c r="D3" s="33">
        <v>18</v>
      </c>
      <c r="E3" s="33">
        <v>6</v>
      </c>
      <c r="F3" s="33">
        <v>22</v>
      </c>
      <c r="G3" s="33">
        <v>22</v>
      </c>
      <c r="H3" s="33">
        <v>16</v>
      </c>
      <c r="I3" s="33">
        <v>8</v>
      </c>
      <c r="J3" s="33">
        <v>11</v>
      </c>
      <c r="K3" s="33">
        <v>18</v>
      </c>
      <c r="L3" s="33">
        <v>4</v>
      </c>
      <c r="M3" s="33">
        <v>5</v>
      </c>
      <c r="N3" s="33">
        <v>14</v>
      </c>
      <c r="O3" s="33">
        <v>6</v>
      </c>
      <c r="P3" s="33">
        <v>3</v>
      </c>
      <c r="Q3" s="33">
        <v>2</v>
      </c>
      <c r="R3" s="33">
        <v>6</v>
      </c>
      <c r="S3" s="33">
        <v>5</v>
      </c>
      <c r="T3" s="33">
        <v>5</v>
      </c>
      <c r="U3" s="33">
        <v>4</v>
      </c>
      <c r="V3" s="33">
        <v>6</v>
      </c>
      <c r="W3" s="33">
        <v>4</v>
      </c>
      <c r="X3" s="51">
        <v>5</v>
      </c>
      <c r="Y3" s="33">
        <v>17</v>
      </c>
      <c r="Z3" s="33">
        <v>5</v>
      </c>
      <c r="AA3" s="33">
        <v>12</v>
      </c>
      <c r="AB3" s="33">
        <v>5</v>
      </c>
      <c r="AC3" s="34">
        <v>17</v>
      </c>
      <c r="AD3" s="34">
        <v>12</v>
      </c>
      <c r="AE3" s="34">
        <v>40</v>
      </c>
      <c r="AF3" s="34">
        <v>5</v>
      </c>
      <c r="AG3" s="34">
        <v>5</v>
      </c>
      <c r="AH3" s="34">
        <v>1</v>
      </c>
      <c r="AI3" s="34">
        <v>5</v>
      </c>
      <c r="AJ3" s="35">
        <v>5</v>
      </c>
      <c r="AK3" s="34">
        <v>17</v>
      </c>
      <c r="AL3" s="34">
        <v>11</v>
      </c>
      <c r="AM3" s="34">
        <v>25</v>
      </c>
      <c r="AN3" s="34">
        <v>10</v>
      </c>
      <c r="AO3" s="34">
        <v>12</v>
      </c>
      <c r="AP3" s="34">
        <v>62</v>
      </c>
      <c r="AQ3" s="34">
        <v>16</v>
      </c>
      <c r="AR3" s="34">
        <v>11</v>
      </c>
      <c r="AS3">
        <f>SUM(C3:AR3)</f>
        <v>506</v>
      </c>
    </row>
    <row r="4" spans="3:45" x14ac:dyDescent="0.25">
      <c r="C4" s="33">
        <v>23</v>
      </c>
      <c r="D4" s="33">
        <v>18</v>
      </c>
      <c r="E4" s="33">
        <v>6</v>
      </c>
      <c r="F4" s="33">
        <v>22</v>
      </c>
      <c r="G4" s="33">
        <v>22</v>
      </c>
      <c r="H4" s="33">
        <v>16</v>
      </c>
      <c r="I4" s="33">
        <v>8</v>
      </c>
      <c r="J4" s="33">
        <v>11</v>
      </c>
      <c r="K4" s="33">
        <v>18</v>
      </c>
      <c r="L4" s="33">
        <v>4</v>
      </c>
      <c r="M4" s="33">
        <v>5</v>
      </c>
      <c r="N4" s="33">
        <v>14</v>
      </c>
      <c r="O4" s="33">
        <v>6</v>
      </c>
      <c r="P4" s="33">
        <v>3</v>
      </c>
      <c r="Q4" s="33">
        <v>2</v>
      </c>
      <c r="R4" s="33">
        <v>6</v>
      </c>
      <c r="S4" s="33">
        <v>5</v>
      </c>
      <c r="T4" s="33">
        <v>5</v>
      </c>
      <c r="U4" s="33">
        <v>4</v>
      </c>
      <c r="V4" s="33">
        <v>6</v>
      </c>
      <c r="W4" s="33">
        <v>4</v>
      </c>
      <c r="X4" s="51">
        <v>5</v>
      </c>
      <c r="Y4" s="33">
        <v>17</v>
      </c>
      <c r="Z4" s="33">
        <v>5</v>
      </c>
      <c r="AA4" s="33">
        <v>12</v>
      </c>
      <c r="AB4" s="33">
        <v>5</v>
      </c>
      <c r="AC4" s="34">
        <v>17</v>
      </c>
      <c r="AD4" s="34">
        <v>12</v>
      </c>
      <c r="AE4" s="34">
        <v>40</v>
      </c>
      <c r="AF4" s="34">
        <v>5</v>
      </c>
      <c r="AG4" s="34">
        <v>5</v>
      </c>
      <c r="AH4" s="34">
        <v>1</v>
      </c>
      <c r="AI4" s="34">
        <v>5</v>
      </c>
      <c r="AJ4" s="35">
        <v>5</v>
      </c>
      <c r="AK4" s="34">
        <v>17</v>
      </c>
      <c r="AL4" s="34">
        <v>11</v>
      </c>
      <c r="AM4" s="34">
        <v>25</v>
      </c>
      <c r="AN4" s="34">
        <v>10</v>
      </c>
      <c r="AO4" s="34">
        <v>12</v>
      </c>
      <c r="AP4" s="34">
        <v>16</v>
      </c>
      <c r="AQ4" s="34">
        <v>16</v>
      </c>
      <c r="AR4" s="34">
        <v>11</v>
      </c>
      <c r="AS4">
        <f>SUM(C4:AR4)</f>
        <v>460</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G5:K21"/>
  <sheetViews>
    <sheetView topLeftCell="A16" workbookViewId="0"/>
  </sheetViews>
  <sheetFormatPr baseColWidth="10" defaultRowHeight="15" x14ac:dyDescent="0.25"/>
  <cols>
    <col min="8" max="8" width="19.42578125" customWidth="1"/>
  </cols>
  <sheetData>
    <row r="5" spans="7:11" x14ac:dyDescent="0.25">
      <c r="H5" t="s">
        <v>12</v>
      </c>
      <c r="I5">
        <v>3</v>
      </c>
      <c r="J5">
        <v>0</v>
      </c>
      <c r="K5">
        <f>SUM(I5:J5)</f>
        <v>3</v>
      </c>
    </row>
    <row r="6" spans="7:11" x14ac:dyDescent="0.25">
      <c r="H6" t="s">
        <v>13</v>
      </c>
      <c r="I6">
        <v>0</v>
      </c>
      <c r="J6">
        <v>0</v>
      </c>
      <c r="K6">
        <f t="shared" ref="K6:K13" si="0">SUM(I6:J6)</f>
        <v>0</v>
      </c>
    </row>
    <row r="7" spans="7:11" x14ac:dyDescent="0.25">
      <c r="H7" t="s">
        <v>14</v>
      </c>
      <c r="I7">
        <v>0</v>
      </c>
      <c r="J7">
        <v>0</v>
      </c>
      <c r="K7">
        <f t="shared" si="0"/>
        <v>0</v>
      </c>
    </row>
    <row r="8" spans="7:11" x14ac:dyDescent="0.25">
      <c r="H8" t="s">
        <v>15</v>
      </c>
      <c r="I8">
        <v>3</v>
      </c>
      <c r="J8">
        <v>1</v>
      </c>
      <c r="K8">
        <f t="shared" si="0"/>
        <v>4</v>
      </c>
    </row>
    <row r="9" spans="7:11" x14ac:dyDescent="0.25">
      <c r="H9" t="s">
        <v>16</v>
      </c>
      <c r="I9">
        <v>11</v>
      </c>
      <c r="J9">
        <v>11</v>
      </c>
      <c r="K9">
        <f t="shared" si="0"/>
        <v>22</v>
      </c>
    </row>
    <row r="10" spans="7:11" x14ac:dyDescent="0.25">
      <c r="H10" t="s">
        <v>17</v>
      </c>
      <c r="I10">
        <v>1</v>
      </c>
      <c r="J10">
        <v>1</v>
      </c>
      <c r="K10">
        <f t="shared" si="0"/>
        <v>2</v>
      </c>
    </row>
    <row r="11" spans="7:11" x14ac:dyDescent="0.25">
      <c r="H11" t="s">
        <v>18</v>
      </c>
      <c r="I11">
        <v>2</v>
      </c>
      <c r="J11">
        <v>1</v>
      </c>
      <c r="K11">
        <f t="shared" si="0"/>
        <v>3</v>
      </c>
    </row>
    <row r="12" spans="7:11" x14ac:dyDescent="0.25">
      <c r="H12" t="s">
        <v>94</v>
      </c>
      <c r="I12">
        <v>0</v>
      </c>
      <c r="J12">
        <v>0</v>
      </c>
      <c r="K12">
        <f t="shared" si="0"/>
        <v>0</v>
      </c>
    </row>
    <row r="13" spans="7:11" x14ac:dyDescent="0.25">
      <c r="H13" t="s">
        <v>19</v>
      </c>
      <c r="I13">
        <v>11</v>
      </c>
      <c r="J13">
        <v>16</v>
      </c>
      <c r="K13">
        <f t="shared" si="0"/>
        <v>27</v>
      </c>
    </row>
    <row r="15" spans="7:11" x14ac:dyDescent="0.25">
      <c r="G15">
        <v>27</v>
      </c>
      <c r="H15" t="s">
        <v>19</v>
      </c>
    </row>
    <row r="16" spans="7:11" x14ac:dyDescent="0.25">
      <c r="G16">
        <v>22</v>
      </c>
      <c r="H16" t="s">
        <v>16</v>
      </c>
    </row>
    <row r="17" spans="7:8" x14ac:dyDescent="0.25">
      <c r="G17">
        <v>4</v>
      </c>
      <c r="H17" t="s">
        <v>15</v>
      </c>
    </row>
    <row r="18" spans="7:8" x14ac:dyDescent="0.25">
      <c r="G18">
        <v>3</v>
      </c>
      <c r="H18" t="s">
        <v>12</v>
      </c>
    </row>
    <row r="19" spans="7:8" x14ac:dyDescent="0.25">
      <c r="G19">
        <v>3</v>
      </c>
      <c r="H19" t="s">
        <v>18</v>
      </c>
    </row>
    <row r="20" spans="7:8" x14ac:dyDescent="0.25">
      <c r="G20">
        <v>2</v>
      </c>
      <c r="H20" t="s">
        <v>17</v>
      </c>
    </row>
    <row r="21" spans="7:8" x14ac:dyDescent="0.25">
      <c r="G21">
        <f>SUM(G15:G20)</f>
        <v>61</v>
      </c>
    </row>
  </sheetData>
  <sortState xmlns:xlrd2="http://schemas.microsoft.com/office/spreadsheetml/2017/richdata2" ref="G15:H23">
    <sortCondition descending="1" ref="G15:G23"/>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sheetPr>
  <dimension ref="A1:KR941"/>
  <sheetViews>
    <sheetView topLeftCell="A8" workbookViewId="0">
      <pane xSplit="93" ySplit="5" topLeftCell="DT13" activePane="bottomRight" state="frozen"/>
      <selection activeCell="CV102" sqref="CV102:DS102"/>
      <selection pane="topRight" activeCell="CV102" sqref="CV102:DS102"/>
      <selection pane="bottomLeft" activeCell="CV102" sqref="CV102:DS102"/>
      <selection pane="bottomRight" activeCell="EL18" sqref="EL18"/>
    </sheetView>
  </sheetViews>
  <sheetFormatPr baseColWidth="10" defaultColWidth="14.42578125" defaultRowHeight="15" customHeight="1" x14ac:dyDescent="0.25"/>
  <cols>
    <col min="1" max="1" width="18.28515625" customWidth="1"/>
    <col min="2" max="2" width="28.140625" customWidth="1"/>
    <col min="3" max="51" width="10.5703125" hidden="1" customWidth="1"/>
    <col min="52" max="64" width="10.42578125" hidden="1" customWidth="1"/>
    <col min="65" max="74" width="12.7109375" hidden="1" customWidth="1"/>
    <col min="75" max="75" width="10.28515625" hidden="1" customWidth="1"/>
    <col min="76" max="76" width="11.85546875" hidden="1" customWidth="1"/>
    <col min="77" max="77" width="10" hidden="1" customWidth="1"/>
    <col min="78" max="78" width="8.5703125" hidden="1" customWidth="1"/>
    <col min="79" max="79" width="11.5703125" hidden="1" customWidth="1"/>
    <col min="80" max="83" width="10.28515625" hidden="1" customWidth="1"/>
    <col min="84" max="84" width="8.85546875" hidden="1" customWidth="1"/>
    <col min="85" max="85" width="9.85546875" hidden="1" customWidth="1"/>
    <col min="86" max="86" width="8.5703125" hidden="1" customWidth="1"/>
    <col min="87" max="87" width="8.42578125" hidden="1" customWidth="1"/>
    <col min="88" max="93" width="10.28515625" hidden="1" customWidth="1"/>
    <col min="94" max="97" width="10.28515625" customWidth="1"/>
    <col min="98" max="98" width="15" customWidth="1"/>
    <col min="99" max="101" width="14.7109375" customWidth="1"/>
    <col min="102" max="102" width="9.28515625" customWidth="1"/>
    <col min="103" max="123" width="14.7109375" customWidth="1"/>
    <col min="124" max="124" width="14.7109375" style="207" customWidth="1"/>
    <col min="125" max="125" width="14.7109375" style="215" customWidth="1"/>
    <col min="126" max="126" width="14.7109375" style="240" customWidth="1"/>
    <col min="127" max="127" width="14.7109375" style="242" customWidth="1"/>
    <col min="128" max="128" width="14.7109375" style="248" customWidth="1"/>
    <col min="129" max="129" width="14.7109375" style="250" customWidth="1"/>
    <col min="130" max="130" width="14.7109375" style="254" customWidth="1"/>
    <col min="131" max="131" width="14.7109375" style="285" customWidth="1"/>
    <col min="132" max="132" width="14.7109375" style="295" customWidth="1"/>
    <col min="133" max="133" width="14.7109375" style="298" customWidth="1"/>
    <col min="134" max="134" width="14.7109375" style="299" customWidth="1"/>
    <col min="135" max="135" width="14.7109375" style="301" customWidth="1"/>
    <col min="136" max="136" width="14.7109375" style="302" customWidth="1"/>
    <col min="137" max="137" width="14.7109375" style="303" customWidth="1"/>
    <col min="138" max="138" width="13.5703125" customWidth="1"/>
    <col min="139" max="139" width="8" customWidth="1"/>
    <col min="140" max="140" width="16.42578125" customWidth="1"/>
    <col min="141" max="141" width="8.5703125" customWidth="1"/>
    <col min="142" max="142" width="9.42578125" style="197" customWidth="1"/>
    <col min="143" max="143" width="8.5703125" style="197" customWidth="1"/>
    <col min="144" max="144" width="12.7109375" style="146" customWidth="1"/>
    <col min="145" max="145" width="8" customWidth="1"/>
    <col min="146" max="146" width="9" customWidth="1"/>
    <col min="147" max="150" width="10" customWidth="1"/>
    <col min="151" max="152" width="13" customWidth="1"/>
    <col min="153" max="153" width="14.42578125" customWidth="1"/>
  </cols>
  <sheetData>
    <row r="1" spans="1:304" ht="18.75" hidden="1" x14ac:dyDescent="0.35">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t="s">
        <v>0</v>
      </c>
      <c r="EK1" s="1"/>
      <c r="EL1" s="1"/>
      <c r="EM1" s="1"/>
      <c r="EN1" s="1"/>
    </row>
    <row r="2" spans="1:304" ht="18.75" hidden="1" x14ac:dyDescent="0.35">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t="s">
        <v>1</v>
      </c>
      <c r="EK2" s="1"/>
      <c r="EL2" s="1"/>
      <c r="EM2" s="1"/>
      <c r="EN2" s="1"/>
    </row>
    <row r="3" spans="1:304" ht="18.75" hidden="1" x14ac:dyDescent="0.35">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t="s">
        <v>2</v>
      </c>
      <c r="EK3" s="1"/>
      <c r="EL3" s="1"/>
      <c r="EM3" s="1"/>
      <c r="EN3" s="1"/>
    </row>
    <row r="4" spans="1:304" ht="15" hidden="1" customHeight="1" x14ac:dyDescent="0.25"/>
    <row r="5" spans="1:304" ht="18.75" hidden="1" x14ac:dyDescent="0.25">
      <c r="A5" s="304" t="s">
        <v>3</v>
      </c>
      <c r="B5" s="305"/>
      <c r="C5" s="305"/>
      <c r="D5" s="305"/>
      <c r="E5" s="305"/>
      <c r="F5" s="305"/>
      <c r="G5" s="305"/>
      <c r="H5" s="305"/>
      <c r="I5" s="305"/>
      <c r="J5" s="305"/>
      <c r="K5" s="305"/>
      <c r="L5" s="305"/>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c r="AL5" s="305"/>
      <c r="AM5" s="305"/>
      <c r="AN5" s="305"/>
      <c r="AO5" s="305"/>
      <c r="AP5" s="305"/>
      <c r="AQ5" s="305"/>
      <c r="AR5" s="305"/>
      <c r="AS5" s="305"/>
      <c r="AT5" s="305"/>
      <c r="AU5" s="305"/>
      <c r="AV5" s="305"/>
      <c r="AW5" s="305"/>
      <c r="AX5" s="305"/>
      <c r="AY5" s="305"/>
      <c r="AZ5" s="305"/>
      <c r="BA5" s="305"/>
      <c r="BB5" s="305"/>
      <c r="BC5" s="305"/>
      <c r="BD5" s="305"/>
      <c r="BE5" s="305"/>
      <c r="BF5" s="305"/>
      <c r="BG5" s="305"/>
      <c r="BH5" s="305"/>
      <c r="BI5" s="305"/>
      <c r="BJ5" s="305"/>
      <c r="BK5" s="305"/>
      <c r="BL5" s="305"/>
      <c r="BM5" s="305"/>
      <c r="BN5" s="305"/>
      <c r="BO5" s="305"/>
      <c r="BP5" s="305"/>
      <c r="BQ5" s="305"/>
      <c r="BR5" s="305"/>
      <c r="BS5" s="305"/>
      <c r="BT5" s="305"/>
      <c r="BU5" s="305"/>
      <c r="BV5" s="305"/>
      <c r="BW5" s="305"/>
      <c r="BX5" s="305"/>
      <c r="BY5" s="305"/>
      <c r="BZ5" s="305"/>
      <c r="CA5" s="305"/>
      <c r="CB5" s="305"/>
      <c r="CC5" s="305"/>
      <c r="CD5" s="305"/>
      <c r="CE5" s="305"/>
      <c r="CF5" s="305"/>
      <c r="CG5" s="305"/>
      <c r="CH5" s="305"/>
      <c r="CI5" s="305"/>
      <c r="CJ5" s="305"/>
      <c r="CK5" s="305"/>
      <c r="CL5" s="305"/>
      <c r="CM5" s="305"/>
      <c r="CN5" s="305"/>
      <c r="CO5" s="305"/>
      <c r="CP5" s="305"/>
      <c r="CQ5" s="305"/>
      <c r="CR5" s="305"/>
      <c r="CS5" s="305"/>
      <c r="CT5" s="305"/>
      <c r="CU5" s="305"/>
      <c r="CV5" s="305"/>
      <c r="CW5" s="305"/>
      <c r="CX5" s="305"/>
      <c r="CY5" s="305"/>
      <c r="CZ5" s="305"/>
      <c r="DA5" s="305"/>
      <c r="DB5" s="305"/>
      <c r="DC5" s="305"/>
      <c r="DD5" s="305"/>
      <c r="DE5" s="305"/>
      <c r="DF5" s="305"/>
      <c r="DG5" s="305"/>
      <c r="DH5" s="305"/>
      <c r="DI5" s="305"/>
      <c r="DJ5" s="305"/>
      <c r="DK5" s="305"/>
      <c r="DL5" s="305"/>
      <c r="DM5" s="305"/>
      <c r="DN5" s="305"/>
      <c r="DO5" s="305"/>
      <c r="DP5" s="305"/>
      <c r="DQ5" s="305"/>
      <c r="DR5" s="305"/>
      <c r="DS5" s="305"/>
      <c r="DT5" s="305"/>
      <c r="DU5" s="305"/>
      <c r="DV5" s="305"/>
      <c r="DW5" s="305"/>
      <c r="DX5" s="305"/>
      <c r="DY5" s="305"/>
      <c r="DZ5" s="305"/>
      <c r="EA5" s="305"/>
      <c r="EB5" s="305"/>
      <c r="EC5" s="305"/>
      <c r="ED5" s="305"/>
      <c r="EE5" s="305"/>
      <c r="EF5" s="305"/>
      <c r="EG5" s="305"/>
      <c r="EH5" s="305"/>
      <c r="EI5" s="305"/>
      <c r="EJ5" s="305"/>
    </row>
    <row r="6" spans="1:304" ht="15" hidden="1" customHeight="1" x14ac:dyDescent="0.25"/>
    <row r="7" spans="1:304" ht="15.75" hidden="1" customHeight="1" x14ac:dyDescent="0.2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row>
    <row r="8" spans="1:304" ht="15.75" customHeight="1" x14ac:dyDescent="0.25">
      <c r="A8" s="2" t="s">
        <v>6</v>
      </c>
      <c r="B8" s="3"/>
      <c r="C8" s="3"/>
      <c r="D8" s="3"/>
      <c r="E8" s="3"/>
      <c r="F8" s="3"/>
      <c r="G8" s="3"/>
      <c r="H8" s="3"/>
      <c r="I8" s="3"/>
      <c r="J8" s="3"/>
      <c r="K8" s="3"/>
      <c r="L8" s="3"/>
      <c r="M8" s="3"/>
      <c r="N8" s="3"/>
      <c r="O8" s="3"/>
      <c r="P8" s="3"/>
      <c r="Q8" s="3"/>
      <c r="R8" s="3"/>
      <c r="S8" s="3"/>
      <c r="T8" s="3"/>
      <c r="U8" s="3"/>
      <c r="V8" s="3"/>
      <c r="W8" s="3"/>
      <c r="X8" s="3"/>
      <c r="Y8" s="3"/>
      <c r="Z8" s="3"/>
      <c r="AA8" s="3"/>
      <c r="AB8" s="3"/>
      <c r="AC8" s="3"/>
      <c r="AD8" s="3"/>
      <c r="AE8" s="3"/>
    </row>
    <row r="9" spans="1:304" ht="15.75" customHeight="1" x14ac:dyDescent="0.25">
      <c r="A9" s="8"/>
      <c r="B9" s="8"/>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c r="EL9" s="10"/>
      <c r="EM9" s="10"/>
      <c r="EN9" s="10"/>
    </row>
    <row r="10" spans="1:304" ht="15.75" customHeight="1" x14ac:dyDescent="0.35">
      <c r="A10" s="4" t="s">
        <v>7</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row>
    <row r="11" spans="1:304" ht="15.75" customHeight="1" thickBot="1" x14ac:dyDescent="0.4">
      <c r="A11" s="4"/>
    </row>
    <row r="12" spans="1:304" ht="65.25" thickTop="1" thickBot="1" x14ac:dyDescent="0.3">
      <c r="A12" s="5" t="s">
        <v>8</v>
      </c>
      <c r="B12" s="5" t="s">
        <v>4</v>
      </c>
      <c r="C12" s="6">
        <v>43435</v>
      </c>
      <c r="D12" s="6">
        <v>43466</v>
      </c>
      <c r="E12" s="6">
        <v>43497</v>
      </c>
      <c r="F12" s="6">
        <v>43525</v>
      </c>
      <c r="G12" s="6">
        <v>43556</v>
      </c>
      <c r="H12" s="6">
        <v>43586</v>
      </c>
      <c r="I12" s="6">
        <v>43617</v>
      </c>
      <c r="J12" s="6">
        <v>43647</v>
      </c>
      <c r="K12" s="6">
        <v>43678</v>
      </c>
      <c r="L12" s="6">
        <v>43709</v>
      </c>
      <c r="M12" s="6">
        <v>43739</v>
      </c>
      <c r="N12" s="6">
        <v>43770</v>
      </c>
      <c r="O12" s="6">
        <v>43800</v>
      </c>
      <c r="P12" s="6">
        <v>43831</v>
      </c>
      <c r="Q12" s="6">
        <v>43862</v>
      </c>
      <c r="R12" s="6">
        <v>43891</v>
      </c>
      <c r="S12" s="6">
        <v>43922</v>
      </c>
      <c r="T12" s="6">
        <v>43952</v>
      </c>
      <c r="U12" s="6">
        <v>43983</v>
      </c>
      <c r="V12" s="6">
        <v>44013</v>
      </c>
      <c r="W12" s="6">
        <v>44044</v>
      </c>
      <c r="X12" s="6">
        <v>44075</v>
      </c>
      <c r="Y12" s="6">
        <v>44105</v>
      </c>
      <c r="Z12" s="6">
        <v>44136</v>
      </c>
      <c r="AA12" s="6">
        <v>44166</v>
      </c>
      <c r="AB12" s="6">
        <v>44197</v>
      </c>
      <c r="AC12" s="6">
        <v>44228</v>
      </c>
      <c r="AD12" s="6">
        <v>44256</v>
      </c>
      <c r="AE12" s="7">
        <v>44287</v>
      </c>
      <c r="AF12" s="7">
        <v>44317</v>
      </c>
      <c r="AG12" s="7">
        <v>44348</v>
      </c>
      <c r="AH12" s="7">
        <v>44378</v>
      </c>
      <c r="AI12" s="7">
        <v>44409</v>
      </c>
      <c r="AJ12" s="7">
        <v>44440</v>
      </c>
      <c r="AK12" s="7">
        <v>44470</v>
      </c>
      <c r="AL12" s="7">
        <v>44501</v>
      </c>
      <c r="AM12" s="7">
        <v>44531</v>
      </c>
      <c r="AN12" s="7">
        <v>44562</v>
      </c>
      <c r="AO12" s="7">
        <v>44593</v>
      </c>
      <c r="AP12" s="7">
        <v>44621</v>
      </c>
      <c r="AQ12" s="6">
        <v>44652</v>
      </c>
      <c r="AR12" s="6">
        <v>44703</v>
      </c>
      <c r="AS12" s="6">
        <v>44734</v>
      </c>
      <c r="AT12" s="6">
        <v>44764</v>
      </c>
      <c r="AU12" s="6">
        <v>44774</v>
      </c>
      <c r="AV12" s="6">
        <v>44819</v>
      </c>
      <c r="AW12" s="6">
        <v>44864</v>
      </c>
      <c r="AX12" s="6">
        <v>44866</v>
      </c>
      <c r="AY12" s="6">
        <v>44896</v>
      </c>
      <c r="AZ12" s="7">
        <v>44927</v>
      </c>
      <c r="BA12" s="7">
        <v>44956</v>
      </c>
      <c r="BB12" s="7">
        <v>44972</v>
      </c>
      <c r="BC12" s="7">
        <v>44985</v>
      </c>
      <c r="BD12" s="7">
        <v>45000</v>
      </c>
      <c r="BE12" s="7">
        <v>45015</v>
      </c>
      <c r="BF12" s="7">
        <v>45031</v>
      </c>
      <c r="BG12" s="7">
        <v>45046</v>
      </c>
      <c r="BH12" s="7">
        <v>45061</v>
      </c>
      <c r="BI12" s="7">
        <v>45076</v>
      </c>
      <c r="BJ12" s="7">
        <v>45092</v>
      </c>
      <c r="BK12" s="7">
        <v>45107</v>
      </c>
      <c r="BL12" s="7">
        <v>45122</v>
      </c>
      <c r="BM12" s="7">
        <v>45137</v>
      </c>
      <c r="BN12" s="7">
        <v>45139</v>
      </c>
      <c r="BO12" s="7">
        <v>45168</v>
      </c>
      <c r="BP12" s="7">
        <v>45184</v>
      </c>
      <c r="BQ12" s="7">
        <v>45199</v>
      </c>
      <c r="BR12" s="7">
        <v>45214</v>
      </c>
      <c r="BS12" s="7">
        <v>45229</v>
      </c>
      <c r="BT12" s="7">
        <v>45245</v>
      </c>
      <c r="BU12" s="7">
        <v>45260</v>
      </c>
      <c r="BV12" s="7">
        <v>45275</v>
      </c>
      <c r="BW12" s="7">
        <v>45290</v>
      </c>
      <c r="BX12" s="7">
        <v>45306</v>
      </c>
      <c r="BY12" s="7">
        <v>45321</v>
      </c>
      <c r="BZ12" s="7">
        <v>45337</v>
      </c>
      <c r="CA12" s="7">
        <v>45351</v>
      </c>
      <c r="CB12" s="7">
        <v>45366</v>
      </c>
      <c r="CC12" s="7">
        <v>45381</v>
      </c>
      <c r="CD12" s="7">
        <v>45397</v>
      </c>
      <c r="CE12" s="7">
        <v>45412</v>
      </c>
      <c r="CF12" s="7">
        <v>45427</v>
      </c>
      <c r="CG12" s="7">
        <v>45442</v>
      </c>
      <c r="CH12" s="7">
        <v>45458</v>
      </c>
      <c r="CI12" s="7">
        <v>45473</v>
      </c>
      <c r="CJ12" s="7">
        <v>45488</v>
      </c>
      <c r="CK12" s="7">
        <v>45503</v>
      </c>
      <c r="CL12" s="7">
        <v>45519</v>
      </c>
      <c r="CM12" s="7">
        <v>45534</v>
      </c>
      <c r="CN12" s="7">
        <v>45550</v>
      </c>
      <c r="CO12" s="7">
        <v>45565</v>
      </c>
      <c r="CP12" s="7">
        <v>45580</v>
      </c>
      <c r="CQ12" s="7">
        <v>45595</v>
      </c>
      <c r="CR12" s="7">
        <v>45611</v>
      </c>
      <c r="CS12" s="7">
        <v>45626</v>
      </c>
      <c r="CT12" s="7">
        <v>45641</v>
      </c>
      <c r="CU12" s="7">
        <v>45656</v>
      </c>
      <c r="CV12" s="7">
        <v>45658</v>
      </c>
      <c r="CW12" s="7">
        <v>45658</v>
      </c>
      <c r="CX12" s="7">
        <v>45689</v>
      </c>
      <c r="CY12" s="7">
        <v>45689</v>
      </c>
      <c r="CZ12" s="7">
        <v>45717</v>
      </c>
      <c r="DA12" s="7">
        <v>45717</v>
      </c>
      <c r="DB12" s="7">
        <v>38443</v>
      </c>
      <c r="DC12" s="7">
        <v>45748</v>
      </c>
      <c r="DD12" s="7">
        <v>45778</v>
      </c>
      <c r="DE12" s="7">
        <v>45778</v>
      </c>
      <c r="DF12" s="7">
        <v>45809</v>
      </c>
      <c r="DG12" s="7">
        <v>45809</v>
      </c>
      <c r="DH12" s="7">
        <v>45839</v>
      </c>
      <c r="DI12" s="7">
        <v>45839</v>
      </c>
      <c r="DJ12" s="7">
        <v>45870</v>
      </c>
      <c r="DK12" s="7">
        <v>45870</v>
      </c>
      <c r="DL12" s="7">
        <v>45901</v>
      </c>
      <c r="DM12" s="7">
        <v>45901</v>
      </c>
      <c r="DN12" s="7">
        <v>45931</v>
      </c>
      <c r="DO12" s="7">
        <v>45931</v>
      </c>
      <c r="DP12" s="7">
        <v>45962</v>
      </c>
      <c r="DQ12" s="7">
        <v>45962</v>
      </c>
      <c r="DR12" s="7">
        <v>45992</v>
      </c>
      <c r="DS12" s="7">
        <v>45992</v>
      </c>
      <c r="DT12" s="7">
        <v>46023</v>
      </c>
      <c r="DU12" s="7">
        <v>46023</v>
      </c>
      <c r="DV12" s="7">
        <v>46068</v>
      </c>
      <c r="DW12" s="7">
        <v>46081</v>
      </c>
      <c r="DX12" s="7">
        <v>46096</v>
      </c>
      <c r="DY12" s="7">
        <v>46111</v>
      </c>
      <c r="DZ12" s="7">
        <v>46127</v>
      </c>
      <c r="EA12" s="7">
        <v>46142</v>
      </c>
      <c r="EB12" s="7">
        <v>46157</v>
      </c>
      <c r="EC12" s="7">
        <v>46172</v>
      </c>
      <c r="ED12" s="7">
        <v>46188</v>
      </c>
      <c r="EE12" s="7">
        <v>46203</v>
      </c>
      <c r="EF12" s="7">
        <v>46218</v>
      </c>
      <c r="EG12" s="7">
        <v>46233</v>
      </c>
      <c r="EH12" s="210" t="s">
        <v>264</v>
      </c>
      <c r="EI12" s="160" t="s">
        <v>266</v>
      </c>
      <c r="EJ12" s="175" t="s">
        <v>153</v>
      </c>
      <c r="EK12" s="160" t="s">
        <v>266</v>
      </c>
      <c r="EL12" s="198"/>
      <c r="EM12" s="198" t="s">
        <v>267</v>
      </c>
      <c r="EN12" s="147" t="s">
        <v>265</v>
      </c>
      <c r="EO12" s="88">
        <v>2018</v>
      </c>
      <c r="EP12" s="87">
        <v>2019</v>
      </c>
      <c r="EQ12" s="87" t="s">
        <v>61</v>
      </c>
      <c r="ER12" s="87" t="s">
        <v>62</v>
      </c>
      <c r="ES12" s="87" t="s">
        <v>64</v>
      </c>
      <c r="ET12" s="87" t="s">
        <v>95</v>
      </c>
      <c r="EU12" s="87" t="s">
        <v>110</v>
      </c>
      <c r="EV12" s="87" t="s">
        <v>150</v>
      </c>
      <c r="EW12" s="87" t="s">
        <v>270</v>
      </c>
    </row>
    <row r="13" spans="1:304" s="78" customFormat="1" ht="15.75" thickTop="1" x14ac:dyDescent="0.25">
      <c r="A13" s="319" t="s">
        <v>192</v>
      </c>
      <c r="B13" s="221" t="s">
        <v>49</v>
      </c>
      <c r="C13" s="33">
        <v>1578</v>
      </c>
      <c r="D13" s="33">
        <v>2948</v>
      </c>
      <c r="E13" s="33">
        <v>3530</v>
      </c>
      <c r="F13" s="33">
        <v>3242</v>
      </c>
      <c r="G13" s="33">
        <v>5722</v>
      </c>
      <c r="H13" s="33">
        <v>5191</v>
      </c>
      <c r="I13" s="33">
        <v>5246</v>
      </c>
      <c r="J13" s="33">
        <v>4448</v>
      </c>
      <c r="K13" s="33">
        <v>3744</v>
      </c>
      <c r="L13" s="33">
        <v>2560</v>
      </c>
      <c r="M13" s="33">
        <v>5306</v>
      </c>
      <c r="N13" s="33">
        <v>4276</v>
      </c>
      <c r="O13" s="33">
        <v>5443</v>
      </c>
      <c r="P13" s="33">
        <v>7940</v>
      </c>
      <c r="Q13" s="33">
        <v>8294</v>
      </c>
      <c r="R13" s="33">
        <v>25787</v>
      </c>
      <c r="S13" s="33">
        <v>24383</v>
      </c>
      <c r="T13" s="33">
        <v>5159</v>
      </c>
      <c r="U13" s="33">
        <v>9733</v>
      </c>
      <c r="V13" s="33">
        <v>10770</v>
      </c>
      <c r="W13" s="33">
        <v>8185</v>
      </c>
      <c r="X13" s="33">
        <v>13061</v>
      </c>
      <c r="Y13" s="33">
        <v>7611</v>
      </c>
      <c r="Z13" s="33">
        <v>7278</v>
      </c>
      <c r="AA13" s="33">
        <v>5268</v>
      </c>
      <c r="AB13" s="33">
        <v>1485</v>
      </c>
      <c r="AC13" s="33">
        <v>974</v>
      </c>
      <c r="AD13" s="33">
        <v>1704</v>
      </c>
      <c r="AE13" s="33">
        <v>1812</v>
      </c>
      <c r="AF13" s="33">
        <v>1833</v>
      </c>
      <c r="AG13" s="33">
        <v>2752</v>
      </c>
      <c r="AH13" s="33">
        <v>3834</v>
      </c>
      <c r="AI13" s="33">
        <v>3855</v>
      </c>
      <c r="AJ13" s="34">
        <v>2674</v>
      </c>
      <c r="AK13" s="34">
        <v>3130</v>
      </c>
      <c r="AL13" s="34">
        <v>1714</v>
      </c>
      <c r="AM13" s="34">
        <v>2432</v>
      </c>
      <c r="AN13" s="34">
        <v>2586</v>
      </c>
      <c r="AO13" s="34">
        <v>2644</v>
      </c>
      <c r="AP13" s="34">
        <v>2888</v>
      </c>
      <c r="AQ13" s="34">
        <v>2219</v>
      </c>
      <c r="AR13" s="34">
        <v>2000</v>
      </c>
      <c r="AS13" s="34">
        <v>2044</v>
      </c>
      <c r="AT13" s="34">
        <v>3256</v>
      </c>
      <c r="AU13" s="34">
        <v>3701</v>
      </c>
      <c r="AV13" s="34">
        <v>2744</v>
      </c>
      <c r="AW13" s="34">
        <v>957</v>
      </c>
      <c r="AX13" s="34">
        <v>580</v>
      </c>
      <c r="AY13" s="34">
        <v>719</v>
      </c>
      <c r="AZ13" s="34">
        <v>145</v>
      </c>
      <c r="BA13" s="34">
        <v>1479</v>
      </c>
      <c r="BB13" s="34">
        <v>651</v>
      </c>
      <c r="BC13" s="34">
        <v>963</v>
      </c>
      <c r="BD13" s="34">
        <v>392</v>
      </c>
      <c r="BE13" s="34">
        <v>1195</v>
      </c>
      <c r="BF13" s="34">
        <v>834</v>
      </c>
      <c r="BG13" s="34">
        <v>877</v>
      </c>
      <c r="BH13" s="34">
        <v>52</v>
      </c>
      <c r="BI13" s="34">
        <v>725</v>
      </c>
      <c r="BJ13" s="34">
        <v>464</v>
      </c>
      <c r="BK13" s="34">
        <v>457</v>
      </c>
      <c r="BL13" s="34">
        <v>1610</v>
      </c>
      <c r="BM13" s="34">
        <v>672</v>
      </c>
      <c r="BN13" s="34">
        <v>960</v>
      </c>
      <c r="BO13" s="34">
        <v>1899</v>
      </c>
      <c r="BP13" s="34">
        <v>2383</v>
      </c>
      <c r="BQ13" s="34">
        <v>1220</v>
      </c>
      <c r="BR13" s="34">
        <v>1515</v>
      </c>
      <c r="BS13" s="34">
        <v>1791</v>
      </c>
      <c r="BT13" s="34">
        <v>664</v>
      </c>
      <c r="BU13" s="34">
        <v>4010</v>
      </c>
      <c r="BV13" s="34">
        <v>6146</v>
      </c>
      <c r="BW13" s="34">
        <v>4067</v>
      </c>
      <c r="BX13" s="34">
        <v>2943</v>
      </c>
      <c r="BY13" s="34">
        <v>10368</v>
      </c>
      <c r="BZ13" s="34">
        <v>5096</v>
      </c>
      <c r="CA13" s="34">
        <v>6489</v>
      </c>
      <c r="CB13" s="34">
        <v>3047</v>
      </c>
      <c r="CC13" s="34">
        <v>2655</v>
      </c>
      <c r="CD13" s="34">
        <v>1220</v>
      </c>
      <c r="CE13" s="34">
        <v>1346</v>
      </c>
      <c r="CF13" s="34">
        <v>173</v>
      </c>
      <c r="CG13" s="34">
        <v>250</v>
      </c>
      <c r="CH13" s="34">
        <v>164</v>
      </c>
      <c r="CI13" s="34">
        <v>177</v>
      </c>
      <c r="CJ13" s="168">
        <v>265</v>
      </c>
      <c r="CK13" s="34">
        <v>310</v>
      </c>
      <c r="CL13" s="34">
        <v>210</v>
      </c>
      <c r="CM13" s="34">
        <v>318</v>
      </c>
      <c r="CN13" s="34">
        <v>254</v>
      </c>
      <c r="CO13" s="168">
        <v>236</v>
      </c>
      <c r="CP13" s="34">
        <v>256</v>
      </c>
      <c r="CQ13" s="34">
        <v>335</v>
      </c>
      <c r="CR13" s="34">
        <v>245</v>
      </c>
      <c r="CS13" s="34">
        <v>337</v>
      </c>
      <c r="CT13" s="34">
        <v>198</v>
      </c>
      <c r="CU13" s="34">
        <v>227</v>
      </c>
      <c r="CV13" s="34">
        <v>44</v>
      </c>
      <c r="CW13" s="34">
        <v>322</v>
      </c>
      <c r="CX13" s="34">
        <v>197</v>
      </c>
      <c r="CY13" s="34">
        <v>159</v>
      </c>
      <c r="CZ13" s="34">
        <v>126</v>
      </c>
      <c r="DA13" s="34">
        <v>121</v>
      </c>
      <c r="DB13" s="34">
        <v>170</v>
      </c>
      <c r="DC13" s="34">
        <v>289</v>
      </c>
      <c r="DD13" s="34">
        <v>109</v>
      </c>
      <c r="DE13" s="34">
        <v>197</v>
      </c>
      <c r="DF13" s="34">
        <v>81</v>
      </c>
      <c r="DG13" s="34">
        <v>79</v>
      </c>
      <c r="DH13" s="34">
        <v>58</v>
      </c>
      <c r="DI13" s="34">
        <v>58</v>
      </c>
      <c r="DJ13" s="34">
        <v>26</v>
      </c>
      <c r="DK13" s="34">
        <v>198</v>
      </c>
      <c r="DL13" s="34">
        <v>110</v>
      </c>
      <c r="DM13" s="34">
        <v>159</v>
      </c>
      <c r="DN13" s="34">
        <v>0</v>
      </c>
      <c r="DO13" s="34">
        <v>90</v>
      </c>
      <c r="DP13" s="34">
        <v>11</v>
      </c>
      <c r="DQ13" s="34">
        <v>13</v>
      </c>
      <c r="DR13" s="34">
        <v>10</v>
      </c>
      <c r="DS13" s="42">
        <v>11</v>
      </c>
      <c r="DT13" s="42">
        <v>0</v>
      </c>
      <c r="DU13" s="42">
        <v>119</v>
      </c>
      <c r="DV13" s="42">
        <v>70</v>
      </c>
      <c r="DW13" s="42">
        <v>67</v>
      </c>
      <c r="DX13" s="42">
        <v>124</v>
      </c>
      <c r="DY13" s="42">
        <v>23</v>
      </c>
      <c r="DZ13" s="42">
        <v>28</v>
      </c>
      <c r="EA13" s="42">
        <v>110</v>
      </c>
      <c r="EB13" s="42">
        <v>51</v>
      </c>
      <c r="EC13" s="42">
        <v>60</v>
      </c>
      <c r="ED13" s="42">
        <v>61</v>
      </c>
      <c r="EE13" s="42">
        <v>28</v>
      </c>
      <c r="EF13" s="42">
        <v>55</v>
      </c>
      <c r="EG13" s="42">
        <v>33</v>
      </c>
      <c r="EH13" s="211">
        <f>SUM(CP13:EG13)</f>
        <v>5065</v>
      </c>
      <c r="EI13" s="47"/>
      <c r="EJ13" s="89">
        <f>SUM(C13:EF13)</f>
        <v>316964</v>
      </c>
      <c r="EK13" s="47"/>
      <c r="EL13" s="47"/>
      <c r="EM13" s="47"/>
      <c r="EN13" s="47">
        <f t="shared" ref="EN13:EN44" si="0">SUM(J13:DS13)</f>
        <v>288711</v>
      </c>
      <c r="EO13" s="12">
        <f t="shared" ref="EO13:EO42" si="1">SUM(C13:C13)</f>
        <v>1578</v>
      </c>
      <c r="EP13" s="12">
        <f t="shared" ref="EP13:EP42" si="2">SUM(D13:O13)</f>
        <v>51656</v>
      </c>
      <c r="EQ13" s="12">
        <f t="shared" ref="EQ13:EQ42" si="3">SUM(P13:AA13)</f>
        <v>133469</v>
      </c>
      <c r="ER13" s="12">
        <f t="shared" ref="ER13:ER52" si="4">SUM(AB13:AM13)</f>
        <v>28199</v>
      </c>
      <c r="ES13" s="15">
        <f t="shared" ref="ES13:ES52" si="5">SUM(AN13:AY13)</f>
        <v>26338</v>
      </c>
      <c r="ET13" s="49">
        <f t="shared" ref="ET13:ET44" si="6">SUM(AZ13:BW13)</f>
        <v>35171</v>
      </c>
      <c r="EU13" s="49">
        <f t="shared" ref="EU13:EU44" si="7">SUM(BX13:CU13)</f>
        <v>37119</v>
      </c>
      <c r="EV13" s="49">
        <f>SUM(CV13:DS13)</f>
        <v>2638</v>
      </c>
      <c r="EW13" s="49">
        <f>SUM(DT13:EC13)</f>
        <v>652</v>
      </c>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c r="GL13"/>
      <c r="GM13"/>
      <c r="GN13"/>
      <c r="GO13"/>
      <c r="GP13"/>
      <c r="GQ13"/>
      <c r="GR13"/>
      <c r="GS13"/>
      <c r="GT13"/>
      <c r="GU13"/>
      <c r="GV13"/>
      <c r="GW13"/>
      <c r="GX13"/>
      <c r="GY13"/>
      <c r="GZ13"/>
      <c r="HA13"/>
      <c r="HB13"/>
      <c r="HC13"/>
      <c r="HD13"/>
      <c r="HE13"/>
      <c r="HF13"/>
      <c r="HG13"/>
      <c r="HH13"/>
      <c r="HI13"/>
      <c r="HJ13"/>
      <c r="HK13"/>
      <c r="HL13"/>
      <c r="HM13"/>
      <c r="HN13"/>
      <c r="HO13"/>
      <c r="HP13"/>
      <c r="HQ13"/>
      <c r="HR13"/>
      <c r="HS13"/>
      <c r="HT13"/>
      <c r="HU13"/>
      <c r="HV13"/>
      <c r="HW13"/>
      <c r="HX13"/>
      <c r="HY13"/>
      <c r="HZ13"/>
      <c r="IA13"/>
      <c r="IB13"/>
      <c r="IC13"/>
      <c r="ID13"/>
      <c r="IE13"/>
      <c r="IF13"/>
      <c r="IG13"/>
      <c r="IH13"/>
      <c r="II13"/>
      <c r="IJ13"/>
      <c r="IK13"/>
      <c r="IL13"/>
      <c r="IM13"/>
      <c r="IN13"/>
      <c r="IO13"/>
      <c r="IP13"/>
      <c r="IQ13"/>
      <c r="IR13"/>
      <c r="IS13"/>
      <c r="IT13"/>
      <c r="IU13"/>
      <c r="IV13"/>
      <c r="IW13"/>
      <c r="IX13"/>
      <c r="IY13"/>
      <c r="IZ13"/>
      <c r="JA13"/>
      <c r="JB13"/>
      <c r="JC13"/>
      <c r="JD13"/>
      <c r="JE13"/>
      <c r="JF13"/>
      <c r="JG13"/>
      <c r="JH13"/>
      <c r="JI13"/>
      <c r="JJ13"/>
      <c r="JK13"/>
      <c r="JL13"/>
      <c r="JM13"/>
      <c r="JN13"/>
      <c r="JO13"/>
      <c r="JP13"/>
      <c r="JQ13"/>
      <c r="JR13"/>
      <c r="JS13"/>
      <c r="JT13"/>
      <c r="JU13"/>
      <c r="JV13"/>
      <c r="JW13"/>
      <c r="JX13"/>
      <c r="JY13"/>
      <c r="JZ13"/>
      <c r="KA13"/>
      <c r="KB13"/>
      <c r="KC13"/>
      <c r="KD13"/>
      <c r="KE13"/>
      <c r="KF13"/>
      <c r="KG13"/>
      <c r="KH13"/>
      <c r="KI13"/>
      <c r="KJ13"/>
      <c r="KK13"/>
      <c r="KL13"/>
      <c r="KM13"/>
      <c r="KN13"/>
      <c r="KO13"/>
      <c r="KP13"/>
      <c r="KQ13"/>
      <c r="KR13"/>
    </row>
    <row r="14" spans="1:304" s="78" customFormat="1" ht="45" x14ac:dyDescent="0.25">
      <c r="A14" s="320"/>
      <c r="B14" s="222" t="s">
        <v>246</v>
      </c>
      <c r="C14" s="122">
        <v>282</v>
      </c>
      <c r="D14" s="122">
        <v>88</v>
      </c>
      <c r="E14" s="122">
        <v>121</v>
      </c>
      <c r="F14" s="122">
        <v>141</v>
      </c>
      <c r="G14" s="122">
        <v>48</v>
      </c>
      <c r="H14" s="122">
        <v>78</v>
      </c>
      <c r="I14" s="122">
        <v>187</v>
      </c>
      <c r="J14" s="122">
        <v>215</v>
      </c>
      <c r="K14" s="122">
        <v>207</v>
      </c>
      <c r="L14" s="122">
        <v>215</v>
      </c>
      <c r="M14" s="122">
        <v>90</v>
      </c>
      <c r="N14" s="122">
        <v>71</v>
      </c>
      <c r="O14" s="122">
        <v>88</v>
      </c>
      <c r="P14" s="122">
        <v>144</v>
      </c>
      <c r="Q14" s="122">
        <v>146</v>
      </c>
      <c r="R14" s="122">
        <v>134</v>
      </c>
      <c r="S14" s="122">
        <v>151</v>
      </c>
      <c r="T14" s="122">
        <v>124</v>
      </c>
      <c r="U14" s="122">
        <v>150</v>
      </c>
      <c r="V14" s="122">
        <v>130</v>
      </c>
      <c r="W14" s="122">
        <v>123</v>
      </c>
      <c r="X14" s="122">
        <v>133</v>
      </c>
      <c r="Y14" s="122">
        <v>43</v>
      </c>
      <c r="Z14" s="122">
        <v>118</v>
      </c>
      <c r="AA14" s="122">
        <v>70</v>
      </c>
      <c r="AB14" s="122">
        <v>49</v>
      </c>
      <c r="AC14" s="122">
        <v>54</v>
      </c>
      <c r="AD14" s="122">
        <v>68</v>
      </c>
      <c r="AE14" s="122">
        <v>74</v>
      </c>
      <c r="AF14" s="122">
        <v>88</v>
      </c>
      <c r="AG14" s="122">
        <v>103</v>
      </c>
      <c r="AH14" s="122">
        <v>134</v>
      </c>
      <c r="AI14" s="122">
        <v>53</v>
      </c>
      <c r="AJ14" s="123">
        <v>43</v>
      </c>
      <c r="AK14" s="123">
        <v>15</v>
      </c>
      <c r="AL14" s="123">
        <v>24</v>
      </c>
      <c r="AM14" s="123">
        <v>7</v>
      </c>
      <c r="AN14" s="123">
        <v>17</v>
      </c>
      <c r="AO14" s="123">
        <v>10</v>
      </c>
      <c r="AP14" s="123">
        <v>0</v>
      </c>
      <c r="AQ14" s="123">
        <v>0</v>
      </c>
      <c r="AR14" s="123">
        <v>0</v>
      </c>
      <c r="AS14" s="123">
        <v>0</v>
      </c>
      <c r="AT14" s="123">
        <v>22</v>
      </c>
      <c r="AU14" s="123">
        <v>1</v>
      </c>
      <c r="AV14" s="123">
        <v>2</v>
      </c>
      <c r="AW14" s="123">
        <v>0</v>
      </c>
      <c r="AX14" s="123">
        <v>0</v>
      </c>
      <c r="AY14" s="123">
        <v>0</v>
      </c>
      <c r="AZ14" s="123">
        <v>0</v>
      </c>
      <c r="BA14" s="123">
        <v>1</v>
      </c>
      <c r="BB14" s="123">
        <v>1</v>
      </c>
      <c r="BC14" s="123">
        <v>0</v>
      </c>
      <c r="BD14" s="123">
        <v>0</v>
      </c>
      <c r="BE14" s="123">
        <v>0</v>
      </c>
      <c r="BF14" s="123">
        <v>0</v>
      </c>
      <c r="BG14" s="123">
        <v>27</v>
      </c>
      <c r="BH14" s="123">
        <v>0</v>
      </c>
      <c r="BI14" s="123">
        <v>0</v>
      </c>
      <c r="BJ14" s="123">
        <v>0</v>
      </c>
      <c r="BK14" s="123">
        <v>0</v>
      </c>
      <c r="BL14" s="123">
        <v>26</v>
      </c>
      <c r="BM14" s="123">
        <v>0</v>
      </c>
      <c r="BN14" s="123">
        <v>3</v>
      </c>
      <c r="BO14" s="123">
        <v>6</v>
      </c>
      <c r="BP14" s="123">
        <v>11</v>
      </c>
      <c r="BQ14" s="123">
        <v>4</v>
      </c>
      <c r="BR14" s="123">
        <v>0</v>
      </c>
      <c r="BS14" s="123">
        <v>5</v>
      </c>
      <c r="BT14" s="123">
        <v>2</v>
      </c>
      <c r="BU14" s="123">
        <v>0</v>
      </c>
      <c r="BV14" s="123">
        <v>6</v>
      </c>
      <c r="BW14" s="123">
        <v>0</v>
      </c>
      <c r="BX14" s="123">
        <v>7</v>
      </c>
      <c r="BY14" s="123">
        <v>22</v>
      </c>
      <c r="BZ14" s="123">
        <v>9</v>
      </c>
      <c r="CA14" s="123">
        <v>11</v>
      </c>
      <c r="CB14" s="123">
        <v>29</v>
      </c>
      <c r="CC14" s="123">
        <v>14</v>
      </c>
      <c r="CD14" s="123">
        <v>0</v>
      </c>
      <c r="CE14" s="123">
        <v>0</v>
      </c>
      <c r="CF14" s="123">
        <v>0</v>
      </c>
      <c r="CG14" s="123">
        <v>0</v>
      </c>
      <c r="CH14" s="123">
        <v>0</v>
      </c>
      <c r="CI14" s="123">
        <v>0</v>
      </c>
      <c r="CJ14" s="123">
        <v>0</v>
      </c>
      <c r="CK14" s="123">
        <v>0</v>
      </c>
      <c r="CL14" s="123">
        <v>0</v>
      </c>
      <c r="CM14" s="123">
        <v>12</v>
      </c>
      <c r="CN14" s="123">
        <v>0</v>
      </c>
      <c r="CO14" s="123">
        <v>0</v>
      </c>
      <c r="CP14" s="123">
        <v>0</v>
      </c>
      <c r="CQ14" s="123">
        <v>1</v>
      </c>
      <c r="CR14" s="123">
        <v>0</v>
      </c>
      <c r="CS14" s="123">
        <v>0</v>
      </c>
      <c r="CT14" s="123">
        <v>0</v>
      </c>
      <c r="CU14" s="123">
        <v>0</v>
      </c>
      <c r="CV14" s="123">
        <v>0</v>
      </c>
      <c r="CW14" s="123">
        <v>0</v>
      </c>
      <c r="CX14" s="123">
        <v>0</v>
      </c>
      <c r="CY14" s="123">
        <v>0</v>
      </c>
      <c r="CZ14" s="123">
        <v>0</v>
      </c>
      <c r="DA14" s="123">
        <v>0</v>
      </c>
      <c r="DB14" s="123">
        <v>0</v>
      </c>
      <c r="DC14" s="123">
        <v>14</v>
      </c>
      <c r="DD14" s="123">
        <v>1</v>
      </c>
      <c r="DE14" s="124">
        <v>1</v>
      </c>
      <c r="DF14" s="123">
        <v>0</v>
      </c>
      <c r="DG14" s="123">
        <v>0</v>
      </c>
      <c r="DH14" s="123">
        <v>6</v>
      </c>
      <c r="DI14" s="123">
        <v>19</v>
      </c>
      <c r="DJ14" s="123">
        <v>0</v>
      </c>
      <c r="DK14" s="123">
        <v>2</v>
      </c>
      <c r="DL14" s="123">
        <v>11</v>
      </c>
      <c r="DM14" s="123">
        <v>1</v>
      </c>
      <c r="DN14" s="123">
        <v>0</v>
      </c>
      <c r="DO14" s="123">
        <v>0</v>
      </c>
      <c r="DP14" s="123">
        <v>0</v>
      </c>
      <c r="DQ14" s="123">
        <v>0</v>
      </c>
      <c r="DR14" s="123">
        <v>0</v>
      </c>
      <c r="DS14" s="209">
        <v>0</v>
      </c>
      <c r="DT14" s="209">
        <v>0</v>
      </c>
      <c r="DU14" s="209">
        <v>0</v>
      </c>
      <c r="DV14" s="209">
        <v>3</v>
      </c>
      <c r="DW14" s="209">
        <v>0</v>
      </c>
      <c r="DX14" s="209">
        <v>17</v>
      </c>
      <c r="DY14" s="209">
        <v>0</v>
      </c>
      <c r="DZ14" s="209">
        <v>0</v>
      </c>
      <c r="EA14" s="209">
        <v>0</v>
      </c>
      <c r="EB14" s="209">
        <v>0</v>
      </c>
      <c r="EC14" s="209">
        <v>0</v>
      </c>
      <c r="ED14" s="209">
        <v>0</v>
      </c>
      <c r="EE14" s="209">
        <v>0</v>
      </c>
      <c r="EF14" s="209">
        <v>0</v>
      </c>
      <c r="EG14" s="209">
        <v>0</v>
      </c>
      <c r="EH14" s="211">
        <f t="shared" ref="EH14:EH77" si="8">SUM(CP14:EG14)</f>
        <v>76</v>
      </c>
      <c r="EI14" s="187">
        <f>EH14/EH13</f>
        <v>1.5004935834155972E-2</v>
      </c>
      <c r="EJ14" s="89">
        <f t="shared" ref="EJ14:EJ77" si="9">SUM(C14:EF14)</f>
        <v>4333</v>
      </c>
      <c r="EK14" s="126">
        <f>EJ14/EJ13</f>
        <v>1.3670322181698868E-2</v>
      </c>
      <c r="EL14" s="199"/>
      <c r="EM14" s="199"/>
      <c r="EN14" s="47">
        <f t="shared" si="0"/>
        <v>3368</v>
      </c>
      <c r="EO14" s="12">
        <f t="shared" si="1"/>
        <v>282</v>
      </c>
      <c r="EP14" s="12">
        <f t="shared" si="2"/>
        <v>1549</v>
      </c>
      <c r="EQ14" s="12">
        <f t="shared" si="3"/>
        <v>1466</v>
      </c>
      <c r="ER14" s="12">
        <f t="shared" si="4"/>
        <v>712</v>
      </c>
      <c r="ES14" s="15">
        <f t="shared" si="5"/>
        <v>52</v>
      </c>
      <c r="ET14" s="49">
        <f t="shared" si="6"/>
        <v>92</v>
      </c>
      <c r="EU14" s="49">
        <f t="shared" si="7"/>
        <v>105</v>
      </c>
      <c r="EV14" s="49">
        <f t="shared" ref="EV14:EV19" si="10">SUM(CU14:DS14)</f>
        <v>55</v>
      </c>
      <c r="EW14" s="49">
        <f t="shared" ref="EW14:EW77" si="11">SUM(DT14:EC14)</f>
        <v>20</v>
      </c>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c r="GL14"/>
      <c r="GM14"/>
      <c r="GN14"/>
      <c r="GO14"/>
      <c r="GP14"/>
      <c r="GQ14"/>
      <c r="GR14"/>
      <c r="GS14"/>
      <c r="GT14"/>
      <c r="GU14"/>
      <c r="GV14"/>
      <c r="GW14"/>
      <c r="GX14"/>
      <c r="GY14"/>
      <c r="GZ14"/>
      <c r="HA14"/>
      <c r="HB14"/>
      <c r="HC14"/>
      <c r="HD14"/>
      <c r="HE14"/>
      <c r="HF14"/>
      <c r="HG14"/>
      <c r="HH14"/>
      <c r="HI14"/>
      <c r="HJ14"/>
      <c r="HK14"/>
      <c r="HL14"/>
      <c r="HM14"/>
      <c r="HN14"/>
      <c r="HO14"/>
      <c r="HP14"/>
      <c r="HQ14"/>
      <c r="HR14"/>
      <c r="HS14"/>
      <c r="HT14"/>
      <c r="HU14"/>
      <c r="HV14"/>
      <c r="HW14"/>
      <c r="HX14"/>
      <c r="HY14"/>
      <c r="HZ14"/>
      <c r="IA14"/>
      <c r="IB14"/>
      <c r="IC14"/>
      <c r="ID14"/>
      <c r="IE14"/>
      <c r="IF14"/>
      <c r="IG14"/>
      <c r="IH14"/>
      <c r="II14"/>
      <c r="IJ14"/>
      <c r="IK14"/>
      <c r="IL14"/>
      <c r="IM14"/>
      <c r="IN14"/>
      <c r="IO14"/>
      <c r="IP14"/>
      <c r="IQ14"/>
      <c r="IR14"/>
      <c r="IS14"/>
      <c r="IT14"/>
      <c r="IU14"/>
      <c r="IV14"/>
      <c r="IW14"/>
      <c r="IX14"/>
      <c r="IY14"/>
      <c r="IZ14"/>
      <c r="JA14"/>
      <c r="JB14"/>
      <c r="JC14"/>
      <c r="JD14"/>
      <c r="JE14"/>
      <c r="JF14"/>
      <c r="JG14"/>
      <c r="JH14"/>
      <c r="JI14"/>
      <c r="JJ14"/>
      <c r="JK14"/>
      <c r="JL14"/>
      <c r="JM14"/>
      <c r="JN14"/>
      <c r="JO14"/>
      <c r="JP14"/>
      <c r="JQ14"/>
      <c r="JR14"/>
      <c r="JS14"/>
      <c r="JT14"/>
      <c r="JU14"/>
      <c r="JV14"/>
      <c r="JW14"/>
      <c r="JX14"/>
      <c r="JY14"/>
      <c r="JZ14"/>
      <c r="KA14"/>
      <c r="KB14"/>
      <c r="KC14"/>
      <c r="KD14"/>
      <c r="KE14"/>
      <c r="KF14"/>
      <c r="KG14"/>
      <c r="KH14"/>
      <c r="KI14"/>
      <c r="KJ14"/>
      <c r="KK14"/>
      <c r="KL14"/>
      <c r="KM14"/>
      <c r="KN14"/>
      <c r="KO14"/>
      <c r="KP14"/>
      <c r="KQ14"/>
      <c r="KR14"/>
    </row>
    <row r="15" spans="1:304" s="78" customFormat="1" ht="30" x14ac:dyDescent="0.25">
      <c r="A15" s="320"/>
      <c r="B15" s="222" t="s">
        <v>247</v>
      </c>
      <c r="C15" s="122">
        <v>285</v>
      </c>
      <c r="D15" s="122">
        <v>641</v>
      </c>
      <c r="E15" s="122">
        <v>558</v>
      </c>
      <c r="F15" s="122">
        <v>787</v>
      </c>
      <c r="G15" s="122">
        <v>937</v>
      </c>
      <c r="H15" s="122">
        <v>885</v>
      </c>
      <c r="I15" s="122">
        <v>852</v>
      </c>
      <c r="J15" s="122">
        <v>0</v>
      </c>
      <c r="K15" s="122">
        <v>0</v>
      </c>
      <c r="L15" s="122">
        <v>65</v>
      </c>
      <c r="M15" s="122">
        <v>1492</v>
      </c>
      <c r="N15" s="122">
        <v>0</v>
      </c>
      <c r="O15" s="122">
        <v>0</v>
      </c>
      <c r="P15" s="122">
        <v>0</v>
      </c>
      <c r="Q15" s="122">
        <v>0</v>
      </c>
      <c r="R15" s="122">
        <v>0</v>
      </c>
      <c r="S15" s="122">
        <v>0</v>
      </c>
      <c r="T15" s="122">
        <v>0</v>
      </c>
      <c r="U15" s="122">
        <v>0</v>
      </c>
      <c r="V15" s="122">
        <v>0</v>
      </c>
      <c r="W15" s="122">
        <v>0</v>
      </c>
      <c r="X15" s="122">
        <v>0</v>
      </c>
      <c r="Y15" s="122">
        <v>0</v>
      </c>
      <c r="Z15" s="122">
        <v>0</v>
      </c>
      <c r="AA15" s="122">
        <v>0</v>
      </c>
      <c r="AB15" s="122">
        <v>0</v>
      </c>
      <c r="AC15" s="122">
        <v>0</v>
      </c>
      <c r="AD15" s="122">
        <v>0</v>
      </c>
      <c r="AE15" s="122">
        <v>0</v>
      </c>
      <c r="AF15" s="122">
        <v>0</v>
      </c>
      <c r="AG15" s="122">
        <v>21</v>
      </c>
      <c r="AH15" s="122">
        <v>381</v>
      </c>
      <c r="AI15" s="122">
        <v>299</v>
      </c>
      <c r="AJ15" s="123">
        <v>149</v>
      </c>
      <c r="AK15" s="123">
        <v>142</v>
      </c>
      <c r="AL15" s="123">
        <v>0</v>
      </c>
      <c r="AM15" s="123">
        <v>197</v>
      </c>
      <c r="AN15" s="123">
        <v>294</v>
      </c>
      <c r="AO15" s="123">
        <v>90</v>
      </c>
      <c r="AP15" s="123">
        <v>0</v>
      </c>
      <c r="AQ15" s="123">
        <v>0</v>
      </c>
      <c r="AR15" s="123">
        <v>0</v>
      </c>
      <c r="AS15" s="123">
        <v>0</v>
      </c>
      <c r="AT15" s="123">
        <v>467</v>
      </c>
      <c r="AU15" s="123">
        <v>640</v>
      </c>
      <c r="AV15" s="123">
        <v>597</v>
      </c>
      <c r="AW15" s="123">
        <v>240</v>
      </c>
      <c r="AX15" s="123">
        <v>75</v>
      </c>
      <c r="AY15" s="123">
        <v>300</v>
      </c>
      <c r="AZ15" s="123">
        <v>30</v>
      </c>
      <c r="BA15" s="123">
        <v>510</v>
      </c>
      <c r="BB15" s="123">
        <v>150</v>
      </c>
      <c r="BC15" s="123">
        <v>420</v>
      </c>
      <c r="BD15" s="123">
        <v>180</v>
      </c>
      <c r="BE15" s="123">
        <v>269</v>
      </c>
      <c r="BF15" s="123">
        <v>247</v>
      </c>
      <c r="BG15" s="123">
        <v>240</v>
      </c>
      <c r="BH15" s="123">
        <v>30</v>
      </c>
      <c r="BI15" s="123">
        <v>100</v>
      </c>
      <c r="BJ15" s="123">
        <v>0</v>
      </c>
      <c r="BK15" s="123">
        <v>0</v>
      </c>
      <c r="BL15" s="123">
        <v>90</v>
      </c>
      <c r="BM15" s="123">
        <v>0</v>
      </c>
      <c r="BN15" s="123">
        <v>0</v>
      </c>
      <c r="BO15" s="123">
        <v>0</v>
      </c>
      <c r="BP15" s="123">
        <v>0</v>
      </c>
      <c r="BQ15" s="123">
        <v>0</v>
      </c>
      <c r="BR15" s="123">
        <v>0</v>
      </c>
      <c r="BS15" s="123">
        <v>0</v>
      </c>
      <c r="BT15" s="123">
        <v>0</v>
      </c>
      <c r="BU15" s="123">
        <v>0</v>
      </c>
      <c r="BV15" s="123">
        <v>0</v>
      </c>
      <c r="BW15" s="123">
        <v>0</v>
      </c>
      <c r="BX15" s="123">
        <v>0</v>
      </c>
      <c r="BY15" s="123">
        <v>0</v>
      </c>
      <c r="BZ15" s="123">
        <v>0</v>
      </c>
      <c r="CA15" s="123">
        <v>0</v>
      </c>
      <c r="CB15" s="123">
        <v>0</v>
      </c>
      <c r="CC15" s="123">
        <v>0</v>
      </c>
      <c r="CD15" s="123">
        <v>0</v>
      </c>
      <c r="CE15" s="123">
        <v>0</v>
      </c>
      <c r="CF15" s="123">
        <v>0</v>
      </c>
      <c r="CG15" s="123">
        <v>0</v>
      </c>
      <c r="CH15" s="123">
        <v>0</v>
      </c>
      <c r="CI15" s="123">
        <v>0</v>
      </c>
      <c r="CJ15" s="123">
        <v>0</v>
      </c>
      <c r="CK15" s="123">
        <v>0</v>
      </c>
      <c r="CL15" s="123">
        <v>0</v>
      </c>
      <c r="CM15" s="123">
        <v>16</v>
      </c>
      <c r="CN15" s="123">
        <v>0</v>
      </c>
      <c r="CO15" s="123">
        <v>0</v>
      </c>
      <c r="CP15" s="123">
        <v>0</v>
      </c>
      <c r="CQ15" s="123">
        <v>0</v>
      </c>
      <c r="CR15" s="123">
        <v>0</v>
      </c>
      <c r="CS15" s="123">
        <v>0</v>
      </c>
      <c r="CT15" s="123">
        <v>0</v>
      </c>
      <c r="CU15" s="123">
        <v>0</v>
      </c>
      <c r="CV15" s="123">
        <v>0</v>
      </c>
      <c r="CW15" s="123">
        <v>0</v>
      </c>
      <c r="CX15" s="123">
        <v>0</v>
      </c>
      <c r="CY15" s="123">
        <v>0</v>
      </c>
      <c r="CZ15" s="123">
        <v>0</v>
      </c>
      <c r="DA15" s="123">
        <v>0</v>
      </c>
      <c r="DB15" s="123">
        <v>0</v>
      </c>
      <c r="DC15" s="123">
        <v>0</v>
      </c>
      <c r="DD15" s="123">
        <v>0</v>
      </c>
      <c r="DE15" s="123">
        <v>0</v>
      </c>
      <c r="DF15" s="123">
        <v>0</v>
      </c>
      <c r="DG15" s="123">
        <v>0</v>
      </c>
      <c r="DH15" s="123">
        <v>0</v>
      </c>
      <c r="DI15" s="123">
        <v>0</v>
      </c>
      <c r="DJ15" s="123">
        <v>0</v>
      </c>
      <c r="DK15" s="123">
        <v>0</v>
      </c>
      <c r="DL15" s="123">
        <v>0</v>
      </c>
      <c r="DM15" s="123">
        <v>0</v>
      </c>
      <c r="DN15" s="123">
        <v>0</v>
      </c>
      <c r="DO15" s="123">
        <v>0</v>
      </c>
      <c r="DP15" s="123">
        <v>0</v>
      </c>
      <c r="DQ15" s="123">
        <v>0</v>
      </c>
      <c r="DR15" s="123">
        <v>0</v>
      </c>
      <c r="DS15" s="209">
        <v>0</v>
      </c>
      <c r="DT15" s="209">
        <v>0</v>
      </c>
      <c r="DU15" s="209">
        <v>0</v>
      </c>
      <c r="DV15" s="209">
        <v>0</v>
      </c>
      <c r="DW15" s="209">
        <v>0</v>
      </c>
      <c r="DX15" s="209">
        <v>0</v>
      </c>
      <c r="DY15" s="209">
        <v>0</v>
      </c>
      <c r="DZ15" s="209">
        <v>0</v>
      </c>
      <c r="EA15" s="209">
        <v>0</v>
      </c>
      <c r="EB15" s="209">
        <v>0</v>
      </c>
      <c r="EC15" s="209">
        <v>0</v>
      </c>
      <c r="ED15" s="209">
        <v>0</v>
      </c>
      <c r="EE15" s="209">
        <v>0</v>
      </c>
      <c r="EF15" s="209">
        <v>0</v>
      </c>
      <c r="EG15" s="209">
        <v>0</v>
      </c>
      <c r="EH15" s="211">
        <f t="shared" si="8"/>
        <v>0</v>
      </c>
      <c r="EI15" s="187">
        <f>EH15/EH13</f>
        <v>0</v>
      </c>
      <c r="EJ15" s="89">
        <f t="shared" si="9"/>
        <v>12676</v>
      </c>
      <c r="EK15" s="126">
        <f>EJ15/EJ13</f>
        <v>3.9991923373001351E-2</v>
      </c>
      <c r="EL15" s="199"/>
      <c r="EM15" s="199"/>
      <c r="EN15" s="47">
        <f t="shared" si="0"/>
        <v>7731</v>
      </c>
      <c r="EO15" s="12">
        <f t="shared" si="1"/>
        <v>285</v>
      </c>
      <c r="EP15" s="12">
        <f t="shared" si="2"/>
        <v>6217</v>
      </c>
      <c r="EQ15" s="12">
        <f t="shared" si="3"/>
        <v>0</v>
      </c>
      <c r="ER15" s="12">
        <f t="shared" si="4"/>
        <v>1189</v>
      </c>
      <c r="ES15" s="15">
        <f t="shared" si="5"/>
        <v>2703</v>
      </c>
      <c r="ET15" s="49">
        <f t="shared" si="6"/>
        <v>2266</v>
      </c>
      <c r="EU15" s="49">
        <f t="shared" si="7"/>
        <v>16</v>
      </c>
      <c r="EV15" s="49">
        <f t="shared" si="10"/>
        <v>0</v>
      </c>
      <c r="EW15" s="49">
        <f t="shared" si="11"/>
        <v>0</v>
      </c>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c r="GL15"/>
      <c r="GM15"/>
      <c r="GN15"/>
      <c r="GO15"/>
      <c r="GP15"/>
      <c r="GQ15"/>
      <c r="GR15"/>
      <c r="GS15"/>
      <c r="GT15"/>
      <c r="GU15"/>
      <c r="GV15"/>
      <c r="GW15"/>
      <c r="GX15"/>
      <c r="GY15"/>
      <c r="GZ15"/>
      <c r="HA15"/>
      <c r="HB15"/>
      <c r="HC15"/>
      <c r="HD15"/>
      <c r="HE15"/>
      <c r="HF15"/>
      <c r="HG15"/>
      <c r="HH15"/>
      <c r="HI15"/>
      <c r="HJ15"/>
      <c r="HK15"/>
      <c r="HL15"/>
      <c r="HM15"/>
      <c r="HN15"/>
      <c r="HO15"/>
      <c r="HP15"/>
      <c r="HQ15"/>
      <c r="HR15"/>
      <c r="HS15"/>
      <c r="HT15"/>
      <c r="HU15"/>
      <c r="HV15"/>
      <c r="HW15"/>
      <c r="HX15"/>
      <c r="HY15"/>
      <c r="HZ15"/>
      <c r="IA15"/>
      <c r="IB15"/>
      <c r="IC15"/>
      <c r="ID15"/>
      <c r="IE15"/>
      <c r="IF15"/>
      <c r="IG15"/>
      <c r="IH15"/>
      <c r="II15"/>
      <c r="IJ15"/>
      <c r="IK15"/>
      <c r="IL15"/>
      <c r="IM15"/>
      <c r="IN15"/>
      <c r="IO15"/>
      <c r="IP15"/>
      <c r="IQ15"/>
      <c r="IR15"/>
      <c r="IS15"/>
      <c r="IT15"/>
      <c r="IU15"/>
      <c r="IV15"/>
      <c r="IW15"/>
      <c r="IX15"/>
      <c r="IY15"/>
      <c r="IZ15"/>
      <c r="JA15"/>
      <c r="JB15"/>
      <c r="JC15"/>
      <c r="JD15"/>
      <c r="JE15"/>
      <c r="JF15"/>
      <c r="JG15"/>
      <c r="JH15"/>
      <c r="JI15"/>
      <c r="JJ15"/>
      <c r="JK15"/>
      <c r="JL15"/>
      <c r="JM15"/>
      <c r="JN15"/>
      <c r="JO15"/>
      <c r="JP15"/>
      <c r="JQ15"/>
      <c r="JR15"/>
      <c r="JS15"/>
      <c r="JT15"/>
      <c r="JU15"/>
      <c r="JV15"/>
      <c r="JW15"/>
      <c r="JX15"/>
      <c r="JY15"/>
      <c r="JZ15"/>
      <c r="KA15"/>
      <c r="KB15"/>
      <c r="KC15"/>
      <c r="KD15"/>
      <c r="KE15"/>
      <c r="KF15"/>
      <c r="KG15"/>
      <c r="KH15"/>
      <c r="KI15"/>
      <c r="KJ15"/>
      <c r="KK15"/>
      <c r="KL15"/>
      <c r="KM15"/>
      <c r="KN15"/>
      <c r="KO15"/>
      <c r="KP15"/>
      <c r="KQ15"/>
      <c r="KR15"/>
    </row>
    <row r="16" spans="1:304" s="78" customFormat="1" ht="30" x14ac:dyDescent="0.25">
      <c r="A16" s="320"/>
      <c r="B16" s="222" t="s">
        <v>248</v>
      </c>
      <c r="C16" s="122">
        <v>0</v>
      </c>
      <c r="D16" s="122">
        <v>0</v>
      </c>
      <c r="E16" s="122">
        <v>0</v>
      </c>
      <c r="F16" s="122">
        <v>0</v>
      </c>
      <c r="G16" s="122">
        <v>0</v>
      </c>
      <c r="H16" s="122">
        <v>0</v>
      </c>
      <c r="I16" s="122">
        <v>0</v>
      </c>
      <c r="J16" s="122">
        <v>0</v>
      </c>
      <c r="K16" s="122">
        <v>0</v>
      </c>
      <c r="L16" s="122">
        <v>0</v>
      </c>
      <c r="M16" s="122">
        <v>0</v>
      </c>
      <c r="N16" s="122">
        <v>0</v>
      </c>
      <c r="O16" s="122">
        <v>0</v>
      </c>
      <c r="P16" s="122">
        <v>0</v>
      </c>
      <c r="Q16" s="122">
        <v>0</v>
      </c>
      <c r="R16" s="122">
        <v>0</v>
      </c>
      <c r="S16" s="122">
        <v>0</v>
      </c>
      <c r="T16" s="122">
        <v>0</v>
      </c>
      <c r="U16" s="122">
        <v>0</v>
      </c>
      <c r="V16" s="122">
        <v>0</v>
      </c>
      <c r="W16" s="122">
        <v>0</v>
      </c>
      <c r="X16" s="122">
        <v>0</v>
      </c>
      <c r="Y16" s="122">
        <v>0</v>
      </c>
      <c r="Z16" s="122">
        <v>0</v>
      </c>
      <c r="AA16" s="122">
        <v>0</v>
      </c>
      <c r="AB16" s="122">
        <v>0</v>
      </c>
      <c r="AC16" s="122">
        <v>0</v>
      </c>
      <c r="AD16" s="122">
        <v>0</v>
      </c>
      <c r="AE16" s="122">
        <v>0</v>
      </c>
      <c r="AF16" s="122">
        <v>0</v>
      </c>
      <c r="AG16" s="122">
        <v>161</v>
      </c>
      <c r="AH16" s="122">
        <v>1</v>
      </c>
      <c r="AI16" s="122">
        <v>297</v>
      </c>
      <c r="AJ16" s="123">
        <v>0</v>
      </c>
      <c r="AK16" s="123">
        <v>0</v>
      </c>
      <c r="AL16" s="123">
        <v>0</v>
      </c>
      <c r="AM16" s="123">
        <v>0</v>
      </c>
      <c r="AN16" s="123">
        <v>0</v>
      </c>
      <c r="AO16" s="123">
        <v>0</v>
      </c>
      <c r="AP16" s="123">
        <v>9</v>
      </c>
      <c r="AQ16" s="123">
        <v>0</v>
      </c>
      <c r="AR16" s="123">
        <v>0</v>
      </c>
      <c r="AS16" s="123">
        <v>0</v>
      </c>
      <c r="AT16" s="123">
        <v>91</v>
      </c>
      <c r="AU16" s="123">
        <v>0</v>
      </c>
      <c r="AV16" s="123">
        <v>6</v>
      </c>
      <c r="AW16" s="123">
        <v>12</v>
      </c>
      <c r="AX16" s="123">
        <v>10</v>
      </c>
      <c r="AY16" s="123">
        <v>0</v>
      </c>
      <c r="AZ16" s="123">
        <v>0</v>
      </c>
      <c r="BA16" s="123">
        <v>0</v>
      </c>
      <c r="BB16" s="123">
        <v>0</v>
      </c>
      <c r="BC16" s="123">
        <v>1</v>
      </c>
      <c r="BD16" s="123">
        <v>0</v>
      </c>
      <c r="BE16" s="123">
        <v>0</v>
      </c>
      <c r="BF16" s="123">
        <v>0</v>
      </c>
      <c r="BG16" s="123">
        <v>4</v>
      </c>
      <c r="BH16" s="123">
        <v>2</v>
      </c>
      <c r="BI16" s="123"/>
      <c r="BJ16" s="123">
        <v>10</v>
      </c>
      <c r="BK16" s="123"/>
      <c r="BL16" s="123">
        <v>154</v>
      </c>
      <c r="BM16" s="123">
        <v>160</v>
      </c>
      <c r="BN16" s="123">
        <v>30</v>
      </c>
      <c r="BO16" s="123">
        <v>35</v>
      </c>
      <c r="BP16" s="123">
        <v>40</v>
      </c>
      <c r="BQ16" s="123">
        <v>85</v>
      </c>
      <c r="BR16" s="123">
        <v>65</v>
      </c>
      <c r="BS16" s="123">
        <v>157</v>
      </c>
      <c r="BT16" s="123">
        <v>40</v>
      </c>
      <c r="BU16" s="123">
        <v>188</v>
      </c>
      <c r="BV16" s="123">
        <v>150</v>
      </c>
      <c r="BW16" s="123">
        <v>213</v>
      </c>
      <c r="BX16" s="123">
        <v>0</v>
      </c>
      <c r="BY16" s="123">
        <v>80</v>
      </c>
      <c r="BZ16" s="123">
        <v>77</v>
      </c>
      <c r="CA16" s="123">
        <v>123</v>
      </c>
      <c r="CB16" s="123">
        <v>61</v>
      </c>
      <c r="CC16" s="123">
        <v>37</v>
      </c>
      <c r="CD16" s="123">
        <v>100</v>
      </c>
      <c r="CE16" s="123">
        <v>29</v>
      </c>
      <c r="CF16" s="123">
        <v>15</v>
      </c>
      <c r="CG16" s="123">
        <v>44</v>
      </c>
      <c r="CH16" s="123">
        <v>49</v>
      </c>
      <c r="CI16" s="123">
        <v>25</v>
      </c>
      <c r="CJ16" s="123">
        <v>39</v>
      </c>
      <c r="CK16" s="123">
        <v>89</v>
      </c>
      <c r="CL16" s="123">
        <v>23</v>
      </c>
      <c r="CM16" s="123">
        <v>42</v>
      </c>
      <c r="CN16" s="123">
        <v>28</v>
      </c>
      <c r="CO16" s="123">
        <v>83</v>
      </c>
      <c r="CP16" s="123">
        <v>52</v>
      </c>
      <c r="CQ16" s="123">
        <v>20</v>
      </c>
      <c r="CR16" s="123">
        <v>30</v>
      </c>
      <c r="CS16" s="123">
        <v>10</v>
      </c>
      <c r="CT16" s="123">
        <v>11</v>
      </c>
      <c r="CU16" s="123">
        <v>0</v>
      </c>
      <c r="CV16" s="123">
        <v>14</v>
      </c>
      <c r="CW16" s="123">
        <v>23</v>
      </c>
      <c r="CX16" s="123">
        <v>2</v>
      </c>
      <c r="CY16" s="123">
        <v>0</v>
      </c>
      <c r="CZ16" s="123">
        <v>8</v>
      </c>
      <c r="DA16" s="123">
        <v>8</v>
      </c>
      <c r="DB16" s="123">
        <v>51</v>
      </c>
      <c r="DC16" s="123">
        <v>16</v>
      </c>
      <c r="DD16" s="123">
        <v>18</v>
      </c>
      <c r="DE16" s="124">
        <v>54</v>
      </c>
      <c r="DF16" s="123">
        <v>4</v>
      </c>
      <c r="DG16" s="124">
        <v>34</v>
      </c>
      <c r="DH16" s="123">
        <v>0</v>
      </c>
      <c r="DI16" s="123">
        <v>3</v>
      </c>
      <c r="DJ16" s="123">
        <v>0</v>
      </c>
      <c r="DK16" s="123">
        <v>34</v>
      </c>
      <c r="DL16" s="123">
        <v>3</v>
      </c>
      <c r="DM16" s="123">
        <v>43</v>
      </c>
      <c r="DN16" s="123">
        <v>0</v>
      </c>
      <c r="DO16" s="123">
        <v>28</v>
      </c>
      <c r="DP16" s="123">
        <v>0</v>
      </c>
      <c r="DQ16" s="123">
        <v>4</v>
      </c>
      <c r="DR16" s="123">
        <v>8</v>
      </c>
      <c r="DS16" s="209">
        <v>1</v>
      </c>
      <c r="DT16" s="209">
        <v>0</v>
      </c>
      <c r="DU16" s="209">
        <v>15</v>
      </c>
      <c r="DV16" s="209">
        <v>15</v>
      </c>
      <c r="DW16" s="209">
        <v>3</v>
      </c>
      <c r="DX16" s="209">
        <v>0</v>
      </c>
      <c r="DY16" s="209">
        <v>0</v>
      </c>
      <c r="DZ16" s="209">
        <v>0</v>
      </c>
      <c r="EA16" s="209">
        <v>0</v>
      </c>
      <c r="EB16" s="209">
        <v>0</v>
      </c>
      <c r="EC16" s="209">
        <v>7</v>
      </c>
      <c r="ED16" s="209">
        <v>1</v>
      </c>
      <c r="EE16" s="209">
        <v>2</v>
      </c>
      <c r="EF16" s="209">
        <v>0</v>
      </c>
      <c r="EG16" s="209">
        <v>0</v>
      </c>
      <c r="EH16" s="211">
        <f t="shared" si="8"/>
        <v>522</v>
      </c>
      <c r="EI16" s="187">
        <f>EH16/EH13</f>
        <v>0.10306021717670286</v>
      </c>
      <c r="EJ16" s="89">
        <f t="shared" si="9"/>
        <v>3387</v>
      </c>
      <c r="EK16" s="126">
        <f>EJ16/EJ13</f>
        <v>1.0685756111104101E-2</v>
      </c>
      <c r="EL16" s="199"/>
      <c r="EM16" s="199"/>
      <c r="EN16" s="47">
        <f t="shared" si="0"/>
        <v>3344</v>
      </c>
      <c r="EO16" s="12">
        <f t="shared" si="1"/>
        <v>0</v>
      </c>
      <c r="EP16" s="12">
        <f t="shared" si="2"/>
        <v>0</v>
      </c>
      <c r="EQ16" s="12">
        <f t="shared" si="3"/>
        <v>0</v>
      </c>
      <c r="ER16" s="12">
        <f t="shared" si="4"/>
        <v>459</v>
      </c>
      <c r="ES16" s="15">
        <f t="shared" si="5"/>
        <v>128</v>
      </c>
      <c r="ET16" s="49">
        <f t="shared" si="6"/>
        <v>1334</v>
      </c>
      <c r="EU16" s="49">
        <f t="shared" si="7"/>
        <v>1067</v>
      </c>
      <c r="EV16" s="49">
        <f t="shared" si="10"/>
        <v>356</v>
      </c>
      <c r="EW16" s="49">
        <f t="shared" si="11"/>
        <v>40</v>
      </c>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c r="GL16"/>
      <c r="GM16"/>
      <c r="GN16"/>
      <c r="GO16"/>
      <c r="GP16"/>
      <c r="GQ16"/>
      <c r="GR16"/>
      <c r="GS16"/>
      <c r="GT16"/>
      <c r="GU16"/>
      <c r="GV16"/>
      <c r="GW16"/>
      <c r="GX16"/>
      <c r="GY16"/>
      <c r="GZ16"/>
      <c r="HA16"/>
      <c r="HB16"/>
      <c r="HC16"/>
      <c r="HD16"/>
      <c r="HE16"/>
      <c r="HF16"/>
      <c r="HG16"/>
      <c r="HH16"/>
      <c r="HI16"/>
      <c r="HJ16"/>
      <c r="HK16"/>
      <c r="HL16"/>
      <c r="HM16"/>
      <c r="HN16"/>
      <c r="HO16"/>
      <c r="HP16"/>
      <c r="HQ16"/>
      <c r="HR16"/>
      <c r="HS16"/>
      <c r="HT16"/>
      <c r="HU16"/>
      <c r="HV16"/>
      <c r="HW16"/>
      <c r="HX16"/>
      <c r="HY16"/>
      <c r="HZ16"/>
      <c r="IA16"/>
      <c r="IB16"/>
      <c r="IC16"/>
      <c r="ID16"/>
      <c r="IE16"/>
      <c r="IF16"/>
      <c r="IG16"/>
      <c r="IH16"/>
      <c r="II16"/>
      <c r="IJ16"/>
      <c r="IK16"/>
      <c r="IL16"/>
      <c r="IM16"/>
      <c r="IN16"/>
      <c r="IO16"/>
      <c r="IP16"/>
      <c r="IQ16"/>
      <c r="IR16"/>
      <c r="IS16"/>
      <c r="IT16"/>
      <c r="IU16"/>
      <c r="IV16"/>
      <c r="IW16"/>
      <c r="IX16"/>
      <c r="IY16"/>
      <c r="IZ16"/>
      <c r="JA16"/>
      <c r="JB16"/>
      <c r="JC16"/>
      <c r="JD16"/>
      <c r="JE16"/>
      <c r="JF16"/>
      <c r="JG16"/>
      <c r="JH16"/>
      <c r="JI16"/>
      <c r="JJ16"/>
      <c r="JK16"/>
      <c r="JL16"/>
      <c r="JM16"/>
      <c r="JN16"/>
      <c r="JO16"/>
      <c r="JP16"/>
      <c r="JQ16"/>
      <c r="JR16"/>
      <c r="JS16"/>
      <c r="JT16"/>
      <c r="JU16"/>
      <c r="JV16"/>
      <c r="JW16"/>
      <c r="JX16"/>
      <c r="JY16"/>
      <c r="JZ16"/>
      <c r="KA16"/>
      <c r="KB16"/>
      <c r="KC16"/>
      <c r="KD16"/>
      <c r="KE16"/>
      <c r="KF16"/>
      <c r="KG16"/>
      <c r="KH16"/>
      <c r="KI16"/>
      <c r="KJ16"/>
      <c r="KK16"/>
      <c r="KL16"/>
      <c r="KM16"/>
      <c r="KN16"/>
      <c r="KO16"/>
      <c r="KP16"/>
      <c r="KQ16"/>
      <c r="KR16"/>
    </row>
    <row r="17" spans="1:304" s="78" customFormat="1" x14ac:dyDescent="0.25">
      <c r="A17" s="320"/>
      <c r="B17" s="222" t="s">
        <v>249</v>
      </c>
      <c r="C17" s="122">
        <v>34</v>
      </c>
      <c r="D17" s="122">
        <v>47</v>
      </c>
      <c r="E17" s="122">
        <v>26</v>
      </c>
      <c r="F17" s="122">
        <v>41</v>
      </c>
      <c r="G17" s="122">
        <v>23</v>
      </c>
      <c r="H17" s="122">
        <v>7</v>
      </c>
      <c r="I17" s="122">
        <v>10</v>
      </c>
      <c r="J17" s="122">
        <v>0</v>
      </c>
      <c r="K17" s="122">
        <v>0</v>
      </c>
      <c r="L17" s="122">
        <v>0</v>
      </c>
      <c r="M17" s="122">
        <v>0</v>
      </c>
      <c r="N17" s="122">
        <v>0</v>
      </c>
      <c r="O17" s="122">
        <v>0</v>
      </c>
      <c r="P17" s="122">
        <v>0</v>
      </c>
      <c r="Q17" s="122">
        <v>0</v>
      </c>
      <c r="R17" s="122">
        <v>0</v>
      </c>
      <c r="S17" s="122">
        <v>0</v>
      </c>
      <c r="T17" s="122">
        <v>0</v>
      </c>
      <c r="U17" s="122">
        <v>0</v>
      </c>
      <c r="V17" s="122">
        <v>0</v>
      </c>
      <c r="W17" s="122">
        <v>0</v>
      </c>
      <c r="X17" s="122">
        <v>0</v>
      </c>
      <c r="Y17" s="122">
        <v>0</v>
      </c>
      <c r="Z17" s="122">
        <v>0</v>
      </c>
      <c r="AA17" s="122">
        <v>0</v>
      </c>
      <c r="AB17" s="122">
        <v>0</v>
      </c>
      <c r="AC17" s="122">
        <v>0</v>
      </c>
      <c r="AD17" s="122">
        <v>0</v>
      </c>
      <c r="AE17" s="122">
        <v>0</v>
      </c>
      <c r="AF17" s="122">
        <v>0</v>
      </c>
      <c r="AG17" s="122">
        <v>5</v>
      </c>
      <c r="AH17" s="122">
        <v>14</v>
      </c>
      <c r="AI17" s="122">
        <v>305</v>
      </c>
      <c r="AJ17" s="123">
        <v>0</v>
      </c>
      <c r="AK17" s="123">
        <v>1</v>
      </c>
      <c r="AL17" s="123">
        <v>0</v>
      </c>
      <c r="AM17" s="123">
        <v>0</v>
      </c>
      <c r="AN17" s="123">
        <v>2</v>
      </c>
      <c r="AO17" s="123">
        <v>3</v>
      </c>
      <c r="AP17" s="123">
        <v>0</v>
      </c>
      <c r="AQ17" s="123">
        <v>0</v>
      </c>
      <c r="AR17" s="123">
        <v>8</v>
      </c>
      <c r="AS17" s="123">
        <v>0</v>
      </c>
      <c r="AT17" s="123">
        <v>0</v>
      </c>
      <c r="AU17" s="123">
        <v>0</v>
      </c>
      <c r="AV17" s="123">
        <v>0</v>
      </c>
      <c r="AW17" s="123">
        <v>2</v>
      </c>
      <c r="AX17" s="123">
        <v>2</v>
      </c>
      <c r="AY17" s="123">
        <v>0</v>
      </c>
      <c r="AZ17" s="123">
        <v>0</v>
      </c>
      <c r="BA17" s="123">
        <v>0</v>
      </c>
      <c r="BB17" s="123">
        <v>0</v>
      </c>
      <c r="BC17" s="123">
        <v>0</v>
      </c>
      <c r="BD17" s="123">
        <v>0</v>
      </c>
      <c r="BE17" s="123">
        <v>0</v>
      </c>
      <c r="BF17" s="123">
        <v>0</v>
      </c>
      <c r="BG17" s="123">
        <v>0</v>
      </c>
      <c r="BH17" s="123">
        <v>0</v>
      </c>
      <c r="BI17" s="123">
        <v>0</v>
      </c>
      <c r="BJ17" s="123">
        <v>0</v>
      </c>
      <c r="BK17" s="123">
        <v>0</v>
      </c>
      <c r="BL17" s="123">
        <v>0</v>
      </c>
      <c r="BM17" s="123">
        <v>0</v>
      </c>
      <c r="BN17" s="123">
        <v>0</v>
      </c>
      <c r="BO17" s="123">
        <v>0</v>
      </c>
      <c r="BP17" s="123">
        <v>0</v>
      </c>
      <c r="BQ17" s="123">
        <v>0</v>
      </c>
      <c r="BR17" s="123">
        <v>0</v>
      </c>
      <c r="BS17" s="123">
        <v>0</v>
      </c>
      <c r="BT17" s="123">
        <v>0</v>
      </c>
      <c r="BU17" s="123">
        <v>0</v>
      </c>
      <c r="BV17" s="123">
        <v>0</v>
      </c>
      <c r="BW17" s="123">
        <v>0</v>
      </c>
      <c r="BX17" s="123">
        <v>0</v>
      </c>
      <c r="BY17" s="123">
        <v>0</v>
      </c>
      <c r="BZ17" s="123">
        <v>0</v>
      </c>
      <c r="CA17" s="123">
        <v>0</v>
      </c>
      <c r="CB17" s="123">
        <v>0</v>
      </c>
      <c r="CC17" s="123">
        <v>0</v>
      </c>
      <c r="CD17" s="123">
        <v>0</v>
      </c>
      <c r="CE17" s="123">
        <v>1</v>
      </c>
      <c r="CF17" s="123">
        <v>0</v>
      </c>
      <c r="CG17" s="123">
        <v>0</v>
      </c>
      <c r="CH17" s="123">
        <v>1</v>
      </c>
      <c r="CI17" s="123">
        <v>0</v>
      </c>
      <c r="CJ17" s="123">
        <v>0</v>
      </c>
      <c r="CK17" s="123">
        <v>0</v>
      </c>
      <c r="CL17" s="123">
        <v>0</v>
      </c>
      <c r="CM17" s="123">
        <v>0</v>
      </c>
      <c r="CN17" s="123">
        <v>0</v>
      </c>
      <c r="CO17" s="123">
        <v>0</v>
      </c>
      <c r="CP17" s="123">
        <v>0</v>
      </c>
      <c r="CQ17" s="123">
        <v>0</v>
      </c>
      <c r="CR17" s="123">
        <v>0</v>
      </c>
      <c r="CS17" s="123">
        <v>0</v>
      </c>
      <c r="CT17" s="123">
        <v>0</v>
      </c>
      <c r="CU17" s="123">
        <v>0</v>
      </c>
      <c r="CV17" s="123">
        <v>0</v>
      </c>
      <c r="CW17" s="123">
        <v>0</v>
      </c>
      <c r="CX17" s="123">
        <v>0</v>
      </c>
      <c r="CY17" s="123">
        <v>0</v>
      </c>
      <c r="CZ17" s="123">
        <v>0</v>
      </c>
      <c r="DA17" s="123">
        <v>0</v>
      </c>
      <c r="DB17" s="123">
        <v>0</v>
      </c>
      <c r="DC17" s="123">
        <v>0</v>
      </c>
      <c r="DD17" s="123">
        <v>0</v>
      </c>
      <c r="DE17" s="123">
        <v>0</v>
      </c>
      <c r="DF17" s="123">
        <v>0</v>
      </c>
      <c r="DG17" s="123">
        <v>0</v>
      </c>
      <c r="DH17" s="123">
        <v>0</v>
      </c>
      <c r="DI17" s="123">
        <v>0</v>
      </c>
      <c r="DJ17" s="123">
        <v>0</v>
      </c>
      <c r="DK17" s="123">
        <v>0</v>
      </c>
      <c r="DL17" s="123">
        <v>0</v>
      </c>
      <c r="DM17" s="123"/>
      <c r="DN17" s="123">
        <v>0</v>
      </c>
      <c r="DO17" s="123">
        <v>0</v>
      </c>
      <c r="DP17" s="123">
        <v>0</v>
      </c>
      <c r="DQ17" s="123">
        <v>0</v>
      </c>
      <c r="DR17" s="123">
        <v>0</v>
      </c>
      <c r="DS17" s="209">
        <v>0</v>
      </c>
      <c r="DT17" s="209">
        <v>0</v>
      </c>
      <c r="DU17" s="209">
        <v>0</v>
      </c>
      <c r="DV17" s="209">
        <v>0</v>
      </c>
      <c r="DW17" s="209">
        <v>0</v>
      </c>
      <c r="DX17" s="209">
        <v>0</v>
      </c>
      <c r="DY17" s="209">
        <v>0</v>
      </c>
      <c r="DZ17" s="209">
        <v>0</v>
      </c>
      <c r="EA17" s="209">
        <v>0</v>
      </c>
      <c r="EB17" s="209">
        <v>0</v>
      </c>
      <c r="EC17" s="209">
        <v>0</v>
      </c>
      <c r="ED17" s="209">
        <v>0</v>
      </c>
      <c r="EE17" s="209">
        <v>0</v>
      </c>
      <c r="EF17" s="209">
        <v>0</v>
      </c>
      <c r="EG17" s="209">
        <v>0</v>
      </c>
      <c r="EH17" s="211">
        <f t="shared" si="8"/>
        <v>0</v>
      </c>
      <c r="EI17" s="187">
        <f>EH17/EH13</f>
        <v>0</v>
      </c>
      <c r="EJ17" s="89">
        <f t="shared" si="9"/>
        <v>532</v>
      </c>
      <c r="EK17" s="126">
        <f>EJ17/EJ13</f>
        <v>1.6784240481568884E-3</v>
      </c>
      <c r="EL17" s="199"/>
      <c r="EM17" s="199"/>
      <c r="EN17" s="47">
        <f t="shared" si="0"/>
        <v>344</v>
      </c>
      <c r="EO17" s="12">
        <f t="shared" si="1"/>
        <v>34</v>
      </c>
      <c r="EP17" s="12">
        <f t="shared" si="2"/>
        <v>154</v>
      </c>
      <c r="EQ17" s="12">
        <f t="shared" si="3"/>
        <v>0</v>
      </c>
      <c r="ER17" s="12">
        <f t="shared" si="4"/>
        <v>325</v>
      </c>
      <c r="ES17" s="15">
        <f t="shared" si="5"/>
        <v>17</v>
      </c>
      <c r="ET17" s="49">
        <f t="shared" si="6"/>
        <v>0</v>
      </c>
      <c r="EU17" s="49">
        <f t="shared" si="7"/>
        <v>2</v>
      </c>
      <c r="EV17" s="49">
        <f t="shared" si="10"/>
        <v>0</v>
      </c>
      <c r="EW17" s="49">
        <f t="shared" si="11"/>
        <v>0</v>
      </c>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c r="GL17"/>
      <c r="GM17"/>
      <c r="GN17"/>
      <c r="GO17"/>
      <c r="GP17"/>
      <c r="GQ17"/>
      <c r="GR17"/>
      <c r="GS17"/>
      <c r="GT17"/>
      <c r="GU17"/>
      <c r="GV17"/>
      <c r="GW17"/>
      <c r="GX17"/>
      <c r="GY17"/>
      <c r="GZ17"/>
      <c r="HA17"/>
      <c r="HB17"/>
      <c r="HC17"/>
      <c r="HD17"/>
      <c r="HE17"/>
      <c r="HF17"/>
      <c r="HG17"/>
      <c r="HH17"/>
      <c r="HI17"/>
      <c r="HJ17"/>
      <c r="HK17"/>
      <c r="HL17"/>
      <c r="HM17"/>
      <c r="HN17"/>
      <c r="HO17"/>
      <c r="HP17"/>
      <c r="HQ17"/>
      <c r="HR17"/>
      <c r="HS17"/>
      <c r="HT17"/>
      <c r="HU17"/>
      <c r="HV17"/>
      <c r="HW17"/>
      <c r="HX17"/>
      <c r="HY17"/>
      <c r="HZ17"/>
      <c r="IA17"/>
      <c r="IB17"/>
      <c r="IC17"/>
      <c r="ID17"/>
      <c r="IE17"/>
      <c r="IF17"/>
      <c r="IG17"/>
      <c r="IH17"/>
      <c r="II17"/>
      <c r="IJ17"/>
      <c r="IK17"/>
      <c r="IL17"/>
      <c r="IM17"/>
      <c r="IN17"/>
      <c r="IO17"/>
      <c r="IP17"/>
      <c r="IQ17"/>
      <c r="IR17"/>
      <c r="IS17"/>
      <c r="IT17"/>
      <c r="IU17"/>
      <c r="IV17"/>
      <c r="IW17"/>
      <c r="IX17"/>
      <c r="IY17"/>
      <c r="IZ17"/>
      <c r="JA17"/>
      <c r="JB17"/>
      <c r="JC17"/>
      <c r="JD17"/>
      <c r="JE17"/>
      <c r="JF17"/>
      <c r="JG17"/>
      <c r="JH17"/>
      <c r="JI17"/>
      <c r="JJ17"/>
      <c r="JK17"/>
      <c r="JL17"/>
      <c r="JM17"/>
      <c r="JN17"/>
      <c r="JO17"/>
      <c r="JP17"/>
      <c r="JQ17"/>
      <c r="JR17"/>
      <c r="JS17"/>
      <c r="JT17"/>
      <c r="JU17"/>
      <c r="JV17"/>
      <c r="JW17"/>
      <c r="JX17"/>
      <c r="JY17"/>
      <c r="JZ17"/>
      <c r="KA17"/>
      <c r="KB17"/>
      <c r="KC17"/>
      <c r="KD17"/>
      <c r="KE17"/>
      <c r="KF17"/>
      <c r="KG17"/>
      <c r="KH17"/>
      <c r="KI17"/>
      <c r="KJ17"/>
      <c r="KK17"/>
      <c r="KL17"/>
      <c r="KM17"/>
      <c r="KN17"/>
      <c r="KO17"/>
      <c r="KP17"/>
      <c r="KQ17"/>
      <c r="KR17"/>
    </row>
    <row r="18" spans="1:304" s="78" customFormat="1" ht="45" x14ac:dyDescent="0.25">
      <c r="A18" s="320"/>
      <c r="B18" s="222" t="s">
        <v>250</v>
      </c>
      <c r="C18" s="122">
        <v>0</v>
      </c>
      <c r="D18" s="122">
        <v>1405</v>
      </c>
      <c r="E18" s="122">
        <v>2167</v>
      </c>
      <c r="F18" s="122">
        <v>1330</v>
      </c>
      <c r="G18" s="122">
        <v>3523</v>
      </c>
      <c r="H18" s="122">
        <v>3193</v>
      </c>
      <c r="I18" s="122">
        <v>3281</v>
      </c>
      <c r="J18" s="122">
        <v>3777</v>
      </c>
      <c r="K18" s="122">
        <v>2924</v>
      </c>
      <c r="L18" s="122">
        <v>1792</v>
      </c>
      <c r="M18" s="122">
        <v>2778</v>
      </c>
      <c r="N18" s="122">
        <v>3900</v>
      </c>
      <c r="O18" s="122">
        <v>4832</v>
      </c>
      <c r="P18" s="122">
        <v>7314</v>
      </c>
      <c r="Q18" s="122">
        <v>7263</v>
      </c>
      <c r="R18" s="122">
        <v>24941</v>
      </c>
      <c r="S18" s="122">
        <v>23207</v>
      </c>
      <c r="T18" s="122">
        <v>3942</v>
      </c>
      <c r="U18" s="122">
        <v>8615</v>
      </c>
      <c r="V18" s="122">
        <v>9364</v>
      </c>
      <c r="W18" s="122">
        <v>6649</v>
      </c>
      <c r="X18" s="122">
        <v>11926</v>
      </c>
      <c r="Y18" s="122">
        <v>6830</v>
      </c>
      <c r="Z18" s="122">
        <v>6510</v>
      </c>
      <c r="AA18" s="122">
        <v>4333</v>
      </c>
      <c r="AB18" s="122">
        <v>650</v>
      </c>
      <c r="AC18" s="122">
        <v>0</v>
      </c>
      <c r="AD18" s="122">
        <v>581</v>
      </c>
      <c r="AE18" s="122">
        <v>810</v>
      </c>
      <c r="AF18" s="122">
        <v>759</v>
      </c>
      <c r="AG18" s="122">
        <v>1311</v>
      </c>
      <c r="AH18" s="122">
        <v>1490</v>
      </c>
      <c r="AI18" s="122">
        <v>1548</v>
      </c>
      <c r="AJ18" s="123">
        <v>1001</v>
      </c>
      <c r="AK18" s="123">
        <v>1542</v>
      </c>
      <c r="AL18" s="123">
        <v>780</v>
      </c>
      <c r="AM18" s="123">
        <v>1245</v>
      </c>
      <c r="AN18" s="123">
        <v>880</v>
      </c>
      <c r="AO18" s="123">
        <v>1455</v>
      </c>
      <c r="AP18" s="123">
        <v>1685</v>
      </c>
      <c r="AQ18" s="123">
        <v>1120</v>
      </c>
      <c r="AR18" s="123">
        <v>960</v>
      </c>
      <c r="AS18" s="123">
        <v>1200</v>
      </c>
      <c r="AT18" s="123">
        <v>1440</v>
      </c>
      <c r="AU18" s="123">
        <v>1610</v>
      </c>
      <c r="AV18" s="123">
        <v>1200</v>
      </c>
      <c r="AW18" s="123">
        <v>400</v>
      </c>
      <c r="AX18" s="123">
        <v>0</v>
      </c>
      <c r="AY18" s="123">
        <v>0</v>
      </c>
      <c r="AZ18" s="123">
        <v>0</v>
      </c>
      <c r="BA18" s="123">
        <v>192</v>
      </c>
      <c r="BB18" s="123">
        <v>340</v>
      </c>
      <c r="BC18" s="123">
        <v>65</v>
      </c>
      <c r="BD18" s="123">
        <v>30</v>
      </c>
      <c r="BE18" s="123">
        <v>298</v>
      </c>
      <c r="BF18" s="123">
        <v>236</v>
      </c>
      <c r="BG18" s="123">
        <v>190</v>
      </c>
      <c r="BH18" s="123">
        <v>0</v>
      </c>
      <c r="BI18" s="123">
        <v>95</v>
      </c>
      <c r="BJ18" s="123">
        <v>0</v>
      </c>
      <c r="BK18" s="123">
        <v>457</v>
      </c>
      <c r="BL18" s="123">
        <v>920</v>
      </c>
      <c r="BM18" s="123">
        <v>240</v>
      </c>
      <c r="BN18" s="123">
        <v>737</v>
      </c>
      <c r="BO18" s="123">
        <v>1659</v>
      </c>
      <c r="BP18" s="123">
        <v>2010</v>
      </c>
      <c r="BQ18" s="123">
        <v>920</v>
      </c>
      <c r="BR18" s="123">
        <v>1200</v>
      </c>
      <c r="BS18" s="123">
        <v>1280</v>
      </c>
      <c r="BT18" s="123">
        <v>500</v>
      </c>
      <c r="BU18" s="123">
        <v>3740</v>
      </c>
      <c r="BV18" s="123">
        <v>5892</v>
      </c>
      <c r="BW18" s="123">
        <v>3650</v>
      </c>
      <c r="BX18" s="123">
        <v>2850</v>
      </c>
      <c r="BY18" s="123">
        <v>10221</v>
      </c>
      <c r="BZ18" s="123">
        <v>4931</v>
      </c>
      <c r="CA18" s="123">
        <v>6212</v>
      </c>
      <c r="CB18" s="123">
        <v>2814</v>
      </c>
      <c r="CC18" s="123">
        <v>2491</v>
      </c>
      <c r="CD18" s="123">
        <v>860</v>
      </c>
      <c r="CE18" s="123">
        <v>1143</v>
      </c>
      <c r="CF18" s="123">
        <v>0</v>
      </c>
      <c r="CG18" s="123">
        <v>0</v>
      </c>
      <c r="CH18" s="123">
        <v>0</v>
      </c>
      <c r="CI18" s="123">
        <v>0</v>
      </c>
      <c r="CJ18" s="123">
        <v>0</v>
      </c>
      <c r="CK18" s="123">
        <v>0</v>
      </c>
      <c r="CL18" s="123">
        <v>0</v>
      </c>
      <c r="CM18" s="123">
        <v>0</v>
      </c>
      <c r="CN18" s="123">
        <v>0</v>
      </c>
      <c r="CO18" s="123">
        <v>0</v>
      </c>
      <c r="CP18" s="123">
        <v>0</v>
      </c>
      <c r="CQ18" s="123">
        <v>0</v>
      </c>
      <c r="CR18" s="123">
        <v>0</v>
      </c>
      <c r="CS18" s="123">
        <v>0</v>
      </c>
      <c r="CT18" s="123">
        <v>0</v>
      </c>
      <c r="CU18" s="123">
        <v>0</v>
      </c>
      <c r="CV18" s="123">
        <v>0</v>
      </c>
      <c r="CW18" s="123">
        <v>0</v>
      </c>
      <c r="CX18" s="123">
        <v>0</v>
      </c>
      <c r="CY18" s="123">
        <v>0</v>
      </c>
      <c r="CZ18" s="123">
        <v>0</v>
      </c>
      <c r="DA18" s="123">
        <v>0</v>
      </c>
      <c r="DB18" s="123">
        <v>0</v>
      </c>
      <c r="DC18" s="123">
        <v>0</v>
      </c>
      <c r="DD18" s="123">
        <v>0</v>
      </c>
      <c r="DE18" s="123">
        <v>0</v>
      </c>
      <c r="DF18" s="123">
        <v>0</v>
      </c>
      <c r="DG18" s="123">
        <v>0</v>
      </c>
      <c r="DH18" s="123">
        <v>0</v>
      </c>
      <c r="DI18" s="123">
        <v>0</v>
      </c>
      <c r="DJ18" s="123">
        <v>0</v>
      </c>
      <c r="DK18" s="123">
        <v>0</v>
      </c>
      <c r="DL18" s="123">
        <v>0</v>
      </c>
      <c r="DM18" s="123">
        <v>0</v>
      </c>
      <c r="DN18" s="123">
        <v>0</v>
      </c>
      <c r="DO18" s="123">
        <v>0</v>
      </c>
      <c r="DP18" s="123">
        <v>0</v>
      </c>
      <c r="DQ18" s="123">
        <v>0</v>
      </c>
      <c r="DR18" s="123">
        <v>0</v>
      </c>
      <c r="DS18" s="209">
        <v>0</v>
      </c>
      <c r="DT18" s="209">
        <v>0</v>
      </c>
      <c r="DU18" s="209">
        <v>0</v>
      </c>
      <c r="DV18" s="209">
        <v>0</v>
      </c>
      <c r="DW18" s="209">
        <v>0</v>
      </c>
      <c r="DX18" s="209">
        <v>0</v>
      </c>
      <c r="DY18" s="209">
        <v>0</v>
      </c>
      <c r="DZ18" s="209">
        <v>0</v>
      </c>
      <c r="EA18" s="209">
        <v>0</v>
      </c>
      <c r="EB18" s="209">
        <v>0</v>
      </c>
      <c r="EC18" s="209">
        <v>0</v>
      </c>
      <c r="ED18" s="209">
        <v>0</v>
      </c>
      <c r="EE18" s="209">
        <v>0</v>
      </c>
      <c r="EF18" s="209">
        <v>0</v>
      </c>
      <c r="EG18" s="209">
        <v>0</v>
      </c>
      <c r="EH18" s="211">
        <f t="shared" si="8"/>
        <v>0</v>
      </c>
      <c r="EI18" s="187">
        <f>EH18/EH13</f>
        <v>0</v>
      </c>
      <c r="EJ18" s="89">
        <f t="shared" si="9"/>
        <v>235636</v>
      </c>
      <c r="EK18" s="126">
        <f>EJ18/EJ13</f>
        <v>0.74341565603664772</v>
      </c>
      <c r="EL18" s="199"/>
      <c r="EM18" s="199"/>
      <c r="EN18" s="47">
        <f t="shared" si="0"/>
        <v>220737</v>
      </c>
      <c r="EO18" s="12">
        <f t="shared" si="1"/>
        <v>0</v>
      </c>
      <c r="EP18" s="12">
        <f t="shared" si="2"/>
        <v>34902</v>
      </c>
      <c r="EQ18" s="12">
        <f t="shared" si="3"/>
        <v>120894</v>
      </c>
      <c r="ER18" s="12">
        <f t="shared" si="4"/>
        <v>11717</v>
      </c>
      <c r="ES18" s="15">
        <f t="shared" si="5"/>
        <v>11950</v>
      </c>
      <c r="ET18" s="49">
        <f t="shared" si="6"/>
        <v>24651</v>
      </c>
      <c r="EU18" s="49">
        <f t="shared" si="7"/>
        <v>31522</v>
      </c>
      <c r="EV18" s="49">
        <f t="shared" si="10"/>
        <v>0</v>
      </c>
      <c r="EW18" s="49">
        <f t="shared" si="11"/>
        <v>0</v>
      </c>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c r="GL18"/>
      <c r="GM18"/>
      <c r="GN18"/>
      <c r="GO18"/>
      <c r="GP18"/>
      <c r="GQ18"/>
      <c r="GR18"/>
      <c r="GS18"/>
      <c r="GT18"/>
      <c r="GU18"/>
      <c r="GV18"/>
      <c r="GW18"/>
      <c r="GX18"/>
      <c r="GY18"/>
      <c r="GZ18"/>
      <c r="HA18"/>
      <c r="HB18"/>
      <c r="HC18"/>
      <c r="HD18"/>
      <c r="HE18"/>
      <c r="HF18"/>
      <c r="HG18"/>
      <c r="HH18"/>
      <c r="HI18"/>
      <c r="HJ18"/>
      <c r="HK18"/>
      <c r="HL18"/>
      <c r="HM18"/>
      <c r="HN18"/>
      <c r="HO18"/>
      <c r="HP18"/>
      <c r="HQ18"/>
      <c r="HR18"/>
      <c r="HS18"/>
      <c r="HT18"/>
      <c r="HU18"/>
      <c r="HV18"/>
      <c r="HW18"/>
      <c r="HX18"/>
      <c r="HY18"/>
      <c r="HZ18"/>
      <c r="IA18"/>
      <c r="IB18"/>
      <c r="IC18"/>
      <c r="ID18"/>
      <c r="IE18"/>
      <c r="IF18"/>
      <c r="IG18"/>
      <c r="IH18"/>
      <c r="II18"/>
      <c r="IJ18"/>
      <c r="IK18"/>
      <c r="IL18"/>
      <c r="IM18"/>
      <c r="IN18"/>
      <c r="IO18"/>
      <c r="IP18"/>
      <c r="IQ18"/>
      <c r="IR18"/>
      <c r="IS18"/>
      <c r="IT18"/>
      <c r="IU18"/>
      <c r="IV18"/>
      <c r="IW18"/>
      <c r="IX18"/>
      <c r="IY18"/>
      <c r="IZ18"/>
      <c r="JA18"/>
      <c r="JB18"/>
      <c r="JC18"/>
      <c r="JD18"/>
      <c r="JE18"/>
      <c r="JF18"/>
      <c r="JG18"/>
      <c r="JH18"/>
      <c r="JI18"/>
      <c r="JJ18"/>
      <c r="JK18"/>
      <c r="JL18"/>
      <c r="JM18"/>
      <c r="JN18"/>
      <c r="JO18"/>
      <c r="JP18"/>
      <c r="JQ18"/>
      <c r="JR18"/>
      <c r="JS18"/>
      <c r="JT18"/>
      <c r="JU18"/>
      <c r="JV18"/>
      <c r="JW18"/>
      <c r="JX18"/>
      <c r="JY18"/>
      <c r="JZ18"/>
      <c r="KA18"/>
      <c r="KB18"/>
      <c r="KC18"/>
      <c r="KD18"/>
      <c r="KE18"/>
      <c r="KF18"/>
      <c r="KG18"/>
      <c r="KH18"/>
      <c r="KI18"/>
      <c r="KJ18"/>
      <c r="KK18"/>
      <c r="KL18"/>
      <c r="KM18"/>
      <c r="KN18"/>
      <c r="KO18"/>
      <c r="KP18"/>
      <c r="KQ18"/>
      <c r="KR18"/>
    </row>
    <row r="19" spans="1:304" s="78" customFormat="1" ht="30" x14ac:dyDescent="0.25">
      <c r="A19" s="320"/>
      <c r="B19" s="222" t="s">
        <v>251</v>
      </c>
      <c r="C19" s="122">
        <v>121</v>
      </c>
      <c r="D19" s="122">
        <v>161</v>
      </c>
      <c r="E19" s="122">
        <v>141</v>
      </c>
      <c r="F19" s="122">
        <v>128</v>
      </c>
      <c r="G19" s="122">
        <v>367</v>
      </c>
      <c r="H19" s="122">
        <v>290</v>
      </c>
      <c r="I19" s="122">
        <v>279</v>
      </c>
      <c r="J19" s="122">
        <v>18</v>
      </c>
      <c r="K19" s="122">
        <v>101</v>
      </c>
      <c r="L19" s="122">
        <v>0</v>
      </c>
      <c r="M19" s="122">
        <v>222</v>
      </c>
      <c r="N19" s="122">
        <v>16</v>
      </c>
      <c r="O19" s="122">
        <v>0</v>
      </c>
      <c r="P19" s="122"/>
      <c r="Q19" s="122">
        <v>67</v>
      </c>
      <c r="R19" s="122">
        <v>129</v>
      </c>
      <c r="S19" s="122">
        <v>129</v>
      </c>
      <c r="T19" s="122">
        <v>137</v>
      </c>
      <c r="U19" s="122">
        <v>168</v>
      </c>
      <c r="V19" s="122">
        <v>200</v>
      </c>
      <c r="W19" s="122">
        <v>140</v>
      </c>
      <c r="X19" s="122">
        <v>200</v>
      </c>
      <c r="Y19" s="122">
        <v>99</v>
      </c>
      <c r="Z19" s="122">
        <v>95</v>
      </c>
      <c r="AA19" s="122">
        <v>199</v>
      </c>
      <c r="AB19" s="122">
        <v>200</v>
      </c>
      <c r="AC19" s="122">
        <v>192</v>
      </c>
      <c r="AD19" s="122">
        <v>142</v>
      </c>
      <c r="AE19" s="122">
        <v>238</v>
      </c>
      <c r="AF19" s="122">
        <v>154</v>
      </c>
      <c r="AG19" s="122">
        <v>240</v>
      </c>
      <c r="AH19" s="122">
        <v>440</v>
      </c>
      <c r="AI19" s="122">
        <v>271</v>
      </c>
      <c r="AJ19" s="123">
        <v>210</v>
      </c>
      <c r="AK19" s="123">
        <v>377</v>
      </c>
      <c r="AL19" s="123">
        <v>265</v>
      </c>
      <c r="AM19" s="123">
        <v>379</v>
      </c>
      <c r="AN19" s="123">
        <v>532</v>
      </c>
      <c r="AO19" s="123">
        <v>612</v>
      </c>
      <c r="AP19" s="123">
        <v>680</v>
      </c>
      <c r="AQ19" s="123">
        <v>570</v>
      </c>
      <c r="AR19" s="123">
        <v>660</v>
      </c>
      <c r="AS19" s="123">
        <v>710</v>
      </c>
      <c r="AT19" s="123">
        <v>580</v>
      </c>
      <c r="AU19" s="123">
        <v>185</v>
      </c>
      <c r="AV19" s="123">
        <v>60</v>
      </c>
      <c r="AW19" s="123">
        <v>191</v>
      </c>
      <c r="AX19" s="123">
        <v>240</v>
      </c>
      <c r="AY19" s="123">
        <v>180</v>
      </c>
      <c r="AZ19" s="123">
        <v>60</v>
      </c>
      <c r="BA19" s="123">
        <v>400</v>
      </c>
      <c r="BB19" s="123">
        <v>0</v>
      </c>
      <c r="BC19" s="123">
        <v>120</v>
      </c>
      <c r="BD19" s="123">
        <v>25</v>
      </c>
      <c r="BE19" s="123">
        <v>279</v>
      </c>
      <c r="BF19" s="123">
        <v>159</v>
      </c>
      <c r="BG19" s="123">
        <v>152</v>
      </c>
      <c r="BH19" s="123">
        <v>0</v>
      </c>
      <c r="BI19" s="123">
        <v>150</v>
      </c>
      <c r="BJ19" s="123">
        <v>0</v>
      </c>
      <c r="BK19" s="123">
        <v>0</v>
      </c>
      <c r="BL19" s="123">
        <v>0</v>
      </c>
      <c r="BM19" s="123">
        <v>0</v>
      </c>
      <c r="BN19" s="123">
        <v>0</v>
      </c>
      <c r="BO19" s="123">
        <v>0</v>
      </c>
      <c r="BP19" s="123">
        <v>0</v>
      </c>
      <c r="BQ19" s="123">
        <v>0</v>
      </c>
      <c r="BR19" s="123">
        <v>0</v>
      </c>
      <c r="BS19" s="123">
        <v>132</v>
      </c>
      <c r="BT19" s="123">
        <v>0</v>
      </c>
      <c r="BU19" s="123">
        <v>0</v>
      </c>
      <c r="BV19" s="123">
        <v>0</v>
      </c>
      <c r="BW19" s="123">
        <v>0</v>
      </c>
      <c r="BX19" s="123">
        <v>0</v>
      </c>
      <c r="BY19" s="123">
        <v>0</v>
      </c>
      <c r="BZ19" s="123">
        <v>0</v>
      </c>
      <c r="CA19" s="123">
        <v>0</v>
      </c>
      <c r="CB19" s="123">
        <v>0</v>
      </c>
      <c r="CC19" s="123">
        <v>0</v>
      </c>
      <c r="CD19" s="123">
        <v>0</v>
      </c>
      <c r="CE19" s="123">
        <v>0</v>
      </c>
      <c r="CF19" s="123">
        <v>0</v>
      </c>
      <c r="CG19" s="123">
        <v>0</v>
      </c>
      <c r="CH19" s="123">
        <v>0</v>
      </c>
      <c r="CI19" s="123">
        <v>0</v>
      </c>
      <c r="CJ19" s="123">
        <v>0</v>
      </c>
      <c r="CK19" s="123">
        <v>0</v>
      </c>
      <c r="CL19" s="123">
        <v>0</v>
      </c>
      <c r="CM19" s="123">
        <v>0</v>
      </c>
      <c r="CN19" s="123">
        <v>0</v>
      </c>
      <c r="CO19" s="123">
        <v>0</v>
      </c>
      <c r="CP19" s="123">
        <v>0</v>
      </c>
      <c r="CQ19" s="123">
        <v>0</v>
      </c>
      <c r="CR19" s="123">
        <v>0</v>
      </c>
      <c r="CS19" s="123">
        <v>0</v>
      </c>
      <c r="CT19" s="123">
        <v>0</v>
      </c>
      <c r="CU19" s="123">
        <v>0</v>
      </c>
      <c r="CV19" s="123">
        <v>0</v>
      </c>
      <c r="CW19" s="123">
        <v>0</v>
      </c>
      <c r="CX19" s="123">
        <v>0</v>
      </c>
      <c r="CY19" s="123">
        <v>0</v>
      </c>
      <c r="CZ19" s="123">
        <v>0</v>
      </c>
      <c r="DA19" s="123">
        <v>0</v>
      </c>
      <c r="DB19" s="123">
        <v>0</v>
      </c>
      <c r="DC19" s="123">
        <v>0</v>
      </c>
      <c r="DD19" s="123">
        <v>0</v>
      </c>
      <c r="DE19" s="123">
        <v>0</v>
      </c>
      <c r="DF19" s="123">
        <v>0</v>
      </c>
      <c r="DG19" s="123">
        <v>0</v>
      </c>
      <c r="DH19" s="123">
        <v>0</v>
      </c>
      <c r="DI19" s="123">
        <v>0</v>
      </c>
      <c r="DJ19" s="123">
        <v>0</v>
      </c>
      <c r="DK19" s="123">
        <v>0</v>
      </c>
      <c r="DL19" s="123">
        <v>0</v>
      </c>
      <c r="DM19" s="123">
        <v>0</v>
      </c>
      <c r="DN19" s="123">
        <v>0</v>
      </c>
      <c r="DO19" s="123">
        <v>0</v>
      </c>
      <c r="DP19" s="123">
        <v>0</v>
      </c>
      <c r="DQ19" s="123">
        <v>0</v>
      </c>
      <c r="DR19" s="123">
        <v>0</v>
      </c>
      <c r="DS19" s="209">
        <v>0</v>
      </c>
      <c r="DT19" s="209">
        <v>0</v>
      </c>
      <c r="DU19" s="209">
        <v>0</v>
      </c>
      <c r="DV19" s="209">
        <v>0</v>
      </c>
      <c r="DW19" s="209">
        <v>0</v>
      </c>
      <c r="DX19" s="209">
        <v>0</v>
      </c>
      <c r="DY19" s="209">
        <v>0</v>
      </c>
      <c r="DZ19" s="209">
        <v>0</v>
      </c>
      <c r="EA19" s="209">
        <v>0</v>
      </c>
      <c r="EB19" s="209">
        <v>0</v>
      </c>
      <c r="EC19" s="209">
        <v>0</v>
      </c>
      <c r="ED19" s="209">
        <v>0</v>
      </c>
      <c r="EE19" s="209">
        <v>0</v>
      </c>
      <c r="EF19" s="209">
        <v>0</v>
      </c>
      <c r="EG19" s="209">
        <v>0</v>
      </c>
      <c r="EH19" s="211">
        <f t="shared" si="8"/>
        <v>0</v>
      </c>
      <c r="EI19" s="187">
        <f>EH19/EH13</f>
        <v>0</v>
      </c>
      <c r="EJ19" s="89">
        <f t="shared" si="9"/>
        <v>13192</v>
      </c>
      <c r="EK19" s="126">
        <f>EJ19/EJ13</f>
        <v>4.1619868502416675E-2</v>
      </c>
      <c r="EL19" s="199"/>
      <c r="EM19" s="199"/>
      <c r="EN19" s="47">
        <f t="shared" si="0"/>
        <v>11705</v>
      </c>
      <c r="EO19" s="12">
        <f t="shared" si="1"/>
        <v>121</v>
      </c>
      <c r="EP19" s="12">
        <f t="shared" si="2"/>
        <v>1723</v>
      </c>
      <c r="EQ19" s="12">
        <f t="shared" si="3"/>
        <v>1563</v>
      </c>
      <c r="ER19" s="12">
        <f t="shared" si="4"/>
        <v>3108</v>
      </c>
      <c r="ES19" s="15">
        <f t="shared" si="5"/>
        <v>5200</v>
      </c>
      <c r="ET19" s="49">
        <f t="shared" si="6"/>
        <v>1477</v>
      </c>
      <c r="EU19" s="49">
        <f t="shared" si="7"/>
        <v>0</v>
      </c>
      <c r="EV19" s="49">
        <f t="shared" si="10"/>
        <v>0</v>
      </c>
      <c r="EW19" s="49">
        <f t="shared" si="11"/>
        <v>0</v>
      </c>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c r="GL19"/>
      <c r="GM19"/>
      <c r="GN19"/>
      <c r="GO19"/>
      <c r="GP19"/>
      <c r="GQ19"/>
      <c r="GR19"/>
      <c r="GS19"/>
      <c r="GT19"/>
      <c r="GU19"/>
      <c r="GV19"/>
      <c r="GW19"/>
      <c r="GX19"/>
      <c r="GY19"/>
      <c r="GZ19"/>
      <c r="HA19"/>
      <c r="HB19"/>
      <c r="HC19"/>
      <c r="HD19"/>
      <c r="HE19"/>
      <c r="HF19"/>
      <c r="HG19"/>
      <c r="HH19"/>
      <c r="HI19"/>
      <c r="HJ19"/>
      <c r="HK19"/>
      <c r="HL19"/>
      <c r="HM19"/>
      <c r="HN19"/>
      <c r="HO19"/>
      <c r="HP19"/>
      <c r="HQ19"/>
      <c r="HR19"/>
      <c r="HS19"/>
      <c r="HT19"/>
      <c r="HU19"/>
      <c r="HV19"/>
      <c r="HW19"/>
      <c r="HX19"/>
      <c r="HY19"/>
      <c r="HZ19"/>
      <c r="IA19"/>
      <c r="IB19"/>
      <c r="IC19"/>
      <c r="ID19"/>
      <c r="IE19"/>
      <c r="IF19"/>
      <c r="IG19"/>
      <c r="IH19"/>
      <c r="II19"/>
      <c r="IJ19"/>
      <c r="IK19"/>
      <c r="IL19"/>
      <c r="IM19"/>
      <c r="IN19"/>
      <c r="IO19"/>
      <c r="IP19"/>
      <c r="IQ19"/>
      <c r="IR19"/>
      <c r="IS19"/>
      <c r="IT19"/>
      <c r="IU19"/>
      <c r="IV19"/>
      <c r="IW19"/>
      <c r="IX19"/>
      <c r="IY19"/>
      <c r="IZ19"/>
      <c r="JA19"/>
      <c r="JB19"/>
      <c r="JC19"/>
      <c r="JD19"/>
      <c r="JE19"/>
      <c r="JF19"/>
      <c r="JG19"/>
      <c r="JH19"/>
      <c r="JI19"/>
      <c r="JJ19"/>
      <c r="JK19"/>
      <c r="JL19"/>
      <c r="JM19"/>
      <c r="JN19"/>
      <c r="JO19"/>
      <c r="JP19"/>
      <c r="JQ19"/>
      <c r="JR19"/>
      <c r="JS19"/>
      <c r="JT19"/>
      <c r="JU19"/>
      <c r="JV19"/>
      <c r="JW19"/>
      <c r="JX19"/>
      <c r="JY19"/>
      <c r="JZ19"/>
      <c r="KA19"/>
      <c r="KB19"/>
      <c r="KC19"/>
      <c r="KD19"/>
      <c r="KE19"/>
      <c r="KF19"/>
      <c r="KG19"/>
      <c r="KH19"/>
      <c r="KI19"/>
      <c r="KJ19"/>
      <c r="KK19"/>
      <c r="KL19"/>
      <c r="KM19"/>
      <c r="KN19"/>
      <c r="KO19"/>
      <c r="KP19"/>
      <c r="KQ19"/>
      <c r="KR19"/>
    </row>
    <row r="20" spans="1:304" s="78" customFormat="1" x14ac:dyDescent="0.25">
      <c r="A20" s="320"/>
      <c r="B20" s="222" t="s">
        <v>252</v>
      </c>
      <c r="C20" s="122">
        <v>608</v>
      </c>
      <c r="D20" s="122">
        <v>446</v>
      </c>
      <c r="E20" s="122">
        <v>405</v>
      </c>
      <c r="F20" s="122">
        <v>589</v>
      </c>
      <c r="G20" s="122">
        <v>555</v>
      </c>
      <c r="H20" s="122">
        <v>394</v>
      </c>
      <c r="I20" s="122">
        <v>426</v>
      </c>
      <c r="J20" s="122">
        <v>269</v>
      </c>
      <c r="K20" s="122">
        <v>512</v>
      </c>
      <c r="L20" s="122">
        <v>488</v>
      </c>
      <c r="M20" s="122">
        <v>456</v>
      </c>
      <c r="N20" s="122">
        <v>265</v>
      </c>
      <c r="O20" s="122">
        <v>384</v>
      </c>
      <c r="P20" s="122">
        <v>382</v>
      </c>
      <c r="Q20" s="122">
        <v>680</v>
      </c>
      <c r="R20" s="122">
        <v>484</v>
      </c>
      <c r="S20" s="122">
        <v>628</v>
      </c>
      <c r="T20" s="122">
        <v>694</v>
      </c>
      <c r="U20" s="122">
        <v>627</v>
      </c>
      <c r="V20" s="122">
        <v>725</v>
      </c>
      <c r="W20" s="122">
        <v>535</v>
      </c>
      <c r="X20" s="122">
        <v>416</v>
      </c>
      <c r="Y20" s="122">
        <v>337</v>
      </c>
      <c r="Z20" s="122">
        <v>199</v>
      </c>
      <c r="AA20" s="122">
        <v>213</v>
      </c>
      <c r="AB20" s="122">
        <v>128</v>
      </c>
      <c r="AC20" s="122">
        <v>414</v>
      </c>
      <c r="AD20" s="122">
        <v>546</v>
      </c>
      <c r="AE20" s="122">
        <v>466</v>
      </c>
      <c r="AF20" s="122">
        <v>437</v>
      </c>
      <c r="AG20" s="122">
        <v>541</v>
      </c>
      <c r="AH20" s="122">
        <v>618</v>
      </c>
      <c r="AI20" s="122">
        <v>641</v>
      </c>
      <c r="AJ20" s="123">
        <v>661</v>
      </c>
      <c r="AK20" s="123">
        <v>479</v>
      </c>
      <c r="AL20" s="123">
        <v>347</v>
      </c>
      <c r="AM20" s="123">
        <v>279</v>
      </c>
      <c r="AN20" s="123">
        <v>511</v>
      </c>
      <c r="AO20" s="123">
        <v>281</v>
      </c>
      <c r="AP20" s="123">
        <v>514</v>
      </c>
      <c r="AQ20" s="123">
        <v>529</v>
      </c>
      <c r="AR20" s="123">
        <v>372</v>
      </c>
      <c r="AS20" s="123">
        <v>134</v>
      </c>
      <c r="AT20" s="123">
        <v>415</v>
      </c>
      <c r="AU20" s="123">
        <v>532</v>
      </c>
      <c r="AV20" s="123">
        <v>472</v>
      </c>
      <c r="AW20" s="123">
        <v>112</v>
      </c>
      <c r="AX20" s="123">
        <v>252</v>
      </c>
      <c r="AY20" s="123">
        <v>239</v>
      </c>
      <c r="AZ20" s="123">
        <v>55</v>
      </c>
      <c r="BA20" s="123">
        <v>376</v>
      </c>
      <c r="BB20" s="123">
        <v>160</v>
      </c>
      <c r="BC20" s="123">
        <v>342</v>
      </c>
      <c r="BD20" s="123">
        <v>157</v>
      </c>
      <c r="BE20" s="123">
        <v>349</v>
      </c>
      <c r="BF20" s="123">
        <v>192</v>
      </c>
      <c r="BG20" s="123">
        <v>264</v>
      </c>
      <c r="BH20" s="123">
        <v>20</v>
      </c>
      <c r="BI20" s="123">
        <v>380</v>
      </c>
      <c r="BJ20" s="123">
        <v>454</v>
      </c>
      <c r="BK20" s="123">
        <v>0</v>
      </c>
      <c r="BL20" s="123">
        <v>420</v>
      </c>
      <c r="BM20" s="123">
        <v>272</v>
      </c>
      <c r="BN20" s="123">
        <v>190</v>
      </c>
      <c r="BO20" s="123">
        <v>189</v>
      </c>
      <c r="BP20" s="123">
        <v>322</v>
      </c>
      <c r="BQ20" s="123">
        <v>211</v>
      </c>
      <c r="BR20" s="123">
        <v>250</v>
      </c>
      <c r="BS20" s="123">
        <v>217</v>
      </c>
      <c r="BT20" s="123">
        <v>122</v>
      </c>
      <c r="BU20" s="123">
        <v>82</v>
      </c>
      <c r="BV20" s="123">
        <v>98</v>
      </c>
      <c r="BW20" s="123">
        <v>204</v>
      </c>
      <c r="BX20" s="123">
        <v>86</v>
      </c>
      <c r="BY20" s="123">
        <v>45</v>
      </c>
      <c r="BZ20" s="123">
        <v>79</v>
      </c>
      <c r="CA20" s="123">
        <v>143</v>
      </c>
      <c r="CB20" s="123">
        <v>143</v>
      </c>
      <c r="CC20" s="123">
        <v>113</v>
      </c>
      <c r="CD20" s="123">
        <v>260</v>
      </c>
      <c r="CE20" s="123">
        <v>174</v>
      </c>
      <c r="CF20" s="123">
        <v>157</v>
      </c>
      <c r="CG20" s="123">
        <v>206</v>
      </c>
      <c r="CH20" s="123">
        <v>115</v>
      </c>
      <c r="CI20" s="123">
        <v>151</v>
      </c>
      <c r="CJ20" s="123">
        <v>226</v>
      </c>
      <c r="CK20" s="123">
        <v>221</v>
      </c>
      <c r="CL20" s="123">
        <v>187</v>
      </c>
      <c r="CM20" s="123">
        <v>264</v>
      </c>
      <c r="CN20" s="123">
        <v>210</v>
      </c>
      <c r="CO20" s="123">
        <v>153</v>
      </c>
      <c r="CP20" s="123">
        <v>204</v>
      </c>
      <c r="CQ20" s="123">
        <v>314</v>
      </c>
      <c r="CR20" s="123">
        <v>215</v>
      </c>
      <c r="CS20" s="123">
        <v>327</v>
      </c>
      <c r="CT20" s="123">
        <v>187</v>
      </c>
      <c r="CU20" s="123">
        <v>227</v>
      </c>
      <c r="CV20" s="123">
        <v>30</v>
      </c>
      <c r="CW20" s="123">
        <v>299</v>
      </c>
      <c r="CX20" s="123">
        <v>195</v>
      </c>
      <c r="CY20" s="123">
        <v>159</v>
      </c>
      <c r="CZ20" s="123">
        <v>118</v>
      </c>
      <c r="DA20" s="123">
        <v>113</v>
      </c>
      <c r="DB20" s="123">
        <v>119</v>
      </c>
      <c r="DC20" s="123">
        <v>259</v>
      </c>
      <c r="DD20" s="123">
        <v>90</v>
      </c>
      <c r="DE20" s="123">
        <v>142</v>
      </c>
      <c r="DF20" s="123">
        <v>77</v>
      </c>
      <c r="DG20" s="123">
        <v>45</v>
      </c>
      <c r="DH20" s="123">
        <v>52</v>
      </c>
      <c r="DI20" s="123">
        <v>36</v>
      </c>
      <c r="DJ20" s="123">
        <v>26</v>
      </c>
      <c r="DK20" s="123">
        <v>162</v>
      </c>
      <c r="DL20" s="123">
        <v>96</v>
      </c>
      <c r="DM20" s="123">
        <v>115</v>
      </c>
      <c r="DN20" s="123">
        <v>0</v>
      </c>
      <c r="DO20" s="123">
        <v>62</v>
      </c>
      <c r="DP20" s="123">
        <v>11</v>
      </c>
      <c r="DQ20" s="123">
        <v>9</v>
      </c>
      <c r="DR20" s="123">
        <v>2</v>
      </c>
      <c r="DS20" s="209">
        <v>10</v>
      </c>
      <c r="DT20" s="209">
        <v>0</v>
      </c>
      <c r="DU20" s="209">
        <v>104</v>
      </c>
      <c r="DV20" s="209">
        <v>52</v>
      </c>
      <c r="DW20" s="209">
        <v>64</v>
      </c>
      <c r="DX20" s="209">
        <v>107</v>
      </c>
      <c r="DY20" s="209">
        <v>23</v>
      </c>
      <c r="DZ20" s="209">
        <v>28</v>
      </c>
      <c r="EA20" s="209">
        <v>110</v>
      </c>
      <c r="EB20" s="209">
        <v>51</v>
      </c>
      <c r="EC20" s="209">
        <v>53</v>
      </c>
      <c r="ED20" s="209">
        <v>60</v>
      </c>
      <c r="EE20" s="209">
        <v>26</v>
      </c>
      <c r="EF20" s="209">
        <v>55</v>
      </c>
      <c r="EG20" s="209">
        <v>33</v>
      </c>
      <c r="EH20" s="211">
        <f t="shared" si="8"/>
        <v>4467</v>
      </c>
      <c r="EI20" s="187">
        <f>EH20/EH13</f>
        <v>0.88193484698914115</v>
      </c>
      <c r="EJ20" s="89">
        <f t="shared" si="9"/>
        <v>34330</v>
      </c>
      <c r="EK20" s="126">
        <f>EJ20/EJ13</f>
        <v>0.10830883002486087</v>
      </c>
      <c r="EL20" s="199"/>
      <c r="EM20" s="199"/>
      <c r="EN20" s="47">
        <f t="shared" si="0"/>
        <v>30174</v>
      </c>
      <c r="EO20" s="12">
        <f t="shared" si="1"/>
        <v>608</v>
      </c>
      <c r="EP20" s="12">
        <f t="shared" si="2"/>
        <v>5189</v>
      </c>
      <c r="EQ20" s="12">
        <f t="shared" si="3"/>
        <v>5920</v>
      </c>
      <c r="ER20" s="12">
        <f t="shared" si="4"/>
        <v>5557</v>
      </c>
      <c r="ES20" s="15">
        <f t="shared" si="5"/>
        <v>4363</v>
      </c>
      <c r="ET20" s="49">
        <f t="shared" si="6"/>
        <v>5326</v>
      </c>
      <c r="EU20" s="49">
        <f t="shared" si="7"/>
        <v>4407</v>
      </c>
      <c r="EV20" s="49">
        <f>SUM(CV20:DS20)</f>
        <v>2227</v>
      </c>
      <c r="EW20" s="49">
        <f t="shared" si="11"/>
        <v>592</v>
      </c>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c r="GL20"/>
      <c r="GM20"/>
      <c r="GN20"/>
      <c r="GO20"/>
      <c r="GP20"/>
      <c r="GQ20"/>
      <c r="GR20"/>
      <c r="GS20"/>
      <c r="GT20"/>
      <c r="GU20"/>
      <c r="GV20"/>
      <c r="GW20"/>
      <c r="GX20"/>
      <c r="GY20"/>
      <c r="GZ20"/>
      <c r="HA20"/>
      <c r="HB20"/>
      <c r="HC20"/>
      <c r="HD20"/>
      <c r="HE20"/>
      <c r="HF20"/>
      <c r="HG20"/>
      <c r="HH20"/>
      <c r="HI20"/>
      <c r="HJ20"/>
      <c r="HK20"/>
      <c r="HL20"/>
      <c r="HM20"/>
      <c r="HN20"/>
      <c r="HO20"/>
      <c r="HP20"/>
      <c r="HQ20"/>
      <c r="HR20"/>
      <c r="HS20"/>
      <c r="HT20"/>
      <c r="HU20"/>
      <c r="HV20"/>
      <c r="HW20"/>
      <c r="HX20"/>
      <c r="HY20"/>
      <c r="HZ20"/>
      <c r="IA20"/>
      <c r="IB20"/>
      <c r="IC20"/>
      <c r="ID20"/>
      <c r="IE20"/>
      <c r="IF20"/>
      <c r="IG20"/>
      <c r="IH20"/>
      <c r="II20"/>
      <c r="IJ20"/>
      <c r="IK20"/>
      <c r="IL20"/>
      <c r="IM20"/>
      <c r="IN20"/>
      <c r="IO20"/>
      <c r="IP20"/>
      <c r="IQ20"/>
      <c r="IR20"/>
      <c r="IS20"/>
      <c r="IT20"/>
      <c r="IU20"/>
      <c r="IV20"/>
      <c r="IW20"/>
      <c r="IX20"/>
      <c r="IY20"/>
      <c r="IZ20"/>
      <c r="JA20"/>
      <c r="JB20"/>
      <c r="JC20"/>
      <c r="JD20"/>
      <c r="JE20"/>
      <c r="JF20"/>
      <c r="JG20"/>
      <c r="JH20"/>
      <c r="JI20"/>
      <c r="JJ20"/>
      <c r="JK20"/>
      <c r="JL20"/>
      <c r="JM20"/>
      <c r="JN20"/>
      <c r="JO20"/>
      <c r="JP20"/>
      <c r="JQ20"/>
      <c r="JR20"/>
      <c r="JS20"/>
      <c r="JT20"/>
      <c r="JU20"/>
      <c r="JV20"/>
      <c r="JW20"/>
      <c r="JX20"/>
      <c r="JY20"/>
      <c r="JZ20"/>
      <c r="KA20"/>
      <c r="KB20"/>
      <c r="KC20"/>
      <c r="KD20"/>
      <c r="KE20"/>
      <c r="KF20"/>
      <c r="KG20"/>
      <c r="KH20"/>
      <c r="KI20"/>
      <c r="KJ20"/>
      <c r="KK20"/>
      <c r="KL20"/>
      <c r="KM20"/>
      <c r="KN20"/>
      <c r="KO20"/>
      <c r="KP20"/>
      <c r="KQ20"/>
      <c r="KR20"/>
    </row>
    <row r="21" spans="1:304" s="78" customFormat="1" ht="45" x14ac:dyDescent="0.25">
      <c r="A21" s="320"/>
      <c r="B21" s="222" t="s">
        <v>253</v>
      </c>
      <c r="C21" s="122">
        <v>248</v>
      </c>
      <c r="D21" s="122">
        <v>160</v>
      </c>
      <c r="E21" s="122">
        <v>112</v>
      </c>
      <c r="F21" s="122">
        <v>226</v>
      </c>
      <c r="G21" s="122">
        <v>269</v>
      </c>
      <c r="H21" s="122">
        <v>344</v>
      </c>
      <c r="I21" s="122">
        <v>211</v>
      </c>
      <c r="J21" s="122">
        <v>169</v>
      </c>
      <c r="K21" s="122">
        <v>0</v>
      </c>
      <c r="L21" s="122">
        <v>0</v>
      </c>
      <c r="M21" s="122">
        <v>268</v>
      </c>
      <c r="N21" s="122">
        <v>24</v>
      </c>
      <c r="O21" s="122">
        <v>139</v>
      </c>
      <c r="P21" s="122">
        <v>100</v>
      </c>
      <c r="Q21" s="122">
        <v>138</v>
      </c>
      <c r="R21" s="122">
        <v>99</v>
      </c>
      <c r="S21" s="122">
        <v>268</v>
      </c>
      <c r="T21" s="122">
        <v>262</v>
      </c>
      <c r="U21" s="122">
        <v>173</v>
      </c>
      <c r="V21" s="122">
        <v>351</v>
      </c>
      <c r="W21" s="122">
        <v>738</v>
      </c>
      <c r="X21" s="122">
        <v>386</v>
      </c>
      <c r="Y21" s="122">
        <v>302</v>
      </c>
      <c r="Z21" s="122">
        <v>356</v>
      </c>
      <c r="AA21" s="122">
        <v>453</v>
      </c>
      <c r="AB21" s="122">
        <v>458</v>
      </c>
      <c r="AC21" s="122">
        <v>314</v>
      </c>
      <c r="AD21" s="122">
        <v>367</v>
      </c>
      <c r="AE21" s="122">
        <v>224</v>
      </c>
      <c r="AF21" s="122">
        <v>395</v>
      </c>
      <c r="AG21" s="122">
        <v>370</v>
      </c>
      <c r="AH21" s="122">
        <v>756</v>
      </c>
      <c r="AI21" s="122">
        <v>441</v>
      </c>
      <c r="AJ21" s="123">
        <v>610</v>
      </c>
      <c r="AK21" s="123">
        <v>574</v>
      </c>
      <c r="AL21" s="123">
        <v>298</v>
      </c>
      <c r="AM21" s="123">
        <v>325</v>
      </c>
      <c r="AN21" s="123">
        <v>350</v>
      </c>
      <c r="AO21" s="123">
        <v>193</v>
      </c>
      <c r="AP21" s="123">
        <v>0</v>
      </c>
      <c r="AQ21" s="123">
        <v>0</v>
      </c>
      <c r="AR21" s="123">
        <v>0</v>
      </c>
      <c r="AS21" s="123">
        <v>0</v>
      </c>
      <c r="AT21" s="123">
        <v>241</v>
      </c>
      <c r="AU21" s="123">
        <v>733</v>
      </c>
      <c r="AV21" s="123">
        <v>407</v>
      </c>
      <c r="AW21" s="123">
        <v>0</v>
      </c>
      <c r="AX21" s="123">
        <v>1</v>
      </c>
      <c r="AY21" s="123">
        <v>0</v>
      </c>
      <c r="AZ21" s="123">
        <v>0</v>
      </c>
      <c r="BA21" s="123">
        <v>0</v>
      </c>
      <c r="BB21" s="123">
        <v>0</v>
      </c>
      <c r="BC21" s="123">
        <v>15</v>
      </c>
      <c r="BD21" s="123">
        <v>0</v>
      </c>
      <c r="BE21" s="123">
        <v>0</v>
      </c>
      <c r="BF21" s="123">
        <v>0</v>
      </c>
      <c r="BG21" s="123">
        <v>0</v>
      </c>
      <c r="BH21" s="123">
        <v>0</v>
      </c>
      <c r="BI21" s="123">
        <v>0</v>
      </c>
      <c r="BJ21" s="123">
        <v>0</v>
      </c>
      <c r="BK21" s="123">
        <v>0</v>
      </c>
      <c r="BL21" s="123">
        <v>0</v>
      </c>
      <c r="BM21" s="123">
        <v>0</v>
      </c>
      <c r="BN21" s="123">
        <v>0</v>
      </c>
      <c r="BO21" s="123">
        <v>10</v>
      </c>
      <c r="BP21" s="123">
        <v>0</v>
      </c>
      <c r="BQ21" s="123">
        <v>0</v>
      </c>
      <c r="BR21" s="123">
        <v>0</v>
      </c>
      <c r="BS21" s="123">
        <v>0</v>
      </c>
      <c r="BT21" s="123">
        <v>0</v>
      </c>
      <c r="BU21" s="123">
        <v>0</v>
      </c>
      <c r="BV21" s="123">
        <v>0</v>
      </c>
      <c r="BW21" s="123">
        <v>0</v>
      </c>
      <c r="BX21" s="123">
        <v>0</v>
      </c>
      <c r="BY21" s="123">
        <v>0</v>
      </c>
      <c r="BZ21" s="123">
        <v>0</v>
      </c>
      <c r="CA21" s="123">
        <v>0</v>
      </c>
      <c r="CB21" s="123">
        <v>0</v>
      </c>
      <c r="CC21" s="123">
        <v>0</v>
      </c>
      <c r="CD21" s="123">
        <v>0</v>
      </c>
      <c r="CE21" s="123">
        <v>0</v>
      </c>
      <c r="CF21" s="123">
        <v>0</v>
      </c>
      <c r="CG21" s="123">
        <v>0</v>
      </c>
      <c r="CH21" s="123">
        <v>0</v>
      </c>
      <c r="CI21" s="123">
        <v>0</v>
      </c>
      <c r="CJ21" s="123">
        <v>0</v>
      </c>
      <c r="CK21" s="123">
        <v>0</v>
      </c>
      <c r="CL21" s="123">
        <v>0</v>
      </c>
      <c r="CM21" s="123">
        <v>0</v>
      </c>
      <c r="CN21" s="123">
        <v>0</v>
      </c>
      <c r="CO21" s="123">
        <v>0</v>
      </c>
      <c r="CP21" s="123">
        <v>0</v>
      </c>
      <c r="CQ21" s="123">
        <v>0</v>
      </c>
      <c r="CR21" s="123">
        <v>0</v>
      </c>
      <c r="CS21" s="123">
        <v>0</v>
      </c>
      <c r="CT21" s="123">
        <v>0</v>
      </c>
      <c r="CU21" s="123">
        <v>0</v>
      </c>
      <c r="CV21" s="123">
        <v>0</v>
      </c>
      <c r="CW21" s="123">
        <v>0</v>
      </c>
      <c r="CX21" s="123">
        <v>0</v>
      </c>
      <c r="CY21" s="123">
        <v>0</v>
      </c>
      <c r="CZ21" s="123">
        <v>0</v>
      </c>
      <c r="DA21" s="123">
        <v>0</v>
      </c>
      <c r="DB21" s="123">
        <v>0</v>
      </c>
      <c r="DC21" s="123">
        <v>0</v>
      </c>
      <c r="DD21" s="123">
        <v>0</v>
      </c>
      <c r="DE21" s="125">
        <v>0</v>
      </c>
      <c r="DF21" s="123">
        <v>0</v>
      </c>
      <c r="DG21" s="123">
        <v>0</v>
      </c>
      <c r="DH21" s="123">
        <v>0</v>
      </c>
      <c r="DI21" s="123">
        <v>0</v>
      </c>
      <c r="DJ21" s="123">
        <v>0</v>
      </c>
      <c r="DK21" s="123">
        <v>0</v>
      </c>
      <c r="DL21" s="123">
        <v>0</v>
      </c>
      <c r="DM21" s="123">
        <v>0</v>
      </c>
      <c r="DN21" s="123">
        <v>0</v>
      </c>
      <c r="DO21" s="123">
        <v>0</v>
      </c>
      <c r="DP21" s="123">
        <v>0</v>
      </c>
      <c r="DQ21" s="123">
        <v>0</v>
      </c>
      <c r="DR21" s="123">
        <v>0</v>
      </c>
      <c r="DS21" s="209">
        <v>0</v>
      </c>
      <c r="DT21" s="209">
        <v>0</v>
      </c>
      <c r="DU21" s="209">
        <v>0</v>
      </c>
      <c r="DV21" s="209">
        <v>0</v>
      </c>
      <c r="DW21" s="209">
        <v>0</v>
      </c>
      <c r="DX21" s="209">
        <v>0</v>
      </c>
      <c r="DY21" s="209">
        <v>0</v>
      </c>
      <c r="DZ21" s="209">
        <v>0</v>
      </c>
      <c r="EA21" s="209">
        <v>0</v>
      </c>
      <c r="EB21" s="209">
        <v>0</v>
      </c>
      <c r="EC21" s="209">
        <v>0</v>
      </c>
      <c r="ED21" s="209">
        <v>0</v>
      </c>
      <c r="EE21" s="209">
        <v>0</v>
      </c>
      <c r="EF21" s="209">
        <v>0</v>
      </c>
      <c r="EG21" s="209">
        <v>0</v>
      </c>
      <c r="EH21" s="211">
        <f t="shared" si="8"/>
        <v>0</v>
      </c>
      <c r="EI21" s="187">
        <f>EH21/EH13</f>
        <v>0</v>
      </c>
      <c r="EJ21" s="89">
        <f t="shared" si="9"/>
        <v>12878</v>
      </c>
      <c r="EK21" s="126">
        <f>EJ21/EJ13</f>
        <v>4.0629219722113551E-2</v>
      </c>
      <c r="EL21" s="199"/>
      <c r="EM21" s="199"/>
      <c r="EN21" s="47">
        <f t="shared" si="0"/>
        <v>11308</v>
      </c>
      <c r="EO21" s="12">
        <f t="shared" si="1"/>
        <v>248</v>
      </c>
      <c r="EP21" s="12">
        <f t="shared" si="2"/>
        <v>1922</v>
      </c>
      <c r="EQ21" s="12">
        <f t="shared" si="3"/>
        <v>3626</v>
      </c>
      <c r="ER21" s="12">
        <f t="shared" si="4"/>
        <v>5132</v>
      </c>
      <c r="ES21" s="15">
        <f t="shared" si="5"/>
        <v>1925</v>
      </c>
      <c r="ET21" s="49">
        <f t="shared" si="6"/>
        <v>25</v>
      </c>
      <c r="EU21" s="49">
        <f t="shared" si="7"/>
        <v>0</v>
      </c>
      <c r="EV21" s="49">
        <f>SUM(CU21:DS21)</f>
        <v>0</v>
      </c>
      <c r="EW21" s="49">
        <f t="shared" si="11"/>
        <v>0</v>
      </c>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c r="GL21"/>
      <c r="GM21"/>
      <c r="GN21"/>
      <c r="GO21"/>
      <c r="GP21"/>
      <c r="GQ21"/>
      <c r="GR21"/>
      <c r="GS21"/>
      <c r="GT21"/>
      <c r="GU21"/>
      <c r="GV21"/>
      <c r="GW21"/>
      <c r="GX21"/>
      <c r="GY21"/>
      <c r="GZ21"/>
      <c r="HA21"/>
      <c r="HB21"/>
      <c r="HC21"/>
      <c r="HD21"/>
      <c r="HE21"/>
      <c r="HF21"/>
      <c r="HG21"/>
      <c r="HH21"/>
      <c r="HI21"/>
      <c r="HJ21"/>
      <c r="HK21"/>
      <c r="HL21"/>
      <c r="HM21"/>
      <c r="HN21"/>
      <c r="HO21"/>
      <c r="HP21"/>
      <c r="HQ21"/>
      <c r="HR21"/>
      <c r="HS21"/>
      <c r="HT21"/>
      <c r="HU21"/>
      <c r="HV21"/>
      <c r="HW21"/>
      <c r="HX21"/>
      <c r="HY21"/>
      <c r="HZ21"/>
      <c r="IA21"/>
      <c r="IB21"/>
      <c r="IC21"/>
      <c r="ID21"/>
      <c r="IE21"/>
      <c r="IF21"/>
      <c r="IG21"/>
      <c r="IH21"/>
      <c r="II21"/>
      <c r="IJ21"/>
      <c r="IK21"/>
      <c r="IL21"/>
      <c r="IM21"/>
      <c r="IN21"/>
      <c r="IO21"/>
      <c r="IP21"/>
      <c r="IQ21"/>
      <c r="IR21"/>
      <c r="IS21"/>
      <c r="IT21"/>
      <c r="IU21"/>
      <c r="IV21"/>
      <c r="IW21"/>
      <c r="IX21"/>
      <c r="IY21"/>
      <c r="IZ21"/>
      <c r="JA21"/>
      <c r="JB21"/>
      <c r="JC21"/>
      <c r="JD21"/>
      <c r="JE21"/>
      <c r="JF21"/>
      <c r="JG21"/>
      <c r="JH21"/>
      <c r="JI21"/>
      <c r="JJ21"/>
      <c r="JK21"/>
      <c r="JL21"/>
      <c r="JM21"/>
      <c r="JN21"/>
      <c r="JO21"/>
      <c r="JP21"/>
      <c r="JQ21"/>
      <c r="JR21"/>
      <c r="JS21"/>
      <c r="JT21"/>
      <c r="JU21"/>
      <c r="JV21"/>
      <c r="JW21"/>
      <c r="JX21"/>
      <c r="JY21"/>
      <c r="JZ21"/>
      <c r="KA21"/>
      <c r="KB21"/>
      <c r="KC21"/>
      <c r="KD21"/>
      <c r="KE21"/>
      <c r="KF21"/>
      <c r="KG21"/>
      <c r="KH21"/>
      <c r="KI21"/>
      <c r="KJ21"/>
      <c r="KK21"/>
      <c r="KL21"/>
      <c r="KM21"/>
      <c r="KN21"/>
      <c r="KO21"/>
      <c r="KP21"/>
      <c r="KQ21"/>
      <c r="KR21"/>
    </row>
    <row r="22" spans="1:304" s="78" customFormat="1" x14ac:dyDescent="0.25">
      <c r="A22" s="320"/>
      <c r="B22" s="223" t="s">
        <v>44</v>
      </c>
      <c r="C22" s="33">
        <v>254</v>
      </c>
      <c r="D22" s="33">
        <v>418</v>
      </c>
      <c r="E22" s="33">
        <v>492</v>
      </c>
      <c r="F22" s="33">
        <v>557</v>
      </c>
      <c r="G22" s="33">
        <v>1279</v>
      </c>
      <c r="H22" s="33">
        <v>1578</v>
      </c>
      <c r="I22" s="33">
        <v>1222</v>
      </c>
      <c r="J22" s="33">
        <v>380</v>
      </c>
      <c r="K22" s="33">
        <v>550</v>
      </c>
      <c r="L22" s="33">
        <v>197</v>
      </c>
      <c r="M22" s="33">
        <v>1706</v>
      </c>
      <c r="N22" s="33">
        <v>128</v>
      </c>
      <c r="O22" s="33">
        <v>185</v>
      </c>
      <c r="P22" s="33">
        <v>764</v>
      </c>
      <c r="Q22" s="33">
        <v>1248</v>
      </c>
      <c r="R22" s="33">
        <v>14017</v>
      </c>
      <c r="S22" s="33">
        <v>8525</v>
      </c>
      <c r="T22" s="33">
        <v>243</v>
      </c>
      <c r="U22" s="33">
        <v>664</v>
      </c>
      <c r="V22" s="33">
        <v>1058</v>
      </c>
      <c r="W22" s="33">
        <v>1250</v>
      </c>
      <c r="X22" s="33">
        <v>1979</v>
      </c>
      <c r="Y22" s="33">
        <v>1008</v>
      </c>
      <c r="Z22" s="33">
        <v>902</v>
      </c>
      <c r="AA22" s="33">
        <v>843</v>
      </c>
      <c r="AB22" s="33">
        <v>404</v>
      </c>
      <c r="AC22" s="33">
        <v>440</v>
      </c>
      <c r="AD22" s="33">
        <v>481</v>
      </c>
      <c r="AE22" s="33">
        <v>377</v>
      </c>
      <c r="AF22" s="33">
        <v>593</v>
      </c>
      <c r="AG22" s="33">
        <v>554</v>
      </c>
      <c r="AH22" s="33">
        <v>1159</v>
      </c>
      <c r="AI22" s="33">
        <v>771</v>
      </c>
      <c r="AJ22" s="34">
        <v>724</v>
      </c>
      <c r="AK22" s="34">
        <v>1001</v>
      </c>
      <c r="AL22" s="34">
        <v>324</v>
      </c>
      <c r="AM22" s="34">
        <v>339</v>
      </c>
      <c r="AN22" s="34">
        <v>917</v>
      </c>
      <c r="AO22" s="34">
        <v>276</v>
      </c>
      <c r="AP22" s="34">
        <v>136</v>
      </c>
      <c r="AQ22" s="34">
        <v>120</v>
      </c>
      <c r="AR22" s="34">
        <v>0</v>
      </c>
      <c r="AS22" s="34">
        <v>432</v>
      </c>
      <c r="AT22" s="34">
        <v>340</v>
      </c>
      <c r="AU22" s="34">
        <v>748</v>
      </c>
      <c r="AV22" s="34">
        <v>433</v>
      </c>
      <c r="AW22" s="34">
        <v>0</v>
      </c>
      <c r="AX22" s="34">
        <v>0</v>
      </c>
      <c r="AY22" s="34">
        <v>0</v>
      </c>
      <c r="AZ22" s="34">
        <v>0</v>
      </c>
      <c r="BA22" s="34">
        <v>216</v>
      </c>
      <c r="BB22" s="34">
        <v>0</v>
      </c>
      <c r="BC22" s="34">
        <v>120</v>
      </c>
      <c r="BD22" s="34">
        <v>1</v>
      </c>
      <c r="BE22" s="34">
        <v>1</v>
      </c>
      <c r="BF22" s="34">
        <v>0</v>
      </c>
      <c r="BG22" s="34">
        <v>0</v>
      </c>
      <c r="BH22" s="34">
        <v>0</v>
      </c>
      <c r="BI22" s="34">
        <v>0</v>
      </c>
      <c r="BJ22" s="34">
        <v>0</v>
      </c>
      <c r="BK22" s="34">
        <v>0</v>
      </c>
      <c r="BL22" s="34">
        <v>12</v>
      </c>
      <c r="BM22" s="34">
        <v>0</v>
      </c>
      <c r="BN22" s="34">
        <v>3</v>
      </c>
      <c r="BO22" s="34">
        <v>0</v>
      </c>
      <c r="BP22" s="34">
        <v>22</v>
      </c>
      <c r="BQ22" s="34">
        <v>4</v>
      </c>
      <c r="BR22" s="34">
        <v>209</v>
      </c>
      <c r="BS22" s="34">
        <v>4</v>
      </c>
      <c r="BT22" s="34">
        <v>1</v>
      </c>
      <c r="BU22" s="34">
        <v>10</v>
      </c>
      <c r="BV22" s="34">
        <v>21</v>
      </c>
      <c r="BW22" s="34">
        <v>5</v>
      </c>
      <c r="BX22" s="34">
        <v>0</v>
      </c>
      <c r="BY22" s="34">
        <v>5</v>
      </c>
      <c r="BZ22" s="34">
        <v>6</v>
      </c>
      <c r="CA22" s="34">
        <v>12</v>
      </c>
      <c r="CB22" s="34">
        <v>8</v>
      </c>
      <c r="CC22" s="34">
        <v>4</v>
      </c>
      <c r="CD22" s="34">
        <v>0</v>
      </c>
      <c r="CE22" s="34">
        <v>3</v>
      </c>
      <c r="CF22" s="34">
        <v>0</v>
      </c>
      <c r="CG22" s="34">
        <v>0</v>
      </c>
      <c r="CH22" s="34">
        <v>0</v>
      </c>
      <c r="CI22" s="34">
        <v>0</v>
      </c>
      <c r="CJ22" s="34">
        <v>0</v>
      </c>
      <c r="CK22" s="34">
        <v>0</v>
      </c>
      <c r="CL22" s="34">
        <v>0</v>
      </c>
      <c r="CM22" s="34">
        <v>0</v>
      </c>
      <c r="CN22" s="34">
        <v>0</v>
      </c>
      <c r="CO22" s="39">
        <v>0</v>
      </c>
      <c r="CP22" s="34">
        <v>0</v>
      </c>
      <c r="CQ22" s="34">
        <v>0</v>
      </c>
      <c r="CR22" s="34">
        <v>0</v>
      </c>
      <c r="CS22" s="34">
        <v>0</v>
      </c>
      <c r="CT22" s="34">
        <v>0</v>
      </c>
      <c r="CU22" s="34">
        <v>0</v>
      </c>
      <c r="CV22" s="34">
        <v>0</v>
      </c>
      <c r="CW22" s="34">
        <v>0</v>
      </c>
      <c r="CX22" s="34">
        <v>0</v>
      </c>
      <c r="CY22" s="34">
        <v>0</v>
      </c>
      <c r="CZ22" s="34">
        <v>0</v>
      </c>
      <c r="DA22" s="34">
        <v>0</v>
      </c>
      <c r="DB22" s="34">
        <v>0</v>
      </c>
      <c r="DC22" s="34">
        <v>21</v>
      </c>
      <c r="DD22" s="34">
        <v>1</v>
      </c>
      <c r="DE22" s="34">
        <v>0</v>
      </c>
      <c r="DF22" s="34">
        <v>0</v>
      </c>
      <c r="DG22" s="34">
        <v>0</v>
      </c>
      <c r="DH22" s="34">
        <v>0</v>
      </c>
      <c r="DI22" s="34">
        <v>4</v>
      </c>
      <c r="DJ22" s="34">
        <v>0</v>
      </c>
      <c r="DK22" s="34">
        <v>2</v>
      </c>
      <c r="DL22" s="34">
        <v>10</v>
      </c>
      <c r="DM22" s="34">
        <v>1</v>
      </c>
      <c r="DN22" s="34">
        <v>0</v>
      </c>
      <c r="DO22" s="34">
        <v>0</v>
      </c>
      <c r="DP22" s="34">
        <v>0</v>
      </c>
      <c r="DQ22" s="34">
        <v>0</v>
      </c>
      <c r="DR22" s="34">
        <v>0</v>
      </c>
      <c r="DS22" s="42">
        <v>0</v>
      </c>
      <c r="DT22" s="42">
        <v>0</v>
      </c>
      <c r="DU22" s="42">
        <v>0</v>
      </c>
      <c r="DV22" s="42">
        <v>3</v>
      </c>
      <c r="DW22" s="42">
        <v>0</v>
      </c>
      <c r="DX22" s="42">
        <v>0</v>
      </c>
      <c r="DY22" s="42">
        <v>0</v>
      </c>
      <c r="DZ22" s="42">
        <v>0</v>
      </c>
      <c r="EA22" s="42">
        <v>0</v>
      </c>
      <c r="EB22" s="42">
        <v>0</v>
      </c>
      <c r="EC22" s="42">
        <v>0</v>
      </c>
      <c r="ED22" s="42">
        <v>0</v>
      </c>
      <c r="EE22" s="42">
        <v>0</v>
      </c>
      <c r="EF22" s="42">
        <v>0</v>
      </c>
      <c r="EG22" s="42">
        <v>0</v>
      </c>
      <c r="EH22" s="211">
        <f t="shared" si="8"/>
        <v>42</v>
      </c>
      <c r="EI22" s="126">
        <f>EH22/EH13</f>
        <v>8.2922013820335636E-3</v>
      </c>
      <c r="EJ22" s="89">
        <f t="shared" si="9"/>
        <v>52725</v>
      </c>
      <c r="EK22" s="89"/>
      <c r="EL22" s="47"/>
      <c r="EM22" s="47"/>
      <c r="EN22" s="47">
        <f t="shared" si="0"/>
        <v>46922</v>
      </c>
      <c r="EO22" s="12">
        <f t="shared" si="1"/>
        <v>254</v>
      </c>
      <c r="EP22" s="12">
        <f t="shared" si="2"/>
        <v>8692</v>
      </c>
      <c r="EQ22" s="12">
        <f t="shared" si="3"/>
        <v>32501</v>
      </c>
      <c r="ER22" s="12">
        <f t="shared" si="4"/>
        <v>7167</v>
      </c>
      <c r="ES22" s="15">
        <f t="shared" si="5"/>
        <v>3402</v>
      </c>
      <c r="ET22" s="49">
        <f t="shared" si="6"/>
        <v>629</v>
      </c>
      <c r="EU22" s="49">
        <f t="shared" si="7"/>
        <v>38</v>
      </c>
      <c r="EV22" s="49">
        <f t="shared" ref="EV22:EV53" si="12">SUM(CV22:DS22)</f>
        <v>39</v>
      </c>
      <c r="EW22" s="49">
        <f t="shared" si="11"/>
        <v>3</v>
      </c>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c r="GL22"/>
      <c r="GM22"/>
      <c r="GN22"/>
      <c r="GO22"/>
      <c r="GP22"/>
      <c r="GQ22"/>
      <c r="GR22"/>
      <c r="GS22"/>
      <c r="GT22"/>
      <c r="GU22"/>
      <c r="GV22"/>
      <c r="GW22"/>
      <c r="GX22"/>
      <c r="GY22"/>
      <c r="GZ22"/>
      <c r="HA22"/>
      <c r="HB22"/>
      <c r="HC22"/>
      <c r="HD22"/>
      <c r="HE22"/>
      <c r="HF22"/>
      <c r="HG22"/>
      <c r="HH22"/>
      <c r="HI22"/>
      <c r="HJ22"/>
      <c r="HK22"/>
      <c r="HL22"/>
      <c r="HM22"/>
      <c r="HN22"/>
      <c r="HO22"/>
      <c r="HP22"/>
      <c r="HQ22"/>
      <c r="HR22"/>
      <c r="HS22"/>
      <c r="HT22"/>
      <c r="HU22"/>
      <c r="HV22"/>
      <c r="HW22"/>
      <c r="HX22"/>
      <c r="HY22"/>
      <c r="HZ22"/>
      <c r="IA22"/>
      <c r="IB22"/>
      <c r="IC22"/>
      <c r="ID22"/>
      <c r="IE22"/>
      <c r="IF22"/>
      <c r="IG22"/>
      <c r="IH22"/>
      <c r="II22"/>
      <c r="IJ22"/>
      <c r="IK22"/>
      <c r="IL22"/>
      <c r="IM22"/>
      <c r="IN22"/>
      <c r="IO22"/>
      <c r="IP22"/>
      <c r="IQ22"/>
      <c r="IR22"/>
      <c r="IS22"/>
      <c r="IT22"/>
      <c r="IU22"/>
      <c r="IV22"/>
      <c r="IW22"/>
      <c r="IX22"/>
      <c r="IY22"/>
      <c r="IZ22"/>
      <c r="JA22"/>
      <c r="JB22"/>
      <c r="JC22"/>
      <c r="JD22"/>
      <c r="JE22"/>
      <c r="JF22"/>
      <c r="JG22"/>
      <c r="JH22"/>
      <c r="JI22"/>
      <c r="JJ22"/>
      <c r="JK22"/>
      <c r="JL22"/>
      <c r="JM22"/>
      <c r="JN22"/>
      <c r="JO22"/>
      <c r="JP22"/>
      <c r="JQ22"/>
      <c r="JR22"/>
      <c r="JS22"/>
      <c r="JT22"/>
      <c r="JU22"/>
      <c r="JV22"/>
      <c r="JW22"/>
      <c r="JX22"/>
      <c r="JY22"/>
      <c r="JZ22"/>
      <c r="KA22"/>
      <c r="KB22"/>
      <c r="KC22"/>
      <c r="KD22"/>
      <c r="KE22"/>
      <c r="KF22"/>
      <c r="KG22"/>
      <c r="KH22"/>
      <c r="KI22"/>
      <c r="KJ22"/>
      <c r="KK22"/>
      <c r="KL22"/>
      <c r="KM22"/>
      <c r="KN22"/>
      <c r="KO22"/>
      <c r="KP22"/>
      <c r="KQ22"/>
      <c r="KR22"/>
    </row>
    <row r="23" spans="1:304" s="78" customFormat="1" x14ac:dyDescent="0.25">
      <c r="A23" s="320"/>
      <c r="B23" s="223" t="s">
        <v>45</v>
      </c>
      <c r="C23" s="33">
        <v>22</v>
      </c>
      <c r="D23" s="33">
        <v>2</v>
      </c>
      <c r="E23" s="33">
        <v>7</v>
      </c>
      <c r="F23" s="33">
        <v>35</v>
      </c>
      <c r="G23" s="33">
        <v>2</v>
      </c>
      <c r="H23" s="33">
        <v>15</v>
      </c>
      <c r="I23" s="33">
        <v>6</v>
      </c>
      <c r="J23" s="33">
        <v>128</v>
      </c>
      <c r="K23" s="33">
        <v>72</v>
      </c>
      <c r="L23" s="33">
        <v>24</v>
      </c>
      <c r="M23" s="33">
        <v>26</v>
      </c>
      <c r="N23" s="33">
        <v>0</v>
      </c>
      <c r="O23" s="33">
        <v>9</v>
      </c>
      <c r="P23" s="33">
        <v>6</v>
      </c>
      <c r="Q23" s="33">
        <v>8</v>
      </c>
      <c r="R23" s="33">
        <v>5</v>
      </c>
      <c r="S23" s="33">
        <v>19</v>
      </c>
      <c r="T23" s="33">
        <v>54</v>
      </c>
      <c r="U23" s="33">
        <v>0</v>
      </c>
      <c r="V23" s="33">
        <v>37</v>
      </c>
      <c r="W23" s="33">
        <v>35</v>
      </c>
      <c r="X23" s="33">
        <v>0</v>
      </c>
      <c r="Y23" s="33">
        <v>0</v>
      </c>
      <c r="Z23" s="33">
        <v>0</v>
      </c>
      <c r="AA23" s="33">
        <v>0</v>
      </c>
      <c r="AB23" s="33">
        <v>0</v>
      </c>
      <c r="AC23" s="33">
        <v>0</v>
      </c>
      <c r="AD23" s="33">
        <v>2</v>
      </c>
      <c r="AE23" s="33">
        <v>0</v>
      </c>
      <c r="AF23" s="33">
        <v>0</v>
      </c>
      <c r="AG23" s="33">
        <v>0</v>
      </c>
      <c r="AH23" s="33">
        <v>0</v>
      </c>
      <c r="AI23" s="33">
        <v>0</v>
      </c>
      <c r="AJ23" s="34">
        <v>0</v>
      </c>
      <c r="AK23" s="34">
        <v>0</v>
      </c>
      <c r="AL23" s="34">
        <v>0</v>
      </c>
      <c r="AM23" s="34">
        <v>35</v>
      </c>
      <c r="AN23" s="34">
        <v>0</v>
      </c>
      <c r="AO23" s="34">
        <v>0</v>
      </c>
      <c r="AP23" s="34">
        <v>0</v>
      </c>
      <c r="AQ23" s="34">
        <v>1</v>
      </c>
      <c r="AR23" s="34">
        <v>0</v>
      </c>
      <c r="AS23" s="34">
        <v>27</v>
      </c>
      <c r="AT23" s="34">
        <v>9</v>
      </c>
      <c r="AU23" s="34">
        <v>0</v>
      </c>
      <c r="AV23" s="34">
        <v>9</v>
      </c>
      <c r="AW23" s="34">
        <v>0</v>
      </c>
      <c r="AX23" s="34">
        <v>0</v>
      </c>
      <c r="AY23" s="34">
        <v>0</v>
      </c>
      <c r="AZ23" s="34">
        <v>0</v>
      </c>
      <c r="BA23" s="34">
        <v>0</v>
      </c>
      <c r="BB23" s="34">
        <v>0</v>
      </c>
      <c r="BC23" s="34">
        <v>0</v>
      </c>
      <c r="BD23" s="34">
        <v>0</v>
      </c>
      <c r="BE23" s="34">
        <v>0</v>
      </c>
      <c r="BF23" s="34">
        <v>0</v>
      </c>
      <c r="BG23" s="34">
        <v>0</v>
      </c>
      <c r="BH23" s="34">
        <v>0</v>
      </c>
      <c r="BI23" s="34">
        <v>0</v>
      </c>
      <c r="BJ23" s="34">
        <v>0</v>
      </c>
      <c r="BK23" s="34">
        <v>0</v>
      </c>
      <c r="BL23" s="34">
        <v>18</v>
      </c>
      <c r="BM23" s="34">
        <v>13</v>
      </c>
      <c r="BN23" s="34">
        <v>2</v>
      </c>
      <c r="BO23" s="34">
        <v>0</v>
      </c>
      <c r="BP23" s="34">
        <v>4</v>
      </c>
      <c r="BQ23" s="34">
        <v>0</v>
      </c>
      <c r="BR23" s="34">
        <v>0</v>
      </c>
      <c r="BS23" s="34">
        <v>0</v>
      </c>
      <c r="BT23" s="34">
        <v>0</v>
      </c>
      <c r="BU23" s="34">
        <v>0</v>
      </c>
      <c r="BV23" s="34">
        <v>13</v>
      </c>
      <c r="BW23" s="34">
        <v>39</v>
      </c>
      <c r="BX23" s="34">
        <v>0</v>
      </c>
      <c r="BY23" s="34">
        <v>0</v>
      </c>
      <c r="BZ23" s="34">
        <v>1</v>
      </c>
      <c r="CA23" s="34">
        <v>0</v>
      </c>
      <c r="CB23" s="34">
        <v>0</v>
      </c>
      <c r="CC23" s="34">
        <v>0</v>
      </c>
      <c r="CD23" s="34">
        <v>0</v>
      </c>
      <c r="CE23" s="34">
        <v>0</v>
      </c>
      <c r="CF23" s="34">
        <v>0</v>
      </c>
      <c r="CG23" s="34">
        <v>0</v>
      </c>
      <c r="CH23" s="34">
        <v>2</v>
      </c>
      <c r="CI23" s="168">
        <v>3</v>
      </c>
      <c r="CJ23" s="168">
        <v>1</v>
      </c>
      <c r="CK23" s="168">
        <v>1</v>
      </c>
      <c r="CL23" s="168">
        <v>33</v>
      </c>
      <c r="CM23" s="168">
        <v>1</v>
      </c>
      <c r="CN23" s="168">
        <v>18</v>
      </c>
      <c r="CO23" s="168">
        <v>18</v>
      </c>
      <c r="CP23" s="168">
        <v>37</v>
      </c>
      <c r="CQ23" s="34">
        <v>25</v>
      </c>
      <c r="CR23" s="34">
        <v>0</v>
      </c>
      <c r="CS23" s="34">
        <v>9</v>
      </c>
      <c r="CT23" s="34">
        <v>18</v>
      </c>
      <c r="CU23" s="34">
        <v>1</v>
      </c>
      <c r="CV23" s="34">
        <v>0</v>
      </c>
      <c r="CW23" s="34">
        <v>11</v>
      </c>
      <c r="CX23" s="34">
        <v>46</v>
      </c>
      <c r="CY23" s="34">
        <v>45</v>
      </c>
      <c r="CZ23" s="34">
        <v>99</v>
      </c>
      <c r="DA23" s="34">
        <v>27</v>
      </c>
      <c r="DB23" s="34">
        <v>83</v>
      </c>
      <c r="DC23" s="34">
        <v>148</v>
      </c>
      <c r="DD23" s="34">
        <v>15</v>
      </c>
      <c r="DE23" s="34">
        <v>25</v>
      </c>
      <c r="DF23" s="34">
        <v>6</v>
      </c>
      <c r="DG23" s="34">
        <v>0</v>
      </c>
      <c r="DH23" s="34">
        <v>2</v>
      </c>
      <c r="DI23" s="34">
        <v>2</v>
      </c>
      <c r="DJ23" s="34">
        <v>0</v>
      </c>
      <c r="DK23" s="34">
        <v>4</v>
      </c>
      <c r="DL23" s="34">
        <v>3</v>
      </c>
      <c r="DM23" s="34">
        <v>0</v>
      </c>
      <c r="DN23" s="34">
        <v>0</v>
      </c>
      <c r="DO23" s="34">
        <v>0</v>
      </c>
      <c r="DP23" s="34">
        <v>0</v>
      </c>
      <c r="DQ23" s="34">
        <v>0</v>
      </c>
      <c r="DR23" s="34">
        <v>0</v>
      </c>
      <c r="DS23" s="42">
        <v>0</v>
      </c>
      <c r="DT23" s="42">
        <v>0</v>
      </c>
      <c r="DU23" s="42">
        <v>1</v>
      </c>
      <c r="DV23" s="42">
        <v>0</v>
      </c>
      <c r="DW23" s="42">
        <v>1</v>
      </c>
      <c r="DX23" s="42">
        <v>2</v>
      </c>
      <c r="DY23" s="42">
        <v>0</v>
      </c>
      <c r="DZ23" s="42">
        <v>0</v>
      </c>
      <c r="EA23" s="42">
        <v>0</v>
      </c>
      <c r="EB23" s="42">
        <v>0</v>
      </c>
      <c r="EC23" s="42">
        <v>0</v>
      </c>
      <c r="ED23" s="42">
        <v>0</v>
      </c>
      <c r="EE23" s="42">
        <v>0</v>
      </c>
      <c r="EF23" s="42">
        <v>0</v>
      </c>
      <c r="EG23" s="42">
        <v>0</v>
      </c>
      <c r="EH23" s="211">
        <f t="shared" si="8"/>
        <v>610</v>
      </c>
      <c r="EI23" s="126">
        <f>EH23/EH13</f>
        <v>0.12043435340572557</v>
      </c>
      <c r="EJ23" s="89">
        <f t="shared" si="9"/>
        <v>1372</v>
      </c>
      <c r="EK23" s="89"/>
      <c r="EL23" s="47"/>
      <c r="EM23" s="47"/>
      <c r="EN23" s="47">
        <f t="shared" si="0"/>
        <v>1279</v>
      </c>
      <c r="EO23" s="12">
        <f t="shared" si="1"/>
        <v>22</v>
      </c>
      <c r="EP23" s="12">
        <f t="shared" si="2"/>
        <v>326</v>
      </c>
      <c r="EQ23" s="12">
        <f t="shared" si="3"/>
        <v>164</v>
      </c>
      <c r="ER23" s="12">
        <f t="shared" si="4"/>
        <v>37</v>
      </c>
      <c r="ES23" s="15">
        <f t="shared" si="5"/>
        <v>46</v>
      </c>
      <c r="ET23" s="49">
        <f t="shared" si="6"/>
        <v>89</v>
      </c>
      <c r="EU23" s="49">
        <f t="shared" si="7"/>
        <v>168</v>
      </c>
      <c r="EV23" s="49">
        <f t="shared" si="12"/>
        <v>516</v>
      </c>
      <c r="EW23" s="49">
        <f t="shared" si="11"/>
        <v>4</v>
      </c>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c r="GL23"/>
      <c r="GM23"/>
      <c r="GN23"/>
      <c r="GO23"/>
      <c r="GP23"/>
      <c r="GQ23"/>
      <c r="GR23"/>
      <c r="GS23"/>
      <c r="GT23"/>
      <c r="GU23"/>
      <c r="GV23"/>
      <c r="GW23"/>
      <c r="GX23"/>
      <c r="GY23"/>
      <c r="GZ23"/>
      <c r="HA23"/>
      <c r="HB23"/>
      <c r="HC23"/>
      <c r="HD23"/>
      <c r="HE23"/>
      <c r="HF23"/>
      <c r="HG23"/>
      <c r="HH23"/>
      <c r="HI23"/>
      <c r="HJ23"/>
      <c r="HK23"/>
      <c r="HL23"/>
      <c r="HM23"/>
      <c r="HN23"/>
      <c r="HO23"/>
      <c r="HP23"/>
      <c r="HQ23"/>
      <c r="HR23"/>
      <c r="HS23"/>
      <c r="HT23"/>
      <c r="HU23"/>
      <c r="HV23"/>
      <c r="HW23"/>
      <c r="HX23"/>
      <c r="HY23"/>
      <c r="HZ23"/>
      <c r="IA23"/>
      <c r="IB23"/>
      <c r="IC23"/>
      <c r="ID23"/>
      <c r="IE23"/>
      <c r="IF23"/>
      <c r="IG23"/>
      <c r="IH23"/>
      <c r="II23"/>
      <c r="IJ23"/>
      <c r="IK23"/>
      <c r="IL23"/>
      <c r="IM23"/>
      <c r="IN23"/>
      <c r="IO23"/>
      <c r="IP23"/>
      <c r="IQ23"/>
      <c r="IR23"/>
      <c r="IS23"/>
      <c r="IT23"/>
      <c r="IU23"/>
      <c r="IV23"/>
      <c r="IW23"/>
      <c r="IX23"/>
      <c r="IY23"/>
      <c r="IZ23"/>
      <c r="JA23"/>
      <c r="JB23"/>
      <c r="JC23"/>
      <c r="JD23"/>
      <c r="JE23"/>
      <c r="JF23"/>
      <c r="JG23"/>
      <c r="JH23"/>
      <c r="JI23"/>
      <c r="JJ23"/>
      <c r="JK23"/>
      <c r="JL23"/>
      <c r="JM23"/>
      <c r="JN23"/>
      <c r="JO23"/>
      <c r="JP23"/>
      <c r="JQ23"/>
      <c r="JR23"/>
      <c r="JS23"/>
      <c r="JT23"/>
      <c r="JU23"/>
      <c r="JV23"/>
      <c r="JW23"/>
      <c r="JX23"/>
      <c r="JY23"/>
      <c r="JZ23"/>
      <c r="KA23"/>
      <c r="KB23"/>
      <c r="KC23"/>
      <c r="KD23"/>
      <c r="KE23"/>
      <c r="KF23"/>
      <c r="KG23"/>
      <c r="KH23"/>
      <c r="KI23"/>
      <c r="KJ23"/>
      <c r="KK23"/>
      <c r="KL23"/>
      <c r="KM23"/>
      <c r="KN23"/>
      <c r="KO23"/>
      <c r="KP23"/>
      <c r="KQ23"/>
      <c r="KR23"/>
    </row>
    <row r="24" spans="1:304" s="78" customFormat="1" x14ac:dyDescent="0.25">
      <c r="A24" s="320"/>
      <c r="B24" s="223" t="s">
        <v>46</v>
      </c>
      <c r="C24" s="33">
        <v>249</v>
      </c>
      <c r="D24" s="33">
        <v>898</v>
      </c>
      <c r="E24" s="33">
        <v>610</v>
      </c>
      <c r="F24" s="33">
        <v>852</v>
      </c>
      <c r="G24" s="33">
        <v>1697</v>
      </c>
      <c r="H24" s="33">
        <v>1999</v>
      </c>
      <c r="I24" s="33">
        <v>1129</v>
      </c>
      <c r="J24" s="33">
        <v>221</v>
      </c>
      <c r="K24" s="33">
        <v>163</v>
      </c>
      <c r="L24" s="33">
        <v>245</v>
      </c>
      <c r="M24" s="33">
        <v>654</v>
      </c>
      <c r="N24" s="33">
        <v>94</v>
      </c>
      <c r="O24" s="33">
        <v>244</v>
      </c>
      <c r="P24" s="33">
        <v>354</v>
      </c>
      <c r="Q24" s="33">
        <v>644</v>
      </c>
      <c r="R24" s="33">
        <v>499</v>
      </c>
      <c r="S24" s="33">
        <v>9850</v>
      </c>
      <c r="T24" s="33">
        <v>757</v>
      </c>
      <c r="U24" s="33">
        <v>628</v>
      </c>
      <c r="V24" s="33">
        <v>644</v>
      </c>
      <c r="W24" s="33">
        <v>621</v>
      </c>
      <c r="X24" s="33">
        <v>570</v>
      </c>
      <c r="Y24" s="33">
        <v>391</v>
      </c>
      <c r="Z24" s="33">
        <v>298</v>
      </c>
      <c r="AA24" s="33">
        <v>196</v>
      </c>
      <c r="AB24" s="33">
        <v>345</v>
      </c>
      <c r="AC24" s="33">
        <v>448</v>
      </c>
      <c r="AD24" s="33">
        <v>595</v>
      </c>
      <c r="AE24" s="33">
        <v>578</v>
      </c>
      <c r="AF24" s="33">
        <v>404</v>
      </c>
      <c r="AG24" s="33">
        <v>634</v>
      </c>
      <c r="AH24" s="33">
        <v>537</v>
      </c>
      <c r="AI24" s="33">
        <v>1033</v>
      </c>
      <c r="AJ24" s="34">
        <v>644</v>
      </c>
      <c r="AK24" s="34">
        <v>333</v>
      </c>
      <c r="AL24" s="34">
        <v>538</v>
      </c>
      <c r="AM24" s="34">
        <v>304</v>
      </c>
      <c r="AN24" s="34">
        <v>471</v>
      </c>
      <c r="AO24" s="34">
        <v>248</v>
      </c>
      <c r="AP24" s="34">
        <v>486</v>
      </c>
      <c r="AQ24" s="34">
        <v>450</v>
      </c>
      <c r="AR24" s="34">
        <v>345</v>
      </c>
      <c r="AS24" s="34">
        <v>63</v>
      </c>
      <c r="AT24" s="34">
        <v>343</v>
      </c>
      <c r="AU24" s="34">
        <v>302</v>
      </c>
      <c r="AV24" s="34">
        <v>287</v>
      </c>
      <c r="AW24" s="34">
        <v>43</v>
      </c>
      <c r="AX24" s="34">
        <v>209</v>
      </c>
      <c r="AY24" s="34">
        <v>236</v>
      </c>
      <c r="AZ24" s="34">
        <v>55</v>
      </c>
      <c r="BA24" s="34">
        <v>177</v>
      </c>
      <c r="BB24" s="34">
        <v>95</v>
      </c>
      <c r="BC24" s="34">
        <v>199</v>
      </c>
      <c r="BD24" s="34">
        <v>182</v>
      </c>
      <c r="BE24" s="34">
        <v>440</v>
      </c>
      <c r="BF24" s="34">
        <v>282</v>
      </c>
      <c r="BG24" s="34">
        <v>372</v>
      </c>
      <c r="BH24" s="34">
        <v>19</v>
      </c>
      <c r="BI24" s="34">
        <v>529</v>
      </c>
      <c r="BJ24" s="34">
        <v>420</v>
      </c>
      <c r="BK24" s="34">
        <v>0</v>
      </c>
      <c r="BL24" s="34">
        <v>453</v>
      </c>
      <c r="BM24" s="34">
        <v>314</v>
      </c>
      <c r="BN24" s="34">
        <v>207</v>
      </c>
      <c r="BO24" s="34">
        <v>180</v>
      </c>
      <c r="BP24" s="34">
        <v>298</v>
      </c>
      <c r="BQ24" s="34">
        <v>244</v>
      </c>
      <c r="BR24" s="34">
        <v>207</v>
      </c>
      <c r="BS24" s="34">
        <v>450</v>
      </c>
      <c r="BT24" s="34">
        <v>163</v>
      </c>
      <c r="BU24" s="34">
        <v>224</v>
      </c>
      <c r="BV24" s="34">
        <v>192</v>
      </c>
      <c r="BW24" s="34">
        <v>376</v>
      </c>
      <c r="BX24" s="34">
        <v>86</v>
      </c>
      <c r="BY24" s="34">
        <v>127</v>
      </c>
      <c r="BZ24" s="34">
        <v>157</v>
      </c>
      <c r="CA24" s="34">
        <v>272</v>
      </c>
      <c r="CB24" s="34">
        <v>165</v>
      </c>
      <c r="CC24" s="34">
        <v>154</v>
      </c>
      <c r="CD24" s="34">
        <v>236</v>
      </c>
      <c r="CE24" s="34">
        <v>198</v>
      </c>
      <c r="CF24" s="34">
        <v>149</v>
      </c>
      <c r="CG24" s="34">
        <v>190</v>
      </c>
      <c r="CH24" s="34">
        <v>135</v>
      </c>
      <c r="CI24" s="168">
        <v>150</v>
      </c>
      <c r="CJ24" s="168">
        <v>262</v>
      </c>
      <c r="CK24" s="168">
        <v>302</v>
      </c>
      <c r="CL24" s="168">
        <v>174</v>
      </c>
      <c r="CM24" s="168">
        <v>301</v>
      </c>
      <c r="CN24" s="168">
        <v>180</v>
      </c>
      <c r="CO24" s="168">
        <v>180</v>
      </c>
      <c r="CP24" s="168">
        <v>219</v>
      </c>
      <c r="CQ24" s="34">
        <v>310</v>
      </c>
      <c r="CR24" s="34">
        <v>245</v>
      </c>
      <c r="CS24" s="34">
        <v>327</v>
      </c>
      <c r="CT24" s="34">
        <v>179</v>
      </c>
      <c r="CU24" s="34">
        <v>221</v>
      </c>
      <c r="CV24" s="34">
        <v>43</v>
      </c>
      <c r="CW24" s="34">
        <v>311</v>
      </c>
      <c r="CX24" s="34">
        <v>148</v>
      </c>
      <c r="CY24" s="34">
        <v>114</v>
      </c>
      <c r="CZ24" s="34">
        <v>27</v>
      </c>
      <c r="DA24" s="34">
        <v>93</v>
      </c>
      <c r="DB24" s="34">
        <v>86</v>
      </c>
      <c r="DC24" s="34">
        <v>116</v>
      </c>
      <c r="DD24" s="34">
        <v>92</v>
      </c>
      <c r="DE24" s="34">
        <v>151</v>
      </c>
      <c r="DF24" s="34">
        <v>68</v>
      </c>
      <c r="DG24" s="34">
        <v>70</v>
      </c>
      <c r="DH24" s="34">
        <v>38</v>
      </c>
      <c r="DI24" s="34">
        <v>38</v>
      </c>
      <c r="DJ24" s="34">
        <v>16</v>
      </c>
      <c r="DK24" s="34">
        <v>175</v>
      </c>
      <c r="DL24" s="34">
        <v>94</v>
      </c>
      <c r="DM24" s="34">
        <v>156</v>
      </c>
      <c r="DN24" s="34">
        <v>0</v>
      </c>
      <c r="DO24" s="34">
        <v>89</v>
      </c>
      <c r="DP24" s="34">
        <v>11</v>
      </c>
      <c r="DQ24" s="34">
        <v>4</v>
      </c>
      <c r="DR24" s="34">
        <v>10</v>
      </c>
      <c r="DS24" s="42">
        <v>8</v>
      </c>
      <c r="DT24" s="42">
        <v>0</v>
      </c>
      <c r="DU24" s="42">
        <v>113</v>
      </c>
      <c r="DV24" s="42">
        <v>28</v>
      </c>
      <c r="DW24" s="42">
        <v>51</v>
      </c>
      <c r="DX24" s="42">
        <v>117</v>
      </c>
      <c r="DY24" s="42">
        <v>20</v>
      </c>
      <c r="DZ24" s="42">
        <v>27</v>
      </c>
      <c r="EA24" s="42">
        <v>14</v>
      </c>
      <c r="EB24" s="42">
        <v>49</v>
      </c>
      <c r="EC24" s="42">
        <v>59</v>
      </c>
      <c r="ED24" s="42">
        <v>58</v>
      </c>
      <c r="EE24" s="42">
        <v>16</v>
      </c>
      <c r="EF24" s="42">
        <v>52</v>
      </c>
      <c r="EG24" s="42">
        <v>30</v>
      </c>
      <c r="EH24" s="211">
        <f t="shared" si="8"/>
        <v>4093</v>
      </c>
      <c r="EI24" s="126">
        <f>EH24/EH13</f>
        <v>0.80809476801579472</v>
      </c>
      <c r="EJ24" s="89">
        <f t="shared" si="9"/>
        <v>47942</v>
      </c>
      <c r="EK24" s="89"/>
      <c r="EL24" s="47"/>
      <c r="EM24" s="47"/>
      <c r="EN24" s="47">
        <f t="shared" si="0"/>
        <v>39904</v>
      </c>
      <c r="EO24" s="12">
        <f t="shared" si="1"/>
        <v>249</v>
      </c>
      <c r="EP24" s="12">
        <f t="shared" si="2"/>
        <v>8806</v>
      </c>
      <c r="EQ24" s="12">
        <f t="shared" si="3"/>
        <v>15452</v>
      </c>
      <c r="ER24" s="12">
        <f t="shared" si="4"/>
        <v>6393</v>
      </c>
      <c r="ES24" s="15">
        <f t="shared" si="5"/>
        <v>3483</v>
      </c>
      <c r="ET24" s="49">
        <f t="shared" si="6"/>
        <v>6078</v>
      </c>
      <c r="EU24" s="49">
        <f t="shared" si="7"/>
        <v>4919</v>
      </c>
      <c r="EV24" s="49">
        <f t="shared" si="12"/>
        <v>1958</v>
      </c>
      <c r="EW24" s="49">
        <f t="shared" si="11"/>
        <v>478</v>
      </c>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c r="GL24"/>
      <c r="GM24"/>
      <c r="GN24"/>
      <c r="GO24"/>
      <c r="GP24"/>
      <c r="GQ24"/>
      <c r="GR24"/>
      <c r="GS24"/>
      <c r="GT24"/>
      <c r="GU24"/>
      <c r="GV24"/>
      <c r="GW24"/>
      <c r="GX24"/>
      <c r="GY24"/>
      <c r="GZ24"/>
      <c r="HA24"/>
      <c r="HB24"/>
      <c r="HC24"/>
      <c r="HD24"/>
      <c r="HE24"/>
      <c r="HF24"/>
      <c r="HG24"/>
      <c r="HH24"/>
      <c r="HI24"/>
      <c r="HJ24"/>
      <c r="HK24"/>
      <c r="HL24"/>
      <c r="HM24"/>
      <c r="HN24"/>
      <c r="HO24"/>
      <c r="HP24"/>
      <c r="HQ24"/>
      <c r="HR24"/>
      <c r="HS24"/>
      <c r="HT24"/>
      <c r="HU24"/>
      <c r="HV24"/>
      <c r="HW24"/>
      <c r="HX24"/>
      <c r="HY24"/>
      <c r="HZ24"/>
      <c r="IA24"/>
      <c r="IB24"/>
      <c r="IC24"/>
      <c r="ID24"/>
      <c r="IE24"/>
      <c r="IF24"/>
      <c r="IG24"/>
      <c r="IH24"/>
      <c r="II24"/>
      <c r="IJ24"/>
      <c r="IK24"/>
      <c r="IL24"/>
      <c r="IM24"/>
      <c r="IN24"/>
      <c r="IO24"/>
      <c r="IP24"/>
      <c r="IQ24"/>
      <c r="IR24"/>
      <c r="IS24"/>
      <c r="IT24"/>
      <c r="IU24"/>
      <c r="IV24"/>
      <c r="IW24"/>
      <c r="IX24"/>
      <c r="IY24"/>
      <c r="IZ24"/>
      <c r="JA24"/>
      <c r="JB24"/>
      <c r="JC24"/>
      <c r="JD24"/>
      <c r="JE24"/>
      <c r="JF24"/>
      <c r="JG24"/>
      <c r="JH24"/>
      <c r="JI24"/>
      <c r="JJ24"/>
      <c r="JK24"/>
      <c r="JL24"/>
      <c r="JM24"/>
      <c r="JN24"/>
      <c r="JO24"/>
      <c r="JP24"/>
      <c r="JQ24"/>
      <c r="JR24"/>
      <c r="JS24"/>
      <c r="JT24"/>
      <c r="JU24"/>
      <c r="JV24"/>
      <c r="JW24"/>
      <c r="JX24"/>
      <c r="JY24"/>
      <c r="JZ24"/>
      <c r="KA24"/>
      <c r="KB24"/>
      <c r="KC24"/>
      <c r="KD24"/>
      <c r="KE24"/>
      <c r="KF24"/>
      <c r="KG24"/>
      <c r="KH24"/>
      <c r="KI24"/>
      <c r="KJ24"/>
      <c r="KK24"/>
      <c r="KL24"/>
      <c r="KM24"/>
      <c r="KN24"/>
      <c r="KO24"/>
      <c r="KP24"/>
      <c r="KQ24"/>
      <c r="KR24"/>
    </row>
    <row r="25" spans="1:304" s="78" customFormat="1" x14ac:dyDescent="0.25">
      <c r="A25" s="320"/>
      <c r="B25" s="223" t="s">
        <v>47</v>
      </c>
      <c r="C25" s="33">
        <v>1053</v>
      </c>
      <c r="D25" s="33">
        <v>1630</v>
      </c>
      <c r="E25" s="33">
        <v>2421</v>
      </c>
      <c r="F25" s="33">
        <v>1798</v>
      </c>
      <c r="G25" s="33">
        <v>2744</v>
      </c>
      <c r="H25" s="33">
        <v>1599</v>
      </c>
      <c r="I25" s="33">
        <v>2889</v>
      </c>
      <c r="J25" s="33">
        <v>3719</v>
      </c>
      <c r="K25" s="33">
        <v>2959</v>
      </c>
      <c r="L25" s="33">
        <v>2094</v>
      </c>
      <c r="M25" s="33">
        <v>2920</v>
      </c>
      <c r="N25" s="33">
        <v>4054</v>
      </c>
      <c r="O25" s="33">
        <v>5005</v>
      </c>
      <c r="P25" s="33">
        <v>6816</v>
      </c>
      <c r="Q25" s="33">
        <v>6394</v>
      </c>
      <c r="R25" s="33">
        <v>11266</v>
      </c>
      <c r="S25" s="33">
        <v>5989</v>
      </c>
      <c r="T25" s="33">
        <v>4105</v>
      </c>
      <c r="U25" s="33">
        <v>8441</v>
      </c>
      <c r="V25" s="33">
        <v>9031</v>
      </c>
      <c r="W25" s="33">
        <v>6279</v>
      </c>
      <c r="X25" s="33">
        <v>10512</v>
      </c>
      <c r="Y25" s="33">
        <v>6212</v>
      </c>
      <c r="Z25" s="33">
        <v>6078</v>
      </c>
      <c r="AA25" s="33">
        <v>4229</v>
      </c>
      <c r="AB25" s="33">
        <v>736</v>
      </c>
      <c r="AC25" s="33">
        <v>86</v>
      </c>
      <c r="AD25" s="33">
        <v>626</v>
      </c>
      <c r="AE25" s="33">
        <v>857</v>
      </c>
      <c r="AF25" s="33">
        <v>836</v>
      </c>
      <c r="AG25" s="33">
        <v>1564</v>
      </c>
      <c r="AH25" s="33">
        <v>2138</v>
      </c>
      <c r="AI25" s="33">
        <v>2051</v>
      </c>
      <c r="AJ25" s="34">
        <v>1306</v>
      </c>
      <c r="AK25" s="34">
        <v>1796</v>
      </c>
      <c r="AL25" s="34">
        <v>852</v>
      </c>
      <c r="AM25" s="34">
        <v>1754</v>
      </c>
      <c r="AN25" s="34">
        <v>1198</v>
      </c>
      <c r="AO25" s="34">
        <v>2120</v>
      </c>
      <c r="AP25" s="34">
        <v>2266</v>
      </c>
      <c r="AQ25" s="34">
        <v>1648</v>
      </c>
      <c r="AR25" s="34">
        <v>1655</v>
      </c>
      <c r="AS25" s="34">
        <v>1522</v>
      </c>
      <c r="AT25" s="34">
        <v>2564</v>
      </c>
      <c r="AU25" s="34">
        <v>2651</v>
      </c>
      <c r="AV25" s="34">
        <v>2015</v>
      </c>
      <c r="AW25" s="34">
        <v>914</v>
      </c>
      <c r="AX25" s="34">
        <v>371</v>
      </c>
      <c r="AY25" s="34">
        <v>483</v>
      </c>
      <c r="AZ25" s="34">
        <v>90</v>
      </c>
      <c r="BA25" s="34">
        <v>1086</v>
      </c>
      <c r="BB25" s="34">
        <v>556</v>
      </c>
      <c r="BC25" s="34">
        <v>644</v>
      </c>
      <c r="BD25" s="34">
        <v>209</v>
      </c>
      <c r="BE25" s="34">
        <v>754</v>
      </c>
      <c r="BF25" s="34">
        <v>552</v>
      </c>
      <c r="BG25" s="34">
        <v>505</v>
      </c>
      <c r="BH25" s="34">
        <v>33</v>
      </c>
      <c r="BI25" s="34">
        <v>196</v>
      </c>
      <c r="BJ25" s="34">
        <v>44</v>
      </c>
      <c r="BK25" s="34">
        <v>457</v>
      </c>
      <c r="BL25" s="34">
        <v>1127</v>
      </c>
      <c r="BM25" s="34">
        <v>345</v>
      </c>
      <c r="BN25" s="34">
        <v>748</v>
      </c>
      <c r="BO25" s="34">
        <v>1719</v>
      </c>
      <c r="BP25" s="34">
        <v>2059</v>
      </c>
      <c r="BQ25" s="34">
        <v>972</v>
      </c>
      <c r="BR25" s="34">
        <v>1099</v>
      </c>
      <c r="BS25" s="34">
        <v>1337</v>
      </c>
      <c r="BT25" s="34">
        <v>500</v>
      </c>
      <c r="BU25" s="34">
        <v>3776</v>
      </c>
      <c r="BV25" s="34">
        <v>5920</v>
      </c>
      <c r="BW25" s="34">
        <v>3647</v>
      </c>
      <c r="BX25" s="34">
        <v>2857</v>
      </c>
      <c r="BY25" s="34">
        <v>10236</v>
      </c>
      <c r="BZ25" s="34">
        <v>4932</v>
      </c>
      <c r="CA25" s="34">
        <v>6205</v>
      </c>
      <c r="CB25" s="34">
        <v>2874</v>
      </c>
      <c r="CC25" s="34">
        <v>2497</v>
      </c>
      <c r="CD25" s="34">
        <v>984</v>
      </c>
      <c r="CE25" s="34">
        <v>1145</v>
      </c>
      <c r="CF25" s="34">
        <v>24</v>
      </c>
      <c r="CG25" s="34">
        <v>60</v>
      </c>
      <c r="CH25" s="34">
        <v>27</v>
      </c>
      <c r="CI25" s="168">
        <v>24</v>
      </c>
      <c r="CJ25" s="168">
        <v>2</v>
      </c>
      <c r="CK25" s="168">
        <v>7</v>
      </c>
      <c r="CL25" s="168">
        <v>3</v>
      </c>
      <c r="CM25" s="168">
        <v>16</v>
      </c>
      <c r="CN25" s="168">
        <v>56</v>
      </c>
      <c r="CO25" s="168">
        <v>56</v>
      </c>
      <c r="CP25" s="168">
        <v>0</v>
      </c>
      <c r="CQ25" s="34">
        <v>0</v>
      </c>
      <c r="CR25" s="34">
        <v>0</v>
      </c>
      <c r="CS25" s="34">
        <v>1</v>
      </c>
      <c r="CT25" s="34">
        <v>1</v>
      </c>
      <c r="CU25" s="34">
        <v>5</v>
      </c>
      <c r="CV25" s="34">
        <v>1</v>
      </c>
      <c r="CW25" s="34">
        <v>0</v>
      </c>
      <c r="CX25" s="34">
        <v>3</v>
      </c>
      <c r="CY25" s="34">
        <v>0</v>
      </c>
      <c r="CZ25" s="34">
        <v>0</v>
      </c>
      <c r="DA25" s="34">
        <v>1</v>
      </c>
      <c r="DB25" s="34">
        <v>1</v>
      </c>
      <c r="DC25" s="34">
        <v>4</v>
      </c>
      <c r="DD25" s="34">
        <v>1</v>
      </c>
      <c r="DE25" s="34">
        <v>21</v>
      </c>
      <c r="DF25" s="34">
        <v>7</v>
      </c>
      <c r="DG25" s="34">
        <v>9</v>
      </c>
      <c r="DH25" s="34">
        <v>18</v>
      </c>
      <c r="DI25" s="34">
        <v>14</v>
      </c>
      <c r="DJ25" s="34">
        <v>10</v>
      </c>
      <c r="DK25" s="34">
        <v>17</v>
      </c>
      <c r="DL25" s="34">
        <v>3</v>
      </c>
      <c r="DM25" s="34">
        <v>2</v>
      </c>
      <c r="DN25" s="34">
        <v>0</v>
      </c>
      <c r="DO25" s="34">
        <v>1</v>
      </c>
      <c r="DP25" s="34">
        <v>0</v>
      </c>
      <c r="DQ25" s="34">
        <v>9</v>
      </c>
      <c r="DR25" s="34">
        <v>0</v>
      </c>
      <c r="DS25" s="42">
        <v>3</v>
      </c>
      <c r="DT25" s="42">
        <v>0</v>
      </c>
      <c r="DU25" s="42">
        <v>5</v>
      </c>
      <c r="DV25" s="42">
        <v>39</v>
      </c>
      <c r="DW25" s="42">
        <v>15</v>
      </c>
      <c r="DX25" s="42">
        <v>5</v>
      </c>
      <c r="DY25" s="42">
        <v>3</v>
      </c>
      <c r="DZ25" s="42">
        <v>1</v>
      </c>
      <c r="EA25" s="42">
        <v>96</v>
      </c>
      <c r="EB25" s="42">
        <v>2</v>
      </c>
      <c r="EC25" s="42">
        <v>1</v>
      </c>
      <c r="ED25" s="42">
        <v>3</v>
      </c>
      <c r="EE25" s="42">
        <v>12</v>
      </c>
      <c r="EF25" s="42">
        <v>3</v>
      </c>
      <c r="EG25" s="42">
        <v>3</v>
      </c>
      <c r="EH25" s="211">
        <f t="shared" si="8"/>
        <v>320</v>
      </c>
      <c r="EI25" s="126">
        <f>EH25/EH13</f>
        <v>6.3178677196446195E-2</v>
      </c>
      <c r="EJ25" s="89">
        <f t="shared" si="9"/>
        <v>214943</v>
      </c>
      <c r="EK25" s="89"/>
      <c r="EL25" s="47"/>
      <c r="EM25" s="47"/>
      <c r="EN25" s="47">
        <f t="shared" si="0"/>
        <v>200624</v>
      </c>
      <c r="EO25" s="12">
        <f t="shared" si="1"/>
        <v>1053</v>
      </c>
      <c r="EP25" s="12">
        <f t="shared" si="2"/>
        <v>33832</v>
      </c>
      <c r="EQ25" s="12">
        <f t="shared" si="3"/>
        <v>85352</v>
      </c>
      <c r="ER25" s="12">
        <f t="shared" si="4"/>
        <v>14602</v>
      </c>
      <c r="ES25" s="15">
        <f t="shared" si="5"/>
        <v>19407</v>
      </c>
      <c r="ET25" s="49">
        <f t="shared" si="6"/>
        <v>28375</v>
      </c>
      <c r="EU25" s="49">
        <f t="shared" si="7"/>
        <v>32012</v>
      </c>
      <c r="EV25" s="49">
        <f t="shared" si="12"/>
        <v>125</v>
      </c>
      <c r="EW25" s="49">
        <f t="shared" si="11"/>
        <v>167</v>
      </c>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c r="GL25"/>
      <c r="GM25"/>
      <c r="GN25"/>
      <c r="GO25"/>
      <c r="GP25"/>
      <c r="GQ25"/>
      <c r="GR25"/>
      <c r="GS25"/>
      <c r="GT25"/>
      <c r="GU25"/>
      <c r="GV25"/>
      <c r="GW25"/>
      <c r="GX25"/>
      <c r="GY25"/>
      <c r="GZ25"/>
      <c r="HA25"/>
      <c r="HB25"/>
      <c r="HC25"/>
      <c r="HD25"/>
      <c r="HE25"/>
      <c r="HF25"/>
      <c r="HG25"/>
      <c r="HH25"/>
      <c r="HI25"/>
      <c r="HJ25"/>
      <c r="HK25"/>
      <c r="HL25"/>
      <c r="HM25"/>
      <c r="HN25"/>
      <c r="HO25"/>
      <c r="HP25"/>
      <c r="HQ25"/>
      <c r="HR25"/>
      <c r="HS25"/>
      <c r="HT25"/>
      <c r="HU25"/>
      <c r="HV25"/>
      <c r="HW25"/>
      <c r="HX25"/>
      <c r="HY25"/>
      <c r="HZ25"/>
      <c r="IA25"/>
      <c r="IB25"/>
      <c r="IC25"/>
      <c r="ID25"/>
      <c r="IE25"/>
      <c r="IF25"/>
      <c r="IG25"/>
      <c r="IH25"/>
      <c r="II25"/>
      <c r="IJ25"/>
      <c r="IK25"/>
      <c r="IL25"/>
      <c r="IM25"/>
      <c r="IN25"/>
      <c r="IO25"/>
      <c r="IP25"/>
      <c r="IQ25"/>
      <c r="IR25"/>
      <c r="IS25"/>
      <c r="IT25"/>
      <c r="IU25"/>
      <c r="IV25"/>
      <c r="IW25"/>
      <c r="IX25"/>
      <c r="IY25"/>
      <c r="IZ25"/>
      <c r="JA25"/>
      <c r="JB25"/>
      <c r="JC25"/>
      <c r="JD25"/>
      <c r="JE25"/>
      <c r="JF25"/>
      <c r="JG25"/>
      <c r="JH25"/>
      <c r="JI25"/>
      <c r="JJ25"/>
      <c r="JK25"/>
      <c r="JL25"/>
      <c r="JM25"/>
      <c r="JN25"/>
      <c r="JO25"/>
      <c r="JP25"/>
      <c r="JQ25"/>
      <c r="JR25"/>
      <c r="JS25"/>
      <c r="JT25"/>
      <c r="JU25"/>
      <c r="JV25"/>
      <c r="JW25"/>
      <c r="JX25"/>
      <c r="JY25"/>
      <c r="JZ25"/>
      <c r="KA25"/>
      <c r="KB25"/>
      <c r="KC25"/>
      <c r="KD25"/>
      <c r="KE25"/>
      <c r="KF25"/>
      <c r="KG25"/>
      <c r="KH25"/>
      <c r="KI25"/>
      <c r="KJ25"/>
      <c r="KK25"/>
      <c r="KL25"/>
      <c r="KM25"/>
      <c r="KN25"/>
      <c r="KO25"/>
      <c r="KP25"/>
      <c r="KQ25"/>
      <c r="KR25"/>
    </row>
    <row r="26" spans="1:304" s="78" customFormat="1" x14ac:dyDescent="0.25">
      <c r="A26" s="320"/>
      <c r="B26" s="221" t="s">
        <v>278</v>
      </c>
      <c r="C26" s="33">
        <v>0</v>
      </c>
      <c r="D26" s="33">
        <v>0</v>
      </c>
      <c r="E26" s="33">
        <v>0</v>
      </c>
      <c r="F26" s="33">
        <v>0</v>
      </c>
      <c r="G26" s="33">
        <v>0</v>
      </c>
      <c r="H26" s="33">
        <v>0</v>
      </c>
      <c r="I26" s="33">
        <v>0</v>
      </c>
      <c r="J26" s="33">
        <v>0</v>
      </c>
      <c r="K26" s="33">
        <v>0</v>
      </c>
      <c r="L26" s="33">
        <v>0</v>
      </c>
      <c r="M26" s="33">
        <v>0</v>
      </c>
      <c r="N26" s="33">
        <v>0</v>
      </c>
      <c r="O26" s="33">
        <v>0</v>
      </c>
      <c r="P26" s="33">
        <v>0</v>
      </c>
      <c r="Q26" s="33">
        <v>0</v>
      </c>
      <c r="R26" s="33">
        <v>0</v>
      </c>
      <c r="S26" s="33">
        <v>0</v>
      </c>
      <c r="T26" s="33">
        <v>0</v>
      </c>
      <c r="U26" s="33">
        <v>0</v>
      </c>
      <c r="V26" s="33">
        <v>0</v>
      </c>
      <c r="W26" s="33">
        <v>0</v>
      </c>
      <c r="X26" s="33">
        <v>0</v>
      </c>
      <c r="Y26" s="33">
        <v>0</v>
      </c>
      <c r="Z26" s="33">
        <v>0</v>
      </c>
      <c r="AA26" s="33">
        <v>0</v>
      </c>
      <c r="AB26" s="33">
        <v>0</v>
      </c>
      <c r="AC26" s="33">
        <v>0</v>
      </c>
      <c r="AD26" s="33">
        <v>0</v>
      </c>
      <c r="AE26" s="33">
        <v>0</v>
      </c>
      <c r="AF26" s="33">
        <v>0</v>
      </c>
      <c r="AG26" s="33">
        <v>0</v>
      </c>
      <c r="AH26" s="33">
        <v>0</v>
      </c>
      <c r="AI26" s="33">
        <v>0</v>
      </c>
      <c r="AJ26" s="33">
        <v>0</v>
      </c>
      <c r="AK26" s="33">
        <v>0</v>
      </c>
      <c r="AL26" s="33">
        <v>0</v>
      </c>
      <c r="AM26" s="33">
        <v>0</v>
      </c>
      <c r="AN26" s="33">
        <v>0</v>
      </c>
      <c r="AO26" s="33">
        <v>0</v>
      </c>
      <c r="AP26" s="33">
        <v>0</v>
      </c>
      <c r="AQ26" s="33">
        <v>0</v>
      </c>
      <c r="AR26" s="33">
        <v>0</v>
      </c>
      <c r="AS26" s="33">
        <v>0</v>
      </c>
      <c r="AT26" s="33">
        <v>0</v>
      </c>
      <c r="AU26" s="33">
        <v>0</v>
      </c>
      <c r="AV26" s="172">
        <v>1</v>
      </c>
      <c r="AW26" s="173">
        <v>3</v>
      </c>
      <c r="AX26" s="34">
        <v>0</v>
      </c>
      <c r="AY26" s="34">
        <v>0</v>
      </c>
      <c r="AZ26" s="34">
        <v>0</v>
      </c>
      <c r="BA26" s="34">
        <v>0</v>
      </c>
      <c r="BB26" s="34">
        <v>0</v>
      </c>
      <c r="BC26" s="34">
        <v>0</v>
      </c>
      <c r="BD26" s="34">
        <v>0</v>
      </c>
      <c r="BE26" s="34">
        <v>0</v>
      </c>
      <c r="BF26" s="34">
        <v>0</v>
      </c>
      <c r="BG26" s="34">
        <v>0</v>
      </c>
      <c r="BH26" s="34">
        <v>0</v>
      </c>
      <c r="BI26" s="34">
        <v>0</v>
      </c>
      <c r="BJ26" s="34">
        <v>0</v>
      </c>
      <c r="BK26" s="34">
        <v>0</v>
      </c>
      <c r="BL26" s="34">
        <v>0</v>
      </c>
      <c r="BM26" s="173">
        <v>1</v>
      </c>
      <c r="BN26" s="34">
        <v>0</v>
      </c>
      <c r="BO26" s="34">
        <v>0</v>
      </c>
      <c r="BP26" s="34">
        <v>0</v>
      </c>
      <c r="BQ26" s="34">
        <v>0</v>
      </c>
      <c r="BR26" s="173">
        <v>1</v>
      </c>
      <c r="BS26" s="34">
        <v>0</v>
      </c>
      <c r="BT26" s="34">
        <v>0</v>
      </c>
      <c r="BU26" s="34">
        <v>0</v>
      </c>
      <c r="BV26" s="34">
        <v>0</v>
      </c>
      <c r="BW26" s="34">
        <v>0</v>
      </c>
      <c r="BX26" s="34">
        <v>0</v>
      </c>
      <c r="BY26" s="34">
        <v>0</v>
      </c>
      <c r="BZ26" s="34">
        <v>0</v>
      </c>
      <c r="CA26" s="34">
        <v>0</v>
      </c>
      <c r="CB26" s="34">
        <v>0</v>
      </c>
      <c r="CC26" s="34">
        <v>0</v>
      </c>
      <c r="CD26" s="34">
        <v>0</v>
      </c>
      <c r="CE26" s="34">
        <v>0</v>
      </c>
      <c r="CF26" s="34">
        <v>0</v>
      </c>
      <c r="CG26" s="34">
        <v>0</v>
      </c>
      <c r="CH26" s="34">
        <v>0</v>
      </c>
      <c r="CI26" s="168">
        <v>0</v>
      </c>
      <c r="CJ26" s="168">
        <v>0</v>
      </c>
      <c r="CK26" s="168">
        <v>0</v>
      </c>
      <c r="CL26" s="168">
        <v>0</v>
      </c>
      <c r="CM26" s="168">
        <v>0</v>
      </c>
      <c r="CN26" s="168">
        <v>0</v>
      </c>
      <c r="CO26" s="168">
        <v>0</v>
      </c>
      <c r="CP26" s="168">
        <v>0</v>
      </c>
      <c r="CQ26" s="34">
        <v>0</v>
      </c>
      <c r="CR26" s="34">
        <v>0</v>
      </c>
      <c r="CS26" s="34">
        <v>0</v>
      </c>
      <c r="CT26" s="34">
        <v>0</v>
      </c>
      <c r="CU26" s="34">
        <v>0</v>
      </c>
      <c r="CV26" s="34">
        <v>0</v>
      </c>
      <c r="CW26" s="34">
        <v>0</v>
      </c>
      <c r="CX26" s="34">
        <v>0</v>
      </c>
      <c r="CY26" s="34">
        <v>0</v>
      </c>
      <c r="CZ26" s="34">
        <v>0</v>
      </c>
      <c r="DA26" s="34">
        <v>0</v>
      </c>
      <c r="DB26" s="34">
        <v>0</v>
      </c>
      <c r="DC26" s="34">
        <v>0</v>
      </c>
      <c r="DD26" s="34">
        <v>0</v>
      </c>
      <c r="DE26" s="34">
        <v>0</v>
      </c>
      <c r="DF26" s="34">
        <v>0</v>
      </c>
      <c r="DG26" s="34">
        <v>0</v>
      </c>
      <c r="DH26" s="34">
        <v>0</v>
      </c>
      <c r="DI26" s="34">
        <v>0</v>
      </c>
      <c r="DJ26" s="173">
        <v>2</v>
      </c>
      <c r="DK26" s="173">
        <v>2</v>
      </c>
      <c r="DL26" s="34">
        <v>0</v>
      </c>
      <c r="DM26" s="173">
        <v>3</v>
      </c>
      <c r="DN26" s="34">
        <v>0</v>
      </c>
      <c r="DO26" s="34">
        <v>0</v>
      </c>
      <c r="DP26" s="34">
        <v>0</v>
      </c>
      <c r="DQ26" s="34">
        <v>0</v>
      </c>
      <c r="DR26" s="34">
        <v>0</v>
      </c>
      <c r="DS26" s="42">
        <v>0</v>
      </c>
      <c r="DT26" s="42">
        <v>0</v>
      </c>
      <c r="DU26" s="42">
        <v>0</v>
      </c>
      <c r="DV26" s="42">
        <v>0</v>
      </c>
      <c r="DW26" s="42">
        <v>0</v>
      </c>
      <c r="DX26" s="42">
        <v>0</v>
      </c>
      <c r="DY26" s="42">
        <v>0</v>
      </c>
      <c r="DZ26" s="42">
        <v>0</v>
      </c>
      <c r="EA26" s="42">
        <v>0</v>
      </c>
      <c r="EB26" s="42">
        <v>0</v>
      </c>
      <c r="EC26" s="42">
        <v>0</v>
      </c>
      <c r="ED26" s="42">
        <v>0</v>
      </c>
      <c r="EE26" s="42">
        <v>0</v>
      </c>
      <c r="EF26" s="42">
        <v>0</v>
      </c>
      <c r="EG26" s="42">
        <v>0</v>
      </c>
      <c r="EH26" s="211">
        <f t="shared" si="8"/>
        <v>7</v>
      </c>
      <c r="EI26" s="89"/>
      <c r="EJ26" s="89">
        <f t="shared" si="9"/>
        <v>13</v>
      </c>
      <c r="EK26" s="89"/>
      <c r="EL26" s="47"/>
      <c r="EM26" s="47"/>
      <c r="EN26" s="47">
        <f t="shared" si="0"/>
        <v>13</v>
      </c>
      <c r="EO26" s="12">
        <f t="shared" si="1"/>
        <v>0</v>
      </c>
      <c r="EP26" s="12">
        <f t="shared" si="2"/>
        <v>0</v>
      </c>
      <c r="EQ26" s="12">
        <f t="shared" si="3"/>
        <v>0</v>
      </c>
      <c r="ER26" s="12">
        <f t="shared" si="4"/>
        <v>0</v>
      </c>
      <c r="ES26" s="15">
        <f t="shared" si="5"/>
        <v>4</v>
      </c>
      <c r="ET26" s="49">
        <f t="shared" si="6"/>
        <v>2</v>
      </c>
      <c r="EU26" s="49">
        <f t="shared" si="7"/>
        <v>0</v>
      </c>
      <c r="EV26" s="49">
        <f t="shared" si="12"/>
        <v>7</v>
      </c>
      <c r="EW26" s="49">
        <f t="shared" si="11"/>
        <v>0</v>
      </c>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c r="GL26"/>
      <c r="GM26"/>
      <c r="GN26"/>
      <c r="GO26"/>
      <c r="GP26"/>
      <c r="GQ26"/>
      <c r="GR26"/>
      <c r="GS26"/>
      <c r="GT26"/>
      <c r="GU26"/>
      <c r="GV26"/>
      <c r="GW26"/>
      <c r="GX26"/>
      <c r="GY26"/>
      <c r="GZ26"/>
      <c r="HA26"/>
      <c r="HB26"/>
      <c r="HC26"/>
      <c r="HD26"/>
      <c r="HE26"/>
      <c r="HF26"/>
      <c r="HG26"/>
      <c r="HH26"/>
      <c r="HI26"/>
      <c r="HJ26"/>
      <c r="HK26"/>
      <c r="HL26"/>
      <c r="HM26"/>
      <c r="HN26"/>
      <c r="HO26"/>
      <c r="HP26"/>
      <c r="HQ26"/>
      <c r="HR26"/>
      <c r="HS26"/>
      <c r="HT26"/>
      <c r="HU26"/>
      <c r="HV26"/>
      <c r="HW26"/>
      <c r="HX26"/>
      <c r="HY26"/>
      <c r="HZ26"/>
      <c r="IA26"/>
      <c r="IB26"/>
      <c r="IC26"/>
      <c r="ID26"/>
      <c r="IE26"/>
      <c r="IF26"/>
      <c r="IG26"/>
      <c r="IH26"/>
      <c r="II26"/>
      <c r="IJ26"/>
      <c r="IK26"/>
      <c r="IL26"/>
      <c r="IM26"/>
      <c r="IN26"/>
      <c r="IO26"/>
      <c r="IP26"/>
      <c r="IQ26"/>
      <c r="IR26"/>
      <c r="IS26"/>
      <c r="IT26"/>
      <c r="IU26"/>
      <c r="IV26"/>
      <c r="IW26"/>
      <c r="IX26"/>
      <c r="IY26"/>
      <c r="IZ26"/>
      <c r="JA26"/>
      <c r="JB26"/>
      <c r="JC26"/>
      <c r="JD26"/>
      <c r="JE26"/>
      <c r="JF26"/>
      <c r="JG26"/>
      <c r="JH26"/>
      <c r="JI26"/>
      <c r="JJ26"/>
      <c r="JK26"/>
      <c r="JL26"/>
      <c r="JM26"/>
      <c r="JN26"/>
      <c r="JO26"/>
      <c r="JP26"/>
      <c r="JQ26"/>
      <c r="JR26"/>
      <c r="JS26"/>
      <c r="JT26"/>
      <c r="JU26"/>
      <c r="JV26"/>
      <c r="JW26"/>
      <c r="JX26"/>
      <c r="JY26"/>
      <c r="JZ26"/>
      <c r="KA26"/>
      <c r="KB26"/>
      <c r="KC26"/>
      <c r="KD26"/>
      <c r="KE26"/>
      <c r="KF26"/>
      <c r="KG26"/>
      <c r="KH26"/>
      <c r="KI26"/>
      <c r="KJ26"/>
      <c r="KK26"/>
      <c r="KL26"/>
      <c r="KM26"/>
      <c r="KN26"/>
      <c r="KO26"/>
      <c r="KP26"/>
      <c r="KQ26"/>
      <c r="KR26"/>
    </row>
    <row r="27" spans="1:304" s="78" customFormat="1" x14ac:dyDescent="0.25">
      <c r="A27" s="320"/>
      <c r="B27" s="224" t="s">
        <v>52</v>
      </c>
      <c r="C27" s="33">
        <v>0</v>
      </c>
      <c r="D27" s="33">
        <v>0</v>
      </c>
      <c r="E27" s="33">
        <v>0</v>
      </c>
      <c r="F27" s="33">
        <v>0</v>
      </c>
      <c r="G27" s="33">
        <v>0</v>
      </c>
      <c r="H27" s="33">
        <v>0</v>
      </c>
      <c r="I27" s="33">
        <v>0</v>
      </c>
      <c r="J27" s="33">
        <v>0</v>
      </c>
      <c r="K27" s="33">
        <v>0</v>
      </c>
      <c r="L27" s="33">
        <v>0</v>
      </c>
      <c r="M27" s="33">
        <v>0</v>
      </c>
      <c r="N27" s="33">
        <v>0</v>
      </c>
      <c r="O27" s="33">
        <v>0</v>
      </c>
      <c r="P27" s="33">
        <v>0</v>
      </c>
      <c r="Q27" s="33">
        <v>0</v>
      </c>
      <c r="R27" s="33">
        <v>0</v>
      </c>
      <c r="S27" s="33">
        <v>0</v>
      </c>
      <c r="T27" s="33">
        <v>0</v>
      </c>
      <c r="U27" s="33">
        <v>0</v>
      </c>
      <c r="V27" s="33">
        <v>0</v>
      </c>
      <c r="W27" s="33">
        <v>0</v>
      </c>
      <c r="X27" s="33">
        <v>0</v>
      </c>
      <c r="Y27" s="33">
        <v>0</v>
      </c>
      <c r="Z27" s="33">
        <v>0</v>
      </c>
      <c r="AA27" s="33">
        <v>0</v>
      </c>
      <c r="AB27" s="33">
        <v>0</v>
      </c>
      <c r="AC27" s="33">
        <v>0</v>
      </c>
      <c r="AD27" s="33">
        <v>0</v>
      </c>
      <c r="AE27" s="33">
        <v>0</v>
      </c>
      <c r="AF27" s="33">
        <v>0</v>
      </c>
      <c r="AG27" s="33">
        <v>0</v>
      </c>
      <c r="AH27" s="33">
        <v>0</v>
      </c>
      <c r="AI27" s="33">
        <v>0</v>
      </c>
      <c r="AJ27" s="33">
        <v>0</v>
      </c>
      <c r="AK27" s="33">
        <v>0</v>
      </c>
      <c r="AL27" s="33">
        <v>0</v>
      </c>
      <c r="AM27" s="33">
        <v>0</v>
      </c>
      <c r="AN27" s="33">
        <v>0</v>
      </c>
      <c r="AO27" s="33">
        <v>0</v>
      </c>
      <c r="AP27" s="33">
        <v>0</v>
      </c>
      <c r="AQ27" s="33">
        <v>0</v>
      </c>
      <c r="AR27" s="33">
        <v>0</v>
      </c>
      <c r="AS27" s="33">
        <v>0</v>
      </c>
      <c r="AT27" s="33">
        <v>0</v>
      </c>
      <c r="AU27" s="33">
        <v>0</v>
      </c>
      <c r="AV27" s="172">
        <v>59</v>
      </c>
      <c r="AW27" s="173">
        <v>186</v>
      </c>
      <c r="AX27" s="34">
        <v>0</v>
      </c>
      <c r="AY27" s="34">
        <v>0</v>
      </c>
      <c r="AZ27" s="34">
        <v>0</v>
      </c>
      <c r="BA27" s="34">
        <v>0</v>
      </c>
      <c r="BB27" s="34">
        <v>0</v>
      </c>
      <c r="BC27" s="34">
        <v>0</v>
      </c>
      <c r="BD27" s="34">
        <v>0</v>
      </c>
      <c r="BE27" s="34">
        <v>0</v>
      </c>
      <c r="BF27" s="34">
        <v>0</v>
      </c>
      <c r="BG27" s="34">
        <v>0</v>
      </c>
      <c r="BH27" s="34">
        <v>0</v>
      </c>
      <c r="BI27" s="34">
        <v>0</v>
      </c>
      <c r="BJ27" s="34">
        <v>0</v>
      </c>
      <c r="BK27" s="34">
        <v>0</v>
      </c>
      <c r="BL27" s="34">
        <v>0</v>
      </c>
      <c r="BM27" s="173">
        <v>82</v>
      </c>
      <c r="BN27" s="34">
        <v>0</v>
      </c>
      <c r="BO27" s="137">
        <v>0</v>
      </c>
      <c r="BP27" s="137">
        <v>0</v>
      </c>
      <c r="BQ27" s="34">
        <v>0</v>
      </c>
      <c r="BR27" s="173">
        <v>368</v>
      </c>
      <c r="BS27" s="34">
        <v>0</v>
      </c>
      <c r="BT27" s="34">
        <v>0</v>
      </c>
      <c r="BU27" s="34">
        <v>0</v>
      </c>
      <c r="BV27" s="34">
        <v>0</v>
      </c>
      <c r="BW27" s="34">
        <v>0</v>
      </c>
      <c r="BX27" s="34">
        <v>0</v>
      </c>
      <c r="BY27" s="34">
        <v>0</v>
      </c>
      <c r="BZ27" s="34">
        <v>0</v>
      </c>
      <c r="CA27" s="34">
        <v>0</v>
      </c>
      <c r="CB27" s="34">
        <v>0</v>
      </c>
      <c r="CC27" s="34">
        <v>0</v>
      </c>
      <c r="CD27" s="34">
        <v>0</v>
      </c>
      <c r="CE27" s="34">
        <v>0</v>
      </c>
      <c r="CF27" s="34">
        <v>0</v>
      </c>
      <c r="CG27" s="34">
        <v>0</v>
      </c>
      <c r="CH27" s="34">
        <v>0</v>
      </c>
      <c r="CI27" s="168">
        <v>0</v>
      </c>
      <c r="CJ27" s="168">
        <v>0</v>
      </c>
      <c r="CK27" s="168">
        <v>0</v>
      </c>
      <c r="CL27" s="168">
        <v>0</v>
      </c>
      <c r="CM27" s="168">
        <v>0</v>
      </c>
      <c r="CN27" s="168">
        <v>0</v>
      </c>
      <c r="CO27" s="168">
        <v>0</v>
      </c>
      <c r="CP27" s="168">
        <v>0</v>
      </c>
      <c r="CQ27" s="34">
        <v>0</v>
      </c>
      <c r="CR27" s="34">
        <v>0</v>
      </c>
      <c r="CS27" s="34">
        <v>0</v>
      </c>
      <c r="CT27" s="34">
        <v>0</v>
      </c>
      <c r="CU27" s="34">
        <v>0</v>
      </c>
      <c r="CV27" s="34">
        <v>0</v>
      </c>
      <c r="CW27" s="34">
        <v>0</v>
      </c>
      <c r="CX27" s="34">
        <v>0</v>
      </c>
      <c r="CY27" s="34">
        <v>0</v>
      </c>
      <c r="CZ27" s="34">
        <v>0</v>
      </c>
      <c r="DA27" s="34">
        <v>0</v>
      </c>
      <c r="DB27" s="34">
        <v>0</v>
      </c>
      <c r="DC27" s="34">
        <v>0</v>
      </c>
      <c r="DD27" s="34">
        <v>0</v>
      </c>
      <c r="DE27" s="34">
        <v>0</v>
      </c>
      <c r="DF27" s="34">
        <v>0</v>
      </c>
      <c r="DG27" s="34">
        <v>0</v>
      </c>
      <c r="DH27" s="34">
        <v>0</v>
      </c>
      <c r="DI27" s="34">
        <v>0</v>
      </c>
      <c r="DJ27" s="173">
        <v>59</v>
      </c>
      <c r="DK27" s="173">
        <v>93</v>
      </c>
      <c r="DL27" s="34">
        <v>0</v>
      </c>
      <c r="DM27" s="173">
        <v>187</v>
      </c>
      <c r="DN27" s="34">
        <v>0</v>
      </c>
      <c r="DO27" s="34">
        <v>0</v>
      </c>
      <c r="DP27" s="34">
        <v>0</v>
      </c>
      <c r="DQ27" s="34">
        <v>0</v>
      </c>
      <c r="DR27" s="34">
        <v>0</v>
      </c>
      <c r="DS27" s="42">
        <v>0</v>
      </c>
      <c r="DT27" s="42">
        <v>0</v>
      </c>
      <c r="DU27" s="42">
        <v>0</v>
      </c>
      <c r="DV27" s="42">
        <v>0</v>
      </c>
      <c r="DW27" s="42">
        <v>0</v>
      </c>
      <c r="DX27" s="42">
        <v>0</v>
      </c>
      <c r="DY27" s="42">
        <v>0</v>
      </c>
      <c r="DZ27" s="42">
        <v>0</v>
      </c>
      <c r="EA27" s="42">
        <v>0</v>
      </c>
      <c r="EB27" s="42">
        <v>0</v>
      </c>
      <c r="EC27" s="42">
        <v>0</v>
      </c>
      <c r="ED27" s="42">
        <v>0</v>
      </c>
      <c r="EE27" s="42">
        <v>0</v>
      </c>
      <c r="EF27" s="42">
        <v>0</v>
      </c>
      <c r="EG27" s="42">
        <v>0</v>
      </c>
      <c r="EH27" s="211">
        <f t="shared" si="8"/>
        <v>339</v>
      </c>
      <c r="EI27" s="89"/>
      <c r="EJ27" s="89">
        <f t="shared" si="9"/>
        <v>1034</v>
      </c>
      <c r="EK27" s="89"/>
      <c r="EL27" s="47"/>
      <c r="EM27" s="47"/>
      <c r="EN27" s="47">
        <f t="shared" si="0"/>
        <v>1034</v>
      </c>
      <c r="EO27" s="12">
        <f t="shared" si="1"/>
        <v>0</v>
      </c>
      <c r="EP27" s="12">
        <f t="shared" si="2"/>
        <v>0</v>
      </c>
      <c r="EQ27" s="12">
        <f t="shared" si="3"/>
        <v>0</v>
      </c>
      <c r="ER27" s="12">
        <f t="shared" si="4"/>
        <v>0</v>
      </c>
      <c r="ES27" s="15">
        <f t="shared" si="5"/>
        <v>245</v>
      </c>
      <c r="ET27" s="49">
        <f t="shared" si="6"/>
        <v>450</v>
      </c>
      <c r="EU27" s="49">
        <f t="shared" si="7"/>
        <v>0</v>
      </c>
      <c r="EV27" s="49">
        <f t="shared" si="12"/>
        <v>339</v>
      </c>
      <c r="EW27" s="49">
        <f t="shared" si="11"/>
        <v>0</v>
      </c>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c r="GL27"/>
      <c r="GM27"/>
      <c r="GN27"/>
      <c r="GO27"/>
      <c r="GP27"/>
      <c r="GQ27"/>
      <c r="GR27"/>
      <c r="GS27"/>
      <c r="GT27"/>
      <c r="GU27"/>
      <c r="GV27"/>
      <c r="GW27"/>
      <c r="GX27"/>
      <c r="GY27"/>
      <c r="GZ27"/>
      <c r="HA27"/>
      <c r="HB27"/>
      <c r="HC27"/>
      <c r="HD27"/>
      <c r="HE27"/>
      <c r="HF27"/>
      <c r="HG27"/>
      <c r="HH27"/>
      <c r="HI27"/>
      <c r="HJ27"/>
      <c r="HK27"/>
      <c r="HL27"/>
      <c r="HM27"/>
      <c r="HN27"/>
      <c r="HO27"/>
      <c r="HP27"/>
      <c r="HQ27"/>
      <c r="HR27"/>
      <c r="HS27"/>
      <c r="HT27"/>
      <c r="HU27"/>
      <c r="HV27"/>
      <c r="HW27"/>
      <c r="HX27"/>
      <c r="HY27"/>
      <c r="HZ27"/>
      <c r="IA27"/>
      <c r="IB27"/>
      <c r="IC27"/>
      <c r="ID27"/>
      <c r="IE27"/>
      <c r="IF27"/>
      <c r="IG27"/>
      <c r="IH27"/>
      <c r="II27"/>
      <c r="IJ27"/>
      <c r="IK27"/>
      <c r="IL27"/>
      <c r="IM27"/>
      <c r="IN27"/>
      <c r="IO27"/>
      <c r="IP27"/>
      <c r="IQ27"/>
      <c r="IR27"/>
      <c r="IS27"/>
      <c r="IT27"/>
      <c r="IU27"/>
      <c r="IV27"/>
      <c r="IW27"/>
      <c r="IX27"/>
      <c r="IY27"/>
      <c r="IZ27"/>
      <c r="JA27"/>
      <c r="JB27"/>
      <c r="JC27"/>
      <c r="JD27"/>
      <c r="JE27"/>
      <c r="JF27"/>
      <c r="JG27"/>
      <c r="JH27"/>
      <c r="JI27"/>
      <c r="JJ27"/>
      <c r="JK27"/>
      <c r="JL27"/>
      <c r="JM27"/>
      <c r="JN27"/>
      <c r="JO27"/>
      <c r="JP27"/>
      <c r="JQ27"/>
      <c r="JR27"/>
      <c r="JS27"/>
      <c r="JT27"/>
      <c r="JU27"/>
      <c r="JV27"/>
      <c r="JW27"/>
      <c r="JX27"/>
      <c r="JY27"/>
      <c r="JZ27"/>
      <c r="KA27"/>
      <c r="KB27"/>
      <c r="KC27"/>
      <c r="KD27"/>
      <c r="KE27"/>
      <c r="KF27"/>
      <c r="KG27"/>
      <c r="KH27"/>
      <c r="KI27"/>
      <c r="KJ27"/>
      <c r="KK27"/>
      <c r="KL27"/>
      <c r="KM27"/>
      <c r="KN27"/>
      <c r="KO27"/>
      <c r="KP27"/>
      <c r="KQ27"/>
      <c r="KR27"/>
    </row>
    <row r="28" spans="1:304" s="78" customFormat="1" x14ac:dyDescent="0.25">
      <c r="A28" s="320"/>
      <c r="B28" s="221" t="s">
        <v>41</v>
      </c>
      <c r="C28" s="33">
        <v>51</v>
      </c>
      <c r="D28" s="33">
        <v>39</v>
      </c>
      <c r="E28" s="33">
        <v>43</v>
      </c>
      <c r="F28" s="33">
        <v>39</v>
      </c>
      <c r="G28" s="33">
        <v>48</v>
      </c>
      <c r="H28" s="33">
        <v>27</v>
      </c>
      <c r="I28" s="33">
        <v>26</v>
      </c>
      <c r="J28" s="33">
        <v>36</v>
      </c>
      <c r="K28" s="33">
        <v>53</v>
      </c>
      <c r="L28" s="33">
        <v>36</v>
      </c>
      <c r="M28" s="33">
        <v>53</v>
      </c>
      <c r="N28" s="33">
        <v>42</v>
      </c>
      <c r="O28" s="33">
        <v>0</v>
      </c>
      <c r="P28" s="33">
        <v>49</v>
      </c>
      <c r="Q28" s="33">
        <v>65</v>
      </c>
      <c r="R28" s="33">
        <v>44</v>
      </c>
      <c r="S28" s="33">
        <v>59</v>
      </c>
      <c r="T28" s="33">
        <v>38</v>
      </c>
      <c r="U28" s="33">
        <v>52</v>
      </c>
      <c r="V28" s="33">
        <v>69</v>
      </c>
      <c r="W28" s="33">
        <v>47</v>
      </c>
      <c r="X28" s="33">
        <v>49</v>
      </c>
      <c r="Y28" s="33">
        <v>44</v>
      </c>
      <c r="Z28" s="33">
        <v>28</v>
      </c>
      <c r="AA28" s="33">
        <v>23</v>
      </c>
      <c r="AB28" s="33">
        <v>46</v>
      </c>
      <c r="AC28" s="33">
        <v>37</v>
      </c>
      <c r="AD28" s="33">
        <v>44</v>
      </c>
      <c r="AE28" s="33">
        <v>26</v>
      </c>
      <c r="AF28" s="33">
        <v>38</v>
      </c>
      <c r="AG28" s="33">
        <v>44</v>
      </c>
      <c r="AH28" s="33">
        <v>43</v>
      </c>
      <c r="AI28" s="33">
        <v>48</v>
      </c>
      <c r="AJ28" s="34">
        <v>42</v>
      </c>
      <c r="AK28" s="34">
        <v>40</v>
      </c>
      <c r="AL28" s="34">
        <v>41</v>
      </c>
      <c r="AM28" s="34">
        <v>31</v>
      </c>
      <c r="AN28" s="34">
        <v>57</v>
      </c>
      <c r="AO28" s="34">
        <v>61</v>
      </c>
      <c r="AP28" s="34">
        <v>74</v>
      </c>
      <c r="AQ28" s="34">
        <v>69</v>
      </c>
      <c r="AR28" s="34">
        <v>39</v>
      </c>
      <c r="AS28" s="34">
        <v>95</v>
      </c>
      <c r="AT28" s="34">
        <v>114</v>
      </c>
      <c r="AU28" s="34">
        <v>97</v>
      </c>
      <c r="AV28" s="34">
        <v>112</v>
      </c>
      <c r="AW28" s="34">
        <v>102</v>
      </c>
      <c r="AX28" s="34">
        <v>81</v>
      </c>
      <c r="AY28" s="34">
        <v>82</v>
      </c>
      <c r="AZ28" s="34">
        <v>32</v>
      </c>
      <c r="BA28" s="34">
        <v>51</v>
      </c>
      <c r="BB28" s="34">
        <v>47</v>
      </c>
      <c r="BC28" s="34">
        <v>37</v>
      </c>
      <c r="BD28" s="34">
        <v>48</v>
      </c>
      <c r="BE28" s="34">
        <v>46</v>
      </c>
      <c r="BF28" s="34">
        <v>40</v>
      </c>
      <c r="BG28" s="34">
        <v>49</v>
      </c>
      <c r="BH28" s="34">
        <v>18</v>
      </c>
      <c r="BI28" s="34">
        <v>12</v>
      </c>
      <c r="BJ28" s="34">
        <v>24</v>
      </c>
      <c r="BK28" s="34">
        <v>39</v>
      </c>
      <c r="BL28" s="34">
        <v>20</v>
      </c>
      <c r="BM28" s="34">
        <v>31</v>
      </c>
      <c r="BN28" s="34">
        <v>0</v>
      </c>
      <c r="BO28" s="137">
        <v>78</v>
      </c>
      <c r="BP28" s="137">
        <v>37</v>
      </c>
      <c r="BQ28" s="34">
        <v>41</v>
      </c>
      <c r="BR28" s="34">
        <v>31</v>
      </c>
      <c r="BS28" s="34">
        <v>18</v>
      </c>
      <c r="BT28" s="34">
        <v>24</v>
      </c>
      <c r="BU28" s="34">
        <v>9</v>
      </c>
      <c r="BV28" s="34">
        <v>26</v>
      </c>
      <c r="BW28" s="34">
        <v>15</v>
      </c>
      <c r="BX28" s="34">
        <v>16</v>
      </c>
      <c r="BY28" s="34">
        <v>24</v>
      </c>
      <c r="BZ28" s="34">
        <v>16</v>
      </c>
      <c r="CA28" s="34">
        <v>17</v>
      </c>
      <c r="CB28" s="34">
        <v>14</v>
      </c>
      <c r="CC28" s="34">
        <v>39</v>
      </c>
      <c r="CD28" s="34">
        <v>27</v>
      </c>
      <c r="CE28" s="34">
        <v>27</v>
      </c>
      <c r="CF28" s="34">
        <v>25</v>
      </c>
      <c r="CG28" s="34">
        <v>46</v>
      </c>
      <c r="CH28" s="34">
        <v>21</v>
      </c>
      <c r="CI28" s="34">
        <v>34</v>
      </c>
      <c r="CJ28" s="34">
        <v>30</v>
      </c>
      <c r="CK28" s="34">
        <v>19</v>
      </c>
      <c r="CL28" s="34">
        <v>20</v>
      </c>
      <c r="CM28" s="34">
        <v>28</v>
      </c>
      <c r="CN28" s="34">
        <v>19</v>
      </c>
      <c r="CO28" s="34">
        <v>39</v>
      </c>
      <c r="CP28" s="34">
        <v>38</v>
      </c>
      <c r="CQ28" s="34">
        <v>31</v>
      </c>
      <c r="CR28" s="34">
        <v>18</v>
      </c>
      <c r="CS28" s="34">
        <v>24</v>
      </c>
      <c r="CT28" s="34">
        <v>13</v>
      </c>
      <c r="CU28" s="34">
        <v>27</v>
      </c>
      <c r="CV28" s="34">
        <v>15</v>
      </c>
      <c r="CW28" s="34">
        <v>47</v>
      </c>
      <c r="CX28" s="34">
        <v>39</v>
      </c>
      <c r="CY28" s="34">
        <v>37</v>
      </c>
      <c r="CZ28" s="34">
        <v>28</v>
      </c>
      <c r="DA28" s="34">
        <v>28</v>
      </c>
      <c r="DB28" s="34">
        <v>36</v>
      </c>
      <c r="DC28" s="34">
        <v>25</v>
      </c>
      <c r="DD28" s="34">
        <v>31</v>
      </c>
      <c r="DE28" s="34">
        <v>39</v>
      </c>
      <c r="DF28" s="34">
        <v>49</v>
      </c>
      <c r="DG28" s="34">
        <v>29</v>
      </c>
      <c r="DH28" s="34">
        <v>36</v>
      </c>
      <c r="DI28" s="34">
        <v>35</v>
      </c>
      <c r="DJ28" s="34">
        <v>35</v>
      </c>
      <c r="DK28" s="34">
        <v>27</v>
      </c>
      <c r="DL28" s="34">
        <v>34</v>
      </c>
      <c r="DM28" s="34">
        <v>27</v>
      </c>
      <c r="DN28" s="34">
        <v>35</v>
      </c>
      <c r="DO28" s="34">
        <v>35</v>
      </c>
      <c r="DP28" s="34">
        <v>34</v>
      </c>
      <c r="DQ28" s="34">
        <v>15</v>
      </c>
      <c r="DR28" s="137">
        <v>34</v>
      </c>
      <c r="DS28" s="42">
        <v>25</v>
      </c>
      <c r="DT28" s="42">
        <v>22</v>
      </c>
      <c r="DU28" s="42">
        <v>35</v>
      </c>
      <c r="DV28" s="42">
        <v>30</v>
      </c>
      <c r="DW28" s="42">
        <v>22</v>
      </c>
      <c r="DX28" s="42">
        <v>37</v>
      </c>
      <c r="DY28" s="42">
        <v>20</v>
      </c>
      <c r="DZ28" s="42">
        <v>32</v>
      </c>
      <c r="EA28" s="42">
        <v>36</v>
      </c>
      <c r="EB28" s="42">
        <v>27</v>
      </c>
      <c r="EC28" s="42">
        <v>26</v>
      </c>
      <c r="ED28" s="42">
        <v>36</v>
      </c>
      <c r="EE28" s="42">
        <v>38</v>
      </c>
      <c r="EF28" s="42">
        <v>33</v>
      </c>
      <c r="EG28" s="42">
        <v>24</v>
      </c>
      <c r="EH28" s="211">
        <f t="shared" si="8"/>
        <v>1344</v>
      </c>
      <c r="EI28" s="89"/>
      <c r="EJ28" s="89">
        <f t="shared" si="9"/>
        <v>5077</v>
      </c>
      <c r="EK28" s="89"/>
      <c r="EL28" s="47"/>
      <c r="EM28" s="47"/>
      <c r="EN28" s="47">
        <f t="shared" si="0"/>
        <v>4410</v>
      </c>
      <c r="EO28" s="12">
        <f t="shared" si="1"/>
        <v>51</v>
      </c>
      <c r="EP28" s="12">
        <f t="shared" si="2"/>
        <v>442</v>
      </c>
      <c r="EQ28" s="12">
        <f t="shared" si="3"/>
        <v>567</v>
      </c>
      <c r="ER28" s="12">
        <f t="shared" si="4"/>
        <v>480</v>
      </c>
      <c r="ES28" s="15">
        <f t="shared" si="5"/>
        <v>983</v>
      </c>
      <c r="ET28" s="49">
        <f t="shared" si="6"/>
        <v>773</v>
      </c>
      <c r="EU28" s="49">
        <f t="shared" si="7"/>
        <v>612</v>
      </c>
      <c r="EV28" s="49">
        <f t="shared" si="12"/>
        <v>775</v>
      </c>
      <c r="EW28" s="49">
        <f t="shared" si="11"/>
        <v>287</v>
      </c>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c r="GL28"/>
      <c r="GM28"/>
      <c r="GN28"/>
      <c r="GO28"/>
      <c r="GP28"/>
      <c r="GQ28"/>
      <c r="GR28"/>
      <c r="GS28"/>
      <c r="GT28"/>
      <c r="GU28"/>
      <c r="GV28"/>
      <c r="GW28"/>
      <c r="GX28"/>
      <c r="GY28"/>
      <c r="GZ28"/>
      <c r="HA28"/>
      <c r="HB28"/>
      <c r="HC28"/>
      <c r="HD28"/>
      <c r="HE28"/>
      <c r="HF28"/>
      <c r="HG28"/>
      <c r="HH28"/>
      <c r="HI28"/>
      <c r="HJ28"/>
      <c r="HK28"/>
      <c r="HL28"/>
      <c r="HM28"/>
      <c r="HN28"/>
      <c r="HO28"/>
      <c r="HP28"/>
      <c r="HQ28"/>
      <c r="HR28"/>
      <c r="HS28"/>
      <c r="HT28"/>
      <c r="HU28"/>
      <c r="HV28"/>
      <c r="HW28"/>
      <c r="HX28"/>
      <c r="HY28"/>
      <c r="HZ28"/>
      <c r="IA28"/>
      <c r="IB28"/>
      <c r="IC28"/>
      <c r="ID28"/>
      <c r="IE28"/>
      <c r="IF28"/>
      <c r="IG28"/>
      <c r="IH28"/>
      <c r="II28"/>
      <c r="IJ28"/>
      <c r="IK28"/>
      <c r="IL28"/>
      <c r="IM28"/>
      <c r="IN28"/>
      <c r="IO28"/>
      <c r="IP28"/>
      <c r="IQ28"/>
      <c r="IR28"/>
      <c r="IS28"/>
      <c r="IT28"/>
      <c r="IU28"/>
      <c r="IV28"/>
      <c r="IW28"/>
      <c r="IX28"/>
      <c r="IY28"/>
      <c r="IZ28"/>
      <c r="JA28"/>
      <c r="JB28"/>
      <c r="JC28"/>
      <c r="JD28"/>
      <c r="JE28"/>
      <c r="JF28"/>
      <c r="JG28"/>
      <c r="JH28"/>
      <c r="JI28"/>
      <c r="JJ28"/>
      <c r="JK28"/>
      <c r="JL28"/>
      <c r="JM28"/>
      <c r="JN28"/>
      <c r="JO28"/>
      <c r="JP28"/>
      <c r="JQ28"/>
      <c r="JR28"/>
      <c r="JS28"/>
      <c r="JT28"/>
      <c r="JU28"/>
      <c r="JV28"/>
      <c r="JW28"/>
      <c r="JX28"/>
      <c r="JY28"/>
      <c r="JZ28"/>
      <c r="KA28"/>
      <c r="KB28"/>
      <c r="KC28"/>
      <c r="KD28"/>
      <c r="KE28"/>
      <c r="KF28"/>
      <c r="KG28"/>
      <c r="KH28"/>
      <c r="KI28"/>
      <c r="KJ28"/>
      <c r="KK28"/>
      <c r="KL28"/>
      <c r="KM28"/>
      <c r="KN28"/>
      <c r="KO28"/>
      <c r="KP28"/>
      <c r="KQ28"/>
      <c r="KR28"/>
    </row>
    <row r="29" spans="1:304" s="78" customFormat="1" x14ac:dyDescent="0.25">
      <c r="A29" s="320"/>
      <c r="B29" s="224" t="s">
        <v>77</v>
      </c>
      <c r="C29" s="33">
        <v>32</v>
      </c>
      <c r="D29" s="33">
        <v>31</v>
      </c>
      <c r="E29" s="33">
        <v>25</v>
      </c>
      <c r="F29" s="33">
        <v>30</v>
      </c>
      <c r="G29" s="33">
        <v>32</v>
      </c>
      <c r="H29" s="33">
        <v>21</v>
      </c>
      <c r="I29" s="33">
        <v>19</v>
      </c>
      <c r="J29" s="33">
        <v>27</v>
      </c>
      <c r="K29" s="33">
        <v>36</v>
      </c>
      <c r="L29" s="33">
        <v>23</v>
      </c>
      <c r="M29" s="33">
        <v>39</v>
      </c>
      <c r="N29" s="33">
        <v>31</v>
      </c>
      <c r="O29" s="33">
        <v>0</v>
      </c>
      <c r="P29" s="33">
        <v>39</v>
      </c>
      <c r="Q29" s="33">
        <v>56</v>
      </c>
      <c r="R29" s="33">
        <v>37</v>
      </c>
      <c r="S29" s="33">
        <v>39</v>
      </c>
      <c r="T29" s="33">
        <v>28</v>
      </c>
      <c r="U29" s="33">
        <v>44</v>
      </c>
      <c r="V29" s="33">
        <v>41</v>
      </c>
      <c r="W29" s="33">
        <v>30</v>
      </c>
      <c r="X29" s="33">
        <v>33</v>
      </c>
      <c r="Y29" s="33">
        <v>38</v>
      </c>
      <c r="Z29" s="33">
        <v>16</v>
      </c>
      <c r="AA29" s="33">
        <v>9</v>
      </c>
      <c r="AB29" s="33">
        <v>20</v>
      </c>
      <c r="AC29" s="33">
        <v>17</v>
      </c>
      <c r="AD29" s="33">
        <v>22</v>
      </c>
      <c r="AE29" s="33">
        <v>15</v>
      </c>
      <c r="AF29" s="33">
        <v>21</v>
      </c>
      <c r="AG29" s="33">
        <v>22</v>
      </c>
      <c r="AH29" s="33">
        <v>22</v>
      </c>
      <c r="AI29" s="33">
        <v>26</v>
      </c>
      <c r="AJ29" s="34">
        <v>22</v>
      </c>
      <c r="AK29" s="34">
        <v>19</v>
      </c>
      <c r="AL29" s="34">
        <v>21</v>
      </c>
      <c r="AM29" s="34">
        <v>16</v>
      </c>
      <c r="AN29" s="34">
        <v>25</v>
      </c>
      <c r="AO29" s="34">
        <v>26</v>
      </c>
      <c r="AP29" s="34">
        <v>35</v>
      </c>
      <c r="AQ29" s="34">
        <v>27</v>
      </c>
      <c r="AR29" s="34">
        <v>18</v>
      </c>
      <c r="AS29" s="34">
        <v>28</v>
      </c>
      <c r="AT29" s="34">
        <v>56</v>
      </c>
      <c r="AU29" s="34">
        <v>41</v>
      </c>
      <c r="AV29" s="34">
        <v>60</v>
      </c>
      <c r="AW29" s="34">
        <v>37</v>
      </c>
      <c r="AX29" s="34">
        <v>32</v>
      </c>
      <c r="AY29" s="34">
        <v>27</v>
      </c>
      <c r="AZ29" s="34">
        <v>14</v>
      </c>
      <c r="BA29" s="34">
        <v>19</v>
      </c>
      <c r="BB29" s="34">
        <v>15</v>
      </c>
      <c r="BC29" s="34">
        <v>11</v>
      </c>
      <c r="BD29" s="34">
        <v>25</v>
      </c>
      <c r="BE29" s="34">
        <v>15</v>
      </c>
      <c r="BF29" s="34">
        <v>19</v>
      </c>
      <c r="BG29" s="34">
        <v>13</v>
      </c>
      <c r="BH29" s="34">
        <v>3</v>
      </c>
      <c r="BI29" s="34">
        <v>3</v>
      </c>
      <c r="BJ29" s="34">
        <v>0</v>
      </c>
      <c r="BK29" s="34">
        <v>14</v>
      </c>
      <c r="BL29" s="34">
        <v>2</v>
      </c>
      <c r="BM29" s="34">
        <v>5</v>
      </c>
      <c r="BN29" s="34">
        <v>0</v>
      </c>
      <c r="BO29" s="137">
        <v>15</v>
      </c>
      <c r="BP29" s="137">
        <v>14</v>
      </c>
      <c r="BQ29" s="34">
        <v>9</v>
      </c>
      <c r="BR29" s="34">
        <v>3</v>
      </c>
      <c r="BS29" s="34">
        <v>1</v>
      </c>
      <c r="BT29" s="34">
        <v>2</v>
      </c>
      <c r="BU29" s="34">
        <v>2</v>
      </c>
      <c r="BV29" s="34">
        <v>1</v>
      </c>
      <c r="BW29" s="34">
        <v>0</v>
      </c>
      <c r="BX29" s="34">
        <v>1</v>
      </c>
      <c r="BY29" s="34">
        <v>1</v>
      </c>
      <c r="BZ29" s="34">
        <v>2</v>
      </c>
      <c r="CA29" s="34">
        <v>1</v>
      </c>
      <c r="CB29" s="34">
        <v>0</v>
      </c>
      <c r="CC29" s="34">
        <v>6</v>
      </c>
      <c r="CD29" s="34">
        <v>3</v>
      </c>
      <c r="CE29" s="34">
        <v>1</v>
      </c>
      <c r="CF29" s="34">
        <v>2</v>
      </c>
      <c r="CG29" s="34">
        <v>3</v>
      </c>
      <c r="CH29" s="34">
        <v>0</v>
      </c>
      <c r="CI29" s="34">
        <v>11</v>
      </c>
      <c r="CJ29" s="34">
        <v>2</v>
      </c>
      <c r="CK29" s="34">
        <v>0</v>
      </c>
      <c r="CL29" s="34">
        <v>2</v>
      </c>
      <c r="CM29" s="34">
        <v>1</v>
      </c>
      <c r="CN29" s="34">
        <v>5</v>
      </c>
      <c r="CO29" s="34">
        <v>4</v>
      </c>
      <c r="CP29" s="34">
        <v>9</v>
      </c>
      <c r="CQ29" s="34">
        <v>7</v>
      </c>
      <c r="CR29" s="34">
        <v>2</v>
      </c>
      <c r="CS29" s="34">
        <v>0</v>
      </c>
      <c r="CT29" s="34">
        <v>0</v>
      </c>
      <c r="CU29" s="34">
        <v>6</v>
      </c>
      <c r="CV29" s="34">
        <v>2</v>
      </c>
      <c r="CW29" s="34">
        <v>5</v>
      </c>
      <c r="CX29" s="34">
        <v>3</v>
      </c>
      <c r="CY29" s="34">
        <v>4</v>
      </c>
      <c r="CZ29" s="34">
        <v>3</v>
      </c>
      <c r="DA29" s="34">
        <v>1</v>
      </c>
      <c r="DB29" s="34">
        <v>4</v>
      </c>
      <c r="DC29" s="34">
        <v>5</v>
      </c>
      <c r="DD29" s="34">
        <v>1</v>
      </c>
      <c r="DE29" s="34">
        <v>3</v>
      </c>
      <c r="DF29" s="34">
        <v>1</v>
      </c>
      <c r="DG29" s="34">
        <v>1</v>
      </c>
      <c r="DH29" s="34">
        <v>0</v>
      </c>
      <c r="DI29" s="34">
        <v>1</v>
      </c>
      <c r="DJ29" s="34">
        <v>1</v>
      </c>
      <c r="DK29" s="34">
        <v>3</v>
      </c>
      <c r="DL29" s="34">
        <v>0</v>
      </c>
      <c r="DM29" s="34">
        <v>1</v>
      </c>
      <c r="DN29" s="34">
        <v>2</v>
      </c>
      <c r="DO29" s="34">
        <v>0</v>
      </c>
      <c r="DP29" s="34">
        <v>0</v>
      </c>
      <c r="DQ29" s="34">
        <v>0</v>
      </c>
      <c r="DR29" s="137">
        <v>0</v>
      </c>
      <c r="DS29" s="42">
        <v>0</v>
      </c>
      <c r="DT29" s="42">
        <v>0</v>
      </c>
      <c r="DU29" s="42">
        <v>1</v>
      </c>
      <c r="DV29" s="42">
        <v>0</v>
      </c>
      <c r="DW29" s="42">
        <v>0</v>
      </c>
      <c r="DX29" s="42">
        <v>0</v>
      </c>
      <c r="DY29" s="42">
        <v>0</v>
      </c>
      <c r="DZ29" s="42">
        <v>0</v>
      </c>
      <c r="EA29" s="42">
        <v>0</v>
      </c>
      <c r="EB29" s="42">
        <v>0</v>
      </c>
      <c r="EC29" s="42">
        <v>1</v>
      </c>
      <c r="ED29" s="42">
        <v>1</v>
      </c>
      <c r="EE29" s="42">
        <v>3</v>
      </c>
      <c r="EF29" s="42">
        <v>3</v>
      </c>
      <c r="EG29" s="42">
        <v>1</v>
      </c>
      <c r="EH29" s="211">
        <f t="shared" si="8"/>
        <v>75</v>
      </c>
      <c r="EI29" s="89"/>
      <c r="EJ29" s="89">
        <f t="shared" si="9"/>
        <v>1735</v>
      </c>
      <c r="EK29" s="89"/>
      <c r="EL29" s="47"/>
      <c r="EM29" s="47"/>
      <c r="EN29" s="47">
        <f t="shared" si="0"/>
        <v>1536</v>
      </c>
      <c r="EO29" s="12">
        <f t="shared" si="1"/>
        <v>32</v>
      </c>
      <c r="EP29" s="12">
        <f t="shared" si="2"/>
        <v>314</v>
      </c>
      <c r="EQ29" s="12">
        <f t="shared" si="3"/>
        <v>410</v>
      </c>
      <c r="ER29" s="12">
        <f t="shared" si="4"/>
        <v>243</v>
      </c>
      <c r="ES29" s="15">
        <f t="shared" si="5"/>
        <v>412</v>
      </c>
      <c r="ET29" s="49">
        <f t="shared" si="6"/>
        <v>205</v>
      </c>
      <c r="EU29" s="49">
        <f t="shared" si="7"/>
        <v>69</v>
      </c>
      <c r="EV29" s="49">
        <f t="shared" si="12"/>
        <v>41</v>
      </c>
      <c r="EW29" s="49">
        <f t="shared" si="11"/>
        <v>2</v>
      </c>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c r="GL29"/>
      <c r="GM29"/>
      <c r="GN29"/>
      <c r="GO29"/>
      <c r="GP29"/>
      <c r="GQ29"/>
      <c r="GR29"/>
      <c r="GS29"/>
      <c r="GT29"/>
      <c r="GU29"/>
      <c r="GV29"/>
      <c r="GW29"/>
      <c r="GX29"/>
      <c r="GY29"/>
      <c r="GZ29"/>
      <c r="HA29"/>
      <c r="HB29"/>
      <c r="HC29"/>
      <c r="HD29"/>
      <c r="HE29"/>
      <c r="HF29"/>
      <c r="HG29"/>
      <c r="HH29"/>
      <c r="HI29"/>
      <c r="HJ29"/>
      <c r="HK29"/>
      <c r="HL29"/>
      <c r="HM29"/>
      <c r="HN29"/>
      <c r="HO29"/>
      <c r="HP29"/>
      <c r="HQ29"/>
      <c r="HR29"/>
      <c r="HS29"/>
      <c r="HT29"/>
      <c r="HU29"/>
      <c r="HV29"/>
      <c r="HW29"/>
      <c r="HX29"/>
      <c r="HY29"/>
      <c r="HZ29"/>
      <c r="IA29"/>
      <c r="IB29"/>
      <c r="IC29"/>
      <c r="ID29"/>
      <c r="IE29"/>
      <c r="IF29"/>
      <c r="IG29"/>
      <c r="IH29"/>
      <c r="II29"/>
      <c r="IJ29"/>
      <c r="IK29"/>
      <c r="IL29"/>
      <c r="IM29"/>
      <c r="IN29"/>
      <c r="IO29"/>
      <c r="IP29"/>
      <c r="IQ29"/>
      <c r="IR29"/>
      <c r="IS29"/>
      <c r="IT29"/>
      <c r="IU29"/>
      <c r="IV29"/>
      <c r="IW29"/>
      <c r="IX29"/>
      <c r="IY29"/>
      <c r="IZ29"/>
      <c r="JA29"/>
      <c r="JB29"/>
      <c r="JC29"/>
      <c r="JD29"/>
      <c r="JE29"/>
      <c r="JF29"/>
      <c r="JG29"/>
      <c r="JH29"/>
      <c r="JI29"/>
      <c r="JJ29"/>
      <c r="JK29"/>
      <c r="JL29"/>
      <c r="JM29"/>
      <c r="JN29"/>
      <c r="JO29"/>
      <c r="JP29"/>
      <c r="JQ29"/>
      <c r="JR29"/>
      <c r="JS29"/>
      <c r="JT29"/>
      <c r="JU29"/>
      <c r="JV29"/>
      <c r="JW29"/>
      <c r="JX29"/>
      <c r="JY29"/>
      <c r="JZ29"/>
      <c r="KA29"/>
      <c r="KB29"/>
      <c r="KC29"/>
      <c r="KD29"/>
      <c r="KE29"/>
      <c r="KF29"/>
      <c r="KG29"/>
      <c r="KH29"/>
      <c r="KI29"/>
      <c r="KJ29"/>
      <c r="KK29"/>
      <c r="KL29"/>
      <c r="KM29"/>
      <c r="KN29"/>
      <c r="KO29"/>
      <c r="KP29"/>
      <c r="KQ29"/>
      <c r="KR29"/>
    </row>
    <row r="30" spans="1:304" s="78" customFormat="1" x14ac:dyDescent="0.25">
      <c r="A30" s="321"/>
      <c r="B30" s="224" t="s">
        <v>78</v>
      </c>
      <c r="C30" s="33">
        <v>19</v>
      </c>
      <c r="D30" s="33">
        <v>8</v>
      </c>
      <c r="E30" s="33">
        <v>18</v>
      </c>
      <c r="F30" s="33">
        <v>9</v>
      </c>
      <c r="G30" s="33">
        <v>16</v>
      </c>
      <c r="H30" s="33">
        <v>6</v>
      </c>
      <c r="I30" s="33">
        <v>7</v>
      </c>
      <c r="J30" s="33">
        <v>9</v>
      </c>
      <c r="K30" s="33">
        <v>17</v>
      </c>
      <c r="L30" s="33">
        <v>13</v>
      </c>
      <c r="M30" s="33">
        <v>14</v>
      </c>
      <c r="N30" s="33">
        <v>11</v>
      </c>
      <c r="O30" s="33">
        <v>0</v>
      </c>
      <c r="P30" s="33">
        <v>10</v>
      </c>
      <c r="Q30" s="33">
        <v>9</v>
      </c>
      <c r="R30" s="33">
        <v>7</v>
      </c>
      <c r="S30" s="33">
        <v>20</v>
      </c>
      <c r="T30" s="33">
        <v>10</v>
      </c>
      <c r="U30" s="33">
        <v>8</v>
      </c>
      <c r="V30" s="33">
        <v>28</v>
      </c>
      <c r="W30" s="33">
        <v>17</v>
      </c>
      <c r="X30" s="33">
        <v>16</v>
      </c>
      <c r="Y30" s="33">
        <v>6</v>
      </c>
      <c r="Z30" s="33">
        <v>12</v>
      </c>
      <c r="AA30" s="33">
        <v>14</v>
      </c>
      <c r="AB30" s="33">
        <v>26</v>
      </c>
      <c r="AC30" s="33">
        <v>20</v>
      </c>
      <c r="AD30" s="33">
        <v>22</v>
      </c>
      <c r="AE30" s="33">
        <v>11</v>
      </c>
      <c r="AF30" s="33">
        <v>17</v>
      </c>
      <c r="AG30" s="33">
        <v>22</v>
      </c>
      <c r="AH30" s="33">
        <v>21</v>
      </c>
      <c r="AI30" s="33">
        <v>22</v>
      </c>
      <c r="AJ30" s="34">
        <v>20</v>
      </c>
      <c r="AK30" s="34">
        <v>21</v>
      </c>
      <c r="AL30" s="34">
        <v>20</v>
      </c>
      <c r="AM30" s="34">
        <v>15</v>
      </c>
      <c r="AN30" s="34">
        <v>32</v>
      </c>
      <c r="AO30" s="34">
        <v>35</v>
      </c>
      <c r="AP30" s="34">
        <v>39</v>
      </c>
      <c r="AQ30" s="34">
        <v>42</v>
      </c>
      <c r="AR30" s="34">
        <v>21</v>
      </c>
      <c r="AS30" s="34">
        <v>67</v>
      </c>
      <c r="AT30" s="34">
        <v>58</v>
      </c>
      <c r="AU30" s="34">
        <v>56</v>
      </c>
      <c r="AV30" s="34">
        <v>52</v>
      </c>
      <c r="AW30" s="34">
        <v>65</v>
      </c>
      <c r="AX30" s="34">
        <v>49</v>
      </c>
      <c r="AY30" s="34">
        <v>55</v>
      </c>
      <c r="AZ30" s="34">
        <v>18</v>
      </c>
      <c r="BA30" s="34">
        <v>32</v>
      </c>
      <c r="BB30" s="34">
        <v>32</v>
      </c>
      <c r="BC30" s="34">
        <v>26</v>
      </c>
      <c r="BD30" s="34">
        <v>23</v>
      </c>
      <c r="BE30" s="34">
        <v>31</v>
      </c>
      <c r="BF30" s="34">
        <v>21</v>
      </c>
      <c r="BG30" s="34">
        <v>36</v>
      </c>
      <c r="BH30" s="34">
        <v>15</v>
      </c>
      <c r="BI30" s="34">
        <v>9</v>
      </c>
      <c r="BJ30" s="34">
        <v>24</v>
      </c>
      <c r="BK30" s="34">
        <v>25</v>
      </c>
      <c r="BL30" s="34">
        <v>18</v>
      </c>
      <c r="BM30" s="34">
        <v>26</v>
      </c>
      <c r="BN30" s="34">
        <v>0</v>
      </c>
      <c r="BO30" s="137">
        <v>63</v>
      </c>
      <c r="BP30" s="137">
        <v>23</v>
      </c>
      <c r="BQ30" s="34">
        <v>32</v>
      </c>
      <c r="BR30" s="34">
        <v>28</v>
      </c>
      <c r="BS30" s="34">
        <v>17</v>
      </c>
      <c r="BT30" s="34">
        <v>22</v>
      </c>
      <c r="BU30" s="34">
        <v>7</v>
      </c>
      <c r="BV30" s="34">
        <v>25</v>
      </c>
      <c r="BW30" s="34">
        <v>15</v>
      </c>
      <c r="BX30" s="34">
        <v>15</v>
      </c>
      <c r="BY30" s="34">
        <v>23</v>
      </c>
      <c r="BZ30" s="34">
        <v>14</v>
      </c>
      <c r="CA30" s="34">
        <v>16</v>
      </c>
      <c r="CB30" s="34">
        <v>14</v>
      </c>
      <c r="CC30" s="34">
        <v>33</v>
      </c>
      <c r="CD30" s="34">
        <v>24</v>
      </c>
      <c r="CE30" s="34">
        <v>26</v>
      </c>
      <c r="CF30" s="34">
        <v>23</v>
      </c>
      <c r="CG30" s="34">
        <v>43</v>
      </c>
      <c r="CH30" s="34">
        <v>21</v>
      </c>
      <c r="CI30" s="34">
        <v>23</v>
      </c>
      <c r="CJ30" s="34">
        <v>28</v>
      </c>
      <c r="CK30" s="34">
        <v>19</v>
      </c>
      <c r="CL30" s="34">
        <v>18</v>
      </c>
      <c r="CM30" s="34">
        <v>27</v>
      </c>
      <c r="CN30" s="34">
        <v>14</v>
      </c>
      <c r="CO30" s="34">
        <v>35</v>
      </c>
      <c r="CP30" s="34">
        <v>29</v>
      </c>
      <c r="CQ30" s="34">
        <v>24</v>
      </c>
      <c r="CR30" s="34">
        <v>16</v>
      </c>
      <c r="CS30" s="34">
        <v>24</v>
      </c>
      <c r="CT30" s="34">
        <v>13</v>
      </c>
      <c r="CU30" s="34">
        <v>21</v>
      </c>
      <c r="CV30" s="34">
        <v>13</v>
      </c>
      <c r="CW30" s="34">
        <v>42</v>
      </c>
      <c r="CX30" s="34">
        <v>36</v>
      </c>
      <c r="CY30" s="34">
        <v>33</v>
      </c>
      <c r="CZ30" s="34">
        <v>25</v>
      </c>
      <c r="DA30" s="34">
        <v>27</v>
      </c>
      <c r="DB30" s="34">
        <v>32</v>
      </c>
      <c r="DC30" s="34">
        <v>20</v>
      </c>
      <c r="DD30" s="34">
        <v>30</v>
      </c>
      <c r="DE30" s="34">
        <v>36</v>
      </c>
      <c r="DF30" s="34">
        <v>48</v>
      </c>
      <c r="DG30" s="34">
        <v>28</v>
      </c>
      <c r="DH30" s="34">
        <v>36</v>
      </c>
      <c r="DI30" s="34">
        <v>34</v>
      </c>
      <c r="DJ30" s="34">
        <v>34</v>
      </c>
      <c r="DK30" s="34">
        <v>24</v>
      </c>
      <c r="DL30" s="34">
        <v>34</v>
      </c>
      <c r="DM30" s="34">
        <v>26</v>
      </c>
      <c r="DN30" s="34">
        <v>33</v>
      </c>
      <c r="DO30" s="34">
        <v>35</v>
      </c>
      <c r="DP30" s="34">
        <v>34</v>
      </c>
      <c r="DQ30" s="34">
        <v>15</v>
      </c>
      <c r="DR30" s="137">
        <v>34</v>
      </c>
      <c r="DS30" s="42">
        <v>25</v>
      </c>
      <c r="DT30" s="42">
        <v>22</v>
      </c>
      <c r="DU30" s="42">
        <v>34</v>
      </c>
      <c r="DV30" s="42">
        <v>30</v>
      </c>
      <c r="DW30" s="42">
        <v>22</v>
      </c>
      <c r="DX30" s="42">
        <v>37</v>
      </c>
      <c r="DY30" s="42">
        <v>20</v>
      </c>
      <c r="DZ30" s="42">
        <v>32</v>
      </c>
      <c r="EA30" s="42">
        <v>36</v>
      </c>
      <c r="EB30" s="42">
        <v>27</v>
      </c>
      <c r="EC30" s="42">
        <v>25</v>
      </c>
      <c r="ED30" s="42">
        <v>35</v>
      </c>
      <c r="EE30" s="42">
        <v>35</v>
      </c>
      <c r="EF30" s="42">
        <v>30</v>
      </c>
      <c r="EG30" s="42">
        <v>23</v>
      </c>
      <c r="EH30" s="211">
        <f t="shared" si="8"/>
        <v>1269</v>
      </c>
      <c r="EI30" s="89"/>
      <c r="EJ30" s="89">
        <f t="shared" si="9"/>
        <v>3342</v>
      </c>
      <c r="EK30" s="89"/>
      <c r="EL30" s="47"/>
      <c r="EM30" s="47"/>
      <c r="EN30" s="47">
        <f t="shared" si="0"/>
        <v>2874</v>
      </c>
      <c r="EO30" s="12">
        <f t="shared" si="1"/>
        <v>19</v>
      </c>
      <c r="EP30" s="12">
        <f t="shared" si="2"/>
        <v>128</v>
      </c>
      <c r="EQ30" s="12">
        <f t="shared" si="3"/>
        <v>157</v>
      </c>
      <c r="ER30" s="12">
        <f t="shared" si="4"/>
        <v>237</v>
      </c>
      <c r="ES30" s="15">
        <f t="shared" si="5"/>
        <v>571</v>
      </c>
      <c r="ET30" s="49">
        <f t="shared" si="6"/>
        <v>568</v>
      </c>
      <c r="EU30" s="49">
        <f t="shared" si="7"/>
        <v>543</v>
      </c>
      <c r="EV30" s="49">
        <f t="shared" si="12"/>
        <v>734</v>
      </c>
      <c r="EW30" s="49">
        <f t="shared" si="11"/>
        <v>285</v>
      </c>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c r="GL30"/>
      <c r="GM30"/>
      <c r="GN30"/>
      <c r="GO30"/>
      <c r="GP30"/>
      <c r="GQ30"/>
      <c r="GR30"/>
      <c r="GS30"/>
      <c r="GT30"/>
      <c r="GU30"/>
      <c r="GV30"/>
      <c r="GW30"/>
      <c r="GX30"/>
      <c r="GY30"/>
      <c r="GZ30"/>
      <c r="HA30"/>
      <c r="HB30"/>
      <c r="HC30"/>
      <c r="HD30"/>
      <c r="HE30"/>
      <c r="HF30"/>
      <c r="HG30"/>
      <c r="HH30"/>
      <c r="HI30"/>
      <c r="HJ30"/>
      <c r="HK30"/>
      <c r="HL30"/>
      <c r="HM30"/>
      <c r="HN30"/>
      <c r="HO30"/>
      <c r="HP30"/>
      <c r="HQ30"/>
      <c r="HR30"/>
      <c r="HS30"/>
      <c r="HT30"/>
      <c r="HU30"/>
      <c r="HV30"/>
      <c r="HW30"/>
      <c r="HX30"/>
      <c r="HY30"/>
      <c r="HZ30"/>
      <c r="IA30"/>
      <c r="IB30"/>
      <c r="IC30"/>
      <c r="ID30"/>
      <c r="IE30"/>
      <c r="IF30"/>
      <c r="IG30"/>
      <c r="IH30"/>
      <c r="II30"/>
      <c r="IJ30"/>
      <c r="IK30"/>
      <c r="IL30"/>
      <c r="IM30"/>
      <c r="IN30"/>
      <c r="IO30"/>
      <c r="IP30"/>
      <c r="IQ30"/>
      <c r="IR30"/>
      <c r="IS30"/>
      <c r="IT30"/>
      <c r="IU30"/>
      <c r="IV30"/>
      <c r="IW30"/>
      <c r="IX30"/>
      <c r="IY30"/>
      <c r="IZ30"/>
      <c r="JA30"/>
      <c r="JB30"/>
      <c r="JC30"/>
      <c r="JD30"/>
      <c r="JE30"/>
      <c r="JF30"/>
      <c r="JG30"/>
      <c r="JH30"/>
      <c r="JI30"/>
      <c r="JJ30"/>
      <c r="JK30"/>
      <c r="JL30"/>
      <c r="JM30"/>
      <c r="JN30"/>
      <c r="JO30"/>
      <c r="JP30"/>
      <c r="JQ30"/>
      <c r="JR30"/>
      <c r="JS30"/>
      <c r="JT30"/>
      <c r="JU30"/>
      <c r="JV30"/>
      <c r="JW30"/>
      <c r="JX30"/>
      <c r="JY30"/>
      <c r="JZ30"/>
      <c r="KA30"/>
      <c r="KB30"/>
      <c r="KC30"/>
      <c r="KD30"/>
      <c r="KE30"/>
      <c r="KF30"/>
      <c r="KG30"/>
      <c r="KH30"/>
      <c r="KI30"/>
      <c r="KJ30"/>
      <c r="KK30"/>
      <c r="KL30"/>
      <c r="KM30"/>
      <c r="KN30"/>
      <c r="KO30"/>
      <c r="KP30"/>
      <c r="KQ30"/>
      <c r="KR30"/>
    </row>
    <row r="31" spans="1:304" s="78" customFormat="1" x14ac:dyDescent="0.25">
      <c r="A31" s="319" t="s">
        <v>50</v>
      </c>
      <c r="B31" s="221" t="s">
        <v>51</v>
      </c>
      <c r="C31" s="33">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33">
        <v>0</v>
      </c>
      <c r="AD31" s="33">
        <v>0</v>
      </c>
      <c r="AE31" s="33">
        <v>2</v>
      </c>
      <c r="AF31" s="33">
        <v>1</v>
      </c>
      <c r="AG31" s="33">
        <v>1</v>
      </c>
      <c r="AH31" s="33">
        <v>0</v>
      </c>
      <c r="AI31" s="33">
        <v>0</v>
      </c>
      <c r="AJ31" s="34">
        <v>0</v>
      </c>
      <c r="AK31" s="34">
        <v>1</v>
      </c>
      <c r="AL31" s="34">
        <v>1</v>
      </c>
      <c r="AM31" s="34">
        <v>0</v>
      </c>
      <c r="AN31" s="34">
        <v>0</v>
      </c>
      <c r="AO31" s="34">
        <v>1</v>
      </c>
      <c r="AP31" s="34">
        <v>0</v>
      </c>
      <c r="AQ31" s="34">
        <v>0</v>
      </c>
      <c r="AR31" s="34">
        <v>3</v>
      </c>
      <c r="AS31" s="34">
        <v>2</v>
      </c>
      <c r="AT31" s="34">
        <v>2</v>
      </c>
      <c r="AU31" s="34">
        <v>0</v>
      </c>
      <c r="AV31" s="34">
        <v>1</v>
      </c>
      <c r="AW31" s="34">
        <v>0</v>
      </c>
      <c r="AX31" s="34">
        <v>1</v>
      </c>
      <c r="AY31" s="34">
        <v>0</v>
      </c>
      <c r="AZ31" s="34">
        <v>0</v>
      </c>
      <c r="BA31" s="34">
        <v>0</v>
      </c>
      <c r="BB31" s="34">
        <v>0</v>
      </c>
      <c r="BC31" s="34">
        <v>0</v>
      </c>
      <c r="BD31" s="34">
        <v>0</v>
      </c>
      <c r="BE31" s="34">
        <v>0</v>
      </c>
      <c r="BF31" s="34">
        <v>1</v>
      </c>
      <c r="BG31" s="34">
        <v>0</v>
      </c>
      <c r="BH31" s="34">
        <v>0</v>
      </c>
      <c r="BI31" s="34">
        <v>0</v>
      </c>
      <c r="BJ31" s="34">
        <v>0</v>
      </c>
      <c r="BK31" s="34">
        <v>2</v>
      </c>
      <c r="BL31" s="34">
        <v>0</v>
      </c>
      <c r="BM31" s="34">
        <v>0</v>
      </c>
      <c r="BN31" s="34">
        <v>0</v>
      </c>
      <c r="BO31" s="137">
        <v>0</v>
      </c>
      <c r="BP31" s="137">
        <v>0</v>
      </c>
      <c r="BQ31" s="34">
        <v>0</v>
      </c>
      <c r="BR31" s="34">
        <v>0</v>
      </c>
      <c r="BS31" s="34">
        <v>1</v>
      </c>
      <c r="BT31" s="34">
        <v>0</v>
      </c>
      <c r="BU31" s="34">
        <v>0</v>
      </c>
      <c r="BV31" s="34">
        <v>0</v>
      </c>
      <c r="BW31" s="34">
        <v>0</v>
      </c>
      <c r="BX31" s="34">
        <v>0</v>
      </c>
      <c r="BY31" s="34">
        <v>0</v>
      </c>
      <c r="BZ31" s="34">
        <v>0</v>
      </c>
      <c r="CA31" s="34">
        <v>0</v>
      </c>
      <c r="CB31" s="34">
        <v>0</v>
      </c>
      <c r="CC31" s="34">
        <v>0</v>
      </c>
      <c r="CD31" s="34">
        <v>0</v>
      </c>
      <c r="CE31" s="34">
        <v>1</v>
      </c>
      <c r="CF31" s="34">
        <v>0</v>
      </c>
      <c r="CG31" s="34">
        <v>0</v>
      </c>
      <c r="CH31" s="34">
        <v>0</v>
      </c>
      <c r="CI31" s="34">
        <v>0</v>
      </c>
      <c r="CJ31" s="34">
        <v>0</v>
      </c>
      <c r="CK31" s="34">
        <v>0</v>
      </c>
      <c r="CL31" s="34">
        <v>0</v>
      </c>
      <c r="CM31" s="34">
        <v>1</v>
      </c>
      <c r="CN31" s="34">
        <v>0</v>
      </c>
      <c r="CO31" s="34">
        <v>0</v>
      </c>
      <c r="CP31" s="34">
        <v>0</v>
      </c>
      <c r="CQ31" s="34">
        <v>0</v>
      </c>
      <c r="CR31" s="34">
        <v>0</v>
      </c>
      <c r="CS31" s="34">
        <v>0</v>
      </c>
      <c r="CT31" s="34">
        <v>0</v>
      </c>
      <c r="CU31" s="34">
        <v>0</v>
      </c>
      <c r="CV31" s="34">
        <v>0</v>
      </c>
      <c r="CW31" s="34">
        <v>3</v>
      </c>
      <c r="CX31" s="34">
        <v>0</v>
      </c>
      <c r="CY31" s="34">
        <v>0</v>
      </c>
      <c r="CZ31" s="34">
        <v>0</v>
      </c>
      <c r="DA31" s="34">
        <v>2</v>
      </c>
      <c r="DB31" s="34">
        <v>2</v>
      </c>
      <c r="DC31" s="34">
        <v>0</v>
      </c>
      <c r="DD31" s="34">
        <v>0</v>
      </c>
      <c r="DE31" s="34">
        <v>0</v>
      </c>
      <c r="DF31" s="34">
        <v>0</v>
      </c>
      <c r="DG31" s="34">
        <v>0</v>
      </c>
      <c r="DH31" s="34">
        <v>0</v>
      </c>
      <c r="DI31" s="34">
        <v>0</v>
      </c>
      <c r="DJ31" s="34">
        <v>2</v>
      </c>
      <c r="DK31" s="34">
        <v>2</v>
      </c>
      <c r="DL31" s="34">
        <v>0</v>
      </c>
      <c r="DM31" s="34">
        <v>0</v>
      </c>
      <c r="DN31" s="34">
        <v>0</v>
      </c>
      <c r="DO31" s="34">
        <v>0</v>
      </c>
      <c r="DP31" s="34">
        <v>0</v>
      </c>
      <c r="DQ31" s="34">
        <v>0</v>
      </c>
      <c r="DR31" s="34">
        <v>0</v>
      </c>
      <c r="DS31" s="42">
        <v>0</v>
      </c>
      <c r="DT31" s="42">
        <v>0</v>
      </c>
      <c r="DU31" s="42">
        <v>0</v>
      </c>
      <c r="DV31" s="42">
        <v>0</v>
      </c>
      <c r="DW31" s="42">
        <v>0</v>
      </c>
      <c r="DX31" s="42">
        <v>0</v>
      </c>
      <c r="DY31" s="42">
        <v>0</v>
      </c>
      <c r="DZ31" s="42">
        <v>0</v>
      </c>
      <c r="EA31" s="42">
        <v>0</v>
      </c>
      <c r="EB31" s="42">
        <v>0</v>
      </c>
      <c r="EC31" s="42">
        <v>0</v>
      </c>
      <c r="ED31" s="42">
        <v>0</v>
      </c>
      <c r="EE31" s="42">
        <v>0</v>
      </c>
      <c r="EF31" s="42">
        <v>0</v>
      </c>
      <c r="EG31" s="42">
        <v>0</v>
      </c>
      <c r="EH31" s="211">
        <f t="shared" si="8"/>
        <v>11</v>
      </c>
      <c r="EI31" s="89"/>
      <c r="EJ31" s="89">
        <f t="shared" si="9"/>
        <v>33</v>
      </c>
      <c r="EK31" s="89"/>
      <c r="EL31" s="47"/>
      <c r="EM31" s="47"/>
      <c r="EN31" s="47">
        <f t="shared" si="0"/>
        <v>33</v>
      </c>
      <c r="EO31" s="12">
        <f t="shared" si="1"/>
        <v>0</v>
      </c>
      <c r="EP31" s="12">
        <f t="shared" si="2"/>
        <v>0</v>
      </c>
      <c r="EQ31" s="12">
        <f t="shared" si="3"/>
        <v>0</v>
      </c>
      <c r="ER31" s="12">
        <f t="shared" si="4"/>
        <v>6</v>
      </c>
      <c r="ES31" s="15">
        <f t="shared" si="5"/>
        <v>10</v>
      </c>
      <c r="ET31" s="49">
        <f t="shared" si="6"/>
        <v>4</v>
      </c>
      <c r="EU31" s="49">
        <f t="shared" si="7"/>
        <v>2</v>
      </c>
      <c r="EV31" s="49">
        <f t="shared" si="12"/>
        <v>11</v>
      </c>
      <c r="EW31" s="49">
        <f t="shared" si="11"/>
        <v>0</v>
      </c>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c r="IH31"/>
      <c r="II31"/>
      <c r="IJ31"/>
      <c r="IK31"/>
      <c r="IL31"/>
      <c r="IM31"/>
      <c r="IN31"/>
      <c r="IO31"/>
      <c r="IP31"/>
      <c r="IQ31"/>
      <c r="IR31"/>
      <c r="IS31"/>
      <c r="IT31"/>
      <c r="IU31"/>
      <c r="IV31"/>
      <c r="IW31"/>
      <c r="IX31"/>
      <c r="IY31"/>
      <c r="IZ31"/>
      <c r="JA31"/>
      <c r="JB31"/>
      <c r="JC31"/>
      <c r="JD31"/>
      <c r="JE31"/>
      <c r="JF31"/>
      <c r="JG31"/>
      <c r="JH31"/>
      <c r="JI31"/>
      <c r="JJ31"/>
      <c r="JK31"/>
      <c r="JL31"/>
      <c r="JM31"/>
      <c r="JN31"/>
      <c r="JO31"/>
      <c r="JP31"/>
      <c r="JQ31"/>
      <c r="JR31"/>
      <c r="JS31"/>
      <c r="JT31"/>
      <c r="JU31"/>
      <c r="JV31"/>
      <c r="JW31"/>
      <c r="JX31"/>
      <c r="JY31"/>
      <c r="JZ31"/>
      <c r="KA31"/>
      <c r="KB31"/>
      <c r="KC31"/>
      <c r="KD31"/>
      <c r="KE31"/>
      <c r="KF31"/>
      <c r="KG31"/>
      <c r="KH31"/>
      <c r="KI31"/>
      <c r="KJ31"/>
      <c r="KK31"/>
      <c r="KL31"/>
      <c r="KM31"/>
      <c r="KN31"/>
      <c r="KO31"/>
      <c r="KP31"/>
      <c r="KQ31"/>
      <c r="KR31"/>
    </row>
    <row r="32" spans="1:304" s="78" customFormat="1" ht="40.5" customHeight="1" x14ac:dyDescent="0.25">
      <c r="A32" s="321"/>
      <c r="B32" s="224" t="s">
        <v>52</v>
      </c>
      <c r="C32" s="33">
        <v>0</v>
      </c>
      <c r="D32" s="33">
        <v>0</v>
      </c>
      <c r="E32" s="33">
        <v>0</v>
      </c>
      <c r="F32" s="33">
        <v>0</v>
      </c>
      <c r="G32" s="33">
        <v>0</v>
      </c>
      <c r="H32" s="33">
        <v>0</v>
      </c>
      <c r="I32" s="33">
        <v>0</v>
      </c>
      <c r="J32" s="33">
        <v>0</v>
      </c>
      <c r="K32" s="33">
        <v>0</v>
      </c>
      <c r="L32" s="33">
        <v>0</v>
      </c>
      <c r="M32" s="33">
        <v>0</v>
      </c>
      <c r="N32" s="33">
        <v>0</v>
      </c>
      <c r="O32" s="33">
        <v>0</v>
      </c>
      <c r="P32" s="33">
        <v>0</v>
      </c>
      <c r="Q32" s="33">
        <v>0</v>
      </c>
      <c r="R32" s="33">
        <v>0</v>
      </c>
      <c r="S32" s="33">
        <v>0</v>
      </c>
      <c r="T32" s="33">
        <v>0</v>
      </c>
      <c r="U32" s="33">
        <v>0</v>
      </c>
      <c r="V32" s="33">
        <v>0</v>
      </c>
      <c r="W32" s="33">
        <v>0</v>
      </c>
      <c r="X32" s="33">
        <v>0</v>
      </c>
      <c r="Y32" s="33">
        <v>0</v>
      </c>
      <c r="Z32" s="33">
        <v>0</v>
      </c>
      <c r="AA32" s="33">
        <v>0</v>
      </c>
      <c r="AB32" s="33">
        <v>0</v>
      </c>
      <c r="AC32" s="33">
        <v>0</v>
      </c>
      <c r="AD32" s="33">
        <v>0</v>
      </c>
      <c r="AE32" s="33">
        <v>50</v>
      </c>
      <c r="AF32" s="33">
        <v>25</v>
      </c>
      <c r="AG32" s="33">
        <v>20</v>
      </c>
      <c r="AH32" s="33">
        <v>0</v>
      </c>
      <c r="AI32" s="33">
        <v>0</v>
      </c>
      <c r="AJ32" s="34">
        <v>0</v>
      </c>
      <c r="AK32" s="34">
        <v>39</v>
      </c>
      <c r="AL32" s="34">
        <v>20</v>
      </c>
      <c r="AM32" s="34">
        <v>0</v>
      </c>
      <c r="AN32" s="34">
        <v>0</v>
      </c>
      <c r="AO32" s="34">
        <v>80</v>
      </c>
      <c r="AP32" s="34">
        <v>0</v>
      </c>
      <c r="AQ32" s="34">
        <v>0</v>
      </c>
      <c r="AR32" s="34">
        <v>70</v>
      </c>
      <c r="AS32" s="34">
        <v>36</v>
      </c>
      <c r="AT32" s="34">
        <v>64</v>
      </c>
      <c r="AU32" s="34">
        <v>0</v>
      </c>
      <c r="AV32" s="34">
        <v>54</v>
      </c>
      <c r="AW32" s="34">
        <v>0</v>
      </c>
      <c r="AX32" s="34">
        <v>13</v>
      </c>
      <c r="AY32" s="34">
        <v>0</v>
      </c>
      <c r="AZ32" s="34">
        <v>0</v>
      </c>
      <c r="BA32" s="34">
        <v>0</v>
      </c>
      <c r="BB32" s="34">
        <v>0</v>
      </c>
      <c r="BC32" s="34">
        <v>0</v>
      </c>
      <c r="BD32" s="34">
        <v>0</v>
      </c>
      <c r="BE32" s="34">
        <v>0</v>
      </c>
      <c r="BF32" s="34">
        <v>100</v>
      </c>
      <c r="BG32" s="34">
        <v>0</v>
      </c>
      <c r="BH32" s="34">
        <v>0</v>
      </c>
      <c r="BI32" s="34">
        <v>0</v>
      </c>
      <c r="BJ32" s="34">
        <v>0</v>
      </c>
      <c r="BK32" s="34">
        <v>111</v>
      </c>
      <c r="BL32" s="34">
        <v>0</v>
      </c>
      <c r="BM32" s="34">
        <v>0</v>
      </c>
      <c r="BN32" s="34">
        <v>0</v>
      </c>
      <c r="BO32" s="137">
        <v>0</v>
      </c>
      <c r="BP32" s="137">
        <v>0</v>
      </c>
      <c r="BQ32" s="34">
        <v>0</v>
      </c>
      <c r="BR32" s="34">
        <v>0</v>
      </c>
      <c r="BS32" s="34">
        <v>35</v>
      </c>
      <c r="BT32" s="34">
        <v>0</v>
      </c>
      <c r="BU32" s="34">
        <v>0</v>
      </c>
      <c r="BV32" s="34">
        <v>0</v>
      </c>
      <c r="BW32" s="34">
        <v>0</v>
      </c>
      <c r="BX32" s="34">
        <v>0</v>
      </c>
      <c r="BY32" s="34">
        <v>0</v>
      </c>
      <c r="BZ32" s="34">
        <v>0</v>
      </c>
      <c r="CA32" s="34">
        <v>0</v>
      </c>
      <c r="CB32" s="34">
        <v>0</v>
      </c>
      <c r="CC32" s="34">
        <v>0</v>
      </c>
      <c r="CD32" s="34">
        <v>0</v>
      </c>
      <c r="CE32" s="34">
        <v>28</v>
      </c>
      <c r="CF32" s="34">
        <v>0</v>
      </c>
      <c r="CG32" s="34">
        <v>0</v>
      </c>
      <c r="CH32" s="34">
        <v>0</v>
      </c>
      <c r="CI32" s="34">
        <v>0</v>
      </c>
      <c r="CJ32" s="34">
        <v>0</v>
      </c>
      <c r="CK32" s="34">
        <v>0</v>
      </c>
      <c r="CL32" s="34">
        <v>0</v>
      </c>
      <c r="CM32" s="34">
        <v>47</v>
      </c>
      <c r="CN32" s="34">
        <v>0</v>
      </c>
      <c r="CO32" s="34">
        <v>0</v>
      </c>
      <c r="CP32" s="34">
        <v>0</v>
      </c>
      <c r="CQ32" s="34">
        <v>0</v>
      </c>
      <c r="CR32" s="34">
        <v>0</v>
      </c>
      <c r="CS32" s="34">
        <v>0</v>
      </c>
      <c r="CT32" s="34">
        <v>0</v>
      </c>
      <c r="CU32" s="34">
        <v>0</v>
      </c>
      <c r="CV32" s="34">
        <v>0</v>
      </c>
      <c r="CW32" s="34">
        <v>85</v>
      </c>
      <c r="CX32" s="34">
        <v>0</v>
      </c>
      <c r="CY32" s="34">
        <v>0</v>
      </c>
      <c r="CZ32" s="34">
        <v>0</v>
      </c>
      <c r="DA32" s="34">
        <v>16</v>
      </c>
      <c r="DB32" s="34">
        <v>4</v>
      </c>
      <c r="DC32" s="34">
        <v>0</v>
      </c>
      <c r="DD32" s="34">
        <v>0</v>
      </c>
      <c r="DE32" s="34">
        <v>0</v>
      </c>
      <c r="DF32" s="34">
        <v>0</v>
      </c>
      <c r="DG32" s="34">
        <v>0</v>
      </c>
      <c r="DH32" s="34">
        <v>0</v>
      </c>
      <c r="DI32" s="34">
        <v>0</v>
      </c>
      <c r="DJ32" s="34">
        <v>59</v>
      </c>
      <c r="DK32" s="34">
        <v>93</v>
      </c>
      <c r="DL32" s="34">
        <v>0</v>
      </c>
      <c r="DM32" s="34">
        <v>0</v>
      </c>
      <c r="DN32" s="34">
        <v>0</v>
      </c>
      <c r="DO32" s="34">
        <v>0</v>
      </c>
      <c r="DP32" s="34">
        <v>0</v>
      </c>
      <c r="DQ32" s="34">
        <v>0</v>
      </c>
      <c r="DR32" s="34">
        <v>0</v>
      </c>
      <c r="DS32" s="42">
        <v>0</v>
      </c>
      <c r="DT32" s="42">
        <v>0</v>
      </c>
      <c r="DU32" s="42">
        <v>0</v>
      </c>
      <c r="DV32" s="42">
        <v>0</v>
      </c>
      <c r="DW32" s="42">
        <v>0</v>
      </c>
      <c r="DX32" s="42">
        <v>0</v>
      </c>
      <c r="DY32" s="42">
        <v>0</v>
      </c>
      <c r="DZ32" s="42">
        <v>0</v>
      </c>
      <c r="EA32" s="42">
        <v>0</v>
      </c>
      <c r="EB32" s="42">
        <v>0</v>
      </c>
      <c r="EC32" s="42">
        <v>0</v>
      </c>
      <c r="ED32" s="42">
        <v>0</v>
      </c>
      <c r="EE32" s="42">
        <v>0</v>
      </c>
      <c r="EF32" s="42">
        <v>0</v>
      </c>
      <c r="EG32" s="42">
        <v>0</v>
      </c>
      <c r="EH32" s="211">
        <f t="shared" si="8"/>
        <v>257</v>
      </c>
      <c r="EI32" s="89"/>
      <c r="EJ32" s="89">
        <f t="shared" si="9"/>
        <v>1049</v>
      </c>
      <c r="EK32" s="89"/>
      <c r="EL32" s="47"/>
      <c r="EM32" s="47"/>
      <c r="EN32" s="47">
        <f t="shared" si="0"/>
        <v>1049</v>
      </c>
      <c r="EO32" s="12">
        <f t="shared" si="1"/>
        <v>0</v>
      </c>
      <c r="EP32" s="12">
        <f t="shared" si="2"/>
        <v>0</v>
      </c>
      <c r="EQ32" s="12">
        <f t="shared" si="3"/>
        <v>0</v>
      </c>
      <c r="ER32" s="12">
        <f t="shared" si="4"/>
        <v>154</v>
      </c>
      <c r="ES32" s="15">
        <f t="shared" si="5"/>
        <v>317</v>
      </c>
      <c r="ET32" s="49">
        <f t="shared" si="6"/>
        <v>246</v>
      </c>
      <c r="EU32" s="49">
        <f t="shared" si="7"/>
        <v>75</v>
      </c>
      <c r="EV32" s="49">
        <f t="shared" si="12"/>
        <v>257</v>
      </c>
      <c r="EW32" s="49">
        <f t="shared" si="11"/>
        <v>0</v>
      </c>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c r="GL32"/>
      <c r="GM32"/>
      <c r="GN32"/>
      <c r="GO32"/>
      <c r="GP32"/>
      <c r="GQ32"/>
      <c r="GR32"/>
      <c r="GS32"/>
      <c r="GT32"/>
      <c r="GU32"/>
      <c r="GV32"/>
      <c r="GW32"/>
      <c r="GX32"/>
      <c r="GY32"/>
      <c r="GZ32"/>
      <c r="HA32"/>
      <c r="HB32"/>
      <c r="HC32"/>
      <c r="HD32"/>
      <c r="HE32"/>
      <c r="HF32"/>
      <c r="HG32"/>
      <c r="HH32"/>
      <c r="HI32"/>
      <c r="HJ32"/>
      <c r="HK32"/>
      <c r="HL32"/>
      <c r="HM32"/>
      <c r="HN32"/>
      <c r="HO32"/>
      <c r="HP32"/>
      <c r="HQ32"/>
      <c r="HR32"/>
      <c r="HS32"/>
      <c r="HT32"/>
      <c r="HU32"/>
      <c r="HV32"/>
      <c r="HW32"/>
      <c r="HX32"/>
      <c r="HY32"/>
      <c r="HZ32"/>
      <c r="IA32"/>
      <c r="IB32"/>
      <c r="IC32"/>
      <c r="ID32"/>
      <c r="IE32"/>
      <c r="IF32"/>
      <c r="IG32"/>
      <c r="IH32"/>
      <c r="II32"/>
      <c r="IJ32"/>
      <c r="IK32"/>
      <c r="IL32"/>
      <c r="IM32"/>
      <c r="IN32"/>
      <c r="IO32"/>
      <c r="IP32"/>
      <c r="IQ32"/>
      <c r="IR32"/>
      <c r="IS32"/>
      <c r="IT32"/>
      <c r="IU32"/>
      <c r="IV32"/>
      <c r="IW32"/>
      <c r="IX32"/>
      <c r="IY32"/>
      <c r="IZ32"/>
      <c r="JA32"/>
      <c r="JB32"/>
      <c r="JC32"/>
      <c r="JD32"/>
      <c r="JE32"/>
      <c r="JF32"/>
      <c r="JG32"/>
      <c r="JH32"/>
      <c r="JI32"/>
      <c r="JJ32"/>
      <c r="JK32"/>
      <c r="JL32"/>
      <c r="JM32"/>
      <c r="JN32"/>
      <c r="JO32"/>
      <c r="JP32"/>
      <c r="JQ32"/>
      <c r="JR32"/>
      <c r="JS32"/>
      <c r="JT32"/>
      <c r="JU32"/>
      <c r="JV32"/>
      <c r="JW32"/>
      <c r="JX32"/>
      <c r="JY32"/>
      <c r="JZ32"/>
      <c r="KA32"/>
      <c r="KB32"/>
      <c r="KC32"/>
      <c r="KD32"/>
      <c r="KE32"/>
      <c r="KF32"/>
      <c r="KG32"/>
      <c r="KH32"/>
      <c r="KI32"/>
      <c r="KJ32"/>
      <c r="KK32"/>
      <c r="KL32"/>
      <c r="KM32"/>
      <c r="KN32"/>
      <c r="KO32"/>
      <c r="KP32"/>
      <c r="KQ32"/>
      <c r="KR32"/>
    </row>
    <row r="33" spans="1:304" s="78" customFormat="1" ht="60" x14ac:dyDescent="0.25">
      <c r="A33" s="319" t="s">
        <v>193</v>
      </c>
      <c r="B33" s="221" t="s">
        <v>194</v>
      </c>
      <c r="C33" s="33">
        <v>608</v>
      </c>
      <c r="D33" s="33">
        <v>446</v>
      </c>
      <c r="E33" s="33">
        <v>405</v>
      </c>
      <c r="F33" s="33">
        <v>589</v>
      </c>
      <c r="G33" s="33">
        <v>555</v>
      </c>
      <c r="H33" s="33">
        <v>394</v>
      </c>
      <c r="I33" s="33">
        <v>426</v>
      </c>
      <c r="J33" s="33">
        <v>269</v>
      </c>
      <c r="K33" s="33">
        <v>512</v>
      </c>
      <c r="L33" s="33">
        <v>488</v>
      </c>
      <c r="M33" s="33">
        <v>456</v>
      </c>
      <c r="N33" s="33">
        <v>265</v>
      </c>
      <c r="O33" s="33">
        <v>384</v>
      </c>
      <c r="P33" s="33">
        <v>382</v>
      </c>
      <c r="Q33" s="33">
        <v>680</v>
      </c>
      <c r="R33" s="33">
        <v>484</v>
      </c>
      <c r="S33" s="33">
        <v>628</v>
      </c>
      <c r="T33" s="33">
        <v>694</v>
      </c>
      <c r="U33" s="33">
        <v>627</v>
      </c>
      <c r="V33" s="33">
        <v>725</v>
      </c>
      <c r="W33" s="33">
        <v>535</v>
      </c>
      <c r="X33" s="33">
        <v>416</v>
      </c>
      <c r="Y33" s="33">
        <v>337</v>
      </c>
      <c r="Z33" s="33">
        <v>199</v>
      </c>
      <c r="AA33" s="33">
        <v>213</v>
      </c>
      <c r="AB33" s="33">
        <v>128</v>
      </c>
      <c r="AC33" s="33">
        <v>414</v>
      </c>
      <c r="AD33" s="33">
        <v>546</v>
      </c>
      <c r="AE33" s="33">
        <v>466</v>
      </c>
      <c r="AF33" s="33">
        <v>437</v>
      </c>
      <c r="AG33" s="33">
        <v>541</v>
      </c>
      <c r="AH33" s="33">
        <v>618</v>
      </c>
      <c r="AI33" s="33">
        <v>641</v>
      </c>
      <c r="AJ33" s="34">
        <v>661</v>
      </c>
      <c r="AK33" s="34">
        <v>479</v>
      </c>
      <c r="AL33" s="34">
        <v>347</v>
      </c>
      <c r="AM33" s="34">
        <v>279</v>
      </c>
      <c r="AN33" s="34">
        <v>511</v>
      </c>
      <c r="AO33" s="34">
        <v>281</v>
      </c>
      <c r="AP33" s="34">
        <v>514</v>
      </c>
      <c r="AQ33" s="34">
        <v>529</v>
      </c>
      <c r="AR33" s="34">
        <v>372</v>
      </c>
      <c r="AS33" s="34">
        <v>134</v>
      </c>
      <c r="AT33" s="34">
        <v>415</v>
      </c>
      <c r="AU33" s="34">
        <v>532</v>
      </c>
      <c r="AV33" s="34">
        <v>472</v>
      </c>
      <c r="AW33" s="34">
        <v>112</v>
      </c>
      <c r="AX33" s="34">
        <v>252</v>
      </c>
      <c r="AY33" s="34">
        <v>239</v>
      </c>
      <c r="AZ33" s="34">
        <v>55</v>
      </c>
      <c r="BA33" s="34">
        <v>376</v>
      </c>
      <c r="BB33" s="34">
        <v>160</v>
      </c>
      <c r="BC33" s="34">
        <v>342</v>
      </c>
      <c r="BD33" s="34">
        <v>157</v>
      </c>
      <c r="BE33" s="34">
        <v>349</v>
      </c>
      <c r="BF33" s="34">
        <v>192</v>
      </c>
      <c r="BG33" s="34">
        <v>264</v>
      </c>
      <c r="BH33" s="34">
        <v>20</v>
      </c>
      <c r="BI33" s="34">
        <v>380</v>
      </c>
      <c r="BJ33" s="34">
        <v>454</v>
      </c>
      <c r="BK33" s="34">
        <v>0</v>
      </c>
      <c r="BL33" s="34">
        <v>420</v>
      </c>
      <c r="BM33" s="34">
        <v>272</v>
      </c>
      <c r="BN33" s="34">
        <v>190</v>
      </c>
      <c r="BO33" s="34">
        <v>189</v>
      </c>
      <c r="BP33" s="34">
        <v>322</v>
      </c>
      <c r="BQ33" s="34">
        <v>211</v>
      </c>
      <c r="BR33" s="34">
        <v>250</v>
      </c>
      <c r="BS33" s="34">
        <v>217</v>
      </c>
      <c r="BT33" s="34">
        <v>122</v>
      </c>
      <c r="BU33" s="34">
        <v>82</v>
      </c>
      <c r="BV33" s="34">
        <v>98</v>
      </c>
      <c r="BW33" s="34">
        <v>204</v>
      </c>
      <c r="BX33" s="34">
        <v>86</v>
      </c>
      <c r="BY33" s="34">
        <v>45</v>
      </c>
      <c r="BZ33" s="34">
        <v>79</v>
      </c>
      <c r="CA33" s="34">
        <v>143</v>
      </c>
      <c r="CB33" s="34">
        <v>143</v>
      </c>
      <c r="CC33" s="34">
        <v>113</v>
      </c>
      <c r="CD33" s="34">
        <v>260</v>
      </c>
      <c r="CE33" s="34">
        <v>174</v>
      </c>
      <c r="CF33" s="34">
        <v>157</v>
      </c>
      <c r="CG33" s="34">
        <v>206</v>
      </c>
      <c r="CH33" s="34">
        <v>115</v>
      </c>
      <c r="CI33" s="34">
        <v>151</v>
      </c>
      <c r="CJ33" s="34">
        <v>226</v>
      </c>
      <c r="CK33" s="34">
        <v>221</v>
      </c>
      <c r="CL33" s="34">
        <v>187</v>
      </c>
      <c r="CM33" s="34">
        <v>264</v>
      </c>
      <c r="CN33" s="34">
        <v>210</v>
      </c>
      <c r="CO33" s="34">
        <v>153</v>
      </c>
      <c r="CP33" s="34">
        <v>204</v>
      </c>
      <c r="CQ33" s="34">
        <v>314</v>
      </c>
      <c r="CR33" s="34">
        <v>215</v>
      </c>
      <c r="CS33" s="34">
        <v>327</v>
      </c>
      <c r="CT33" s="34">
        <v>187</v>
      </c>
      <c r="CU33" s="34">
        <v>227</v>
      </c>
      <c r="CV33" s="34">
        <v>30</v>
      </c>
      <c r="CW33" s="34">
        <v>299</v>
      </c>
      <c r="CX33" s="34">
        <v>195</v>
      </c>
      <c r="CY33" s="34">
        <v>159</v>
      </c>
      <c r="CZ33" s="34">
        <v>118</v>
      </c>
      <c r="DA33" s="34">
        <v>113</v>
      </c>
      <c r="DB33" s="34">
        <v>119</v>
      </c>
      <c r="DC33" s="34">
        <v>259</v>
      </c>
      <c r="DD33" s="34">
        <v>90</v>
      </c>
      <c r="DE33" s="34">
        <v>142</v>
      </c>
      <c r="DF33" s="34">
        <v>77</v>
      </c>
      <c r="DG33" s="34">
        <v>45</v>
      </c>
      <c r="DH33" s="34">
        <v>52</v>
      </c>
      <c r="DI33" s="34">
        <v>36</v>
      </c>
      <c r="DJ33" s="34">
        <v>26</v>
      </c>
      <c r="DK33" s="34">
        <v>162</v>
      </c>
      <c r="DL33" s="34">
        <v>96</v>
      </c>
      <c r="DM33" s="34">
        <v>115</v>
      </c>
      <c r="DN33" s="34">
        <v>0</v>
      </c>
      <c r="DO33" s="34">
        <v>62</v>
      </c>
      <c r="DP33" s="34">
        <v>11</v>
      </c>
      <c r="DQ33" s="34">
        <v>9</v>
      </c>
      <c r="DR33" s="34">
        <v>2</v>
      </c>
      <c r="DS33" s="42">
        <v>10</v>
      </c>
      <c r="DT33" s="42">
        <v>0</v>
      </c>
      <c r="DU33" s="42">
        <v>104</v>
      </c>
      <c r="DV33" s="42">
        <v>52</v>
      </c>
      <c r="DW33" s="42">
        <v>64</v>
      </c>
      <c r="DX33" s="42">
        <v>107</v>
      </c>
      <c r="DY33" s="42">
        <v>23</v>
      </c>
      <c r="DZ33" s="42">
        <v>28</v>
      </c>
      <c r="EA33" s="42">
        <v>110</v>
      </c>
      <c r="EB33" s="42">
        <v>51</v>
      </c>
      <c r="EC33" s="42">
        <v>53</v>
      </c>
      <c r="ED33" s="42">
        <v>60</v>
      </c>
      <c r="EE33" s="42">
        <v>26</v>
      </c>
      <c r="EF33" s="42">
        <v>55</v>
      </c>
      <c r="EG33" s="42">
        <v>33</v>
      </c>
      <c r="EH33" s="211">
        <f t="shared" si="8"/>
        <v>4467</v>
      </c>
      <c r="EI33" s="89"/>
      <c r="EJ33" s="89">
        <f t="shared" si="9"/>
        <v>34330</v>
      </c>
      <c r="EK33" s="89"/>
      <c r="EL33" s="47">
        <f t="shared" ref="EL33:EL64" si="13">SUM(DK33:DQ33)</f>
        <v>455</v>
      </c>
      <c r="EM33" s="47"/>
      <c r="EN33" s="47">
        <f t="shared" si="0"/>
        <v>30174</v>
      </c>
      <c r="EO33" s="12">
        <f t="shared" si="1"/>
        <v>608</v>
      </c>
      <c r="EP33" s="12">
        <f t="shared" si="2"/>
        <v>5189</v>
      </c>
      <c r="EQ33" s="12">
        <f t="shared" si="3"/>
        <v>5920</v>
      </c>
      <c r="ER33" s="12">
        <f t="shared" si="4"/>
        <v>5557</v>
      </c>
      <c r="ES33" s="15">
        <f t="shared" si="5"/>
        <v>4363</v>
      </c>
      <c r="ET33" s="49">
        <f t="shared" si="6"/>
        <v>5326</v>
      </c>
      <c r="EU33" s="49">
        <f t="shared" si="7"/>
        <v>4407</v>
      </c>
      <c r="EV33" s="49">
        <f t="shared" si="12"/>
        <v>2227</v>
      </c>
      <c r="EW33" s="49">
        <f t="shared" si="11"/>
        <v>592</v>
      </c>
      <c r="EX33"/>
      <c r="EZ33" s="245">
        <f>SUM(ED33:EE33)</f>
        <v>86</v>
      </c>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row>
    <row r="34" spans="1:304" s="78" customFormat="1" ht="30" x14ac:dyDescent="0.25">
      <c r="A34" s="320"/>
      <c r="B34" s="224" t="s">
        <v>198</v>
      </c>
      <c r="C34" s="33">
        <v>0</v>
      </c>
      <c r="D34" s="33">
        <v>0</v>
      </c>
      <c r="E34" s="33">
        <v>0</v>
      </c>
      <c r="F34" s="33">
        <v>0</v>
      </c>
      <c r="G34" s="33">
        <v>0</v>
      </c>
      <c r="H34" s="33">
        <v>0</v>
      </c>
      <c r="I34" s="33">
        <v>0</v>
      </c>
      <c r="J34" s="33">
        <v>0</v>
      </c>
      <c r="K34" s="33">
        <v>0</v>
      </c>
      <c r="L34" s="33">
        <v>0</v>
      </c>
      <c r="M34" s="33">
        <v>0</v>
      </c>
      <c r="N34" s="33">
        <v>0</v>
      </c>
      <c r="O34" s="33">
        <v>2</v>
      </c>
      <c r="P34" s="33">
        <v>0</v>
      </c>
      <c r="Q34" s="33">
        <v>0</v>
      </c>
      <c r="R34" s="33">
        <v>0</v>
      </c>
      <c r="S34" s="33">
        <v>0</v>
      </c>
      <c r="T34" s="33">
        <v>0</v>
      </c>
      <c r="U34" s="33">
        <v>0</v>
      </c>
      <c r="V34" s="33">
        <v>0</v>
      </c>
      <c r="W34" s="33">
        <v>0</v>
      </c>
      <c r="X34" s="33">
        <v>0</v>
      </c>
      <c r="Y34" s="33">
        <v>0</v>
      </c>
      <c r="Z34" s="33">
        <v>0</v>
      </c>
      <c r="AA34" s="33">
        <v>0</v>
      </c>
      <c r="AB34" s="33">
        <v>0</v>
      </c>
      <c r="AC34" s="33">
        <v>0</v>
      </c>
      <c r="AD34" s="33">
        <v>0</v>
      </c>
      <c r="AE34" s="33">
        <v>1</v>
      </c>
      <c r="AF34" s="33">
        <v>0</v>
      </c>
      <c r="AG34" s="33">
        <v>0</v>
      </c>
      <c r="AH34" s="33">
        <v>0</v>
      </c>
      <c r="AI34" s="33">
        <v>0</v>
      </c>
      <c r="AJ34" s="34">
        <v>0</v>
      </c>
      <c r="AK34" s="34">
        <v>0</v>
      </c>
      <c r="AL34" s="34">
        <v>0</v>
      </c>
      <c r="AM34" s="34">
        <v>0</v>
      </c>
      <c r="AN34" s="34">
        <v>0</v>
      </c>
      <c r="AO34" s="34">
        <v>0</v>
      </c>
      <c r="AP34" s="34">
        <v>0</v>
      </c>
      <c r="AQ34" s="34">
        <v>0</v>
      </c>
      <c r="AR34" s="34">
        <v>0</v>
      </c>
      <c r="AS34" s="34">
        <v>0</v>
      </c>
      <c r="AT34" s="34">
        <v>0</v>
      </c>
      <c r="AU34" s="34">
        <v>0</v>
      </c>
      <c r="AV34" s="34">
        <v>0</v>
      </c>
      <c r="AW34" s="34">
        <v>0</v>
      </c>
      <c r="AX34" s="34">
        <v>0</v>
      </c>
      <c r="AY34" s="34">
        <v>0</v>
      </c>
      <c r="AZ34" s="34">
        <v>0</v>
      </c>
      <c r="BA34" s="34">
        <v>0</v>
      </c>
      <c r="BB34" s="34">
        <v>0</v>
      </c>
      <c r="BC34" s="34">
        <v>0</v>
      </c>
      <c r="BD34" s="34">
        <v>0</v>
      </c>
      <c r="BE34" s="34">
        <v>0</v>
      </c>
      <c r="BF34" s="34">
        <v>0</v>
      </c>
      <c r="BG34" s="34">
        <v>0</v>
      </c>
      <c r="BH34" s="34">
        <v>0</v>
      </c>
      <c r="BI34" s="34">
        <v>0</v>
      </c>
      <c r="BJ34" s="34">
        <v>0</v>
      </c>
      <c r="BK34" s="34">
        <v>0</v>
      </c>
      <c r="BL34" s="34">
        <v>0</v>
      </c>
      <c r="BM34" s="34">
        <v>0</v>
      </c>
      <c r="BN34" s="34">
        <v>0</v>
      </c>
      <c r="BO34" s="34">
        <v>0</v>
      </c>
      <c r="BP34" s="34">
        <v>0</v>
      </c>
      <c r="BQ34" s="34">
        <v>0</v>
      </c>
      <c r="BR34" s="34">
        <v>0</v>
      </c>
      <c r="BS34" s="34">
        <v>0</v>
      </c>
      <c r="BT34" s="34">
        <v>0</v>
      </c>
      <c r="BU34" s="34">
        <v>0</v>
      </c>
      <c r="BV34" s="34">
        <v>0</v>
      </c>
      <c r="BW34" s="34">
        <v>0</v>
      </c>
      <c r="BX34" s="34">
        <v>0</v>
      </c>
      <c r="BY34" s="34">
        <v>0</v>
      </c>
      <c r="BZ34" s="34">
        <v>0</v>
      </c>
      <c r="CA34" s="34">
        <v>0</v>
      </c>
      <c r="CB34" s="34">
        <v>0</v>
      </c>
      <c r="CC34" s="34">
        <v>0</v>
      </c>
      <c r="CD34" s="34">
        <v>0</v>
      </c>
      <c r="CE34" s="34">
        <v>0</v>
      </c>
      <c r="CF34" s="34">
        <v>0</v>
      </c>
      <c r="CG34" s="34">
        <v>0</v>
      </c>
      <c r="CH34" s="34">
        <v>0</v>
      </c>
      <c r="CI34" s="34">
        <v>0</v>
      </c>
      <c r="CJ34" s="34">
        <v>0</v>
      </c>
      <c r="CK34" s="34">
        <v>0</v>
      </c>
      <c r="CL34" s="34">
        <v>0</v>
      </c>
      <c r="CM34" s="34">
        <v>0</v>
      </c>
      <c r="CN34" s="34">
        <v>0</v>
      </c>
      <c r="CO34" s="34">
        <v>0</v>
      </c>
      <c r="CP34" s="34">
        <v>0</v>
      </c>
      <c r="CQ34" s="34">
        <v>0</v>
      </c>
      <c r="CR34" s="34">
        <v>0</v>
      </c>
      <c r="CS34" s="34">
        <v>0</v>
      </c>
      <c r="CT34" s="34">
        <v>0</v>
      </c>
      <c r="CU34" s="34">
        <v>0</v>
      </c>
      <c r="CV34" s="34">
        <v>0</v>
      </c>
      <c r="CW34" s="34">
        <v>0</v>
      </c>
      <c r="CX34" s="34">
        <v>0</v>
      </c>
      <c r="CY34" s="34">
        <v>0</v>
      </c>
      <c r="CZ34" s="34">
        <v>0</v>
      </c>
      <c r="DA34" s="34">
        <v>0</v>
      </c>
      <c r="DB34" s="34">
        <v>0</v>
      </c>
      <c r="DC34" s="34">
        <v>0</v>
      </c>
      <c r="DD34" s="34">
        <v>0</v>
      </c>
      <c r="DE34" s="34">
        <v>0</v>
      </c>
      <c r="DF34" s="34">
        <v>0</v>
      </c>
      <c r="DG34" s="34">
        <v>0</v>
      </c>
      <c r="DH34" s="34">
        <v>0</v>
      </c>
      <c r="DI34" s="34">
        <v>0</v>
      </c>
      <c r="DJ34" s="34">
        <v>0</v>
      </c>
      <c r="DK34" s="34">
        <v>2</v>
      </c>
      <c r="DL34" s="34">
        <v>0</v>
      </c>
      <c r="DM34" s="34">
        <v>0</v>
      </c>
      <c r="DN34" s="34">
        <v>0</v>
      </c>
      <c r="DO34" s="34">
        <v>0</v>
      </c>
      <c r="DP34" s="34">
        <v>0</v>
      </c>
      <c r="DQ34" s="34">
        <v>0</v>
      </c>
      <c r="DR34" s="34">
        <v>0</v>
      </c>
      <c r="DS34" s="42">
        <v>0</v>
      </c>
      <c r="DT34" s="42">
        <v>0</v>
      </c>
      <c r="DU34" s="42">
        <v>0</v>
      </c>
      <c r="DV34" s="42">
        <v>0</v>
      </c>
      <c r="DW34" s="42">
        <v>0</v>
      </c>
      <c r="DX34" s="42">
        <v>0</v>
      </c>
      <c r="DY34" s="42">
        <v>0</v>
      </c>
      <c r="DZ34" s="42">
        <v>0</v>
      </c>
      <c r="EA34" s="42">
        <v>0</v>
      </c>
      <c r="EB34" s="42">
        <v>0</v>
      </c>
      <c r="EC34" s="42">
        <v>0</v>
      </c>
      <c r="ED34" s="42">
        <v>0</v>
      </c>
      <c r="EE34" s="42">
        <v>0</v>
      </c>
      <c r="EF34" s="42">
        <v>0</v>
      </c>
      <c r="EG34" s="42">
        <v>0</v>
      </c>
      <c r="EH34" s="211">
        <f t="shared" si="8"/>
        <v>2</v>
      </c>
      <c r="EI34" s="89"/>
      <c r="EJ34" s="89">
        <f t="shared" si="9"/>
        <v>5</v>
      </c>
      <c r="EK34" s="135">
        <f>EJ34/EJ33</f>
        <v>1.4564520827264782E-4</v>
      </c>
      <c r="EL34" s="47">
        <f t="shared" si="13"/>
        <v>2</v>
      </c>
      <c r="EM34" s="201">
        <f>EL34/EL33</f>
        <v>4.3956043956043956E-3</v>
      </c>
      <c r="EN34" s="47">
        <f t="shared" si="0"/>
        <v>5</v>
      </c>
      <c r="EO34" s="12">
        <f t="shared" si="1"/>
        <v>0</v>
      </c>
      <c r="EP34" s="12">
        <f t="shared" si="2"/>
        <v>2</v>
      </c>
      <c r="EQ34" s="12">
        <f t="shared" si="3"/>
        <v>0</v>
      </c>
      <c r="ER34" s="12">
        <f t="shared" si="4"/>
        <v>1</v>
      </c>
      <c r="ES34" s="15">
        <f t="shared" si="5"/>
        <v>0</v>
      </c>
      <c r="ET34" s="49">
        <f t="shared" si="6"/>
        <v>0</v>
      </c>
      <c r="EU34" s="49">
        <f t="shared" si="7"/>
        <v>0</v>
      </c>
      <c r="EV34" s="49">
        <f t="shared" si="12"/>
        <v>2</v>
      </c>
      <c r="EW34" s="49">
        <f t="shared" si="11"/>
        <v>0</v>
      </c>
      <c r="EX34"/>
      <c r="EY34"/>
      <c r="EZ34" s="245">
        <f>SUM(ED34:EE34)</f>
        <v>0</v>
      </c>
      <c r="FA34" s="246">
        <f>EZ34/EZ33</f>
        <v>0</v>
      </c>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c r="GL34"/>
      <c r="GM34"/>
      <c r="GN34"/>
      <c r="GO34"/>
      <c r="GP34"/>
      <c r="GQ34"/>
      <c r="GR34"/>
      <c r="GS34"/>
      <c r="GT34"/>
      <c r="GU34"/>
      <c r="GV34"/>
      <c r="GW34"/>
      <c r="GX34"/>
      <c r="GY34"/>
      <c r="GZ34"/>
      <c r="HA34"/>
      <c r="HB34"/>
      <c r="HC34"/>
      <c r="HD34"/>
      <c r="HE34"/>
      <c r="HF34"/>
      <c r="HG34"/>
      <c r="HH34"/>
      <c r="HI34"/>
      <c r="HJ34"/>
      <c r="HK34"/>
      <c r="HL34"/>
      <c r="HM34"/>
      <c r="HN34"/>
      <c r="HO34"/>
      <c r="HP34"/>
      <c r="HQ34"/>
      <c r="HR34"/>
      <c r="HS34"/>
      <c r="HT34"/>
      <c r="HU34"/>
      <c r="HV34"/>
      <c r="HW34"/>
      <c r="HX34"/>
      <c r="HY34"/>
      <c r="HZ34"/>
      <c r="IA34"/>
      <c r="IB34"/>
      <c r="IC34"/>
      <c r="ID34"/>
      <c r="IE34"/>
      <c r="IF34"/>
      <c r="IG34"/>
      <c r="IH34"/>
      <c r="II34"/>
      <c r="IJ34"/>
      <c r="IK34"/>
      <c r="IL34"/>
      <c r="IM34"/>
      <c r="IN34"/>
      <c r="IO34"/>
      <c r="IP34"/>
      <c r="IQ34"/>
      <c r="IR34"/>
      <c r="IS34"/>
      <c r="IT34"/>
      <c r="IU34"/>
      <c r="IV34"/>
      <c r="IW34"/>
      <c r="IX34"/>
      <c r="IY34"/>
      <c r="IZ34"/>
      <c r="JA34"/>
      <c r="JB34"/>
      <c r="JC34"/>
      <c r="JD34"/>
      <c r="JE34"/>
      <c r="JF34"/>
      <c r="JG34"/>
      <c r="JH34"/>
      <c r="JI34"/>
      <c r="JJ34"/>
      <c r="JK34"/>
      <c r="JL34"/>
      <c r="JM34"/>
      <c r="JN34"/>
      <c r="JO34"/>
      <c r="JP34"/>
      <c r="JQ34"/>
      <c r="JR34"/>
      <c r="JS34"/>
      <c r="JT34"/>
      <c r="JU34"/>
      <c r="JV34"/>
      <c r="JW34"/>
      <c r="JX34"/>
      <c r="JY34"/>
      <c r="JZ34"/>
      <c r="KA34"/>
      <c r="KB34"/>
      <c r="KC34"/>
      <c r="KD34"/>
      <c r="KE34"/>
      <c r="KF34"/>
      <c r="KG34"/>
      <c r="KH34"/>
      <c r="KI34"/>
      <c r="KJ34"/>
      <c r="KK34"/>
      <c r="KL34"/>
      <c r="KM34"/>
      <c r="KN34"/>
      <c r="KO34"/>
      <c r="KP34"/>
      <c r="KQ34"/>
      <c r="KR34"/>
    </row>
    <row r="35" spans="1:304" s="78" customFormat="1" ht="30" x14ac:dyDescent="0.25">
      <c r="A35" s="320"/>
      <c r="B35" s="224" t="s">
        <v>197</v>
      </c>
      <c r="C35" s="33">
        <v>22</v>
      </c>
      <c r="D35" s="33">
        <v>2</v>
      </c>
      <c r="E35" s="33">
        <v>7</v>
      </c>
      <c r="F35" s="33">
        <v>35</v>
      </c>
      <c r="G35" s="33">
        <v>2</v>
      </c>
      <c r="H35" s="33">
        <v>15</v>
      </c>
      <c r="I35" s="33">
        <v>6</v>
      </c>
      <c r="J35" s="33">
        <v>128</v>
      </c>
      <c r="K35" s="33">
        <v>71</v>
      </c>
      <c r="L35" s="33">
        <v>24</v>
      </c>
      <c r="M35" s="33">
        <v>26</v>
      </c>
      <c r="N35" s="33">
        <v>0</v>
      </c>
      <c r="O35" s="33">
        <v>9</v>
      </c>
      <c r="P35" s="33">
        <v>6</v>
      </c>
      <c r="Q35" s="33">
        <v>8</v>
      </c>
      <c r="R35" s="33">
        <v>5</v>
      </c>
      <c r="S35" s="33">
        <v>19</v>
      </c>
      <c r="T35" s="33">
        <v>54</v>
      </c>
      <c r="U35" s="33">
        <v>0</v>
      </c>
      <c r="V35" s="33">
        <v>37</v>
      </c>
      <c r="W35" s="33">
        <v>29</v>
      </c>
      <c r="X35" s="33">
        <v>0</v>
      </c>
      <c r="Y35" s="33">
        <v>0</v>
      </c>
      <c r="Z35" s="33">
        <v>0</v>
      </c>
      <c r="AA35" s="33">
        <v>0</v>
      </c>
      <c r="AB35" s="33">
        <v>0</v>
      </c>
      <c r="AC35" s="33">
        <v>0</v>
      </c>
      <c r="AD35" s="33">
        <v>2</v>
      </c>
      <c r="AE35" s="33">
        <v>0</v>
      </c>
      <c r="AF35" s="33">
        <v>0</v>
      </c>
      <c r="AG35" s="33">
        <v>0</v>
      </c>
      <c r="AH35" s="33">
        <v>0</v>
      </c>
      <c r="AI35" s="33">
        <v>0</v>
      </c>
      <c r="AJ35" s="34">
        <v>0</v>
      </c>
      <c r="AK35" s="34">
        <v>0</v>
      </c>
      <c r="AL35" s="34">
        <v>0</v>
      </c>
      <c r="AM35" s="34">
        <v>35</v>
      </c>
      <c r="AN35" s="34">
        <v>0</v>
      </c>
      <c r="AO35" s="34">
        <v>0</v>
      </c>
      <c r="AP35" s="34">
        <v>0</v>
      </c>
      <c r="AQ35" s="34">
        <v>1</v>
      </c>
      <c r="AR35" s="34">
        <v>0</v>
      </c>
      <c r="AS35" s="34">
        <v>27</v>
      </c>
      <c r="AT35" s="34">
        <v>9</v>
      </c>
      <c r="AU35" s="34">
        <v>0</v>
      </c>
      <c r="AV35" s="34">
        <v>9</v>
      </c>
      <c r="AW35" s="34">
        <v>0</v>
      </c>
      <c r="AX35" s="34">
        <v>0</v>
      </c>
      <c r="AY35" s="34">
        <v>0</v>
      </c>
      <c r="AZ35" s="34">
        <v>0</v>
      </c>
      <c r="BA35" s="34">
        <v>0</v>
      </c>
      <c r="BB35" s="34">
        <v>0</v>
      </c>
      <c r="BC35" s="34">
        <v>0</v>
      </c>
      <c r="BD35" s="34">
        <v>0</v>
      </c>
      <c r="BE35" s="34">
        <v>0</v>
      </c>
      <c r="BF35" s="34">
        <v>0</v>
      </c>
      <c r="BG35" s="34">
        <v>0</v>
      </c>
      <c r="BH35" s="34">
        <v>0</v>
      </c>
      <c r="BI35" s="34">
        <v>0</v>
      </c>
      <c r="BJ35" s="34">
        <v>0</v>
      </c>
      <c r="BK35" s="34">
        <v>0</v>
      </c>
      <c r="BL35" s="34">
        <v>18</v>
      </c>
      <c r="BM35" s="34">
        <v>13</v>
      </c>
      <c r="BN35" s="34">
        <v>2</v>
      </c>
      <c r="BO35" s="34">
        <v>0</v>
      </c>
      <c r="BP35" s="34">
        <v>4</v>
      </c>
      <c r="BQ35" s="34">
        <v>0</v>
      </c>
      <c r="BR35" s="34">
        <v>0</v>
      </c>
      <c r="BS35" s="34">
        <v>0</v>
      </c>
      <c r="BT35" s="34">
        <v>0</v>
      </c>
      <c r="BU35" s="34">
        <v>0</v>
      </c>
      <c r="BV35" s="34">
        <v>13</v>
      </c>
      <c r="BW35" s="34">
        <v>39</v>
      </c>
      <c r="BX35" s="34">
        <v>0</v>
      </c>
      <c r="BY35" s="34">
        <v>0</v>
      </c>
      <c r="BZ35" s="34">
        <v>1</v>
      </c>
      <c r="CA35" s="34">
        <v>0</v>
      </c>
      <c r="CB35" s="34">
        <v>0</v>
      </c>
      <c r="CC35" s="34">
        <v>0</v>
      </c>
      <c r="CD35" s="34">
        <v>0</v>
      </c>
      <c r="CE35" s="34">
        <v>0</v>
      </c>
      <c r="CF35" s="34">
        <v>0</v>
      </c>
      <c r="CG35" s="34">
        <v>0</v>
      </c>
      <c r="CH35" s="34">
        <v>0</v>
      </c>
      <c r="CI35" s="34">
        <v>3</v>
      </c>
      <c r="CJ35" s="34">
        <v>1</v>
      </c>
      <c r="CK35" s="34">
        <v>1</v>
      </c>
      <c r="CL35" s="34">
        <v>33</v>
      </c>
      <c r="CM35" s="34">
        <v>1</v>
      </c>
      <c r="CN35" s="34">
        <v>18</v>
      </c>
      <c r="CO35" s="34">
        <v>26</v>
      </c>
      <c r="CP35" s="34">
        <v>37</v>
      </c>
      <c r="CQ35" s="34">
        <v>25</v>
      </c>
      <c r="CR35" s="34">
        <v>0</v>
      </c>
      <c r="CS35" s="34">
        <v>9</v>
      </c>
      <c r="CT35" s="34">
        <v>18</v>
      </c>
      <c r="CU35" s="34">
        <v>1</v>
      </c>
      <c r="CV35" s="34">
        <v>0</v>
      </c>
      <c r="CW35" s="34">
        <v>11</v>
      </c>
      <c r="CX35" s="34">
        <v>46</v>
      </c>
      <c r="CY35" s="34">
        <v>45</v>
      </c>
      <c r="CZ35" s="34">
        <v>99</v>
      </c>
      <c r="DA35" s="34">
        <v>27</v>
      </c>
      <c r="DB35" s="34">
        <v>82</v>
      </c>
      <c r="DC35" s="34">
        <v>148</v>
      </c>
      <c r="DD35" s="34">
        <v>15</v>
      </c>
      <c r="DE35" s="34">
        <v>25</v>
      </c>
      <c r="DF35" s="34">
        <v>4</v>
      </c>
      <c r="DG35" s="34">
        <v>0</v>
      </c>
      <c r="DH35" s="34">
        <v>2</v>
      </c>
      <c r="DI35" s="34">
        <v>2</v>
      </c>
      <c r="DJ35" s="34">
        <v>0</v>
      </c>
      <c r="DK35" s="34">
        <v>4</v>
      </c>
      <c r="DL35" s="34">
        <v>3</v>
      </c>
      <c r="DM35" s="34">
        <v>0</v>
      </c>
      <c r="DN35" s="34">
        <v>0</v>
      </c>
      <c r="DO35" s="34">
        <v>0</v>
      </c>
      <c r="DP35" s="34">
        <v>0</v>
      </c>
      <c r="DQ35" s="34">
        <v>0</v>
      </c>
      <c r="DR35" s="34">
        <v>0</v>
      </c>
      <c r="DS35" s="42">
        <v>0</v>
      </c>
      <c r="DT35" s="42">
        <v>0</v>
      </c>
      <c r="DU35" s="42">
        <v>0</v>
      </c>
      <c r="DV35" s="42">
        <v>0</v>
      </c>
      <c r="DW35" s="42">
        <v>1</v>
      </c>
      <c r="DX35" s="42">
        <v>2</v>
      </c>
      <c r="DY35" s="42">
        <v>0</v>
      </c>
      <c r="DZ35" s="42">
        <v>0</v>
      </c>
      <c r="EA35" s="42">
        <v>0</v>
      </c>
      <c r="EB35" s="42">
        <v>0</v>
      </c>
      <c r="EC35" s="42">
        <v>0</v>
      </c>
      <c r="ED35" s="42">
        <v>0</v>
      </c>
      <c r="EE35" s="42">
        <v>0</v>
      </c>
      <c r="EF35" s="42">
        <v>0</v>
      </c>
      <c r="EG35" s="42">
        <v>0</v>
      </c>
      <c r="EH35" s="211">
        <f t="shared" si="8"/>
        <v>606</v>
      </c>
      <c r="EI35" s="89"/>
      <c r="EJ35" s="89">
        <f t="shared" si="9"/>
        <v>1367</v>
      </c>
      <c r="EK35" s="135">
        <f>EJ35/EJ33</f>
        <v>3.9819399941741919E-2</v>
      </c>
      <c r="EL35" s="47">
        <f t="shared" si="13"/>
        <v>7</v>
      </c>
      <c r="EM35" s="201">
        <f>EL35/EL33</f>
        <v>1.5384615384615385E-2</v>
      </c>
      <c r="EN35" s="47">
        <f t="shared" si="0"/>
        <v>1275</v>
      </c>
      <c r="EO35" s="12">
        <f t="shared" si="1"/>
        <v>22</v>
      </c>
      <c r="EP35" s="12">
        <f t="shared" si="2"/>
        <v>325</v>
      </c>
      <c r="EQ35" s="12">
        <f t="shared" si="3"/>
        <v>158</v>
      </c>
      <c r="ER35" s="12">
        <f t="shared" si="4"/>
        <v>37</v>
      </c>
      <c r="ES35" s="15">
        <f t="shared" si="5"/>
        <v>46</v>
      </c>
      <c r="ET35" s="49">
        <f t="shared" si="6"/>
        <v>89</v>
      </c>
      <c r="EU35" s="49">
        <f t="shared" si="7"/>
        <v>174</v>
      </c>
      <c r="EV35" s="49">
        <f t="shared" si="12"/>
        <v>513</v>
      </c>
      <c r="EW35" s="49">
        <f t="shared" si="11"/>
        <v>3</v>
      </c>
      <c r="EX35"/>
      <c r="EY35"/>
      <c r="EZ35" s="245">
        <f>SUM(ED35:EE35)</f>
        <v>0</v>
      </c>
      <c r="FA35" s="246">
        <f>EZ35/EZ33</f>
        <v>0</v>
      </c>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row>
    <row r="36" spans="1:304" s="78" customFormat="1" ht="30" x14ac:dyDescent="0.25">
      <c r="A36" s="320"/>
      <c r="B36" s="224" t="s">
        <v>195</v>
      </c>
      <c r="C36" s="33">
        <v>168</v>
      </c>
      <c r="D36" s="33">
        <v>97</v>
      </c>
      <c r="E36" s="33">
        <v>241</v>
      </c>
      <c r="F36" s="33">
        <v>427</v>
      </c>
      <c r="G36" s="33">
        <v>298</v>
      </c>
      <c r="H36" s="33">
        <v>259</v>
      </c>
      <c r="I36" s="33">
        <v>109</v>
      </c>
      <c r="J36" s="33">
        <v>103</v>
      </c>
      <c r="K36" s="33">
        <v>95</v>
      </c>
      <c r="L36" s="33">
        <v>224</v>
      </c>
      <c r="M36" s="33">
        <v>379</v>
      </c>
      <c r="N36" s="33">
        <v>58</v>
      </c>
      <c r="O36" s="33">
        <v>86</v>
      </c>
      <c r="P36" s="33">
        <v>116</v>
      </c>
      <c r="Q36" s="33">
        <v>350</v>
      </c>
      <c r="R36" s="33">
        <v>254</v>
      </c>
      <c r="S36" s="33">
        <v>512</v>
      </c>
      <c r="T36" s="33">
        <v>510</v>
      </c>
      <c r="U36" s="33">
        <v>372</v>
      </c>
      <c r="V36" s="33">
        <v>475</v>
      </c>
      <c r="W36" s="33">
        <v>386</v>
      </c>
      <c r="X36" s="33">
        <v>321</v>
      </c>
      <c r="Y36" s="33">
        <v>230</v>
      </c>
      <c r="Z36" s="33">
        <v>168</v>
      </c>
      <c r="AA36" s="33">
        <v>86</v>
      </c>
      <c r="AB36" s="33">
        <v>52</v>
      </c>
      <c r="AC36" s="33">
        <v>372</v>
      </c>
      <c r="AD36" s="33">
        <v>544</v>
      </c>
      <c r="AE36" s="33">
        <v>390</v>
      </c>
      <c r="AF36" s="33">
        <v>370</v>
      </c>
      <c r="AG36" s="33">
        <v>320</v>
      </c>
      <c r="AH36" s="33">
        <v>397</v>
      </c>
      <c r="AI36" s="33">
        <v>315</v>
      </c>
      <c r="AJ36" s="34">
        <v>483</v>
      </c>
      <c r="AK36" s="34">
        <v>305</v>
      </c>
      <c r="AL36" s="34">
        <v>263</v>
      </c>
      <c r="AM36" s="34">
        <v>191</v>
      </c>
      <c r="AN36" s="34">
        <v>462</v>
      </c>
      <c r="AO36" s="34">
        <v>223</v>
      </c>
      <c r="AP36" s="34">
        <v>467</v>
      </c>
      <c r="AQ36" s="34">
        <v>447</v>
      </c>
      <c r="AR36" s="34">
        <v>337</v>
      </c>
      <c r="AS36" s="34">
        <v>63</v>
      </c>
      <c r="AT36" s="34">
        <v>266</v>
      </c>
      <c r="AU36" s="34">
        <v>301</v>
      </c>
      <c r="AV36" s="34">
        <v>285</v>
      </c>
      <c r="AW36" s="34">
        <v>29</v>
      </c>
      <c r="AX36" s="34">
        <v>196</v>
      </c>
      <c r="AY36" s="34">
        <v>236</v>
      </c>
      <c r="AZ36" s="34">
        <v>55</v>
      </c>
      <c r="BA36" s="34">
        <v>176</v>
      </c>
      <c r="BB36" s="34">
        <v>94</v>
      </c>
      <c r="BC36" s="34">
        <v>183</v>
      </c>
      <c r="BD36" s="34">
        <v>157</v>
      </c>
      <c r="BE36" s="34">
        <v>161</v>
      </c>
      <c r="BF36" s="34">
        <v>123</v>
      </c>
      <c r="BG36" s="34">
        <v>191</v>
      </c>
      <c r="BH36" s="34">
        <v>19</v>
      </c>
      <c r="BI36" s="34">
        <v>379</v>
      </c>
      <c r="BJ36" s="34">
        <v>410</v>
      </c>
      <c r="BK36" s="34">
        <v>0</v>
      </c>
      <c r="BL36" s="34">
        <v>359</v>
      </c>
      <c r="BM36" s="34">
        <v>246</v>
      </c>
      <c r="BN36" s="34">
        <v>180</v>
      </c>
      <c r="BO36" s="34">
        <v>135</v>
      </c>
      <c r="BP36" s="34">
        <v>260</v>
      </c>
      <c r="BQ36" s="34">
        <v>165</v>
      </c>
      <c r="BR36" s="34">
        <v>148</v>
      </c>
      <c r="BS36" s="34">
        <v>164</v>
      </c>
      <c r="BT36" s="34">
        <v>121</v>
      </c>
      <c r="BU36" s="34">
        <v>37</v>
      </c>
      <c r="BV36" s="34">
        <v>39</v>
      </c>
      <c r="BW36" s="34">
        <v>163</v>
      </c>
      <c r="BX36" s="34">
        <v>86</v>
      </c>
      <c r="BY36" s="34">
        <v>45</v>
      </c>
      <c r="BZ36" s="34">
        <v>78</v>
      </c>
      <c r="CA36" s="34">
        <v>141</v>
      </c>
      <c r="CB36" s="34">
        <v>87</v>
      </c>
      <c r="CC36" s="34">
        <v>113</v>
      </c>
      <c r="CD36" s="34">
        <v>135</v>
      </c>
      <c r="CE36" s="34">
        <v>169</v>
      </c>
      <c r="CF36" s="34">
        <v>135</v>
      </c>
      <c r="CG36" s="34">
        <v>146</v>
      </c>
      <c r="CH36" s="34">
        <v>88</v>
      </c>
      <c r="CI36" s="34">
        <v>124</v>
      </c>
      <c r="CJ36" s="34">
        <v>223</v>
      </c>
      <c r="CK36" s="34">
        <v>213</v>
      </c>
      <c r="CL36" s="34">
        <v>151</v>
      </c>
      <c r="CM36" s="34">
        <v>247</v>
      </c>
      <c r="CN36" s="34">
        <v>152</v>
      </c>
      <c r="CO36" s="34">
        <v>120</v>
      </c>
      <c r="CP36" s="34">
        <v>167</v>
      </c>
      <c r="CQ36" s="34">
        <v>289</v>
      </c>
      <c r="CR36" s="34">
        <v>215</v>
      </c>
      <c r="CS36" s="34">
        <v>318</v>
      </c>
      <c r="CT36" s="34">
        <v>168</v>
      </c>
      <c r="CU36" s="34">
        <v>221</v>
      </c>
      <c r="CV36" s="34">
        <v>29</v>
      </c>
      <c r="CW36" s="34">
        <v>288</v>
      </c>
      <c r="CX36" s="34">
        <v>146</v>
      </c>
      <c r="CY36" s="34">
        <v>114</v>
      </c>
      <c r="CZ36" s="34">
        <v>19</v>
      </c>
      <c r="DA36" s="34">
        <v>85</v>
      </c>
      <c r="DB36" s="34">
        <v>37</v>
      </c>
      <c r="DC36" s="34">
        <v>107</v>
      </c>
      <c r="DD36" s="34">
        <v>74</v>
      </c>
      <c r="DE36" s="34">
        <v>103</v>
      </c>
      <c r="DF36" s="34">
        <v>68</v>
      </c>
      <c r="DG36" s="34">
        <v>36</v>
      </c>
      <c r="DH36" s="34">
        <v>38</v>
      </c>
      <c r="DI36" s="34">
        <v>22</v>
      </c>
      <c r="DJ36" s="34">
        <v>16</v>
      </c>
      <c r="DK36" s="34">
        <v>142</v>
      </c>
      <c r="DL36" s="34">
        <v>92</v>
      </c>
      <c r="DM36" s="34">
        <v>113</v>
      </c>
      <c r="DN36" s="34">
        <v>0</v>
      </c>
      <c r="DO36" s="34">
        <v>61</v>
      </c>
      <c r="DP36" s="34">
        <v>11</v>
      </c>
      <c r="DQ36" s="34">
        <v>0</v>
      </c>
      <c r="DR36" s="34">
        <v>2</v>
      </c>
      <c r="DS36" s="42">
        <v>7</v>
      </c>
      <c r="DT36" s="42">
        <v>0</v>
      </c>
      <c r="DU36" s="42">
        <v>99</v>
      </c>
      <c r="DV36" s="42">
        <v>14</v>
      </c>
      <c r="DW36" s="42">
        <v>48</v>
      </c>
      <c r="DX36" s="42">
        <v>100</v>
      </c>
      <c r="DY36" s="42">
        <v>20</v>
      </c>
      <c r="DZ36" s="42">
        <v>27</v>
      </c>
      <c r="EA36" s="42">
        <v>14</v>
      </c>
      <c r="EB36" s="42">
        <v>49</v>
      </c>
      <c r="EC36" s="42">
        <v>52</v>
      </c>
      <c r="ED36" s="42">
        <v>57</v>
      </c>
      <c r="EE36" s="42">
        <v>14</v>
      </c>
      <c r="EF36" s="42">
        <v>52</v>
      </c>
      <c r="EG36" s="42">
        <v>30</v>
      </c>
      <c r="EH36" s="211">
        <f t="shared" si="8"/>
        <v>3564</v>
      </c>
      <c r="EI36" s="89"/>
      <c r="EJ36" s="89">
        <f t="shared" si="9"/>
        <v>23590</v>
      </c>
      <c r="EK36" s="135">
        <f>EJ36/EJ33</f>
        <v>0.68715409263035243</v>
      </c>
      <c r="EL36" s="47">
        <f t="shared" si="13"/>
        <v>419</v>
      </c>
      <c r="EM36" s="201">
        <f>EL36/EL33</f>
        <v>0.92087912087912083</v>
      </c>
      <c r="EN36" s="47">
        <f t="shared" si="0"/>
        <v>21445</v>
      </c>
      <c r="EO36" s="12">
        <f t="shared" si="1"/>
        <v>168</v>
      </c>
      <c r="EP36" s="12">
        <f t="shared" si="2"/>
        <v>2376</v>
      </c>
      <c r="EQ36" s="12">
        <f t="shared" si="3"/>
        <v>3780</v>
      </c>
      <c r="ER36" s="12">
        <f t="shared" si="4"/>
        <v>4002</v>
      </c>
      <c r="ES36" s="15">
        <f t="shared" si="5"/>
        <v>3312</v>
      </c>
      <c r="ET36" s="49">
        <f t="shared" si="6"/>
        <v>3965</v>
      </c>
      <c r="EU36" s="49">
        <f t="shared" si="7"/>
        <v>3831</v>
      </c>
      <c r="EV36" s="49">
        <f t="shared" si="12"/>
        <v>1610</v>
      </c>
      <c r="EW36" s="49">
        <f t="shared" si="11"/>
        <v>423</v>
      </c>
      <c r="EX36" s="195"/>
      <c r="EY36"/>
      <c r="EZ36" s="245">
        <f>SUM(ED36:EE36)</f>
        <v>71</v>
      </c>
      <c r="FA36" s="246">
        <f>EZ36/EZ33</f>
        <v>0.82558139534883723</v>
      </c>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c r="GL36"/>
      <c r="GM36"/>
      <c r="GN36"/>
      <c r="GO36"/>
      <c r="GP36"/>
      <c r="GQ36"/>
      <c r="GR36"/>
      <c r="GS36"/>
      <c r="GT36"/>
      <c r="GU36"/>
      <c r="GV36"/>
      <c r="GW36"/>
      <c r="GX36"/>
      <c r="GY36"/>
      <c r="GZ36"/>
      <c r="HA36"/>
      <c r="HB36"/>
      <c r="HC36"/>
      <c r="HD36"/>
      <c r="HE36"/>
      <c r="HF36"/>
      <c r="HG36"/>
      <c r="HH36"/>
      <c r="HI36"/>
      <c r="HJ36"/>
      <c r="HK36"/>
      <c r="HL36"/>
      <c r="HM36"/>
      <c r="HN36"/>
      <c r="HO36"/>
      <c r="HP36"/>
      <c r="HQ36"/>
      <c r="HR36"/>
      <c r="HS36"/>
      <c r="HT36"/>
      <c r="HU36"/>
      <c r="HV36"/>
      <c r="HW36"/>
      <c r="HX36"/>
      <c r="HY36"/>
      <c r="HZ36"/>
      <c r="IA36"/>
      <c r="IB36"/>
      <c r="IC36"/>
      <c r="ID36"/>
      <c r="IE36"/>
      <c r="IF36"/>
      <c r="IG36"/>
      <c r="IH36"/>
      <c r="II36"/>
      <c r="IJ36"/>
      <c r="IK36"/>
      <c r="IL36"/>
      <c r="IM36"/>
      <c r="IN36"/>
      <c r="IO36"/>
      <c r="IP36"/>
      <c r="IQ36"/>
      <c r="IR36"/>
      <c r="IS36"/>
      <c r="IT36"/>
      <c r="IU36"/>
      <c r="IV36"/>
      <c r="IW36"/>
      <c r="IX36"/>
      <c r="IY36"/>
      <c r="IZ36"/>
      <c r="JA36"/>
      <c r="JB36"/>
      <c r="JC36"/>
      <c r="JD36"/>
      <c r="JE36"/>
      <c r="JF36"/>
      <c r="JG36"/>
      <c r="JH36"/>
      <c r="JI36"/>
      <c r="JJ36"/>
      <c r="JK36"/>
      <c r="JL36"/>
      <c r="JM36"/>
      <c r="JN36"/>
      <c r="JO36"/>
      <c r="JP36"/>
      <c r="JQ36"/>
      <c r="JR36"/>
      <c r="JS36"/>
      <c r="JT36"/>
      <c r="JU36"/>
      <c r="JV36"/>
      <c r="JW36"/>
      <c r="JX36"/>
      <c r="JY36"/>
      <c r="JZ36"/>
      <c r="KA36"/>
      <c r="KB36"/>
      <c r="KC36"/>
      <c r="KD36"/>
      <c r="KE36"/>
      <c r="KF36"/>
      <c r="KG36"/>
      <c r="KH36"/>
      <c r="KI36"/>
      <c r="KJ36"/>
      <c r="KK36"/>
      <c r="KL36"/>
      <c r="KM36"/>
      <c r="KN36"/>
      <c r="KO36"/>
      <c r="KP36"/>
      <c r="KQ36"/>
      <c r="KR36"/>
    </row>
    <row r="37" spans="1:304" s="78" customFormat="1" ht="30" x14ac:dyDescent="0.25">
      <c r="A37" s="321"/>
      <c r="B37" s="224" t="s">
        <v>196</v>
      </c>
      <c r="C37" s="33">
        <v>418</v>
      </c>
      <c r="D37" s="33">
        <v>347</v>
      </c>
      <c r="E37" s="33">
        <v>157</v>
      </c>
      <c r="F37" s="33">
        <v>127</v>
      </c>
      <c r="G37" s="33">
        <v>255</v>
      </c>
      <c r="H37" s="33">
        <v>120</v>
      </c>
      <c r="I37" s="33">
        <v>311</v>
      </c>
      <c r="J37" s="33">
        <v>38</v>
      </c>
      <c r="K37" s="33">
        <v>346</v>
      </c>
      <c r="L37" s="33">
        <v>240</v>
      </c>
      <c r="M37" s="33">
        <v>51</v>
      </c>
      <c r="N37" s="33">
        <v>207</v>
      </c>
      <c r="O37" s="33">
        <v>287</v>
      </c>
      <c r="P37" s="33">
        <v>260</v>
      </c>
      <c r="Q37" s="33">
        <v>322</v>
      </c>
      <c r="R37" s="33">
        <v>225</v>
      </c>
      <c r="S37" s="33">
        <v>97</v>
      </c>
      <c r="T37" s="33">
        <v>130</v>
      </c>
      <c r="U37" s="33">
        <v>255</v>
      </c>
      <c r="V37" s="33">
        <v>213</v>
      </c>
      <c r="W37" s="33">
        <v>120</v>
      </c>
      <c r="X37" s="33">
        <v>95</v>
      </c>
      <c r="Y37" s="33">
        <v>107</v>
      </c>
      <c r="Z37" s="33">
        <v>31</v>
      </c>
      <c r="AA37" s="33">
        <v>127</v>
      </c>
      <c r="AB37" s="33">
        <v>76</v>
      </c>
      <c r="AC37" s="33">
        <v>42</v>
      </c>
      <c r="AD37" s="33">
        <v>0</v>
      </c>
      <c r="AE37" s="33">
        <v>75</v>
      </c>
      <c r="AF37" s="33">
        <v>67</v>
      </c>
      <c r="AG37" s="33">
        <v>221</v>
      </c>
      <c r="AH37" s="33">
        <v>221</v>
      </c>
      <c r="AI37" s="33">
        <v>326</v>
      </c>
      <c r="AJ37" s="34">
        <v>178</v>
      </c>
      <c r="AK37" s="34">
        <v>174</v>
      </c>
      <c r="AL37" s="34">
        <v>84</v>
      </c>
      <c r="AM37" s="34">
        <v>53</v>
      </c>
      <c r="AN37" s="34">
        <v>49</v>
      </c>
      <c r="AO37" s="34">
        <v>58</v>
      </c>
      <c r="AP37" s="34">
        <v>47</v>
      </c>
      <c r="AQ37" s="34">
        <v>81</v>
      </c>
      <c r="AR37" s="34">
        <v>35</v>
      </c>
      <c r="AS37" s="34">
        <v>44</v>
      </c>
      <c r="AT37" s="34">
        <v>140</v>
      </c>
      <c r="AU37" s="34">
        <v>231</v>
      </c>
      <c r="AV37" s="34">
        <v>178</v>
      </c>
      <c r="AW37" s="34">
        <v>83</v>
      </c>
      <c r="AX37" s="34">
        <v>56</v>
      </c>
      <c r="AY37" s="34">
        <v>3</v>
      </c>
      <c r="AZ37" s="34">
        <v>0</v>
      </c>
      <c r="BA37" s="34">
        <v>200</v>
      </c>
      <c r="BB37" s="34">
        <v>66</v>
      </c>
      <c r="BC37" s="34">
        <v>159</v>
      </c>
      <c r="BD37" s="34">
        <v>0</v>
      </c>
      <c r="BE37" s="34">
        <v>188</v>
      </c>
      <c r="BF37" s="34">
        <v>69</v>
      </c>
      <c r="BG37" s="34">
        <v>73</v>
      </c>
      <c r="BH37" s="34">
        <v>1</v>
      </c>
      <c r="BI37" s="34">
        <v>1</v>
      </c>
      <c r="BJ37" s="34">
        <v>44</v>
      </c>
      <c r="BK37" s="34">
        <v>0</v>
      </c>
      <c r="BL37" s="34">
        <v>43</v>
      </c>
      <c r="BM37" s="34">
        <v>13</v>
      </c>
      <c r="BN37" s="34">
        <v>8</v>
      </c>
      <c r="BO37" s="34">
        <v>54</v>
      </c>
      <c r="BP37" s="34">
        <v>58</v>
      </c>
      <c r="BQ37" s="34">
        <v>46</v>
      </c>
      <c r="BR37" s="34">
        <v>102</v>
      </c>
      <c r="BS37" s="34">
        <v>53</v>
      </c>
      <c r="BT37" s="34">
        <v>1</v>
      </c>
      <c r="BU37" s="34">
        <v>45</v>
      </c>
      <c r="BV37" s="34">
        <v>46</v>
      </c>
      <c r="BW37" s="34">
        <v>2</v>
      </c>
      <c r="BX37" s="34">
        <v>0</v>
      </c>
      <c r="BY37" s="34">
        <v>0</v>
      </c>
      <c r="BZ37" s="34">
        <v>0</v>
      </c>
      <c r="CA37" s="34">
        <v>2</v>
      </c>
      <c r="CB37" s="34">
        <v>56</v>
      </c>
      <c r="CC37" s="34">
        <v>0</v>
      </c>
      <c r="CD37" s="34">
        <v>125</v>
      </c>
      <c r="CE37" s="34">
        <v>5</v>
      </c>
      <c r="CF37" s="34">
        <v>22</v>
      </c>
      <c r="CG37" s="34">
        <v>60</v>
      </c>
      <c r="CH37" s="34">
        <v>27</v>
      </c>
      <c r="CI37" s="34">
        <v>24</v>
      </c>
      <c r="CJ37" s="34">
        <v>2</v>
      </c>
      <c r="CK37" s="34">
        <v>7</v>
      </c>
      <c r="CL37" s="34">
        <v>3</v>
      </c>
      <c r="CM37" s="34">
        <v>16</v>
      </c>
      <c r="CN37" s="34">
        <v>40</v>
      </c>
      <c r="CO37" s="34">
        <v>7</v>
      </c>
      <c r="CP37" s="34">
        <v>0</v>
      </c>
      <c r="CQ37" s="34">
        <v>0</v>
      </c>
      <c r="CR37" s="34">
        <v>0</v>
      </c>
      <c r="CS37" s="34">
        <v>0</v>
      </c>
      <c r="CT37" s="34">
        <v>1</v>
      </c>
      <c r="CU37" s="34">
        <v>5</v>
      </c>
      <c r="CV37" s="34">
        <v>1</v>
      </c>
      <c r="CW37" s="34">
        <v>0</v>
      </c>
      <c r="CX37" s="34">
        <v>3</v>
      </c>
      <c r="CY37" s="34">
        <v>0</v>
      </c>
      <c r="CZ37" s="34">
        <v>0</v>
      </c>
      <c r="DA37" s="34">
        <v>1</v>
      </c>
      <c r="DB37" s="34">
        <v>0</v>
      </c>
      <c r="DC37" s="34">
        <v>4</v>
      </c>
      <c r="DD37" s="34">
        <v>1</v>
      </c>
      <c r="DE37" s="34">
        <v>14</v>
      </c>
      <c r="DF37" s="34">
        <v>5</v>
      </c>
      <c r="DG37" s="34">
        <v>9</v>
      </c>
      <c r="DH37" s="34">
        <v>12</v>
      </c>
      <c r="DI37" s="34">
        <v>12</v>
      </c>
      <c r="DJ37" s="34">
        <v>10</v>
      </c>
      <c r="DK37" s="34">
        <v>14</v>
      </c>
      <c r="DL37" s="34">
        <v>1</v>
      </c>
      <c r="DM37" s="34">
        <v>2</v>
      </c>
      <c r="DN37" s="34">
        <v>0</v>
      </c>
      <c r="DO37" s="34">
        <v>1</v>
      </c>
      <c r="DP37" s="34">
        <v>0</v>
      </c>
      <c r="DQ37" s="34">
        <v>9</v>
      </c>
      <c r="DR37" s="34">
        <v>0</v>
      </c>
      <c r="DS37" s="42">
        <v>3</v>
      </c>
      <c r="DT37" s="42">
        <v>0</v>
      </c>
      <c r="DU37" s="42">
        <v>5</v>
      </c>
      <c r="DV37" s="42">
        <v>38</v>
      </c>
      <c r="DW37" s="42">
        <v>15</v>
      </c>
      <c r="DX37" s="42">
        <v>5</v>
      </c>
      <c r="DY37" s="42">
        <v>3</v>
      </c>
      <c r="DZ37" s="42">
        <v>1</v>
      </c>
      <c r="EA37" s="42">
        <v>96</v>
      </c>
      <c r="EB37" s="42">
        <v>2</v>
      </c>
      <c r="EC37" s="42">
        <v>1</v>
      </c>
      <c r="ED37" s="42">
        <v>3</v>
      </c>
      <c r="EE37" s="42">
        <v>12</v>
      </c>
      <c r="EF37" s="42">
        <v>3</v>
      </c>
      <c r="EG37" s="42">
        <v>3</v>
      </c>
      <c r="EH37" s="211">
        <f t="shared" si="8"/>
        <v>295</v>
      </c>
      <c r="EI37" s="89"/>
      <c r="EJ37" s="89">
        <f t="shared" si="9"/>
        <v>9368</v>
      </c>
      <c r="EK37" s="135">
        <f>EJ37/EJ33</f>
        <v>0.27288086221963298</v>
      </c>
      <c r="EL37" s="47">
        <f t="shared" si="13"/>
        <v>27</v>
      </c>
      <c r="EM37" s="201">
        <f>EL37/EL33</f>
        <v>5.9340659340659338E-2</v>
      </c>
      <c r="EN37" s="47">
        <f t="shared" si="0"/>
        <v>7449</v>
      </c>
      <c r="EO37" s="12">
        <f t="shared" si="1"/>
        <v>418</v>
      </c>
      <c r="EP37" s="12">
        <f t="shared" si="2"/>
        <v>2486</v>
      </c>
      <c r="EQ37" s="12">
        <f t="shared" si="3"/>
        <v>1982</v>
      </c>
      <c r="ER37" s="12">
        <f t="shared" si="4"/>
        <v>1517</v>
      </c>
      <c r="ES37" s="15">
        <f t="shared" si="5"/>
        <v>1005</v>
      </c>
      <c r="ET37" s="49">
        <f t="shared" si="6"/>
        <v>1272</v>
      </c>
      <c r="EU37" s="49">
        <f t="shared" si="7"/>
        <v>402</v>
      </c>
      <c r="EV37" s="49">
        <f t="shared" si="12"/>
        <v>102</v>
      </c>
      <c r="EW37" s="49">
        <f t="shared" si="11"/>
        <v>166</v>
      </c>
      <c r="EX37" s="195"/>
      <c r="EY37"/>
      <c r="EZ37" s="245">
        <f>SUM(ED37:EE37)</f>
        <v>15</v>
      </c>
      <c r="FA37" s="246">
        <f>EZ37/EZ33</f>
        <v>0.1744186046511628</v>
      </c>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c r="GL37"/>
      <c r="GM37"/>
      <c r="GN37"/>
      <c r="GO37"/>
      <c r="GP37"/>
      <c r="GQ37"/>
      <c r="GR37"/>
      <c r="GS37"/>
      <c r="GT37"/>
      <c r="GU37"/>
      <c r="GV37"/>
      <c r="GW37"/>
      <c r="GX37"/>
      <c r="GY37"/>
      <c r="GZ37"/>
      <c r="HA37"/>
      <c r="HB37"/>
      <c r="HC37"/>
      <c r="HD37"/>
      <c r="HE37"/>
      <c r="HF37"/>
      <c r="HG37"/>
      <c r="HH37"/>
      <c r="HI37"/>
      <c r="HJ37"/>
      <c r="HK37"/>
      <c r="HL37"/>
      <c r="HM37"/>
      <c r="HN37"/>
      <c r="HO37"/>
      <c r="HP37"/>
      <c r="HQ37"/>
      <c r="HR37"/>
      <c r="HS37"/>
      <c r="HT37"/>
      <c r="HU37"/>
      <c r="HV37"/>
      <c r="HW37"/>
      <c r="HX37"/>
      <c r="HY37"/>
      <c r="HZ37"/>
      <c r="IA37"/>
      <c r="IB37"/>
      <c r="IC37"/>
      <c r="ID37"/>
      <c r="IE37"/>
      <c r="IF37"/>
      <c r="IG37"/>
      <c r="IH37"/>
      <c r="II37"/>
      <c r="IJ37"/>
      <c r="IK37"/>
      <c r="IL37"/>
      <c r="IM37"/>
      <c r="IN37"/>
      <c r="IO37"/>
      <c r="IP37"/>
      <c r="IQ37"/>
      <c r="IR37"/>
      <c r="IS37"/>
      <c r="IT37"/>
      <c r="IU37"/>
      <c r="IV37"/>
      <c r="IW37"/>
      <c r="IX37"/>
      <c r="IY37"/>
      <c r="IZ37"/>
      <c r="JA37"/>
      <c r="JB37"/>
      <c r="JC37"/>
      <c r="JD37"/>
      <c r="JE37"/>
      <c r="JF37"/>
      <c r="JG37"/>
      <c r="JH37"/>
      <c r="JI37"/>
      <c r="JJ37"/>
      <c r="JK37"/>
      <c r="JL37"/>
      <c r="JM37"/>
      <c r="JN37"/>
      <c r="JO37"/>
      <c r="JP37"/>
      <c r="JQ37"/>
      <c r="JR37"/>
      <c r="JS37"/>
      <c r="JT37"/>
      <c r="JU37"/>
      <c r="JV37"/>
      <c r="JW37"/>
      <c r="JX37"/>
      <c r="JY37"/>
      <c r="JZ37"/>
      <c r="KA37"/>
      <c r="KB37"/>
      <c r="KC37"/>
      <c r="KD37"/>
      <c r="KE37"/>
      <c r="KF37"/>
      <c r="KG37"/>
      <c r="KH37"/>
      <c r="KI37"/>
      <c r="KJ37"/>
      <c r="KK37"/>
      <c r="KL37"/>
      <c r="KM37"/>
      <c r="KN37"/>
      <c r="KO37"/>
      <c r="KP37"/>
      <c r="KQ37"/>
      <c r="KR37"/>
    </row>
    <row r="38" spans="1:304" s="78" customFormat="1" ht="75" hidden="1" x14ac:dyDescent="0.25">
      <c r="A38" s="322" t="s">
        <v>164</v>
      </c>
      <c r="B38" s="83" t="s">
        <v>242</v>
      </c>
      <c r="C38" s="33" t="s">
        <v>154</v>
      </c>
      <c r="D38" s="33" t="s">
        <v>154</v>
      </c>
      <c r="E38" s="33" t="s">
        <v>154</v>
      </c>
      <c r="F38" s="33" t="s">
        <v>154</v>
      </c>
      <c r="G38" s="33" t="s">
        <v>154</v>
      </c>
      <c r="H38" s="33" t="s">
        <v>154</v>
      </c>
      <c r="I38" s="33" t="s">
        <v>154</v>
      </c>
      <c r="J38" s="33" t="s">
        <v>154</v>
      </c>
      <c r="K38" s="33" t="s">
        <v>154</v>
      </c>
      <c r="L38" s="33" t="s">
        <v>154</v>
      </c>
      <c r="M38" s="33" t="s">
        <v>154</v>
      </c>
      <c r="N38" s="33" t="s">
        <v>154</v>
      </c>
      <c r="O38" s="33" t="s">
        <v>154</v>
      </c>
      <c r="P38" s="33" t="s">
        <v>154</v>
      </c>
      <c r="Q38" s="33" t="s">
        <v>154</v>
      </c>
      <c r="R38" s="33" t="s">
        <v>154</v>
      </c>
      <c r="S38" s="33" t="s">
        <v>154</v>
      </c>
      <c r="T38" s="33" t="s">
        <v>154</v>
      </c>
      <c r="U38" s="33" t="s">
        <v>154</v>
      </c>
      <c r="V38" s="33" t="s">
        <v>154</v>
      </c>
      <c r="W38" s="33" t="s">
        <v>154</v>
      </c>
      <c r="X38" s="33" t="s">
        <v>154</v>
      </c>
      <c r="Y38" s="33" t="s">
        <v>154</v>
      </c>
      <c r="Z38" s="33" t="s">
        <v>154</v>
      </c>
      <c r="AA38" s="33" t="s">
        <v>154</v>
      </c>
      <c r="AB38" s="33" t="s">
        <v>154</v>
      </c>
      <c r="AC38" s="33" t="s">
        <v>154</v>
      </c>
      <c r="AD38" s="33" t="s">
        <v>154</v>
      </c>
      <c r="AE38" s="33" t="s">
        <v>154</v>
      </c>
      <c r="AF38" s="33" t="s">
        <v>154</v>
      </c>
      <c r="AG38" s="33" t="s">
        <v>154</v>
      </c>
      <c r="AH38" s="33" t="s">
        <v>154</v>
      </c>
      <c r="AI38" s="33" t="s">
        <v>154</v>
      </c>
      <c r="AJ38" s="33" t="s">
        <v>154</v>
      </c>
      <c r="AK38" s="33" t="s">
        <v>154</v>
      </c>
      <c r="AL38" s="33" t="s">
        <v>154</v>
      </c>
      <c r="AM38" s="33" t="s">
        <v>154</v>
      </c>
      <c r="AN38" s="34">
        <v>25</v>
      </c>
      <c r="AO38" s="34">
        <v>9</v>
      </c>
      <c r="AP38" s="34">
        <v>15</v>
      </c>
      <c r="AQ38" s="34">
        <v>12</v>
      </c>
      <c r="AR38" s="34">
        <v>19</v>
      </c>
      <c r="AS38" s="34">
        <v>23</v>
      </c>
      <c r="AT38" s="34">
        <v>13</v>
      </c>
      <c r="AU38" s="34">
        <v>24</v>
      </c>
      <c r="AV38" s="34">
        <v>18</v>
      </c>
      <c r="AW38" s="34">
        <v>17</v>
      </c>
      <c r="AX38" s="34">
        <v>22</v>
      </c>
      <c r="AY38" s="34">
        <v>16</v>
      </c>
      <c r="AZ38" s="34">
        <v>10</v>
      </c>
      <c r="BA38" s="34">
        <v>11</v>
      </c>
      <c r="BB38" s="34">
        <v>4</v>
      </c>
      <c r="BC38" s="34">
        <v>4</v>
      </c>
      <c r="BD38" s="34">
        <v>4</v>
      </c>
      <c r="BE38" s="34">
        <v>6</v>
      </c>
      <c r="BF38" s="34">
        <v>5</v>
      </c>
      <c r="BG38" s="34">
        <v>5</v>
      </c>
      <c r="BH38" s="34">
        <v>3</v>
      </c>
      <c r="BI38" s="34">
        <v>10</v>
      </c>
      <c r="BJ38" s="34">
        <v>11</v>
      </c>
      <c r="BK38" s="34">
        <v>6</v>
      </c>
      <c r="BL38" s="34">
        <v>4</v>
      </c>
      <c r="BM38" s="34">
        <v>9</v>
      </c>
      <c r="BN38" s="34">
        <v>7</v>
      </c>
      <c r="BO38" s="34">
        <v>6</v>
      </c>
      <c r="BP38" s="34">
        <v>6</v>
      </c>
      <c r="BQ38" s="34">
        <v>3</v>
      </c>
      <c r="BR38" s="34">
        <v>6</v>
      </c>
      <c r="BS38" s="34">
        <v>6</v>
      </c>
      <c r="BT38" s="34">
        <v>4</v>
      </c>
      <c r="BU38" s="34">
        <v>4</v>
      </c>
      <c r="BV38" s="34">
        <v>2</v>
      </c>
      <c r="BW38" s="34">
        <v>2</v>
      </c>
      <c r="BX38" s="34">
        <v>1</v>
      </c>
      <c r="BY38" s="34">
        <v>6</v>
      </c>
      <c r="BZ38" s="34">
        <v>3</v>
      </c>
      <c r="CA38" s="34">
        <v>2</v>
      </c>
      <c r="CB38" s="34">
        <v>4</v>
      </c>
      <c r="CC38" s="34">
        <v>4</v>
      </c>
      <c r="CD38" s="34">
        <v>6</v>
      </c>
      <c r="CE38" s="34">
        <v>6</v>
      </c>
      <c r="CF38" s="34">
        <v>5</v>
      </c>
      <c r="CG38" s="34">
        <v>4</v>
      </c>
      <c r="CH38" s="34">
        <v>5</v>
      </c>
      <c r="CI38" s="34">
        <v>4</v>
      </c>
      <c r="CJ38" s="34">
        <v>5</v>
      </c>
      <c r="CK38" s="34">
        <v>5</v>
      </c>
      <c r="CL38" s="34">
        <v>2</v>
      </c>
      <c r="CM38" s="34">
        <v>3</v>
      </c>
      <c r="CN38" s="34">
        <v>6</v>
      </c>
      <c r="CO38" s="34">
        <v>3</v>
      </c>
      <c r="CP38" s="34">
        <v>4</v>
      </c>
      <c r="CQ38" s="34">
        <v>5</v>
      </c>
      <c r="CR38" s="34">
        <v>3</v>
      </c>
      <c r="CS38" s="34">
        <v>4</v>
      </c>
      <c r="CT38" s="34">
        <v>5</v>
      </c>
      <c r="CU38" s="34">
        <v>7</v>
      </c>
      <c r="CV38" s="34">
        <v>17</v>
      </c>
      <c r="CW38" s="34">
        <v>19</v>
      </c>
      <c r="CX38" s="34">
        <v>7</v>
      </c>
      <c r="CY38" s="34">
        <v>14</v>
      </c>
      <c r="CZ38" s="34">
        <v>7</v>
      </c>
      <c r="DA38" s="34">
        <v>10</v>
      </c>
      <c r="DB38" s="34">
        <v>10</v>
      </c>
      <c r="DC38" s="34">
        <v>9</v>
      </c>
      <c r="DD38" s="34">
        <v>9</v>
      </c>
      <c r="DE38" s="34">
        <v>10</v>
      </c>
      <c r="DF38" s="34">
        <v>9</v>
      </c>
      <c r="DG38" s="34">
        <v>5</v>
      </c>
      <c r="DH38" s="34">
        <v>8</v>
      </c>
      <c r="DI38" s="34">
        <v>8</v>
      </c>
      <c r="DJ38" s="34"/>
      <c r="DK38" s="34"/>
      <c r="DL38" s="34"/>
      <c r="DM38" s="34"/>
      <c r="DN38" s="34"/>
      <c r="DO38" s="34"/>
      <c r="DP38" s="34"/>
      <c r="DQ38" s="34"/>
      <c r="DR38" s="34"/>
      <c r="DS38" s="42"/>
      <c r="DT38" s="42"/>
      <c r="DU38" s="42"/>
      <c r="DV38" s="42"/>
      <c r="DW38" s="42"/>
      <c r="DX38" s="42"/>
      <c r="DY38" s="42"/>
      <c r="DZ38" s="42"/>
      <c r="EA38" s="42"/>
      <c r="EB38" s="42"/>
      <c r="EC38" s="42"/>
      <c r="ED38" s="42"/>
      <c r="EE38" s="42"/>
      <c r="EF38" s="42"/>
      <c r="EG38" s="42"/>
      <c r="EH38" s="211">
        <f t="shared" si="8"/>
        <v>170</v>
      </c>
      <c r="EI38" s="89"/>
      <c r="EJ38" s="89">
        <f t="shared" si="9"/>
        <v>595</v>
      </c>
      <c r="EK38" s="89"/>
      <c r="EL38" s="47">
        <f t="shared" si="13"/>
        <v>0</v>
      </c>
      <c r="EM38" s="202"/>
      <c r="EN38" s="47">
        <f t="shared" si="0"/>
        <v>595</v>
      </c>
      <c r="EO38" s="12">
        <f t="shared" si="1"/>
        <v>0</v>
      </c>
      <c r="EP38" s="12">
        <f t="shared" si="2"/>
        <v>0</v>
      </c>
      <c r="EQ38" s="12">
        <f t="shared" si="3"/>
        <v>0</v>
      </c>
      <c r="ER38" s="12">
        <f t="shared" si="4"/>
        <v>0</v>
      </c>
      <c r="ES38" s="15">
        <f t="shared" si="5"/>
        <v>213</v>
      </c>
      <c r="ET38" s="49">
        <f t="shared" si="6"/>
        <v>138</v>
      </c>
      <c r="EU38" s="49">
        <f t="shared" si="7"/>
        <v>102</v>
      </c>
      <c r="EV38" s="49">
        <f t="shared" si="12"/>
        <v>142</v>
      </c>
      <c r="EW38" s="49">
        <f t="shared" si="11"/>
        <v>0</v>
      </c>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row>
    <row r="39" spans="1:304" s="78" customFormat="1" hidden="1" x14ac:dyDescent="0.25">
      <c r="A39" s="309"/>
      <c r="B39" s="83" t="s">
        <v>157</v>
      </c>
      <c r="C39" s="33" t="s">
        <v>154</v>
      </c>
      <c r="D39" s="33" t="s">
        <v>154</v>
      </c>
      <c r="E39" s="33" t="s">
        <v>154</v>
      </c>
      <c r="F39" s="33" t="s">
        <v>154</v>
      </c>
      <c r="G39" s="33" t="s">
        <v>154</v>
      </c>
      <c r="H39" s="33" t="s">
        <v>154</v>
      </c>
      <c r="I39" s="33" t="s">
        <v>154</v>
      </c>
      <c r="J39" s="33" t="s">
        <v>154</v>
      </c>
      <c r="K39" s="33" t="s">
        <v>154</v>
      </c>
      <c r="L39" s="33" t="s">
        <v>154</v>
      </c>
      <c r="M39" s="33" t="s">
        <v>154</v>
      </c>
      <c r="N39" s="33" t="s">
        <v>154</v>
      </c>
      <c r="O39" s="33" t="s">
        <v>154</v>
      </c>
      <c r="P39" s="33" t="s">
        <v>154</v>
      </c>
      <c r="Q39" s="33" t="s">
        <v>154</v>
      </c>
      <c r="R39" s="33" t="s">
        <v>154</v>
      </c>
      <c r="S39" s="33" t="s">
        <v>154</v>
      </c>
      <c r="T39" s="33" t="s">
        <v>154</v>
      </c>
      <c r="U39" s="33" t="s">
        <v>154</v>
      </c>
      <c r="V39" s="33" t="s">
        <v>154</v>
      </c>
      <c r="W39" s="33" t="s">
        <v>154</v>
      </c>
      <c r="X39" s="33" t="s">
        <v>154</v>
      </c>
      <c r="Y39" s="33" t="s">
        <v>154</v>
      </c>
      <c r="Z39" s="33" t="s">
        <v>154</v>
      </c>
      <c r="AA39" s="33" t="s">
        <v>154</v>
      </c>
      <c r="AB39" s="33" t="s">
        <v>154</v>
      </c>
      <c r="AC39" s="33" t="s">
        <v>154</v>
      </c>
      <c r="AD39" s="33" t="s">
        <v>154</v>
      </c>
      <c r="AE39" s="33" t="s">
        <v>154</v>
      </c>
      <c r="AF39" s="33" t="s">
        <v>154</v>
      </c>
      <c r="AG39" s="33" t="s">
        <v>154</v>
      </c>
      <c r="AH39" s="33" t="s">
        <v>154</v>
      </c>
      <c r="AI39" s="33" t="s">
        <v>154</v>
      </c>
      <c r="AJ39" s="33" t="s">
        <v>154</v>
      </c>
      <c r="AK39" s="33" t="s">
        <v>154</v>
      </c>
      <c r="AL39" s="33" t="s">
        <v>154</v>
      </c>
      <c r="AM39" s="33" t="s">
        <v>154</v>
      </c>
      <c r="AN39" s="34">
        <v>44</v>
      </c>
      <c r="AO39" s="34">
        <v>34</v>
      </c>
      <c r="AP39" s="34">
        <v>29</v>
      </c>
      <c r="AQ39" s="34">
        <v>31</v>
      </c>
      <c r="AR39" s="34">
        <v>37</v>
      </c>
      <c r="AS39" s="34">
        <v>55</v>
      </c>
      <c r="AT39" s="34">
        <v>14</v>
      </c>
      <c r="AU39" s="34">
        <v>42</v>
      </c>
      <c r="AV39" s="34">
        <v>43</v>
      </c>
      <c r="AW39" s="34">
        <v>27</v>
      </c>
      <c r="AX39" s="34">
        <v>30</v>
      </c>
      <c r="AY39" s="34">
        <v>11</v>
      </c>
      <c r="AZ39" s="34">
        <v>9</v>
      </c>
      <c r="BA39" s="34">
        <v>12</v>
      </c>
      <c r="BB39" s="34">
        <v>2</v>
      </c>
      <c r="BC39" s="34">
        <v>5</v>
      </c>
      <c r="BD39" s="34">
        <v>3</v>
      </c>
      <c r="BE39" s="34">
        <v>8</v>
      </c>
      <c r="BF39" s="34">
        <v>5</v>
      </c>
      <c r="BG39" s="34">
        <v>5</v>
      </c>
      <c r="BH39" s="34">
        <v>5</v>
      </c>
      <c r="BI39" s="34">
        <v>9</v>
      </c>
      <c r="BJ39" s="34">
        <v>42</v>
      </c>
      <c r="BK39" s="34">
        <v>7</v>
      </c>
      <c r="BL39" s="34">
        <v>2</v>
      </c>
      <c r="BM39" s="34">
        <v>13</v>
      </c>
      <c r="BN39" s="34">
        <v>8</v>
      </c>
      <c r="BO39" s="34">
        <v>6</v>
      </c>
      <c r="BP39" s="34">
        <v>8</v>
      </c>
      <c r="BQ39" s="34">
        <v>5</v>
      </c>
      <c r="BR39" s="34">
        <v>5</v>
      </c>
      <c r="BS39" s="34">
        <v>6</v>
      </c>
      <c r="BT39" s="34">
        <v>5</v>
      </c>
      <c r="BU39" s="34">
        <v>6</v>
      </c>
      <c r="BV39" s="34">
        <v>2</v>
      </c>
      <c r="BW39" s="34">
        <v>3</v>
      </c>
      <c r="BX39" s="34">
        <v>1</v>
      </c>
      <c r="BY39" s="34">
        <v>6</v>
      </c>
      <c r="BZ39" s="34">
        <v>4</v>
      </c>
      <c r="CA39" s="34">
        <v>6</v>
      </c>
      <c r="CB39" s="34">
        <v>7</v>
      </c>
      <c r="CC39" s="34">
        <v>4</v>
      </c>
      <c r="CD39" s="34">
        <v>5</v>
      </c>
      <c r="CE39" s="34">
        <v>7</v>
      </c>
      <c r="CF39" s="34">
        <v>15</v>
      </c>
      <c r="CG39" s="34">
        <v>4</v>
      </c>
      <c r="CH39" s="34">
        <v>6</v>
      </c>
      <c r="CI39" s="34">
        <v>5</v>
      </c>
      <c r="CJ39" s="34">
        <v>6</v>
      </c>
      <c r="CK39" s="34">
        <v>7</v>
      </c>
      <c r="CL39" s="34">
        <v>5</v>
      </c>
      <c r="CM39" s="34">
        <v>3</v>
      </c>
      <c r="CN39" s="34">
        <v>6</v>
      </c>
      <c r="CO39" s="34">
        <v>3</v>
      </c>
      <c r="CP39" s="34">
        <v>5</v>
      </c>
      <c r="CQ39" s="34">
        <v>5</v>
      </c>
      <c r="CR39" s="34">
        <v>3</v>
      </c>
      <c r="CS39" s="34">
        <v>4</v>
      </c>
      <c r="CT39" s="34">
        <v>5</v>
      </c>
      <c r="CU39" s="34">
        <v>7</v>
      </c>
      <c r="CV39" s="34">
        <v>17</v>
      </c>
      <c r="CW39" s="34">
        <v>19</v>
      </c>
      <c r="CX39" s="34">
        <v>7</v>
      </c>
      <c r="CY39" s="34">
        <v>14</v>
      </c>
      <c r="CZ39" s="34">
        <v>7</v>
      </c>
      <c r="DA39" s="34">
        <v>10</v>
      </c>
      <c r="DB39" s="34">
        <v>10</v>
      </c>
      <c r="DC39" s="34">
        <v>9</v>
      </c>
      <c r="DD39" s="34">
        <v>9</v>
      </c>
      <c r="DE39" s="34">
        <v>10</v>
      </c>
      <c r="DF39" s="34">
        <v>9</v>
      </c>
      <c r="DG39" s="34">
        <v>5</v>
      </c>
      <c r="DH39" s="34">
        <v>8</v>
      </c>
      <c r="DI39" s="34">
        <v>8</v>
      </c>
      <c r="DJ39" s="34"/>
      <c r="DK39" s="34"/>
      <c r="DL39" s="34"/>
      <c r="DM39" s="34"/>
      <c r="DN39" s="34"/>
      <c r="DO39" s="34"/>
      <c r="DP39" s="34"/>
      <c r="DQ39" s="34"/>
      <c r="DR39" s="34"/>
      <c r="DS39" s="42"/>
      <c r="DT39" s="42"/>
      <c r="DU39" s="42"/>
      <c r="DV39" s="42"/>
      <c r="DW39" s="42"/>
      <c r="DX39" s="42"/>
      <c r="DY39" s="42"/>
      <c r="DZ39" s="42"/>
      <c r="EA39" s="42"/>
      <c r="EB39" s="42"/>
      <c r="EC39" s="42"/>
      <c r="ED39" s="42"/>
      <c r="EE39" s="42"/>
      <c r="EF39" s="42"/>
      <c r="EG39" s="42"/>
      <c r="EH39" s="211">
        <f t="shared" si="8"/>
        <v>171</v>
      </c>
      <c r="EI39" s="89"/>
      <c r="EJ39" s="89">
        <f t="shared" si="9"/>
        <v>849</v>
      </c>
      <c r="EK39" s="89"/>
      <c r="EL39" s="47">
        <f t="shared" si="13"/>
        <v>0</v>
      </c>
      <c r="EM39" s="202"/>
      <c r="EN39" s="47">
        <f t="shared" si="0"/>
        <v>849</v>
      </c>
      <c r="EO39" s="12">
        <f t="shared" si="1"/>
        <v>0</v>
      </c>
      <c r="EP39" s="12">
        <f t="shared" si="2"/>
        <v>0</v>
      </c>
      <c r="EQ39" s="12">
        <f t="shared" si="3"/>
        <v>0</v>
      </c>
      <c r="ER39" s="12">
        <f t="shared" si="4"/>
        <v>0</v>
      </c>
      <c r="ES39" s="15">
        <f t="shared" si="5"/>
        <v>397</v>
      </c>
      <c r="ET39" s="49">
        <f t="shared" si="6"/>
        <v>181</v>
      </c>
      <c r="EU39" s="49">
        <f t="shared" si="7"/>
        <v>129</v>
      </c>
      <c r="EV39" s="49">
        <f t="shared" si="12"/>
        <v>142</v>
      </c>
      <c r="EW39" s="49">
        <f t="shared" si="11"/>
        <v>0</v>
      </c>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c r="GL39"/>
      <c r="GM39"/>
      <c r="GN39"/>
      <c r="GO39"/>
      <c r="GP39"/>
      <c r="GQ39"/>
      <c r="GR39"/>
      <c r="GS39"/>
      <c r="GT39"/>
      <c r="GU39"/>
      <c r="GV39"/>
      <c r="GW39"/>
      <c r="GX39"/>
      <c r="GY39"/>
      <c r="GZ39"/>
      <c r="HA39"/>
      <c r="HB39"/>
      <c r="HC39"/>
      <c r="HD39"/>
      <c r="HE39"/>
      <c r="HF39"/>
      <c r="HG39"/>
      <c r="HH39"/>
      <c r="HI39"/>
      <c r="HJ39"/>
      <c r="HK39"/>
      <c r="HL39"/>
      <c r="HM39"/>
      <c r="HN39"/>
      <c r="HO39"/>
      <c r="HP39"/>
      <c r="HQ39"/>
      <c r="HR39"/>
      <c r="HS39"/>
      <c r="HT39"/>
      <c r="HU39"/>
      <c r="HV39"/>
      <c r="HW39"/>
      <c r="HX39"/>
      <c r="HY39"/>
      <c r="HZ39"/>
      <c r="IA39"/>
      <c r="IB39"/>
      <c r="IC39"/>
      <c r="ID39"/>
      <c r="IE39"/>
      <c r="IF39"/>
      <c r="IG39"/>
      <c r="IH39"/>
      <c r="II39"/>
      <c r="IJ39"/>
      <c r="IK39"/>
      <c r="IL39"/>
      <c r="IM39"/>
      <c r="IN39"/>
      <c r="IO39"/>
      <c r="IP39"/>
      <c r="IQ39"/>
      <c r="IR39"/>
      <c r="IS39"/>
      <c r="IT39"/>
      <c r="IU39"/>
      <c r="IV39"/>
      <c r="IW39"/>
      <c r="IX39"/>
      <c r="IY39"/>
      <c r="IZ39"/>
      <c r="JA39"/>
      <c r="JB39"/>
      <c r="JC39"/>
      <c r="JD39"/>
      <c r="JE39"/>
      <c r="JF39"/>
      <c r="JG39"/>
      <c r="JH39"/>
      <c r="JI39"/>
      <c r="JJ39"/>
      <c r="JK39"/>
      <c r="JL39"/>
      <c r="JM39"/>
      <c r="JN39"/>
      <c r="JO39"/>
      <c r="JP39"/>
      <c r="JQ39"/>
      <c r="JR39"/>
      <c r="JS39"/>
      <c r="JT39"/>
      <c r="JU39"/>
      <c r="JV39"/>
      <c r="JW39"/>
      <c r="JX39"/>
      <c r="JY39"/>
      <c r="JZ39"/>
      <c r="KA39"/>
      <c r="KB39"/>
      <c r="KC39"/>
      <c r="KD39"/>
      <c r="KE39"/>
      <c r="KF39"/>
      <c r="KG39"/>
      <c r="KH39"/>
      <c r="KI39"/>
      <c r="KJ39"/>
      <c r="KK39"/>
      <c r="KL39"/>
      <c r="KM39"/>
      <c r="KN39"/>
      <c r="KO39"/>
      <c r="KP39"/>
      <c r="KQ39"/>
      <c r="KR39"/>
    </row>
    <row r="40" spans="1:304" s="78" customFormat="1" ht="105" hidden="1" x14ac:dyDescent="0.25">
      <c r="A40" s="309"/>
      <c r="B40" s="83" t="s">
        <v>241</v>
      </c>
      <c r="C40" s="33" t="s">
        <v>154</v>
      </c>
      <c r="D40" s="33" t="s">
        <v>154</v>
      </c>
      <c r="E40" s="33" t="s">
        <v>154</v>
      </c>
      <c r="F40" s="33" t="s">
        <v>154</v>
      </c>
      <c r="G40" s="33" t="s">
        <v>154</v>
      </c>
      <c r="H40" s="33" t="s">
        <v>154</v>
      </c>
      <c r="I40" s="33" t="s">
        <v>154</v>
      </c>
      <c r="J40" s="33" t="s">
        <v>154</v>
      </c>
      <c r="K40" s="33" t="s">
        <v>154</v>
      </c>
      <c r="L40" s="33" t="s">
        <v>154</v>
      </c>
      <c r="M40" s="33" t="s">
        <v>154</v>
      </c>
      <c r="N40" s="33" t="s">
        <v>154</v>
      </c>
      <c r="O40" s="33" t="s">
        <v>154</v>
      </c>
      <c r="P40" s="33" t="s">
        <v>154</v>
      </c>
      <c r="Q40" s="33" t="s">
        <v>154</v>
      </c>
      <c r="R40" s="33" t="s">
        <v>154</v>
      </c>
      <c r="S40" s="33" t="s">
        <v>154</v>
      </c>
      <c r="T40" s="33" t="s">
        <v>154</v>
      </c>
      <c r="U40" s="33" t="s">
        <v>154</v>
      </c>
      <c r="V40" s="33" t="s">
        <v>154</v>
      </c>
      <c r="W40" s="33" t="s">
        <v>154</v>
      </c>
      <c r="X40" s="33" t="s">
        <v>154</v>
      </c>
      <c r="Y40" s="33" t="s">
        <v>154</v>
      </c>
      <c r="Z40" s="33" t="s">
        <v>154</v>
      </c>
      <c r="AA40" s="33" t="s">
        <v>154</v>
      </c>
      <c r="AB40" s="121">
        <v>4</v>
      </c>
      <c r="AC40" s="121">
        <v>8</v>
      </c>
      <c r="AD40" s="121">
        <v>7</v>
      </c>
      <c r="AE40" s="121">
        <v>2</v>
      </c>
      <c r="AF40" s="121">
        <v>4</v>
      </c>
      <c r="AG40" s="121">
        <v>3</v>
      </c>
      <c r="AH40" s="121">
        <v>3</v>
      </c>
      <c r="AI40" s="121">
        <v>0</v>
      </c>
      <c r="AJ40" s="121">
        <v>1</v>
      </c>
      <c r="AK40" s="121">
        <v>6</v>
      </c>
      <c r="AL40" s="121">
        <v>4</v>
      </c>
      <c r="AM40" s="121">
        <v>1</v>
      </c>
      <c r="AN40" s="121">
        <v>4</v>
      </c>
      <c r="AO40" s="121">
        <v>4</v>
      </c>
      <c r="AP40" s="121">
        <v>4</v>
      </c>
      <c r="AQ40" s="121">
        <v>4</v>
      </c>
      <c r="AR40" s="121">
        <v>4</v>
      </c>
      <c r="AS40" s="121">
        <v>4</v>
      </c>
      <c r="AT40" s="121">
        <v>4</v>
      </c>
      <c r="AU40" s="121">
        <v>4</v>
      </c>
      <c r="AV40" s="121">
        <v>4</v>
      </c>
      <c r="AW40" s="121">
        <v>4</v>
      </c>
      <c r="AX40" s="121">
        <v>4</v>
      </c>
      <c r="AY40" s="121">
        <v>4</v>
      </c>
      <c r="AZ40" s="34">
        <v>0</v>
      </c>
      <c r="BA40" s="34">
        <v>4</v>
      </c>
      <c r="BB40" s="34">
        <v>0</v>
      </c>
      <c r="BC40" s="34">
        <v>4</v>
      </c>
      <c r="BD40" s="34">
        <v>0</v>
      </c>
      <c r="BE40" s="34">
        <v>4</v>
      </c>
      <c r="BF40" s="34">
        <v>0</v>
      </c>
      <c r="BG40" s="34">
        <v>4</v>
      </c>
      <c r="BH40" s="34">
        <v>0</v>
      </c>
      <c r="BI40" s="34">
        <v>4</v>
      </c>
      <c r="BJ40" s="34">
        <v>0</v>
      </c>
      <c r="BK40" s="34">
        <v>4</v>
      </c>
      <c r="BL40" s="34">
        <v>0</v>
      </c>
      <c r="BM40" s="34">
        <v>4</v>
      </c>
      <c r="BN40" s="34">
        <v>0</v>
      </c>
      <c r="BO40" s="34">
        <v>4</v>
      </c>
      <c r="BP40" s="34">
        <v>0</v>
      </c>
      <c r="BQ40" s="34">
        <v>4</v>
      </c>
      <c r="BR40" s="34">
        <v>0</v>
      </c>
      <c r="BS40" s="34">
        <v>4</v>
      </c>
      <c r="BT40" s="34">
        <v>0</v>
      </c>
      <c r="BU40" s="34">
        <v>4</v>
      </c>
      <c r="BV40" s="34">
        <v>0</v>
      </c>
      <c r="BW40" s="34">
        <v>4</v>
      </c>
      <c r="BX40" s="120">
        <v>0</v>
      </c>
      <c r="BY40" s="120">
        <v>3</v>
      </c>
      <c r="BZ40" s="120">
        <v>0</v>
      </c>
      <c r="CA40" s="120">
        <v>4</v>
      </c>
      <c r="CB40" s="120">
        <v>0</v>
      </c>
      <c r="CC40" s="120">
        <v>4</v>
      </c>
      <c r="CD40" s="120">
        <v>0</v>
      </c>
      <c r="CE40" s="120">
        <v>4</v>
      </c>
      <c r="CF40" s="120">
        <v>0</v>
      </c>
      <c r="CG40" s="120">
        <v>3</v>
      </c>
      <c r="CH40" s="120">
        <v>0</v>
      </c>
      <c r="CI40" s="120">
        <v>4</v>
      </c>
      <c r="CJ40" s="120">
        <v>0</v>
      </c>
      <c r="CK40" s="120">
        <v>4</v>
      </c>
      <c r="CL40" s="120">
        <v>0</v>
      </c>
      <c r="CM40" s="120">
        <v>4</v>
      </c>
      <c r="CN40" s="120">
        <v>0</v>
      </c>
      <c r="CO40" s="120">
        <v>4</v>
      </c>
      <c r="CP40" s="120">
        <v>0</v>
      </c>
      <c r="CQ40" s="120">
        <v>4</v>
      </c>
      <c r="CR40" s="120">
        <v>0</v>
      </c>
      <c r="CS40" s="120">
        <v>3</v>
      </c>
      <c r="CT40" s="120">
        <v>0</v>
      </c>
      <c r="CU40" s="120">
        <v>2</v>
      </c>
      <c r="CV40" s="34">
        <v>0</v>
      </c>
      <c r="CW40" s="34">
        <v>3</v>
      </c>
      <c r="CX40" s="34">
        <v>0</v>
      </c>
      <c r="CY40" s="34">
        <v>3</v>
      </c>
      <c r="CZ40" s="34">
        <v>0</v>
      </c>
      <c r="DA40" s="34">
        <v>3</v>
      </c>
      <c r="DB40" s="34">
        <v>0</v>
      </c>
      <c r="DC40" s="34">
        <v>3</v>
      </c>
      <c r="DD40" s="34">
        <v>0</v>
      </c>
      <c r="DE40" s="34">
        <v>3</v>
      </c>
      <c r="DF40" s="34">
        <v>0</v>
      </c>
      <c r="DG40" s="34">
        <v>4</v>
      </c>
      <c r="DH40" s="34">
        <v>0</v>
      </c>
      <c r="DI40" s="34">
        <v>4</v>
      </c>
      <c r="DJ40" s="34"/>
      <c r="DK40" s="34"/>
      <c r="DL40" s="34"/>
      <c r="DM40" s="34"/>
      <c r="DN40" s="34"/>
      <c r="DO40" s="34"/>
      <c r="DP40" s="34"/>
      <c r="DQ40" s="34"/>
      <c r="DR40" s="34"/>
      <c r="DS40" s="42"/>
      <c r="DT40" s="42"/>
      <c r="DU40" s="42"/>
      <c r="DV40" s="42"/>
      <c r="DW40" s="42"/>
      <c r="DX40" s="42"/>
      <c r="DY40" s="42"/>
      <c r="DZ40" s="42"/>
      <c r="EA40" s="42"/>
      <c r="EB40" s="42"/>
      <c r="EC40" s="42"/>
      <c r="ED40" s="42"/>
      <c r="EE40" s="42"/>
      <c r="EF40" s="42"/>
      <c r="EG40" s="42"/>
      <c r="EH40" s="211">
        <f t="shared" si="8"/>
        <v>32</v>
      </c>
      <c r="EI40" s="89"/>
      <c r="EJ40" s="89">
        <f t="shared" si="9"/>
        <v>205</v>
      </c>
      <c r="EK40" s="89"/>
      <c r="EL40" s="47">
        <f t="shared" si="13"/>
        <v>0</v>
      </c>
      <c r="EM40" s="202"/>
      <c r="EN40" s="47">
        <f t="shared" si="0"/>
        <v>205</v>
      </c>
      <c r="EO40" s="12">
        <f t="shared" si="1"/>
        <v>0</v>
      </c>
      <c r="EP40" s="12">
        <f t="shared" si="2"/>
        <v>0</v>
      </c>
      <c r="EQ40" s="12">
        <f t="shared" si="3"/>
        <v>0</v>
      </c>
      <c r="ER40" s="12">
        <f t="shared" si="4"/>
        <v>43</v>
      </c>
      <c r="ES40" s="15">
        <f t="shared" si="5"/>
        <v>48</v>
      </c>
      <c r="ET40" s="49">
        <f t="shared" si="6"/>
        <v>48</v>
      </c>
      <c r="EU40" s="49">
        <f t="shared" si="7"/>
        <v>43</v>
      </c>
      <c r="EV40" s="49">
        <f t="shared" si="12"/>
        <v>23</v>
      </c>
      <c r="EW40" s="49">
        <f t="shared" si="11"/>
        <v>0</v>
      </c>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c r="GL40"/>
      <c r="GM40"/>
      <c r="GN40"/>
      <c r="GO40"/>
      <c r="GP40"/>
      <c r="GQ40"/>
      <c r="GR40"/>
      <c r="GS40"/>
      <c r="GT40"/>
      <c r="GU40"/>
      <c r="GV40"/>
      <c r="GW40"/>
      <c r="GX40"/>
      <c r="GY40"/>
      <c r="GZ40"/>
      <c r="HA40"/>
      <c r="HB40"/>
      <c r="HC40"/>
      <c r="HD40"/>
      <c r="HE40"/>
      <c r="HF40"/>
      <c r="HG40"/>
      <c r="HH40"/>
      <c r="HI40"/>
      <c r="HJ40"/>
      <c r="HK40"/>
      <c r="HL40"/>
      <c r="HM40"/>
      <c r="HN40"/>
      <c r="HO40"/>
      <c r="HP40"/>
      <c r="HQ40"/>
      <c r="HR40"/>
      <c r="HS40"/>
      <c r="HT40"/>
      <c r="HU40"/>
      <c r="HV40"/>
      <c r="HW40"/>
      <c r="HX40"/>
      <c r="HY40"/>
      <c r="HZ40"/>
      <c r="IA40"/>
      <c r="IB40"/>
      <c r="IC40"/>
      <c r="ID40"/>
      <c r="IE40"/>
      <c r="IF40"/>
      <c r="IG40"/>
      <c r="IH40"/>
      <c r="II40"/>
      <c r="IJ40"/>
      <c r="IK40"/>
      <c r="IL40"/>
      <c r="IM40"/>
      <c r="IN40"/>
      <c r="IO40"/>
      <c r="IP40"/>
      <c r="IQ40"/>
      <c r="IR40"/>
      <c r="IS40"/>
      <c r="IT40"/>
      <c r="IU40"/>
      <c r="IV40"/>
      <c r="IW40"/>
      <c r="IX40"/>
      <c r="IY40"/>
      <c r="IZ40"/>
      <c r="JA40"/>
      <c r="JB40"/>
      <c r="JC40"/>
      <c r="JD40"/>
      <c r="JE40"/>
      <c r="JF40"/>
      <c r="JG40"/>
      <c r="JH40"/>
      <c r="JI40"/>
      <c r="JJ40"/>
      <c r="JK40"/>
      <c r="JL40"/>
      <c r="JM40"/>
      <c r="JN40"/>
      <c r="JO40"/>
      <c r="JP40"/>
      <c r="JQ40"/>
      <c r="JR40"/>
      <c r="JS40"/>
      <c r="JT40"/>
      <c r="JU40"/>
      <c r="JV40"/>
      <c r="JW40"/>
      <c r="JX40"/>
      <c r="JY40"/>
      <c r="JZ40"/>
      <c r="KA40"/>
      <c r="KB40"/>
      <c r="KC40"/>
      <c r="KD40"/>
      <c r="KE40"/>
      <c r="KF40"/>
      <c r="KG40"/>
      <c r="KH40"/>
      <c r="KI40"/>
      <c r="KJ40"/>
      <c r="KK40"/>
      <c r="KL40"/>
      <c r="KM40"/>
      <c r="KN40"/>
      <c r="KO40"/>
      <c r="KP40"/>
      <c r="KQ40"/>
      <c r="KR40"/>
    </row>
    <row r="41" spans="1:304" s="78" customFormat="1" hidden="1" x14ac:dyDescent="0.25">
      <c r="A41" s="309"/>
      <c r="B41" s="83" t="s">
        <v>157</v>
      </c>
      <c r="C41" s="33" t="s">
        <v>154</v>
      </c>
      <c r="D41" s="33" t="s">
        <v>154</v>
      </c>
      <c r="E41" s="33" t="s">
        <v>154</v>
      </c>
      <c r="F41" s="33" t="s">
        <v>154</v>
      </c>
      <c r="G41" s="33" t="s">
        <v>154</v>
      </c>
      <c r="H41" s="33" t="s">
        <v>154</v>
      </c>
      <c r="I41" s="33" t="s">
        <v>154</v>
      </c>
      <c r="J41" s="33" t="s">
        <v>154</v>
      </c>
      <c r="K41" s="33" t="s">
        <v>154</v>
      </c>
      <c r="L41" s="33" t="s">
        <v>154</v>
      </c>
      <c r="M41" s="33" t="s">
        <v>154</v>
      </c>
      <c r="N41" s="33" t="s">
        <v>154</v>
      </c>
      <c r="O41" s="33" t="s">
        <v>154</v>
      </c>
      <c r="P41" s="33" t="s">
        <v>154</v>
      </c>
      <c r="Q41" s="33" t="s">
        <v>154</v>
      </c>
      <c r="R41" s="33" t="s">
        <v>154</v>
      </c>
      <c r="S41" s="33" t="s">
        <v>154</v>
      </c>
      <c r="T41" s="33" t="s">
        <v>154</v>
      </c>
      <c r="U41" s="33" t="s">
        <v>154</v>
      </c>
      <c r="V41" s="33" t="s">
        <v>154</v>
      </c>
      <c r="W41" s="33" t="s">
        <v>154</v>
      </c>
      <c r="X41" s="33" t="s">
        <v>154</v>
      </c>
      <c r="Y41" s="33" t="s">
        <v>154</v>
      </c>
      <c r="Z41" s="33" t="s">
        <v>154</v>
      </c>
      <c r="AA41" s="33" t="s">
        <v>154</v>
      </c>
      <c r="AB41" s="121">
        <v>10</v>
      </c>
      <c r="AC41" s="121">
        <v>51</v>
      </c>
      <c r="AD41" s="121">
        <v>56</v>
      </c>
      <c r="AE41" s="121">
        <v>15</v>
      </c>
      <c r="AF41" s="121">
        <v>29</v>
      </c>
      <c r="AG41" s="121">
        <v>21</v>
      </c>
      <c r="AH41" s="121">
        <v>9</v>
      </c>
      <c r="AI41" s="121">
        <v>0</v>
      </c>
      <c r="AJ41" s="121">
        <v>4</v>
      </c>
      <c r="AK41" s="121">
        <v>15</v>
      </c>
      <c r="AL41" s="121">
        <v>14</v>
      </c>
      <c r="AM41" s="121">
        <v>2</v>
      </c>
      <c r="AN41" s="121">
        <v>12</v>
      </c>
      <c r="AO41" s="121">
        <v>16</v>
      </c>
      <c r="AP41" s="121">
        <v>15</v>
      </c>
      <c r="AQ41" s="121">
        <v>19</v>
      </c>
      <c r="AR41" s="121">
        <v>12</v>
      </c>
      <c r="AS41" s="121">
        <v>10</v>
      </c>
      <c r="AT41" s="121">
        <v>12</v>
      </c>
      <c r="AU41" s="121">
        <v>11</v>
      </c>
      <c r="AV41" s="121">
        <v>10</v>
      </c>
      <c r="AW41" s="121">
        <v>7</v>
      </c>
      <c r="AX41" s="121">
        <v>6</v>
      </c>
      <c r="AY41" s="121">
        <v>10</v>
      </c>
      <c r="AZ41" s="120">
        <v>4</v>
      </c>
      <c r="BA41" s="120">
        <v>24</v>
      </c>
      <c r="BB41" s="120">
        <v>5</v>
      </c>
      <c r="BC41" s="120">
        <v>25</v>
      </c>
      <c r="BD41" s="120">
        <v>5</v>
      </c>
      <c r="BE41" s="120">
        <v>15</v>
      </c>
      <c r="BF41" s="120">
        <v>5</v>
      </c>
      <c r="BG41" s="120">
        <v>17</v>
      </c>
      <c r="BH41" s="120">
        <v>4</v>
      </c>
      <c r="BI41" s="120">
        <v>24</v>
      </c>
      <c r="BJ41" s="120">
        <v>6</v>
      </c>
      <c r="BK41" s="120">
        <v>31</v>
      </c>
      <c r="BL41" s="120">
        <v>5</v>
      </c>
      <c r="BM41" s="120">
        <v>23</v>
      </c>
      <c r="BN41" s="120">
        <v>5</v>
      </c>
      <c r="BO41" s="120">
        <v>31</v>
      </c>
      <c r="BP41" s="120">
        <v>3</v>
      </c>
      <c r="BQ41" s="120">
        <v>56</v>
      </c>
      <c r="BR41" s="120">
        <v>3</v>
      </c>
      <c r="BS41" s="120">
        <v>36</v>
      </c>
      <c r="BT41" s="120">
        <v>3</v>
      </c>
      <c r="BU41" s="120">
        <v>24</v>
      </c>
      <c r="BV41" s="120">
        <v>4</v>
      </c>
      <c r="BW41" s="120">
        <v>35</v>
      </c>
      <c r="BX41" s="120">
        <v>2</v>
      </c>
      <c r="BY41" s="120">
        <v>3</v>
      </c>
      <c r="BZ41" s="120">
        <v>7</v>
      </c>
      <c r="CA41" s="120">
        <v>5</v>
      </c>
      <c r="CB41" s="120">
        <v>6</v>
      </c>
      <c r="CC41" s="120">
        <v>5</v>
      </c>
      <c r="CD41" s="120">
        <v>8</v>
      </c>
      <c r="CE41" s="120">
        <v>0</v>
      </c>
      <c r="CF41" s="120">
        <v>2</v>
      </c>
      <c r="CG41" s="120">
        <v>2</v>
      </c>
      <c r="CH41" s="120">
        <v>3</v>
      </c>
      <c r="CI41" s="120">
        <v>2</v>
      </c>
      <c r="CJ41" s="120">
        <v>3</v>
      </c>
      <c r="CK41" s="120">
        <v>2</v>
      </c>
      <c r="CL41" s="120">
        <v>3</v>
      </c>
      <c r="CM41" s="120">
        <v>3</v>
      </c>
      <c r="CN41" s="120">
        <v>2</v>
      </c>
      <c r="CO41" s="120">
        <v>2</v>
      </c>
      <c r="CP41" s="120">
        <v>3</v>
      </c>
      <c r="CQ41" s="120">
        <v>3</v>
      </c>
      <c r="CR41" s="120">
        <v>1</v>
      </c>
      <c r="CS41" s="120">
        <v>3</v>
      </c>
      <c r="CT41" s="120">
        <v>0</v>
      </c>
      <c r="CU41" s="120">
        <v>2</v>
      </c>
      <c r="CV41" s="34">
        <v>2</v>
      </c>
      <c r="CW41" s="34">
        <v>3</v>
      </c>
      <c r="CX41" s="34">
        <v>1</v>
      </c>
      <c r="CY41" s="34">
        <v>2</v>
      </c>
      <c r="CZ41" s="34">
        <v>0</v>
      </c>
      <c r="DA41" s="34">
        <v>3</v>
      </c>
      <c r="DB41" s="34">
        <v>1</v>
      </c>
      <c r="DC41" s="34">
        <v>2</v>
      </c>
      <c r="DD41" s="34">
        <v>1</v>
      </c>
      <c r="DE41" s="34">
        <v>2</v>
      </c>
      <c r="DF41" s="34">
        <v>3</v>
      </c>
      <c r="DG41" s="34">
        <v>2</v>
      </c>
      <c r="DH41" s="34">
        <v>0</v>
      </c>
      <c r="DI41" s="34">
        <v>4</v>
      </c>
      <c r="DJ41" s="34"/>
      <c r="DK41" s="34"/>
      <c r="DL41" s="34"/>
      <c r="DM41" s="34"/>
      <c r="DN41" s="34"/>
      <c r="DO41" s="34"/>
      <c r="DP41" s="34"/>
      <c r="DQ41" s="34"/>
      <c r="DR41" s="34"/>
      <c r="DS41" s="42"/>
      <c r="DT41" s="42"/>
      <c r="DU41" s="42"/>
      <c r="DV41" s="42"/>
      <c r="DW41" s="42"/>
      <c r="DX41" s="42"/>
      <c r="DY41" s="42"/>
      <c r="DZ41" s="42"/>
      <c r="EA41" s="42"/>
      <c r="EB41" s="42"/>
      <c r="EC41" s="42"/>
      <c r="ED41" s="42"/>
      <c r="EE41" s="42"/>
      <c r="EF41" s="42"/>
      <c r="EG41" s="42"/>
      <c r="EH41" s="211">
        <f t="shared" si="8"/>
        <v>38</v>
      </c>
      <c r="EI41" s="89"/>
      <c r="EJ41" s="89">
        <f t="shared" si="9"/>
        <v>857</v>
      </c>
      <c r="EK41" s="89"/>
      <c r="EL41" s="47">
        <f t="shared" si="13"/>
        <v>0</v>
      </c>
      <c r="EM41" s="202"/>
      <c r="EN41" s="47">
        <f t="shared" si="0"/>
        <v>857</v>
      </c>
      <c r="EO41" s="12">
        <f t="shared" si="1"/>
        <v>0</v>
      </c>
      <c r="EP41" s="12">
        <f t="shared" si="2"/>
        <v>0</v>
      </c>
      <c r="EQ41" s="12">
        <f t="shared" si="3"/>
        <v>0</v>
      </c>
      <c r="ER41" s="12">
        <f t="shared" si="4"/>
        <v>226</v>
      </c>
      <c r="ES41" s="15">
        <f t="shared" si="5"/>
        <v>140</v>
      </c>
      <c r="ET41" s="49">
        <f t="shared" si="6"/>
        <v>393</v>
      </c>
      <c r="EU41" s="49">
        <f t="shared" si="7"/>
        <v>72</v>
      </c>
      <c r="EV41" s="49">
        <f t="shared" si="12"/>
        <v>26</v>
      </c>
      <c r="EW41" s="49">
        <f t="shared" si="11"/>
        <v>0</v>
      </c>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c r="GL41"/>
      <c r="GM41"/>
      <c r="GN41"/>
      <c r="GO41"/>
      <c r="GP41"/>
      <c r="GQ41"/>
      <c r="GR41"/>
      <c r="GS41"/>
      <c r="GT41"/>
      <c r="GU41"/>
      <c r="GV41"/>
      <c r="GW41"/>
      <c r="GX41"/>
      <c r="GY41"/>
      <c r="GZ41"/>
      <c r="HA41"/>
      <c r="HB41"/>
      <c r="HC41"/>
      <c r="HD41"/>
      <c r="HE41"/>
      <c r="HF41"/>
      <c r="HG41"/>
      <c r="HH41"/>
      <c r="HI41"/>
      <c r="HJ41"/>
      <c r="HK41"/>
      <c r="HL41"/>
      <c r="HM41"/>
      <c r="HN41"/>
      <c r="HO41"/>
      <c r="HP41"/>
      <c r="HQ41"/>
      <c r="HR41"/>
      <c r="HS41"/>
      <c r="HT41"/>
      <c r="HU41"/>
      <c r="HV41"/>
      <c r="HW41"/>
      <c r="HX41"/>
      <c r="HY41"/>
      <c r="HZ41"/>
      <c r="IA41"/>
      <c r="IB41"/>
      <c r="IC41"/>
      <c r="ID41"/>
      <c r="IE41"/>
      <c r="IF41"/>
      <c r="IG41"/>
      <c r="IH41"/>
      <c r="II41"/>
      <c r="IJ41"/>
      <c r="IK41"/>
      <c r="IL41"/>
      <c r="IM41"/>
      <c r="IN41"/>
      <c r="IO41"/>
      <c r="IP41"/>
      <c r="IQ41"/>
      <c r="IR41"/>
      <c r="IS41"/>
      <c r="IT41"/>
      <c r="IU41"/>
      <c r="IV41"/>
      <c r="IW41"/>
      <c r="IX41"/>
      <c r="IY41"/>
      <c r="IZ41"/>
      <c r="JA41"/>
      <c r="JB41"/>
      <c r="JC41"/>
      <c r="JD41"/>
      <c r="JE41"/>
      <c r="JF41"/>
      <c r="JG41"/>
      <c r="JH41"/>
      <c r="JI41"/>
      <c r="JJ41"/>
      <c r="JK41"/>
      <c r="JL41"/>
      <c r="JM41"/>
      <c r="JN41"/>
      <c r="JO41"/>
      <c r="JP41"/>
      <c r="JQ41"/>
      <c r="JR41"/>
      <c r="JS41"/>
      <c r="JT41"/>
      <c r="JU41"/>
      <c r="JV41"/>
      <c r="JW41"/>
      <c r="JX41"/>
      <c r="JY41"/>
      <c r="JZ41"/>
      <c r="KA41"/>
      <c r="KB41"/>
      <c r="KC41"/>
      <c r="KD41"/>
      <c r="KE41"/>
      <c r="KF41"/>
      <c r="KG41"/>
      <c r="KH41"/>
      <c r="KI41"/>
      <c r="KJ41"/>
      <c r="KK41"/>
      <c r="KL41"/>
      <c r="KM41"/>
      <c r="KN41"/>
      <c r="KO41"/>
      <c r="KP41"/>
      <c r="KQ41"/>
      <c r="KR41"/>
    </row>
    <row r="42" spans="1:304" s="78" customFormat="1" hidden="1" x14ac:dyDescent="0.25">
      <c r="A42" s="309"/>
      <c r="B42" s="83" t="s">
        <v>158</v>
      </c>
      <c r="C42" s="33" t="s">
        <v>154</v>
      </c>
      <c r="D42" s="33" t="s">
        <v>154</v>
      </c>
      <c r="E42" s="33" t="s">
        <v>154</v>
      </c>
      <c r="F42" s="33" t="s">
        <v>154</v>
      </c>
      <c r="G42" s="33" t="s">
        <v>154</v>
      </c>
      <c r="H42" s="33" t="s">
        <v>154</v>
      </c>
      <c r="I42" s="33" t="s">
        <v>154</v>
      </c>
      <c r="J42" s="33" t="s">
        <v>154</v>
      </c>
      <c r="K42" s="33" t="s">
        <v>154</v>
      </c>
      <c r="L42" s="33" t="s">
        <v>154</v>
      </c>
      <c r="M42" s="33" t="s">
        <v>154</v>
      </c>
      <c r="N42" s="33" t="s">
        <v>154</v>
      </c>
      <c r="O42" s="33" t="s">
        <v>154</v>
      </c>
      <c r="P42" s="33" t="s">
        <v>154</v>
      </c>
      <c r="Q42" s="33" t="s">
        <v>154</v>
      </c>
      <c r="R42" s="33" t="s">
        <v>154</v>
      </c>
      <c r="S42" s="33" t="s">
        <v>154</v>
      </c>
      <c r="T42" s="33" t="s">
        <v>154</v>
      </c>
      <c r="U42" s="33" t="s">
        <v>154</v>
      </c>
      <c r="V42" s="33" t="s">
        <v>154</v>
      </c>
      <c r="W42" s="33" t="s">
        <v>154</v>
      </c>
      <c r="X42" s="33" t="s">
        <v>154</v>
      </c>
      <c r="Y42" s="33" t="s">
        <v>154</v>
      </c>
      <c r="Z42" s="33" t="s">
        <v>154</v>
      </c>
      <c r="AA42" s="33" t="s">
        <v>154</v>
      </c>
      <c r="AB42" s="33">
        <v>2800</v>
      </c>
      <c r="AC42" s="33">
        <v>5668</v>
      </c>
      <c r="AD42" s="33">
        <v>3905</v>
      </c>
      <c r="AE42" s="33">
        <v>4866</v>
      </c>
      <c r="AF42" s="33">
        <v>5810</v>
      </c>
      <c r="AG42" s="33">
        <v>6191</v>
      </c>
      <c r="AH42" s="33">
        <v>10542</v>
      </c>
      <c r="AI42" s="33">
        <v>9170</v>
      </c>
      <c r="AJ42" s="34">
        <v>3789</v>
      </c>
      <c r="AK42" s="34">
        <v>4480</v>
      </c>
      <c r="AL42" s="34">
        <v>2367</v>
      </c>
      <c r="AM42" s="34">
        <v>5532</v>
      </c>
      <c r="AN42" s="34">
        <v>2628</v>
      </c>
      <c r="AO42" s="34">
        <v>3439</v>
      </c>
      <c r="AP42" s="34">
        <v>4168</v>
      </c>
      <c r="AQ42" s="34">
        <v>2888</v>
      </c>
      <c r="AR42" s="34">
        <v>430</v>
      </c>
      <c r="AS42" s="34">
        <v>520</v>
      </c>
      <c r="AT42" s="34">
        <v>669</v>
      </c>
      <c r="AU42" s="34">
        <v>519</v>
      </c>
      <c r="AV42" s="34">
        <v>433</v>
      </c>
      <c r="AW42" s="34">
        <v>425</v>
      </c>
      <c r="AX42" s="34">
        <v>434</v>
      </c>
      <c r="AY42" s="34">
        <v>460</v>
      </c>
      <c r="AZ42" s="34">
        <v>173</v>
      </c>
      <c r="BA42" s="34">
        <v>216</v>
      </c>
      <c r="BB42" s="34">
        <v>248</v>
      </c>
      <c r="BC42" s="34">
        <v>113</v>
      </c>
      <c r="BD42" s="34">
        <v>160</v>
      </c>
      <c r="BE42" s="34">
        <v>303</v>
      </c>
      <c r="BF42" s="34">
        <v>220</v>
      </c>
      <c r="BG42" s="34">
        <v>210</v>
      </c>
      <c r="BH42" s="34">
        <v>241</v>
      </c>
      <c r="BI42" s="34">
        <v>353</v>
      </c>
      <c r="BJ42" s="34">
        <v>317</v>
      </c>
      <c r="BK42" s="34">
        <v>457</v>
      </c>
      <c r="BL42" s="34">
        <v>235</v>
      </c>
      <c r="BM42" s="34">
        <v>378</v>
      </c>
      <c r="BN42" s="34">
        <v>401</v>
      </c>
      <c r="BO42" s="34">
        <v>208</v>
      </c>
      <c r="BP42" s="34">
        <v>278</v>
      </c>
      <c r="BQ42" s="34">
        <v>385</v>
      </c>
      <c r="BR42" s="34">
        <v>304</v>
      </c>
      <c r="BS42" s="34">
        <v>316</v>
      </c>
      <c r="BT42" s="34">
        <v>312</v>
      </c>
      <c r="BU42" s="34">
        <v>335</v>
      </c>
      <c r="BV42" s="34">
        <v>110</v>
      </c>
      <c r="BW42" s="34">
        <v>88</v>
      </c>
      <c r="BX42" s="34">
        <v>81</v>
      </c>
      <c r="BY42" s="34">
        <v>53</v>
      </c>
      <c r="BZ42" s="34">
        <v>200</v>
      </c>
      <c r="CA42" s="34">
        <v>272</v>
      </c>
      <c r="CB42" s="34">
        <v>597</v>
      </c>
      <c r="CC42" s="34">
        <v>546</v>
      </c>
      <c r="CD42" s="34">
        <v>620</v>
      </c>
      <c r="CE42" s="34">
        <v>552</v>
      </c>
      <c r="CF42" s="34">
        <v>553</v>
      </c>
      <c r="CG42" s="34">
        <v>622</v>
      </c>
      <c r="CH42" s="34">
        <v>617</v>
      </c>
      <c r="CI42" s="34">
        <v>510</v>
      </c>
      <c r="CJ42" s="34">
        <v>204</v>
      </c>
      <c r="CK42" s="34">
        <v>741</v>
      </c>
      <c r="CL42" s="34">
        <v>605</v>
      </c>
      <c r="CM42" s="34">
        <v>985</v>
      </c>
      <c r="CN42" s="34">
        <v>779</v>
      </c>
      <c r="CO42" s="34">
        <v>290</v>
      </c>
      <c r="CP42" s="34">
        <v>649</v>
      </c>
      <c r="CQ42" s="34">
        <v>530</v>
      </c>
      <c r="CR42" s="34">
        <v>396</v>
      </c>
      <c r="CS42" s="34" t="s">
        <v>244</v>
      </c>
      <c r="CT42" s="34">
        <v>60</v>
      </c>
      <c r="CU42" s="34">
        <v>155</v>
      </c>
      <c r="CV42" s="34">
        <v>85</v>
      </c>
      <c r="CW42" s="34">
        <v>275</v>
      </c>
      <c r="CX42" s="34">
        <v>85</v>
      </c>
      <c r="CY42" s="34">
        <v>90</v>
      </c>
      <c r="CZ42" s="34">
        <v>50</v>
      </c>
      <c r="DA42" s="34">
        <v>100</v>
      </c>
      <c r="DB42" s="34">
        <v>118</v>
      </c>
      <c r="DC42" s="34">
        <v>40</v>
      </c>
      <c r="DD42" s="34">
        <v>150</v>
      </c>
      <c r="DE42" s="34">
        <v>190</v>
      </c>
      <c r="DF42" s="34">
        <v>415</v>
      </c>
      <c r="DG42" s="34">
        <v>250</v>
      </c>
      <c r="DH42" s="34">
        <v>83</v>
      </c>
      <c r="DI42" s="34">
        <v>226</v>
      </c>
      <c r="DJ42" s="34"/>
      <c r="DK42" s="34"/>
      <c r="DL42" s="34"/>
      <c r="DM42" s="34"/>
      <c r="DN42" s="34"/>
      <c r="DO42" s="34"/>
      <c r="DP42" s="34"/>
      <c r="DQ42" s="34"/>
      <c r="DR42" s="34"/>
      <c r="DS42" s="42"/>
      <c r="DT42" s="42"/>
      <c r="DU42" s="42"/>
      <c r="DV42" s="42"/>
      <c r="DW42" s="42"/>
      <c r="DX42" s="42"/>
      <c r="DY42" s="42"/>
      <c r="DZ42" s="42"/>
      <c r="EA42" s="42"/>
      <c r="EB42" s="42"/>
      <c r="EC42" s="42"/>
      <c r="ED42" s="42"/>
      <c r="EE42" s="42"/>
      <c r="EF42" s="42"/>
      <c r="EG42" s="42"/>
      <c r="EH42" s="211">
        <f t="shared" si="8"/>
        <v>3947</v>
      </c>
      <c r="EI42" s="89"/>
      <c r="EJ42" s="89">
        <f t="shared" si="9"/>
        <v>101268</v>
      </c>
      <c r="EK42" s="89"/>
      <c r="EL42" s="47">
        <f t="shared" si="13"/>
        <v>0</v>
      </c>
      <c r="EM42" s="202"/>
      <c r="EN42" s="47">
        <f t="shared" si="0"/>
        <v>101268</v>
      </c>
      <c r="EO42" s="12">
        <f t="shared" si="1"/>
        <v>0</v>
      </c>
      <c r="EP42" s="12">
        <f t="shared" si="2"/>
        <v>0</v>
      </c>
      <c r="EQ42" s="12">
        <f t="shared" si="3"/>
        <v>0</v>
      </c>
      <c r="ER42" s="12">
        <f t="shared" si="4"/>
        <v>65120</v>
      </c>
      <c r="ES42" s="15">
        <f t="shared" si="5"/>
        <v>17013</v>
      </c>
      <c r="ET42" s="49">
        <f t="shared" si="6"/>
        <v>6361</v>
      </c>
      <c r="EU42" s="49">
        <f t="shared" si="7"/>
        <v>10617</v>
      </c>
      <c r="EV42" s="49">
        <f t="shared" si="12"/>
        <v>2157</v>
      </c>
      <c r="EW42" s="49">
        <f t="shared" si="11"/>
        <v>0</v>
      </c>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c r="GL42"/>
      <c r="GM42"/>
      <c r="GN42"/>
      <c r="GO42"/>
      <c r="GP42"/>
      <c r="GQ42"/>
      <c r="GR42"/>
      <c r="GS42"/>
      <c r="GT42"/>
      <c r="GU42"/>
      <c r="GV42"/>
      <c r="GW42"/>
      <c r="GX42"/>
      <c r="GY42"/>
      <c r="GZ42"/>
      <c r="HA42"/>
      <c r="HB42"/>
      <c r="HC42"/>
      <c r="HD42"/>
      <c r="HE42"/>
      <c r="HF42"/>
      <c r="HG42"/>
      <c r="HH42"/>
      <c r="HI42"/>
      <c r="HJ42"/>
      <c r="HK42"/>
      <c r="HL42"/>
      <c r="HM42"/>
      <c r="HN42"/>
      <c r="HO42"/>
      <c r="HP42"/>
      <c r="HQ42"/>
      <c r="HR42"/>
      <c r="HS42"/>
      <c r="HT42"/>
      <c r="HU42"/>
      <c r="HV42"/>
      <c r="HW42"/>
      <c r="HX42"/>
      <c r="HY42"/>
      <c r="HZ42"/>
      <c r="IA42"/>
      <c r="IB42"/>
      <c r="IC42"/>
      <c r="ID42"/>
      <c r="IE42"/>
      <c r="IF42"/>
      <c r="IG42"/>
      <c r="IH42"/>
      <c r="II42"/>
      <c r="IJ42"/>
      <c r="IK42"/>
      <c r="IL42"/>
      <c r="IM42"/>
      <c r="IN42"/>
      <c r="IO42"/>
      <c r="IP42"/>
      <c r="IQ42"/>
      <c r="IR42"/>
      <c r="IS42"/>
      <c r="IT42"/>
      <c r="IU42"/>
      <c r="IV42"/>
      <c r="IW42"/>
      <c r="IX42"/>
      <c r="IY42"/>
      <c r="IZ42"/>
      <c r="JA42"/>
      <c r="JB42"/>
      <c r="JC42"/>
      <c r="JD42"/>
      <c r="JE42"/>
      <c r="JF42"/>
      <c r="JG42"/>
      <c r="JH42"/>
      <c r="JI42"/>
      <c r="JJ42"/>
      <c r="JK42"/>
      <c r="JL42"/>
      <c r="JM42"/>
      <c r="JN42"/>
      <c r="JO42"/>
      <c r="JP42"/>
      <c r="JQ42"/>
      <c r="JR42"/>
      <c r="JS42"/>
      <c r="JT42"/>
      <c r="JU42"/>
      <c r="JV42"/>
      <c r="JW42"/>
      <c r="JX42"/>
      <c r="JY42"/>
      <c r="JZ42"/>
      <c r="KA42"/>
      <c r="KB42"/>
      <c r="KC42"/>
      <c r="KD42"/>
      <c r="KE42"/>
      <c r="KF42"/>
      <c r="KG42"/>
      <c r="KH42"/>
      <c r="KI42"/>
      <c r="KJ42"/>
      <c r="KK42"/>
      <c r="KL42"/>
      <c r="KM42"/>
      <c r="KN42"/>
      <c r="KO42"/>
      <c r="KP42"/>
      <c r="KQ42"/>
      <c r="KR42"/>
    </row>
    <row r="43" spans="1:304" s="78" customFormat="1" hidden="1" x14ac:dyDescent="0.25">
      <c r="A43" s="309"/>
      <c r="B43" s="83" t="s">
        <v>243</v>
      </c>
      <c r="C43" s="33" t="s">
        <v>154</v>
      </c>
      <c r="D43" s="33" t="s">
        <v>154</v>
      </c>
      <c r="E43" s="33" t="s">
        <v>154</v>
      </c>
      <c r="F43" s="33" t="s">
        <v>154</v>
      </c>
      <c r="G43" s="33" t="s">
        <v>154</v>
      </c>
      <c r="H43" s="33" t="s">
        <v>154</v>
      </c>
      <c r="I43" s="33" t="s">
        <v>154</v>
      </c>
      <c r="J43" s="33" t="s">
        <v>154</v>
      </c>
      <c r="K43" s="33" t="s">
        <v>154</v>
      </c>
      <c r="L43" s="33" t="s">
        <v>154</v>
      </c>
      <c r="M43" s="33" t="s">
        <v>154</v>
      </c>
      <c r="N43" s="33" t="s">
        <v>154</v>
      </c>
      <c r="O43" s="33" t="s">
        <v>154</v>
      </c>
      <c r="P43" s="33" t="s">
        <v>154</v>
      </c>
      <c r="Q43" s="33" t="s">
        <v>154</v>
      </c>
      <c r="R43" s="33" t="s">
        <v>154</v>
      </c>
      <c r="S43" s="33" t="s">
        <v>154</v>
      </c>
      <c r="T43" s="33" t="s">
        <v>154</v>
      </c>
      <c r="U43" s="33" t="s">
        <v>154</v>
      </c>
      <c r="V43" s="33" t="s">
        <v>154</v>
      </c>
      <c r="W43" s="33" t="s">
        <v>154</v>
      </c>
      <c r="X43" s="33" t="s">
        <v>154</v>
      </c>
      <c r="Y43" s="33" t="s">
        <v>154</v>
      </c>
      <c r="Z43" s="33" t="s">
        <v>154</v>
      </c>
      <c r="AA43" s="33" t="s">
        <v>154</v>
      </c>
      <c r="AB43" s="33">
        <v>1106</v>
      </c>
      <c r="AC43" s="33">
        <v>1468</v>
      </c>
      <c r="AD43" s="33">
        <v>1146</v>
      </c>
      <c r="AE43" s="33">
        <v>936</v>
      </c>
      <c r="AF43" s="33">
        <v>1210</v>
      </c>
      <c r="AG43" s="33">
        <v>1105</v>
      </c>
      <c r="AH43" s="33">
        <v>1570</v>
      </c>
      <c r="AI43" s="33">
        <v>1177</v>
      </c>
      <c r="AJ43" s="34">
        <v>681</v>
      </c>
      <c r="AK43" s="34">
        <v>641</v>
      </c>
      <c r="AL43" s="34">
        <v>322</v>
      </c>
      <c r="AM43" s="34">
        <v>646</v>
      </c>
      <c r="AN43" s="34">
        <v>316</v>
      </c>
      <c r="AO43" s="34">
        <v>445</v>
      </c>
      <c r="AP43" s="34">
        <v>506</v>
      </c>
      <c r="AQ43" s="34">
        <v>343</v>
      </c>
      <c r="AR43" s="34">
        <v>18</v>
      </c>
      <c r="AS43" s="34">
        <v>9</v>
      </c>
      <c r="AT43" s="34">
        <v>13</v>
      </c>
      <c r="AU43" s="34">
        <v>13</v>
      </c>
      <c r="AV43" s="34">
        <v>13</v>
      </c>
      <c r="AW43" s="34">
        <v>10</v>
      </c>
      <c r="AX43" s="34">
        <v>8</v>
      </c>
      <c r="AY43" s="34">
        <v>10</v>
      </c>
      <c r="AZ43" s="34">
        <v>4</v>
      </c>
      <c r="BA43" s="34">
        <v>5</v>
      </c>
      <c r="BB43" s="34">
        <v>5</v>
      </c>
      <c r="BC43" s="34">
        <v>5</v>
      </c>
      <c r="BD43" s="34">
        <v>5</v>
      </c>
      <c r="BE43" s="34">
        <v>5</v>
      </c>
      <c r="BF43" s="34">
        <v>5</v>
      </c>
      <c r="BG43" s="34">
        <v>5</v>
      </c>
      <c r="BH43" s="34">
        <v>4</v>
      </c>
      <c r="BI43" s="34">
        <v>6</v>
      </c>
      <c r="BJ43" s="34">
        <v>6</v>
      </c>
      <c r="BK43" s="34">
        <v>4</v>
      </c>
      <c r="BL43" s="34">
        <v>5</v>
      </c>
      <c r="BM43" s="34">
        <v>4</v>
      </c>
      <c r="BN43" s="34">
        <v>5</v>
      </c>
      <c r="BO43" s="34">
        <v>6</v>
      </c>
      <c r="BP43" s="34">
        <v>3</v>
      </c>
      <c r="BQ43" s="34">
        <v>8</v>
      </c>
      <c r="BR43" s="34">
        <v>3</v>
      </c>
      <c r="BS43" s="34">
        <v>4</v>
      </c>
      <c r="BT43" s="34">
        <v>2</v>
      </c>
      <c r="BU43" s="34">
        <v>4</v>
      </c>
      <c r="BV43" s="34">
        <v>4</v>
      </c>
      <c r="BW43" s="34">
        <v>3</v>
      </c>
      <c r="BX43" s="34">
        <v>3</v>
      </c>
      <c r="BY43" s="34">
        <v>4</v>
      </c>
      <c r="BZ43" s="34">
        <v>7</v>
      </c>
      <c r="CA43" s="34">
        <v>6</v>
      </c>
      <c r="CB43" s="34">
        <v>7</v>
      </c>
      <c r="CC43" s="34">
        <v>5</v>
      </c>
      <c r="CD43" s="34">
        <v>7</v>
      </c>
      <c r="CE43" s="34">
        <v>1</v>
      </c>
      <c r="CF43" s="34">
        <v>2</v>
      </c>
      <c r="CG43" s="34">
        <v>3</v>
      </c>
      <c r="CH43" s="34">
        <v>3</v>
      </c>
      <c r="CI43" s="34">
        <v>3</v>
      </c>
      <c r="CJ43" s="34">
        <v>3</v>
      </c>
      <c r="CK43" s="34">
        <v>3</v>
      </c>
      <c r="CL43" s="34">
        <v>3</v>
      </c>
      <c r="CM43" s="34">
        <v>4</v>
      </c>
      <c r="CN43" s="34">
        <v>3</v>
      </c>
      <c r="CO43" s="34">
        <v>2</v>
      </c>
      <c r="CP43" s="34" t="s">
        <v>245</v>
      </c>
      <c r="CQ43" s="34">
        <v>3</v>
      </c>
      <c r="CR43" s="34">
        <v>1</v>
      </c>
      <c r="CS43" s="34">
        <v>3</v>
      </c>
      <c r="CT43" s="34">
        <v>0</v>
      </c>
      <c r="CU43" s="34">
        <v>2</v>
      </c>
      <c r="CV43" s="34">
        <v>3</v>
      </c>
      <c r="CW43" s="34">
        <v>3</v>
      </c>
      <c r="CX43" s="34">
        <v>1</v>
      </c>
      <c r="CY43" s="34">
        <v>3</v>
      </c>
      <c r="CZ43" s="34">
        <v>1</v>
      </c>
      <c r="DA43" s="34">
        <v>3</v>
      </c>
      <c r="DB43" s="34">
        <v>2</v>
      </c>
      <c r="DC43" s="34">
        <v>2</v>
      </c>
      <c r="DD43" s="34">
        <v>1</v>
      </c>
      <c r="DE43" s="34">
        <v>3</v>
      </c>
      <c r="DF43" s="34">
        <v>3</v>
      </c>
      <c r="DG43" s="34">
        <v>5</v>
      </c>
      <c r="DH43" s="34">
        <v>0</v>
      </c>
      <c r="DI43" s="34">
        <v>6</v>
      </c>
      <c r="DJ43" s="34"/>
      <c r="DK43" s="34"/>
      <c r="DL43" s="34"/>
      <c r="DM43" s="34"/>
      <c r="DN43" s="34"/>
      <c r="DO43" s="34"/>
      <c r="DP43" s="34"/>
      <c r="DQ43" s="34"/>
      <c r="DR43" s="34"/>
      <c r="DS43" s="42"/>
      <c r="DT43" s="42"/>
      <c r="DU43" s="42"/>
      <c r="DV43" s="42"/>
      <c r="DW43" s="42"/>
      <c r="DX43" s="42"/>
      <c r="DY43" s="42"/>
      <c r="DZ43" s="42"/>
      <c r="EA43" s="42"/>
      <c r="EB43" s="42"/>
      <c r="EC43" s="42"/>
      <c r="ED43" s="42"/>
      <c r="EE43" s="42"/>
      <c r="EF43" s="42"/>
      <c r="EG43" s="42"/>
      <c r="EH43" s="211">
        <f t="shared" si="8"/>
        <v>45</v>
      </c>
      <c r="EI43" s="89"/>
      <c r="EJ43" s="89">
        <f t="shared" si="9"/>
        <v>13936</v>
      </c>
      <c r="EK43" s="89"/>
      <c r="EL43" s="47">
        <f t="shared" si="13"/>
        <v>0</v>
      </c>
      <c r="EM43" s="202"/>
      <c r="EN43" s="47">
        <f t="shared" si="0"/>
        <v>13936</v>
      </c>
      <c r="EO43" s="12"/>
      <c r="EP43" s="12"/>
      <c r="EQ43" s="12"/>
      <c r="ER43" s="12">
        <f t="shared" si="4"/>
        <v>12008</v>
      </c>
      <c r="ES43" s="15">
        <f t="shared" si="5"/>
        <v>1704</v>
      </c>
      <c r="ET43" s="49">
        <f t="shared" si="6"/>
        <v>110</v>
      </c>
      <c r="EU43" s="49">
        <f t="shared" si="7"/>
        <v>78</v>
      </c>
      <c r="EV43" s="49">
        <f t="shared" si="12"/>
        <v>36</v>
      </c>
      <c r="EW43" s="49">
        <f t="shared" si="11"/>
        <v>0</v>
      </c>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row>
    <row r="44" spans="1:304" s="78" customFormat="1" hidden="1" x14ac:dyDescent="0.25">
      <c r="A44" s="309"/>
      <c r="B44" s="83" t="s">
        <v>159</v>
      </c>
      <c r="C44" s="33" t="s">
        <v>154</v>
      </c>
      <c r="D44" s="33" t="s">
        <v>154</v>
      </c>
      <c r="E44" s="33" t="s">
        <v>154</v>
      </c>
      <c r="F44" s="33" t="s">
        <v>154</v>
      </c>
      <c r="G44" s="33" t="s">
        <v>154</v>
      </c>
      <c r="H44" s="33" t="s">
        <v>154</v>
      </c>
      <c r="I44" s="33" t="s">
        <v>154</v>
      </c>
      <c r="J44" s="33" t="s">
        <v>154</v>
      </c>
      <c r="K44" s="33" t="s">
        <v>154</v>
      </c>
      <c r="L44" s="33" t="s">
        <v>154</v>
      </c>
      <c r="M44" s="33" t="s">
        <v>154</v>
      </c>
      <c r="N44" s="33" t="s">
        <v>154</v>
      </c>
      <c r="O44" s="33" t="s">
        <v>154</v>
      </c>
      <c r="P44" s="33" t="s">
        <v>154</v>
      </c>
      <c r="Q44" s="33" t="s">
        <v>154</v>
      </c>
      <c r="R44" s="33" t="s">
        <v>154</v>
      </c>
      <c r="S44" s="33" t="s">
        <v>154</v>
      </c>
      <c r="T44" s="33" t="s">
        <v>154</v>
      </c>
      <c r="U44" s="33" t="s">
        <v>154</v>
      </c>
      <c r="V44" s="33" t="s">
        <v>154</v>
      </c>
      <c r="W44" s="33" t="s">
        <v>154</v>
      </c>
      <c r="X44" s="33" t="s">
        <v>154</v>
      </c>
      <c r="Y44" s="33" t="s">
        <v>154</v>
      </c>
      <c r="Z44" s="33" t="s">
        <v>154</v>
      </c>
      <c r="AA44" s="33" t="s">
        <v>154</v>
      </c>
      <c r="AB44" s="33"/>
      <c r="AC44" s="33"/>
      <c r="AD44" s="33"/>
      <c r="AE44" s="33"/>
      <c r="AF44" s="33"/>
      <c r="AG44" s="33"/>
      <c r="AH44" s="33"/>
      <c r="AI44" s="33"/>
      <c r="AJ44" s="34"/>
      <c r="AK44" s="34"/>
      <c r="AL44" s="34"/>
      <c r="AM44" s="34"/>
      <c r="AN44" s="34"/>
      <c r="AO44" s="34"/>
      <c r="AP44" s="34"/>
      <c r="AQ44" s="34"/>
      <c r="AR44" s="34"/>
      <c r="AS44" s="34"/>
      <c r="AT44" s="34"/>
      <c r="AU44" s="34"/>
      <c r="AV44" s="34"/>
      <c r="AW44" s="34"/>
      <c r="AX44" s="34"/>
      <c r="AY44" s="34"/>
      <c r="AZ44" s="34"/>
      <c r="BA44" s="34"/>
      <c r="BB44" s="34"/>
      <c r="BC44" s="34"/>
      <c r="BD44" s="34"/>
      <c r="BE44" s="34"/>
      <c r="BF44" s="34"/>
      <c r="BG44" s="34"/>
      <c r="BH44" s="34"/>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c r="CK44" s="34"/>
      <c r="CL44" s="34"/>
      <c r="CM44" s="34"/>
      <c r="CN44" s="34"/>
      <c r="CO44" s="34"/>
      <c r="CP44" s="34"/>
      <c r="CQ44" s="34"/>
      <c r="CR44" s="34"/>
      <c r="CS44" s="34"/>
      <c r="CT44" s="34"/>
      <c r="CU44" s="34"/>
      <c r="CV44" s="34">
        <v>0</v>
      </c>
      <c r="CW44" s="34">
        <v>32</v>
      </c>
      <c r="CX44" s="34">
        <v>0</v>
      </c>
      <c r="CY44" s="34">
        <v>27</v>
      </c>
      <c r="CZ44" s="34">
        <v>0</v>
      </c>
      <c r="DA44" s="34">
        <v>22</v>
      </c>
      <c r="DB44" s="34">
        <v>0</v>
      </c>
      <c r="DC44" s="34">
        <v>19</v>
      </c>
      <c r="DD44" s="34">
        <v>0</v>
      </c>
      <c r="DE44" s="34">
        <v>31</v>
      </c>
      <c r="DF44" s="34">
        <v>0</v>
      </c>
      <c r="DG44" s="34">
        <v>49</v>
      </c>
      <c r="DH44" s="34"/>
      <c r="DI44" s="34"/>
      <c r="DJ44" s="34"/>
      <c r="DK44" s="34"/>
      <c r="DL44" s="34"/>
      <c r="DM44" s="34"/>
      <c r="DN44" s="34"/>
      <c r="DO44" s="34"/>
      <c r="DP44" s="34"/>
      <c r="DQ44" s="34"/>
      <c r="DR44" s="34"/>
      <c r="DS44" s="42"/>
      <c r="DT44" s="42"/>
      <c r="DU44" s="42"/>
      <c r="DV44" s="42"/>
      <c r="DW44" s="42"/>
      <c r="DX44" s="42"/>
      <c r="DY44" s="42"/>
      <c r="DZ44" s="42"/>
      <c r="EA44" s="42"/>
      <c r="EB44" s="42"/>
      <c r="EC44" s="42"/>
      <c r="ED44" s="42"/>
      <c r="EE44" s="42"/>
      <c r="EF44" s="42"/>
      <c r="EG44" s="42"/>
      <c r="EH44" s="211">
        <f t="shared" si="8"/>
        <v>180</v>
      </c>
      <c r="EI44" s="89"/>
      <c r="EJ44" s="89">
        <f t="shared" si="9"/>
        <v>180</v>
      </c>
      <c r="EK44" s="89"/>
      <c r="EL44" s="47">
        <f t="shared" si="13"/>
        <v>0</v>
      </c>
      <c r="EM44" s="202"/>
      <c r="EN44" s="47">
        <f t="shared" si="0"/>
        <v>180</v>
      </c>
      <c r="EO44" s="12">
        <f t="shared" ref="EO44:EO52" si="14">SUM(C44:C44)</f>
        <v>0</v>
      </c>
      <c r="EP44" s="12">
        <f t="shared" ref="EP44:EP52" si="15">SUM(D44:O44)</f>
        <v>0</v>
      </c>
      <c r="EQ44" s="12">
        <f t="shared" ref="EQ44:EQ52" si="16">SUM(P44:AA44)</f>
        <v>0</v>
      </c>
      <c r="ER44" s="12">
        <f t="shared" si="4"/>
        <v>0</v>
      </c>
      <c r="ES44" s="15">
        <f t="shared" si="5"/>
        <v>0</v>
      </c>
      <c r="ET44" s="49">
        <f t="shared" si="6"/>
        <v>0</v>
      </c>
      <c r="EU44" s="49">
        <f t="shared" si="7"/>
        <v>0</v>
      </c>
      <c r="EV44" s="49">
        <f t="shared" si="12"/>
        <v>180</v>
      </c>
      <c r="EW44" s="49">
        <f t="shared" si="11"/>
        <v>0</v>
      </c>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row>
    <row r="45" spans="1:304" s="78" customFormat="1" ht="105" hidden="1" x14ac:dyDescent="0.25">
      <c r="A45" s="309"/>
      <c r="B45" s="83" t="s">
        <v>160</v>
      </c>
      <c r="C45" s="33" t="s">
        <v>154</v>
      </c>
      <c r="D45" s="33" t="s">
        <v>154</v>
      </c>
      <c r="E45" s="33" t="s">
        <v>154</v>
      </c>
      <c r="F45" s="33" t="s">
        <v>154</v>
      </c>
      <c r="G45" s="33" t="s">
        <v>154</v>
      </c>
      <c r="H45" s="33" t="s">
        <v>154</v>
      </c>
      <c r="I45" s="33" t="s">
        <v>154</v>
      </c>
      <c r="J45" s="33" t="s">
        <v>154</v>
      </c>
      <c r="K45" s="33" t="s">
        <v>154</v>
      </c>
      <c r="L45" s="33" t="s">
        <v>154</v>
      </c>
      <c r="M45" s="33" t="s">
        <v>154</v>
      </c>
      <c r="N45" s="33" t="s">
        <v>154</v>
      </c>
      <c r="O45" s="33" t="s">
        <v>154</v>
      </c>
      <c r="P45" s="33" t="s">
        <v>154</v>
      </c>
      <c r="Q45" s="33" t="s">
        <v>154</v>
      </c>
      <c r="R45" s="33" t="s">
        <v>154</v>
      </c>
      <c r="S45" s="33" t="s">
        <v>154</v>
      </c>
      <c r="T45" s="33" t="s">
        <v>154</v>
      </c>
      <c r="U45" s="33" t="s">
        <v>154</v>
      </c>
      <c r="V45" s="33" t="s">
        <v>154</v>
      </c>
      <c r="W45" s="33" t="s">
        <v>154</v>
      </c>
      <c r="X45" s="33" t="s">
        <v>154</v>
      </c>
      <c r="Y45" s="33" t="s">
        <v>154</v>
      </c>
      <c r="Z45" s="33" t="s">
        <v>154</v>
      </c>
      <c r="AA45" s="33" t="s">
        <v>154</v>
      </c>
      <c r="AB45" s="33"/>
      <c r="AC45" s="33"/>
      <c r="AD45" s="33"/>
      <c r="AE45" s="33"/>
      <c r="AF45" s="33"/>
      <c r="AG45" s="33"/>
      <c r="AH45" s="33"/>
      <c r="AI45" s="33"/>
      <c r="AJ45" s="34"/>
      <c r="AK45" s="34"/>
      <c r="AL45" s="34"/>
      <c r="AM45" s="34"/>
      <c r="AN45" s="34"/>
      <c r="AO45" s="34"/>
      <c r="AP45" s="34"/>
      <c r="AQ45" s="34"/>
      <c r="AR45" s="34"/>
      <c r="AS45" s="34"/>
      <c r="AT45" s="34"/>
      <c r="AU45" s="34"/>
      <c r="AV45" s="34"/>
      <c r="AW45" s="34"/>
      <c r="AX45" s="34"/>
      <c r="AY45" s="34"/>
      <c r="AZ45" s="34"/>
      <c r="BA45" s="34"/>
      <c r="BB45" s="34"/>
      <c r="BC45" s="34"/>
      <c r="BD45" s="34"/>
      <c r="BE45" s="34"/>
      <c r="BF45" s="34"/>
      <c r="BG45" s="34"/>
      <c r="BH45" s="34"/>
      <c r="BI45" s="34"/>
      <c r="BJ45" s="34"/>
      <c r="BK45" s="34"/>
      <c r="BL45" s="34"/>
      <c r="BM45" s="34"/>
      <c r="BN45" s="34"/>
      <c r="BO45" s="34"/>
      <c r="BP45" s="34"/>
      <c r="BQ45" s="34"/>
      <c r="BR45" s="34"/>
      <c r="BS45" s="34"/>
      <c r="BT45" s="34"/>
      <c r="BU45" s="34"/>
      <c r="BV45" s="34"/>
      <c r="BW45" s="34"/>
      <c r="BX45" s="26">
        <f>SUM(BX46:BX56)</f>
        <v>0</v>
      </c>
      <c r="BY45" s="26">
        <f t="shared" ref="BY45:DE45" si="17">SUM(BY46:BY56)</f>
        <v>0</v>
      </c>
      <c r="BZ45" s="26">
        <f t="shared" si="17"/>
        <v>0</v>
      </c>
      <c r="CA45" s="26">
        <f t="shared" si="17"/>
        <v>0</v>
      </c>
      <c r="CB45" s="26">
        <f t="shared" si="17"/>
        <v>0</v>
      </c>
      <c r="CC45" s="26">
        <f t="shared" si="17"/>
        <v>0</v>
      </c>
      <c r="CD45" s="26">
        <f t="shared" si="17"/>
        <v>3</v>
      </c>
      <c r="CE45" s="26">
        <f t="shared" si="17"/>
        <v>1</v>
      </c>
      <c r="CF45" s="26">
        <f t="shared" si="17"/>
        <v>0</v>
      </c>
      <c r="CG45" s="26">
        <f t="shared" si="17"/>
        <v>0</v>
      </c>
      <c r="CH45" s="26">
        <f t="shared" si="17"/>
        <v>0</v>
      </c>
      <c r="CI45" s="26">
        <f t="shared" si="17"/>
        <v>0</v>
      </c>
      <c r="CJ45" s="26">
        <f t="shared" si="17"/>
        <v>0</v>
      </c>
      <c r="CK45" s="26">
        <f t="shared" si="17"/>
        <v>0</v>
      </c>
      <c r="CL45" s="26">
        <f t="shared" si="17"/>
        <v>0</v>
      </c>
      <c r="CM45" s="26">
        <f t="shared" si="17"/>
        <v>1</v>
      </c>
      <c r="CN45" s="26">
        <f t="shared" si="17"/>
        <v>0</v>
      </c>
      <c r="CO45" s="26">
        <f t="shared" si="17"/>
        <v>1</v>
      </c>
      <c r="CP45" s="26">
        <f t="shared" si="17"/>
        <v>0</v>
      </c>
      <c r="CQ45" s="26">
        <f t="shared" si="17"/>
        <v>0</v>
      </c>
      <c r="CR45" s="26">
        <f t="shared" si="17"/>
        <v>0</v>
      </c>
      <c r="CS45" s="26">
        <f t="shared" si="17"/>
        <v>0</v>
      </c>
      <c r="CT45" s="26">
        <f t="shared" si="17"/>
        <v>0</v>
      </c>
      <c r="CU45" s="26">
        <f t="shared" si="17"/>
        <v>0</v>
      </c>
      <c r="CV45" s="26">
        <f t="shared" si="17"/>
        <v>0</v>
      </c>
      <c r="CW45" s="26">
        <f t="shared" si="17"/>
        <v>0</v>
      </c>
      <c r="CX45" s="26">
        <f t="shared" si="17"/>
        <v>0</v>
      </c>
      <c r="CY45" s="34">
        <f t="shared" si="17"/>
        <v>0</v>
      </c>
      <c r="CZ45" s="34">
        <f t="shared" si="17"/>
        <v>0</v>
      </c>
      <c r="DA45" s="34">
        <f t="shared" si="17"/>
        <v>0</v>
      </c>
      <c r="DB45" s="34">
        <f t="shared" si="17"/>
        <v>0</v>
      </c>
      <c r="DC45" s="34">
        <f t="shared" si="17"/>
        <v>0</v>
      </c>
      <c r="DD45" s="34">
        <f t="shared" si="17"/>
        <v>0</v>
      </c>
      <c r="DE45" s="34">
        <f t="shared" si="17"/>
        <v>0</v>
      </c>
      <c r="DF45" s="34"/>
      <c r="DG45" s="34"/>
      <c r="DH45" s="34"/>
      <c r="DI45" s="34"/>
      <c r="DJ45" s="34"/>
      <c r="DK45" s="34"/>
      <c r="DL45" s="34"/>
      <c r="DM45" s="34"/>
      <c r="DN45" s="34"/>
      <c r="DO45" s="34"/>
      <c r="DP45" s="34"/>
      <c r="DQ45" s="34"/>
      <c r="DR45" s="34"/>
      <c r="DS45" s="42"/>
      <c r="DT45" s="42"/>
      <c r="DU45" s="42"/>
      <c r="DV45" s="42"/>
      <c r="DW45" s="42"/>
      <c r="DX45" s="42"/>
      <c r="DY45" s="42"/>
      <c r="DZ45" s="42"/>
      <c r="EA45" s="42"/>
      <c r="EB45" s="42"/>
      <c r="EC45" s="42"/>
      <c r="ED45" s="42"/>
      <c r="EE45" s="42"/>
      <c r="EF45" s="42"/>
      <c r="EG45" s="42"/>
      <c r="EH45" s="211">
        <f t="shared" si="8"/>
        <v>0</v>
      </c>
      <c r="EI45" s="89"/>
      <c r="EJ45" s="89">
        <f t="shared" si="9"/>
        <v>6</v>
      </c>
      <c r="EK45" s="89"/>
      <c r="EL45" s="47">
        <f t="shared" si="13"/>
        <v>0</v>
      </c>
      <c r="EM45" s="202"/>
      <c r="EN45" s="47">
        <f t="shared" ref="EN45:EN76" si="18">SUM(J45:DS45)</f>
        <v>6</v>
      </c>
      <c r="EO45" s="12">
        <f t="shared" si="14"/>
        <v>0</v>
      </c>
      <c r="EP45" s="12">
        <f t="shared" si="15"/>
        <v>0</v>
      </c>
      <c r="EQ45" s="12">
        <f t="shared" si="16"/>
        <v>0</v>
      </c>
      <c r="ER45" s="12">
        <f t="shared" si="4"/>
        <v>0</v>
      </c>
      <c r="ES45" s="15">
        <f t="shared" si="5"/>
        <v>0</v>
      </c>
      <c r="ET45" s="49">
        <f t="shared" ref="ET45:ET76" si="19">SUM(AZ45:BW45)</f>
        <v>0</v>
      </c>
      <c r="EU45" s="49">
        <f t="shared" ref="EU45:EU76" si="20">SUM(BX45:CU45)</f>
        <v>6</v>
      </c>
      <c r="EV45" s="49">
        <f t="shared" si="12"/>
        <v>0</v>
      </c>
      <c r="EW45" s="49">
        <f t="shared" si="11"/>
        <v>0</v>
      </c>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row>
    <row r="46" spans="1:304" s="78" customFormat="1" hidden="1" x14ac:dyDescent="0.25">
      <c r="A46" s="309"/>
      <c r="B46" s="83" t="s">
        <v>21</v>
      </c>
      <c r="C46" s="33">
        <v>0</v>
      </c>
      <c r="D46" s="33">
        <v>0</v>
      </c>
      <c r="E46" s="33">
        <v>0</v>
      </c>
      <c r="F46" s="33">
        <v>0</v>
      </c>
      <c r="G46" s="33">
        <v>0</v>
      </c>
      <c r="H46" s="33">
        <v>0</v>
      </c>
      <c r="I46" s="33">
        <v>0</v>
      </c>
      <c r="J46" s="33">
        <v>0</v>
      </c>
      <c r="K46" s="33">
        <v>0</v>
      </c>
      <c r="L46" s="33">
        <v>0</v>
      </c>
      <c r="M46" s="33">
        <v>0</v>
      </c>
      <c r="N46" s="33">
        <v>0</v>
      </c>
      <c r="O46" s="33">
        <v>0</v>
      </c>
      <c r="P46" s="33">
        <v>0</v>
      </c>
      <c r="Q46" s="33">
        <v>0</v>
      </c>
      <c r="R46" s="33">
        <v>0</v>
      </c>
      <c r="S46" s="33">
        <v>0</v>
      </c>
      <c r="T46" s="33">
        <v>0</v>
      </c>
      <c r="U46" s="33">
        <v>0</v>
      </c>
      <c r="V46" s="33">
        <v>0</v>
      </c>
      <c r="W46" s="33">
        <v>0</v>
      </c>
      <c r="X46" s="33">
        <v>0</v>
      </c>
      <c r="Y46" s="33">
        <v>0</v>
      </c>
      <c r="Z46" s="33">
        <v>0</v>
      </c>
      <c r="AA46" s="33">
        <v>0</v>
      </c>
      <c r="AB46" s="33">
        <v>0</v>
      </c>
      <c r="AC46" s="33">
        <v>0</v>
      </c>
      <c r="AD46" s="33">
        <v>2</v>
      </c>
      <c r="AE46" s="33">
        <v>0</v>
      </c>
      <c r="AF46" s="33">
        <v>0</v>
      </c>
      <c r="AG46" s="33">
        <v>4</v>
      </c>
      <c r="AH46" s="33">
        <v>0</v>
      </c>
      <c r="AI46" s="33">
        <v>0</v>
      </c>
      <c r="AJ46" s="34">
        <v>0</v>
      </c>
      <c r="AK46" s="34">
        <v>2</v>
      </c>
      <c r="AL46" s="34">
        <v>0</v>
      </c>
      <c r="AM46" s="34">
        <v>0</v>
      </c>
      <c r="AN46" s="34">
        <v>0</v>
      </c>
      <c r="AO46" s="34">
        <v>4</v>
      </c>
      <c r="AP46" s="34">
        <v>2</v>
      </c>
      <c r="AQ46" s="34">
        <v>2</v>
      </c>
      <c r="AR46" s="34">
        <v>2</v>
      </c>
      <c r="AS46" s="34">
        <v>0</v>
      </c>
      <c r="AT46" s="34">
        <v>0</v>
      </c>
      <c r="AU46" s="34">
        <v>1</v>
      </c>
      <c r="AV46" s="34">
        <v>0</v>
      </c>
      <c r="AW46" s="33">
        <v>0</v>
      </c>
      <c r="AX46" s="34">
        <v>3</v>
      </c>
      <c r="AY46" s="34">
        <v>1</v>
      </c>
      <c r="AZ46" s="34">
        <v>0</v>
      </c>
      <c r="BA46" s="34">
        <v>0</v>
      </c>
      <c r="BB46" s="34">
        <v>0</v>
      </c>
      <c r="BC46" s="34">
        <v>0</v>
      </c>
      <c r="BD46" s="34">
        <v>0</v>
      </c>
      <c r="BE46" s="34">
        <v>0</v>
      </c>
      <c r="BF46" s="34">
        <v>1</v>
      </c>
      <c r="BG46" s="34">
        <v>1</v>
      </c>
      <c r="BH46" s="34">
        <v>0</v>
      </c>
      <c r="BI46" s="34">
        <v>1</v>
      </c>
      <c r="BJ46" s="34">
        <v>0</v>
      </c>
      <c r="BK46" s="34">
        <v>0</v>
      </c>
      <c r="BL46" s="34">
        <v>0</v>
      </c>
      <c r="BM46" s="34">
        <v>0</v>
      </c>
      <c r="BN46" s="34">
        <v>0</v>
      </c>
      <c r="BO46" s="34">
        <v>0</v>
      </c>
      <c r="BP46" s="34">
        <v>0</v>
      </c>
      <c r="BQ46" s="34">
        <v>0</v>
      </c>
      <c r="BR46" s="34">
        <v>0</v>
      </c>
      <c r="BS46" s="34">
        <v>0</v>
      </c>
      <c r="BT46" s="34">
        <v>0</v>
      </c>
      <c r="BU46" s="34">
        <v>0</v>
      </c>
      <c r="BV46" s="34">
        <v>0</v>
      </c>
      <c r="BW46" s="34">
        <v>0</v>
      </c>
      <c r="BX46" s="34">
        <v>0</v>
      </c>
      <c r="BY46" s="34">
        <v>0</v>
      </c>
      <c r="BZ46" s="34">
        <v>0</v>
      </c>
      <c r="CA46" s="34">
        <v>0</v>
      </c>
      <c r="CB46" s="34">
        <v>0</v>
      </c>
      <c r="CC46" s="34">
        <v>0</v>
      </c>
      <c r="CD46" s="34">
        <v>2</v>
      </c>
      <c r="CE46" s="34">
        <v>0</v>
      </c>
      <c r="CF46" s="34">
        <v>0</v>
      </c>
      <c r="CG46" s="34">
        <v>0</v>
      </c>
      <c r="CH46" s="34">
        <v>0</v>
      </c>
      <c r="CI46" s="34">
        <v>0</v>
      </c>
      <c r="CJ46" s="34">
        <v>0</v>
      </c>
      <c r="CK46" s="34">
        <v>0</v>
      </c>
      <c r="CL46" s="34">
        <v>0</v>
      </c>
      <c r="CM46" s="34">
        <v>0</v>
      </c>
      <c r="CN46" s="34">
        <v>0</v>
      </c>
      <c r="CO46" s="34">
        <v>0</v>
      </c>
      <c r="CP46" s="34">
        <v>0</v>
      </c>
      <c r="CQ46" s="34">
        <v>0</v>
      </c>
      <c r="CR46" s="34">
        <v>0</v>
      </c>
      <c r="CS46" s="34">
        <v>0</v>
      </c>
      <c r="CT46" s="34">
        <v>0</v>
      </c>
      <c r="CU46" s="34">
        <v>0</v>
      </c>
      <c r="CV46" s="34">
        <v>0</v>
      </c>
      <c r="CW46" s="34">
        <v>0</v>
      </c>
      <c r="CX46" s="34">
        <v>0</v>
      </c>
      <c r="CY46" s="34"/>
      <c r="CZ46" s="34"/>
      <c r="DA46" s="34"/>
      <c r="DB46" s="34"/>
      <c r="DC46" s="34"/>
      <c r="DD46" s="34"/>
      <c r="DE46" s="34"/>
      <c r="DF46" s="34"/>
      <c r="DG46" s="34"/>
      <c r="DH46" s="34"/>
      <c r="DI46" s="34"/>
      <c r="DJ46" s="34"/>
      <c r="DK46" s="34"/>
      <c r="DL46" s="34"/>
      <c r="DM46" s="34"/>
      <c r="DN46" s="34"/>
      <c r="DO46" s="34"/>
      <c r="DP46" s="34"/>
      <c r="DQ46" s="34"/>
      <c r="DR46" s="34"/>
      <c r="DS46" s="42"/>
      <c r="DT46" s="42"/>
      <c r="DU46" s="42"/>
      <c r="DV46" s="42"/>
      <c r="DW46" s="42"/>
      <c r="DX46" s="42"/>
      <c r="DY46" s="42"/>
      <c r="DZ46" s="42"/>
      <c r="EA46" s="42"/>
      <c r="EB46" s="42"/>
      <c r="EC46" s="42"/>
      <c r="ED46" s="42"/>
      <c r="EE46" s="42"/>
      <c r="EF46" s="42"/>
      <c r="EG46" s="42"/>
      <c r="EH46" s="211">
        <f t="shared" si="8"/>
        <v>0</v>
      </c>
      <c r="EI46" s="89"/>
      <c r="EJ46" s="89">
        <f t="shared" si="9"/>
        <v>28</v>
      </c>
      <c r="EK46" s="89"/>
      <c r="EL46" s="47">
        <f t="shared" si="13"/>
        <v>0</v>
      </c>
      <c r="EM46" s="202"/>
      <c r="EN46" s="47">
        <f t="shared" si="18"/>
        <v>28</v>
      </c>
      <c r="EO46" s="12">
        <f t="shared" si="14"/>
        <v>0</v>
      </c>
      <c r="EP46" s="12">
        <f t="shared" si="15"/>
        <v>0</v>
      </c>
      <c r="EQ46" s="12">
        <f t="shared" si="16"/>
        <v>0</v>
      </c>
      <c r="ER46" s="12">
        <f t="shared" si="4"/>
        <v>8</v>
      </c>
      <c r="ES46" s="15">
        <f t="shared" si="5"/>
        <v>15</v>
      </c>
      <c r="ET46" s="49">
        <f t="shared" si="19"/>
        <v>3</v>
      </c>
      <c r="EU46" s="49">
        <f t="shared" si="20"/>
        <v>2</v>
      </c>
      <c r="EV46" s="49">
        <f t="shared" si="12"/>
        <v>0</v>
      </c>
      <c r="EW46" s="49">
        <f t="shared" si="11"/>
        <v>0</v>
      </c>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row>
    <row r="47" spans="1:304" s="78" customFormat="1" ht="30" hidden="1" x14ac:dyDescent="0.25">
      <c r="A47" s="309"/>
      <c r="B47" s="83" t="s">
        <v>22</v>
      </c>
      <c r="C47" s="33">
        <v>0</v>
      </c>
      <c r="D47" s="33">
        <v>0</v>
      </c>
      <c r="E47" s="33">
        <v>0</v>
      </c>
      <c r="F47" s="33">
        <v>0</v>
      </c>
      <c r="G47" s="33">
        <v>0</v>
      </c>
      <c r="H47" s="33">
        <v>0</v>
      </c>
      <c r="I47" s="33">
        <v>0</v>
      </c>
      <c r="J47" s="33">
        <v>0</v>
      </c>
      <c r="K47" s="33">
        <v>0</v>
      </c>
      <c r="L47" s="33">
        <v>0</v>
      </c>
      <c r="M47" s="33">
        <v>0</v>
      </c>
      <c r="N47" s="33">
        <v>0</v>
      </c>
      <c r="O47" s="33">
        <v>0</v>
      </c>
      <c r="P47" s="33">
        <v>0</v>
      </c>
      <c r="Q47" s="33">
        <v>0</v>
      </c>
      <c r="R47" s="33">
        <v>0</v>
      </c>
      <c r="S47" s="33">
        <v>0</v>
      </c>
      <c r="T47" s="33">
        <v>0</v>
      </c>
      <c r="U47" s="33">
        <v>0</v>
      </c>
      <c r="V47" s="33">
        <v>0</v>
      </c>
      <c r="W47" s="33">
        <v>0</v>
      </c>
      <c r="X47" s="33">
        <v>0</v>
      </c>
      <c r="Y47" s="33">
        <v>0</v>
      </c>
      <c r="Z47" s="33">
        <v>0</v>
      </c>
      <c r="AA47" s="33">
        <v>0</v>
      </c>
      <c r="AB47" s="33">
        <v>0</v>
      </c>
      <c r="AC47" s="33">
        <v>0</v>
      </c>
      <c r="AD47" s="33">
        <v>0</v>
      </c>
      <c r="AE47" s="33">
        <v>0</v>
      </c>
      <c r="AF47" s="33">
        <v>0</v>
      </c>
      <c r="AG47" s="33">
        <v>0</v>
      </c>
      <c r="AH47" s="33">
        <v>4</v>
      </c>
      <c r="AI47" s="33">
        <v>0</v>
      </c>
      <c r="AJ47" s="34">
        <v>0</v>
      </c>
      <c r="AK47" s="34">
        <v>0</v>
      </c>
      <c r="AL47" s="34">
        <v>0</v>
      </c>
      <c r="AM47" s="34">
        <v>0</v>
      </c>
      <c r="AN47" s="34">
        <v>0</v>
      </c>
      <c r="AO47" s="34">
        <v>1</v>
      </c>
      <c r="AP47" s="34">
        <v>1</v>
      </c>
      <c r="AQ47" s="34">
        <v>0</v>
      </c>
      <c r="AR47" s="34">
        <v>2</v>
      </c>
      <c r="AS47" s="34">
        <v>0</v>
      </c>
      <c r="AT47" s="34">
        <v>2</v>
      </c>
      <c r="AU47" s="34">
        <v>0</v>
      </c>
      <c r="AV47" s="34">
        <v>2</v>
      </c>
      <c r="AW47" s="33">
        <v>0</v>
      </c>
      <c r="AX47" s="34">
        <v>0</v>
      </c>
      <c r="AY47" s="34">
        <v>0</v>
      </c>
      <c r="AZ47" s="34">
        <v>0</v>
      </c>
      <c r="BA47" s="34">
        <v>0</v>
      </c>
      <c r="BB47" s="34">
        <v>0</v>
      </c>
      <c r="BC47" s="34">
        <v>0</v>
      </c>
      <c r="BD47" s="34">
        <v>0</v>
      </c>
      <c r="BE47" s="34">
        <v>0</v>
      </c>
      <c r="BF47" s="34">
        <v>0</v>
      </c>
      <c r="BG47" s="34">
        <v>0</v>
      </c>
      <c r="BH47" s="34">
        <v>0</v>
      </c>
      <c r="BI47" s="34">
        <v>0</v>
      </c>
      <c r="BJ47" s="34">
        <v>0</v>
      </c>
      <c r="BK47" s="34">
        <v>0</v>
      </c>
      <c r="BL47" s="34">
        <v>0</v>
      </c>
      <c r="BM47" s="34">
        <v>0</v>
      </c>
      <c r="BN47" s="34">
        <v>0</v>
      </c>
      <c r="BO47" s="34">
        <v>0</v>
      </c>
      <c r="BP47" s="34">
        <v>0</v>
      </c>
      <c r="BQ47" s="34">
        <v>0</v>
      </c>
      <c r="BR47" s="34">
        <v>0</v>
      </c>
      <c r="BS47" s="34">
        <v>0</v>
      </c>
      <c r="BT47" s="34">
        <v>0</v>
      </c>
      <c r="BU47" s="34">
        <v>0</v>
      </c>
      <c r="BV47" s="34">
        <v>0</v>
      </c>
      <c r="BW47" s="34">
        <v>0</v>
      </c>
      <c r="BX47" s="34">
        <v>0</v>
      </c>
      <c r="BY47" s="34">
        <v>0</v>
      </c>
      <c r="BZ47" s="34">
        <v>0</v>
      </c>
      <c r="CA47" s="34">
        <v>0</v>
      </c>
      <c r="CB47" s="34">
        <v>0</v>
      </c>
      <c r="CC47" s="34">
        <v>0</v>
      </c>
      <c r="CD47" s="34">
        <v>0</v>
      </c>
      <c r="CE47" s="34">
        <v>0</v>
      </c>
      <c r="CF47" s="34">
        <v>0</v>
      </c>
      <c r="CG47" s="34">
        <v>0</v>
      </c>
      <c r="CH47" s="34">
        <v>0</v>
      </c>
      <c r="CI47" s="34">
        <v>0</v>
      </c>
      <c r="CJ47" s="34">
        <v>0</v>
      </c>
      <c r="CK47" s="34">
        <v>0</v>
      </c>
      <c r="CL47" s="34">
        <v>0</v>
      </c>
      <c r="CM47" s="34">
        <v>0</v>
      </c>
      <c r="CN47" s="34">
        <v>0</v>
      </c>
      <c r="CO47" s="34">
        <v>0</v>
      </c>
      <c r="CP47" s="34">
        <v>0</v>
      </c>
      <c r="CQ47" s="34">
        <v>0</v>
      </c>
      <c r="CR47" s="34">
        <v>0</v>
      </c>
      <c r="CS47" s="34">
        <v>0</v>
      </c>
      <c r="CT47" s="34">
        <v>0</v>
      </c>
      <c r="CU47" s="34">
        <v>0</v>
      </c>
      <c r="CV47" s="34">
        <v>0</v>
      </c>
      <c r="CW47" s="34">
        <v>0</v>
      </c>
      <c r="CX47" s="34">
        <v>0</v>
      </c>
      <c r="CY47" s="34"/>
      <c r="CZ47" s="34"/>
      <c r="DA47" s="34"/>
      <c r="DB47" s="34"/>
      <c r="DC47" s="34"/>
      <c r="DD47" s="34"/>
      <c r="DE47" s="34"/>
      <c r="DF47" s="34"/>
      <c r="DG47" s="34"/>
      <c r="DH47" s="34"/>
      <c r="DI47" s="34"/>
      <c r="DJ47" s="34"/>
      <c r="DK47" s="34"/>
      <c r="DL47" s="34"/>
      <c r="DM47" s="34"/>
      <c r="DN47" s="34"/>
      <c r="DO47" s="34"/>
      <c r="DP47" s="34"/>
      <c r="DQ47" s="34"/>
      <c r="DR47" s="34"/>
      <c r="DS47" s="42"/>
      <c r="DT47" s="42"/>
      <c r="DU47" s="42"/>
      <c r="DV47" s="42"/>
      <c r="DW47" s="42"/>
      <c r="DX47" s="42"/>
      <c r="DY47" s="42"/>
      <c r="DZ47" s="42"/>
      <c r="EA47" s="42"/>
      <c r="EB47" s="42"/>
      <c r="EC47" s="42"/>
      <c r="ED47" s="42"/>
      <c r="EE47" s="42"/>
      <c r="EF47" s="42"/>
      <c r="EG47" s="42"/>
      <c r="EH47" s="211">
        <f t="shared" si="8"/>
        <v>0</v>
      </c>
      <c r="EI47" s="89"/>
      <c r="EJ47" s="89">
        <f t="shared" si="9"/>
        <v>12</v>
      </c>
      <c r="EK47" s="89"/>
      <c r="EL47" s="47">
        <f t="shared" si="13"/>
        <v>0</v>
      </c>
      <c r="EM47" s="202"/>
      <c r="EN47" s="47">
        <f t="shared" si="18"/>
        <v>12</v>
      </c>
      <c r="EO47" s="12">
        <f t="shared" si="14"/>
        <v>0</v>
      </c>
      <c r="EP47" s="12">
        <f t="shared" si="15"/>
        <v>0</v>
      </c>
      <c r="EQ47" s="12">
        <f t="shared" si="16"/>
        <v>0</v>
      </c>
      <c r="ER47" s="12">
        <f t="shared" si="4"/>
        <v>4</v>
      </c>
      <c r="ES47" s="15">
        <f t="shared" si="5"/>
        <v>8</v>
      </c>
      <c r="ET47" s="49">
        <f t="shared" si="19"/>
        <v>0</v>
      </c>
      <c r="EU47" s="49">
        <f t="shared" si="20"/>
        <v>0</v>
      </c>
      <c r="EV47" s="49">
        <f t="shared" si="12"/>
        <v>0</v>
      </c>
      <c r="EW47" s="49">
        <f t="shared" si="11"/>
        <v>0</v>
      </c>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row>
    <row r="48" spans="1:304" s="78" customFormat="1" hidden="1" x14ac:dyDescent="0.25">
      <c r="A48" s="309"/>
      <c r="B48" s="83" t="s">
        <v>23</v>
      </c>
      <c r="C48" s="33">
        <v>0</v>
      </c>
      <c r="D48" s="33">
        <v>0</v>
      </c>
      <c r="E48" s="33">
        <v>0</v>
      </c>
      <c r="F48" s="33">
        <v>0</v>
      </c>
      <c r="G48" s="33">
        <v>0</v>
      </c>
      <c r="H48" s="33">
        <v>0</v>
      </c>
      <c r="I48" s="33">
        <v>0</v>
      </c>
      <c r="J48" s="33">
        <v>0</v>
      </c>
      <c r="K48" s="33">
        <v>0</v>
      </c>
      <c r="L48" s="33">
        <v>0</v>
      </c>
      <c r="M48" s="33">
        <v>0</v>
      </c>
      <c r="N48" s="33">
        <v>0</v>
      </c>
      <c r="O48" s="33">
        <v>0</v>
      </c>
      <c r="P48" s="33">
        <v>0</v>
      </c>
      <c r="Q48" s="33">
        <v>0</v>
      </c>
      <c r="R48" s="33">
        <v>0</v>
      </c>
      <c r="S48" s="33">
        <v>0</v>
      </c>
      <c r="T48" s="33">
        <v>0</v>
      </c>
      <c r="U48" s="33">
        <v>0</v>
      </c>
      <c r="V48" s="33">
        <v>0</v>
      </c>
      <c r="W48" s="33">
        <v>0</v>
      </c>
      <c r="X48" s="33">
        <v>0</v>
      </c>
      <c r="Y48" s="33">
        <v>0</v>
      </c>
      <c r="Z48" s="33">
        <v>0</v>
      </c>
      <c r="AA48" s="33">
        <v>0</v>
      </c>
      <c r="AB48" s="33">
        <v>0</v>
      </c>
      <c r="AC48" s="33">
        <v>0</v>
      </c>
      <c r="AD48" s="33">
        <v>0</v>
      </c>
      <c r="AE48" s="33">
        <v>0</v>
      </c>
      <c r="AF48" s="33">
        <v>0</v>
      </c>
      <c r="AG48" s="33">
        <v>0</v>
      </c>
      <c r="AH48" s="33">
        <v>0</v>
      </c>
      <c r="AI48" s="33">
        <v>0</v>
      </c>
      <c r="AJ48" s="34">
        <v>0</v>
      </c>
      <c r="AK48" s="34">
        <v>0</v>
      </c>
      <c r="AL48" s="34">
        <v>0</v>
      </c>
      <c r="AM48" s="34">
        <v>0</v>
      </c>
      <c r="AN48" s="34">
        <v>0</v>
      </c>
      <c r="AO48" s="34">
        <v>3</v>
      </c>
      <c r="AP48" s="34">
        <v>3</v>
      </c>
      <c r="AQ48" s="34">
        <v>2</v>
      </c>
      <c r="AR48" s="34">
        <v>3</v>
      </c>
      <c r="AS48" s="34">
        <v>0</v>
      </c>
      <c r="AT48" s="34">
        <v>0</v>
      </c>
      <c r="AU48" s="34">
        <v>0</v>
      </c>
      <c r="AV48" s="34">
        <v>0</v>
      </c>
      <c r="AW48" s="33">
        <v>0</v>
      </c>
      <c r="AX48" s="34">
        <v>0</v>
      </c>
      <c r="AY48" s="34">
        <v>0</v>
      </c>
      <c r="AZ48" s="34">
        <v>0</v>
      </c>
      <c r="BA48" s="34">
        <v>0</v>
      </c>
      <c r="BB48" s="34">
        <v>0</v>
      </c>
      <c r="BC48" s="34">
        <v>0</v>
      </c>
      <c r="BD48" s="34">
        <v>0</v>
      </c>
      <c r="BE48" s="34">
        <v>0</v>
      </c>
      <c r="BF48" s="34">
        <v>0</v>
      </c>
      <c r="BG48" s="34">
        <v>0</v>
      </c>
      <c r="BH48" s="34">
        <v>0</v>
      </c>
      <c r="BI48" s="34">
        <v>0</v>
      </c>
      <c r="BJ48" s="34">
        <v>0</v>
      </c>
      <c r="BK48" s="34">
        <v>0</v>
      </c>
      <c r="BL48" s="34">
        <v>0</v>
      </c>
      <c r="BM48" s="34">
        <v>0</v>
      </c>
      <c r="BN48" s="34">
        <v>0</v>
      </c>
      <c r="BO48" s="34">
        <v>1</v>
      </c>
      <c r="BP48" s="34">
        <v>0</v>
      </c>
      <c r="BQ48" s="34">
        <v>0</v>
      </c>
      <c r="BR48" s="34">
        <v>0</v>
      </c>
      <c r="BS48" s="34">
        <v>1</v>
      </c>
      <c r="BT48" s="34">
        <v>0</v>
      </c>
      <c r="BU48" s="34">
        <v>0</v>
      </c>
      <c r="BV48" s="34">
        <v>0</v>
      </c>
      <c r="BW48" s="34">
        <v>0</v>
      </c>
      <c r="BX48" s="34">
        <v>0</v>
      </c>
      <c r="BY48" s="34">
        <v>0</v>
      </c>
      <c r="BZ48" s="34">
        <v>0</v>
      </c>
      <c r="CA48" s="34">
        <v>0</v>
      </c>
      <c r="CB48" s="34">
        <v>0</v>
      </c>
      <c r="CC48" s="34">
        <v>0</v>
      </c>
      <c r="CD48" s="34">
        <v>0</v>
      </c>
      <c r="CE48" s="34">
        <v>0</v>
      </c>
      <c r="CF48" s="34">
        <v>0</v>
      </c>
      <c r="CG48" s="34">
        <v>0</v>
      </c>
      <c r="CH48" s="34">
        <v>0</v>
      </c>
      <c r="CI48" s="34">
        <v>0</v>
      </c>
      <c r="CJ48" s="34">
        <v>0</v>
      </c>
      <c r="CK48" s="34">
        <v>0</v>
      </c>
      <c r="CL48" s="34">
        <v>0</v>
      </c>
      <c r="CM48" s="34">
        <v>0</v>
      </c>
      <c r="CN48" s="34">
        <v>0</v>
      </c>
      <c r="CO48" s="34">
        <v>0</v>
      </c>
      <c r="CP48" s="34">
        <v>0</v>
      </c>
      <c r="CQ48" s="34">
        <v>0</v>
      </c>
      <c r="CR48" s="34">
        <v>0</v>
      </c>
      <c r="CS48" s="34">
        <v>0</v>
      </c>
      <c r="CT48" s="34">
        <v>0</v>
      </c>
      <c r="CU48" s="34">
        <v>0</v>
      </c>
      <c r="CV48" s="34">
        <v>0</v>
      </c>
      <c r="CW48" s="34">
        <v>0</v>
      </c>
      <c r="CX48" s="34">
        <v>0</v>
      </c>
      <c r="CY48" s="34"/>
      <c r="CZ48" s="34"/>
      <c r="DA48" s="34"/>
      <c r="DB48" s="34"/>
      <c r="DC48" s="34"/>
      <c r="DD48" s="34"/>
      <c r="DE48" s="34"/>
      <c r="DF48" s="34"/>
      <c r="DG48" s="34"/>
      <c r="DH48" s="34"/>
      <c r="DI48" s="34"/>
      <c r="DJ48" s="34"/>
      <c r="DK48" s="34"/>
      <c r="DL48" s="34"/>
      <c r="DM48" s="34"/>
      <c r="DN48" s="34"/>
      <c r="DO48" s="34"/>
      <c r="DP48" s="34"/>
      <c r="DQ48" s="34"/>
      <c r="DR48" s="34"/>
      <c r="DS48" s="42"/>
      <c r="DT48" s="42"/>
      <c r="DU48" s="42"/>
      <c r="DV48" s="42"/>
      <c r="DW48" s="42"/>
      <c r="DX48" s="42"/>
      <c r="DY48" s="42"/>
      <c r="DZ48" s="42"/>
      <c r="EA48" s="42"/>
      <c r="EB48" s="42"/>
      <c r="EC48" s="42"/>
      <c r="ED48" s="42"/>
      <c r="EE48" s="42"/>
      <c r="EF48" s="42"/>
      <c r="EG48" s="42"/>
      <c r="EH48" s="211">
        <f t="shared" si="8"/>
        <v>0</v>
      </c>
      <c r="EI48" s="89"/>
      <c r="EJ48" s="89">
        <f t="shared" si="9"/>
        <v>13</v>
      </c>
      <c r="EK48" s="89"/>
      <c r="EL48" s="47">
        <f t="shared" si="13"/>
        <v>0</v>
      </c>
      <c r="EM48" s="202"/>
      <c r="EN48" s="47">
        <f t="shared" si="18"/>
        <v>13</v>
      </c>
      <c r="EO48" s="12">
        <f t="shared" si="14"/>
        <v>0</v>
      </c>
      <c r="EP48" s="12">
        <f t="shared" si="15"/>
        <v>0</v>
      </c>
      <c r="EQ48" s="12">
        <f t="shared" si="16"/>
        <v>0</v>
      </c>
      <c r="ER48" s="12">
        <f t="shared" si="4"/>
        <v>0</v>
      </c>
      <c r="ES48" s="15">
        <f t="shared" si="5"/>
        <v>11</v>
      </c>
      <c r="ET48" s="49">
        <f t="shared" si="19"/>
        <v>2</v>
      </c>
      <c r="EU48" s="49">
        <f t="shared" si="20"/>
        <v>0</v>
      </c>
      <c r="EV48" s="49">
        <f t="shared" si="12"/>
        <v>0</v>
      </c>
      <c r="EW48" s="49">
        <f t="shared" si="11"/>
        <v>0</v>
      </c>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row>
    <row r="49" spans="1:304" s="78" customFormat="1" ht="30" hidden="1" x14ac:dyDescent="0.25">
      <c r="A49" s="309"/>
      <c r="B49" s="83" t="s">
        <v>24</v>
      </c>
      <c r="C49" s="33">
        <v>0</v>
      </c>
      <c r="D49" s="33">
        <v>0</v>
      </c>
      <c r="E49" s="33">
        <v>0</v>
      </c>
      <c r="F49" s="33">
        <v>0</v>
      </c>
      <c r="G49" s="33">
        <v>0</v>
      </c>
      <c r="H49" s="33">
        <v>0</v>
      </c>
      <c r="I49" s="33">
        <v>0</v>
      </c>
      <c r="J49" s="33">
        <v>0</v>
      </c>
      <c r="K49" s="33">
        <v>0</v>
      </c>
      <c r="L49" s="33">
        <v>0</v>
      </c>
      <c r="M49" s="33">
        <v>0</v>
      </c>
      <c r="N49" s="33">
        <v>0</v>
      </c>
      <c r="O49" s="33">
        <v>0</v>
      </c>
      <c r="P49" s="33">
        <v>0</v>
      </c>
      <c r="Q49" s="33">
        <v>0</v>
      </c>
      <c r="R49" s="33">
        <v>0</v>
      </c>
      <c r="S49" s="33">
        <v>0</v>
      </c>
      <c r="T49" s="33">
        <v>0</v>
      </c>
      <c r="U49" s="33">
        <v>0</v>
      </c>
      <c r="V49" s="33">
        <v>0</v>
      </c>
      <c r="W49" s="33">
        <v>0</v>
      </c>
      <c r="X49" s="33">
        <v>0</v>
      </c>
      <c r="Y49" s="33">
        <v>0</v>
      </c>
      <c r="Z49" s="33">
        <v>0</v>
      </c>
      <c r="AA49" s="33">
        <v>0</v>
      </c>
      <c r="AB49" s="33">
        <v>0</v>
      </c>
      <c r="AC49" s="33">
        <v>0</v>
      </c>
      <c r="AD49" s="33">
        <v>0</v>
      </c>
      <c r="AE49" s="33">
        <v>0</v>
      </c>
      <c r="AF49" s="33">
        <v>0</v>
      </c>
      <c r="AG49" s="33">
        <v>0</v>
      </c>
      <c r="AH49" s="33">
        <v>0</v>
      </c>
      <c r="AI49" s="33">
        <v>0</v>
      </c>
      <c r="AJ49" s="34">
        <v>0</v>
      </c>
      <c r="AK49" s="34">
        <v>0</v>
      </c>
      <c r="AL49" s="34">
        <v>0</v>
      </c>
      <c r="AM49" s="34">
        <v>0</v>
      </c>
      <c r="AN49" s="34">
        <v>0</v>
      </c>
      <c r="AO49" s="34">
        <v>1</v>
      </c>
      <c r="AP49" s="34">
        <v>0</v>
      </c>
      <c r="AQ49" s="34">
        <v>0</v>
      </c>
      <c r="AR49" s="34">
        <v>1</v>
      </c>
      <c r="AS49" s="34">
        <v>0</v>
      </c>
      <c r="AT49" s="34">
        <v>0</v>
      </c>
      <c r="AU49" s="34">
        <v>0</v>
      </c>
      <c r="AV49" s="34">
        <v>0</v>
      </c>
      <c r="AW49" s="33">
        <v>0</v>
      </c>
      <c r="AX49" s="34">
        <v>0</v>
      </c>
      <c r="AY49" s="34">
        <v>0</v>
      </c>
      <c r="AZ49" s="34">
        <v>1</v>
      </c>
      <c r="BA49" s="34">
        <v>0</v>
      </c>
      <c r="BB49" s="34">
        <v>0</v>
      </c>
      <c r="BC49" s="34">
        <v>0</v>
      </c>
      <c r="BD49" s="34">
        <v>1</v>
      </c>
      <c r="BE49" s="34">
        <v>0</v>
      </c>
      <c r="BF49" s="34">
        <v>0</v>
      </c>
      <c r="BG49" s="34">
        <v>0</v>
      </c>
      <c r="BH49" s="34">
        <v>0</v>
      </c>
      <c r="BI49" s="34">
        <v>0</v>
      </c>
      <c r="BJ49" s="34">
        <v>0</v>
      </c>
      <c r="BK49" s="34">
        <v>0</v>
      </c>
      <c r="BL49" s="34">
        <v>0</v>
      </c>
      <c r="BM49" s="34">
        <v>0</v>
      </c>
      <c r="BN49" s="34">
        <v>0</v>
      </c>
      <c r="BO49" s="34">
        <v>0</v>
      </c>
      <c r="BP49" s="34">
        <v>0</v>
      </c>
      <c r="BQ49" s="34">
        <v>0</v>
      </c>
      <c r="BR49" s="34">
        <v>0</v>
      </c>
      <c r="BS49" s="34">
        <v>0</v>
      </c>
      <c r="BT49" s="34">
        <v>0</v>
      </c>
      <c r="BU49" s="34">
        <v>0</v>
      </c>
      <c r="BV49" s="34">
        <v>0</v>
      </c>
      <c r="BW49" s="34">
        <v>0</v>
      </c>
      <c r="BX49" s="34">
        <v>0</v>
      </c>
      <c r="BY49" s="34">
        <v>0</v>
      </c>
      <c r="BZ49" s="34">
        <v>0</v>
      </c>
      <c r="CA49" s="34">
        <v>0</v>
      </c>
      <c r="CB49" s="34">
        <v>0</v>
      </c>
      <c r="CC49" s="34">
        <v>0</v>
      </c>
      <c r="CD49" s="34">
        <v>1</v>
      </c>
      <c r="CE49" s="34">
        <v>1</v>
      </c>
      <c r="CF49" s="34">
        <v>0</v>
      </c>
      <c r="CG49" s="34">
        <v>0</v>
      </c>
      <c r="CH49" s="34">
        <v>0</v>
      </c>
      <c r="CI49" s="34">
        <v>0</v>
      </c>
      <c r="CJ49" s="34">
        <v>0</v>
      </c>
      <c r="CK49" s="34">
        <v>0</v>
      </c>
      <c r="CL49" s="34">
        <v>0</v>
      </c>
      <c r="CM49" s="34">
        <v>0</v>
      </c>
      <c r="CN49" s="34">
        <v>0</v>
      </c>
      <c r="CO49" s="34">
        <v>0</v>
      </c>
      <c r="CP49" s="34">
        <v>0</v>
      </c>
      <c r="CQ49" s="34">
        <v>0</v>
      </c>
      <c r="CR49" s="34">
        <v>0</v>
      </c>
      <c r="CS49" s="34">
        <v>0</v>
      </c>
      <c r="CT49" s="34">
        <v>0</v>
      </c>
      <c r="CU49" s="34">
        <v>0</v>
      </c>
      <c r="CV49" s="34">
        <v>0</v>
      </c>
      <c r="CW49" s="34">
        <v>0</v>
      </c>
      <c r="CX49" s="34">
        <v>0</v>
      </c>
      <c r="CY49" s="34"/>
      <c r="CZ49" s="34"/>
      <c r="DA49" s="34"/>
      <c r="DB49" s="34"/>
      <c r="DC49" s="34"/>
      <c r="DD49" s="34"/>
      <c r="DE49" s="34"/>
      <c r="DF49" s="34"/>
      <c r="DG49" s="34"/>
      <c r="DH49" s="34"/>
      <c r="DI49" s="34"/>
      <c r="DJ49" s="34"/>
      <c r="DK49" s="34"/>
      <c r="DL49" s="34"/>
      <c r="DM49" s="34"/>
      <c r="DN49" s="34"/>
      <c r="DO49" s="34"/>
      <c r="DP49" s="34"/>
      <c r="DQ49" s="34"/>
      <c r="DR49" s="34"/>
      <c r="DS49" s="42"/>
      <c r="DT49" s="42"/>
      <c r="DU49" s="42"/>
      <c r="DV49" s="42"/>
      <c r="DW49" s="42"/>
      <c r="DX49" s="42"/>
      <c r="DY49" s="42"/>
      <c r="DZ49" s="42"/>
      <c r="EA49" s="42"/>
      <c r="EB49" s="42"/>
      <c r="EC49" s="42"/>
      <c r="ED49" s="42"/>
      <c r="EE49" s="42"/>
      <c r="EF49" s="42"/>
      <c r="EG49" s="42"/>
      <c r="EH49" s="211">
        <f t="shared" si="8"/>
        <v>0</v>
      </c>
      <c r="EI49" s="89"/>
      <c r="EJ49" s="89">
        <f t="shared" si="9"/>
        <v>6</v>
      </c>
      <c r="EK49" s="89"/>
      <c r="EL49" s="47">
        <f t="shared" si="13"/>
        <v>0</v>
      </c>
      <c r="EM49" s="202"/>
      <c r="EN49" s="47">
        <f t="shared" si="18"/>
        <v>6</v>
      </c>
      <c r="EO49" s="12">
        <f t="shared" si="14"/>
        <v>0</v>
      </c>
      <c r="EP49" s="12">
        <f t="shared" si="15"/>
        <v>0</v>
      </c>
      <c r="EQ49" s="12">
        <f t="shared" si="16"/>
        <v>0</v>
      </c>
      <c r="ER49" s="12">
        <f t="shared" si="4"/>
        <v>0</v>
      </c>
      <c r="ES49" s="15">
        <f t="shared" si="5"/>
        <v>2</v>
      </c>
      <c r="ET49" s="49">
        <f t="shared" si="19"/>
        <v>2</v>
      </c>
      <c r="EU49" s="49">
        <f t="shared" si="20"/>
        <v>2</v>
      </c>
      <c r="EV49" s="49">
        <f t="shared" si="12"/>
        <v>0</v>
      </c>
      <c r="EW49" s="49">
        <f t="shared" si="11"/>
        <v>0</v>
      </c>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row>
    <row r="50" spans="1:304" s="78" customFormat="1" ht="18" hidden="1" x14ac:dyDescent="0.35">
      <c r="A50" s="309"/>
      <c r="B50" s="83" t="s">
        <v>18</v>
      </c>
      <c r="C50" s="36">
        <v>1</v>
      </c>
      <c r="D50" s="36">
        <v>0</v>
      </c>
      <c r="E50" s="36">
        <v>0</v>
      </c>
      <c r="F50" s="36">
        <v>0</v>
      </c>
      <c r="G50" s="36">
        <v>0</v>
      </c>
      <c r="H50" s="36">
        <v>0</v>
      </c>
      <c r="I50" s="36">
        <v>0</v>
      </c>
      <c r="J50" s="36">
        <v>3</v>
      </c>
      <c r="K50" s="36">
        <v>3</v>
      </c>
      <c r="L50" s="36">
        <v>0</v>
      </c>
      <c r="M50" s="36">
        <v>3</v>
      </c>
      <c r="N50" s="36">
        <v>1</v>
      </c>
      <c r="O50" s="36">
        <v>0</v>
      </c>
      <c r="P50" s="36">
        <v>0</v>
      </c>
      <c r="Q50" s="36">
        <v>0</v>
      </c>
      <c r="R50" s="36">
        <v>0</v>
      </c>
      <c r="S50" s="36">
        <v>0</v>
      </c>
      <c r="T50" s="36">
        <v>0</v>
      </c>
      <c r="U50" s="36">
        <v>2</v>
      </c>
      <c r="V50" s="36">
        <v>0</v>
      </c>
      <c r="W50" s="36">
        <v>1</v>
      </c>
      <c r="X50" s="36">
        <v>0</v>
      </c>
      <c r="Y50" s="36">
        <v>0</v>
      </c>
      <c r="Z50" s="36">
        <v>0</v>
      </c>
      <c r="AA50" s="36">
        <v>0</v>
      </c>
      <c r="AB50" s="37">
        <v>1</v>
      </c>
      <c r="AC50" s="37">
        <v>0</v>
      </c>
      <c r="AD50" s="37">
        <v>0</v>
      </c>
      <c r="AE50" s="37">
        <v>0</v>
      </c>
      <c r="AF50" s="37">
        <v>0</v>
      </c>
      <c r="AG50" s="37">
        <v>0</v>
      </c>
      <c r="AH50" s="37">
        <v>0</v>
      </c>
      <c r="AI50" s="37">
        <v>0</v>
      </c>
      <c r="AJ50" s="38">
        <v>0</v>
      </c>
      <c r="AK50" s="38">
        <v>0</v>
      </c>
      <c r="AL50" s="38">
        <v>0</v>
      </c>
      <c r="AM50" s="38">
        <v>0</v>
      </c>
      <c r="AN50" s="38">
        <v>0</v>
      </c>
      <c r="AO50" s="38">
        <v>0</v>
      </c>
      <c r="AP50" s="38">
        <v>0</v>
      </c>
      <c r="AQ50" s="38">
        <v>0</v>
      </c>
      <c r="AR50" s="38">
        <v>0</v>
      </c>
      <c r="AS50" s="34">
        <v>0</v>
      </c>
      <c r="AT50" s="34">
        <v>0</v>
      </c>
      <c r="AU50" s="34">
        <v>0</v>
      </c>
      <c r="AV50" s="34">
        <v>0</v>
      </c>
      <c r="AW50" s="33">
        <v>0</v>
      </c>
      <c r="AX50" s="34">
        <v>0</v>
      </c>
      <c r="AY50" s="34">
        <v>0</v>
      </c>
      <c r="AZ50" s="34">
        <v>0</v>
      </c>
      <c r="BA50" s="34">
        <v>0</v>
      </c>
      <c r="BB50" s="34">
        <v>0</v>
      </c>
      <c r="BC50" s="34">
        <v>0</v>
      </c>
      <c r="BD50" s="34">
        <v>0</v>
      </c>
      <c r="BE50" s="34">
        <v>0</v>
      </c>
      <c r="BF50" s="34">
        <v>0</v>
      </c>
      <c r="BG50" s="34">
        <v>0</v>
      </c>
      <c r="BH50" s="34">
        <v>0</v>
      </c>
      <c r="BI50" s="34">
        <v>0</v>
      </c>
      <c r="BJ50" s="34">
        <v>0</v>
      </c>
      <c r="BK50" s="34">
        <v>0</v>
      </c>
      <c r="BL50" s="34">
        <v>0</v>
      </c>
      <c r="BM50" s="34">
        <v>0</v>
      </c>
      <c r="BN50" s="34">
        <v>0</v>
      </c>
      <c r="BO50" s="34">
        <v>0</v>
      </c>
      <c r="BP50" s="34">
        <v>0</v>
      </c>
      <c r="BQ50" s="34">
        <v>0</v>
      </c>
      <c r="BR50" s="34">
        <v>0</v>
      </c>
      <c r="BS50" s="34">
        <v>0</v>
      </c>
      <c r="BT50" s="34">
        <v>0</v>
      </c>
      <c r="BU50" s="34">
        <v>0</v>
      </c>
      <c r="BV50" s="34">
        <v>0</v>
      </c>
      <c r="BW50" s="34">
        <v>0</v>
      </c>
      <c r="BX50" s="34">
        <v>0</v>
      </c>
      <c r="BY50" s="34">
        <v>0</v>
      </c>
      <c r="BZ50" s="34">
        <v>0</v>
      </c>
      <c r="CA50" s="34">
        <v>0</v>
      </c>
      <c r="CB50" s="34">
        <v>0</v>
      </c>
      <c r="CC50" s="34">
        <v>0</v>
      </c>
      <c r="CD50" s="34">
        <v>0</v>
      </c>
      <c r="CE50" s="34">
        <v>0</v>
      </c>
      <c r="CF50" s="34">
        <v>0</v>
      </c>
      <c r="CG50" s="34">
        <v>0</v>
      </c>
      <c r="CH50" s="34">
        <v>0</v>
      </c>
      <c r="CI50" s="34">
        <v>0</v>
      </c>
      <c r="CJ50" s="34">
        <v>0</v>
      </c>
      <c r="CK50" s="34">
        <v>0</v>
      </c>
      <c r="CL50" s="34">
        <v>0</v>
      </c>
      <c r="CM50" s="34">
        <v>0</v>
      </c>
      <c r="CN50" s="34">
        <v>0</v>
      </c>
      <c r="CO50" s="34">
        <v>0</v>
      </c>
      <c r="CP50" s="34">
        <v>0</v>
      </c>
      <c r="CQ50" s="34">
        <v>0</v>
      </c>
      <c r="CR50" s="34">
        <v>0</v>
      </c>
      <c r="CS50" s="34">
        <v>0</v>
      </c>
      <c r="CT50" s="34">
        <v>0</v>
      </c>
      <c r="CU50" s="34">
        <v>0</v>
      </c>
      <c r="CV50" s="34">
        <v>0</v>
      </c>
      <c r="CW50" s="34">
        <v>0</v>
      </c>
      <c r="CX50" s="34">
        <v>0</v>
      </c>
      <c r="CY50" s="34"/>
      <c r="CZ50" s="34"/>
      <c r="DA50" s="34"/>
      <c r="DB50" s="34"/>
      <c r="DC50" s="34"/>
      <c r="DD50" s="34"/>
      <c r="DE50" s="34"/>
      <c r="DF50" s="34"/>
      <c r="DG50" s="34"/>
      <c r="DH50" s="34"/>
      <c r="DI50" s="34"/>
      <c r="DJ50" s="34"/>
      <c r="DK50" s="34"/>
      <c r="DL50" s="34"/>
      <c r="DM50" s="34"/>
      <c r="DN50" s="34"/>
      <c r="DO50" s="34"/>
      <c r="DP50" s="34"/>
      <c r="DQ50" s="34"/>
      <c r="DR50" s="34"/>
      <c r="DS50" s="42"/>
      <c r="DT50" s="42"/>
      <c r="DU50" s="42"/>
      <c r="DV50" s="42"/>
      <c r="DW50" s="42"/>
      <c r="DX50" s="42"/>
      <c r="DY50" s="42"/>
      <c r="DZ50" s="42"/>
      <c r="EA50" s="42"/>
      <c r="EB50" s="42"/>
      <c r="EC50" s="42"/>
      <c r="ED50" s="42"/>
      <c r="EE50" s="42"/>
      <c r="EF50" s="42"/>
      <c r="EG50" s="42"/>
      <c r="EH50" s="211">
        <f t="shared" si="8"/>
        <v>0</v>
      </c>
      <c r="EI50" s="89"/>
      <c r="EJ50" s="89">
        <f t="shared" si="9"/>
        <v>15</v>
      </c>
      <c r="EK50" s="89"/>
      <c r="EL50" s="47">
        <f t="shared" si="13"/>
        <v>0</v>
      </c>
      <c r="EM50" s="202"/>
      <c r="EN50" s="47">
        <f t="shared" si="18"/>
        <v>14</v>
      </c>
      <c r="EO50" s="12">
        <f t="shared" si="14"/>
        <v>1</v>
      </c>
      <c r="EP50" s="12">
        <f t="shared" si="15"/>
        <v>10</v>
      </c>
      <c r="EQ50" s="12">
        <f t="shared" si="16"/>
        <v>3</v>
      </c>
      <c r="ER50" s="12">
        <f t="shared" si="4"/>
        <v>1</v>
      </c>
      <c r="ES50" s="15">
        <f t="shared" si="5"/>
        <v>0</v>
      </c>
      <c r="ET50" s="49">
        <f t="shared" si="19"/>
        <v>0</v>
      </c>
      <c r="EU50" s="49">
        <f t="shared" si="20"/>
        <v>0</v>
      </c>
      <c r="EV50" s="49">
        <f t="shared" si="12"/>
        <v>0</v>
      </c>
      <c r="EW50" s="49">
        <f t="shared" si="11"/>
        <v>0</v>
      </c>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row>
    <row r="51" spans="1:304" s="78" customFormat="1" ht="18" hidden="1" x14ac:dyDescent="0.35">
      <c r="A51" s="309"/>
      <c r="B51" s="83" t="s">
        <v>25</v>
      </c>
      <c r="C51" s="36">
        <v>0</v>
      </c>
      <c r="D51" s="36">
        <v>0</v>
      </c>
      <c r="E51" s="36">
        <v>0</v>
      </c>
      <c r="F51" s="36">
        <v>0</v>
      </c>
      <c r="G51" s="36">
        <v>0</v>
      </c>
      <c r="H51" s="36">
        <v>0</v>
      </c>
      <c r="I51" s="36">
        <v>0</v>
      </c>
      <c r="J51" s="36">
        <v>0</v>
      </c>
      <c r="K51" s="36">
        <v>0</v>
      </c>
      <c r="L51" s="36">
        <v>0</v>
      </c>
      <c r="M51" s="36">
        <v>0</v>
      </c>
      <c r="N51" s="36">
        <v>0</v>
      </c>
      <c r="O51" s="36">
        <v>0</v>
      </c>
      <c r="P51" s="36">
        <v>0</v>
      </c>
      <c r="Q51" s="36">
        <v>0</v>
      </c>
      <c r="R51" s="36">
        <v>0</v>
      </c>
      <c r="S51" s="36">
        <v>0</v>
      </c>
      <c r="T51" s="36">
        <v>0</v>
      </c>
      <c r="U51" s="36">
        <v>0</v>
      </c>
      <c r="V51" s="36">
        <v>0</v>
      </c>
      <c r="W51" s="36">
        <v>1</v>
      </c>
      <c r="X51" s="36">
        <v>0</v>
      </c>
      <c r="Y51" s="36">
        <v>0</v>
      </c>
      <c r="Z51" s="36">
        <v>0</v>
      </c>
      <c r="AA51" s="36">
        <v>0</v>
      </c>
      <c r="AB51" s="37">
        <v>0</v>
      </c>
      <c r="AC51" s="37">
        <v>0</v>
      </c>
      <c r="AD51" s="37">
        <v>0</v>
      </c>
      <c r="AE51" s="37">
        <v>0</v>
      </c>
      <c r="AF51" s="37">
        <v>0</v>
      </c>
      <c r="AG51" s="37">
        <v>0</v>
      </c>
      <c r="AH51" s="37">
        <v>0</v>
      </c>
      <c r="AI51" s="37">
        <v>0</v>
      </c>
      <c r="AJ51" s="38">
        <v>0</v>
      </c>
      <c r="AK51" s="38">
        <v>0</v>
      </c>
      <c r="AL51" s="38">
        <v>0</v>
      </c>
      <c r="AM51" s="38">
        <v>0</v>
      </c>
      <c r="AN51" s="38">
        <v>0</v>
      </c>
      <c r="AO51" s="38">
        <v>0</v>
      </c>
      <c r="AP51" s="38">
        <v>0</v>
      </c>
      <c r="AQ51" s="38">
        <v>0</v>
      </c>
      <c r="AR51" s="38">
        <v>0</v>
      </c>
      <c r="AS51" s="34">
        <v>0</v>
      </c>
      <c r="AT51" s="34">
        <v>0</v>
      </c>
      <c r="AU51" s="34">
        <v>0</v>
      </c>
      <c r="AV51" s="34">
        <v>0</v>
      </c>
      <c r="AW51" s="33">
        <v>0</v>
      </c>
      <c r="AX51" s="34">
        <v>0</v>
      </c>
      <c r="AY51" s="34">
        <v>0</v>
      </c>
      <c r="AZ51" s="34">
        <v>0</v>
      </c>
      <c r="BA51" s="34">
        <v>0</v>
      </c>
      <c r="BB51" s="34">
        <v>0</v>
      </c>
      <c r="BC51" s="34">
        <v>0</v>
      </c>
      <c r="BD51" s="34">
        <v>0</v>
      </c>
      <c r="BE51" s="34">
        <v>0</v>
      </c>
      <c r="BF51" s="34">
        <v>0</v>
      </c>
      <c r="BG51" s="34">
        <v>0</v>
      </c>
      <c r="BH51" s="34">
        <v>0</v>
      </c>
      <c r="BI51" s="34">
        <v>0</v>
      </c>
      <c r="BJ51" s="34">
        <v>0</v>
      </c>
      <c r="BK51" s="34">
        <v>0</v>
      </c>
      <c r="BL51" s="34">
        <v>0</v>
      </c>
      <c r="BM51" s="34">
        <v>0</v>
      </c>
      <c r="BN51" s="34">
        <v>0</v>
      </c>
      <c r="BO51" s="34">
        <v>0</v>
      </c>
      <c r="BP51" s="34">
        <v>0</v>
      </c>
      <c r="BQ51" s="34">
        <v>0</v>
      </c>
      <c r="BR51" s="34">
        <v>0</v>
      </c>
      <c r="BS51" s="34">
        <v>0</v>
      </c>
      <c r="BT51" s="34">
        <v>0</v>
      </c>
      <c r="BU51" s="34">
        <v>0</v>
      </c>
      <c r="BV51" s="34">
        <v>0</v>
      </c>
      <c r="BW51" s="34">
        <v>0</v>
      </c>
      <c r="BX51" s="34">
        <v>0</v>
      </c>
      <c r="BY51" s="34">
        <v>0</v>
      </c>
      <c r="BZ51" s="34">
        <v>0</v>
      </c>
      <c r="CA51" s="34">
        <v>0</v>
      </c>
      <c r="CB51" s="34">
        <v>0</v>
      </c>
      <c r="CC51" s="34">
        <v>0</v>
      </c>
      <c r="CD51" s="34">
        <v>0</v>
      </c>
      <c r="CE51" s="34">
        <v>0</v>
      </c>
      <c r="CF51" s="34">
        <v>0</v>
      </c>
      <c r="CG51" s="34">
        <v>0</v>
      </c>
      <c r="CH51" s="34">
        <v>0</v>
      </c>
      <c r="CI51" s="34">
        <v>0</v>
      </c>
      <c r="CJ51" s="34">
        <v>0</v>
      </c>
      <c r="CK51" s="34">
        <v>0</v>
      </c>
      <c r="CL51" s="34">
        <v>0</v>
      </c>
      <c r="CM51" s="34">
        <v>0</v>
      </c>
      <c r="CN51" s="34">
        <v>0</v>
      </c>
      <c r="CO51" s="34">
        <v>0</v>
      </c>
      <c r="CP51" s="34">
        <v>0</v>
      </c>
      <c r="CQ51" s="34">
        <v>0</v>
      </c>
      <c r="CR51" s="34">
        <v>0</v>
      </c>
      <c r="CS51" s="34">
        <v>0</v>
      </c>
      <c r="CT51" s="34">
        <v>0</v>
      </c>
      <c r="CU51" s="34">
        <v>0</v>
      </c>
      <c r="CV51" s="34">
        <v>0</v>
      </c>
      <c r="CW51" s="34">
        <v>0</v>
      </c>
      <c r="CX51" s="34">
        <v>0</v>
      </c>
      <c r="CY51" s="34"/>
      <c r="CZ51" s="34"/>
      <c r="DA51" s="34"/>
      <c r="DB51" s="34"/>
      <c r="DC51" s="34"/>
      <c r="DD51" s="34"/>
      <c r="DE51" s="34"/>
      <c r="DF51" s="34"/>
      <c r="DG51" s="34"/>
      <c r="DH51" s="34"/>
      <c r="DI51" s="34"/>
      <c r="DJ51" s="34"/>
      <c r="DK51" s="34"/>
      <c r="DL51" s="34"/>
      <c r="DM51" s="34"/>
      <c r="DN51" s="34"/>
      <c r="DO51" s="34"/>
      <c r="DP51" s="34"/>
      <c r="DQ51" s="34"/>
      <c r="DR51" s="34"/>
      <c r="DS51" s="42"/>
      <c r="DT51" s="42"/>
      <c r="DU51" s="42"/>
      <c r="DV51" s="42"/>
      <c r="DW51" s="42"/>
      <c r="DX51" s="42"/>
      <c r="DY51" s="42"/>
      <c r="DZ51" s="42"/>
      <c r="EA51" s="42"/>
      <c r="EB51" s="42"/>
      <c r="EC51" s="42"/>
      <c r="ED51" s="42"/>
      <c r="EE51" s="42"/>
      <c r="EF51" s="42"/>
      <c r="EG51" s="42"/>
      <c r="EH51" s="211">
        <f t="shared" si="8"/>
        <v>0</v>
      </c>
      <c r="EI51" s="89"/>
      <c r="EJ51" s="89">
        <f t="shared" si="9"/>
        <v>1</v>
      </c>
      <c r="EK51" s="89"/>
      <c r="EL51" s="47">
        <f t="shared" si="13"/>
        <v>0</v>
      </c>
      <c r="EM51" s="202"/>
      <c r="EN51" s="47">
        <f t="shared" si="18"/>
        <v>1</v>
      </c>
      <c r="EO51" s="12">
        <f t="shared" si="14"/>
        <v>0</v>
      </c>
      <c r="EP51" s="12">
        <f t="shared" si="15"/>
        <v>0</v>
      </c>
      <c r="EQ51" s="12">
        <f t="shared" si="16"/>
        <v>1</v>
      </c>
      <c r="ER51" s="12">
        <f t="shared" si="4"/>
        <v>0</v>
      </c>
      <c r="ES51" s="15">
        <f t="shared" si="5"/>
        <v>0</v>
      </c>
      <c r="ET51" s="49">
        <f t="shared" si="19"/>
        <v>0</v>
      </c>
      <c r="EU51" s="49">
        <f t="shared" si="20"/>
        <v>0</v>
      </c>
      <c r="EV51" s="49">
        <f t="shared" si="12"/>
        <v>0</v>
      </c>
      <c r="EW51" s="49">
        <f t="shared" si="11"/>
        <v>0</v>
      </c>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row>
    <row r="52" spans="1:304" s="78" customFormat="1" ht="30" hidden="1" x14ac:dyDescent="0.35">
      <c r="A52" s="309"/>
      <c r="B52" s="83" t="s">
        <v>26</v>
      </c>
      <c r="C52" s="36">
        <v>0</v>
      </c>
      <c r="D52" s="36">
        <v>0</v>
      </c>
      <c r="E52" s="36">
        <v>0</v>
      </c>
      <c r="F52" s="36">
        <v>0</v>
      </c>
      <c r="G52" s="36">
        <v>0</v>
      </c>
      <c r="H52" s="36">
        <v>0</v>
      </c>
      <c r="I52" s="36">
        <v>0</v>
      </c>
      <c r="J52" s="36">
        <v>0</v>
      </c>
      <c r="K52" s="36">
        <v>0</v>
      </c>
      <c r="L52" s="36">
        <v>0</v>
      </c>
      <c r="M52" s="36">
        <v>0</v>
      </c>
      <c r="N52" s="36">
        <v>0</v>
      </c>
      <c r="O52" s="36">
        <v>0</v>
      </c>
      <c r="P52" s="36">
        <v>0</v>
      </c>
      <c r="Q52" s="36">
        <v>0</v>
      </c>
      <c r="R52" s="36">
        <v>0</v>
      </c>
      <c r="S52" s="36">
        <v>1</v>
      </c>
      <c r="T52" s="36">
        <v>0</v>
      </c>
      <c r="U52" s="36">
        <v>1</v>
      </c>
      <c r="V52" s="36">
        <v>0</v>
      </c>
      <c r="W52" s="36">
        <v>0</v>
      </c>
      <c r="X52" s="36">
        <v>0</v>
      </c>
      <c r="Y52" s="36">
        <v>0</v>
      </c>
      <c r="Z52" s="36">
        <v>0</v>
      </c>
      <c r="AA52" s="36">
        <v>0</v>
      </c>
      <c r="AB52" s="37">
        <v>0</v>
      </c>
      <c r="AC52" s="37">
        <v>0</v>
      </c>
      <c r="AD52" s="37">
        <v>0</v>
      </c>
      <c r="AE52" s="37">
        <v>0</v>
      </c>
      <c r="AF52" s="37">
        <v>0</v>
      </c>
      <c r="AG52" s="37">
        <v>0</v>
      </c>
      <c r="AH52" s="37">
        <v>0</v>
      </c>
      <c r="AI52" s="37">
        <v>0</v>
      </c>
      <c r="AJ52" s="38">
        <v>0</v>
      </c>
      <c r="AK52" s="38">
        <v>0</v>
      </c>
      <c r="AL52" s="38">
        <v>0</v>
      </c>
      <c r="AM52" s="38">
        <v>0</v>
      </c>
      <c r="AN52" s="38">
        <v>0</v>
      </c>
      <c r="AO52" s="38">
        <v>0</v>
      </c>
      <c r="AP52" s="38">
        <v>0</v>
      </c>
      <c r="AQ52" s="38">
        <v>0</v>
      </c>
      <c r="AR52" s="38">
        <v>0</v>
      </c>
      <c r="AS52" s="34">
        <v>0</v>
      </c>
      <c r="AT52" s="34">
        <v>0</v>
      </c>
      <c r="AU52" s="34">
        <v>0</v>
      </c>
      <c r="AV52" s="34">
        <v>0</v>
      </c>
      <c r="AW52" s="33">
        <v>0</v>
      </c>
      <c r="AX52" s="34">
        <v>0</v>
      </c>
      <c r="AY52" s="34">
        <v>0</v>
      </c>
      <c r="AZ52" s="34">
        <v>0</v>
      </c>
      <c r="BA52" s="34">
        <v>0</v>
      </c>
      <c r="BB52" s="34">
        <v>0</v>
      </c>
      <c r="BC52" s="34">
        <v>0</v>
      </c>
      <c r="BD52" s="34">
        <v>0</v>
      </c>
      <c r="BE52" s="34">
        <v>0</v>
      </c>
      <c r="BF52" s="34">
        <v>0</v>
      </c>
      <c r="BG52" s="34">
        <v>0</v>
      </c>
      <c r="BH52" s="34">
        <v>0</v>
      </c>
      <c r="BI52" s="34">
        <v>0</v>
      </c>
      <c r="BJ52" s="34">
        <v>0</v>
      </c>
      <c r="BK52" s="34">
        <v>0</v>
      </c>
      <c r="BL52" s="34">
        <v>0</v>
      </c>
      <c r="BM52" s="34">
        <v>0</v>
      </c>
      <c r="BN52" s="34">
        <v>0</v>
      </c>
      <c r="BO52" s="34">
        <v>0</v>
      </c>
      <c r="BP52" s="34">
        <v>0</v>
      </c>
      <c r="BQ52" s="34">
        <v>0</v>
      </c>
      <c r="BR52" s="34">
        <v>0</v>
      </c>
      <c r="BS52" s="34">
        <v>0</v>
      </c>
      <c r="BT52" s="34">
        <v>0</v>
      </c>
      <c r="BU52" s="34">
        <v>0</v>
      </c>
      <c r="BV52" s="34">
        <v>0</v>
      </c>
      <c r="BW52" s="34">
        <v>0</v>
      </c>
      <c r="BX52" s="34">
        <v>0</v>
      </c>
      <c r="BY52" s="34">
        <v>0</v>
      </c>
      <c r="BZ52" s="34">
        <v>0</v>
      </c>
      <c r="CA52" s="34">
        <v>0</v>
      </c>
      <c r="CB52" s="34">
        <v>0</v>
      </c>
      <c r="CC52" s="34">
        <v>0</v>
      </c>
      <c r="CD52" s="34">
        <v>0</v>
      </c>
      <c r="CE52" s="34">
        <v>0</v>
      </c>
      <c r="CF52" s="34">
        <v>0</v>
      </c>
      <c r="CG52" s="34">
        <v>0</v>
      </c>
      <c r="CH52" s="34">
        <v>0</v>
      </c>
      <c r="CI52" s="34">
        <v>0</v>
      </c>
      <c r="CJ52" s="34">
        <v>0</v>
      </c>
      <c r="CK52" s="34">
        <v>0</v>
      </c>
      <c r="CL52" s="34">
        <v>0</v>
      </c>
      <c r="CM52" s="34">
        <v>0</v>
      </c>
      <c r="CN52" s="34">
        <v>0</v>
      </c>
      <c r="CO52" s="34">
        <v>0</v>
      </c>
      <c r="CP52" s="34">
        <v>0</v>
      </c>
      <c r="CQ52" s="34">
        <v>0</v>
      </c>
      <c r="CR52" s="34">
        <v>0</v>
      </c>
      <c r="CS52" s="34">
        <v>0</v>
      </c>
      <c r="CT52" s="34">
        <v>0</v>
      </c>
      <c r="CU52" s="34">
        <v>0</v>
      </c>
      <c r="CV52" s="34">
        <v>0</v>
      </c>
      <c r="CW52" s="34">
        <v>0</v>
      </c>
      <c r="CX52" s="34">
        <v>0</v>
      </c>
      <c r="CY52" s="34"/>
      <c r="CZ52" s="34"/>
      <c r="DA52" s="34"/>
      <c r="DB52" s="34"/>
      <c r="DC52" s="34"/>
      <c r="DD52" s="34"/>
      <c r="DE52" s="34"/>
      <c r="DF52" s="34"/>
      <c r="DG52" s="34"/>
      <c r="DH52" s="34"/>
      <c r="DI52" s="34"/>
      <c r="DJ52" s="34"/>
      <c r="DK52" s="34"/>
      <c r="DL52" s="34"/>
      <c r="DM52" s="34"/>
      <c r="DN52" s="34"/>
      <c r="DO52" s="34"/>
      <c r="DP52" s="34"/>
      <c r="DQ52" s="34"/>
      <c r="DR52" s="34"/>
      <c r="DS52" s="42"/>
      <c r="DT52" s="42"/>
      <c r="DU52" s="42"/>
      <c r="DV52" s="42"/>
      <c r="DW52" s="42"/>
      <c r="DX52" s="42"/>
      <c r="DY52" s="42"/>
      <c r="DZ52" s="42"/>
      <c r="EA52" s="42"/>
      <c r="EB52" s="42"/>
      <c r="EC52" s="42"/>
      <c r="ED52" s="42"/>
      <c r="EE52" s="42"/>
      <c r="EF52" s="42"/>
      <c r="EG52" s="42"/>
      <c r="EH52" s="211">
        <f t="shared" si="8"/>
        <v>0</v>
      </c>
      <c r="EI52" s="89"/>
      <c r="EJ52" s="89">
        <f t="shared" si="9"/>
        <v>2</v>
      </c>
      <c r="EK52" s="89"/>
      <c r="EL52" s="47">
        <f t="shared" si="13"/>
        <v>0</v>
      </c>
      <c r="EM52" s="202"/>
      <c r="EN52" s="47">
        <f t="shared" si="18"/>
        <v>2</v>
      </c>
      <c r="EO52" s="12">
        <f t="shared" si="14"/>
        <v>0</v>
      </c>
      <c r="EP52" s="12">
        <f t="shared" si="15"/>
        <v>0</v>
      </c>
      <c r="EQ52" s="12">
        <f t="shared" si="16"/>
        <v>2</v>
      </c>
      <c r="ER52" s="12">
        <f t="shared" si="4"/>
        <v>0</v>
      </c>
      <c r="ES52" s="15">
        <f t="shared" si="5"/>
        <v>0</v>
      </c>
      <c r="ET52" s="49">
        <f t="shared" si="19"/>
        <v>0</v>
      </c>
      <c r="EU52" s="49">
        <f t="shared" si="20"/>
        <v>0</v>
      </c>
      <c r="EV52" s="49">
        <f t="shared" si="12"/>
        <v>0</v>
      </c>
      <c r="EW52" s="49">
        <f t="shared" si="11"/>
        <v>0</v>
      </c>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row>
    <row r="53" spans="1:304" s="78" customFormat="1" ht="18" hidden="1" x14ac:dyDescent="0.35">
      <c r="A53" s="309"/>
      <c r="B53" s="83" t="s">
        <v>136</v>
      </c>
      <c r="C53" s="36">
        <v>0</v>
      </c>
      <c r="D53" s="36">
        <v>0</v>
      </c>
      <c r="E53" s="36">
        <v>0</v>
      </c>
      <c r="F53" s="36">
        <v>0</v>
      </c>
      <c r="G53" s="36">
        <v>0</v>
      </c>
      <c r="H53" s="36">
        <v>0</v>
      </c>
      <c r="I53" s="36">
        <v>0</v>
      </c>
      <c r="J53" s="36">
        <v>0</v>
      </c>
      <c r="K53" s="36">
        <v>0</v>
      </c>
      <c r="L53" s="36">
        <v>0</v>
      </c>
      <c r="M53" s="36">
        <v>0</v>
      </c>
      <c r="N53" s="36">
        <v>0</v>
      </c>
      <c r="O53" s="36">
        <v>0</v>
      </c>
      <c r="P53" s="36">
        <v>0</v>
      </c>
      <c r="Q53" s="36">
        <v>0</v>
      </c>
      <c r="R53" s="36">
        <v>0</v>
      </c>
      <c r="S53" s="36">
        <v>0</v>
      </c>
      <c r="T53" s="36">
        <v>0</v>
      </c>
      <c r="U53" s="36">
        <v>0</v>
      </c>
      <c r="V53" s="36">
        <v>0</v>
      </c>
      <c r="W53" s="36">
        <v>0</v>
      </c>
      <c r="X53" s="36">
        <v>0</v>
      </c>
      <c r="Y53" s="36">
        <v>0</v>
      </c>
      <c r="Z53" s="36">
        <v>0</v>
      </c>
      <c r="AA53" s="36">
        <v>0</v>
      </c>
      <c r="AB53" s="37">
        <v>0</v>
      </c>
      <c r="AC53" s="37">
        <v>0</v>
      </c>
      <c r="AD53" s="37">
        <v>0</v>
      </c>
      <c r="AE53" s="37">
        <v>0</v>
      </c>
      <c r="AF53" s="37">
        <v>0</v>
      </c>
      <c r="AG53" s="37">
        <v>0</v>
      </c>
      <c r="AH53" s="37">
        <v>0</v>
      </c>
      <c r="AI53" s="37">
        <v>0</v>
      </c>
      <c r="AJ53" s="38">
        <v>0</v>
      </c>
      <c r="AK53" s="38">
        <v>0</v>
      </c>
      <c r="AL53" s="38">
        <v>0</v>
      </c>
      <c r="AM53" s="38">
        <v>0</v>
      </c>
      <c r="AN53" s="38">
        <v>0</v>
      </c>
      <c r="AO53" s="38">
        <v>0</v>
      </c>
      <c r="AP53" s="38">
        <v>0</v>
      </c>
      <c r="AQ53" s="38">
        <v>0</v>
      </c>
      <c r="AR53" s="38">
        <v>0</v>
      </c>
      <c r="AS53" s="34">
        <v>0</v>
      </c>
      <c r="AT53" s="34">
        <v>0</v>
      </c>
      <c r="AU53" s="34">
        <v>0</v>
      </c>
      <c r="AV53" s="34">
        <v>0</v>
      </c>
      <c r="AW53" s="33">
        <v>0</v>
      </c>
      <c r="AX53" s="34">
        <v>0</v>
      </c>
      <c r="AY53" s="34">
        <v>0</v>
      </c>
      <c r="AZ53" s="34">
        <v>0</v>
      </c>
      <c r="BA53" s="34">
        <v>0</v>
      </c>
      <c r="BB53" s="34">
        <v>0</v>
      </c>
      <c r="BC53" s="34">
        <v>0</v>
      </c>
      <c r="BD53" s="34">
        <v>0</v>
      </c>
      <c r="BE53" s="34">
        <v>0</v>
      </c>
      <c r="BF53" s="34">
        <v>0</v>
      </c>
      <c r="BG53" s="34">
        <v>0</v>
      </c>
      <c r="BH53" s="34">
        <v>0</v>
      </c>
      <c r="BI53" s="34">
        <v>0</v>
      </c>
      <c r="BJ53" s="34">
        <v>0</v>
      </c>
      <c r="BK53" s="34">
        <v>0</v>
      </c>
      <c r="BL53" s="34">
        <v>0</v>
      </c>
      <c r="BM53" s="34">
        <v>0</v>
      </c>
      <c r="BN53" s="34">
        <v>0</v>
      </c>
      <c r="BO53" s="34">
        <v>0</v>
      </c>
      <c r="BP53" s="34">
        <v>0</v>
      </c>
      <c r="BQ53" s="34">
        <v>0</v>
      </c>
      <c r="BR53" s="34">
        <v>0</v>
      </c>
      <c r="BS53" s="34">
        <v>0</v>
      </c>
      <c r="BT53" s="34">
        <v>0</v>
      </c>
      <c r="BU53" s="34">
        <v>0</v>
      </c>
      <c r="BV53" s="34">
        <v>0</v>
      </c>
      <c r="BW53" s="34">
        <v>0</v>
      </c>
      <c r="BX53" s="34">
        <v>0</v>
      </c>
      <c r="BY53" s="34">
        <v>0</v>
      </c>
      <c r="BZ53" s="34">
        <v>0</v>
      </c>
      <c r="CA53" s="34">
        <v>0</v>
      </c>
      <c r="CB53" s="34">
        <v>0</v>
      </c>
      <c r="CC53" s="34">
        <v>0</v>
      </c>
      <c r="CD53" s="34">
        <v>0</v>
      </c>
      <c r="CE53" s="34">
        <v>0</v>
      </c>
      <c r="CF53" s="34">
        <v>0</v>
      </c>
      <c r="CG53" s="34">
        <v>0</v>
      </c>
      <c r="CH53" s="34">
        <v>0</v>
      </c>
      <c r="CI53" s="34">
        <v>0</v>
      </c>
      <c r="CJ53" s="34">
        <v>0</v>
      </c>
      <c r="CK53" s="34">
        <v>0</v>
      </c>
      <c r="CL53" s="34">
        <v>0</v>
      </c>
      <c r="CM53" s="34">
        <v>1</v>
      </c>
      <c r="CN53" s="34">
        <v>0</v>
      </c>
      <c r="CO53" s="34">
        <v>0</v>
      </c>
      <c r="CP53" s="34">
        <v>0</v>
      </c>
      <c r="CQ53" s="34">
        <v>0</v>
      </c>
      <c r="CR53" s="34">
        <v>0</v>
      </c>
      <c r="CS53" s="34">
        <v>0</v>
      </c>
      <c r="CT53" s="34">
        <v>0</v>
      </c>
      <c r="CU53" s="34">
        <v>0</v>
      </c>
      <c r="CV53" s="34">
        <v>0</v>
      </c>
      <c r="CW53" s="34">
        <v>0</v>
      </c>
      <c r="CX53" s="34">
        <v>0</v>
      </c>
      <c r="CY53" s="34"/>
      <c r="CZ53" s="34"/>
      <c r="DA53" s="34"/>
      <c r="DB53" s="34"/>
      <c r="DC53" s="34"/>
      <c r="DD53" s="34"/>
      <c r="DE53" s="34"/>
      <c r="DF53" s="34"/>
      <c r="DG53" s="34"/>
      <c r="DH53" s="34"/>
      <c r="DI53" s="34"/>
      <c r="DJ53" s="34"/>
      <c r="DK53" s="34"/>
      <c r="DL53" s="34"/>
      <c r="DM53" s="34"/>
      <c r="DN53" s="34"/>
      <c r="DO53" s="34"/>
      <c r="DP53" s="34"/>
      <c r="DQ53" s="34"/>
      <c r="DR53" s="34"/>
      <c r="DS53" s="42"/>
      <c r="DT53" s="42"/>
      <c r="DU53" s="42"/>
      <c r="DV53" s="42"/>
      <c r="DW53" s="42"/>
      <c r="DX53" s="42"/>
      <c r="DY53" s="42"/>
      <c r="DZ53" s="42"/>
      <c r="EA53" s="42"/>
      <c r="EB53" s="42"/>
      <c r="EC53" s="42"/>
      <c r="ED53" s="42"/>
      <c r="EE53" s="42"/>
      <c r="EF53" s="42"/>
      <c r="EG53" s="42"/>
      <c r="EH53" s="211">
        <f t="shared" si="8"/>
        <v>0</v>
      </c>
      <c r="EI53" s="89"/>
      <c r="EJ53" s="89">
        <f t="shared" si="9"/>
        <v>1</v>
      </c>
      <c r="EK53" s="89"/>
      <c r="EL53" s="47">
        <f t="shared" si="13"/>
        <v>0</v>
      </c>
      <c r="EM53" s="202"/>
      <c r="EN53" s="47">
        <f t="shared" si="18"/>
        <v>1</v>
      </c>
      <c r="EO53" s="12"/>
      <c r="EP53" s="12"/>
      <c r="EQ53" s="12"/>
      <c r="ER53" s="12"/>
      <c r="ES53" s="15"/>
      <c r="ET53" s="49">
        <f t="shared" si="19"/>
        <v>0</v>
      </c>
      <c r="EU53" s="49">
        <f t="shared" si="20"/>
        <v>1</v>
      </c>
      <c r="EV53" s="49">
        <f t="shared" si="12"/>
        <v>0</v>
      </c>
      <c r="EW53" s="49">
        <f t="shared" si="11"/>
        <v>0</v>
      </c>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row>
    <row r="54" spans="1:304" s="78" customFormat="1" hidden="1" x14ac:dyDescent="0.25">
      <c r="A54" s="309"/>
      <c r="B54" s="83" t="s">
        <v>12</v>
      </c>
      <c r="C54" s="34">
        <v>0</v>
      </c>
      <c r="D54" s="34">
        <v>0</v>
      </c>
      <c r="E54" s="34">
        <v>0</v>
      </c>
      <c r="F54" s="34">
        <v>0</v>
      </c>
      <c r="G54" s="34">
        <v>0</v>
      </c>
      <c r="H54" s="34">
        <v>0</v>
      </c>
      <c r="I54" s="34">
        <v>0</v>
      </c>
      <c r="J54" s="34">
        <v>0</v>
      </c>
      <c r="K54" s="34">
        <v>0</v>
      </c>
      <c r="L54" s="34">
        <v>0</v>
      </c>
      <c r="M54" s="34">
        <v>0</v>
      </c>
      <c r="N54" s="34">
        <v>0</v>
      </c>
      <c r="O54" s="34">
        <v>0</v>
      </c>
      <c r="P54" s="34">
        <v>0</v>
      </c>
      <c r="Q54" s="34">
        <v>0</v>
      </c>
      <c r="R54" s="34">
        <v>0</v>
      </c>
      <c r="S54" s="34">
        <v>0</v>
      </c>
      <c r="T54" s="34">
        <v>0</v>
      </c>
      <c r="U54" s="34">
        <v>0</v>
      </c>
      <c r="V54" s="34">
        <v>0</v>
      </c>
      <c r="W54" s="34">
        <v>0</v>
      </c>
      <c r="X54" s="34">
        <v>0</v>
      </c>
      <c r="Y54" s="34">
        <v>0</v>
      </c>
      <c r="Z54" s="34">
        <v>0</v>
      </c>
      <c r="AA54" s="34">
        <v>0</v>
      </c>
      <c r="AB54" s="34">
        <v>0</v>
      </c>
      <c r="AC54" s="34">
        <v>0</v>
      </c>
      <c r="AD54" s="34">
        <v>0</v>
      </c>
      <c r="AE54" s="34">
        <v>0</v>
      </c>
      <c r="AF54" s="34">
        <v>0</v>
      </c>
      <c r="AG54" s="34">
        <v>0</v>
      </c>
      <c r="AH54" s="34">
        <v>0</v>
      </c>
      <c r="AI54" s="34">
        <v>0</v>
      </c>
      <c r="AJ54" s="34">
        <v>0</v>
      </c>
      <c r="AK54" s="34">
        <v>0</v>
      </c>
      <c r="AL54" s="34">
        <v>0</v>
      </c>
      <c r="AM54" s="34">
        <v>0</v>
      </c>
      <c r="AN54" s="34">
        <v>0</v>
      </c>
      <c r="AO54" s="34">
        <v>0</v>
      </c>
      <c r="AP54" s="34">
        <v>0</v>
      </c>
      <c r="AQ54" s="34">
        <v>0</v>
      </c>
      <c r="AR54" s="34">
        <v>0</v>
      </c>
      <c r="AS54" s="34">
        <v>0</v>
      </c>
      <c r="AT54" s="34">
        <v>0</v>
      </c>
      <c r="AU54" s="34">
        <v>0</v>
      </c>
      <c r="AV54" s="34">
        <v>0</v>
      </c>
      <c r="AW54" s="34">
        <v>0</v>
      </c>
      <c r="AX54" s="34">
        <v>0</v>
      </c>
      <c r="AY54" s="34">
        <v>0</v>
      </c>
      <c r="AZ54" s="34">
        <v>0</v>
      </c>
      <c r="BA54" s="34">
        <v>0</v>
      </c>
      <c r="BB54" s="34">
        <v>0</v>
      </c>
      <c r="BC54" s="34">
        <v>0</v>
      </c>
      <c r="BD54" s="34">
        <v>0</v>
      </c>
      <c r="BE54" s="34">
        <v>0</v>
      </c>
      <c r="BF54" s="34">
        <v>0</v>
      </c>
      <c r="BG54" s="34">
        <v>0</v>
      </c>
      <c r="BH54" s="34">
        <v>0</v>
      </c>
      <c r="BI54" s="34">
        <v>0</v>
      </c>
      <c r="BJ54" s="34">
        <v>0</v>
      </c>
      <c r="BK54" s="34">
        <v>0</v>
      </c>
      <c r="BL54" s="34">
        <v>0</v>
      </c>
      <c r="BM54" s="34">
        <v>0</v>
      </c>
      <c r="BN54" s="34">
        <v>0</v>
      </c>
      <c r="BO54" s="34">
        <v>0</v>
      </c>
      <c r="BP54" s="34">
        <v>0</v>
      </c>
      <c r="BQ54" s="34">
        <v>0</v>
      </c>
      <c r="BR54" s="34">
        <v>0</v>
      </c>
      <c r="BS54" s="34">
        <v>0</v>
      </c>
      <c r="BT54" s="34">
        <v>0</v>
      </c>
      <c r="BU54" s="34">
        <v>0</v>
      </c>
      <c r="BV54" s="34">
        <v>0</v>
      </c>
      <c r="BW54" s="34">
        <v>0</v>
      </c>
      <c r="BX54" s="34">
        <v>0</v>
      </c>
      <c r="BY54" s="34">
        <v>0</v>
      </c>
      <c r="BZ54" s="34">
        <v>0</v>
      </c>
      <c r="CA54" s="34">
        <v>0</v>
      </c>
      <c r="CB54" s="34">
        <v>0</v>
      </c>
      <c r="CC54" s="34">
        <v>0</v>
      </c>
      <c r="CD54" s="34">
        <v>0</v>
      </c>
      <c r="CE54" s="34">
        <v>0</v>
      </c>
      <c r="CF54" s="34">
        <v>0</v>
      </c>
      <c r="CG54" s="34">
        <v>0</v>
      </c>
      <c r="CH54" s="34">
        <v>0</v>
      </c>
      <c r="CI54" s="34">
        <v>0</v>
      </c>
      <c r="CJ54" s="34">
        <v>0</v>
      </c>
      <c r="CK54" s="34">
        <v>0</v>
      </c>
      <c r="CL54" s="34">
        <v>0</v>
      </c>
      <c r="CM54" s="34">
        <v>0</v>
      </c>
      <c r="CN54" s="34">
        <v>0</v>
      </c>
      <c r="CO54" s="34">
        <v>1</v>
      </c>
      <c r="CP54" s="34">
        <v>0</v>
      </c>
      <c r="CQ54" s="34">
        <v>0</v>
      </c>
      <c r="CR54" s="34">
        <v>0</v>
      </c>
      <c r="CS54" s="34">
        <v>0</v>
      </c>
      <c r="CT54" s="34">
        <v>0</v>
      </c>
      <c r="CU54" s="34">
        <v>0</v>
      </c>
      <c r="CV54" s="34">
        <v>0</v>
      </c>
      <c r="CW54" s="34">
        <v>0</v>
      </c>
      <c r="CX54" s="34">
        <v>0</v>
      </c>
      <c r="CY54" s="34"/>
      <c r="CZ54" s="34"/>
      <c r="DA54" s="34"/>
      <c r="DB54" s="34"/>
      <c r="DC54" s="34"/>
      <c r="DD54" s="34"/>
      <c r="DE54" s="34"/>
      <c r="DF54" s="34"/>
      <c r="DG54" s="34"/>
      <c r="DH54" s="34"/>
      <c r="DI54" s="34"/>
      <c r="DJ54" s="34"/>
      <c r="DK54" s="34"/>
      <c r="DL54" s="34"/>
      <c r="DM54" s="34"/>
      <c r="DN54" s="34"/>
      <c r="DO54" s="34"/>
      <c r="DP54" s="34"/>
      <c r="DQ54" s="34"/>
      <c r="DR54" s="34"/>
      <c r="DS54" s="42"/>
      <c r="DT54" s="42"/>
      <c r="DU54" s="42"/>
      <c r="DV54" s="42"/>
      <c r="DW54" s="42"/>
      <c r="DX54" s="42"/>
      <c r="DY54" s="42"/>
      <c r="DZ54" s="42"/>
      <c r="EA54" s="42"/>
      <c r="EB54" s="42"/>
      <c r="EC54" s="42"/>
      <c r="ED54" s="42"/>
      <c r="EE54" s="42"/>
      <c r="EF54" s="42"/>
      <c r="EG54" s="42"/>
      <c r="EH54" s="211">
        <f t="shared" si="8"/>
        <v>0</v>
      </c>
      <c r="EI54" s="89"/>
      <c r="EJ54" s="89">
        <f t="shared" si="9"/>
        <v>1</v>
      </c>
      <c r="EK54" s="89"/>
      <c r="EL54" s="47">
        <f t="shared" si="13"/>
        <v>0</v>
      </c>
      <c r="EM54" s="202"/>
      <c r="EN54" s="47">
        <f t="shared" si="18"/>
        <v>1</v>
      </c>
      <c r="EO54" s="12"/>
      <c r="EP54" s="12"/>
      <c r="EQ54" s="12"/>
      <c r="ER54" s="12"/>
      <c r="ES54" s="15"/>
      <c r="ET54" s="49">
        <f t="shared" si="19"/>
        <v>0</v>
      </c>
      <c r="EU54" s="49">
        <f t="shared" si="20"/>
        <v>1</v>
      </c>
      <c r="EV54" s="49">
        <f t="shared" ref="EV54:EV85" si="21">SUM(CV54:DS54)</f>
        <v>0</v>
      </c>
      <c r="EW54" s="49">
        <f t="shared" si="11"/>
        <v>0</v>
      </c>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row>
    <row r="55" spans="1:304" s="78" customFormat="1" ht="18" hidden="1" x14ac:dyDescent="0.35">
      <c r="A55" s="309"/>
      <c r="B55" s="83" t="s">
        <v>17</v>
      </c>
      <c r="C55" s="36">
        <v>0</v>
      </c>
      <c r="D55" s="36">
        <v>0</v>
      </c>
      <c r="E55" s="36">
        <v>0</v>
      </c>
      <c r="F55" s="36">
        <v>0</v>
      </c>
      <c r="G55" s="36">
        <v>0</v>
      </c>
      <c r="H55" s="36">
        <v>1</v>
      </c>
      <c r="I55" s="36">
        <v>0</v>
      </c>
      <c r="J55" s="36">
        <v>0</v>
      </c>
      <c r="K55" s="36">
        <v>0</v>
      </c>
      <c r="L55" s="36">
        <v>0</v>
      </c>
      <c r="M55" s="36">
        <v>0</v>
      </c>
      <c r="N55" s="36">
        <v>0</v>
      </c>
      <c r="O55" s="36">
        <v>0</v>
      </c>
      <c r="P55" s="36">
        <v>0</v>
      </c>
      <c r="Q55" s="36">
        <v>0</v>
      </c>
      <c r="R55" s="36">
        <v>0</v>
      </c>
      <c r="S55" s="36">
        <v>0</v>
      </c>
      <c r="T55" s="36">
        <v>0</v>
      </c>
      <c r="U55" s="36">
        <v>0</v>
      </c>
      <c r="V55" s="36">
        <v>0</v>
      </c>
      <c r="W55" s="36">
        <v>0</v>
      </c>
      <c r="X55" s="36">
        <v>0</v>
      </c>
      <c r="Y55" s="36">
        <v>0</v>
      </c>
      <c r="Z55" s="36">
        <v>0</v>
      </c>
      <c r="AA55" s="36">
        <v>0</v>
      </c>
      <c r="AB55" s="36">
        <v>0</v>
      </c>
      <c r="AC55" s="36">
        <v>0</v>
      </c>
      <c r="AD55" s="36">
        <v>0</v>
      </c>
      <c r="AE55" s="36">
        <v>0</v>
      </c>
      <c r="AF55" s="36">
        <v>0</v>
      </c>
      <c r="AG55" s="36">
        <v>0</v>
      </c>
      <c r="AH55" s="36">
        <v>0</v>
      </c>
      <c r="AI55" s="36">
        <v>0</v>
      </c>
      <c r="AJ55" s="36">
        <v>0</v>
      </c>
      <c r="AK55" s="36">
        <v>0</v>
      </c>
      <c r="AL55" s="36">
        <v>0</v>
      </c>
      <c r="AM55" s="36">
        <v>0</v>
      </c>
      <c r="AN55" s="36">
        <v>0</v>
      </c>
      <c r="AO55" s="36">
        <v>0</v>
      </c>
      <c r="AP55" s="36">
        <v>0</v>
      </c>
      <c r="AQ55" s="36">
        <v>0</v>
      </c>
      <c r="AR55" s="36">
        <v>0</v>
      </c>
      <c r="AS55" s="36">
        <v>0</v>
      </c>
      <c r="AT55" s="36">
        <v>0</v>
      </c>
      <c r="AU55" s="36">
        <v>0</v>
      </c>
      <c r="AV55" s="36">
        <v>0</v>
      </c>
      <c r="AW55" s="36">
        <v>0</v>
      </c>
      <c r="AX55" s="36">
        <v>0</v>
      </c>
      <c r="AY55" s="36">
        <v>0</v>
      </c>
      <c r="AZ55" s="36">
        <v>0</v>
      </c>
      <c r="BA55" s="36">
        <v>0</v>
      </c>
      <c r="BB55" s="36">
        <v>0</v>
      </c>
      <c r="BC55" s="36">
        <v>0</v>
      </c>
      <c r="BD55" s="36">
        <v>0</v>
      </c>
      <c r="BE55" s="36">
        <v>0</v>
      </c>
      <c r="BF55" s="36">
        <v>0</v>
      </c>
      <c r="BG55" s="36">
        <v>0</v>
      </c>
      <c r="BH55" s="36">
        <v>0</v>
      </c>
      <c r="BI55" s="36">
        <v>0</v>
      </c>
      <c r="BJ55" s="36">
        <v>0</v>
      </c>
      <c r="BK55" s="36">
        <v>0</v>
      </c>
      <c r="BL55" s="36">
        <v>0</v>
      </c>
      <c r="BM55" s="36">
        <v>0</v>
      </c>
      <c r="BN55" s="36">
        <v>0</v>
      </c>
      <c r="BO55" s="36">
        <v>0</v>
      </c>
      <c r="BP55" s="36">
        <v>0</v>
      </c>
      <c r="BQ55" s="36">
        <v>0</v>
      </c>
      <c r="BR55" s="36">
        <v>0</v>
      </c>
      <c r="BS55" s="36">
        <v>0</v>
      </c>
      <c r="BT55" s="36">
        <v>0</v>
      </c>
      <c r="BU55" s="36">
        <v>0</v>
      </c>
      <c r="BV55" s="36">
        <v>0</v>
      </c>
      <c r="BW55" s="36">
        <v>0</v>
      </c>
      <c r="BX55" s="36">
        <v>0</v>
      </c>
      <c r="BY55" s="36">
        <v>0</v>
      </c>
      <c r="BZ55" s="36">
        <v>0</v>
      </c>
      <c r="CA55" s="36">
        <v>0</v>
      </c>
      <c r="CB55" s="36">
        <v>0</v>
      </c>
      <c r="CC55" s="36">
        <v>0</v>
      </c>
      <c r="CD55" s="36">
        <v>0</v>
      </c>
      <c r="CE55" s="36">
        <v>0</v>
      </c>
      <c r="CF55" s="36">
        <v>0</v>
      </c>
      <c r="CG55" s="36">
        <v>0</v>
      </c>
      <c r="CH55" s="36">
        <v>0</v>
      </c>
      <c r="CI55" s="36">
        <v>0</v>
      </c>
      <c r="CJ55" s="36">
        <v>0</v>
      </c>
      <c r="CK55" s="36">
        <v>0</v>
      </c>
      <c r="CL55" s="36">
        <v>0</v>
      </c>
      <c r="CM55" s="36">
        <v>0</v>
      </c>
      <c r="CN55" s="36">
        <v>0</v>
      </c>
      <c r="CO55" s="36">
        <v>0</v>
      </c>
      <c r="CP55" s="34">
        <v>0</v>
      </c>
      <c r="CQ55" s="34">
        <v>0</v>
      </c>
      <c r="CR55" s="34">
        <v>0</v>
      </c>
      <c r="CS55" s="34">
        <v>0</v>
      </c>
      <c r="CT55" s="34">
        <v>0</v>
      </c>
      <c r="CU55" s="34">
        <v>0</v>
      </c>
      <c r="CV55" s="34">
        <v>0</v>
      </c>
      <c r="CW55" s="34">
        <v>0</v>
      </c>
      <c r="CX55" s="34">
        <v>0</v>
      </c>
      <c r="CY55" s="34"/>
      <c r="CZ55" s="34"/>
      <c r="DA55" s="34"/>
      <c r="DB55" s="34"/>
      <c r="DC55" s="34"/>
      <c r="DD55" s="34"/>
      <c r="DE55" s="34"/>
      <c r="DF55" s="34"/>
      <c r="DG55" s="34"/>
      <c r="DH55" s="34"/>
      <c r="DI55" s="34"/>
      <c r="DJ55" s="34"/>
      <c r="DK55" s="34"/>
      <c r="DL55" s="34"/>
      <c r="DM55" s="34"/>
      <c r="DN55" s="34"/>
      <c r="DO55" s="34"/>
      <c r="DP55" s="34"/>
      <c r="DQ55" s="34"/>
      <c r="DR55" s="34"/>
      <c r="DS55" s="42"/>
      <c r="DT55" s="42"/>
      <c r="DU55" s="42"/>
      <c r="DV55" s="42"/>
      <c r="DW55" s="42"/>
      <c r="DX55" s="42"/>
      <c r="DY55" s="42"/>
      <c r="DZ55" s="42"/>
      <c r="EA55" s="42"/>
      <c r="EB55" s="42"/>
      <c r="EC55" s="42"/>
      <c r="ED55" s="42"/>
      <c r="EE55" s="42"/>
      <c r="EF55" s="42"/>
      <c r="EG55" s="42"/>
      <c r="EH55" s="211">
        <f t="shared" si="8"/>
        <v>0</v>
      </c>
      <c r="EI55" s="89"/>
      <c r="EJ55" s="89">
        <f t="shared" si="9"/>
        <v>1</v>
      </c>
      <c r="EK55" s="89"/>
      <c r="EL55" s="47">
        <f t="shared" si="13"/>
        <v>0</v>
      </c>
      <c r="EM55" s="202"/>
      <c r="EN55" s="47">
        <f t="shared" si="18"/>
        <v>0</v>
      </c>
      <c r="EO55" s="12">
        <f t="shared" ref="EO55:EO95" si="22">SUM(C55:C55)</f>
        <v>0</v>
      </c>
      <c r="EP55" s="12">
        <f t="shared" ref="EP55:EP95" si="23">SUM(D55:O55)</f>
        <v>1</v>
      </c>
      <c r="EQ55" s="12">
        <f t="shared" ref="EQ55:EQ95" si="24">SUM(P55:AA55)</f>
        <v>0</v>
      </c>
      <c r="ER55" s="12">
        <f t="shared" ref="ER55:ER95" si="25">SUM(AB55:AM55)</f>
        <v>0</v>
      </c>
      <c r="ES55" s="15">
        <f t="shared" ref="ES55:ES95" si="26">SUM(AN55:AY55)</f>
        <v>0</v>
      </c>
      <c r="ET55" s="49">
        <f t="shared" si="19"/>
        <v>0</v>
      </c>
      <c r="EU55" s="49">
        <f t="shared" si="20"/>
        <v>0</v>
      </c>
      <c r="EV55" s="49">
        <f t="shared" si="21"/>
        <v>0</v>
      </c>
      <c r="EW55" s="49">
        <f t="shared" si="11"/>
        <v>0</v>
      </c>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row>
    <row r="56" spans="1:304" s="78" customFormat="1" ht="18" hidden="1" x14ac:dyDescent="0.35">
      <c r="A56" s="309"/>
      <c r="B56" s="83" t="s">
        <v>67</v>
      </c>
      <c r="C56" s="36">
        <v>0</v>
      </c>
      <c r="D56" s="36">
        <v>0</v>
      </c>
      <c r="E56" s="36">
        <v>0</v>
      </c>
      <c r="F56" s="36">
        <v>1</v>
      </c>
      <c r="G56" s="36"/>
      <c r="H56" s="36"/>
      <c r="I56" s="36"/>
      <c r="J56" s="36"/>
      <c r="K56" s="36"/>
      <c r="L56" s="36"/>
      <c r="M56" s="36"/>
      <c r="N56" s="36"/>
      <c r="O56" s="36"/>
      <c r="P56" s="36"/>
      <c r="Q56" s="36"/>
      <c r="R56" s="36"/>
      <c r="S56" s="36"/>
      <c r="T56" s="36"/>
      <c r="U56" s="36"/>
      <c r="V56" s="36"/>
      <c r="W56" s="36"/>
      <c r="X56" s="36"/>
      <c r="Y56" s="36"/>
      <c r="Z56" s="36"/>
      <c r="AA56" s="36"/>
      <c r="AB56" s="37"/>
      <c r="AC56" s="37"/>
      <c r="AD56" s="37"/>
      <c r="AE56" s="37"/>
      <c r="AF56" s="37"/>
      <c r="AG56" s="37"/>
      <c r="AH56" s="37"/>
      <c r="AI56" s="37"/>
      <c r="AJ56" s="38"/>
      <c r="AK56" s="38"/>
      <c r="AL56" s="38"/>
      <c r="AM56" s="38"/>
      <c r="AN56" s="38"/>
      <c r="AO56" s="38"/>
      <c r="AP56" s="38"/>
      <c r="AQ56" s="38"/>
      <c r="AR56" s="38"/>
      <c r="AS56" s="34"/>
      <c r="AT56" s="34">
        <v>0</v>
      </c>
      <c r="AU56" s="34">
        <v>0</v>
      </c>
      <c r="AV56" s="34">
        <v>0</v>
      </c>
      <c r="AW56" s="33">
        <v>0</v>
      </c>
      <c r="AX56" s="34">
        <v>0</v>
      </c>
      <c r="AY56" s="34">
        <v>0</v>
      </c>
      <c r="AZ56" s="34">
        <v>0</v>
      </c>
      <c r="BA56" s="34">
        <v>0</v>
      </c>
      <c r="BB56" s="34">
        <v>0</v>
      </c>
      <c r="BC56" s="34">
        <v>0</v>
      </c>
      <c r="BD56" s="34">
        <v>0</v>
      </c>
      <c r="BE56" s="34">
        <v>0</v>
      </c>
      <c r="BF56" s="34">
        <v>0</v>
      </c>
      <c r="BG56" s="34">
        <v>0</v>
      </c>
      <c r="BH56" s="34">
        <v>0</v>
      </c>
      <c r="BI56" s="34">
        <v>0</v>
      </c>
      <c r="BJ56" s="34">
        <v>0</v>
      </c>
      <c r="BK56" s="34">
        <v>0</v>
      </c>
      <c r="BL56" s="34">
        <v>0</v>
      </c>
      <c r="BM56" s="34">
        <v>0</v>
      </c>
      <c r="BN56" s="34">
        <v>0</v>
      </c>
      <c r="BO56" s="34">
        <v>0</v>
      </c>
      <c r="BP56" s="34">
        <v>0</v>
      </c>
      <c r="BQ56" s="34">
        <v>0</v>
      </c>
      <c r="BR56" s="34">
        <v>0</v>
      </c>
      <c r="BS56" s="34">
        <v>0</v>
      </c>
      <c r="BT56" s="34">
        <v>0</v>
      </c>
      <c r="BU56" s="34">
        <v>0</v>
      </c>
      <c r="BV56" s="34">
        <v>0</v>
      </c>
      <c r="BW56" s="34">
        <v>0</v>
      </c>
      <c r="BX56" s="34">
        <v>0</v>
      </c>
      <c r="BY56" s="34">
        <v>0</v>
      </c>
      <c r="BZ56" s="34">
        <v>0</v>
      </c>
      <c r="CA56" s="34">
        <v>0</v>
      </c>
      <c r="CB56" s="34">
        <v>0</v>
      </c>
      <c r="CC56" s="34">
        <v>0</v>
      </c>
      <c r="CD56" s="34">
        <v>0</v>
      </c>
      <c r="CE56" s="34">
        <v>0</v>
      </c>
      <c r="CF56" s="34">
        <v>0</v>
      </c>
      <c r="CG56" s="34">
        <v>0</v>
      </c>
      <c r="CH56" s="34">
        <v>0</v>
      </c>
      <c r="CI56" s="34">
        <v>0</v>
      </c>
      <c r="CJ56" s="34">
        <v>0</v>
      </c>
      <c r="CK56" s="34">
        <v>0</v>
      </c>
      <c r="CL56" s="34">
        <v>0</v>
      </c>
      <c r="CM56" s="34">
        <v>0</v>
      </c>
      <c r="CN56" s="34">
        <v>0</v>
      </c>
      <c r="CO56" s="34">
        <v>0</v>
      </c>
      <c r="CP56" s="34">
        <v>0</v>
      </c>
      <c r="CQ56" s="34">
        <v>0</v>
      </c>
      <c r="CR56" s="34">
        <v>0</v>
      </c>
      <c r="CS56" s="34">
        <v>0</v>
      </c>
      <c r="CT56" s="34">
        <v>0</v>
      </c>
      <c r="CU56" s="34">
        <v>0</v>
      </c>
      <c r="CV56" s="34">
        <v>0</v>
      </c>
      <c r="CW56" s="34">
        <v>0</v>
      </c>
      <c r="CX56" s="34">
        <v>0</v>
      </c>
      <c r="CY56" s="34"/>
      <c r="CZ56" s="34"/>
      <c r="DA56" s="34"/>
      <c r="DB56" s="34"/>
      <c r="DC56" s="34"/>
      <c r="DD56" s="34"/>
      <c r="DE56" s="34"/>
      <c r="DF56" s="34"/>
      <c r="DG56" s="34"/>
      <c r="DH56" s="34"/>
      <c r="DI56" s="34"/>
      <c r="DJ56" s="34"/>
      <c r="DK56" s="34"/>
      <c r="DL56" s="34"/>
      <c r="DM56" s="34"/>
      <c r="DN56" s="34"/>
      <c r="DO56" s="34"/>
      <c r="DP56" s="34"/>
      <c r="DQ56" s="34"/>
      <c r="DR56" s="34"/>
      <c r="DS56" s="42"/>
      <c r="DT56" s="42"/>
      <c r="DU56" s="42"/>
      <c r="DV56" s="42"/>
      <c r="DW56" s="42"/>
      <c r="DX56" s="42"/>
      <c r="DY56" s="42"/>
      <c r="DZ56" s="42"/>
      <c r="EA56" s="42"/>
      <c r="EB56" s="42"/>
      <c r="EC56" s="42"/>
      <c r="ED56" s="42"/>
      <c r="EE56" s="42"/>
      <c r="EF56" s="42"/>
      <c r="EG56" s="42"/>
      <c r="EH56" s="211">
        <f t="shared" si="8"/>
        <v>0</v>
      </c>
      <c r="EI56" s="89"/>
      <c r="EJ56" s="89">
        <f t="shared" si="9"/>
        <v>1</v>
      </c>
      <c r="EK56" s="89"/>
      <c r="EL56" s="47">
        <f t="shared" si="13"/>
        <v>0</v>
      </c>
      <c r="EM56" s="202"/>
      <c r="EN56" s="47">
        <f t="shared" si="18"/>
        <v>0</v>
      </c>
      <c r="EO56" s="12">
        <f t="shared" si="22"/>
        <v>0</v>
      </c>
      <c r="EP56" s="12">
        <f t="shared" si="23"/>
        <v>1</v>
      </c>
      <c r="EQ56" s="12">
        <f t="shared" si="24"/>
        <v>0</v>
      </c>
      <c r="ER56" s="12">
        <f t="shared" si="25"/>
        <v>0</v>
      </c>
      <c r="ES56" s="15">
        <f t="shared" si="26"/>
        <v>0</v>
      </c>
      <c r="ET56" s="49">
        <f t="shared" si="19"/>
        <v>0</v>
      </c>
      <c r="EU56" s="49">
        <f t="shared" si="20"/>
        <v>0</v>
      </c>
      <c r="EV56" s="49">
        <f t="shared" si="21"/>
        <v>0</v>
      </c>
      <c r="EW56" s="49">
        <f t="shared" si="11"/>
        <v>0</v>
      </c>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row>
    <row r="57" spans="1:304" s="78" customFormat="1" hidden="1" x14ac:dyDescent="0.25">
      <c r="A57" s="309"/>
      <c r="B57" s="83" t="s">
        <v>161</v>
      </c>
      <c r="C57" s="33" t="s">
        <v>154</v>
      </c>
      <c r="D57" s="33" t="s">
        <v>154</v>
      </c>
      <c r="E57" s="33" t="s">
        <v>154</v>
      </c>
      <c r="F57" s="33" t="s">
        <v>154</v>
      </c>
      <c r="G57" s="33" t="s">
        <v>154</v>
      </c>
      <c r="H57" s="33" t="s">
        <v>154</v>
      </c>
      <c r="I57" s="33" t="s">
        <v>154</v>
      </c>
      <c r="J57" s="33" t="s">
        <v>154</v>
      </c>
      <c r="K57" s="33" t="s">
        <v>154</v>
      </c>
      <c r="L57" s="33" t="s">
        <v>154</v>
      </c>
      <c r="M57" s="33" t="s">
        <v>154</v>
      </c>
      <c r="N57" s="33" t="s">
        <v>154</v>
      </c>
      <c r="O57" s="33" t="s">
        <v>154</v>
      </c>
      <c r="P57" s="33" t="s">
        <v>154</v>
      </c>
      <c r="Q57" s="33" t="s">
        <v>154</v>
      </c>
      <c r="R57" s="33" t="s">
        <v>154</v>
      </c>
      <c r="S57" s="33" t="s">
        <v>154</v>
      </c>
      <c r="T57" s="33" t="s">
        <v>154</v>
      </c>
      <c r="U57" s="33" t="s">
        <v>154</v>
      </c>
      <c r="V57" s="33" t="s">
        <v>154</v>
      </c>
      <c r="W57" s="33" t="s">
        <v>154</v>
      </c>
      <c r="X57" s="33" t="s">
        <v>154</v>
      </c>
      <c r="Y57" s="33" t="s">
        <v>154</v>
      </c>
      <c r="Z57" s="33" t="s">
        <v>154</v>
      </c>
      <c r="AA57" s="33" t="s">
        <v>154</v>
      </c>
      <c r="AB57" s="33" t="s">
        <v>154</v>
      </c>
      <c r="AC57" s="33" t="s">
        <v>154</v>
      </c>
      <c r="AD57" s="33" t="s">
        <v>154</v>
      </c>
      <c r="AE57" s="33" t="s">
        <v>154</v>
      </c>
      <c r="AF57" s="33" t="s">
        <v>154</v>
      </c>
      <c r="AG57" s="33" t="s">
        <v>154</v>
      </c>
      <c r="AH57" s="33" t="s">
        <v>154</v>
      </c>
      <c r="AI57" s="33" t="s">
        <v>154</v>
      </c>
      <c r="AJ57" s="33" t="s">
        <v>154</v>
      </c>
      <c r="AK57" s="33" t="s">
        <v>154</v>
      </c>
      <c r="AL57" s="33" t="s">
        <v>154</v>
      </c>
      <c r="AM57" s="33" t="s">
        <v>154</v>
      </c>
      <c r="AN57" s="34"/>
      <c r="AO57" s="34"/>
      <c r="AP57" s="34"/>
      <c r="AQ57" s="34"/>
      <c r="AR57" s="34"/>
      <c r="AS57" s="34"/>
      <c r="AT57" s="34"/>
      <c r="AU57" s="34"/>
      <c r="AV57" s="34"/>
      <c r="AW57" s="34"/>
      <c r="AX57" s="34"/>
      <c r="AY57" s="34"/>
      <c r="AZ57" s="34"/>
      <c r="BA57" s="34"/>
      <c r="BB57" s="34"/>
      <c r="BC57" s="34"/>
      <c r="BD57" s="34"/>
      <c r="BE57" s="34"/>
      <c r="BF57" s="34"/>
      <c r="BG57" s="34"/>
      <c r="BH57" s="34"/>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c r="CK57" s="34"/>
      <c r="CL57" s="34"/>
      <c r="CM57" s="34"/>
      <c r="CN57" s="34"/>
      <c r="CO57" s="34"/>
      <c r="CP57" s="34"/>
      <c r="CQ57" s="34"/>
      <c r="CR57" s="34"/>
      <c r="CS57" s="34"/>
      <c r="CT57" s="34"/>
      <c r="CU57" s="34"/>
      <c r="CV57" s="34"/>
      <c r="CW57" s="34"/>
      <c r="CX57" s="34"/>
      <c r="CY57" s="34"/>
      <c r="CZ57" s="34"/>
      <c r="DA57" s="34"/>
      <c r="DB57" s="34"/>
      <c r="DC57" s="34"/>
      <c r="DD57" s="34"/>
      <c r="DE57" s="34"/>
      <c r="DF57" s="34"/>
      <c r="DG57" s="34"/>
      <c r="DH57" s="34"/>
      <c r="DI57" s="34"/>
      <c r="DJ57" s="34"/>
      <c r="DK57" s="34"/>
      <c r="DL57" s="34"/>
      <c r="DM57" s="34"/>
      <c r="DN57" s="34"/>
      <c r="DO57" s="34"/>
      <c r="DP57" s="34"/>
      <c r="DQ57" s="34"/>
      <c r="DR57" s="34"/>
      <c r="DS57" s="42"/>
      <c r="DT57" s="42"/>
      <c r="DU57" s="42"/>
      <c r="DV57" s="42"/>
      <c r="DW57" s="42"/>
      <c r="DX57" s="42"/>
      <c r="DY57" s="42"/>
      <c r="DZ57" s="42"/>
      <c r="EA57" s="42"/>
      <c r="EB57" s="42"/>
      <c r="EC57" s="42"/>
      <c r="ED57" s="42"/>
      <c r="EE57" s="42"/>
      <c r="EF57" s="42"/>
      <c r="EG57" s="42"/>
      <c r="EH57" s="211">
        <f t="shared" si="8"/>
        <v>0</v>
      </c>
      <c r="EI57" s="89"/>
      <c r="EJ57" s="89">
        <f t="shared" si="9"/>
        <v>0</v>
      </c>
      <c r="EK57" s="89"/>
      <c r="EL57" s="47">
        <f t="shared" si="13"/>
        <v>0</v>
      </c>
      <c r="EM57" s="202"/>
      <c r="EN57" s="47">
        <f t="shared" si="18"/>
        <v>0</v>
      </c>
      <c r="EO57" s="12">
        <f t="shared" si="22"/>
        <v>0</v>
      </c>
      <c r="EP57" s="12">
        <f t="shared" si="23"/>
        <v>0</v>
      </c>
      <c r="EQ57" s="12">
        <f t="shared" si="24"/>
        <v>0</v>
      </c>
      <c r="ER57" s="12">
        <f t="shared" si="25"/>
        <v>0</v>
      </c>
      <c r="ES57" s="15">
        <f t="shared" si="26"/>
        <v>0</v>
      </c>
      <c r="ET57" s="49">
        <f t="shared" si="19"/>
        <v>0</v>
      </c>
      <c r="EU57" s="49">
        <f t="shared" si="20"/>
        <v>0</v>
      </c>
      <c r="EV57" s="49">
        <f t="shared" si="21"/>
        <v>0</v>
      </c>
      <c r="EW57" s="49">
        <f t="shared" si="11"/>
        <v>0</v>
      </c>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row>
    <row r="58" spans="1:304" s="78" customFormat="1" ht="60" hidden="1" x14ac:dyDescent="0.25">
      <c r="A58" s="309"/>
      <c r="B58" s="83" t="s">
        <v>162</v>
      </c>
      <c r="C58" s="33" t="s">
        <v>154</v>
      </c>
      <c r="D58" s="33" t="s">
        <v>154</v>
      </c>
      <c r="E58" s="33" t="s">
        <v>154</v>
      </c>
      <c r="F58" s="33" t="s">
        <v>154</v>
      </c>
      <c r="G58" s="33" t="s">
        <v>154</v>
      </c>
      <c r="H58" s="33" t="s">
        <v>154</v>
      </c>
      <c r="I58" s="33" t="s">
        <v>154</v>
      </c>
      <c r="J58" s="33" t="s">
        <v>154</v>
      </c>
      <c r="K58" s="33" t="s">
        <v>154</v>
      </c>
      <c r="L58" s="33" t="s">
        <v>154</v>
      </c>
      <c r="M58" s="33" t="s">
        <v>154</v>
      </c>
      <c r="N58" s="33" t="s">
        <v>154</v>
      </c>
      <c r="O58" s="33" t="s">
        <v>154</v>
      </c>
      <c r="P58" s="33" t="s">
        <v>154</v>
      </c>
      <c r="Q58" s="33" t="s">
        <v>154</v>
      </c>
      <c r="R58" s="33" t="s">
        <v>154</v>
      </c>
      <c r="S58" s="33" t="s">
        <v>154</v>
      </c>
      <c r="T58" s="33" t="s">
        <v>154</v>
      </c>
      <c r="U58" s="33" t="s">
        <v>154</v>
      </c>
      <c r="V58" s="33" t="s">
        <v>154</v>
      </c>
      <c r="W58" s="33" t="s">
        <v>154</v>
      </c>
      <c r="X58" s="33" t="s">
        <v>154</v>
      </c>
      <c r="Y58" s="33" t="s">
        <v>154</v>
      </c>
      <c r="Z58" s="33" t="s">
        <v>154</v>
      </c>
      <c r="AA58" s="33" t="s">
        <v>154</v>
      </c>
      <c r="AB58" s="33" t="s">
        <v>154</v>
      </c>
      <c r="AC58" s="33" t="s">
        <v>154</v>
      </c>
      <c r="AD58" s="33" t="s">
        <v>154</v>
      </c>
      <c r="AE58" s="33" t="s">
        <v>154</v>
      </c>
      <c r="AF58" s="33" t="s">
        <v>154</v>
      </c>
      <c r="AG58" s="33" t="s">
        <v>154</v>
      </c>
      <c r="AH58" s="33" t="s">
        <v>154</v>
      </c>
      <c r="AI58" s="33" t="s">
        <v>154</v>
      </c>
      <c r="AJ58" s="33" t="s">
        <v>154</v>
      </c>
      <c r="AK58" s="33" t="s">
        <v>154</v>
      </c>
      <c r="AL58" s="33" t="s">
        <v>154</v>
      </c>
      <c r="AM58" s="33" t="s">
        <v>154</v>
      </c>
      <c r="AN58" s="34"/>
      <c r="AO58" s="34"/>
      <c r="AP58" s="34"/>
      <c r="AQ58" s="34"/>
      <c r="AR58" s="34"/>
      <c r="AS58" s="34"/>
      <c r="AT58" s="34"/>
      <c r="AU58" s="34"/>
      <c r="AV58" s="34"/>
      <c r="AW58" s="34"/>
      <c r="AX58" s="34"/>
      <c r="AY58" s="34"/>
      <c r="AZ58" s="34"/>
      <c r="BA58" s="34"/>
      <c r="BB58" s="34"/>
      <c r="BC58" s="34"/>
      <c r="BD58" s="34"/>
      <c r="BE58" s="34"/>
      <c r="BF58" s="34"/>
      <c r="BG58" s="34"/>
      <c r="BH58" s="34"/>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c r="CK58" s="34"/>
      <c r="CL58" s="34"/>
      <c r="CM58" s="34"/>
      <c r="CN58" s="34"/>
      <c r="CO58" s="34"/>
      <c r="CP58" s="34"/>
      <c r="CQ58" s="34"/>
      <c r="CR58" s="34"/>
      <c r="CS58" s="34"/>
      <c r="CT58" s="34"/>
      <c r="CU58" s="34"/>
      <c r="CV58" s="34"/>
      <c r="CW58" s="34"/>
      <c r="CX58" s="34"/>
      <c r="CY58" s="34"/>
      <c r="CZ58" s="34"/>
      <c r="DA58" s="34"/>
      <c r="DB58" s="34"/>
      <c r="DC58" s="34"/>
      <c r="DD58" s="34"/>
      <c r="DE58" s="34"/>
      <c r="DF58" s="34"/>
      <c r="DG58" s="34"/>
      <c r="DH58" s="34"/>
      <c r="DI58" s="34"/>
      <c r="DJ58" s="34"/>
      <c r="DK58" s="34"/>
      <c r="DL58" s="34"/>
      <c r="DM58" s="34"/>
      <c r="DN58" s="34"/>
      <c r="DO58" s="34"/>
      <c r="DP58" s="34"/>
      <c r="DQ58" s="34"/>
      <c r="DR58" s="34"/>
      <c r="DS58" s="42"/>
      <c r="DT58" s="42"/>
      <c r="DU58" s="42"/>
      <c r="DV58" s="42"/>
      <c r="DW58" s="42"/>
      <c r="DX58" s="42"/>
      <c r="DY58" s="42"/>
      <c r="DZ58" s="42"/>
      <c r="EA58" s="42"/>
      <c r="EB58" s="42"/>
      <c r="EC58" s="42"/>
      <c r="ED58" s="42"/>
      <c r="EE58" s="42"/>
      <c r="EF58" s="42"/>
      <c r="EG58" s="42"/>
      <c r="EH58" s="211">
        <f t="shared" si="8"/>
        <v>0</v>
      </c>
      <c r="EI58" s="89"/>
      <c r="EJ58" s="89">
        <f t="shared" si="9"/>
        <v>0</v>
      </c>
      <c r="EK58" s="89"/>
      <c r="EL58" s="47">
        <f t="shared" si="13"/>
        <v>0</v>
      </c>
      <c r="EM58" s="202"/>
      <c r="EN58" s="47">
        <f t="shared" si="18"/>
        <v>0</v>
      </c>
      <c r="EO58" s="12">
        <f t="shared" si="22"/>
        <v>0</v>
      </c>
      <c r="EP58" s="12">
        <f t="shared" si="23"/>
        <v>0</v>
      </c>
      <c r="EQ58" s="12">
        <f t="shared" si="24"/>
        <v>0</v>
      </c>
      <c r="ER58" s="12">
        <f t="shared" si="25"/>
        <v>0</v>
      </c>
      <c r="ES58" s="15">
        <f t="shared" si="26"/>
        <v>0</v>
      </c>
      <c r="ET58" s="49">
        <f t="shared" si="19"/>
        <v>0</v>
      </c>
      <c r="EU58" s="49">
        <f t="shared" si="20"/>
        <v>0</v>
      </c>
      <c r="EV58" s="49">
        <f t="shared" si="21"/>
        <v>0</v>
      </c>
      <c r="EW58" s="49">
        <f t="shared" si="11"/>
        <v>0</v>
      </c>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row>
    <row r="59" spans="1:304" s="78" customFormat="1" ht="45" hidden="1" x14ac:dyDescent="0.25">
      <c r="A59" s="309"/>
      <c r="B59" s="83" t="s">
        <v>163</v>
      </c>
      <c r="C59" s="33" t="s">
        <v>154</v>
      </c>
      <c r="D59" s="33" t="s">
        <v>154</v>
      </c>
      <c r="E59" s="33" t="s">
        <v>154</v>
      </c>
      <c r="F59" s="33" t="s">
        <v>154</v>
      </c>
      <c r="G59" s="33" t="s">
        <v>154</v>
      </c>
      <c r="H59" s="33" t="s">
        <v>154</v>
      </c>
      <c r="I59" s="33" t="s">
        <v>154</v>
      </c>
      <c r="J59" s="33" t="s">
        <v>154</v>
      </c>
      <c r="K59" s="33" t="s">
        <v>154</v>
      </c>
      <c r="L59" s="33" t="s">
        <v>154</v>
      </c>
      <c r="M59" s="33" t="s">
        <v>154</v>
      </c>
      <c r="N59" s="33" t="s">
        <v>154</v>
      </c>
      <c r="O59" s="33" t="s">
        <v>154</v>
      </c>
      <c r="P59" s="33" t="s">
        <v>154</v>
      </c>
      <c r="Q59" s="33" t="s">
        <v>154</v>
      </c>
      <c r="R59" s="33" t="s">
        <v>154</v>
      </c>
      <c r="S59" s="33" t="s">
        <v>154</v>
      </c>
      <c r="T59" s="33" t="s">
        <v>154</v>
      </c>
      <c r="U59" s="33" t="s">
        <v>154</v>
      </c>
      <c r="V59" s="33" t="s">
        <v>154</v>
      </c>
      <c r="W59" s="33" t="s">
        <v>154</v>
      </c>
      <c r="X59" s="33" t="s">
        <v>154</v>
      </c>
      <c r="Y59" s="33" t="s">
        <v>154</v>
      </c>
      <c r="Z59" s="33" t="s">
        <v>154</v>
      </c>
      <c r="AA59" s="33" t="s">
        <v>154</v>
      </c>
      <c r="AB59" s="33" t="s">
        <v>154</v>
      </c>
      <c r="AC59" s="33" t="s">
        <v>154</v>
      </c>
      <c r="AD59" s="33" t="s">
        <v>154</v>
      </c>
      <c r="AE59" s="33" t="s">
        <v>154</v>
      </c>
      <c r="AF59" s="33" t="s">
        <v>154</v>
      </c>
      <c r="AG59" s="33" t="s">
        <v>154</v>
      </c>
      <c r="AH59" s="33" t="s">
        <v>154</v>
      </c>
      <c r="AI59" s="33" t="s">
        <v>154</v>
      </c>
      <c r="AJ59" s="33" t="s">
        <v>154</v>
      </c>
      <c r="AK59" s="33" t="s">
        <v>154</v>
      </c>
      <c r="AL59" s="33" t="s">
        <v>154</v>
      </c>
      <c r="AM59" s="33" t="s">
        <v>154</v>
      </c>
      <c r="AN59" s="34"/>
      <c r="AO59" s="34"/>
      <c r="AP59" s="34"/>
      <c r="AQ59" s="34"/>
      <c r="AR59" s="34"/>
      <c r="AS59" s="34"/>
      <c r="AT59" s="34"/>
      <c r="AU59" s="34"/>
      <c r="AV59" s="34"/>
      <c r="AW59" s="34"/>
      <c r="AX59" s="34"/>
      <c r="AY59" s="34"/>
      <c r="AZ59" s="34"/>
      <c r="BA59" s="34"/>
      <c r="BB59" s="34"/>
      <c r="BC59" s="34"/>
      <c r="BD59" s="34"/>
      <c r="BE59" s="34"/>
      <c r="BF59" s="34"/>
      <c r="BG59" s="34"/>
      <c r="BH59" s="34"/>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c r="CK59" s="34"/>
      <c r="CL59" s="34"/>
      <c r="CM59" s="34"/>
      <c r="CN59" s="34"/>
      <c r="CO59" s="34"/>
      <c r="CP59" s="34"/>
      <c r="CQ59" s="34"/>
      <c r="CR59" s="34"/>
      <c r="CS59" s="34"/>
      <c r="CT59" s="34"/>
      <c r="CU59" s="34"/>
      <c r="CV59" s="34"/>
      <c r="CW59" s="34"/>
      <c r="CX59" s="34"/>
      <c r="CY59" s="34"/>
      <c r="CZ59" s="34"/>
      <c r="DA59" s="34"/>
      <c r="DB59" s="34"/>
      <c r="DC59" s="34"/>
      <c r="DD59" s="34"/>
      <c r="DE59" s="34"/>
      <c r="DF59" s="34"/>
      <c r="DG59" s="34"/>
      <c r="DH59" s="34"/>
      <c r="DI59" s="34"/>
      <c r="DJ59" s="34"/>
      <c r="DK59" s="34"/>
      <c r="DL59" s="34"/>
      <c r="DM59" s="34"/>
      <c r="DN59" s="34"/>
      <c r="DO59" s="34"/>
      <c r="DP59" s="34"/>
      <c r="DQ59" s="34"/>
      <c r="DR59" s="34"/>
      <c r="DS59" s="42"/>
      <c r="DT59" s="42"/>
      <c r="DU59" s="42"/>
      <c r="DV59" s="42"/>
      <c r="DW59" s="42"/>
      <c r="DX59" s="42"/>
      <c r="DY59" s="42"/>
      <c r="DZ59" s="42"/>
      <c r="EA59" s="42"/>
      <c r="EB59" s="42"/>
      <c r="EC59" s="42"/>
      <c r="ED59" s="42"/>
      <c r="EE59" s="42"/>
      <c r="EF59" s="42"/>
      <c r="EG59" s="42"/>
      <c r="EH59" s="211">
        <f t="shared" si="8"/>
        <v>0</v>
      </c>
      <c r="EI59" s="89"/>
      <c r="EJ59" s="89">
        <f t="shared" si="9"/>
        <v>0</v>
      </c>
      <c r="EK59" s="89"/>
      <c r="EL59" s="47">
        <f t="shared" si="13"/>
        <v>0</v>
      </c>
      <c r="EM59" s="202"/>
      <c r="EN59" s="47">
        <f t="shared" si="18"/>
        <v>0</v>
      </c>
      <c r="EO59" s="12">
        <f t="shared" si="22"/>
        <v>0</v>
      </c>
      <c r="EP59" s="12">
        <f t="shared" si="23"/>
        <v>0</v>
      </c>
      <c r="EQ59" s="12">
        <f t="shared" si="24"/>
        <v>0</v>
      </c>
      <c r="ER59" s="12">
        <f t="shared" si="25"/>
        <v>0</v>
      </c>
      <c r="ES59" s="15">
        <f t="shared" si="26"/>
        <v>0</v>
      </c>
      <c r="ET59" s="49">
        <f t="shared" si="19"/>
        <v>0</v>
      </c>
      <c r="EU59" s="49">
        <f t="shared" si="20"/>
        <v>0</v>
      </c>
      <c r="EV59" s="49">
        <f t="shared" si="21"/>
        <v>0</v>
      </c>
      <c r="EW59" s="49">
        <f t="shared" si="11"/>
        <v>0</v>
      </c>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row>
    <row r="60" spans="1:304" s="78" customFormat="1" ht="30" hidden="1" x14ac:dyDescent="0.25">
      <c r="A60" s="309" t="s">
        <v>165</v>
      </c>
      <c r="B60" s="83" t="s">
        <v>38</v>
      </c>
      <c r="C60" s="33">
        <v>995</v>
      </c>
      <c r="D60" s="33">
        <v>953</v>
      </c>
      <c r="E60" s="33">
        <v>1024</v>
      </c>
      <c r="F60" s="33">
        <v>1047</v>
      </c>
      <c r="G60" s="33">
        <v>1066</v>
      </c>
      <c r="H60" s="33">
        <v>1068</v>
      </c>
      <c r="I60" s="33">
        <v>929</v>
      </c>
      <c r="J60" s="33">
        <v>1096</v>
      </c>
      <c r="K60" s="33">
        <v>1007</v>
      </c>
      <c r="L60" s="33">
        <v>1023</v>
      </c>
      <c r="M60" s="33">
        <v>1100</v>
      </c>
      <c r="N60" s="33">
        <v>1030</v>
      </c>
      <c r="O60" s="33">
        <v>1001</v>
      </c>
      <c r="P60" s="33">
        <v>1080</v>
      </c>
      <c r="Q60" s="33">
        <v>1196</v>
      </c>
      <c r="R60" s="33">
        <v>1076</v>
      </c>
      <c r="S60" s="33">
        <v>1380</v>
      </c>
      <c r="T60" s="33">
        <v>1537</v>
      </c>
      <c r="U60" s="33">
        <v>2290</v>
      </c>
      <c r="V60" s="33">
        <v>2202</v>
      </c>
      <c r="W60" s="33">
        <v>3414</v>
      </c>
      <c r="X60" s="33">
        <v>2830</v>
      </c>
      <c r="Y60" s="33">
        <v>1919</v>
      </c>
      <c r="Z60" s="33">
        <v>1245</v>
      </c>
      <c r="AA60" s="33">
        <v>1121</v>
      </c>
      <c r="AB60" s="33">
        <v>1187</v>
      </c>
      <c r="AC60" s="33">
        <v>1410</v>
      </c>
      <c r="AD60" s="33">
        <v>1419</v>
      </c>
      <c r="AE60" s="33">
        <v>1071</v>
      </c>
      <c r="AF60" s="33">
        <v>1090</v>
      </c>
      <c r="AG60" s="33">
        <v>1452</v>
      </c>
      <c r="AH60" s="33">
        <v>1515</v>
      </c>
      <c r="AI60" s="33">
        <v>1262</v>
      </c>
      <c r="AJ60" s="34">
        <v>1839</v>
      </c>
      <c r="AK60" s="34">
        <v>2240</v>
      </c>
      <c r="AL60" s="34">
        <v>2424</v>
      </c>
      <c r="AM60" s="34">
        <v>1854</v>
      </c>
      <c r="AN60" s="34">
        <v>1444</v>
      </c>
      <c r="AO60" s="34">
        <v>2057</v>
      </c>
      <c r="AP60" s="34">
        <v>1965</v>
      </c>
      <c r="AQ60" s="34">
        <v>2796</v>
      </c>
      <c r="AR60" s="34">
        <v>2020</v>
      </c>
      <c r="AS60" s="34">
        <v>2706</v>
      </c>
      <c r="AT60" s="34">
        <v>2883</v>
      </c>
      <c r="AU60" s="34">
        <v>1951</v>
      </c>
      <c r="AV60" s="34">
        <v>1960</v>
      </c>
      <c r="AW60" s="34">
        <v>1693</v>
      </c>
      <c r="AX60" s="34">
        <v>1452</v>
      </c>
      <c r="AY60" s="34">
        <v>1412</v>
      </c>
      <c r="AZ60" s="34">
        <v>984</v>
      </c>
      <c r="BA60" s="34">
        <v>1851</v>
      </c>
      <c r="BB60" s="34">
        <v>1244</v>
      </c>
      <c r="BC60" s="34">
        <v>1472</v>
      </c>
      <c r="BD60" s="34">
        <v>1811</v>
      </c>
      <c r="BE60" s="34">
        <v>1873</v>
      </c>
      <c r="BF60" s="34">
        <v>1814</v>
      </c>
      <c r="BG60" s="34">
        <v>1542</v>
      </c>
      <c r="BH60" s="34">
        <v>2375</v>
      </c>
      <c r="BI60" s="34">
        <v>2353</v>
      </c>
      <c r="BJ60" s="34">
        <v>2197</v>
      </c>
      <c r="BK60" s="34">
        <v>2151</v>
      </c>
      <c r="BL60" s="39">
        <v>1918</v>
      </c>
      <c r="BM60" s="34">
        <v>1626</v>
      </c>
      <c r="BN60" s="34">
        <v>2693</v>
      </c>
      <c r="BO60" s="34">
        <v>1900</v>
      </c>
      <c r="BP60" s="34">
        <v>2796</v>
      </c>
      <c r="BQ60" s="34">
        <v>2682</v>
      </c>
      <c r="BR60" s="34">
        <v>2566</v>
      </c>
      <c r="BS60" s="34">
        <v>1822</v>
      </c>
      <c r="BT60" s="34">
        <v>1618</v>
      </c>
      <c r="BU60" s="34">
        <v>1577</v>
      </c>
      <c r="BV60" s="34">
        <v>1276</v>
      </c>
      <c r="BW60" s="34">
        <v>2718</v>
      </c>
      <c r="BX60" s="34">
        <v>2394</v>
      </c>
      <c r="BY60" s="34">
        <v>2370</v>
      </c>
      <c r="BZ60" s="34">
        <v>1656</v>
      </c>
      <c r="CA60" s="34">
        <v>2554</v>
      </c>
      <c r="CB60" s="34">
        <v>1961</v>
      </c>
      <c r="CC60" s="34">
        <v>1519</v>
      </c>
      <c r="CD60" s="34">
        <v>4265</v>
      </c>
      <c r="CE60" s="85">
        <v>2471</v>
      </c>
      <c r="CF60" s="34">
        <v>1754</v>
      </c>
      <c r="CG60" s="34">
        <v>2509</v>
      </c>
      <c r="CH60" s="34">
        <v>3462</v>
      </c>
      <c r="CI60" s="34">
        <v>3862</v>
      </c>
      <c r="CJ60" s="34">
        <v>2456</v>
      </c>
      <c r="CK60" s="34">
        <v>2931</v>
      </c>
      <c r="CL60" s="34">
        <v>3192</v>
      </c>
      <c r="CM60" s="34">
        <v>4962</v>
      </c>
      <c r="CN60" s="34">
        <v>3332</v>
      </c>
      <c r="CO60" s="34">
        <v>2529</v>
      </c>
      <c r="CP60" s="34">
        <v>1795</v>
      </c>
      <c r="CQ60" s="34">
        <v>2225</v>
      </c>
      <c r="CR60" s="34">
        <v>3386</v>
      </c>
      <c r="CS60" s="34">
        <v>2897</v>
      </c>
      <c r="CT60" s="34">
        <v>2001</v>
      </c>
      <c r="CU60" s="34">
        <v>1704</v>
      </c>
      <c r="CV60" s="34">
        <v>2416</v>
      </c>
      <c r="CW60" s="34">
        <v>2735</v>
      </c>
      <c r="CX60" s="34">
        <v>2669</v>
      </c>
      <c r="CY60" s="34">
        <v>1724</v>
      </c>
      <c r="CZ60" s="34">
        <v>1002</v>
      </c>
      <c r="DA60" s="34">
        <v>1656</v>
      </c>
      <c r="DB60" s="34">
        <v>3241</v>
      </c>
      <c r="DC60" s="34">
        <v>1674</v>
      </c>
      <c r="DD60" s="34">
        <v>2688</v>
      </c>
      <c r="DE60" s="34">
        <v>2003</v>
      </c>
      <c r="DF60" s="34"/>
      <c r="DG60" s="34"/>
      <c r="DH60" s="34"/>
      <c r="DI60" s="34"/>
      <c r="DJ60" s="34"/>
      <c r="DK60" s="34"/>
      <c r="DL60" s="34"/>
      <c r="DM60" s="34"/>
      <c r="DN60" s="34"/>
      <c r="DO60" s="34"/>
      <c r="DP60" s="34"/>
      <c r="DQ60" s="34"/>
      <c r="DR60" s="34"/>
      <c r="DS60" s="42"/>
      <c r="DT60" s="42"/>
      <c r="DU60" s="42"/>
      <c r="DV60" s="42"/>
      <c r="DW60" s="42"/>
      <c r="DX60" s="42"/>
      <c r="DY60" s="42"/>
      <c r="DZ60" s="42"/>
      <c r="EA60" s="42"/>
      <c r="EB60" s="42"/>
      <c r="EC60" s="42"/>
      <c r="ED60" s="42"/>
      <c r="EE60" s="42"/>
      <c r="EF60" s="42"/>
      <c r="EG60" s="42"/>
      <c r="EH60" s="211">
        <f t="shared" si="8"/>
        <v>35816</v>
      </c>
      <c r="EI60" s="89"/>
      <c r="EJ60" s="89">
        <f t="shared" si="9"/>
        <v>210585</v>
      </c>
      <c r="EK60" s="89"/>
      <c r="EL60" s="47">
        <f t="shared" si="13"/>
        <v>0</v>
      </c>
      <c r="EM60" s="202"/>
      <c r="EN60" s="47">
        <f t="shared" si="18"/>
        <v>203503</v>
      </c>
      <c r="EO60" s="12">
        <f t="shared" si="22"/>
        <v>995</v>
      </c>
      <c r="EP60" s="12">
        <f t="shared" si="23"/>
        <v>12344</v>
      </c>
      <c r="EQ60" s="12">
        <f t="shared" si="24"/>
        <v>21290</v>
      </c>
      <c r="ER60" s="12">
        <f t="shared" si="25"/>
        <v>18763</v>
      </c>
      <c r="ES60" s="15">
        <f t="shared" si="26"/>
        <v>24339</v>
      </c>
      <c r="ET60" s="49">
        <f t="shared" si="19"/>
        <v>46859</v>
      </c>
      <c r="EU60" s="49">
        <f t="shared" si="20"/>
        <v>64187</v>
      </c>
      <c r="EV60" s="49">
        <f t="shared" si="21"/>
        <v>21808</v>
      </c>
      <c r="EW60" s="49">
        <f t="shared" si="11"/>
        <v>0</v>
      </c>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row>
    <row r="61" spans="1:304" s="78" customFormat="1" hidden="1" x14ac:dyDescent="0.25">
      <c r="A61" s="309"/>
      <c r="B61" s="83" t="s">
        <v>111</v>
      </c>
      <c r="C61" s="34">
        <v>0</v>
      </c>
      <c r="D61" s="34">
        <v>0</v>
      </c>
      <c r="E61" s="34">
        <v>0</v>
      </c>
      <c r="F61" s="34">
        <v>0</v>
      </c>
      <c r="G61" s="34">
        <v>0</v>
      </c>
      <c r="H61" s="34">
        <v>0</v>
      </c>
      <c r="I61" s="34">
        <v>0</v>
      </c>
      <c r="J61" s="34">
        <v>0</v>
      </c>
      <c r="K61" s="34">
        <v>0</v>
      </c>
      <c r="L61" s="34">
        <v>0</v>
      </c>
      <c r="M61" s="34">
        <v>0</v>
      </c>
      <c r="N61" s="34">
        <v>0</v>
      </c>
      <c r="O61" s="34">
        <v>0</v>
      </c>
      <c r="P61" s="34">
        <v>0</v>
      </c>
      <c r="Q61" s="34">
        <v>0</v>
      </c>
      <c r="R61" s="34">
        <v>0</v>
      </c>
      <c r="S61" s="34">
        <v>0</v>
      </c>
      <c r="T61" s="34">
        <v>0</v>
      </c>
      <c r="U61" s="34">
        <v>0</v>
      </c>
      <c r="V61" s="34">
        <v>0</v>
      </c>
      <c r="W61" s="34">
        <v>0</v>
      </c>
      <c r="X61" s="34">
        <v>0</v>
      </c>
      <c r="Y61" s="34">
        <v>0</v>
      </c>
      <c r="Z61" s="34">
        <v>0</v>
      </c>
      <c r="AA61" s="34">
        <v>0</v>
      </c>
      <c r="AB61" s="34">
        <v>0</v>
      </c>
      <c r="AC61" s="34">
        <v>0</v>
      </c>
      <c r="AD61" s="34">
        <v>0</v>
      </c>
      <c r="AE61" s="34">
        <v>0</v>
      </c>
      <c r="AF61" s="34">
        <v>0</v>
      </c>
      <c r="AG61" s="34">
        <v>0</v>
      </c>
      <c r="AH61" s="34">
        <v>0</v>
      </c>
      <c r="AI61" s="34">
        <v>0</v>
      </c>
      <c r="AJ61" s="34">
        <v>0</v>
      </c>
      <c r="AK61" s="34">
        <v>0</v>
      </c>
      <c r="AL61" s="34">
        <v>0</v>
      </c>
      <c r="AM61" s="34">
        <v>0</v>
      </c>
      <c r="AN61" s="34">
        <v>0</v>
      </c>
      <c r="AO61" s="34">
        <v>0</v>
      </c>
      <c r="AP61" s="34">
        <v>0</v>
      </c>
      <c r="AQ61" s="34">
        <v>0</v>
      </c>
      <c r="AR61" s="34">
        <v>0</v>
      </c>
      <c r="AS61" s="34">
        <v>0</v>
      </c>
      <c r="AT61" s="34">
        <v>0</v>
      </c>
      <c r="AU61" s="34">
        <v>0</v>
      </c>
      <c r="AV61" s="34">
        <v>0</v>
      </c>
      <c r="AW61" s="34">
        <v>0</v>
      </c>
      <c r="AX61" s="34">
        <v>0</v>
      </c>
      <c r="AY61" s="34">
        <v>0</v>
      </c>
      <c r="AZ61" s="34">
        <v>0</v>
      </c>
      <c r="BA61" s="34">
        <v>0</v>
      </c>
      <c r="BB61" s="34">
        <v>0</v>
      </c>
      <c r="BC61" s="34">
        <v>0</v>
      </c>
      <c r="BD61" s="34">
        <v>0</v>
      </c>
      <c r="BE61" s="34">
        <v>0</v>
      </c>
      <c r="BF61" s="34">
        <v>0</v>
      </c>
      <c r="BG61" s="34">
        <v>0</v>
      </c>
      <c r="BH61" s="34">
        <v>0</v>
      </c>
      <c r="BI61" s="34">
        <v>0</v>
      </c>
      <c r="BJ61" s="34">
        <v>0</v>
      </c>
      <c r="BK61" s="34">
        <v>0</v>
      </c>
      <c r="BL61" s="34">
        <v>0</v>
      </c>
      <c r="BM61" s="34">
        <v>0</v>
      </c>
      <c r="BN61" s="34">
        <v>0</v>
      </c>
      <c r="BO61" s="34">
        <v>0</v>
      </c>
      <c r="BP61" s="34">
        <v>0</v>
      </c>
      <c r="BQ61" s="34">
        <v>0</v>
      </c>
      <c r="BR61" s="34">
        <v>0</v>
      </c>
      <c r="BS61" s="34">
        <v>0</v>
      </c>
      <c r="BT61" s="34">
        <v>0</v>
      </c>
      <c r="BU61" s="34">
        <v>0</v>
      </c>
      <c r="BV61" s="34">
        <v>0</v>
      </c>
      <c r="BW61" s="34">
        <v>0</v>
      </c>
      <c r="BX61" s="34">
        <v>24</v>
      </c>
      <c r="BY61" s="59">
        <v>32</v>
      </c>
      <c r="BZ61" s="59">
        <v>29</v>
      </c>
      <c r="CA61" s="59">
        <v>40</v>
      </c>
      <c r="CB61" s="34">
        <v>52</v>
      </c>
      <c r="CC61" s="34">
        <v>32</v>
      </c>
      <c r="CD61" s="34">
        <v>59</v>
      </c>
      <c r="CE61" s="34">
        <v>37</v>
      </c>
      <c r="CF61" s="34">
        <v>7</v>
      </c>
      <c r="CG61" s="34">
        <v>4</v>
      </c>
      <c r="CH61" s="34">
        <v>17</v>
      </c>
      <c r="CI61" s="34">
        <v>7</v>
      </c>
      <c r="CJ61" s="34">
        <v>1</v>
      </c>
      <c r="CK61" s="34">
        <v>12</v>
      </c>
      <c r="CL61" s="34">
        <v>24</v>
      </c>
      <c r="CM61" s="34">
        <v>72</v>
      </c>
      <c r="CN61" s="34">
        <v>67</v>
      </c>
      <c r="CO61" s="34">
        <v>18</v>
      </c>
      <c r="CP61" s="34">
        <v>36</v>
      </c>
      <c r="CQ61" s="34">
        <v>17</v>
      </c>
      <c r="CR61" s="34">
        <v>76</v>
      </c>
      <c r="CS61" s="34">
        <v>52</v>
      </c>
      <c r="CT61" s="34">
        <v>5</v>
      </c>
      <c r="CU61" s="34">
        <v>5</v>
      </c>
      <c r="CV61" s="34">
        <v>25</v>
      </c>
      <c r="CW61" s="34">
        <v>0</v>
      </c>
      <c r="CX61" s="34">
        <v>0</v>
      </c>
      <c r="CY61" s="34">
        <v>0</v>
      </c>
      <c r="CZ61" s="34">
        <v>0</v>
      </c>
      <c r="DA61" s="34">
        <v>0</v>
      </c>
      <c r="DB61" s="34">
        <v>0</v>
      </c>
      <c r="DC61" s="34">
        <v>0</v>
      </c>
      <c r="DD61" s="34">
        <v>0</v>
      </c>
      <c r="DE61" s="34">
        <v>0</v>
      </c>
      <c r="DF61" s="34"/>
      <c r="DG61" s="34"/>
      <c r="DH61" s="34"/>
      <c r="DI61" s="34"/>
      <c r="DJ61" s="34"/>
      <c r="DK61" s="34"/>
      <c r="DL61" s="34"/>
      <c r="DM61" s="34"/>
      <c r="DN61" s="34"/>
      <c r="DO61" s="34"/>
      <c r="DP61" s="34"/>
      <c r="DQ61" s="34"/>
      <c r="DR61" s="34"/>
      <c r="DS61" s="42"/>
      <c r="DT61" s="42"/>
      <c r="DU61" s="42"/>
      <c r="DV61" s="42"/>
      <c r="DW61" s="42"/>
      <c r="DX61" s="42"/>
      <c r="DY61" s="42"/>
      <c r="DZ61" s="42"/>
      <c r="EA61" s="42"/>
      <c r="EB61" s="42"/>
      <c r="EC61" s="42"/>
      <c r="ED61" s="42"/>
      <c r="EE61" s="42"/>
      <c r="EF61" s="42"/>
      <c r="EG61" s="42"/>
      <c r="EH61" s="211">
        <f t="shared" si="8"/>
        <v>216</v>
      </c>
      <c r="EI61" s="89"/>
      <c r="EJ61" s="89">
        <f t="shared" si="9"/>
        <v>750</v>
      </c>
      <c r="EK61" s="89"/>
      <c r="EL61" s="47">
        <f t="shared" si="13"/>
        <v>0</v>
      </c>
      <c r="EM61" s="202"/>
      <c r="EN61" s="47">
        <f t="shared" si="18"/>
        <v>750</v>
      </c>
      <c r="EO61" s="12">
        <f t="shared" si="22"/>
        <v>0</v>
      </c>
      <c r="EP61" s="12">
        <f t="shared" si="23"/>
        <v>0</v>
      </c>
      <c r="EQ61" s="12">
        <f t="shared" si="24"/>
        <v>0</v>
      </c>
      <c r="ER61" s="12">
        <f t="shared" si="25"/>
        <v>0</v>
      </c>
      <c r="ES61" s="15">
        <f t="shared" si="26"/>
        <v>0</v>
      </c>
      <c r="ET61" s="49">
        <f t="shared" si="19"/>
        <v>0</v>
      </c>
      <c r="EU61" s="49">
        <f t="shared" si="20"/>
        <v>725</v>
      </c>
      <c r="EV61" s="49">
        <f t="shared" si="21"/>
        <v>25</v>
      </c>
      <c r="EW61" s="49">
        <f t="shared" si="11"/>
        <v>0</v>
      </c>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row>
    <row r="62" spans="1:304" s="78" customFormat="1" ht="45" hidden="1" x14ac:dyDescent="0.25">
      <c r="A62" s="309"/>
      <c r="B62" s="83" t="s">
        <v>39</v>
      </c>
      <c r="C62" s="33">
        <v>830</v>
      </c>
      <c r="D62" s="33">
        <v>785</v>
      </c>
      <c r="E62" s="33">
        <v>800</v>
      </c>
      <c r="F62" s="33">
        <v>863</v>
      </c>
      <c r="G62" s="33">
        <v>854</v>
      </c>
      <c r="H62" s="33">
        <v>879</v>
      </c>
      <c r="I62" s="33">
        <v>778</v>
      </c>
      <c r="J62" s="33">
        <v>898</v>
      </c>
      <c r="K62" s="33">
        <v>789</v>
      </c>
      <c r="L62" s="33">
        <v>827</v>
      </c>
      <c r="M62" s="33">
        <v>945</v>
      </c>
      <c r="N62" s="33">
        <v>939</v>
      </c>
      <c r="O62" s="33">
        <v>798</v>
      </c>
      <c r="P62" s="33">
        <v>944</v>
      </c>
      <c r="Q62" s="33">
        <v>970</v>
      </c>
      <c r="R62" s="33">
        <v>886</v>
      </c>
      <c r="S62" s="33">
        <v>1120</v>
      </c>
      <c r="T62" s="33">
        <v>1024</v>
      </c>
      <c r="U62" s="33">
        <v>1381</v>
      </c>
      <c r="V62" s="33">
        <v>1815</v>
      </c>
      <c r="W62" s="33">
        <v>2232</v>
      </c>
      <c r="X62" s="33">
        <v>1860</v>
      </c>
      <c r="Y62" s="33">
        <v>1494</v>
      </c>
      <c r="Z62" s="33">
        <v>1026</v>
      </c>
      <c r="AA62" s="33">
        <v>926</v>
      </c>
      <c r="AB62" s="33">
        <v>989</v>
      </c>
      <c r="AC62" s="33">
        <v>1099</v>
      </c>
      <c r="AD62" s="33">
        <v>1249</v>
      </c>
      <c r="AE62" s="33">
        <v>938</v>
      </c>
      <c r="AF62" s="33">
        <v>980</v>
      </c>
      <c r="AG62" s="33">
        <v>1326</v>
      </c>
      <c r="AH62" s="33">
        <v>1403</v>
      </c>
      <c r="AI62" s="33">
        <v>1181</v>
      </c>
      <c r="AJ62" s="34">
        <v>1754</v>
      </c>
      <c r="AK62" s="34">
        <v>2150</v>
      </c>
      <c r="AL62" s="34">
        <v>2334</v>
      </c>
      <c r="AM62" s="34">
        <v>1814</v>
      </c>
      <c r="AN62" s="34">
        <v>1383</v>
      </c>
      <c r="AO62" s="34">
        <v>1983</v>
      </c>
      <c r="AP62" s="34">
        <v>1898</v>
      </c>
      <c r="AQ62" s="34">
        <v>2730</v>
      </c>
      <c r="AR62" s="34">
        <v>1981</v>
      </c>
      <c r="AS62" s="34">
        <v>2623</v>
      </c>
      <c r="AT62" s="34">
        <v>2838</v>
      </c>
      <c r="AU62" s="34">
        <v>1832</v>
      </c>
      <c r="AV62" s="34">
        <v>1912</v>
      </c>
      <c r="AW62" s="34">
        <v>1631</v>
      </c>
      <c r="AX62" s="34">
        <v>1413</v>
      </c>
      <c r="AY62" s="34">
        <v>1113</v>
      </c>
      <c r="AZ62" s="34">
        <v>880</v>
      </c>
      <c r="BA62" s="34">
        <v>1571</v>
      </c>
      <c r="BB62" s="34">
        <v>1018</v>
      </c>
      <c r="BC62" s="34">
        <v>1263</v>
      </c>
      <c r="BD62" s="34">
        <v>1689</v>
      </c>
      <c r="BE62" s="34">
        <v>1693</v>
      </c>
      <c r="BF62" s="34">
        <v>1611</v>
      </c>
      <c r="BG62" s="34">
        <v>1370</v>
      </c>
      <c r="BH62" s="34">
        <v>2069</v>
      </c>
      <c r="BI62" s="34">
        <v>2068</v>
      </c>
      <c r="BJ62" s="34">
        <v>1765</v>
      </c>
      <c r="BK62" s="34">
        <v>1868</v>
      </c>
      <c r="BL62" s="34">
        <v>1712</v>
      </c>
      <c r="BM62" s="34">
        <v>1349</v>
      </c>
      <c r="BN62" s="34">
        <v>2108</v>
      </c>
      <c r="BO62" s="34">
        <v>1416</v>
      </c>
      <c r="BP62" s="34">
        <v>2415</v>
      </c>
      <c r="BQ62" s="34">
        <v>2102</v>
      </c>
      <c r="BR62" s="34">
        <v>1975</v>
      </c>
      <c r="BS62" s="34">
        <v>1148</v>
      </c>
      <c r="BT62" s="34">
        <v>957</v>
      </c>
      <c r="BU62" s="34">
        <v>1063</v>
      </c>
      <c r="BV62" s="34">
        <v>854</v>
      </c>
      <c r="BW62" s="52">
        <f>1914+23</f>
        <v>1937</v>
      </c>
      <c r="BX62" s="34">
        <v>1669</v>
      </c>
      <c r="BY62" s="59">
        <v>1672</v>
      </c>
      <c r="BZ62" s="59">
        <v>1211</v>
      </c>
      <c r="CA62" s="68">
        <f>1856+300</f>
        <v>2156</v>
      </c>
      <c r="CB62" s="34">
        <v>1660</v>
      </c>
      <c r="CC62" s="34">
        <v>1266</v>
      </c>
      <c r="CD62" s="34">
        <v>3752</v>
      </c>
      <c r="CE62" s="85">
        <v>2079</v>
      </c>
      <c r="CF62" s="34">
        <v>1552</v>
      </c>
      <c r="CG62" s="34">
        <v>2202</v>
      </c>
      <c r="CH62" s="34">
        <v>2974</v>
      </c>
      <c r="CI62" s="34">
        <v>3223</v>
      </c>
      <c r="CJ62" s="34">
        <v>1996</v>
      </c>
      <c r="CK62" s="34">
        <v>2376</v>
      </c>
      <c r="CL62" s="34">
        <v>2716</v>
      </c>
      <c r="CM62" s="34">
        <v>4344</v>
      </c>
      <c r="CN62" s="34">
        <v>2886</v>
      </c>
      <c r="CO62" s="34">
        <v>2198</v>
      </c>
      <c r="CP62" s="34">
        <v>1538</v>
      </c>
      <c r="CQ62" s="34">
        <v>1908</v>
      </c>
      <c r="CR62" s="34">
        <v>2923</v>
      </c>
      <c r="CS62" s="34">
        <v>2471</v>
      </c>
      <c r="CT62" s="34">
        <v>1787</v>
      </c>
      <c r="CU62" s="34">
        <v>1555</v>
      </c>
      <c r="CV62" s="34">
        <v>2071</v>
      </c>
      <c r="CW62" s="34">
        <v>2387</v>
      </c>
      <c r="CX62" s="34">
        <v>2036</v>
      </c>
      <c r="CY62" s="34">
        <v>1468</v>
      </c>
      <c r="CZ62" s="34">
        <v>878</v>
      </c>
      <c r="DA62" s="34">
        <v>1415</v>
      </c>
      <c r="DB62" s="34">
        <v>2797</v>
      </c>
      <c r="DC62" s="34">
        <v>1462</v>
      </c>
      <c r="DD62" s="34">
        <v>2290</v>
      </c>
      <c r="DE62" s="34">
        <v>1766</v>
      </c>
      <c r="DF62" s="34"/>
      <c r="DG62" s="34"/>
      <c r="DH62" s="34"/>
      <c r="DI62" s="34"/>
      <c r="DJ62" s="34"/>
      <c r="DK62" s="34"/>
      <c r="DL62" s="34"/>
      <c r="DM62" s="34"/>
      <c r="DN62" s="34"/>
      <c r="DO62" s="34"/>
      <c r="DP62" s="34"/>
      <c r="DQ62" s="34"/>
      <c r="DR62" s="34"/>
      <c r="DS62" s="42"/>
      <c r="DT62" s="42"/>
      <c r="DU62" s="42"/>
      <c r="DV62" s="42"/>
      <c r="DW62" s="42"/>
      <c r="DX62" s="42"/>
      <c r="DY62" s="42"/>
      <c r="DZ62" s="42"/>
      <c r="EA62" s="42"/>
      <c r="EB62" s="42"/>
      <c r="EC62" s="42"/>
      <c r="ED62" s="42"/>
      <c r="EE62" s="42"/>
      <c r="EF62" s="42"/>
      <c r="EG62" s="42"/>
      <c r="EH62" s="211">
        <f t="shared" si="8"/>
        <v>30752</v>
      </c>
      <c r="EI62" s="89"/>
      <c r="EJ62" s="89">
        <f t="shared" si="9"/>
        <v>177802</v>
      </c>
      <c r="EK62" s="89"/>
      <c r="EL62" s="47">
        <f t="shared" si="13"/>
        <v>0</v>
      </c>
      <c r="EM62" s="202"/>
      <c r="EN62" s="47">
        <f t="shared" si="18"/>
        <v>172013</v>
      </c>
      <c r="EO62" s="12">
        <f t="shared" si="22"/>
        <v>830</v>
      </c>
      <c r="EP62" s="12">
        <f t="shared" si="23"/>
        <v>10155</v>
      </c>
      <c r="EQ62" s="12">
        <f t="shared" si="24"/>
        <v>15678</v>
      </c>
      <c r="ER62" s="12">
        <f t="shared" si="25"/>
        <v>17217</v>
      </c>
      <c r="ES62" s="15">
        <f t="shared" si="26"/>
        <v>23337</v>
      </c>
      <c r="ET62" s="49">
        <f t="shared" si="19"/>
        <v>37901</v>
      </c>
      <c r="EU62" s="49">
        <f t="shared" si="20"/>
        <v>54114</v>
      </c>
      <c r="EV62" s="49">
        <f t="shared" si="21"/>
        <v>18570</v>
      </c>
      <c r="EW62" s="49">
        <f t="shared" si="11"/>
        <v>0</v>
      </c>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row>
    <row r="63" spans="1:304" s="78" customFormat="1" ht="30" hidden="1" x14ac:dyDescent="0.25">
      <c r="A63" s="309"/>
      <c r="B63" s="83" t="s">
        <v>152</v>
      </c>
      <c r="C63" s="33">
        <v>0</v>
      </c>
      <c r="D63" s="33">
        <v>0</v>
      </c>
      <c r="E63" s="33">
        <v>0</v>
      </c>
      <c r="F63" s="33">
        <v>0</v>
      </c>
      <c r="G63" s="33">
        <v>168</v>
      </c>
      <c r="H63" s="33">
        <v>134</v>
      </c>
      <c r="I63" s="33">
        <v>117</v>
      </c>
      <c r="J63" s="33">
        <v>0</v>
      </c>
      <c r="K63" s="33">
        <v>0</v>
      </c>
      <c r="L63" s="33">
        <v>0</v>
      </c>
      <c r="M63" s="33">
        <v>0</v>
      </c>
      <c r="N63" s="33">
        <v>74</v>
      </c>
      <c r="O63" s="33">
        <v>117</v>
      </c>
      <c r="P63" s="33">
        <v>99</v>
      </c>
      <c r="Q63" s="33">
        <v>139</v>
      </c>
      <c r="R63" s="33">
        <v>135</v>
      </c>
      <c r="S63" s="33">
        <v>215</v>
      </c>
      <c r="T63" s="33">
        <v>465</v>
      </c>
      <c r="U63" s="33">
        <v>858</v>
      </c>
      <c r="V63" s="33">
        <v>305</v>
      </c>
      <c r="W63" s="33">
        <v>1063</v>
      </c>
      <c r="X63" s="33">
        <v>890</v>
      </c>
      <c r="Y63" s="33">
        <v>323</v>
      </c>
      <c r="Z63" s="33">
        <v>124</v>
      </c>
      <c r="AA63" s="33">
        <v>143</v>
      </c>
      <c r="AB63" s="33">
        <v>129</v>
      </c>
      <c r="AC63" s="33">
        <v>219</v>
      </c>
      <c r="AD63" s="33">
        <v>128</v>
      </c>
      <c r="AE63" s="33">
        <v>82</v>
      </c>
      <c r="AF63" s="33">
        <v>81</v>
      </c>
      <c r="AG63" s="33">
        <v>96</v>
      </c>
      <c r="AH63" s="33">
        <v>84</v>
      </c>
      <c r="AI63" s="33">
        <v>71</v>
      </c>
      <c r="AJ63" s="34">
        <v>65</v>
      </c>
      <c r="AK63" s="34">
        <v>78</v>
      </c>
      <c r="AL63" s="34">
        <v>82</v>
      </c>
      <c r="AM63" s="34">
        <v>35</v>
      </c>
      <c r="AN63" s="34">
        <v>54</v>
      </c>
      <c r="AO63" s="34">
        <v>53</v>
      </c>
      <c r="AP63" s="34">
        <v>48</v>
      </c>
      <c r="AQ63" s="34">
        <v>36</v>
      </c>
      <c r="AR63" s="34">
        <v>29</v>
      </c>
      <c r="AS63" s="34">
        <v>64</v>
      </c>
      <c r="AT63" s="34">
        <v>33</v>
      </c>
      <c r="AU63" s="34">
        <v>116</v>
      </c>
      <c r="AV63" s="34">
        <v>33</v>
      </c>
      <c r="AW63" s="34">
        <v>52</v>
      </c>
      <c r="AX63" s="34">
        <v>32</v>
      </c>
      <c r="AY63" s="34">
        <v>203</v>
      </c>
      <c r="AZ63" s="34">
        <v>83</v>
      </c>
      <c r="BA63" s="34">
        <v>210</v>
      </c>
      <c r="BB63" s="34">
        <v>178</v>
      </c>
      <c r="BC63" s="34">
        <v>182</v>
      </c>
      <c r="BD63" s="34">
        <v>91</v>
      </c>
      <c r="BE63" s="34">
        <v>168</v>
      </c>
      <c r="BF63" s="34">
        <v>193</v>
      </c>
      <c r="BG63" s="34">
        <v>163</v>
      </c>
      <c r="BH63" s="34">
        <v>304</v>
      </c>
      <c r="BI63" s="34">
        <v>279</v>
      </c>
      <c r="BJ63" s="34">
        <v>430</v>
      </c>
      <c r="BK63" s="34">
        <v>283</v>
      </c>
      <c r="BL63" s="34">
        <v>204</v>
      </c>
      <c r="BM63" s="34">
        <v>277</v>
      </c>
      <c r="BN63" s="34">
        <v>574</v>
      </c>
      <c r="BO63" s="34">
        <v>483</v>
      </c>
      <c r="BP63" s="34">
        <v>369</v>
      </c>
      <c r="BQ63" s="34">
        <v>561</v>
      </c>
      <c r="BR63" s="34">
        <v>564</v>
      </c>
      <c r="BS63" s="34">
        <v>559</v>
      </c>
      <c r="BT63" s="34">
        <v>489</v>
      </c>
      <c r="BU63" s="34">
        <v>430</v>
      </c>
      <c r="BV63" s="34">
        <v>397</v>
      </c>
      <c r="BW63" s="52">
        <f>776-20</f>
        <v>756</v>
      </c>
      <c r="BX63" s="34">
        <v>701</v>
      </c>
      <c r="BY63" s="59">
        <v>666</v>
      </c>
      <c r="BZ63" s="59">
        <v>416</v>
      </c>
      <c r="CA63" s="68">
        <f>645-287</f>
        <v>358</v>
      </c>
      <c r="CB63" s="34">
        <v>249</v>
      </c>
      <c r="CC63" s="34">
        <v>221</v>
      </c>
      <c r="CD63" s="34">
        <v>454</v>
      </c>
      <c r="CE63" s="34">
        <v>355</v>
      </c>
      <c r="CF63" s="34">
        <v>195</v>
      </c>
      <c r="CG63" s="34">
        <v>303</v>
      </c>
      <c r="CH63" s="34">
        <v>399</v>
      </c>
      <c r="CI63" s="34">
        <v>483</v>
      </c>
      <c r="CJ63" s="34">
        <v>383</v>
      </c>
      <c r="CK63" s="34">
        <v>454</v>
      </c>
      <c r="CL63" s="34">
        <v>436</v>
      </c>
      <c r="CM63" s="34">
        <v>499</v>
      </c>
      <c r="CN63" s="34">
        <v>379</v>
      </c>
      <c r="CO63" s="34">
        <v>313</v>
      </c>
      <c r="CP63" s="34">
        <v>220</v>
      </c>
      <c r="CQ63" s="34">
        <v>291</v>
      </c>
      <c r="CR63" s="34">
        <v>374</v>
      </c>
      <c r="CS63" s="34">
        <v>357</v>
      </c>
      <c r="CT63" s="34">
        <v>209</v>
      </c>
      <c r="CU63" s="34">
        <v>144</v>
      </c>
      <c r="CV63" s="34">
        <v>320</v>
      </c>
      <c r="CW63" s="34">
        <v>348</v>
      </c>
      <c r="CX63" s="34">
        <v>633</v>
      </c>
      <c r="CY63" s="34">
        <v>256</v>
      </c>
      <c r="CZ63" s="34">
        <v>124</v>
      </c>
      <c r="DA63" s="34">
        <v>241</v>
      </c>
      <c r="DB63" s="34">
        <v>444</v>
      </c>
      <c r="DC63" s="34">
        <v>212</v>
      </c>
      <c r="DD63" s="34">
        <v>398</v>
      </c>
      <c r="DE63" s="34">
        <v>237</v>
      </c>
      <c r="DF63" s="34"/>
      <c r="DG63" s="34"/>
      <c r="DH63" s="34"/>
      <c r="DI63" s="34"/>
      <c r="DJ63" s="34"/>
      <c r="DK63" s="34"/>
      <c r="DL63" s="34"/>
      <c r="DM63" s="34"/>
      <c r="DN63" s="34"/>
      <c r="DO63" s="34"/>
      <c r="DP63" s="34"/>
      <c r="DQ63" s="34"/>
      <c r="DR63" s="34"/>
      <c r="DS63" s="42"/>
      <c r="DT63" s="42"/>
      <c r="DU63" s="42"/>
      <c r="DV63" s="42"/>
      <c r="DW63" s="42"/>
      <c r="DX63" s="42"/>
      <c r="DY63" s="42"/>
      <c r="DZ63" s="42"/>
      <c r="EA63" s="42"/>
      <c r="EB63" s="42"/>
      <c r="EC63" s="42"/>
      <c r="ED63" s="42"/>
      <c r="EE63" s="42"/>
      <c r="EF63" s="42"/>
      <c r="EG63" s="42"/>
      <c r="EH63" s="211">
        <f t="shared" si="8"/>
        <v>4808</v>
      </c>
      <c r="EI63" s="89"/>
      <c r="EJ63" s="89">
        <f t="shared" si="9"/>
        <v>27571</v>
      </c>
      <c r="EK63" s="89"/>
      <c r="EL63" s="47">
        <f t="shared" si="13"/>
        <v>0</v>
      </c>
      <c r="EM63" s="202"/>
      <c r="EN63" s="47">
        <f t="shared" si="18"/>
        <v>27152</v>
      </c>
      <c r="EO63" s="12">
        <f t="shared" si="22"/>
        <v>0</v>
      </c>
      <c r="EP63" s="12">
        <f t="shared" si="23"/>
        <v>610</v>
      </c>
      <c r="EQ63" s="12">
        <f t="shared" si="24"/>
        <v>4759</v>
      </c>
      <c r="ER63" s="12">
        <f t="shared" si="25"/>
        <v>1150</v>
      </c>
      <c r="ES63" s="15">
        <f t="shared" si="26"/>
        <v>753</v>
      </c>
      <c r="ET63" s="49">
        <f t="shared" si="19"/>
        <v>8227</v>
      </c>
      <c r="EU63" s="49">
        <f t="shared" si="20"/>
        <v>8859</v>
      </c>
      <c r="EV63" s="49">
        <f t="shared" si="21"/>
        <v>3213</v>
      </c>
      <c r="EW63" s="49">
        <f t="shared" si="11"/>
        <v>0</v>
      </c>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row>
    <row r="64" spans="1:304" s="78" customFormat="1" ht="60" hidden="1" x14ac:dyDescent="0.25">
      <c r="A64" s="309"/>
      <c r="B64" s="83" t="s">
        <v>40</v>
      </c>
      <c r="C64" s="33">
        <v>165</v>
      </c>
      <c r="D64" s="33">
        <v>168</v>
      </c>
      <c r="E64" s="33">
        <v>224</v>
      </c>
      <c r="F64" s="33">
        <v>184</v>
      </c>
      <c r="G64" s="33">
        <v>44</v>
      </c>
      <c r="H64" s="33">
        <v>55</v>
      </c>
      <c r="I64" s="33">
        <v>34</v>
      </c>
      <c r="J64" s="33">
        <v>198</v>
      </c>
      <c r="K64" s="33">
        <v>218</v>
      </c>
      <c r="L64" s="33">
        <v>196</v>
      </c>
      <c r="M64" s="33">
        <v>155</v>
      </c>
      <c r="N64" s="33">
        <v>17</v>
      </c>
      <c r="O64" s="33">
        <v>86</v>
      </c>
      <c r="P64" s="33">
        <v>37</v>
      </c>
      <c r="Q64" s="33">
        <v>87</v>
      </c>
      <c r="R64" s="33">
        <v>55</v>
      </c>
      <c r="S64" s="33">
        <v>45</v>
      </c>
      <c r="T64" s="33">
        <v>48</v>
      </c>
      <c r="U64" s="33">
        <v>51</v>
      </c>
      <c r="V64" s="33">
        <v>82</v>
      </c>
      <c r="W64" s="33">
        <v>119</v>
      </c>
      <c r="X64" s="33">
        <v>80</v>
      </c>
      <c r="Y64" s="33">
        <v>102</v>
      </c>
      <c r="Z64" s="33">
        <v>95</v>
      </c>
      <c r="AA64" s="33">
        <v>52</v>
      </c>
      <c r="AB64" s="33">
        <v>69</v>
      </c>
      <c r="AC64" s="33">
        <v>92</v>
      </c>
      <c r="AD64" s="33">
        <v>42</v>
      </c>
      <c r="AE64" s="33">
        <v>51</v>
      </c>
      <c r="AF64" s="33">
        <v>29</v>
      </c>
      <c r="AG64" s="33">
        <v>30</v>
      </c>
      <c r="AH64" s="33">
        <v>28</v>
      </c>
      <c r="AI64" s="33">
        <v>10</v>
      </c>
      <c r="AJ64" s="34">
        <v>20</v>
      </c>
      <c r="AK64" s="34">
        <v>12</v>
      </c>
      <c r="AL64" s="34">
        <v>8</v>
      </c>
      <c r="AM64" s="34">
        <v>5</v>
      </c>
      <c r="AN64" s="34">
        <v>7</v>
      </c>
      <c r="AO64" s="34">
        <v>21</v>
      </c>
      <c r="AP64" s="34">
        <v>19</v>
      </c>
      <c r="AQ64" s="34">
        <v>30</v>
      </c>
      <c r="AR64" s="34">
        <v>10</v>
      </c>
      <c r="AS64" s="34">
        <v>19</v>
      </c>
      <c r="AT64" s="34">
        <v>12</v>
      </c>
      <c r="AU64" s="34">
        <v>3</v>
      </c>
      <c r="AV64" s="34">
        <v>15</v>
      </c>
      <c r="AW64" s="34">
        <v>10</v>
      </c>
      <c r="AX64" s="34">
        <v>7</v>
      </c>
      <c r="AY64" s="34">
        <v>96</v>
      </c>
      <c r="AZ64" s="34">
        <v>21</v>
      </c>
      <c r="BA64" s="34">
        <v>70</v>
      </c>
      <c r="BB64" s="34">
        <v>48</v>
      </c>
      <c r="BC64" s="34">
        <v>27</v>
      </c>
      <c r="BD64" s="34">
        <v>31</v>
      </c>
      <c r="BE64" s="34">
        <v>12</v>
      </c>
      <c r="BF64" s="34">
        <v>10</v>
      </c>
      <c r="BG64" s="34">
        <v>9</v>
      </c>
      <c r="BH64" s="34">
        <v>2</v>
      </c>
      <c r="BI64" s="34">
        <v>6</v>
      </c>
      <c r="BJ64" s="34">
        <v>2</v>
      </c>
      <c r="BK64" s="34">
        <v>0</v>
      </c>
      <c r="BL64" s="34">
        <v>2</v>
      </c>
      <c r="BM64" s="34">
        <v>0</v>
      </c>
      <c r="BN64" s="34">
        <v>11</v>
      </c>
      <c r="BO64" s="34">
        <v>1</v>
      </c>
      <c r="BP64" s="34">
        <v>12</v>
      </c>
      <c r="BQ64" s="34">
        <v>19</v>
      </c>
      <c r="BR64" s="34">
        <v>27</v>
      </c>
      <c r="BS64" s="34">
        <v>115</v>
      </c>
      <c r="BT64" s="34">
        <v>172</v>
      </c>
      <c r="BU64" s="34">
        <v>84</v>
      </c>
      <c r="BV64" s="34">
        <v>25</v>
      </c>
      <c r="BW64" s="52">
        <f>28-3</f>
        <v>25</v>
      </c>
      <c r="BX64" s="34">
        <v>0</v>
      </c>
      <c r="BY64" s="59">
        <v>0</v>
      </c>
      <c r="BZ64" s="59">
        <v>0</v>
      </c>
      <c r="CA64" s="68">
        <f>13-13</f>
        <v>0</v>
      </c>
      <c r="CB64" s="34">
        <v>0</v>
      </c>
      <c r="CC64" s="34">
        <v>0</v>
      </c>
      <c r="CD64" s="34">
        <v>0</v>
      </c>
      <c r="CE64" s="34">
        <v>0</v>
      </c>
      <c r="CF64" s="34">
        <v>0</v>
      </c>
      <c r="CG64" s="34">
        <v>0</v>
      </c>
      <c r="CH64" s="34">
        <v>72</v>
      </c>
      <c r="CI64" s="34">
        <v>149</v>
      </c>
      <c r="CJ64" s="34">
        <v>76</v>
      </c>
      <c r="CK64" s="34">
        <v>89</v>
      </c>
      <c r="CL64" s="34">
        <v>16</v>
      </c>
      <c r="CM64" s="34">
        <v>47</v>
      </c>
      <c r="CN64" s="34">
        <v>0</v>
      </c>
      <c r="CO64" s="34">
        <v>0</v>
      </c>
      <c r="CP64" s="34">
        <v>1</v>
      </c>
      <c r="CQ64" s="34">
        <v>9</v>
      </c>
      <c r="CR64" s="34">
        <v>13</v>
      </c>
      <c r="CS64" s="34">
        <v>17</v>
      </c>
      <c r="CT64" s="34">
        <v>0</v>
      </c>
      <c r="CU64" s="34">
        <v>0</v>
      </c>
      <c r="CV64" s="34">
        <v>0</v>
      </c>
      <c r="CW64" s="34">
        <v>0</v>
      </c>
      <c r="CX64" s="34">
        <v>0</v>
      </c>
      <c r="CY64" s="34">
        <v>0</v>
      </c>
      <c r="CZ64" s="34">
        <v>0</v>
      </c>
      <c r="DA64" s="34">
        <v>0</v>
      </c>
      <c r="DB64" s="34">
        <v>0</v>
      </c>
      <c r="DC64" s="34">
        <v>0</v>
      </c>
      <c r="DD64" s="34">
        <v>0</v>
      </c>
      <c r="DE64" s="34">
        <v>0</v>
      </c>
      <c r="DF64" s="34"/>
      <c r="DG64" s="34"/>
      <c r="DH64" s="34"/>
      <c r="DI64" s="34"/>
      <c r="DJ64" s="34"/>
      <c r="DK64" s="34"/>
      <c r="DL64" s="34"/>
      <c r="DM64" s="34"/>
      <c r="DN64" s="34"/>
      <c r="DO64" s="34"/>
      <c r="DP64" s="34"/>
      <c r="DQ64" s="34"/>
      <c r="DR64" s="34"/>
      <c r="DS64" s="42"/>
      <c r="DT64" s="42"/>
      <c r="DU64" s="42"/>
      <c r="DV64" s="42"/>
      <c r="DW64" s="42"/>
      <c r="DX64" s="42"/>
      <c r="DY64" s="42"/>
      <c r="DZ64" s="42"/>
      <c r="EA64" s="42"/>
      <c r="EB64" s="42"/>
      <c r="EC64" s="42"/>
      <c r="ED64" s="42"/>
      <c r="EE64" s="42"/>
      <c r="EF64" s="42"/>
      <c r="EG64" s="42"/>
      <c r="EH64" s="211">
        <f t="shared" si="8"/>
        <v>40</v>
      </c>
      <c r="EI64" s="89"/>
      <c r="EJ64" s="89">
        <f t="shared" si="9"/>
        <v>4462</v>
      </c>
      <c r="EK64" s="89"/>
      <c r="EL64" s="47">
        <f t="shared" si="13"/>
        <v>0</v>
      </c>
      <c r="EM64" s="202"/>
      <c r="EN64" s="47">
        <f t="shared" si="18"/>
        <v>3588</v>
      </c>
      <c r="EO64" s="12">
        <f t="shared" si="22"/>
        <v>165</v>
      </c>
      <c r="EP64" s="12">
        <f t="shared" si="23"/>
        <v>1579</v>
      </c>
      <c r="EQ64" s="12">
        <f t="shared" si="24"/>
        <v>853</v>
      </c>
      <c r="ER64" s="12">
        <f t="shared" si="25"/>
        <v>396</v>
      </c>
      <c r="ES64" s="15">
        <f t="shared" si="26"/>
        <v>249</v>
      </c>
      <c r="ET64" s="49">
        <f t="shared" si="19"/>
        <v>731</v>
      </c>
      <c r="EU64" s="49">
        <f t="shared" si="20"/>
        <v>489</v>
      </c>
      <c r="EV64" s="49">
        <f t="shared" si="21"/>
        <v>0</v>
      </c>
      <c r="EW64" s="49">
        <f t="shared" si="11"/>
        <v>0</v>
      </c>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row>
    <row r="65" spans="1:304" s="78" customFormat="1" ht="45" hidden="1" x14ac:dyDescent="0.25">
      <c r="A65" s="309" t="s">
        <v>29</v>
      </c>
      <c r="B65" s="83" t="s">
        <v>166</v>
      </c>
      <c r="C65" s="33">
        <v>4</v>
      </c>
      <c r="D65" s="33">
        <v>3</v>
      </c>
      <c r="E65" s="33">
        <v>2</v>
      </c>
      <c r="F65" s="33">
        <v>4</v>
      </c>
      <c r="G65" s="33">
        <v>3</v>
      </c>
      <c r="H65" s="33">
        <v>5</v>
      </c>
      <c r="I65" s="33">
        <v>1</v>
      </c>
      <c r="J65" s="33">
        <v>1</v>
      </c>
      <c r="K65" s="33">
        <v>7</v>
      </c>
      <c r="L65" s="33">
        <v>6</v>
      </c>
      <c r="M65" s="33">
        <v>3</v>
      </c>
      <c r="N65" s="33">
        <v>3</v>
      </c>
      <c r="O65" s="33">
        <v>10</v>
      </c>
      <c r="P65" s="33">
        <v>3</v>
      </c>
      <c r="Q65" s="33">
        <v>6</v>
      </c>
      <c r="R65" s="33">
        <v>6</v>
      </c>
      <c r="S65" s="33">
        <v>6</v>
      </c>
      <c r="T65" s="33">
        <v>6</v>
      </c>
      <c r="U65" s="33">
        <v>7</v>
      </c>
      <c r="V65" s="33">
        <v>8</v>
      </c>
      <c r="W65" s="33">
        <v>6</v>
      </c>
      <c r="X65" s="33">
        <v>6</v>
      </c>
      <c r="Y65" s="33">
        <v>8</v>
      </c>
      <c r="Z65" s="33">
        <v>5</v>
      </c>
      <c r="AA65" s="33">
        <v>7</v>
      </c>
      <c r="AB65" s="33">
        <v>7</v>
      </c>
      <c r="AC65" s="33">
        <v>5</v>
      </c>
      <c r="AD65" s="33">
        <v>6</v>
      </c>
      <c r="AE65" s="33">
        <v>6</v>
      </c>
      <c r="AF65" s="33">
        <v>5</v>
      </c>
      <c r="AG65" s="33">
        <v>9</v>
      </c>
      <c r="AH65" s="33">
        <v>9</v>
      </c>
      <c r="AI65" s="33">
        <v>6</v>
      </c>
      <c r="AJ65" s="34">
        <v>4</v>
      </c>
      <c r="AK65" s="34">
        <v>8</v>
      </c>
      <c r="AL65" s="34">
        <v>6</v>
      </c>
      <c r="AM65" s="34">
        <v>7</v>
      </c>
      <c r="AN65" s="34">
        <v>6</v>
      </c>
      <c r="AO65" s="34">
        <v>8</v>
      </c>
      <c r="AP65" s="34">
        <v>6</v>
      </c>
      <c r="AQ65" s="34">
        <v>7</v>
      </c>
      <c r="AR65" s="34">
        <v>7</v>
      </c>
      <c r="AS65" s="34">
        <v>8</v>
      </c>
      <c r="AT65" s="34">
        <v>6</v>
      </c>
      <c r="AU65" s="34">
        <v>6</v>
      </c>
      <c r="AV65" s="34">
        <v>6</v>
      </c>
      <c r="AW65" s="33">
        <v>7</v>
      </c>
      <c r="AX65" s="34">
        <v>6</v>
      </c>
      <c r="AY65" s="34">
        <v>7</v>
      </c>
      <c r="AZ65" s="34">
        <v>0</v>
      </c>
      <c r="BA65" s="34">
        <v>7</v>
      </c>
      <c r="BB65" s="34">
        <v>4</v>
      </c>
      <c r="BC65" s="34">
        <v>3</v>
      </c>
      <c r="BD65" s="34">
        <v>3</v>
      </c>
      <c r="BE65" s="34">
        <v>4</v>
      </c>
      <c r="BF65" s="34">
        <v>4</v>
      </c>
      <c r="BG65" s="34">
        <v>3</v>
      </c>
      <c r="BH65" s="34">
        <v>4</v>
      </c>
      <c r="BI65" s="34">
        <v>3</v>
      </c>
      <c r="BJ65" s="34">
        <v>4</v>
      </c>
      <c r="BK65" s="34">
        <v>5</v>
      </c>
      <c r="BL65" s="34">
        <v>2</v>
      </c>
      <c r="BM65" s="34">
        <v>6</v>
      </c>
      <c r="BN65" s="34">
        <v>2</v>
      </c>
      <c r="BO65" s="34">
        <v>5</v>
      </c>
      <c r="BP65" s="34">
        <v>4</v>
      </c>
      <c r="BQ65" s="34">
        <v>4</v>
      </c>
      <c r="BR65" s="34">
        <v>4</v>
      </c>
      <c r="BS65" s="34">
        <v>4</v>
      </c>
      <c r="BT65" s="34">
        <v>2</v>
      </c>
      <c r="BU65" s="34">
        <v>7</v>
      </c>
      <c r="BV65" s="34">
        <v>4</v>
      </c>
      <c r="BW65" s="34">
        <v>8</v>
      </c>
      <c r="BX65" s="34">
        <v>3</v>
      </c>
      <c r="BY65" s="34">
        <v>5</v>
      </c>
      <c r="BZ65" s="34">
        <v>0</v>
      </c>
      <c r="CA65" s="34">
        <v>8</v>
      </c>
      <c r="CB65" s="34">
        <v>2</v>
      </c>
      <c r="CC65" s="34">
        <v>2</v>
      </c>
      <c r="CD65" s="34">
        <v>2</v>
      </c>
      <c r="CE65" s="34">
        <v>2</v>
      </c>
      <c r="CF65" s="34">
        <v>2</v>
      </c>
      <c r="CG65" s="34">
        <v>2</v>
      </c>
      <c r="CH65" s="34">
        <v>5</v>
      </c>
      <c r="CI65" s="34">
        <v>1</v>
      </c>
      <c r="CJ65" s="34">
        <v>4</v>
      </c>
      <c r="CK65" s="34">
        <v>5</v>
      </c>
      <c r="CL65" s="34">
        <v>4</v>
      </c>
      <c r="CM65" s="34">
        <v>6</v>
      </c>
      <c r="CN65" s="34">
        <v>5</v>
      </c>
      <c r="CO65" s="34">
        <v>7</v>
      </c>
      <c r="CP65" s="34">
        <v>5</v>
      </c>
      <c r="CQ65" s="34">
        <v>5</v>
      </c>
      <c r="CR65" s="34">
        <v>6</v>
      </c>
      <c r="CS65" s="34">
        <v>6</v>
      </c>
      <c r="CT65" s="34">
        <v>5</v>
      </c>
      <c r="CU65" s="34">
        <v>11</v>
      </c>
      <c r="CV65" s="34">
        <v>1</v>
      </c>
      <c r="CW65" s="34">
        <v>7</v>
      </c>
      <c r="CX65" s="34">
        <v>7</v>
      </c>
      <c r="CY65" s="34">
        <v>4</v>
      </c>
      <c r="CZ65" s="34">
        <v>4</v>
      </c>
      <c r="DA65" s="34">
        <v>1</v>
      </c>
      <c r="DB65" s="34">
        <v>2</v>
      </c>
      <c r="DC65" s="34">
        <v>2</v>
      </c>
      <c r="DD65" s="34">
        <v>3</v>
      </c>
      <c r="DE65" s="34">
        <v>1</v>
      </c>
      <c r="DF65" s="34"/>
      <c r="DG65" s="34"/>
      <c r="DH65" s="34"/>
      <c r="DI65" s="34"/>
      <c r="DJ65" s="34"/>
      <c r="DK65" s="34"/>
      <c r="DL65" s="34"/>
      <c r="DM65" s="34"/>
      <c r="DN65" s="34"/>
      <c r="DO65" s="34"/>
      <c r="DP65" s="34"/>
      <c r="DQ65" s="34"/>
      <c r="DR65" s="34"/>
      <c r="DS65" s="42"/>
      <c r="DT65" s="42"/>
      <c r="DU65" s="42"/>
      <c r="DV65" s="42"/>
      <c r="DW65" s="42"/>
      <c r="DX65" s="42"/>
      <c r="DY65" s="42"/>
      <c r="DZ65" s="42"/>
      <c r="EA65" s="42"/>
      <c r="EB65" s="42"/>
      <c r="EC65" s="42"/>
      <c r="ED65" s="42"/>
      <c r="EE65" s="42"/>
      <c r="EF65" s="42"/>
      <c r="EG65" s="42"/>
      <c r="EH65" s="211">
        <f t="shared" si="8"/>
        <v>70</v>
      </c>
      <c r="EI65" s="89"/>
      <c r="EJ65" s="89">
        <f t="shared" si="9"/>
        <v>515</v>
      </c>
      <c r="EK65" s="89"/>
      <c r="EL65" s="47">
        <f t="shared" ref="EL65:EL97" si="27">SUM(DK65:DQ65)</f>
        <v>0</v>
      </c>
      <c r="EM65" s="202"/>
      <c r="EN65" s="47">
        <f t="shared" si="18"/>
        <v>493</v>
      </c>
      <c r="EO65" s="12">
        <f t="shared" si="22"/>
        <v>4</v>
      </c>
      <c r="EP65" s="12">
        <f t="shared" si="23"/>
        <v>48</v>
      </c>
      <c r="EQ65" s="12">
        <f t="shared" si="24"/>
        <v>74</v>
      </c>
      <c r="ER65" s="12">
        <f t="shared" si="25"/>
        <v>78</v>
      </c>
      <c r="ES65" s="15">
        <f t="shared" si="26"/>
        <v>80</v>
      </c>
      <c r="ET65" s="49">
        <f t="shared" si="19"/>
        <v>96</v>
      </c>
      <c r="EU65" s="49">
        <f t="shared" si="20"/>
        <v>103</v>
      </c>
      <c r="EV65" s="49">
        <f t="shared" si="21"/>
        <v>32</v>
      </c>
      <c r="EW65" s="49">
        <f t="shared" si="11"/>
        <v>0</v>
      </c>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row>
    <row r="66" spans="1:304" s="78" customFormat="1" ht="30" hidden="1" x14ac:dyDescent="0.25">
      <c r="A66" s="309"/>
      <c r="B66" s="83" t="s">
        <v>167</v>
      </c>
      <c r="C66" s="33">
        <v>8</v>
      </c>
      <c r="D66" s="33">
        <v>0</v>
      </c>
      <c r="E66" s="33">
        <v>0</v>
      </c>
      <c r="F66" s="33">
        <v>1</v>
      </c>
      <c r="G66" s="33">
        <v>0</v>
      </c>
      <c r="H66" s="33">
        <v>1</v>
      </c>
      <c r="I66" s="33">
        <v>1</v>
      </c>
      <c r="J66" s="33">
        <v>0</v>
      </c>
      <c r="K66" s="33">
        <v>0</v>
      </c>
      <c r="L66" s="33">
        <v>1</v>
      </c>
      <c r="M66" s="33">
        <v>0</v>
      </c>
      <c r="N66" s="33">
        <v>0</v>
      </c>
      <c r="O66" s="33">
        <v>0</v>
      </c>
      <c r="P66" s="33">
        <v>3</v>
      </c>
      <c r="Q66" s="33">
        <v>1</v>
      </c>
      <c r="R66" s="33">
        <v>0</v>
      </c>
      <c r="S66" s="33">
        <v>0</v>
      </c>
      <c r="T66" s="33">
        <v>0</v>
      </c>
      <c r="U66" s="33">
        <v>0</v>
      </c>
      <c r="V66" s="33">
        <v>0</v>
      </c>
      <c r="W66" s="33">
        <v>4</v>
      </c>
      <c r="X66" s="33">
        <v>4</v>
      </c>
      <c r="Y66" s="33">
        <v>3</v>
      </c>
      <c r="Z66" s="33">
        <v>2</v>
      </c>
      <c r="AA66" s="33">
        <v>0</v>
      </c>
      <c r="AB66" s="33">
        <v>0</v>
      </c>
      <c r="AC66" s="33">
        <v>3</v>
      </c>
      <c r="AD66" s="33">
        <v>2</v>
      </c>
      <c r="AE66" s="33">
        <v>1</v>
      </c>
      <c r="AF66" s="33">
        <v>1</v>
      </c>
      <c r="AG66" s="33">
        <v>4</v>
      </c>
      <c r="AH66" s="33">
        <v>6</v>
      </c>
      <c r="AI66" s="33">
        <v>4</v>
      </c>
      <c r="AJ66" s="34">
        <v>0</v>
      </c>
      <c r="AK66" s="34">
        <v>2</v>
      </c>
      <c r="AL66" s="34">
        <v>0</v>
      </c>
      <c r="AM66" s="34">
        <v>3</v>
      </c>
      <c r="AN66" s="34">
        <v>0</v>
      </c>
      <c r="AO66" s="34">
        <v>1</v>
      </c>
      <c r="AP66" s="34">
        <v>3</v>
      </c>
      <c r="AQ66" s="34">
        <v>0</v>
      </c>
      <c r="AR66" s="34">
        <v>3</v>
      </c>
      <c r="AS66" s="34">
        <v>5</v>
      </c>
      <c r="AT66" s="34">
        <v>3</v>
      </c>
      <c r="AU66" s="34">
        <v>0</v>
      </c>
      <c r="AV66" s="34">
        <v>1</v>
      </c>
      <c r="AW66" s="33">
        <v>0</v>
      </c>
      <c r="AX66" s="34">
        <v>2</v>
      </c>
      <c r="AY66" s="34">
        <v>1</v>
      </c>
      <c r="AZ66" s="34">
        <v>2</v>
      </c>
      <c r="BA66" s="34">
        <v>3</v>
      </c>
      <c r="BB66" s="34">
        <v>0</v>
      </c>
      <c r="BC66" s="34">
        <v>0</v>
      </c>
      <c r="BD66" s="34">
        <v>1</v>
      </c>
      <c r="BE66" s="34">
        <v>0</v>
      </c>
      <c r="BF66" s="34">
        <v>1</v>
      </c>
      <c r="BG66" s="34">
        <v>0</v>
      </c>
      <c r="BH66" s="34">
        <v>0</v>
      </c>
      <c r="BI66" s="34">
        <v>1</v>
      </c>
      <c r="BJ66" s="34">
        <v>0</v>
      </c>
      <c r="BK66" s="34">
        <v>0</v>
      </c>
      <c r="BL66" s="34">
        <v>2</v>
      </c>
      <c r="BM66" s="34">
        <v>0</v>
      </c>
      <c r="BN66" s="34">
        <v>3</v>
      </c>
      <c r="BO66" s="34">
        <v>0</v>
      </c>
      <c r="BP66" s="34">
        <v>0</v>
      </c>
      <c r="BQ66" s="34">
        <v>0</v>
      </c>
      <c r="BR66" s="34">
        <v>0</v>
      </c>
      <c r="BS66" s="34">
        <v>0</v>
      </c>
      <c r="BT66" s="34">
        <v>0</v>
      </c>
      <c r="BU66" s="34">
        <v>0</v>
      </c>
      <c r="BV66" s="34">
        <v>0</v>
      </c>
      <c r="BW66" s="34">
        <v>4</v>
      </c>
      <c r="BX66" s="34">
        <v>2</v>
      </c>
      <c r="BY66" s="34">
        <v>0</v>
      </c>
      <c r="BZ66" s="34">
        <v>1</v>
      </c>
      <c r="CA66" s="34">
        <v>3</v>
      </c>
      <c r="CB66" s="34">
        <v>0</v>
      </c>
      <c r="CC66" s="34">
        <v>2</v>
      </c>
      <c r="CD66" s="34">
        <v>0</v>
      </c>
      <c r="CE66" s="34">
        <v>0</v>
      </c>
      <c r="CF66" s="34">
        <v>0</v>
      </c>
      <c r="CG66" s="34">
        <v>2</v>
      </c>
      <c r="CH66" s="34">
        <v>2</v>
      </c>
      <c r="CI66" s="34">
        <v>3</v>
      </c>
      <c r="CJ66" s="34">
        <v>4</v>
      </c>
      <c r="CK66" s="69">
        <v>1</v>
      </c>
      <c r="CL66" s="70">
        <v>6</v>
      </c>
      <c r="CM66" s="34">
        <v>0</v>
      </c>
      <c r="CN66" s="34">
        <v>0</v>
      </c>
      <c r="CO66" s="34">
        <v>8</v>
      </c>
      <c r="CP66" s="34">
        <v>2</v>
      </c>
      <c r="CQ66" s="34">
        <v>0</v>
      </c>
      <c r="CR66" s="34">
        <v>5</v>
      </c>
      <c r="CS66" s="34">
        <v>0</v>
      </c>
      <c r="CT66" s="34">
        <v>0</v>
      </c>
      <c r="CU66" s="34">
        <v>0</v>
      </c>
      <c r="CV66" s="34">
        <v>0</v>
      </c>
      <c r="CW66" s="34">
        <v>1</v>
      </c>
      <c r="CX66" s="34">
        <v>3</v>
      </c>
      <c r="CY66" s="34">
        <v>0</v>
      </c>
      <c r="CZ66" s="34">
        <v>0</v>
      </c>
      <c r="DA66" s="34">
        <v>15</v>
      </c>
      <c r="DB66" s="34">
        <v>0</v>
      </c>
      <c r="DC66" s="34">
        <v>0</v>
      </c>
      <c r="DD66" s="34">
        <v>1</v>
      </c>
      <c r="DE66" s="34">
        <v>3</v>
      </c>
      <c r="DF66" s="34"/>
      <c r="DG66" s="34"/>
      <c r="DH66" s="34"/>
      <c r="DI66" s="34"/>
      <c r="DJ66" s="34"/>
      <c r="DK66" s="34"/>
      <c r="DL66" s="34"/>
      <c r="DM66" s="34"/>
      <c r="DN66" s="34"/>
      <c r="DO66" s="34"/>
      <c r="DP66" s="34"/>
      <c r="DQ66" s="34"/>
      <c r="DR66" s="34"/>
      <c r="DS66" s="42"/>
      <c r="DT66" s="42"/>
      <c r="DU66" s="42"/>
      <c r="DV66" s="42"/>
      <c r="DW66" s="42"/>
      <c r="DX66" s="42"/>
      <c r="DY66" s="42"/>
      <c r="DZ66" s="42"/>
      <c r="EA66" s="42"/>
      <c r="EB66" s="42"/>
      <c r="EC66" s="42"/>
      <c r="ED66" s="42"/>
      <c r="EE66" s="42"/>
      <c r="EF66" s="42"/>
      <c r="EG66" s="42"/>
      <c r="EH66" s="211">
        <f t="shared" si="8"/>
        <v>30</v>
      </c>
      <c r="EI66" s="89"/>
      <c r="EJ66" s="89">
        <f t="shared" si="9"/>
        <v>155</v>
      </c>
      <c r="EK66" s="89"/>
      <c r="EL66" s="47">
        <f t="shared" si="27"/>
        <v>0</v>
      </c>
      <c r="EM66" s="202"/>
      <c r="EN66" s="47">
        <f t="shared" si="18"/>
        <v>144</v>
      </c>
      <c r="EO66" s="12">
        <f t="shared" si="22"/>
        <v>8</v>
      </c>
      <c r="EP66" s="12">
        <f t="shared" si="23"/>
        <v>4</v>
      </c>
      <c r="EQ66" s="12">
        <f t="shared" si="24"/>
        <v>17</v>
      </c>
      <c r="ER66" s="12">
        <f t="shared" si="25"/>
        <v>26</v>
      </c>
      <c r="ES66" s="15">
        <f t="shared" si="26"/>
        <v>19</v>
      </c>
      <c r="ET66" s="49">
        <f t="shared" si="19"/>
        <v>17</v>
      </c>
      <c r="EU66" s="49">
        <f t="shared" si="20"/>
        <v>41</v>
      </c>
      <c r="EV66" s="49">
        <f t="shared" si="21"/>
        <v>23</v>
      </c>
      <c r="EW66" s="49">
        <f t="shared" si="11"/>
        <v>0</v>
      </c>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row>
    <row r="67" spans="1:304" s="78" customFormat="1" ht="30" hidden="1" x14ac:dyDescent="0.25">
      <c r="A67" s="309"/>
      <c r="B67" s="83" t="s">
        <v>168</v>
      </c>
      <c r="C67" s="33">
        <v>8</v>
      </c>
      <c r="D67" s="33">
        <v>1</v>
      </c>
      <c r="E67" s="33">
        <v>0</v>
      </c>
      <c r="F67" s="33">
        <v>1</v>
      </c>
      <c r="G67" s="33">
        <v>0</v>
      </c>
      <c r="H67" s="33">
        <v>1</v>
      </c>
      <c r="I67" s="33">
        <v>1</v>
      </c>
      <c r="J67" s="33">
        <v>0</v>
      </c>
      <c r="K67" s="33">
        <v>0</v>
      </c>
      <c r="L67" s="33">
        <v>1</v>
      </c>
      <c r="M67" s="33">
        <v>0</v>
      </c>
      <c r="N67" s="33">
        <v>0</v>
      </c>
      <c r="O67" s="33">
        <v>5</v>
      </c>
      <c r="P67" s="33">
        <v>3</v>
      </c>
      <c r="Q67" s="33">
        <v>1</v>
      </c>
      <c r="R67" s="33">
        <v>0</v>
      </c>
      <c r="S67" s="33">
        <v>0</v>
      </c>
      <c r="T67" s="33">
        <v>0</v>
      </c>
      <c r="U67" s="33">
        <v>0</v>
      </c>
      <c r="V67" s="33">
        <v>0</v>
      </c>
      <c r="W67" s="33">
        <v>1</v>
      </c>
      <c r="X67" s="33">
        <v>3</v>
      </c>
      <c r="Y67" s="33">
        <v>4</v>
      </c>
      <c r="Z67" s="33">
        <v>1</v>
      </c>
      <c r="AA67" s="33">
        <v>0</v>
      </c>
      <c r="AB67" s="33">
        <v>0</v>
      </c>
      <c r="AC67" s="33">
        <v>2</v>
      </c>
      <c r="AD67" s="33">
        <v>2</v>
      </c>
      <c r="AE67" s="33">
        <v>3</v>
      </c>
      <c r="AF67" s="33">
        <v>2</v>
      </c>
      <c r="AG67" s="33">
        <v>3</v>
      </c>
      <c r="AH67" s="33">
        <v>3</v>
      </c>
      <c r="AI67" s="33">
        <v>3</v>
      </c>
      <c r="AJ67" s="34">
        <v>0</v>
      </c>
      <c r="AK67" s="34">
        <v>4</v>
      </c>
      <c r="AL67" s="34">
        <v>0</v>
      </c>
      <c r="AM67" s="34">
        <v>2</v>
      </c>
      <c r="AN67" s="34">
        <v>1</v>
      </c>
      <c r="AO67" s="34">
        <v>0</v>
      </c>
      <c r="AP67" s="34">
        <v>3</v>
      </c>
      <c r="AQ67" s="34">
        <v>0</v>
      </c>
      <c r="AR67" s="34">
        <v>5</v>
      </c>
      <c r="AS67" s="34">
        <v>6</v>
      </c>
      <c r="AT67" s="34">
        <v>5</v>
      </c>
      <c r="AU67" s="34">
        <v>1</v>
      </c>
      <c r="AV67" s="34">
        <v>1</v>
      </c>
      <c r="AW67" s="33">
        <v>1</v>
      </c>
      <c r="AX67" s="34">
        <v>2</v>
      </c>
      <c r="AY67" s="34">
        <v>2</v>
      </c>
      <c r="AZ67" s="34">
        <v>2</v>
      </c>
      <c r="BA67" s="34">
        <v>3</v>
      </c>
      <c r="BB67" s="34">
        <v>0</v>
      </c>
      <c r="BC67" s="34">
        <v>0</v>
      </c>
      <c r="BD67" s="34">
        <v>2</v>
      </c>
      <c r="BE67" s="34">
        <v>0</v>
      </c>
      <c r="BF67" s="34">
        <v>1</v>
      </c>
      <c r="BG67" s="34">
        <v>0</v>
      </c>
      <c r="BH67" s="34">
        <v>0</v>
      </c>
      <c r="BI67" s="34">
        <v>1</v>
      </c>
      <c r="BJ67" s="34">
        <v>2</v>
      </c>
      <c r="BK67" s="34">
        <v>0</v>
      </c>
      <c r="BL67" s="34">
        <v>2</v>
      </c>
      <c r="BM67" s="34">
        <v>1</v>
      </c>
      <c r="BN67" s="34">
        <v>7</v>
      </c>
      <c r="BO67" s="34">
        <v>1</v>
      </c>
      <c r="BP67" s="34">
        <v>1</v>
      </c>
      <c r="BQ67" s="34">
        <v>0</v>
      </c>
      <c r="BR67" s="34">
        <v>0</v>
      </c>
      <c r="BS67" s="34">
        <v>0</v>
      </c>
      <c r="BT67" s="34">
        <v>2</v>
      </c>
      <c r="BU67" s="34">
        <v>0</v>
      </c>
      <c r="BV67" s="34">
        <v>1</v>
      </c>
      <c r="BW67" s="34">
        <v>2</v>
      </c>
      <c r="BX67" s="34">
        <v>2</v>
      </c>
      <c r="BY67" s="34">
        <v>0</v>
      </c>
      <c r="BZ67" s="34">
        <v>2</v>
      </c>
      <c r="CA67" s="34">
        <v>2</v>
      </c>
      <c r="CB67" s="34">
        <v>0</v>
      </c>
      <c r="CC67" s="34">
        <v>1</v>
      </c>
      <c r="CD67" s="34">
        <v>1</v>
      </c>
      <c r="CE67" s="34">
        <v>2</v>
      </c>
      <c r="CF67" s="34">
        <v>1</v>
      </c>
      <c r="CG67" s="34">
        <v>3</v>
      </c>
      <c r="CH67" s="34">
        <v>1</v>
      </c>
      <c r="CI67" s="34">
        <v>2</v>
      </c>
      <c r="CJ67" s="34">
        <v>3</v>
      </c>
      <c r="CK67" s="34">
        <v>1</v>
      </c>
      <c r="CL67" s="39">
        <v>4</v>
      </c>
      <c r="CM67" s="34">
        <v>0</v>
      </c>
      <c r="CN67" s="34">
        <v>1</v>
      </c>
      <c r="CO67" s="34">
        <v>7</v>
      </c>
      <c r="CP67" s="34">
        <v>2</v>
      </c>
      <c r="CQ67" s="34">
        <v>0</v>
      </c>
      <c r="CR67" s="34">
        <v>4</v>
      </c>
      <c r="CS67" s="34">
        <v>0</v>
      </c>
      <c r="CT67" s="34">
        <v>0</v>
      </c>
      <c r="CU67" s="34">
        <v>0</v>
      </c>
      <c r="CV67" s="34">
        <v>0</v>
      </c>
      <c r="CW67" s="34">
        <v>2</v>
      </c>
      <c r="CX67" s="34">
        <v>3</v>
      </c>
      <c r="CY67" s="34">
        <v>0</v>
      </c>
      <c r="CZ67" s="34">
        <v>0</v>
      </c>
      <c r="DA67" s="34">
        <v>3</v>
      </c>
      <c r="DB67" s="34">
        <v>0</v>
      </c>
      <c r="DC67" s="34">
        <v>0</v>
      </c>
      <c r="DD67" s="34">
        <v>2</v>
      </c>
      <c r="DE67" s="34">
        <v>2</v>
      </c>
      <c r="DF67" s="34"/>
      <c r="DG67" s="34"/>
      <c r="DH67" s="34"/>
      <c r="DI67" s="34"/>
      <c r="DJ67" s="34"/>
      <c r="DK67" s="34"/>
      <c r="DL67" s="34"/>
      <c r="DM67" s="34"/>
      <c r="DN67" s="34"/>
      <c r="DO67" s="34"/>
      <c r="DP67" s="34"/>
      <c r="DQ67" s="34"/>
      <c r="DR67" s="34"/>
      <c r="DS67" s="42"/>
      <c r="DT67" s="42"/>
      <c r="DU67" s="42"/>
      <c r="DV67" s="42"/>
      <c r="DW67" s="42"/>
      <c r="DX67" s="42"/>
      <c r="DY67" s="42"/>
      <c r="DZ67" s="42"/>
      <c r="EA67" s="42"/>
      <c r="EB67" s="42"/>
      <c r="EC67" s="42"/>
      <c r="ED67" s="42"/>
      <c r="EE67" s="42"/>
      <c r="EF67" s="42"/>
      <c r="EG67" s="42"/>
      <c r="EH67" s="211">
        <f t="shared" si="8"/>
        <v>18</v>
      </c>
      <c r="EI67" s="89"/>
      <c r="EJ67" s="89">
        <f t="shared" si="9"/>
        <v>161</v>
      </c>
      <c r="EK67" s="89"/>
      <c r="EL67" s="47">
        <f t="shared" si="27"/>
        <v>0</v>
      </c>
      <c r="EM67" s="202"/>
      <c r="EN67" s="47">
        <f t="shared" si="18"/>
        <v>149</v>
      </c>
      <c r="EO67" s="12">
        <f t="shared" si="22"/>
        <v>8</v>
      </c>
      <c r="EP67" s="12">
        <f t="shared" si="23"/>
        <v>10</v>
      </c>
      <c r="EQ67" s="12">
        <f t="shared" si="24"/>
        <v>13</v>
      </c>
      <c r="ER67" s="12">
        <f t="shared" si="25"/>
        <v>24</v>
      </c>
      <c r="ES67" s="15">
        <f t="shared" si="26"/>
        <v>27</v>
      </c>
      <c r="ET67" s="49">
        <f t="shared" si="19"/>
        <v>28</v>
      </c>
      <c r="EU67" s="49">
        <f t="shared" si="20"/>
        <v>39</v>
      </c>
      <c r="EV67" s="49">
        <f t="shared" si="21"/>
        <v>12</v>
      </c>
      <c r="EW67" s="49">
        <f t="shared" si="11"/>
        <v>0</v>
      </c>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row>
    <row r="68" spans="1:304" s="78" customFormat="1" hidden="1" x14ac:dyDescent="0.25">
      <c r="A68" s="309"/>
      <c r="B68" s="83" t="s">
        <v>169</v>
      </c>
      <c r="C68" s="33">
        <v>2</v>
      </c>
      <c r="D68" s="33">
        <v>0</v>
      </c>
      <c r="E68" s="33">
        <v>0</v>
      </c>
      <c r="F68" s="33">
        <v>0</v>
      </c>
      <c r="G68" s="33">
        <v>0</v>
      </c>
      <c r="H68" s="33">
        <v>0</v>
      </c>
      <c r="I68" s="33">
        <v>2</v>
      </c>
      <c r="J68" s="33">
        <v>0</v>
      </c>
      <c r="K68" s="33">
        <v>0</v>
      </c>
      <c r="L68" s="33">
        <v>0</v>
      </c>
      <c r="M68" s="33">
        <v>0</v>
      </c>
      <c r="N68" s="33">
        <v>0</v>
      </c>
      <c r="O68" s="33">
        <v>0</v>
      </c>
      <c r="P68" s="33">
        <v>1</v>
      </c>
      <c r="Q68" s="33">
        <v>1</v>
      </c>
      <c r="R68" s="33">
        <v>0</v>
      </c>
      <c r="S68" s="33">
        <v>0</v>
      </c>
      <c r="T68" s="33">
        <v>0</v>
      </c>
      <c r="U68" s="33">
        <v>0</v>
      </c>
      <c r="V68" s="33">
        <v>0</v>
      </c>
      <c r="W68" s="33">
        <v>0</v>
      </c>
      <c r="X68" s="33">
        <v>0</v>
      </c>
      <c r="Y68" s="33">
        <v>1</v>
      </c>
      <c r="Z68" s="33">
        <v>0</v>
      </c>
      <c r="AA68" s="33">
        <v>2</v>
      </c>
      <c r="AB68" s="33">
        <v>0</v>
      </c>
      <c r="AC68" s="33">
        <v>1</v>
      </c>
      <c r="AD68" s="33">
        <v>0</v>
      </c>
      <c r="AE68" s="33">
        <v>0</v>
      </c>
      <c r="AF68" s="33">
        <v>0</v>
      </c>
      <c r="AG68" s="33">
        <v>1</v>
      </c>
      <c r="AH68" s="33">
        <v>1</v>
      </c>
      <c r="AI68" s="33">
        <v>3</v>
      </c>
      <c r="AJ68" s="34">
        <v>2</v>
      </c>
      <c r="AK68" s="34">
        <v>2</v>
      </c>
      <c r="AL68" s="34">
        <v>0</v>
      </c>
      <c r="AM68" s="34">
        <v>1</v>
      </c>
      <c r="AN68" s="34">
        <v>0</v>
      </c>
      <c r="AO68" s="34">
        <v>2</v>
      </c>
      <c r="AP68" s="34">
        <v>1</v>
      </c>
      <c r="AQ68" s="34">
        <v>0</v>
      </c>
      <c r="AR68" s="34">
        <v>2</v>
      </c>
      <c r="AS68" s="34">
        <v>0</v>
      </c>
      <c r="AT68" s="34">
        <v>0</v>
      </c>
      <c r="AU68" s="34">
        <v>2</v>
      </c>
      <c r="AV68" s="34">
        <v>0</v>
      </c>
      <c r="AW68" s="33">
        <v>7</v>
      </c>
      <c r="AX68" s="34">
        <v>2</v>
      </c>
      <c r="AY68" s="34">
        <v>0</v>
      </c>
      <c r="AZ68" s="34">
        <v>0</v>
      </c>
      <c r="BA68" s="34">
        <v>2</v>
      </c>
      <c r="BB68" s="34">
        <v>0</v>
      </c>
      <c r="BC68" s="34">
        <v>0</v>
      </c>
      <c r="BD68" s="34">
        <v>1</v>
      </c>
      <c r="BE68" s="34">
        <v>0</v>
      </c>
      <c r="BF68" s="34">
        <v>0</v>
      </c>
      <c r="BG68" s="34">
        <v>0</v>
      </c>
      <c r="BH68" s="34">
        <v>0</v>
      </c>
      <c r="BI68" s="34">
        <v>0</v>
      </c>
      <c r="BJ68" s="34">
        <v>1</v>
      </c>
      <c r="BK68" s="34">
        <v>0</v>
      </c>
      <c r="BL68" s="34">
        <v>3</v>
      </c>
      <c r="BM68" s="34">
        <v>1</v>
      </c>
      <c r="BN68" s="34">
        <v>3</v>
      </c>
      <c r="BO68" s="34">
        <v>1</v>
      </c>
      <c r="BP68" s="34">
        <v>0</v>
      </c>
      <c r="BQ68" s="34">
        <v>0</v>
      </c>
      <c r="BR68" s="34">
        <v>0</v>
      </c>
      <c r="BS68" s="34">
        <v>0</v>
      </c>
      <c r="BT68" s="34">
        <v>3</v>
      </c>
      <c r="BU68" s="34">
        <v>1</v>
      </c>
      <c r="BV68" s="34">
        <v>0</v>
      </c>
      <c r="BW68" s="34">
        <v>0</v>
      </c>
      <c r="BX68" s="34">
        <v>0</v>
      </c>
      <c r="BY68" s="34">
        <v>0</v>
      </c>
      <c r="BZ68" s="34">
        <v>0</v>
      </c>
      <c r="CA68" s="34">
        <v>2</v>
      </c>
      <c r="CB68" s="34">
        <v>0</v>
      </c>
      <c r="CC68" s="34">
        <v>0</v>
      </c>
      <c r="CD68" s="34">
        <v>1</v>
      </c>
      <c r="CE68" s="34">
        <v>1</v>
      </c>
      <c r="CF68" s="34">
        <v>0</v>
      </c>
      <c r="CG68" s="34">
        <v>0</v>
      </c>
      <c r="CH68" s="34">
        <v>1</v>
      </c>
      <c r="CI68" s="34">
        <v>0</v>
      </c>
      <c r="CJ68" s="34">
        <v>2</v>
      </c>
      <c r="CK68" s="34">
        <v>2</v>
      </c>
      <c r="CL68" s="39">
        <v>1</v>
      </c>
      <c r="CM68" s="34">
        <v>1</v>
      </c>
      <c r="CN68" s="34">
        <v>0</v>
      </c>
      <c r="CO68" s="34">
        <v>2</v>
      </c>
      <c r="CP68" s="34">
        <v>0</v>
      </c>
      <c r="CQ68" s="34">
        <v>0</v>
      </c>
      <c r="CR68" s="34">
        <v>1</v>
      </c>
      <c r="CS68" s="34">
        <v>1</v>
      </c>
      <c r="CT68" s="34">
        <v>0</v>
      </c>
      <c r="CU68" s="34">
        <v>0</v>
      </c>
      <c r="CV68" s="34">
        <v>0</v>
      </c>
      <c r="CW68" s="34">
        <v>1</v>
      </c>
      <c r="CX68" s="34">
        <v>0</v>
      </c>
      <c r="CY68" s="34">
        <v>0</v>
      </c>
      <c r="CZ68" s="34">
        <v>0</v>
      </c>
      <c r="DA68" s="34">
        <v>0</v>
      </c>
      <c r="DB68" s="34">
        <v>0</v>
      </c>
      <c r="DC68" s="34">
        <v>1</v>
      </c>
      <c r="DD68" s="34">
        <v>0</v>
      </c>
      <c r="DE68" s="34">
        <v>1</v>
      </c>
      <c r="DF68" s="34"/>
      <c r="DG68" s="34"/>
      <c r="DH68" s="34"/>
      <c r="DI68" s="34"/>
      <c r="DJ68" s="34"/>
      <c r="DK68" s="34"/>
      <c r="DL68" s="34"/>
      <c r="DM68" s="34"/>
      <c r="DN68" s="34"/>
      <c r="DO68" s="34"/>
      <c r="DP68" s="34"/>
      <c r="DQ68" s="34"/>
      <c r="DR68" s="34"/>
      <c r="DS68" s="42"/>
      <c r="DT68" s="42"/>
      <c r="DU68" s="42"/>
      <c r="DV68" s="42"/>
      <c r="DW68" s="42"/>
      <c r="DX68" s="42"/>
      <c r="DY68" s="42"/>
      <c r="DZ68" s="42"/>
      <c r="EA68" s="42"/>
      <c r="EB68" s="42"/>
      <c r="EC68" s="42"/>
      <c r="ED68" s="42"/>
      <c r="EE68" s="42"/>
      <c r="EF68" s="42"/>
      <c r="EG68" s="42"/>
      <c r="EH68" s="211">
        <f t="shared" si="8"/>
        <v>5</v>
      </c>
      <c r="EI68" s="89"/>
      <c r="EJ68" s="89">
        <f t="shared" si="9"/>
        <v>70</v>
      </c>
      <c r="EK68" s="89"/>
      <c r="EL68" s="47">
        <f t="shared" si="27"/>
        <v>0</v>
      </c>
      <c r="EM68" s="202"/>
      <c r="EN68" s="47">
        <f t="shared" si="18"/>
        <v>66</v>
      </c>
      <c r="EO68" s="12">
        <f t="shared" si="22"/>
        <v>2</v>
      </c>
      <c r="EP68" s="12">
        <f t="shared" si="23"/>
        <v>2</v>
      </c>
      <c r="EQ68" s="12">
        <f t="shared" si="24"/>
        <v>5</v>
      </c>
      <c r="ER68" s="12">
        <f t="shared" si="25"/>
        <v>11</v>
      </c>
      <c r="ES68" s="15">
        <f t="shared" si="26"/>
        <v>16</v>
      </c>
      <c r="ET68" s="49">
        <f t="shared" si="19"/>
        <v>16</v>
      </c>
      <c r="EU68" s="49">
        <f t="shared" si="20"/>
        <v>15</v>
      </c>
      <c r="EV68" s="49">
        <f t="shared" si="21"/>
        <v>3</v>
      </c>
      <c r="EW68" s="49">
        <f t="shared" si="11"/>
        <v>0</v>
      </c>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row>
    <row r="69" spans="1:304" s="78" customFormat="1" hidden="1" x14ac:dyDescent="0.25">
      <c r="A69" s="309"/>
      <c r="B69" s="83" t="s">
        <v>170</v>
      </c>
      <c r="C69" s="33" t="s">
        <v>154</v>
      </c>
      <c r="D69" s="33" t="s">
        <v>154</v>
      </c>
      <c r="E69" s="33" t="s">
        <v>154</v>
      </c>
      <c r="F69" s="33" t="s">
        <v>154</v>
      </c>
      <c r="G69" s="33" t="s">
        <v>154</v>
      </c>
      <c r="H69" s="33" t="s">
        <v>154</v>
      </c>
      <c r="I69" s="33" t="s">
        <v>154</v>
      </c>
      <c r="J69" s="33" t="s">
        <v>154</v>
      </c>
      <c r="K69" s="33" t="s">
        <v>154</v>
      </c>
      <c r="L69" s="33" t="s">
        <v>154</v>
      </c>
      <c r="M69" s="33" t="s">
        <v>154</v>
      </c>
      <c r="N69" s="33" t="s">
        <v>154</v>
      </c>
      <c r="O69" s="33" t="s">
        <v>154</v>
      </c>
      <c r="P69" s="33" t="s">
        <v>154</v>
      </c>
      <c r="Q69" s="33" t="s">
        <v>154</v>
      </c>
      <c r="R69" s="33" t="s">
        <v>154</v>
      </c>
      <c r="S69" s="33" t="s">
        <v>154</v>
      </c>
      <c r="T69" s="33" t="s">
        <v>154</v>
      </c>
      <c r="U69" s="33" t="s">
        <v>154</v>
      </c>
      <c r="V69" s="33" t="s">
        <v>154</v>
      </c>
      <c r="W69" s="33" t="s">
        <v>154</v>
      </c>
      <c r="X69" s="33" t="s">
        <v>154</v>
      </c>
      <c r="Y69" s="33" t="s">
        <v>154</v>
      </c>
      <c r="Z69" s="33" t="s">
        <v>154</v>
      </c>
      <c r="AA69" s="33" t="s">
        <v>154</v>
      </c>
      <c r="AB69" s="33" t="s">
        <v>154</v>
      </c>
      <c r="AC69" s="33" t="s">
        <v>154</v>
      </c>
      <c r="AD69" s="33" t="s">
        <v>154</v>
      </c>
      <c r="AE69" s="33" t="s">
        <v>154</v>
      </c>
      <c r="AF69" s="33" t="s">
        <v>154</v>
      </c>
      <c r="AG69" s="33" t="s">
        <v>154</v>
      </c>
      <c r="AH69" s="33" t="s">
        <v>154</v>
      </c>
      <c r="AI69" s="33" t="s">
        <v>154</v>
      </c>
      <c r="AJ69" s="33" t="s">
        <v>154</v>
      </c>
      <c r="AK69" s="33" t="s">
        <v>154</v>
      </c>
      <c r="AL69" s="33" t="s">
        <v>154</v>
      </c>
      <c r="AM69" s="33" t="s">
        <v>154</v>
      </c>
      <c r="AN69" s="33" t="s">
        <v>154</v>
      </c>
      <c r="AO69" s="33" t="s">
        <v>154</v>
      </c>
      <c r="AP69" s="33" t="s">
        <v>154</v>
      </c>
      <c r="AQ69" s="33" t="s">
        <v>154</v>
      </c>
      <c r="AR69" s="33" t="s">
        <v>154</v>
      </c>
      <c r="AS69" s="33" t="s">
        <v>154</v>
      </c>
      <c r="AT69" s="33" t="s">
        <v>154</v>
      </c>
      <c r="AU69" s="33" t="s">
        <v>154</v>
      </c>
      <c r="AV69" s="33" t="s">
        <v>154</v>
      </c>
      <c r="AW69" s="33" t="s">
        <v>154</v>
      </c>
      <c r="AX69" s="33" t="s">
        <v>154</v>
      </c>
      <c r="AY69" s="33" t="s">
        <v>154</v>
      </c>
      <c r="AZ69" s="34"/>
      <c r="BA69" s="34"/>
      <c r="BB69" s="34"/>
      <c r="BC69" s="34"/>
      <c r="BD69" s="34"/>
      <c r="BE69" s="34"/>
      <c r="BF69" s="34"/>
      <c r="BG69" s="34"/>
      <c r="BH69" s="34"/>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c r="CK69" s="34"/>
      <c r="CL69" s="34"/>
      <c r="CM69" s="34"/>
      <c r="CN69" s="34"/>
      <c r="CO69" s="34"/>
      <c r="CP69" s="34"/>
      <c r="CQ69" s="34"/>
      <c r="CR69" s="34"/>
      <c r="CS69" s="34"/>
      <c r="CT69" s="34"/>
      <c r="CU69" s="34"/>
      <c r="CV69" s="34"/>
      <c r="CW69" s="34"/>
      <c r="CX69" s="34"/>
      <c r="CY69" s="34"/>
      <c r="CZ69" s="34"/>
      <c r="DA69" s="34"/>
      <c r="DB69" s="34"/>
      <c r="DC69" s="34"/>
      <c r="DD69" s="34"/>
      <c r="DE69" s="34"/>
      <c r="DF69" s="34"/>
      <c r="DG69" s="34"/>
      <c r="DH69" s="34"/>
      <c r="DI69" s="34"/>
      <c r="DJ69" s="34"/>
      <c r="DK69" s="34"/>
      <c r="DL69" s="34"/>
      <c r="DM69" s="34"/>
      <c r="DN69" s="34"/>
      <c r="DO69" s="34"/>
      <c r="DP69" s="34"/>
      <c r="DQ69" s="34"/>
      <c r="DR69" s="34"/>
      <c r="DS69" s="42"/>
      <c r="DT69" s="42"/>
      <c r="DU69" s="42"/>
      <c r="DV69" s="42"/>
      <c r="DW69" s="42"/>
      <c r="DX69" s="42"/>
      <c r="DY69" s="42"/>
      <c r="DZ69" s="42"/>
      <c r="EA69" s="42"/>
      <c r="EB69" s="42"/>
      <c r="EC69" s="42"/>
      <c r="ED69" s="42"/>
      <c r="EE69" s="42"/>
      <c r="EF69" s="42"/>
      <c r="EG69" s="42"/>
      <c r="EH69" s="211">
        <f t="shared" si="8"/>
        <v>0</v>
      </c>
      <c r="EI69" s="89"/>
      <c r="EJ69" s="89">
        <f t="shared" si="9"/>
        <v>0</v>
      </c>
      <c r="EK69" s="89"/>
      <c r="EL69" s="47">
        <f t="shared" si="27"/>
        <v>0</v>
      </c>
      <c r="EM69" s="202"/>
      <c r="EN69" s="47">
        <f t="shared" si="18"/>
        <v>0</v>
      </c>
      <c r="EO69" s="12">
        <f t="shared" si="22"/>
        <v>0</v>
      </c>
      <c r="EP69" s="12">
        <f t="shared" si="23"/>
        <v>0</v>
      </c>
      <c r="EQ69" s="12">
        <f t="shared" si="24"/>
        <v>0</v>
      </c>
      <c r="ER69" s="12">
        <f t="shared" si="25"/>
        <v>0</v>
      </c>
      <c r="ES69" s="15">
        <f t="shared" si="26"/>
        <v>0</v>
      </c>
      <c r="ET69" s="49">
        <f t="shared" si="19"/>
        <v>0</v>
      </c>
      <c r="EU69" s="49">
        <f t="shared" si="20"/>
        <v>0</v>
      </c>
      <c r="EV69" s="49">
        <f t="shared" si="21"/>
        <v>0</v>
      </c>
      <c r="EW69" s="49">
        <f t="shared" si="11"/>
        <v>0</v>
      </c>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row>
    <row r="70" spans="1:304" s="78" customFormat="1" ht="30" hidden="1" x14ac:dyDescent="0.25">
      <c r="A70" s="309"/>
      <c r="B70" s="83" t="s">
        <v>171</v>
      </c>
      <c r="C70" s="33" t="s">
        <v>154</v>
      </c>
      <c r="D70" s="33" t="s">
        <v>154</v>
      </c>
      <c r="E70" s="33" t="s">
        <v>154</v>
      </c>
      <c r="F70" s="33" t="s">
        <v>154</v>
      </c>
      <c r="G70" s="33" t="s">
        <v>154</v>
      </c>
      <c r="H70" s="33" t="s">
        <v>154</v>
      </c>
      <c r="I70" s="33" t="s">
        <v>154</v>
      </c>
      <c r="J70" s="33" t="s">
        <v>154</v>
      </c>
      <c r="K70" s="33" t="s">
        <v>154</v>
      </c>
      <c r="L70" s="33" t="s">
        <v>154</v>
      </c>
      <c r="M70" s="33" t="s">
        <v>154</v>
      </c>
      <c r="N70" s="33" t="s">
        <v>154</v>
      </c>
      <c r="O70" s="33" t="s">
        <v>154</v>
      </c>
      <c r="P70" s="33" t="s">
        <v>154</v>
      </c>
      <c r="Q70" s="33" t="s">
        <v>154</v>
      </c>
      <c r="R70" s="33" t="s">
        <v>154</v>
      </c>
      <c r="S70" s="33" t="s">
        <v>154</v>
      </c>
      <c r="T70" s="33" t="s">
        <v>154</v>
      </c>
      <c r="U70" s="33" t="s">
        <v>154</v>
      </c>
      <c r="V70" s="33" t="s">
        <v>154</v>
      </c>
      <c r="W70" s="33" t="s">
        <v>154</v>
      </c>
      <c r="X70" s="33" t="s">
        <v>154</v>
      </c>
      <c r="Y70" s="33" t="s">
        <v>154</v>
      </c>
      <c r="Z70" s="33" t="s">
        <v>154</v>
      </c>
      <c r="AA70" s="33" t="s">
        <v>154</v>
      </c>
      <c r="AB70" s="33" t="s">
        <v>154</v>
      </c>
      <c r="AC70" s="33" t="s">
        <v>154</v>
      </c>
      <c r="AD70" s="33" t="s">
        <v>154</v>
      </c>
      <c r="AE70" s="33" t="s">
        <v>154</v>
      </c>
      <c r="AF70" s="33" t="s">
        <v>154</v>
      </c>
      <c r="AG70" s="33" t="s">
        <v>154</v>
      </c>
      <c r="AH70" s="33" t="s">
        <v>154</v>
      </c>
      <c r="AI70" s="33" t="s">
        <v>154</v>
      </c>
      <c r="AJ70" s="33" t="s">
        <v>154</v>
      </c>
      <c r="AK70" s="33" t="s">
        <v>154</v>
      </c>
      <c r="AL70" s="33" t="s">
        <v>154</v>
      </c>
      <c r="AM70" s="33" t="s">
        <v>154</v>
      </c>
      <c r="AN70" s="33" t="s">
        <v>154</v>
      </c>
      <c r="AO70" s="33" t="s">
        <v>154</v>
      </c>
      <c r="AP70" s="33" t="s">
        <v>154</v>
      </c>
      <c r="AQ70" s="33" t="s">
        <v>154</v>
      </c>
      <c r="AR70" s="33" t="s">
        <v>154</v>
      </c>
      <c r="AS70" s="33" t="s">
        <v>154</v>
      </c>
      <c r="AT70" s="33" t="s">
        <v>154</v>
      </c>
      <c r="AU70" s="33" t="s">
        <v>154</v>
      </c>
      <c r="AV70" s="33" t="s">
        <v>154</v>
      </c>
      <c r="AW70" s="33" t="s">
        <v>154</v>
      </c>
      <c r="AX70" s="33" t="s">
        <v>154</v>
      </c>
      <c r="AY70" s="33" t="s">
        <v>154</v>
      </c>
      <c r="AZ70" s="34"/>
      <c r="BA70" s="34"/>
      <c r="BB70" s="34"/>
      <c r="BC70" s="34"/>
      <c r="BD70" s="34"/>
      <c r="BE70" s="34"/>
      <c r="BF70" s="34"/>
      <c r="BG70" s="34"/>
      <c r="BH70" s="34"/>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c r="CK70" s="34"/>
      <c r="CL70" s="34"/>
      <c r="CM70" s="34"/>
      <c r="CN70" s="34"/>
      <c r="CO70" s="34"/>
      <c r="CP70" s="34"/>
      <c r="CQ70" s="34"/>
      <c r="CR70" s="34"/>
      <c r="CS70" s="34"/>
      <c r="CT70" s="34"/>
      <c r="CU70" s="34"/>
      <c r="CV70" s="34"/>
      <c r="CW70" s="34"/>
      <c r="CX70" s="34"/>
      <c r="CY70" s="34"/>
      <c r="CZ70" s="34"/>
      <c r="DA70" s="34"/>
      <c r="DB70" s="34"/>
      <c r="DC70" s="34"/>
      <c r="DD70" s="34"/>
      <c r="DE70" s="34"/>
      <c r="DF70" s="34"/>
      <c r="DG70" s="34"/>
      <c r="DH70" s="34"/>
      <c r="DI70" s="34"/>
      <c r="DJ70" s="34"/>
      <c r="DK70" s="34"/>
      <c r="DL70" s="34"/>
      <c r="DM70" s="34"/>
      <c r="DN70" s="34"/>
      <c r="DO70" s="34"/>
      <c r="DP70" s="34"/>
      <c r="DQ70" s="34"/>
      <c r="DR70" s="34"/>
      <c r="DS70" s="42"/>
      <c r="DT70" s="42"/>
      <c r="DU70" s="42"/>
      <c r="DV70" s="42"/>
      <c r="DW70" s="42"/>
      <c r="DX70" s="42"/>
      <c r="DY70" s="42"/>
      <c r="DZ70" s="42"/>
      <c r="EA70" s="42"/>
      <c r="EB70" s="42"/>
      <c r="EC70" s="42"/>
      <c r="ED70" s="42"/>
      <c r="EE70" s="42"/>
      <c r="EF70" s="42"/>
      <c r="EG70" s="42"/>
      <c r="EH70" s="211">
        <f t="shared" si="8"/>
        <v>0</v>
      </c>
      <c r="EI70" s="89"/>
      <c r="EJ70" s="89">
        <f t="shared" si="9"/>
        <v>0</v>
      </c>
      <c r="EK70" s="89"/>
      <c r="EL70" s="47">
        <f t="shared" si="27"/>
        <v>0</v>
      </c>
      <c r="EM70" s="202"/>
      <c r="EN70" s="47">
        <f t="shared" si="18"/>
        <v>0</v>
      </c>
      <c r="EO70" s="12">
        <f t="shared" si="22"/>
        <v>0</v>
      </c>
      <c r="EP70" s="12">
        <f t="shared" si="23"/>
        <v>0</v>
      </c>
      <c r="EQ70" s="12">
        <f t="shared" si="24"/>
        <v>0</v>
      </c>
      <c r="ER70" s="12">
        <f t="shared" si="25"/>
        <v>0</v>
      </c>
      <c r="ES70" s="15">
        <f t="shared" si="26"/>
        <v>0</v>
      </c>
      <c r="ET70" s="49">
        <f t="shared" si="19"/>
        <v>0</v>
      </c>
      <c r="EU70" s="49">
        <f t="shared" si="20"/>
        <v>0</v>
      </c>
      <c r="EV70" s="49">
        <f t="shared" si="21"/>
        <v>0</v>
      </c>
      <c r="EW70" s="49">
        <f t="shared" si="11"/>
        <v>0</v>
      </c>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row>
    <row r="71" spans="1:304" s="78" customFormat="1" hidden="1" x14ac:dyDescent="0.25">
      <c r="A71" s="309"/>
      <c r="B71" s="83" t="s">
        <v>32</v>
      </c>
      <c r="C71" s="33">
        <v>0</v>
      </c>
      <c r="D71" s="33">
        <v>0</v>
      </c>
      <c r="E71" s="33">
        <v>0</v>
      </c>
      <c r="F71" s="33">
        <v>1</v>
      </c>
      <c r="G71" s="33">
        <v>1</v>
      </c>
      <c r="H71" s="33">
        <v>1</v>
      </c>
      <c r="I71" s="33">
        <v>1</v>
      </c>
      <c r="J71" s="33">
        <v>0</v>
      </c>
      <c r="K71" s="33">
        <v>0</v>
      </c>
      <c r="L71" s="33">
        <v>0</v>
      </c>
      <c r="M71" s="33">
        <v>0</v>
      </c>
      <c r="N71" s="33">
        <v>1</v>
      </c>
      <c r="O71" s="33">
        <v>1</v>
      </c>
      <c r="P71" s="33">
        <v>0</v>
      </c>
      <c r="Q71" s="33">
        <v>1</v>
      </c>
      <c r="R71" s="33">
        <v>1</v>
      </c>
      <c r="S71" s="33">
        <v>0</v>
      </c>
      <c r="T71" s="33">
        <v>0</v>
      </c>
      <c r="U71" s="33">
        <v>0</v>
      </c>
      <c r="V71" s="33">
        <v>0</v>
      </c>
      <c r="W71" s="33">
        <v>0</v>
      </c>
      <c r="X71" s="33">
        <v>3</v>
      </c>
      <c r="Y71" s="33">
        <v>1</v>
      </c>
      <c r="Z71" s="33">
        <v>0</v>
      </c>
      <c r="AA71" s="33">
        <v>1</v>
      </c>
      <c r="AB71" s="33">
        <v>0</v>
      </c>
      <c r="AC71" s="33">
        <v>1</v>
      </c>
      <c r="AD71" s="33">
        <v>2</v>
      </c>
      <c r="AE71" s="33">
        <v>1</v>
      </c>
      <c r="AF71" s="33">
        <v>1</v>
      </c>
      <c r="AG71" s="33">
        <v>0</v>
      </c>
      <c r="AH71" s="33">
        <v>1</v>
      </c>
      <c r="AI71" s="33">
        <v>1</v>
      </c>
      <c r="AJ71" s="34">
        <v>0</v>
      </c>
      <c r="AK71" s="34">
        <v>0</v>
      </c>
      <c r="AL71" s="34">
        <v>0</v>
      </c>
      <c r="AM71" s="34">
        <v>0</v>
      </c>
      <c r="AN71" s="34">
        <v>0</v>
      </c>
      <c r="AO71" s="34">
        <v>0</v>
      </c>
      <c r="AP71" s="34">
        <v>0</v>
      </c>
      <c r="AQ71" s="34">
        <v>0</v>
      </c>
      <c r="AR71" s="34">
        <v>1</v>
      </c>
      <c r="AS71" s="34">
        <v>1</v>
      </c>
      <c r="AT71" s="34">
        <v>0</v>
      </c>
      <c r="AU71" s="34">
        <v>0</v>
      </c>
      <c r="AV71" s="34">
        <v>0</v>
      </c>
      <c r="AW71" s="33">
        <v>0</v>
      </c>
      <c r="AX71" s="34">
        <v>0</v>
      </c>
      <c r="AY71" s="34">
        <v>0</v>
      </c>
      <c r="AZ71" s="34">
        <v>0</v>
      </c>
      <c r="BA71" s="34">
        <v>0</v>
      </c>
      <c r="BB71" s="34">
        <v>0</v>
      </c>
      <c r="BC71" s="34">
        <v>0</v>
      </c>
      <c r="BD71" s="34">
        <v>1</v>
      </c>
      <c r="BE71" s="34">
        <v>0</v>
      </c>
      <c r="BF71" s="34">
        <v>0</v>
      </c>
      <c r="BG71" s="34">
        <v>0</v>
      </c>
      <c r="BH71" s="34">
        <v>0</v>
      </c>
      <c r="BI71" s="34">
        <v>0</v>
      </c>
      <c r="BJ71" s="34">
        <v>0</v>
      </c>
      <c r="BK71" s="34">
        <v>0</v>
      </c>
      <c r="BL71" s="34">
        <v>1</v>
      </c>
      <c r="BM71" s="34">
        <v>0</v>
      </c>
      <c r="BN71" s="34">
        <v>0</v>
      </c>
      <c r="BO71" s="34">
        <v>0</v>
      </c>
      <c r="BP71" s="34">
        <v>0</v>
      </c>
      <c r="BQ71" s="34">
        <v>0</v>
      </c>
      <c r="BR71" s="34">
        <v>0</v>
      </c>
      <c r="BS71" s="34">
        <v>0</v>
      </c>
      <c r="BT71" s="34">
        <v>0</v>
      </c>
      <c r="BU71" s="34">
        <v>0</v>
      </c>
      <c r="BV71" s="34">
        <v>0</v>
      </c>
      <c r="BW71" s="34">
        <v>0</v>
      </c>
      <c r="BX71" s="34">
        <v>0</v>
      </c>
      <c r="BY71" s="34">
        <v>0</v>
      </c>
      <c r="BZ71" s="34">
        <v>0</v>
      </c>
      <c r="CA71" s="34">
        <v>0</v>
      </c>
      <c r="CB71" s="34">
        <v>0</v>
      </c>
      <c r="CC71" s="34">
        <v>0</v>
      </c>
      <c r="CD71" s="34">
        <v>0</v>
      </c>
      <c r="CE71" s="34">
        <v>0</v>
      </c>
      <c r="CF71" s="34">
        <v>0</v>
      </c>
      <c r="CG71" s="34">
        <v>0</v>
      </c>
      <c r="CH71" s="34">
        <v>0</v>
      </c>
      <c r="CI71" s="34">
        <v>0</v>
      </c>
      <c r="CJ71" s="34">
        <v>0</v>
      </c>
      <c r="CK71" s="34">
        <v>0</v>
      </c>
      <c r="CL71" s="34">
        <v>0</v>
      </c>
      <c r="CM71" s="34">
        <v>0</v>
      </c>
      <c r="CN71" s="34">
        <v>0</v>
      </c>
      <c r="CO71" s="34">
        <v>0</v>
      </c>
      <c r="CP71" s="34">
        <v>0</v>
      </c>
      <c r="CQ71" s="34">
        <v>0</v>
      </c>
      <c r="CR71" s="34">
        <v>0</v>
      </c>
      <c r="CS71" s="34">
        <v>1</v>
      </c>
      <c r="CT71" s="34">
        <v>0</v>
      </c>
      <c r="CU71" s="34">
        <v>0</v>
      </c>
      <c r="CV71" s="34">
        <v>0</v>
      </c>
      <c r="CW71" s="34">
        <v>0</v>
      </c>
      <c r="CX71" s="34">
        <v>0</v>
      </c>
      <c r="CY71" s="34">
        <v>0</v>
      </c>
      <c r="CZ71" s="34">
        <v>0</v>
      </c>
      <c r="DA71" s="34">
        <v>0</v>
      </c>
      <c r="DB71" s="34">
        <v>0</v>
      </c>
      <c r="DC71" s="34">
        <v>1</v>
      </c>
      <c r="DD71" s="34">
        <v>1</v>
      </c>
      <c r="DE71" s="34">
        <v>0</v>
      </c>
      <c r="DF71" s="34"/>
      <c r="DG71" s="34"/>
      <c r="DH71" s="34"/>
      <c r="DI71" s="34"/>
      <c r="DJ71" s="34"/>
      <c r="DK71" s="34"/>
      <c r="DL71" s="34"/>
      <c r="DM71" s="34"/>
      <c r="DN71" s="34"/>
      <c r="DO71" s="34"/>
      <c r="DP71" s="34"/>
      <c r="DQ71" s="34"/>
      <c r="DR71" s="34"/>
      <c r="DS71" s="42"/>
      <c r="DT71" s="42"/>
      <c r="DU71" s="42"/>
      <c r="DV71" s="42"/>
      <c r="DW71" s="42"/>
      <c r="DX71" s="42"/>
      <c r="DY71" s="42"/>
      <c r="DZ71" s="42"/>
      <c r="EA71" s="42"/>
      <c r="EB71" s="42"/>
      <c r="EC71" s="42"/>
      <c r="ED71" s="42"/>
      <c r="EE71" s="42"/>
      <c r="EF71" s="42"/>
      <c r="EG71" s="42"/>
      <c r="EH71" s="211">
        <f t="shared" si="8"/>
        <v>3</v>
      </c>
      <c r="EI71" s="89"/>
      <c r="EJ71" s="89">
        <f t="shared" si="9"/>
        <v>27</v>
      </c>
      <c r="EK71" s="89"/>
      <c r="EL71" s="47">
        <f t="shared" si="27"/>
        <v>0</v>
      </c>
      <c r="EM71" s="202"/>
      <c r="EN71" s="47">
        <f t="shared" si="18"/>
        <v>23</v>
      </c>
      <c r="EO71" s="12">
        <f t="shared" si="22"/>
        <v>0</v>
      </c>
      <c r="EP71" s="12">
        <f t="shared" si="23"/>
        <v>6</v>
      </c>
      <c r="EQ71" s="12">
        <f t="shared" si="24"/>
        <v>7</v>
      </c>
      <c r="ER71" s="12">
        <f t="shared" si="25"/>
        <v>7</v>
      </c>
      <c r="ES71" s="15">
        <f t="shared" si="26"/>
        <v>2</v>
      </c>
      <c r="ET71" s="49">
        <f t="shared" si="19"/>
        <v>2</v>
      </c>
      <c r="EU71" s="49">
        <f t="shared" si="20"/>
        <v>1</v>
      </c>
      <c r="EV71" s="49">
        <f t="shared" si="21"/>
        <v>2</v>
      </c>
      <c r="EW71" s="49">
        <f t="shared" si="11"/>
        <v>0</v>
      </c>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row>
    <row r="72" spans="1:304" s="78" customFormat="1" ht="45" hidden="1" x14ac:dyDescent="0.25">
      <c r="A72" s="309"/>
      <c r="B72" s="83" t="s">
        <v>172</v>
      </c>
      <c r="C72" s="33">
        <v>0</v>
      </c>
      <c r="D72" s="33">
        <v>0</v>
      </c>
      <c r="E72" s="33">
        <v>0</v>
      </c>
      <c r="F72" s="33">
        <v>58</v>
      </c>
      <c r="G72" s="33">
        <v>18</v>
      </c>
      <c r="H72" s="33">
        <v>12</v>
      </c>
      <c r="I72" s="33">
        <v>8</v>
      </c>
      <c r="J72" s="33">
        <v>0</v>
      </c>
      <c r="K72" s="33">
        <v>0</v>
      </c>
      <c r="L72" s="33">
        <v>0</v>
      </c>
      <c r="M72" s="33">
        <v>0</v>
      </c>
      <c r="N72" s="33">
        <v>250</v>
      </c>
      <c r="O72" s="33">
        <v>30</v>
      </c>
      <c r="P72" s="33">
        <v>0</v>
      </c>
      <c r="Q72" s="33">
        <v>30</v>
      </c>
      <c r="R72" s="33">
        <v>70</v>
      </c>
      <c r="S72" s="33">
        <v>0</v>
      </c>
      <c r="T72" s="33">
        <v>0</v>
      </c>
      <c r="U72" s="33">
        <v>0</v>
      </c>
      <c r="V72" s="33">
        <v>0</v>
      </c>
      <c r="W72" s="33">
        <v>0</v>
      </c>
      <c r="X72" s="33">
        <v>1067</v>
      </c>
      <c r="Y72" s="33">
        <v>100</v>
      </c>
      <c r="Z72" s="33">
        <v>0</v>
      </c>
      <c r="AA72" s="33">
        <v>44</v>
      </c>
      <c r="AB72" s="33">
        <v>0</v>
      </c>
      <c r="AC72" s="33">
        <v>41</v>
      </c>
      <c r="AD72" s="33">
        <v>110</v>
      </c>
      <c r="AE72" s="33">
        <v>58</v>
      </c>
      <c r="AF72" s="33">
        <v>249</v>
      </c>
      <c r="AG72" s="33">
        <v>0</v>
      </c>
      <c r="AH72" s="33">
        <v>25</v>
      </c>
      <c r="AI72" s="33">
        <v>50</v>
      </c>
      <c r="AJ72" s="34">
        <v>0</v>
      </c>
      <c r="AK72" s="34">
        <v>0</v>
      </c>
      <c r="AL72" s="34">
        <v>0</v>
      </c>
      <c r="AM72" s="34">
        <v>0</v>
      </c>
      <c r="AN72" s="34">
        <v>0</v>
      </c>
      <c r="AO72" s="34">
        <v>0</v>
      </c>
      <c r="AP72" s="34">
        <v>0</v>
      </c>
      <c r="AQ72" s="34">
        <v>0</v>
      </c>
      <c r="AR72" s="34">
        <v>1087</v>
      </c>
      <c r="AS72" s="34">
        <v>630</v>
      </c>
      <c r="AT72" s="34">
        <v>0</v>
      </c>
      <c r="AU72" s="34">
        <v>0</v>
      </c>
      <c r="AV72" s="34">
        <v>0</v>
      </c>
      <c r="AW72" s="33">
        <v>0</v>
      </c>
      <c r="AX72" s="34">
        <v>0</v>
      </c>
      <c r="AY72" s="34">
        <v>0</v>
      </c>
      <c r="AZ72" s="34">
        <v>0</v>
      </c>
      <c r="BA72" s="34">
        <v>0</v>
      </c>
      <c r="BB72" s="34">
        <v>0</v>
      </c>
      <c r="BC72" s="34">
        <v>0</v>
      </c>
      <c r="BD72" s="34">
        <v>59</v>
      </c>
      <c r="BE72" s="34">
        <v>0</v>
      </c>
      <c r="BF72" s="34">
        <v>0</v>
      </c>
      <c r="BG72" s="34">
        <v>0</v>
      </c>
      <c r="BH72" s="34">
        <v>0</v>
      </c>
      <c r="BI72" s="34">
        <v>0</v>
      </c>
      <c r="BJ72" s="34">
        <v>0</v>
      </c>
      <c r="BK72" s="34">
        <v>0</v>
      </c>
      <c r="BL72" s="34">
        <v>1333</v>
      </c>
      <c r="BM72" s="34">
        <v>0</v>
      </c>
      <c r="BN72" s="34">
        <v>0</v>
      </c>
      <c r="BO72" s="34">
        <v>0</v>
      </c>
      <c r="BP72" s="34">
        <v>0</v>
      </c>
      <c r="BQ72" s="34">
        <v>0</v>
      </c>
      <c r="BR72" s="34">
        <v>0</v>
      </c>
      <c r="BS72" s="34">
        <v>0</v>
      </c>
      <c r="BT72" s="34">
        <v>0</v>
      </c>
      <c r="BU72" s="34">
        <v>0</v>
      </c>
      <c r="BV72" s="34">
        <v>0</v>
      </c>
      <c r="BW72" s="34">
        <v>0</v>
      </c>
      <c r="BX72" s="34">
        <v>0</v>
      </c>
      <c r="BY72" s="34">
        <v>0</v>
      </c>
      <c r="BZ72" s="34">
        <v>0</v>
      </c>
      <c r="CA72" s="34">
        <v>0</v>
      </c>
      <c r="CB72" s="34">
        <v>0</v>
      </c>
      <c r="CC72" s="34">
        <v>0</v>
      </c>
      <c r="CD72" s="34">
        <v>0</v>
      </c>
      <c r="CE72" s="34">
        <v>0</v>
      </c>
      <c r="CF72" s="34">
        <v>0</v>
      </c>
      <c r="CG72" s="34">
        <v>0</v>
      </c>
      <c r="CH72" s="34">
        <v>0</v>
      </c>
      <c r="CI72" s="34">
        <v>0</v>
      </c>
      <c r="CJ72" s="34">
        <v>0</v>
      </c>
      <c r="CK72" s="34">
        <v>0</v>
      </c>
      <c r="CL72" s="34">
        <v>0</v>
      </c>
      <c r="CM72" s="34">
        <v>0</v>
      </c>
      <c r="CN72" s="34">
        <v>0</v>
      </c>
      <c r="CO72" s="34">
        <v>0</v>
      </c>
      <c r="CP72" s="34">
        <v>0</v>
      </c>
      <c r="CQ72" s="34">
        <v>0</v>
      </c>
      <c r="CR72" s="34">
        <v>0</v>
      </c>
      <c r="CS72" s="34">
        <v>1050</v>
      </c>
      <c r="CT72" s="34">
        <v>0</v>
      </c>
      <c r="CU72" s="34">
        <v>0</v>
      </c>
      <c r="CV72" s="34">
        <v>0</v>
      </c>
      <c r="CW72" s="34">
        <v>0</v>
      </c>
      <c r="CX72" s="34">
        <v>0</v>
      </c>
      <c r="CY72" s="34">
        <v>0</v>
      </c>
      <c r="CZ72" s="34">
        <v>0</v>
      </c>
      <c r="DA72" s="34">
        <v>0</v>
      </c>
      <c r="DB72" s="34">
        <v>0</v>
      </c>
      <c r="DC72" s="34">
        <v>60</v>
      </c>
      <c r="DD72" s="34">
        <v>150</v>
      </c>
      <c r="DE72" s="34">
        <v>0</v>
      </c>
      <c r="DF72" s="34"/>
      <c r="DG72" s="34"/>
      <c r="DH72" s="34"/>
      <c r="DI72" s="34"/>
      <c r="DJ72" s="34"/>
      <c r="DK72" s="34"/>
      <c r="DL72" s="34"/>
      <c r="DM72" s="34"/>
      <c r="DN72" s="34"/>
      <c r="DO72" s="34"/>
      <c r="DP72" s="34"/>
      <c r="DQ72" s="34"/>
      <c r="DR72" s="34"/>
      <c r="DS72" s="42"/>
      <c r="DT72" s="42"/>
      <c r="DU72" s="42"/>
      <c r="DV72" s="42"/>
      <c r="DW72" s="42"/>
      <c r="DX72" s="42"/>
      <c r="DY72" s="42"/>
      <c r="DZ72" s="42"/>
      <c r="EA72" s="42"/>
      <c r="EB72" s="42"/>
      <c r="EC72" s="42"/>
      <c r="ED72" s="42"/>
      <c r="EE72" s="42"/>
      <c r="EF72" s="42"/>
      <c r="EG72" s="42"/>
      <c r="EH72" s="211">
        <f t="shared" si="8"/>
        <v>1260</v>
      </c>
      <c r="EI72" s="89"/>
      <c r="EJ72" s="89">
        <f t="shared" si="9"/>
        <v>6589</v>
      </c>
      <c r="EK72" s="89"/>
      <c r="EL72" s="47">
        <f t="shared" si="27"/>
        <v>0</v>
      </c>
      <c r="EM72" s="202"/>
      <c r="EN72" s="47">
        <f t="shared" si="18"/>
        <v>6493</v>
      </c>
      <c r="EO72" s="12">
        <f t="shared" si="22"/>
        <v>0</v>
      </c>
      <c r="EP72" s="12">
        <f t="shared" si="23"/>
        <v>376</v>
      </c>
      <c r="EQ72" s="12">
        <f t="shared" si="24"/>
        <v>1311</v>
      </c>
      <c r="ER72" s="12">
        <f t="shared" si="25"/>
        <v>533</v>
      </c>
      <c r="ES72" s="15">
        <f t="shared" si="26"/>
        <v>1717</v>
      </c>
      <c r="ET72" s="49">
        <f t="shared" si="19"/>
        <v>1392</v>
      </c>
      <c r="EU72" s="49">
        <f t="shared" si="20"/>
        <v>1050</v>
      </c>
      <c r="EV72" s="49">
        <f t="shared" si="21"/>
        <v>210</v>
      </c>
      <c r="EW72" s="49">
        <f t="shared" si="11"/>
        <v>0</v>
      </c>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row>
    <row r="73" spans="1:304" s="78" customFormat="1" ht="30" hidden="1" x14ac:dyDescent="0.25">
      <c r="A73" s="309" t="s">
        <v>177</v>
      </c>
      <c r="B73" s="83" t="s">
        <v>173</v>
      </c>
      <c r="C73" s="33" t="s">
        <v>154</v>
      </c>
      <c r="D73" s="33" t="s">
        <v>154</v>
      </c>
      <c r="E73" s="33" t="s">
        <v>154</v>
      </c>
      <c r="F73" s="33" t="s">
        <v>154</v>
      </c>
      <c r="G73" s="33" t="s">
        <v>154</v>
      </c>
      <c r="H73" s="33" t="s">
        <v>154</v>
      </c>
      <c r="I73" s="33" t="s">
        <v>154</v>
      </c>
      <c r="J73" s="33" t="s">
        <v>154</v>
      </c>
      <c r="K73" s="33" t="s">
        <v>154</v>
      </c>
      <c r="L73" s="33" t="s">
        <v>154</v>
      </c>
      <c r="M73" s="33" t="s">
        <v>154</v>
      </c>
      <c r="N73" s="33" t="s">
        <v>154</v>
      </c>
      <c r="O73" s="33" t="s">
        <v>154</v>
      </c>
      <c r="P73" s="33" t="s">
        <v>154</v>
      </c>
      <c r="Q73" s="33" t="s">
        <v>154</v>
      </c>
      <c r="R73" s="33" t="s">
        <v>154</v>
      </c>
      <c r="S73" s="33" t="s">
        <v>154</v>
      </c>
      <c r="T73" s="33" t="s">
        <v>154</v>
      </c>
      <c r="U73" s="33" t="s">
        <v>154</v>
      </c>
      <c r="V73" s="33" t="s">
        <v>154</v>
      </c>
      <c r="W73" s="33" t="s">
        <v>154</v>
      </c>
      <c r="X73" s="33" t="s">
        <v>154</v>
      </c>
      <c r="Y73" s="33" t="s">
        <v>154</v>
      </c>
      <c r="Z73" s="33" t="s">
        <v>154</v>
      </c>
      <c r="AA73" s="33" t="s">
        <v>154</v>
      </c>
      <c r="AB73" s="33" t="s">
        <v>154</v>
      </c>
      <c r="AC73" s="33" t="s">
        <v>154</v>
      </c>
      <c r="AD73" s="33" t="s">
        <v>154</v>
      </c>
      <c r="AE73" s="33" t="s">
        <v>154</v>
      </c>
      <c r="AF73" s="33" t="s">
        <v>154</v>
      </c>
      <c r="AG73" s="33" t="s">
        <v>154</v>
      </c>
      <c r="AH73" s="33" t="s">
        <v>154</v>
      </c>
      <c r="AI73" s="33" t="s">
        <v>154</v>
      </c>
      <c r="AJ73" s="33" t="s">
        <v>154</v>
      </c>
      <c r="AK73" s="33" t="s">
        <v>154</v>
      </c>
      <c r="AL73" s="33" t="s">
        <v>154</v>
      </c>
      <c r="AM73" s="33" t="s">
        <v>154</v>
      </c>
      <c r="AN73" s="33" t="s">
        <v>154</v>
      </c>
      <c r="AO73" s="33" t="s">
        <v>154</v>
      </c>
      <c r="AP73" s="33" t="s">
        <v>154</v>
      </c>
      <c r="AQ73" s="33" t="s">
        <v>154</v>
      </c>
      <c r="AR73" s="33" t="s">
        <v>154</v>
      </c>
      <c r="AS73" s="33" t="s">
        <v>154</v>
      </c>
      <c r="AT73" s="33" t="s">
        <v>154</v>
      </c>
      <c r="AU73" s="33" t="s">
        <v>154</v>
      </c>
      <c r="AV73" s="33" t="s">
        <v>154</v>
      </c>
      <c r="AW73" s="33" t="s">
        <v>154</v>
      </c>
      <c r="AX73" s="33" t="s">
        <v>154</v>
      </c>
      <c r="AY73" s="33" t="s">
        <v>154</v>
      </c>
      <c r="AZ73" s="34"/>
      <c r="BA73" s="34"/>
      <c r="BB73" s="34"/>
      <c r="BC73" s="34"/>
      <c r="BD73" s="34"/>
      <c r="BE73" s="34"/>
      <c r="BF73" s="34"/>
      <c r="BG73" s="34"/>
      <c r="BH73" s="34"/>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c r="CK73" s="34"/>
      <c r="CL73" s="34"/>
      <c r="CM73" s="34"/>
      <c r="CN73" s="34"/>
      <c r="CO73" s="34"/>
      <c r="CP73" s="34"/>
      <c r="CQ73" s="34"/>
      <c r="CR73" s="34"/>
      <c r="CS73" s="34"/>
      <c r="CT73" s="34"/>
      <c r="CU73" s="34"/>
      <c r="CV73" s="34"/>
      <c r="CW73" s="34"/>
      <c r="CX73" s="34"/>
      <c r="CY73" s="34"/>
      <c r="CZ73" s="34"/>
      <c r="DA73" s="34"/>
      <c r="DB73" s="34"/>
      <c r="DC73" s="34"/>
      <c r="DD73" s="34"/>
      <c r="DE73" s="34"/>
      <c r="DF73" s="34"/>
      <c r="DG73" s="34"/>
      <c r="DH73" s="34"/>
      <c r="DI73" s="34"/>
      <c r="DJ73" s="34"/>
      <c r="DK73" s="34"/>
      <c r="DL73" s="34"/>
      <c r="DM73" s="34"/>
      <c r="DN73" s="34"/>
      <c r="DO73" s="34"/>
      <c r="DP73" s="34"/>
      <c r="DQ73" s="34"/>
      <c r="DR73" s="34"/>
      <c r="DS73" s="42"/>
      <c r="DT73" s="42"/>
      <c r="DU73" s="42"/>
      <c r="DV73" s="42"/>
      <c r="DW73" s="42"/>
      <c r="DX73" s="42"/>
      <c r="DY73" s="42"/>
      <c r="DZ73" s="42"/>
      <c r="EA73" s="42"/>
      <c r="EB73" s="42"/>
      <c r="EC73" s="42"/>
      <c r="ED73" s="42"/>
      <c r="EE73" s="42"/>
      <c r="EF73" s="42"/>
      <c r="EG73" s="42"/>
      <c r="EH73" s="211">
        <f t="shared" si="8"/>
        <v>0</v>
      </c>
      <c r="EI73" s="89"/>
      <c r="EJ73" s="89">
        <f t="shared" si="9"/>
        <v>0</v>
      </c>
      <c r="EK73" s="89"/>
      <c r="EL73" s="47">
        <f t="shared" si="27"/>
        <v>0</v>
      </c>
      <c r="EM73" s="202"/>
      <c r="EN73" s="47">
        <f t="shared" si="18"/>
        <v>0</v>
      </c>
      <c r="EO73" s="12">
        <f t="shared" si="22"/>
        <v>0</v>
      </c>
      <c r="EP73" s="12">
        <f t="shared" si="23"/>
        <v>0</v>
      </c>
      <c r="EQ73" s="12">
        <f t="shared" si="24"/>
        <v>0</v>
      </c>
      <c r="ER73" s="12">
        <f t="shared" si="25"/>
        <v>0</v>
      </c>
      <c r="ES73" s="15">
        <f t="shared" si="26"/>
        <v>0</v>
      </c>
      <c r="ET73" s="49">
        <f t="shared" si="19"/>
        <v>0</v>
      </c>
      <c r="EU73" s="49">
        <f t="shared" si="20"/>
        <v>0</v>
      </c>
      <c r="EV73" s="49">
        <f t="shared" si="21"/>
        <v>0</v>
      </c>
      <c r="EW73" s="49">
        <f t="shared" si="11"/>
        <v>0</v>
      </c>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row>
    <row r="74" spans="1:304" s="78" customFormat="1" ht="30" hidden="1" x14ac:dyDescent="0.25">
      <c r="A74" s="309"/>
      <c r="B74" s="83" t="s">
        <v>174</v>
      </c>
      <c r="C74" s="33" t="s">
        <v>154</v>
      </c>
      <c r="D74" s="33" t="s">
        <v>154</v>
      </c>
      <c r="E74" s="33" t="s">
        <v>154</v>
      </c>
      <c r="F74" s="33" t="s">
        <v>154</v>
      </c>
      <c r="G74" s="33" t="s">
        <v>154</v>
      </c>
      <c r="H74" s="33" t="s">
        <v>154</v>
      </c>
      <c r="I74" s="33" t="s">
        <v>154</v>
      </c>
      <c r="J74" s="33" t="s">
        <v>154</v>
      </c>
      <c r="K74" s="33" t="s">
        <v>154</v>
      </c>
      <c r="L74" s="33" t="s">
        <v>154</v>
      </c>
      <c r="M74" s="33" t="s">
        <v>154</v>
      </c>
      <c r="N74" s="33" t="s">
        <v>154</v>
      </c>
      <c r="O74" s="33" t="s">
        <v>154</v>
      </c>
      <c r="P74" s="33" t="s">
        <v>154</v>
      </c>
      <c r="Q74" s="33" t="s">
        <v>154</v>
      </c>
      <c r="R74" s="33" t="s">
        <v>154</v>
      </c>
      <c r="S74" s="33" t="s">
        <v>154</v>
      </c>
      <c r="T74" s="33" t="s">
        <v>154</v>
      </c>
      <c r="U74" s="33" t="s">
        <v>154</v>
      </c>
      <c r="V74" s="33" t="s">
        <v>154</v>
      </c>
      <c r="W74" s="33" t="s">
        <v>154</v>
      </c>
      <c r="X74" s="33" t="s">
        <v>154</v>
      </c>
      <c r="Y74" s="33" t="s">
        <v>154</v>
      </c>
      <c r="Z74" s="33" t="s">
        <v>154</v>
      </c>
      <c r="AA74" s="33" t="s">
        <v>154</v>
      </c>
      <c r="AB74" s="33" t="s">
        <v>154</v>
      </c>
      <c r="AC74" s="33" t="s">
        <v>154</v>
      </c>
      <c r="AD74" s="33" t="s">
        <v>154</v>
      </c>
      <c r="AE74" s="33" t="s">
        <v>154</v>
      </c>
      <c r="AF74" s="33" t="s">
        <v>154</v>
      </c>
      <c r="AG74" s="33" t="s">
        <v>154</v>
      </c>
      <c r="AH74" s="33" t="s">
        <v>154</v>
      </c>
      <c r="AI74" s="33" t="s">
        <v>154</v>
      </c>
      <c r="AJ74" s="33" t="s">
        <v>154</v>
      </c>
      <c r="AK74" s="33" t="s">
        <v>154</v>
      </c>
      <c r="AL74" s="33" t="s">
        <v>154</v>
      </c>
      <c r="AM74" s="33" t="s">
        <v>154</v>
      </c>
      <c r="AN74" s="33" t="s">
        <v>154</v>
      </c>
      <c r="AO74" s="33" t="s">
        <v>154</v>
      </c>
      <c r="AP74" s="33" t="s">
        <v>154</v>
      </c>
      <c r="AQ74" s="33" t="s">
        <v>154</v>
      </c>
      <c r="AR74" s="33" t="s">
        <v>154</v>
      </c>
      <c r="AS74" s="33" t="s">
        <v>154</v>
      </c>
      <c r="AT74" s="33" t="s">
        <v>154</v>
      </c>
      <c r="AU74" s="33" t="s">
        <v>154</v>
      </c>
      <c r="AV74" s="33" t="s">
        <v>154</v>
      </c>
      <c r="AW74" s="33" t="s">
        <v>154</v>
      </c>
      <c r="AX74" s="33" t="s">
        <v>154</v>
      </c>
      <c r="AY74" s="33" t="s">
        <v>154</v>
      </c>
      <c r="AZ74" s="34"/>
      <c r="BA74" s="34"/>
      <c r="BB74" s="34"/>
      <c r="BC74" s="34"/>
      <c r="BD74" s="34"/>
      <c r="BE74" s="34"/>
      <c r="BF74" s="34"/>
      <c r="BG74" s="34"/>
      <c r="BH74" s="34"/>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c r="CK74" s="34"/>
      <c r="CL74" s="34"/>
      <c r="CM74" s="34"/>
      <c r="CN74" s="34"/>
      <c r="CO74" s="34"/>
      <c r="CP74" s="34"/>
      <c r="CQ74" s="34"/>
      <c r="CR74" s="34"/>
      <c r="CS74" s="34"/>
      <c r="CT74" s="34"/>
      <c r="CU74" s="34"/>
      <c r="CV74" s="34"/>
      <c r="CW74" s="34"/>
      <c r="CX74" s="34"/>
      <c r="CY74" s="34"/>
      <c r="CZ74" s="34"/>
      <c r="DA74" s="34"/>
      <c r="DB74" s="34"/>
      <c r="DC74" s="34"/>
      <c r="DD74" s="34"/>
      <c r="DE74" s="34"/>
      <c r="DF74" s="34"/>
      <c r="DG74" s="34"/>
      <c r="DH74" s="34"/>
      <c r="DI74" s="34"/>
      <c r="DJ74" s="34"/>
      <c r="DK74" s="34"/>
      <c r="DL74" s="34"/>
      <c r="DM74" s="34"/>
      <c r="DN74" s="34"/>
      <c r="DO74" s="34"/>
      <c r="DP74" s="34"/>
      <c r="DQ74" s="34"/>
      <c r="DR74" s="34"/>
      <c r="DS74" s="42"/>
      <c r="DT74" s="42"/>
      <c r="DU74" s="42"/>
      <c r="DV74" s="42"/>
      <c r="DW74" s="42"/>
      <c r="DX74" s="42"/>
      <c r="DY74" s="42"/>
      <c r="DZ74" s="42"/>
      <c r="EA74" s="42"/>
      <c r="EB74" s="42"/>
      <c r="EC74" s="42"/>
      <c r="ED74" s="42"/>
      <c r="EE74" s="42"/>
      <c r="EF74" s="42"/>
      <c r="EG74" s="42"/>
      <c r="EH74" s="211">
        <f t="shared" si="8"/>
        <v>0</v>
      </c>
      <c r="EI74" s="89"/>
      <c r="EJ74" s="89">
        <f t="shared" si="9"/>
        <v>0</v>
      </c>
      <c r="EK74" s="89"/>
      <c r="EL74" s="47">
        <f t="shared" si="27"/>
        <v>0</v>
      </c>
      <c r="EM74" s="202"/>
      <c r="EN74" s="47">
        <f t="shared" si="18"/>
        <v>0</v>
      </c>
      <c r="EO74" s="12">
        <f t="shared" si="22"/>
        <v>0</v>
      </c>
      <c r="EP74" s="12">
        <f t="shared" si="23"/>
        <v>0</v>
      </c>
      <c r="EQ74" s="12">
        <f t="shared" si="24"/>
        <v>0</v>
      </c>
      <c r="ER74" s="12">
        <f t="shared" si="25"/>
        <v>0</v>
      </c>
      <c r="ES74" s="15">
        <f t="shared" si="26"/>
        <v>0</v>
      </c>
      <c r="ET74" s="49">
        <f t="shared" si="19"/>
        <v>0</v>
      </c>
      <c r="EU74" s="49">
        <f t="shared" si="20"/>
        <v>0</v>
      </c>
      <c r="EV74" s="49">
        <f t="shared" si="21"/>
        <v>0</v>
      </c>
      <c r="EW74" s="49">
        <f t="shared" si="11"/>
        <v>0</v>
      </c>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row>
    <row r="75" spans="1:304" s="78" customFormat="1" ht="30" hidden="1" x14ac:dyDescent="0.25">
      <c r="A75" s="309"/>
      <c r="B75" s="83" t="s">
        <v>175</v>
      </c>
      <c r="C75" s="33" t="s">
        <v>154</v>
      </c>
      <c r="D75" s="33" t="s">
        <v>154</v>
      </c>
      <c r="E75" s="33" t="s">
        <v>154</v>
      </c>
      <c r="F75" s="33" t="s">
        <v>154</v>
      </c>
      <c r="G75" s="33" t="s">
        <v>154</v>
      </c>
      <c r="H75" s="33" t="s">
        <v>154</v>
      </c>
      <c r="I75" s="33" t="s">
        <v>154</v>
      </c>
      <c r="J75" s="33" t="s">
        <v>154</v>
      </c>
      <c r="K75" s="33" t="s">
        <v>154</v>
      </c>
      <c r="L75" s="33" t="s">
        <v>154</v>
      </c>
      <c r="M75" s="33" t="s">
        <v>154</v>
      </c>
      <c r="N75" s="33" t="s">
        <v>154</v>
      </c>
      <c r="O75" s="33" t="s">
        <v>154</v>
      </c>
      <c r="P75" s="33" t="s">
        <v>154</v>
      </c>
      <c r="Q75" s="33" t="s">
        <v>154</v>
      </c>
      <c r="R75" s="33" t="s">
        <v>154</v>
      </c>
      <c r="S75" s="33" t="s">
        <v>154</v>
      </c>
      <c r="T75" s="33" t="s">
        <v>154</v>
      </c>
      <c r="U75" s="33" t="s">
        <v>154</v>
      </c>
      <c r="V75" s="33" t="s">
        <v>154</v>
      </c>
      <c r="W75" s="33" t="s">
        <v>154</v>
      </c>
      <c r="X75" s="33" t="s">
        <v>154</v>
      </c>
      <c r="Y75" s="33" t="s">
        <v>154</v>
      </c>
      <c r="Z75" s="33" t="s">
        <v>154</v>
      </c>
      <c r="AA75" s="33" t="s">
        <v>154</v>
      </c>
      <c r="AB75" s="33" t="s">
        <v>154</v>
      </c>
      <c r="AC75" s="33" t="s">
        <v>154</v>
      </c>
      <c r="AD75" s="33" t="s">
        <v>154</v>
      </c>
      <c r="AE75" s="33" t="s">
        <v>154</v>
      </c>
      <c r="AF75" s="33" t="s">
        <v>154</v>
      </c>
      <c r="AG75" s="33" t="s">
        <v>154</v>
      </c>
      <c r="AH75" s="33" t="s">
        <v>154</v>
      </c>
      <c r="AI75" s="33" t="s">
        <v>154</v>
      </c>
      <c r="AJ75" s="33" t="s">
        <v>154</v>
      </c>
      <c r="AK75" s="33" t="s">
        <v>154</v>
      </c>
      <c r="AL75" s="33" t="s">
        <v>154</v>
      </c>
      <c r="AM75" s="33" t="s">
        <v>154</v>
      </c>
      <c r="AN75" s="33" t="s">
        <v>154</v>
      </c>
      <c r="AO75" s="33" t="s">
        <v>154</v>
      </c>
      <c r="AP75" s="33" t="s">
        <v>154</v>
      </c>
      <c r="AQ75" s="33" t="s">
        <v>154</v>
      </c>
      <c r="AR75" s="33" t="s">
        <v>154</v>
      </c>
      <c r="AS75" s="33" t="s">
        <v>154</v>
      </c>
      <c r="AT75" s="33" t="s">
        <v>154</v>
      </c>
      <c r="AU75" s="33" t="s">
        <v>154</v>
      </c>
      <c r="AV75" s="33" t="s">
        <v>154</v>
      </c>
      <c r="AW75" s="33" t="s">
        <v>154</v>
      </c>
      <c r="AX75" s="33" t="s">
        <v>154</v>
      </c>
      <c r="AY75" s="33" t="s">
        <v>154</v>
      </c>
      <c r="AZ75" s="34"/>
      <c r="BA75" s="34"/>
      <c r="BB75" s="34"/>
      <c r="BC75" s="34"/>
      <c r="BD75" s="34"/>
      <c r="BE75" s="34"/>
      <c r="BF75" s="34"/>
      <c r="BG75" s="34"/>
      <c r="BH75" s="34"/>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c r="CK75" s="34"/>
      <c r="CL75" s="34"/>
      <c r="CM75" s="34"/>
      <c r="CN75" s="34"/>
      <c r="CO75" s="34"/>
      <c r="CP75" s="34"/>
      <c r="CQ75" s="34"/>
      <c r="CR75" s="34"/>
      <c r="CS75" s="34"/>
      <c r="CT75" s="34"/>
      <c r="CU75" s="34"/>
      <c r="CV75" s="34"/>
      <c r="CW75" s="34"/>
      <c r="CX75" s="34"/>
      <c r="CY75" s="34"/>
      <c r="CZ75" s="34"/>
      <c r="DA75" s="34"/>
      <c r="DB75" s="34"/>
      <c r="DC75" s="34"/>
      <c r="DD75" s="34"/>
      <c r="DE75" s="34"/>
      <c r="DF75" s="34"/>
      <c r="DG75" s="34"/>
      <c r="DH75" s="34"/>
      <c r="DI75" s="34"/>
      <c r="DJ75" s="34"/>
      <c r="DK75" s="34"/>
      <c r="DL75" s="34"/>
      <c r="DM75" s="34"/>
      <c r="DN75" s="34"/>
      <c r="DO75" s="34"/>
      <c r="DP75" s="34"/>
      <c r="DQ75" s="34"/>
      <c r="DR75" s="34"/>
      <c r="DS75" s="42"/>
      <c r="DT75" s="42"/>
      <c r="DU75" s="42"/>
      <c r="DV75" s="42"/>
      <c r="DW75" s="42"/>
      <c r="DX75" s="42"/>
      <c r="DY75" s="42"/>
      <c r="DZ75" s="42"/>
      <c r="EA75" s="42"/>
      <c r="EB75" s="42"/>
      <c r="EC75" s="42"/>
      <c r="ED75" s="42"/>
      <c r="EE75" s="42"/>
      <c r="EF75" s="42"/>
      <c r="EG75" s="42"/>
      <c r="EH75" s="211">
        <f t="shared" si="8"/>
        <v>0</v>
      </c>
      <c r="EI75" s="89"/>
      <c r="EJ75" s="89">
        <f t="shared" si="9"/>
        <v>0</v>
      </c>
      <c r="EK75" s="89"/>
      <c r="EL75" s="47">
        <f t="shared" si="27"/>
        <v>0</v>
      </c>
      <c r="EM75" s="202"/>
      <c r="EN75" s="47">
        <f t="shared" si="18"/>
        <v>0</v>
      </c>
      <c r="EO75" s="12">
        <f t="shared" si="22"/>
        <v>0</v>
      </c>
      <c r="EP75" s="12">
        <f t="shared" si="23"/>
        <v>0</v>
      </c>
      <c r="EQ75" s="12">
        <f t="shared" si="24"/>
        <v>0</v>
      </c>
      <c r="ER75" s="12">
        <f t="shared" si="25"/>
        <v>0</v>
      </c>
      <c r="ES75" s="15">
        <f t="shared" si="26"/>
        <v>0</v>
      </c>
      <c r="ET75" s="49">
        <f t="shared" si="19"/>
        <v>0</v>
      </c>
      <c r="EU75" s="49">
        <f t="shared" si="20"/>
        <v>0</v>
      </c>
      <c r="EV75" s="49">
        <f t="shared" si="21"/>
        <v>0</v>
      </c>
      <c r="EW75" s="49">
        <f t="shared" si="11"/>
        <v>0</v>
      </c>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row>
    <row r="76" spans="1:304" s="78" customFormat="1" ht="45" hidden="1" x14ac:dyDescent="0.25">
      <c r="A76" s="309"/>
      <c r="B76" s="83" t="s">
        <v>176</v>
      </c>
      <c r="C76" s="33" t="s">
        <v>154</v>
      </c>
      <c r="D76" s="33" t="s">
        <v>154</v>
      </c>
      <c r="E76" s="33" t="s">
        <v>154</v>
      </c>
      <c r="F76" s="33" t="s">
        <v>154</v>
      </c>
      <c r="G76" s="33" t="s">
        <v>154</v>
      </c>
      <c r="H76" s="33" t="s">
        <v>154</v>
      </c>
      <c r="I76" s="33" t="s">
        <v>154</v>
      </c>
      <c r="J76" s="33" t="s">
        <v>154</v>
      </c>
      <c r="K76" s="33" t="s">
        <v>154</v>
      </c>
      <c r="L76" s="33" t="s">
        <v>154</v>
      </c>
      <c r="M76" s="33" t="s">
        <v>154</v>
      </c>
      <c r="N76" s="33" t="s">
        <v>154</v>
      </c>
      <c r="O76" s="33" t="s">
        <v>154</v>
      </c>
      <c r="P76" s="33" t="s">
        <v>154</v>
      </c>
      <c r="Q76" s="33" t="s">
        <v>154</v>
      </c>
      <c r="R76" s="33" t="s">
        <v>154</v>
      </c>
      <c r="S76" s="33" t="s">
        <v>154</v>
      </c>
      <c r="T76" s="33" t="s">
        <v>154</v>
      </c>
      <c r="U76" s="33" t="s">
        <v>154</v>
      </c>
      <c r="V76" s="33" t="s">
        <v>154</v>
      </c>
      <c r="W76" s="33" t="s">
        <v>154</v>
      </c>
      <c r="X76" s="33" t="s">
        <v>154</v>
      </c>
      <c r="Y76" s="33" t="s">
        <v>154</v>
      </c>
      <c r="Z76" s="33" t="s">
        <v>154</v>
      </c>
      <c r="AA76" s="33" t="s">
        <v>154</v>
      </c>
      <c r="AB76" s="33" t="s">
        <v>154</v>
      </c>
      <c r="AC76" s="33" t="s">
        <v>154</v>
      </c>
      <c r="AD76" s="33" t="s">
        <v>154</v>
      </c>
      <c r="AE76" s="33" t="s">
        <v>154</v>
      </c>
      <c r="AF76" s="33" t="s">
        <v>154</v>
      </c>
      <c r="AG76" s="33" t="s">
        <v>154</v>
      </c>
      <c r="AH76" s="33" t="s">
        <v>154</v>
      </c>
      <c r="AI76" s="33" t="s">
        <v>154</v>
      </c>
      <c r="AJ76" s="33" t="s">
        <v>154</v>
      </c>
      <c r="AK76" s="33" t="s">
        <v>154</v>
      </c>
      <c r="AL76" s="33" t="s">
        <v>154</v>
      </c>
      <c r="AM76" s="33" t="s">
        <v>154</v>
      </c>
      <c r="AN76" s="33" t="s">
        <v>154</v>
      </c>
      <c r="AO76" s="33" t="s">
        <v>154</v>
      </c>
      <c r="AP76" s="33" t="s">
        <v>154</v>
      </c>
      <c r="AQ76" s="33" t="s">
        <v>154</v>
      </c>
      <c r="AR76" s="33" t="s">
        <v>154</v>
      </c>
      <c r="AS76" s="33" t="s">
        <v>154</v>
      </c>
      <c r="AT76" s="33" t="s">
        <v>154</v>
      </c>
      <c r="AU76" s="33" t="s">
        <v>154</v>
      </c>
      <c r="AV76" s="33" t="s">
        <v>154</v>
      </c>
      <c r="AW76" s="33" t="s">
        <v>154</v>
      </c>
      <c r="AX76" s="33" t="s">
        <v>154</v>
      </c>
      <c r="AY76" s="33" t="s">
        <v>154</v>
      </c>
      <c r="AZ76" s="34"/>
      <c r="BA76" s="34"/>
      <c r="BB76" s="34"/>
      <c r="BC76" s="34"/>
      <c r="BD76" s="34"/>
      <c r="BE76" s="34"/>
      <c r="BF76" s="34"/>
      <c r="BG76" s="34"/>
      <c r="BH76" s="34"/>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c r="CK76" s="34"/>
      <c r="CL76" s="34"/>
      <c r="CM76" s="34"/>
      <c r="CN76" s="34"/>
      <c r="CO76" s="34"/>
      <c r="CP76" s="34"/>
      <c r="CQ76" s="34"/>
      <c r="CR76" s="34"/>
      <c r="CS76" s="34"/>
      <c r="CT76" s="34"/>
      <c r="CU76" s="34"/>
      <c r="CV76" s="34"/>
      <c r="CW76" s="34"/>
      <c r="CX76" s="34"/>
      <c r="CY76" s="34"/>
      <c r="CZ76" s="34"/>
      <c r="DA76" s="34"/>
      <c r="DB76" s="34"/>
      <c r="DC76" s="34"/>
      <c r="DD76" s="34"/>
      <c r="DE76" s="34"/>
      <c r="DF76" s="34"/>
      <c r="DG76" s="34"/>
      <c r="DH76" s="34"/>
      <c r="DI76" s="34"/>
      <c r="DJ76" s="34"/>
      <c r="DK76" s="34"/>
      <c r="DL76" s="34"/>
      <c r="DM76" s="34"/>
      <c r="DN76" s="34"/>
      <c r="DO76" s="34"/>
      <c r="DP76" s="34"/>
      <c r="DQ76" s="34"/>
      <c r="DR76" s="34"/>
      <c r="DS76" s="42"/>
      <c r="DT76" s="42"/>
      <c r="DU76" s="42"/>
      <c r="DV76" s="42"/>
      <c r="DW76" s="42"/>
      <c r="DX76" s="42"/>
      <c r="DY76" s="42"/>
      <c r="DZ76" s="42"/>
      <c r="EA76" s="42"/>
      <c r="EB76" s="42"/>
      <c r="EC76" s="42"/>
      <c r="ED76" s="42"/>
      <c r="EE76" s="42"/>
      <c r="EF76" s="42"/>
      <c r="EG76" s="42"/>
      <c r="EH76" s="211">
        <f t="shared" si="8"/>
        <v>0</v>
      </c>
      <c r="EI76" s="89"/>
      <c r="EJ76" s="89">
        <f t="shared" si="9"/>
        <v>0</v>
      </c>
      <c r="EK76" s="89"/>
      <c r="EL76" s="47">
        <f t="shared" si="27"/>
        <v>0</v>
      </c>
      <c r="EM76" s="202"/>
      <c r="EN76" s="47">
        <f t="shared" si="18"/>
        <v>0</v>
      </c>
      <c r="EO76" s="12">
        <f t="shared" si="22"/>
        <v>0</v>
      </c>
      <c r="EP76" s="12">
        <f t="shared" si="23"/>
        <v>0</v>
      </c>
      <c r="EQ76" s="12">
        <f t="shared" si="24"/>
        <v>0</v>
      </c>
      <c r="ER76" s="12">
        <f t="shared" si="25"/>
        <v>0</v>
      </c>
      <c r="ES76" s="15">
        <f t="shared" si="26"/>
        <v>0</v>
      </c>
      <c r="ET76" s="49">
        <f t="shared" si="19"/>
        <v>0</v>
      </c>
      <c r="EU76" s="49">
        <f t="shared" si="20"/>
        <v>0</v>
      </c>
      <c r="EV76" s="49">
        <f t="shared" si="21"/>
        <v>0</v>
      </c>
      <c r="EW76" s="49">
        <f t="shared" si="11"/>
        <v>0</v>
      </c>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row>
    <row r="77" spans="1:304" s="78" customFormat="1" hidden="1" x14ac:dyDescent="0.25">
      <c r="A77" s="309" t="s">
        <v>178</v>
      </c>
      <c r="B77" s="83" t="s">
        <v>35</v>
      </c>
      <c r="C77" s="33">
        <v>6</v>
      </c>
      <c r="D77" s="33">
        <v>14</v>
      </c>
      <c r="E77" s="33">
        <v>7</v>
      </c>
      <c r="F77" s="33">
        <v>12</v>
      </c>
      <c r="G77" s="33">
        <v>7</v>
      </c>
      <c r="H77" s="33">
        <v>12</v>
      </c>
      <c r="I77" s="33">
        <v>6</v>
      </c>
      <c r="J77" s="33">
        <v>3</v>
      </c>
      <c r="K77" s="33">
        <v>11</v>
      </c>
      <c r="L77" s="33">
        <v>7</v>
      </c>
      <c r="M77" s="33">
        <v>5</v>
      </c>
      <c r="N77" s="33">
        <v>3</v>
      </c>
      <c r="O77" s="33">
        <v>6</v>
      </c>
      <c r="P77" s="33">
        <v>4</v>
      </c>
      <c r="Q77" s="33">
        <v>8</v>
      </c>
      <c r="R77" s="33">
        <v>8</v>
      </c>
      <c r="S77" s="33">
        <v>7</v>
      </c>
      <c r="T77" s="33">
        <v>8</v>
      </c>
      <c r="U77" s="33">
        <v>10</v>
      </c>
      <c r="V77" s="33">
        <v>3</v>
      </c>
      <c r="W77" s="33">
        <v>4</v>
      </c>
      <c r="X77" s="33">
        <v>10</v>
      </c>
      <c r="Y77" s="33">
        <v>7</v>
      </c>
      <c r="Z77" s="33">
        <v>10</v>
      </c>
      <c r="AA77" s="33">
        <v>8</v>
      </c>
      <c r="AB77" s="33">
        <v>12</v>
      </c>
      <c r="AC77" s="33">
        <v>15</v>
      </c>
      <c r="AD77" s="33">
        <v>16</v>
      </c>
      <c r="AE77" s="33">
        <v>11</v>
      </c>
      <c r="AF77" s="33">
        <v>6</v>
      </c>
      <c r="AG77" s="33">
        <v>7</v>
      </c>
      <c r="AH77" s="33">
        <v>15</v>
      </c>
      <c r="AI77" s="33">
        <v>6</v>
      </c>
      <c r="AJ77" s="34">
        <v>15</v>
      </c>
      <c r="AK77" s="34">
        <v>13</v>
      </c>
      <c r="AL77" s="34">
        <v>22</v>
      </c>
      <c r="AM77" s="34">
        <v>5</v>
      </c>
      <c r="AN77" s="34">
        <v>17</v>
      </c>
      <c r="AO77" s="34">
        <v>14</v>
      </c>
      <c r="AP77" s="34">
        <v>12</v>
      </c>
      <c r="AQ77" s="34">
        <v>32</v>
      </c>
      <c r="AR77" s="34">
        <v>25</v>
      </c>
      <c r="AS77" s="34">
        <v>23</v>
      </c>
      <c r="AT77" s="34">
        <v>17</v>
      </c>
      <c r="AU77" s="34">
        <v>10</v>
      </c>
      <c r="AV77" s="34">
        <v>19</v>
      </c>
      <c r="AW77" s="34">
        <v>27</v>
      </c>
      <c r="AX77" s="34">
        <v>17</v>
      </c>
      <c r="AY77" s="34">
        <v>14</v>
      </c>
      <c r="AZ77" s="34">
        <v>4</v>
      </c>
      <c r="BA77" s="34">
        <v>8</v>
      </c>
      <c r="BB77" s="34">
        <v>10</v>
      </c>
      <c r="BC77" s="34">
        <v>5</v>
      </c>
      <c r="BD77" s="34">
        <v>10</v>
      </c>
      <c r="BE77" s="34">
        <v>6</v>
      </c>
      <c r="BF77" s="34">
        <v>9</v>
      </c>
      <c r="BG77" s="34">
        <v>7</v>
      </c>
      <c r="BH77" s="34">
        <v>15</v>
      </c>
      <c r="BI77" s="34">
        <v>9</v>
      </c>
      <c r="BJ77" s="34">
        <v>13</v>
      </c>
      <c r="BK77" s="34">
        <v>8</v>
      </c>
      <c r="BL77" s="34">
        <v>9</v>
      </c>
      <c r="BM77" s="34">
        <v>10</v>
      </c>
      <c r="BN77" s="34">
        <v>4</v>
      </c>
      <c r="BO77" s="34">
        <v>7</v>
      </c>
      <c r="BP77" s="34">
        <v>15</v>
      </c>
      <c r="BQ77" s="34">
        <v>5</v>
      </c>
      <c r="BR77" s="34">
        <v>8</v>
      </c>
      <c r="BS77" s="34">
        <v>8</v>
      </c>
      <c r="BT77" s="34">
        <v>10</v>
      </c>
      <c r="BU77" s="86">
        <v>9</v>
      </c>
      <c r="BV77" s="34">
        <v>9</v>
      </c>
      <c r="BW77" s="34">
        <v>9</v>
      </c>
      <c r="BX77" s="34">
        <v>5</v>
      </c>
      <c r="BY77" s="34">
        <v>13</v>
      </c>
      <c r="BZ77" s="35">
        <v>7</v>
      </c>
      <c r="CA77" s="34">
        <v>3</v>
      </c>
      <c r="CB77" s="34">
        <v>6</v>
      </c>
      <c r="CC77" s="34">
        <v>12</v>
      </c>
      <c r="CD77" s="34">
        <v>15</v>
      </c>
      <c r="CE77" s="34">
        <v>10</v>
      </c>
      <c r="CF77" s="34">
        <v>5</v>
      </c>
      <c r="CG77" s="34">
        <v>9</v>
      </c>
      <c r="CH77" s="34">
        <v>6</v>
      </c>
      <c r="CI77" s="34">
        <v>3</v>
      </c>
      <c r="CJ77" s="34">
        <v>12</v>
      </c>
      <c r="CK77" s="34">
        <v>8</v>
      </c>
      <c r="CL77" s="34">
        <v>1</v>
      </c>
      <c r="CM77" s="34">
        <v>5</v>
      </c>
      <c r="CN77" s="34">
        <v>7</v>
      </c>
      <c r="CO77" s="34">
        <v>4</v>
      </c>
      <c r="CP77" s="34">
        <v>10</v>
      </c>
      <c r="CQ77" s="34">
        <v>9</v>
      </c>
      <c r="CR77" s="34">
        <v>9</v>
      </c>
      <c r="CS77" s="34">
        <v>5</v>
      </c>
      <c r="CT77" s="34">
        <v>5</v>
      </c>
      <c r="CU77" s="34">
        <v>3</v>
      </c>
      <c r="CV77" s="34">
        <v>15</v>
      </c>
      <c r="CW77" s="34">
        <v>7</v>
      </c>
      <c r="CX77" s="34">
        <v>7</v>
      </c>
      <c r="CY77" s="34">
        <v>4</v>
      </c>
      <c r="CZ77" s="34">
        <v>3</v>
      </c>
      <c r="DA77" s="34">
        <v>1</v>
      </c>
      <c r="DB77" s="34">
        <v>4</v>
      </c>
      <c r="DC77" s="34">
        <v>5</v>
      </c>
      <c r="DD77" s="34">
        <v>1</v>
      </c>
      <c r="DE77" s="34">
        <v>3</v>
      </c>
      <c r="DF77" s="34"/>
      <c r="DG77" s="34"/>
      <c r="DH77" s="34"/>
      <c r="DI77" s="34"/>
      <c r="DJ77" s="34"/>
      <c r="DK77" s="34"/>
      <c r="DL77" s="34"/>
      <c r="DM77" s="34"/>
      <c r="DN77" s="34"/>
      <c r="DO77" s="34"/>
      <c r="DP77" s="34"/>
      <c r="DQ77" s="34"/>
      <c r="DR77" s="34"/>
      <c r="DS77" s="42"/>
      <c r="DT77" s="42"/>
      <c r="DU77" s="42"/>
      <c r="DV77" s="42"/>
      <c r="DW77" s="42"/>
      <c r="DX77" s="42"/>
      <c r="DY77" s="42"/>
      <c r="DZ77" s="42"/>
      <c r="EA77" s="42"/>
      <c r="EB77" s="42"/>
      <c r="EC77" s="42"/>
      <c r="ED77" s="42"/>
      <c r="EE77" s="42"/>
      <c r="EF77" s="42"/>
      <c r="EG77" s="42"/>
      <c r="EH77" s="211">
        <f t="shared" si="8"/>
        <v>91</v>
      </c>
      <c r="EI77" s="89"/>
      <c r="EJ77" s="89">
        <f t="shared" si="9"/>
        <v>985</v>
      </c>
      <c r="EK77" s="89"/>
      <c r="EL77" s="47">
        <f t="shared" si="27"/>
        <v>0</v>
      </c>
      <c r="EM77" s="202"/>
      <c r="EN77" s="47">
        <f t="shared" ref="EN77:EN108" si="28">SUM(J77:DS77)</f>
        <v>921</v>
      </c>
      <c r="EO77" s="12">
        <f t="shared" si="22"/>
        <v>6</v>
      </c>
      <c r="EP77" s="12">
        <f t="shared" si="23"/>
        <v>93</v>
      </c>
      <c r="EQ77" s="12">
        <f t="shared" si="24"/>
        <v>87</v>
      </c>
      <c r="ER77" s="12">
        <f t="shared" si="25"/>
        <v>143</v>
      </c>
      <c r="ES77" s="15">
        <f t="shared" si="26"/>
        <v>227</v>
      </c>
      <c r="ET77" s="49">
        <f t="shared" ref="ET77:ET108" si="29">SUM(AZ77:BW77)</f>
        <v>207</v>
      </c>
      <c r="EU77" s="49">
        <f t="shared" ref="EU77:EU108" si="30">SUM(BX77:CU77)</f>
        <v>172</v>
      </c>
      <c r="EV77" s="49">
        <f t="shared" si="21"/>
        <v>50</v>
      </c>
      <c r="EW77" s="49">
        <f t="shared" si="11"/>
        <v>0</v>
      </c>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row>
    <row r="78" spans="1:304" s="78" customFormat="1" hidden="1" x14ac:dyDescent="0.25">
      <c r="A78" s="309"/>
      <c r="B78" s="83" t="s">
        <v>36</v>
      </c>
      <c r="C78" s="33">
        <v>5</v>
      </c>
      <c r="D78" s="33">
        <v>10</v>
      </c>
      <c r="E78" s="33">
        <v>7</v>
      </c>
      <c r="F78" s="33">
        <v>8</v>
      </c>
      <c r="G78" s="33">
        <v>6</v>
      </c>
      <c r="H78" s="33">
        <v>7</v>
      </c>
      <c r="I78" s="33">
        <v>4</v>
      </c>
      <c r="J78" s="33">
        <v>1</v>
      </c>
      <c r="K78" s="33">
        <v>7</v>
      </c>
      <c r="L78" s="33">
        <v>2</v>
      </c>
      <c r="M78" s="33">
        <v>5</v>
      </c>
      <c r="N78" s="33">
        <v>2</v>
      </c>
      <c r="O78" s="33">
        <v>3</v>
      </c>
      <c r="P78" s="33">
        <v>1</v>
      </c>
      <c r="Q78" s="33">
        <v>7</v>
      </c>
      <c r="R78" s="33">
        <v>7</v>
      </c>
      <c r="S78" s="33">
        <v>4</v>
      </c>
      <c r="T78" s="33">
        <v>1</v>
      </c>
      <c r="U78" s="33">
        <v>7</v>
      </c>
      <c r="V78" s="33">
        <v>2</v>
      </c>
      <c r="W78" s="33">
        <v>0</v>
      </c>
      <c r="X78" s="33">
        <v>6</v>
      </c>
      <c r="Y78" s="33">
        <v>4</v>
      </c>
      <c r="Z78" s="33">
        <v>8</v>
      </c>
      <c r="AA78" s="33">
        <v>3</v>
      </c>
      <c r="AB78" s="33">
        <v>0</v>
      </c>
      <c r="AC78" s="33">
        <v>9</v>
      </c>
      <c r="AD78" s="33">
        <v>9</v>
      </c>
      <c r="AE78" s="33">
        <v>9</v>
      </c>
      <c r="AF78" s="33">
        <v>3</v>
      </c>
      <c r="AG78" s="33">
        <v>7</v>
      </c>
      <c r="AH78" s="33">
        <v>13</v>
      </c>
      <c r="AI78" s="33">
        <v>4</v>
      </c>
      <c r="AJ78" s="34">
        <v>4</v>
      </c>
      <c r="AK78" s="34">
        <v>7</v>
      </c>
      <c r="AL78" s="34">
        <v>9</v>
      </c>
      <c r="AM78" s="34">
        <v>2</v>
      </c>
      <c r="AN78" s="34">
        <v>13</v>
      </c>
      <c r="AO78" s="34">
        <v>10</v>
      </c>
      <c r="AP78" s="34">
        <v>5</v>
      </c>
      <c r="AQ78" s="34">
        <v>11</v>
      </c>
      <c r="AR78" s="34">
        <v>10</v>
      </c>
      <c r="AS78" s="34">
        <v>13</v>
      </c>
      <c r="AT78" s="34">
        <v>10</v>
      </c>
      <c r="AU78" s="34">
        <v>4</v>
      </c>
      <c r="AV78" s="34">
        <v>4</v>
      </c>
      <c r="AW78" s="34">
        <v>14</v>
      </c>
      <c r="AX78" s="34">
        <v>13</v>
      </c>
      <c r="AY78" s="34">
        <v>8</v>
      </c>
      <c r="AZ78" s="34">
        <v>8</v>
      </c>
      <c r="BA78" s="34">
        <v>5</v>
      </c>
      <c r="BB78" s="34">
        <v>8</v>
      </c>
      <c r="BC78" s="34">
        <v>2</v>
      </c>
      <c r="BD78" s="34">
        <v>2</v>
      </c>
      <c r="BE78" s="34">
        <v>1</v>
      </c>
      <c r="BF78" s="34">
        <v>5</v>
      </c>
      <c r="BG78" s="34">
        <v>2</v>
      </c>
      <c r="BH78" s="34">
        <v>5</v>
      </c>
      <c r="BI78" s="34">
        <v>4</v>
      </c>
      <c r="BJ78" s="34">
        <v>11</v>
      </c>
      <c r="BK78" s="34">
        <v>2</v>
      </c>
      <c r="BL78" s="34">
        <v>2</v>
      </c>
      <c r="BM78" s="34">
        <v>1</v>
      </c>
      <c r="BN78" s="34">
        <v>1</v>
      </c>
      <c r="BO78" s="34">
        <v>8</v>
      </c>
      <c r="BP78" s="34">
        <v>8</v>
      </c>
      <c r="BQ78" s="34">
        <v>3</v>
      </c>
      <c r="BR78" s="34">
        <v>2</v>
      </c>
      <c r="BS78" s="34">
        <v>2</v>
      </c>
      <c r="BT78" s="34">
        <v>5</v>
      </c>
      <c r="BU78" s="34">
        <v>5</v>
      </c>
      <c r="BV78" s="34">
        <v>0</v>
      </c>
      <c r="BW78" s="34">
        <v>3</v>
      </c>
      <c r="BX78" s="34">
        <v>2</v>
      </c>
      <c r="BY78" s="34">
        <v>5</v>
      </c>
      <c r="BZ78" s="34">
        <v>1</v>
      </c>
      <c r="CA78" s="34">
        <v>1</v>
      </c>
      <c r="CB78" s="34">
        <v>1</v>
      </c>
      <c r="CC78" s="34">
        <v>4</v>
      </c>
      <c r="CD78" s="34">
        <v>10</v>
      </c>
      <c r="CE78" s="34">
        <v>2</v>
      </c>
      <c r="CF78" s="34">
        <v>1</v>
      </c>
      <c r="CG78" s="34">
        <v>11</v>
      </c>
      <c r="CH78" s="34">
        <v>4</v>
      </c>
      <c r="CI78" s="34">
        <v>0</v>
      </c>
      <c r="CJ78" s="34">
        <v>3</v>
      </c>
      <c r="CK78" s="34">
        <v>7</v>
      </c>
      <c r="CL78" s="34">
        <v>1</v>
      </c>
      <c r="CM78" s="34">
        <v>1</v>
      </c>
      <c r="CN78" s="34">
        <v>3</v>
      </c>
      <c r="CO78" s="34">
        <v>0</v>
      </c>
      <c r="CP78" s="34">
        <v>3</v>
      </c>
      <c r="CQ78" s="34">
        <v>3</v>
      </c>
      <c r="CR78" s="34">
        <v>2</v>
      </c>
      <c r="CS78" s="34">
        <v>2</v>
      </c>
      <c r="CT78" s="34">
        <v>2</v>
      </c>
      <c r="CU78" s="34">
        <v>1</v>
      </c>
      <c r="CV78" s="34">
        <v>18</v>
      </c>
      <c r="CW78" s="34">
        <v>4</v>
      </c>
      <c r="CX78" s="34">
        <v>5</v>
      </c>
      <c r="CY78" s="34">
        <v>33</v>
      </c>
      <c r="CZ78" s="34">
        <v>25</v>
      </c>
      <c r="DA78" s="34">
        <v>27</v>
      </c>
      <c r="DB78" s="34">
        <v>32</v>
      </c>
      <c r="DC78" s="34">
        <v>20</v>
      </c>
      <c r="DD78" s="34">
        <v>30</v>
      </c>
      <c r="DE78" s="34">
        <v>36</v>
      </c>
      <c r="DF78" s="34"/>
      <c r="DG78" s="34"/>
      <c r="DH78" s="34"/>
      <c r="DI78" s="34"/>
      <c r="DJ78" s="34"/>
      <c r="DK78" s="34"/>
      <c r="DL78" s="34"/>
      <c r="DM78" s="34"/>
      <c r="DN78" s="34"/>
      <c r="DO78" s="34"/>
      <c r="DP78" s="34"/>
      <c r="DQ78" s="34"/>
      <c r="DR78" s="34"/>
      <c r="DS78" s="42"/>
      <c r="DT78" s="42"/>
      <c r="DU78" s="42"/>
      <c r="DV78" s="42"/>
      <c r="DW78" s="42"/>
      <c r="DX78" s="42"/>
      <c r="DY78" s="42"/>
      <c r="DZ78" s="42"/>
      <c r="EA78" s="42"/>
      <c r="EB78" s="42"/>
      <c r="EC78" s="42"/>
      <c r="ED78" s="42"/>
      <c r="EE78" s="42"/>
      <c r="EF78" s="42"/>
      <c r="EG78" s="42"/>
      <c r="EH78" s="211">
        <f t="shared" ref="EH78:EH114" si="31">SUM(CP78:EG78)</f>
        <v>243</v>
      </c>
      <c r="EI78" s="89"/>
      <c r="EJ78" s="89">
        <f t="shared" ref="EJ78:EJ114" si="32">SUM(C78:EF78)</f>
        <v>703</v>
      </c>
      <c r="EK78" s="89"/>
      <c r="EL78" s="47">
        <f t="shared" si="27"/>
        <v>0</v>
      </c>
      <c r="EM78" s="202"/>
      <c r="EN78" s="47">
        <f t="shared" si="28"/>
        <v>656</v>
      </c>
      <c r="EO78" s="12">
        <f t="shared" si="22"/>
        <v>5</v>
      </c>
      <c r="EP78" s="12">
        <f t="shared" si="23"/>
        <v>62</v>
      </c>
      <c r="EQ78" s="12">
        <f t="shared" si="24"/>
        <v>50</v>
      </c>
      <c r="ER78" s="12">
        <f t="shared" si="25"/>
        <v>76</v>
      </c>
      <c r="ES78" s="15">
        <f t="shared" si="26"/>
        <v>115</v>
      </c>
      <c r="ET78" s="49">
        <f t="shared" si="29"/>
        <v>95</v>
      </c>
      <c r="EU78" s="49">
        <f t="shared" si="30"/>
        <v>70</v>
      </c>
      <c r="EV78" s="49">
        <f t="shared" si="21"/>
        <v>230</v>
      </c>
      <c r="EW78" s="49">
        <f t="shared" ref="EW78:EW114" si="33">SUM(DT78:EC78)</f>
        <v>0</v>
      </c>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row>
    <row r="79" spans="1:304" s="78" customFormat="1" hidden="1" x14ac:dyDescent="0.25">
      <c r="A79" s="308" t="s">
        <v>179</v>
      </c>
      <c r="B79" s="309"/>
      <c r="C79" s="33"/>
      <c r="D79" s="33"/>
      <c r="E79" s="33"/>
      <c r="F79" s="33"/>
      <c r="G79" s="33"/>
      <c r="H79" s="33"/>
      <c r="I79" s="33"/>
      <c r="J79" s="33"/>
      <c r="K79" s="33"/>
      <c r="L79" s="33"/>
      <c r="M79" s="33"/>
      <c r="N79" s="33"/>
      <c r="O79" s="33"/>
      <c r="P79" s="33"/>
      <c r="Q79" s="33"/>
      <c r="R79" s="33"/>
      <c r="S79" s="33"/>
      <c r="T79" s="33"/>
      <c r="U79" s="33"/>
      <c r="V79" s="33"/>
      <c r="W79" s="33"/>
      <c r="X79" s="33"/>
      <c r="Y79" s="33"/>
      <c r="Z79" s="33"/>
      <c r="AA79" s="33"/>
      <c r="AB79" s="33"/>
      <c r="AC79" s="33"/>
      <c r="AD79" s="33"/>
      <c r="AE79" s="33"/>
      <c r="AF79" s="33"/>
      <c r="AG79" s="33"/>
      <c r="AH79" s="33"/>
      <c r="AI79" s="33"/>
      <c r="AJ79" s="34"/>
      <c r="AK79" s="34"/>
      <c r="AL79" s="34"/>
      <c r="AM79" s="34"/>
      <c r="AN79" s="34"/>
      <c r="AO79" s="34"/>
      <c r="AP79" s="34"/>
      <c r="AQ79" s="34"/>
      <c r="AR79" s="34"/>
      <c r="AS79" s="34"/>
      <c r="AT79" s="34"/>
      <c r="AU79" s="34"/>
      <c r="AV79" s="34"/>
      <c r="AW79" s="34"/>
      <c r="AX79" s="34"/>
      <c r="AY79" s="34"/>
      <c r="AZ79" s="34"/>
      <c r="BA79" s="34"/>
      <c r="BB79" s="34"/>
      <c r="BC79" s="34"/>
      <c r="BD79" s="34"/>
      <c r="BE79" s="34"/>
      <c r="BF79" s="34"/>
      <c r="BG79" s="34"/>
      <c r="BH79" s="34"/>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c r="CK79" s="34"/>
      <c r="CL79" s="34"/>
      <c r="CM79" s="34"/>
      <c r="CN79" s="34"/>
      <c r="CO79" s="34"/>
      <c r="CP79" s="34"/>
      <c r="CQ79" s="34"/>
      <c r="CR79" s="34"/>
      <c r="CS79" s="34"/>
      <c r="CT79" s="34"/>
      <c r="CU79" s="34"/>
      <c r="CV79" s="34"/>
      <c r="CW79" s="34"/>
      <c r="CX79" s="34"/>
      <c r="CY79" s="34"/>
      <c r="CZ79" s="34"/>
      <c r="DA79" s="34"/>
      <c r="DB79" s="34"/>
      <c r="DC79" s="34"/>
      <c r="DD79" s="34"/>
      <c r="DE79" s="34"/>
      <c r="DF79" s="34"/>
      <c r="DG79" s="34"/>
      <c r="DH79" s="34"/>
      <c r="DI79" s="34"/>
      <c r="DJ79" s="34"/>
      <c r="DK79" s="34"/>
      <c r="DL79" s="34"/>
      <c r="DM79" s="34"/>
      <c r="DN79" s="34"/>
      <c r="DO79" s="34"/>
      <c r="DP79" s="34"/>
      <c r="DQ79" s="34"/>
      <c r="DR79" s="34"/>
      <c r="DS79" s="42"/>
      <c r="DT79" s="42"/>
      <c r="DU79" s="42"/>
      <c r="DV79" s="42"/>
      <c r="DW79" s="42"/>
      <c r="DX79" s="42"/>
      <c r="DY79" s="42"/>
      <c r="DZ79" s="42"/>
      <c r="EA79" s="42"/>
      <c r="EB79" s="42"/>
      <c r="EC79" s="42"/>
      <c r="ED79" s="42"/>
      <c r="EE79" s="42"/>
      <c r="EF79" s="42"/>
      <c r="EG79" s="42"/>
      <c r="EH79" s="211">
        <f t="shared" si="31"/>
        <v>0</v>
      </c>
      <c r="EI79" s="89"/>
      <c r="EJ79" s="89">
        <f t="shared" si="32"/>
        <v>0</v>
      </c>
      <c r="EK79" s="89"/>
      <c r="EL79" s="47">
        <f t="shared" si="27"/>
        <v>0</v>
      </c>
      <c r="EM79" s="202"/>
      <c r="EN79" s="47">
        <f t="shared" si="28"/>
        <v>0</v>
      </c>
      <c r="EO79" s="12">
        <f t="shared" si="22"/>
        <v>0</v>
      </c>
      <c r="EP79" s="12">
        <f t="shared" si="23"/>
        <v>0</v>
      </c>
      <c r="EQ79" s="12">
        <f t="shared" si="24"/>
        <v>0</v>
      </c>
      <c r="ER79" s="12">
        <f t="shared" si="25"/>
        <v>0</v>
      </c>
      <c r="ES79" s="15">
        <f t="shared" si="26"/>
        <v>0</v>
      </c>
      <c r="ET79" s="49">
        <f t="shared" si="29"/>
        <v>0</v>
      </c>
      <c r="EU79" s="49">
        <f t="shared" si="30"/>
        <v>0</v>
      </c>
      <c r="EV79" s="49">
        <f t="shared" si="21"/>
        <v>0</v>
      </c>
      <c r="EW79" s="49">
        <f t="shared" si="33"/>
        <v>0</v>
      </c>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row>
    <row r="80" spans="1:304" s="78" customFormat="1" ht="30" customHeight="1" x14ac:dyDescent="0.25">
      <c r="A80" s="310" t="s">
        <v>191</v>
      </c>
      <c r="B80" s="221" t="s">
        <v>11</v>
      </c>
      <c r="C80" s="33">
        <v>347</v>
      </c>
      <c r="D80" s="33">
        <v>216</v>
      </c>
      <c r="E80" s="33">
        <v>256</v>
      </c>
      <c r="F80" s="33">
        <v>200</v>
      </c>
      <c r="G80" s="33">
        <v>154</v>
      </c>
      <c r="H80" s="33">
        <v>152</v>
      </c>
      <c r="I80" s="33">
        <v>199</v>
      </c>
      <c r="J80" s="33">
        <v>130</v>
      </c>
      <c r="K80" s="33">
        <v>177</v>
      </c>
      <c r="L80" s="33">
        <v>306</v>
      </c>
      <c r="M80" s="33">
        <v>600</v>
      </c>
      <c r="N80" s="33">
        <v>203</v>
      </c>
      <c r="O80" s="33">
        <v>160</v>
      </c>
      <c r="P80" s="33">
        <v>153</v>
      </c>
      <c r="Q80" s="33">
        <v>119</v>
      </c>
      <c r="R80" s="33">
        <v>123</v>
      </c>
      <c r="S80" s="33">
        <v>44</v>
      </c>
      <c r="T80" s="33">
        <v>16</v>
      </c>
      <c r="U80" s="33">
        <v>80</v>
      </c>
      <c r="V80" s="33">
        <v>115</v>
      </c>
      <c r="W80" s="33">
        <v>123</v>
      </c>
      <c r="X80" s="33">
        <v>66</v>
      </c>
      <c r="Y80" s="33">
        <v>90</v>
      </c>
      <c r="Z80" s="33">
        <v>36</v>
      </c>
      <c r="AA80" s="33">
        <v>139</v>
      </c>
      <c r="AB80" s="33">
        <v>100</v>
      </c>
      <c r="AC80" s="33">
        <v>82</v>
      </c>
      <c r="AD80" s="33">
        <v>164</v>
      </c>
      <c r="AE80" s="33">
        <v>93</v>
      </c>
      <c r="AF80" s="33">
        <v>102</v>
      </c>
      <c r="AG80" s="33">
        <v>138</v>
      </c>
      <c r="AH80" s="33">
        <v>119</v>
      </c>
      <c r="AI80" s="33">
        <v>224</v>
      </c>
      <c r="AJ80" s="34">
        <v>154</v>
      </c>
      <c r="AK80" s="34">
        <v>141</v>
      </c>
      <c r="AL80" s="34">
        <v>99</v>
      </c>
      <c r="AM80" s="34">
        <v>94</v>
      </c>
      <c r="AN80" s="34">
        <v>121</v>
      </c>
      <c r="AO80" s="34">
        <v>158</v>
      </c>
      <c r="AP80" s="34">
        <v>108</v>
      </c>
      <c r="AQ80" s="34">
        <v>66</v>
      </c>
      <c r="AR80" s="34">
        <v>82</v>
      </c>
      <c r="AS80" s="34">
        <v>83</v>
      </c>
      <c r="AT80" s="34">
        <v>88</v>
      </c>
      <c r="AU80" s="34">
        <v>69</v>
      </c>
      <c r="AV80" s="34">
        <v>71</v>
      </c>
      <c r="AW80" s="33">
        <v>88</v>
      </c>
      <c r="AX80" s="34">
        <v>68</v>
      </c>
      <c r="AY80" s="34">
        <v>62</v>
      </c>
      <c r="AZ80" s="34">
        <v>35</v>
      </c>
      <c r="BA80" s="34">
        <v>45</v>
      </c>
      <c r="BB80" s="34">
        <v>36</v>
      </c>
      <c r="BC80" s="34">
        <v>37</v>
      </c>
      <c r="BD80" s="34">
        <v>28</v>
      </c>
      <c r="BE80" s="34">
        <v>38</v>
      </c>
      <c r="BF80" s="34">
        <v>40</v>
      </c>
      <c r="BG80" s="34">
        <v>31</v>
      </c>
      <c r="BH80" s="34">
        <v>30</v>
      </c>
      <c r="BI80" s="34">
        <v>40</v>
      </c>
      <c r="BJ80" s="34">
        <v>47</v>
      </c>
      <c r="BK80" s="34">
        <v>25</v>
      </c>
      <c r="BL80" s="34">
        <v>48</v>
      </c>
      <c r="BM80" s="34">
        <v>35</v>
      </c>
      <c r="BN80" s="34">
        <v>33</v>
      </c>
      <c r="BO80" s="34">
        <v>43</v>
      </c>
      <c r="BP80" s="34">
        <v>61</v>
      </c>
      <c r="BQ80" s="34">
        <v>35</v>
      </c>
      <c r="BR80" s="34">
        <v>26</v>
      </c>
      <c r="BS80" s="34">
        <v>20</v>
      </c>
      <c r="BT80" s="34">
        <v>33</v>
      </c>
      <c r="BU80" s="34">
        <v>43</v>
      </c>
      <c r="BV80" s="34">
        <v>29</v>
      </c>
      <c r="BW80" s="34">
        <v>23</v>
      </c>
      <c r="BX80" s="34">
        <v>50</v>
      </c>
      <c r="BY80" s="34">
        <v>31</v>
      </c>
      <c r="BZ80" s="34">
        <v>39</v>
      </c>
      <c r="CA80" s="34">
        <v>35</v>
      </c>
      <c r="CB80" s="34">
        <v>27</v>
      </c>
      <c r="CC80" s="34">
        <v>48</v>
      </c>
      <c r="CD80" s="34">
        <v>40</v>
      </c>
      <c r="CE80" s="34">
        <v>53</v>
      </c>
      <c r="CF80" s="34">
        <v>40</v>
      </c>
      <c r="CG80" s="34">
        <v>47</v>
      </c>
      <c r="CH80" s="34">
        <v>41</v>
      </c>
      <c r="CI80" s="34">
        <v>31</v>
      </c>
      <c r="CJ80" s="34">
        <v>33</v>
      </c>
      <c r="CK80" s="34">
        <v>57</v>
      </c>
      <c r="CL80" s="34">
        <v>25</v>
      </c>
      <c r="CM80" s="34">
        <v>68</v>
      </c>
      <c r="CN80" s="34">
        <v>50</v>
      </c>
      <c r="CO80" s="34">
        <v>48</v>
      </c>
      <c r="CP80" s="34">
        <v>35</v>
      </c>
      <c r="CQ80" s="34">
        <v>35</v>
      </c>
      <c r="CR80" s="34">
        <v>37</v>
      </c>
      <c r="CS80" s="34">
        <v>61</v>
      </c>
      <c r="CT80" s="34">
        <v>28</v>
      </c>
      <c r="CU80" s="34">
        <v>33</v>
      </c>
      <c r="CV80" s="34">
        <v>18</v>
      </c>
      <c r="CW80" s="34">
        <v>65</v>
      </c>
      <c r="CX80" s="34">
        <v>36</v>
      </c>
      <c r="CY80" s="34">
        <v>13</v>
      </c>
      <c r="CZ80" s="34">
        <v>59</v>
      </c>
      <c r="DA80" s="34">
        <v>23</v>
      </c>
      <c r="DB80" s="34">
        <v>39</v>
      </c>
      <c r="DC80" s="34">
        <v>44</v>
      </c>
      <c r="DD80" s="34">
        <v>37</v>
      </c>
      <c r="DE80" s="34">
        <v>37</v>
      </c>
      <c r="DF80" s="34">
        <v>56</v>
      </c>
      <c r="DG80" s="34">
        <v>38</v>
      </c>
      <c r="DH80" s="34">
        <v>56</v>
      </c>
      <c r="DI80" s="34">
        <v>25</v>
      </c>
      <c r="DJ80" s="34">
        <v>35</v>
      </c>
      <c r="DK80" s="34">
        <v>15</v>
      </c>
      <c r="DL80" s="34">
        <v>4</v>
      </c>
      <c r="DM80" s="34">
        <v>3</v>
      </c>
      <c r="DN80" s="34">
        <v>1</v>
      </c>
      <c r="DO80" s="34">
        <v>1</v>
      </c>
      <c r="DP80" s="34">
        <v>0</v>
      </c>
      <c r="DQ80" s="34">
        <v>0</v>
      </c>
      <c r="DR80" s="34">
        <v>2</v>
      </c>
      <c r="DS80" s="42">
        <v>0</v>
      </c>
      <c r="DT80" s="42">
        <v>1</v>
      </c>
      <c r="DU80" s="42">
        <v>2</v>
      </c>
      <c r="DV80" s="42">
        <v>0</v>
      </c>
      <c r="DW80" s="42">
        <v>1</v>
      </c>
      <c r="DX80" s="42">
        <v>0</v>
      </c>
      <c r="DY80" s="42">
        <v>0</v>
      </c>
      <c r="DZ80" s="42">
        <v>1</v>
      </c>
      <c r="EA80" s="42">
        <v>2</v>
      </c>
      <c r="EB80" s="42">
        <v>0</v>
      </c>
      <c r="EC80" s="42">
        <v>0</v>
      </c>
      <c r="ED80" s="42">
        <v>0</v>
      </c>
      <c r="EE80" s="42">
        <v>1</v>
      </c>
      <c r="EF80" s="42">
        <v>1</v>
      </c>
      <c r="EG80" s="42">
        <v>1</v>
      </c>
      <c r="EH80" s="211">
        <f t="shared" si="31"/>
        <v>846</v>
      </c>
      <c r="EI80" s="161"/>
      <c r="EJ80" s="89">
        <f t="shared" si="32"/>
        <v>9247</v>
      </c>
      <c r="EK80" s="161"/>
      <c r="EL80" s="47">
        <f t="shared" si="27"/>
        <v>24</v>
      </c>
      <c r="EM80" s="203"/>
      <c r="EN80" s="47">
        <f t="shared" si="28"/>
        <v>7714</v>
      </c>
      <c r="EO80" s="12">
        <f t="shared" si="22"/>
        <v>347</v>
      </c>
      <c r="EP80" s="12">
        <f t="shared" si="23"/>
        <v>2753</v>
      </c>
      <c r="EQ80" s="12">
        <f t="shared" si="24"/>
        <v>1104</v>
      </c>
      <c r="ER80" s="12">
        <f t="shared" si="25"/>
        <v>1510</v>
      </c>
      <c r="ES80" s="15">
        <f t="shared" si="26"/>
        <v>1064</v>
      </c>
      <c r="ET80" s="49">
        <f t="shared" si="29"/>
        <v>861</v>
      </c>
      <c r="EU80" s="49">
        <f t="shared" si="30"/>
        <v>992</v>
      </c>
      <c r="EV80" s="49">
        <f t="shared" si="21"/>
        <v>607</v>
      </c>
      <c r="EW80" s="49">
        <f t="shared" si="33"/>
        <v>7</v>
      </c>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row>
    <row r="81" spans="1:304" s="78" customFormat="1" x14ac:dyDescent="0.25">
      <c r="A81" s="311"/>
      <c r="B81" s="225" t="s">
        <v>12</v>
      </c>
      <c r="C81" s="33">
        <v>18</v>
      </c>
      <c r="D81" s="33">
        <v>13</v>
      </c>
      <c r="E81" s="33">
        <v>10</v>
      </c>
      <c r="F81" s="33">
        <v>11</v>
      </c>
      <c r="G81" s="33">
        <v>6</v>
      </c>
      <c r="H81" s="33">
        <v>4</v>
      </c>
      <c r="I81" s="33">
        <v>7</v>
      </c>
      <c r="J81" s="33">
        <v>7</v>
      </c>
      <c r="K81" s="33">
        <v>8</v>
      </c>
      <c r="L81" s="33">
        <v>13</v>
      </c>
      <c r="M81" s="33">
        <v>13</v>
      </c>
      <c r="N81" s="33">
        <v>7</v>
      </c>
      <c r="O81" s="33">
        <v>7</v>
      </c>
      <c r="P81" s="33">
        <v>9</v>
      </c>
      <c r="Q81" s="33">
        <v>19</v>
      </c>
      <c r="R81" s="33">
        <v>7</v>
      </c>
      <c r="S81" s="33">
        <v>0</v>
      </c>
      <c r="T81" s="33">
        <v>0</v>
      </c>
      <c r="U81" s="33">
        <v>2</v>
      </c>
      <c r="V81" s="33">
        <v>3</v>
      </c>
      <c r="W81" s="33">
        <v>14</v>
      </c>
      <c r="X81" s="33">
        <v>0</v>
      </c>
      <c r="Y81" s="33">
        <v>4</v>
      </c>
      <c r="Z81" s="33">
        <v>0</v>
      </c>
      <c r="AA81" s="33">
        <v>5</v>
      </c>
      <c r="AB81" s="33">
        <v>1</v>
      </c>
      <c r="AC81" s="33">
        <v>1</v>
      </c>
      <c r="AD81" s="33">
        <v>4</v>
      </c>
      <c r="AE81" s="33">
        <v>3</v>
      </c>
      <c r="AF81" s="33">
        <v>9</v>
      </c>
      <c r="AG81" s="33">
        <v>5</v>
      </c>
      <c r="AH81" s="33">
        <v>2</v>
      </c>
      <c r="AI81" s="33">
        <v>6</v>
      </c>
      <c r="AJ81" s="34">
        <v>10</v>
      </c>
      <c r="AK81" s="34">
        <v>2</v>
      </c>
      <c r="AL81" s="34">
        <v>3</v>
      </c>
      <c r="AM81" s="34">
        <v>1</v>
      </c>
      <c r="AN81" s="60">
        <v>1</v>
      </c>
      <c r="AO81" s="60">
        <v>1</v>
      </c>
      <c r="AP81" s="60">
        <v>0</v>
      </c>
      <c r="AQ81" s="60">
        <v>0</v>
      </c>
      <c r="AR81" s="60">
        <v>0</v>
      </c>
      <c r="AS81" s="60">
        <v>1</v>
      </c>
      <c r="AT81" s="34">
        <v>1</v>
      </c>
      <c r="AU81" s="34">
        <v>0</v>
      </c>
      <c r="AV81" s="34">
        <v>1</v>
      </c>
      <c r="AW81" s="33">
        <v>1</v>
      </c>
      <c r="AX81" s="34">
        <v>0</v>
      </c>
      <c r="AY81" s="34">
        <v>2</v>
      </c>
      <c r="AZ81" s="34">
        <v>0</v>
      </c>
      <c r="BA81" s="34">
        <v>0</v>
      </c>
      <c r="BB81" s="34">
        <v>0</v>
      </c>
      <c r="BC81" s="34">
        <v>0</v>
      </c>
      <c r="BD81" s="34">
        <v>0</v>
      </c>
      <c r="BE81" s="34">
        <v>0</v>
      </c>
      <c r="BF81" s="34">
        <v>0</v>
      </c>
      <c r="BG81" s="34">
        <v>3</v>
      </c>
      <c r="BH81" s="34">
        <v>0</v>
      </c>
      <c r="BI81" s="34">
        <v>0</v>
      </c>
      <c r="BJ81" s="34">
        <v>1</v>
      </c>
      <c r="BK81" s="34">
        <v>0</v>
      </c>
      <c r="BL81" s="34">
        <v>0</v>
      </c>
      <c r="BM81" s="34">
        <v>0</v>
      </c>
      <c r="BN81" s="34">
        <v>0</v>
      </c>
      <c r="BO81" s="34">
        <v>0</v>
      </c>
      <c r="BP81" s="34">
        <v>2</v>
      </c>
      <c r="BQ81" s="34">
        <v>0</v>
      </c>
      <c r="BR81" s="34">
        <v>1</v>
      </c>
      <c r="BS81" s="34">
        <v>1</v>
      </c>
      <c r="BT81" s="34">
        <v>1</v>
      </c>
      <c r="BU81" s="34">
        <v>0</v>
      </c>
      <c r="BV81" s="34">
        <v>0</v>
      </c>
      <c r="BW81" s="34">
        <v>0</v>
      </c>
      <c r="BX81" s="34">
        <v>0</v>
      </c>
      <c r="BY81" s="34">
        <v>0</v>
      </c>
      <c r="BZ81" s="34">
        <v>0</v>
      </c>
      <c r="CA81" s="34">
        <v>0</v>
      </c>
      <c r="CB81" s="34">
        <v>0</v>
      </c>
      <c r="CC81" s="34">
        <v>1</v>
      </c>
      <c r="CD81" s="34">
        <v>0</v>
      </c>
      <c r="CE81" s="34">
        <v>0</v>
      </c>
      <c r="CF81" s="34">
        <v>0</v>
      </c>
      <c r="CG81" s="34">
        <v>0</v>
      </c>
      <c r="CH81" s="34">
        <v>0</v>
      </c>
      <c r="CI81" s="34">
        <v>0</v>
      </c>
      <c r="CJ81" s="34">
        <v>0</v>
      </c>
      <c r="CK81" s="34">
        <v>0</v>
      </c>
      <c r="CL81" s="34">
        <v>0</v>
      </c>
      <c r="CM81" s="34">
        <v>2</v>
      </c>
      <c r="CN81" s="34">
        <v>0</v>
      </c>
      <c r="CO81" s="34">
        <v>0</v>
      </c>
      <c r="CP81" s="34">
        <v>0</v>
      </c>
      <c r="CQ81" s="34">
        <v>0</v>
      </c>
      <c r="CR81" s="34">
        <v>0</v>
      </c>
      <c r="CS81" s="34">
        <v>0</v>
      </c>
      <c r="CT81" s="34">
        <v>0</v>
      </c>
      <c r="CU81" s="34">
        <v>1</v>
      </c>
      <c r="CV81" s="34">
        <v>0</v>
      </c>
      <c r="CW81" s="34">
        <v>1</v>
      </c>
      <c r="CX81" s="34">
        <v>0</v>
      </c>
      <c r="CY81" s="34">
        <v>0</v>
      </c>
      <c r="CZ81" s="34">
        <v>0</v>
      </c>
      <c r="DA81" s="34">
        <v>0</v>
      </c>
      <c r="DB81" s="34">
        <v>0</v>
      </c>
      <c r="DC81" s="34">
        <v>0</v>
      </c>
      <c r="DD81" s="34">
        <v>0</v>
      </c>
      <c r="DE81" s="34">
        <v>0</v>
      </c>
      <c r="DF81" s="34">
        <v>0</v>
      </c>
      <c r="DG81" s="34">
        <v>0</v>
      </c>
      <c r="DH81" s="34">
        <v>0</v>
      </c>
      <c r="DI81" s="34">
        <v>0</v>
      </c>
      <c r="DJ81" s="34">
        <v>0</v>
      </c>
      <c r="DK81" s="34">
        <v>0</v>
      </c>
      <c r="DL81" s="34">
        <v>0</v>
      </c>
      <c r="DM81" s="34">
        <v>0</v>
      </c>
      <c r="DN81" s="34">
        <v>0</v>
      </c>
      <c r="DO81" s="34">
        <v>0</v>
      </c>
      <c r="DP81" s="34">
        <v>0</v>
      </c>
      <c r="DQ81" s="34">
        <v>0</v>
      </c>
      <c r="DR81" s="34">
        <v>0</v>
      </c>
      <c r="DS81" s="42">
        <v>0</v>
      </c>
      <c r="DT81" s="42">
        <v>0</v>
      </c>
      <c r="DU81" s="42">
        <v>0</v>
      </c>
      <c r="DV81" s="42">
        <v>0</v>
      </c>
      <c r="DW81" s="42">
        <v>0</v>
      </c>
      <c r="DX81" s="42">
        <v>0</v>
      </c>
      <c r="DY81" s="42">
        <v>0</v>
      </c>
      <c r="DZ81" s="42">
        <v>0</v>
      </c>
      <c r="EA81" s="42">
        <v>0</v>
      </c>
      <c r="EB81" s="42">
        <v>0</v>
      </c>
      <c r="EC81" s="42">
        <v>0</v>
      </c>
      <c r="ED81" s="42">
        <v>0</v>
      </c>
      <c r="EE81" s="42">
        <v>0</v>
      </c>
      <c r="EF81" s="42">
        <v>0</v>
      </c>
      <c r="EG81" s="42">
        <v>0</v>
      </c>
      <c r="EH81" s="211">
        <f t="shared" si="31"/>
        <v>2</v>
      </c>
      <c r="EI81" s="162">
        <f>EH81/EH80</f>
        <v>2.3640661938534278E-3</v>
      </c>
      <c r="EJ81" s="89">
        <f t="shared" si="32"/>
        <v>256</v>
      </c>
      <c r="EK81" s="164">
        <f>(EJ81/$EJ80)</f>
        <v>2.7684654482534876E-2</v>
      </c>
      <c r="EL81" s="47">
        <f t="shared" si="27"/>
        <v>0</v>
      </c>
      <c r="EM81" s="200"/>
      <c r="EN81" s="47">
        <f t="shared" si="28"/>
        <v>187</v>
      </c>
      <c r="EO81" s="12">
        <f t="shared" si="22"/>
        <v>18</v>
      </c>
      <c r="EP81" s="12">
        <f t="shared" si="23"/>
        <v>106</v>
      </c>
      <c r="EQ81" s="12">
        <f t="shared" si="24"/>
        <v>63</v>
      </c>
      <c r="ER81" s="12">
        <f t="shared" si="25"/>
        <v>47</v>
      </c>
      <c r="ES81" s="15">
        <f t="shared" si="26"/>
        <v>8</v>
      </c>
      <c r="ET81" s="49">
        <f t="shared" si="29"/>
        <v>9</v>
      </c>
      <c r="EU81" s="49">
        <f t="shared" si="30"/>
        <v>4</v>
      </c>
      <c r="EV81" s="49">
        <f t="shared" si="21"/>
        <v>1</v>
      </c>
      <c r="EW81" s="49">
        <f t="shared" si="33"/>
        <v>0</v>
      </c>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row>
    <row r="82" spans="1:304" s="78" customFormat="1" x14ac:dyDescent="0.25">
      <c r="A82" s="311"/>
      <c r="B82" s="225" t="s">
        <v>13</v>
      </c>
      <c r="C82" s="33">
        <v>7</v>
      </c>
      <c r="D82" s="33">
        <v>2</v>
      </c>
      <c r="E82" s="33">
        <v>1</v>
      </c>
      <c r="F82" s="33">
        <v>6</v>
      </c>
      <c r="G82" s="33">
        <v>1</v>
      </c>
      <c r="H82" s="33">
        <v>4</v>
      </c>
      <c r="I82" s="33">
        <v>9</v>
      </c>
      <c r="J82" s="33">
        <v>2</v>
      </c>
      <c r="K82" s="33">
        <v>4</v>
      </c>
      <c r="L82" s="33">
        <v>13</v>
      </c>
      <c r="M82" s="33">
        <v>11</v>
      </c>
      <c r="N82" s="33">
        <v>4</v>
      </c>
      <c r="O82" s="33">
        <v>4</v>
      </c>
      <c r="P82" s="33">
        <v>6</v>
      </c>
      <c r="Q82" s="33">
        <v>8</v>
      </c>
      <c r="R82" s="33">
        <v>6</v>
      </c>
      <c r="S82" s="33">
        <v>3</v>
      </c>
      <c r="T82" s="33">
        <v>0</v>
      </c>
      <c r="U82" s="33">
        <v>3</v>
      </c>
      <c r="V82" s="33">
        <v>0</v>
      </c>
      <c r="W82" s="33">
        <v>7</v>
      </c>
      <c r="X82" s="33">
        <v>3</v>
      </c>
      <c r="Y82" s="33">
        <v>1</v>
      </c>
      <c r="Z82" s="33">
        <v>0</v>
      </c>
      <c r="AA82" s="33">
        <v>3</v>
      </c>
      <c r="AB82" s="33">
        <v>1</v>
      </c>
      <c r="AC82" s="33">
        <v>1</v>
      </c>
      <c r="AD82" s="33">
        <v>4</v>
      </c>
      <c r="AE82" s="33">
        <v>1</v>
      </c>
      <c r="AF82" s="33">
        <v>6</v>
      </c>
      <c r="AG82" s="33">
        <v>4</v>
      </c>
      <c r="AH82" s="33">
        <v>10</v>
      </c>
      <c r="AI82" s="33">
        <v>12</v>
      </c>
      <c r="AJ82" s="34">
        <v>2</v>
      </c>
      <c r="AK82" s="34">
        <v>1</v>
      </c>
      <c r="AL82" s="34">
        <v>6</v>
      </c>
      <c r="AM82" s="34">
        <v>5</v>
      </c>
      <c r="AN82" s="60">
        <v>3</v>
      </c>
      <c r="AO82" s="60">
        <v>23</v>
      </c>
      <c r="AP82" s="60">
        <v>11</v>
      </c>
      <c r="AQ82" s="60">
        <v>3</v>
      </c>
      <c r="AR82" s="60">
        <v>8</v>
      </c>
      <c r="AS82" s="60">
        <v>2</v>
      </c>
      <c r="AT82" s="34">
        <v>8</v>
      </c>
      <c r="AU82" s="34">
        <v>1</v>
      </c>
      <c r="AV82" s="34">
        <v>5</v>
      </c>
      <c r="AW82" s="33">
        <v>2</v>
      </c>
      <c r="AX82" s="34">
        <v>0</v>
      </c>
      <c r="AY82" s="34">
        <v>2</v>
      </c>
      <c r="AZ82" s="34">
        <v>1</v>
      </c>
      <c r="BA82" s="34">
        <v>1</v>
      </c>
      <c r="BB82" s="34">
        <v>0</v>
      </c>
      <c r="BC82" s="34">
        <v>0</v>
      </c>
      <c r="BD82" s="34">
        <v>0</v>
      </c>
      <c r="BE82" s="34">
        <v>2</v>
      </c>
      <c r="BF82" s="34">
        <v>0</v>
      </c>
      <c r="BG82" s="34">
        <v>0</v>
      </c>
      <c r="BH82" s="34">
        <v>0</v>
      </c>
      <c r="BI82" s="34">
        <v>2</v>
      </c>
      <c r="BJ82" s="34">
        <v>1</v>
      </c>
      <c r="BK82" s="34">
        <v>1</v>
      </c>
      <c r="BL82" s="34">
        <v>2</v>
      </c>
      <c r="BM82" s="34">
        <v>0</v>
      </c>
      <c r="BN82" s="34">
        <v>1</v>
      </c>
      <c r="BO82" s="34">
        <v>0</v>
      </c>
      <c r="BP82" s="34">
        <v>3</v>
      </c>
      <c r="BQ82" s="34">
        <v>0</v>
      </c>
      <c r="BR82" s="34">
        <v>0</v>
      </c>
      <c r="BS82" s="34">
        <v>2</v>
      </c>
      <c r="BT82" s="34">
        <v>1</v>
      </c>
      <c r="BU82" s="34">
        <v>1</v>
      </c>
      <c r="BV82" s="34">
        <v>3</v>
      </c>
      <c r="BW82" s="34">
        <v>1</v>
      </c>
      <c r="BX82" s="34">
        <v>12</v>
      </c>
      <c r="BY82" s="34">
        <v>2</v>
      </c>
      <c r="BZ82" s="34">
        <v>1</v>
      </c>
      <c r="CA82" s="34">
        <v>13</v>
      </c>
      <c r="CB82" s="34">
        <v>0</v>
      </c>
      <c r="CC82" s="34">
        <v>11</v>
      </c>
      <c r="CD82" s="34">
        <v>3</v>
      </c>
      <c r="CE82" s="34">
        <v>2</v>
      </c>
      <c r="CF82" s="34">
        <v>3</v>
      </c>
      <c r="CG82" s="34">
        <v>1</v>
      </c>
      <c r="CH82" s="34">
        <v>4</v>
      </c>
      <c r="CI82" s="34">
        <v>5</v>
      </c>
      <c r="CJ82" s="34">
        <v>1</v>
      </c>
      <c r="CK82" s="34">
        <v>7</v>
      </c>
      <c r="CL82" s="34">
        <v>0</v>
      </c>
      <c r="CM82" s="34">
        <v>5</v>
      </c>
      <c r="CN82" s="34">
        <v>4</v>
      </c>
      <c r="CO82" s="34">
        <v>5</v>
      </c>
      <c r="CP82" s="34">
        <v>3</v>
      </c>
      <c r="CQ82" s="34">
        <v>2</v>
      </c>
      <c r="CR82" s="34">
        <v>4</v>
      </c>
      <c r="CS82" s="34">
        <v>1</v>
      </c>
      <c r="CT82" s="34">
        <v>0</v>
      </c>
      <c r="CU82" s="34">
        <v>1</v>
      </c>
      <c r="CV82" s="34">
        <v>0</v>
      </c>
      <c r="CW82" s="34">
        <v>4</v>
      </c>
      <c r="CX82" s="34">
        <v>2</v>
      </c>
      <c r="CY82" s="34">
        <v>0</v>
      </c>
      <c r="CZ82" s="34">
        <v>3</v>
      </c>
      <c r="DA82" s="34">
        <v>0</v>
      </c>
      <c r="DB82" s="34">
        <v>3</v>
      </c>
      <c r="DC82" s="34">
        <v>4</v>
      </c>
      <c r="DD82" s="34">
        <v>11</v>
      </c>
      <c r="DE82" s="34">
        <v>13</v>
      </c>
      <c r="DF82" s="34">
        <v>18</v>
      </c>
      <c r="DG82" s="34">
        <v>18</v>
      </c>
      <c r="DH82" s="34">
        <v>10</v>
      </c>
      <c r="DI82" s="34">
        <v>0</v>
      </c>
      <c r="DJ82" s="34">
        <v>12</v>
      </c>
      <c r="DK82" s="34">
        <v>3</v>
      </c>
      <c r="DL82" s="34">
        <v>0</v>
      </c>
      <c r="DM82" s="34">
        <v>0</v>
      </c>
      <c r="DN82" s="34">
        <v>0</v>
      </c>
      <c r="DO82" s="34">
        <v>0</v>
      </c>
      <c r="DP82" s="34">
        <v>0</v>
      </c>
      <c r="DQ82" s="34">
        <v>0</v>
      </c>
      <c r="DR82" s="34">
        <v>0</v>
      </c>
      <c r="DS82" s="42">
        <v>0</v>
      </c>
      <c r="DT82" s="42">
        <v>0</v>
      </c>
      <c r="DU82" s="42">
        <v>0</v>
      </c>
      <c r="DV82" s="42">
        <v>0</v>
      </c>
      <c r="DW82" s="42">
        <v>0</v>
      </c>
      <c r="DX82" s="42">
        <v>0</v>
      </c>
      <c r="DY82" s="42">
        <v>0</v>
      </c>
      <c r="DZ82" s="42">
        <v>0</v>
      </c>
      <c r="EA82" s="42">
        <v>0</v>
      </c>
      <c r="EB82" s="42">
        <v>0</v>
      </c>
      <c r="EC82" s="42">
        <v>0</v>
      </c>
      <c r="ED82" s="42">
        <v>0</v>
      </c>
      <c r="EE82" s="42">
        <v>0</v>
      </c>
      <c r="EF82" s="42">
        <v>0</v>
      </c>
      <c r="EG82" s="42">
        <v>0</v>
      </c>
      <c r="EH82" s="211">
        <f t="shared" si="31"/>
        <v>112</v>
      </c>
      <c r="EI82" s="162">
        <f>EH82/EH80</f>
        <v>0.13238770685579196</v>
      </c>
      <c r="EJ82" s="89">
        <f t="shared" si="32"/>
        <v>442</v>
      </c>
      <c r="EK82" s="164">
        <f>(EJ82/$EJ80)</f>
        <v>4.779928625500162E-2</v>
      </c>
      <c r="EL82" s="47">
        <f t="shared" si="27"/>
        <v>3</v>
      </c>
      <c r="EM82" s="200"/>
      <c r="EN82" s="47">
        <f t="shared" si="28"/>
        <v>412</v>
      </c>
      <c r="EO82" s="12">
        <f t="shared" si="22"/>
        <v>7</v>
      </c>
      <c r="EP82" s="12">
        <f t="shared" si="23"/>
        <v>61</v>
      </c>
      <c r="EQ82" s="12">
        <f t="shared" si="24"/>
        <v>40</v>
      </c>
      <c r="ER82" s="12">
        <f t="shared" si="25"/>
        <v>53</v>
      </c>
      <c r="ES82" s="15">
        <f t="shared" si="26"/>
        <v>68</v>
      </c>
      <c r="ET82" s="49">
        <f t="shared" si="29"/>
        <v>22</v>
      </c>
      <c r="EU82" s="49">
        <f t="shared" si="30"/>
        <v>90</v>
      </c>
      <c r="EV82" s="49">
        <f t="shared" si="21"/>
        <v>101</v>
      </c>
      <c r="EW82" s="49">
        <f t="shared" si="33"/>
        <v>0</v>
      </c>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row>
    <row r="83" spans="1:304" s="78" customFormat="1" x14ac:dyDescent="0.25">
      <c r="A83" s="311"/>
      <c r="B83" s="225" t="s">
        <v>14</v>
      </c>
      <c r="C83" s="33">
        <v>28</v>
      </c>
      <c r="D83" s="33">
        <v>11</v>
      </c>
      <c r="E83" s="33">
        <v>17</v>
      </c>
      <c r="F83" s="33">
        <v>21</v>
      </c>
      <c r="G83" s="33">
        <v>20</v>
      </c>
      <c r="H83" s="33">
        <v>8</v>
      </c>
      <c r="I83" s="33">
        <v>15</v>
      </c>
      <c r="J83" s="33">
        <v>7</v>
      </c>
      <c r="K83" s="33">
        <v>10</v>
      </c>
      <c r="L83" s="33">
        <v>5</v>
      </c>
      <c r="M83" s="33">
        <v>18</v>
      </c>
      <c r="N83" s="33">
        <v>13</v>
      </c>
      <c r="O83" s="33">
        <v>8</v>
      </c>
      <c r="P83" s="33">
        <v>4</v>
      </c>
      <c r="Q83" s="33">
        <v>9</v>
      </c>
      <c r="R83" s="33">
        <v>5</v>
      </c>
      <c r="S83" s="33">
        <v>3</v>
      </c>
      <c r="T83" s="33">
        <v>1</v>
      </c>
      <c r="U83" s="33">
        <v>1</v>
      </c>
      <c r="V83" s="33">
        <v>0</v>
      </c>
      <c r="W83" s="33">
        <v>1</v>
      </c>
      <c r="X83" s="33">
        <v>1</v>
      </c>
      <c r="Y83" s="33">
        <v>3</v>
      </c>
      <c r="Z83" s="33">
        <v>2</v>
      </c>
      <c r="AA83" s="33">
        <v>6</v>
      </c>
      <c r="AB83" s="33">
        <v>6</v>
      </c>
      <c r="AC83" s="33">
        <v>2</v>
      </c>
      <c r="AD83" s="33">
        <v>3</v>
      </c>
      <c r="AE83" s="33">
        <v>5</v>
      </c>
      <c r="AF83" s="33">
        <v>6</v>
      </c>
      <c r="AG83" s="33">
        <v>7</v>
      </c>
      <c r="AH83" s="33">
        <v>14</v>
      </c>
      <c r="AI83" s="33">
        <v>9</v>
      </c>
      <c r="AJ83" s="34">
        <v>9</v>
      </c>
      <c r="AK83" s="34">
        <v>7</v>
      </c>
      <c r="AL83" s="34">
        <v>2</v>
      </c>
      <c r="AM83" s="34">
        <v>5</v>
      </c>
      <c r="AN83" s="60">
        <v>7</v>
      </c>
      <c r="AO83" s="60">
        <v>13</v>
      </c>
      <c r="AP83" s="60">
        <v>10</v>
      </c>
      <c r="AQ83" s="60">
        <v>6</v>
      </c>
      <c r="AR83" s="60">
        <v>2</v>
      </c>
      <c r="AS83" s="60">
        <v>9</v>
      </c>
      <c r="AT83" s="34">
        <v>16</v>
      </c>
      <c r="AU83" s="34">
        <v>7</v>
      </c>
      <c r="AV83" s="34">
        <v>6</v>
      </c>
      <c r="AW83" s="33">
        <v>5</v>
      </c>
      <c r="AX83" s="34">
        <v>4</v>
      </c>
      <c r="AY83" s="34">
        <v>1</v>
      </c>
      <c r="AZ83" s="34">
        <v>2</v>
      </c>
      <c r="BA83" s="34">
        <v>0</v>
      </c>
      <c r="BB83" s="34">
        <v>5</v>
      </c>
      <c r="BC83" s="34">
        <v>3</v>
      </c>
      <c r="BD83" s="34">
        <v>3</v>
      </c>
      <c r="BE83" s="34">
        <v>6</v>
      </c>
      <c r="BF83" s="34">
        <v>5</v>
      </c>
      <c r="BG83" s="34">
        <v>0</v>
      </c>
      <c r="BH83" s="34">
        <v>1</v>
      </c>
      <c r="BI83" s="34">
        <v>0</v>
      </c>
      <c r="BJ83" s="34">
        <v>7</v>
      </c>
      <c r="BK83" s="34">
        <v>2</v>
      </c>
      <c r="BL83" s="34">
        <v>5</v>
      </c>
      <c r="BM83" s="34">
        <v>2</v>
      </c>
      <c r="BN83" s="34">
        <v>0</v>
      </c>
      <c r="BO83" s="34">
        <v>3</v>
      </c>
      <c r="BP83" s="34">
        <v>4</v>
      </c>
      <c r="BQ83" s="34">
        <v>1</v>
      </c>
      <c r="BR83" s="34">
        <v>1</v>
      </c>
      <c r="BS83" s="34">
        <v>2</v>
      </c>
      <c r="BT83" s="34">
        <v>0</v>
      </c>
      <c r="BU83" s="34">
        <v>0</v>
      </c>
      <c r="BV83" s="34">
        <v>0</v>
      </c>
      <c r="BW83" s="34">
        <v>0</v>
      </c>
      <c r="BX83" s="34">
        <v>5</v>
      </c>
      <c r="BY83" s="34">
        <v>3</v>
      </c>
      <c r="BZ83" s="34">
        <v>2</v>
      </c>
      <c r="CA83" s="34">
        <v>1</v>
      </c>
      <c r="CB83" s="34">
        <v>1</v>
      </c>
      <c r="CC83" s="34">
        <v>1</v>
      </c>
      <c r="CD83" s="34">
        <v>2</v>
      </c>
      <c r="CE83" s="34">
        <v>0</v>
      </c>
      <c r="CF83" s="34">
        <v>1</v>
      </c>
      <c r="CG83" s="34">
        <v>4</v>
      </c>
      <c r="CH83" s="34">
        <v>0</v>
      </c>
      <c r="CI83" s="34">
        <v>0</v>
      </c>
      <c r="CJ83" s="34">
        <v>2</v>
      </c>
      <c r="CK83" s="34">
        <v>2</v>
      </c>
      <c r="CL83" s="34">
        <v>1</v>
      </c>
      <c r="CM83" s="34">
        <v>4</v>
      </c>
      <c r="CN83" s="34">
        <v>1</v>
      </c>
      <c r="CO83" s="34">
        <v>3</v>
      </c>
      <c r="CP83" s="34">
        <v>2</v>
      </c>
      <c r="CQ83" s="34">
        <v>1</v>
      </c>
      <c r="CR83" s="34">
        <v>3</v>
      </c>
      <c r="CS83" s="34">
        <v>1</v>
      </c>
      <c r="CT83" s="34">
        <v>1</v>
      </c>
      <c r="CU83" s="34">
        <v>6</v>
      </c>
      <c r="CV83" s="34">
        <v>0</v>
      </c>
      <c r="CW83" s="34">
        <v>1</v>
      </c>
      <c r="CX83" s="34">
        <v>0</v>
      </c>
      <c r="CY83" s="34">
        <v>0</v>
      </c>
      <c r="CZ83" s="34">
        <v>1</v>
      </c>
      <c r="DA83" s="34">
        <v>0</v>
      </c>
      <c r="DB83" s="34">
        <v>0</v>
      </c>
      <c r="DC83" s="34">
        <v>1</v>
      </c>
      <c r="DD83" s="34">
        <v>0</v>
      </c>
      <c r="DE83" s="34">
        <v>0</v>
      </c>
      <c r="DF83" s="34">
        <v>0</v>
      </c>
      <c r="DG83" s="34">
        <v>1</v>
      </c>
      <c r="DH83" s="34">
        <v>0</v>
      </c>
      <c r="DI83" s="34">
        <v>0</v>
      </c>
      <c r="DJ83" s="34">
        <v>0</v>
      </c>
      <c r="DK83" s="34">
        <v>0</v>
      </c>
      <c r="DL83" s="34">
        <v>0</v>
      </c>
      <c r="DM83" s="34">
        <v>0</v>
      </c>
      <c r="DN83" s="34">
        <v>0</v>
      </c>
      <c r="DO83" s="34">
        <v>0</v>
      </c>
      <c r="DP83" s="34">
        <v>0</v>
      </c>
      <c r="DQ83" s="34">
        <v>0</v>
      </c>
      <c r="DR83" s="34">
        <v>0</v>
      </c>
      <c r="DS83" s="42">
        <v>0</v>
      </c>
      <c r="DT83" s="42">
        <v>0</v>
      </c>
      <c r="DU83" s="42">
        <v>0</v>
      </c>
      <c r="DV83" s="42">
        <v>0</v>
      </c>
      <c r="DW83" s="42">
        <v>0</v>
      </c>
      <c r="DX83" s="42">
        <v>0</v>
      </c>
      <c r="DY83" s="42">
        <v>0</v>
      </c>
      <c r="DZ83" s="42">
        <v>0</v>
      </c>
      <c r="EA83" s="42">
        <v>0</v>
      </c>
      <c r="EB83" s="42">
        <v>0</v>
      </c>
      <c r="EC83" s="42">
        <v>0</v>
      </c>
      <c r="ED83" s="42">
        <v>0</v>
      </c>
      <c r="EE83" s="42">
        <v>0</v>
      </c>
      <c r="EF83" s="42">
        <v>0</v>
      </c>
      <c r="EG83" s="42">
        <v>0</v>
      </c>
      <c r="EH83" s="211">
        <f t="shared" si="31"/>
        <v>18</v>
      </c>
      <c r="EI83" s="162">
        <f>EH83/EH80</f>
        <v>2.1276595744680851E-2</v>
      </c>
      <c r="EJ83" s="89">
        <f t="shared" si="32"/>
        <v>481</v>
      </c>
      <c r="EK83" s="164">
        <f>(EJ83/$EJ80)</f>
        <v>5.2016870336325294E-2</v>
      </c>
      <c r="EL83" s="47">
        <f t="shared" si="27"/>
        <v>0</v>
      </c>
      <c r="EM83" s="200"/>
      <c r="EN83" s="47">
        <f t="shared" si="28"/>
        <v>361</v>
      </c>
      <c r="EO83" s="12">
        <f t="shared" si="22"/>
        <v>28</v>
      </c>
      <c r="EP83" s="12">
        <f t="shared" si="23"/>
        <v>153</v>
      </c>
      <c r="EQ83" s="12">
        <f t="shared" si="24"/>
        <v>36</v>
      </c>
      <c r="ER83" s="12">
        <f t="shared" si="25"/>
        <v>75</v>
      </c>
      <c r="ES83" s="15">
        <f t="shared" si="26"/>
        <v>86</v>
      </c>
      <c r="ET83" s="49">
        <f t="shared" si="29"/>
        <v>52</v>
      </c>
      <c r="EU83" s="49">
        <f t="shared" si="30"/>
        <v>47</v>
      </c>
      <c r="EV83" s="49">
        <f t="shared" si="21"/>
        <v>4</v>
      </c>
      <c r="EW83" s="49">
        <f t="shared" si="33"/>
        <v>0</v>
      </c>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row>
    <row r="84" spans="1:304" s="78" customFormat="1" x14ac:dyDescent="0.25">
      <c r="A84" s="311"/>
      <c r="B84" s="225" t="s">
        <v>15</v>
      </c>
      <c r="C84" s="33">
        <v>25</v>
      </c>
      <c r="D84" s="33">
        <v>25</v>
      </c>
      <c r="E84" s="33">
        <v>24</v>
      </c>
      <c r="F84" s="33">
        <v>15</v>
      </c>
      <c r="G84" s="33">
        <v>15</v>
      </c>
      <c r="H84" s="33">
        <v>24</v>
      </c>
      <c r="I84" s="33">
        <v>31</v>
      </c>
      <c r="J84" s="33">
        <v>12</v>
      </c>
      <c r="K84" s="33">
        <v>24</v>
      </c>
      <c r="L84" s="33">
        <v>43</v>
      </c>
      <c r="M84" s="33">
        <v>59</v>
      </c>
      <c r="N84" s="33">
        <v>13</v>
      </c>
      <c r="O84" s="33">
        <v>7</v>
      </c>
      <c r="P84" s="33">
        <v>14</v>
      </c>
      <c r="Q84" s="33">
        <v>9</v>
      </c>
      <c r="R84" s="33">
        <v>7</v>
      </c>
      <c r="S84" s="33">
        <v>3</v>
      </c>
      <c r="T84" s="33">
        <v>0</v>
      </c>
      <c r="U84" s="33">
        <v>5</v>
      </c>
      <c r="V84" s="33">
        <v>1</v>
      </c>
      <c r="W84" s="33">
        <v>10</v>
      </c>
      <c r="X84" s="33">
        <v>4</v>
      </c>
      <c r="Y84" s="33">
        <v>15</v>
      </c>
      <c r="Z84" s="33">
        <v>3</v>
      </c>
      <c r="AA84" s="33">
        <v>2</v>
      </c>
      <c r="AB84" s="33">
        <v>10</v>
      </c>
      <c r="AC84" s="33">
        <v>7</v>
      </c>
      <c r="AD84" s="33">
        <v>9</v>
      </c>
      <c r="AE84" s="33">
        <v>18</v>
      </c>
      <c r="AF84" s="33">
        <v>12</v>
      </c>
      <c r="AG84" s="33">
        <v>13</v>
      </c>
      <c r="AH84" s="33">
        <v>20</v>
      </c>
      <c r="AI84" s="33">
        <v>8</v>
      </c>
      <c r="AJ84" s="34">
        <v>7</v>
      </c>
      <c r="AK84" s="34">
        <v>3</v>
      </c>
      <c r="AL84" s="34">
        <v>3</v>
      </c>
      <c r="AM84" s="34">
        <v>2</v>
      </c>
      <c r="AN84" s="60">
        <v>9</v>
      </c>
      <c r="AO84" s="60">
        <v>13</v>
      </c>
      <c r="AP84" s="60">
        <v>6</v>
      </c>
      <c r="AQ84" s="60">
        <v>6</v>
      </c>
      <c r="AR84" s="60">
        <v>16</v>
      </c>
      <c r="AS84" s="60">
        <v>12</v>
      </c>
      <c r="AT84" s="34">
        <v>9</v>
      </c>
      <c r="AU84" s="34">
        <v>13</v>
      </c>
      <c r="AV84" s="34">
        <v>4</v>
      </c>
      <c r="AW84" s="33">
        <v>8</v>
      </c>
      <c r="AX84" s="34">
        <v>4</v>
      </c>
      <c r="AY84" s="34">
        <v>4</v>
      </c>
      <c r="AZ84" s="34">
        <v>1</v>
      </c>
      <c r="BA84" s="34">
        <v>7</v>
      </c>
      <c r="BB84" s="34">
        <v>1</v>
      </c>
      <c r="BC84" s="34">
        <v>3</v>
      </c>
      <c r="BD84" s="34">
        <v>0</v>
      </c>
      <c r="BE84" s="34">
        <v>0</v>
      </c>
      <c r="BF84" s="34">
        <v>8</v>
      </c>
      <c r="BG84" s="34">
        <v>3</v>
      </c>
      <c r="BH84" s="34">
        <v>1</v>
      </c>
      <c r="BI84" s="34">
        <v>1</v>
      </c>
      <c r="BJ84" s="34">
        <v>0</v>
      </c>
      <c r="BK84" s="34">
        <v>2</v>
      </c>
      <c r="BL84" s="34">
        <v>5</v>
      </c>
      <c r="BM84" s="34">
        <v>0</v>
      </c>
      <c r="BN84" s="34">
        <v>1</v>
      </c>
      <c r="BO84" s="34">
        <v>2</v>
      </c>
      <c r="BP84" s="34">
        <v>1</v>
      </c>
      <c r="BQ84" s="34">
        <v>5</v>
      </c>
      <c r="BR84" s="34">
        <v>4</v>
      </c>
      <c r="BS84" s="34">
        <v>2</v>
      </c>
      <c r="BT84" s="34">
        <v>0</v>
      </c>
      <c r="BU84" s="34">
        <v>0</v>
      </c>
      <c r="BV84" s="34">
        <v>2</v>
      </c>
      <c r="BW84" s="34">
        <v>2</v>
      </c>
      <c r="BX84" s="34">
        <v>3</v>
      </c>
      <c r="BY84" s="34">
        <v>4</v>
      </c>
      <c r="BZ84" s="34">
        <v>1</v>
      </c>
      <c r="CA84" s="34">
        <v>1</v>
      </c>
      <c r="CB84" s="34">
        <v>0</v>
      </c>
      <c r="CC84" s="34">
        <v>2</v>
      </c>
      <c r="CD84" s="34">
        <v>0</v>
      </c>
      <c r="CE84" s="34">
        <v>0</v>
      </c>
      <c r="CF84" s="34">
        <v>1</v>
      </c>
      <c r="CG84" s="34">
        <v>1</v>
      </c>
      <c r="CH84" s="34">
        <v>0</v>
      </c>
      <c r="CI84" s="34">
        <v>0</v>
      </c>
      <c r="CJ84" s="34">
        <v>1</v>
      </c>
      <c r="CK84" s="34">
        <v>0</v>
      </c>
      <c r="CL84" s="34">
        <v>0</v>
      </c>
      <c r="CM84" s="34">
        <v>2</v>
      </c>
      <c r="CN84" s="34">
        <v>0</v>
      </c>
      <c r="CO84" s="34">
        <v>4</v>
      </c>
      <c r="CP84" s="34">
        <v>1</v>
      </c>
      <c r="CQ84" s="34">
        <v>1</v>
      </c>
      <c r="CR84" s="34">
        <v>0</v>
      </c>
      <c r="CS84" s="34">
        <v>0</v>
      </c>
      <c r="CT84" s="34">
        <v>1</v>
      </c>
      <c r="CU84" s="34">
        <v>0</v>
      </c>
      <c r="CV84" s="34">
        <v>0</v>
      </c>
      <c r="CW84" s="34">
        <v>0</v>
      </c>
      <c r="CX84" s="34">
        <v>0</v>
      </c>
      <c r="CY84" s="34">
        <v>0</v>
      </c>
      <c r="CZ84" s="34">
        <v>5</v>
      </c>
      <c r="DA84" s="34">
        <v>1</v>
      </c>
      <c r="DB84" s="34">
        <v>0</v>
      </c>
      <c r="DC84" s="34">
        <v>5</v>
      </c>
      <c r="DD84" s="34">
        <v>1</v>
      </c>
      <c r="DE84" s="34">
        <v>1</v>
      </c>
      <c r="DF84" s="34">
        <v>5</v>
      </c>
      <c r="DG84" s="34">
        <v>2</v>
      </c>
      <c r="DH84" s="34">
        <v>1</v>
      </c>
      <c r="DI84" s="34">
        <v>0</v>
      </c>
      <c r="DJ84" s="34">
        <v>3</v>
      </c>
      <c r="DK84" s="34">
        <v>0</v>
      </c>
      <c r="DL84" s="34">
        <v>0</v>
      </c>
      <c r="DM84" s="34">
        <v>0</v>
      </c>
      <c r="DN84" s="34">
        <v>0</v>
      </c>
      <c r="DO84" s="34">
        <v>0</v>
      </c>
      <c r="DP84" s="34">
        <v>0</v>
      </c>
      <c r="DQ84" s="34">
        <v>0</v>
      </c>
      <c r="DR84" s="34">
        <v>0</v>
      </c>
      <c r="DS84" s="42">
        <v>0</v>
      </c>
      <c r="DT84" s="42">
        <v>0</v>
      </c>
      <c r="DU84" s="42">
        <v>0</v>
      </c>
      <c r="DV84" s="42">
        <v>0</v>
      </c>
      <c r="DW84" s="42">
        <v>0</v>
      </c>
      <c r="DX84" s="42">
        <v>0</v>
      </c>
      <c r="DY84" s="42">
        <v>0</v>
      </c>
      <c r="DZ84" s="42">
        <v>0</v>
      </c>
      <c r="EA84" s="42">
        <v>0</v>
      </c>
      <c r="EB84" s="42">
        <v>0</v>
      </c>
      <c r="EC84" s="42">
        <v>0</v>
      </c>
      <c r="ED84" s="42">
        <v>0</v>
      </c>
      <c r="EE84" s="42">
        <v>0</v>
      </c>
      <c r="EF84" s="42">
        <v>0</v>
      </c>
      <c r="EG84" s="42">
        <v>0</v>
      </c>
      <c r="EH84" s="211">
        <f t="shared" si="31"/>
        <v>27</v>
      </c>
      <c r="EI84" s="162">
        <f>EH84/EH80</f>
        <v>3.1914893617021274E-2</v>
      </c>
      <c r="EJ84" s="89">
        <f t="shared" si="32"/>
        <v>704</v>
      </c>
      <c r="EK84" s="164">
        <f>(EJ84/$EJ80)</f>
        <v>7.6132799826970909E-2</v>
      </c>
      <c r="EL84" s="47">
        <f t="shared" si="27"/>
        <v>0</v>
      </c>
      <c r="EM84" s="200"/>
      <c r="EN84" s="47">
        <f t="shared" si="28"/>
        <v>545</v>
      </c>
      <c r="EO84" s="12">
        <f t="shared" si="22"/>
        <v>25</v>
      </c>
      <c r="EP84" s="12">
        <f t="shared" si="23"/>
        <v>292</v>
      </c>
      <c r="EQ84" s="12">
        <f t="shared" si="24"/>
        <v>73</v>
      </c>
      <c r="ER84" s="12">
        <f t="shared" si="25"/>
        <v>112</v>
      </c>
      <c r="ES84" s="15">
        <f t="shared" si="26"/>
        <v>104</v>
      </c>
      <c r="ET84" s="49">
        <f t="shared" si="29"/>
        <v>51</v>
      </c>
      <c r="EU84" s="49">
        <f t="shared" si="30"/>
        <v>23</v>
      </c>
      <c r="EV84" s="49">
        <f t="shared" si="21"/>
        <v>24</v>
      </c>
      <c r="EW84" s="49">
        <f t="shared" si="33"/>
        <v>0</v>
      </c>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c r="GL84"/>
      <c r="GM84"/>
      <c r="GN84"/>
      <c r="GO84"/>
      <c r="GP84"/>
      <c r="GQ84"/>
      <c r="GR84"/>
      <c r="GS84"/>
      <c r="GT84"/>
      <c r="GU84"/>
      <c r="GV84"/>
      <c r="GW84"/>
      <c r="GX84"/>
      <c r="GY84"/>
      <c r="GZ84"/>
      <c r="HA84"/>
      <c r="HB84"/>
      <c r="HC84"/>
      <c r="HD84"/>
      <c r="HE84"/>
      <c r="HF84"/>
      <c r="HG84"/>
      <c r="HH84"/>
      <c r="HI84"/>
      <c r="HJ84"/>
      <c r="HK84"/>
      <c r="HL84"/>
      <c r="HM84"/>
      <c r="HN84"/>
      <c r="HO84"/>
      <c r="HP84"/>
      <c r="HQ84"/>
      <c r="HR84"/>
      <c r="HS84"/>
      <c r="HT84"/>
      <c r="HU84"/>
      <c r="HV84"/>
      <c r="HW84"/>
      <c r="HX84"/>
      <c r="HY84"/>
      <c r="HZ84"/>
      <c r="IA84"/>
      <c r="IB84"/>
      <c r="IC84"/>
      <c r="ID84"/>
      <c r="IE84"/>
      <c r="IF84"/>
      <c r="IG84"/>
      <c r="IH84"/>
      <c r="II84"/>
      <c r="IJ84"/>
      <c r="IK84"/>
      <c r="IL84"/>
      <c r="IM84"/>
      <c r="IN84"/>
      <c r="IO84"/>
      <c r="IP84"/>
      <c r="IQ84"/>
      <c r="IR84"/>
      <c r="IS84"/>
      <c r="IT84"/>
      <c r="IU84"/>
      <c r="IV84"/>
      <c r="IW84"/>
      <c r="IX84"/>
      <c r="IY84"/>
      <c r="IZ84"/>
      <c r="JA84"/>
      <c r="JB84"/>
      <c r="JC84"/>
      <c r="JD84"/>
      <c r="JE84"/>
      <c r="JF84"/>
      <c r="JG84"/>
      <c r="JH84"/>
      <c r="JI84"/>
      <c r="JJ84"/>
      <c r="JK84"/>
      <c r="JL84"/>
      <c r="JM84"/>
      <c r="JN84"/>
      <c r="JO84"/>
      <c r="JP84"/>
      <c r="JQ84"/>
      <c r="JR84"/>
      <c r="JS84"/>
      <c r="JT84"/>
      <c r="JU84"/>
      <c r="JV84"/>
      <c r="JW84"/>
      <c r="JX84"/>
      <c r="JY84"/>
      <c r="JZ84"/>
      <c r="KA84"/>
      <c r="KB84"/>
      <c r="KC84"/>
      <c r="KD84"/>
      <c r="KE84"/>
      <c r="KF84"/>
      <c r="KG84"/>
      <c r="KH84"/>
      <c r="KI84"/>
      <c r="KJ84"/>
      <c r="KK84"/>
      <c r="KL84"/>
      <c r="KM84"/>
      <c r="KN84"/>
      <c r="KO84"/>
      <c r="KP84"/>
      <c r="KQ84"/>
      <c r="KR84"/>
    </row>
    <row r="85" spans="1:304" s="78" customFormat="1" x14ac:dyDescent="0.25">
      <c r="A85" s="311"/>
      <c r="B85" s="225" t="s">
        <v>16</v>
      </c>
      <c r="C85" s="33">
        <v>23</v>
      </c>
      <c r="D85" s="33">
        <v>57</v>
      </c>
      <c r="E85" s="33">
        <v>41</v>
      </c>
      <c r="F85" s="33">
        <v>30</v>
      </c>
      <c r="G85" s="33">
        <v>11</v>
      </c>
      <c r="H85" s="33">
        <v>25</v>
      </c>
      <c r="I85" s="33">
        <v>19</v>
      </c>
      <c r="J85" s="33">
        <v>18</v>
      </c>
      <c r="K85" s="33">
        <v>6</v>
      </c>
      <c r="L85" s="33">
        <v>50</v>
      </c>
      <c r="M85" s="33">
        <v>306</v>
      </c>
      <c r="N85" s="33">
        <v>24</v>
      </c>
      <c r="O85" s="33">
        <v>40</v>
      </c>
      <c r="P85" s="33">
        <v>17</v>
      </c>
      <c r="Q85" s="33">
        <v>1</v>
      </c>
      <c r="R85" s="33">
        <v>28</v>
      </c>
      <c r="S85" s="33">
        <v>13</v>
      </c>
      <c r="T85" s="33">
        <v>4</v>
      </c>
      <c r="U85" s="33">
        <v>23</v>
      </c>
      <c r="V85" s="33">
        <v>49</v>
      </c>
      <c r="W85" s="33">
        <v>8</v>
      </c>
      <c r="X85" s="33">
        <v>16</v>
      </c>
      <c r="Y85" s="33">
        <v>11</v>
      </c>
      <c r="Z85" s="33">
        <v>11</v>
      </c>
      <c r="AA85" s="33">
        <v>57</v>
      </c>
      <c r="AB85" s="33">
        <v>44</v>
      </c>
      <c r="AC85" s="33">
        <v>25</v>
      </c>
      <c r="AD85" s="33">
        <v>84</v>
      </c>
      <c r="AE85" s="33">
        <v>17</v>
      </c>
      <c r="AF85" s="33">
        <v>18</v>
      </c>
      <c r="AG85" s="33">
        <v>37</v>
      </c>
      <c r="AH85" s="33">
        <v>14</v>
      </c>
      <c r="AI85" s="33">
        <v>90</v>
      </c>
      <c r="AJ85" s="34">
        <v>74</v>
      </c>
      <c r="AK85" s="34">
        <v>74</v>
      </c>
      <c r="AL85" s="34">
        <v>25</v>
      </c>
      <c r="AM85" s="34">
        <v>23</v>
      </c>
      <c r="AN85" s="60">
        <v>13</v>
      </c>
      <c r="AO85" s="60">
        <v>32</v>
      </c>
      <c r="AP85" s="60">
        <v>41</v>
      </c>
      <c r="AQ85" s="60">
        <v>11</v>
      </c>
      <c r="AR85" s="60">
        <v>14</v>
      </c>
      <c r="AS85" s="60">
        <v>12</v>
      </c>
      <c r="AT85" s="34">
        <v>20</v>
      </c>
      <c r="AU85" s="34">
        <v>11</v>
      </c>
      <c r="AV85" s="34">
        <v>16</v>
      </c>
      <c r="AW85" s="33">
        <v>9</v>
      </c>
      <c r="AX85" s="34">
        <v>14</v>
      </c>
      <c r="AY85" s="34">
        <v>14</v>
      </c>
      <c r="AZ85" s="34">
        <v>8</v>
      </c>
      <c r="BA85" s="34">
        <v>6</v>
      </c>
      <c r="BB85" s="34">
        <v>9</v>
      </c>
      <c r="BC85" s="34">
        <v>8</v>
      </c>
      <c r="BD85" s="34">
        <v>7</v>
      </c>
      <c r="BE85" s="34">
        <v>8</v>
      </c>
      <c r="BF85" s="34">
        <v>9</v>
      </c>
      <c r="BG85" s="34">
        <v>11</v>
      </c>
      <c r="BH85" s="34">
        <v>11</v>
      </c>
      <c r="BI85" s="34">
        <v>6</v>
      </c>
      <c r="BJ85" s="34">
        <v>11</v>
      </c>
      <c r="BK85" s="34">
        <v>8</v>
      </c>
      <c r="BL85" s="34">
        <v>10</v>
      </c>
      <c r="BM85" s="34">
        <v>12</v>
      </c>
      <c r="BN85" s="34">
        <v>4</v>
      </c>
      <c r="BO85" s="34">
        <v>15</v>
      </c>
      <c r="BP85" s="34">
        <v>10</v>
      </c>
      <c r="BQ85" s="34">
        <v>11</v>
      </c>
      <c r="BR85" s="34">
        <v>5</v>
      </c>
      <c r="BS85" s="34">
        <v>3</v>
      </c>
      <c r="BT85" s="34">
        <v>8</v>
      </c>
      <c r="BU85" s="34">
        <v>12</v>
      </c>
      <c r="BV85" s="34">
        <v>10</v>
      </c>
      <c r="BW85" s="34">
        <v>3</v>
      </c>
      <c r="BX85" s="34">
        <v>4</v>
      </c>
      <c r="BY85" s="34">
        <v>7</v>
      </c>
      <c r="BZ85" s="34">
        <v>9</v>
      </c>
      <c r="CA85" s="34">
        <v>4</v>
      </c>
      <c r="CB85" s="34">
        <v>5</v>
      </c>
      <c r="CC85" s="34">
        <v>11</v>
      </c>
      <c r="CD85" s="34">
        <v>7</v>
      </c>
      <c r="CE85" s="34">
        <v>5</v>
      </c>
      <c r="CF85" s="34">
        <v>7</v>
      </c>
      <c r="CG85" s="34">
        <v>10</v>
      </c>
      <c r="CH85" s="34">
        <v>8</v>
      </c>
      <c r="CI85" s="34">
        <v>11</v>
      </c>
      <c r="CJ85" s="34">
        <v>6</v>
      </c>
      <c r="CK85" s="34">
        <v>8</v>
      </c>
      <c r="CL85" s="34">
        <v>5</v>
      </c>
      <c r="CM85" s="34">
        <v>8</v>
      </c>
      <c r="CN85" s="34">
        <v>11</v>
      </c>
      <c r="CO85" s="34">
        <v>9</v>
      </c>
      <c r="CP85" s="34">
        <v>11</v>
      </c>
      <c r="CQ85" s="34">
        <v>10</v>
      </c>
      <c r="CR85" s="34">
        <v>4</v>
      </c>
      <c r="CS85" s="34">
        <v>25</v>
      </c>
      <c r="CT85" s="34">
        <v>8</v>
      </c>
      <c r="CU85" s="34">
        <v>2</v>
      </c>
      <c r="CV85" s="34">
        <v>2</v>
      </c>
      <c r="CW85" s="34">
        <v>11</v>
      </c>
      <c r="CX85" s="34">
        <v>9</v>
      </c>
      <c r="CY85" s="34">
        <v>3</v>
      </c>
      <c r="CZ85" s="34">
        <v>12</v>
      </c>
      <c r="DA85" s="34">
        <v>4</v>
      </c>
      <c r="DB85" s="34">
        <v>9</v>
      </c>
      <c r="DC85" s="34">
        <v>5</v>
      </c>
      <c r="DD85" s="34">
        <v>2</v>
      </c>
      <c r="DE85" s="34">
        <v>11</v>
      </c>
      <c r="DF85" s="34">
        <v>5</v>
      </c>
      <c r="DG85" s="34">
        <v>3</v>
      </c>
      <c r="DH85" s="34">
        <v>16</v>
      </c>
      <c r="DI85" s="34">
        <v>10</v>
      </c>
      <c r="DJ85" s="34">
        <v>0</v>
      </c>
      <c r="DK85" s="34">
        <v>2</v>
      </c>
      <c r="DL85" s="34">
        <v>0</v>
      </c>
      <c r="DM85" s="34">
        <v>0</v>
      </c>
      <c r="DN85" s="34">
        <v>0</v>
      </c>
      <c r="DO85" s="34">
        <v>0</v>
      </c>
      <c r="DP85" s="34">
        <v>0</v>
      </c>
      <c r="DQ85" s="34">
        <v>0</v>
      </c>
      <c r="DR85" s="34">
        <v>0</v>
      </c>
      <c r="DS85" s="42">
        <v>0</v>
      </c>
      <c r="DT85" s="42">
        <v>0</v>
      </c>
      <c r="DU85" s="42">
        <v>0</v>
      </c>
      <c r="DV85" s="42">
        <v>0</v>
      </c>
      <c r="DW85" s="42">
        <v>0</v>
      </c>
      <c r="DX85" s="42">
        <v>0</v>
      </c>
      <c r="DY85" s="42">
        <v>0</v>
      </c>
      <c r="DZ85" s="42">
        <v>0</v>
      </c>
      <c r="EA85" s="42">
        <v>0</v>
      </c>
      <c r="EB85" s="42">
        <v>0</v>
      </c>
      <c r="EC85" s="42">
        <v>0</v>
      </c>
      <c r="ED85" s="42">
        <v>0</v>
      </c>
      <c r="EE85" s="42">
        <v>0</v>
      </c>
      <c r="EF85" s="42">
        <v>0</v>
      </c>
      <c r="EG85" s="42">
        <v>0</v>
      </c>
      <c r="EH85" s="211">
        <f t="shared" si="31"/>
        <v>164</v>
      </c>
      <c r="EI85" s="162">
        <f>EH85/EH80</f>
        <v>0.19385342789598109</v>
      </c>
      <c r="EJ85" s="89">
        <f t="shared" si="32"/>
        <v>2124</v>
      </c>
      <c r="EK85" s="164">
        <f>(EJ85/$EJ80)</f>
        <v>0.22969611765978154</v>
      </c>
      <c r="EL85" s="47">
        <f t="shared" si="27"/>
        <v>2</v>
      </c>
      <c r="EM85" s="200"/>
      <c r="EN85" s="47">
        <f t="shared" si="28"/>
        <v>1918</v>
      </c>
      <c r="EO85" s="12">
        <f t="shared" si="22"/>
        <v>23</v>
      </c>
      <c r="EP85" s="12">
        <f t="shared" si="23"/>
        <v>627</v>
      </c>
      <c r="EQ85" s="12">
        <f t="shared" si="24"/>
        <v>238</v>
      </c>
      <c r="ER85" s="12">
        <f t="shared" si="25"/>
        <v>525</v>
      </c>
      <c r="ES85" s="15">
        <f t="shared" si="26"/>
        <v>207</v>
      </c>
      <c r="ET85" s="49">
        <f t="shared" si="29"/>
        <v>205</v>
      </c>
      <c r="EU85" s="49">
        <f t="shared" si="30"/>
        <v>195</v>
      </c>
      <c r="EV85" s="49">
        <f t="shared" si="21"/>
        <v>104</v>
      </c>
      <c r="EW85" s="49">
        <f t="shared" si="33"/>
        <v>0</v>
      </c>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row>
    <row r="86" spans="1:304" s="78" customFormat="1" x14ac:dyDescent="0.25">
      <c r="A86" s="311"/>
      <c r="B86" s="225" t="s">
        <v>230</v>
      </c>
      <c r="C86" s="33">
        <v>79</v>
      </c>
      <c r="D86" s="33">
        <v>33</v>
      </c>
      <c r="E86" s="33">
        <v>38</v>
      </c>
      <c r="F86" s="33">
        <v>40</v>
      </c>
      <c r="G86" s="33">
        <v>34</v>
      </c>
      <c r="H86" s="33">
        <v>31</v>
      </c>
      <c r="I86" s="33">
        <v>27</v>
      </c>
      <c r="J86" s="33">
        <v>18</v>
      </c>
      <c r="K86" s="33">
        <v>52</v>
      </c>
      <c r="L86" s="33">
        <v>84</v>
      </c>
      <c r="M86" s="33">
        <v>32</v>
      </c>
      <c r="N86" s="33">
        <v>53</v>
      </c>
      <c r="O86" s="33">
        <v>30</v>
      </c>
      <c r="P86" s="33">
        <v>32</v>
      </c>
      <c r="Q86" s="33">
        <v>12</v>
      </c>
      <c r="R86" s="33">
        <v>7</v>
      </c>
      <c r="S86" s="33">
        <v>3</v>
      </c>
      <c r="T86" s="33">
        <v>0</v>
      </c>
      <c r="U86" s="33">
        <v>11</v>
      </c>
      <c r="V86" s="33">
        <v>0</v>
      </c>
      <c r="W86" s="33">
        <v>19</v>
      </c>
      <c r="X86" s="33">
        <v>3</v>
      </c>
      <c r="Y86" s="33">
        <v>7</v>
      </c>
      <c r="Z86" s="33">
        <v>2</v>
      </c>
      <c r="AA86" s="136">
        <v>8</v>
      </c>
      <c r="AB86" s="136">
        <v>6</v>
      </c>
      <c r="AC86" s="136">
        <v>1</v>
      </c>
      <c r="AD86" s="136">
        <v>10</v>
      </c>
      <c r="AE86" s="136">
        <v>3</v>
      </c>
      <c r="AF86" s="136">
        <v>4</v>
      </c>
      <c r="AG86" s="136">
        <v>5</v>
      </c>
      <c r="AH86" s="136">
        <v>14</v>
      </c>
      <c r="AI86" s="136">
        <v>7</v>
      </c>
      <c r="AJ86" s="137">
        <v>8</v>
      </c>
      <c r="AK86" s="137">
        <v>3</v>
      </c>
      <c r="AL86" s="137">
        <v>1</v>
      </c>
      <c r="AM86" s="137">
        <v>2</v>
      </c>
      <c r="AN86" s="165">
        <v>11</v>
      </c>
      <c r="AO86" s="165">
        <v>7</v>
      </c>
      <c r="AP86" s="165">
        <v>5</v>
      </c>
      <c r="AQ86" s="165">
        <v>3</v>
      </c>
      <c r="AR86" s="165">
        <v>2</v>
      </c>
      <c r="AS86" s="165">
        <v>2</v>
      </c>
      <c r="AT86" s="137">
        <v>2</v>
      </c>
      <c r="AU86" s="137">
        <v>0</v>
      </c>
      <c r="AV86" s="137">
        <v>4</v>
      </c>
      <c r="AW86" s="136">
        <v>2</v>
      </c>
      <c r="AX86" s="137">
        <v>1</v>
      </c>
      <c r="AY86" s="137">
        <v>0</v>
      </c>
      <c r="AZ86" s="137">
        <v>2</v>
      </c>
      <c r="BA86" s="137">
        <v>2</v>
      </c>
      <c r="BB86" s="137">
        <v>2</v>
      </c>
      <c r="BC86" s="137">
        <v>2</v>
      </c>
      <c r="BD86" s="137">
        <v>1</v>
      </c>
      <c r="BE86" s="137">
        <v>0</v>
      </c>
      <c r="BF86" s="137">
        <v>0</v>
      </c>
      <c r="BG86" s="137">
        <v>1</v>
      </c>
      <c r="BH86" s="137">
        <v>1</v>
      </c>
      <c r="BI86" s="137">
        <v>2</v>
      </c>
      <c r="BJ86" s="137">
        <v>0</v>
      </c>
      <c r="BK86" s="137">
        <v>0</v>
      </c>
      <c r="BL86" s="137">
        <v>1</v>
      </c>
      <c r="BM86" s="137">
        <v>1</v>
      </c>
      <c r="BN86" s="137">
        <v>4</v>
      </c>
      <c r="BO86" s="137">
        <v>2</v>
      </c>
      <c r="BP86" s="137">
        <v>3</v>
      </c>
      <c r="BQ86" s="137">
        <v>5</v>
      </c>
      <c r="BR86" s="137">
        <v>2</v>
      </c>
      <c r="BS86" s="137">
        <v>1</v>
      </c>
      <c r="BT86" s="137">
        <v>0</v>
      </c>
      <c r="BU86" s="137">
        <v>4</v>
      </c>
      <c r="BV86" s="137">
        <v>0</v>
      </c>
      <c r="BW86" s="137">
        <v>0</v>
      </c>
      <c r="BX86" s="137">
        <v>1</v>
      </c>
      <c r="BY86" s="137">
        <v>0</v>
      </c>
      <c r="BZ86" s="137">
        <v>0</v>
      </c>
      <c r="CA86" s="137">
        <v>1</v>
      </c>
      <c r="CB86" s="137">
        <v>0</v>
      </c>
      <c r="CC86" s="137">
        <v>0</v>
      </c>
      <c r="CD86" s="137">
        <v>2</v>
      </c>
      <c r="CE86" s="137">
        <v>3</v>
      </c>
      <c r="CF86" s="137">
        <v>0</v>
      </c>
      <c r="CG86" s="137">
        <v>0</v>
      </c>
      <c r="CH86" s="137">
        <v>5</v>
      </c>
      <c r="CI86" s="137">
        <v>1</v>
      </c>
      <c r="CJ86" s="137">
        <v>4</v>
      </c>
      <c r="CK86" s="137">
        <v>2</v>
      </c>
      <c r="CL86" s="137">
        <v>0</v>
      </c>
      <c r="CM86" s="137">
        <v>0</v>
      </c>
      <c r="CN86" s="137">
        <v>1</v>
      </c>
      <c r="CO86" s="137">
        <v>3</v>
      </c>
      <c r="CP86" s="137">
        <v>0</v>
      </c>
      <c r="CQ86" s="137">
        <v>0</v>
      </c>
      <c r="CR86" s="137">
        <v>0</v>
      </c>
      <c r="CS86" s="137">
        <v>0</v>
      </c>
      <c r="CT86" s="137">
        <v>3</v>
      </c>
      <c r="CU86" s="137">
        <v>0</v>
      </c>
      <c r="CV86" s="137">
        <v>0</v>
      </c>
      <c r="CW86" s="137">
        <v>0</v>
      </c>
      <c r="CX86" s="137">
        <v>1</v>
      </c>
      <c r="CY86" s="137">
        <v>0</v>
      </c>
      <c r="CZ86" s="34">
        <v>0</v>
      </c>
      <c r="DA86" s="34">
        <v>0</v>
      </c>
      <c r="DB86" s="34">
        <v>1</v>
      </c>
      <c r="DC86" s="34">
        <v>0</v>
      </c>
      <c r="DD86" s="34">
        <v>0</v>
      </c>
      <c r="DE86" s="34">
        <v>1</v>
      </c>
      <c r="DF86" s="34">
        <v>0</v>
      </c>
      <c r="DG86" s="34">
        <v>2</v>
      </c>
      <c r="DH86" s="34">
        <v>2</v>
      </c>
      <c r="DI86" s="34">
        <v>0</v>
      </c>
      <c r="DJ86" s="34">
        <v>0</v>
      </c>
      <c r="DK86" s="34">
        <v>0</v>
      </c>
      <c r="DL86" s="34">
        <v>0</v>
      </c>
      <c r="DM86" s="34">
        <v>0</v>
      </c>
      <c r="DN86" s="34">
        <v>0</v>
      </c>
      <c r="DO86" s="34">
        <v>0</v>
      </c>
      <c r="DP86" s="34">
        <v>0</v>
      </c>
      <c r="DQ86" s="34">
        <v>0</v>
      </c>
      <c r="DR86" s="34">
        <v>0</v>
      </c>
      <c r="DS86" s="42">
        <v>0</v>
      </c>
      <c r="DT86" s="42">
        <v>0</v>
      </c>
      <c r="DU86" s="42">
        <v>0</v>
      </c>
      <c r="DV86" s="42">
        <v>0</v>
      </c>
      <c r="DW86" s="42">
        <v>0</v>
      </c>
      <c r="DX86" s="42">
        <v>0</v>
      </c>
      <c r="DY86" s="42">
        <v>0</v>
      </c>
      <c r="DZ86" s="42">
        <v>0</v>
      </c>
      <c r="EA86" s="42">
        <v>0</v>
      </c>
      <c r="EB86" s="42">
        <v>0</v>
      </c>
      <c r="EC86" s="42">
        <v>0</v>
      </c>
      <c r="ED86" s="42">
        <v>0</v>
      </c>
      <c r="EE86" s="42">
        <v>0</v>
      </c>
      <c r="EF86" s="42">
        <v>0</v>
      </c>
      <c r="EG86" s="42">
        <v>0</v>
      </c>
      <c r="EH86" s="211">
        <f t="shared" si="31"/>
        <v>10</v>
      </c>
      <c r="EI86" s="162">
        <f>EH86/EH80</f>
        <v>1.1820330969267139E-2</v>
      </c>
      <c r="EJ86" s="89">
        <f t="shared" si="32"/>
        <v>827</v>
      </c>
      <c r="EK86" s="164">
        <f>(EJ86/$EJ80)</f>
        <v>8.9434411160376343E-2</v>
      </c>
      <c r="EL86" s="47">
        <f t="shared" si="27"/>
        <v>0</v>
      </c>
      <c r="EM86" s="200"/>
      <c r="EN86" s="47">
        <f t="shared" si="28"/>
        <v>545</v>
      </c>
      <c r="EO86" s="12">
        <f t="shared" si="22"/>
        <v>79</v>
      </c>
      <c r="EP86" s="12">
        <f t="shared" si="23"/>
        <v>472</v>
      </c>
      <c r="EQ86" s="12">
        <f t="shared" si="24"/>
        <v>104</v>
      </c>
      <c r="ER86" s="12">
        <f t="shared" si="25"/>
        <v>64</v>
      </c>
      <c r="ES86" s="15">
        <f t="shared" si="26"/>
        <v>39</v>
      </c>
      <c r="ET86" s="49">
        <f t="shared" si="29"/>
        <v>36</v>
      </c>
      <c r="EU86" s="49">
        <f t="shared" si="30"/>
        <v>26</v>
      </c>
      <c r="EV86" s="49">
        <f t="shared" ref="EV86:EV108" si="34">SUM(CV86:DS86)</f>
        <v>7</v>
      </c>
      <c r="EW86" s="49">
        <f t="shared" si="33"/>
        <v>0</v>
      </c>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row>
    <row r="87" spans="1:304" s="78" customFormat="1" x14ac:dyDescent="0.25">
      <c r="A87" s="311"/>
      <c r="B87" s="225" t="s">
        <v>18</v>
      </c>
      <c r="C87" s="33">
        <v>37</v>
      </c>
      <c r="D87" s="33">
        <v>20</v>
      </c>
      <c r="E87" s="33">
        <v>20</v>
      </c>
      <c r="F87" s="33">
        <v>13</v>
      </c>
      <c r="G87" s="33">
        <v>5</v>
      </c>
      <c r="H87" s="33">
        <v>12</v>
      </c>
      <c r="I87" s="33">
        <v>20</v>
      </c>
      <c r="J87" s="33">
        <v>19</v>
      </c>
      <c r="K87" s="33">
        <v>14</v>
      </c>
      <c r="L87" s="33">
        <v>12</v>
      </c>
      <c r="M87" s="33">
        <v>66</v>
      </c>
      <c r="N87" s="33">
        <v>25</v>
      </c>
      <c r="O87" s="33">
        <v>20</v>
      </c>
      <c r="P87" s="33">
        <v>22</v>
      </c>
      <c r="Q87" s="33">
        <v>14</v>
      </c>
      <c r="R87" s="33">
        <v>12</v>
      </c>
      <c r="S87" s="33">
        <v>0</v>
      </c>
      <c r="T87" s="33">
        <v>6</v>
      </c>
      <c r="U87" s="33">
        <v>14</v>
      </c>
      <c r="V87" s="33">
        <v>39</v>
      </c>
      <c r="W87" s="33">
        <v>8</v>
      </c>
      <c r="X87" s="33">
        <v>10</v>
      </c>
      <c r="Y87" s="33">
        <v>11</v>
      </c>
      <c r="Z87" s="33">
        <v>6</v>
      </c>
      <c r="AA87" s="136">
        <v>20</v>
      </c>
      <c r="AB87" s="136">
        <v>6</v>
      </c>
      <c r="AC87" s="136">
        <v>30</v>
      </c>
      <c r="AD87" s="136">
        <v>10</v>
      </c>
      <c r="AE87" s="136">
        <v>7</v>
      </c>
      <c r="AF87" s="136">
        <v>18</v>
      </c>
      <c r="AG87" s="136">
        <v>11</v>
      </c>
      <c r="AH87" s="136">
        <v>5</v>
      </c>
      <c r="AI87" s="136">
        <v>31</v>
      </c>
      <c r="AJ87" s="137">
        <v>1</v>
      </c>
      <c r="AK87" s="137">
        <v>16</v>
      </c>
      <c r="AL87" s="137">
        <v>9</v>
      </c>
      <c r="AM87" s="137">
        <v>4</v>
      </c>
      <c r="AN87" s="165">
        <v>1</v>
      </c>
      <c r="AO87" s="165">
        <v>20</v>
      </c>
      <c r="AP87" s="165">
        <v>3</v>
      </c>
      <c r="AQ87" s="165">
        <v>4</v>
      </c>
      <c r="AR87" s="165">
        <v>3</v>
      </c>
      <c r="AS87" s="165">
        <v>4</v>
      </c>
      <c r="AT87" s="137">
        <v>1</v>
      </c>
      <c r="AU87" s="137">
        <v>8</v>
      </c>
      <c r="AV87" s="137">
        <v>2</v>
      </c>
      <c r="AW87" s="136">
        <v>2</v>
      </c>
      <c r="AX87" s="137">
        <v>2</v>
      </c>
      <c r="AY87" s="137">
        <v>6</v>
      </c>
      <c r="AZ87" s="137">
        <v>1</v>
      </c>
      <c r="BA87" s="137">
        <v>4</v>
      </c>
      <c r="BB87" s="137">
        <v>2</v>
      </c>
      <c r="BC87" s="137">
        <v>3</v>
      </c>
      <c r="BD87" s="137">
        <v>2</v>
      </c>
      <c r="BE87" s="137">
        <v>1</v>
      </c>
      <c r="BF87" s="137">
        <v>0</v>
      </c>
      <c r="BG87" s="137">
        <v>1</v>
      </c>
      <c r="BH87" s="137">
        <v>1</v>
      </c>
      <c r="BI87" s="137">
        <v>5</v>
      </c>
      <c r="BJ87" s="137">
        <v>1</v>
      </c>
      <c r="BK87" s="137">
        <v>1</v>
      </c>
      <c r="BL87" s="137">
        <v>1</v>
      </c>
      <c r="BM87" s="137">
        <v>0</v>
      </c>
      <c r="BN87" s="137">
        <v>0</v>
      </c>
      <c r="BO87" s="137">
        <v>0</v>
      </c>
      <c r="BP87" s="137">
        <v>1</v>
      </c>
      <c r="BQ87" s="137">
        <v>1</v>
      </c>
      <c r="BR87" s="137">
        <v>0</v>
      </c>
      <c r="BS87" s="137">
        <v>1</v>
      </c>
      <c r="BT87" s="137">
        <v>0</v>
      </c>
      <c r="BU87" s="137">
        <v>0</v>
      </c>
      <c r="BV87" s="137">
        <v>0</v>
      </c>
      <c r="BW87" s="137">
        <v>0</v>
      </c>
      <c r="BX87" s="137">
        <v>0</v>
      </c>
      <c r="BY87" s="137">
        <v>0</v>
      </c>
      <c r="BZ87" s="137">
        <v>0</v>
      </c>
      <c r="CA87" s="137">
        <v>0</v>
      </c>
      <c r="CB87" s="137">
        <v>0</v>
      </c>
      <c r="CC87" s="137">
        <v>0</v>
      </c>
      <c r="CD87" s="137">
        <v>0</v>
      </c>
      <c r="CE87" s="137">
        <v>2</v>
      </c>
      <c r="CF87" s="137">
        <v>0</v>
      </c>
      <c r="CG87" s="137">
        <v>3</v>
      </c>
      <c r="CH87" s="137">
        <v>0</v>
      </c>
      <c r="CI87" s="137">
        <v>0</v>
      </c>
      <c r="CJ87" s="137">
        <v>0</v>
      </c>
      <c r="CK87" s="137">
        <v>0</v>
      </c>
      <c r="CL87" s="137">
        <v>0</v>
      </c>
      <c r="CM87" s="137">
        <v>0</v>
      </c>
      <c r="CN87" s="137">
        <v>0</v>
      </c>
      <c r="CO87" s="137">
        <v>0</v>
      </c>
      <c r="CP87" s="137">
        <v>0</v>
      </c>
      <c r="CQ87" s="137">
        <v>0</v>
      </c>
      <c r="CR87" s="137">
        <v>0</v>
      </c>
      <c r="CS87" s="137">
        <v>0</v>
      </c>
      <c r="CT87" s="137">
        <v>1</v>
      </c>
      <c r="CU87" s="137">
        <v>0</v>
      </c>
      <c r="CV87" s="137">
        <v>2</v>
      </c>
      <c r="CW87" s="137">
        <v>1</v>
      </c>
      <c r="CX87" s="137">
        <v>0</v>
      </c>
      <c r="CY87" s="137">
        <v>0</v>
      </c>
      <c r="CZ87" s="34">
        <v>1</v>
      </c>
      <c r="DA87" s="34">
        <v>1</v>
      </c>
      <c r="DB87" s="34">
        <v>0</v>
      </c>
      <c r="DC87" s="34">
        <v>0</v>
      </c>
      <c r="DD87" s="34">
        <v>1</v>
      </c>
      <c r="DE87" s="34">
        <v>1</v>
      </c>
      <c r="DF87" s="34">
        <v>0</v>
      </c>
      <c r="DG87" s="34">
        <v>0</v>
      </c>
      <c r="DH87" s="34">
        <v>0</v>
      </c>
      <c r="DI87" s="34">
        <v>0</v>
      </c>
      <c r="DJ87" s="34">
        <v>0</v>
      </c>
      <c r="DK87" s="34">
        <v>0</v>
      </c>
      <c r="DL87" s="34">
        <v>0</v>
      </c>
      <c r="DM87" s="34">
        <v>0</v>
      </c>
      <c r="DN87" s="34">
        <v>0</v>
      </c>
      <c r="DO87" s="34">
        <v>0</v>
      </c>
      <c r="DP87" s="34">
        <v>0</v>
      </c>
      <c r="DQ87" s="34">
        <v>0</v>
      </c>
      <c r="DR87" s="34">
        <v>0</v>
      </c>
      <c r="DS87" s="42">
        <v>0</v>
      </c>
      <c r="DT87" s="42">
        <v>0</v>
      </c>
      <c r="DU87" s="42">
        <v>0</v>
      </c>
      <c r="DV87" s="42">
        <v>0</v>
      </c>
      <c r="DW87" s="42">
        <v>0</v>
      </c>
      <c r="DX87" s="42">
        <v>0</v>
      </c>
      <c r="DY87" s="42">
        <v>0</v>
      </c>
      <c r="DZ87" s="42">
        <v>0</v>
      </c>
      <c r="EA87" s="42">
        <v>0</v>
      </c>
      <c r="EB87" s="42">
        <v>0</v>
      </c>
      <c r="EC87" s="42">
        <v>0</v>
      </c>
      <c r="ED87" s="42">
        <v>0</v>
      </c>
      <c r="EE87" s="42">
        <v>0</v>
      </c>
      <c r="EF87" s="42">
        <v>0</v>
      </c>
      <c r="EG87" s="42">
        <v>0</v>
      </c>
      <c r="EH87" s="211">
        <f t="shared" si="31"/>
        <v>8</v>
      </c>
      <c r="EI87" s="162">
        <f>EH87/EH80</f>
        <v>9.4562647754137114E-3</v>
      </c>
      <c r="EJ87" s="89">
        <f t="shared" si="32"/>
        <v>688</v>
      </c>
      <c r="EK87" s="164">
        <f>(EJ87/$EJ80)</f>
        <v>7.440250892181248E-2</v>
      </c>
      <c r="EL87" s="47">
        <f t="shared" si="27"/>
        <v>0</v>
      </c>
      <c r="EM87" s="200"/>
      <c r="EN87" s="47">
        <f t="shared" si="28"/>
        <v>561</v>
      </c>
      <c r="EO87" s="12">
        <f t="shared" si="22"/>
        <v>37</v>
      </c>
      <c r="EP87" s="12">
        <f t="shared" si="23"/>
        <v>246</v>
      </c>
      <c r="EQ87" s="12">
        <f t="shared" si="24"/>
        <v>162</v>
      </c>
      <c r="ER87" s="12">
        <f t="shared" si="25"/>
        <v>148</v>
      </c>
      <c r="ES87" s="15">
        <f t="shared" si="26"/>
        <v>56</v>
      </c>
      <c r="ET87" s="49">
        <f t="shared" si="29"/>
        <v>26</v>
      </c>
      <c r="EU87" s="49">
        <f t="shared" si="30"/>
        <v>6</v>
      </c>
      <c r="EV87" s="49">
        <f t="shared" si="34"/>
        <v>7</v>
      </c>
      <c r="EW87" s="49">
        <f t="shared" si="33"/>
        <v>0</v>
      </c>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row>
    <row r="88" spans="1:304" s="78" customFormat="1" ht="30" x14ac:dyDescent="0.25">
      <c r="A88" s="311"/>
      <c r="B88" s="225" t="s">
        <v>112</v>
      </c>
      <c r="C88" s="33">
        <v>0</v>
      </c>
      <c r="D88" s="33">
        <v>0</v>
      </c>
      <c r="E88" s="33">
        <v>0</v>
      </c>
      <c r="F88" s="33">
        <v>1</v>
      </c>
      <c r="G88" s="33">
        <v>0</v>
      </c>
      <c r="H88" s="33">
        <v>0</v>
      </c>
      <c r="I88" s="33">
        <v>1</v>
      </c>
      <c r="J88" s="33">
        <v>0</v>
      </c>
      <c r="K88" s="33">
        <v>2</v>
      </c>
      <c r="L88" s="33">
        <v>6</v>
      </c>
      <c r="M88" s="33">
        <v>7</v>
      </c>
      <c r="N88" s="33">
        <v>3</v>
      </c>
      <c r="O88" s="33">
        <v>1</v>
      </c>
      <c r="P88" s="33">
        <v>0</v>
      </c>
      <c r="Q88" s="33">
        <v>8</v>
      </c>
      <c r="R88" s="33">
        <v>7</v>
      </c>
      <c r="S88" s="33">
        <v>4</v>
      </c>
      <c r="T88" s="33">
        <v>1</v>
      </c>
      <c r="U88" s="33">
        <v>0</v>
      </c>
      <c r="V88" s="33">
        <v>5</v>
      </c>
      <c r="W88" s="33">
        <v>6</v>
      </c>
      <c r="X88" s="33">
        <v>4</v>
      </c>
      <c r="Y88" s="33">
        <v>3</v>
      </c>
      <c r="Z88" s="33">
        <v>1</v>
      </c>
      <c r="AA88" s="136">
        <v>0</v>
      </c>
      <c r="AB88" s="136">
        <v>3</v>
      </c>
      <c r="AC88" s="136">
        <v>4</v>
      </c>
      <c r="AD88" s="136">
        <v>0</v>
      </c>
      <c r="AE88" s="136">
        <v>0</v>
      </c>
      <c r="AF88" s="136">
        <v>2</v>
      </c>
      <c r="AG88" s="136">
        <v>0</v>
      </c>
      <c r="AH88" s="136">
        <v>0</v>
      </c>
      <c r="AI88" s="136">
        <v>0</v>
      </c>
      <c r="AJ88" s="137">
        <v>7</v>
      </c>
      <c r="AK88" s="137">
        <v>0</v>
      </c>
      <c r="AL88" s="137">
        <v>4</v>
      </c>
      <c r="AM88" s="137">
        <v>6</v>
      </c>
      <c r="AN88" s="165">
        <v>18</v>
      </c>
      <c r="AO88" s="165">
        <v>4</v>
      </c>
      <c r="AP88" s="165">
        <v>6</v>
      </c>
      <c r="AQ88" s="165">
        <v>0</v>
      </c>
      <c r="AR88" s="165">
        <v>4</v>
      </c>
      <c r="AS88" s="165">
        <v>2</v>
      </c>
      <c r="AT88" s="137">
        <v>3</v>
      </c>
      <c r="AU88" s="137">
        <v>3</v>
      </c>
      <c r="AV88" s="137">
        <v>4</v>
      </c>
      <c r="AW88" s="136">
        <v>6</v>
      </c>
      <c r="AX88" s="137">
        <v>10</v>
      </c>
      <c r="AY88" s="137">
        <v>0</v>
      </c>
      <c r="AZ88" s="137">
        <v>10</v>
      </c>
      <c r="BA88" s="137">
        <v>8</v>
      </c>
      <c r="BB88" s="137">
        <v>5</v>
      </c>
      <c r="BC88" s="137">
        <v>5</v>
      </c>
      <c r="BD88" s="137">
        <v>7</v>
      </c>
      <c r="BE88" s="137">
        <v>4</v>
      </c>
      <c r="BF88" s="137">
        <v>3</v>
      </c>
      <c r="BG88" s="137">
        <v>1</v>
      </c>
      <c r="BH88" s="137">
        <v>0</v>
      </c>
      <c r="BI88" s="137">
        <v>7</v>
      </c>
      <c r="BJ88" s="137">
        <v>7</v>
      </c>
      <c r="BK88" s="137">
        <v>1</v>
      </c>
      <c r="BL88" s="137">
        <v>3</v>
      </c>
      <c r="BM88" s="137">
        <v>9</v>
      </c>
      <c r="BN88" s="137">
        <v>9</v>
      </c>
      <c r="BO88" s="137">
        <v>2</v>
      </c>
      <c r="BP88" s="137">
        <v>19</v>
      </c>
      <c r="BQ88" s="137">
        <v>1</v>
      </c>
      <c r="BR88" s="137">
        <v>3</v>
      </c>
      <c r="BS88" s="137">
        <v>1</v>
      </c>
      <c r="BT88" s="137">
        <v>9</v>
      </c>
      <c r="BU88" s="137">
        <v>8</v>
      </c>
      <c r="BV88" s="137">
        <v>9</v>
      </c>
      <c r="BW88" s="137">
        <v>4</v>
      </c>
      <c r="BX88" s="137">
        <v>11</v>
      </c>
      <c r="BY88" s="137">
        <v>7</v>
      </c>
      <c r="BZ88" s="137">
        <v>10</v>
      </c>
      <c r="CA88" s="137">
        <v>5</v>
      </c>
      <c r="CB88" s="137">
        <v>9</v>
      </c>
      <c r="CC88" s="137">
        <v>5</v>
      </c>
      <c r="CD88" s="137">
        <v>8</v>
      </c>
      <c r="CE88" s="137">
        <v>14</v>
      </c>
      <c r="CF88" s="137">
        <v>11</v>
      </c>
      <c r="CG88" s="137">
        <v>14</v>
      </c>
      <c r="CH88" s="137">
        <v>9</v>
      </c>
      <c r="CI88" s="137">
        <v>6</v>
      </c>
      <c r="CJ88" s="137">
        <v>11</v>
      </c>
      <c r="CK88" s="137">
        <v>10</v>
      </c>
      <c r="CL88" s="137">
        <v>15</v>
      </c>
      <c r="CM88" s="137">
        <v>4</v>
      </c>
      <c r="CN88" s="137">
        <v>7</v>
      </c>
      <c r="CO88" s="137">
        <v>6</v>
      </c>
      <c r="CP88" s="137">
        <v>6</v>
      </c>
      <c r="CQ88" s="137">
        <v>5</v>
      </c>
      <c r="CR88" s="137">
        <v>9</v>
      </c>
      <c r="CS88" s="137">
        <v>12</v>
      </c>
      <c r="CT88" s="137">
        <v>5</v>
      </c>
      <c r="CU88" s="137">
        <v>4</v>
      </c>
      <c r="CV88" s="137">
        <v>4</v>
      </c>
      <c r="CW88" s="137">
        <v>16</v>
      </c>
      <c r="CX88" s="137">
        <v>8</v>
      </c>
      <c r="CY88" s="137">
        <v>9</v>
      </c>
      <c r="CZ88" s="34">
        <v>3</v>
      </c>
      <c r="DA88" s="34">
        <v>6</v>
      </c>
      <c r="DB88" s="34">
        <v>8</v>
      </c>
      <c r="DC88" s="34">
        <v>16</v>
      </c>
      <c r="DD88" s="34">
        <v>9</v>
      </c>
      <c r="DE88" s="34">
        <v>3</v>
      </c>
      <c r="DF88" s="34">
        <v>6</v>
      </c>
      <c r="DG88" s="34">
        <v>0</v>
      </c>
      <c r="DH88" s="34">
        <v>0</v>
      </c>
      <c r="DI88" s="34">
        <v>10</v>
      </c>
      <c r="DJ88" s="34">
        <v>0</v>
      </c>
      <c r="DK88" s="34">
        <v>0</v>
      </c>
      <c r="DL88" s="34">
        <v>0</v>
      </c>
      <c r="DM88" s="34">
        <v>0</v>
      </c>
      <c r="DN88" s="34">
        <v>0</v>
      </c>
      <c r="DO88" s="34">
        <v>0</v>
      </c>
      <c r="DP88" s="34">
        <v>0</v>
      </c>
      <c r="DQ88" s="34">
        <v>0</v>
      </c>
      <c r="DR88" s="34">
        <v>0</v>
      </c>
      <c r="DS88" s="42">
        <v>0</v>
      </c>
      <c r="DT88" s="42">
        <v>0</v>
      </c>
      <c r="DU88" s="42">
        <v>0</v>
      </c>
      <c r="DV88" s="42">
        <v>0</v>
      </c>
      <c r="DW88" s="42">
        <v>0</v>
      </c>
      <c r="DX88" s="42">
        <v>0</v>
      </c>
      <c r="DY88" s="42">
        <v>0</v>
      </c>
      <c r="DZ88" s="42">
        <v>0</v>
      </c>
      <c r="EA88" s="42">
        <v>0</v>
      </c>
      <c r="EB88" s="42">
        <v>0</v>
      </c>
      <c r="EC88" s="42">
        <v>0</v>
      </c>
      <c r="ED88" s="42">
        <v>0</v>
      </c>
      <c r="EE88" s="42">
        <v>0</v>
      </c>
      <c r="EF88" s="42">
        <v>0</v>
      </c>
      <c r="EG88" s="42">
        <v>0</v>
      </c>
      <c r="EH88" s="211">
        <f t="shared" si="31"/>
        <v>139</v>
      </c>
      <c r="EI88" s="162">
        <f>EH88/EH80</f>
        <v>0.16430260047281323</v>
      </c>
      <c r="EJ88" s="89">
        <f t="shared" si="32"/>
        <v>582</v>
      </c>
      <c r="EK88" s="164">
        <f>(EJ88/$EJ80)</f>
        <v>6.2939331675137877E-2</v>
      </c>
      <c r="EL88" s="47">
        <f t="shared" si="27"/>
        <v>0</v>
      </c>
      <c r="EM88" s="200"/>
      <c r="EN88" s="47">
        <f t="shared" si="28"/>
        <v>580</v>
      </c>
      <c r="EO88" s="12">
        <f t="shared" si="22"/>
        <v>0</v>
      </c>
      <c r="EP88" s="12">
        <f t="shared" si="23"/>
        <v>21</v>
      </c>
      <c r="EQ88" s="12">
        <f t="shared" si="24"/>
        <v>39</v>
      </c>
      <c r="ER88" s="12">
        <f t="shared" si="25"/>
        <v>26</v>
      </c>
      <c r="ES88" s="15">
        <f t="shared" si="26"/>
        <v>60</v>
      </c>
      <c r="ET88" s="49">
        <f t="shared" si="29"/>
        <v>135</v>
      </c>
      <c r="EU88" s="49">
        <f t="shared" si="30"/>
        <v>203</v>
      </c>
      <c r="EV88" s="49">
        <f t="shared" si="34"/>
        <v>98</v>
      </c>
      <c r="EW88" s="49">
        <f t="shared" si="33"/>
        <v>0</v>
      </c>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row>
    <row r="89" spans="1:304" s="78" customFormat="1" x14ac:dyDescent="0.25">
      <c r="A89" s="311"/>
      <c r="B89" s="225" t="s">
        <v>113</v>
      </c>
      <c r="C89" s="33">
        <v>14</v>
      </c>
      <c r="D89" s="33">
        <v>3</v>
      </c>
      <c r="E89" s="33">
        <v>18</v>
      </c>
      <c r="F89" s="33">
        <v>8</v>
      </c>
      <c r="G89" s="33">
        <v>6</v>
      </c>
      <c r="H89" s="33">
        <v>8</v>
      </c>
      <c r="I89" s="33">
        <v>5</v>
      </c>
      <c r="J89" s="33">
        <v>0</v>
      </c>
      <c r="K89" s="33">
        <v>6</v>
      </c>
      <c r="L89" s="33">
        <v>9</v>
      </c>
      <c r="M89" s="33">
        <v>3</v>
      </c>
      <c r="N89" s="33">
        <v>7</v>
      </c>
      <c r="O89" s="33">
        <v>7</v>
      </c>
      <c r="P89" s="33">
        <v>5</v>
      </c>
      <c r="Q89" s="33">
        <v>5</v>
      </c>
      <c r="R89" s="33">
        <v>4</v>
      </c>
      <c r="S89" s="33">
        <v>0</v>
      </c>
      <c r="T89" s="33">
        <v>0</v>
      </c>
      <c r="U89" s="33">
        <v>3</v>
      </c>
      <c r="V89" s="33">
        <v>0</v>
      </c>
      <c r="W89" s="33">
        <v>7</v>
      </c>
      <c r="X89" s="33">
        <v>1</v>
      </c>
      <c r="Y89" s="33">
        <v>1</v>
      </c>
      <c r="Z89" s="33">
        <v>0</v>
      </c>
      <c r="AA89" s="136">
        <v>1</v>
      </c>
      <c r="AB89" s="136">
        <v>1</v>
      </c>
      <c r="AC89" s="136">
        <v>0</v>
      </c>
      <c r="AD89" s="136">
        <v>5</v>
      </c>
      <c r="AE89" s="136">
        <v>5</v>
      </c>
      <c r="AF89" s="136">
        <v>4</v>
      </c>
      <c r="AG89" s="136">
        <v>3</v>
      </c>
      <c r="AH89" s="136">
        <v>10</v>
      </c>
      <c r="AI89" s="136">
        <v>4</v>
      </c>
      <c r="AJ89" s="137">
        <v>8</v>
      </c>
      <c r="AK89" s="137">
        <v>3</v>
      </c>
      <c r="AL89" s="137">
        <v>5</v>
      </c>
      <c r="AM89" s="137">
        <v>5</v>
      </c>
      <c r="AN89" s="165">
        <v>4</v>
      </c>
      <c r="AO89" s="165">
        <v>1</v>
      </c>
      <c r="AP89" s="165">
        <v>2</v>
      </c>
      <c r="AQ89" s="165">
        <v>1</v>
      </c>
      <c r="AR89" s="165">
        <v>1</v>
      </c>
      <c r="AS89" s="165">
        <v>2</v>
      </c>
      <c r="AT89" s="137">
        <v>4</v>
      </c>
      <c r="AU89" s="137">
        <v>0</v>
      </c>
      <c r="AV89" s="137">
        <v>3</v>
      </c>
      <c r="AW89" s="136">
        <v>2</v>
      </c>
      <c r="AX89" s="137">
        <v>2</v>
      </c>
      <c r="AY89" s="137">
        <v>0</v>
      </c>
      <c r="AZ89" s="137">
        <v>0</v>
      </c>
      <c r="BA89" s="137">
        <v>0</v>
      </c>
      <c r="BB89" s="137">
        <v>0</v>
      </c>
      <c r="BC89" s="137">
        <v>0</v>
      </c>
      <c r="BD89" s="137">
        <v>0</v>
      </c>
      <c r="BE89" s="137">
        <v>0</v>
      </c>
      <c r="BF89" s="137">
        <v>2</v>
      </c>
      <c r="BG89" s="137">
        <v>0</v>
      </c>
      <c r="BH89" s="137">
        <v>1</v>
      </c>
      <c r="BI89" s="137">
        <v>0</v>
      </c>
      <c r="BJ89" s="137">
        <v>0</v>
      </c>
      <c r="BK89" s="137">
        <v>0</v>
      </c>
      <c r="BL89" s="137">
        <v>1</v>
      </c>
      <c r="BM89" s="137">
        <v>0</v>
      </c>
      <c r="BN89" s="137">
        <v>0</v>
      </c>
      <c r="BO89" s="137">
        <v>1</v>
      </c>
      <c r="BP89" s="137">
        <v>0</v>
      </c>
      <c r="BQ89" s="137">
        <v>1</v>
      </c>
      <c r="BR89" s="137">
        <v>0</v>
      </c>
      <c r="BS89" s="137">
        <v>0</v>
      </c>
      <c r="BT89" s="137">
        <v>0</v>
      </c>
      <c r="BU89" s="137">
        <v>0</v>
      </c>
      <c r="BV89" s="137">
        <v>0</v>
      </c>
      <c r="BW89" s="137">
        <v>1</v>
      </c>
      <c r="BX89" s="137">
        <v>2</v>
      </c>
      <c r="BY89" s="137">
        <v>2</v>
      </c>
      <c r="BZ89" s="137">
        <v>4</v>
      </c>
      <c r="CA89" s="137">
        <v>3</v>
      </c>
      <c r="CB89" s="137">
        <v>0</v>
      </c>
      <c r="CC89" s="137">
        <v>2</v>
      </c>
      <c r="CD89" s="137">
        <v>1</v>
      </c>
      <c r="CE89" s="137">
        <v>1</v>
      </c>
      <c r="CF89" s="137">
        <v>3</v>
      </c>
      <c r="CG89" s="137">
        <v>0</v>
      </c>
      <c r="CH89" s="137">
        <v>1</v>
      </c>
      <c r="CI89" s="137">
        <v>6</v>
      </c>
      <c r="CJ89" s="137">
        <v>4</v>
      </c>
      <c r="CK89" s="137">
        <v>4</v>
      </c>
      <c r="CL89" s="137">
        <v>1</v>
      </c>
      <c r="CM89" s="137">
        <v>4</v>
      </c>
      <c r="CN89" s="137">
        <v>3</v>
      </c>
      <c r="CO89" s="137">
        <v>0</v>
      </c>
      <c r="CP89" s="137">
        <v>1</v>
      </c>
      <c r="CQ89" s="137">
        <v>4</v>
      </c>
      <c r="CR89" s="137">
        <v>1</v>
      </c>
      <c r="CS89" s="137">
        <v>5</v>
      </c>
      <c r="CT89" s="137">
        <v>2</v>
      </c>
      <c r="CU89" s="137">
        <v>0</v>
      </c>
      <c r="CV89" s="137">
        <v>3</v>
      </c>
      <c r="CW89" s="137">
        <v>1</v>
      </c>
      <c r="CX89" s="137">
        <v>3</v>
      </c>
      <c r="CY89" s="137">
        <v>0</v>
      </c>
      <c r="CZ89" s="34">
        <v>0</v>
      </c>
      <c r="DA89" s="34">
        <v>0</v>
      </c>
      <c r="DB89" s="34">
        <v>0</v>
      </c>
      <c r="DC89" s="34">
        <v>1</v>
      </c>
      <c r="DD89" s="34">
        <v>3</v>
      </c>
      <c r="DE89" s="34">
        <v>0</v>
      </c>
      <c r="DF89" s="34">
        <v>1</v>
      </c>
      <c r="DG89" s="34">
        <v>0</v>
      </c>
      <c r="DH89" s="34">
        <v>1</v>
      </c>
      <c r="DI89" s="34">
        <v>0</v>
      </c>
      <c r="DJ89" s="34">
        <v>0</v>
      </c>
      <c r="DK89" s="34">
        <v>0</v>
      </c>
      <c r="DL89" s="34">
        <v>0</v>
      </c>
      <c r="DM89" s="34">
        <v>0</v>
      </c>
      <c r="DN89" s="34">
        <v>0</v>
      </c>
      <c r="DO89" s="34">
        <v>0</v>
      </c>
      <c r="DP89" s="34">
        <v>0</v>
      </c>
      <c r="DQ89" s="34">
        <v>0</v>
      </c>
      <c r="DR89" s="34">
        <v>0</v>
      </c>
      <c r="DS89" s="42">
        <v>0</v>
      </c>
      <c r="DT89" s="42">
        <v>0</v>
      </c>
      <c r="DU89" s="42">
        <v>0</v>
      </c>
      <c r="DV89" s="42">
        <v>0</v>
      </c>
      <c r="DW89" s="42">
        <v>0</v>
      </c>
      <c r="DX89" s="42">
        <v>0</v>
      </c>
      <c r="DY89" s="42">
        <v>0</v>
      </c>
      <c r="DZ89" s="42">
        <v>0</v>
      </c>
      <c r="EA89" s="42">
        <v>0</v>
      </c>
      <c r="EB89" s="42">
        <v>0</v>
      </c>
      <c r="EC89" s="42">
        <v>0</v>
      </c>
      <c r="ED89" s="42">
        <v>0</v>
      </c>
      <c r="EE89" s="42">
        <v>0</v>
      </c>
      <c r="EF89" s="42">
        <v>0</v>
      </c>
      <c r="EG89" s="42">
        <v>0</v>
      </c>
      <c r="EH89" s="211">
        <f t="shared" si="31"/>
        <v>26</v>
      </c>
      <c r="EI89" s="162">
        <f>EH89/EH80</f>
        <v>3.0732860520094562E-2</v>
      </c>
      <c r="EJ89" s="89">
        <f t="shared" si="32"/>
        <v>270</v>
      </c>
      <c r="EK89" s="164">
        <f>(EJ89/$EJ80)</f>
        <v>2.9198659024548504E-2</v>
      </c>
      <c r="EL89" s="47">
        <f t="shared" si="27"/>
        <v>0</v>
      </c>
      <c r="EM89" s="200"/>
      <c r="EN89" s="47">
        <f t="shared" si="28"/>
        <v>208</v>
      </c>
      <c r="EO89" s="12">
        <f t="shared" si="22"/>
        <v>14</v>
      </c>
      <c r="EP89" s="12">
        <f t="shared" si="23"/>
        <v>80</v>
      </c>
      <c r="EQ89" s="12">
        <f t="shared" si="24"/>
        <v>27</v>
      </c>
      <c r="ER89" s="12">
        <f t="shared" si="25"/>
        <v>53</v>
      </c>
      <c r="ES89" s="15">
        <f t="shared" si="26"/>
        <v>22</v>
      </c>
      <c r="ET89" s="49">
        <f t="shared" si="29"/>
        <v>7</v>
      </c>
      <c r="EU89" s="49">
        <f t="shared" si="30"/>
        <v>54</v>
      </c>
      <c r="EV89" s="49">
        <f t="shared" si="34"/>
        <v>13</v>
      </c>
      <c r="EW89" s="49">
        <f t="shared" si="33"/>
        <v>0</v>
      </c>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row>
    <row r="90" spans="1:304" s="78" customFormat="1" x14ac:dyDescent="0.25">
      <c r="A90" s="311"/>
      <c r="B90" s="225" t="s">
        <v>114</v>
      </c>
      <c r="C90" s="33">
        <v>18</v>
      </c>
      <c r="D90" s="33">
        <v>2</v>
      </c>
      <c r="E90" s="33">
        <v>20</v>
      </c>
      <c r="F90" s="33">
        <v>6</v>
      </c>
      <c r="G90" s="33">
        <v>8</v>
      </c>
      <c r="H90" s="33">
        <v>2</v>
      </c>
      <c r="I90" s="33">
        <v>4</v>
      </c>
      <c r="J90" s="33">
        <v>1</v>
      </c>
      <c r="K90" s="33">
        <v>5</v>
      </c>
      <c r="L90" s="33">
        <v>11</v>
      </c>
      <c r="M90" s="33">
        <v>8</v>
      </c>
      <c r="N90" s="33">
        <v>6</v>
      </c>
      <c r="O90" s="33">
        <v>2</v>
      </c>
      <c r="P90" s="33">
        <v>4</v>
      </c>
      <c r="Q90" s="33">
        <v>4</v>
      </c>
      <c r="R90" s="33">
        <v>0</v>
      </c>
      <c r="S90" s="33">
        <v>2</v>
      </c>
      <c r="T90" s="33">
        <v>0</v>
      </c>
      <c r="U90" s="33">
        <v>1</v>
      </c>
      <c r="V90" s="33">
        <v>1</v>
      </c>
      <c r="W90" s="33">
        <v>3</v>
      </c>
      <c r="X90" s="33">
        <v>0</v>
      </c>
      <c r="Y90" s="33">
        <v>5</v>
      </c>
      <c r="Z90" s="33">
        <v>0</v>
      </c>
      <c r="AA90" s="136">
        <v>0</v>
      </c>
      <c r="AB90" s="136">
        <v>0</v>
      </c>
      <c r="AC90" s="136">
        <v>0</v>
      </c>
      <c r="AD90" s="136">
        <v>0</v>
      </c>
      <c r="AE90" s="136">
        <v>0</v>
      </c>
      <c r="AF90" s="136">
        <v>0</v>
      </c>
      <c r="AG90" s="136">
        <v>1</v>
      </c>
      <c r="AH90" s="136">
        <v>2</v>
      </c>
      <c r="AI90" s="136">
        <v>4</v>
      </c>
      <c r="AJ90" s="137">
        <v>5</v>
      </c>
      <c r="AK90" s="137">
        <v>1</v>
      </c>
      <c r="AL90" s="137">
        <v>1</v>
      </c>
      <c r="AM90" s="137">
        <v>1</v>
      </c>
      <c r="AN90" s="165">
        <v>4</v>
      </c>
      <c r="AO90" s="165">
        <v>2</v>
      </c>
      <c r="AP90" s="165">
        <v>1</v>
      </c>
      <c r="AQ90" s="165">
        <v>1</v>
      </c>
      <c r="AR90" s="165">
        <v>1</v>
      </c>
      <c r="AS90" s="165">
        <v>0</v>
      </c>
      <c r="AT90" s="137">
        <v>1</v>
      </c>
      <c r="AU90" s="137">
        <v>3</v>
      </c>
      <c r="AV90" s="137">
        <v>3</v>
      </c>
      <c r="AW90" s="136">
        <v>4</v>
      </c>
      <c r="AX90" s="137">
        <v>5</v>
      </c>
      <c r="AY90" s="137">
        <v>3</v>
      </c>
      <c r="AZ90" s="137">
        <v>0</v>
      </c>
      <c r="BA90" s="137">
        <v>1</v>
      </c>
      <c r="BB90" s="137">
        <v>0</v>
      </c>
      <c r="BC90" s="137">
        <v>1</v>
      </c>
      <c r="BD90" s="137">
        <v>0</v>
      </c>
      <c r="BE90" s="137">
        <v>0</v>
      </c>
      <c r="BF90" s="137">
        <v>1</v>
      </c>
      <c r="BG90" s="137">
        <v>1</v>
      </c>
      <c r="BH90" s="137">
        <v>1</v>
      </c>
      <c r="BI90" s="137">
        <v>1</v>
      </c>
      <c r="BJ90" s="137">
        <v>0</v>
      </c>
      <c r="BK90" s="137">
        <v>0</v>
      </c>
      <c r="BL90" s="137">
        <v>0</v>
      </c>
      <c r="BM90" s="137">
        <v>0</v>
      </c>
      <c r="BN90" s="137">
        <v>1</v>
      </c>
      <c r="BO90" s="137">
        <v>0</v>
      </c>
      <c r="BP90" s="137">
        <v>0</v>
      </c>
      <c r="BQ90" s="137">
        <v>1</v>
      </c>
      <c r="BR90" s="137">
        <v>1</v>
      </c>
      <c r="BS90" s="137">
        <v>0</v>
      </c>
      <c r="BT90" s="137">
        <v>0</v>
      </c>
      <c r="BU90" s="137">
        <v>0</v>
      </c>
      <c r="BV90" s="137">
        <v>1</v>
      </c>
      <c r="BW90" s="137">
        <v>1</v>
      </c>
      <c r="BX90" s="137">
        <v>0</v>
      </c>
      <c r="BY90" s="137">
        <v>0</v>
      </c>
      <c r="BZ90" s="137">
        <v>0</v>
      </c>
      <c r="CA90" s="137">
        <v>0</v>
      </c>
      <c r="CB90" s="137">
        <v>0</v>
      </c>
      <c r="CC90" s="137">
        <v>1</v>
      </c>
      <c r="CD90" s="137">
        <v>0</v>
      </c>
      <c r="CE90" s="137">
        <v>1</v>
      </c>
      <c r="CF90" s="137">
        <v>0</v>
      </c>
      <c r="CG90" s="137">
        <v>0</v>
      </c>
      <c r="CH90" s="137">
        <v>0</v>
      </c>
      <c r="CI90" s="137">
        <v>0</v>
      </c>
      <c r="CJ90" s="137">
        <v>1</v>
      </c>
      <c r="CK90" s="137">
        <v>1</v>
      </c>
      <c r="CL90" s="137">
        <v>0</v>
      </c>
      <c r="CM90" s="137">
        <v>2</v>
      </c>
      <c r="CN90" s="137">
        <v>0</v>
      </c>
      <c r="CO90" s="137">
        <v>1</v>
      </c>
      <c r="CP90" s="137">
        <v>1</v>
      </c>
      <c r="CQ90" s="137">
        <v>1</v>
      </c>
      <c r="CR90" s="137">
        <v>0</v>
      </c>
      <c r="CS90" s="137">
        <v>0</v>
      </c>
      <c r="CT90" s="137">
        <v>0</v>
      </c>
      <c r="CU90" s="137">
        <v>1</v>
      </c>
      <c r="CV90" s="137">
        <v>0</v>
      </c>
      <c r="CW90" s="137">
        <v>0</v>
      </c>
      <c r="CX90" s="137">
        <v>1</v>
      </c>
      <c r="CY90" s="137">
        <v>0</v>
      </c>
      <c r="CZ90" s="34">
        <v>0</v>
      </c>
      <c r="DA90" s="34">
        <v>1</v>
      </c>
      <c r="DB90" s="34">
        <v>0</v>
      </c>
      <c r="DC90" s="34">
        <v>0</v>
      </c>
      <c r="DD90" s="34">
        <v>1</v>
      </c>
      <c r="DE90" s="34">
        <v>0</v>
      </c>
      <c r="DF90" s="34">
        <v>1</v>
      </c>
      <c r="DG90" s="34">
        <v>0</v>
      </c>
      <c r="DH90" s="34">
        <v>0</v>
      </c>
      <c r="DI90" s="34">
        <v>0</v>
      </c>
      <c r="DJ90" s="34">
        <v>0</v>
      </c>
      <c r="DK90" s="34">
        <v>0</v>
      </c>
      <c r="DL90" s="34">
        <v>0</v>
      </c>
      <c r="DM90" s="34">
        <v>0</v>
      </c>
      <c r="DN90" s="34">
        <v>0</v>
      </c>
      <c r="DO90" s="34">
        <v>0</v>
      </c>
      <c r="DP90" s="34">
        <v>0</v>
      </c>
      <c r="DQ90" s="34">
        <v>0</v>
      </c>
      <c r="DR90" s="34">
        <v>0</v>
      </c>
      <c r="DS90" s="42">
        <v>0</v>
      </c>
      <c r="DT90" s="42">
        <v>0</v>
      </c>
      <c r="DU90" s="42">
        <v>0</v>
      </c>
      <c r="DV90" s="42">
        <v>0</v>
      </c>
      <c r="DW90" s="42">
        <v>0</v>
      </c>
      <c r="DX90" s="42">
        <v>0</v>
      </c>
      <c r="DY90" s="42">
        <v>0</v>
      </c>
      <c r="DZ90" s="42">
        <v>0</v>
      </c>
      <c r="EA90" s="42">
        <v>0</v>
      </c>
      <c r="EB90" s="42">
        <v>0</v>
      </c>
      <c r="EC90" s="42">
        <v>0</v>
      </c>
      <c r="ED90" s="42">
        <v>0</v>
      </c>
      <c r="EE90" s="42">
        <v>0</v>
      </c>
      <c r="EF90" s="42">
        <v>0</v>
      </c>
      <c r="EG90" s="42">
        <v>0</v>
      </c>
      <c r="EH90" s="211">
        <f t="shared" si="31"/>
        <v>7</v>
      </c>
      <c r="EI90" s="162">
        <f>EH90/EH80</f>
        <v>8.2742316784869974E-3</v>
      </c>
      <c r="EJ90" s="89">
        <f t="shared" si="32"/>
        <v>181</v>
      </c>
      <c r="EK90" s="164">
        <f>(EJ90/$EJ80)</f>
        <v>1.9573915864604736E-2</v>
      </c>
      <c r="EL90" s="47">
        <f t="shared" si="27"/>
        <v>0</v>
      </c>
      <c r="EM90" s="200"/>
      <c r="EN90" s="47">
        <f t="shared" si="28"/>
        <v>121</v>
      </c>
      <c r="EO90" s="12">
        <f t="shared" si="22"/>
        <v>18</v>
      </c>
      <c r="EP90" s="12">
        <f t="shared" si="23"/>
        <v>75</v>
      </c>
      <c r="EQ90" s="12">
        <f t="shared" si="24"/>
        <v>20</v>
      </c>
      <c r="ER90" s="12">
        <f t="shared" si="25"/>
        <v>15</v>
      </c>
      <c r="ES90" s="15">
        <f t="shared" si="26"/>
        <v>28</v>
      </c>
      <c r="ET90" s="49">
        <f t="shared" si="29"/>
        <v>11</v>
      </c>
      <c r="EU90" s="49">
        <f t="shared" si="30"/>
        <v>10</v>
      </c>
      <c r="EV90" s="49">
        <f t="shared" si="34"/>
        <v>4</v>
      </c>
      <c r="EW90" s="49">
        <f t="shared" si="33"/>
        <v>0</v>
      </c>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c r="GL90"/>
      <c r="GM90"/>
      <c r="GN90"/>
      <c r="GO90"/>
      <c r="GP90"/>
      <c r="GQ90"/>
      <c r="GR90"/>
      <c r="GS90"/>
      <c r="GT90"/>
      <c r="GU90"/>
      <c r="GV90"/>
      <c r="GW90"/>
      <c r="GX90"/>
      <c r="GY90"/>
      <c r="GZ90"/>
      <c r="HA90"/>
      <c r="HB90"/>
      <c r="HC90"/>
      <c r="HD90"/>
      <c r="HE90"/>
      <c r="HF90"/>
      <c r="HG90"/>
      <c r="HH90"/>
      <c r="HI90"/>
      <c r="HJ90"/>
      <c r="HK90"/>
      <c r="HL90"/>
      <c r="HM90"/>
      <c r="HN90"/>
      <c r="HO90"/>
      <c r="HP90"/>
      <c r="HQ90"/>
      <c r="HR90"/>
      <c r="HS90"/>
      <c r="HT90"/>
      <c r="HU90"/>
      <c r="HV90"/>
      <c r="HW90"/>
      <c r="HX90"/>
      <c r="HY90"/>
      <c r="HZ90"/>
      <c r="IA90"/>
      <c r="IB90"/>
      <c r="IC90"/>
      <c r="ID90"/>
      <c r="IE90"/>
      <c r="IF90"/>
      <c r="IG90"/>
      <c r="IH90"/>
      <c r="II90"/>
      <c r="IJ90"/>
      <c r="IK90"/>
      <c r="IL90"/>
      <c r="IM90"/>
      <c r="IN90"/>
      <c r="IO90"/>
      <c r="IP90"/>
      <c r="IQ90"/>
      <c r="IR90"/>
      <c r="IS90"/>
      <c r="IT90"/>
      <c r="IU90"/>
      <c r="IV90"/>
      <c r="IW90"/>
      <c r="IX90"/>
      <c r="IY90"/>
      <c r="IZ90"/>
      <c r="JA90"/>
      <c r="JB90"/>
      <c r="JC90"/>
      <c r="JD90"/>
      <c r="JE90"/>
      <c r="JF90"/>
      <c r="JG90"/>
      <c r="JH90"/>
      <c r="JI90"/>
      <c r="JJ90"/>
      <c r="JK90"/>
      <c r="JL90"/>
      <c r="JM90"/>
      <c r="JN90"/>
      <c r="JO90"/>
      <c r="JP90"/>
      <c r="JQ90"/>
      <c r="JR90"/>
      <c r="JS90"/>
      <c r="JT90"/>
      <c r="JU90"/>
      <c r="JV90"/>
      <c r="JW90"/>
      <c r="JX90"/>
      <c r="JY90"/>
      <c r="JZ90"/>
      <c r="KA90"/>
      <c r="KB90"/>
      <c r="KC90"/>
      <c r="KD90"/>
      <c r="KE90"/>
      <c r="KF90"/>
      <c r="KG90"/>
      <c r="KH90"/>
      <c r="KI90"/>
      <c r="KJ90"/>
      <c r="KK90"/>
      <c r="KL90"/>
      <c r="KM90"/>
      <c r="KN90"/>
      <c r="KO90"/>
      <c r="KP90"/>
      <c r="KQ90"/>
      <c r="KR90"/>
    </row>
    <row r="91" spans="1:304" s="79" customFormat="1" ht="30" x14ac:dyDescent="0.25">
      <c r="A91" s="311"/>
      <c r="B91" s="225" t="s">
        <v>115</v>
      </c>
      <c r="C91" s="33">
        <v>10</v>
      </c>
      <c r="D91" s="33">
        <v>5</v>
      </c>
      <c r="E91" s="33">
        <v>9</v>
      </c>
      <c r="F91" s="33">
        <v>2</v>
      </c>
      <c r="G91" s="33">
        <v>4</v>
      </c>
      <c r="H91" s="33">
        <v>11</v>
      </c>
      <c r="I91" s="33">
        <v>5</v>
      </c>
      <c r="J91" s="33">
        <v>2</v>
      </c>
      <c r="K91" s="33">
        <v>5</v>
      </c>
      <c r="L91" s="33">
        <v>14</v>
      </c>
      <c r="M91" s="33">
        <v>7</v>
      </c>
      <c r="N91" s="33">
        <v>7</v>
      </c>
      <c r="O91" s="33">
        <v>8</v>
      </c>
      <c r="P91" s="33">
        <v>15</v>
      </c>
      <c r="Q91" s="33">
        <v>2</v>
      </c>
      <c r="R91" s="33">
        <v>2</v>
      </c>
      <c r="S91" s="33">
        <v>1</v>
      </c>
      <c r="T91" s="33">
        <v>0</v>
      </c>
      <c r="U91" s="33">
        <v>0</v>
      </c>
      <c r="V91" s="33">
        <v>6</v>
      </c>
      <c r="W91" s="33">
        <v>5</v>
      </c>
      <c r="X91" s="33">
        <v>3</v>
      </c>
      <c r="Y91" s="33">
        <v>6</v>
      </c>
      <c r="Z91" s="33">
        <v>2</v>
      </c>
      <c r="AA91" s="136">
        <v>0</v>
      </c>
      <c r="AB91" s="136">
        <v>3</v>
      </c>
      <c r="AC91" s="136">
        <v>0</v>
      </c>
      <c r="AD91" s="136">
        <v>3</v>
      </c>
      <c r="AE91" s="136">
        <v>3</v>
      </c>
      <c r="AF91" s="136">
        <v>1</v>
      </c>
      <c r="AG91" s="136">
        <v>0</v>
      </c>
      <c r="AH91" s="136">
        <v>0</v>
      </c>
      <c r="AI91" s="136">
        <v>1</v>
      </c>
      <c r="AJ91" s="137">
        <v>0</v>
      </c>
      <c r="AK91" s="137">
        <v>0</v>
      </c>
      <c r="AL91" s="137">
        <v>1</v>
      </c>
      <c r="AM91" s="137">
        <v>0</v>
      </c>
      <c r="AN91" s="165">
        <v>0</v>
      </c>
      <c r="AO91" s="165">
        <v>0</v>
      </c>
      <c r="AP91" s="165">
        <v>0</v>
      </c>
      <c r="AQ91" s="165">
        <v>0</v>
      </c>
      <c r="AR91" s="165">
        <v>0</v>
      </c>
      <c r="AS91" s="165">
        <v>0</v>
      </c>
      <c r="AT91" s="137">
        <v>0</v>
      </c>
      <c r="AU91" s="137">
        <v>0</v>
      </c>
      <c r="AV91" s="137">
        <v>0</v>
      </c>
      <c r="AW91" s="136">
        <v>0</v>
      </c>
      <c r="AX91" s="137">
        <v>0</v>
      </c>
      <c r="AY91" s="137">
        <v>0</v>
      </c>
      <c r="AZ91" s="137">
        <v>0</v>
      </c>
      <c r="BA91" s="137">
        <v>0</v>
      </c>
      <c r="BB91" s="137">
        <v>0</v>
      </c>
      <c r="BC91" s="137">
        <v>0</v>
      </c>
      <c r="BD91" s="137">
        <v>0</v>
      </c>
      <c r="BE91" s="137">
        <v>0</v>
      </c>
      <c r="BF91" s="137">
        <v>0</v>
      </c>
      <c r="BG91" s="137">
        <v>0</v>
      </c>
      <c r="BH91" s="137">
        <v>0</v>
      </c>
      <c r="BI91" s="137">
        <v>0</v>
      </c>
      <c r="BJ91" s="137">
        <v>0</v>
      </c>
      <c r="BK91" s="137">
        <v>0</v>
      </c>
      <c r="BL91" s="137">
        <v>0</v>
      </c>
      <c r="BM91" s="137">
        <v>0</v>
      </c>
      <c r="BN91" s="137">
        <v>0</v>
      </c>
      <c r="BO91" s="137">
        <v>0</v>
      </c>
      <c r="BP91" s="137">
        <v>0</v>
      </c>
      <c r="BQ91" s="137">
        <v>0</v>
      </c>
      <c r="BR91" s="137">
        <v>0</v>
      </c>
      <c r="BS91" s="137">
        <v>0</v>
      </c>
      <c r="BT91" s="137">
        <v>0</v>
      </c>
      <c r="BU91" s="137">
        <v>0</v>
      </c>
      <c r="BV91" s="137">
        <v>0</v>
      </c>
      <c r="BW91" s="137">
        <v>0</v>
      </c>
      <c r="BX91" s="137">
        <v>0</v>
      </c>
      <c r="BY91" s="137">
        <v>0</v>
      </c>
      <c r="BZ91" s="137">
        <v>0</v>
      </c>
      <c r="CA91" s="137">
        <v>0</v>
      </c>
      <c r="CB91" s="137">
        <v>0</v>
      </c>
      <c r="CC91" s="137">
        <v>0</v>
      </c>
      <c r="CD91" s="137">
        <v>0</v>
      </c>
      <c r="CE91" s="137">
        <v>0</v>
      </c>
      <c r="CF91" s="137">
        <v>0</v>
      </c>
      <c r="CG91" s="137">
        <v>0</v>
      </c>
      <c r="CH91" s="137">
        <v>0</v>
      </c>
      <c r="CI91" s="137">
        <v>0</v>
      </c>
      <c r="CJ91" s="137">
        <v>0</v>
      </c>
      <c r="CK91" s="137">
        <v>0</v>
      </c>
      <c r="CL91" s="137">
        <v>0</v>
      </c>
      <c r="CM91" s="137">
        <v>1</v>
      </c>
      <c r="CN91" s="137">
        <v>0</v>
      </c>
      <c r="CO91" s="137">
        <v>0</v>
      </c>
      <c r="CP91" s="137">
        <v>0</v>
      </c>
      <c r="CQ91" s="137">
        <v>0</v>
      </c>
      <c r="CR91" s="137">
        <v>0</v>
      </c>
      <c r="CS91" s="137">
        <v>0</v>
      </c>
      <c r="CT91" s="137">
        <v>0</v>
      </c>
      <c r="CU91" s="137">
        <v>0</v>
      </c>
      <c r="CV91" s="137">
        <v>0</v>
      </c>
      <c r="CW91" s="137">
        <v>0</v>
      </c>
      <c r="CX91" s="137">
        <v>0</v>
      </c>
      <c r="CY91" s="137">
        <v>0</v>
      </c>
      <c r="CZ91" s="34">
        <v>0</v>
      </c>
      <c r="DA91" s="34">
        <v>0</v>
      </c>
      <c r="DB91" s="34">
        <v>0</v>
      </c>
      <c r="DC91" s="34">
        <v>0</v>
      </c>
      <c r="DD91" s="34">
        <v>0</v>
      </c>
      <c r="DE91" s="34">
        <v>0</v>
      </c>
      <c r="DF91" s="34">
        <v>1</v>
      </c>
      <c r="DG91" s="34">
        <v>0</v>
      </c>
      <c r="DH91" s="34">
        <v>0</v>
      </c>
      <c r="DI91" s="34">
        <v>0</v>
      </c>
      <c r="DJ91" s="34">
        <v>0</v>
      </c>
      <c r="DK91" s="34">
        <v>0</v>
      </c>
      <c r="DL91" s="34">
        <v>0</v>
      </c>
      <c r="DM91" s="34">
        <v>0</v>
      </c>
      <c r="DN91" s="34">
        <v>0</v>
      </c>
      <c r="DO91" s="34">
        <v>0</v>
      </c>
      <c r="DP91" s="34">
        <v>0</v>
      </c>
      <c r="DQ91" s="34">
        <v>0</v>
      </c>
      <c r="DR91" s="34">
        <v>0</v>
      </c>
      <c r="DS91" s="42">
        <v>0</v>
      </c>
      <c r="DT91" s="42">
        <v>0</v>
      </c>
      <c r="DU91" s="42">
        <v>0</v>
      </c>
      <c r="DV91" s="42">
        <v>0</v>
      </c>
      <c r="DW91" s="42">
        <v>0</v>
      </c>
      <c r="DX91" s="42">
        <v>0</v>
      </c>
      <c r="DY91" s="42">
        <v>0</v>
      </c>
      <c r="DZ91" s="42">
        <v>0</v>
      </c>
      <c r="EA91" s="42">
        <v>0</v>
      </c>
      <c r="EB91" s="42">
        <v>0</v>
      </c>
      <c r="EC91" s="42">
        <v>0</v>
      </c>
      <c r="ED91" s="42">
        <v>0</v>
      </c>
      <c r="EE91" s="42">
        <v>0</v>
      </c>
      <c r="EF91" s="42">
        <v>0</v>
      </c>
      <c r="EG91" s="42">
        <v>0</v>
      </c>
      <c r="EH91" s="211">
        <f t="shared" si="31"/>
        <v>1</v>
      </c>
      <c r="EI91" s="162">
        <f>EH91/EH80</f>
        <v>1.1820330969267139E-3</v>
      </c>
      <c r="EJ91" s="89">
        <f t="shared" si="32"/>
        <v>145</v>
      </c>
      <c r="EK91" s="164">
        <f>(EJ91/$EJ80)</f>
        <v>1.5680761327998269E-2</v>
      </c>
      <c r="EL91" s="47">
        <f t="shared" si="27"/>
        <v>0</v>
      </c>
      <c r="EM91" s="200"/>
      <c r="EN91" s="47">
        <f t="shared" si="28"/>
        <v>99</v>
      </c>
      <c r="EO91" s="12">
        <f t="shared" si="22"/>
        <v>10</v>
      </c>
      <c r="EP91" s="12">
        <f t="shared" si="23"/>
        <v>79</v>
      </c>
      <c r="EQ91" s="12">
        <f t="shared" si="24"/>
        <v>42</v>
      </c>
      <c r="ER91" s="12">
        <f t="shared" si="25"/>
        <v>12</v>
      </c>
      <c r="ES91" s="15">
        <f t="shared" si="26"/>
        <v>0</v>
      </c>
      <c r="ET91" s="49">
        <f t="shared" si="29"/>
        <v>0</v>
      </c>
      <c r="EU91" s="49">
        <f t="shared" si="30"/>
        <v>1</v>
      </c>
      <c r="EV91" s="49">
        <f t="shared" si="34"/>
        <v>1</v>
      </c>
      <c r="EW91" s="49">
        <f t="shared" si="33"/>
        <v>0</v>
      </c>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c r="GL91"/>
      <c r="GM91"/>
      <c r="GN91"/>
      <c r="GO91"/>
      <c r="GP91"/>
      <c r="GQ91"/>
      <c r="GR91"/>
      <c r="GS91"/>
      <c r="GT91"/>
      <c r="GU91"/>
      <c r="GV91"/>
      <c r="GW91"/>
      <c r="GX91"/>
      <c r="GY91"/>
      <c r="GZ91"/>
      <c r="HA91"/>
      <c r="HB91"/>
      <c r="HC91"/>
      <c r="HD91"/>
      <c r="HE91"/>
      <c r="HF91"/>
      <c r="HG91"/>
      <c r="HH91"/>
      <c r="HI91"/>
      <c r="HJ91"/>
      <c r="HK91"/>
      <c r="HL91"/>
      <c r="HM91"/>
      <c r="HN91"/>
      <c r="HO91"/>
      <c r="HP91"/>
      <c r="HQ91"/>
      <c r="HR91"/>
      <c r="HS91"/>
      <c r="HT91"/>
      <c r="HU91"/>
      <c r="HV91"/>
      <c r="HW91"/>
      <c r="HX91"/>
      <c r="HY91"/>
      <c r="HZ91"/>
      <c r="IA91"/>
      <c r="IB91"/>
      <c r="IC91"/>
      <c r="ID91"/>
      <c r="IE91"/>
      <c r="IF91"/>
      <c r="IG91"/>
      <c r="IH91"/>
      <c r="II91"/>
      <c r="IJ91"/>
      <c r="IK91"/>
      <c r="IL91"/>
      <c r="IM91"/>
      <c r="IN91"/>
      <c r="IO91"/>
      <c r="IP91"/>
      <c r="IQ91"/>
      <c r="IR91"/>
      <c r="IS91"/>
      <c r="IT91"/>
      <c r="IU91"/>
      <c r="IV91"/>
      <c r="IW91"/>
      <c r="IX91"/>
      <c r="IY91"/>
      <c r="IZ91"/>
      <c r="JA91"/>
      <c r="JB91"/>
      <c r="JC91"/>
      <c r="JD91"/>
      <c r="JE91"/>
      <c r="JF91"/>
      <c r="JG91"/>
      <c r="JH91"/>
      <c r="JI91"/>
      <c r="JJ91"/>
      <c r="JK91"/>
      <c r="JL91"/>
      <c r="JM91"/>
      <c r="JN91"/>
      <c r="JO91"/>
      <c r="JP91"/>
      <c r="JQ91"/>
      <c r="JR91"/>
      <c r="JS91"/>
      <c r="JT91"/>
      <c r="JU91"/>
      <c r="JV91"/>
      <c r="JW91"/>
      <c r="JX91"/>
      <c r="JY91"/>
      <c r="JZ91"/>
      <c r="KA91"/>
      <c r="KB91"/>
      <c r="KC91"/>
      <c r="KD91"/>
      <c r="KE91"/>
      <c r="KF91"/>
      <c r="KG91"/>
      <c r="KH91"/>
      <c r="KI91"/>
      <c r="KJ91"/>
      <c r="KK91"/>
      <c r="KL91"/>
      <c r="KM91"/>
      <c r="KN91"/>
      <c r="KO91"/>
      <c r="KP91"/>
      <c r="KQ91"/>
      <c r="KR91"/>
    </row>
    <row r="92" spans="1:304" s="80" customFormat="1" x14ac:dyDescent="0.25">
      <c r="A92" s="311"/>
      <c r="B92" s="225" t="s">
        <v>228</v>
      </c>
      <c r="C92" s="33">
        <v>15</v>
      </c>
      <c r="D92" s="33">
        <v>13</v>
      </c>
      <c r="E92" s="33">
        <v>13</v>
      </c>
      <c r="F92" s="33">
        <v>5</v>
      </c>
      <c r="G92" s="33">
        <v>9</v>
      </c>
      <c r="H92" s="33">
        <v>0</v>
      </c>
      <c r="I92" s="33">
        <v>10</v>
      </c>
      <c r="J92" s="33">
        <v>5</v>
      </c>
      <c r="K92" s="33">
        <v>5</v>
      </c>
      <c r="L92" s="33">
        <v>5</v>
      </c>
      <c r="M92" s="33">
        <v>7</v>
      </c>
      <c r="N92" s="33">
        <v>10</v>
      </c>
      <c r="O92" s="33">
        <v>5</v>
      </c>
      <c r="P92" s="33">
        <v>3</v>
      </c>
      <c r="Q92" s="33">
        <v>3</v>
      </c>
      <c r="R92" s="33">
        <v>1</v>
      </c>
      <c r="S92" s="33">
        <v>1</v>
      </c>
      <c r="T92" s="33">
        <v>0</v>
      </c>
      <c r="U92" s="33">
        <v>0</v>
      </c>
      <c r="V92" s="33">
        <v>0</v>
      </c>
      <c r="W92" s="33">
        <v>7</v>
      </c>
      <c r="X92" s="33">
        <v>0</v>
      </c>
      <c r="Y92" s="33">
        <v>0</v>
      </c>
      <c r="Z92" s="33">
        <v>0</v>
      </c>
      <c r="AA92" s="136">
        <v>0</v>
      </c>
      <c r="AB92" s="136">
        <v>0</v>
      </c>
      <c r="AC92" s="136">
        <v>0</v>
      </c>
      <c r="AD92" s="136">
        <v>2</v>
      </c>
      <c r="AE92" s="136">
        <v>1</v>
      </c>
      <c r="AF92" s="136">
        <v>0</v>
      </c>
      <c r="AG92" s="136">
        <v>2</v>
      </c>
      <c r="AH92" s="136">
        <v>2</v>
      </c>
      <c r="AI92" s="136">
        <v>4</v>
      </c>
      <c r="AJ92" s="137">
        <v>4</v>
      </c>
      <c r="AK92" s="137">
        <v>5</v>
      </c>
      <c r="AL92" s="137">
        <v>4</v>
      </c>
      <c r="AM92" s="137">
        <v>1</v>
      </c>
      <c r="AN92" s="165">
        <v>4</v>
      </c>
      <c r="AO92" s="165">
        <v>5</v>
      </c>
      <c r="AP92" s="165">
        <v>0</v>
      </c>
      <c r="AQ92" s="165">
        <v>2</v>
      </c>
      <c r="AR92" s="165">
        <v>3</v>
      </c>
      <c r="AS92" s="165">
        <v>1</v>
      </c>
      <c r="AT92" s="137">
        <v>3</v>
      </c>
      <c r="AU92" s="137">
        <v>2</v>
      </c>
      <c r="AV92" s="137">
        <v>3</v>
      </c>
      <c r="AW92" s="136">
        <v>3</v>
      </c>
      <c r="AX92" s="137">
        <v>1</v>
      </c>
      <c r="AY92" s="137">
        <v>3</v>
      </c>
      <c r="AZ92" s="137">
        <v>0</v>
      </c>
      <c r="BA92" s="137">
        <v>2</v>
      </c>
      <c r="BB92" s="137">
        <v>0</v>
      </c>
      <c r="BC92" s="137">
        <v>0</v>
      </c>
      <c r="BD92" s="137">
        <v>0</v>
      </c>
      <c r="BE92" s="137">
        <v>1</v>
      </c>
      <c r="BF92" s="137">
        <v>0</v>
      </c>
      <c r="BG92" s="137">
        <v>2</v>
      </c>
      <c r="BH92" s="137">
        <v>3</v>
      </c>
      <c r="BI92" s="137">
        <v>0</v>
      </c>
      <c r="BJ92" s="137">
        <v>5</v>
      </c>
      <c r="BK92" s="137">
        <v>1</v>
      </c>
      <c r="BL92" s="137">
        <v>2</v>
      </c>
      <c r="BM92" s="137">
        <v>0</v>
      </c>
      <c r="BN92" s="137">
        <v>0</v>
      </c>
      <c r="BO92" s="137">
        <v>2</v>
      </c>
      <c r="BP92" s="137">
        <v>1</v>
      </c>
      <c r="BQ92" s="137">
        <v>0</v>
      </c>
      <c r="BR92" s="137">
        <v>0</v>
      </c>
      <c r="BS92" s="137">
        <v>1</v>
      </c>
      <c r="BT92" s="137">
        <v>0</v>
      </c>
      <c r="BU92" s="137">
        <v>0</v>
      </c>
      <c r="BV92" s="137">
        <v>1</v>
      </c>
      <c r="BW92" s="137">
        <v>0</v>
      </c>
      <c r="BX92" s="137">
        <v>1</v>
      </c>
      <c r="BY92" s="137">
        <v>0</v>
      </c>
      <c r="BZ92" s="137">
        <v>1</v>
      </c>
      <c r="CA92" s="137">
        <v>1</v>
      </c>
      <c r="CB92" s="137">
        <v>1</v>
      </c>
      <c r="CC92" s="137">
        <v>2</v>
      </c>
      <c r="CD92" s="137">
        <v>1</v>
      </c>
      <c r="CE92" s="137">
        <v>1</v>
      </c>
      <c r="CF92" s="137">
        <v>0</v>
      </c>
      <c r="CG92" s="137">
        <v>2</v>
      </c>
      <c r="CH92" s="137">
        <v>0</v>
      </c>
      <c r="CI92" s="137">
        <v>0</v>
      </c>
      <c r="CJ92" s="137">
        <v>0</v>
      </c>
      <c r="CK92" s="137">
        <v>7</v>
      </c>
      <c r="CL92" s="137">
        <v>0</v>
      </c>
      <c r="CM92" s="137">
        <v>0</v>
      </c>
      <c r="CN92" s="137">
        <v>0</v>
      </c>
      <c r="CO92" s="137">
        <v>1</v>
      </c>
      <c r="CP92" s="137">
        <v>0</v>
      </c>
      <c r="CQ92" s="137">
        <v>1</v>
      </c>
      <c r="CR92" s="137">
        <v>0</v>
      </c>
      <c r="CS92" s="137">
        <v>0</v>
      </c>
      <c r="CT92" s="137">
        <v>0</v>
      </c>
      <c r="CU92" s="137">
        <v>0</v>
      </c>
      <c r="CV92" s="137">
        <v>0</v>
      </c>
      <c r="CW92" s="137">
        <v>1</v>
      </c>
      <c r="CX92" s="137">
        <v>1</v>
      </c>
      <c r="CY92" s="137">
        <v>0</v>
      </c>
      <c r="CZ92" s="34">
        <v>1</v>
      </c>
      <c r="DA92" s="34">
        <v>1</v>
      </c>
      <c r="DB92" s="34">
        <v>2</v>
      </c>
      <c r="DC92" s="34">
        <v>1</v>
      </c>
      <c r="DD92" s="34">
        <v>0</v>
      </c>
      <c r="DE92" s="34">
        <v>1</v>
      </c>
      <c r="DF92" s="34">
        <v>0</v>
      </c>
      <c r="DG92" s="34">
        <v>1</v>
      </c>
      <c r="DH92" s="34">
        <v>1</v>
      </c>
      <c r="DI92" s="34">
        <v>0</v>
      </c>
      <c r="DJ92" s="34">
        <v>0</v>
      </c>
      <c r="DK92" s="34">
        <v>0</v>
      </c>
      <c r="DL92" s="34">
        <v>0</v>
      </c>
      <c r="DM92" s="34">
        <v>0</v>
      </c>
      <c r="DN92" s="34">
        <v>0</v>
      </c>
      <c r="DO92" s="34">
        <v>0</v>
      </c>
      <c r="DP92" s="34">
        <v>0</v>
      </c>
      <c r="DQ92" s="34">
        <v>0</v>
      </c>
      <c r="DR92" s="34">
        <v>0</v>
      </c>
      <c r="DS92" s="42">
        <v>0</v>
      </c>
      <c r="DT92" s="42">
        <v>0</v>
      </c>
      <c r="DU92" s="42">
        <v>0</v>
      </c>
      <c r="DV92" s="42">
        <v>0</v>
      </c>
      <c r="DW92" s="42">
        <v>0</v>
      </c>
      <c r="DX92" s="42">
        <v>0</v>
      </c>
      <c r="DY92" s="42">
        <v>0</v>
      </c>
      <c r="DZ92" s="42">
        <v>0</v>
      </c>
      <c r="EA92" s="42">
        <v>0</v>
      </c>
      <c r="EB92" s="42">
        <v>0</v>
      </c>
      <c r="EC92" s="42">
        <v>0</v>
      </c>
      <c r="ED92" s="42">
        <v>0</v>
      </c>
      <c r="EE92" s="42">
        <v>0</v>
      </c>
      <c r="EF92" s="42">
        <v>0</v>
      </c>
      <c r="EG92" s="42">
        <v>0</v>
      </c>
      <c r="EH92" s="211">
        <f t="shared" si="31"/>
        <v>11</v>
      </c>
      <c r="EI92" s="162">
        <f>EH92/EH80</f>
        <v>1.3002364066193853E-2</v>
      </c>
      <c r="EJ92" s="89">
        <f t="shared" si="32"/>
        <v>222</v>
      </c>
      <c r="EK92" s="164">
        <f>(EJ92/$EJ80)</f>
        <v>2.4007786309073215E-2</v>
      </c>
      <c r="EL92" s="47">
        <f t="shared" si="27"/>
        <v>0</v>
      </c>
      <c r="EM92" s="200"/>
      <c r="EN92" s="47">
        <f t="shared" si="28"/>
        <v>157</v>
      </c>
      <c r="EO92" s="12">
        <f t="shared" si="22"/>
        <v>15</v>
      </c>
      <c r="EP92" s="12">
        <f t="shared" si="23"/>
        <v>87</v>
      </c>
      <c r="EQ92" s="12">
        <f t="shared" si="24"/>
        <v>15</v>
      </c>
      <c r="ER92" s="12">
        <f t="shared" si="25"/>
        <v>25</v>
      </c>
      <c r="ES92" s="15">
        <f t="shared" si="26"/>
        <v>30</v>
      </c>
      <c r="ET92" s="49">
        <f t="shared" si="29"/>
        <v>21</v>
      </c>
      <c r="EU92" s="49">
        <f t="shared" si="30"/>
        <v>19</v>
      </c>
      <c r="EV92" s="49">
        <f t="shared" si="34"/>
        <v>10</v>
      </c>
      <c r="EW92" s="49">
        <f t="shared" si="33"/>
        <v>0</v>
      </c>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c r="GL92"/>
      <c r="GM92"/>
      <c r="GN92"/>
      <c r="GO92"/>
      <c r="GP92"/>
      <c r="GQ92"/>
      <c r="GR92"/>
      <c r="GS92"/>
      <c r="GT92"/>
      <c r="GU92"/>
      <c r="GV92"/>
      <c r="GW92"/>
      <c r="GX92"/>
      <c r="GY92"/>
      <c r="GZ92"/>
      <c r="HA92"/>
      <c r="HB92"/>
      <c r="HC92"/>
      <c r="HD92"/>
      <c r="HE92"/>
      <c r="HF92"/>
      <c r="HG92"/>
      <c r="HH92"/>
      <c r="HI92"/>
      <c r="HJ92"/>
      <c r="HK92"/>
      <c r="HL92"/>
      <c r="HM92"/>
      <c r="HN92"/>
      <c r="HO92"/>
      <c r="HP92"/>
      <c r="HQ92"/>
      <c r="HR92"/>
      <c r="HS92"/>
      <c r="HT92"/>
      <c r="HU92"/>
      <c r="HV92"/>
      <c r="HW92"/>
      <c r="HX92"/>
      <c r="HY92"/>
      <c r="HZ92"/>
      <c r="IA92"/>
      <c r="IB92"/>
      <c r="IC92"/>
      <c r="ID92"/>
      <c r="IE92"/>
      <c r="IF92"/>
      <c r="IG92"/>
      <c r="IH92"/>
      <c r="II92"/>
      <c r="IJ92"/>
      <c r="IK92"/>
      <c r="IL92"/>
      <c r="IM92"/>
      <c r="IN92"/>
      <c r="IO92"/>
      <c r="IP92"/>
      <c r="IQ92"/>
      <c r="IR92"/>
      <c r="IS92"/>
      <c r="IT92"/>
      <c r="IU92"/>
      <c r="IV92"/>
      <c r="IW92"/>
      <c r="IX92"/>
      <c r="IY92"/>
      <c r="IZ92"/>
      <c r="JA92"/>
      <c r="JB92"/>
      <c r="JC92"/>
      <c r="JD92"/>
      <c r="JE92"/>
      <c r="JF92"/>
      <c r="JG92"/>
      <c r="JH92"/>
      <c r="JI92"/>
      <c r="JJ92"/>
      <c r="JK92"/>
      <c r="JL92"/>
      <c r="JM92"/>
      <c r="JN92"/>
      <c r="JO92"/>
      <c r="JP92"/>
      <c r="JQ92"/>
      <c r="JR92"/>
      <c r="JS92"/>
      <c r="JT92"/>
      <c r="JU92"/>
      <c r="JV92"/>
      <c r="JW92"/>
      <c r="JX92"/>
      <c r="JY92"/>
      <c r="JZ92"/>
      <c r="KA92"/>
      <c r="KB92"/>
      <c r="KC92"/>
      <c r="KD92"/>
      <c r="KE92"/>
      <c r="KF92"/>
      <c r="KG92"/>
      <c r="KH92"/>
      <c r="KI92"/>
      <c r="KJ92"/>
      <c r="KK92"/>
      <c r="KL92"/>
      <c r="KM92"/>
      <c r="KN92"/>
      <c r="KO92"/>
      <c r="KP92"/>
      <c r="KQ92"/>
      <c r="KR92"/>
    </row>
    <row r="93" spans="1:304" s="80" customFormat="1" x14ac:dyDescent="0.25">
      <c r="A93" s="311"/>
      <c r="B93" s="225" t="s">
        <v>227</v>
      </c>
      <c r="C93" s="33">
        <v>6</v>
      </c>
      <c r="D93" s="33">
        <v>0</v>
      </c>
      <c r="E93" s="33">
        <v>0</v>
      </c>
      <c r="F93" s="33">
        <v>0</v>
      </c>
      <c r="G93" s="33">
        <v>2</v>
      </c>
      <c r="H93" s="33">
        <v>0</v>
      </c>
      <c r="I93" s="33">
        <v>2</v>
      </c>
      <c r="J93" s="33">
        <v>2</v>
      </c>
      <c r="K93" s="33">
        <v>3</v>
      </c>
      <c r="L93" s="33">
        <v>2</v>
      </c>
      <c r="M93" s="33">
        <v>5</v>
      </c>
      <c r="N93" s="33">
        <v>3</v>
      </c>
      <c r="O93" s="33">
        <v>3</v>
      </c>
      <c r="P93" s="33">
        <v>1</v>
      </c>
      <c r="Q93" s="33">
        <v>1</v>
      </c>
      <c r="R93" s="33">
        <v>1</v>
      </c>
      <c r="S93" s="33">
        <v>0</v>
      </c>
      <c r="T93" s="33">
        <v>0</v>
      </c>
      <c r="U93" s="33">
        <v>0</v>
      </c>
      <c r="V93" s="33">
        <v>0</v>
      </c>
      <c r="W93" s="33">
        <v>4</v>
      </c>
      <c r="X93" s="33">
        <v>2</v>
      </c>
      <c r="Y93" s="33">
        <v>2</v>
      </c>
      <c r="Z93" s="33">
        <v>3</v>
      </c>
      <c r="AA93" s="136">
        <v>2</v>
      </c>
      <c r="AB93" s="136">
        <v>6</v>
      </c>
      <c r="AC93" s="136">
        <v>0</v>
      </c>
      <c r="AD93" s="136">
        <v>5</v>
      </c>
      <c r="AE93" s="136">
        <v>5</v>
      </c>
      <c r="AF93" s="136">
        <v>4</v>
      </c>
      <c r="AG93" s="136">
        <v>9</v>
      </c>
      <c r="AH93" s="136">
        <v>0</v>
      </c>
      <c r="AI93" s="136">
        <v>18</v>
      </c>
      <c r="AJ93" s="137">
        <v>9</v>
      </c>
      <c r="AK93" s="137">
        <v>4</v>
      </c>
      <c r="AL93" s="137">
        <v>7</v>
      </c>
      <c r="AM93" s="137">
        <v>1</v>
      </c>
      <c r="AN93" s="165">
        <v>2</v>
      </c>
      <c r="AO93" s="165">
        <v>5</v>
      </c>
      <c r="AP93" s="165">
        <v>2</v>
      </c>
      <c r="AQ93" s="165">
        <v>1</v>
      </c>
      <c r="AR93" s="165">
        <v>4</v>
      </c>
      <c r="AS93" s="137">
        <v>6</v>
      </c>
      <c r="AT93" s="137">
        <v>5</v>
      </c>
      <c r="AU93" s="137">
        <v>0</v>
      </c>
      <c r="AV93" s="136">
        <v>2</v>
      </c>
      <c r="AW93" s="137">
        <v>3</v>
      </c>
      <c r="AX93" s="137">
        <v>0</v>
      </c>
      <c r="AY93" s="137">
        <v>3</v>
      </c>
      <c r="AZ93" s="137">
        <v>0</v>
      </c>
      <c r="BA93" s="137">
        <v>1</v>
      </c>
      <c r="BB93" s="137">
        <v>0</v>
      </c>
      <c r="BC93" s="137">
        <v>0</v>
      </c>
      <c r="BD93" s="137">
        <v>0</v>
      </c>
      <c r="BE93" s="137">
        <v>0</v>
      </c>
      <c r="BF93" s="137">
        <v>1</v>
      </c>
      <c r="BG93" s="137">
        <v>0</v>
      </c>
      <c r="BH93" s="137">
        <v>3</v>
      </c>
      <c r="BI93" s="137">
        <v>0</v>
      </c>
      <c r="BJ93" s="137">
        <v>0</v>
      </c>
      <c r="BK93" s="137">
        <v>1</v>
      </c>
      <c r="BL93" s="137">
        <v>0</v>
      </c>
      <c r="BM93" s="137">
        <v>0</v>
      </c>
      <c r="BN93" s="137">
        <v>0</v>
      </c>
      <c r="BO93" s="137">
        <v>0</v>
      </c>
      <c r="BP93" s="137">
        <v>1</v>
      </c>
      <c r="BQ93" s="137">
        <v>0</v>
      </c>
      <c r="BR93" s="137">
        <v>1</v>
      </c>
      <c r="BS93" s="137">
        <v>0</v>
      </c>
      <c r="BT93" s="137">
        <v>2</v>
      </c>
      <c r="BU93" s="137">
        <v>1</v>
      </c>
      <c r="BV93" s="137">
        <v>0</v>
      </c>
      <c r="BW93" s="137">
        <v>2</v>
      </c>
      <c r="BX93" s="137">
        <v>1</v>
      </c>
      <c r="BY93" s="137">
        <v>2</v>
      </c>
      <c r="BZ93" s="137">
        <v>0</v>
      </c>
      <c r="CA93" s="137">
        <v>1</v>
      </c>
      <c r="CB93" s="137">
        <v>0</v>
      </c>
      <c r="CC93" s="137">
        <v>0</v>
      </c>
      <c r="CD93" s="137">
        <v>0</v>
      </c>
      <c r="CE93" s="137">
        <v>0</v>
      </c>
      <c r="CF93" s="137">
        <v>0</v>
      </c>
      <c r="CG93" s="137">
        <v>1</v>
      </c>
      <c r="CH93" s="137">
        <v>0</v>
      </c>
      <c r="CI93" s="137">
        <v>0</v>
      </c>
      <c r="CJ93" s="137">
        <v>0</v>
      </c>
      <c r="CK93" s="137">
        <v>2</v>
      </c>
      <c r="CL93" s="137">
        <v>1</v>
      </c>
      <c r="CM93" s="137">
        <v>1</v>
      </c>
      <c r="CN93" s="137">
        <v>0</v>
      </c>
      <c r="CO93" s="137">
        <v>1</v>
      </c>
      <c r="CP93" s="137">
        <v>2</v>
      </c>
      <c r="CQ93" s="137">
        <v>2</v>
      </c>
      <c r="CR93" s="137">
        <v>0</v>
      </c>
      <c r="CS93" s="137">
        <v>1</v>
      </c>
      <c r="CT93" s="137">
        <v>0</v>
      </c>
      <c r="CU93" s="137">
        <v>0</v>
      </c>
      <c r="CV93" s="137">
        <v>0</v>
      </c>
      <c r="CW93" s="137">
        <v>2</v>
      </c>
      <c r="CX93" s="137">
        <v>1</v>
      </c>
      <c r="CY93" s="137">
        <v>0</v>
      </c>
      <c r="CZ93" s="34">
        <v>0</v>
      </c>
      <c r="DA93" s="34">
        <v>0</v>
      </c>
      <c r="DB93" s="34">
        <v>2</v>
      </c>
      <c r="DC93" s="34">
        <v>0</v>
      </c>
      <c r="DD93" s="34">
        <v>1</v>
      </c>
      <c r="DE93" s="34">
        <v>0</v>
      </c>
      <c r="DF93" s="34">
        <v>4</v>
      </c>
      <c r="DG93" s="34">
        <v>0</v>
      </c>
      <c r="DH93" s="34">
        <v>3</v>
      </c>
      <c r="DI93" s="34">
        <v>0</v>
      </c>
      <c r="DJ93" s="34">
        <v>0</v>
      </c>
      <c r="DK93" s="34">
        <v>0</v>
      </c>
      <c r="DL93" s="34">
        <v>0</v>
      </c>
      <c r="DM93" s="34">
        <v>0</v>
      </c>
      <c r="DN93" s="34">
        <v>0</v>
      </c>
      <c r="DO93" s="34">
        <v>0</v>
      </c>
      <c r="DP93" s="34">
        <v>0</v>
      </c>
      <c r="DQ93" s="34">
        <v>0</v>
      </c>
      <c r="DR93" s="34">
        <v>0</v>
      </c>
      <c r="DS93" s="42">
        <v>0</v>
      </c>
      <c r="DT93" s="42">
        <v>0</v>
      </c>
      <c r="DU93" s="42">
        <v>0</v>
      </c>
      <c r="DV93" s="42">
        <v>0</v>
      </c>
      <c r="DW93" s="42">
        <v>0</v>
      </c>
      <c r="DX93" s="42">
        <v>0</v>
      </c>
      <c r="DY93" s="42">
        <v>0</v>
      </c>
      <c r="DZ93" s="42">
        <v>0</v>
      </c>
      <c r="EA93" s="42">
        <v>0</v>
      </c>
      <c r="EB93" s="42">
        <v>0</v>
      </c>
      <c r="EC93" s="42">
        <v>0</v>
      </c>
      <c r="ED93" s="42">
        <v>0</v>
      </c>
      <c r="EE93" s="42">
        <v>0</v>
      </c>
      <c r="EF93" s="42">
        <v>0</v>
      </c>
      <c r="EG93" s="42">
        <v>0</v>
      </c>
      <c r="EH93" s="211">
        <f t="shared" si="31"/>
        <v>18</v>
      </c>
      <c r="EI93" s="162">
        <f>EH93/EH80</f>
        <v>2.1276595744680851E-2</v>
      </c>
      <c r="EJ93" s="89">
        <f t="shared" si="32"/>
        <v>186</v>
      </c>
      <c r="EK93" s="164">
        <f>(EJ93/$EJ80)</f>
        <v>2.0114631772466748E-2</v>
      </c>
      <c r="EL93" s="47">
        <f t="shared" si="27"/>
        <v>0</v>
      </c>
      <c r="EM93" s="200"/>
      <c r="EN93" s="47">
        <f t="shared" si="28"/>
        <v>176</v>
      </c>
      <c r="EO93" s="12">
        <f t="shared" si="22"/>
        <v>6</v>
      </c>
      <c r="EP93" s="12">
        <f t="shared" si="23"/>
        <v>22</v>
      </c>
      <c r="EQ93" s="12">
        <f t="shared" si="24"/>
        <v>16</v>
      </c>
      <c r="ER93" s="12">
        <f t="shared" si="25"/>
        <v>68</v>
      </c>
      <c r="ES93" s="15">
        <f t="shared" si="26"/>
        <v>33</v>
      </c>
      <c r="ET93" s="49">
        <f t="shared" si="29"/>
        <v>13</v>
      </c>
      <c r="EU93" s="49">
        <f t="shared" si="30"/>
        <v>15</v>
      </c>
      <c r="EV93" s="49">
        <f t="shared" si="34"/>
        <v>13</v>
      </c>
      <c r="EW93" s="49">
        <f t="shared" si="33"/>
        <v>0</v>
      </c>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c r="GL93"/>
      <c r="GM93"/>
      <c r="GN93"/>
      <c r="GO93"/>
      <c r="GP93"/>
      <c r="GQ93"/>
      <c r="GR93"/>
      <c r="GS93"/>
      <c r="GT93"/>
      <c r="GU93"/>
      <c r="GV93"/>
      <c r="GW93"/>
      <c r="GX93"/>
      <c r="GY93"/>
      <c r="GZ93"/>
      <c r="HA93"/>
      <c r="HB93"/>
      <c r="HC93"/>
      <c r="HD93"/>
      <c r="HE93"/>
      <c r="HF93"/>
      <c r="HG93"/>
      <c r="HH93"/>
      <c r="HI93"/>
      <c r="HJ93"/>
      <c r="HK93"/>
      <c r="HL93"/>
      <c r="HM93"/>
      <c r="HN93"/>
      <c r="HO93"/>
      <c r="HP93"/>
      <c r="HQ93"/>
      <c r="HR93"/>
      <c r="HS93"/>
      <c r="HT93"/>
      <c r="HU93"/>
      <c r="HV93"/>
      <c r="HW93"/>
      <c r="HX93"/>
      <c r="HY93"/>
      <c r="HZ93"/>
      <c r="IA93"/>
      <c r="IB93"/>
      <c r="IC93"/>
      <c r="ID93"/>
      <c r="IE93"/>
      <c r="IF93"/>
      <c r="IG93"/>
      <c r="IH93"/>
      <c r="II93"/>
      <c r="IJ93"/>
      <c r="IK93"/>
      <c r="IL93"/>
      <c r="IM93"/>
      <c r="IN93"/>
      <c r="IO93"/>
      <c r="IP93"/>
      <c r="IQ93"/>
      <c r="IR93"/>
      <c r="IS93"/>
      <c r="IT93"/>
      <c r="IU93"/>
      <c r="IV93"/>
      <c r="IW93"/>
      <c r="IX93"/>
      <c r="IY93"/>
      <c r="IZ93"/>
      <c r="JA93"/>
      <c r="JB93"/>
      <c r="JC93"/>
      <c r="JD93"/>
      <c r="JE93"/>
      <c r="JF93"/>
      <c r="JG93"/>
      <c r="JH93"/>
      <c r="JI93"/>
      <c r="JJ93"/>
      <c r="JK93"/>
      <c r="JL93"/>
      <c r="JM93"/>
      <c r="JN93"/>
      <c r="JO93"/>
      <c r="JP93"/>
      <c r="JQ93"/>
      <c r="JR93"/>
      <c r="JS93"/>
      <c r="JT93"/>
      <c r="JU93"/>
      <c r="JV93"/>
      <c r="JW93"/>
      <c r="JX93"/>
      <c r="JY93"/>
      <c r="JZ93"/>
      <c r="KA93"/>
      <c r="KB93"/>
      <c r="KC93"/>
      <c r="KD93"/>
      <c r="KE93"/>
      <c r="KF93"/>
      <c r="KG93"/>
      <c r="KH93"/>
      <c r="KI93"/>
      <c r="KJ93"/>
      <c r="KK93"/>
      <c r="KL93"/>
      <c r="KM93"/>
      <c r="KN93"/>
      <c r="KO93"/>
      <c r="KP93"/>
      <c r="KQ93"/>
      <c r="KR93"/>
    </row>
    <row r="94" spans="1:304" s="80" customFormat="1" ht="30" x14ac:dyDescent="0.25">
      <c r="A94" s="311"/>
      <c r="B94" s="225" t="s">
        <v>231</v>
      </c>
      <c r="C94" s="33">
        <v>0</v>
      </c>
      <c r="D94" s="33">
        <v>0</v>
      </c>
      <c r="E94" s="33">
        <v>0</v>
      </c>
      <c r="F94" s="33">
        <v>0</v>
      </c>
      <c r="G94" s="33">
        <v>0</v>
      </c>
      <c r="H94" s="33">
        <v>0</v>
      </c>
      <c r="I94" s="33">
        <v>0</v>
      </c>
      <c r="J94" s="33">
        <v>0</v>
      </c>
      <c r="K94" s="33">
        <v>0</v>
      </c>
      <c r="L94" s="33">
        <v>0</v>
      </c>
      <c r="M94" s="33">
        <v>0</v>
      </c>
      <c r="N94" s="33">
        <v>0</v>
      </c>
      <c r="O94" s="33">
        <v>0</v>
      </c>
      <c r="P94" s="33">
        <v>0</v>
      </c>
      <c r="Q94" s="33">
        <v>0</v>
      </c>
      <c r="R94" s="33">
        <v>0</v>
      </c>
      <c r="S94" s="33">
        <v>0</v>
      </c>
      <c r="T94" s="33">
        <v>0</v>
      </c>
      <c r="U94" s="33">
        <v>0</v>
      </c>
      <c r="V94" s="33">
        <v>0</v>
      </c>
      <c r="W94" s="33">
        <v>0</v>
      </c>
      <c r="X94" s="33">
        <v>0</v>
      </c>
      <c r="Y94" s="33">
        <v>0</v>
      </c>
      <c r="Z94" s="33">
        <v>0</v>
      </c>
      <c r="AA94" s="136">
        <v>0</v>
      </c>
      <c r="AB94" s="136">
        <v>0</v>
      </c>
      <c r="AC94" s="136">
        <v>0</v>
      </c>
      <c r="AD94" s="136">
        <v>0</v>
      </c>
      <c r="AE94" s="136">
        <v>0</v>
      </c>
      <c r="AF94" s="136">
        <v>0</v>
      </c>
      <c r="AG94" s="136">
        <v>0</v>
      </c>
      <c r="AH94" s="136">
        <v>0</v>
      </c>
      <c r="AI94" s="136">
        <v>0</v>
      </c>
      <c r="AJ94" s="136">
        <v>0</v>
      </c>
      <c r="AK94" s="136">
        <v>2</v>
      </c>
      <c r="AL94" s="136">
        <v>0</v>
      </c>
      <c r="AM94" s="136">
        <v>0</v>
      </c>
      <c r="AN94" s="165">
        <v>3</v>
      </c>
      <c r="AO94" s="165">
        <v>0</v>
      </c>
      <c r="AP94" s="165">
        <v>0</v>
      </c>
      <c r="AQ94" s="165">
        <v>0</v>
      </c>
      <c r="AR94" s="165">
        <v>0</v>
      </c>
      <c r="AS94" s="165">
        <v>0</v>
      </c>
      <c r="AT94" s="165">
        <v>0</v>
      </c>
      <c r="AU94" s="165">
        <v>0</v>
      </c>
      <c r="AV94" s="165">
        <v>0</v>
      </c>
      <c r="AW94" s="165">
        <v>1</v>
      </c>
      <c r="AX94" s="165">
        <v>0</v>
      </c>
      <c r="AY94" s="165">
        <v>3</v>
      </c>
      <c r="AZ94" s="137">
        <v>1</v>
      </c>
      <c r="BA94" s="137">
        <v>2</v>
      </c>
      <c r="BB94" s="137">
        <v>0</v>
      </c>
      <c r="BC94" s="137">
        <v>1</v>
      </c>
      <c r="BD94" s="137">
        <v>0</v>
      </c>
      <c r="BE94" s="137">
        <v>0</v>
      </c>
      <c r="BF94" s="137">
        <v>1</v>
      </c>
      <c r="BG94" s="137">
        <v>0</v>
      </c>
      <c r="BH94" s="137">
        <v>0</v>
      </c>
      <c r="BI94" s="137">
        <v>1</v>
      </c>
      <c r="BJ94" s="137">
        <v>3</v>
      </c>
      <c r="BK94" s="137">
        <v>1</v>
      </c>
      <c r="BL94" s="137">
        <v>1</v>
      </c>
      <c r="BM94" s="137">
        <v>3</v>
      </c>
      <c r="BN94" s="137">
        <v>1</v>
      </c>
      <c r="BO94" s="137">
        <v>0</v>
      </c>
      <c r="BP94" s="137">
        <v>6</v>
      </c>
      <c r="BQ94" s="137">
        <v>0</v>
      </c>
      <c r="BR94" s="137">
        <v>2</v>
      </c>
      <c r="BS94" s="137">
        <v>0</v>
      </c>
      <c r="BT94" s="137">
        <v>1</v>
      </c>
      <c r="BU94" s="137">
        <v>1</v>
      </c>
      <c r="BV94" s="137">
        <v>1</v>
      </c>
      <c r="BW94" s="137">
        <v>1</v>
      </c>
      <c r="BX94" s="137">
        <v>3</v>
      </c>
      <c r="BY94" s="137">
        <v>1</v>
      </c>
      <c r="BZ94" s="137">
        <v>2</v>
      </c>
      <c r="CA94" s="137">
        <v>2</v>
      </c>
      <c r="CB94" s="137">
        <v>7</v>
      </c>
      <c r="CC94" s="137">
        <v>2</v>
      </c>
      <c r="CD94" s="137">
        <v>1</v>
      </c>
      <c r="CE94" s="137">
        <v>3</v>
      </c>
      <c r="CF94" s="137">
        <v>1</v>
      </c>
      <c r="CG94" s="137">
        <v>0</v>
      </c>
      <c r="CH94" s="137">
        <v>0</v>
      </c>
      <c r="CI94" s="137">
        <v>0</v>
      </c>
      <c r="CJ94" s="137">
        <v>0</v>
      </c>
      <c r="CK94" s="137">
        <v>1</v>
      </c>
      <c r="CL94" s="137">
        <v>0</v>
      </c>
      <c r="CM94" s="137">
        <v>6</v>
      </c>
      <c r="CN94" s="137">
        <v>1</v>
      </c>
      <c r="CO94" s="137">
        <v>1</v>
      </c>
      <c r="CP94" s="137">
        <v>1</v>
      </c>
      <c r="CQ94" s="137">
        <v>1</v>
      </c>
      <c r="CR94" s="137">
        <v>1</v>
      </c>
      <c r="CS94" s="137">
        <v>1</v>
      </c>
      <c r="CT94" s="137">
        <v>0</v>
      </c>
      <c r="CU94" s="137">
        <v>0</v>
      </c>
      <c r="CV94" s="137">
        <v>0</v>
      </c>
      <c r="CW94" s="137">
        <v>2</v>
      </c>
      <c r="CX94" s="137">
        <v>0</v>
      </c>
      <c r="CY94" s="137">
        <v>1</v>
      </c>
      <c r="CZ94" s="34">
        <v>1</v>
      </c>
      <c r="DA94" s="34">
        <v>0</v>
      </c>
      <c r="DB94" s="34">
        <v>0</v>
      </c>
      <c r="DC94" s="34">
        <v>0</v>
      </c>
      <c r="DD94" s="34">
        <v>0</v>
      </c>
      <c r="DE94" s="34">
        <v>0</v>
      </c>
      <c r="DF94" s="34">
        <v>4</v>
      </c>
      <c r="DG94" s="34">
        <v>1</v>
      </c>
      <c r="DH94" s="34">
        <v>1</v>
      </c>
      <c r="DI94" s="34">
        <v>2</v>
      </c>
      <c r="DJ94" s="34">
        <v>0</v>
      </c>
      <c r="DK94" s="34">
        <v>0</v>
      </c>
      <c r="DL94" s="34">
        <v>1</v>
      </c>
      <c r="DM94" s="34">
        <v>2</v>
      </c>
      <c r="DN94" s="34">
        <v>0</v>
      </c>
      <c r="DO94" s="34">
        <v>0</v>
      </c>
      <c r="DP94" s="34">
        <v>0</v>
      </c>
      <c r="DQ94" s="34">
        <v>0</v>
      </c>
      <c r="DR94" s="34">
        <v>0</v>
      </c>
      <c r="DS94" s="42">
        <v>0</v>
      </c>
      <c r="DT94" s="42">
        <v>0</v>
      </c>
      <c r="DU94" s="42">
        <v>0</v>
      </c>
      <c r="DV94" s="42">
        <v>0</v>
      </c>
      <c r="DW94" s="42">
        <v>0</v>
      </c>
      <c r="DX94" s="42">
        <v>0</v>
      </c>
      <c r="DY94" s="42">
        <v>0</v>
      </c>
      <c r="DZ94" s="42">
        <v>0</v>
      </c>
      <c r="EA94" s="42">
        <v>0</v>
      </c>
      <c r="EB94" s="42">
        <v>0</v>
      </c>
      <c r="EC94" s="42">
        <v>0</v>
      </c>
      <c r="ED94" s="42">
        <v>0</v>
      </c>
      <c r="EE94" s="42">
        <v>0</v>
      </c>
      <c r="EF94" s="42">
        <v>0</v>
      </c>
      <c r="EG94" s="42">
        <v>0</v>
      </c>
      <c r="EH94" s="211">
        <f t="shared" si="31"/>
        <v>19</v>
      </c>
      <c r="EI94" s="162">
        <f>EH94/EH80</f>
        <v>2.2458628841607566E-2</v>
      </c>
      <c r="EJ94" s="89">
        <f t="shared" si="32"/>
        <v>86</v>
      </c>
      <c r="EK94" s="164">
        <f>(EJ94/$EJ80)</f>
        <v>9.30031361522656E-3</v>
      </c>
      <c r="EL94" s="47">
        <f t="shared" si="27"/>
        <v>3</v>
      </c>
      <c r="EM94" s="200"/>
      <c r="EN94" s="47">
        <f t="shared" si="28"/>
        <v>86</v>
      </c>
      <c r="EO94" s="12">
        <f t="shared" si="22"/>
        <v>0</v>
      </c>
      <c r="EP94" s="12">
        <f t="shared" si="23"/>
        <v>0</v>
      </c>
      <c r="EQ94" s="12">
        <f t="shared" si="24"/>
        <v>0</v>
      </c>
      <c r="ER94" s="12">
        <f t="shared" si="25"/>
        <v>2</v>
      </c>
      <c r="ES94" s="15">
        <f t="shared" si="26"/>
        <v>7</v>
      </c>
      <c r="ET94" s="49">
        <f t="shared" si="29"/>
        <v>27</v>
      </c>
      <c r="EU94" s="49">
        <f t="shared" si="30"/>
        <v>35</v>
      </c>
      <c r="EV94" s="49">
        <f t="shared" si="34"/>
        <v>15</v>
      </c>
      <c r="EW94" s="49">
        <f t="shared" si="33"/>
        <v>0</v>
      </c>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c r="GL94"/>
      <c r="GM94"/>
      <c r="GN94"/>
      <c r="GO94"/>
      <c r="GP94"/>
      <c r="GQ94"/>
      <c r="GR94"/>
      <c r="GS94"/>
      <c r="GT94"/>
      <c r="GU94"/>
      <c r="GV94"/>
      <c r="GW94"/>
      <c r="GX94"/>
      <c r="GY94"/>
      <c r="GZ94"/>
      <c r="HA94"/>
      <c r="HB94"/>
      <c r="HC94"/>
      <c r="HD94"/>
      <c r="HE94"/>
      <c r="HF94"/>
      <c r="HG94"/>
      <c r="HH94"/>
      <c r="HI94"/>
      <c r="HJ94"/>
      <c r="HK94"/>
      <c r="HL94"/>
      <c r="HM94"/>
      <c r="HN94"/>
      <c r="HO94"/>
      <c r="HP94"/>
      <c r="HQ94"/>
      <c r="HR94"/>
      <c r="HS94"/>
      <c r="HT94"/>
      <c r="HU94"/>
      <c r="HV94"/>
      <c r="HW94"/>
      <c r="HX94"/>
      <c r="HY94"/>
      <c r="HZ94"/>
      <c r="IA94"/>
      <c r="IB94"/>
      <c r="IC94"/>
      <c r="ID94"/>
      <c r="IE94"/>
      <c r="IF94"/>
      <c r="IG94"/>
      <c r="IH94"/>
      <c r="II94"/>
      <c r="IJ94"/>
      <c r="IK94"/>
      <c r="IL94"/>
      <c r="IM94"/>
      <c r="IN94"/>
      <c r="IO94"/>
      <c r="IP94"/>
      <c r="IQ94"/>
      <c r="IR94"/>
      <c r="IS94"/>
      <c r="IT94"/>
      <c r="IU94"/>
      <c r="IV94"/>
      <c r="IW94"/>
      <c r="IX94"/>
      <c r="IY94"/>
      <c r="IZ94"/>
      <c r="JA94"/>
      <c r="JB94"/>
      <c r="JC94"/>
      <c r="JD94"/>
      <c r="JE94"/>
      <c r="JF94"/>
      <c r="JG94"/>
      <c r="JH94"/>
      <c r="JI94"/>
      <c r="JJ94"/>
      <c r="JK94"/>
      <c r="JL94"/>
      <c r="JM94"/>
      <c r="JN94"/>
      <c r="JO94"/>
      <c r="JP94"/>
      <c r="JQ94"/>
      <c r="JR94"/>
      <c r="JS94"/>
      <c r="JT94"/>
      <c r="JU94"/>
      <c r="JV94"/>
      <c r="JW94"/>
      <c r="JX94"/>
      <c r="JY94"/>
      <c r="JZ94"/>
      <c r="KA94"/>
      <c r="KB94"/>
      <c r="KC94"/>
      <c r="KD94"/>
      <c r="KE94"/>
      <c r="KF94"/>
      <c r="KG94"/>
      <c r="KH94"/>
      <c r="KI94"/>
      <c r="KJ94"/>
      <c r="KK94"/>
      <c r="KL94"/>
      <c r="KM94"/>
      <c r="KN94"/>
      <c r="KO94"/>
      <c r="KP94"/>
      <c r="KQ94"/>
      <c r="KR94"/>
    </row>
    <row r="95" spans="1:304" s="80" customFormat="1" x14ac:dyDescent="0.25">
      <c r="A95" s="311"/>
      <c r="B95" s="225" t="s">
        <v>229</v>
      </c>
      <c r="C95" s="33">
        <v>0</v>
      </c>
      <c r="D95" s="33">
        <v>0</v>
      </c>
      <c r="E95" s="33">
        <v>0</v>
      </c>
      <c r="F95" s="33">
        <v>0</v>
      </c>
      <c r="G95" s="33">
        <v>0</v>
      </c>
      <c r="H95" s="33">
        <v>0</v>
      </c>
      <c r="I95" s="33">
        <v>0</v>
      </c>
      <c r="J95" s="33">
        <v>0</v>
      </c>
      <c r="K95" s="33">
        <v>0</v>
      </c>
      <c r="L95" s="33">
        <v>0</v>
      </c>
      <c r="M95" s="33">
        <v>0</v>
      </c>
      <c r="N95" s="33">
        <v>1</v>
      </c>
      <c r="O95" s="33">
        <v>0</v>
      </c>
      <c r="P95" s="33">
        <v>0</v>
      </c>
      <c r="Q95" s="33">
        <v>0</v>
      </c>
      <c r="R95" s="33">
        <v>0</v>
      </c>
      <c r="S95" s="33">
        <v>0</v>
      </c>
      <c r="T95" s="33">
        <v>0</v>
      </c>
      <c r="U95" s="33">
        <v>0</v>
      </c>
      <c r="V95" s="33">
        <v>0</v>
      </c>
      <c r="W95" s="33">
        <v>0</v>
      </c>
      <c r="X95" s="33">
        <v>0</v>
      </c>
      <c r="Y95" s="33">
        <v>0</v>
      </c>
      <c r="Z95" s="33">
        <v>0</v>
      </c>
      <c r="AA95" s="136">
        <v>0</v>
      </c>
      <c r="AB95" s="136">
        <v>0</v>
      </c>
      <c r="AC95" s="136">
        <v>0</v>
      </c>
      <c r="AD95" s="136">
        <v>0</v>
      </c>
      <c r="AE95" s="136">
        <v>0</v>
      </c>
      <c r="AF95" s="136">
        <v>0</v>
      </c>
      <c r="AG95" s="136">
        <v>0</v>
      </c>
      <c r="AH95" s="136">
        <v>0</v>
      </c>
      <c r="AI95" s="136">
        <v>0</v>
      </c>
      <c r="AJ95" s="136">
        <v>0</v>
      </c>
      <c r="AK95" s="136">
        <v>0</v>
      </c>
      <c r="AL95" s="136">
        <v>0</v>
      </c>
      <c r="AM95" s="136">
        <v>0</v>
      </c>
      <c r="AN95" s="165">
        <v>0</v>
      </c>
      <c r="AO95" s="165">
        <v>0</v>
      </c>
      <c r="AP95" s="165">
        <v>0</v>
      </c>
      <c r="AQ95" s="165">
        <v>0</v>
      </c>
      <c r="AR95" s="165">
        <v>0</v>
      </c>
      <c r="AS95" s="165">
        <v>0</v>
      </c>
      <c r="AT95" s="165">
        <v>0</v>
      </c>
      <c r="AU95" s="165">
        <v>0</v>
      </c>
      <c r="AV95" s="165">
        <v>0</v>
      </c>
      <c r="AW95" s="165">
        <v>0</v>
      </c>
      <c r="AX95" s="165">
        <v>0</v>
      </c>
      <c r="AY95" s="165">
        <v>0</v>
      </c>
      <c r="AZ95" s="137">
        <v>1</v>
      </c>
      <c r="BA95" s="137">
        <v>5</v>
      </c>
      <c r="BB95" s="137">
        <v>2</v>
      </c>
      <c r="BC95" s="137">
        <v>2</v>
      </c>
      <c r="BD95" s="137">
        <v>0</v>
      </c>
      <c r="BE95" s="137">
        <v>0</v>
      </c>
      <c r="BF95" s="137">
        <v>2</v>
      </c>
      <c r="BG95" s="137">
        <v>1</v>
      </c>
      <c r="BH95" s="137">
        <v>2</v>
      </c>
      <c r="BI95" s="137">
        <v>2</v>
      </c>
      <c r="BJ95" s="137">
        <v>5</v>
      </c>
      <c r="BK95" s="137">
        <v>2</v>
      </c>
      <c r="BL95" s="137">
        <v>2</v>
      </c>
      <c r="BM95" s="137">
        <v>1</v>
      </c>
      <c r="BN95" s="137">
        <v>4</v>
      </c>
      <c r="BO95" s="137">
        <v>1</v>
      </c>
      <c r="BP95" s="137">
        <v>1</v>
      </c>
      <c r="BQ95" s="137">
        <v>1</v>
      </c>
      <c r="BR95" s="137">
        <v>0</v>
      </c>
      <c r="BS95" s="137">
        <v>2</v>
      </c>
      <c r="BT95" s="137">
        <v>2</v>
      </c>
      <c r="BU95" s="137">
        <v>2</v>
      </c>
      <c r="BV95" s="137">
        <v>2</v>
      </c>
      <c r="BW95" s="137">
        <v>3</v>
      </c>
      <c r="BX95" s="137">
        <v>0</v>
      </c>
      <c r="BY95" s="137">
        <v>0</v>
      </c>
      <c r="BZ95" s="137">
        <v>0</v>
      </c>
      <c r="CA95" s="137">
        <v>0</v>
      </c>
      <c r="CB95" s="137">
        <v>0</v>
      </c>
      <c r="CC95" s="137">
        <v>2</v>
      </c>
      <c r="CD95" s="137">
        <v>0</v>
      </c>
      <c r="CE95" s="137">
        <v>5</v>
      </c>
      <c r="CF95" s="137">
        <v>2</v>
      </c>
      <c r="CG95" s="137">
        <v>3</v>
      </c>
      <c r="CH95" s="137">
        <v>1</v>
      </c>
      <c r="CI95" s="137">
        <v>0</v>
      </c>
      <c r="CJ95" s="137">
        <v>1</v>
      </c>
      <c r="CK95" s="137">
        <v>2</v>
      </c>
      <c r="CL95" s="137">
        <v>1</v>
      </c>
      <c r="CM95" s="137">
        <v>0</v>
      </c>
      <c r="CN95" s="137">
        <v>0</v>
      </c>
      <c r="CO95" s="137">
        <v>3</v>
      </c>
      <c r="CP95" s="137">
        <v>1</v>
      </c>
      <c r="CQ95" s="137">
        <v>0</v>
      </c>
      <c r="CR95" s="137">
        <v>3</v>
      </c>
      <c r="CS95" s="137">
        <v>1</v>
      </c>
      <c r="CT95" s="137">
        <v>1</v>
      </c>
      <c r="CU95" s="137">
        <v>2</v>
      </c>
      <c r="CV95" s="137">
        <v>1</v>
      </c>
      <c r="CW95" s="137">
        <v>2</v>
      </c>
      <c r="CX95" s="137">
        <v>1</v>
      </c>
      <c r="CY95" s="137">
        <v>0</v>
      </c>
      <c r="CZ95" s="34">
        <v>3</v>
      </c>
      <c r="DA95" s="34">
        <v>0</v>
      </c>
      <c r="DB95" s="34">
        <v>0</v>
      </c>
      <c r="DC95" s="34">
        <v>1</v>
      </c>
      <c r="DD95" s="34">
        <v>1</v>
      </c>
      <c r="DE95" s="34">
        <v>3</v>
      </c>
      <c r="DF95" s="34">
        <v>3</v>
      </c>
      <c r="DG95" s="34">
        <v>1</v>
      </c>
      <c r="DH95" s="34">
        <v>1</v>
      </c>
      <c r="DI95" s="34">
        <v>0</v>
      </c>
      <c r="DJ95" s="34">
        <v>0</v>
      </c>
      <c r="DK95" s="34">
        <v>0</v>
      </c>
      <c r="DL95" s="34">
        <v>0</v>
      </c>
      <c r="DM95" s="34">
        <v>0</v>
      </c>
      <c r="DN95" s="34">
        <v>0</v>
      </c>
      <c r="DO95" s="34">
        <v>0</v>
      </c>
      <c r="DP95" s="34">
        <v>0</v>
      </c>
      <c r="DQ95" s="34">
        <v>0</v>
      </c>
      <c r="DR95" s="34">
        <v>0</v>
      </c>
      <c r="DS95" s="42">
        <v>0</v>
      </c>
      <c r="DT95" s="42">
        <v>0</v>
      </c>
      <c r="DU95" s="42">
        <v>0</v>
      </c>
      <c r="DV95" s="42">
        <v>0</v>
      </c>
      <c r="DW95" s="42">
        <v>0</v>
      </c>
      <c r="DX95" s="42">
        <v>0</v>
      </c>
      <c r="DY95" s="42">
        <v>0</v>
      </c>
      <c r="DZ95" s="42">
        <v>0</v>
      </c>
      <c r="EA95" s="42">
        <v>0</v>
      </c>
      <c r="EB95" s="42">
        <v>0</v>
      </c>
      <c r="EC95" s="42">
        <v>0</v>
      </c>
      <c r="ED95" s="42">
        <v>0</v>
      </c>
      <c r="EE95" s="42">
        <v>0</v>
      </c>
      <c r="EF95" s="42">
        <v>0</v>
      </c>
      <c r="EG95" s="42">
        <v>0</v>
      </c>
      <c r="EH95" s="211">
        <f t="shared" si="31"/>
        <v>25</v>
      </c>
      <c r="EI95" s="162">
        <f>EH95/EH80</f>
        <v>2.955082742316785E-2</v>
      </c>
      <c r="EJ95" s="89">
        <f t="shared" si="32"/>
        <v>91</v>
      </c>
      <c r="EK95" s="164">
        <f>(EJ95/$EJ80)</f>
        <v>9.8410295230885701E-3</v>
      </c>
      <c r="EL95" s="47">
        <f t="shared" si="27"/>
        <v>0</v>
      </c>
      <c r="EM95" s="200"/>
      <c r="EN95" s="47">
        <f t="shared" si="28"/>
        <v>91</v>
      </c>
      <c r="EO95" s="12">
        <f t="shared" si="22"/>
        <v>0</v>
      </c>
      <c r="EP95" s="12">
        <f t="shared" si="23"/>
        <v>1</v>
      </c>
      <c r="EQ95" s="12">
        <f t="shared" si="24"/>
        <v>0</v>
      </c>
      <c r="ER95" s="12">
        <f t="shared" si="25"/>
        <v>0</v>
      </c>
      <c r="ES95" s="15">
        <f t="shared" si="26"/>
        <v>0</v>
      </c>
      <c r="ET95" s="49">
        <f t="shared" si="29"/>
        <v>45</v>
      </c>
      <c r="EU95" s="49">
        <f t="shared" si="30"/>
        <v>28</v>
      </c>
      <c r="EV95" s="49">
        <f t="shared" si="34"/>
        <v>17</v>
      </c>
      <c r="EW95" s="49">
        <f t="shared" si="33"/>
        <v>0</v>
      </c>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c r="GL95"/>
      <c r="GM95"/>
      <c r="GN95"/>
      <c r="GO95"/>
      <c r="GP95"/>
      <c r="GQ95"/>
      <c r="GR95"/>
      <c r="GS95"/>
      <c r="GT95"/>
      <c r="GU95"/>
      <c r="GV95"/>
      <c r="GW95"/>
      <c r="GX95"/>
      <c r="GY95"/>
      <c r="GZ95"/>
      <c r="HA95"/>
      <c r="HB95"/>
      <c r="HC95"/>
      <c r="HD95"/>
      <c r="HE95"/>
      <c r="HF95"/>
      <c r="HG95"/>
      <c r="HH95"/>
      <c r="HI95"/>
      <c r="HJ95"/>
      <c r="HK95"/>
      <c r="HL95"/>
      <c r="HM95"/>
      <c r="HN95"/>
      <c r="HO95"/>
      <c r="HP95"/>
      <c r="HQ95"/>
      <c r="HR95"/>
      <c r="HS95"/>
      <c r="HT95"/>
      <c r="HU95"/>
      <c r="HV95"/>
      <c r="HW95"/>
      <c r="HX95"/>
      <c r="HY95"/>
      <c r="HZ95"/>
      <c r="IA95"/>
      <c r="IB95"/>
      <c r="IC95"/>
      <c r="ID95"/>
      <c r="IE95"/>
      <c r="IF95"/>
      <c r="IG95"/>
      <c r="IH95"/>
      <c r="II95"/>
      <c r="IJ95"/>
      <c r="IK95"/>
      <c r="IL95"/>
      <c r="IM95"/>
      <c r="IN95"/>
      <c r="IO95"/>
      <c r="IP95"/>
      <c r="IQ95"/>
      <c r="IR95"/>
      <c r="IS95"/>
      <c r="IT95"/>
      <c r="IU95"/>
      <c r="IV95"/>
      <c r="IW95"/>
      <c r="IX95"/>
      <c r="IY95"/>
      <c r="IZ95"/>
      <c r="JA95"/>
      <c r="JB95"/>
      <c r="JC95"/>
      <c r="JD95"/>
      <c r="JE95"/>
      <c r="JF95"/>
      <c r="JG95"/>
      <c r="JH95"/>
      <c r="JI95"/>
      <c r="JJ95"/>
      <c r="JK95"/>
      <c r="JL95"/>
      <c r="JM95"/>
      <c r="JN95"/>
      <c r="JO95"/>
      <c r="JP95"/>
      <c r="JQ95"/>
      <c r="JR95"/>
      <c r="JS95"/>
      <c r="JT95"/>
      <c r="JU95"/>
      <c r="JV95"/>
      <c r="JW95"/>
      <c r="JX95"/>
      <c r="JY95"/>
      <c r="JZ95"/>
      <c r="KA95"/>
      <c r="KB95"/>
      <c r="KC95"/>
      <c r="KD95"/>
      <c r="KE95"/>
      <c r="KF95"/>
      <c r="KG95"/>
      <c r="KH95"/>
      <c r="KI95"/>
      <c r="KJ95"/>
      <c r="KK95"/>
      <c r="KL95"/>
      <c r="KM95"/>
      <c r="KN95"/>
      <c r="KO95"/>
      <c r="KP95"/>
      <c r="KQ95"/>
      <c r="KR95"/>
    </row>
    <row r="96" spans="1:304" s="80" customFormat="1" x14ac:dyDescent="0.25">
      <c r="A96" s="312"/>
      <c r="B96" s="225" t="s">
        <v>19</v>
      </c>
      <c r="C96" s="33">
        <f>(C80-SUM(C81:C95))</f>
        <v>67</v>
      </c>
      <c r="D96" s="33">
        <f t="shared" ref="D96:O96" si="35">(D80-SUM(D81:D95))</f>
        <v>32</v>
      </c>
      <c r="E96" s="33">
        <f t="shared" si="35"/>
        <v>45</v>
      </c>
      <c r="F96" s="33">
        <f t="shared" si="35"/>
        <v>42</v>
      </c>
      <c r="G96" s="33">
        <f t="shared" si="35"/>
        <v>33</v>
      </c>
      <c r="H96" s="33">
        <f t="shared" si="35"/>
        <v>23</v>
      </c>
      <c r="I96" s="33">
        <f t="shared" si="35"/>
        <v>44</v>
      </c>
      <c r="J96" s="33">
        <f t="shared" si="35"/>
        <v>37</v>
      </c>
      <c r="K96" s="33">
        <f t="shared" si="35"/>
        <v>33</v>
      </c>
      <c r="L96" s="33">
        <f t="shared" si="35"/>
        <v>39</v>
      </c>
      <c r="M96" s="33">
        <f t="shared" si="35"/>
        <v>58</v>
      </c>
      <c r="N96" s="33">
        <f t="shared" si="35"/>
        <v>27</v>
      </c>
      <c r="O96" s="33">
        <f t="shared" si="35"/>
        <v>18</v>
      </c>
      <c r="P96" s="33">
        <f>(P80-(SUM(P81:P95)))</f>
        <v>21</v>
      </c>
      <c r="Q96" s="33">
        <f t="shared" ref="Q96:AA96" si="36">(Q80-(SUM(Q81:Q95)))</f>
        <v>24</v>
      </c>
      <c r="R96" s="33">
        <f t="shared" si="36"/>
        <v>36</v>
      </c>
      <c r="S96" s="33">
        <f t="shared" si="36"/>
        <v>11</v>
      </c>
      <c r="T96" s="33">
        <f t="shared" si="36"/>
        <v>4</v>
      </c>
      <c r="U96" s="33">
        <f t="shared" si="36"/>
        <v>17</v>
      </c>
      <c r="V96" s="33">
        <f t="shared" si="36"/>
        <v>11</v>
      </c>
      <c r="W96" s="33">
        <f t="shared" si="36"/>
        <v>24</v>
      </c>
      <c r="X96" s="33">
        <f t="shared" si="36"/>
        <v>19</v>
      </c>
      <c r="Y96" s="33">
        <f t="shared" si="36"/>
        <v>21</v>
      </c>
      <c r="Z96" s="33">
        <f t="shared" si="36"/>
        <v>6</v>
      </c>
      <c r="AA96" s="136">
        <f t="shared" si="36"/>
        <v>35</v>
      </c>
      <c r="AB96" s="136">
        <f>(AB80-(SUM(AB81:AB95)))</f>
        <v>13</v>
      </c>
      <c r="AC96" s="136">
        <f t="shared" ref="AC96:AM96" si="37">(AC80-(SUM(AC81:AC95)))</f>
        <v>11</v>
      </c>
      <c r="AD96" s="136">
        <f t="shared" si="37"/>
        <v>25</v>
      </c>
      <c r="AE96" s="136">
        <f t="shared" si="37"/>
        <v>25</v>
      </c>
      <c r="AF96" s="136">
        <f t="shared" si="37"/>
        <v>18</v>
      </c>
      <c r="AG96" s="136">
        <f t="shared" si="37"/>
        <v>41</v>
      </c>
      <c r="AH96" s="136">
        <f t="shared" si="37"/>
        <v>26</v>
      </c>
      <c r="AI96" s="136">
        <f t="shared" si="37"/>
        <v>30</v>
      </c>
      <c r="AJ96" s="136">
        <f t="shared" si="37"/>
        <v>10</v>
      </c>
      <c r="AK96" s="136">
        <f t="shared" si="37"/>
        <v>20</v>
      </c>
      <c r="AL96" s="136">
        <f t="shared" si="37"/>
        <v>28</v>
      </c>
      <c r="AM96" s="136">
        <f t="shared" si="37"/>
        <v>38</v>
      </c>
      <c r="AN96" s="165">
        <f>(AN80-(SUM(AN81:AN95)))</f>
        <v>41</v>
      </c>
      <c r="AO96" s="165">
        <f t="shared" ref="AO96:AY96" si="38">(AO80-(SUM(AO81:AO95)))</f>
        <v>32</v>
      </c>
      <c r="AP96" s="165">
        <f t="shared" si="38"/>
        <v>21</v>
      </c>
      <c r="AQ96" s="165">
        <f t="shared" si="38"/>
        <v>28</v>
      </c>
      <c r="AR96" s="165">
        <f t="shared" si="38"/>
        <v>24</v>
      </c>
      <c r="AS96" s="165">
        <f t="shared" si="38"/>
        <v>30</v>
      </c>
      <c r="AT96" s="165">
        <f t="shared" si="38"/>
        <v>15</v>
      </c>
      <c r="AU96" s="165">
        <f t="shared" si="38"/>
        <v>21</v>
      </c>
      <c r="AV96" s="165">
        <f t="shared" si="38"/>
        <v>18</v>
      </c>
      <c r="AW96" s="165">
        <f t="shared" si="38"/>
        <v>40</v>
      </c>
      <c r="AX96" s="165">
        <f t="shared" si="38"/>
        <v>25</v>
      </c>
      <c r="AY96" s="165">
        <f t="shared" si="38"/>
        <v>21</v>
      </c>
      <c r="AZ96" s="137">
        <f>(AZ80-(SUM(AZ81:AZ95)))</f>
        <v>8</v>
      </c>
      <c r="BA96" s="137">
        <f t="shared" ref="BA96:DI96" si="39">(BA80-(SUM(BA81:BA95)))</f>
        <v>6</v>
      </c>
      <c r="BB96" s="137">
        <f t="shared" si="39"/>
        <v>10</v>
      </c>
      <c r="BC96" s="137">
        <f t="shared" si="39"/>
        <v>9</v>
      </c>
      <c r="BD96" s="137">
        <f t="shared" si="39"/>
        <v>8</v>
      </c>
      <c r="BE96" s="137">
        <f t="shared" si="39"/>
        <v>16</v>
      </c>
      <c r="BF96" s="137">
        <f t="shared" si="39"/>
        <v>8</v>
      </c>
      <c r="BG96" s="137">
        <f t="shared" si="39"/>
        <v>7</v>
      </c>
      <c r="BH96" s="137">
        <f t="shared" si="39"/>
        <v>5</v>
      </c>
      <c r="BI96" s="137">
        <f t="shared" si="39"/>
        <v>13</v>
      </c>
      <c r="BJ96" s="137">
        <f t="shared" si="39"/>
        <v>6</v>
      </c>
      <c r="BK96" s="137">
        <f t="shared" si="39"/>
        <v>5</v>
      </c>
      <c r="BL96" s="137">
        <f t="shared" si="39"/>
        <v>15</v>
      </c>
      <c r="BM96" s="137">
        <f t="shared" si="39"/>
        <v>7</v>
      </c>
      <c r="BN96" s="137">
        <f t="shared" si="39"/>
        <v>8</v>
      </c>
      <c r="BO96" s="137">
        <f t="shared" si="39"/>
        <v>15</v>
      </c>
      <c r="BP96" s="137">
        <f t="shared" si="39"/>
        <v>9</v>
      </c>
      <c r="BQ96" s="137">
        <f t="shared" si="39"/>
        <v>8</v>
      </c>
      <c r="BR96" s="137">
        <f t="shared" si="39"/>
        <v>6</v>
      </c>
      <c r="BS96" s="137">
        <f t="shared" si="39"/>
        <v>4</v>
      </c>
      <c r="BT96" s="137">
        <f t="shared" si="39"/>
        <v>9</v>
      </c>
      <c r="BU96" s="137">
        <f t="shared" si="39"/>
        <v>14</v>
      </c>
      <c r="BV96" s="137">
        <f t="shared" si="39"/>
        <v>0</v>
      </c>
      <c r="BW96" s="137">
        <f t="shared" si="39"/>
        <v>5</v>
      </c>
      <c r="BX96" s="137">
        <f t="shared" si="39"/>
        <v>7</v>
      </c>
      <c r="BY96" s="137">
        <f t="shared" si="39"/>
        <v>3</v>
      </c>
      <c r="BZ96" s="137">
        <f t="shared" si="39"/>
        <v>9</v>
      </c>
      <c r="CA96" s="137">
        <f t="shared" si="39"/>
        <v>3</v>
      </c>
      <c r="CB96" s="137">
        <f t="shared" si="39"/>
        <v>4</v>
      </c>
      <c r="CC96" s="137">
        <f t="shared" si="39"/>
        <v>8</v>
      </c>
      <c r="CD96" s="137">
        <f t="shared" si="39"/>
        <v>15</v>
      </c>
      <c r="CE96" s="137">
        <f t="shared" si="39"/>
        <v>16</v>
      </c>
      <c r="CF96" s="137">
        <f t="shared" si="39"/>
        <v>11</v>
      </c>
      <c r="CG96" s="137">
        <f t="shared" si="39"/>
        <v>8</v>
      </c>
      <c r="CH96" s="137">
        <f t="shared" si="39"/>
        <v>13</v>
      </c>
      <c r="CI96" s="137">
        <f t="shared" si="39"/>
        <v>2</v>
      </c>
      <c r="CJ96" s="137">
        <f t="shared" si="39"/>
        <v>2</v>
      </c>
      <c r="CK96" s="137">
        <f t="shared" si="39"/>
        <v>11</v>
      </c>
      <c r="CL96" s="137">
        <f t="shared" si="39"/>
        <v>1</v>
      </c>
      <c r="CM96" s="137">
        <f t="shared" si="39"/>
        <v>29</v>
      </c>
      <c r="CN96" s="137">
        <f t="shared" si="39"/>
        <v>22</v>
      </c>
      <c r="CO96" s="137">
        <f t="shared" si="39"/>
        <v>11</v>
      </c>
      <c r="CP96" s="137">
        <f t="shared" si="39"/>
        <v>6</v>
      </c>
      <c r="CQ96" s="137">
        <f t="shared" si="39"/>
        <v>7</v>
      </c>
      <c r="CR96" s="137">
        <f t="shared" si="39"/>
        <v>12</v>
      </c>
      <c r="CS96" s="137">
        <f t="shared" si="39"/>
        <v>14</v>
      </c>
      <c r="CT96" s="137">
        <f t="shared" si="39"/>
        <v>6</v>
      </c>
      <c r="CU96" s="137">
        <f t="shared" si="39"/>
        <v>16</v>
      </c>
      <c r="CV96" s="137">
        <f t="shared" si="39"/>
        <v>6</v>
      </c>
      <c r="CW96" s="137">
        <f t="shared" si="39"/>
        <v>23</v>
      </c>
      <c r="CX96" s="137">
        <f t="shared" si="39"/>
        <v>9</v>
      </c>
      <c r="CY96" s="137">
        <f t="shared" si="39"/>
        <v>0</v>
      </c>
      <c r="CZ96" s="34">
        <f t="shared" si="39"/>
        <v>29</v>
      </c>
      <c r="DA96" s="34">
        <f t="shared" si="39"/>
        <v>9</v>
      </c>
      <c r="DB96" s="34">
        <f t="shared" si="39"/>
        <v>14</v>
      </c>
      <c r="DC96" s="34">
        <f t="shared" si="39"/>
        <v>10</v>
      </c>
      <c r="DD96" s="34">
        <f t="shared" si="39"/>
        <v>7</v>
      </c>
      <c r="DE96" s="34">
        <v>3</v>
      </c>
      <c r="DF96" s="34">
        <f t="shared" si="39"/>
        <v>8</v>
      </c>
      <c r="DG96" s="34">
        <v>9</v>
      </c>
      <c r="DH96" s="34">
        <v>20</v>
      </c>
      <c r="DI96" s="34">
        <f t="shared" si="39"/>
        <v>3</v>
      </c>
      <c r="DJ96" s="34">
        <v>20</v>
      </c>
      <c r="DK96" s="34">
        <v>10</v>
      </c>
      <c r="DL96" s="34">
        <v>3</v>
      </c>
      <c r="DM96" s="34">
        <v>1</v>
      </c>
      <c r="DN96" s="34">
        <f t="shared" ref="DN96:ER96" si="40">(DN80-(SUM(DN81:DN95)))</f>
        <v>1</v>
      </c>
      <c r="DO96" s="34">
        <f t="shared" si="40"/>
        <v>1</v>
      </c>
      <c r="DP96" s="34">
        <f t="shared" si="40"/>
        <v>0</v>
      </c>
      <c r="DQ96" s="34">
        <f t="shared" si="40"/>
        <v>0</v>
      </c>
      <c r="DR96" s="34">
        <v>2</v>
      </c>
      <c r="DS96" s="42">
        <f t="shared" si="40"/>
        <v>0</v>
      </c>
      <c r="DT96" s="42">
        <v>1</v>
      </c>
      <c r="DU96" s="42">
        <v>2</v>
      </c>
      <c r="DV96" s="42">
        <v>0</v>
      </c>
      <c r="DW96" s="42">
        <v>1</v>
      </c>
      <c r="DX96" s="42">
        <v>0</v>
      </c>
      <c r="DY96" s="42">
        <v>0</v>
      </c>
      <c r="DZ96" s="42">
        <v>1</v>
      </c>
      <c r="EA96" s="42">
        <v>2</v>
      </c>
      <c r="EB96" s="42">
        <v>0</v>
      </c>
      <c r="EC96" s="42">
        <v>0</v>
      </c>
      <c r="ED96" s="42">
        <v>0</v>
      </c>
      <c r="EE96" s="42">
        <v>1</v>
      </c>
      <c r="EF96" s="42">
        <v>1</v>
      </c>
      <c r="EG96" s="42">
        <v>1</v>
      </c>
      <c r="EH96" s="211">
        <f t="shared" si="31"/>
        <v>259</v>
      </c>
      <c r="EI96" s="163">
        <f>EH96/EH80</f>
        <v>0.30614657210401891</v>
      </c>
      <c r="EJ96" s="89">
        <f t="shared" si="32"/>
        <v>1962</v>
      </c>
      <c r="EK96" s="164">
        <f>(EJ96/$EJ80)</f>
        <v>0.21217692224505244</v>
      </c>
      <c r="EL96" s="47">
        <f t="shared" si="27"/>
        <v>16</v>
      </c>
      <c r="EM96" s="200"/>
      <c r="EN96" s="47">
        <f t="shared" si="28"/>
        <v>1667</v>
      </c>
      <c r="EO96" s="34">
        <f t="shared" si="40"/>
        <v>67</v>
      </c>
      <c r="EP96" s="34">
        <f t="shared" si="40"/>
        <v>431</v>
      </c>
      <c r="EQ96" s="34">
        <f t="shared" si="40"/>
        <v>229</v>
      </c>
      <c r="ER96" s="34">
        <f t="shared" si="40"/>
        <v>285</v>
      </c>
      <c r="ES96" s="34">
        <f>(ES80-(SUM(ES81:ES95)))</f>
        <v>316</v>
      </c>
      <c r="ET96" s="49">
        <f t="shared" si="29"/>
        <v>201</v>
      </c>
      <c r="EU96" s="49">
        <f t="shared" si="30"/>
        <v>236</v>
      </c>
      <c r="EV96" s="49">
        <f t="shared" si="34"/>
        <v>188</v>
      </c>
      <c r="EW96" s="49">
        <f t="shared" si="33"/>
        <v>7</v>
      </c>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c r="GL96"/>
      <c r="GM96"/>
      <c r="GN96"/>
      <c r="GO96"/>
      <c r="GP96"/>
      <c r="GQ96"/>
      <c r="GR96"/>
      <c r="GS96"/>
      <c r="GT96"/>
      <c r="GU96"/>
      <c r="GV96"/>
      <c r="GW96"/>
      <c r="GX96"/>
      <c r="GY96"/>
      <c r="GZ96"/>
      <c r="HA96"/>
      <c r="HB96"/>
      <c r="HC96"/>
      <c r="HD96"/>
      <c r="HE96"/>
      <c r="HF96"/>
      <c r="HG96"/>
      <c r="HH96"/>
      <c r="HI96"/>
      <c r="HJ96"/>
      <c r="HK96"/>
      <c r="HL96"/>
      <c r="HM96"/>
      <c r="HN96"/>
      <c r="HO96"/>
      <c r="HP96"/>
      <c r="HQ96"/>
      <c r="HR96"/>
      <c r="HS96"/>
      <c r="HT96"/>
      <c r="HU96"/>
      <c r="HV96"/>
      <c r="HW96"/>
      <c r="HX96"/>
      <c r="HY96"/>
      <c r="HZ96"/>
      <c r="IA96"/>
      <c r="IB96"/>
      <c r="IC96"/>
      <c r="ID96"/>
      <c r="IE96"/>
      <c r="IF96"/>
      <c r="IG96"/>
      <c r="IH96"/>
      <c r="II96"/>
      <c r="IJ96"/>
      <c r="IK96"/>
      <c r="IL96"/>
      <c r="IM96"/>
      <c r="IN96"/>
      <c r="IO96"/>
      <c r="IP96"/>
      <c r="IQ96"/>
      <c r="IR96"/>
      <c r="IS96"/>
      <c r="IT96"/>
      <c r="IU96"/>
      <c r="IV96"/>
      <c r="IW96"/>
      <c r="IX96"/>
      <c r="IY96"/>
      <c r="IZ96"/>
      <c r="JA96"/>
      <c r="JB96"/>
      <c r="JC96"/>
      <c r="JD96"/>
      <c r="JE96"/>
      <c r="JF96"/>
      <c r="JG96"/>
      <c r="JH96"/>
      <c r="JI96"/>
      <c r="JJ96"/>
      <c r="JK96"/>
      <c r="JL96"/>
      <c r="JM96"/>
      <c r="JN96"/>
      <c r="JO96"/>
      <c r="JP96"/>
      <c r="JQ96"/>
      <c r="JR96"/>
      <c r="JS96"/>
      <c r="JT96"/>
      <c r="JU96"/>
      <c r="JV96"/>
      <c r="JW96"/>
      <c r="JX96"/>
      <c r="JY96"/>
      <c r="JZ96"/>
      <c r="KA96"/>
      <c r="KB96"/>
      <c r="KC96"/>
      <c r="KD96"/>
      <c r="KE96"/>
      <c r="KF96"/>
      <c r="KG96"/>
      <c r="KH96"/>
      <c r="KI96"/>
      <c r="KJ96"/>
      <c r="KK96"/>
      <c r="KL96"/>
      <c r="KM96"/>
      <c r="KN96"/>
      <c r="KO96"/>
      <c r="KP96"/>
      <c r="KQ96"/>
      <c r="KR96"/>
    </row>
    <row r="97" spans="1:304" s="80" customFormat="1" ht="30" hidden="1" x14ac:dyDescent="0.25">
      <c r="A97" s="313" t="s">
        <v>183</v>
      </c>
      <c r="B97" s="84" t="s">
        <v>180</v>
      </c>
      <c r="C97" s="33">
        <v>75</v>
      </c>
      <c r="D97" s="33">
        <v>38</v>
      </c>
      <c r="E97" s="33">
        <v>34</v>
      </c>
      <c r="F97" s="33">
        <v>32</v>
      </c>
      <c r="G97" s="33">
        <v>46</v>
      </c>
      <c r="H97" s="33">
        <v>39</v>
      </c>
      <c r="I97" s="33">
        <v>96</v>
      </c>
      <c r="J97" s="33">
        <v>4</v>
      </c>
      <c r="K97" s="33">
        <v>18</v>
      </c>
      <c r="L97" s="33">
        <v>140</v>
      </c>
      <c r="M97" s="33">
        <v>160</v>
      </c>
      <c r="N97" s="33">
        <v>6</v>
      </c>
      <c r="O97" s="33">
        <v>95</v>
      </c>
      <c r="P97" s="33">
        <v>65</v>
      </c>
      <c r="Q97" s="33">
        <v>0</v>
      </c>
      <c r="R97" s="33">
        <v>56</v>
      </c>
      <c r="S97" s="33">
        <v>54</v>
      </c>
      <c r="T97" s="33">
        <v>2</v>
      </c>
      <c r="U97" s="33">
        <v>0</v>
      </c>
      <c r="V97" s="33">
        <v>4</v>
      </c>
      <c r="W97" s="33">
        <v>4</v>
      </c>
      <c r="X97" s="33">
        <v>2</v>
      </c>
      <c r="Y97" s="33">
        <v>23</v>
      </c>
      <c r="Z97" s="33">
        <v>8</v>
      </c>
      <c r="AA97" s="136">
        <v>5</v>
      </c>
      <c r="AB97" s="136">
        <v>6</v>
      </c>
      <c r="AC97" s="136">
        <v>3</v>
      </c>
      <c r="AD97" s="136">
        <v>6</v>
      </c>
      <c r="AE97" s="136">
        <v>67</v>
      </c>
      <c r="AF97" s="136">
        <v>0</v>
      </c>
      <c r="AG97" s="136">
        <v>77</v>
      </c>
      <c r="AH97" s="136">
        <v>2</v>
      </c>
      <c r="AI97" s="136">
        <v>14</v>
      </c>
      <c r="AJ97" s="137">
        <v>13</v>
      </c>
      <c r="AK97" s="137">
        <v>4</v>
      </c>
      <c r="AL97" s="137">
        <v>3</v>
      </c>
      <c r="AM97" s="137">
        <v>0</v>
      </c>
      <c r="AN97" s="137">
        <v>0</v>
      </c>
      <c r="AO97" s="137">
        <v>3</v>
      </c>
      <c r="AP97" s="137">
        <v>0</v>
      </c>
      <c r="AQ97" s="137">
        <v>0</v>
      </c>
      <c r="AR97" s="137">
        <v>0</v>
      </c>
      <c r="AS97" s="137">
        <v>0</v>
      </c>
      <c r="AT97" s="137">
        <v>2</v>
      </c>
      <c r="AU97" s="137">
        <v>134</v>
      </c>
      <c r="AV97" s="137">
        <v>3</v>
      </c>
      <c r="AW97" s="136">
        <v>17</v>
      </c>
      <c r="AX97" s="137">
        <v>129</v>
      </c>
      <c r="AY97" s="137">
        <v>0</v>
      </c>
      <c r="AZ97" s="137">
        <v>0</v>
      </c>
      <c r="BA97" s="137">
        <v>0</v>
      </c>
      <c r="BB97" s="137">
        <v>7</v>
      </c>
      <c r="BC97" s="137">
        <v>0</v>
      </c>
      <c r="BD97" s="137">
        <v>1</v>
      </c>
      <c r="BE97" s="137">
        <v>0</v>
      </c>
      <c r="BF97" s="137">
        <v>141</v>
      </c>
      <c r="BG97" s="137">
        <v>6</v>
      </c>
      <c r="BH97" s="137">
        <v>1</v>
      </c>
      <c r="BI97" s="137">
        <v>1</v>
      </c>
      <c r="BJ97" s="137">
        <v>0</v>
      </c>
      <c r="BK97" s="137">
        <v>153</v>
      </c>
      <c r="BL97" s="137">
        <v>0</v>
      </c>
      <c r="BM97" s="137">
        <v>0</v>
      </c>
      <c r="BN97" s="137">
        <v>5</v>
      </c>
      <c r="BO97" s="137">
        <v>0</v>
      </c>
      <c r="BP97" s="137">
        <v>3</v>
      </c>
      <c r="BQ97" s="137">
        <v>0</v>
      </c>
      <c r="BR97" s="137">
        <v>2</v>
      </c>
      <c r="BS97" s="137">
        <v>0</v>
      </c>
      <c r="BT97" s="137">
        <v>6</v>
      </c>
      <c r="BU97" s="137">
        <v>6</v>
      </c>
      <c r="BV97" s="137">
        <v>3</v>
      </c>
      <c r="BW97" s="137">
        <v>26</v>
      </c>
      <c r="BX97" s="137">
        <v>1</v>
      </c>
      <c r="BY97" s="137">
        <v>3</v>
      </c>
      <c r="BZ97" s="137">
        <v>1</v>
      </c>
      <c r="CA97" s="137">
        <v>1</v>
      </c>
      <c r="CB97" s="137">
        <v>1</v>
      </c>
      <c r="CC97" s="137">
        <v>7</v>
      </c>
      <c r="CD97" s="137">
        <v>3</v>
      </c>
      <c r="CE97" s="137">
        <v>4</v>
      </c>
      <c r="CF97" s="137">
        <v>14</v>
      </c>
      <c r="CG97" s="137">
        <v>9</v>
      </c>
      <c r="CH97" s="137">
        <v>17</v>
      </c>
      <c r="CI97" s="137">
        <v>8</v>
      </c>
      <c r="CJ97" s="137">
        <v>16</v>
      </c>
      <c r="CK97" s="137">
        <v>8</v>
      </c>
      <c r="CL97" s="137">
        <v>4</v>
      </c>
      <c r="CM97" s="137">
        <v>7</v>
      </c>
      <c r="CN97" s="137">
        <f>11+6</f>
        <v>17</v>
      </c>
      <c r="CO97" s="137">
        <v>21</v>
      </c>
      <c r="CP97" s="137">
        <v>3</v>
      </c>
      <c r="CQ97" s="137">
        <v>22</v>
      </c>
      <c r="CR97" s="137">
        <v>9</v>
      </c>
      <c r="CS97" s="137">
        <v>4</v>
      </c>
      <c r="CT97" s="137">
        <v>4</v>
      </c>
      <c r="CU97" s="137">
        <v>2</v>
      </c>
      <c r="CV97" s="137">
        <v>1</v>
      </c>
      <c r="CW97" s="137">
        <v>8</v>
      </c>
      <c r="CX97" s="137">
        <v>0</v>
      </c>
      <c r="CY97" s="137">
        <v>7</v>
      </c>
      <c r="CZ97" s="34">
        <v>3</v>
      </c>
      <c r="DA97" s="34">
        <v>5</v>
      </c>
      <c r="DB97" s="34">
        <v>0</v>
      </c>
      <c r="DC97" s="34">
        <v>1</v>
      </c>
      <c r="DD97" s="34">
        <v>3</v>
      </c>
      <c r="DE97" s="34">
        <v>3</v>
      </c>
      <c r="DF97" s="34"/>
      <c r="DG97" s="34"/>
      <c r="DH97" s="34"/>
      <c r="DI97" s="34"/>
      <c r="DJ97" s="34"/>
      <c r="DK97" s="34"/>
      <c r="DL97" s="34"/>
      <c r="DM97" s="34"/>
      <c r="DN97" s="34"/>
      <c r="DO97" s="34"/>
      <c r="DP97" s="34"/>
      <c r="DQ97" s="34"/>
      <c r="DR97" s="34"/>
      <c r="DS97" s="42"/>
      <c r="DT97" s="42"/>
      <c r="DU97" s="42"/>
      <c r="DV97" s="42"/>
      <c r="DW97" s="42"/>
      <c r="DX97" s="42"/>
      <c r="DY97" s="42"/>
      <c r="DZ97" s="42"/>
      <c r="EA97" s="42"/>
      <c r="EB97" s="42"/>
      <c r="EC97" s="42"/>
      <c r="ED97" s="42"/>
      <c r="EE97" s="42"/>
      <c r="EF97" s="42"/>
      <c r="EG97" s="42"/>
      <c r="EH97" s="211">
        <f t="shared" si="31"/>
        <v>75</v>
      </c>
      <c r="EI97" s="89"/>
      <c r="EJ97" s="89">
        <f t="shared" si="32"/>
        <v>2067</v>
      </c>
      <c r="EK97" s="89"/>
      <c r="EL97" s="47">
        <f t="shared" si="27"/>
        <v>0</v>
      </c>
      <c r="EM97" s="47"/>
      <c r="EN97" s="47">
        <f t="shared" si="28"/>
        <v>1707</v>
      </c>
      <c r="EO97" s="12">
        <f>SUM(C97:C97)</f>
        <v>75</v>
      </c>
      <c r="EP97" s="89">
        <f t="shared" ref="EP97" si="41">SUM(F97:DA97)</f>
        <v>1913</v>
      </c>
      <c r="EQ97" s="89">
        <f>SUM(P97:AA97)</f>
        <v>223</v>
      </c>
      <c r="ER97" s="89">
        <f>SUM(AB97:AM97)</f>
        <v>195</v>
      </c>
      <c r="ES97" s="89">
        <f>SUM(AN97:AY97)</f>
        <v>288</v>
      </c>
      <c r="ET97" s="49">
        <f t="shared" si="29"/>
        <v>361</v>
      </c>
      <c r="EU97" s="49">
        <f t="shared" si="30"/>
        <v>186</v>
      </c>
      <c r="EV97" s="49">
        <f t="shared" si="34"/>
        <v>31</v>
      </c>
      <c r="EW97" s="49">
        <f t="shared" si="33"/>
        <v>0</v>
      </c>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c r="GL97"/>
      <c r="GM97"/>
      <c r="GN97"/>
      <c r="GO97"/>
      <c r="GP97"/>
      <c r="GQ97"/>
      <c r="GR97"/>
      <c r="GS97"/>
      <c r="GT97"/>
      <c r="GU97"/>
      <c r="GV97"/>
      <c r="GW97"/>
      <c r="GX97"/>
      <c r="GY97"/>
      <c r="GZ97"/>
      <c r="HA97"/>
      <c r="HB97"/>
      <c r="HC97"/>
      <c r="HD97"/>
      <c r="HE97"/>
      <c r="HF97"/>
      <c r="HG97"/>
      <c r="HH97"/>
      <c r="HI97"/>
      <c r="HJ97"/>
      <c r="HK97"/>
      <c r="HL97"/>
      <c r="HM97"/>
      <c r="HN97"/>
      <c r="HO97"/>
      <c r="HP97"/>
      <c r="HQ97"/>
      <c r="HR97"/>
      <c r="HS97"/>
      <c r="HT97"/>
      <c r="HU97"/>
      <c r="HV97"/>
      <c r="HW97"/>
      <c r="HX97"/>
      <c r="HY97"/>
      <c r="HZ97"/>
      <c r="IA97"/>
      <c r="IB97"/>
      <c r="IC97"/>
      <c r="ID97"/>
      <c r="IE97"/>
      <c r="IF97"/>
      <c r="IG97"/>
      <c r="IH97"/>
      <c r="II97"/>
      <c r="IJ97"/>
      <c r="IK97"/>
      <c r="IL97"/>
      <c r="IM97"/>
      <c r="IN97"/>
      <c r="IO97"/>
      <c r="IP97"/>
      <c r="IQ97"/>
      <c r="IR97"/>
      <c r="IS97"/>
      <c r="IT97"/>
      <c r="IU97"/>
      <c r="IV97"/>
      <c r="IW97"/>
      <c r="IX97"/>
      <c r="IY97"/>
      <c r="IZ97"/>
      <c r="JA97"/>
      <c r="JB97"/>
      <c r="JC97"/>
      <c r="JD97"/>
      <c r="JE97"/>
      <c r="JF97"/>
      <c r="JG97"/>
      <c r="JH97"/>
      <c r="JI97"/>
      <c r="JJ97"/>
      <c r="JK97"/>
      <c r="JL97"/>
      <c r="JM97"/>
      <c r="JN97"/>
      <c r="JO97"/>
      <c r="JP97"/>
      <c r="JQ97"/>
      <c r="JR97"/>
      <c r="JS97"/>
      <c r="JT97"/>
      <c r="JU97"/>
      <c r="JV97"/>
      <c r="JW97"/>
      <c r="JX97"/>
      <c r="JY97"/>
      <c r="JZ97"/>
      <c r="KA97"/>
      <c r="KB97"/>
      <c r="KC97"/>
      <c r="KD97"/>
      <c r="KE97"/>
      <c r="KF97"/>
      <c r="KG97"/>
      <c r="KH97"/>
      <c r="KI97"/>
      <c r="KJ97"/>
      <c r="KK97"/>
      <c r="KL97"/>
      <c r="KM97"/>
      <c r="KN97"/>
      <c r="KO97"/>
      <c r="KP97"/>
      <c r="KQ97"/>
      <c r="KR97"/>
    </row>
    <row r="98" spans="1:304" s="80" customFormat="1" ht="30" hidden="1" x14ac:dyDescent="0.25">
      <c r="A98" s="314"/>
      <c r="B98" s="84" t="s">
        <v>184</v>
      </c>
      <c r="C98" s="33">
        <v>6</v>
      </c>
      <c r="D98" s="33">
        <v>3</v>
      </c>
      <c r="E98" s="33">
        <v>11</v>
      </c>
      <c r="F98" s="33">
        <v>6</v>
      </c>
      <c r="G98" s="33">
        <v>4</v>
      </c>
      <c r="H98" s="33">
        <v>5</v>
      </c>
      <c r="I98" s="33">
        <v>9</v>
      </c>
      <c r="J98" s="33">
        <v>3</v>
      </c>
      <c r="K98" s="33">
        <v>7</v>
      </c>
      <c r="L98" s="33">
        <v>5</v>
      </c>
      <c r="M98" s="33">
        <v>6</v>
      </c>
      <c r="N98" s="33">
        <v>4</v>
      </c>
      <c r="O98" s="33">
        <v>6</v>
      </c>
      <c r="P98" s="33">
        <v>4</v>
      </c>
      <c r="Q98" s="33">
        <v>0</v>
      </c>
      <c r="R98" s="33">
        <v>4</v>
      </c>
      <c r="S98" s="33">
        <v>3</v>
      </c>
      <c r="T98" s="33">
        <v>2</v>
      </c>
      <c r="U98" s="33">
        <v>0</v>
      </c>
      <c r="V98" s="33">
        <v>1</v>
      </c>
      <c r="W98" s="33">
        <v>1</v>
      </c>
      <c r="X98" s="33">
        <v>3</v>
      </c>
      <c r="Y98" s="33">
        <v>3</v>
      </c>
      <c r="Z98" s="33">
        <v>1</v>
      </c>
      <c r="AA98" s="136">
        <v>2</v>
      </c>
      <c r="AB98" s="136">
        <v>3</v>
      </c>
      <c r="AC98" s="136">
        <v>1</v>
      </c>
      <c r="AD98" s="136">
        <v>2</v>
      </c>
      <c r="AE98" s="136">
        <v>3</v>
      </c>
      <c r="AF98" s="136">
        <v>0</v>
      </c>
      <c r="AG98" s="136">
        <v>2</v>
      </c>
      <c r="AH98" s="136">
        <v>1</v>
      </c>
      <c r="AI98" s="136">
        <v>5</v>
      </c>
      <c r="AJ98" s="136">
        <v>1</v>
      </c>
      <c r="AK98" s="136">
        <v>3</v>
      </c>
      <c r="AL98" s="136">
        <v>2</v>
      </c>
      <c r="AM98" s="136">
        <v>0</v>
      </c>
      <c r="AN98" s="137">
        <v>0</v>
      </c>
      <c r="AO98" s="137">
        <v>1</v>
      </c>
      <c r="AP98" s="137">
        <v>0</v>
      </c>
      <c r="AQ98" s="137">
        <v>0</v>
      </c>
      <c r="AR98" s="137">
        <v>0</v>
      </c>
      <c r="AS98" s="137">
        <v>0</v>
      </c>
      <c r="AT98" s="137">
        <v>1</v>
      </c>
      <c r="AU98" s="137">
        <v>3</v>
      </c>
      <c r="AV98" s="137">
        <v>1</v>
      </c>
      <c r="AW98" s="136">
        <v>1</v>
      </c>
      <c r="AX98" s="137">
        <v>3</v>
      </c>
      <c r="AY98" s="137">
        <v>0</v>
      </c>
      <c r="AZ98" s="137">
        <v>0</v>
      </c>
      <c r="BA98" s="137">
        <v>0</v>
      </c>
      <c r="BB98" s="137">
        <v>2</v>
      </c>
      <c r="BC98" s="137">
        <v>0</v>
      </c>
      <c r="BD98" s="137">
        <v>1</v>
      </c>
      <c r="BE98" s="137">
        <v>0</v>
      </c>
      <c r="BF98" s="137">
        <v>2</v>
      </c>
      <c r="BG98" s="137">
        <v>3</v>
      </c>
      <c r="BH98" s="137">
        <v>1</v>
      </c>
      <c r="BI98" s="137">
        <v>1</v>
      </c>
      <c r="BJ98" s="137">
        <v>0</v>
      </c>
      <c r="BK98" s="137">
        <v>4</v>
      </c>
      <c r="BL98" s="137">
        <v>0</v>
      </c>
      <c r="BM98" s="137">
        <v>0</v>
      </c>
      <c r="BN98" s="137">
        <v>1</v>
      </c>
      <c r="BO98" s="137">
        <v>0</v>
      </c>
      <c r="BP98" s="137">
        <v>1</v>
      </c>
      <c r="BQ98" s="137">
        <v>0</v>
      </c>
      <c r="BR98" s="137">
        <v>1</v>
      </c>
      <c r="BS98" s="137">
        <v>0</v>
      </c>
      <c r="BT98" s="137">
        <v>3</v>
      </c>
      <c r="BU98" s="137">
        <v>5</v>
      </c>
      <c r="BV98" s="137">
        <v>2</v>
      </c>
      <c r="BW98" s="137">
        <v>9</v>
      </c>
      <c r="BX98" s="137">
        <v>1</v>
      </c>
      <c r="BY98" s="137">
        <v>2</v>
      </c>
      <c r="BZ98" s="137">
        <v>1</v>
      </c>
      <c r="CA98" s="137">
        <v>1</v>
      </c>
      <c r="CB98" s="137">
        <v>1</v>
      </c>
      <c r="CC98" s="137">
        <v>2</v>
      </c>
      <c r="CD98" s="137">
        <v>1</v>
      </c>
      <c r="CE98" s="137">
        <v>2</v>
      </c>
      <c r="CF98" s="137">
        <v>4</v>
      </c>
      <c r="CG98" s="137">
        <v>3</v>
      </c>
      <c r="CH98" s="137">
        <v>4</v>
      </c>
      <c r="CI98" s="137">
        <v>2</v>
      </c>
      <c r="CJ98" s="137">
        <v>6</v>
      </c>
      <c r="CK98" s="137">
        <v>6</v>
      </c>
      <c r="CL98" s="137">
        <v>2</v>
      </c>
      <c r="CM98" s="137">
        <v>3</v>
      </c>
      <c r="CN98" s="137">
        <f>5+3</f>
        <v>8</v>
      </c>
      <c r="CO98" s="137">
        <v>3</v>
      </c>
      <c r="CP98" s="137">
        <v>1</v>
      </c>
      <c r="CQ98" s="137">
        <v>5</v>
      </c>
      <c r="CR98" s="137">
        <v>2</v>
      </c>
      <c r="CS98" s="137">
        <v>2</v>
      </c>
      <c r="CT98" s="137">
        <v>3</v>
      </c>
      <c r="CU98" s="137">
        <v>2</v>
      </c>
      <c r="CV98" s="137">
        <v>1</v>
      </c>
      <c r="CW98" s="137">
        <v>6</v>
      </c>
      <c r="CX98" s="137">
        <v>1</v>
      </c>
      <c r="CY98" s="137">
        <v>3</v>
      </c>
      <c r="CZ98" s="34">
        <v>4</v>
      </c>
      <c r="DA98" s="34">
        <v>2</v>
      </c>
      <c r="DB98" s="34">
        <v>0</v>
      </c>
      <c r="DC98" s="34">
        <v>1</v>
      </c>
      <c r="DD98" s="34">
        <v>1</v>
      </c>
      <c r="DE98" s="34">
        <v>3</v>
      </c>
      <c r="DF98" s="34"/>
      <c r="DG98" s="34"/>
      <c r="DH98" s="34"/>
      <c r="DI98" s="34"/>
      <c r="DJ98" s="34"/>
      <c r="DK98" s="34"/>
      <c r="DL98" s="34"/>
      <c r="DM98" s="34"/>
      <c r="DN98" s="34"/>
      <c r="DO98" s="34"/>
      <c r="DP98" s="34"/>
      <c r="DQ98" s="34"/>
      <c r="DR98" s="34"/>
      <c r="DS98" s="42"/>
      <c r="DT98" s="42"/>
      <c r="DU98" s="42"/>
      <c r="DV98" s="42"/>
      <c r="DW98" s="42"/>
      <c r="DX98" s="42"/>
      <c r="DY98" s="42"/>
      <c r="DZ98" s="42"/>
      <c r="EA98" s="42"/>
      <c r="EB98" s="42"/>
      <c r="EC98" s="42"/>
      <c r="ED98" s="42"/>
      <c r="EE98" s="42"/>
      <c r="EF98" s="42"/>
      <c r="EG98" s="42"/>
      <c r="EH98" s="211">
        <f t="shared" si="31"/>
        <v>37</v>
      </c>
      <c r="EI98" s="89"/>
      <c r="EJ98" s="89">
        <f t="shared" si="32"/>
        <v>257</v>
      </c>
      <c r="EK98" s="89"/>
      <c r="EL98" s="47">
        <f t="shared" ref="EL98:EL114" si="42">SUM(DK98:DQ98)</f>
        <v>0</v>
      </c>
      <c r="EM98" s="47"/>
      <c r="EN98" s="47">
        <f t="shared" si="28"/>
        <v>213</v>
      </c>
      <c r="EO98" s="12">
        <f>SUM(C98:C98)</f>
        <v>6</v>
      </c>
      <c r="EP98" s="89">
        <f t="shared" ref="EP98:EP100" si="43">SUM(F98:DA98)</f>
        <v>232</v>
      </c>
      <c r="EQ98" s="12">
        <f>SUM(P98:AA98)</f>
        <v>24</v>
      </c>
      <c r="ER98" s="12">
        <f>SUM(AB98:AM98)</f>
        <v>23</v>
      </c>
      <c r="ES98" s="15">
        <f>SUM(AN98:AY98)</f>
        <v>10</v>
      </c>
      <c r="ET98" s="49">
        <f t="shared" si="29"/>
        <v>36</v>
      </c>
      <c r="EU98" s="49">
        <f t="shared" si="30"/>
        <v>67</v>
      </c>
      <c r="EV98" s="49">
        <f t="shared" si="34"/>
        <v>22</v>
      </c>
      <c r="EW98" s="49">
        <f t="shared" si="33"/>
        <v>0</v>
      </c>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c r="GL98"/>
      <c r="GM98"/>
      <c r="GN98"/>
      <c r="GO98"/>
      <c r="GP98"/>
      <c r="GQ98"/>
      <c r="GR98"/>
      <c r="GS98"/>
      <c r="GT98"/>
      <c r="GU98"/>
      <c r="GV98"/>
      <c r="GW98"/>
      <c r="GX98"/>
      <c r="GY98"/>
      <c r="GZ98"/>
      <c r="HA98"/>
      <c r="HB98"/>
      <c r="HC98"/>
      <c r="HD98"/>
      <c r="HE98"/>
      <c r="HF98"/>
      <c r="HG98"/>
      <c r="HH98"/>
      <c r="HI98"/>
      <c r="HJ98"/>
      <c r="HK98"/>
      <c r="HL98"/>
      <c r="HM98"/>
      <c r="HN98"/>
      <c r="HO98"/>
      <c r="HP98"/>
      <c r="HQ98"/>
      <c r="HR98"/>
      <c r="HS98"/>
      <c r="HT98"/>
      <c r="HU98"/>
      <c r="HV98"/>
      <c r="HW98"/>
      <c r="HX98"/>
      <c r="HY98"/>
      <c r="HZ98"/>
      <c r="IA98"/>
      <c r="IB98"/>
      <c r="IC98"/>
      <c r="ID98"/>
      <c r="IE98"/>
      <c r="IF98"/>
      <c r="IG98"/>
      <c r="IH98"/>
      <c r="II98"/>
      <c r="IJ98"/>
      <c r="IK98"/>
      <c r="IL98"/>
      <c r="IM98"/>
      <c r="IN98"/>
      <c r="IO98"/>
      <c r="IP98"/>
      <c r="IQ98"/>
      <c r="IR98"/>
      <c r="IS98"/>
      <c r="IT98"/>
      <c r="IU98"/>
      <c r="IV98"/>
      <c r="IW98"/>
      <c r="IX98"/>
      <c r="IY98"/>
      <c r="IZ98"/>
      <c r="JA98"/>
      <c r="JB98"/>
      <c r="JC98"/>
      <c r="JD98"/>
      <c r="JE98"/>
      <c r="JF98"/>
      <c r="JG98"/>
      <c r="JH98"/>
      <c r="JI98"/>
      <c r="JJ98"/>
      <c r="JK98"/>
      <c r="JL98"/>
      <c r="JM98"/>
      <c r="JN98"/>
      <c r="JO98"/>
      <c r="JP98"/>
      <c r="JQ98"/>
      <c r="JR98"/>
      <c r="JS98"/>
      <c r="JT98"/>
      <c r="JU98"/>
      <c r="JV98"/>
      <c r="JW98"/>
      <c r="JX98"/>
      <c r="JY98"/>
      <c r="JZ98"/>
      <c r="KA98"/>
      <c r="KB98"/>
      <c r="KC98"/>
      <c r="KD98"/>
      <c r="KE98"/>
      <c r="KF98"/>
      <c r="KG98"/>
      <c r="KH98"/>
      <c r="KI98"/>
      <c r="KJ98"/>
      <c r="KK98"/>
      <c r="KL98"/>
      <c r="KM98"/>
      <c r="KN98"/>
      <c r="KO98"/>
      <c r="KP98"/>
      <c r="KQ98"/>
      <c r="KR98"/>
    </row>
    <row r="99" spans="1:304" s="80" customFormat="1" ht="30" hidden="1" x14ac:dyDescent="0.25">
      <c r="A99" s="314"/>
      <c r="B99" s="84" t="s">
        <v>181</v>
      </c>
      <c r="C99" s="81" t="s">
        <v>154</v>
      </c>
      <c r="D99" s="81" t="s">
        <v>154</v>
      </c>
      <c r="E99" s="81" t="s">
        <v>154</v>
      </c>
      <c r="F99" s="81" t="s">
        <v>154</v>
      </c>
      <c r="G99" s="81" t="s">
        <v>154</v>
      </c>
      <c r="H99" s="81" t="s">
        <v>154</v>
      </c>
      <c r="I99" s="81" t="s">
        <v>154</v>
      </c>
      <c r="J99" s="81" t="s">
        <v>154</v>
      </c>
      <c r="K99" s="81" t="s">
        <v>154</v>
      </c>
      <c r="L99" s="81" t="s">
        <v>154</v>
      </c>
      <c r="M99" s="81" t="s">
        <v>154</v>
      </c>
      <c r="N99" s="81" t="s">
        <v>154</v>
      </c>
      <c r="O99" s="81" t="s">
        <v>154</v>
      </c>
      <c r="P99" s="81" t="s">
        <v>154</v>
      </c>
      <c r="Q99" s="81" t="s">
        <v>154</v>
      </c>
      <c r="R99" s="81" t="s">
        <v>154</v>
      </c>
      <c r="S99" s="81" t="s">
        <v>154</v>
      </c>
      <c r="T99" s="81" t="s">
        <v>154</v>
      </c>
      <c r="U99" s="81" t="s">
        <v>154</v>
      </c>
      <c r="V99" s="81" t="s">
        <v>154</v>
      </c>
      <c r="W99" s="81" t="s">
        <v>154</v>
      </c>
      <c r="X99" s="81" t="s">
        <v>154</v>
      </c>
      <c r="Y99" s="81" t="s">
        <v>154</v>
      </c>
      <c r="Z99" s="81" t="s">
        <v>154</v>
      </c>
      <c r="AA99" s="166" t="s">
        <v>154</v>
      </c>
      <c r="AB99" s="166" t="s">
        <v>154</v>
      </c>
      <c r="AC99" s="166" t="s">
        <v>154</v>
      </c>
      <c r="AD99" s="166" t="s">
        <v>154</v>
      </c>
      <c r="AE99" s="166" t="s">
        <v>154</v>
      </c>
      <c r="AF99" s="166" t="s">
        <v>154</v>
      </c>
      <c r="AG99" s="166" t="s">
        <v>154</v>
      </c>
      <c r="AH99" s="166" t="s">
        <v>154</v>
      </c>
      <c r="AI99" s="166" t="s">
        <v>154</v>
      </c>
      <c r="AJ99" s="166" t="s">
        <v>154</v>
      </c>
      <c r="AK99" s="166" t="s">
        <v>154</v>
      </c>
      <c r="AL99" s="166" t="s">
        <v>154</v>
      </c>
      <c r="AM99" s="166" t="s">
        <v>154</v>
      </c>
      <c r="AN99" s="166" t="s">
        <v>154</v>
      </c>
      <c r="AO99" s="166" t="s">
        <v>154</v>
      </c>
      <c r="AP99" s="166" t="s">
        <v>154</v>
      </c>
      <c r="AQ99" s="166" t="s">
        <v>154</v>
      </c>
      <c r="AR99" s="166" t="s">
        <v>154</v>
      </c>
      <c r="AS99" s="166" t="s">
        <v>154</v>
      </c>
      <c r="AT99" s="166" t="s">
        <v>154</v>
      </c>
      <c r="AU99" s="166" t="s">
        <v>154</v>
      </c>
      <c r="AV99" s="166" t="s">
        <v>154</v>
      </c>
      <c r="AW99" s="166" t="s">
        <v>154</v>
      </c>
      <c r="AX99" s="166" t="s">
        <v>154</v>
      </c>
      <c r="AY99" s="166" t="s">
        <v>154</v>
      </c>
      <c r="AZ99" s="166" t="s">
        <v>154</v>
      </c>
      <c r="BA99" s="166" t="s">
        <v>154</v>
      </c>
      <c r="BB99" s="166" t="s">
        <v>154</v>
      </c>
      <c r="BC99" s="166" t="s">
        <v>154</v>
      </c>
      <c r="BD99" s="166" t="s">
        <v>154</v>
      </c>
      <c r="BE99" s="166" t="s">
        <v>154</v>
      </c>
      <c r="BF99" s="166" t="s">
        <v>154</v>
      </c>
      <c r="BG99" s="166" t="s">
        <v>154</v>
      </c>
      <c r="BH99" s="166" t="s">
        <v>154</v>
      </c>
      <c r="BI99" s="166" t="s">
        <v>154</v>
      </c>
      <c r="BJ99" s="166" t="s">
        <v>154</v>
      </c>
      <c r="BK99" s="166" t="s">
        <v>154</v>
      </c>
      <c r="BL99" s="166" t="s">
        <v>154</v>
      </c>
      <c r="BM99" s="166" t="s">
        <v>154</v>
      </c>
      <c r="BN99" s="166" t="s">
        <v>154</v>
      </c>
      <c r="BO99" s="166" t="s">
        <v>154</v>
      </c>
      <c r="BP99" s="166" t="s">
        <v>154</v>
      </c>
      <c r="BQ99" s="166" t="s">
        <v>154</v>
      </c>
      <c r="BR99" s="166" t="s">
        <v>154</v>
      </c>
      <c r="BS99" s="166" t="s">
        <v>154</v>
      </c>
      <c r="BT99" s="166" t="s">
        <v>154</v>
      </c>
      <c r="BU99" s="166" t="s">
        <v>154</v>
      </c>
      <c r="BV99" s="166" t="s">
        <v>154</v>
      </c>
      <c r="BW99" s="166" t="s">
        <v>154</v>
      </c>
      <c r="BX99" s="166" t="s">
        <v>154</v>
      </c>
      <c r="BY99" s="166" t="s">
        <v>154</v>
      </c>
      <c r="BZ99" s="166" t="s">
        <v>154</v>
      </c>
      <c r="CA99" s="166" t="s">
        <v>154</v>
      </c>
      <c r="CB99" s="166" t="s">
        <v>154</v>
      </c>
      <c r="CC99" s="166" t="s">
        <v>154</v>
      </c>
      <c r="CD99" s="166" t="s">
        <v>154</v>
      </c>
      <c r="CE99" s="166" t="s">
        <v>154</v>
      </c>
      <c r="CF99" s="166" t="s">
        <v>154</v>
      </c>
      <c r="CG99" s="166" t="s">
        <v>154</v>
      </c>
      <c r="CH99" s="166" t="s">
        <v>154</v>
      </c>
      <c r="CI99" s="166" t="s">
        <v>154</v>
      </c>
      <c r="CJ99" s="166" t="s">
        <v>154</v>
      </c>
      <c r="CK99" s="166" t="s">
        <v>154</v>
      </c>
      <c r="CL99" s="166" t="s">
        <v>154</v>
      </c>
      <c r="CM99" s="166" t="s">
        <v>154</v>
      </c>
      <c r="CN99" s="166" t="s">
        <v>154</v>
      </c>
      <c r="CO99" s="166" t="s">
        <v>154</v>
      </c>
      <c r="CP99" s="166" t="s">
        <v>154</v>
      </c>
      <c r="CQ99" s="166" t="s">
        <v>154</v>
      </c>
      <c r="CR99" s="166" t="s">
        <v>154</v>
      </c>
      <c r="CS99" s="166" t="s">
        <v>154</v>
      </c>
      <c r="CT99" s="166" t="s">
        <v>154</v>
      </c>
      <c r="CU99" s="166" t="s">
        <v>154</v>
      </c>
      <c r="CV99" s="166" t="s">
        <v>154</v>
      </c>
      <c r="CW99" s="166" t="s">
        <v>154</v>
      </c>
      <c r="CX99" s="166" t="s">
        <v>154</v>
      </c>
      <c r="CY99" s="166" t="s">
        <v>154</v>
      </c>
      <c r="CZ99" s="81" t="s">
        <v>154</v>
      </c>
      <c r="DA99" s="81" t="s">
        <v>154</v>
      </c>
      <c r="DB99" s="81" t="s">
        <v>154</v>
      </c>
      <c r="DC99" s="34">
        <v>22</v>
      </c>
      <c r="DJ99" s="34"/>
      <c r="DK99" s="34"/>
      <c r="DL99" s="34"/>
      <c r="DM99" s="34"/>
      <c r="DN99" s="34"/>
      <c r="DO99" s="34"/>
      <c r="DP99" s="34"/>
      <c r="DQ99" s="34"/>
      <c r="DR99" s="34"/>
      <c r="DS99" s="42"/>
      <c r="DT99" s="42"/>
      <c r="DU99" s="42"/>
      <c r="DV99" s="42"/>
      <c r="DW99" s="42"/>
      <c r="DX99" s="42"/>
      <c r="DY99" s="42"/>
      <c r="DZ99" s="42"/>
      <c r="EA99" s="42"/>
      <c r="EB99" s="42"/>
      <c r="EC99" s="42"/>
      <c r="ED99" s="42"/>
      <c r="EE99" s="42"/>
      <c r="EF99" s="42"/>
      <c r="EG99" s="42"/>
      <c r="EH99" s="211">
        <f t="shared" si="31"/>
        <v>22</v>
      </c>
      <c r="EI99" s="89"/>
      <c r="EJ99" s="89">
        <f t="shared" si="32"/>
        <v>22</v>
      </c>
      <c r="EK99" s="89"/>
      <c r="EL99" s="47">
        <f t="shared" si="42"/>
        <v>0</v>
      </c>
      <c r="EM99" s="47"/>
      <c r="EN99" s="47">
        <f t="shared" si="28"/>
        <v>22</v>
      </c>
      <c r="EO99" s="12">
        <f t="shared" ref="EO99:EO100" si="44">SUM(C99:C99)</f>
        <v>0</v>
      </c>
      <c r="EP99" s="89">
        <f t="shared" si="43"/>
        <v>0</v>
      </c>
      <c r="EQ99" s="12">
        <f t="shared" ref="EQ99:EQ100" si="45">SUM(P99:AA99)</f>
        <v>0</v>
      </c>
      <c r="ER99" s="12">
        <f t="shared" ref="ER99:ER100" si="46">SUM(AB99:AM99)</f>
        <v>0</v>
      </c>
      <c r="ES99" s="15">
        <f t="shared" ref="ES99:ES100" si="47">SUM(AN99:AY99)</f>
        <v>0</v>
      </c>
      <c r="ET99" s="49">
        <f t="shared" si="29"/>
        <v>0</v>
      </c>
      <c r="EU99" s="49">
        <f t="shared" si="30"/>
        <v>0</v>
      </c>
      <c r="EV99" s="49">
        <f t="shared" si="34"/>
        <v>22</v>
      </c>
      <c r="EW99" s="49">
        <f t="shared" si="33"/>
        <v>0</v>
      </c>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c r="GL99"/>
      <c r="GM99"/>
      <c r="GN99"/>
      <c r="GO99"/>
      <c r="GP99"/>
      <c r="GQ99"/>
      <c r="GR99"/>
      <c r="GS99"/>
      <c r="GT99"/>
      <c r="GU99"/>
      <c r="GV99"/>
      <c r="GW99"/>
      <c r="GX99"/>
      <c r="GY99"/>
      <c r="GZ99"/>
      <c r="HA99"/>
      <c r="HB99"/>
      <c r="HC99"/>
      <c r="HD99"/>
      <c r="HE99"/>
      <c r="HF99"/>
      <c r="HG99"/>
      <c r="HH99"/>
      <c r="HI99"/>
      <c r="HJ99"/>
      <c r="HK99"/>
      <c r="HL99"/>
      <c r="HM99"/>
      <c r="HN99"/>
      <c r="HO99"/>
      <c r="HP99"/>
      <c r="HQ99"/>
      <c r="HR99"/>
      <c r="HS99"/>
      <c r="HT99"/>
      <c r="HU99"/>
      <c r="HV99"/>
      <c r="HW99"/>
      <c r="HX99"/>
      <c r="HY99"/>
      <c r="HZ99"/>
      <c r="IA99"/>
      <c r="IB99"/>
      <c r="IC99"/>
      <c r="ID99"/>
      <c r="IE99"/>
      <c r="IF99"/>
      <c r="IG99"/>
      <c r="IH99"/>
      <c r="II99"/>
      <c r="IJ99"/>
      <c r="IK99"/>
      <c r="IL99"/>
      <c r="IM99"/>
      <c r="IN99"/>
      <c r="IO99"/>
      <c r="IP99"/>
      <c r="IQ99"/>
      <c r="IR99"/>
      <c r="IS99"/>
      <c r="IT99"/>
      <c r="IU99"/>
      <c r="IV99"/>
      <c r="IW99"/>
      <c r="IX99"/>
      <c r="IY99"/>
      <c r="IZ99"/>
      <c r="JA99"/>
      <c r="JB99"/>
      <c r="JC99"/>
      <c r="JD99"/>
      <c r="JE99"/>
      <c r="JF99"/>
      <c r="JG99"/>
      <c r="JH99"/>
      <c r="JI99"/>
      <c r="JJ99"/>
      <c r="JK99"/>
      <c r="JL99"/>
      <c r="JM99"/>
      <c r="JN99"/>
      <c r="JO99"/>
      <c r="JP99"/>
      <c r="JQ99"/>
      <c r="JR99"/>
      <c r="JS99"/>
      <c r="JT99"/>
      <c r="JU99"/>
      <c r="JV99"/>
      <c r="JW99"/>
      <c r="JX99"/>
      <c r="JY99"/>
      <c r="JZ99"/>
      <c r="KA99"/>
      <c r="KB99"/>
      <c r="KC99"/>
      <c r="KD99"/>
      <c r="KE99"/>
      <c r="KF99"/>
      <c r="KG99"/>
      <c r="KH99"/>
      <c r="KI99"/>
      <c r="KJ99"/>
      <c r="KK99"/>
      <c r="KL99"/>
      <c r="KM99"/>
      <c r="KN99"/>
      <c r="KO99"/>
      <c r="KP99"/>
      <c r="KQ99"/>
      <c r="KR99"/>
    </row>
    <row r="100" spans="1:304" s="80" customFormat="1" ht="30" hidden="1" x14ac:dyDescent="0.25">
      <c r="A100" s="315"/>
      <c r="B100" s="84" t="s">
        <v>182</v>
      </c>
      <c r="C100" s="81" t="s">
        <v>154</v>
      </c>
      <c r="D100" s="81" t="s">
        <v>154</v>
      </c>
      <c r="E100" s="81" t="s">
        <v>154</v>
      </c>
      <c r="F100" s="81" t="s">
        <v>154</v>
      </c>
      <c r="G100" s="81" t="s">
        <v>154</v>
      </c>
      <c r="H100" s="81" t="s">
        <v>154</v>
      </c>
      <c r="I100" s="81" t="s">
        <v>154</v>
      </c>
      <c r="J100" s="81" t="s">
        <v>154</v>
      </c>
      <c r="K100" s="81" t="s">
        <v>154</v>
      </c>
      <c r="L100" s="81" t="s">
        <v>154</v>
      </c>
      <c r="M100" s="81" t="s">
        <v>154</v>
      </c>
      <c r="N100" s="81" t="s">
        <v>154</v>
      </c>
      <c r="O100" s="81" t="s">
        <v>154</v>
      </c>
      <c r="P100" s="81" t="s">
        <v>154</v>
      </c>
      <c r="Q100" s="81" t="s">
        <v>154</v>
      </c>
      <c r="R100" s="81" t="s">
        <v>154</v>
      </c>
      <c r="S100" s="81" t="s">
        <v>154</v>
      </c>
      <c r="T100" s="81" t="s">
        <v>154</v>
      </c>
      <c r="U100" s="81" t="s">
        <v>154</v>
      </c>
      <c r="V100" s="81" t="s">
        <v>154</v>
      </c>
      <c r="W100" s="81" t="s">
        <v>154</v>
      </c>
      <c r="X100" s="81" t="s">
        <v>154</v>
      </c>
      <c r="Y100" s="81" t="s">
        <v>154</v>
      </c>
      <c r="Z100" s="81" t="s">
        <v>154</v>
      </c>
      <c r="AA100" s="166" t="s">
        <v>154</v>
      </c>
      <c r="AB100" s="166" t="s">
        <v>154</v>
      </c>
      <c r="AC100" s="166" t="s">
        <v>154</v>
      </c>
      <c r="AD100" s="166" t="s">
        <v>154</v>
      </c>
      <c r="AE100" s="166" t="s">
        <v>154</v>
      </c>
      <c r="AF100" s="166" t="s">
        <v>154</v>
      </c>
      <c r="AG100" s="166" t="s">
        <v>154</v>
      </c>
      <c r="AH100" s="166" t="s">
        <v>154</v>
      </c>
      <c r="AI100" s="166" t="s">
        <v>154</v>
      </c>
      <c r="AJ100" s="166" t="s">
        <v>154</v>
      </c>
      <c r="AK100" s="166" t="s">
        <v>154</v>
      </c>
      <c r="AL100" s="166" t="s">
        <v>154</v>
      </c>
      <c r="AM100" s="166" t="s">
        <v>154</v>
      </c>
      <c r="AN100" s="166" t="s">
        <v>154</v>
      </c>
      <c r="AO100" s="166" t="s">
        <v>154</v>
      </c>
      <c r="AP100" s="166" t="s">
        <v>154</v>
      </c>
      <c r="AQ100" s="166" t="s">
        <v>154</v>
      </c>
      <c r="AR100" s="166" t="s">
        <v>154</v>
      </c>
      <c r="AS100" s="166" t="s">
        <v>154</v>
      </c>
      <c r="AT100" s="166" t="s">
        <v>154</v>
      </c>
      <c r="AU100" s="166" t="s">
        <v>154</v>
      </c>
      <c r="AV100" s="166" t="s">
        <v>154</v>
      </c>
      <c r="AW100" s="166" t="s">
        <v>154</v>
      </c>
      <c r="AX100" s="166" t="s">
        <v>154</v>
      </c>
      <c r="AY100" s="166" t="s">
        <v>154</v>
      </c>
      <c r="AZ100" s="166" t="s">
        <v>154</v>
      </c>
      <c r="BA100" s="166" t="s">
        <v>154</v>
      </c>
      <c r="BB100" s="166" t="s">
        <v>154</v>
      </c>
      <c r="BC100" s="166" t="s">
        <v>154</v>
      </c>
      <c r="BD100" s="166" t="s">
        <v>154</v>
      </c>
      <c r="BE100" s="166" t="s">
        <v>154</v>
      </c>
      <c r="BF100" s="166" t="s">
        <v>154</v>
      </c>
      <c r="BG100" s="166" t="s">
        <v>154</v>
      </c>
      <c r="BH100" s="166" t="s">
        <v>154</v>
      </c>
      <c r="BI100" s="166" t="s">
        <v>154</v>
      </c>
      <c r="BJ100" s="166" t="s">
        <v>154</v>
      </c>
      <c r="BK100" s="166" t="s">
        <v>154</v>
      </c>
      <c r="BL100" s="166" t="s">
        <v>154</v>
      </c>
      <c r="BM100" s="166" t="s">
        <v>154</v>
      </c>
      <c r="BN100" s="166" t="s">
        <v>154</v>
      </c>
      <c r="BO100" s="166" t="s">
        <v>154</v>
      </c>
      <c r="BP100" s="166" t="s">
        <v>154</v>
      </c>
      <c r="BQ100" s="166" t="s">
        <v>154</v>
      </c>
      <c r="BR100" s="166" t="s">
        <v>154</v>
      </c>
      <c r="BS100" s="166" t="s">
        <v>154</v>
      </c>
      <c r="BT100" s="166" t="s">
        <v>154</v>
      </c>
      <c r="BU100" s="166" t="s">
        <v>154</v>
      </c>
      <c r="BV100" s="166" t="s">
        <v>154</v>
      </c>
      <c r="BW100" s="166" t="s">
        <v>154</v>
      </c>
      <c r="BX100" s="166" t="s">
        <v>154</v>
      </c>
      <c r="BY100" s="166" t="s">
        <v>154</v>
      </c>
      <c r="BZ100" s="166" t="s">
        <v>154</v>
      </c>
      <c r="CA100" s="166" t="s">
        <v>154</v>
      </c>
      <c r="CB100" s="166" t="s">
        <v>154</v>
      </c>
      <c r="CC100" s="166" t="s">
        <v>154</v>
      </c>
      <c r="CD100" s="166" t="s">
        <v>154</v>
      </c>
      <c r="CE100" s="166" t="s">
        <v>154</v>
      </c>
      <c r="CF100" s="166" t="s">
        <v>154</v>
      </c>
      <c r="CG100" s="166" t="s">
        <v>154</v>
      </c>
      <c r="CH100" s="166" t="s">
        <v>154</v>
      </c>
      <c r="CI100" s="166" t="s">
        <v>154</v>
      </c>
      <c r="CJ100" s="166" t="s">
        <v>154</v>
      </c>
      <c r="CK100" s="166" t="s">
        <v>154</v>
      </c>
      <c r="CL100" s="166" t="s">
        <v>154</v>
      </c>
      <c r="CM100" s="166" t="s">
        <v>154</v>
      </c>
      <c r="CN100" s="166" t="s">
        <v>154</v>
      </c>
      <c r="CO100" s="166" t="s">
        <v>154</v>
      </c>
      <c r="CP100" s="166" t="s">
        <v>154</v>
      </c>
      <c r="CQ100" s="166" t="s">
        <v>154</v>
      </c>
      <c r="CR100" s="166" t="s">
        <v>154</v>
      </c>
      <c r="CS100" s="166" t="s">
        <v>154</v>
      </c>
      <c r="CT100" s="166" t="s">
        <v>154</v>
      </c>
      <c r="CU100" s="166" t="s">
        <v>154</v>
      </c>
      <c r="CV100" s="166" t="s">
        <v>154</v>
      </c>
      <c r="CW100" s="166" t="s">
        <v>154</v>
      </c>
      <c r="CX100" s="166" t="s">
        <v>154</v>
      </c>
      <c r="CY100" s="166" t="s">
        <v>154</v>
      </c>
      <c r="CZ100" s="81" t="s">
        <v>154</v>
      </c>
      <c r="DA100" s="81" t="s">
        <v>154</v>
      </c>
      <c r="DB100" s="81" t="s">
        <v>154</v>
      </c>
      <c r="DC100" s="82"/>
      <c r="DD100" s="82"/>
      <c r="DE100" s="82"/>
      <c r="DF100" s="82"/>
      <c r="DG100" s="82"/>
      <c r="DH100" s="82"/>
      <c r="DI100" s="82"/>
      <c r="DJ100" s="34"/>
      <c r="DK100" s="34"/>
      <c r="DL100" s="34"/>
      <c r="DM100" s="34"/>
      <c r="DN100" s="34"/>
      <c r="DO100" s="34"/>
      <c r="DP100" s="34"/>
      <c r="DQ100" s="34"/>
      <c r="DR100" s="34"/>
      <c r="DS100" s="42"/>
      <c r="DT100" s="42"/>
      <c r="DU100" s="42"/>
      <c r="DV100" s="42"/>
      <c r="DW100" s="42"/>
      <c r="DX100" s="42"/>
      <c r="DY100" s="42"/>
      <c r="DZ100" s="42"/>
      <c r="EA100" s="42"/>
      <c r="EB100" s="42"/>
      <c r="EC100" s="42"/>
      <c r="ED100" s="42"/>
      <c r="EE100" s="42"/>
      <c r="EF100" s="42"/>
      <c r="EG100" s="42"/>
      <c r="EH100" s="211">
        <f t="shared" si="31"/>
        <v>0</v>
      </c>
      <c r="EI100" s="89"/>
      <c r="EJ100" s="89">
        <f t="shared" si="32"/>
        <v>0</v>
      </c>
      <c r="EK100" s="89"/>
      <c r="EL100" s="47">
        <f t="shared" si="42"/>
        <v>0</v>
      </c>
      <c r="EM100" s="47"/>
      <c r="EN100" s="47">
        <f t="shared" si="28"/>
        <v>0</v>
      </c>
      <c r="EO100" s="12">
        <f t="shared" si="44"/>
        <v>0</v>
      </c>
      <c r="EP100" s="89">
        <f t="shared" si="43"/>
        <v>0</v>
      </c>
      <c r="EQ100" s="12">
        <f t="shared" si="45"/>
        <v>0</v>
      </c>
      <c r="ER100" s="12">
        <f t="shared" si="46"/>
        <v>0</v>
      </c>
      <c r="ES100" s="15">
        <f t="shared" si="47"/>
        <v>0</v>
      </c>
      <c r="ET100" s="49">
        <f t="shared" si="29"/>
        <v>0</v>
      </c>
      <c r="EU100" s="49">
        <f t="shared" si="30"/>
        <v>0</v>
      </c>
      <c r="EV100" s="49">
        <f t="shared" si="34"/>
        <v>0</v>
      </c>
      <c r="EW100" s="49">
        <f t="shared" si="33"/>
        <v>0</v>
      </c>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c r="GL100"/>
      <c r="GM100"/>
      <c r="GN100"/>
      <c r="GO100"/>
      <c r="GP100"/>
      <c r="GQ100"/>
      <c r="GR100"/>
      <c r="GS100"/>
      <c r="GT100"/>
      <c r="GU100"/>
      <c r="GV100"/>
      <c r="GW100"/>
      <c r="GX100"/>
      <c r="GY100"/>
      <c r="GZ100"/>
      <c r="HA100"/>
      <c r="HB100"/>
      <c r="HC100"/>
      <c r="HD100"/>
      <c r="HE100"/>
      <c r="HF100"/>
      <c r="HG100"/>
      <c r="HH100"/>
      <c r="HI100"/>
      <c r="HJ100"/>
      <c r="HK100"/>
      <c r="HL100"/>
      <c r="HM100"/>
      <c r="HN100"/>
      <c r="HO100"/>
      <c r="HP100"/>
      <c r="HQ100"/>
      <c r="HR100"/>
      <c r="HS100"/>
      <c r="HT100"/>
      <c r="HU100"/>
      <c r="HV100"/>
      <c r="HW100"/>
      <c r="HX100"/>
      <c r="HY100"/>
      <c r="HZ100"/>
      <c r="IA100"/>
      <c r="IB100"/>
      <c r="IC100"/>
      <c r="ID100"/>
      <c r="IE100"/>
      <c r="IF100"/>
      <c r="IG100"/>
      <c r="IH100"/>
      <c r="II100"/>
      <c r="IJ100"/>
      <c r="IK100"/>
      <c r="IL100"/>
      <c r="IM100"/>
      <c r="IN100"/>
      <c r="IO100"/>
      <c r="IP100"/>
      <c r="IQ100"/>
      <c r="IR100"/>
      <c r="IS100"/>
      <c r="IT100"/>
      <c r="IU100"/>
      <c r="IV100"/>
      <c r="IW100"/>
      <c r="IX100"/>
      <c r="IY100"/>
      <c r="IZ100"/>
      <c r="JA100"/>
      <c r="JB100"/>
      <c r="JC100"/>
      <c r="JD100"/>
      <c r="JE100"/>
      <c r="JF100"/>
      <c r="JG100"/>
      <c r="JH100"/>
      <c r="JI100"/>
      <c r="JJ100"/>
      <c r="JK100"/>
      <c r="JL100"/>
      <c r="JM100"/>
      <c r="JN100"/>
      <c r="JO100"/>
      <c r="JP100"/>
      <c r="JQ100"/>
      <c r="JR100"/>
      <c r="JS100"/>
      <c r="JT100"/>
      <c r="JU100"/>
      <c r="JV100"/>
      <c r="JW100"/>
      <c r="JX100"/>
      <c r="JY100"/>
      <c r="JZ100"/>
      <c r="KA100"/>
      <c r="KB100"/>
      <c r="KC100"/>
      <c r="KD100"/>
      <c r="KE100"/>
      <c r="KF100"/>
      <c r="KG100"/>
      <c r="KH100"/>
      <c r="KI100"/>
      <c r="KJ100"/>
      <c r="KK100"/>
      <c r="KL100"/>
      <c r="KM100"/>
      <c r="KN100"/>
      <c r="KO100"/>
      <c r="KP100"/>
      <c r="KQ100"/>
      <c r="KR100"/>
    </row>
    <row r="101" spans="1:304" x14ac:dyDescent="0.25">
      <c r="A101" s="316" t="s">
        <v>190</v>
      </c>
      <c r="B101" s="224" t="s">
        <v>54</v>
      </c>
      <c r="C101" s="33">
        <v>2221884</v>
      </c>
      <c r="D101" s="33">
        <v>1222217</v>
      </c>
      <c r="E101" s="33">
        <v>1061542</v>
      </c>
      <c r="F101" s="33">
        <v>1112892</v>
      </c>
      <c r="G101" s="33">
        <v>1146110</v>
      </c>
      <c r="H101" s="33">
        <v>5911243</v>
      </c>
      <c r="I101" s="33">
        <v>2974069</v>
      </c>
      <c r="J101" s="33">
        <v>4167200</v>
      </c>
      <c r="K101" s="33">
        <v>7234628</v>
      </c>
      <c r="L101" s="33">
        <v>9208441</v>
      </c>
      <c r="M101" s="33">
        <v>18745033</v>
      </c>
      <c r="N101" s="33">
        <v>12391996</v>
      </c>
      <c r="O101" s="33">
        <v>16684546</v>
      </c>
      <c r="P101" s="33">
        <v>8996004</v>
      </c>
      <c r="Q101" s="33">
        <v>5527719</v>
      </c>
      <c r="R101" s="33">
        <v>6307170</v>
      </c>
      <c r="S101" s="33">
        <v>7322540</v>
      </c>
      <c r="T101" s="33">
        <v>8890616</v>
      </c>
      <c r="U101" s="33">
        <v>14600688</v>
      </c>
      <c r="V101" s="33">
        <v>23832184</v>
      </c>
      <c r="W101" s="33">
        <v>12700304</v>
      </c>
      <c r="X101" s="33">
        <v>9127384</v>
      </c>
      <c r="Y101" s="33">
        <v>17473373</v>
      </c>
      <c r="Z101" s="33">
        <v>9803379</v>
      </c>
      <c r="AA101" s="136">
        <v>13233356</v>
      </c>
      <c r="AB101" s="136">
        <v>9433880</v>
      </c>
      <c r="AC101" s="136">
        <v>10422275</v>
      </c>
      <c r="AD101" s="136">
        <v>6400473</v>
      </c>
      <c r="AE101" s="136">
        <v>6772078</v>
      </c>
      <c r="AF101" s="136">
        <v>13496251</v>
      </c>
      <c r="AG101" s="136">
        <v>13349486</v>
      </c>
      <c r="AH101" s="136">
        <v>12575504</v>
      </c>
      <c r="AI101" s="136">
        <v>21014364</v>
      </c>
      <c r="AJ101" s="137">
        <v>20168400</v>
      </c>
      <c r="AK101" s="137">
        <v>16546234</v>
      </c>
      <c r="AL101" s="137">
        <v>40911645</v>
      </c>
      <c r="AM101" s="137">
        <v>59459456</v>
      </c>
      <c r="AN101" s="137">
        <v>68419489</v>
      </c>
      <c r="AO101" s="137">
        <v>33222931</v>
      </c>
      <c r="AP101" s="137">
        <v>26767978</v>
      </c>
      <c r="AQ101" s="137">
        <v>51858480</v>
      </c>
      <c r="AR101" s="137">
        <v>58978792</v>
      </c>
      <c r="AS101" s="137">
        <v>72001536</v>
      </c>
      <c r="AT101" s="137">
        <v>67109798</v>
      </c>
      <c r="AU101" s="137">
        <v>77238131</v>
      </c>
      <c r="AV101" s="137">
        <v>105100640</v>
      </c>
      <c r="AW101" s="137">
        <v>43562323</v>
      </c>
      <c r="AX101" s="137">
        <v>23703878</v>
      </c>
      <c r="AY101" s="137">
        <v>16143026</v>
      </c>
      <c r="AZ101" s="137">
        <v>8136512</v>
      </c>
      <c r="BA101" s="137">
        <v>12578407</v>
      </c>
      <c r="BB101" s="137">
        <v>11504726</v>
      </c>
      <c r="BC101" s="137">
        <v>16977557</v>
      </c>
      <c r="BD101" s="167">
        <v>8522907</v>
      </c>
      <c r="BE101" s="167">
        <v>8638971</v>
      </c>
      <c r="BF101" s="137">
        <v>8523854</v>
      </c>
      <c r="BG101" s="137">
        <v>10359775</v>
      </c>
      <c r="BH101" s="137">
        <v>2162629</v>
      </c>
      <c r="BI101" s="137">
        <v>8247386</v>
      </c>
      <c r="BJ101" s="137">
        <v>22699000</v>
      </c>
      <c r="BK101" s="137">
        <v>22004197</v>
      </c>
      <c r="BL101" s="137">
        <v>20868352</v>
      </c>
      <c r="BM101" s="137">
        <v>28084299</v>
      </c>
      <c r="BN101" s="137">
        <v>20250851</v>
      </c>
      <c r="BO101" s="137">
        <v>21875528</v>
      </c>
      <c r="BP101" s="137">
        <v>40298638</v>
      </c>
      <c r="BQ101" s="137">
        <v>20928510</v>
      </c>
      <c r="BR101" s="137">
        <v>21776884</v>
      </c>
      <c r="BS101" s="137">
        <v>90097194</v>
      </c>
      <c r="BT101" s="137">
        <v>8514395</v>
      </c>
      <c r="BU101" s="137">
        <v>26464587</v>
      </c>
      <c r="BV101" s="137">
        <v>6605085</v>
      </c>
      <c r="BW101" s="137">
        <v>24385322</v>
      </c>
      <c r="BX101" s="137">
        <v>29323508</v>
      </c>
      <c r="BY101" s="137">
        <v>28203025</v>
      </c>
      <c r="BZ101" s="137">
        <v>18167985</v>
      </c>
      <c r="CA101" s="137">
        <v>8837459.5</v>
      </c>
      <c r="CB101" s="137">
        <v>6123840</v>
      </c>
      <c r="CC101" s="137">
        <v>0</v>
      </c>
      <c r="CD101" s="137">
        <v>801373</v>
      </c>
      <c r="CE101" s="137">
        <v>1162399</v>
      </c>
      <c r="CF101" s="137">
        <v>5188460</v>
      </c>
      <c r="CG101" s="137">
        <v>6225624</v>
      </c>
      <c r="CH101" s="137">
        <v>11559111</v>
      </c>
      <c r="CI101" s="137">
        <v>22789542</v>
      </c>
      <c r="CJ101" s="137">
        <v>30088527</v>
      </c>
      <c r="CK101" s="137">
        <v>22284029</v>
      </c>
      <c r="CL101" s="137">
        <v>21308915</v>
      </c>
      <c r="CM101" s="137">
        <v>31533550</v>
      </c>
      <c r="CN101" s="137">
        <v>15938626</v>
      </c>
      <c r="CO101" s="137">
        <v>23732254</v>
      </c>
      <c r="CP101" s="137">
        <v>10830537</v>
      </c>
      <c r="CQ101" s="137">
        <v>25100423</v>
      </c>
      <c r="CR101" s="137">
        <v>8366834</v>
      </c>
      <c r="CS101" s="137">
        <v>32299247</v>
      </c>
      <c r="CT101" s="137">
        <v>16011986</v>
      </c>
      <c r="CU101" s="137">
        <v>17568994</v>
      </c>
      <c r="CV101" s="205">
        <v>5857556</v>
      </c>
      <c r="CW101" s="205">
        <v>25672511</v>
      </c>
      <c r="CX101" s="205">
        <v>9461448</v>
      </c>
      <c r="CY101" s="205">
        <v>12865526</v>
      </c>
      <c r="CZ101" s="205">
        <v>12723748</v>
      </c>
      <c r="DA101" s="205">
        <v>15997297.5</v>
      </c>
      <c r="DB101" s="205">
        <v>20383882</v>
      </c>
      <c r="DC101" s="205">
        <v>14986375</v>
      </c>
      <c r="DD101" s="205">
        <v>19863595</v>
      </c>
      <c r="DE101" s="205">
        <v>27770416</v>
      </c>
      <c r="DF101" s="205">
        <v>25889212.5</v>
      </c>
      <c r="DG101" s="205">
        <v>34555949</v>
      </c>
      <c r="DH101" s="205">
        <v>39802221</v>
      </c>
      <c r="DI101" s="205">
        <v>30986591.5</v>
      </c>
      <c r="DJ101" s="205">
        <v>14393265.5</v>
      </c>
      <c r="DK101" s="205">
        <v>17141897</v>
      </c>
      <c r="DL101" s="205">
        <v>22658778</v>
      </c>
      <c r="DM101" s="205">
        <v>23645054</v>
      </c>
      <c r="DN101" s="205">
        <v>31352907.5</v>
      </c>
      <c r="DO101" s="205">
        <v>20584732</v>
      </c>
      <c r="DP101" s="205">
        <v>9297155.5</v>
      </c>
      <c r="DQ101" s="205">
        <v>23876160</v>
      </c>
      <c r="DR101" s="205">
        <v>15747102</v>
      </c>
      <c r="DS101" s="205">
        <v>20471803</v>
      </c>
      <c r="DT101" s="205">
        <v>12265694</v>
      </c>
      <c r="DU101" s="205">
        <v>11820643</v>
      </c>
      <c r="DV101" s="205">
        <v>15746663</v>
      </c>
      <c r="DW101" s="205">
        <v>17337656</v>
      </c>
      <c r="DX101" s="252">
        <v>16724964</v>
      </c>
      <c r="DY101" s="252">
        <v>18299079</v>
      </c>
      <c r="DZ101" s="252">
        <v>15818264</v>
      </c>
      <c r="EA101" s="252">
        <v>16988167</v>
      </c>
      <c r="EB101" s="252">
        <v>0</v>
      </c>
      <c r="EC101" s="252">
        <v>0</v>
      </c>
      <c r="ED101" s="252">
        <v>20974526</v>
      </c>
      <c r="EE101" s="252">
        <v>16361452</v>
      </c>
      <c r="EF101" s="252">
        <v>12849194</v>
      </c>
      <c r="EG101" s="252">
        <v>0</v>
      </c>
      <c r="EH101" s="211">
        <f t="shared" si="31"/>
        <v>781349506</v>
      </c>
      <c r="EI101" s="89"/>
      <c r="EJ101" s="89">
        <f t="shared" si="32"/>
        <v>2631676865.5</v>
      </c>
      <c r="EK101" s="89"/>
      <c r="EL101" s="47">
        <f t="shared" si="42"/>
        <v>148556684</v>
      </c>
      <c r="EM101" s="47"/>
      <c r="EN101" s="47">
        <f t="shared" si="28"/>
        <v>2440840606.5</v>
      </c>
      <c r="EO101" s="12">
        <f t="shared" ref="EO101:EO103" si="48">SUM(C101:C101)</f>
        <v>2221884</v>
      </c>
      <c r="EP101" s="12">
        <f t="shared" ref="EP101:EP106" si="49">SUM(D101:O101)</f>
        <v>81859917</v>
      </c>
      <c r="EQ101" s="12">
        <f t="shared" ref="EQ101:EQ103" si="50">SUM(P101:AA101)</f>
        <v>137814717</v>
      </c>
      <c r="ER101" s="12">
        <f t="shared" ref="ER101:ER103" si="51">SUM(AB101:AM101)</f>
        <v>230550046</v>
      </c>
      <c r="ES101" s="15">
        <f t="shared" ref="ES101:ES103" si="52">SUM(AN101:AY101)</f>
        <v>644107002</v>
      </c>
      <c r="ET101" s="49">
        <f t="shared" si="29"/>
        <v>470505566</v>
      </c>
      <c r="EU101" s="49">
        <f t="shared" si="30"/>
        <v>393446248.5</v>
      </c>
      <c r="EV101" s="49">
        <f t="shared" si="34"/>
        <v>495985183</v>
      </c>
      <c r="EW101" s="49">
        <f t="shared" si="33"/>
        <v>125001130</v>
      </c>
    </row>
    <row r="102" spans="1:304" ht="30" x14ac:dyDescent="0.25">
      <c r="A102" s="317"/>
      <c r="B102" s="221" t="s">
        <v>55</v>
      </c>
      <c r="C102" s="33">
        <v>0</v>
      </c>
      <c r="D102" s="33">
        <v>20</v>
      </c>
      <c r="E102" s="33">
        <v>2983</v>
      </c>
      <c r="F102" s="33">
        <v>11127</v>
      </c>
      <c r="G102" s="33">
        <v>12529</v>
      </c>
      <c r="H102" s="33">
        <v>15483</v>
      </c>
      <c r="I102" s="33">
        <v>23983</v>
      </c>
      <c r="J102" s="33">
        <v>8975</v>
      </c>
      <c r="K102" s="33">
        <v>4339</v>
      </c>
      <c r="L102" s="33">
        <v>2380</v>
      </c>
      <c r="M102" s="33">
        <v>17643</v>
      </c>
      <c r="N102" s="33">
        <v>41934</v>
      </c>
      <c r="O102" s="33">
        <v>14270</v>
      </c>
      <c r="P102" s="33">
        <v>2402</v>
      </c>
      <c r="Q102" s="33">
        <v>4340</v>
      </c>
      <c r="R102" s="33">
        <v>4266</v>
      </c>
      <c r="S102" s="33">
        <v>433</v>
      </c>
      <c r="T102" s="33">
        <v>6910</v>
      </c>
      <c r="U102" s="33">
        <v>29609</v>
      </c>
      <c r="V102" s="33">
        <v>1595</v>
      </c>
      <c r="W102" s="33">
        <v>503</v>
      </c>
      <c r="X102" s="33">
        <v>120</v>
      </c>
      <c r="Y102" s="33">
        <v>6794</v>
      </c>
      <c r="Z102" s="33">
        <v>1815</v>
      </c>
      <c r="AA102" s="136">
        <v>2133</v>
      </c>
      <c r="AB102" s="136">
        <v>1146</v>
      </c>
      <c r="AC102" s="136">
        <v>17398</v>
      </c>
      <c r="AD102" s="136">
        <v>20165</v>
      </c>
      <c r="AE102" s="136">
        <v>2273</v>
      </c>
      <c r="AF102" s="136">
        <v>4269</v>
      </c>
      <c r="AG102" s="136">
        <v>722</v>
      </c>
      <c r="AH102" s="136">
        <v>2383</v>
      </c>
      <c r="AI102" s="136">
        <v>398</v>
      </c>
      <c r="AJ102" s="137">
        <v>1094</v>
      </c>
      <c r="AK102" s="137">
        <v>1120</v>
      </c>
      <c r="AL102" s="137">
        <v>6539</v>
      </c>
      <c r="AM102" s="137">
        <v>1579</v>
      </c>
      <c r="AN102" s="137">
        <v>637</v>
      </c>
      <c r="AO102" s="137">
        <v>167</v>
      </c>
      <c r="AP102" s="137">
        <v>126</v>
      </c>
      <c r="AQ102" s="137">
        <v>720</v>
      </c>
      <c r="AR102" s="137">
        <v>2792</v>
      </c>
      <c r="AS102" s="137">
        <v>1107</v>
      </c>
      <c r="AT102" s="137">
        <v>16714</v>
      </c>
      <c r="AU102" s="137">
        <v>1552</v>
      </c>
      <c r="AV102" s="137">
        <v>4143</v>
      </c>
      <c r="AW102" s="137">
        <v>9087</v>
      </c>
      <c r="AX102" s="137">
        <v>4881</v>
      </c>
      <c r="AY102" s="137">
        <v>1756</v>
      </c>
      <c r="AZ102" s="137">
        <v>217</v>
      </c>
      <c r="BA102" s="137">
        <v>655</v>
      </c>
      <c r="BB102" s="137">
        <v>260</v>
      </c>
      <c r="BC102" s="137">
        <v>3062</v>
      </c>
      <c r="BD102" s="137">
        <f>270+368+20+53</f>
        <v>711</v>
      </c>
      <c r="BE102" s="168">
        <v>591</v>
      </c>
      <c r="BF102" s="137">
        <v>5361</v>
      </c>
      <c r="BG102" s="137">
        <v>3551</v>
      </c>
      <c r="BH102" s="137">
        <v>2645</v>
      </c>
      <c r="BI102" s="137">
        <v>3910</v>
      </c>
      <c r="BJ102" s="137">
        <v>3362</v>
      </c>
      <c r="BK102" s="137">
        <v>3168</v>
      </c>
      <c r="BL102" s="137">
        <v>3068</v>
      </c>
      <c r="BM102" s="137">
        <v>425</v>
      </c>
      <c r="BN102" s="137">
        <v>651</v>
      </c>
      <c r="BO102" s="137">
        <v>1799</v>
      </c>
      <c r="BP102" s="137">
        <v>2219</v>
      </c>
      <c r="BQ102" s="137">
        <v>1017</v>
      </c>
      <c r="BR102" s="137">
        <v>7441</v>
      </c>
      <c r="BS102" s="137">
        <v>9362</v>
      </c>
      <c r="BT102" s="137">
        <v>628</v>
      </c>
      <c r="BU102" s="137">
        <v>5520</v>
      </c>
      <c r="BV102" s="137">
        <v>3321</v>
      </c>
      <c r="BW102" s="137">
        <v>425</v>
      </c>
      <c r="BX102" s="137">
        <v>336</v>
      </c>
      <c r="BY102" s="137">
        <v>71</v>
      </c>
      <c r="BZ102" s="137">
        <v>2745</v>
      </c>
      <c r="CA102" s="137">
        <v>2858</v>
      </c>
      <c r="CB102" s="137">
        <v>1538</v>
      </c>
      <c r="CC102" s="137">
        <v>0</v>
      </c>
      <c r="CD102" s="137">
        <v>38</v>
      </c>
      <c r="CE102" s="137">
        <v>83</v>
      </c>
      <c r="CF102" s="137">
        <v>900</v>
      </c>
      <c r="CG102" s="137">
        <v>120</v>
      </c>
      <c r="CH102" s="137">
        <v>778</v>
      </c>
      <c r="CI102" s="137">
        <v>741</v>
      </c>
      <c r="CJ102" s="137">
        <v>334</v>
      </c>
      <c r="CK102" s="137">
        <v>5916</v>
      </c>
      <c r="CL102" s="137">
        <v>149</v>
      </c>
      <c r="CM102" s="137">
        <v>161</v>
      </c>
      <c r="CN102" s="137">
        <v>128</v>
      </c>
      <c r="CO102" s="137">
        <v>540</v>
      </c>
      <c r="CP102" s="137">
        <v>611</v>
      </c>
      <c r="CQ102" s="137">
        <v>238</v>
      </c>
      <c r="CR102" s="137">
        <v>0</v>
      </c>
      <c r="CS102" s="137">
        <v>6324</v>
      </c>
      <c r="CT102" s="137">
        <v>5961</v>
      </c>
      <c r="CU102" s="137">
        <v>3100</v>
      </c>
      <c r="CV102" s="137">
        <v>0</v>
      </c>
      <c r="CW102" s="137">
        <v>107</v>
      </c>
      <c r="CX102" s="137">
        <v>106</v>
      </c>
      <c r="CY102" s="137">
        <v>7229</v>
      </c>
      <c r="CZ102" s="34">
        <v>4260</v>
      </c>
      <c r="DA102" s="34">
        <v>1772</v>
      </c>
      <c r="DB102" s="34">
        <v>619</v>
      </c>
      <c r="DC102" s="34">
        <v>266</v>
      </c>
      <c r="DD102" s="34">
        <v>148</v>
      </c>
      <c r="DE102" s="34">
        <v>478</v>
      </c>
      <c r="DF102" s="34">
        <v>469</v>
      </c>
      <c r="DG102" s="34">
        <v>0</v>
      </c>
      <c r="DH102" s="34">
        <v>166</v>
      </c>
      <c r="DI102" s="34">
        <v>206</v>
      </c>
      <c r="DJ102" s="34">
        <v>651</v>
      </c>
      <c r="DK102" s="34">
        <v>707</v>
      </c>
      <c r="DL102" s="34">
        <v>450</v>
      </c>
      <c r="DM102" s="34">
        <v>66</v>
      </c>
      <c r="DN102" s="34">
        <v>27520</v>
      </c>
      <c r="DO102" s="34">
        <v>1064</v>
      </c>
      <c r="DP102" s="34">
        <v>355</v>
      </c>
      <c r="DQ102" s="34">
        <v>1995</v>
      </c>
      <c r="DR102" s="34">
        <v>14458</v>
      </c>
      <c r="DS102" s="42">
        <v>136</v>
      </c>
      <c r="DT102" s="134">
        <v>0</v>
      </c>
      <c r="DU102" s="134">
        <v>213</v>
      </c>
      <c r="DV102" s="134">
        <v>875</v>
      </c>
      <c r="DW102" s="134">
        <v>1347</v>
      </c>
      <c r="DX102" s="134">
        <v>637</v>
      </c>
      <c r="DY102" s="134">
        <v>334</v>
      </c>
      <c r="DZ102" s="134">
        <v>0</v>
      </c>
      <c r="EA102" s="134">
        <v>25</v>
      </c>
      <c r="EB102" s="134">
        <v>20</v>
      </c>
      <c r="EC102" s="134">
        <v>234</v>
      </c>
      <c r="ED102" s="134">
        <v>41</v>
      </c>
      <c r="EE102" s="134">
        <v>248</v>
      </c>
      <c r="EF102" s="134">
        <v>0</v>
      </c>
      <c r="EG102" s="134">
        <v>0</v>
      </c>
      <c r="EH102" s="211">
        <f t="shared" si="31"/>
        <v>83436</v>
      </c>
      <c r="EI102" s="89"/>
      <c r="EJ102" s="89">
        <f t="shared" si="32"/>
        <v>483595</v>
      </c>
      <c r="EK102" s="89"/>
      <c r="EL102" s="47">
        <f t="shared" si="42"/>
        <v>32157</v>
      </c>
      <c r="EM102" s="47"/>
      <c r="EN102" s="47">
        <f t="shared" si="28"/>
        <v>413496</v>
      </c>
      <c r="EO102" s="12">
        <f t="shared" si="48"/>
        <v>0</v>
      </c>
      <c r="EP102" s="12">
        <f t="shared" si="49"/>
        <v>155666</v>
      </c>
      <c r="EQ102" s="12">
        <f t="shared" si="50"/>
        <v>60920</v>
      </c>
      <c r="ER102" s="12">
        <f t="shared" si="51"/>
        <v>59086</v>
      </c>
      <c r="ES102" s="15">
        <f t="shared" si="52"/>
        <v>43682</v>
      </c>
      <c r="ET102" s="49">
        <f t="shared" si="29"/>
        <v>63369</v>
      </c>
      <c r="EU102" s="49">
        <f t="shared" si="30"/>
        <v>33670</v>
      </c>
      <c r="EV102" s="49">
        <f t="shared" si="34"/>
        <v>63228</v>
      </c>
      <c r="EW102" s="49">
        <f t="shared" si="33"/>
        <v>3685</v>
      </c>
    </row>
    <row r="103" spans="1:304" x14ac:dyDescent="0.25">
      <c r="A103" s="317"/>
      <c r="B103" s="221" t="s">
        <v>56</v>
      </c>
      <c r="C103" s="169">
        <v>0</v>
      </c>
      <c r="D103" s="169">
        <v>1</v>
      </c>
      <c r="E103" s="169">
        <v>4</v>
      </c>
      <c r="F103" s="169">
        <v>47</v>
      </c>
      <c r="G103" s="169">
        <v>40</v>
      </c>
      <c r="H103" s="169">
        <v>45</v>
      </c>
      <c r="I103" s="169">
        <v>45</v>
      </c>
      <c r="J103" s="169">
        <v>23</v>
      </c>
      <c r="K103" s="169">
        <v>18</v>
      </c>
      <c r="L103" s="169">
        <v>6</v>
      </c>
      <c r="M103" s="169">
        <v>22</v>
      </c>
      <c r="N103" s="169">
        <v>22</v>
      </c>
      <c r="O103" s="169">
        <v>16</v>
      </c>
      <c r="P103" s="169">
        <v>8</v>
      </c>
      <c r="Q103" s="169">
        <v>11</v>
      </c>
      <c r="R103" s="169">
        <v>18</v>
      </c>
      <c r="S103" s="169">
        <v>4</v>
      </c>
      <c r="T103" s="169">
        <v>5</v>
      </c>
      <c r="U103" s="169">
        <v>14</v>
      </c>
      <c r="V103" s="169">
        <v>6</v>
      </c>
      <c r="W103" s="169">
        <v>3</v>
      </c>
      <c r="X103" s="169">
        <v>2</v>
      </c>
      <c r="Y103" s="169">
        <v>6</v>
      </c>
      <c r="Z103" s="169">
        <v>5</v>
      </c>
      <c r="AA103" s="170">
        <v>5</v>
      </c>
      <c r="AB103" s="170">
        <v>4</v>
      </c>
      <c r="AC103" s="170">
        <v>6</v>
      </c>
      <c r="AD103" s="170">
        <v>4</v>
      </c>
      <c r="AE103" s="170">
        <v>5</v>
      </c>
      <c r="AF103" s="170">
        <v>17</v>
      </c>
      <c r="AG103" s="170">
        <v>5</v>
      </c>
      <c r="AH103" s="170">
        <v>12</v>
      </c>
      <c r="AI103" s="170">
        <v>5</v>
      </c>
      <c r="AJ103" s="168">
        <v>17</v>
      </c>
      <c r="AK103" s="168">
        <v>12</v>
      </c>
      <c r="AL103" s="168">
        <v>40</v>
      </c>
      <c r="AM103" s="168">
        <v>5</v>
      </c>
      <c r="AN103" s="168">
        <v>5</v>
      </c>
      <c r="AO103" s="168">
        <v>1</v>
      </c>
      <c r="AP103" s="168">
        <v>5</v>
      </c>
      <c r="AQ103" s="168">
        <v>5</v>
      </c>
      <c r="AR103" s="168">
        <v>17</v>
      </c>
      <c r="AS103" s="168">
        <v>11</v>
      </c>
      <c r="AT103" s="168">
        <v>25</v>
      </c>
      <c r="AU103" s="168">
        <v>10</v>
      </c>
      <c r="AV103" s="168">
        <v>12</v>
      </c>
      <c r="AW103" s="168">
        <v>62</v>
      </c>
      <c r="AX103" s="168">
        <v>16</v>
      </c>
      <c r="AY103" s="168">
        <v>11</v>
      </c>
      <c r="AZ103" s="168">
        <v>2</v>
      </c>
      <c r="BA103" s="168">
        <v>12</v>
      </c>
      <c r="BB103" s="168">
        <v>5</v>
      </c>
      <c r="BC103" s="168">
        <v>7</v>
      </c>
      <c r="BD103" s="168">
        <v>8</v>
      </c>
      <c r="BE103" s="168">
        <v>3</v>
      </c>
      <c r="BF103" s="168">
        <v>8</v>
      </c>
      <c r="BG103" s="168">
        <v>23</v>
      </c>
      <c r="BH103" s="168">
        <v>11</v>
      </c>
      <c r="BI103" s="168">
        <v>12</v>
      </c>
      <c r="BJ103" s="168">
        <v>10</v>
      </c>
      <c r="BK103" s="168">
        <v>9</v>
      </c>
      <c r="BL103" s="168">
        <v>8</v>
      </c>
      <c r="BM103" s="168">
        <v>4</v>
      </c>
      <c r="BN103" s="168">
        <v>5</v>
      </c>
      <c r="BO103" s="168">
        <v>11</v>
      </c>
      <c r="BP103" s="168">
        <v>4</v>
      </c>
      <c r="BQ103" s="168">
        <v>8</v>
      </c>
      <c r="BR103" s="168">
        <v>23</v>
      </c>
      <c r="BS103" s="168">
        <v>31</v>
      </c>
      <c r="BT103" s="168">
        <v>3</v>
      </c>
      <c r="BU103" s="168">
        <v>18</v>
      </c>
      <c r="BV103" s="168">
        <v>16</v>
      </c>
      <c r="BW103" s="168">
        <v>5</v>
      </c>
      <c r="BX103" s="168">
        <v>5</v>
      </c>
      <c r="BY103" s="168">
        <v>3</v>
      </c>
      <c r="BZ103" s="168">
        <v>5</v>
      </c>
      <c r="CA103" s="168">
        <v>12</v>
      </c>
      <c r="CB103" s="168">
        <v>6</v>
      </c>
      <c r="CC103" s="168">
        <v>0</v>
      </c>
      <c r="CD103" s="168">
        <v>5</v>
      </c>
      <c r="CE103" s="168">
        <v>5</v>
      </c>
      <c r="CF103" s="168">
        <v>1</v>
      </c>
      <c r="CG103" s="168">
        <v>1</v>
      </c>
      <c r="CH103" s="168">
        <v>18</v>
      </c>
      <c r="CI103" s="168">
        <v>8</v>
      </c>
      <c r="CJ103" s="168">
        <v>3</v>
      </c>
      <c r="CK103" s="168">
        <v>5</v>
      </c>
      <c r="CL103" s="168">
        <v>2</v>
      </c>
      <c r="CM103" s="168">
        <v>2</v>
      </c>
      <c r="CN103" s="168">
        <v>3</v>
      </c>
      <c r="CO103" s="168">
        <v>5</v>
      </c>
      <c r="CP103" s="168">
        <v>8</v>
      </c>
      <c r="CQ103" s="168">
        <v>2</v>
      </c>
      <c r="CR103" s="168">
        <v>0</v>
      </c>
      <c r="CS103" s="168">
        <v>16</v>
      </c>
      <c r="CT103" s="168">
        <v>23</v>
      </c>
      <c r="CU103" s="168">
        <v>13</v>
      </c>
      <c r="CV103" s="168">
        <v>0</v>
      </c>
      <c r="CW103" s="168">
        <v>6</v>
      </c>
      <c r="CX103" s="168">
        <v>2</v>
      </c>
      <c r="CY103" s="168">
        <v>6</v>
      </c>
      <c r="CZ103" s="39">
        <v>7</v>
      </c>
      <c r="DA103" s="39">
        <v>12</v>
      </c>
      <c r="DB103" s="39">
        <v>18</v>
      </c>
      <c r="DC103" s="39">
        <v>5</v>
      </c>
      <c r="DD103" s="39">
        <v>2</v>
      </c>
      <c r="DE103" s="39">
        <v>4</v>
      </c>
      <c r="DF103" s="39">
        <v>7</v>
      </c>
      <c r="DG103" s="39">
        <v>0</v>
      </c>
      <c r="DH103" s="39">
        <v>2</v>
      </c>
      <c r="DI103" s="39">
        <v>3</v>
      </c>
      <c r="DJ103" s="39">
        <v>15</v>
      </c>
      <c r="DK103" s="39">
        <v>6</v>
      </c>
      <c r="DL103" s="39">
        <v>1</v>
      </c>
      <c r="DM103" s="39">
        <v>1</v>
      </c>
      <c r="DN103" s="39">
        <v>18</v>
      </c>
      <c r="DO103" s="39">
        <v>5</v>
      </c>
      <c r="DP103" s="34">
        <v>6</v>
      </c>
      <c r="DQ103" s="34">
        <v>3</v>
      </c>
      <c r="DR103" s="39">
        <v>15</v>
      </c>
      <c r="DS103" s="171">
        <v>1</v>
      </c>
      <c r="DT103" s="212">
        <v>0</v>
      </c>
      <c r="DU103" s="212">
        <v>3</v>
      </c>
      <c r="DV103" s="212">
        <v>2</v>
      </c>
      <c r="DW103" s="212">
        <v>4</v>
      </c>
      <c r="DX103" s="212">
        <v>3</v>
      </c>
      <c r="DY103" s="212">
        <v>2</v>
      </c>
      <c r="DZ103" s="212">
        <v>0</v>
      </c>
      <c r="EA103" s="212">
        <v>1</v>
      </c>
      <c r="EB103" s="212">
        <v>1</v>
      </c>
      <c r="EC103" s="212">
        <v>4</v>
      </c>
      <c r="ED103" s="212">
        <v>6</v>
      </c>
      <c r="EE103" s="212">
        <v>4</v>
      </c>
      <c r="EF103" s="212">
        <v>0</v>
      </c>
      <c r="EG103" s="212">
        <v>0</v>
      </c>
      <c r="EH103" s="211">
        <f t="shared" si="31"/>
        <v>237</v>
      </c>
      <c r="EI103" s="89"/>
      <c r="EJ103" s="89">
        <f t="shared" si="32"/>
        <v>1260</v>
      </c>
      <c r="EK103" s="89"/>
      <c r="EL103" s="47">
        <f t="shared" si="42"/>
        <v>40</v>
      </c>
      <c r="EM103" s="47"/>
      <c r="EN103" s="47">
        <f t="shared" si="28"/>
        <v>1048</v>
      </c>
      <c r="EO103" s="12">
        <f t="shared" si="48"/>
        <v>0</v>
      </c>
      <c r="EP103" s="12">
        <f t="shared" si="49"/>
        <v>289</v>
      </c>
      <c r="EQ103" s="12">
        <f t="shared" si="50"/>
        <v>87</v>
      </c>
      <c r="ER103" s="12">
        <f t="shared" si="51"/>
        <v>132</v>
      </c>
      <c r="ES103" s="15">
        <f t="shared" si="52"/>
        <v>180</v>
      </c>
      <c r="ET103" s="49">
        <f t="shared" si="29"/>
        <v>246</v>
      </c>
      <c r="EU103" s="49">
        <f t="shared" si="30"/>
        <v>151</v>
      </c>
      <c r="EV103" s="49">
        <f t="shared" si="34"/>
        <v>145</v>
      </c>
      <c r="EW103" s="49">
        <f t="shared" si="33"/>
        <v>20</v>
      </c>
    </row>
    <row r="104" spans="1:304" x14ac:dyDescent="0.25">
      <c r="A104" s="317"/>
      <c r="B104" s="224" t="s">
        <v>104</v>
      </c>
      <c r="C104" s="169">
        <v>0</v>
      </c>
      <c r="D104" s="169">
        <v>0</v>
      </c>
      <c r="E104" s="169">
        <v>0</v>
      </c>
      <c r="F104" s="169">
        <v>0</v>
      </c>
      <c r="G104" s="169">
        <v>0</v>
      </c>
      <c r="H104" s="169">
        <v>0</v>
      </c>
      <c r="I104" s="169">
        <v>0</v>
      </c>
      <c r="J104" s="169">
        <v>0</v>
      </c>
      <c r="K104" s="169">
        <v>0</v>
      </c>
      <c r="L104" s="169">
        <v>0</v>
      </c>
      <c r="M104" s="169">
        <v>0</v>
      </c>
      <c r="N104" s="169">
        <v>0</v>
      </c>
      <c r="O104" s="169">
        <v>0</v>
      </c>
      <c r="P104" s="169">
        <v>0</v>
      </c>
      <c r="Q104" s="169">
        <v>0</v>
      </c>
      <c r="R104" s="169">
        <v>0</v>
      </c>
      <c r="S104" s="169">
        <v>0</v>
      </c>
      <c r="T104" s="169">
        <v>0</v>
      </c>
      <c r="U104" s="169">
        <v>0</v>
      </c>
      <c r="V104" s="169">
        <v>0</v>
      </c>
      <c r="W104" s="169">
        <v>0</v>
      </c>
      <c r="X104" s="169">
        <v>0</v>
      </c>
      <c r="Y104" s="169">
        <v>0</v>
      </c>
      <c r="Z104" s="169">
        <v>0</v>
      </c>
      <c r="AA104" s="170">
        <v>0</v>
      </c>
      <c r="AB104" s="170">
        <v>0</v>
      </c>
      <c r="AC104" s="170">
        <v>1</v>
      </c>
      <c r="AD104" s="170">
        <v>1</v>
      </c>
      <c r="AE104" s="170">
        <v>0</v>
      </c>
      <c r="AF104" s="170">
        <v>0</v>
      </c>
      <c r="AG104" s="170">
        <v>0</v>
      </c>
      <c r="AH104" s="170">
        <v>0</v>
      </c>
      <c r="AI104" s="170">
        <v>0</v>
      </c>
      <c r="AJ104" s="168">
        <v>0</v>
      </c>
      <c r="AK104" s="168">
        <v>0</v>
      </c>
      <c r="AL104" s="168">
        <v>0</v>
      </c>
      <c r="AM104" s="168">
        <v>0</v>
      </c>
      <c r="AN104" s="168">
        <v>0</v>
      </c>
      <c r="AO104" s="168">
        <v>0</v>
      </c>
      <c r="AP104" s="168">
        <v>0</v>
      </c>
      <c r="AQ104" s="168">
        <v>0</v>
      </c>
      <c r="AR104" s="168">
        <v>0</v>
      </c>
      <c r="AS104" s="168">
        <v>0</v>
      </c>
      <c r="AT104" s="168">
        <v>0</v>
      </c>
      <c r="AU104" s="168">
        <v>0</v>
      </c>
      <c r="AV104" s="168">
        <v>0</v>
      </c>
      <c r="AW104" s="168">
        <v>16</v>
      </c>
      <c r="AX104" s="168">
        <v>0</v>
      </c>
      <c r="AY104" s="168">
        <v>0</v>
      </c>
      <c r="AZ104" s="168">
        <v>0</v>
      </c>
      <c r="BA104" s="168">
        <v>10</v>
      </c>
      <c r="BB104" s="168">
        <v>5</v>
      </c>
      <c r="BC104" s="168">
        <v>5</v>
      </c>
      <c r="BD104" s="168">
        <v>5</v>
      </c>
      <c r="BE104" s="168">
        <v>0</v>
      </c>
      <c r="BF104" s="168">
        <v>2</v>
      </c>
      <c r="BG104" s="168">
        <v>0</v>
      </c>
      <c r="BH104" s="168">
        <v>0</v>
      </c>
      <c r="BI104" s="168">
        <v>1</v>
      </c>
      <c r="BJ104" s="168">
        <v>0</v>
      </c>
      <c r="BK104" s="168">
        <v>2</v>
      </c>
      <c r="BL104" s="168">
        <v>0</v>
      </c>
      <c r="BM104" s="168">
        <v>0</v>
      </c>
      <c r="BN104" s="168">
        <v>0</v>
      </c>
      <c r="BO104" s="168">
        <v>5</v>
      </c>
      <c r="BP104" s="168">
        <v>0</v>
      </c>
      <c r="BQ104" s="168">
        <v>0</v>
      </c>
      <c r="BR104" s="168">
        <v>11</v>
      </c>
      <c r="BS104" s="168">
        <v>8</v>
      </c>
      <c r="BT104" s="168">
        <v>0</v>
      </c>
      <c r="BU104" s="168">
        <v>0</v>
      </c>
      <c r="BV104" s="168">
        <v>2</v>
      </c>
      <c r="BW104" s="168">
        <v>0</v>
      </c>
      <c r="BX104" s="168">
        <v>0</v>
      </c>
      <c r="BY104" s="168">
        <v>2</v>
      </c>
      <c r="BZ104" s="168">
        <v>0</v>
      </c>
      <c r="CA104" s="168">
        <v>0</v>
      </c>
      <c r="CB104" s="168">
        <v>0</v>
      </c>
      <c r="CC104" s="168">
        <v>0</v>
      </c>
      <c r="CD104" s="168">
        <v>5</v>
      </c>
      <c r="CE104" s="168">
        <v>5</v>
      </c>
      <c r="CF104" s="168">
        <v>0</v>
      </c>
      <c r="CG104" s="168">
        <v>0</v>
      </c>
      <c r="CH104" s="168">
        <v>6</v>
      </c>
      <c r="CI104" s="168">
        <v>1</v>
      </c>
      <c r="CJ104" s="168">
        <v>1</v>
      </c>
      <c r="CK104" s="168">
        <v>0</v>
      </c>
      <c r="CL104" s="168">
        <v>0</v>
      </c>
      <c r="CM104" s="168">
        <v>1</v>
      </c>
      <c r="CN104" s="168">
        <v>0</v>
      </c>
      <c r="CO104" s="168">
        <v>4</v>
      </c>
      <c r="CP104" s="168">
        <v>1</v>
      </c>
      <c r="CQ104" s="168">
        <v>1</v>
      </c>
      <c r="CR104" s="168">
        <v>0</v>
      </c>
      <c r="CS104" s="168">
        <v>0</v>
      </c>
      <c r="CT104" s="168">
        <v>5</v>
      </c>
      <c r="CU104" s="168">
        <v>0</v>
      </c>
      <c r="CV104" s="168">
        <v>0</v>
      </c>
      <c r="CW104" s="168">
        <v>6</v>
      </c>
      <c r="CX104" s="168">
        <v>0</v>
      </c>
      <c r="CY104" s="168">
        <v>4</v>
      </c>
      <c r="CZ104" s="39">
        <v>0</v>
      </c>
      <c r="DA104" s="39">
        <v>5</v>
      </c>
      <c r="DB104" s="39">
        <v>6</v>
      </c>
      <c r="DC104" s="39">
        <v>0</v>
      </c>
      <c r="DD104" s="39">
        <v>0</v>
      </c>
      <c r="DE104" s="39">
        <v>0</v>
      </c>
      <c r="DF104" s="39">
        <v>0</v>
      </c>
      <c r="DG104" s="39">
        <v>0</v>
      </c>
      <c r="DH104" s="39">
        <v>0</v>
      </c>
      <c r="DI104" s="39">
        <v>1</v>
      </c>
      <c r="DJ104" s="39">
        <v>14</v>
      </c>
      <c r="DK104" s="39">
        <v>5</v>
      </c>
      <c r="DL104" s="39">
        <v>0</v>
      </c>
      <c r="DM104" s="39">
        <v>1</v>
      </c>
      <c r="DN104" s="168">
        <v>0</v>
      </c>
      <c r="DO104" s="39">
        <v>0</v>
      </c>
      <c r="DP104" s="39">
        <v>0</v>
      </c>
      <c r="DQ104" s="39">
        <v>1</v>
      </c>
      <c r="DR104" s="39">
        <v>1</v>
      </c>
      <c r="DS104" s="171">
        <v>1</v>
      </c>
      <c r="DT104" s="212">
        <v>0</v>
      </c>
      <c r="DU104" s="212">
        <v>0</v>
      </c>
      <c r="DV104" s="212">
        <v>0</v>
      </c>
      <c r="DW104" s="212">
        <v>0</v>
      </c>
      <c r="DX104" s="212">
        <v>0</v>
      </c>
      <c r="DY104" s="212">
        <v>0</v>
      </c>
      <c r="DZ104" s="212">
        <v>0</v>
      </c>
      <c r="EA104" s="212">
        <v>1</v>
      </c>
      <c r="EB104" s="212">
        <v>0</v>
      </c>
      <c r="EC104" s="212">
        <v>1</v>
      </c>
      <c r="ED104" s="212">
        <v>5</v>
      </c>
      <c r="EE104" s="212">
        <v>1</v>
      </c>
      <c r="EF104" s="212">
        <v>0</v>
      </c>
      <c r="EG104" s="212">
        <v>0</v>
      </c>
      <c r="EH104" s="211">
        <f t="shared" si="31"/>
        <v>60</v>
      </c>
      <c r="EI104" s="89"/>
      <c r="EJ104" s="89">
        <f t="shared" si="32"/>
        <v>159</v>
      </c>
      <c r="EK104" s="89"/>
      <c r="EL104" s="47">
        <f t="shared" si="42"/>
        <v>7</v>
      </c>
      <c r="EM104" s="47"/>
      <c r="EN104" s="47">
        <f t="shared" si="28"/>
        <v>151</v>
      </c>
      <c r="EO104" s="12">
        <f t="shared" ref="EO104:EO114" si="53">SUM(C104:C104)</f>
        <v>0</v>
      </c>
      <c r="EP104" s="12">
        <f t="shared" si="49"/>
        <v>0</v>
      </c>
      <c r="EQ104" s="12">
        <f t="shared" ref="EQ104:EQ114" si="54">SUM(P104:AA104)</f>
        <v>0</v>
      </c>
      <c r="ER104" s="12">
        <f t="shared" ref="ER104:ER114" si="55">SUM(AB104:AM104)</f>
        <v>2</v>
      </c>
      <c r="ES104" s="15">
        <f t="shared" ref="ES104:ES114" si="56">SUM(AN104:AY104)</f>
        <v>16</v>
      </c>
      <c r="ET104" s="49">
        <f t="shared" si="29"/>
        <v>56</v>
      </c>
      <c r="EU104" s="49">
        <f t="shared" si="30"/>
        <v>32</v>
      </c>
      <c r="EV104" s="49">
        <f t="shared" si="34"/>
        <v>45</v>
      </c>
      <c r="EW104" s="49">
        <f t="shared" si="33"/>
        <v>2</v>
      </c>
    </row>
    <row r="105" spans="1:304" x14ac:dyDescent="0.25">
      <c r="A105" s="317"/>
      <c r="B105" s="224" t="s">
        <v>105</v>
      </c>
      <c r="C105" s="169">
        <v>0</v>
      </c>
      <c r="D105" s="169">
        <v>0</v>
      </c>
      <c r="E105" s="169">
        <v>0</v>
      </c>
      <c r="F105" s="169">
        <v>0</v>
      </c>
      <c r="G105" s="169">
        <v>0</v>
      </c>
      <c r="H105" s="169">
        <v>0</v>
      </c>
      <c r="I105" s="169">
        <v>0</v>
      </c>
      <c r="J105" s="169">
        <v>0</v>
      </c>
      <c r="K105" s="169">
        <v>0</v>
      </c>
      <c r="L105" s="169">
        <v>0</v>
      </c>
      <c r="M105" s="169">
        <v>0</v>
      </c>
      <c r="N105" s="169">
        <v>0</v>
      </c>
      <c r="O105" s="169">
        <v>0</v>
      </c>
      <c r="P105" s="169">
        <v>0</v>
      </c>
      <c r="Q105" s="169">
        <v>0</v>
      </c>
      <c r="R105" s="169">
        <v>0</v>
      </c>
      <c r="S105" s="169">
        <v>0</v>
      </c>
      <c r="T105" s="169">
        <v>0</v>
      </c>
      <c r="U105" s="169">
        <v>0</v>
      </c>
      <c r="V105" s="169">
        <v>0</v>
      </c>
      <c r="W105" s="169">
        <v>0</v>
      </c>
      <c r="X105" s="169">
        <v>0</v>
      </c>
      <c r="Y105" s="169">
        <v>0</v>
      </c>
      <c r="Z105" s="169">
        <v>0</v>
      </c>
      <c r="AA105" s="170">
        <v>0</v>
      </c>
      <c r="AB105" s="170">
        <v>1</v>
      </c>
      <c r="AC105" s="170">
        <v>0</v>
      </c>
      <c r="AD105" s="170">
        <v>1</v>
      </c>
      <c r="AE105" s="170">
        <v>4</v>
      </c>
      <c r="AF105" s="170">
        <v>12</v>
      </c>
      <c r="AG105" s="170">
        <v>0</v>
      </c>
      <c r="AH105" s="170">
        <v>1</v>
      </c>
      <c r="AI105" s="170">
        <v>0</v>
      </c>
      <c r="AJ105" s="168">
        <v>0</v>
      </c>
      <c r="AK105" s="168">
        <v>1</v>
      </c>
      <c r="AL105" s="168">
        <v>13</v>
      </c>
      <c r="AM105" s="168">
        <v>1</v>
      </c>
      <c r="AN105" s="168">
        <v>1</v>
      </c>
      <c r="AO105" s="168">
        <v>0</v>
      </c>
      <c r="AP105" s="168">
        <v>0</v>
      </c>
      <c r="AQ105" s="168">
        <v>0</v>
      </c>
      <c r="AR105" s="168">
        <v>0</v>
      </c>
      <c r="AS105" s="168">
        <v>0</v>
      </c>
      <c r="AT105" s="168">
        <v>3</v>
      </c>
      <c r="AU105" s="168">
        <v>1</v>
      </c>
      <c r="AV105" s="168">
        <v>0</v>
      </c>
      <c r="AW105" s="168">
        <v>34</v>
      </c>
      <c r="AX105" s="168">
        <v>1</v>
      </c>
      <c r="AY105" s="168">
        <v>2</v>
      </c>
      <c r="AZ105" s="168">
        <v>0</v>
      </c>
      <c r="BA105" s="168">
        <v>0</v>
      </c>
      <c r="BB105" s="168">
        <v>0</v>
      </c>
      <c r="BC105" s="168">
        <v>0</v>
      </c>
      <c r="BD105" s="168">
        <v>1</v>
      </c>
      <c r="BE105" s="168">
        <v>2</v>
      </c>
      <c r="BF105" s="168">
        <v>3</v>
      </c>
      <c r="BG105" s="168">
        <v>19</v>
      </c>
      <c r="BH105" s="168">
        <v>7</v>
      </c>
      <c r="BI105" s="168">
        <v>1</v>
      </c>
      <c r="BJ105" s="168">
        <v>3</v>
      </c>
      <c r="BK105" s="168">
        <v>4</v>
      </c>
      <c r="BL105" s="168">
        <v>2</v>
      </c>
      <c r="BM105" s="168">
        <v>2</v>
      </c>
      <c r="BN105" s="168">
        <v>4</v>
      </c>
      <c r="BO105" s="168">
        <v>3</v>
      </c>
      <c r="BP105" s="168">
        <v>0</v>
      </c>
      <c r="BQ105" s="168">
        <v>0</v>
      </c>
      <c r="BR105" s="168">
        <v>0</v>
      </c>
      <c r="BS105" s="168">
        <v>7</v>
      </c>
      <c r="BT105" s="168">
        <v>0</v>
      </c>
      <c r="BU105" s="168">
        <v>17</v>
      </c>
      <c r="BV105" s="168">
        <v>7</v>
      </c>
      <c r="BW105" s="168">
        <v>3</v>
      </c>
      <c r="BX105" s="168">
        <v>5</v>
      </c>
      <c r="BY105" s="168">
        <v>1</v>
      </c>
      <c r="BZ105" s="168">
        <v>5</v>
      </c>
      <c r="CA105" s="168">
        <v>12</v>
      </c>
      <c r="CB105" s="168">
        <v>6</v>
      </c>
      <c r="CC105" s="168">
        <v>0</v>
      </c>
      <c r="CD105" s="168">
        <v>0</v>
      </c>
      <c r="CE105" s="168">
        <v>0</v>
      </c>
      <c r="CF105" s="168">
        <v>1</v>
      </c>
      <c r="CG105" s="168">
        <v>1</v>
      </c>
      <c r="CH105" s="168">
        <v>12</v>
      </c>
      <c r="CI105" s="168">
        <v>6</v>
      </c>
      <c r="CJ105" s="168">
        <v>2</v>
      </c>
      <c r="CK105" s="168">
        <v>2</v>
      </c>
      <c r="CL105" s="168">
        <v>2</v>
      </c>
      <c r="CM105" s="168">
        <v>1</v>
      </c>
      <c r="CN105" s="168">
        <v>3</v>
      </c>
      <c r="CO105" s="168">
        <v>1</v>
      </c>
      <c r="CP105" s="168">
        <v>7</v>
      </c>
      <c r="CQ105" s="168">
        <v>1</v>
      </c>
      <c r="CR105" s="168">
        <v>0</v>
      </c>
      <c r="CS105" s="168">
        <v>12</v>
      </c>
      <c r="CT105" s="168">
        <v>15</v>
      </c>
      <c r="CU105" s="168">
        <v>12</v>
      </c>
      <c r="CV105" s="168">
        <v>0</v>
      </c>
      <c r="CW105" s="168">
        <v>0</v>
      </c>
      <c r="CX105" s="168">
        <v>2</v>
      </c>
      <c r="CY105" s="168">
        <v>1</v>
      </c>
      <c r="CZ105" s="39">
        <v>6</v>
      </c>
      <c r="DA105" s="39">
        <v>7</v>
      </c>
      <c r="DB105" s="39">
        <v>11</v>
      </c>
      <c r="DC105" s="39">
        <v>5</v>
      </c>
      <c r="DD105" s="39">
        <v>2</v>
      </c>
      <c r="DE105" s="39">
        <v>3</v>
      </c>
      <c r="DF105" s="39">
        <v>6</v>
      </c>
      <c r="DG105" s="39">
        <v>0</v>
      </c>
      <c r="DH105" s="39">
        <v>2</v>
      </c>
      <c r="DI105" s="39">
        <v>2</v>
      </c>
      <c r="DJ105" s="39">
        <v>1</v>
      </c>
      <c r="DK105" s="39">
        <v>1</v>
      </c>
      <c r="DL105" s="39">
        <v>1</v>
      </c>
      <c r="DM105" s="39">
        <v>0</v>
      </c>
      <c r="DN105" s="168">
        <v>0</v>
      </c>
      <c r="DO105" s="70">
        <v>3</v>
      </c>
      <c r="DP105" s="39">
        <v>4</v>
      </c>
      <c r="DQ105" s="39">
        <v>0</v>
      </c>
      <c r="DR105" s="39">
        <v>11</v>
      </c>
      <c r="DS105" s="171">
        <v>0</v>
      </c>
      <c r="DT105" s="212">
        <v>0</v>
      </c>
      <c r="DU105" s="212">
        <v>1</v>
      </c>
      <c r="DV105" s="212">
        <v>2</v>
      </c>
      <c r="DW105" s="212">
        <v>4</v>
      </c>
      <c r="DX105" s="212">
        <v>2</v>
      </c>
      <c r="DY105" s="212">
        <v>2</v>
      </c>
      <c r="DZ105" s="212">
        <v>0</v>
      </c>
      <c r="EA105" s="212">
        <v>0</v>
      </c>
      <c r="EB105" s="212">
        <v>1</v>
      </c>
      <c r="EC105" s="212">
        <v>3</v>
      </c>
      <c r="ED105" s="212">
        <v>1</v>
      </c>
      <c r="EE105" s="212">
        <v>3</v>
      </c>
      <c r="EF105" s="212">
        <v>0</v>
      </c>
      <c r="EG105" s="212">
        <v>0</v>
      </c>
      <c r="EH105" s="211">
        <f t="shared" si="31"/>
        <v>134</v>
      </c>
      <c r="EI105" s="89"/>
      <c r="EJ105" s="89">
        <f t="shared" si="32"/>
        <v>355</v>
      </c>
      <c r="EK105" s="89"/>
      <c r="EL105" s="47">
        <f t="shared" si="42"/>
        <v>9</v>
      </c>
      <c r="EM105" s="47"/>
      <c r="EN105" s="47">
        <f t="shared" si="28"/>
        <v>336</v>
      </c>
      <c r="EO105" s="12">
        <f t="shared" si="53"/>
        <v>0</v>
      </c>
      <c r="EP105" s="12">
        <f t="shared" si="49"/>
        <v>0</v>
      </c>
      <c r="EQ105" s="12">
        <f t="shared" si="54"/>
        <v>0</v>
      </c>
      <c r="ER105" s="12">
        <f t="shared" si="55"/>
        <v>34</v>
      </c>
      <c r="ES105" s="15">
        <f t="shared" si="56"/>
        <v>42</v>
      </c>
      <c r="ET105" s="49">
        <f t="shared" si="29"/>
        <v>85</v>
      </c>
      <c r="EU105" s="49">
        <f t="shared" si="30"/>
        <v>107</v>
      </c>
      <c r="EV105" s="49">
        <f t="shared" si="34"/>
        <v>68</v>
      </c>
      <c r="EW105" s="49">
        <f t="shared" si="33"/>
        <v>15</v>
      </c>
    </row>
    <row r="106" spans="1:304" x14ac:dyDescent="0.25">
      <c r="A106" s="317"/>
      <c r="B106" s="224" t="s">
        <v>106</v>
      </c>
      <c r="C106" s="169">
        <v>0</v>
      </c>
      <c r="D106" s="169">
        <v>1</v>
      </c>
      <c r="E106" s="169">
        <v>4</v>
      </c>
      <c r="F106" s="169">
        <v>47</v>
      </c>
      <c r="G106" s="169">
        <v>40</v>
      </c>
      <c r="H106" s="169">
        <v>45</v>
      </c>
      <c r="I106" s="169">
        <v>45</v>
      </c>
      <c r="J106" s="169">
        <v>23</v>
      </c>
      <c r="K106" s="169">
        <v>18</v>
      </c>
      <c r="L106" s="169">
        <v>6</v>
      </c>
      <c r="M106" s="169">
        <v>22</v>
      </c>
      <c r="N106" s="169">
        <v>22</v>
      </c>
      <c r="O106" s="169">
        <v>16</v>
      </c>
      <c r="P106" s="169">
        <v>8</v>
      </c>
      <c r="Q106" s="169">
        <v>11</v>
      </c>
      <c r="R106" s="169">
        <v>18</v>
      </c>
      <c r="S106" s="169">
        <v>4</v>
      </c>
      <c r="T106" s="169">
        <v>5</v>
      </c>
      <c r="U106" s="169">
        <v>14</v>
      </c>
      <c r="V106" s="169">
        <v>6</v>
      </c>
      <c r="W106" s="169">
        <v>3</v>
      </c>
      <c r="X106" s="169">
        <v>2</v>
      </c>
      <c r="Y106" s="169">
        <v>6</v>
      </c>
      <c r="Z106" s="169">
        <v>5</v>
      </c>
      <c r="AA106" s="170">
        <v>5</v>
      </c>
      <c r="AB106" s="170">
        <v>3</v>
      </c>
      <c r="AC106" s="170">
        <v>5</v>
      </c>
      <c r="AD106" s="170">
        <v>2</v>
      </c>
      <c r="AE106" s="170">
        <v>1</v>
      </c>
      <c r="AF106" s="170">
        <v>5</v>
      </c>
      <c r="AG106" s="170">
        <v>5</v>
      </c>
      <c r="AH106" s="170">
        <v>11</v>
      </c>
      <c r="AI106" s="170">
        <v>5</v>
      </c>
      <c r="AJ106" s="168">
        <v>17</v>
      </c>
      <c r="AK106" s="168">
        <v>11</v>
      </c>
      <c r="AL106" s="168">
        <v>27</v>
      </c>
      <c r="AM106" s="168">
        <v>4</v>
      </c>
      <c r="AN106" s="168">
        <v>4</v>
      </c>
      <c r="AO106" s="168">
        <v>1</v>
      </c>
      <c r="AP106" s="168">
        <v>5</v>
      </c>
      <c r="AQ106" s="168">
        <v>5</v>
      </c>
      <c r="AR106" s="168">
        <v>17</v>
      </c>
      <c r="AS106" s="168">
        <v>11</v>
      </c>
      <c r="AT106" s="168">
        <v>20</v>
      </c>
      <c r="AU106" s="168">
        <v>9</v>
      </c>
      <c r="AV106" s="168">
        <v>12</v>
      </c>
      <c r="AW106" s="168">
        <v>0</v>
      </c>
      <c r="AX106" s="168">
        <v>15</v>
      </c>
      <c r="AY106" s="168">
        <v>9</v>
      </c>
      <c r="AZ106" s="168">
        <v>0</v>
      </c>
      <c r="BA106" s="168">
        <v>0</v>
      </c>
      <c r="BB106" s="168">
        <v>0</v>
      </c>
      <c r="BC106" s="168">
        <v>2</v>
      </c>
      <c r="BD106" s="168">
        <v>0</v>
      </c>
      <c r="BE106" s="168">
        <v>1</v>
      </c>
      <c r="BF106" s="168">
        <v>3</v>
      </c>
      <c r="BG106" s="168">
        <v>3</v>
      </c>
      <c r="BH106" s="168">
        <v>4</v>
      </c>
      <c r="BI106" s="168">
        <v>10</v>
      </c>
      <c r="BJ106" s="168">
        <v>7</v>
      </c>
      <c r="BK106" s="168">
        <v>2</v>
      </c>
      <c r="BL106" s="168">
        <v>4</v>
      </c>
      <c r="BM106" s="168">
        <v>1</v>
      </c>
      <c r="BN106" s="168">
        <v>1</v>
      </c>
      <c r="BO106" s="168">
        <v>3</v>
      </c>
      <c r="BP106" s="168">
        <v>4</v>
      </c>
      <c r="BQ106" s="168">
        <v>8</v>
      </c>
      <c r="BR106" s="168">
        <v>8</v>
      </c>
      <c r="BS106" s="168">
        <v>1</v>
      </c>
      <c r="BT106" s="168">
        <v>0</v>
      </c>
      <c r="BU106" s="168">
        <v>1</v>
      </c>
      <c r="BV106" s="168">
        <v>1</v>
      </c>
      <c r="BW106" s="168">
        <v>0</v>
      </c>
      <c r="BX106" s="168">
        <v>0</v>
      </c>
      <c r="BY106" s="168">
        <v>0</v>
      </c>
      <c r="BZ106" s="168">
        <v>0</v>
      </c>
      <c r="CA106" s="168">
        <v>0</v>
      </c>
      <c r="CB106" s="168">
        <v>0</v>
      </c>
      <c r="CC106" s="168">
        <v>0</v>
      </c>
      <c r="CD106" s="168">
        <v>0</v>
      </c>
      <c r="CE106" s="168">
        <v>0</v>
      </c>
      <c r="CF106" s="168">
        <v>0</v>
      </c>
      <c r="CG106" s="168">
        <v>0</v>
      </c>
      <c r="CH106" s="168">
        <v>0</v>
      </c>
      <c r="CI106" s="168">
        <v>0</v>
      </c>
      <c r="CJ106" s="168">
        <v>0</v>
      </c>
      <c r="CK106" s="168">
        <v>3</v>
      </c>
      <c r="CL106" s="168">
        <v>0</v>
      </c>
      <c r="CM106" s="168">
        <v>0</v>
      </c>
      <c r="CN106" s="168">
        <v>0</v>
      </c>
      <c r="CO106" s="168">
        <v>0</v>
      </c>
      <c r="CP106" s="168">
        <v>0</v>
      </c>
      <c r="CQ106" s="168">
        <v>0</v>
      </c>
      <c r="CR106" s="168">
        <v>0</v>
      </c>
      <c r="CS106" s="168">
        <v>1</v>
      </c>
      <c r="CT106" s="168">
        <v>0</v>
      </c>
      <c r="CU106" s="168">
        <v>0</v>
      </c>
      <c r="CV106" s="168">
        <v>0</v>
      </c>
      <c r="CW106" s="168">
        <v>0</v>
      </c>
      <c r="CX106" s="168">
        <v>0</v>
      </c>
      <c r="CY106" s="168">
        <v>1</v>
      </c>
      <c r="CZ106" s="39">
        <v>1</v>
      </c>
      <c r="DA106" s="39">
        <v>0</v>
      </c>
      <c r="DB106" s="39">
        <v>1</v>
      </c>
      <c r="DC106" s="39">
        <v>0</v>
      </c>
      <c r="DD106" s="39">
        <v>0</v>
      </c>
      <c r="DE106" s="39">
        <v>1</v>
      </c>
      <c r="DF106" s="39">
        <v>0</v>
      </c>
      <c r="DG106" s="39">
        <v>0</v>
      </c>
      <c r="DH106" s="39">
        <v>0</v>
      </c>
      <c r="DI106" s="39">
        <v>0</v>
      </c>
      <c r="DJ106" s="39">
        <v>0</v>
      </c>
      <c r="DK106" s="39">
        <v>0</v>
      </c>
      <c r="DL106" s="39">
        <v>0</v>
      </c>
      <c r="DM106" s="39">
        <v>0</v>
      </c>
      <c r="DN106" s="168">
        <v>14</v>
      </c>
      <c r="DO106" s="70">
        <v>1</v>
      </c>
      <c r="DP106" s="39">
        <v>0</v>
      </c>
      <c r="DQ106" s="39">
        <v>1</v>
      </c>
      <c r="DR106" s="39">
        <v>0</v>
      </c>
      <c r="DS106" s="171">
        <v>0</v>
      </c>
      <c r="DT106" s="212">
        <v>0</v>
      </c>
      <c r="DU106" s="212">
        <v>1</v>
      </c>
      <c r="DV106" s="212">
        <v>0</v>
      </c>
      <c r="DW106" s="212">
        <v>0</v>
      </c>
      <c r="DX106" s="212">
        <v>0</v>
      </c>
      <c r="DY106" s="212">
        <v>0</v>
      </c>
      <c r="DZ106" s="212">
        <v>0</v>
      </c>
      <c r="EA106" s="212">
        <v>0</v>
      </c>
      <c r="EB106" s="212">
        <v>0</v>
      </c>
      <c r="EC106" s="212">
        <v>0</v>
      </c>
      <c r="ED106" s="212">
        <v>0</v>
      </c>
      <c r="EE106" s="212">
        <v>0</v>
      </c>
      <c r="EF106" s="212">
        <v>0</v>
      </c>
      <c r="EG106" s="212">
        <v>0</v>
      </c>
      <c r="EH106" s="211">
        <f t="shared" si="31"/>
        <v>22</v>
      </c>
      <c r="EI106" s="89"/>
      <c r="EJ106" s="89">
        <f t="shared" si="32"/>
        <v>669</v>
      </c>
      <c r="EK106" s="89"/>
      <c r="EL106" s="47">
        <f t="shared" si="42"/>
        <v>16</v>
      </c>
      <c r="EM106" s="47"/>
      <c r="EN106" s="47">
        <f t="shared" si="28"/>
        <v>486</v>
      </c>
      <c r="EO106" s="12">
        <f t="shared" si="53"/>
        <v>0</v>
      </c>
      <c r="EP106" s="12">
        <f t="shared" si="49"/>
        <v>289</v>
      </c>
      <c r="EQ106" s="12">
        <f t="shared" si="54"/>
        <v>87</v>
      </c>
      <c r="ER106" s="12">
        <f t="shared" si="55"/>
        <v>96</v>
      </c>
      <c r="ES106" s="15">
        <f t="shared" si="56"/>
        <v>108</v>
      </c>
      <c r="ET106" s="49">
        <f t="shared" si="29"/>
        <v>64</v>
      </c>
      <c r="EU106" s="49">
        <f t="shared" si="30"/>
        <v>4</v>
      </c>
      <c r="EV106" s="49">
        <f t="shared" si="34"/>
        <v>20</v>
      </c>
      <c r="EW106" s="49">
        <f t="shared" si="33"/>
        <v>1</v>
      </c>
    </row>
    <row r="107" spans="1:304" x14ac:dyDescent="0.25">
      <c r="A107" s="317"/>
      <c r="B107" s="224" t="s">
        <v>185</v>
      </c>
      <c r="C107" s="169">
        <v>0</v>
      </c>
      <c r="D107" s="169">
        <v>0</v>
      </c>
      <c r="E107" s="169">
        <v>0</v>
      </c>
      <c r="F107" s="169">
        <v>0</v>
      </c>
      <c r="G107" s="169">
        <v>0</v>
      </c>
      <c r="H107" s="169">
        <v>0</v>
      </c>
      <c r="I107" s="169">
        <v>0</v>
      </c>
      <c r="J107" s="169">
        <v>0</v>
      </c>
      <c r="K107" s="169">
        <v>0</v>
      </c>
      <c r="L107" s="169">
        <v>0</v>
      </c>
      <c r="M107" s="169">
        <v>0</v>
      </c>
      <c r="N107" s="169">
        <v>0</v>
      </c>
      <c r="O107" s="169">
        <v>0</v>
      </c>
      <c r="P107" s="169">
        <v>0</v>
      </c>
      <c r="Q107" s="169">
        <v>0</v>
      </c>
      <c r="R107" s="169">
        <v>0</v>
      </c>
      <c r="S107" s="169">
        <v>0</v>
      </c>
      <c r="T107" s="169">
        <v>0</v>
      </c>
      <c r="U107" s="169">
        <v>0</v>
      </c>
      <c r="V107" s="169">
        <v>0</v>
      </c>
      <c r="W107" s="169">
        <v>0</v>
      </c>
      <c r="X107" s="169">
        <v>0</v>
      </c>
      <c r="Y107" s="169">
        <v>0</v>
      </c>
      <c r="Z107" s="169">
        <v>0</v>
      </c>
      <c r="AA107" s="170">
        <v>0</v>
      </c>
      <c r="AB107" s="170">
        <v>0</v>
      </c>
      <c r="AC107" s="170">
        <v>0</v>
      </c>
      <c r="AD107" s="170">
        <v>0</v>
      </c>
      <c r="AE107" s="170">
        <v>0</v>
      </c>
      <c r="AF107" s="170">
        <v>0</v>
      </c>
      <c r="AG107" s="170">
        <v>0</v>
      </c>
      <c r="AH107" s="170">
        <v>0</v>
      </c>
      <c r="AI107" s="170">
        <v>0</v>
      </c>
      <c r="AJ107" s="168">
        <v>0</v>
      </c>
      <c r="AK107" s="168">
        <v>0</v>
      </c>
      <c r="AL107" s="168">
        <v>0</v>
      </c>
      <c r="AM107" s="168">
        <v>0</v>
      </c>
      <c r="AN107" s="168">
        <v>0</v>
      </c>
      <c r="AO107" s="168">
        <v>0</v>
      </c>
      <c r="AP107" s="168">
        <v>0</v>
      </c>
      <c r="AQ107" s="168">
        <v>0</v>
      </c>
      <c r="AR107" s="168">
        <v>0</v>
      </c>
      <c r="AS107" s="168">
        <v>0</v>
      </c>
      <c r="AT107" s="168">
        <v>0</v>
      </c>
      <c r="AU107" s="168">
        <v>0</v>
      </c>
      <c r="AV107" s="168">
        <v>0</v>
      </c>
      <c r="AW107" s="168">
        <v>12</v>
      </c>
      <c r="AX107" s="168">
        <v>0</v>
      </c>
      <c r="AY107" s="168">
        <v>0</v>
      </c>
      <c r="AZ107" s="168">
        <v>2</v>
      </c>
      <c r="BA107" s="168">
        <v>2</v>
      </c>
      <c r="BB107" s="168">
        <v>0</v>
      </c>
      <c r="BC107" s="168">
        <v>0</v>
      </c>
      <c r="BD107" s="168">
        <v>2</v>
      </c>
      <c r="BE107" s="168">
        <v>0</v>
      </c>
      <c r="BF107" s="168">
        <v>0</v>
      </c>
      <c r="BG107" s="168">
        <v>0</v>
      </c>
      <c r="BH107" s="168">
        <v>0</v>
      </c>
      <c r="BI107" s="168">
        <v>0</v>
      </c>
      <c r="BJ107" s="168">
        <v>0</v>
      </c>
      <c r="BK107" s="168">
        <v>0</v>
      </c>
      <c r="BL107" s="168">
        <v>2</v>
      </c>
      <c r="BM107" s="168">
        <v>1</v>
      </c>
      <c r="BN107" s="168">
        <v>0</v>
      </c>
      <c r="BO107" s="168">
        <v>0</v>
      </c>
      <c r="BP107" s="168">
        <v>0</v>
      </c>
      <c r="BQ107" s="168">
        <v>0</v>
      </c>
      <c r="BR107" s="168">
        <v>4</v>
      </c>
      <c r="BS107" s="168">
        <v>15</v>
      </c>
      <c r="BT107" s="168">
        <v>3</v>
      </c>
      <c r="BU107" s="168">
        <v>0</v>
      </c>
      <c r="BV107" s="168">
        <v>6</v>
      </c>
      <c r="BW107" s="168">
        <v>2</v>
      </c>
      <c r="BX107" s="168">
        <v>0</v>
      </c>
      <c r="BY107" s="168">
        <v>0</v>
      </c>
      <c r="BZ107" s="168">
        <v>0</v>
      </c>
      <c r="CA107" s="168">
        <v>0</v>
      </c>
      <c r="CB107" s="168">
        <v>0</v>
      </c>
      <c r="CC107" s="168">
        <v>0</v>
      </c>
      <c r="CD107" s="168">
        <v>0</v>
      </c>
      <c r="CE107" s="168">
        <v>0</v>
      </c>
      <c r="CF107" s="168">
        <v>0</v>
      </c>
      <c r="CG107" s="168">
        <v>0</v>
      </c>
      <c r="CH107" s="168">
        <v>0</v>
      </c>
      <c r="CI107" s="168">
        <v>1</v>
      </c>
      <c r="CJ107" s="168">
        <v>0</v>
      </c>
      <c r="CK107" s="168">
        <v>0</v>
      </c>
      <c r="CL107" s="168">
        <v>0</v>
      </c>
      <c r="CM107" s="168">
        <v>0</v>
      </c>
      <c r="CN107" s="168">
        <v>0</v>
      </c>
      <c r="CO107" s="168">
        <v>0</v>
      </c>
      <c r="CP107" s="168">
        <v>0</v>
      </c>
      <c r="CQ107" s="168">
        <v>0</v>
      </c>
      <c r="CR107" s="168">
        <v>0</v>
      </c>
      <c r="CS107" s="168">
        <v>3</v>
      </c>
      <c r="CT107" s="168">
        <v>3</v>
      </c>
      <c r="CU107" s="168">
        <v>1</v>
      </c>
      <c r="CV107" s="168">
        <v>0</v>
      </c>
      <c r="CW107" s="168">
        <v>0</v>
      </c>
      <c r="CX107" s="168">
        <v>0</v>
      </c>
      <c r="CY107" s="168">
        <v>0</v>
      </c>
      <c r="CZ107" s="39">
        <v>0</v>
      </c>
      <c r="DA107" s="39">
        <v>0</v>
      </c>
      <c r="DB107" s="39">
        <v>0</v>
      </c>
      <c r="DC107" s="39">
        <v>0</v>
      </c>
      <c r="DD107" s="39">
        <v>0</v>
      </c>
      <c r="DE107" s="39">
        <v>0</v>
      </c>
      <c r="DF107" s="39">
        <v>1</v>
      </c>
      <c r="DG107" s="39">
        <v>0</v>
      </c>
      <c r="DH107" s="39">
        <v>0</v>
      </c>
      <c r="DI107" s="39">
        <v>0</v>
      </c>
      <c r="DJ107" s="39">
        <v>0</v>
      </c>
      <c r="DK107" s="39">
        <v>0</v>
      </c>
      <c r="DL107" s="39">
        <v>0</v>
      </c>
      <c r="DM107" s="39">
        <v>0</v>
      </c>
      <c r="DN107" s="168">
        <v>4</v>
      </c>
      <c r="DO107" s="39">
        <v>1</v>
      </c>
      <c r="DP107" s="39">
        <v>2</v>
      </c>
      <c r="DQ107" s="39">
        <v>1</v>
      </c>
      <c r="DR107" s="39">
        <v>3</v>
      </c>
      <c r="DS107" s="171">
        <v>0</v>
      </c>
      <c r="DT107" s="212">
        <v>0</v>
      </c>
      <c r="DU107" s="212">
        <v>1</v>
      </c>
      <c r="DV107" s="212">
        <v>0</v>
      </c>
      <c r="DW107" s="212">
        <v>0</v>
      </c>
      <c r="DX107" s="212">
        <v>1</v>
      </c>
      <c r="DY107" s="212">
        <v>0</v>
      </c>
      <c r="DZ107" s="212">
        <v>0</v>
      </c>
      <c r="EA107" s="212">
        <v>0</v>
      </c>
      <c r="EB107" s="212">
        <v>0</v>
      </c>
      <c r="EC107" s="212">
        <v>0</v>
      </c>
      <c r="ED107" s="212">
        <v>0</v>
      </c>
      <c r="EE107" s="212">
        <v>0</v>
      </c>
      <c r="EF107" s="212">
        <v>0</v>
      </c>
      <c r="EG107" s="212">
        <v>0</v>
      </c>
      <c r="EH107" s="211">
        <f t="shared" si="31"/>
        <v>21</v>
      </c>
      <c r="EI107" s="89"/>
      <c r="EJ107" s="89">
        <f t="shared" si="32"/>
        <v>73</v>
      </c>
      <c r="EK107" s="89"/>
      <c r="EL107" s="47">
        <f t="shared" si="42"/>
        <v>8</v>
      </c>
      <c r="EM107" s="47"/>
      <c r="EN107" s="47">
        <f t="shared" si="28"/>
        <v>71</v>
      </c>
      <c r="EO107" s="12">
        <f t="shared" si="53"/>
        <v>0</v>
      </c>
      <c r="EP107" s="12">
        <f t="shared" ref="EP107:EP114" si="57">SUM(D107:O107)</f>
        <v>0</v>
      </c>
      <c r="EQ107" s="12">
        <f t="shared" si="54"/>
        <v>0</v>
      </c>
      <c r="ER107" s="12">
        <f t="shared" si="55"/>
        <v>0</v>
      </c>
      <c r="ES107" s="15">
        <f t="shared" si="56"/>
        <v>12</v>
      </c>
      <c r="ET107" s="49">
        <f t="shared" si="29"/>
        <v>39</v>
      </c>
      <c r="EU107" s="49">
        <f t="shared" si="30"/>
        <v>8</v>
      </c>
      <c r="EV107" s="49">
        <f t="shared" si="34"/>
        <v>12</v>
      </c>
      <c r="EW107" s="49">
        <f t="shared" si="33"/>
        <v>2</v>
      </c>
    </row>
    <row r="108" spans="1:304" x14ac:dyDescent="0.25">
      <c r="A108" s="317"/>
      <c r="B108" s="224" t="s">
        <v>108</v>
      </c>
      <c r="C108" s="169">
        <v>0</v>
      </c>
      <c r="D108" s="169">
        <v>0</v>
      </c>
      <c r="E108" s="169">
        <v>0</v>
      </c>
      <c r="F108" s="169">
        <v>0</v>
      </c>
      <c r="G108" s="169">
        <v>0</v>
      </c>
      <c r="H108" s="169">
        <v>0</v>
      </c>
      <c r="I108" s="169">
        <v>0</v>
      </c>
      <c r="J108" s="169">
        <v>0</v>
      </c>
      <c r="K108" s="169">
        <v>0</v>
      </c>
      <c r="L108" s="169">
        <v>0</v>
      </c>
      <c r="M108" s="169">
        <v>0</v>
      </c>
      <c r="N108" s="169">
        <v>0</v>
      </c>
      <c r="O108" s="169">
        <v>0</v>
      </c>
      <c r="P108" s="169">
        <v>0</v>
      </c>
      <c r="Q108" s="169">
        <v>0</v>
      </c>
      <c r="R108" s="169">
        <v>0</v>
      </c>
      <c r="S108" s="169">
        <v>0</v>
      </c>
      <c r="T108" s="169">
        <v>0</v>
      </c>
      <c r="U108" s="169">
        <v>0</v>
      </c>
      <c r="V108" s="169">
        <v>0</v>
      </c>
      <c r="W108" s="169">
        <v>0</v>
      </c>
      <c r="X108" s="169">
        <v>0</v>
      </c>
      <c r="Y108" s="169">
        <v>0</v>
      </c>
      <c r="Z108" s="169">
        <v>0</v>
      </c>
      <c r="AA108" s="170">
        <v>0</v>
      </c>
      <c r="AB108" s="170">
        <v>0</v>
      </c>
      <c r="AC108" s="170">
        <v>0</v>
      </c>
      <c r="AD108" s="170">
        <v>0</v>
      </c>
      <c r="AE108" s="170">
        <v>0</v>
      </c>
      <c r="AF108" s="170">
        <v>0</v>
      </c>
      <c r="AG108" s="170">
        <v>0</v>
      </c>
      <c r="AH108" s="170">
        <v>0</v>
      </c>
      <c r="AI108" s="170">
        <v>0</v>
      </c>
      <c r="AJ108" s="168">
        <v>0</v>
      </c>
      <c r="AK108" s="168">
        <v>0</v>
      </c>
      <c r="AL108" s="168">
        <v>0</v>
      </c>
      <c r="AM108" s="168">
        <v>0</v>
      </c>
      <c r="AN108" s="168">
        <v>0</v>
      </c>
      <c r="AO108" s="168">
        <v>0</v>
      </c>
      <c r="AP108" s="168">
        <v>0</v>
      </c>
      <c r="AQ108" s="168">
        <v>0</v>
      </c>
      <c r="AR108" s="168">
        <v>0</v>
      </c>
      <c r="AS108" s="168">
        <v>0</v>
      </c>
      <c r="AT108" s="168">
        <v>2</v>
      </c>
      <c r="AU108" s="168">
        <v>0</v>
      </c>
      <c r="AV108" s="168">
        <v>0</v>
      </c>
      <c r="AW108" s="168">
        <v>0</v>
      </c>
      <c r="AX108" s="168">
        <v>0</v>
      </c>
      <c r="AY108" s="168">
        <v>0</v>
      </c>
      <c r="AZ108" s="168">
        <v>0</v>
      </c>
      <c r="BA108" s="168">
        <v>0</v>
      </c>
      <c r="BB108" s="168">
        <v>0</v>
      </c>
      <c r="BC108" s="168">
        <v>0</v>
      </c>
      <c r="BD108" s="168">
        <v>0</v>
      </c>
      <c r="BE108" s="168">
        <v>0</v>
      </c>
      <c r="BF108" s="168">
        <v>0</v>
      </c>
      <c r="BG108" s="168">
        <v>1</v>
      </c>
      <c r="BH108" s="168">
        <v>0</v>
      </c>
      <c r="BI108" s="168">
        <v>0</v>
      </c>
      <c r="BJ108" s="168">
        <v>0</v>
      </c>
      <c r="BK108" s="168">
        <v>1</v>
      </c>
      <c r="BL108" s="168">
        <v>0</v>
      </c>
      <c r="BM108" s="168">
        <v>0</v>
      </c>
      <c r="BN108" s="168">
        <v>0</v>
      </c>
      <c r="BO108" s="168">
        <v>0</v>
      </c>
      <c r="BP108" s="168">
        <v>0</v>
      </c>
      <c r="BQ108" s="168">
        <v>0</v>
      </c>
      <c r="BR108" s="168">
        <v>0</v>
      </c>
      <c r="BS108" s="168">
        <v>0</v>
      </c>
      <c r="BT108" s="168">
        <v>0</v>
      </c>
      <c r="BU108" s="168">
        <v>0</v>
      </c>
      <c r="BV108" s="168">
        <v>0</v>
      </c>
      <c r="BW108" s="168">
        <v>0</v>
      </c>
      <c r="BX108" s="168">
        <v>0</v>
      </c>
      <c r="BY108" s="168">
        <v>0</v>
      </c>
      <c r="BZ108" s="168">
        <v>0</v>
      </c>
      <c r="CA108" s="168">
        <v>0</v>
      </c>
      <c r="CB108" s="168">
        <v>0</v>
      </c>
      <c r="CC108" s="168">
        <v>0</v>
      </c>
      <c r="CD108" s="168">
        <v>0</v>
      </c>
      <c r="CE108" s="168">
        <v>0</v>
      </c>
      <c r="CF108" s="168">
        <v>0</v>
      </c>
      <c r="CG108" s="168">
        <v>0</v>
      </c>
      <c r="CH108" s="168">
        <v>0</v>
      </c>
      <c r="CI108" s="168">
        <v>0</v>
      </c>
      <c r="CJ108" s="168">
        <v>0</v>
      </c>
      <c r="CK108" s="168">
        <v>0</v>
      </c>
      <c r="CL108" s="168">
        <v>0</v>
      </c>
      <c r="CM108" s="168">
        <v>0</v>
      </c>
      <c r="CN108" s="168">
        <v>0</v>
      </c>
      <c r="CO108" s="168">
        <v>0</v>
      </c>
      <c r="CP108" s="168">
        <v>0</v>
      </c>
      <c r="CQ108" s="168">
        <v>0</v>
      </c>
      <c r="CR108" s="168">
        <v>0</v>
      </c>
      <c r="CS108" s="168">
        <v>0</v>
      </c>
      <c r="CT108" s="168">
        <v>0</v>
      </c>
      <c r="CU108" s="168">
        <v>0</v>
      </c>
      <c r="CV108" s="168">
        <v>0</v>
      </c>
      <c r="CW108" s="168">
        <v>0</v>
      </c>
      <c r="CX108" s="168">
        <v>0</v>
      </c>
      <c r="CY108" s="168">
        <v>0</v>
      </c>
      <c r="CZ108" s="39">
        <v>0</v>
      </c>
      <c r="DA108" s="39">
        <v>0</v>
      </c>
      <c r="DB108" s="39">
        <v>0</v>
      </c>
      <c r="DC108" s="39">
        <v>0</v>
      </c>
      <c r="DD108" s="39">
        <v>0</v>
      </c>
      <c r="DE108" s="39">
        <v>0</v>
      </c>
      <c r="DF108" s="39">
        <v>0</v>
      </c>
      <c r="DG108" s="39">
        <v>0</v>
      </c>
      <c r="DH108" s="39">
        <v>0</v>
      </c>
      <c r="DI108" s="39">
        <v>0</v>
      </c>
      <c r="DJ108" s="39">
        <v>0</v>
      </c>
      <c r="DK108" s="39">
        <v>0</v>
      </c>
      <c r="DL108" s="39">
        <v>0</v>
      </c>
      <c r="DM108" s="39">
        <v>0</v>
      </c>
      <c r="DN108" s="168">
        <v>0</v>
      </c>
      <c r="DO108" s="39">
        <v>0</v>
      </c>
      <c r="DP108" s="39">
        <v>0</v>
      </c>
      <c r="DQ108" s="39">
        <v>0</v>
      </c>
      <c r="DR108" s="39">
        <v>0</v>
      </c>
      <c r="DS108" s="171">
        <v>0</v>
      </c>
      <c r="DT108" s="212">
        <v>0</v>
      </c>
      <c r="DU108" s="212">
        <v>0</v>
      </c>
      <c r="DV108" s="212">
        <v>0</v>
      </c>
      <c r="DW108" s="212">
        <v>0</v>
      </c>
      <c r="DX108" s="212">
        <v>0</v>
      </c>
      <c r="DY108" s="212">
        <v>0</v>
      </c>
      <c r="DZ108" s="212">
        <v>0</v>
      </c>
      <c r="EA108" s="212">
        <v>0</v>
      </c>
      <c r="EB108" s="212">
        <v>0</v>
      </c>
      <c r="EC108" s="212">
        <v>0</v>
      </c>
      <c r="ED108" s="212">
        <v>0</v>
      </c>
      <c r="EE108" s="212">
        <v>0</v>
      </c>
      <c r="EF108" s="212">
        <v>0</v>
      </c>
      <c r="EG108" s="212">
        <v>0</v>
      </c>
      <c r="EH108" s="211">
        <f t="shared" si="31"/>
        <v>0</v>
      </c>
      <c r="EI108" s="89"/>
      <c r="EJ108" s="89">
        <f t="shared" si="32"/>
        <v>4</v>
      </c>
      <c r="EK108" s="89"/>
      <c r="EL108" s="47">
        <f t="shared" si="42"/>
        <v>0</v>
      </c>
      <c r="EM108" s="47"/>
      <c r="EN108" s="47">
        <f t="shared" si="28"/>
        <v>4</v>
      </c>
      <c r="EO108" s="12">
        <f t="shared" si="53"/>
        <v>0</v>
      </c>
      <c r="EP108" s="12">
        <f t="shared" si="57"/>
        <v>0</v>
      </c>
      <c r="EQ108" s="12">
        <f t="shared" si="54"/>
        <v>0</v>
      </c>
      <c r="ER108" s="12">
        <f t="shared" si="55"/>
        <v>0</v>
      </c>
      <c r="ES108" s="15">
        <f t="shared" si="56"/>
        <v>2</v>
      </c>
      <c r="ET108" s="49">
        <f t="shared" si="29"/>
        <v>2</v>
      </c>
      <c r="EU108" s="49">
        <f t="shared" si="30"/>
        <v>0</v>
      </c>
      <c r="EV108" s="49">
        <f t="shared" si="34"/>
        <v>0</v>
      </c>
      <c r="EW108" s="49">
        <f t="shared" si="33"/>
        <v>0</v>
      </c>
    </row>
    <row r="109" spans="1:304" ht="60" x14ac:dyDescent="0.25">
      <c r="A109" s="317"/>
      <c r="B109" s="226" t="s">
        <v>268</v>
      </c>
      <c r="C109" s="33" t="s">
        <v>154</v>
      </c>
      <c r="D109" s="33" t="s">
        <v>154</v>
      </c>
      <c r="E109" s="33" t="s">
        <v>154</v>
      </c>
      <c r="F109" s="33" t="s">
        <v>154</v>
      </c>
      <c r="G109" s="33" t="s">
        <v>154</v>
      </c>
      <c r="H109" s="33" t="s">
        <v>154</v>
      </c>
      <c r="I109" s="33" t="s">
        <v>154</v>
      </c>
      <c r="J109" s="33" t="s">
        <v>154</v>
      </c>
      <c r="K109" s="33" t="s">
        <v>154</v>
      </c>
      <c r="L109" s="33" t="s">
        <v>154</v>
      </c>
      <c r="M109" s="33" t="s">
        <v>154</v>
      </c>
      <c r="N109" s="33" t="s">
        <v>154</v>
      </c>
      <c r="O109" s="33" t="s">
        <v>154</v>
      </c>
      <c r="P109" s="33" t="s">
        <v>154</v>
      </c>
      <c r="Q109" s="33" t="s">
        <v>154</v>
      </c>
      <c r="R109" s="33" t="s">
        <v>154</v>
      </c>
      <c r="S109" s="33" t="s">
        <v>154</v>
      </c>
      <c r="T109" s="33" t="s">
        <v>154</v>
      </c>
      <c r="U109" s="33" t="s">
        <v>154</v>
      </c>
      <c r="V109" s="33" t="s">
        <v>154</v>
      </c>
      <c r="W109" s="33" t="s">
        <v>154</v>
      </c>
      <c r="X109" s="33" t="s">
        <v>154</v>
      </c>
      <c r="Y109" s="33" t="s">
        <v>154</v>
      </c>
      <c r="Z109" s="33" t="s">
        <v>154</v>
      </c>
      <c r="AA109" s="136" t="s">
        <v>154</v>
      </c>
      <c r="AB109" s="136" t="s">
        <v>154</v>
      </c>
      <c r="AC109" s="136" t="s">
        <v>154</v>
      </c>
      <c r="AD109" s="136" t="s">
        <v>154</v>
      </c>
      <c r="AE109" s="136" t="s">
        <v>154</v>
      </c>
      <c r="AF109" s="136" t="s">
        <v>154</v>
      </c>
      <c r="AG109" s="136" t="s">
        <v>154</v>
      </c>
      <c r="AH109" s="136" t="s">
        <v>154</v>
      </c>
      <c r="AI109" s="136" t="s">
        <v>154</v>
      </c>
      <c r="AJ109" s="136" t="s">
        <v>154</v>
      </c>
      <c r="AK109" s="136" t="s">
        <v>154</v>
      </c>
      <c r="AL109" s="136" t="s">
        <v>154</v>
      </c>
      <c r="AM109" s="136" t="s">
        <v>154</v>
      </c>
      <c r="AN109" s="136" t="s">
        <v>154</v>
      </c>
      <c r="AO109" s="136" t="s">
        <v>154</v>
      </c>
      <c r="AP109" s="136" t="s">
        <v>154</v>
      </c>
      <c r="AQ109" s="136" t="s">
        <v>154</v>
      </c>
      <c r="AR109" s="136" t="s">
        <v>154</v>
      </c>
      <c r="AS109" s="136" t="s">
        <v>154</v>
      </c>
      <c r="AT109" s="136" t="s">
        <v>154</v>
      </c>
      <c r="AU109" s="136" t="s">
        <v>154</v>
      </c>
      <c r="AV109" s="136" t="s">
        <v>154</v>
      </c>
      <c r="AW109" s="136" t="s">
        <v>154</v>
      </c>
      <c r="AX109" s="136" t="s">
        <v>154</v>
      </c>
      <c r="AY109" s="136" t="s">
        <v>154</v>
      </c>
      <c r="AZ109" s="137"/>
      <c r="BA109" s="137"/>
      <c r="BB109" s="137"/>
      <c r="BC109" s="137"/>
      <c r="BD109" s="137"/>
      <c r="BE109" s="168"/>
      <c r="BF109" s="137"/>
      <c r="BG109" s="149"/>
      <c r="BH109" s="137"/>
      <c r="BI109" s="137"/>
      <c r="BJ109" s="137"/>
      <c r="BK109" s="149"/>
      <c r="BL109" s="137"/>
      <c r="BM109" s="137"/>
      <c r="BN109" s="137"/>
      <c r="BO109" s="137"/>
      <c r="BP109" s="137"/>
      <c r="BQ109" s="137"/>
      <c r="BR109" s="137"/>
      <c r="BS109" s="137"/>
      <c r="BT109" s="137"/>
      <c r="BU109" s="137"/>
      <c r="BV109" s="137"/>
      <c r="BW109" s="137"/>
      <c r="BX109" s="137"/>
      <c r="BY109" s="137"/>
      <c r="BZ109" s="137"/>
      <c r="CA109" s="137"/>
      <c r="CB109" s="137"/>
      <c r="CC109" s="137"/>
      <c r="CD109" s="137"/>
      <c r="CE109" s="137"/>
      <c r="CF109" s="137"/>
      <c r="CG109" s="137"/>
      <c r="CH109" s="137"/>
      <c r="CI109" s="137"/>
      <c r="CJ109" s="137"/>
      <c r="CK109" s="137"/>
      <c r="CL109" s="137"/>
      <c r="CM109" s="137"/>
      <c r="CN109" s="137"/>
      <c r="CO109" s="137"/>
      <c r="CP109" s="137">
        <v>0</v>
      </c>
      <c r="CQ109" s="137">
        <v>0</v>
      </c>
      <c r="CR109" s="137">
        <v>0</v>
      </c>
      <c r="CS109" s="137">
        <v>0</v>
      </c>
      <c r="CT109" s="137">
        <v>0</v>
      </c>
      <c r="CU109" s="137">
        <v>0</v>
      </c>
      <c r="CV109" s="137">
        <v>0</v>
      </c>
      <c r="CW109" s="137">
        <v>0</v>
      </c>
      <c r="CX109" s="137">
        <v>0</v>
      </c>
      <c r="CY109" s="137">
        <v>0</v>
      </c>
      <c r="CZ109" s="34">
        <v>0</v>
      </c>
      <c r="DA109" s="34">
        <v>0</v>
      </c>
      <c r="DB109" s="34">
        <v>0</v>
      </c>
      <c r="DC109" s="34">
        <v>0</v>
      </c>
      <c r="DD109" s="34">
        <v>0</v>
      </c>
      <c r="DE109" s="34">
        <v>0</v>
      </c>
      <c r="DF109" s="34">
        <v>0</v>
      </c>
      <c r="DG109" s="34">
        <v>0</v>
      </c>
      <c r="DH109" s="34">
        <v>0</v>
      </c>
      <c r="DI109" s="34">
        <v>0</v>
      </c>
      <c r="DJ109" s="34">
        <v>0</v>
      </c>
      <c r="DK109" s="34">
        <v>0</v>
      </c>
      <c r="DL109" s="34">
        <v>0</v>
      </c>
      <c r="DM109" s="34">
        <v>0</v>
      </c>
      <c r="DN109" s="34">
        <v>0</v>
      </c>
      <c r="DO109" s="34">
        <v>0</v>
      </c>
      <c r="DP109" s="34">
        <v>0</v>
      </c>
      <c r="DQ109" s="34">
        <v>0</v>
      </c>
      <c r="DR109" s="34">
        <v>150</v>
      </c>
      <c r="DS109" s="134">
        <v>43</v>
      </c>
      <c r="DT109" s="138">
        <v>60</v>
      </c>
      <c r="DU109" s="138">
        <v>0</v>
      </c>
      <c r="DV109" s="138">
        <v>0</v>
      </c>
      <c r="DW109" s="138">
        <v>0</v>
      </c>
      <c r="DX109" s="138">
        <v>0</v>
      </c>
      <c r="DY109" s="138">
        <v>0</v>
      </c>
      <c r="DZ109" s="138">
        <v>0</v>
      </c>
      <c r="EA109" s="138">
        <v>0</v>
      </c>
      <c r="EB109" s="138">
        <v>0</v>
      </c>
      <c r="EC109" s="138">
        <v>0</v>
      </c>
      <c r="ED109" s="138">
        <v>0</v>
      </c>
      <c r="EE109" s="138">
        <v>0</v>
      </c>
      <c r="EF109" s="138">
        <v>0</v>
      </c>
      <c r="EG109" s="138">
        <v>0</v>
      </c>
      <c r="EH109" s="211">
        <f t="shared" si="31"/>
        <v>253</v>
      </c>
      <c r="EI109" s="89"/>
      <c r="EJ109" s="89">
        <f t="shared" si="32"/>
        <v>253</v>
      </c>
      <c r="EK109" s="89"/>
      <c r="EL109" s="47">
        <f t="shared" si="42"/>
        <v>0</v>
      </c>
      <c r="EM109" s="47"/>
      <c r="EN109" s="47">
        <f t="shared" ref="EN109:EN114" si="58">SUM(J109:DS109)</f>
        <v>193</v>
      </c>
      <c r="EO109" s="12">
        <f t="shared" ref="EO109" si="59">SUM(C109:C109)</f>
        <v>0</v>
      </c>
      <c r="EP109" s="12">
        <f t="shared" ref="EP109" si="60">SUM(D109:O109)</f>
        <v>0</v>
      </c>
      <c r="EQ109" s="12">
        <f t="shared" ref="EQ109" si="61">SUM(P109:AA109)</f>
        <v>0</v>
      </c>
      <c r="ER109" s="12">
        <f t="shared" ref="ER109" si="62">SUM(AB109:AM109)</f>
        <v>0</v>
      </c>
      <c r="ES109" s="15">
        <f t="shared" ref="ES109" si="63">SUM(AN109:AY109)</f>
        <v>0</v>
      </c>
      <c r="ET109" s="49">
        <f t="shared" ref="ET109:ET114" si="64">SUM(AZ109:BW109)</f>
        <v>0</v>
      </c>
      <c r="EU109" s="49">
        <f t="shared" ref="EU109:EU114" si="65">SUM(BX109:CU109)</f>
        <v>0</v>
      </c>
      <c r="EV109" s="49">
        <f t="shared" ref="EV109:EV114" si="66">SUM(CV109:DS109)</f>
        <v>193</v>
      </c>
      <c r="EW109" s="49">
        <f t="shared" si="33"/>
        <v>60</v>
      </c>
    </row>
    <row r="110" spans="1:304" ht="30" x14ac:dyDescent="0.25">
      <c r="A110" s="317"/>
      <c r="B110" s="224" t="s">
        <v>271</v>
      </c>
      <c r="C110" s="33">
        <v>0</v>
      </c>
      <c r="D110" s="33">
        <v>0</v>
      </c>
      <c r="E110" s="33">
        <v>0</v>
      </c>
      <c r="F110" s="33">
        <v>0</v>
      </c>
      <c r="G110" s="33">
        <v>0</v>
      </c>
      <c r="H110" s="33">
        <v>0</v>
      </c>
      <c r="I110" s="33">
        <v>0</v>
      </c>
      <c r="J110" s="33">
        <v>0</v>
      </c>
      <c r="K110" s="33">
        <v>0</v>
      </c>
      <c r="L110" s="33">
        <v>0</v>
      </c>
      <c r="M110" s="33">
        <v>0</v>
      </c>
      <c r="N110" s="33">
        <v>0</v>
      </c>
      <c r="O110" s="33">
        <v>0</v>
      </c>
      <c r="P110" s="33">
        <v>0</v>
      </c>
      <c r="Q110" s="33">
        <v>0</v>
      </c>
      <c r="R110" s="33">
        <v>0</v>
      </c>
      <c r="S110" s="33">
        <v>0</v>
      </c>
      <c r="T110" s="33">
        <v>0</v>
      </c>
      <c r="U110" s="33">
        <v>0</v>
      </c>
      <c r="V110" s="33">
        <v>0</v>
      </c>
      <c r="W110" s="33">
        <v>0</v>
      </c>
      <c r="X110" s="33">
        <v>0</v>
      </c>
      <c r="Y110" s="33">
        <v>0</v>
      </c>
      <c r="Z110" s="33">
        <v>0</v>
      </c>
      <c r="AA110" s="136">
        <v>0</v>
      </c>
      <c r="AB110" s="136">
        <v>109000000</v>
      </c>
      <c r="AC110" s="136">
        <v>0</v>
      </c>
      <c r="AD110" s="136">
        <v>0</v>
      </c>
      <c r="AE110" s="136">
        <v>0</v>
      </c>
      <c r="AF110" s="136">
        <v>0</v>
      </c>
      <c r="AG110" s="136">
        <v>0</v>
      </c>
      <c r="AH110" s="136">
        <v>0</v>
      </c>
      <c r="AI110" s="136">
        <v>0</v>
      </c>
      <c r="AJ110" s="137">
        <v>0</v>
      </c>
      <c r="AK110" s="137">
        <v>0</v>
      </c>
      <c r="AL110" s="137">
        <v>26985874</v>
      </c>
      <c r="AM110" s="137">
        <v>30931661</v>
      </c>
      <c r="AN110" s="137">
        <v>38925806</v>
      </c>
      <c r="AO110" s="137">
        <v>0</v>
      </c>
      <c r="AP110" s="137">
        <v>0</v>
      </c>
      <c r="AQ110" s="137">
        <v>0</v>
      </c>
      <c r="AR110" s="137">
        <v>0</v>
      </c>
      <c r="AS110" s="137">
        <v>0</v>
      </c>
      <c r="AT110" s="137">
        <v>0</v>
      </c>
      <c r="AU110" s="137">
        <v>0</v>
      </c>
      <c r="AV110" s="137">
        <v>0</v>
      </c>
      <c r="AW110" s="137">
        <v>0</v>
      </c>
      <c r="AX110" s="137">
        <v>0</v>
      </c>
      <c r="AY110" s="137">
        <v>0</v>
      </c>
      <c r="AZ110" s="137">
        <v>0</v>
      </c>
      <c r="BA110" s="137">
        <v>0</v>
      </c>
      <c r="BB110" s="137">
        <v>0</v>
      </c>
      <c r="BC110" s="137">
        <v>0</v>
      </c>
      <c r="BD110" s="137">
        <v>0</v>
      </c>
      <c r="BE110" s="137">
        <v>0</v>
      </c>
      <c r="BF110" s="137">
        <v>0</v>
      </c>
      <c r="BG110" s="137">
        <v>0</v>
      </c>
      <c r="BH110" s="137">
        <v>0</v>
      </c>
      <c r="BI110" s="137">
        <v>0</v>
      </c>
      <c r="BJ110" s="137">
        <v>0</v>
      </c>
      <c r="BK110" s="137">
        <v>0</v>
      </c>
      <c r="BL110" s="137">
        <v>0</v>
      </c>
      <c r="BM110" s="137">
        <v>0</v>
      </c>
      <c r="BN110" s="137">
        <v>0</v>
      </c>
      <c r="BO110" s="137">
        <v>0</v>
      </c>
      <c r="BP110" s="137">
        <v>0</v>
      </c>
      <c r="BQ110" s="137">
        <v>0</v>
      </c>
      <c r="BR110" s="137">
        <v>0</v>
      </c>
      <c r="BS110" s="137">
        <v>0</v>
      </c>
      <c r="BT110" s="137">
        <v>0</v>
      </c>
      <c r="BU110" s="137">
        <v>0</v>
      </c>
      <c r="BV110" s="137">
        <v>0</v>
      </c>
      <c r="BW110" s="137">
        <v>0</v>
      </c>
      <c r="BX110" s="137">
        <v>0</v>
      </c>
      <c r="BY110" s="137">
        <v>0</v>
      </c>
      <c r="BZ110" s="137">
        <v>0</v>
      </c>
      <c r="CA110" s="137">
        <v>0</v>
      </c>
      <c r="CB110" s="137">
        <v>0</v>
      </c>
      <c r="CC110" s="137">
        <v>0</v>
      </c>
      <c r="CD110" s="137">
        <v>0</v>
      </c>
      <c r="CE110" s="137">
        <v>0</v>
      </c>
      <c r="CF110" s="137">
        <v>0</v>
      </c>
      <c r="CG110" s="137">
        <v>0</v>
      </c>
      <c r="CH110" s="137">
        <v>0</v>
      </c>
      <c r="CI110" s="137">
        <v>0</v>
      </c>
      <c r="CJ110" s="137">
        <v>0</v>
      </c>
      <c r="CK110" s="137">
        <v>0</v>
      </c>
      <c r="CL110" s="137">
        <v>0</v>
      </c>
      <c r="CM110" s="137">
        <v>0</v>
      </c>
      <c r="CN110" s="137">
        <v>0</v>
      </c>
      <c r="CO110" s="137">
        <v>0</v>
      </c>
      <c r="CP110" s="137">
        <v>0</v>
      </c>
      <c r="CQ110" s="137">
        <v>0</v>
      </c>
      <c r="CR110" s="137">
        <v>0</v>
      </c>
      <c r="CS110" s="137">
        <v>16441643</v>
      </c>
      <c r="CT110" s="137">
        <v>15070896</v>
      </c>
      <c r="CU110" s="137">
        <v>5659259</v>
      </c>
      <c r="CV110" s="137">
        <v>3436070</v>
      </c>
      <c r="CW110" s="137">
        <v>4933292</v>
      </c>
      <c r="CX110" s="137">
        <v>6383935</v>
      </c>
      <c r="CY110" s="137">
        <v>0</v>
      </c>
      <c r="CZ110" s="34">
        <v>0</v>
      </c>
      <c r="DA110" s="34">
        <v>0</v>
      </c>
      <c r="DB110" s="34">
        <v>0</v>
      </c>
      <c r="DC110" s="34">
        <v>0</v>
      </c>
      <c r="DD110" s="34">
        <v>0</v>
      </c>
      <c r="DE110" s="34">
        <v>0</v>
      </c>
      <c r="DF110" s="34">
        <v>0</v>
      </c>
      <c r="DG110" s="34">
        <v>0</v>
      </c>
      <c r="DH110" s="34">
        <v>0</v>
      </c>
      <c r="DI110" s="34">
        <v>0</v>
      </c>
      <c r="DJ110" s="34">
        <v>0</v>
      </c>
      <c r="DK110" s="34">
        <v>0</v>
      </c>
      <c r="DL110" s="34">
        <v>0</v>
      </c>
      <c r="DM110" s="34">
        <v>0</v>
      </c>
      <c r="DN110" s="34">
        <v>0</v>
      </c>
      <c r="DO110" s="34">
        <v>0</v>
      </c>
      <c r="DP110" s="34">
        <v>0</v>
      </c>
      <c r="DQ110" s="34">
        <v>0</v>
      </c>
      <c r="DR110" s="34">
        <v>16431725</v>
      </c>
      <c r="DS110" s="134">
        <v>7458994</v>
      </c>
      <c r="DT110" s="138">
        <v>12747947</v>
      </c>
      <c r="DU110" s="34">
        <v>9684517</v>
      </c>
      <c r="DV110" s="34">
        <v>8645031</v>
      </c>
      <c r="DW110" s="34">
        <v>8968364</v>
      </c>
      <c r="DX110" s="42">
        <v>4201634</v>
      </c>
      <c r="DY110" s="42">
        <v>4840844</v>
      </c>
      <c r="DZ110" s="42">
        <v>8734477</v>
      </c>
      <c r="EA110" s="42">
        <v>8948605</v>
      </c>
      <c r="EB110" s="42">
        <v>0</v>
      </c>
      <c r="EC110" s="42">
        <v>0</v>
      </c>
      <c r="ED110" s="42">
        <v>12199980</v>
      </c>
      <c r="EE110" s="42">
        <v>6267081</v>
      </c>
      <c r="EF110" s="42">
        <v>5632742</v>
      </c>
      <c r="EG110" s="42">
        <v>0</v>
      </c>
      <c r="EH110" s="211">
        <f t="shared" si="31"/>
        <v>166687036</v>
      </c>
      <c r="EI110" s="89"/>
      <c r="EJ110" s="89">
        <f t="shared" si="32"/>
        <v>372530377</v>
      </c>
      <c r="EK110" s="89"/>
      <c r="EL110" s="47">
        <f t="shared" si="42"/>
        <v>0</v>
      </c>
      <c r="EM110" s="47"/>
      <c r="EN110" s="47">
        <f t="shared" si="58"/>
        <v>281659155</v>
      </c>
      <c r="EO110" s="12">
        <f t="shared" si="53"/>
        <v>0</v>
      </c>
      <c r="EP110" s="12">
        <f t="shared" si="57"/>
        <v>0</v>
      </c>
      <c r="EQ110" s="12">
        <f t="shared" si="54"/>
        <v>0</v>
      </c>
      <c r="ER110" s="12">
        <f t="shared" si="55"/>
        <v>166917535</v>
      </c>
      <c r="ES110" s="15">
        <f t="shared" si="56"/>
        <v>38925806</v>
      </c>
      <c r="ET110" s="49">
        <f t="shared" si="64"/>
        <v>0</v>
      </c>
      <c r="EU110" s="49">
        <f t="shared" si="65"/>
        <v>37171798</v>
      </c>
      <c r="EV110" s="49">
        <f t="shared" si="66"/>
        <v>38644016</v>
      </c>
      <c r="EW110" s="49">
        <f t="shared" si="33"/>
        <v>66771419</v>
      </c>
    </row>
    <row r="111" spans="1:304" ht="45" x14ac:dyDescent="0.25">
      <c r="A111" s="317"/>
      <c r="B111" s="227" t="s">
        <v>186</v>
      </c>
      <c r="C111" s="33">
        <v>0</v>
      </c>
      <c r="D111" s="33">
        <v>0</v>
      </c>
      <c r="E111" s="33">
        <v>0</v>
      </c>
      <c r="F111" s="33">
        <v>0</v>
      </c>
      <c r="G111" s="33">
        <v>0</v>
      </c>
      <c r="H111" s="33">
        <v>0</v>
      </c>
      <c r="I111" s="33">
        <v>0</v>
      </c>
      <c r="J111" s="33">
        <v>0</v>
      </c>
      <c r="K111" s="33">
        <v>0</v>
      </c>
      <c r="L111" s="33">
        <v>0</v>
      </c>
      <c r="M111" s="33">
        <v>0</v>
      </c>
      <c r="N111" s="33">
        <v>0</v>
      </c>
      <c r="O111" s="33">
        <v>0</v>
      </c>
      <c r="P111" s="33">
        <v>0</v>
      </c>
      <c r="Q111" s="33">
        <v>0</v>
      </c>
      <c r="R111" s="33">
        <v>0</v>
      </c>
      <c r="S111" s="33">
        <v>0</v>
      </c>
      <c r="T111" s="33">
        <v>0</v>
      </c>
      <c r="U111" s="33">
        <v>0</v>
      </c>
      <c r="V111" s="33">
        <v>0</v>
      </c>
      <c r="W111" s="33">
        <v>0</v>
      </c>
      <c r="X111" s="33">
        <v>0</v>
      </c>
      <c r="Y111" s="33">
        <v>0</v>
      </c>
      <c r="Z111" s="33">
        <v>0</v>
      </c>
      <c r="AA111" s="136">
        <v>0</v>
      </c>
      <c r="AB111" s="136">
        <v>5198</v>
      </c>
      <c r="AC111" s="136">
        <v>0</v>
      </c>
      <c r="AD111" s="136">
        <v>0</v>
      </c>
      <c r="AE111" s="136">
        <v>0</v>
      </c>
      <c r="AF111" s="136">
        <v>0</v>
      </c>
      <c r="AG111" s="136">
        <v>0</v>
      </c>
      <c r="AH111" s="136">
        <v>0</v>
      </c>
      <c r="AI111" s="136">
        <v>0</v>
      </c>
      <c r="AJ111" s="137">
        <v>0</v>
      </c>
      <c r="AK111" s="137">
        <v>0</v>
      </c>
      <c r="AL111" s="137">
        <v>554</v>
      </c>
      <c r="AM111" s="137">
        <v>1572</v>
      </c>
      <c r="AN111" s="137">
        <v>846</v>
      </c>
      <c r="AO111" s="137">
        <v>0</v>
      </c>
      <c r="AP111" s="137">
        <v>0</v>
      </c>
      <c r="AQ111" s="137">
        <v>0</v>
      </c>
      <c r="AR111" s="137">
        <v>0</v>
      </c>
      <c r="AS111" s="137">
        <v>0</v>
      </c>
      <c r="AT111" s="137">
        <v>0</v>
      </c>
      <c r="AU111" s="137">
        <v>0</v>
      </c>
      <c r="AV111" s="137">
        <v>0</v>
      </c>
      <c r="AW111" s="137">
        <v>0</v>
      </c>
      <c r="AX111" s="137">
        <v>2</v>
      </c>
      <c r="AY111" s="137">
        <v>3</v>
      </c>
      <c r="AZ111" s="137">
        <v>4</v>
      </c>
      <c r="BA111" s="137">
        <v>0</v>
      </c>
      <c r="BB111" s="137">
        <v>0</v>
      </c>
      <c r="BC111" s="137">
        <v>0</v>
      </c>
      <c r="BD111" s="137">
        <v>0</v>
      </c>
      <c r="BE111" s="137">
        <v>0</v>
      </c>
      <c r="BF111" s="137">
        <v>0</v>
      </c>
      <c r="BG111" s="137">
        <v>0</v>
      </c>
      <c r="BH111" s="137">
        <v>0</v>
      </c>
      <c r="BI111" s="137">
        <v>0</v>
      </c>
      <c r="BJ111" s="137">
        <v>0</v>
      </c>
      <c r="BK111" s="137">
        <v>0</v>
      </c>
      <c r="BL111" s="137">
        <v>0</v>
      </c>
      <c r="BM111" s="137">
        <v>0</v>
      </c>
      <c r="BN111" s="137">
        <v>0</v>
      </c>
      <c r="BO111" s="137">
        <v>0</v>
      </c>
      <c r="BP111" s="137">
        <v>0</v>
      </c>
      <c r="BQ111" s="137">
        <v>0</v>
      </c>
      <c r="BR111" s="137">
        <v>0</v>
      </c>
      <c r="BS111" s="137">
        <v>0</v>
      </c>
      <c r="BT111" s="137">
        <v>0</v>
      </c>
      <c r="BU111" s="137">
        <v>0</v>
      </c>
      <c r="BV111" s="137">
        <v>4</v>
      </c>
      <c r="BW111" s="137">
        <v>3</v>
      </c>
      <c r="BX111" s="137">
        <v>0</v>
      </c>
      <c r="BY111" s="137">
        <v>0</v>
      </c>
      <c r="BZ111" s="137">
        <v>0</v>
      </c>
      <c r="CA111" s="137">
        <v>0</v>
      </c>
      <c r="CB111" s="137">
        <v>0</v>
      </c>
      <c r="CC111" s="137">
        <v>0</v>
      </c>
      <c r="CD111" s="137">
        <v>0</v>
      </c>
      <c r="CE111" s="137">
        <v>0</v>
      </c>
      <c r="CF111" s="137">
        <v>0</v>
      </c>
      <c r="CG111" s="137">
        <v>0</v>
      </c>
      <c r="CH111" s="137">
        <v>0</v>
      </c>
      <c r="CI111" s="137">
        <v>0</v>
      </c>
      <c r="CJ111" s="137">
        <v>0</v>
      </c>
      <c r="CK111" s="137">
        <v>0</v>
      </c>
      <c r="CL111" s="137">
        <v>0</v>
      </c>
      <c r="CM111" s="137">
        <v>0</v>
      </c>
      <c r="CN111" s="137">
        <v>0</v>
      </c>
      <c r="CO111" s="137">
        <v>0</v>
      </c>
      <c r="CP111" s="137">
        <v>0</v>
      </c>
      <c r="CQ111" s="137">
        <v>0</v>
      </c>
      <c r="CR111" s="137">
        <v>0</v>
      </c>
      <c r="CS111" s="137">
        <v>3</v>
      </c>
      <c r="CT111" s="137">
        <v>3</v>
      </c>
      <c r="CU111" s="137">
        <v>1</v>
      </c>
      <c r="CV111" s="137">
        <v>0</v>
      </c>
      <c r="CW111" s="137">
        <v>0</v>
      </c>
      <c r="CX111" s="137">
        <v>0</v>
      </c>
      <c r="CY111" s="137" t="s">
        <v>154</v>
      </c>
      <c r="CZ111" s="34" t="s">
        <v>154</v>
      </c>
      <c r="DA111" s="34" t="s">
        <v>154</v>
      </c>
      <c r="DB111" s="34" t="s">
        <v>154</v>
      </c>
      <c r="DC111" s="34" t="s">
        <v>154</v>
      </c>
      <c r="DD111" s="34" t="s">
        <v>154</v>
      </c>
      <c r="DE111" s="34" t="s">
        <v>154</v>
      </c>
      <c r="DF111" s="34" t="s">
        <v>154</v>
      </c>
      <c r="DG111" s="34" t="s">
        <v>154</v>
      </c>
      <c r="DH111" s="34" t="s">
        <v>154</v>
      </c>
      <c r="DI111" s="34" t="s">
        <v>154</v>
      </c>
      <c r="DJ111" s="34" t="s">
        <v>154</v>
      </c>
      <c r="DK111" s="34" t="s">
        <v>154</v>
      </c>
      <c r="DL111" s="34" t="s">
        <v>154</v>
      </c>
      <c r="DM111" s="34" t="s">
        <v>154</v>
      </c>
      <c r="DN111" s="34" t="s">
        <v>154</v>
      </c>
      <c r="DO111" s="34" t="s">
        <v>154</v>
      </c>
      <c r="DP111" s="34">
        <v>0</v>
      </c>
      <c r="DQ111" s="34">
        <v>1</v>
      </c>
      <c r="DR111" s="34">
        <v>3</v>
      </c>
      <c r="DS111" s="134">
        <v>0</v>
      </c>
      <c r="DT111" s="134">
        <v>0</v>
      </c>
      <c r="DU111" s="134">
        <v>0</v>
      </c>
      <c r="DV111" s="134">
        <v>0</v>
      </c>
      <c r="DW111" s="134">
        <v>0</v>
      </c>
      <c r="DX111" s="134">
        <v>0</v>
      </c>
      <c r="DY111" s="134">
        <v>0</v>
      </c>
      <c r="DZ111" s="134">
        <v>0</v>
      </c>
      <c r="EA111" s="134">
        <v>0</v>
      </c>
      <c r="EB111" s="134">
        <v>0</v>
      </c>
      <c r="EC111" s="134">
        <v>0</v>
      </c>
      <c r="ED111" s="134">
        <v>0</v>
      </c>
      <c r="EE111" s="134">
        <v>0</v>
      </c>
      <c r="EF111" s="134">
        <v>0</v>
      </c>
      <c r="EG111" s="134">
        <v>0</v>
      </c>
      <c r="EH111" s="211">
        <f t="shared" si="31"/>
        <v>11</v>
      </c>
      <c r="EI111" s="89"/>
      <c r="EJ111" s="89">
        <f t="shared" si="32"/>
        <v>8197</v>
      </c>
      <c r="EK111" s="89"/>
      <c r="EL111" s="47">
        <f t="shared" si="42"/>
        <v>1</v>
      </c>
      <c r="EM111" s="47"/>
      <c r="EN111" s="47">
        <f t="shared" si="58"/>
        <v>8197</v>
      </c>
      <c r="EO111" s="12">
        <f t="shared" si="53"/>
        <v>0</v>
      </c>
      <c r="EP111" s="12">
        <f t="shared" si="57"/>
        <v>0</v>
      </c>
      <c r="EQ111" s="12">
        <f t="shared" si="54"/>
        <v>0</v>
      </c>
      <c r="ER111" s="12">
        <f t="shared" si="55"/>
        <v>7324</v>
      </c>
      <c r="ES111" s="15">
        <f t="shared" si="56"/>
        <v>851</v>
      </c>
      <c r="ET111" s="49">
        <f t="shared" si="64"/>
        <v>11</v>
      </c>
      <c r="EU111" s="49">
        <f t="shared" si="65"/>
        <v>7</v>
      </c>
      <c r="EV111" s="49">
        <f t="shared" si="66"/>
        <v>4</v>
      </c>
      <c r="EW111" s="49">
        <f t="shared" si="33"/>
        <v>0</v>
      </c>
    </row>
    <row r="112" spans="1:304" ht="45" x14ac:dyDescent="0.25">
      <c r="A112" s="317"/>
      <c r="B112" s="226" t="s">
        <v>187</v>
      </c>
      <c r="C112" s="33">
        <v>0</v>
      </c>
      <c r="D112" s="33">
        <v>0</v>
      </c>
      <c r="E112" s="33">
        <v>0</v>
      </c>
      <c r="F112" s="33">
        <v>0</v>
      </c>
      <c r="G112" s="33">
        <v>0</v>
      </c>
      <c r="H112" s="33">
        <v>0</v>
      </c>
      <c r="I112" s="33">
        <v>0</v>
      </c>
      <c r="J112" s="33">
        <v>0</v>
      </c>
      <c r="K112" s="33">
        <v>0</v>
      </c>
      <c r="L112" s="33">
        <v>0</v>
      </c>
      <c r="M112" s="33">
        <v>0</v>
      </c>
      <c r="N112" s="33">
        <v>0</v>
      </c>
      <c r="O112" s="33">
        <v>0</v>
      </c>
      <c r="P112" s="33">
        <v>0</v>
      </c>
      <c r="Q112" s="33">
        <v>0</v>
      </c>
      <c r="R112" s="33">
        <v>0</v>
      </c>
      <c r="S112" s="33">
        <v>0</v>
      </c>
      <c r="T112" s="33">
        <v>0</v>
      </c>
      <c r="U112" s="33">
        <v>0</v>
      </c>
      <c r="V112" s="33">
        <v>0</v>
      </c>
      <c r="W112" s="33">
        <v>0</v>
      </c>
      <c r="X112" s="33">
        <v>0</v>
      </c>
      <c r="Y112" s="33">
        <v>0</v>
      </c>
      <c r="Z112" s="33">
        <v>0</v>
      </c>
      <c r="AA112" s="136">
        <v>0</v>
      </c>
      <c r="AB112" s="136">
        <v>0</v>
      </c>
      <c r="AC112" s="136">
        <v>0</v>
      </c>
      <c r="AD112" s="136">
        <v>0</v>
      </c>
      <c r="AE112" s="136">
        <v>0</v>
      </c>
      <c r="AF112" s="136">
        <v>0</v>
      </c>
      <c r="AG112" s="136">
        <v>0</v>
      </c>
      <c r="AH112" s="136">
        <v>0</v>
      </c>
      <c r="AI112" s="136">
        <v>0</v>
      </c>
      <c r="AJ112" s="136">
        <v>0</v>
      </c>
      <c r="AK112" s="136">
        <v>0</v>
      </c>
      <c r="AL112" s="137">
        <v>0</v>
      </c>
      <c r="AM112" s="137">
        <v>0</v>
      </c>
      <c r="AN112" s="137">
        <v>0</v>
      </c>
      <c r="AO112" s="137">
        <v>0</v>
      </c>
      <c r="AP112" s="137">
        <v>0</v>
      </c>
      <c r="AQ112" s="137">
        <v>0</v>
      </c>
      <c r="AR112" s="137">
        <v>0</v>
      </c>
      <c r="AS112" s="137">
        <v>0</v>
      </c>
      <c r="AT112" s="137">
        <v>0</v>
      </c>
      <c r="AU112" s="137">
        <v>0</v>
      </c>
      <c r="AV112" s="137">
        <v>0</v>
      </c>
      <c r="AW112" s="137">
        <v>0</v>
      </c>
      <c r="AX112" s="137">
        <v>1711</v>
      </c>
      <c r="AY112" s="137">
        <v>211</v>
      </c>
      <c r="AZ112" s="137">
        <v>331</v>
      </c>
      <c r="BA112" s="137">
        <v>0</v>
      </c>
      <c r="BB112" s="137">
        <v>0</v>
      </c>
      <c r="BC112" s="137">
        <v>0</v>
      </c>
      <c r="BD112" s="137">
        <v>0</v>
      </c>
      <c r="BE112" s="137">
        <v>0</v>
      </c>
      <c r="BF112" s="137">
        <v>0</v>
      </c>
      <c r="BG112" s="137">
        <v>0</v>
      </c>
      <c r="BH112" s="137">
        <v>0</v>
      </c>
      <c r="BI112" s="137">
        <v>0</v>
      </c>
      <c r="BJ112" s="137">
        <v>0</v>
      </c>
      <c r="BK112" s="137">
        <v>0</v>
      </c>
      <c r="BL112" s="137">
        <v>0</v>
      </c>
      <c r="BM112" s="137">
        <v>0</v>
      </c>
      <c r="BN112" s="137">
        <v>0</v>
      </c>
      <c r="BO112" s="137">
        <v>0</v>
      </c>
      <c r="BP112" s="137">
        <v>0</v>
      </c>
      <c r="BQ112" s="137">
        <v>0</v>
      </c>
      <c r="BR112" s="137">
        <v>0</v>
      </c>
      <c r="BS112" s="137">
        <v>0</v>
      </c>
      <c r="BT112" s="137">
        <v>0</v>
      </c>
      <c r="BU112" s="137">
        <v>0</v>
      </c>
      <c r="BV112" s="137">
        <v>566</v>
      </c>
      <c r="BW112" s="137">
        <v>272</v>
      </c>
      <c r="BX112" s="137">
        <v>0</v>
      </c>
      <c r="BY112" s="137">
        <v>0</v>
      </c>
      <c r="BZ112" s="137">
        <v>0</v>
      </c>
      <c r="CA112" s="137">
        <v>0</v>
      </c>
      <c r="CB112" s="137">
        <v>0</v>
      </c>
      <c r="CC112" s="137">
        <v>0</v>
      </c>
      <c r="CD112" s="137">
        <v>0</v>
      </c>
      <c r="CE112" s="137">
        <v>0</v>
      </c>
      <c r="CF112" s="137">
        <v>0</v>
      </c>
      <c r="CG112" s="137">
        <v>0</v>
      </c>
      <c r="CH112" s="137">
        <v>0</v>
      </c>
      <c r="CI112" s="137">
        <v>0</v>
      </c>
      <c r="CJ112" s="137">
        <v>0</v>
      </c>
      <c r="CK112" s="137">
        <v>0</v>
      </c>
      <c r="CL112" s="137">
        <v>0</v>
      </c>
      <c r="CM112" s="137">
        <v>0</v>
      </c>
      <c r="CN112" s="137">
        <v>0</v>
      </c>
      <c r="CO112" s="137">
        <v>0</v>
      </c>
      <c r="CP112" s="137">
        <v>0</v>
      </c>
      <c r="CQ112" s="137">
        <v>0</v>
      </c>
      <c r="CR112" s="137">
        <v>0</v>
      </c>
      <c r="CS112" s="137">
        <v>4994</v>
      </c>
      <c r="CT112" s="137">
        <v>4724</v>
      </c>
      <c r="CU112" s="137">
        <v>2484</v>
      </c>
      <c r="CV112" s="137">
        <v>0</v>
      </c>
      <c r="CW112" s="137">
        <v>0</v>
      </c>
      <c r="CX112" s="137">
        <v>0</v>
      </c>
      <c r="CY112" s="137" t="s">
        <v>154</v>
      </c>
      <c r="CZ112" s="34" t="s">
        <v>154</v>
      </c>
      <c r="DA112" s="34" t="s">
        <v>154</v>
      </c>
      <c r="DB112" s="34" t="s">
        <v>154</v>
      </c>
      <c r="DC112" s="34" t="s">
        <v>154</v>
      </c>
      <c r="DD112" s="34" t="s">
        <v>154</v>
      </c>
      <c r="DE112" s="34" t="s">
        <v>154</v>
      </c>
      <c r="DF112" s="34" t="s">
        <v>154</v>
      </c>
      <c r="DG112" s="34" t="s">
        <v>154</v>
      </c>
      <c r="DH112" s="34" t="s">
        <v>154</v>
      </c>
      <c r="DI112" s="34" t="s">
        <v>154</v>
      </c>
      <c r="DJ112" s="34" t="s">
        <v>154</v>
      </c>
      <c r="DK112" s="34" t="s">
        <v>154</v>
      </c>
      <c r="DL112" s="34" t="s">
        <v>154</v>
      </c>
      <c r="DM112" s="34" t="s">
        <v>154</v>
      </c>
      <c r="DN112" s="34" t="s">
        <v>154</v>
      </c>
      <c r="DO112" s="34" t="s">
        <v>154</v>
      </c>
      <c r="DP112" s="34">
        <v>0</v>
      </c>
      <c r="DQ112" s="34">
        <v>1561</v>
      </c>
      <c r="DR112" s="34">
        <v>24100</v>
      </c>
      <c r="DS112" s="134">
        <v>0</v>
      </c>
      <c r="DT112" s="134">
        <v>0</v>
      </c>
      <c r="DU112" s="134">
        <v>0</v>
      </c>
      <c r="DV112" s="134">
        <v>0</v>
      </c>
      <c r="DW112" s="134">
        <v>0</v>
      </c>
      <c r="DX112" s="134">
        <v>0</v>
      </c>
      <c r="DY112" s="134">
        <v>0</v>
      </c>
      <c r="DZ112" s="134">
        <v>0</v>
      </c>
      <c r="EA112" s="134">
        <v>0</v>
      </c>
      <c r="EB112" s="134">
        <v>0</v>
      </c>
      <c r="EC112" s="134">
        <v>0</v>
      </c>
      <c r="ED112" s="134">
        <v>0</v>
      </c>
      <c r="EE112" s="134">
        <v>0</v>
      </c>
      <c r="EF112" s="134">
        <v>0</v>
      </c>
      <c r="EG112" s="134">
        <v>0</v>
      </c>
      <c r="EH112" s="211">
        <f t="shared" si="31"/>
        <v>37863</v>
      </c>
      <c r="EI112" s="89"/>
      <c r="EJ112" s="89">
        <f t="shared" si="32"/>
        <v>40954</v>
      </c>
      <c r="EK112" s="89"/>
      <c r="EL112" s="47">
        <f t="shared" si="42"/>
        <v>1561</v>
      </c>
      <c r="EM112" s="47"/>
      <c r="EN112" s="47">
        <f t="shared" si="58"/>
        <v>40954</v>
      </c>
      <c r="EO112" s="12">
        <f t="shared" si="53"/>
        <v>0</v>
      </c>
      <c r="EP112" s="12">
        <f t="shared" si="57"/>
        <v>0</v>
      </c>
      <c r="EQ112" s="12">
        <f t="shared" si="54"/>
        <v>0</v>
      </c>
      <c r="ER112" s="12">
        <f t="shared" si="55"/>
        <v>0</v>
      </c>
      <c r="ES112" s="15">
        <f t="shared" si="56"/>
        <v>1922</v>
      </c>
      <c r="ET112" s="49">
        <f t="shared" si="64"/>
        <v>1169</v>
      </c>
      <c r="EU112" s="49">
        <f t="shared" si="65"/>
        <v>12202</v>
      </c>
      <c r="EV112" s="49">
        <f t="shared" si="66"/>
        <v>25661</v>
      </c>
      <c r="EW112" s="49">
        <f t="shared" si="33"/>
        <v>0</v>
      </c>
    </row>
    <row r="113" spans="1:153" ht="45" x14ac:dyDescent="0.25">
      <c r="A113" s="317"/>
      <c r="B113" s="226" t="s">
        <v>188</v>
      </c>
      <c r="C113" s="33" t="s">
        <v>154</v>
      </c>
      <c r="D113" s="33" t="s">
        <v>154</v>
      </c>
      <c r="E113" s="33" t="s">
        <v>154</v>
      </c>
      <c r="F113" s="33" t="s">
        <v>154</v>
      </c>
      <c r="G113" s="33" t="s">
        <v>154</v>
      </c>
      <c r="H113" s="33" t="s">
        <v>154</v>
      </c>
      <c r="I113" s="33" t="s">
        <v>154</v>
      </c>
      <c r="J113" s="33" t="s">
        <v>154</v>
      </c>
      <c r="K113" s="33" t="s">
        <v>154</v>
      </c>
      <c r="L113" s="33" t="s">
        <v>154</v>
      </c>
      <c r="M113" s="33" t="s">
        <v>154</v>
      </c>
      <c r="N113" s="33" t="s">
        <v>154</v>
      </c>
      <c r="O113" s="33" t="s">
        <v>154</v>
      </c>
      <c r="P113" s="33" t="s">
        <v>154</v>
      </c>
      <c r="Q113" s="33" t="s">
        <v>154</v>
      </c>
      <c r="R113" s="33" t="s">
        <v>154</v>
      </c>
      <c r="S113" s="33" t="s">
        <v>154</v>
      </c>
      <c r="T113" s="33" t="s">
        <v>154</v>
      </c>
      <c r="U113" s="33" t="s">
        <v>154</v>
      </c>
      <c r="V113" s="33" t="s">
        <v>154</v>
      </c>
      <c r="W113" s="33" t="s">
        <v>154</v>
      </c>
      <c r="X113" s="33" t="s">
        <v>154</v>
      </c>
      <c r="Y113" s="33" t="s">
        <v>154</v>
      </c>
      <c r="Z113" s="33" t="s">
        <v>154</v>
      </c>
      <c r="AA113" s="136" t="s">
        <v>154</v>
      </c>
      <c r="AB113" s="136" t="s">
        <v>154</v>
      </c>
      <c r="AC113" s="136" t="s">
        <v>154</v>
      </c>
      <c r="AD113" s="136" t="s">
        <v>154</v>
      </c>
      <c r="AE113" s="136" t="s">
        <v>154</v>
      </c>
      <c r="AF113" s="136" t="s">
        <v>154</v>
      </c>
      <c r="AG113" s="136" t="s">
        <v>154</v>
      </c>
      <c r="AH113" s="136" t="s">
        <v>154</v>
      </c>
      <c r="AI113" s="136" t="s">
        <v>154</v>
      </c>
      <c r="AJ113" s="136" t="s">
        <v>154</v>
      </c>
      <c r="AK113" s="136" t="s">
        <v>154</v>
      </c>
      <c r="AL113" s="136" t="s">
        <v>154</v>
      </c>
      <c r="AM113" s="136" t="s">
        <v>154</v>
      </c>
      <c r="AN113" s="136" t="s">
        <v>154</v>
      </c>
      <c r="AO113" s="136" t="s">
        <v>154</v>
      </c>
      <c r="AP113" s="136" t="s">
        <v>154</v>
      </c>
      <c r="AQ113" s="136" t="s">
        <v>154</v>
      </c>
      <c r="AR113" s="136" t="s">
        <v>154</v>
      </c>
      <c r="AS113" s="136" t="s">
        <v>154</v>
      </c>
      <c r="AT113" s="136" t="s">
        <v>154</v>
      </c>
      <c r="AU113" s="136" t="s">
        <v>154</v>
      </c>
      <c r="AV113" s="136" t="s">
        <v>154</v>
      </c>
      <c r="AW113" s="136" t="s">
        <v>154</v>
      </c>
      <c r="AX113" s="136" t="s">
        <v>154</v>
      </c>
      <c r="AY113" s="136" t="s">
        <v>154</v>
      </c>
      <c r="AZ113" s="136" t="s">
        <v>154</v>
      </c>
      <c r="BA113" s="136" t="s">
        <v>154</v>
      </c>
      <c r="BB113" s="136" t="s">
        <v>154</v>
      </c>
      <c r="BC113" s="136" t="s">
        <v>154</v>
      </c>
      <c r="BD113" s="136" t="s">
        <v>154</v>
      </c>
      <c r="BE113" s="136" t="s">
        <v>154</v>
      </c>
      <c r="BF113" s="136" t="s">
        <v>154</v>
      </c>
      <c r="BG113" s="136" t="s">
        <v>154</v>
      </c>
      <c r="BH113" s="136" t="s">
        <v>154</v>
      </c>
      <c r="BI113" s="136" t="s">
        <v>154</v>
      </c>
      <c r="BJ113" s="136" t="s">
        <v>154</v>
      </c>
      <c r="BK113" s="136" t="s">
        <v>154</v>
      </c>
      <c r="BL113" s="136" t="s">
        <v>154</v>
      </c>
      <c r="BM113" s="136" t="s">
        <v>154</v>
      </c>
      <c r="BN113" s="136" t="s">
        <v>154</v>
      </c>
      <c r="BO113" s="136" t="s">
        <v>154</v>
      </c>
      <c r="BP113" s="136" t="s">
        <v>154</v>
      </c>
      <c r="BQ113" s="136" t="s">
        <v>154</v>
      </c>
      <c r="BR113" s="136" t="s">
        <v>154</v>
      </c>
      <c r="BS113" s="136" t="s">
        <v>154</v>
      </c>
      <c r="BT113" s="136" t="s">
        <v>154</v>
      </c>
      <c r="BU113" s="136" t="s">
        <v>154</v>
      </c>
      <c r="BV113" s="136" t="s">
        <v>154</v>
      </c>
      <c r="BW113" s="136" t="s">
        <v>154</v>
      </c>
      <c r="BX113" s="136" t="s">
        <v>154</v>
      </c>
      <c r="BY113" s="136" t="s">
        <v>154</v>
      </c>
      <c r="BZ113" s="136" t="s">
        <v>154</v>
      </c>
      <c r="CA113" s="136" t="s">
        <v>154</v>
      </c>
      <c r="CB113" s="136" t="s">
        <v>154</v>
      </c>
      <c r="CC113" s="136" t="s">
        <v>154</v>
      </c>
      <c r="CD113" s="136" t="s">
        <v>154</v>
      </c>
      <c r="CE113" s="136" t="s">
        <v>154</v>
      </c>
      <c r="CF113" s="136" t="s">
        <v>154</v>
      </c>
      <c r="CG113" s="136" t="s">
        <v>154</v>
      </c>
      <c r="CH113" s="136" t="s">
        <v>154</v>
      </c>
      <c r="CI113" s="136" t="s">
        <v>154</v>
      </c>
      <c r="CJ113" s="136" t="s">
        <v>154</v>
      </c>
      <c r="CK113" s="136" t="s">
        <v>154</v>
      </c>
      <c r="CL113" s="136" t="s">
        <v>154</v>
      </c>
      <c r="CM113" s="136" t="s">
        <v>154</v>
      </c>
      <c r="CN113" s="136" t="s">
        <v>154</v>
      </c>
      <c r="CO113" s="136" t="s">
        <v>154</v>
      </c>
      <c r="CP113" s="136" t="s">
        <v>154</v>
      </c>
      <c r="CQ113" s="136" t="s">
        <v>154</v>
      </c>
      <c r="CR113" s="137"/>
      <c r="CS113" s="137"/>
      <c r="CT113" s="137"/>
      <c r="CU113" s="137"/>
      <c r="CV113" s="137">
        <v>29</v>
      </c>
      <c r="CW113" s="137" t="s">
        <v>154</v>
      </c>
      <c r="CX113" s="137" t="s">
        <v>154</v>
      </c>
      <c r="CY113" s="137" t="s">
        <v>154</v>
      </c>
      <c r="CZ113" s="34" t="s">
        <v>154</v>
      </c>
      <c r="DA113" s="34" t="s">
        <v>154</v>
      </c>
      <c r="DB113" s="34" t="s">
        <v>154</v>
      </c>
      <c r="DC113" s="34" t="s">
        <v>154</v>
      </c>
      <c r="DD113" s="34" t="s">
        <v>154</v>
      </c>
      <c r="DE113" s="34" t="s">
        <v>154</v>
      </c>
      <c r="DF113" s="34" t="s">
        <v>154</v>
      </c>
      <c r="DG113" s="34" t="s">
        <v>154</v>
      </c>
      <c r="DH113" s="34" t="s">
        <v>154</v>
      </c>
      <c r="DI113" s="34" t="s">
        <v>154</v>
      </c>
      <c r="DJ113" s="34" t="s">
        <v>154</v>
      </c>
      <c r="DK113" s="34" t="s">
        <v>154</v>
      </c>
      <c r="DL113" s="34" t="s">
        <v>154</v>
      </c>
      <c r="DM113" s="34" t="s">
        <v>154</v>
      </c>
      <c r="DN113" s="34" t="s">
        <v>154</v>
      </c>
      <c r="DO113" s="34" t="s">
        <v>154</v>
      </c>
      <c r="DP113" s="34">
        <v>0</v>
      </c>
      <c r="DQ113" s="34">
        <v>0</v>
      </c>
      <c r="DR113" s="34">
        <v>57</v>
      </c>
      <c r="DS113" s="134">
        <v>16</v>
      </c>
      <c r="DT113" s="134">
        <v>0</v>
      </c>
      <c r="DU113" s="138">
        <v>0</v>
      </c>
      <c r="DV113" s="138">
        <v>0</v>
      </c>
      <c r="DW113" s="138">
        <v>0</v>
      </c>
      <c r="DX113" s="138">
        <v>0</v>
      </c>
      <c r="DY113" s="138">
        <v>0</v>
      </c>
      <c r="DZ113" s="138">
        <v>0</v>
      </c>
      <c r="EA113" s="138">
        <v>0</v>
      </c>
      <c r="EB113" s="138">
        <v>0</v>
      </c>
      <c r="EC113" s="138">
        <v>0</v>
      </c>
      <c r="ED113" s="138">
        <v>0</v>
      </c>
      <c r="EE113" s="138">
        <v>0</v>
      </c>
      <c r="EF113" s="138">
        <v>0</v>
      </c>
      <c r="EG113" s="138">
        <v>0</v>
      </c>
      <c r="EH113" s="211">
        <f t="shared" si="31"/>
        <v>102</v>
      </c>
      <c r="EI113" s="89"/>
      <c r="EJ113" s="89">
        <f t="shared" si="32"/>
        <v>102</v>
      </c>
      <c r="EK113" s="89"/>
      <c r="EL113" s="47">
        <f t="shared" si="42"/>
        <v>0</v>
      </c>
      <c r="EM113" s="47"/>
      <c r="EN113" s="47">
        <f t="shared" si="58"/>
        <v>102</v>
      </c>
      <c r="EO113" s="12">
        <f t="shared" ref="EO113" si="67">SUM(C113:C113)</f>
        <v>0</v>
      </c>
      <c r="EP113" s="12">
        <f t="shared" ref="EP113" si="68">SUM(D113:O113)</f>
        <v>0</v>
      </c>
      <c r="EQ113" s="12">
        <f t="shared" ref="EQ113" si="69">SUM(P113:AA113)</f>
        <v>0</v>
      </c>
      <c r="ER113" s="12">
        <f t="shared" ref="ER113" si="70">SUM(AB113:AM113)</f>
        <v>0</v>
      </c>
      <c r="ES113" s="15">
        <f t="shared" ref="ES113" si="71">SUM(AN113:AY113)</f>
        <v>0</v>
      </c>
      <c r="ET113" s="49">
        <f t="shared" si="64"/>
        <v>0</v>
      </c>
      <c r="EU113" s="49">
        <f t="shared" si="65"/>
        <v>0</v>
      </c>
      <c r="EV113" s="49">
        <f t="shared" si="66"/>
        <v>102</v>
      </c>
      <c r="EW113" s="49">
        <f t="shared" si="33"/>
        <v>0</v>
      </c>
    </row>
    <row r="114" spans="1:153" ht="60" x14ac:dyDescent="0.25">
      <c r="A114" s="318"/>
      <c r="B114" s="224" t="s">
        <v>189</v>
      </c>
      <c r="C114" s="33">
        <v>0</v>
      </c>
      <c r="D114" s="33">
        <v>0</v>
      </c>
      <c r="E114" s="33">
        <v>0</v>
      </c>
      <c r="F114" s="33">
        <v>0</v>
      </c>
      <c r="G114" s="33">
        <v>0</v>
      </c>
      <c r="H114" s="33">
        <v>0</v>
      </c>
      <c r="I114" s="33">
        <v>0</v>
      </c>
      <c r="J114" s="33">
        <v>0</v>
      </c>
      <c r="K114" s="33">
        <v>0</v>
      </c>
      <c r="L114" s="33">
        <v>0</v>
      </c>
      <c r="M114" s="33">
        <v>0</v>
      </c>
      <c r="N114" s="33">
        <v>0</v>
      </c>
      <c r="O114" s="33">
        <v>0</v>
      </c>
      <c r="P114" s="33">
        <v>0</v>
      </c>
      <c r="Q114" s="33">
        <v>0</v>
      </c>
      <c r="R114" s="33">
        <v>0</v>
      </c>
      <c r="S114" s="33">
        <v>0</v>
      </c>
      <c r="T114" s="33">
        <v>0</v>
      </c>
      <c r="U114" s="33">
        <v>0</v>
      </c>
      <c r="V114" s="33">
        <v>0</v>
      </c>
      <c r="W114" s="33">
        <v>0</v>
      </c>
      <c r="X114" s="33">
        <v>0</v>
      </c>
      <c r="Y114" s="33">
        <v>0</v>
      </c>
      <c r="Z114" s="33">
        <v>0</v>
      </c>
      <c r="AA114" s="33">
        <v>0</v>
      </c>
      <c r="AB114" s="33">
        <v>788</v>
      </c>
      <c r="AC114" s="33">
        <v>0</v>
      </c>
      <c r="AD114" s="33">
        <v>0</v>
      </c>
      <c r="AE114" s="33">
        <v>0</v>
      </c>
      <c r="AF114" s="33">
        <v>0</v>
      </c>
      <c r="AG114" s="33">
        <v>0</v>
      </c>
      <c r="AH114" s="33">
        <v>0</v>
      </c>
      <c r="AI114" s="33">
        <v>0</v>
      </c>
      <c r="AJ114" s="34">
        <v>0</v>
      </c>
      <c r="AK114" s="34">
        <v>0</v>
      </c>
      <c r="AL114" s="34">
        <v>202</v>
      </c>
      <c r="AM114" s="34">
        <v>495</v>
      </c>
      <c r="AN114" s="34">
        <v>266</v>
      </c>
      <c r="AO114" s="34" t="s">
        <v>154</v>
      </c>
      <c r="AP114" s="34" t="s">
        <v>154</v>
      </c>
      <c r="AQ114" s="34" t="s">
        <v>154</v>
      </c>
      <c r="AR114" s="34" t="s">
        <v>154</v>
      </c>
      <c r="AS114" s="34" t="s">
        <v>154</v>
      </c>
      <c r="AT114" s="34" t="s">
        <v>154</v>
      </c>
      <c r="AU114" s="34" t="s">
        <v>154</v>
      </c>
      <c r="AV114" s="34" t="s">
        <v>154</v>
      </c>
      <c r="AW114" s="34" t="s">
        <v>154</v>
      </c>
      <c r="AX114" s="34" t="s">
        <v>154</v>
      </c>
      <c r="AY114" s="34" t="s">
        <v>154</v>
      </c>
      <c r="AZ114" s="34" t="s">
        <v>154</v>
      </c>
      <c r="BA114" s="34" t="s">
        <v>154</v>
      </c>
      <c r="BB114" s="34" t="s">
        <v>154</v>
      </c>
      <c r="BC114" s="34" t="s">
        <v>154</v>
      </c>
      <c r="BD114" s="34" t="s">
        <v>154</v>
      </c>
      <c r="BE114" s="34" t="s">
        <v>154</v>
      </c>
      <c r="BF114" s="34" t="s">
        <v>154</v>
      </c>
      <c r="BG114" s="34" t="s">
        <v>154</v>
      </c>
      <c r="BH114" s="34" t="s">
        <v>154</v>
      </c>
      <c r="BI114" s="34" t="s">
        <v>154</v>
      </c>
      <c r="BJ114" s="34" t="s">
        <v>154</v>
      </c>
      <c r="BK114" s="34" t="s">
        <v>154</v>
      </c>
      <c r="BL114" s="34" t="s">
        <v>154</v>
      </c>
      <c r="BM114" s="34" t="s">
        <v>154</v>
      </c>
      <c r="BN114" s="34" t="s">
        <v>154</v>
      </c>
      <c r="BO114" s="34" t="s">
        <v>154</v>
      </c>
      <c r="BP114" s="34" t="s">
        <v>154</v>
      </c>
      <c r="BQ114" s="34" t="s">
        <v>154</v>
      </c>
      <c r="BR114" s="34" t="s">
        <v>154</v>
      </c>
      <c r="BS114" s="34" t="s">
        <v>154</v>
      </c>
      <c r="BT114" s="34" t="s">
        <v>154</v>
      </c>
      <c r="BU114" s="34" t="s">
        <v>154</v>
      </c>
      <c r="BV114" s="34" t="s">
        <v>154</v>
      </c>
      <c r="BW114" s="34" t="s">
        <v>154</v>
      </c>
      <c r="BX114" s="34" t="s">
        <v>154</v>
      </c>
      <c r="BY114" s="34" t="s">
        <v>154</v>
      </c>
      <c r="BZ114" s="34" t="s">
        <v>154</v>
      </c>
      <c r="CA114" s="34" t="s">
        <v>154</v>
      </c>
      <c r="CB114" s="34" t="s">
        <v>154</v>
      </c>
      <c r="CC114" s="34" t="s">
        <v>154</v>
      </c>
      <c r="CD114" s="34" t="s">
        <v>154</v>
      </c>
      <c r="CE114" s="34" t="s">
        <v>154</v>
      </c>
      <c r="CF114" s="34" t="s">
        <v>154</v>
      </c>
      <c r="CG114" s="34" t="s">
        <v>154</v>
      </c>
      <c r="CH114" s="34" t="s">
        <v>154</v>
      </c>
      <c r="CI114" s="34" t="s">
        <v>154</v>
      </c>
      <c r="CJ114" s="34" t="s">
        <v>154</v>
      </c>
      <c r="CK114" s="34" t="s">
        <v>154</v>
      </c>
      <c r="CL114" s="34" t="s">
        <v>154</v>
      </c>
      <c r="CM114" s="34" t="s">
        <v>154</v>
      </c>
      <c r="CN114" s="34" t="s">
        <v>154</v>
      </c>
      <c r="CO114" s="34" t="s">
        <v>154</v>
      </c>
      <c r="CP114" s="34" t="s">
        <v>154</v>
      </c>
      <c r="CQ114" s="34" t="s">
        <v>154</v>
      </c>
      <c r="CR114" s="34" t="s">
        <v>154</v>
      </c>
      <c r="CS114" s="34" t="s">
        <v>154</v>
      </c>
      <c r="CT114" s="34" t="s">
        <v>154</v>
      </c>
      <c r="CU114" s="34" t="s">
        <v>154</v>
      </c>
      <c r="CV114" s="34" t="s">
        <v>154</v>
      </c>
      <c r="CW114" s="34" t="s">
        <v>154</v>
      </c>
      <c r="CX114" s="34" t="s">
        <v>154</v>
      </c>
      <c r="CY114" s="34" t="s">
        <v>154</v>
      </c>
      <c r="CZ114" s="34" t="s">
        <v>154</v>
      </c>
      <c r="DA114" s="34" t="s">
        <v>154</v>
      </c>
      <c r="DB114" s="34" t="s">
        <v>154</v>
      </c>
      <c r="DC114" s="34" t="s">
        <v>154</v>
      </c>
      <c r="DD114" s="34" t="s">
        <v>154</v>
      </c>
      <c r="DE114" s="34" t="s">
        <v>154</v>
      </c>
      <c r="DF114" s="34" t="s">
        <v>154</v>
      </c>
      <c r="DG114" s="34" t="s">
        <v>154</v>
      </c>
      <c r="DH114" s="34" t="s">
        <v>154</v>
      </c>
      <c r="DI114" s="34" t="s">
        <v>154</v>
      </c>
      <c r="DJ114" s="34" t="s">
        <v>154</v>
      </c>
      <c r="DK114" s="34" t="s">
        <v>154</v>
      </c>
      <c r="DL114" s="34" t="s">
        <v>154</v>
      </c>
      <c r="DM114" s="34" t="s">
        <v>154</v>
      </c>
      <c r="DN114" s="34" t="s">
        <v>154</v>
      </c>
      <c r="DO114" s="34" t="s">
        <v>154</v>
      </c>
      <c r="DP114" s="34">
        <v>0</v>
      </c>
      <c r="DQ114" s="34">
        <v>0</v>
      </c>
      <c r="DR114" s="34">
        <v>0</v>
      </c>
      <c r="DS114" s="42">
        <v>0</v>
      </c>
      <c r="DT114" s="134">
        <v>0</v>
      </c>
      <c r="DU114" s="134">
        <v>0</v>
      </c>
      <c r="DV114" s="134">
        <v>0</v>
      </c>
      <c r="DW114" s="134">
        <v>0</v>
      </c>
      <c r="DX114" s="134">
        <v>0</v>
      </c>
      <c r="DY114" s="134">
        <v>0</v>
      </c>
      <c r="DZ114" s="134">
        <v>0</v>
      </c>
      <c r="EA114" s="134">
        <v>0</v>
      </c>
      <c r="EB114" s="134">
        <v>0</v>
      </c>
      <c r="EC114" s="134">
        <v>0</v>
      </c>
      <c r="ED114" s="134">
        <v>0</v>
      </c>
      <c r="EE114" s="134">
        <v>0</v>
      </c>
      <c r="EF114" s="134">
        <v>0</v>
      </c>
      <c r="EG114" s="134">
        <v>0</v>
      </c>
      <c r="EH114" s="211">
        <f t="shared" si="31"/>
        <v>0</v>
      </c>
      <c r="EI114" s="89"/>
      <c r="EJ114" s="89">
        <f t="shared" si="32"/>
        <v>1751</v>
      </c>
      <c r="EK114" s="89"/>
      <c r="EL114" s="47">
        <f t="shared" si="42"/>
        <v>0</v>
      </c>
      <c r="EM114" s="47"/>
      <c r="EN114" s="47">
        <f t="shared" si="58"/>
        <v>1751</v>
      </c>
      <c r="EO114" s="12">
        <f t="shared" si="53"/>
        <v>0</v>
      </c>
      <c r="EP114" s="12">
        <f t="shared" si="57"/>
        <v>0</v>
      </c>
      <c r="EQ114" s="12">
        <f t="shared" si="54"/>
        <v>0</v>
      </c>
      <c r="ER114" s="12">
        <f t="shared" si="55"/>
        <v>1485</v>
      </c>
      <c r="ES114" s="15">
        <f t="shared" si="56"/>
        <v>266</v>
      </c>
      <c r="ET114" s="49">
        <f t="shared" si="64"/>
        <v>0</v>
      </c>
      <c r="EU114" s="49">
        <f t="shared" si="65"/>
        <v>0</v>
      </c>
      <c r="EV114" s="49">
        <f t="shared" si="66"/>
        <v>0</v>
      </c>
      <c r="EW114" s="49">
        <f t="shared" si="33"/>
        <v>0</v>
      </c>
    </row>
    <row r="115" spans="1:153" x14ac:dyDescent="0.25">
      <c r="A115" s="228"/>
      <c r="B115" s="8"/>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13"/>
      <c r="AK115" s="13"/>
      <c r="AL115" s="13"/>
      <c r="AM115" s="13"/>
      <c r="AN115" s="13"/>
      <c r="AO115" s="13"/>
      <c r="AP115" s="13"/>
      <c r="AQ115" s="13"/>
      <c r="AR115" s="13"/>
      <c r="AS115" s="13"/>
      <c r="AT115" s="13"/>
      <c r="AU115" s="13"/>
      <c r="AV115" s="13"/>
      <c r="AW115" s="13"/>
      <c r="AX115" s="13"/>
      <c r="AY115" s="13"/>
      <c r="AZ115" s="13"/>
      <c r="BA115" s="13"/>
      <c r="BB115" s="13"/>
      <c r="BC115" s="13"/>
      <c r="BD115" s="13"/>
      <c r="BE115" s="13"/>
      <c r="BF115" s="13"/>
      <c r="BG115" s="13"/>
      <c r="BH115" s="13"/>
      <c r="BI115" s="13"/>
      <c r="BJ115" s="13"/>
      <c r="BK115" s="13"/>
      <c r="BL115" s="13"/>
      <c r="BM115" s="13"/>
      <c r="BN115" s="13"/>
      <c r="BO115" s="13"/>
      <c r="BP115" s="13"/>
      <c r="BQ115" s="13"/>
      <c r="BR115" s="13"/>
      <c r="BS115" s="13"/>
      <c r="BT115" s="13"/>
      <c r="BU115" s="13"/>
      <c r="BV115" s="13"/>
      <c r="BW115" s="13"/>
      <c r="BX115" s="13"/>
      <c r="BY115" s="13"/>
      <c r="BZ115" s="13"/>
      <c r="CA115" s="13"/>
      <c r="CB115" s="13"/>
      <c r="CC115" s="13"/>
      <c r="CD115" s="13"/>
      <c r="CE115" s="13"/>
      <c r="CF115" s="13"/>
      <c r="CG115" s="13"/>
      <c r="CH115" s="13"/>
      <c r="CI115" s="13"/>
      <c r="CJ115" s="13"/>
      <c r="CK115" s="13"/>
      <c r="CL115" s="13"/>
      <c r="CM115" s="13"/>
      <c r="CN115" s="13"/>
      <c r="CO115" s="13"/>
      <c r="CP115" s="13"/>
      <c r="CQ115" s="13"/>
      <c r="CR115" s="13"/>
      <c r="CS115" s="13"/>
      <c r="CT115" s="13"/>
      <c r="CU115" s="13"/>
      <c r="CV115" s="13"/>
      <c r="CW115" s="13"/>
      <c r="CX115" s="13"/>
      <c r="CY115" s="13"/>
      <c r="CZ115" s="13"/>
      <c r="DA115" s="13"/>
      <c r="DB115" s="13"/>
      <c r="DC115" s="13"/>
      <c r="DD115" s="13"/>
      <c r="DE115" s="13"/>
      <c r="DF115" s="13"/>
      <c r="DG115" s="13"/>
      <c r="DH115" s="13"/>
      <c r="DI115" s="13"/>
      <c r="DJ115" s="13"/>
      <c r="DK115" s="13"/>
      <c r="DL115" s="13"/>
      <c r="DM115" s="13"/>
      <c r="DN115" s="13"/>
      <c r="DO115" s="13"/>
      <c r="DP115" s="13"/>
      <c r="DQ115" s="13"/>
      <c r="DR115" s="13"/>
      <c r="DS115" s="13"/>
      <c r="DT115" s="13"/>
      <c r="DU115" s="13"/>
      <c r="DV115" s="13"/>
      <c r="DW115" s="13"/>
      <c r="DX115" s="13"/>
      <c r="DY115" s="13"/>
      <c r="DZ115" s="13"/>
      <c r="EA115" s="13"/>
      <c r="EB115" s="13"/>
      <c r="EC115" s="13"/>
      <c r="ED115" s="13"/>
      <c r="EE115" s="13"/>
      <c r="EF115" s="13"/>
      <c r="EG115" s="13"/>
      <c r="EH115" s="13"/>
      <c r="EI115" s="13"/>
      <c r="EJ115" s="14"/>
      <c r="EK115" s="14"/>
      <c r="EL115" s="14"/>
      <c r="EM115" s="14"/>
      <c r="EN115" s="14"/>
      <c r="EO115" s="21"/>
      <c r="EP115" s="21"/>
      <c r="EQ115" s="21"/>
      <c r="ER115" s="21"/>
      <c r="ES115" s="22"/>
      <c r="ET115" s="22"/>
      <c r="EU115" s="22"/>
      <c r="EV115" s="22"/>
    </row>
    <row r="116" spans="1:153" ht="15.75" hidden="1" customHeight="1" x14ac:dyDescent="0.25">
      <c r="A116" s="8"/>
      <c r="B116" s="8"/>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10"/>
      <c r="AT116" s="10"/>
      <c r="AU116" s="10"/>
      <c r="AV116" s="10"/>
      <c r="AW116" s="10"/>
      <c r="AX116" s="10"/>
      <c r="AY116" s="10"/>
      <c r="AZ116" s="10"/>
      <c r="BA116" s="10"/>
      <c r="BB116" s="10"/>
      <c r="BC116" s="10"/>
      <c r="BD116" s="10"/>
      <c r="BE116" s="10"/>
      <c r="BF116" s="10"/>
      <c r="BG116" s="10"/>
      <c r="BH116" s="10"/>
      <c r="BI116" s="10"/>
      <c r="BJ116" s="10"/>
      <c r="BK116" s="10"/>
      <c r="BL116" s="10"/>
      <c r="BM116" s="10"/>
      <c r="BN116" s="10"/>
      <c r="BO116" s="10"/>
      <c r="BP116" s="10"/>
      <c r="BQ116" s="10"/>
      <c r="BR116" s="10"/>
      <c r="BS116" s="10"/>
      <c r="BT116" s="10"/>
      <c r="BU116" s="10"/>
      <c r="BV116" s="10"/>
      <c r="BW116" s="10"/>
      <c r="BX116" s="10"/>
      <c r="BY116" s="10"/>
      <c r="BZ116" s="10"/>
      <c r="CA116" s="10"/>
      <c r="CB116" s="10"/>
      <c r="CC116" s="10"/>
      <c r="CD116" s="10"/>
      <c r="CE116" s="10"/>
      <c r="CF116" s="10"/>
      <c r="CG116" s="10"/>
      <c r="CH116" s="10"/>
      <c r="CI116" s="10"/>
      <c r="CJ116" s="10"/>
      <c r="CK116" s="10"/>
      <c r="CL116" s="10"/>
      <c r="CM116" s="10"/>
      <c r="CN116" s="10"/>
      <c r="CO116" s="10"/>
      <c r="CP116" s="10"/>
      <c r="CQ116" s="10"/>
      <c r="CR116" s="10"/>
      <c r="CS116" s="10"/>
      <c r="CT116" s="10"/>
      <c r="CU116" s="10"/>
      <c r="CV116" s="10"/>
      <c r="CW116" s="10"/>
      <c r="CX116" s="10"/>
      <c r="CY116" s="10"/>
      <c r="CZ116" s="10"/>
      <c r="DA116" s="10"/>
      <c r="DB116" s="10"/>
      <c r="DC116" s="10"/>
      <c r="DD116" s="10"/>
      <c r="DE116" s="10"/>
      <c r="DF116" s="10"/>
      <c r="DG116" s="10"/>
      <c r="DH116" s="10"/>
      <c r="DI116" s="10"/>
      <c r="DJ116" s="10"/>
      <c r="DK116" s="10"/>
      <c r="DL116" s="10"/>
      <c r="DM116" s="10"/>
      <c r="DN116" s="10"/>
      <c r="DO116" s="10"/>
      <c r="DP116" s="10"/>
      <c r="DQ116" s="10"/>
      <c r="DR116" s="10"/>
      <c r="DS116" s="10"/>
      <c r="DT116" s="10"/>
      <c r="DU116" s="10"/>
      <c r="DV116" s="10"/>
      <c r="DW116" s="10"/>
      <c r="DX116" s="10"/>
      <c r="DY116" s="10"/>
      <c r="DZ116" s="10"/>
      <c r="EA116" s="10"/>
      <c r="EB116" s="10"/>
      <c r="EC116" s="10"/>
      <c r="ED116" s="10"/>
      <c r="EE116" s="10"/>
      <c r="EF116" s="10"/>
      <c r="EG116" s="10"/>
      <c r="EH116" s="10"/>
      <c r="EI116" s="10"/>
      <c r="EJ116" s="10"/>
      <c r="EK116" s="10"/>
      <c r="EL116" s="10"/>
      <c r="EM116" s="10"/>
      <c r="EN116" s="10"/>
    </row>
    <row r="117" spans="1:153" ht="15.75" hidden="1" customHeight="1" x14ac:dyDescent="0.35">
      <c r="A117" s="4" t="s">
        <v>58</v>
      </c>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c r="DH117" s="4"/>
      <c r="DI117" s="4"/>
      <c r="DJ117" s="4"/>
      <c r="DK117" s="4"/>
      <c r="DL117" s="4"/>
      <c r="DM117" s="4"/>
      <c r="DN117" s="4"/>
      <c r="DO117" s="4"/>
      <c r="DP117" s="4"/>
      <c r="DQ117" s="4"/>
      <c r="DR117" s="4"/>
      <c r="DS117" s="4"/>
      <c r="DT117" s="4"/>
      <c r="DU117" s="4"/>
      <c r="DV117" s="4"/>
      <c r="DW117" s="4"/>
      <c r="DX117" s="4"/>
      <c r="DY117" s="4"/>
      <c r="DZ117" s="4"/>
      <c r="EA117" s="4"/>
      <c r="EB117" s="4"/>
      <c r="EC117" s="4"/>
      <c r="ED117" s="4"/>
      <c r="EE117" s="4"/>
      <c r="EF117" s="4"/>
      <c r="EG117" s="4"/>
      <c r="EH117" s="4"/>
      <c r="EI117" s="4"/>
      <c r="EJ117" s="4"/>
      <c r="EK117" s="4"/>
      <c r="EL117" s="4"/>
      <c r="EM117" s="4"/>
      <c r="EN117" s="4"/>
      <c r="EO117" s="4"/>
      <c r="EP117" s="4"/>
      <c r="EQ117" s="4"/>
      <c r="ER117" s="4"/>
      <c r="ES117" s="4"/>
      <c r="ET117" s="4"/>
      <c r="EU117" s="4"/>
      <c r="EV117" s="4"/>
    </row>
    <row r="118" spans="1:153" ht="15.75" hidden="1" customHeight="1" x14ac:dyDescent="0.25"/>
    <row r="119" spans="1:153" ht="15.75" hidden="1" customHeight="1" x14ac:dyDescent="0.25">
      <c r="A119" s="5" t="s">
        <v>8</v>
      </c>
      <c r="B119" s="5" t="s">
        <v>4</v>
      </c>
      <c r="C119" s="6">
        <v>43435</v>
      </c>
      <c r="D119" s="6">
        <v>43466</v>
      </c>
      <c r="E119" s="6">
        <v>43497</v>
      </c>
      <c r="F119" s="6">
        <v>43525</v>
      </c>
      <c r="G119" s="6">
        <v>43556</v>
      </c>
      <c r="H119" s="6">
        <v>43586</v>
      </c>
      <c r="I119" s="6">
        <v>43617</v>
      </c>
      <c r="J119" s="6">
        <v>43647</v>
      </c>
      <c r="K119" s="6">
        <v>43678</v>
      </c>
      <c r="L119" s="6">
        <v>43709</v>
      </c>
      <c r="M119" s="6">
        <v>43739</v>
      </c>
      <c r="N119" s="6">
        <v>43770</v>
      </c>
      <c r="O119" s="6">
        <v>43800</v>
      </c>
      <c r="P119" s="6">
        <v>43831</v>
      </c>
      <c r="Q119" s="6">
        <v>43862</v>
      </c>
      <c r="R119" s="6">
        <v>43891</v>
      </c>
      <c r="S119" s="6">
        <v>43922</v>
      </c>
      <c r="T119" s="6">
        <v>43952</v>
      </c>
      <c r="U119" s="6">
        <v>43983</v>
      </c>
      <c r="V119" s="6">
        <v>44013</v>
      </c>
      <c r="W119" s="6">
        <v>44044</v>
      </c>
      <c r="X119" s="6">
        <v>44075</v>
      </c>
      <c r="Y119" s="6">
        <v>44105</v>
      </c>
      <c r="Z119" s="6">
        <v>44136</v>
      </c>
      <c r="AA119" s="6">
        <v>44166</v>
      </c>
      <c r="AB119" s="6">
        <v>44197</v>
      </c>
      <c r="AC119" s="6">
        <v>44228</v>
      </c>
      <c r="AD119" s="6">
        <v>44256</v>
      </c>
      <c r="AE119" s="7">
        <v>44287</v>
      </c>
      <c r="AF119" s="7">
        <v>44317</v>
      </c>
      <c r="AG119" s="7">
        <v>44348</v>
      </c>
      <c r="AH119" s="7">
        <v>44378</v>
      </c>
      <c r="AI119" s="7">
        <v>44409</v>
      </c>
      <c r="AJ119" s="7">
        <v>44440</v>
      </c>
      <c r="AK119" s="7">
        <v>44470</v>
      </c>
      <c r="AL119" s="7">
        <v>44501</v>
      </c>
      <c r="AM119" s="7">
        <v>44531</v>
      </c>
      <c r="AN119" s="7">
        <v>44562</v>
      </c>
      <c r="AO119" s="7">
        <v>44593</v>
      </c>
      <c r="AP119" s="7">
        <v>44621</v>
      </c>
      <c r="AQ119" s="6">
        <v>44652</v>
      </c>
      <c r="AR119" s="6">
        <v>44703</v>
      </c>
      <c r="AS119" s="6">
        <v>44734</v>
      </c>
      <c r="AT119" s="6">
        <v>44764</v>
      </c>
      <c r="AU119" s="6">
        <v>44795</v>
      </c>
      <c r="AV119" s="6">
        <v>44826</v>
      </c>
      <c r="AW119" s="6">
        <v>44856</v>
      </c>
      <c r="AX119" s="6">
        <v>44887</v>
      </c>
      <c r="AY119" s="6"/>
      <c r="AZ119" s="6">
        <v>44927</v>
      </c>
      <c r="BA119" s="6"/>
      <c r="BB119" s="6">
        <v>44958</v>
      </c>
      <c r="BC119" s="6"/>
      <c r="BD119" s="6"/>
      <c r="BE119" s="6"/>
      <c r="BF119" s="6"/>
      <c r="BG119" s="6"/>
      <c r="BH119" s="6"/>
      <c r="BI119" s="6"/>
      <c r="BJ119" s="6"/>
      <c r="BK119" s="6"/>
      <c r="BL119" s="6"/>
      <c r="BM119" s="6"/>
      <c r="BN119" s="6"/>
      <c r="BO119" s="6"/>
      <c r="BP119" s="6"/>
      <c r="BQ119" s="6"/>
      <c r="BR119" s="6"/>
      <c r="BS119" s="6"/>
      <c r="BT119" s="6"/>
      <c r="BU119" s="6"/>
      <c r="BV119" s="6"/>
      <c r="BW119" s="6"/>
      <c r="BX119" s="6"/>
      <c r="BY119" s="6"/>
      <c r="BZ119" s="6"/>
      <c r="CA119" s="6"/>
      <c r="CB119" s="6"/>
      <c r="CC119" s="6"/>
      <c r="CD119" s="6"/>
      <c r="CE119" s="6"/>
      <c r="CF119" s="6"/>
      <c r="CG119" s="6"/>
      <c r="CH119" s="6"/>
      <c r="CI119" s="6"/>
      <c r="CJ119" s="6"/>
      <c r="CK119" s="6"/>
      <c r="CL119" s="6"/>
      <c r="CM119" s="6"/>
      <c r="CN119" s="6"/>
      <c r="CO119" s="6"/>
      <c r="CP119" s="6"/>
      <c r="CQ119" s="6"/>
      <c r="CR119" s="6"/>
      <c r="CS119" s="6"/>
      <c r="CT119" s="6"/>
      <c r="CU119" s="6"/>
      <c r="CV119" s="6"/>
      <c r="CW119" s="6"/>
      <c r="CX119" s="6"/>
      <c r="CY119" s="6"/>
      <c r="CZ119" s="6"/>
      <c r="DA119" s="6"/>
      <c r="DB119" s="6"/>
      <c r="DC119" s="6"/>
      <c r="DD119" s="6"/>
      <c r="DE119" s="6"/>
      <c r="DF119" s="6"/>
      <c r="DG119" s="6"/>
      <c r="DH119" s="6"/>
      <c r="DI119" s="6"/>
      <c r="DJ119" s="6"/>
      <c r="DK119" s="6"/>
      <c r="DL119" s="6"/>
      <c r="DM119" s="6"/>
      <c r="DN119" s="6"/>
      <c r="DO119" s="6"/>
      <c r="DP119" s="6"/>
      <c r="DQ119" s="6"/>
      <c r="DR119" s="6"/>
      <c r="DS119" s="6"/>
      <c r="DT119" s="6"/>
      <c r="DU119" s="6"/>
      <c r="DV119" s="6"/>
      <c r="DW119" s="6"/>
      <c r="DX119" s="6"/>
      <c r="DY119" s="6"/>
      <c r="DZ119" s="6"/>
      <c r="EA119" s="6"/>
      <c r="EB119" s="6"/>
      <c r="EC119" s="6"/>
      <c r="ED119" s="6"/>
      <c r="EE119" s="6"/>
      <c r="EF119" s="6"/>
      <c r="EG119" s="6"/>
      <c r="EH119" s="6"/>
      <c r="EI119" s="6"/>
      <c r="EJ119" s="7" t="s">
        <v>5</v>
      </c>
      <c r="EK119" s="7"/>
      <c r="EL119" s="7"/>
      <c r="EM119" s="7"/>
      <c r="EN119" s="7"/>
      <c r="EO119" s="11">
        <v>2018</v>
      </c>
      <c r="EP119" s="11" t="s">
        <v>63</v>
      </c>
      <c r="EQ119" s="11" t="s">
        <v>61</v>
      </c>
      <c r="ER119" s="11" t="s">
        <v>62</v>
      </c>
    </row>
    <row r="120" spans="1:153" ht="56.25" hidden="1" customHeight="1" x14ac:dyDescent="0.25">
      <c r="A120" s="25" t="s">
        <v>59</v>
      </c>
      <c r="B120" s="25" t="s">
        <v>60</v>
      </c>
      <c r="C120" s="28">
        <v>0</v>
      </c>
      <c r="D120" s="28">
        <v>0</v>
      </c>
      <c r="E120" s="28">
        <v>0</v>
      </c>
      <c r="F120" s="28">
        <v>0</v>
      </c>
      <c r="G120" s="28">
        <v>0</v>
      </c>
      <c r="H120" s="28">
        <v>0</v>
      </c>
      <c r="I120" s="28">
        <v>0</v>
      </c>
      <c r="J120" s="28">
        <v>0</v>
      </c>
      <c r="K120" s="28">
        <v>0</v>
      </c>
      <c r="L120" s="28">
        <v>0</v>
      </c>
      <c r="M120" s="28">
        <v>0</v>
      </c>
      <c r="N120" s="28">
        <v>0</v>
      </c>
      <c r="O120" s="28">
        <v>0</v>
      </c>
      <c r="P120" s="28">
        <v>0</v>
      </c>
      <c r="Q120" s="28">
        <v>0</v>
      </c>
      <c r="R120" s="28">
        <v>0</v>
      </c>
      <c r="S120" s="28">
        <v>0</v>
      </c>
      <c r="T120" s="28">
        <v>0</v>
      </c>
      <c r="U120" s="28">
        <v>0</v>
      </c>
      <c r="V120" s="28">
        <v>0</v>
      </c>
      <c r="W120" s="28">
        <v>0</v>
      </c>
      <c r="X120" s="28">
        <v>0</v>
      </c>
      <c r="Y120" s="28">
        <v>0</v>
      </c>
      <c r="Z120" s="28">
        <v>0</v>
      </c>
      <c r="AA120" s="28">
        <v>0</v>
      </c>
      <c r="AB120" s="28">
        <v>0</v>
      </c>
      <c r="AC120" s="28">
        <v>0</v>
      </c>
      <c r="AD120" s="28">
        <v>0</v>
      </c>
      <c r="AE120" s="28">
        <v>2</v>
      </c>
      <c r="AF120" s="28">
        <v>0</v>
      </c>
      <c r="AG120" s="28">
        <v>1</v>
      </c>
      <c r="AH120" s="28">
        <v>1</v>
      </c>
      <c r="AI120" s="28">
        <v>0</v>
      </c>
      <c r="AJ120" s="28">
        <v>0</v>
      </c>
      <c r="AK120" s="28">
        <v>1</v>
      </c>
      <c r="AL120" s="28">
        <v>1</v>
      </c>
      <c r="AM120" s="28">
        <v>1</v>
      </c>
      <c r="AN120" s="28">
        <v>0</v>
      </c>
      <c r="AO120" s="28">
        <v>0</v>
      </c>
      <c r="AP120" s="28">
        <v>1</v>
      </c>
      <c r="AQ120" s="28">
        <v>1</v>
      </c>
      <c r="AR120" s="28">
        <v>0</v>
      </c>
      <c r="AS120" s="28">
        <v>0</v>
      </c>
      <c r="AT120" s="28">
        <v>0</v>
      </c>
      <c r="AU120" s="28"/>
      <c r="AV120" s="28"/>
      <c r="AW120" s="28"/>
      <c r="AX120" s="28"/>
      <c r="AY120" s="28"/>
      <c r="AZ120" s="28"/>
      <c r="BA120" s="28"/>
      <c r="BB120" s="28"/>
      <c r="BC120" s="28"/>
      <c r="BD120" s="28"/>
      <c r="BE120" s="28"/>
      <c r="BF120" s="28"/>
      <c r="BG120" s="28"/>
      <c r="BH120" s="28"/>
      <c r="BI120" s="28"/>
      <c r="BJ120" s="28"/>
      <c r="BK120" s="28"/>
      <c r="BL120" s="28"/>
      <c r="BM120" s="28"/>
      <c r="BN120" s="28"/>
      <c r="BO120" s="28"/>
      <c r="BP120" s="28"/>
      <c r="BQ120" s="28"/>
      <c r="BR120" s="28"/>
      <c r="BS120" s="28"/>
      <c r="BT120" s="28"/>
      <c r="BU120" s="28"/>
      <c r="BV120" s="28"/>
      <c r="BW120" s="28"/>
      <c r="BX120" s="28"/>
      <c r="BY120" s="28"/>
      <c r="BZ120" s="28"/>
      <c r="CA120" s="28"/>
      <c r="CB120" s="28"/>
      <c r="CC120" s="28"/>
      <c r="CD120" s="28"/>
      <c r="CE120" s="28"/>
      <c r="CF120" s="28"/>
      <c r="CG120" s="28"/>
      <c r="CH120" s="28"/>
      <c r="CI120" s="28"/>
      <c r="CJ120" s="28"/>
      <c r="CK120" s="28"/>
      <c r="CL120" s="28"/>
      <c r="CM120" s="28"/>
      <c r="CN120" s="28"/>
      <c r="CO120" s="28"/>
      <c r="CP120" s="28"/>
      <c r="CQ120" s="28"/>
      <c r="CR120" s="28"/>
      <c r="CS120" s="28"/>
      <c r="CT120" s="28"/>
      <c r="CU120" s="28"/>
      <c r="CV120" s="28"/>
      <c r="CW120" s="28"/>
      <c r="CX120" s="28"/>
      <c r="CY120" s="28"/>
      <c r="CZ120" s="28"/>
      <c r="DA120" s="28"/>
      <c r="DB120" s="28"/>
      <c r="DC120" s="28"/>
      <c r="DD120" s="28"/>
      <c r="DE120" s="28"/>
      <c r="DF120" s="28"/>
      <c r="DG120" s="28"/>
      <c r="DH120" s="28"/>
      <c r="DI120" s="28"/>
      <c r="DJ120" s="28"/>
      <c r="DK120" s="28"/>
      <c r="DL120" s="28"/>
      <c r="DM120" s="28"/>
      <c r="DN120" s="28"/>
      <c r="DO120" s="28"/>
      <c r="DP120" s="28"/>
      <c r="DQ120" s="28"/>
      <c r="DR120" s="28"/>
      <c r="DS120" s="28"/>
      <c r="DT120" s="28"/>
      <c r="DU120" s="28"/>
      <c r="DV120" s="28"/>
      <c r="DW120" s="28"/>
      <c r="DX120" s="28"/>
      <c r="DY120" s="28"/>
      <c r="DZ120" s="28"/>
      <c r="EA120" s="28"/>
      <c r="EB120" s="28"/>
      <c r="EC120" s="28"/>
      <c r="ED120" s="28"/>
      <c r="EE120" s="28"/>
      <c r="EF120" s="28"/>
      <c r="EG120" s="28"/>
      <c r="EH120" s="28"/>
      <c r="EI120" s="28"/>
      <c r="EJ120" s="29">
        <f>SUM(AJ120:AS120)</f>
        <v>5</v>
      </c>
      <c r="EK120" s="29"/>
      <c r="EL120" s="29"/>
      <c r="EM120" s="29"/>
      <c r="EN120" s="29"/>
      <c r="EO120" s="27">
        <f>SUM(C120:C120)</f>
        <v>0</v>
      </c>
      <c r="EP120" s="27">
        <f>SUM(D120:O120)</f>
        <v>0</v>
      </c>
      <c r="EQ120" s="27"/>
      <c r="ER120" s="27"/>
    </row>
    <row r="121" spans="1:153" ht="38.25" hidden="1" customHeight="1" x14ac:dyDescent="0.25">
      <c r="A121" s="25" t="s">
        <v>68</v>
      </c>
      <c r="B121" s="25" t="s">
        <v>60</v>
      </c>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c r="AA121" s="28"/>
      <c r="AB121" s="28"/>
      <c r="AC121" s="28"/>
      <c r="AD121" s="28"/>
      <c r="AE121" s="28"/>
      <c r="AF121" s="28"/>
      <c r="AG121" s="28"/>
      <c r="AH121" s="28"/>
      <c r="AI121" s="28"/>
      <c r="AJ121" s="28"/>
      <c r="AK121" s="28"/>
      <c r="AL121" s="28"/>
      <c r="AM121" s="28"/>
      <c r="AN121" s="28"/>
      <c r="AO121" s="28"/>
      <c r="AP121" s="28"/>
      <c r="AQ121" s="28"/>
      <c r="AR121" s="28"/>
      <c r="AS121" s="28"/>
      <c r="AT121" s="28">
        <v>0</v>
      </c>
      <c r="AU121" s="28"/>
      <c r="AV121" s="28"/>
      <c r="AW121" s="28"/>
      <c r="AX121" s="28">
        <v>1</v>
      </c>
      <c r="AY121" s="28"/>
      <c r="AZ121" s="28"/>
      <c r="BA121" s="28"/>
      <c r="BB121" s="28"/>
      <c r="BC121" s="28"/>
      <c r="BD121" s="28"/>
      <c r="BE121" s="28"/>
      <c r="BF121" s="28"/>
      <c r="BG121" s="28"/>
      <c r="BH121" s="28"/>
      <c r="BI121" s="28"/>
      <c r="BJ121" s="28"/>
      <c r="BK121" s="28"/>
      <c r="BL121" s="28"/>
      <c r="BM121" s="28"/>
      <c r="BN121" s="28"/>
      <c r="BO121" s="28"/>
      <c r="BP121" s="28"/>
      <c r="BQ121" s="28"/>
      <c r="BR121" s="28"/>
      <c r="BS121" s="28"/>
      <c r="BT121" s="28"/>
      <c r="BU121" s="28"/>
      <c r="BV121" s="28"/>
      <c r="BW121" s="28"/>
      <c r="BX121" s="28"/>
      <c r="BY121" s="28"/>
      <c r="BZ121" s="28"/>
      <c r="CA121" s="28"/>
      <c r="CB121" s="28"/>
      <c r="CC121" s="28"/>
      <c r="CD121" s="28"/>
      <c r="CE121" s="28"/>
      <c r="CF121" s="28"/>
      <c r="CG121" s="28"/>
      <c r="CH121" s="28"/>
      <c r="CI121" s="28"/>
      <c r="CJ121" s="28"/>
      <c r="CK121" s="28"/>
      <c r="CL121" s="28"/>
      <c r="CM121" s="28"/>
      <c r="CN121" s="28"/>
      <c r="CO121" s="28"/>
      <c r="CP121" s="28"/>
      <c r="CQ121" s="28"/>
      <c r="CR121" s="28"/>
      <c r="CS121" s="28"/>
      <c r="CT121" s="28"/>
      <c r="CU121" s="28"/>
      <c r="CV121" s="28"/>
      <c r="CW121" s="28"/>
      <c r="CX121" s="28"/>
      <c r="CY121" s="28"/>
      <c r="CZ121" s="28"/>
      <c r="DA121" s="28"/>
      <c r="DB121" s="28"/>
      <c r="DC121" s="28"/>
      <c r="DD121" s="28"/>
      <c r="DE121" s="28"/>
      <c r="DF121" s="28"/>
      <c r="DG121" s="28"/>
      <c r="DH121" s="28"/>
      <c r="DI121" s="28"/>
      <c r="DJ121" s="28"/>
      <c r="DK121" s="28"/>
      <c r="DL121" s="28"/>
      <c r="DM121" s="28"/>
      <c r="DN121" s="28"/>
      <c r="DO121" s="28"/>
      <c r="DP121" s="28"/>
      <c r="DQ121" s="28"/>
      <c r="DR121" s="28"/>
      <c r="DS121" s="28"/>
      <c r="DT121" s="28"/>
      <c r="DU121" s="28"/>
      <c r="DV121" s="28"/>
      <c r="DW121" s="28"/>
      <c r="DX121" s="28"/>
      <c r="DY121" s="28"/>
      <c r="DZ121" s="28"/>
      <c r="EA121" s="28"/>
      <c r="EB121" s="28"/>
      <c r="EC121" s="28"/>
      <c r="ED121" s="28"/>
      <c r="EE121" s="28"/>
      <c r="EF121" s="28"/>
      <c r="EG121" s="28"/>
      <c r="EH121" s="28"/>
      <c r="EI121" s="28"/>
      <c r="EJ121" s="29">
        <v>5</v>
      </c>
      <c r="EK121" s="29"/>
      <c r="EL121" s="29"/>
      <c r="EM121" s="29"/>
      <c r="EN121" s="29"/>
      <c r="EO121" s="27"/>
      <c r="EP121" s="27"/>
      <c r="EQ121" s="27"/>
      <c r="ER121" s="27"/>
    </row>
    <row r="122" spans="1:153" ht="40.15" hidden="1" customHeight="1" x14ac:dyDescent="0.2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7"/>
      <c r="BO122" s="27"/>
      <c r="BP122" s="27"/>
      <c r="BQ122" s="27"/>
      <c r="BR122" s="27"/>
      <c r="BS122" s="27"/>
      <c r="BT122" s="27"/>
      <c r="BU122" s="27"/>
      <c r="BV122" s="27"/>
      <c r="BW122" s="27"/>
      <c r="BX122" s="27"/>
      <c r="BY122" s="27"/>
      <c r="BZ122" s="27"/>
      <c r="CA122" s="27"/>
      <c r="CB122" s="27"/>
      <c r="CC122" s="27"/>
      <c r="CD122" s="27"/>
      <c r="CE122" s="27"/>
      <c r="CF122" s="27"/>
      <c r="CG122" s="27"/>
      <c r="CH122" s="27"/>
      <c r="CI122" s="27"/>
      <c r="CJ122" s="27"/>
      <c r="CK122" s="27"/>
      <c r="CL122" s="27"/>
      <c r="CM122" s="27"/>
      <c r="CN122" s="27"/>
      <c r="CO122" s="27"/>
      <c r="CP122" s="27"/>
      <c r="CQ122" s="27"/>
      <c r="CR122" s="27"/>
      <c r="CS122" s="27"/>
      <c r="CT122" s="27"/>
      <c r="CU122" s="27"/>
      <c r="CV122" s="27"/>
      <c r="CW122" s="27"/>
      <c r="CX122" s="27"/>
      <c r="CY122" s="27"/>
      <c r="CZ122" s="27"/>
      <c r="DA122" s="27"/>
      <c r="DB122" s="27"/>
      <c r="DC122" s="27"/>
      <c r="DD122" s="27"/>
      <c r="DE122" s="27"/>
      <c r="DF122" s="27"/>
      <c r="DG122" s="27"/>
      <c r="DH122" s="27"/>
      <c r="DI122" s="27"/>
      <c r="DJ122" s="27"/>
      <c r="DK122" s="27"/>
      <c r="DL122" s="27"/>
      <c r="DM122" s="27"/>
      <c r="DN122" s="27"/>
      <c r="DO122" s="27"/>
      <c r="DP122" s="27"/>
      <c r="DQ122" s="27"/>
      <c r="DR122" s="27"/>
      <c r="DS122" s="27"/>
      <c r="DT122" s="27"/>
      <c r="DU122" s="27"/>
      <c r="DV122" s="27"/>
      <c r="DW122" s="27"/>
      <c r="DX122" s="27"/>
      <c r="DY122" s="27"/>
      <c r="DZ122" s="27"/>
      <c r="EA122" s="27"/>
      <c r="EB122" s="27"/>
      <c r="EC122" s="27"/>
      <c r="ED122" s="27"/>
      <c r="EE122" s="27"/>
      <c r="EF122" s="27"/>
      <c r="EG122" s="27"/>
      <c r="EH122" s="27"/>
      <c r="EI122" s="27"/>
      <c r="EJ122" s="27"/>
      <c r="EK122" s="27"/>
      <c r="EL122" s="27"/>
      <c r="EM122" s="27"/>
      <c r="EN122" s="27"/>
      <c r="EO122" s="27"/>
      <c r="EP122" s="27"/>
      <c r="EQ122" s="27"/>
      <c r="ER122" s="27"/>
    </row>
    <row r="123" spans="1:153" ht="44.45" hidden="1" customHeight="1" x14ac:dyDescent="0.25">
      <c r="A123" s="30" t="s">
        <v>69</v>
      </c>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7"/>
      <c r="BO123" s="27"/>
      <c r="BP123" s="27"/>
      <c r="BQ123" s="27"/>
      <c r="BR123" s="27"/>
      <c r="BS123" s="27"/>
      <c r="BT123" s="27"/>
      <c r="BU123" s="27"/>
      <c r="BV123" s="27"/>
      <c r="BW123" s="27"/>
      <c r="BX123" s="27"/>
      <c r="BY123" s="27"/>
      <c r="BZ123" s="27"/>
      <c r="CA123" s="27"/>
      <c r="CB123" s="27"/>
      <c r="CC123" s="27"/>
      <c r="CD123" s="27"/>
      <c r="CE123" s="27"/>
      <c r="CF123" s="27"/>
      <c r="CG123" s="27"/>
      <c r="CH123" s="27"/>
      <c r="CI123" s="27"/>
      <c r="CJ123" s="27"/>
      <c r="CK123" s="27"/>
      <c r="CL123" s="27"/>
      <c r="CM123" s="27"/>
      <c r="CN123" s="27"/>
      <c r="CO123" s="27"/>
      <c r="CP123" s="27"/>
      <c r="CQ123" s="27"/>
      <c r="CR123" s="27"/>
      <c r="CS123" s="27"/>
      <c r="CT123" s="27"/>
      <c r="CU123" s="27"/>
      <c r="CV123" s="27"/>
      <c r="CW123" s="27"/>
      <c r="CX123" s="27"/>
      <c r="CY123" s="27"/>
      <c r="CZ123" s="27"/>
      <c r="DA123" s="27"/>
      <c r="DB123" s="27"/>
      <c r="DC123" s="27"/>
      <c r="DD123" s="27"/>
      <c r="DE123" s="27"/>
      <c r="DF123" s="27"/>
      <c r="DG123" s="27"/>
      <c r="DH123" s="27"/>
      <c r="DI123" s="27"/>
      <c r="DJ123" s="27"/>
      <c r="DK123" s="27"/>
      <c r="DL123" s="27"/>
      <c r="DM123" s="27"/>
      <c r="DN123" s="27"/>
      <c r="DO123" s="27"/>
      <c r="DP123" s="27"/>
      <c r="DQ123" s="27"/>
      <c r="DR123" s="27"/>
      <c r="DS123" s="27"/>
      <c r="DT123" s="27"/>
      <c r="DU123" s="27"/>
      <c r="DV123" s="27"/>
      <c r="DW123" s="27"/>
      <c r="DX123" s="27"/>
      <c r="DY123" s="27"/>
      <c r="DZ123" s="27"/>
      <c r="EA123" s="27"/>
      <c r="EB123" s="27"/>
      <c r="EC123" s="27"/>
      <c r="ED123" s="27"/>
      <c r="EE123" s="27"/>
      <c r="EF123" s="27"/>
      <c r="EG123" s="27"/>
      <c r="EH123" s="27"/>
      <c r="EI123" s="27"/>
      <c r="EJ123" s="27"/>
      <c r="EK123" s="27"/>
      <c r="EL123" s="27"/>
      <c r="EM123" s="27"/>
      <c r="EN123" s="27"/>
      <c r="EO123" s="27"/>
      <c r="EP123" s="27"/>
      <c r="EQ123" s="27"/>
      <c r="ER123" s="27"/>
    </row>
    <row r="124" spans="1:153" ht="59.45" hidden="1" customHeight="1" x14ac:dyDescent="0.25">
      <c r="A124" s="30" t="s">
        <v>70</v>
      </c>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7"/>
      <c r="BO124" s="27"/>
      <c r="BP124" s="27"/>
      <c r="BQ124" s="27"/>
      <c r="BR124" s="27"/>
      <c r="BS124" s="27"/>
      <c r="BT124" s="27"/>
      <c r="BU124" s="27"/>
      <c r="BV124" s="27"/>
      <c r="BW124" s="27"/>
      <c r="BX124" s="27"/>
      <c r="BY124" s="27"/>
      <c r="BZ124" s="27"/>
      <c r="CA124" s="27"/>
      <c r="CB124" s="27"/>
      <c r="CC124" s="27"/>
      <c r="CD124" s="27"/>
      <c r="CE124" s="27"/>
      <c r="CF124" s="27"/>
      <c r="CG124" s="27"/>
      <c r="CH124" s="27"/>
      <c r="CI124" s="27"/>
      <c r="CJ124" s="27"/>
      <c r="CK124" s="27"/>
      <c r="CL124" s="27"/>
      <c r="CM124" s="27"/>
      <c r="CN124" s="27"/>
      <c r="CO124" s="27"/>
      <c r="CP124" s="27"/>
      <c r="CQ124" s="27"/>
      <c r="CR124" s="27"/>
      <c r="CS124" s="27"/>
      <c r="CT124" s="27"/>
      <c r="CU124" s="27"/>
      <c r="CV124" s="27"/>
      <c r="CW124" s="27"/>
      <c r="CX124" s="27"/>
      <c r="CY124" s="27"/>
      <c r="CZ124" s="27"/>
      <c r="DA124" s="27"/>
      <c r="DB124" s="27"/>
      <c r="DC124" s="27"/>
      <c r="DD124" s="27"/>
      <c r="DE124" s="27"/>
      <c r="DF124" s="27"/>
      <c r="DG124" s="27"/>
      <c r="DH124" s="27"/>
      <c r="DI124" s="27"/>
      <c r="DJ124" s="27"/>
      <c r="DK124" s="27"/>
      <c r="DL124" s="27"/>
      <c r="DM124" s="27"/>
      <c r="DN124" s="27"/>
      <c r="DO124" s="27"/>
      <c r="DP124" s="27"/>
      <c r="DQ124" s="27"/>
      <c r="DR124" s="27"/>
      <c r="DS124" s="27"/>
      <c r="DT124" s="27"/>
      <c r="DU124" s="27"/>
      <c r="DV124" s="27"/>
      <c r="DW124" s="27"/>
      <c r="DX124" s="27"/>
      <c r="DY124" s="27"/>
      <c r="DZ124" s="27"/>
      <c r="EA124" s="27"/>
      <c r="EB124" s="27"/>
      <c r="EC124" s="27"/>
      <c r="ED124" s="27"/>
      <c r="EE124" s="27"/>
      <c r="EF124" s="27"/>
      <c r="EG124" s="27"/>
      <c r="EH124" s="27"/>
      <c r="EI124" s="27"/>
      <c r="EJ124" s="27"/>
      <c r="EK124" s="27"/>
      <c r="EL124" s="27"/>
      <c r="EM124" s="27"/>
      <c r="EN124" s="27"/>
      <c r="EO124" s="27"/>
      <c r="EP124" s="27"/>
      <c r="EQ124" s="27"/>
      <c r="ER124" s="27"/>
    </row>
    <row r="125" spans="1:153" ht="80.45" hidden="1" customHeight="1" x14ac:dyDescent="0.25">
      <c r="A125" s="30" t="s">
        <v>71</v>
      </c>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7"/>
      <c r="BO125" s="27"/>
      <c r="BP125" s="27"/>
      <c r="BQ125" s="27"/>
      <c r="BR125" s="27"/>
      <c r="BS125" s="27"/>
      <c r="BT125" s="27"/>
      <c r="BU125" s="27"/>
      <c r="BV125" s="27"/>
      <c r="BW125" s="27"/>
      <c r="BX125" s="27"/>
      <c r="BY125" s="27"/>
      <c r="BZ125" s="27"/>
      <c r="CA125" s="27"/>
      <c r="CB125" s="27"/>
      <c r="CC125" s="27"/>
      <c r="CD125" s="27"/>
      <c r="CE125" s="27"/>
      <c r="CF125" s="27"/>
      <c r="CG125" s="27"/>
      <c r="CH125" s="27"/>
      <c r="CI125" s="27"/>
      <c r="CJ125" s="27"/>
      <c r="CK125" s="27"/>
      <c r="CL125" s="27"/>
      <c r="CM125" s="27"/>
      <c r="CN125" s="27"/>
      <c r="CO125" s="27"/>
      <c r="CP125" s="27"/>
      <c r="CQ125" s="27"/>
      <c r="CR125" s="27"/>
      <c r="CS125" s="27"/>
      <c r="CT125" s="27"/>
      <c r="CU125" s="27"/>
      <c r="CV125" s="27"/>
      <c r="CW125" s="27"/>
      <c r="CX125" s="27"/>
      <c r="CY125" s="27"/>
      <c r="CZ125" s="27"/>
      <c r="DA125" s="27"/>
      <c r="DB125" s="27"/>
      <c r="DC125" s="27"/>
      <c r="DD125" s="27"/>
      <c r="DE125" s="27"/>
      <c r="DF125" s="27"/>
      <c r="DG125" s="27"/>
      <c r="DH125" s="27"/>
      <c r="DI125" s="27"/>
      <c r="DJ125" s="27"/>
      <c r="DK125" s="27"/>
      <c r="DL125" s="27"/>
      <c r="DM125" s="27"/>
      <c r="DN125" s="27"/>
      <c r="DO125" s="27"/>
      <c r="DP125" s="27"/>
      <c r="DQ125" s="27"/>
      <c r="DR125" s="27"/>
      <c r="DS125" s="27"/>
      <c r="DT125" s="27"/>
      <c r="DU125" s="27"/>
      <c r="DV125" s="27"/>
      <c r="DW125" s="27"/>
      <c r="DX125" s="27"/>
      <c r="DY125" s="27"/>
      <c r="DZ125" s="27"/>
      <c r="EA125" s="27"/>
      <c r="EB125" s="27"/>
      <c r="EC125" s="27"/>
      <c r="ED125" s="27"/>
      <c r="EE125" s="27"/>
      <c r="EF125" s="27"/>
      <c r="EG125" s="27"/>
      <c r="EH125" s="27"/>
      <c r="EI125" s="27"/>
      <c r="EJ125" s="27"/>
      <c r="EK125" s="27"/>
      <c r="EL125" s="27"/>
      <c r="EM125" s="27"/>
      <c r="EN125" s="27"/>
      <c r="EO125" s="27"/>
      <c r="EP125" s="27"/>
      <c r="EQ125" s="27"/>
      <c r="ER125" s="27"/>
    </row>
    <row r="126" spans="1:153" ht="54.6" hidden="1" customHeight="1" x14ac:dyDescent="0.25">
      <c r="A126" s="30" t="s">
        <v>72</v>
      </c>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7"/>
      <c r="BO126" s="27"/>
      <c r="BP126" s="27"/>
      <c r="BQ126" s="27"/>
      <c r="BR126" s="27"/>
      <c r="BS126" s="27"/>
      <c r="BT126" s="27"/>
      <c r="BU126" s="27"/>
      <c r="BV126" s="27"/>
      <c r="BW126" s="27"/>
      <c r="BX126" s="27"/>
      <c r="BY126" s="27"/>
      <c r="BZ126" s="27"/>
      <c r="CA126" s="27"/>
      <c r="CB126" s="27"/>
      <c r="CC126" s="27"/>
      <c r="CD126" s="27"/>
      <c r="CE126" s="27"/>
      <c r="CF126" s="27"/>
      <c r="CG126" s="27"/>
      <c r="CH126" s="27"/>
      <c r="CI126" s="27"/>
      <c r="CJ126" s="27"/>
      <c r="CK126" s="27"/>
      <c r="CL126" s="27"/>
      <c r="CM126" s="27"/>
      <c r="CN126" s="27"/>
      <c r="CO126" s="27"/>
      <c r="CP126" s="27"/>
      <c r="CQ126" s="27"/>
      <c r="CR126" s="27"/>
      <c r="CS126" s="27"/>
      <c r="CT126" s="27"/>
      <c r="CU126" s="27"/>
      <c r="CV126" s="27"/>
      <c r="CW126" s="27"/>
      <c r="CX126" s="27"/>
      <c r="CY126" s="27"/>
      <c r="CZ126" s="27"/>
      <c r="DA126" s="27"/>
      <c r="DB126" s="27"/>
      <c r="DC126" s="27"/>
      <c r="DD126" s="27"/>
      <c r="DE126" s="27"/>
      <c r="DF126" s="27"/>
      <c r="DG126" s="27"/>
      <c r="DH126" s="27"/>
      <c r="DI126" s="27"/>
      <c r="DJ126" s="27"/>
      <c r="DK126" s="27"/>
      <c r="DL126" s="27"/>
      <c r="DM126" s="27"/>
      <c r="DN126" s="27"/>
      <c r="DO126" s="27"/>
      <c r="DP126" s="27"/>
      <c r="DQ126" s="27"/>
      <c r="DR126" s="27"/>
      <c r="DS126" s="27"/>
      <c r="DT126" s="27"/>
      <c r="DU126" s="27"/>
      <c r="DV126" s="27"/>
      <c r="DW126" s="27"/>
      <c r="DX126" s="27"/>
      <c r="DY126" s="27"/>
      <c r="DZ126" s="27"/>
      <c r="EA126" s="27"/>
      <c r="EB126" s="27"/>
      <c r="EC126" s="27"/>
      <c r="ED126" s="27"/>
      <c r="EE126" s="27"/>
      <c r="EF126" s="27"/>
      <c r="EG126" s="27"/>
      <c r="EH126" s="27"/>
      <c r="EI126" s="27"/>
      <c r="EJ126" s="27"/>
      <c r="EK126" s="27"/>
      <c r="EL126" s="27"/>
      <c r="EM126" s="27"/>
      <c r="EN126" s="27"/>
      <c r="EO126" s="27"/>
      <c r="EP126" s="27"/>
      <c r="EQ126" s="27"/>
      <c r="ER126" s="27"/>
    </row>
    <row r="127" spans="1:153" ht="33.6" hidden="1" customHeight="1" x14ac:dyDescent="0.25">
      <c r="A127" s="30" t="s">
        <v>73</v>
      </c>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7"/>
      <c r="BO127" s="27"/>
      <c r="BP127" s="27"/>
      <c r="BQ127" s="27"/>
      <c r="BR127" s="27"/>
      <c r="BS127" s="27"/>
      <c r="BT127" s="27"/>
      <c r="BU127" s="27"/>
      <c r="BV127" s="27"/>
      <c r="BW127" s="27"/>
      <c r="BX127" s="27"/>
      <c r="BY127" s="27"/>
      <c r="BZ127" s="27"/>
      <c r="CA127" s="27"/>
      <c r="CB127" s="27"/>
      <c r="CC127" s="27"/>
      <c r="CD127" s="27"/>
      <c r="CE127" s="27"/>
      <c r="CF127" s="27"/>
      <c r="CG127" s="27"/>
      <c r="CH127" s="27"/>
      <c r="CI127" s="27"/>
      <c r="CJ127" s="27"/>
      <c r="CK127" s="27"/>
      <c r="CL127" s="27"/>
      <c r="CM127" s="27"/>
      <c r="CN127" s="27"/>
      <c r="CO127" s="27"/>
      <c r="CP127" s="27"/>
      <c r="CQ127" s="27"/>
      <c r="CR127" s="27"/>
      <c r="CS127" s="27"/>
      <c r="CT127" s="27"/>
      <c r="CU127" s="27"/>
      <c r="CV127" s="27"/>
      <c r="CW127" s="27"/>
      <c r="CX127" s="27"/>
      <c r="CY127" s="27"/>
      <c r="CZ127" s="27"/>
      <c r="DA127" s="27"/>
      <c r="DB127" s="27"/>
      <c r="DC127" s="27"/>
      <c r="DD127" s="27"/>
      <c r="DE127" s="27"/>
      <c r="DF127" s="27"/>
      <c r="DG127" s="27"/>
      <c r="DH127" s="27"/>
      <c r="DI127" s="27"/>
      <c r="DJ127" s="27"/>
      <c r="DK127" s="27"/>
      <c r="DL127" s="27"/>
      <c r="DM127" s="27"/>
      <c r="DN127" s="27"/>
      <c r="DO127" s="27"/>
      <c r="DP127" s="27"/>
      <c r="DQ127" s="27"/>
      <c r="DR127" s="27"/>
      <c r="DS127" s="27"/>
      <c r="DT127" s="27"/>
      <c r="DU127" s="27"/>
      <c r="DV127" s="27"/>
      <c r="DW127" s="27"/>
      <c r="DX127" s="27"/>
      <c r="DY127" s="27"/>
      <c r="DZ127" s="27"/>
      <c r="EA127" s="27"/>
      <c r="EB127" s="27"/>
      <c r="EC127" s="27"/>
      <c r="ED127" s="27"/>
      <c r="EE127" s="27"/>
      <c r="EF127" s="27"/>
      <c r="EG127" s="27"/>
      <c r="EH127" s="27"/>
      <c r="EI127" s="27"/>
      <c r="EJ127" s="27"/>
      <c r="EK127" s="27"/>
      <c r="EL127" s="27"/>
      <c r="EM127" s="27"/>
      <c r="EN127" s="27"/>
      <c r="EO127" s="27"/>
      <c r="EP127" s="27"/>
      <c r="EQ127" s="27"/>
      <c r="ER127" s="27"/>
    </row>
    <row r="128" spans="1:153" ht="27" hidden="1" customHeight="1" x14ac:dyDescent="0.25">
      <c r="A128" s="30" t="s">
        <v>74</v>
      </c>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7"/>
      <c r="BO128" s="27"/>
      <c r="BP128" s="27"/>
      <c r="BQ128" s="27"/>
      <c r="BR128" s="27"/>
      <c r="BS128" s="27"/>
      <c r="BT128" s="27"/>
      <c r="BU128" s="27"/>
      <c r="BV128" s="27"/>
      <c r="BW128" s="27"/>
      <c r="BX128" s="27"/>
      <c r="BY128" s="27"/>
      <c r="BZ128" s="27"/>
      <c r="CA128" s="27"/>
      <c r="CB128" s="27"/>
      <c r="CC128" s="27"/>
      <c r="CD128" s="27"/>
      <c r="CE128" s="27"/>
      <c r="CF128" s="27"/>
      <c r="CG128" s="27"/>
      <c r="CH128" s="27"/>
      <c r="CI128" s="27"/>
      <c r="CJ128" s="27"/>
      <c r="CK128" s="27"/>
      <c r="CL128" s="27"/>
      <c r="CM128" s="27"/>
      <c r="CN128" s="27"/>
      <c r="CO128" s="27"/>
      <c r="CP128" s="27"/>
      <c r="CQ128" s="27"/>
      <c r="CR128" s="27"/>
      <c r="CS128" s="27"/>
      <c r="CT128" s="27"/>
      <c r="CU128" s="27"/>
      <c r="CV128" s="27"/>
      <c r="CW128" s="27"/>
      <c r="CX128" s="27"/>
      <c r="CY128" s="27"/>
      <c r="CZ128" s="27"/>
      <c r="DA128" s="27"/>
      <c r="DB128" s="27"/>
      <c r="DC128" s="27"/>
      <c r="DD128" s="27"/>
      <c r="DE128" s="27"/>
      <c r="DF128" s="27"/>
      <c r="DG128" s="27"/>
      <c r="DH128" s="27"/>
      <c r="DI128" s="27"/>
      <c r="DJ128" s="27"/>
      <c r="DK128" s="27"/>
      <c r="DL128" s="27"/>
      <c r="DM128" s="27"/>
      <c r="DN128" s="27"/>
      <c r="DO128" s="27"/>
      <c r="DP128" s="27"/>
      <c r="DQ128" s="27"/>
      <c r="DR128" s="27"/>
      <c r="DS128" s="27"/>
      <c r="DT128" s="27"/>
      <c r="DU128" s="27"/>
      <c r="DV128" s="27"/>
      <c r="DW128" s="27"/>
      <c r="DX128" s="27"/>
      <c r="DY128" s="27"/>
      <c r="DZ128" s="27"/>
      <c r="EA128" s="27"/>
      <c r="EB128" s="27"/>
      <c r="EC128" s="27"/>
      <c r="ED128" s="27"/>
      <c r="EE128" s="27"/>
      <c r="EF128" s="27"/>
      <c r="EG128" s="27"/>
      <c r="EH128" s="27"/>
      <c r="EI128" s="27"/>
      <c r="EJ128" s="27"/>
      <c r="EK128" s="27"/>
      <c r="EL128" s="27"/>
      <c r="EM128" s="27"/>
      <c r="EN128" s="27"/>
      <c r="EO128" s="27"/>
      <c r="EP128" s="27"/>
      <c r="EQ128" s="27"/>
      <c r="ER128" s="27"/>
    </row>
    <row r="129" spans="1:148" ht="15.75" hidden="1" customHeight="1" x14ac:dyDescent="0.25">
      <c r="A129" s="30" t="s">
        <v>75</v>
      </c>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7"/>
      <c r="BO129" s="27"/>
      <c r="BP129" s="27"/>
      <c r="BQ129" s="27"/>
      <c r="BR129" s="27"/>
      <c r="BS129" s="27"/>
      <c r="BT129" s="27"/>
      <c r="BU129" s="27"/>
      <c r="BV129" s="27"/>
      <c r="BW129" s="27"/>
      <c r="BX129" s="27"/>
      <c r="BY129" s="27"/>
      <c r="BZ129" s="27"/>
      <c r="CA129" s="27"/>
      <c r="CB129" s="27"/>
      <c r="CC129" s="27"/>
      <c r="CD129" s="27"/>
      <c r="CE129" s="27"/>
      <c r="CF129" s="27"/>
      <c r="CG129" s="27"/>
      <c r="CH129" s="27"/>
      <c r="CI129" s="27"/>
      <c r="CJ129" s="27"/>
      <c r="CK129" s="27"/>
      <c r="CL129" s="27"/>
      <c r="CM129" s="27"/>
      <c r="CN129" s="27"/>
      <c r="CO129" s="27"/>
      <c r="CP129" s="27"/>
      <c r="CQ129" s="27"/>
      <c r="CR129" s="27"/>
      <c r="CS129" s="27"/>
      <c r="CT129" s="27"/>
      <c r="CU129" s="27"/>
      <c r="CV129" s="27"/>
      <c r="CW129" s="27"/>
      <c r="CX129" s="27"/>
      <c r="CY129" s="27"/>
      <c r="CZ129" s="27"/>
      <c r="DA129" s="27"/>
      <c r="DB129" s="27"/>
      <c r="DC129" s="27"/>
      <c r="DD129" s="27"/>
      <c r="DE129" s="27"/>
      <c r="DF129" s="27"/>
      <c r="DG129" s="27"/>
      <c r="DH129" s="27"/>
      <c r="DI129" s="27"/>
      <c r="DJ129" s="27"/>
      <c r="DK129" s="27"/>
      <c r="DL129" s="27"/>
      <c r="DM129" s="27"/>
      <c r="DN129" s="27"/>
      <c r="DO129" s="27"/>
      <c r="DP129" s="27"/>
      <c r="DQ129" s="27"/>
      <c r="DR129" s="27"/>
      <c r="DS129" s="27"/>
      <c r="DT129" s="27"/>
      <c r="DU129" s="27"/>
      <c r="DV129" s="27"/>
      <c r="DW129" s="27"/>
      <c r="DX129" s="27"/>
      <c r="DY129" s="27"/>
      <c r="DZ129" s="27"/>
      <c r="EA129" s="27"/>
      <c r="EB129" s="27"/>
      <c r="EC129" s="27"/>
      <c r="ED129" s="27"/>
      <c r="EE129" s="27"/>
      <c r="EF129" s="27"/>
      <c r="EG129" s="27"/>
      <c r="EH129" s="27"/>
      <c r="EI129" s="27"/>
      <c r="EJ129" s="27"/>
      <c r="EK129" s="27"/>
      <c r="EL129" s="27"/>
      <c r="EM129" s="27"/>
      <c r="EN129" s="27"/>
      <c r="EO129" s="27"/>
      <c r="EP129" s="27"/>
      <c r="EQ129" s="27"/>
      <c r="ER129" s="27"/>
    </row>
    <row r="130" spans="1:148" ht="15.75" hidden="1" customHeight="1" x14ac:dyDescent="0.25"/>
    <row r="131" spans="1:148" ht="15.75" hidden="1" customHeight="1" x14ac:dyDescent="0.25"/>
    <row r="132" spans="1:148" ht="15.75" hidden="1" customHeight="1" x14ac:dyDescent="0.25"/>
    <row r="133" spans="1:148" ht="15.75" hidden="1" customHeight="1" x14ac:dyDescent="0.25"/>
    <row r="134" spans="1:148" ht="15.75" hidden="1" customHeight="1" x14ac:dyDescent="0.25"/>
    <row r="135" spans="1:148" ht="15.75" hidden="1" customHeight="1" x14ac:dyDescent="0.25"/>
    <row r="136" spans="1:148" ht="15.75" hidden="1" customHeight="1" x14ac:dyDescent="0.25"/>
    <row r="137" spans="1:148" ht="15.75" hidden="1" customHeight="1" x14ac:dyDescent="0.25"/>
    <row r="138" spans="1:148" ht="15.75" hidden="1" customHeight="1" x14ac:dyDescent="0.25"/>
    <row r="139" spans="1:148" ht="15.75" hidden="1" customHeight="1" x14ac:dyDescent="0.25"/>
    <row r="140" spans="1:148" ht="15.75" hidden="1" customHeight="1" x14ac:dyDescent="0.25"/>
    <row r="141" spans="1:148" ht="15.75" hidden="1" customHeight="1" x14ac:dyDescent="0.25"/>
    <row r="142" spans="1:148" ht="15.75" hidden="1" customHeight="1" x14ac:dyDescent="0.25"/>
    <row r="143" spans="1:148" ht="15.75" hidden="1" customHeight="1" x14ac:dyDescent="0.25"/>
    <row r="144" spans="1:148" ht="15.75" hidden="1" customHeight="1" x14ac:dyDescent="0.25"/>
    <row r="145" ht="15.75" hidden="1" customHeight="1" x14ac:dyDescent="0.25"/>
    <row r="146" ht="15.75" hidden="1" customHeight="1" x14ac:dyDescent="0.25"/>
    <row r="147" ht="15.75" hidden="1" customHeight="1" x14ac:dyDescent="0.25"/>
    <row r="148" ht="15.75" hidden="1" customHeight="1" x14ac:dyDescent="0.25"/>
    <row r="149" ht="15.75" hidden="1" customHeight="1" x14ac:dyDescent="0.25"/>
    <row r="150" ht="15.75" hidden="1" customHeight="1" x14ac:dyDescent="0.25"/>
    <row r="151" ht="15.75" hidden="1" customHeight="1" x14ac:dyDescent="0.25"/>
    <row r="152" ht="15.75" hidden="1" customHeight="1" x14ac:dyDescent="0.25"/>
    <row r="153" ht="15.75" hidden="1" customHeight="1" x14ac:dyDescent="0.25"/>
    <row r="154" ht="15.75" hidden="1" customHeight="1" x14ac:dyDescent="0.25"/>
    <row r="155" ht="15.75" hidden="1" customHeight="1" x14ac:dyDescent="0.25"/>
    <row r="156" ht="15.75" hidden="1" customHeight="1" x14ac:dyDescent="0.25"/>
    <row r="157" ht="15.75" hidden="1" customHeight="1" x14ac:dyDescent="0.25"/>
    <row r="158" ht="15.75" hidden="1" customHeight="1" x14ac:dyDescent="0.25"/>
    <row r="159" ht="15.75" hidden="1" customHeight="1" x14ac:dyDescent="0.25"/>
    <row r="160" ht="15.75" hidden="1" customHeight="1" x14ac:dyDescent="0.25"/>
    <row r="161" spans="117:120" ht="15.75" customHeight="1" x14ac:dyDescent="0.25"/>
    <row r="162" spans="117:120" ht="15.75" customHeight="1" x14ac:dyDescent="0.25"/>
    <row r="163" spans="117:120" ht="15.75" customHeight="1" x14ac:dyDescent="0.25"/>
    <row r="164" spans="117:120" ht="15.75" customHeight="1" x14ac:dyDescent="0.25"/>
    <row r="165" spans="117:120" ht="15.75" customHeight="1" x14ac:dyDescent="0.25">
      <c r="DM165" s="215"/>
      <c r="DN165" s="215"/>
      <c r="DO165" s="215"/>
      <c r="DP165" s="215"/>
    </row>
    <row r="166" spans="117:120" ht="15.75" customHeight="1" x14ac:dyDescent="0.25">
      <c r="DM166" s="215"/>
      <c r="DN166" s="215"/>
      <c r="DO166" s="215"/>
      <c r="DP166" s="215"/>
    </row>
    <row r="167" spans="117:120" ht="15.75" customHeight="1" x14ac:dyDescent="0.25">
      <c r="DM167" s="215"/>
      <c r="DN167" s="215"/>
      <c r="DO167" s="215"/>
      <c r="DP167" s="215"/>
    </row>
    <row r="168" spans="117:120" ht="15.75" customHeight="1" x14ac:dyDescent="0.25">
      <c r="DM168" s="215"/>
      <c r="DN168" s="215"/>
      <c r="DO168" s="215"/>
      <c r="DP168" s="215"/>
    </row>
    <row r="169" spans="117:120" ht="15.75" customHeight="1" x14ac:dyDescent="0.25">
      <c r="DM169" s="215"/>
      <c r="DN169" s="215"/>
      <c r="DO169" s="215"/>
      <c r="DP169" s="215"/>
    </row>
    <row r="170" spans="117:120" ht="15.75" customHeight="1" x14ac:dyDescent="0.25">
      <c r="DM170" s="215"/>
      <c r="DN170" s="215"/>
      <c r="DO170" s="215"/>
      <c r="DP170" s="215"/>
    </row>
    <row r="171" spans="117:120" ht="15.75" customHeight="1" x14ac:dyDescent="0.25">
      <c r="DM171" s="215"/>
      <c r="DN171" s="215"/>
      <c r="DO171" s="215"/>
      <c r="DP171" s="215"/>
    </row>
    <row r="172" spans="117:120" ht="15.75" customHeight="1" x14ac:dyDescent="0.25">
      <c r="DM172" s="215"/>
      <c r="DN172" s="215"/>
      <c r="DO172" s="215"/>
      <c r="DP172" s="215"/>
    </row>
    <row r="173" spans="117:120" ht="15.75" customHeight="1" x14ac:dyDescent="0.25">
      <c r="DM173" s="215"/>
      <c r="DN173" s="215"/>
      <c r="DO173" s="215"/>
      <c r="DP173" s="215"/>
    </row>
    <row r="174" spans="117:120" ht="15.75" customHeight="1" x14ac:dyDescent="0.25">
      <c r="DM174" s="215"/>
      <c r="DN174" s="215"/>
      <c r="DO174" s="215"/>
      <c r="DP174" s="215"/>
    </row>
    <row r="175" spans="117:120" ht="15.75" customHeight="1" x14ac:dyDescent="0.25">
      <c r="DM175" s="215"/>
      <c r="DN175" s="215"/>
      <c r="DO175" s="215"/>
      <c r="DP175" s="215"/>
    </row>
    <row r="176" spans="117:120"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sheetData>
  <mergeCells count="13">
    <mergeCell ref="A5:EJ5"/>
    <mergeCell ref="A60:A64"/>
    <mergeCell ref="A65:A72"/>
    <mergeCell ref="A73:A76"/>
    <mergeCell ref="A77:A78"/>
    <mergeCell ref="A79:B79"/>
    <mergeCell ref="A80:A96"/>
    <mergeCell ref="A97:A100"/>
    <mergeCell ref="A101:A114"/>
    <mergeCell ref="A13:A30"/>
    <mergeCell ref="A31:A32"/>
    <mergeCell ref="A33:A37"/>
    <mergeCell ref="A38:A59"/>
  </mergeCells>
  <printOptions horizontalCentered="1"/>
  <pageMargins left="0.31496062992126" right="0.31496062992126" top="0.35433070866141703" bottom="0.35433070866141703" header="0" footer="0"/>
  <pageSetup scale="54" orientation="landscape" r:id="rId1"/>
  <ignoredErrors>
    <ignoredError sqref="EP13 EO22:EO37 EO53:ES56 EO60:ES68 EO71:ES72 EO97:ES98 EO101:ES112 EP114:ER114 ER13:EU13 EO46:EO52 EO77:ES87 EO88:ES92" formulaRange="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0AF05-1AF2-40E5-9A22-A3289C7A6053}">
  <sheetPr>
    <tabColor rgb="FFFFC000"/>
  </sheetPr>
  <dimension ref="A1:EZ890"/>
  <sheetViews>
    <sheetView tabSelected="1" topLeftCell="A8" zoomScaleNormal="100" workbookViewId="0">
      <pane xSplit="93" ySplit="6" topLeftCell="DX14" activePane="bottomRight" state="frozen"/>
      <selection activeCell="A8" sqref="A8"/>
      <selection pane="topRight" activeCell="CP8" sqref="CP8"/>
      <selection pane="bottomLeft" activeCell="A14" sqref="A14"/>
      <selection pane="bottomRight" activeCell="EK22" sqref="EK22"/>
    </sheetView>
  </sheetViews>
  <sheetFormatPr baseColWidth="10" defaultColWidth="14.42578125" defaultRowHeight="15" customHeight="1" x14ac:dyDescent="0.25"/>
  <cols>
    <col min="1" max="1" width="29" style="216" customWidth="1"/>
    <col min="2" max="2" width="22.28515625" style="216" customWidth="1"/>
    <col min="3" max="51" width="10.5703125" style="216" hidden="1" customWidth="1"/>
    <col min="52" max="64" width="10.42578125" style="216" hidden="1" customWidth="1"/>
    <col min="65" max="74" width="12.7109375" style="216" hidden="1" customWidth="1"/>
    <col min="75" max="75" width="10.28515625" style="216" hidden="1" customWidth="1"/>
    <col min="76" max="76" width="11.85546875" style="216" hidden="1" customWidth="1"/>
    <col min="77" max="77" width="10" style="216" hidden="1" customWidth="1"/>
    <col min="78" max="78" width="8.5703125" style="216" hidden="1" customWidth="1"/>
    <col min="79" max="79" width="11.5703125" style="216" hidden="1" customWidth="1"/>
    <col min="80" max="83" width="10.28515625" style="216" hidden="1" customWidth="1"/>
    <col min="84" max="84" width="8.85546875" style="216" hidden="1" customWidth="1"/>
    <col min="85" max="85" width="9.85546875" style="216" hidden="1" customWidth="1"/>
    <col min="86" max="86" width="8.5703125" style="216" hidden="1" customWidth="1"/>
    <col min="87" max="87" width="8.42578125" style="216" hidden="1" customWidth="1"/>
    <col min="88" max="93" width="10.28515625" style="216" hidden="1" customWidth="1"/>
    <col min="94" max="97" width="10.28515625" style="216" customWidth="1"/>
    <col min="98" max="98" width="15" style="216" customWidth="1"/>
    <col min="99" max="99" width="14.7109375" style="216" customWidth="1"/>
    <col min="100" max="100" width="12.42578125" style="216" customWidth="1"/>
    <col min="101" max="101" width="8.85546875" style="216" customWidth="1"/>
    <col min="102" max="102" width="11.7109375" style="216" customWidth="1"/>
    <col min="103" max="103" width="11" style="216" customWidth="1"/>
    <col min="104" max="105" width="10.5703125" style="216" customWidth="1"/>
    <col min="106" max="106" width="12.140625" style="216" customWidth="1"/>
    <col min="107" max="107" width="11.5703125" style="216" customWidth="1"/>
    <col min="108" max="108" width="10.42578125" style="216" customWidth="1"/>
    <col min="109" max="109" width="12" style="216" customWidth="1"/>
    <col min="110" max="111" width="9.85546875" style="216" customWidth="1"/>
    <col min="112" max="115" width="10.140625" style="216" customWidth="1"/>
    <col min="116" max="116" width="10.28515625" style="216" customWidth="1"/>
    <col min="117" max="119" width="10.7109375" style="216" customWidth="1"/>
    <col min="120" max="120" width="8.85546875" style="216" customWidth="1"/>
    <col min="121" max="121" width="10.42578125" style="216" customWidth="1"/>
    <col min="122" max="122" width="14.7109375" style="216" customWidth="1"/>
    <col min="123" max="125" width="13.7109375" style="216" customWidth="1"/>
    <col min="126" max="126" width="13.7109375" style="241" customWidth="1"/>
    <col min="127" max="127" width="13.7109375" style="242" customWidth="1"/>
    <col min="128" max="128" width="13.7109375" style="248" customWidth="1"/>
    <col min="129" max="129" width="13.7109375" style="250" customWidth="1"/>
    <col min="130" max="130" width="13.7109375" style="254" customWidth="1"/>
    <col min="131" max="131" width="13.7109375" style="285" customWidth="1"/>
    <col min="132" max="132" width="13.7109375" style="296" customWidth="1"/>
    <col min="133" max="133" width="13.7109375" style="298" customWidth="1"/>
    <col min="134" max="134" width="13.7109375" style="299" customWidth="1"/>
    <col min="135" max="135" width="13.7109375" style="301" customWidth="1"/>
    <col min="136" max="136" width="13.7109375" style="302" customWidth="1"/>
    <col min="137" max="137" width="13.7109375" style="303" customWidth="1"/>
    <col min="138" max="138" width="21.28515625" style="216" customWidth="1"/>
    <col min="139" max="139" width="16.42578125" style="216" customWidth="1"/>
    <col min="140" max="140" width="15.28515625" style="216" customWidth="1"/>
    <col min="141" max="141" width="15.28515625" style="283" customWidth="1"/>
    <col min="142" max="142" width="8" style="216" hidden="1" customWidth="1"/>
    <col min="143" max="143" width="9" style="216" hidden="1" customWidth="1"/>
    <col min="144" max="147" width="10" style="216" hidden="1" customWidth="1"/>
    <col min="148" max="148" width="13" style="216" hidden="1" customWidth="1"/>
    <col min="149" max="149" width="13.5703125" style="216" hidden="1" customWidth="1"/>
    <col min="150" max="150" width="20.85546875" style="229" customWidth="1"/>
    <col min="151" max="151" width="7.5703125" style="216" customWidth="1"/>
    <col min="152" max="152" width="10.140625" style="216" customWidth="1"/>
    <col min="153" max="155" width="14.42578125" style="216" hidden="1" customWidth="1"/>
    <col min="156" max="156" width="0" style="216" hidden="1" customWidth="1"/>
    <col min="157" max="16384" width="14.42578125" style="216"/>
  </cols>
  <sheetData>
    <row r="1" spans="1:156" ht="18.75" hidden="1" x14ac:dyDescent="0.35">
      <c r="A1" s="216">
        <v>0</v>
      </c>
      <c r="B1" s="216">
        <v>0</v>
      </c>
      <c r="C1" s="216">
        <v>0</v>
      </c>
      <c r="D1" s="216">
        <v>0</v>
      </c>
      <c r="E1" s="216">
        <v>0</v>
      </c>
      <c r="F1" s="216">
        <v>0</v>
      </c>
      <c r="G1" s="216">
        <v>0</v>
      </c>
      <c r="H1" s="216">
        <v>0</v>
      </c>
      <c r="I1" s="216">
        <v>0</v>
      </c>
      <c r="J1" s="216">
        <v>0</v>
      </c>
      <c r="K1" s="216">
        <v>0</v>
      </c>
      <c r="L1" s="216">
        <v>0</v>
      </c>
      <c r="M1" s="216">
        <v>0</v>
      </c>
      <c r="N1" s="216">
        <v>0</v>
      </c>
      <c r="O1" s="216">
        <v>0</v>
      </c>
      <c r="P1" s="216">
        <v>0</v>
      </c>
      <c r="Q1" s="216">
        <v>0</v>
      </c>
      <c r="R1" s="216">
        <v>0</v>
      </c>
      <c r="S1" s="216">
        <v>0</v>
      </c>
      <c r="T1" s="216">
        <v>0</v>
      </c>
      <c r="U1" s="216">
        <v>0</v>
      </c>
      <c r="V1" s="216">
        <v>0</v>
      </c>
      <c r="W1" s="216">
        <v>0</v>
      </c>
      <c r="X1" s="216">
        <v>0</v>
      </c>
      <c r="Y1" s="216">
        <v>0</v>
      </c>
      <c r="Z1" s="216">
        <v>0</v>
      </c>
      <c r="AA1" s="216">
        <v>0</v>
      </c>
      <c r="AB1" s="216">
        <v>0</v>
      </c>
      <c r="AC1" s="216">
        <v>0</v>
      </c>
      <c r="AD1" s="216">
        <v>0</v>
      </c>
      <c r="AE1" s="216">
        <v>0</v>
      </c>
      <c r="AF1" s="216">
        <v>0</v>
      </c>
      <c r="AG1" s="216">
        <v>0</v>
      </c>
      <c r="AH1" s="216">
        <v>0</v>
      </c>
      <c r="AI1" s="216">
        <v>0</v>
      </c>
      <c r="AJ1" s="216">
        <v>0</v>
      </c>
      <c r="AK1" s="216">
        <v>0</v>
      </c>
      <c r="AL1" s="216">
        <v>0</v>
      </c>
      <c r="AM1" s="216">
        <v>0</v>
      </c>
      <c r="AN1" s="216">
        <v>0</v>
      </c>
      <c r="AO1" s="216">
        <v>0</v>
      </c>
      <c r="AP1" s="216">
        <v>0</v>
      </c>
      <c r="AQ1" s="216">
        <v>0</v>
      </c>
      <c r="AR1" s="216">
        <v>0</v>
      </c>
      <c r="AS1" s="1">
        <v>0</v>
      </c>
      <c r="AT1" s="1">
        <v>0</v>
      </c>
      <c r="AU1" s="1">
        <v>0</v>
      </c>
      <c r="AV1" s="1">
        <v>0</v>
      </c>
      <c r="AW1" s="1">
        <v>0</v>
      </c>
      <c r="AX1" s="1">
        <v>0</v>
      </c>
      <c r="AY1" s="1">
        <v>0</v>
      </c>
      <c r="AZ1" s="1">
        <v>0</v>
      </c>
      <c r="BA1" s="1">
        <v>0</v>
      </c>
      <c r="BB1" s="1">
        <v>0</v>
      </c>
      <c r="BC1" s="1">
        <v>0</v>
      </c>
      <c r="BD1" s="1">
        <v>0</v>
      </c>
      <c r="BE1" s="1">
        <v>0</v>
      </c>
      <c r="BF1" s="1">
        <v>0</v>
      </c>
      <c r="BG1" s="1">
        <v>0</v>
      </c>
      <c r="BH1" s="1">
        <v>0</v>
      </c>
      <c r="BI1" s="1">
        <v>0</v>
      </c>
      <c r="BJ1" s="1">
        <v>0</v>
      </c>
      <c r="BK1" s="1">
        <v>0</v>
      </c>
      <c r="BL1" s="1">
        <v>0</v>
      </c>
      <c r="BM1" s="1">
        <v>0</v>
      </c>
      <c r="BN1" s="1">
        <v>0</v>
      </c>
      <c r="BO1" s="1">
        <v>0</v>
      </c>
      <c r="BP1" s="1">
        <v>0</v>
      </c>
      <c r="BQ1" s="1">
        <v>0</v>
      </c>
      <c r="BR1" s="1">
        <v>0</v>
      </c>
      <c r="BS1" s="1">
        <v>0</v>
      </c>
      <c r="BT1" s="1">
        <v>0</v>
      </c>
      <c r="BU1" s="1">
        <v>0</v>
      </c>
      <c r="BV1" s="1">
        <v>0</v>
      </c>
      <c r="BW1" s="1">
        <v>0</v>
      </c>
      <c r="BX1" s="1">
        <v>0</v>
      </c>
      <c r="BY1" s="1">
        <v>0</v>
      </c>
      <c r="BZ1" s="1">
        <v>0</v>
      </c>
      <c r="CA1" s="1">
        <v>0</v>
      </c>
      <c r="CB1" s="1">
        <v>0</v>
      </c>
      <c r="CC1" s="1">
        <v>0</v>
      </c>
      <c r="CD1" s="1">
        <v>0</v>
      </c>
      <c r="CE1" s="1">
        <v>0</v>
      </c>
      <c r="CF1" s="1">
        <v>0</v>
      </c>
      <c r="CG1" s="1">
        <v>0</v>
      </c>
      <c r="CH1" s="1">
        <v>0</v>
      </c>
      <c r="CI1" s="1">
        <v>0</v>
      </c>
      <c r="CJ1" s="1">
        <v>0</v>
      </c>
      <c r="CK1" s="1">
        <v>0</v>
      </c>
      <c r="CL1" s="1">
        <v>0</v>
      </c>
      <c r="CM1" s="1">
        <v>0</v>
      </c>
      <c r="CN1" s="1">
        <v>0</v>
      </c>
      <c r="CO1" s="1">
        <v>0</v>
      </c>
      <c r="CP1" s="1">
        <v>0</v>
      </c>
      <c r="CQ1" s="1">
        <v>0</v>
      </c>
      <c r="CR1" s="1">
        <v>0</v>
      </c>
      <c r="CS1" s="1">
        <v>0</v>
      </c>
      <c r="CT1" s="1">
        <v>0</v>
      </c>
      <c r="CU1" s="1">
        <v>0</v>
      </c>
      <c r="CV1" s="1">
        <v>0</v>
      </c>
      <c r="CW1" s="1">
        <v>0</v>
      </c>
      <c r="CX1" s="1">
        <v>0</v>
      </c>
      <c r="CY1" s="1">
        <v>0</v>
      </c>
      <c r="CZ1" s="1">
        <v>0</v>
      </c>
      <c r="DA1" s="1">
        <v>0</v>
      </c>
      <c r="DB1" s="1">
        <v>0</v>
      </c>
      <c r="DC1" s="1">
        <v>0</v>
      </c>
      <c r="DD1" s="1">
        <v>0</v>
      </c>
      <c r="DE1" s="1">
        <v>0</v>
      </c>
      <c r="DF1" s="1">
        <v>0</v>
      </c>
      <c r="DG1" s="1">
        <v>0</v>
      </c>
      <c r="DH1" s="1">
        <v>0</v>
      </c>
      <c r="DI1" s="1">
        <v>0</v>
      </c>
      <c r="DJ1" s="1">
        <v>0</v>
      </c>
      <c r="DK1" s="1">
        <v>0</v>
      </c>
      <c r="DL1" s="1">
        <v>0</v>
      </c>
      <c r="DM1" s="1">
        <v>0</v>
      </c>
      <c r="DN1" s="1">
        <v>0</v>
      </c>
      <c r="DO1" s="1">
        <v>0</v>
      </c>
      <c r="DP1" s="1">
        <v>0</v>
      </c>
      <c r="DQ1" s="1">
        <v>0</v>
      </c>
      <c r="DR1" s="1">
        <v>0</v>
      </c>
      <c r="DS1" s="1">
        <v>0</v>
      </c>
      <c r="DT1" s="1">
        <v>0</v>
      </c>
      <c r="DU1" s="1">
        <v>0</v>
      </c>
      <c r="DV1" s="1">
        <v>0</v>
      </c>
      <c r="DW1" s="1">
        <v>0</v>
      </c>
      <c r="DX1" s="1">
        <v>0</v>
      </c>
      <c r="DY1" s="1">
        <v>0</v>
      </c>
      <c r="DZ1" s="1"/>
      <c r="EA1" s="1"/>
      <c r="EB1" s="1"/>
      <c r="EC1" s="1"/>
      <c r="ED1" s="1"/>
      <c r="EE1" s="1"/>
      <c r="EF1" s="1"/>
      <c r="EG1" s="1"/>
      <c r="EH1" s="1">
        <v>0</v>
      </c>
      <c r="EI1" s="1" t="s">
        <v>0</v>
      </c>
      <c r="EJ1" s="1">
        <v>0</v>
      </c>
      <c r="EK1" s="1"/>
      <c r="EL1" s="1">
        <v>0</v>
      </c>
    </row>
    <row r="2" spans="1:156" ht="18.75" hidden="1" x14ac:dyDescent="0.35">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t="s">
        <v>1</v>
      </c>
      <c r="EJ2" s="1"/>
      <c r="EK2" s="1"/>
    </row>
    <row r="3" spans="1:156" ht="18.75" hidden="1" x14ac:dyDescent="0.35">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t="s">
        <v>2</v>
      </c>
      <c r="EJ3" s="1"/>
      <c r="EK3" s="1"/>
    </row>
    <row r="4" spans="1:156" ht="15" hidden="1" customHeight="1" x14ac:dyDescent="0.25"/>
    <row r="5" spans="1:156" ht="18.75" hidden="1" x14ac:dyDescent="0.25">
      <c r="A5" s="304" t="s">
        <v>3</v>
      </c>
      <c r="B5" s="305"/>
      <c r="C5" s="305"/>
      <c r="D5" s="305"/>
      <c r="E5" s="305"/>
      <c r="F5" s="305"/>
      <c r="G5" s="305"/>
      <c r="H5" s="305"/>
      <c r="I5" s="305"/>
      <c r="J5" s="305"/>
      <c r="K5" s="305"/>
      <c r="L5" s="305"/>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c r="AL5" s="305"/>
      <c r="AM5" s="305"/>
      <c r="AN5" s="305"/>
      <c r="AO5" s="305"/>
      <c r="AP5" s="305"/>
      <c r="AQ5" s="305"/>
      <c r="AR5" s="305"/>
      <c r="AS5" s="305"/>
      <c r="AT5" s="305"/>
      <c r="AU5" s="305"/>
      <c r="AV5" s="305"/>
      <c r="AW5" s="305"/>
      <c r="AX5" s="305"/>
      <c r="AY5" s="305"/>
      <c r="AZ5" s="305"/>
      <c r="BA5" s="305"/>
      <c r="BB5" s="305"/>
      <c r="BC5" s="305"/>
      <c r="BD5" s="305"/>
      <c r="BE5" s="305"/>
      <c r="BF5" s="305"/>
      <c r="BG5" s="305"/>
      <c r="BH5" s="305"/>
      <c r="BI5" s="305"/>
      <c r="BJ5" s="305"/>
      <c r="BK5" s="305"/>
      <c r="BL5" s="305"/>
      <c r="BM5" s="305"/>
      <c r="BN5" s="305"/>
      <c r="BO5" s="305"/>
      <c r="BP5" s="305"/>
      <c r="BQ5" s="305"/>
      <c r="BR5" s="305"/>
      <c r="BS5" s="305"/>
      <c r="BT5" s="305"/>
      <c r="BU5" s="305"/>
      <c r="BV5" s="305"/>
      <c r="BW5" s="305"/>
      <c r="BX5" s="305"/>
      <c r="BY5" s="305"/>
      <c r="BZ5" s="305"/>
      <c r="CA5" s="305"/>
      <c r="CB5" s="305"/>
      <c r="CC5" s="305"/>
      <c r="CD5" s="305"/>
      <c r="CE5" s="305"/>
      <c r="CF5" s="305"/>
      <c r="CG5" s="305"/>
      <c r="CH5" s="305"/>
      <c r="CI5" s="305"/>
      <c r="CJ5" s="305"/>
      <c r="CK5" s="305"/>
      <c r="CL5" s="305"/>
      <c r="CM5" s="305"/>
      <c r="CN5" s="305"/>
      <c r="CO5" s="305"/>
      <c r="CP5" s="305"/>
      <c r="CQ5" s="305"/>
      <c r="CR5" s="305"/>
      <c r="CS5" s="305"/>
      <c r="CT5" s="305"/>
      <c r="CU5" s="305"/>
      <c r="CV5" s="305"/>
      <c r="CW5" s="305"/>
      <c r="CX5" s="305"/>
      <c r="CY5" s="305"/>
      <c r="CZ5" s="305"/>
      <c r="DA5" s="305"/>
      <c r="DB5" s="305"/>
      <c r="DC5" s="305"/>
      <c r="DD5" s="305"/>
      <c r="DE5" s="305"/>
      <c r="DF5" s="305"/>
      <c r="DG5" s="305"/>
      <c r="DH5" s="305"/>
      <c r="DI5" s="305"/>
      <c r="DJ5" s="305"/>
      <c r="DK5" s="305"/>
      <c r="DL5" s="305"/>
      <c r="DM5" s="305"/>
      <c r="DN5" s="305"/>
      <c r="DO5" s="305"/>
      <c r="DP5" s="305"/>
      <c r="DQ5" s="305"/>
      <c r="DR5" s="305"/>
      <c r="DS5" s="305"/>
      <c r="DT5" s="305"/>
      <c r="DU5" s="305"/>
      <c r="DV5" s="305"/>
      <c r="DW5" s="305"/>
      <c r="DX5" s="305"/>
      <c r="DY5" s="305"/>
      <c r="DZ5" s="305"/>
      <c r="EA5" s="305"/>
      <c r="EB5" s="305"/>
      <c r="EC5" s="305"/>
      <c r="ED5" s="305"/>
      <c r="EE5" s="305"/>
      <c r="EF5" s="305"/>
      <c r="EG5" s="305"/>
      <c r="EH5" s="305"/>
      <c r="EI5" s="305"/>
    </row>
    <row r="6" spans="1:156" ht="15" hidden="1" customHeight="1" x14ac:dyDescent="0.25"/>
    <row r="7" spans="1:156" ht="15.75" hidden="1" customHeight="1" x14ac:dyDescent="0.25">
      <c r="A7" s="8"/>
      <c r="B7" s="9"/>
      <c r="C7" s="9"/>
      <c r="D7" s="9"/>
      <c r="E7" s="9"/>
      <c r="F7" s="9"/>
      <c r="G7" s="9"/>
      <c r="H7" s="9"/>
      <c r="I7" s="9"/>
      <c r="J7" s="9"/>
      <c r="K7" s="9"/>
      <c r="L7" s="9"/>
      <c r="M7" s="9"/>
      <c r="N7" s="9"/>
      <c r="O7" s="9"/>
      <c r="P7" s="9"/>
      <c r="Q7" s="9"/>
      <c r="R7" s="9"/>
      <c r="S7" s="9"/>
      <c r="T7" s="9"/>
      <c r="U7" s="9"/>
      <c r="V7" s="9"/>
      <c r="W7" s="9"/>
      <c r="X7" s="9"/>
      <c r="Y7" s="9"/>
      <c r="Z7" s="9"/>
      <c r="AA7" s="9"/>
      <c r="AB7" s="9"/>
      <c r="AC7" s="9"/>
      <c r="AD7" s="9"/>
      <c r="AE7" s="9"/>
      <c r="AF7" s="9"/>
      <c r="AG7" s="9"/>
      <c r="AH7" s="9"/>
      <c r="AI7" s="9"/>
      <c r="AJ7" s="9"/>
      <c r="AK7" s="9"/>
      <c r="AL7" s="9"/>
      <c r="AM7" s="9"/>
      <c r="AN7" s="9"/>
      <c r="AO7" s="9"/>
      <c r="AP7" s="9"/>
      <c r="AQ7" s="9"/>
      <c r="AR7" s="9"/>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row>
    <row r="8" spans="1:156" ht="15.75" customHeight="1" x14ac:dyDescent="0.25">
      <c r="A8" s="2" t="s">
        <v>6</v>
      </c>
      <c r="B8" s="3"/>
      <c r="C8" s="3"/>
      <c r="D8" s="3"/>
      <c r="E8" s="3"/>
      <c r="F8" s="3"/>
      <c r="G8" s="3"/>
      <c r="H8" s="3"/>
      <c r="I8" s="3"/>
      <c r="J8" s="3"/>
      <c r="K8" s="3"/>
      <c r="L8" s="3"/>
      <c r="M8" s="3"/>
      <c r="N8" s="3"/>
      <c r="O8" s="3"/>
      <c r="P8" s="3"/>
      <c r="Q8" s="3"/>
      <c r="R8" s="3"/>
      <c r="S8" s="3"/>
      <c r="T8" s="3"/>
      <c r="U8" s="3"/>
      <c r="V8" s="3"/>
      <c r="W8" s="3"/>
      <c r="X8" s="3"/>
      <c r="Y8" s="3"/>
      <c r="Z8" s="3"/>
      <c r="AA8" s="3"/>
      <c r="AB8" s="3"/>
      <c r="AC8" s="3"/>
      <c r="AD8" s="3"/>
      <c r="AE8" s="3"/>
    </row>
    <row r="9" spans="1:156" ht="15.75" customHeight="1" x14ac:dyDescent="0.25">
      <c r="A9" s="8"/>
      <c r="B9" s="8"/>
      <c r="C9" s="9"/>
      <c r="D9" s="9"/>
      <c r="E9" s="9"/>
      <c r="F9" s="9"/>
      <c r="G9" s="9"/>
      <c r="H9" s="9"/>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c r="EH9" s="10"/>
      <c r="EI9" s="10"/>
      <c r="EJ9" s="10"/>
      <c r="EK9" s="10"/>
    </row>
    <row r="10" spans="1:156" ht="15.75" customHeight="1" x14ac:dyDescent="0.35">
      <c r="A10" s="4" t="s">
        <v>7</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c r="DH10" s="4"/>
      <c r="DI10" s="4"/>
      <c r="DJ10" s="4"/>
      <c r="DK10" s="4"/>
      <c r="DL10" s="4"/>
      <c r="DM10" s="4"/>
      <c r="DN10" s="4"/>
      <c r="DO10" s="4"/>
      <c r="DP10" s="4"/>
      <c r="DQ10" s="4"/>
      <c r="DR10" s="4"/>
      <c r="DS10" s="4"/>
      <c r="DT10" s="4"/>
      <c r="DU10" s="4"/>
      <c r="DV10" s="4"/>
      <c r="DW10" s="4"/>
      <c r="DX10" s="4"/>
      <c r="DY10" s="4"/>
      <c r="DZ10" s="4"/>
      <c r="EA10" s="4"/>
      <c r="EB10" s="4"/>
      <c r="EC10" s="4"/>
      <c r="ED10" s="4"/>
      <c r="EE10" s="4"/>
      <c r="EF10" s="4"/>
      <c r="EG10" s="4"/>
      <c r="EH10" s="4"/>
      <c r="EI10" s="4"/>
      <c r="EJ10" s="4"/>
      <c r="EK10" s="4"/>
      <c r="EL10" s="4"/>
      <c r="EM10" s="4"/>
      <c r="EN10" s="4"/>
      <c r="EO10" s="4"/>
      <c r="EP10" s="4"/>
      <c r="EQ10" s="4"/>
      <c r="ER10" s="4"/>
      <c r="ES10" s="4"/>
      <c r="ET10" s="4"/>
      <c r="EU10" s="4"/>
      <c r="EV10" s="4"/>
    </row>
    <row r="11" spans="1:156" ht="15.75" customHeight="1" thickBot="1" x14ac:dyDescent="0.4">
      <c r="A11" s="4"/>
    </row>
    <row r="12" spans="1:156" ht="61.5" thickTop="1" thickBot="1" x14ac:dyDescent="0.3">
      <c r="A12" s="5" t="s">
        <v>8</v>
      </c>
      <c r="B12" s="5" t="s">
        <v>4</v>
      </c>
      <c r="C12" s="6">
        <v>43435</v>
      </c>
      <c r="D12" s="6">
        <v>43466</v>
      </c>
      <c r="E12" s="6">
        <v>43497</v>
      </c>
      <c r="F12" s="6">
        <v>43525</v>
      </c>
      <c r="G12" s="6">
        <v>43556</v>
      </c>
      <c r="H12" s="6">
        <v>43586</v>
      </c>
      <c r="I12" s="6">
        <v>43617</v>
      </c>
      <c r="J12" s="6">
        <v>43647</v>
      </c>
      <c r="K12" s="6">
        <v>43678</v>
      </c>
      <c r="L12" s="6">
        <v>43709</v>
      </c>
      <c r="M12" s="6">
        <v>43739</v>
      </c>
      <c r="N12" s="6">
        <v>43770</v>
      </c>
      <c r="O12" s="6">
        <v>43800</v>
      </c>
      <c r="P12" s="6">
        <v>43831</v>
      </c>
      <c r="Q12" s="6">
        <v>43862</v>
      </c>
      <c r="R12" s="6">
        <v>43891</v>
      </c>
      <c r="S12" s="6">
        <v>43922</v>
      </c>
      <c r="T12" s="6">
        <v>43952</v>
      </c>
      <c r="U12" s="6">
        <v>43983</v>
      </c>
      <c r="V12" s="6">
        <v>44013</v>
      </c>
      <c r="W12" s="6">
        <v>44044</v>
      </c>
      <c r="X12" s="6">
        <v>44075</v>
      </c>
      <c r="Y12" s="6">
        <v>44105</v>
      </c>
      <c r="Z12" s="6">
        <v>44136</v>
      </c>
      <c r="AA12" s="6">
        <v>44166</v>
      </c>
      <c r="AB12" s="6">
        <v>44197</v>
      </c>
      <c r="AC12" s="6">
        <v>44228</v>
      </c>
      <c r="AD12" s="6">
        <v>44256</v>
      </c>
      <c r="AE12" s="7">
        <v>44287</v>
      </c>
      <c r="AF12" s="7">
        <v>44317</v>
      </c>
      <c r="AG12" s="7">
        <v>44348</v>
      </c>
      <c r="AH12" s="7">
        <v>44378</v>
      </c>
      <c r="AI12" s="7">
        <v>44409</v>
      </c>
      <c r="AJ12" s="7">
        <v>44440</v>
      </c>
      <c r="AK12" s="7">
        <v>44470</v>
      </c>
      <c r="AL12" s="7">
        <v>44501</v>
      </c>
      <c r="AM12" s="7">
        <v>44531</v>
      </c>
      <c r="AN12" s="7">
        <v>44562</v>
      </c>
      <c r="AO12" s="7">
        <v>44593</v>
      </c>
      <c r="AP12" s="7">
        <v>44621</v>
      </c>
      <c r="AQ12" s="6">
        <v>44652</v>
      </c>
      <c r="AR12" s="6">
        <v>44703</v>
      </c>
      <c r="AS12" s="6">
        <v>44734</v>
      </c>
      <c r="AT12" s="6">
        <v>44764</v>
      </c>
      <c r="AU12" s="6">
        <v>44774</v>
      </c>
      <c r="AV12" s="6">
        <v>44819</v>
      </c>
      <c r="AW12" s="6">
        <v>44864</v>
      </c>
      <c r="AX12" s="6">
        <v>44866</v>
      </c>
      <c r="AY12" s="6">
        <v>44896</v>
      </c>
      <c r="AZ12" s="7">
        <v>44927</v>
      </c>
      <c r="BA12" s="7">
        <v>44956</v>
      </c>
      <c r="BB12" s="7">
        <v>44972</v>
      </c>
      <c r="BC12" s="7">
        <v>44985</v>
      </c>
      <c r="BD12" s="7">
        <v>45000</v>
      </c>
      <c r="BE12" s="7">
        <v>45015</v>
      </c>
      <c r="BF12" s="7">
        <v>45031</v>
      </c>
      <c r="BG12" s="7">
        <v>45046</v>
      </c>
      <c r="BH12" s="7">
        <v>45061</v>
      </c>
      <c r="BI12" s="7">
        <v>45076</v>
      </c>
      <c r="BJ12" s="7">
        <v>45092</v>
      </c>
      <c r="BK12" s="7">
        <v>45107</v>
      </c>
      <c r="BL12" s="7">
        <v>45122</v>
      </c>
      <c r="BM12" s="7">
        <v>45137</v>
      </c>
      <c r="BN12" s="7">
        <v>45139</v>
      </c>
      <c r="BO12" s="7">
        <v>45168</v>
      </c>
      <c r="BP12" s="7">
        <v>45184</v>
      </c>
      <c r="BQ12" s="7">
        <v>45199</v>
      </c>
      <c r="BR12" s="7">
        <v>45214</v>
      </c>
      <c r="BS12" s="7">
        <v>45229</v>
      </c>
      <c r="BT12" s="7">
        <v>45245</v>
      </c>
      <c r="BU12" s="7">
        <v>45260</v>
      </c>
      <c r="BV12" s="7">
        <v>45275</v>
      </c>
      <c r="BW12" s="7">
        <v>45290</v>
      </c>
      <c r="BX12" s="7">
        <v>45306</v>
      </c>
      <c r="BY12" s="7">
        <v>45321</v>
      </c>
      <c r="BZ12" s="7">
        <v>45337</v>
      </c>
      <c r="CA12" s="7">
        <v>45351</v>
      </c>
      <c r="CB12" s="7">
        <v>45366</v>
      </c>
      <c r="CC12" s="7">
        <v>45381</v>
      </c>
      <c r="CD12" s="7">
        <v>45397</v>
      </c>
      <c r="CE12" s="7">
        <v>45412</v>
      </c>
      <c r="CF12" s="7">
        <v>45427</v>
      </c>
      <c r="CG12" s="7">
        <v>45442</v>
      </c>
      <c r="CH12" s="7">
        <v>45458</v>
      </c>
      <c r="CI12" s="7">
        <v>45473</v>
      </c>
      <c r="CJ12" s="7">
        <v>45488</v>
      </c>
      <c r="CK12" s="7">
        <v>45503</v>
      </c>
      <c r="CL12" s="7">
        <v>45519</v>
      </c>
      <c r="CM12" s="7">
        <v>45534</v>
      </c>
      <c r="CN12" s="7">
        <v>45550</v>
      </c>
      <c r="CO12" s="7">
        <v>45565</v>
      </c>
      <c r="CP12" s="7">
        <v>45580</v>
      </c>
      <c r="CQ12" s="7">
        <v>45595</v>
      </c>
      <c r="CR12" s="7">
        <v>45611</v>
      </c>
      <c r="CS12" s="7">
        <v>45626</v>
      </c>
      <c r="CT12" s="7">
        <v>45641</v>
      </c>
      <c r="CU12" s="7">
        <v>45656</v>
      </c>
      <c r="CV12" s="7">
        <v>45658</v>
      </c>
      <c r="CW12" s="7">
        <v>45658</v>
      </c>
      <c r="CX12" s="7">
        <v>45689</v>
      </c>
      <c r="CY12" s="7">
        <v>45689</v>
      </c>
      <c r="CZ12" s="7">
        <v>45717</v>
      </c>
      <c r="DA12" s="7">
        <v>45717</v>
      </c>
      <c r="DB12" s="7">
        <v>38443</v>
      </c>
      <c r="DC12" s="7">
        <v>45748</v>
      </c>
      <c r="DD12" s="7">
        <v>45778</v>
      </c>
      <c r="DE12" s="7">
        <v>45778</v>
      </c>
      <c r="DF12" s="7">
        <v>45809</v>
      </c>
      <c r="DG12" s="7">
        <v>45809</v>
      </c>
      <c r="DH12" s="7">
        <v>45839</v>
      </c>
      <c r="DI12" s="7">
        <v>45839</v>
      </c>
      <c r="DJ12" s="7">
        <v>45870</v>
      </c>
      <c r="DK12" s="7">
        <v>45870</v>
      </c>
      <c r="DL12" s="7">
        <v>45901</v>
      </c>
      <c r="DM12" s="7">
        <v>45901</v>
      </c>
      <c r="DN12" s="7">
        <v>45931</v>
      </c>
      <c r="DO12" s="7">
        <v>45931</v>
      </c>
      <c r="DP12" s="7">
        <v>45962</v>
      </c>
      <c r="DQ12" s="7">
        <v>45962</v>
      </c>
      <c r="DR12" s="7">
        <v>45992</v>
      </c>
      <c r="DS12" s="7">
        <v>45992</v>
      </c>
      <c r="DT12" s="7">
        <v>46023</v>
      </c>
      <c r="DU12" s="7">
        <v>46023</v>
      </c>
      <c r="DV12" s="7">
        <v>46068</v>
      </c>
      <c r="DW12" s="7">
        <v>46081</v>
      </c>
      <c r="DX12" s="7">
        <v>46096</v>
      </c>
      <c r="DY12" s="7">
        <v>46111</v>
      </c>
      <c r="DZ12" s="7">
        <v>46127</v>
      </c>
      <c r="EA12" s="7">
        <v>46142</v>
      </c>
      <c r="EB12" s="7">
        <v>46157</v>
      </c>
      <c r="EC12" s="7">
        <v>46172</v>
      </c>
      <c r="ED12" s="7">
        <v>46188</v>
      </c>
      <c r="EE12" s="7">
        <v>46203</v>
      </c>
      <c r="EF12" s="7">
        <v>46218</v>
      </c>
      <c r="EG12" s="7">
        <v>46233</v>
      </c>
      <c r="EH12" s="244" t="s">
        <v>264</v>
      </c>
      <c r="EI12" s="48" t="s">
        <v>153</v>
      </c>
      <c r="EJ12" s="48" t="s">
        <v>265</v>
      </c>
      <c r="EK12" s="48" t="s">
        <v>293</v>
      </c>
      <c r="EL12" s="48">
        <v>2018</v>
      </c>
      <c r="EM12" s="32">
        <v>2019</v>
      </c>
      <c r="EN12" s="32" t="s">
        <v>61</v>
      </c>
      <c r="EO12" s="32" t="s">
        <v>62</v>
      </c>
      <c r="EP12" s="32" t="s">
        <v>64</v>
      </c>
      <c r="EQ12" s="32" t="s">
        <v>95</v>
      </c>
      <c r="ER12" s="32" t="s">
        <v>110</v>
      </c>
      <c r="ES12" s="32" t="s">
        <v>150</v>
      </c>
      <c r="ET12" s="11" t="s">
        <v>270</v>
      </c>
      <c r="EU12" s="31" t="s">
        <v>65</v>
      </c>
      <c r="EV12" s="73" t="s">
        <v>149</v>
      </c>
      <c r="EX12" s="11" t="s">
        <v>151</v>
      </c>
      <c r="EY12" s="11" t="s">
        <v>263</v>
      </c>
    </row>
    <row r="13" spans="1:156" s="266" customFormat="1" ht="16.5" thickTop="1" thickBot="1" x14ac:dyDescent="0.3">
      <c r="A13" s="260" t="s">
        <v>285</v>
      </c>
      <c r="B13" s="261"/>
      <c r="C13" s="262"/>
      <c r="D13" s="262"/>
      <c r="E13" s="262"/>
      <c r="F13" s="262"/>
      <c r="G13" s="262"/>
      <c r="H13" s="262"/>
      <c r="I13" s="262"/>
      <c r="J13" s="262"/>
      <c r="K13" s="262"/>
      <c r="L13" s="262"/>
      <c r="M13" s="262"/>
      <c r="N13" s="262"/>
      <c r="O13" s="262"/>
      <c r="P13" s="262"/>
      <c r="Q13" s="262"/>
      <c r="R13" s="262"/>
      <c r="S13" s="262"/>
      <c r="T13" s="262"/>
      <c r="U13" s="262"/>
      <c r="V13" s="262"/>
      <c r="W13" s="262"/>
      <c r="X13" s="262"/>
      <c r="Y13" s="262"/>
      <c r="Z13" s="262"/>
      <c r="AA13" s="262"/>
      <c r="AB13" s="262"/>
      <c r="AC13" s="262"/>
      <c r="AD13" s="262"/>
      <c r="AE13" s="263"/>
      <c r="AF13" s="263"/>
      <c r="AG13" s="263"/>
      <c r="AH13" s="263"/>
      <c r="AI13" s="263"/>
      <c r="AJ13" s="263"/>
      <c r="AK13" s="263"/>
      <c r="AL13" s="263"/>
      <c r="AM13" s="263"/>
      <c r="AN13" s="263"/>
      <c r="AO13" s="263"/>
      <c r="AP13" s="263"/>
      <c r="AQ13" s="262"/>
      <c r="AR13" s="262"/>
      <c r="AS13" s="262"/>
      <c r="AT13" s="262"/>
      <c r="AU13" s="262"/>
      <c r="AV13" s="262"/>
      <c r="AW13" s="262"/>
      <c r="AX13" s="262"/>
      <c r="AY13" s="262"/>
      <c r="AZ13" s="263"/>
      <c r="BA13" s="263"/>
      <c r="BB13" s="263"/>
      <c r="BC13" s="263"/>
      <c r="BD13" s="263"/>
      <c r="BE13" s="263"/>
      <c r="BF13" s="263"/>
      <c r="BG13" s="263"/>
      <c r="BH13" s="263"/>
      <c r="BI13" s="263"/>
      <c r="BJ13" s="263"/>
      <c r="BK13" s="263"/>
      <c r="BL13" s="263"/>
      <c r="BM13" s="263"/>
      <c r="BN13" s="263"/>
      <c r="BO13" s="263"/>
      <c r="BP13" s="263"/>
      <c r="BQ13" s="263"/>
      <c r="BR13" s="263"/>
      <c r="BS13" s="263"/>
      <c r="BT13" s="263"/>
      <c r="BU13" s="263"/>
      <c r="BV13" s="263"/>
      <c r="BW13" s="263"/>
      <c r="BX13" s="263"/>
      <c r="BY13" s="263"/>
      <c r="BZ13" s="263"/>
      <c r="CA13" s="263"/>
      <c r="CB13" s="263"/>
      <c r="CC13" s="263"/>
      <c r="CD13" s="263"/>
      <c r="CE13" s="263"/>
      <c r="CF13" s="263"/>
      <c r="CG13" s="263"/>
      <c r="CH13" s="263"/>
      <c r="CI13" s="263"/>
      <c r="CJ13" s="263"/>
      <c r="CK13" s="263"/>
      <c r="CL13" s="263"/>
      <c r="CM13" s="263"/>
      <c r="CN13" s="263"/>
      <c r="CO13" s="263"/>
      <c r="CP13" s="263"/>
      <c r="CQ13" s="263"/>
      <c r="CR13" s="263"/>
      <c r="CS13" s="263"/>
      <c r="CT13" s="263"/>
      <c r="CU13" s="263"/>
      <c r="CV13" s="263"/>
      <c r="CW13" s="263"/>
      <c r="CX13" s="263"/>
      <c r="CY13" s="263"/>
      <c r="CZ13" s="263"/>
      <c r="DA13" s="263"/>
      <c r="DB13" s="263"/>
      <c r="DC13" s="263"/>
      <c r="DD13" s="263"/>
      <c r="DE13" s="263"/>
      <c r="DF13" s="263"/>
      <c r="DG13" s="263"/>
      <c r="DH13" s="263"/>
      <c r="DI13" s="263"/>
      <c r="DJ13" s="263"/>
      <c r="DK13" s="263"/>
      <c r="DL13" s="263"/>
      <c r="DM13" s="263"/>
      <c r="DN13" s="263"/>
      <c r="DO13" s="263"/>
      <c r="DP13" s="263"/>
      <c r="DQ13" s="263"/>
      <c r="DR13" s="263"/>
      <c r="DS13" s="263"/>
      <c r="DT13" s="263"/>
      <c r="DU13" s="263"/>
      <c r="DV13" s="263"/>
      <c r="DW13" s="263"/>
      <c r="DX13" s="263"/>
      <c r="DY13" s="263"/>
      <c r="DZ13" s="263"/>
      <c r="EA13" s="263"/>
      <c r="EB13" s="263"/>
      <c r="EC13" s="263"/>
      <c r="ED13" s="263"/>
      <c r="EE13" s="263"/>
      <c r="EF13" s="263"/>
      <c r="EG13" s="263"/>
      <c r="EH13" s="264"/>
      <c r="EI13" s="265"/>
      <c r="EJ13" s="265"/>
      <c r="EK13" s="265"/>
      <c r="EL13" s="265"/>
      <c r="EM13" s="265"/>
      <c r="EN13" s="265"/>
      <c r="EO13" s="265"/>
      <c r="EP13" s="265"/>
      <c r="EQ13" s="265"/>
      <c r="ER13" s="265"/>
      <c r="ES13" s="265"/>
      <c r="ET13" s="265"/>
      <c r="EU13" s="265"/>
      <c r="EV13" s="265"/>
      <c r="EX13" s="267"/>
      <c r="EY13" s="267"/>
    </row>
    <row r="14" spans="1:156" s="253" customFormat="1" x14ac:dyDescent="0.25">
      <c r="A14" s="325" t="s">
        <v>284</v>
      </c>
      <c r="B14" s="325"/>
      <c r="C14" s="281"/>
      <c r="D14" s="281"/>
      <c r="E14" s="281"/>
      <c r="F14" s="281"/>
      <c r="G14" s="281"/>
      <c r="H14" s="281"/>
      <c r="I14" s="281"/>
      <c r="J14" s="281"/>
      <c r="K14" s="281"/>
      <c r="L14" s="281"/>
      <c r="M14" s="281"/>
      <c r="N14" s="281"/>
      <c r="O14" s="281"/>
      <c r="P14" s="281"/>
      <c r="Q14" s="281"/>
      <c r="R14" s="281"/>
      <c r="S14" s="281"/>
      <c r="T14" s="281"/>
      <c r="U14" s="281"/>
      <c r="V14" s="281"/>
      <c r="W14" s="281"/>
      <c r="X14" s="281"/>
      <c r="Y14" s="281"/>
      <c r="Z14" s="281"/>
      <c r="AA14" s="281"/>
      <c r="AB14" s="281"/>
      <c r="AC14" s="281"/>
      <c r="AD14" s="281"/>
      <c r="AE14" s="282"/>
      <c r="AF14" s="282"/>
      <c r="AG14" s="282"/>
      <c r="AH14" s="282"/>
      <c r="AI14" s="282"/>
      <c r="AJ14" s="282"/>
      <c r="AK14" s="282"/>
      <c r="AL14" s="282"/>
      <c r="AM14" s="282"/>
      <c r="AN14" s="282"/>
      <c r="AO14" s="282"/>
      <c r="AP14" s="282"/>
      <c r="AQ14" s="281"/>
      <c r="AR14" s="281"/>
      <c r="AS14" s="281"/>
      <c r="AT14" s="281"/>
      <c r="AU14" s="281"/>
      <c r="AV14" s="281"/>
      <c r="AW14" s="281"/>
      <c r="AX14" s="281"/>
      <c r="AY14" s="281"/>
      <c r="AZ14" s="282"/>
      <c r="BA14" s="282"/>
      <c r="BB14" s="282"/>
      <c r="BC14" s="282"/>
      <c r="BD14" s="282"/>
      <c r="BE14" s="282"/>
      <c r="BF14" s="282"/>
      <c r="BG14" s="282"/>
      <c r="BH14" s="282"/>
      <c r="BI14" s="282"/>
      <c r="BJ14" s="282"/>
      <c r="BK14" s="282"/>
      <c r="BL14" s="282"/>
      <c r="BM14" s="282"/>
      <c r="BN14" s="282"/>
      <c r="BO14" s="282"/>
      <c r="BP14" s="282"/>
      <c r="BQ14" s="282"/>
      <c r="BR14" s="282"/>
      <c r="BS14" s="282"/>
      <c r="BT14" s="282"/>
      <c r="BU14" s="282"/>
      <c r="BV14" s="282"/>
      <c r="BW14" s="282"/>
      <c r="BX14" s="282"/>
      <c r="BY14" s="282"/>
      <c r="BZ14" s="282"/>
      <c r="CA14" s="282"/>
      <c r="CB14" s="282"/>
      <c r="CC14" s="282"/>
      <c r="CD14" s="282"/>
      <c r="CE14" s="282"/>
      <c r="CF14" s="282"/>
      <c r="CG14" s="282"/>
      <c r="CH14" s="282"/>
      <c r="CI14" s="282"/>
      <c r="CJ14" s="282"/>
      <c r="CK14" s="282"/>
      <c r="CL14" s="282"/>
      <c r="CM14" s="282"/>
      <c r="CN14" s="282"/>
      <c r="CO14" s="282"/>
      <c r="CP14" s="168">
        <v>0</v>
      </c>
      <c r="CQ14" s="168">
        <v>0</v>
      </c>
      <c r="CR14" s="168">
        <v>0</v>
      </c>
      <c r="CS14" s="168">
        <v>0</v>
      </c>
      <c r="CT14" s="168">
        <v>0</v>
      </c>
      <c r="CU14" s="168">
        <v>0</v>
      </c>
      <c r="CV14" s="168">
        <v>0</v>
      </c>
      <c r="CW14" s="168">
        <v>0</v>
      </c>
      <c r="CX14" s="168">
        <v>0</v>
      </c>
      <c r="CY14" s="168">
        <v>0</v>
      </c>
      <c r="CZ14" s="168">
        <v>0</v>
      </c>
      <c r="DA14" s="168">
        <v>0</v>
      </c>
      <c r="DB14" s="168">
        <v>0</v>
      </c>
      <c r="DC14" s="168">
        <v>0</v>
      </c>
      <c r="DD14" s="168">
        <v>0</v>
      </c>
      <c r="DE14" s="168">
        <v>0</v>
      </c>
      <c r="DF14" s="168">
        <v>0</v>
      </c>
      <c r="DG14" s="168">
        <v>0</v>
      </c>
      <c r="DH14" s="168">
        <v>0</v>
      </c>
      <c r="DI14" s="168">
        <v>0</v>
      </c>
      <c r="DJ14" s="168">
        <v>0</v>
      </c>
      <c r="DK14" s="168">
        <v>0</v>
      </c>
      <c r="DL14" s="168">
        <v>0</v>
      </c>
      <c r="DM14" s="168">
        <v>0</v>
      </c>
      <c r="DN14" s="168">
        <v>0</v>
      </c>
      <c r="DO14" s="168">
        <v>0</v>
      </c>
      <c r="DP14" s="168">
        <v>0</v>
      </c>
      <c r="DQ14" s="168">
        <v>0</v>
      </c>
      <c r="DR14" s="168">
        <v>0</v>
      </c>
      <c r="DS14" s="168">
        <v>0</v>
      </c>
      <c r="DT14" s="168">
        <v>0</v>
      </c>
      <c r="DU14" s="168">
        <v>0</v>
      </c>
      <c r="DV14" s="168">
        <v>0</v>
      </c>
      <c r="DW14" s="168">
        <v>0</v>
      </c>
      <c r="DX14" s="168">
        <v>0</v>
      </c>
      <c r="DY14" s="168">
        <v>0</v>
      </c>
      <c r="DZ14" s="168">
        <v>22</v>
      </c>
      <c r="EA14" s="168">
        <v>0</v>
      </c>
      <c r="EB14" s="168">
        <v>0</v>
      </c>
      <c r="EC14" s="168">
        <v>0</v>
      </c>
      <c r="ED14" s="168">
        <v>0</v>
      </c>
      <c r="EE14" s="168">
        <v>0</v>
      </c>
      <c r="EF14" s="168">
        <v>0</v>
      </c>
      <c r="EG14" s="168">
        <v>0</v>
      </c>
      <c r="EH14" s="150">
        <f t="shared" ref="EH14:EH20" si="0">SUM(CP14:EG14)</f>
        <v>22</v>
      </c>
      <c r="EI14" s="208">
        <v>0</v>
      </c>
      <c r="EJ14" s="150">
        <v>0</v>
      </c>
      <c r="EK14" s="286">
        <f>SUM(DL14:EG14)</f>
        <v>22</v>
      </c>
      <c r="EL14" s="290"/>
      <c r="EM14" s="291"/>
      <c r="EN14" s="292"/>
      <c r="EO14" s="292"/>
      <c r="EP14" s="292"/>
      <c r="EQ14" s="292"/>
      <c r="ER14" s="292"/>
      <c r="ES14" s="292"/>
      <c r="ET14" s="150">
        <f t="shared" ref="ET14:ET20" si="1">SUM(DT14:EB14)</f>
        <v>22</v>
      </c>
      <c r="EU14" s="150">
        <v>0</v>
      </c>
      <c r="EV14" s="150">
        <v>0</v>
      </c>
      <c r="EW14" s="259">
        <v>0</v>
      </c>
      <c r="EX14" s="11">
        <v>0</v>
      </c>
      <c r="EY14" s="11">
        <v>0</v>
      </c>
      <c r="EZ14" s="259">
        <v>0</v>
      </c>
    </row>
    <row r="15" spans="1:156" s="253" customFormat="1" ht="18.75" customHeight="1" x14ac:dyDescent="0.25">
      <c r="A15" s="325" t="s">
        <v>286</v>
      </c>
      <c r="B15" s="325"/>
      <c r="C15" s="281">
        <v>0</v>
      </c>
      <c r="D15" s="281">
        <v>0</v>
      </c>
      <c r="E15" s="281">
        <v>0</v>
      </c>
      <c r="F15" s="281">
        <v>0</v>
      </c>
      <c r="G15" s="281">
        <v>0</v>
      </c>
      <c r="H15" s="281">
        <v>0</v>
      </c>
      <c r="I15" s="281">
        <v>0</v>
      </c>
      <c r="J15" s="281">
        <v>0</v>
      </c>
      <c r="K15" s="281">
        <v>0</v>
      </c>
      <c r="L15" s="281">
        <v>0</v>
      </c>
      <c r="M15" s="281">
        <v>0</v>
      </c>
      <c r="N15" s="281">
        <v>0</v>
      </c>
      <c r="O15" s="281">
        <v>0</v>
      </c>
      <c r="P15" s="281">
        <v>0</v>
      </c>
      <c r="Q15" s="281">
        <v>0</v>
      </c>
      <c r="R15" s="281">
        <v>0</v>
      </c>
      <c r="S15" s="281">
        <v>0</v>
      </c>
      <c r="T15" s="281">
        <v>0</v>
      </c>
      <c r="U15" s="281">
        <v>0</v>
      </c>
      <c r="V15" s="281">
        <v>0</v>
      </c>
      <c r="W15" s="281">
        <v>0</v>
      </c>
      <c r="X15" s="281">
        <v>0</v>
      </c>
      <c r="Y15" s="281">
        <v>0</v>
      </c>
      <c r="Z15" s="281">
        <v>0</v>
      </c>
      <c r="AA15" s="281">
        <v>0</v>
      </c>
      <c r="AB15" s="281">
        <v>0</v>
      </c>
      <c r="AC15" s="281">
        <v>0</v>
      </c>
      <c r="AD15" s="281">
        <v>0</v>
      </c>
      <c r="AE15" s="282">
        <v>0</v>
      </c>
      <c r="AF15" s="282">
        <v>0</v>
      </c>
      <c r="AG15" s="282">
        <v>0</v>
      </c>
      <c r="AH15" s="282">
        <v>0</v>
      </c>
      <c r="AI15" s="282">
        <v>0</v>
      </c>
      <c r="AJ15" s="282">
        <v>0</v>
      </c>
      <c r="AK15" s="282">
        <v>0</v>
      </c>
      <c r="AL15" s="282">
        <v>0</v>
      </c>
      <c r="AM15" s="282">
        <v>0</v>
      </c>
      <c r="AN15" s="282">
        <v>0</v>
      </c>
      <c r="AO15" s="282">
        <v>0</v>
      </c>
      <c r="AP15" s="282">
        <v>0</v>
      </c>
      <c r="AQ15" s="281">
        <v>0</v>
      </c>
      <c r="AR15" s="281">
        <v>0</v>
      </c>
      <c r="AS15" s="281">
        <v>0</v>
      </c>
      <c r="AT15" s="281">
        <v>0</v>
      </c>
      <c r="AU15" s="281">
        <v>0</v>
      </c>
      <c r="AV15" s="281">
        <v>0</v>
      </c>
      <c r="AW15" s="281">
        <v>0</v>
      </c>
      <c r="AX15" s="281">
        <v>0</v>
      </c>
      <c r="AY15" s="281">
        <v>0</v>
      </c>
      <c r="AZ15" s="282">
        <v>0</v>
      </c>
      <c r="BA15" s="282">
        <v>0</v>
      </c>
      <c r="BB15" s="282">
        <v>0</v>
      </c>
      <c r="BC15" s="282">
        <v>0</v>
      </c>
      <c r="BD15" s="282">
        <v>0</v>
      </c>
      <c r="BE15" s="282">
        <v>0</v>
      </c>
      <c r="BF15" s="282">
        <v>0</v>
      </c>
      <c r="BG15" s="282">
        <v>0</v>
      </c>
      <c r="BH15" s="282">
        <v>0</v>
      </c>
      <c r="BI15" s="282">
        <v>0</v>
      </c>
      <c r="BJ15" s="282">
        <v>0</v>
      </c>
      <c r="BK15" s="282">
        <v>0</v>
      </c>
      <c r="BL15" s="282">
        <v>0</v>
      </c>
      <c r="BM15" s="282">
        <v>0</v>
      </c>
      <c r="BN15" s="282">
        <v>0</v>
      </c>
      <c r="BO15" s="282">
        <v>0</v>
      </c>
      <c r="BP15" s="282">
        <v>0</v>
      </c>
      <c r="BQ15" s="282">
        <v>0</v>
      </c>
      <c r="BR15" s="282">
        <v>0</v>
      </c>
      <c r="BS15" s="282">
        <v>0</v>
      </c>
      <c r="BT15" s="282">
        <v>0</v>
      </c>
      <c r="BU15" s="282">
        <v>0</v>
      </c>
      <c r="BV15" s="282">
        <v>0</v>
      </c>
      <c r="BW15" s="282">
        <v>0</v>
      </c>
      <c r="BX15" s="282">
        <v>0</v>
      </c>
      <c r="BY15" s="282">
        <v>0</v>
      </c>
      <c r="BZ15" s="282">
        <v>0</v>
      </c>
      <c r="CA15" s="282">
        <v>0</v>
      </c>
      <c r="CB15" s="282">
        <v>0</v>
      </c>
      <c r="CC15" s="282">
        <v>0</v>
      </c>
      <c r="CD15" s="282">
        <v>0</v>
      </c>
      <c r="CE15" s="282">
        <v>0</v>
      </c>
      <c r="CF15" s="282">
        <v>0</v>
      </c>
      <c r="CG15" s="282">
        <v>0</v>
      </c>
      <c r="CH15" s="282">
        <v>0</v>
      </c>
      <c r="CI15" s="282">
        <v>0</v>
      </c>
      <c r="CJ15" s="282">
        <v>0</v>
      </c>
      <c r="CK15" s="282">
        <v>0</v>
      </c>
      <c r="CL15" s="282">
        <v>0</v>
      </c>
      <c r="CM15" s="282">
        <v>0</v>
      </c>
      <c r="CN15" s="282">
        <v>0</v>
      </c>
      <c r="CO15" s="282">
        <v>0</v>
      </c>
      <c r="CP15" s="168">
        <v>0</v>
      </c>
      <c r="CQ15" s="168">
        <v>0</v>
      </c>
      <c r="CR15" s="168">
        <v>0</v>
      </c>
      <c r="CS15" s="168">
        <v>0</v>
      </c>
      <c r="CT15" s="168">
        <v>0</v>
      </c>
      <c r="CU15" s="168">
        <v>0</v>
      </c>
      <c r="CV15" s="168">
        <v>0</v>
      </c>
      <c r="CW15" s="168">
        <v>0</v>
      </c>
      <c r="CX15" s="168">
        <v>0</v>
      </c>
      <c r="CY15" s="168">
        <v>0</v>
      </c>
      <c r="CZ15" s="168">
        <v>0</v>
      </c>
      <c r="DA15" s="168">
        <v>0</v>
      </c>
      <c r="DB15" s="168">
        <v>0</v>
      </c>
      <c r="DC15" s="168">
        <v>0</v>
      </c>
      <c r="DD15" s="168">
        <v>0</v>
      </c>
      <c r="DE15" s="168">
        <v>0</v>
      </c>
      <c r="DF15" s="168">
        <v>0</v>
      </c>
      <c r="DG15" s="168">
        <v>0</v>
      </c>
      <c r="DH15" s="168">
        <v>0</v>
      </c>
      <c r="DI15" s="168">
        <v>0</v>
      </c>
      <c r="DJ15" s="168">
        <v>0</v>
      </c>
      <c r="DK15" s="168">
        <v>0</v>
      </c>
      <c r="DL15" s="168">
        <v>0</v>
      </c>
      <c r="DM15" s="168">
        <v>0</v>
      </c>
      <c r="DN15" s="168">
        <v>0</v>
      </c>
      <c r="DO15" s="168">
        <v>0</v>
      </c>
      <c r="DP15" s="168">
        <v>0</v>
      </c>
      <c r="DQ15" s="168">
        <v>0</v>
      </c>
      <c r="DR15" s="168">
        <v>0</v>
      </c>
      <c r="DS15" s="168">
        <v>0</v>
      </c>
      <c r="DT15" s="168">
        <v>0</v>
      </c>
      <c r="DU15" s="168">
        <v>0</v>
      </c>
      <c r="DV15" s="168">
        <v>0</v>
      </c>
      <c r="DW15" s="168">
        <v>0</v>
      </c>
      <c r="DX15" s="168">
        <v>0</v>
      </c>
      <c r="DY15" s="168">
        <v>0</v>
      </c>
      <c r="DZ15" s="168">
        <v>12</v>
      </c>
      <c r="EA15" s="168">
        <v>0</v>
      </c>
      <c r="EB15" s="168">
        <v>0</v>
      </c>
      <c r="EC15" s="168">
        <v>0</v>
      </c>
      <c r="ED15" s="168">
        <v>0</v>
      </c>
      <c r="EE15" s="168">
        <v>0</v>
      </c>
      <c r="EF15" s="168">
        <v>0</v>
      </c>
      <c r="EG15" s="168">
        <v>0</v>
      </c>
      <c r="EH15" s="150">
        <f t="shared" si="0"/>
        <v>12</v>
      </c>
      <c r="EI15" s="208">
        <v>0</v>
      </c>
      <c r="EJ15" s="150">
        <v>0</v>
      </c>
      <c r="EK15" s="286">
        <f t="shared" ref="EK15:EK64" si="2">SUM(DL15:EG15)</f>
        <v>12</v>
      </c>
      <c r="EL15" s="292"/>
      <c r="EM15" s="291"/>
      <c r="EN15" s="292"/>
      <c r="EO15" s="292"/>
      <c r="EP15" s="292"/>
      <c r="EQ15" s="292"/>
      <c r="ER15" s="292"/>
      <c r="ES15" s="292"/>
      <c r="ET15" s="150">
        <f t="shared" si="1"/>
        <v>12</v>
      </c>
      <c r="EU15" s="150">
        <v>0</v>
      </c>
      <c r="EV15" s="150">
        <v>0</v>
      </c>
      <c r="EW15" s="259">
        <v>0</v>
      </c>
      <c r="EX15" s="11">
        <v>0</v>
      </c>
      <c r="EY15" s="11">
        <v>0</v>
      </c>
      <c r="EZ15" s="259">
        <v>0</v>
      </c>
    </row>
    <row r="16" spans="1:156" s="253" customFormat="1" x14ac:dyDescent="0.25">
      <c r="A16" s="325" t="s">
        <v>287</v>
      </c>
      <c r="B16" s="325"/>
      <c r="C16" s="281">
        <v>0</v>
      </c>
      <c r="D16" s="281">
        <v>0</v>
      </c>
      <c r="E16" s="281">
        <v>0</v>
      </c>
      <c r="F16" s="281">
        <v>0</v>
      </c>
      <c r="G16" s="281">
        <v>0</v>
      </c>
      <c r="H16" s="281">
        <v>0</v>
      </c>
      <c r="I16" s="281">
        <v>0</v>
      </c>
      <c r="J16" s="281">
        <v>0</v>
      </c>
      <c r="K16" s="281">
        <v>0</v>
      </c>
      <c r="L16" s="281">
        <v>0</v>
      </c>
      <c r="M16" s="281">
        <v>0</v>
      </c>
      <c r="N16" s="281">
        <v>0</v>
      </c>
      <c r="O16" s="281">
        <v>0</v>
      </c>
      <c r="P16" s="281">
        <v>0</v>
      </c>
      <c r="Q16" s="281">
        <v>0</v>
      </c>
      <c r="R16" s="281">
        <v>0</v>
      </c>
      <c r="S16" s="281">
        <v>0</v>
      </c>
      <c r="T16" s="281">
        <v>0</v>
      </c>
      <c r="U16" s="281">
        <v>0</v>
      </c>
      <c r="V16" s="281">
        <v>0</v>
      </c>
      <c r="W16" s="281">
        <v>0</v>
      </c>
      <c r="X16" s="281">
        <v>0</v>
      </c>
      <c r="Y16" s="281">
        <v>0</v>
      </c>
      <c r="Z16" s="281">
        <v>0</v>
      </c>
      <c r="AA16" s="281">
        <v>0</v>
      </c>
      <c r="AB16" s="281">
        <v>0</v>
      </c>
      <c r="AC16" s="281">
        <v>0</v>
      </c>
      <c r="AD16" s="281">
        <v>0</v>
      </c>
      <c r="AE16" s="282">
        <v>0</v>
      </c>
      <c r="AF16" s="282">
        <v>0</v>
      </c>
      <c r="AG16" s="282">
        <v>0</v>
      </c>
      <c r="AH16" s="282">
        <v>0</v>
      </c>
      <c r="AI16" s="282">
        <v>0</v>
      </c>
      <c r="AJ16" s="282">
        <v>0</v>
      </c>
      <c r="AK16" s="282">
        <v>0</v>
      </c>
      <c r="AL16" s="282">
        <v>0</v>
      </c>
      <c r="AM16" s="282">
        <v>0</v>
      </c>
      <c r="AN16" s="282">
        <v>0</v>
      </c>
      <c r="AO16" s="282">
        <v>0</v>
      </c>
      <c r="AP16" s="282">
        <v>0</v>
      </c>
      <c r="AQ16" s="281">
        <v>0</v>
      </c>
      <c r="AR16" s="281">
        <v>0</v>
      </c>
      <c r="AS16" s="281">
        <v>0</v>
      </c>
      <c r="AT16" s="281">
        <v>0</v>
      </c>
      <c r="AU16" s="281">
        <v>0</v>
      </c>
      <c r="AV16" s="281">
        <v>0</v>
      </c>
      <c r="AW16" s="281">
        <v>0</v>
      </c>
      <c r="AX16" s="281">
        <v>0</v>
      </c>
      <c r="AY16" s="281">
        <v>0</v>
      </c>
      <c r="AZ16" s="282">
        <v>0</v>
      </c>
      <c r="BA16" s="282">
        <v>0</v>
      </c>
      <c r="BB16" s="282">
        <v>0</v>
      </c>
      <c r="BC16" s="282">
        <v>0</v>
      </c>
      <c r="BD16" s="282">
        <v>0</v>
      </c>
      <c r="BE16" s="282">
        <v>0</v>
      </c>
      <c r="BF16" s="282">
        <v>0</v>
      </c>
      <c r="BG16" s="282">
        <v>0</v>
      </c>
      <c r="BH16" s="282">
        <v>0</v>
      </c>
      <c r="BI16" s="282">
        <v>0</v>
      </c>
      <c r="BJ16" s="282">
        <v>0</v>
      </c>
      <c r="BK16" s="282">
        <v>0</v>
      </c>
      <c r="BL16" s="282">
        <v>0</v>
      </c>
      <c r="BM16" s="282">
        <v>0</v>
      </c>
      <c r="BN16" s="282">
        <v>0</v>
      </c>
      <c r="BO16" s="282">
        <v>0</v>
      </c>
      <c r="BP16" s="282">
        <v>0</v>
      </c>
      <c r="BQ16" s="282">
        <v>0</v>
      </c>
      <c r="BR16" s="282">
        <v>0</v>
      </c>
      <c r="BS16" s="282">
        <v>0</v>
      </c>
      <c r="BT16" s="282">
        <v>0</v>
      </c>
      <c r="BU16" s="282">
        <v>0</v>
      </c>
      <c r="BV16" s="282">
        <v>0</v>
      </c>
      <c r="BW16" s="282">
        <v>0</v>
      </c>
      <c r="BX16" s="282">
        <v>0</v>
      </c>
      <c r="BY16" s="282">
        <v>0</v>
      </c>
      <c r="BZ16" s="282">
        <v>0</v>
      </c>
      <c r="CA16" s="282">
        <v>0</v>
      </c>
      <c r="CB16" s="282">
        <v>0</v>
      </c>
      <c r="CC16" s="282">
        <v>0</v>
      </c>
      <c r="CD16" s="282">
        <v>0</v>
      </c>
      <c r="CE16" s="282">
        <v>0</v>
      </c>
      <c r="CF16" s="282">
        <v>0</v>
      </c>
      <c r="CG16" s="282">
        <v>0</v>
      </c>
      <c r="CH16" s="282">
        <v>0</v>
      </c>
      <c r="CI16" s="282">
        <v>0</v>
      </c>
      <c r="CJ16" s="282">
        <v>0</v>
      </c>
      <c r="CK16" s="282">
        <v>0</v>
      </c>
      <c r="CL16" s="282">
        <v>0</v>
      </c>
      <c r="CM16" s="282">
        <v>0</v>
      </c>
      <c r="CN16" s="282">
        <v>0</v>
      </c>
      <c r="CO16" s="282">
        <v>0</v>
      </c>
      <c r="CP16" s="168">
        <v>0</v>
      </c>
      <c r="CQ16" s="168">
        <v>0</v>
      </c>
      <c r="CR16" s="168">
        <v>0</v>
      </c>
      <c r="CS16" s="168">
        <v>0</v>
      </c>
      <c r="CT16" s="168">
        <v>0</v>
      </c>
      <c r="CU16" s="168">
        <v>0</v>
      </c>
      <c r="CV16" s="168">
        <v>0</v>
      </c>
      <c r="CW16" s="168">
        <v>0</v>
      </c>
      <c r="CX16" s="168">
        <v>0</v>
      </c>
      <c r="CY16" s="168">
        <v>0</v>
      </c>
      <c r="CZ16" s="168">
        <v>0</v>
      </c>
      <c r="DA16" s="168">
        <v>0</v>
      </c>
      <c r="DB16" s="168">
        <v>0</v>
      </c>
      <c r="DC16" s="168">
        <v>0</v>
      </c>
      <c r="DD16" s="168">
        <v>0</v>
      </c>
      <c r="DE16" s="168">
        <v>0</v>
      </c>
      <c r="DF16" s="168">
        <v>0</v>
      </c>
      <c r="DG16" s="168">
        <v>0</v>
      </c>
      <c r="DH16" s="168">
        <v>0</v>
      </c>
      <c r="DI16" s="168">
        <v>0</v>
      </c>
      <c r="DJ16" s="168">
        <v>0</v>
      </c>
      <c r="DK16" s="168">
        <v>0</v>
      </c>
      <c r="DL16" s="168">
        <v>0</v>
      </c>
      <c r="DM16" s="168">
        <v>0</v>
      </c>
      <c r="DN16" s="168">
        <v>0</v>
      </c>
      <c r="DO16" s="168">
        <v>0</v>
      </c>
      <c r="DP16" s="168">
        <v>0</v>
      </c>
      <c r="DQ16" s="168">
        <v>0</v>
      </c>
      <c r="DR16" s="168">
        <v>0</v>
      </c>
      <c r="DS16" s="168">
        <v>0</v>
      </c>
      <c r="DT16" s="168">
        <v>0</v>
      </c>
      <c r="DU16" s="168">
        <v>0</v>
      </c>
      <c r="DV16" s="168">
        <v>0</v>
      </c>
      <c r="DW16" s="168">
        <v>0</v>
      </c>
      <c r="DX16" s="168">
        <v>0</v>
      </c>
      <c r="DY16" s="168">
        <v>0</v>
      </c>
      <c r="DZ16" s="168">
        <v>3</v>
      </c>
      <c r="EA16" s="168">
        <v>0</v>
      </c>
      <c r="EB16" s="168">
        <v>0</v>
      </c>
      <c r="EC16" s="168">
        <v>0</v>
      </c>
      <c r="ED16" s="168">
        <v>0</v>
      </c>
      <c r="EE16" s="168">
        <v>0</v>
      </c>
      <c r="EF16" s="168">
        <v>0</v>
      </c>
      <c r="EG16" s="168">
        <v>0</v>
      </c>
      <c r="EH16" s="150">
        <f t="shared" si="0"/>
        <v>3</v>
      </c>
      <c r="EI16" s="208">
        <v>0</v>
      </c>
      <c r="EJ16" s="150">
        <v>0</v>
      </c>
      <c r="EK16" s="286">
        <f t="shared" si="2"/>
        <v>3</v>
      </c>
      <c r="EL16" s="292"/>
      <c r="EM16" s="291"/>
      <c r="EN16" s="292"/>
      <c r="EO16" s="292"/>
      <c r="EP16" s="292"/>
      <c r="EQ16" s="292"/>
      <c r="ER16" s="292"/>
      <c r="ES16" s="292"/>
      <c r="ET16" s="150">
        <f t="shared" si="1"/>
        <v>3</v>
      </c>
      <c r="EU16" s="150">
        <v>0</v>
      </c>
      <c r="EV16" s="150">
        <v>0</v>
      </c>
      <c r="EW16" s="259">
        <v>0</v>
      </c>
      <c r="EX16" s="11">
        <v>0</v>
      </c>
      <c r="EY16" s="11">
        <v>0</v>
      </c>
      <c r="EZ16" s="259">
        <v>0</v>
      </c>
    </row>
    <row r="17" spans="1:156" s="253" customFormat="1" x14ac:dyDescent="0.25">
      <c r="A17" s="325" t="s">
        <v>310</v>
      </c>
      <c r="B17" s="325"/>
      <c r="C17" s="281">
        <v>0</v>
      </c>
      <c r="D17" s="281">
        <v>0</v>
      </c>
      <c r="E17" s="281">
        <v>0</v>
      </c>
      <c r="F17" s="281">
        <v>0</v>
      </c>
      <c r="G17" s="281">
        <v>0</v>
      </c>
      <c r="H17" s="281">
        <v>0</v>
      </c>
      <c r="I17" s="281">
        <v>0</v>
      </c>
      <c r="J17" s="281">
        <v>0</v>
      </c>
      <c r="K17" s="281">
        <v>0</v>
      </c>
      <c r="L17" s="281">
        <v>0</v>
      </c>
      <c r="M17" s="281">
        <v>0</v>
      </c>
      <c r="N17" s="281">
        <v>0</v>
      </c>
      <c r="O17" s="281">
        <v>0</v>
      </c>
      <c r="P17" s="281">
        <v>0</v>
      </c>
      <c r="Q17" s="281">
        <v>0</v>
      </c>
      <c r="R17" s="281">
        <v>0</v>
      </c>
      <c r="S17" s="281">
        <v>0</v>
      </c>
      <c r="T17" s="281">
        <v>0</v>
      </c>
      <c r="U17" s="281">
        <v>0</v>
      </c>
      <c r="V17" s="281">
        <v>0</v>
      </c>
      <c r="W17" s="281">
        <v>0</v>
      </c>
      <c r="X17" s="281">
        <v>0</v>
      </c>
      <c r="Y17" s="281">
        <v>0</v>
      </c>
      <c r="Z17" s="281">
        <v>0</v>
      </c>
      <c r="AA17" s="281">
        <v>0</v>
      </c>
      <c r="AB17" s="281">
        <v>0</v>
      </c>
      <c r="AC17" s="281">
        <v>0</v>
      </c>
      <c r="AD17" s="281">
        <v>0</v>
      </c>
      <c r="AE17" s="282">
        <v>0</v>
      </c>
      <c r="AF17" s="282">
        <v>0</v>
      </c>
      <c r="AG17" s="282">
        <v>0</v>
      </c>
      <c r="AH17" s="282">
        <v>0</v>
      </c>
      <c r="AI17" s="282">
        <v>0</v>
      </c>
      <c r="AJ17" s="282">
        <v>0</v>
      </c>
      <c r="AK17" s="282">
        <v>0</v>
      </c>
      <c r="AL17" s="282">
        <v>0</v>
      </c>
      <c r="AM17" s="282">
        <v>0</v>
      </c>
      <c r="AN17" s="282">
        <v>0</v>
      </c>
      <c r="AO17" s="282">
        <v>0</v>
      </c>
      <c r="AP17" s="282">
        <v>0</v>
      </c>
      <c r="AQ17" s="281">
        <v>0</v>
      </c>
      <c r="AR17" s="281">
        <v>0</v>
      </c>
      <c r="AS17" s="281">
        <v>0</v>
      </c>
      <c r="AT17" s="281">
        <v>0</v>
      </c>
      <c r="AU17" s="281">
        <v>0</v>
      </c>
      <c r="AV17" s="281">
        <v>0</v>
      </c>
      <c r="AW17" s="281">
        <v>0</v>
      </c>
      <c r="AX17" s="281">
        <v>0</v>
      </c>
      <c r="AY17" s="281">
        <v>0</v>
      </c>
      <c r="AZ17" s="282">
        <v>0</v>
      </c>
      <c r="BA17" s="282">
        <v>0</v>
      </c>
      <c r="BB17" s="282">
        <v>0</v>
      </c>
      <c r="BC17" s="282">
        <v>0</v>
      </c>
      <c r="BD17" s="282">
        <v>0</v>
      </c>
      <c r="BE17" s="282">
        <v>0</v>
      </c>
      <c r="BF17" s="282">
        <v>0</v>
      </c>
      <c r="BG17" s="282">
        <v>0</v>
      </c>
      <c r="BH17" s="282">
        <v>0</v>
      </c>
      <c r="BI17" s="282">
        <v>0</v>
      </c>
      <c r="BJ17" s="282">
        <v>0</v>
      </c>
      <c r="BK17" s="282">
        <v>0</v>
      </c>
      <c r="BL17" s="282">
        <v>0</v>
      </c>
      <c r="BM17" s="282">
        <v>0</v>
      </c>
      <c r="BN17" s="282">
        <v>0</v>
      </c>
      <c r="BO17" s="282">
        <v>0</v>
      </c>
      <c r="BP17" s="282">
        <v>0</v>
      </c>
      <c r="BQ17" s="282">
        <v>0</v>
      </c>
      <c r="BR17" s="282">
        <v>0</v>
      </c>
      <c r="BS17" s="282">
        <v>0</v>
      </c>
      <c r="BT17" s="282">
        <v>0</v>
      </c>
      <c r="BU17" s="282">
        <v>0</v>
      </c>
      <c r="BV17" s="282">
        <v>0</v>
      </c>
      <c r="BW17" s="282">
        <v>0</v>
      </c>
      <c r="BX17" s="282">
        <v>0</v>
      </c>
      <c r="BY17" s="282">
        <v>0</v>
      </c>
      <c r="BZ17" s="282">
        <v>0</v>
      </c>
      <c r="CA17" s="282">
        <v>0</v>
      </c>
      <c r="CB17" s="282">
        <v>0</v>
      </c>
      <c r="CC17" s="282">
        <v>0</v>
      </c>
      <c r="CD17" s="282">
        <v>0</v>
      </c>
      <c r="CE17" s="282">
        <v>0</v>
      </c>
      <c r="CF17" s="282">
        <v>0</v>
      </c>
      <c r="CG17" s="282">
        <v>0</v>
      </c>
      <c r="CH17" s="282">
        <v>0</v>
      </c>
      <c r="CI17" s="282">
        <v>0</v>
      </c>
      <c r="CJ17" s="282">
        <v>0</v>
      </c>
      <c r="CK17" s="282">
        <v>0</v>
      </c>
      <c r="CL17" s="282">
        <v>0</v>
      </c>
      <c r="CM17" s="282">
        <v>0</v>
      </c>
      <c r="CN17" s="282">
        <v>0</v>
      </c>
      <c r="CO17" s="282">
        <v>0</v>
      </c>
      <c r="CP17" s="168">
        <v>0</v>
      </c>
      <c r="CQ17" s="168">
        <v>0</v>
      </c>
      <c r="CR17" s="168">
        <v>0</v>
      </c>
      <c r="CS17" s="168">
        <v>0</v>
      </c>
      <c r="CT17" s="168">
        <v>0</v>
      </c>
      <c r="CU17" s="168">
        <v>0</v>
      </c>
      <c r="CV17" s="168">
        <v>0</v>
      </c>
      <c r="CW17" s="168">
        <v>0</v>
      </c>
      <c r="CX17" s="168">
        <v>0</v>
      </c>
      <c r="CY17" s="168">
        <v>0</v>
      </c>
      <c r="CZ17" s="168">
        <v>0</v>
      </c>
      <c r="DA17" s="168">
        <v>0</v>
      </c>
      <c r="DB17" s="168">
        <v>0</v>
      </c>
      <c r="DC17" s="168">
        <v>0</v>
      </c>
      <c r="DD17" s="168">
        <v>0</v>
      </c>
      <c r="DE17" s="168">
        <v>0</v>
      </c>
      <c r="DF17" s="168">
        <v>0</v>
      </c>
      <c r="DG17" s="168">
        <v>0</v>
      </c>
      <c r="DH17" s="168">
        <v>0</v>
      </c>
      <c r="DI17" s="168">
        <v>0</v>
      </c>
      <c r="DJ17" s="168">
        <v>0</v>
      </c>
      <c r="DK17" s="168">
        <v>0</v>
      </c>
      <c r="DL17" s="168">
        <v>0</v>
      </c>
      <c r="DM17" s="168">
        <v>0</v>
      </c>
      <c r="DN17" s="168">
        <v>0</v>
      </c>
      <c r="DO17" s="168">
        <v>0</v>
      </c>
      <c r="DP17" s="168">
        <v>0</v>
      </c>
      <c r="DQ17" s="168">
        <v>0</v>
      </c>
      <c r="DR17" s="168">
        <v>0</v>
      </c>
      <c r="DS17" s="168">
        <v>0</v>
      </c>
      <c r="DT17" s="168">
        <v>0</v>
      </c>
      <c r="DU17" s="168">
        <v>0</v>
      </c>
      <c r="DV17" s="168">
        <v>0</v>
      </c>
      <c r="DW17" s="168">
        <v>0</v>
      </c>
      <c r="DX17" s="168">
        <v>0</v>
      </c>
      <c r="DY17" s="168">
        <v>0</v>
      </c>
      <c r="DZ17" s="168">
        <v>0</v>
      </c>
      <c r="EA17" s="168">
        <v>0</v>
      </c>
      <c r="EB17" s="168">
        <v>0</v>
      </c>
      <c r="EC17" s="168">
        <v>0</v>
      </c>
      <c r="ED17" s="168">
        <v>0</v>
      </c>
      <c r="EE17" s="168">
        <v>0</v>
      </c>
      <c r="EF17" s="168">
        <v>0</v>
      </c>
      <c r="EG17" s="168">
        <v>0</v>
      </c>
      <c r="EH17" s="150">
        <f t="shared" si="0"/>
        <v>0</v>
      </c>
      <c r="EI17" s="208">
        <v>0</v>
      </c>
      <c r="EJ17" s="150">
        <v>0</v>
      </c>
      <c r="EK17" s="286">
        <f t="shared" si="2"/>
        <v>0</v>
      </c>
      <c r="EL17" s="292"/>
      <c r="EM17" s="291"/>
      <c r="EN17" s="292"/>
      <c r="EO17" s="292"/>
      <c r="EP17" s="292"/>
      <c r="EQ17" s="292"/>
      <c r="ER17" s="292"/>
      <c r="ES17" s="292"/>
      <c r="ET17" s="150">
        <f t="shared" si="1"/>
        <v>0</v>
      </c>
      <c r="EU17" s="150">
        <v>0</v>
      </c>
      <c r="EV17" s="150">
        <v>0</v>
      </c>
      <c r="EW17" s="259">
        <v>0</v>
      </c>
      <c r="EX17" s="11">
        <v>0</v>
      </c>
      <c r="EY17" s="11">
        <v>0</v>
      </c>
      <c r="EZ17" s="259">
        <v>0</v>
      </c>
    </row>
    <row r="18" spans="1:156" s="253" customFormat="1" x14ac:dyDescent="0.25">
      <c r="A18" s="325" t="s">
        <v>289</v>
      </c>
      <c r="B18" s="325"/>
      <c r="C18" s="281">
        <v>0</v>
      </c>
      <c r="D18" s="281">
        <v>0</v>
      </c>
      <c r="E18" s="281">
        <v>0</v>
      </c>
      <c r="F18" s="281">
        <v>0</v>
      </c>
      <c r="G18" s="281">
        <v>0</v>
      </c>
      <c r="H18" s="281">
        <v>0</v>
      </c>
      <c r="I18" s="281">
        <v>0</v>
      </c>
      <c r="J18" s="281">
        <v>0</v>
      </c>
      <c r="K18" s="281">
        <v>0</v>
      </c>
      <c r="L18" s="281">
        <v>0</v>
      </c>
      <c r="M18" s="281">
        <v>0</v>
      </c>
      <c r="N18" s="281">
        <v>0</v>
      </c>
      <c r="O18" s="281">
        <v>0</v>
      </c>
      <c r="P18" s="281">
        <v>0</v>
      </c>
      <c r="Q18" s="281">
        <v>0</v>
      </c>
      <c r="R18" s="281">
        <v>0</v>
      </c>
      <c r="S18" s="281">
        <v>0</v>
      </c>
      <c r="T18" s="281">
        <v>0</v>
      </c>
      <c r="U18" s="281">
        <v>0</v>
      </c>
      <c r="V18" s="281">
        <v>0</v>
      </c>
      <c r="W18" s="281">
        <v>0</v>
      </c>
      <c r="X18" s="281">
        <v>0</v>
      </c>
      <c r="Y18" s="281">
        <v>0</v>
      </c>
      <c r="Z18" s="281">
        <v>0</v>
      </c>
      <c r="AA18" s="281">
        <v>0</v>
      </c>
      <c r="AB18" s="281">
        <v>0</v>
      </c>
      <c r="AC18" s="281">
        <v>0</v>
      </c>
      <c r="AD18" s="281">
        <v>0</v>
      </c>
      <c r="AE18" s="282">
        <v>0</v>
      </c>
      <c r="AF18" s="282">
        <v>0</v>
      </c>
      <c r="AG18" s="282">
        <v>0</v>
      </c>
      <c r="AH18" s="282">
        <v>0</v>
      </c>
      <c r="AI18" s="282">
        <v>0</v>
      </c>
      <c r="AJ18" s="282">
        <v>0</v>
      </c>
      <c r="AK18" s="282">
        <v>0</v>
      </c>
      <c r="AL18" s="282">
        <v>0</v>
      </c>
      <c r="AM18" s="282">
        <v>0</v>
      </c>
      <c r="AN18" s="282">
        <v>0</v>
      </c>
      <c r="AO18" s="282">
        <v>0</v>
      </c>
      <c r="AP18" s="282">
        <v>0</v>
      </c>
      <c r="AQ18" s="281">
        <v>0</v>
      </c>
      <c r="AR18" s="281">
        <v>0</v>
      </c>
      <c r="AS18" s="281">
        <v>0</v>
      </c>
      <c r="AT18" s="281">
        <v>0</v>
      </c>
      <c r="AU18" s="281">
        <v>0</v>
      </c>
      <c r="AV18" s="281">
        <v>0</v>
      </c>
      <c r="AW18" s="281">
        <v>0</v>
      </c>
      <c r="AX18" s="281">
        <v>0</v>
      </c>
      <c r="AY18" s="281">
        <v>0</v>
      </c>
      <c r="AZ18" s="282">
        <v>0</v>
      </c>
      <c r="BA18" s="282">
        <v>0</v>
      </c>
      <c r="BB18" s="282">
        <v>0</v>
      </c>
      <c r="BC18" s="282">
        <v>0</v>
      </c>
      <c r="BD18" s="282">
        <v>0</v>
      </c>
      <c r="BE18" s="282">
        <v>0</v>
      </c>
      <c r="BF18" s="282">
        <v>0</v>
      </c>
      <c r="BG18" s="282">
        <v>0</v>
      </c>
      <c r="BH18" s="282">
        <v>0</v>
      </c>
      <c r="BI18" s="282">
        <v>0</v>
      </c>
      <c r="BJ18" s="282">
        <v>0</v>
      </c>
      <c r="BK18" s="282">
        <v>0</v>
      </c>
      <c r="BL18" s="282">
        <v>0</v>
      </c>
      <c r="BM18" s="282">
        <v>0</v>
      </c>
      <c r="BN18" s="282">
        <v>0</v>
      </c>
      <c r="BO18" s="282">
        <v>0</v>
      </c>
      <c r="BP18" s="282">
        <v>0</v>
      </c>
      <c r="BQ18" s="282">
        <v>0</v>
      </c>
      <c r="BR18" s="282">
        <v>0</v>
      </c>
      <c r="BS18" s="282">
        <v>0</v>
      </c>
      <c r="BT18" s="282">
        <v>0</v>
      </c>
      <c r="BU18" s="282">
        <v>0</v>
      </c>
      <c r="BV18" s="282">
        <v>0</v>
      </c>
      <c r="BW18" s="282">
        <v>0</v>
      </c>
      <c r="BX18" s="282">
        <v>0</v>
      </c>
      <c r="BY18" s="282">
        <v>0</v>
      </c>
      <c r="BZ18" s="282">
        <v>0</v>
      </c>
      <c r="CA18" s="282">
        <v>0</v>
      </c>
      <c r="CB18" s="282">
        <v>0</v>
      </c>
      <c r="CC18" s="282">
        <v>0</v>
      </c>
      <c r="CD18" s="282">
        <v>0</v>
      </c>
      <c r="CE18" s="282">
        <v>0</v>
      </c>
      <c r="CF18" s="282">
        <v>0</v>
      </c>
      <c r="CG18" s="282">
        <v>0</v>
      </c>
      <c r="CH18" s="282">
        <v>0</v>
      </c>
      <c r="CI18" s="282">
        <v>0</v>
      </c>
      <c r="CJ18" s="282">
        <v>0</v>
      </c>
      <c r="CK18" s="282">
        <v>0</v>
      </c>
      <c r="CL18" s="282">
        <v>0</v>
      </c>
      <c r="CM18" s="282">
        <v>0</v>
      </c>
      <c r="CN18" s="282">
        <v>0</v>
      </c>
      <c r="CO18" s="282">
        <v>0</v>
      </c>
      <c r="CP18" s="168">
        <v>0</v>
      </c>
      <c r="CQ18" s="168">
        <v>0</v>
      </c>
      <c r="CR18" s="168">
        <v>0</v>
      </c>
      <c r="CS18" s="168">
        <v>0</v>
      </c>
      <c r="CT18" s="168">
        <v>0</v>
      </c>
      <c r="CU18" s="168">
        <v>0</v>
      </c>
      <c r="CV18" s="168">
        <v>0</v>
      </c>
      <c r="CW18" s="168">
        <v>0</v>
      </c>
      <c r="CX18" s="168">
        <v>0</v>
      </c>
      <c r="CY18" s="168">
        <v>0</v>
      </c>
      <c r="CZ18" s="168">
        <v>0</v>
      </c>
      <c r="DA18" s="168">
        <v>0</v>
      </c>
      <c r="DB18" s="168">
        <v>0</v>
      </c>
      <c r="DC18" s="168">
        <v>0</v>
      </c>
      <c r="DD18" s="168">
        <v>0</v>
      </c>
      <c r="DE18" s="168">
        <v>0</v>
      </c>
      <c r="DF18" s="168">
        <v>0</v>
      </c>
      <c r="DG18" s="168">
        <v>0</v>
      </c>
      <c r="DH18" s="168">
        <v>0</v>
      </c>
      <c r="DI18" s="168">
        <v>0</v>
      </c>
      <c r="DJ18" s="168">
        <v>0</v>
      </c>
      <c r="DK18" s="168">
        <v>0</v>
      </c>
      <c r="DL18" s="168">
        <v>0</v>
      </c>
      <c r="DM18" s="168">
        <v>0</v>
      </c>
      <c r="DN18" s="168">
        <v>0</v>
      </c>
      <c r="DO18" s="168">
        <v>0</v>
      </c>
      <c r="DP18" s="168">
        <v>0</v>
      </c>
      <c r="DQ18" s="168">
        <v>0</v>
      </c>
      <c r="DR18" s="168">
        <v>0</v>
      </c>
      <c r="DS18" s="168">
        <v>0</v>
      </c>
      <c r="DT18" s="168">
        <v>0</v>
      </c>
      <c r="DU18" s="168">
        <v>0</v>
      </c>
      <c r="DV18" s="168">
        <v>0</v>
      </c>
      <c r="DW18" s="168">
        <v>0</v>
      </c>
      <c r="DX18" s="168">
        <v>0</v>
      </c>
      <c r="DY18" s="168">
        <v>0</v>
      </c>
      <c r="DZ18" s="168">
        <v>2</v>
      </c>
      <c r="EA18" s="168">
        <v>0</v>
      </c>
      <c r="EB18" s="168">
        <v>0</v>
      </c>
      <c r="EC18" s="168">
        <v>0</v>
      </c>
      <c r="ED18" s="168">
        <v>0</v>
      </c>
      <c r="EE18" s="168">
        <v>0</v>
      </c>
      <c r="EF18" s="168">
        <v>0</v>
      </c>
      <c r="EG18" s="168">
        <v>0</v>
      </c>
      <c r="EH18" s="150">
        <f t="shared" si="0"/>
        <v>2</v>
      </c>
      <c r="EI18" s="208">
        <v>0</v>
      </c>
      <c r="EJ18" s="150">
        <v>0</v>
      </c>
      <c r="EK18" s="286">
        <f t="shared" si="2"/>
        <v>2</v>
      </c>
      <c r="EL18" s="292"/>
      <c r="EM18" s="291"/>
      <c r="EN18" s="292"/>
      <c r="EO18" s="292"/>
      <c r="EP18" s="292"/>
      <c r="EQ18" s="292"/>
      <c r="ER18" s="292"/>
      <c r="ES18" s="292"/>
      <c r="ET18" s="150">
        <f t="shared" si="1"/>
        <v>2</v>
      </c>
      <c r="EU18" s="150">
        <v>0</v>
      </c>
      <c r="EV18" s="150">
        <v>0</v>
      </c>
      <c r="EW18" s="259">
        <v>0</v>
      </c>
      <c r="EX18" s="11">
        <v>0</v>
      </c>
      <c r="EY18" s="11">
        <v>0</v>
      </c>
      <c r="EZ18" s="259">
        <v>0</v>
      </c>
    </row>
    <row r="19" spans="1:156" s="253" customFormat="1" x14ac:dyDescent="0.25">
      <c r="A19" s="325" t="s">
        <v>290</v>
      </c>
      <c r="B19" s="325"/>
      <c r="C19" s="281">
        <v>0</v>
      </c>
      <c r="D19" s="281">
        <v>0</v>
      </c>
      <c r="E19" s="281">
        <v>0</v>
      </c>
      <c r="F19" s="281">
        <v>0</v>
      </c>
      <c r="G19" s="281">
        <v>0</v>
      </c>
      <c r="H19" s="281">
        <v>0</v>
      </c>
      <c r="I19" s="281">
        <v>0</v>
      </c>
      <c r="J19" s="281">
        <v>0</v>
      </c>
      <c r="K19" s="281">
        <v>0</v>
      </c>
      <c r="L19" s="281">
        <v>0</v>
      </c>
      <c r="M19" s="281">
        <v>0</v>
      </c>
      <c r="N19" s="281">
        <v>0</v>
      </c>
      <c r="O19" s="281">
        <v>0</v>
      </c>
      <c r="P19" s="281">
        <v>0</v>
      </c>
      <c r="Q19" s="281">
        <v>0</v>
      </c>
      <c r="R19" s="281">
        <v>0</v>
      </c>
      <c r="S19" s="281">
        <v>0</v>
      </c>
      <c r="T19" s="281">
        <v>0</v>
      </c>
      <c r="U19" s="281">
        <v>0</v>
      </c>
      <c r="V19" s="281">
        <v>0</v>
      </c>
      <c r="W19" s="281">
        <v>0</v>
      </c>
      <c r="X19" s="281">
        <v>0</v>
      </c>
      <c r="Y19" s="281">
        <v>0</v>
      </c>
      <c r="Z19" s="281">
        <v>0</v>
      </c>
      <c r="AA19" s="281">
        <v>0</v>
      </c>
      <c r="AB19" s="281">
        <v>0</v>
      </c>
      <c r="AC19" s="281">
        <v>0</v>
      </c>
      <c r="AD19" s="281">
        <v>0</v>
      </c>
      <c r="AE19" s="282">
        <v>0</v>
      </c>
      <c r="AF19" s="282">
        <v>0</v>
      </c>
      <c r="AG19" s="282">
        <v>0</v>
      </c>
      <c r="AH19" s="282">
        <v>0</v>
      </c>
      <c r="AI19" s="282">
        <v>0</v>
      </c>
      <c r="AJ19" s="282">
        <v>0</v>
      </c>
      <c r="AK19" s="282">
        <v>0</v>
      </c>
      <c r="AL19" s="282">
        <v>0</v>
      </c>
      <c r="AM19" s="282">
        <v>0</v>
      </c>
      <c r="AN19" s="282">
        <v>0</v>
      </c>
      <c r="AO19" s="282">
        <v>0</v>
      </c>
      <c r="AP19" s="282">
        <v>0</v>
      </c>
      <c r="AQ19" s="281">
        <v>0</v>
      </c>
      <c r="AR19" s="281">
        <v>0</v>
      </c>
      <c r="AS19" s="281">
        <v>0</v>
      </c>
      <c r="AT19" s="281">
        <v>0</v>
      </c>
      <c r="AU19" s="281">
        <v>0</v>
      </c>
      <c r="AV19" s="281">
        <v>0</v>
      </c>
      <c r="AW19" s="281">
        <v>0</v>
      </c>
      <c r="AX19" s="281">
        <v>0</v>
      </c>
      <c r="AY19" s="281">
        <v>0</v>
      </c>
      <c r="AZ19" s="282">
        <v>0</v>
      </c>
      <c r="BA19" s="282">
        <v>0</v>
      </c>
      <c r="BB19" s="282">
        <v>0</v>
      </c>
      <c r="BC19" s="282">
        <v>0</v>
      </c>
      <c r="BD19" s="282">
        <v>0</v>
      </c>
      <c r="BE19" s="282">
        <v>0</v>
      </c>
      <c r="BF19" s="282">
        <v>0</v>
      </c>
      <c r="BG19" s="282">
        <v>0</v>
      </c>
      <c r="BH19" s="282">
        <v>0</v>
      </c>
      <c r="BI19" s="282">
        <v>0</v>
      </c>
      <c r="BJ19" s="282">
        <v>0</v>
      </c>
      <c r="BK19" s="282">
        <v>0</v>
      </c>
      <c r="BL19" s="282">
        <v>0</v>
      </c>
      <c r="BM19" s="282">
        <v>0</v>
      </c>
      <c r="BN19" s="282">
        <v>0</v>
      </c>
      <c r="BO19" s="282">
        <v>0</v>
      </c>
      <c r="BP19" s="282">
        <v>0</v>
      </c>
      <c r="BQ19" s="282">
        <v>0</v>
      </c>
      <c r="BR19" s="282">
        <v>0</v>
      </c>
      <c r="BS19" s="282">
        <v>0</v>
      </c>
      <c r="BT19" s="282">
        <v>0</v>
      </c>
      <c r="BU19" s="282">
        <v>0</v>
      </c>
      <c r="BV19" s="282">
        <v>0</v>
      </c>
      <c r="BW19" s="282">
        <v>0</v>
      </c>
      <c r="BX19" s="282">
        <v>0</v>
      </c>
      <c r="BY19" s="282">
        <v>0</v>
      </c>
      <c r="BZ19" s="282">
        <v>0</v>
      </c>
      <c r="CA19" s="282">
        <v>0</v>
      </c>
      <c r="CB19" s="282">
        <v>0</v>
      </c>
      <c r="CC19" s="282">
        <v>0</v>
      </c>
      <c r="CD19" s="282">
        <v>0</v>
      </c>
      <c r="CE19" s="282">
        <v>0</v>
      </c>
      <c r="CF19" s="282">
        <v>0</v>
      </c>
      <c r="CG19" s="282">
        <v>0</v>
      </c>
      <c r="CH19" s="282">
        <v>0</v>
      </c>
      <c r="CI19" s="282">
        <v>0</v>
      </c>
      <c r="CJ19" s="282">
        <v>0</v>
      </c>
      <c r="CK19" s="282">
        <v>0</v>
      </c>
      <c r="CL19" s="282">
        <v>0</v>
      </c>
      <c r="CM19" s="282">
        <v>0</v>
      </c>
      <c r="CN19" s="282">
        <v>0</v>
      </c>
      <c r="CO19" s="282">
        <v>0</v>
      </c>
      <c r="CP19" s="168">
        <v>0</v>
      </c>
      <c r="CQ19" s="168">
        <v>0</v>
      </c>
      <c r="CR19" s="168">
        <v>0</v>
      </c>
      <c r="CS19" s="168">
        <v>0</v>
      </c>
      <c r="CT19" s="168">
        <v>0</v>
      </c>
      <c r="CU19" s="168">
        <v>0</v>
      </c>
      <c r="CV19" s="168">
        <v>0</v>
      </c>
      <c r="CW19" s="168">
        <v>0</v>
      </c>
      <c r="CX19" s="168">
        <v>0</v>
      </c>
      <c r="CY19" s="168">
        <v>0</v>
      </c>
      <c r="CZ19" s="168">
        <v>0</v>
      </c>
      <c r="DA19" s="168">
        <v>0</v>
      </c>
      <c r="DB19" s="168">
        <v>0</v>
      </c>
      <c r="DC19" s="168">
        <v>0</v>
      </c>
      <c r="DD19" s="168">
        <v>0</v>
      </c>
      <c r="DE19" s="168">
        <v>0</v>
      </c>
      <c r="DF19" s="168">
        <v>0</v>
      </c>
      <c r="DG19" s="168">
        <v>0</v>
      </c>
      <c r="DH19" s="168">
        <v>0</v>
      </c>
      <c r="DI19" s="168">
        <v>0</v>
      </c>
      <c r="DJ19" s="168">
        <v>0</v>
      </c>
      <c r="DK19" s="168">
        <v>0</v>
      </c>
      <c r="DL19" s="168">
        <v>0</v>
      </c>
      <c r="DM19" s="168">
        <v>0</v>
      </c>
      <c r="DN19" s="168">
        <v>0</v>
      </c>
      <c r="DO19" s="168">
        <v>0</v>
      </c>
      <c r="DP19" s="168">
        <v>0</v>
      </c>
      <c r="DQ19" s="168">
        <v>0</v>
      </c>
      <c r="DR19" s="168">
        <v>0</v>
      </c>
      <c r="DS19" s="168">
        <v>0</v>
      </c>
      <c r="DT19" s="168">
        <v>0</v>
      </c>
      <c r="DU19" s="168">
        <v>0</v>
      </c>
      <c r="DV19" s="168">
        <v>0</v>
      </c>
      <c r="DW19" s="168">
        <v>0</v>
      </c>
      <c r="DX19" s="168">
        <v>0</v>
      </c>
      <c r="DY19" s="168">
        <v>0</v>
      </c>
      <c r="DZ19" s="168">
        <v>0</v>
      </c>
      <c r="EA19" s="168">
        <v>0</v>
      </c>
      <c r="EB19" s="168">
        <v>0</v>
      </c>
      <c r="EC19" s="168">
        <v>0</v>
      </c>
      <c r="ED19" s="168">
        <v>0</v>
      </c>
      <c r="EE19" s="168">
        <v>0</v>
      </c>
      <c r="EF19" s="168">
        <v>0</v>
      </c>
      <c r="EG19" s="168">
        <v>0</v>
      </c>
      <c r="EH19" s="150">
        <f t="shared" si="0"/>
        <v>0</v>
      </c>
      <c r="EI19" s="208">
        <v>0</v>
      </c>
      <c r="EJ19" s="150">
        <v>0</v>
      </c>
      <c r="EK19" s="286">
        <f t="shared" si="2"/>
        <v>0</v>
      </c>
      <c r="EL19" s="292"/>
      <c r="EM19" s="291"/>
      <c r="EN19" s="292"/>
      <c r="EO19" s="292"/>
      <c r="EP19" s="292"/>
      <c r="EQ19" s="292"/>
      <c r="ER19" s="292"/>
      <c r="ES19" s="292"/>
      <c r="ET19" s="150">
        <f t="shared" si="1"/>
        <v>0</v>
      </c>
      <c r="EU19" s="150">
        <v>0</v>
      </c>
      <c r="EV19" s="150">
        <v>0</v>
      </c>
      <c r="EW19" s="259">
        <v>0</v>
      </c>
      <c r="EX19" s="11">
        <v>0</v>
      </c>
      <c r="EY19" s="11">
        <v>0</v>
      </c>
      <c r="EZ19" s="259">
        <v>0</v>
      </c>
    </row>
    <row r="20" spans="1:156" s="253" customFormat="1" ht="30" customHeight="1" x14ac:dyDescent="0.25">
      <c r="A20" s="325" t="s">
        <v>292</v>
      </c>
      <c r="B20" s="325"/>
      <c r="C20" s="281">
        <v>0</v>
      </c>
      <c r="D20" s="281">
        <v>0</v>
      </c>
      <c r="E20" s="281">
        <v>0</v>
      </c>
      <c r="F20" s="281">
        <v>0</v>
      </c>
      <c r="G20" s="281">
        <v>0</v>
      </c>
      <c r="H20" s="281">
        <v>0</v>
      </c>
      <c r="I20" s="281">
        <v>0</v>
      </c>
      <c r="J20" s="281">
        <v>0</v>
      </c>
      <c r="K20" s="281">
        <v>0</v>
      </c>
      <c r="L20" s="281">
        <v>0</v>
      </c>
      <c r="M20" s="281">
        <v>0</v>
      </c>
      <c r="N20" s="281">
        <v>0</v>
      </c>
      <c r="O20" s="281">
        <v>0</v>
      </c>
      <c r="P20" s="281">
        <v>0</v>
      </c>
      <c r="Q20" s="281">
        <v>0</v>
      </c>
      <c r="R20" s="281">
        <v>0</v>
      </c>
      <c r="S20" s="281">
        <v>0</v>
      </c>
      <c r="T20" s="281">
        <v>0</v>
      </c>
      <c r="U20" s="281">
        <v>0</v>
      </c>
      <c r="V20" s="281">
        <v>0</v>
      </c>
      <c r="W20" s="281">
        <v>0</v>
      </c>
      <c r="X20" s="281">
        <v>0</v>
      </c>
      <c r="Y20" s="281">
        <v>0</v>
      </c>
      <c r="Z20" s="281">
        <v>0</v>
      </c>
      <c r="AA20" s="281">
        <v>0</v>
      </c>
      <c r="AB20" s="281">
        <v>0</v>
      </c>
      <c r="AC20" s="281">
        <v>0</v>
      </c>
      <c r="AD20" s="281">
        <v>0</v>
      </c>
      <c r="AE20" s="282">
        <v>0</v>
      </c>
      <c r="AF20" s="282">
        <v>0</v>
      </c>
      <c r="AG20" s="282">
        <v>0</v>
      </c>
      <c r="AH20" s="282">
        <v>0</v>
      </c>
      <c r="AI20" s="282">
        <v>0</v>
      </c>
      <c r="AJ20" s="282">
        <v>0</v>
      </c>
      <c r="AK20" s="282">
        <v>0</v>
      </c>
      <c r="AL20" s="282">
        <v>0</v>
      </c>
      <c r="AM20" s="282">
        <v>0</v>
      </c>
      <c r="AN20" s="282">
        <v>0</v>
      </c>
      <c r="AO20" s="282">
        <v>0</v>
      </c>
      <c r="AP20" s="282">
        <v>0</v>
      </c>
      <c r="AQ20" s="281">
        <v>0</v>
      </c>
      <c r="AR20" s="281">
        <v>0</v>
      </c>
      <c r="AS20" s="281">
        <v>0</v>
      </c>
      <c r="AT20" s="281">
        <v>0</v>
      </c>
      <c r="AU20" s="281">
        <v>0</v>
      </c>
      <c r="AV20" s="281">
        <v>0</v>
      </c>
      <c r="AW20" s="281">
        <v>0</v>
      </c>
      <c r="AX20" s="281">
        <v>0</v>
      </c>
      <c r="AY20" s="281">
        <v>0</v>
      </c>
      <c r="AZ20" s="282">
        <v>0</v>
      </c>
      <c r="BA20" s="282">
        <v>0</v>
      </c>
      <c r="BB20" s="282">
        <v>0</v>
      </c>
      <c r="BC20" s="282">
        <v>0</v>
      </c>
      <c r="BD20" s="282">
        <v>0</v>
      </c>
      <c r="BE20" s="282">
        <v>0</v>
      </c>
      <c r="BF20" s="282">
        <v>0</v>
      </c>
      <c r="BG20" s="282">
        <v>0</v>
      </c>
      <c r="BH20" s="282">
        <v>0</v>
      </c>
      <c r="BI20" s="282">
        <v>0</v>
      </c>
      <c r="BJ20" s="282">
        <v>0</v>
      </c>
      <c r="BK20" s="282">
        <v>0</v>
      </c>
      <c r="BL20" s="282">
        <v>0</v>
      </c>
      <c r="BM20" s="282">
        <v>0</v>
      </c>
      <c r="BN20" s="282">
        <v>0</v>
      </c>
      <c r="BO20" s="282">
        <v>0</v>
      </c>
      <c r="BP20" s="282">
        <v>0</v>
      </c>
      <c r="BQ20" s="282">
        <v>0</v>
      </c>
      <c r="BR20" s="282">
        <v>0</v>
      </c>
      <c r="BS20" s="282">
        <v>0</v>
      </c>
      <c r="BT20" s="282">
        <v>0</v>
      </c>
      <c r="BU20" s="282">
        <v>0</v>
      </c>
      <c r="BV20" s="282">
        <v>0</v>
      </c>
      <c r="BW20" s="282">
        <v>0</v>
      </c>
      <c r="BX20" s="282">
        <v>0</v>
      </c>
      <c r="BY20" s="282">
        <v>0</v>
      </c>
      <c r="BZ20" s="282">
        <v>0</v>
      </c>
      <c r="CA20" s="282">
        <v>0</v>
      </c>
      <c r="CB20" s="282">
        <v>0</v>
      </c>
      <c r="CC20" s="282">
        <v>0</v>
      </c>
      <c r="CD20" s="282">
        <v>0</v>
      </c>
      <c r="CE20" s="282">
        <v>0</v>
      </c>
      <c r="CF20" s="282">
        <v>0</v>
      </c>
      <c r="CG20" s="282">
        <v>0</v>
      </c>
      <c r="CH20" s="282">
        <v>0</v>
      </c>
      <c r="CI20" s="282">
        <v>0</v>
      </c>
      <c r="CJ20" s="282">
        <v>0</v>
      </c>
      <c r="CK20" s="282">
        <v>0</v>
      </c>
      <c r="CL20" s="282">
        <v>0</v>
      </c>
      <c r="CM20" s="282">
        <v>0</v>
      </c>
      <c r="CN20" s="282">
        <v>0</v>
      </c>
      <c r="CO20" s="282">
        <v>0</v>
      </c>
      <c r="CP20" s="168">
        <v>0</v>
      </c>
      <c r="CQ20" s="168">
        <v>0</v>
      </c>
      <c r="CR20" s="168">
        <v>0</v>
      </c>
      <c r="CS20" s="168">
        <v>0</v>
      </c>
      <c r="CT20" s="168">
        <v>0</v>
      </c>
      <c r="CU20" s="168">
        <v>0</v>
      </c>
      <c r="CV20" s="168">
        <v>0</v>
      </c>
      <c r="CW20" s="168">
        <v>0</v>
      </c>
      <c r="CX20" s="168">
        <v>0</v>
      </c>
      <c r="CY20" s="168">
        <v>0</v>
      </c>
      <c r="CZ20" s="168">
        <v>0</v>
      </c>
      <c r="DA20" s="168">
        <v>0</v>
      </c>
      <c r="DB20" s="168">
        <v>0</v>
      </c>
      <c r="DC20" s="168">
        <v>0</v>
      </c>
      <c r="DD20" s="168">
        <v>0</v>
      </c>
      <c r="DE20" s="168">
        <v>0</v>
      </c>
      <c r="DF20" s="168">
        <v>0</v>
      </c>
      <c r="DG20" s="168">
        <v>0</v>
      </c>
      <c r="DH20" s="168">
        <v>0</v>
      </c>
      <c r="DI20" s="168">
        <v>0</v>
      </c>
      <c r="DJ20" s="168">
        <v>0</v>
      </c>
      <c r="DK20" s="168">
        <v>0</v>
      </c>
      <c r="DL20" s="168">
        <v>0</v>
      </c>
      <c r="DM20" s="168">
        <v>0</v>
      </c>
      <c r="DN20" s="168">
        <v>0</v>
      </c>
      <c r="DO20" s="168">
        <v>0</v>
      </c>
      <c r="DP20" s="168">
        <v>0</v>
      </c>
      <c r="DQ20" s="168">
        <v>0</v>
      </c>
      <c r="DR20" s="168">
        <v>0</v>
      </c>
      <c r="DS20" s="168">
        <v>0</v>
      </c>
      <c r="DT20" s="168">
        <v>0</v>
      </c>
      <c r="DU20" s="168">
        <v>0</v>
      </c>
      <c r="DV20" s="168">
        <v>0</v>
      </c>
      <c r="DW20" s="168">
        <v>0</v>
      </c>
      <c r="DX20" s="168">
        <v>0</v>
      </c>
      <c r="DY20" s="168">
        <v>2</v>
      </c>
      <c r="DZ20" s="168">
        <v>171</v>
      </c>
      <c r="EA20" s="168">
        <v>0</v>
      </c>
      <c r="EB20" s="168">
        <v>0</v>
      </c>
      <c r="EC20" s="168">
        <v>0</v>
      </c>
      <c r="ED20" s="168">
        <v>0</v>
      </c>
      <c r="EE20" s="168">
        <v>0</v>
      </c>
      <c r="EF20" s="168">
        <v>0</v>
      </c>
      <c r="EG20" s="168">
        <v>0</v>
      </c>
      <c r="EH20" s="150">
        <f t="shared" si="0"/>
        <v>173</v>
      </c>
      <c r="EI20" s="208">
        <v>0</v>
      </c>
      <c r="EJ20" s="150">
        <v>0</v>
      </c>
      <c r="EK20" s="286">
        <f t="shared" si="2"/>
        <v>173</v>
      </c>
      <c r="EL20" s="292"/>
      <c r="EM20" s="291"/>
      <c r="EN20" s="292"/>
      <c r="EO20" s="292"/>
      <c r="EP20" s="292"/>
      <c r="EQ20" s="292"/>
      <c r="ER20" s="292"/>
      <c r="ES20" s="292"/>
      <c r="ET20" s="150">
        <f t="shared" si="1"/>
        <v>173</v>
      </c>
      <c r="EU20" s="150">
        <v>0</v>
      </c>
      <c r="EV20" s="150">
        <v>0</v>
      </c>
      <c r="EW20" s="259">
        <v>0</v>
      </c>
      <c r="EX20" s="11">
        <v>0</v>
      </c>
      <c r="EY20" s="11">
        <v>0</v>
      </c>
      <c r="EZ20" s="259">
        <v>0</v>
      </c>
    </row>
    <row r="21" spans="1:156" ht="45.75" customHeight="1" x14ac:dyDescent="0.25">
      <c r="A21" s="326" t="s">
        <v>291</v>
      </c>
      <c r="B21" s="327"/>
      <c r="C21" s="276">
        <v>0</v>
      </c>
      <c r="D21" s="277">
        <v>0</v>
      </c>
      <c r="E21" s="277">
        <v>0</v>
      </c>
      <c r="F21" s="277">
        <v>0</v>
      </c>
      <c r="G21" s="277">
        <v>0</v>
      </c>
      <c r="H21" s="277">
        <v>0</v>
      </c>
      <c r="I21" s="277">
        <v>0</v>
      </c>
      <c r="J21" s="277">
        <v>0</v>
      </c>
      <c r="K21" s="277">
        <v>0</v>
      </c>
      <c r="L21" s="277">
        <v>0</v>
      </c>
      <c r="M21" s="277">
        <v>0</v>
      </c>
      <c r="N21" s="277">
        <v>0</v>
      </c>
      <c r="O21" s="277">
        <v>0</v>
      </c>
      <c r="P21" s="277">
        <v>0</v>
      </c>
      <c r="Q21" s="277">
        <v>0</v>
      </c>
      <c r="R21" s="277">
        <v>0</v>
      </c>
      <c r="S21" s="277">
        <v>0</v>
      </c>
      <c r="T21" s="277">
        <v>0</v>
      </c>
      <c r="U21" s="277">
        <v>0</v>
      </c>
      <c r="V21" s="277">
        <v>0</v>
      </c>
      <c r="W21" s="277">
        <v>0</v>
      </c>
      <c r="X21" s="277">
        <v>0</v>
      </c>
      <c r="Y21" s="277">
        <v>0</v>
      </c>
      <c r="Z21" s="277">
        <v>0</v>
      </c>
      <c r="AA21" s="277">
        <v>0</v>
      </c>
      <c r="AB21" s="277">
        <v>0</v>
      </c>
      <c r="AC21" s="277">
        <v>0</v>
      </c>
      <c r="AD21" s="277">
        <v>0</v>
      </c>
      <c r="AE21" s="277">
        <v>0</v>
      </c>
      <c r="AF21" s="277">
        <v>0</v>
      </c>
      <c r="AG21" s="277">
        <v>0</v>
      </c>
      <c r="AH21" s="277">
        <v>0</v>
      </c>
      <c r="AI21" s="277">
        <v>0</v>
      </c>
      <c r="AJ21" s="55">
        <v>0</v>
      </c>
      <c r="AK21" s="55">
        <v>0</v>
      </c>
      <c r="AL21" s="55">
        <v>0</v>
      </c>
      <c r="AM21" s="55">
        <v>0</v>
      </c>
      <c r="AN21" s="55">
        <v>0</v>
      </c>
      <c r="AO21" s="55">
        <v>0</v>
      </c>
      <c r="AP21" s="55">
        <v>0</v>
      </c>
      <c r="AQ21" s="55">
        <v>0</v>
      </c>
      <c r="AR21" s="55">
        <v>0</v>
      </c>
      <c r="AS21" s="55">
        <v>0</v>
      </c>
      <c r="AT21" s="55">
        <v>0</v>
      </c>
      <c r="AU21" s="55">
        <v>0</v>
      </c>
      <c r="AV21" s="55">
        <v>0</v>
      </c>
      <c r="AW21" s="277">
        <v>0</v>
      </c>
      <c r="AX21" s="55">
        <v>0</v>
      </c>
      <c r="AY21" s="55">
        <v>0</v>
      </c>
      <c r="AZ21" s="55">
        <v>0</v>
      </c>
      <c r="BA21" s="55">
        <v>0</v>
      </c>
      <c r="BB21" s="55">
        <v>0</v>
      </c>
      <c r="BC21" s="55">
        <v>0</v>
      </c>
      <c r="BD21" s="55">
        <v>0</v>
      </c>
      <c r="BE21" s="55">
        <v>0</v>
      </c>
      <c r="BF21" s="55">
        <v>0</v>
      </c>
      <c r="BG21" s="55">
        <v>0</v>
      </c>
      <c r="BH21" s="55">
        <v>0</v>
      </c>
      <c r="BI21" s="55">
        <v>0</v>
      </c>
      <c r="BJ21" s="55">
        <v>0</v>
      </c>
      <c r="BK21" s="55">
        <v>0</v>
      </c>
      <c r="BL21" s="55">
        <v>0</v>
      </c>
      <c r="BM21" s="55">
        <v>0</v>
      </c>
      <c r="BN21" s="55">
        <v>0</v>
      </c>
      <c r="BO21" s="55">
        <v>0</v>
      </c>
      <c r="BP21" s="55">
        <v>0</v>
      </c>
      <c r="BQ21" s="55">
        <v>0</v>
      </c>
      <c r="BR21" s="56">
        <v>0</v>
      </c>
      <c r="BS21" s="56">
        <v>0</v>
      </c>
      <c r="BT21" s="56">
        <v>0</v>
      </c>
      <c r="BU21" s="56">
        <v>0</v>
      </c>
      <c r="BV21" s="56">
        <v>0</v>
      </c>
      <c r="BW21" s="55">
        <v>0</v>
      </c>
      <c r="BX21" s="55">
        <v>0</v>
      </c>
      <c r="BY21" s="55">
        <v>0</v>
      </c>
      <c r="BZ21" s="55">
        <v>0</v>
      </c>
      <c r="CA21" s="55">
        <v>0</v>
      </c>
      <c r="CB21" s="55">
        <v>0</v>
      </c>
      <c r="CC21" s="55">
        <v>0</v>
      </c>
      <c r="CD21" s="55">
        <v>0</v>
      </c>
      <c r="CE21" s="56">
        <v>0</v>
      </c>
      <c r="CF21" s="55">
        <v>0</v>
      </c>
      <c r="CG21" s="55">
        <v>0</v>
      </c>
      <c r="CH21" s="55">
        <v>0</v>
      </c>
      <c r="CI21" s="55">
        <v>0</v>
      </c>
      <c r="CJ21" s="55">
        <v>0</v>
      </c>
      <c r="CK21" s="55">
        <v>0</v>
      </c>
      <c r="CL21" s="55">
        <v>0</v>
      </c>
      <c r="CM21" s="55">
        <v>0</v>
      </c>
      <c r="CN21" s="55">
        <v>0</v>
      </c>
      <c r="CO21" s="55">
        <v>0</v>
      </c>
      <c r="CP21" s="278">
        <v>4</v>
      </c>
      <c r="CQ21" s="278">
        <v>5</v>
      </c>
      <c r="CR21" s="278">
        <v>3</v>
      </c>
      <c r="CS21" s="278">
        <v>3</v>
      </c>
      <c r="CT21" s="278">
        <v>2</v>
      </c>
      <c r="CU21" s="278">
        <v>0</v>
      </c>
      <c r="CV21" s="278">
        <v>4</v>
      </c>
      <c r="CW21" s="72">
        <v>3</v>
      </c>
      <c r="CX21" s="278">
        <v>6</v>
      </c>
      <c r="CY21" s="279">
        <v>0</v>
      </c>
      <c r="CZ21" s="278">
        <v>1</v>
      </c>
      <c r="DA21" s="278">
        <v>1</v>
      </c>
      <c r="DB21" s="278">
        <v>5</v>
      </c>
      <c r="DC21" s="278">
        <v>4</v>
      </c>
      <c r="DD21" s="278">
        <v>4</v>
      </c>
      <c r="DE21" s="278">
        <v>3</v>
      </c>
      <c r="DF21" s="278">
        <v>4</v>
      </c>
      <c r="DG21" s="278">
        <v>1</v>
      </c>
      <c r="DH21" s="72">
        <v>1</v>
      </c>
      <c r="DI21" s="278">
        <v>3</v>
      </c>
      <c r="DJ21" s="278">
        <v>0</v>
      </c>
      <c r="DK21" s="278">
        <v>3</v>
      </c>
      <c r="DL21" s="219">
        <v>4</v>
      </c>
      <c r="DM21" s="219">
        <v>3</v>
      </c>
      <c r="DN21" s="280">
        <v>1</v>
      </c>
      <c r="DO21" s="278">
        <v>1</v>
      </c>
      <c r="DP21" s="279">
        <v>0</v>
      </c>
      <c r="DQ21" s="278">
        <v>0</v>
      </c>
      <c r="DR21" s="278">
        <v>2</v>
      </c>
      <c r="DS21" s="278">
        <v>0</v>
      </c>
      <c r="DT21" s="72">
        <v>1</v>
      </c>
      <c r="DU21" s="72">
        <v>2</v>
      </c>
      <c r="DV21" s="72">
        <v>0</v>
      </c>
      <c r="DW21" s="72">
        <v>1</v>
      </c>
      <c r="DX21" s="72">
        <v>0</v>
      </c>
      <c r="DY21" s="72">
        <v>0</v>
      </c>
      <c r="DZ21" s="72">
        <v>1</v>
      </c>
      <c r="EA21" s="72">
        <v>2</v>
      </c>
      <c r="EB21" s="72">
        <v>0</v>
      </c>
      <c r="EC21" s="72">
        <v>0</v>
      </c>
      <c r="ED21" s="72">
        <v>0</v>
      </c>
      <c r="EE21" s="72">
        <v>1</v>
      </c>
      <c r="EF21" s="72">
        <v>1</v>
      </c>
      <c r="EG21" s="72">
        <v>1</v>
      </c>
      <c r="EH21" s="150">
        <f>SUM(CP21:EG21)</f>
        <v>81</v>
      </c>
      <c r="EI21" s="208">
        <f>SUM(C21:DO21)</f>
        <v>69</v>
      </c>
      <c r="EJ21" s="150">
        <f>SUM(J21:DZ21)</f>
        <v>76</v>
      </c>
      <c r="EK21" s="347">
        <f t="shared" si="2"/>
        <v>21</v>
      </c>
      <c r="EL21" s="287">
        <f t="shared" ref="EL21:EL52" si="3">SUM(C21:C21)</f>
        <v>0</v>
      </c>
      <c r="EM21" s="208">
        <f t="shared" ref="EM21:EM34" si="4">SUM(D21:O21)</f>
        <v>0</v>
      </c>
      <c r="EN21" s="150">
        <f t="shared" ref="EN21:EN34" si="5">SUM(P21:AA21)</f>
        <v>0</v>
      </c>
      <c r="EO21" s="150">
        <f t="shared" ref="EO21:EO34" si="6">SUM(AB21:AM21)</f>
        <v>0</v>
      </c>
      <c r="EP21" s="150">
        <f t="shared" ref="EP21:EP34" si="7">SUM(AN21:AY21)</f>
        <v>0</v>
      </c>
      <c r="EQ21" s="150">
        <f t="shared" ref="EQ21:EQ34" si="8">SUM(AZ21:BW21)</f>
        <v>0</v>
      </c>
      <c r="ER21" s="150">
        <f t="shared" ref="ER21:ER62" si="9">SUM(BX21:CU21)</f>
        <v>17</v>
      </c>
      <c r="ES21" s="152">
        <f t="shared" ref="ES21:ES52" si="10">SUM(CV21:DS21)</f>
        <v>54</v>
      </c>
      <c r="ET21" s="152">
        <f>SUM(DT21:EB21)</f>
        <v>7</v>
      </c>
      <c r="EU21" s="57">
        <f t="shared" ref="EU21:EU57" si="11">SUM(BP21:CK21)</f>
        <v>0</v>
      </c>
      <c r="EV21" s="12">
        <f t="shared" ref="EV21:EV62" si="12">SUM(CD21:CU21)</f>
        <v>17</v>
      </c>
      <c r="EW21" s="259">
        <v>0</v>
      </c>
      <c r="EX21" s="12">
        <f t="shared" ref="EX21:EX55" si="13">SUM(C21:CO21)</f>
        <v>0</v>
      </c>
      <c r="EY21" s="131">
        <f t="shared" ref="EY21:EY53" si="14">SUM(F21:DK21)</f>
        <v>60</v>
      </c>
      <c r="EZ21" s="204">
        <v>816</v>
      </c>
    </row>
    <row r="22" spans="1:156" ht="21" customHeight="1" x14ac:dyDescent="0.25">
      <c r="A22" s="83" t="s">
        <v>11</v>
      </c>
      <c r="B22" s="235" t="s">
        <v>272</v>
      </c>
      <c r="C22" s="189">
        <v>0</v>
      </c>
      <c r="D22" s="33">
        <v>0</v>
      </c>
      <c r="E22" s="33">
        <v>0</v>
      </c>
      <c r="F22" s="33">
        <v>0</v>
      </c>
      <c r="G22" s="33">
        <v>0</v>
      </c>
      <c r="H22" s="33">
        <v>0</v>
      </c>
      <c r="I22" s="33">
        <v>0</v>
      </c>
      <c r="J22" s="33">
        <v>0</v>
      </c>
      <c r="K22" s="33">
        <v>0</v>
      </c>
      <c r="L22" s="33">
        <v>0</v>
      </c>
      <c r="M22" s="33">
        <v>0</v>
      </c>
      <c r="N22" s="33">
        <v>0</v>
      </c>
      <c r="O22" s="33">
        <v>0</v>
      </c>
      <c r="P22" s="33">
        <v>0</v>
      </c>
      <c r="Q22" s="33">
        <v>0</v>
      </c>
      <c r="R22" s="33">
        <v>0</v>
      </c>
      <c r="S22" s="33">
        <v>0</v>
      </c>
      <c r="T22" s="33">
        <v>0</v>
      </c>
      <c r="U22" s="33">
        <v>0</v>
      </c>
      <c r="V22" s="33">
        <v>0</v>
      </c>
      <c r="W22" s="33">
        <v>0</v>
      </c>
      <c r="X22" s="33">
        <v>0</v>
      </c>
      <c r="Y22" s="33">
        <v>0</v>
      </c>
      <c r="Z22" s="33">
        <v>0</v>
      </c>
      <c r="AA22" s="33">
        <v>0</v>
      </c>
      <c r="AB22" s="33">
        <v>0</v>
      </c>
      <c r="AC22" s="33">
        <v>0</v>
      </c>
      <c r="AD22" s="33">
        <v>0</v>
      </c>
      <c r="AE22" s="33">
        <v>0</v>
      </c>
      <c r="AF22" s="33">
        <v>0</v>
      </c>
      <c r="AG22" s="33">
        <v>0</v>
      </c>
      <c r="AH22" s="33">
        <v>0</v>
      </c>
      <c r="AI22" s="33">
        <v>0</v>
      </c>
      <c r="AJ22" s="34">
        <v>0</v>
      </c>
      <c r="AK22" s="34">
        <v>0</v>
      </c>
      <c r="AL22" s="34">
        <v>0</v>
      </c>
      <c r="AM22" s="34">
        <v>0</v>
      </c>
      <c r="AN22" s="60">
        <v>0</v>
      </c>
      <c r="AO22" s="60">
        <v>0</v>
      </c>
      <c r="AP22" s="60">
        <v>0</v>
      </c>
      <c r="AQ22" s="60">
        <v>0</v>
      </c>
      <c r="AR22" s="60">
        <v>0</v>
      </c>
      <c r="AS22" s="60">
        <v>0</v>
      </c>
      <c r="AT22" s="34">
        <v>0</v>
      </c>
      <c r="AU22" s="34">
        <v>0</v>
      </c>
      <c r="AV22" s="34">
        <v>0</v>
      </c>
      <c r="AW22" s="33">
        <v>0</v>
      </c>
      <c r="AX22" s="34">
        <v>0</v>
      </c>
      <c r="AY22" s="34">
        <v>0</v>
      </c>
      <c r="AZ22" s="34">
        <v>0</v>
      </c>
      <c r="BA22" s="34">
        <v>0</v>
      </c>
      <c r="BB22" s="34">
        <v>0</v>
      </c>
      <c r="BC22" s="34">
        <v>0</v>
      </c>
      <c r="BD22" s="34">
        <v>0</v>
      </c>
      <c r="BE22" s="34">
        <v>0</v>
      </c>
      <c r="BF22" s="34">
        <v>0</v>
      </c>
      <c r="BG22" s="34">
        <v>0</v>
      </c>
      <c r="BH22" s="34">
        <v>0</v>
      </c>
      <c r="BI22" s="34">
        <v>0</v>
      </c>
      <c r="BJ22" s="34">
        <v>0</v>
      </c>
      <c r="BK22" s="34">
        <v>0</v>
      </c>
      <c r="BL22" s="34">
        <v>0</v>
      </c>
      <c r="BM22" s="34">
        <v>0</v>
      </c>
      <c r="BN22" s="34">
        <v>0</v>
      </c>
      <c r="BO22" s="34">
        <v>0</v>
      </c>
      <c r="BP22" s="34">
        <v>0</v>
      </c>
      <c r="BQ22" s="34">
        <v>0</v>
      </c>
      <c r="BR22" s="42">
        <v>0</v>
      </c>
      <c r="BS22" s="42">
        <v>0</v>
      </c>
      <c r="BT22" s="42">
        <v>0</v>
      </c>
      <c r="BU22" s="42">
        <v>0</v>
      </c>
      <c r="BV22" s="42">
        <v>0</v>
      </c>
      <c r="BW22" s="34">
        <v>0</v>
      </c>
      <c r="BX22" s="34">
        <v>0</v>
      </c>
      <c r="BY22" s="34">
        <v>0</v>
      </c>
      <c r="BZ22" s="34">
        <v>0</v>
      </c>
      <c r="CA22" s="34">
        <v>0</v>
      </c>
      <c r="CB22" s="34">
        <v>0</v>
      </c>
      <c r="CC22" s="34">
        <v>0</v>
      </c>
      <c r="CD22" s="34">
        <v>0</v>
      </c>
      <c r="CE22" s="42">
        <v>0</v>
      </c>
      <c r="CF22" s="34">
        <v>0</v>
      </c>
      <c r="CG22" s="34">
        <v>0</v>
      </c>
      <c r="CH22" s="55">
        <v>0</v>
      </c>
      <c r="CI22" s="55">
        <v>0</v>
      </c>
      <c r="CJ22" s="34">
        <v>0</v>
      </c>
      <c r="CK22" s="34">
        <v>0</v>
      </c>
      <c r="CL22" s="34">
        <v>0</v>
      </c>
      <c r="CM22" s="34">
        <v>0</v>
      </c>
      <c r="CN22" s="34">
        <v>0</v>
      </c>
      <c r="CO22" s="34">
        <v>0</v>
      </c>
      <c r="CP22" s="118">
        <v>0</v>
      </c>
      <c r="CQ22" s="118">
        <v>2</v>
      </c>
      <c r="CR22" s="118">
        <v>0</v>
      </c>
      <c r="CS22" s="118">
        <v>1</v>
      </c>
      <c r="CT22" s="118">
        <v>1</v>
      </c>
      <c r="CU22" s="118">
        <v>0</v>
      </c>
      <c r="CV22" s="118">
        <v>1</v>
      </c>
      <c r="CW22" s="134">
        <v>1</v>
      </c>
      <c r="CX22" s="118">
        <v>3</v>
      </c>
      <c r="CY22" s="118">
        <v>0</v>
      </c>
      <c r="CZ22" s="118">
        <v>0</v>
      </c>
      <c r="DA22" s="118">
        <v>0</v>
      </c>
      <c r="DB22" s="118">
        <v>0</v>
      </c>
      <c r="DC22" s="118">
        <v>1</v>
      </c>
      <c r="DD22" s="118">
        <v>2</v>
      </c>
      <c r="DE22" s="118">
        <v>0</v>
      </c>
      <c r="DF22" s="118">
        <v>0</v>
      </c>
      <c r="DG22" s="118">
        <v>1</v>
      </c>
      <c r="DH22" s="134">
        <v>0</v>
      </c>
      <c r="DI22" s="118">
        <v>0</v>
      </c>
      <c r="DJ22" s="118">
        <v>0</v>
      </c>
      <c r="DK22" s="118">
        <v>0</v>
      </c>
      <c r="DL22" s="118">
        <v>1</v>
      </c>
      <c r="DM22" s="118">
        <v>0</v>
      </c>
      <c r="DN22" s="118">
        <v>0</v>
      </c>
      <c r="DO22" s="118">
        <v>0</v>
      </c>
      <c r="DP22" s="118">
        <v>0</v>
      </c>
      <c r="DQ22" s="118">
        <v>0</v>
      </c>
      <c r="DR22" s="118">
        <v>0</v>
      </c>
      <c r="DS22" s="118">
        <v>0</v>
      </c>
      <c r="DT22" s="134">
        <v>0</v>
      </c>
      <c r="DU22" s="134">
        <v>0</v>
      </c>
      <c r="DV22" s="134">
        <v>0</v>
      </c>
      <c r="DW22" s="134">
        <v>0</v>
      </c>
      <c r="DX22" s="134">
        <v>0</v>
      </c>
      <c r="DY22" s="134">
        <v>0</v>
      </c>
      <c r="DZ22" s="134">
        <v>0</v>
      </c>
      <c r="EA22" s="134">
        <v>0</v>
      </c>
      <c r="EB22" s="134">
        <v>0</v>
      </c>
      <c r="EC22" s="134">
        <v>0</v>
      </c>
      <c r="ED22" s="134">
        <v>0</v>
      </c>
      <c r="EE22" s="134">
        <v>0</v>
      </c>
      <c r="EF22" s="134">
        <v>0</v>
      </c>
      <c r="EG22" s="134">
        <v>0</v>
      </c>
      <c r="EH22" s="150">
        <f t="shared" ref="EH22:EH81" si="15">SUM(CP22:EG22)</f>
        <v>14</v>
      </c>
      <c r="EI22" s="208">
        <f t="shared" ref="EI22:EI53" si="16">SUM(C22:DM22)</f>
        <v>14</v>
      </c>
      <c r="EJ22" s="150">
        <f t="shared" ref="EJ22:EJ53" si="17">SUM(J22:DM22)</f>
        <v>14</v>
      </c>
      <c r="EK22" s="347">
        <f t="shared" si="2"/>
        <v>1</v>
      </c>
      <c r="EL22" s="287">
        <f t="shared" si="3"/>
        <v>0</v>
      </c>
      <c r="EM22" s="208">
        <f t="shared" si="4"/>
        <v>0</v>
      </c>
      <c r="EN22" s="150">
        <f t="shared" si="5"/>
        <v>0</v>
      </c>
      <c r="EO22" s="150">
        <f t="shared" si="6"/>
        <v>0</v>
      </c>
      <c r="EP22" s="150">
        <f t="shared" si="7"/>
        <v>0</v>
      </c>
      <c r="EQ22" s="150">
        <f t="shared" si="8"/>
        <v>0</v>
      </c>
      <c r="ER22" s="150">
        <f t="shared" si="9"/>
        <v>4</v>
      </c>
      <c r="ES22" s="152">
        <f t="shared" si="10"/>
        <v>10</v>
      </c>
      <c r="ET22" s="152">
        <f t="shared" ref="ET22:ET64" si="18">SUM(DT22:EB22)</f>
        <v>0</v>
      </c>
      <c r="EU22" s="57">
        <f t="shared" si="11"/>
        <v>0</v>
      </c>
      <c r="EV22" s="12">
        <f t="shared" si="12"/>
        <v>4</v>
      </c>
      <c r="EW22" s="259">
        <v>0</v>
      </c>
      <c r="EX22" s="12">
        <f t="shared" si="13"/>
        <v>0</v>
      </c>
      <c r="EY22" s="131">
        <f t="shared" si="14"/>
        <v>13</v>
      </c>
      <c r="EZ22" s="259">
        <v>0</v>
      </c>
    </row>
    <row r="23" spans="1:156" ht="21" customHeight="1" x14ac:dyDescent="0.25">
      <c r="A23" s="83" t="s">
        <v>11</v>
      </c>
      <c r="B23" s="235" t="s">
        <v>273</v>
      </c>
      <c r="C23" s="189">
        <v>0</v>
      </c>
      <c r="D23" s="33">
        <v>0</v>
      </c>
      <c r="E23" s="33">
        <v>0</v>
      </c>
      <c r="F23" s="33">
        <v>0</v>
      </c>
      <c r="G23" s="33">
        <v>0</v>
      </c>
      <c r="H23" s="33">
        <v>0</v>
      </c>
      <c r="I23" s="33">
        <v>0</v>
      </c>
      <c r="J23" s="33">
        <v>0</v>
      </c>
      <c r="K23" s="33">
        <v>0</v>
      </c>
      <c r="L23" s="33">
        <v>0</v>
      </c>
      <c r="M23" s="33">
        <v>0</v>
      </c>
      <c r="N23" s="33">
        <v>0</v>
      </c>
      <c r="O23" s="33">
        <v>0</v>
      </c>
      <c r="P23" s="33">
        <v>0</v>
      </c>
      <c r="Q23" s="33">
        <v>0</v>
      </c>
      <c r="R23" s="33">
        <v>0</v>
      </c>
      <c r="S23" s="33">
        <v>0</v>
      </c>
      <c r="T23" s="33">
        <v>0</v>
      </c>
      <c r="U23" s="33">
        <v>0</v>
      </c>
      <c r="V23" s="33">
        <v>0</v>
      </c>
      <c r="W23" s="33">
        <v>0</v>
      </c>
      <c r="X23" s="33">
        <v>0</v>
      </c>
      <c r="Y23" s="33">
        <v>0</v>
      </c>
      <c r="Z23" s="33">
        <v>0</v>
      </c>
      <c r="AA23" s="33">
        <v>0</v>
      </c>
      <c r="AB23" s="33">
        <v>0</v>
      </c>
      <c r="AC23" s="33">
        <v>0</v>
      </c>
      <c r="AD23" s="33">
        <v>0</v>
      </c>
      <c r="AE23" s="33">
        <v>0</v>
      </c>
      <c r="AF23" s="33">
        <v>0</v>
      </c>
      <c r="AG23" s="33">
        <v>0</v>
      </c>
      <c r="AH23" s="33">
        <v>0</v>
      </c>
      <c r="AI23" s="33">
        <v>0</v>
      </c>
      <c r="AJ23" s="34">
        <v>0</v>
      </c>
      <c r="AK23" s="34">
        <v>0</v>
      </c>
      <c r="AL23" s="34">
        <v>0</v>
      </c>
      <c r="AM23" s="34">
        <v>0</v>
      </c>
      <c r="AN23" s="60">
        <v>0</v>
      </c>
      <c r="AO23" s="60">
        <v>0</v>
      </c>
      <c r="AP23" s="60">
        <v>0</v>
      </c>
      <c r="AQ23" s="60">
        <v>0</v>
      </c>
      <c r="AR23" s="60">
        <v>0</v>
      </c>
      <c r="AS23" s="60">
        <v>0</v>
      </c>
      <c r="AT23" s="34">
        <v>0</v>
      </c>
      <c r="AU23" s="34">
        <v>0</v>
      </c>
      <c r="AV23" s="34">
        <v>0</v>
      </c>
      <c r="AW23" s="33">
        <v>0</v>
      </c>
      <c r="AX23" s="34">
        <v>0</v>
      </c>
      <c r="AY23" s="34">
        <v>0</v>
      </c>
      <c r="AZ23" s="34">
        <v>0</v>
      </c>
      <c r="BA23" s="34">
        <v>0</v>
      </c>
      <c r="BB23" s="34">
        <v>0</v>
      </c>
      <c r="BC23" s="34">
        <v>0</v>
      </c>
      <c r="BD23" s="34">
        <v>0</v>
      </c>
      <c r="BE23" s="34">
        <v>0</v>
      </c>
      <c r="BF23" s="34">
        <v>0</v>
      </c>
      <c r="BG23" s="34">
        <v>0</v>
      </c>
      <c r="BH23" s="34">
        <v>0</v>
      </c>
      <c r="BI23" s="34">
        <v>0</v>
      </c>
      <c r="BJ23" s="34">
        <v>0</v>
      </c>
      <c r="BK23" s="34">
        <v>0</v>
      </c>
      <c r="BL23" s="34">
        <v>0</v>
      </c>
      <c r="BM23" s="34">
        <v>0</v>
      </c>
      <c r="BN23" s="34">
        <v>0</v>
      </c>
      <c r="BO23" s="34">
        <v>0</v>
      </c>
      <c r="BP23" s="34">
        <v>0</v>
      </c>
      <c r="BQ23" s="34">
        <v>0</v>
      </c>
      <c r="BR23" s="42">
        <v>0</v>
      </c>
      <c r="BS23" s="42">
        <v>0</v>
      </c>
      <c r="BT23" s="42">
        <v>0</v>
      </c>
      <c r="BU23" s="42">
        <v>0</v>
      </c>
      <c r="BV23" s="42">
        <v>0</v>
      </c>
      <c r="BW23" s="34">
        <v>0</v>
      </c>
      <c r="BX23" s="34">
        <v>0</v>
      </c>
      <c r="BY23" s="34">
        <v>0</v>
      </c>
      <c r="BZ23" s="34">
        <v>0</v>
      </c>
      <c r="CA23" s="34">
        <v>0</v>
      </c>
      <c r="CB23" s="34">
        <v>0</v>
      </c>
      <c r="CC23" s="34">
        <v>0</v>
      </c>
      <c r="CD23" s="34">
        <v>0</v>
      </c>
      <c r="CE23" s="42">
        <v>0</v>
      </c>
      <c r="CF23" s="34">
        <v>0</v>
      </c>
      <c r="CG23" s="34">
        <v>0</v>
      </c>
      <c r="CH23" s="55">
        <v>0</v>
      </c>
      <c r="CI23" s="55">
        <v>0</v>
      </c>
      <c r="CJ23" s="34">
        <v>0</v>
      </c>
      <c r="CK23" s="34">
        <v>0</v>
      </c>
      <c r="CL23" s="34">
        <v>0</v>
      </c>
      <c r="CM23" s="34">
        <v>0</v>
      </c>
      <c r="CN23" s="34">
        <v>0</v>
      </c>
      <c r="CO23" s="34">
        <v>0</v>
      </c>
      <c r="CP23" s="118">
        <v>0</v>
      </c>
      <c r="CQ23" s="118">
        <v>0</v>
      </c>
      <c r="CR23" s="118">
        <v>1</v>
      </c>
      <c r="CS23" s="118">
        <v>0</v>
      </c>
      <c r="CT23" s="118">
        <v>0</v>
      </c>
      <c r="CU23" s="118">
        <v>0</v>
      </c>
      <c r="CV23" s="118">
        <v>0</v>
      </c>
      <c r="CW23" s="134">
        <v>0</v>
      </c>
      <c r="CX23" s="118">
        <v>0</v>
      </c>
      <c r="CY23" s="118">
        <v>0</v>
      </c>
      <c r="CZ23" s="118">
        <v>0</v>
      </c>
      <c r="DA23" s="118">
        <v>0</v>
      </c>
      <c r="DB23" s="118">
        <v>1</v>
      </c>
      <c r="DC23" s="118">
        <v>0</v>
      </c>
      <c r="DD23" s="118">
        <v>0</v>
      </c>
      <c r="DE23" s="118">
        <v>1</v>
      </c>
      <c r="DF23" s="118">
        <v>0</v>
      </c>
      <c r="DG23" s="118">
        <v>0</v>
      </c>
      <c r="DH23" s="134">
        <v>0</v>
      </c>
      <c r="DI23" s="118">
        <v>0</v>
      </c>
      <c r="DJ23" s="118">
        <v>0</v>
      </c>
      <c r="DK23" s="118">
        <v>0</v>
      </c>
      <c r="DL23" s="118">
        <v>0</v>
      </c>
      <c r="DM23" s="118">
        <v>0</v>
      </c>
      <c r="DN23" s="118">
        <v>0</v>
      </c>
      <c r="DO23" s="118">
        <v>0</v>
      </c>
      <c r="DP23" s="118">
        <v>0</v>
      </c>
      <c r="DQ23" s="118">
        <v>0</v>
      </c>
      <c r="DR23" s="118">
        <v>0</v>
      </c>
      <c r="DS23" s="118">
        <v>0</v>
      </c>
      <c r="DT23" s="134">
        <v>0</v>
      </c>
      <c r="DU23" s="134">
        <v>0</v>
      </c>
      <c r="DV23" s="134">
        <v>0</v>
      </c>
      <c r="DW23" s="134">
        <v>0</v>
      </c>
      <c r="DX23" s="134">
        <v>0</v>
      </c>
      <c r="DY23" s="134">
        <v>0</v>
      </c>
      <c r="DZ23" s="134">
        <v>0</v>
      </c>
      <c r="EA23" s="134">
        <v>0</v>
      </c>
      <c r="EB23" s="134">
        <v>0</v>
      </c>
      <c r="EC23" s="134">
        <v>0</v>
      </c>
      <c r="ED23" s="134">
        <v>0</v>
      </c>
      <c r="EE23" s="134">
        <v>0</v>
      </c>
      <c r="EF23" s="134">
        <v>0</v>
      </c>
      <c r="EG23" s="134">
        <v>0</v>
      </c>
      <c r="EH23" s="150">
        <f t="shared" si="15"/>
        <v>3</v>
      </c>
      <c r="EI23" s="208">
        <f t="shared" si="16"/>
        <v>3</v>
      </c>
      <c r="EJ23" s="150">
        <f t="shared" si="17"/>
        <v>3</v>
      </c>
      <c r="EK23" s="347">
        <f t="shared" si="2"/>
        <v>0</v>
      </c>
      <c r="EL23" s="287">
        <f t="shared" si="3"/>
        <v>0</v>
      </c>
      <c r="EM23" s="208">
        <f t="shared" si="4"/>
        <v>0</v>
      </c>
      <c r="EN23" s="150">
        <f t="shared" si="5"/>
        <v>0</v>
      </c>
      <c r="EO23" s="150">
        <f t="shared" si="6"/>
        <v>0</v>
      </c>
      <c r="EP23" s="150">
        <f t="shared" si="7"/>
        <v>0</v>
      </c>
      <c r="EQ23" s="150">
        <f t="shared" si="8"/>
        <v>0</v>
      </c>
      <c r="ER23" s="150">
        <f t="shared" si="9"/>
        <v>1</v>
      </c>
      <c r="ES23" s="152">
        <f t="shared" si="10"/>
        <v>2</v>
      </c>
      <c r="ET23" s="152">
        <f t="shared" si="18"/>
        <v>0</v>
      </c>
      <c r="EU23" s="57">
        <f t="shared" si="11"/>
        <v>0</v>
      </c>
      <c r="EV23" s="12">
        <f t="shared" si="12"/>
        <v>1</v>
      </c>
      <c r="EW23" s="259">
        <v>0</v>
      </c>
      <c r="EX23" s="12">
        <f t="shared" si="13"/>
        <v>0</v>
      </c>
      <c r="EY23" s="131">
        <f t="shared" si="14"/>
        <v>3</v>
      </c>
      <c r="EZ23" s="259">
        <v>0</v>
      </c>
    </row>
    <row r="24" spans="1:156" ht="21" customHeight="1" x14ac:dyDescent="0.25">
      <c r="A24" s="83" t="s">
        <v>11</v>
      </c>
      <c r="B24" s="235" t="s">
        <v>279</v>
      </c>
      <c r="C24" s="189">
        <v>0</v>
      </c>
      <c r="D24" s="33">
        <v>0</v>
      </c>
      <c r="E24" s="33">
        <v>0</v>
      </c>
      <c r="F24" s="33">
        <v>0</v>
      </c>
      <c r="G24" s="33">
        <v>0</v>
      </c>
      <c r="H24" s="33">
        <v>0</v>
      </c>
      <c r="I24" s="33">
        <v>0</v>
      </c>
      <c r="J24" s="33">
        <v>0</v>
      </c>
      <c r="K24" s="33">
        <v>0</v>
      </c>
      <c r="L24" s="33">
        <v>0</v>
      </c>
      <c r="M24" s="33">
        <v>0</v>
      </c>
      <c r="N24" s="33">
        <v>0</v>
      </c>
      <c r="O24" s="33">
        <v>0</v>
      </c>
      <c r="P24" s="33">
        <v>0</v>
      </c>
      <c r="Q24" s="33">
        <v>0</v>
      </c>
      <c r="R24" s="33">
        <v>0</v>
      </c>
      <c r="S24" s="33">
        <v>0</v>
      </c>
      <c r="T24" s="33">
        <v>0</v>
      </c>
      <c r="U24" s="33">
        <v>0</v>
      </c>
      <c r="V24" s="33">
        <v>0</v>
      </c>
      <c r="W24" s="33">
        <v>0</v>
      </c>
      <c r="X24" s="33">
        <v>0</v>
      </c>
      <c r="Y24" s="33">
        <v>0</v>
      </c>
      <c r="Z24" s="33">
        <v>0</v>
      </c>
      <c r="AA24" s="33">
        <v>0</v>
      </c>
      <c r="AB24" s="33">
        <v>0</v>
      </c>
      <c r="AC24" s="33">
        <v>0</v>
      </c>
      <c r="AD24" s="33">
        <v>0</v>
      </c>
      <c r="AE24" s="33">
        <v>0</v>
      </c>
      <c r="AF24" s="33">
        <v>0</v>
      </c>
      <c r="AG24" s="33">
        <v>0</v>
      </c>
      <c r="AH24" s="33">
        <v>0</v>
      </c>
      <c r="AI24" s="33">
        <v>0</v>
      </c>
      <c r="AJ24" s="34">
        <v>0</v>
      </c>
      <c r="AK24" s="34">
        <v>0</v>
      </c>
      <c r="AL24" s="34">
        <v>0</v>
      </c>
      <c r="AM24" s="34">
        <v>0</v>
      </c>
      <c r="AN24" s="60">
        <v>0</v>
      </c>
      <c r="AO24" s="60">
        <v>0</v>
      </c>
      <c r="AP24" s="60">
        <v>0</v>
      </c>
      <c r="AQ24" s="60">
        <v>0</v>
      </c>
      <c r="AR24" s="60">
        <v>0</v>
      </c>
      <c r="AS24" s="60">
        <v>0</v>
      </c>
      <c r="AT24" s="34">
        <v>0</v>
      </c>
      <c r="AU24" s="34">
        <v>0</v>
      </c>
      <c r="AV24" s="34">
        <v>0</v>
      </c>
      <c r="AW24" s="33">
        <v>0</v>
      </c>
      <c r="AX24" s="34">
        <v>0</v>
      </c>
      <c r="AY24" s="34">
        <v>0</v>
      </c>
      <c r="AZ24" s="34">
        <v>0</v>
      </c>
      <c r="BA24" s="34">
        <v>0</v>
      </c>
      <c r="BB24" s="34">
        <v>0</v>
      </c>
      <c r="BC24" s="34">
        <v>0</v>
      </c>
      <c r="BD24" s="34">
        <v>0</v>
      </c>
      <c r="BE24" s="34">
        <v>0</v>
      </c>
      <c r="BF24" s="34">
        <v>0</v>
      </c>
      <c r="BG24" s="34">
        <v>0</v>
      </c>
      <c r="BH24" s="34">
        <v>0</v>
      </c>
      <c r="BI24" s="34">
        <v>0</v>
      </c>
      <c r="BJ24" s="34">
        <v>0</v>
      </c>
      <c r="BK24" s="34">
        <v>0</v>
      </c>
      <c r="BL24" s="34">
        <v>0</v>
      </c>
      <c r="BM24" s="34">
        <v>0</v>
      </c>
      <c r="BN24" s="34">
        <v>0</v>
      </c>
      <c r="BO24" s="34">
        <v>0</v>
      </c>
      <c r="BP24" s="34">
        <v>0</v>
      </c>
      <c r="BQ24" s="34">
        <v>0</v>
      </c>
      <c r="BR24" s="42">
        <v>0</v>
      </c>
      <c r="BS24" s="42">
        <v>0</v>
      </c>
      <c r="BT24" s="42">
        <v>0</v>
      </c>
      <c r="BU24" s="42">
        <v>0</v>
      </c>
      <c r="BV24" s="42">
        <v>0</v>
      </c>
      <c r="BW24" s="34">
        <v>0</v>
      </c>
      <c r="BX24" s="34">
        <v>0</v>
      </c>
      <c r="BY24" s="34">
        <v>0</v>
      </c>
      <c r="BZ24" s="34">
        <v>0</v>
      </c>
      <c r="CA24" s="34">
        <v>0</v>
      </c>
      <c r="CB24" s="34">
        <v>0</v>
      </c>
      <c r="CC24" s="34">
        <v>0</v>
      </c>
      <c r="CD24" s="34">
        <v>0</v>
      </c>
      <c r="CE24" s="42">
        <v>0</v>
      </c>
      <c r="CF24" s="34">
        <v>0</v>
      </c>
      <c r="CG24" s="34">
        <v>0</v>
      </c>
      <c r="CH24" s="55">
        <v>0</v>
      </c>
      <c r="CI24" s="55">
        <v>0</v>
      </c>
      <c r="CJ24" s="34">
        <v>0</v>
      </c>
      <c r="CK24" s="34">
        <v>0</v>
      </c>
      <c r="CL24" s="34">
        <v>0</v>
      </c>
      <c r="CM24" s="34">
        <v>0</v>
      </c>
      <c r="CN24" s="34">
        <v>0</v>
      </c>
      <c r="CO24" s="34">
        <v>0</v>
      </c>
      <c r="CP24" s="118">
        <v>0</v>
      </c>
      <c r="CQ24" s="118">
        <v>0</v>
      </c>
      <c r="CR24" s="118">
        <v>1</v>
      </c>
      <c r="CS24" s="118">
        <v>1</v>
      </c>
      <c r="CT24" s="118">
        <v>0</v>
      </c>
      <c r="CU24" s="118">
        <v>0</v>
      </c>
      <c r="CV24" s="118">
        <v>0</v>
      </c>
      <c r="CW24" s="134">
        <v>1</v>
      </c>
      <c r="CX24" s="118">
        <v>0</v>
      </c>
      <c r="CY24" s="118">
        <v>0</v>
      </c>
      <c r="CZ24" s="118">
        <v>0</v>
      </c>
      <c r="DA24" s="118">
        <v>0</v>
      </c>
      <c r="DB24" s="118">
        <v>2</v>
      </c>
      <c r="DC24" s="118">
        <v>0</v>
      </c>
      <c r="DD24" s="118">
        <v>0</v>
      </c>
      <c r="DE24" s="118">
        <v>0</v>
      </c>
      <c r="DF24" s="118">
        <v>0</v>
      </c>
      <c r="DG24" s="118">
        <v>0</v>
      </c>
      <c r="DH24" s="134">
        <v>0</v>
      </c>
      <c r="DI24" s="118">
        <v>0</v>
      </c>
      <c r="DJ24" s="118">
        <v>0</v>
      </c>
      <c r="DK24" s="118">
        <v>0</v>
      </c>
      <c r="DL24" s="118">
        <v>2</v>
      </c>
      <c r="DM24" s="118">
        <v>0</v>
      </c>
      <c r="DN24" s="118">
        <v>0</v>
      </c>
      <c r="DO24" s="118">
        <v>0</v>
      </c>
      <c r="DP24" s="118">
        <v>0</v>
      </c>
      <c r="DQ24" s="118">
        <v>0</v>
      </c>
      <c r="DR24" s="118">
        <v>0</v>
      </c>
      <c r="DS24" s="118">
        <v>0</v>
      </c>
      <c r="DT24" s="134">
        <v>0</v>
      </c>
      <c r="DU24" s="134">
        <v>0</v>
      </c>
      <c r="DV24" s="134">
        <v>0</v>
      </c>
      <c r="DW24" s="134">
        <v>0</v>
      </c>
      <c r="DX24" s="134">
        <v>0</v>
      </c>
      <c r="DY24" s="134">
        <v>0</v>
      </c>
      <c r="DZ24" s="134">
        <v>0</v>
      </c>
      <c r="EA24" s="134">
        <v>0</v>
      </c>
      <c r="EB24" s="134">
        <v>0</v>
      </c>
      <c r="EC24" s="134">
        <v>0</v>
      </c>
      <c r="ED24" s="134">
        <v>0</v>
      </c>
      <c r="EE24" s="134">
        <v>0</v>
      </c>
      <c r="EF24" s="134">
        <v>0</v>
      </c>
      <c r="EG24" s="134">
        <v>0</v>
      </c>
      <c r="EH24" s="150">
        <f t="shared" si="15"/>
        <v>7</v>
      </c>
      <c r="EI24" s="208">
        <f t="shared" si="16"/>
        <v>7</v>
      </c>
      <c r="EJ24" s="150">
        <f t="shared" si="17"/>
        <v>7</v>
      </c>
      <c r="EK24" s="347">
        <f t="shared" si="2"/>
        <v>2</v>
      </c>
      <c r="EL24" s="287">
        <f t="shared" si="3"/>
        <v>0</v>
      </c>
      <c r="EM24" s="208">
        <f t="shared" si="4"/>
        <v>0</v>
      </c>
      <c r="EN24" s="150">
        <f t="shared" si="5"/>
        <v>0</v>
      </c>
      <c r="EO24" s="150">
        <f t="shared" si="6"/>
        <v>0</v>
      </c>
      <c r="EP24" s="150">
        <f t="shared" si="7"/>
        <v>0</v>
      </c>
      <c r="EQ24" s="150">
        <f t="shared" si="8"/>
        <v>0</v>
      </c>
      <c r="ER24" s="150">
        <f t="shared" si="9"/>
        <v>2</v>
      </c>
      <c r="ES24" s="152">
        <f t="shared" si="10"/>
        <v>5</v>
      </c>
      <c r="ET24" s="152">
        <f t="shared" si="18"/>
        <v>0</v>
      </c>
      <c r="EU24" s="57">
        <f t="shared" si="11"/>
        <v>0</v>
      </c>
      <c r="EV24" s="12">
        <f t="shared" si="12"/>
        <v>2</v>
      </c>
      <c r="EW24" s="259">
        <v>0</v>
      </c>
      <c r="EX24" s="12">
        <f t="shared" si="13"/>
        <v>0</v>
      </c>
      <c r="EY24" s="131">
        <f t="shared" si="14"/>
        <v>5</v>
      </c>
      <c r="EZ24" s="259">
        <v>0</v>
      </c>
    </row>
    <row r="25" spans="1:156" s="217" customFormat="1" ht="21" customHeight="1" x14ac:dyDescent="0.25">
      <c r="A25" s="83" t="s">
        <v>11</v>
      </c>
      <c r="B25" s="235" t="s">
        <v>276</v>
      </c>
      <c r="C25" s="189">
        <v>0</v>
      </c>
      <c r="D25" s="33">
        <v>0</v>
      </c>
      <c r="E25" s="33">
        <v>0</v>
      </c>
      <c r="F25" s="33">
        <v>0</v>
      </c>
      <c r="G25" s="33">
        <v>0</v>
      </c>
      <c r="H25" s="33">
        <v>0</v>
      </c>
      <c r="I25" s="33">
        <v>0</v>
      </c>
      <c r="J25" s="33">
        <v>0</v>
      </c>
      <c r="K25" s="33">
        <v>0</v>
      </c>
      <c r="L25" s="33">
        <v>0</v>
      </c>
      <c r="M25" s="33">
        <v>0</v>
      </c>
      <c r="N25" s="33">
        <v>0</v>
      </c>
      <c r="O25" s="33">
        <v>0</v>
      </c>
      <c r="P25" s="33">
        <v>0</v>
      </c>
      <c r="Q25" s="33">
        <v>0</v>
      </c>
      <c r="R25" s="33">
        <v>0</v>
      </c>
      <c r="S25" s="33">
        <v>0</v>
      </c>
      <c r="T25" s="33">
        <v>0</v>
      </c>
      <c r="U25" s="33">
        <v>0</v>
      </c>
      <c r="V25" s="33">
        <v>0</v>
      </c>
      <c r="W25" s="33">
        <v>0</v>
      </c>
      <c r="X25" s="33">
        <v>0</v>
      </c>
      <c r="Y25" s="33">
        <v>0</v>
      </c>
      <c r="Z25" s="33">
        <v>0</v>
      </c>
      <c r="AA25" s="33">
        <v>0</v>
      </c>
      <c r="AB25" s="33">
        <v>0</v>
      </c>
      <c r="AC25" s="33">
        <v>0</v>
      </c>
      <c r="AD25" s="33">
        <v>0</v>
      </c>
      <c r="AE25" s="33">
        <v>0</v>
      </c>
      <c r="AF25" s="33">
        <v>0</v>
      </c>
      <c r="AG25" s="33">
        <v>0</v>
      </c>
      <c r="AH25" s="33">
        <v>0</v>
      </c>
      <c r="AI25" s="33">
        <v>0</v>
      </c>
      <c r="AJ25" s="34">
        <v>0</v>
      </c>
      <c r="AK25" s="34">
        <v>0</v>
      </c>
      <c r="AL25" s="34">
        <v>0</v>
      </c>
      <c r="AM25" s="34">
        <v>0</v>
      </c>
      <c r="AN25" s="60">
        <v>0</v>
      </c>
      <c r="AO25" s="60">
        <v>0</v>
      </c>
      <c r="AP25" s="60">
        <v>0</v>
      </c>
      <c r="AQ25" s="60">
        <v>0</v>
      </c>
      <c r="AR25" s="60">
        <v>0</v>
      </c>
      <c r="AS25" s="60">
        <v>0</v>
      </c>
      <c r="AT25" s="34">
        <v>0</v>
      </c>
      <c r="AU25" s="34">
        <v>0</v>
      </c>
      <c r="AV25" s="34">
        <v>0</v>
      </c>
      <c r="AW25" s="33">
        <v>0</v>
      </c>
      <c r="AX25" s="34">
        <v>0</v>
      </c>
      <c r="AY25" s="34">
        <v>0</v>
      </c>
      <c r="AZ25" s="34">
        <v>0</v>
      </c>
      <c r="BA25" s="34">
        <v>0</v>
      </c>
      <c r="BB25" s="34">
        <v>0</v>
      </c>
      <c r="BC25" s="34">
        <v>0</v>
      </c>
      <c r="BD25" s="34">
        <v>0</v>
      </c>
      <c r="BE25" s="34">
        <v>0</v>
      </c>
      <c r="BF25" s="34">
        <v>0</v>
      </c>
      <c r="BG25" s="34">
        <v>0</v>
      </c>
      <c r="BH25" s="34">
        <v>0</v>
      </c>
      <c r="BI25" s="34">
        <v>0</v>
      </c>
      <c r="BJ25" s="34">
        <v>0</v>
      </c>
      <c r="BK25" s="34">
        <v>0</v>
      </c>
      <c r="BL25" s="34">
        <v>0</v>
      </c>
      <c r="BM25" s="34">
        <v>0</v>
      </c>
      <c r="BN25" s="34">
        <v>0</v>
      </c>
      <c r="BO25" s="34">
        <v>0</v>
      </c>
      <c r="BP25" s="34">
        <v>0</v>
      </c>
      <c r="BQ25" s="34">
        <v>0</v>
      </c>
      <c r="BR25" s="42">
        <v>0</v>
      </c>
      <c r="BS25" s="42">
        <v>0</v>
      </c>
      <c r="BT25" s="42">
        <v>0</v>
      </c>
      <c r="BU25" s="42">
        <v>0</v>
      </c>
      <c r="BV25" s="42">
        <v>0</v>
      </c>
      <c r="BW25" s="34">
        <v>0</v>
      </c>
      <c r="BX25" s="34">
        <v>0</v>
      </c>
      <c r="BY25" s="34">
        <v>0</v>
      </c>
      <c r="BZ25" s="34">
        <v>0</v>
      </c>
      <c r="CA25" s="34">
        <v>0</v>
      </c>
      <c r="CB25" s="34">
        <v>0</v>
      </c>
      <c r="CC25" s="34">
        <v>0</v>
      </c>
      <c r="CD25" s="34">
        <v>0</v>
      </c>
      <c r="CE25" s="42">
        <v>0</v>
      </c>
      <c r="CF25" s="34">
        <v>0</v>
      </c>
      <c r="CG25" s="34">
        <v>0</v>
      </c>
      <c r="CH25" s="55">
        <v>0</v>
      </c>
      <c r="CI25" s="55">
        <v>0</v>
      </c>
      <c r="CJ25" s="34">
        <v>0</v>
      </c>
      <c r="CK25" s="34">
        <v>0</v>
      </c>
      <c r="CL25" s="34">
        <v>0</v>
      </c>
      <c r="CM25" s="34">
        <v>0</v>
      </c>
      <c r="CN25" s="34">
        <v>0</v>
      </c>
      <c r="CO25" s="34">
        <v>0</v>
      </c>
      <c r="CP25" s="118">
        <v>0</v>
      </c>
      <c r="CQ25" s="118">
        <v>0</v>
      </c>
      <c r="CR25" s="118">
        <v>0</v>
      </c>
      <c r="CS25" s="118">
        <v>0</v>
      </c>
      <c r="CT25" s="118">
        <v>0</v>
      </c>
      <c r="CU25" s="118">
        <v>0</v>
      </c>
      <c r="CV25" s="118">
        <v>1</v>
      </c>
      <c r="CW25" s="134">
        <v>0</v>
      </c>
      <c r="CX25" s="118">
        <v>0</v>
      </c>
      <c r="CY25" s="118">
        <v>0</v>
      </c>
      <c r="CZ25" s="118">
        <v>0</v>
      </c>
      <c r="DA25" s="118">
        <v>0</v>
      </c>
      <c r="DB25" s="118">
        <v>0</v>
      </c>
      <c r="DC25" s="118">
        <v>0</v>
      </c>
      <c r="DD25" s="118">
        <v>0</v>
      </c>
      <c r="DE25" s="118">
        <v>0</v>
      </c>
      <c r="DF25" s="118">
        <v>0</v>
      </c>
      <c r="DG25" s="118">
        <v>0</v>
      </c>
      <c r="DH25" s="134">
        <v>0</v>
      </c>
      <c r="DI25" s="118">
        <v>0</v>
      </c>
      <c r="DJ25" s="118">
        <v>0</v>
      </c>
      <c r="DK25" s="118">
        <v>0</v>
      </c>
      <c r="DL25" s="118">
        <v>0</v>
      </c>
      <c r="DM25" s="118">
        <v>0</v>
      </c>
      <c r="DN25" s="118">
        <v>0</v>
      </c>
      <c r="DO25" s="118">
        <v>0</v>
      </c>
      <c r="DP25" s="118">
        <v>0</v>
      </c>
      <c r="DQ25" s="118">
        <v>0</v>
      </c>
      <c r="DR25" s="118">
        <v>0</v>
      </c>
      <c r="DS25" s="118">
        <v>0</v>
      </c>
      <c r="DT25" s="134">
        <v>0</v>
      </c>
      <c r="DU25" s="134">
        <v>0</v>
      </c>
      <c r="DV25" s="134">
        <v>0</v>
      </c>
      <c r="DW25" s="134">
        <v>0</v>
      </c>
      <c r="DX25" s="134">
        <v>0</v>
      </c>
      <c r="DY25" s="134">
        <v>0</v>
      </c>
      <c r="DZ25" s="134">
        <v>0</v>
      </c>
      <c r="EA25" s="134">
        <v>0</v>
      </c>
      <c r="EB25" s="134">
        <v>0</v>
      </c>
      <c r="EC25" s="134">
        <v>0</v>
      </c>
      <c r="ED25" s="134">
        <v>0</v>
      </c>
      <c r="EE25" s="134">
        <v>0</v>
      </c>
      <c r="EF25" s="134">
        <v>0</v>
      </c>
      <c r="EG25" s="134">
        <v>0</v>
      </c>
      <c r="EH25" s="150">
        <f t="shared" si="15"/>
        <v>1</v>
      </c>
      <c r="EI25" s="208">
        <f t="shared" si="16"/>
        <v>1</v>
      </c>
      <c r="EJ25" s="150">
        <f t="shared" si="17"/>
        <v>1</v>
      </c>
      <c r="EK25" s="347">
        <f t="shared" si="2"/>
        <v>0</v>
      </c>
      <c r="EL25" s="287">
        <f t="shared" si="3"/>
        <v>0</v>
      </c>
      <c r="EM25" s="208">
        <f t="shared" si="4"/>
        <v>0</v>
      </c>
      <c r="EN25" s="150">
        <f t="shared" si="5"/>
        <v>0</v>
      </c>
      <c r="EO25" s="150">
        <f t="shared" si="6"/>
        <v>0</v>
      </c>
      <c r="EP25" s="150">
        <f t="shared" si="7"/>
        <v>0</v>
      </c>
      <c r="EQ25" s="150">
        <f t="shared" si="8"/>
        <v>0</v>
      </c>
      <c r="ER25" s="150">
        <f t="shared" si="9"/>
        <v>0</v>
      </c>
      <c r="ES25" s="152">
        <f t="shared" si="10"/>
        <v>1</v>
      </c>
      <c r="ET25" s="152">
        <f t="shared" si="18"/>
        <v>0</v>
      </c>
      <c r="EU25" s="57">
        <f t="shared" si="11"/>
        <v>0</v>
      </c>
      <c r="EV25" s="12">
        <f t="shared" si="12"/>
        <v>0</v>
      </c>
      <c r="EW25" s="259">
        <v>0</v>
      </c>
      <c r="EX25" s="12">
        <f t="shared" si="13"/>
        <v>0</v>
      </c>
      <c r="EY25" s="131">
        <f t="shared" si="14"/>
        <v>1</v>
      </c>
      <c r="EZ25" s="259">
        <v>0</v>
      </c>
    </row>
    <row r="26" spans="1:156" s="217" customFormat="1" ht="21" customHeight="1" x14ac:dyDescent="0.25">
      <c r="A26" s="83" t="s">
        <v>11</v>
      </c>
      <c r="B26" s="235" t="s">
        <v>277</v>
      </c>
      <c r="C26" s="189">
        <v>0</v>
      </c>
      <c r="D26" s="33">
        <v>0</v>
      </c>
      <c r="E26" s="33">
        <v>0</v>
      </c>
      <c r="F26" s="33">
        <v>0</v>
      </c>
      <c r="G26" s="33">
        <v>0</v>
      </c>
      <c r="H26" s="33">
        <v>0</v>
      </c>
      <c r="I26" s="33">
        <v>0</v>
      </c>
      <c r="J26" s="33">
        <v>0</v>
      </c>
      <c r="K26" s="33">
        <v>0</v>
      </c>
      <c r="L26" s="33">
        <v>0</v>
      </c>
      <c r="M26" s="33">
        <v>0</v>
      </c>
      <c r="N26" s="33">
        <v>0</v>
      </c>
      <c r="O26" s="33">
        <v>0</v>
      </c>
      <c r="P26" s="33">
        <v>0</v>
      </c>
      <c r="Q26" s="33">
        <v>0</v>
      </c>
      <c r="R26" s="33">
        <v>0</v>
      </c>
      <c r="S26" s="33">
        <v>0</v>
      </c>
      <c r="T26" s="33">
        <v>0</v>
      </c>
      <c r="U26" s="33">
        <v>0</v>
      </c>
      <c r="V26" s="33">
        <v>0</v>
      </c>
      <c r="W26" s="33">
        <v>0</v>
      </c>
      <c r="X26" s="33">
        <v>0</v>
      </c>
      <c r="Y26" s="33">
        <v>0</v>
      </c>
      <c r="Z26" s="33">
        <v>0</v>
      </c>
      <c r="AA26" s="33">
        <v>0</v>
      </c>
      <c r="AB26" s="33">
        <v>0</v>
      </c>
      <c r="AC26" s="33">
        <v>0</v>
      </c>
      <c r="AD26" s="33">
        <v>0</v>
      </c>
      <c r="AE26" s="33">
        <v>0</v>
      </c>
      <c r="AF26" s="33">
        <v>0</v>
      </c>
      <c r="AG26" s="33">
        <v>0</v>
      </c>
      <c r="AH26" s="33">
        <v>0</v>
      </c>
      <c r="AI26" s="33">
        <v>0</v>
      </c>
      <c r="AJ26" s="34">
        <v>0</v>
      </c>
      <c r="AK26" s="34">
        <v>0</v>
      </c>
      <c r="AL26" s="34">
        <v>0</v>
      </c>
      <c r="AM26" s="34">
        <v>0</v>
      </c>
      <c r="AN26" s="60">
        <v>0</v>
      </c>
      <c r="AO26" s="60">
        <v>0</v>
      </c>
      <c r="AP26" s="60">
        <v>0</v>
      </c>
      <c r="AQ26" s="60">
        <v>0</v>
      </c>
      <c r="AR26" s="60">
        <v>0</v>
      </c>
      <c r="AS26" s="60">
        <v>0</v>
      </c>
      <c r="AT26" s="34">
        <v>0</v>
      </c>
      <c r="AU26" s="34">
        <v>0</v>
      </c>
      <c r="AV26" s="34">
        <v>0</v>
      </c>
      <c r="AW26" s="33">
        <v>0</v>
      </c>
      <c r="AX26" s="34">
        <v>0</v>
      </c>
      <c r="AY26" s="34">
        <v>0</v>
      </c>
      <c r="AZ26" s="34">
        <v>0</v>
      </c>
      <c r="BA26" s="34">
        <v>0</v>
      </c>
      <c r="BB26" s="34">
        <v>0</v>
      </c>
      <c r="BC26" s="34">
        <v>0</v>
      </c>
      <c r="BD26" s="34">
        <v>0</v>
      </c>
      <c r="BE26" s="34">
        <v>0</v>
      </c>
      <c r="BF26" s="34">
        <v>0</v>
      </c>
      <c r="BG26" s="34">
        <v>0</v>
      </c>
      <c r="BH26" s="34">
        <v>0</v>
      </c>
      <c r="BI26" s="34">
        <v>0</v>
      </c>
      <c r="BJ26" s="34">
        <v>0</v>
      </c>
      <c r="BK26" s="34">
        <v>0</v>
      </c>
      <c r="BL26" s="34">
        <v>0</v>
      </c>
      <c r="BM26" s="34">
        <v>0</v>
      </c>
      <c r="BN26" s="34">
        <v>0</v>
      </c>
      <c r="BO26" s="34">
        <v>0</v>
      </c>
      <c r="BP26" s="34">
        <v>0</v>
      </c>
      <c r="BQ26" s="34">
        <v>0</v>
      </c>
      <c r="BR26" s="42">
        <v>0</v>
      </c>
      <c r="BS26" s="42">
        <v>0</v>
      </c>
      <c r="BT26" s="42">
        <v>0</v>
      </c>
      <c r="BU26" s="42">
        <v>0</v>
      </c>
      <c r="BV26" s="42">
        <v>0</v>
      </c>
      <c r="BW26" s="34">
        <v>0</v>
      </c>
      <c r="BX26" s="34">
        <v>0</v>
      </c>
      <c r="BY26" s="34">
        <v>0</v>
      </c>
      <c r="BZ26" s="34">
        <v>0</v>
      </c>
      <c r="CA26" s="34">
        <v>0</v>
      </c>
      <c r="CB26" s="34">
        <v>0</v>
      </c>
      <c r="CC26" s="34">
        <v>0</v>
      </c>
      <c r="CD26" s="34">
        <v>0</v>
      </c>
      <c r="CE26" s="42">
        <v>0</v>
      </c>
      <c r="CF26" s="34">
        <v>0</v>
      </c>
      <c r="CG26" s="34">
        <v>0</v>
      </c>
      <c r="CH26" s="55">
        <v>0</v>
      </c>
      <c r="CI26" s="55">
        <v>0</v>
      </c>
      <c r="CJ26" s="34">
        <v>0</v>
      </c>
      <c r="CK26" s="34">
        <v>0</v>
      </c>
      <c r="CL26" s="34">
        <v>0</v>
      </c>
      <c r="CM26" s="34">
        <v>0</v>
      </c>
      <c r="CN26" s="34">
        <v>0</v>
      </c>
      <c r="CO26" s="34">
        <v>0</v>
      </c>
      <c r="CP26" s="118">
        <v>0</v>
      </c>
      <c r="CQ26" s="118">
        <v>0</v>
      </c>
      <c r="CR26" s="118">
        <v>0</v>
      </c>
      <c r="CS26" s="118">
        <v>0</v>
      </c>
      <c r="CT26" s="118">
        <v>0</v>
      </c>
      <c r="CU26" s="118">
        <v>0</v>
      </c>
      <c r="CV26" s="118">
        <v>1</v>
      </c>
      <c r="CW26" s="134">
        <v>0</v>
      </c>
      <c r="CX26" s="118">
        <v>0</v>
      </c>
      <c r="CY26" s="118">
        <v>0</v>
      </c>
      <c r="CZ26" s="118">
        <v>0</v>
      </c>
      <c r="DA26" s="118">
        <v>0</v>
      </c>
      <c r="DB26" s="118">
        <v>0</v>
      </c>
      <c r="DC26" s="118">
        <v>0</v>
      </c>
      <c r="DD26" s="118">
        <v>0</v>
      </c>
      <c r="DE26" s="118">
        <v>0</v>
      </c>
      <c r="DF26" s="118">
        <v>0</v>
      </c>
      <c r="DG26" s="118">
        <v>0</v>
      </c>
      <c r="DH26" s="134">
        <v>0</v>
      </c>
      <c r="DI26" s="118">
        <v>0</v>
      </c>
      <c r="DJ26" s="118">
        <v>0</v>
      </c>
      <c r="DK26" s="118">
        <v>0</v>
      </c>
      <c r="DL26" s="118">
        <v>0</v>
      </c>
      <c r="DM26" s="118">
        <v>0</v>
      </c>
      <c r="DN26" s="118">
        <v>0</v>
      </c>
      <c r="DO26" s="118">
        <v>0</v>
      </c>
      <c r="DP26" s="118">
        <v>0</v>
      </c>
      <c r="DQ26" s="118">
        <v>0</v>
      </c>
      <c r="DR26" s="118">
        <v>0</v>
      </c>
      <c r="DS26" s="118">
        <v>0</v>
      </c>
      <c r="DT26" s="134">
        <v>0</v>
      </c>
      <c r="DU26" s="134">
        <v>0</v>
      </c>
      <c r="DV26" s="134">
        <v>0</v>
      </c>
      <c r="DW26" s="134">
        <v>0</v>
      </c>
      <c r="DX26" s="134">
        <v>0</v>
      </c>
      <c r="DY26" s="134">
        <v>0</v>
      </c>
      <c r="DZ26" s="134">
        <v>0</v>
      </c>
      <c r="EA26" s="134">
        <v>0</v>
      </c>
      <c r="EB26" s="134">
        <v>0</v>
      </c>
      <c r="EC26" s="134">
        <v>0</v>
      </c>
      <c r="ED26" s="134">
        <v>0</v>
      </c>
      <c r="EE26" s="134">
        <v>0</v>
      </c>
      <c r="EF26" s="134">
        <v>0</v>
      </c>
      <c r="EG26" s="134">
        <v>0</v>
      </c>
      <c r="EH26" s="150">
        <f t="shared" si="15"/>
        <v>1</v>
      </c>
      <c r="EI26" s="208">
        <f t="shared" si="16"/>
        <v>1</v>
      </c>
      <c r="EJ26" s="150">
        <f t="shared" si="17"/>
        <v>1</v>
      </c>
      <c r="EK26" s="347">
        <f t="shared" si="2"/>
        <v>0</v>
      </c>
      <c r="EL26" s="287">
        <f t="shared" si="3"/>
        <v>0</v>
      </c>
      <c r="EM26" s="208">
        <f t="shared" si="4"/>
        <v>0</v>
      </c>
      <c r="EN26" s="150">
        <f t="shared" si="5"/>
        <v>0</v>
      </c>
      <c r="EO26" s="150">
        <f t="shared" si="6"/>
        <v>0</v>
      </c>
      <c r="EP26" s="150">
        <f t="shared" si="7"/>
        <v>0</v>
      </c>
      <c r="EQ26" s="150">
        <f t="shared" si="8"/>
        <v>0</v>
      </c>
      <c r="ER26" s="150">
        <f t="shared" si="9"/>
        <v>0</v>
      </c>
      <c r="ES26" s="152">
        <f t="shared" si="10"/>
        <v>1</v>
      </c>
      <c r="ET26" s="152">
        <f t="shared" si="18"/>
        <v>0</v>
      </c>
      <c r="EU26" s="57">
        <f t="shared" si="11"/>
        <v>0</v>
      </c>
      <c r="EV26" s="12">
        <f t="shared" si="12"/>
        <v>0</v>
      </c>
      <c r="EW26" s="259">
        <v>0</v>
      </c>
      <c r="EX26" s="12">
        <f t="shared" si="13"/>
        <v>0</v>
      </c>
      <c r="EY26" s="131">
        <f t="shared" si="14"/>
        <v>1</v>
      </c>
      <c r="EZ26" s="259">
        <v>0</v>
      </c>
    </row>
    <row r="27" spans="1:156" s="217" customFormat="1" ht="21" customHeight="1" x14ac:dyDescent="0.25">
      <c r="A27" s="83" t="s">
        <v>11</v>
      </c>
      <c r="B27" s="235" t="s">
        <v>280</v>
      </c>
      <c r="C27" s="189">
        <v>0</v>
      </c>
      <c r="D27" s="33">
        <v>0</v>
      </c>
      <c r="E27" s="33">
        <v>0</v>
      </c>
      <c r="F27" s="33">
        <v>0</v>
      </c>
      <c r="G27" s="33">
        <v>0</v>
      </c>
      <c r="H27" s="33">
        <v>0</v>
      </c>
      <c r="I27" s="33">
        <v>0</v>
      </c>
      <c r="J27" s="33">
        <v>0</v>
      </c>
      <c r="K27" s="33">
        <v>0</v>
      </c>
      <c r="L27" s="33">
        <v>0</v>
      </c>
      <c r="M27" s="33">
        <v>0</v>
      </c>
      <c r="N27" s="33">
        <v>0</v>
      </c>
      <c r="O27" s="33">
        <v>0</v>
      </c>
      <c r="P27" s="33">
        <v>0</v>
      </c>
      <c r="Q27" s="33">
        <v>0</v>
      </c>
      <c r="R27" s="33">
        <v>0</v>
      </c>
      <c r="S27" s="33">
        <v>0</v>
      </c>
      <c r="T27" s="33">
        <v>0</v>
      </c>
      <c r="U27" s="33">
        <v>0</v>
      </c>
      <c r="V27" s="33">
        <v>0</v>
      </c>
      <c r="W27" s="33">
        <v>0</v>
      </c>
      <c r="X27" s="33">
        <v>0</v>
      </c>
      <c r="Y27" s="33">
        <v>0</v>
      </c>
      <c r="Z27" s="33">
        <v>0</v>
      </c>
      <c r="AA27" s="33">
        <v>0</v>
      </c>
      <c r="AB27" s="33">
        <v>0</v>
      </c>
      <c r="AC27" s="33">
        <v>0</v>
      </c>
      <c r="AD27" s="33">
        <v>0</v>
      </c>
      <c r="AE27" s="33">
        <v>0</v>
      </c>
      <c r="AF27" s="33">
        <v>0</v>
      </c>
      <c r="AG27" s="33">
        <v>0</v>
      </c>
      <c r="AH27" s="33">
        <v>0</v>
      </c>
      <c r="AI27" s="33">
        <v>0</v>
      </c>
      <c r="AJ27" s="34">
        <v>0</v>
      </c>
      <c r="AK27" s="34">
        <v>0</v>
      </c>
      <c r="AL27" s="34">
        <v>0</v>
      </c>
      <c r="AM27" s="34">
        <v>0</v>
      </c>
      <c r="AN27" s="60">
        <v>0</v>
      </c>
      <c r="AO27" s="60">
        <v>0</v>
      </c>
      <c r="AP27" s="60">
        <v>0</v>
      </c>
      <c r="AQ27" s="60">
        <v>0</v>
      </c>
      <c r="AR27" s="60">
        <v>0</v>
      </c>
      <c r="AS27" s="60">
        <v>0</v>
      </c>
      <c r="AT27" s="34">
        <v>0</v>
      </c>
      <c r="AU27" s="34">
        <v>0</v>
      </c>
      <c r="AV27" s="34">
        <v>0</v>
      </c>
      <c r="AW27" s="33">
        <v>0</v>
      </c>
      <c r="AX27" s="34">
        <v>0</v>
      </c>
      <c r="AY27" s="34">
        <v>0</v>
      </c>
      <c r="AZ27" s="34">
        <v>0</v>
      </c>
      <c r="BA27" s="34">
        <v>0</v>
      </c>
      <c r="BB27" s="34">
        <v>0</v>
      </c>
      <c r="BC27" s="34">
        <v>0</v>
      </c>
      <c r="BD27" s="34">
        <v>0</v>
      </c>
      <c r="BE27" s="34">
        <v>0</v>
      </c>
      <c r="BF27" s="34">
        <v>0</v>
      </c>
      <c r="BG27" s="34">
        <v>0</v>
      </c>
      <c r="BH27" s="34">
        <v>0</v>
      </c>
      <c r="BI27" s="34">
        <v>0</v>
      </c>
      <c r="BJ27" s="34">
        <v>0</v>
      </c>
      <c r="BK27" s="34">
        <v>0</v>
      </c>
      <c r="BL27" s="34">
        <v>0</v>
      </c>
      <c r="BM27" s="34">
        <v>0</v>
      </c>
      <c r="BN27" s="34">
        <v>0</v>
      </c>
      <c r="BO27" s="34">
        <v>0</v>
      </c>
      <c r="BP27" s="34">
        <v>0</v>
      </c>
      <c r="BQ27" s="34">
        <v>0</v>
      </c>
      <c r="BR27" s="42">
        <v>0</v>
      </c>
      <c r="BS27" s="42">
        <v>0</v>
      </c>
      <c r="BT27" s="42">
        <v>0</v>
      </c>
      <c r="BU27" s="42">
        <v>0</v>
      </c>
      <c r="BV27" s="42">
        <v>0</v>
      </c>
      <c r="BW27" s="34">
        <v>0</v>
      </c>
      <c r="BX27" s="34">
        <v>0</v>
      </c>
      <c r="BY27" s="34">
        <v>0</v>
      </c>
      <c r="BZ27" s="34">
        <v>0</v>
      </c>
      <c r="CA27" s="34">
        <v>0</v>
      </c>
      <c r="CB27" s="34">
        <v>0</v>
      </c>
      <c r="CC27" s="34">
        <v>0</v>
      </c>
      <c r="CD27" s="34">
        <v>0</v>
      </c>
      <c r="CE27" s="42">
        <v>0</v>
      </c>
      <c r="CF27" s="34">
        <v>0</v>
      </c>
      <c r="CG27" s="34">
        <v>0</v>
      </c>
      <c r="CH27" s="55">
        <v>0</v>
      </c>
      <c r="CI27" s="55">
        <v>0</v>
      </c>
      <c r="CJ27" s="34">
        <v>0</v>
      </c>
      <c r="CK27" s="34">
        <v>0</v>
      </c>
      <c r="CL27" s="34">
        <v>0</v>
      </c>
      <c r="CM27" s="34">
        <v>0</v>
      </c>
      <c r="CN27" s="34">
        <v>0</v>
      </c>
      <c r="CO27" s="34">
        <v>0</v>
      </c>
      <c r="CP27" s="118">
        <v>0</v>
      </c>
      <c r="CQ27" s="118">
        <v>0</v>
      </c>
      <c r="CR27" s="118">
        <v>0</v>
      </c>
      <c r="CS27" s="118">
        <v>0</v>
      </c>
      <c r="CT27" s="118">
        <v>0</v>
      </c>
      <c r="CU27" s="118">
        <v>0</v>
      </c>
      <c r="CV27" s="118">
        <v>0</v>
      </c>
      <c r="CW27" s="134">
        <v>0</v>
      </c>
      <c r="CX27" s="118">
        <v>1</v>
      </c>
      <c r="CY27" s="118">
        <v>0</v>
      </c>
      <c r="CZ27" s="118">
        <v>0</v>
      </c>
      <c r="DA27" s="118">
        <v>0</v>
      </c>
      <c r="DB27" s="118">
        <v>0</v>
      </c>
      <c r="DC27" s="118">
        <v>0</v>
      </c>
      <c r="DD27" s="118">
        <v>0</v>
      </c>
      <c r="DE27" s="118">
        <v>0</v>
      </c>
      <c r="DF27" s="118">
        <v>0</v>
      </c>
      <c r="DG27" s="118">
        <v>0</v>
      </c>
      <c r="DH27" s="134">
        <v>0</v>
      </c>
      <c r="DI27" s="118">
        <v>0</v>
      </c>
      <c r="DJ27" s="118">
        <v>0</v>
      </c>
      <c r="DK27" s="118">
        <v>0</v>
      </c>
      <c r="DL27" s="118">
        <v>0</v>
      </c>
      <c r="DM27" s="118">
        <v>0</v>
      </c>
      <c r="DN27" s="118">
        <v>0</v>
      </c>
      <c r="DO27" s="118">
        <v>0</v>
      </c>
      <c r="DP27" s="118">
        <v>0</v>
      </c>
      <c r="DQ27" s="118">
        <v>0</v>
      </c>
      <c r="DR27" s="118">
        <v>0</v>
      </c>
      <c r="DS27" s="118">
        <v>0</v>
      </c>
      <c r="DT27" s="134">
        <v>0</v>
      </c>
      <c r="DU27" s="134">
        <v>0</v>
      </c>
      <c r="DV27" s="134">
        <v>0</v>
      </c>
      <c r="DW27" s="134">
        <v>0</v>
      </c>
      <c r="DX27" s="134">
        <v>0</v>
      </c>
      <c r="DY27" s="134">
        <v>0</v>
      </c>
      <c r="DZ27" s="134">
        <v>0</v>
      </c>
      <c r="EA27" s="134">
        <v>0</v>
      </c>
      <c r="EB27" s="134">
        <v>0</v>
      </c>
      <c r="EC27" s="134">
        <v>0</v>
      </c>
      <c r="ED27" s="134">
        <v>0</v>
      </c>
      <c r="EE27" s="134">
        <v>0</v>
      </c>
      <c r="EF27" s="134">
        <v>0</v>
      </c>
      <c r="EG27" s="134">
        <v>0</v>
      </c>
      <c r="EH27" s="150">
        <f t="shared" si="15"/>
        <v>1</v>
      </c>
      <c r="EI27" s="208">
        <f t="shared" si="16"/>
        <v>1</v>
      </c>
      <c r="EJ27" s="150">
        <f t="shared" si="17"/>
        <v>1</v>
      </c>
      <c r="EK27" s="347">
        <f t="shared" si="2"/>
        <v>0</v>
      </c>
      <c r="EL27" s="287">
        <f t="shared" si="3"/>
        <v>0</v>
      </c>
      <c r="EM27" s="208">
        <f t="shared" si="4"/>
        <v>0</v>
      </c>
      <c r="EN27" s="150">
        <f t="shared" si="5"/>
        <v>0</v>
      </c>
      <c r="EO27" s="150">
        <f t="shared" si="6"/>
        <v>0</v>
      </c>
      <c r="EP27" s="150">
        <f t="shared" si="7"/>
        <v>0</v>
      </c>
      <c r="EQ27" s="150">
        <f t="shared" si="8"/>
        <v>0</v>
      </c>
      <c r="ER27" s="150">
        <f t="shared" si="9"/>
        <v>0</v>
      </c>
      <c r="ES27" s="152">
        <f t="shared" si="10"/>
        <v>1</v>
      </c>
      <c r="ET27" s="152">
        <f t="shared" si="18"/>
        <v>0</v>
      </c>
      <c r="EU27" s="57">
        <f t="shared" si="11"/>
        <v>0</v>
      </c>
      <c r="EV27" s="12">
        <f t="shared" si="12"/>
        <v>0</v>
      </c>
      <c r="EW27" s="259">
        <v>0</v>
      </c>
      <c r="EX27" s="12">
        <f t="shared" si="13"/>
        <v>0</v>
      </c>
      <c r="EY27" s="131">
        <f t="shared" si="14"/>
        <v>1</v>
      </c>
      <c r="EZ27" s="259">
        <v>0</v>
      </c>
    </row>
    <row r="28" spans="1:156" s="217" customFormat="1" ht="21" customHeight="1" x14ac:dyDescent="0.25">
      <c r="A28" s="83" t="s">
        <v>11</v>
      </c>
      <c r="B28" s="235" t="s">
        <v>281</v>
      </c>
      <c r="C28" s="189">
        <v>0</v>
      </c>
      <c r="D28" s="33">
        <v>0</v>
      </c>
      <c r="E28" s="33">
        <v>0</v>
      </c>
      <c r="F28" s="33">
        <v>0</v>
      </c>
      <c r="G28" s="33">
        <v>0</v>
      </c>
      <c r="H28" s="33">
        <v>0</v>
      </c>
      <c r="I28" s="33">
        <v>0</v>
      </c>
      <c r="J28" s="33">
        <v>0</v>
      </c>
      <c r="K28" s="33">
        <v>0</v>
      </c>
      <c r="L28" s="33">
        <v>0</v>
      </c>
      <c r="M28" s="33">
        <v>0</v>
      </c>
      <c r="N28" s="33">
        <v>0</v>
      </c>
      <c r="O28" s="33">
        <v>0</v>
      </c>
      <c r="P28" s="33">
        <v>0</v>
      </c>
      <c r="Q28" s="33">
        <v>0</v>
      </c>
      <c r="R28" s="33">
        <v>0</v>
      </c>
      <c r="S28" s="33">
        <v>0</v>
      </c>
      <c r="T28" s="33">
        <v>0</v>
      </c>
      <c r="U28" s="33">
        <v>0</v>
      </c>
      <c r="V28" s="33">
        <v>0</v>
      </c>
      <c r="W28" s="33">
        <v>0</v>
      </c>
      <c r="X28" s="33">
        <v>0</v>
      </c>
      <c r="Y28" s="33">
        <v>0</v>
      </c>
      <c r="Z28" s="33">
        <v>0</v>
      </c>
      <c r="AA28" s="33">
        <v>0</v>
      </c>
      <c r="AB28" s="33">
        <v>0</v>
      </c>
      <c r="AC28" s="33">
        <v>0</v>
      </c>
      <c r="AD28" s="33">
        <v>0</v>
      </c>
      <c r="AE28" s="33">
        <v>0</v>
      </c>
      <c r="AF28" s="33">
        <v>0</v>
      </c>
      <c r="AG28" s="33">
        <v>0</v>
      </c>
      <c r="AH28" s="33">
        <v>0</v>
      </c>
      <c r="AI28" s="33">
        <v>0</v>
      </c>
      <c r="AJ28" s="34">
        <v>0</v>
      </c>
      <c r="AK28" s="34">
        <v>0</v>
      </c>
      <c r="AL28" s="34">
        <v>0</v>
      </c>
      <c r="AM28" s="34">
        <v>0</v>
      </c>
      <c r="AN28" s="60">
        <v>0</v>
      </c>
      <c r="AO28" s="60">
        <v>0</v>
      </c>
      <c r="AP28" s="60">
        <v>0</v>
      </c>
      <c r="AQ28" s="60">
        <v>0</v>
      </c>
      <c r="AR28" s="60">
        <v>0</v>
      </c>
      <c r="AS28" s="60">
        <v>0</v>
      </c>
      <c r="AT28" s="34">
        <v>0</v>
      </c>
      <c r="AU28" s="34">
        <v>0</v>
      </c>
      <c r="AV28" s="34">
        <v>0</v>
      </c>
      <c r="AW28" s="33">
        <v>0</v>
      </c>
      <c r="AX28" s="34">
        <v>0</v>
      </c>
      <c r="AY28" s="34">
        <v>0</v>
      </c>
      <c r="AZ28" s="34">
        <v>0</v>
      </c>
      <c r="BA28" s="34">
        <v>0</v>
      </c>
      <c r="BB28" s="34">
        <v>0</v>
      </c>
      <c r="BC28" s="34">
        <v>0</v>
      </c>
      <c r="BD28" s="34">
        <v>0</v>
      </c>
      <c r="BE28" s="34">
        <v>0</v>
      </c>
      <c r="BF28" s="34">
        <v>0</v>
      </c>
      <c r="BG28" s="34">
        <v>0</v>
      </c>
      <c r="BH28" s="34">
        <v>0</v>
      </c>
      <c r="BI28" s="34">
        <v>0</v>
      </c>
      <c r="BJ28" s="34">
        <v>0</v>
      </c>
      <c r="BK28" s="34">
        <v>0</v>
      </c>
      <c r="BL28" s="34">
        <v>0</v>
      </c>
      <c r="BM28" s="34">
        <v>0</v>
      </c>
      <c r="BN28" s="34">
        <v>0</v>
      </c>
      <c r="BO28" s="34">
        <v>0</v>
      </c>
      <c r="BP28" s="34">
        <v>0</v>
      </c>
      <c r="BQ28" s="34">
        <v>0</v>
      </c>
      <c r="BR28" s="42">
        <v>0</v>
      </c>
      <c r="BS28" s="42">
        <v>0</v>
      </c>
      <c r="BT28" s="42">
        <v>0</v>
      </c>
      <c r="BU28" s="42">
        <v>0</v>
      </c>
      <c r="BV28" s="42">
        <v>0</v>
      </c>
      <c r="BW28" s="34">
        <v>0</v>
      </c>
      <c r="BX28" s="34">
        <v>0</v>
      </c>
      <c r="BY28" s="34">
        <v>0</v>
      </c>
      <c r="BZ28" s="34">
        <v>0</v>
      </c>
      <c r="CA28" s="34">
        <v>0</v>
      </c>
      <c r="CB28" s="34">
        <v>0</v>
      </c>
      <c r="CC28" s="34">
        <v>0</v>
      </c>
      <c r="CD28" s="34">
        <v>0</v>
      </c>
      <c r="CE28" s="42">
        <v>0</v>
      </c>
      <c r="CF28" s="34">
        <v>0</v>
      </c>
      <c r="CG28" s="34">
        <v>0</v>
      </c>
      <c r="CH28" s="55">
        <v>0</v>
      </c>
      <c r="CI28" s="55">
        <v>0</v>
      </c>
      <c r="CJ28" s="34">
        <v>0</v>
      </c>
      <c r="CK28" s="34">
        <v>0</v>
      </c>
      <c r="CL28" s="34">
        <v>0</v>
      </c>
      <c r="CM28" s="34">
        <v>0</v>
      </c>
      <c r="CN28" s="34">
        <v>0</v>
      </c>
      <c r="CO28" s="34">
        <v>0</v>
      </c>
      <c r="CP28" s="118">
        <v>0</v>
      </c>
      <c r="CQ28" s="118">
        <v>0</v>
      </c>
      <c r="CR28" s="118">
        <v>0</v>
      </c>
      <c r="CS28" s="118">
        <v>0</v>
      </c>
      <c r="CT28" s="118">
        <v>0</v>
      </c>
      <c r="CU28" s="118">
        <v>0</v>
      </c>
      <c r="CV28" s="118">
        <v>0</v>
      </c>
      <c r="CW28" s="134">
        <v>0</v>
      </c>
      <c r="CX28" s="118">
        <v>0</v>
      </c>
      <c r="CY28" s="118">
        <v>0</v>
      </c>
      <c r="CZ28" s="118">
        <v>0</v>
      </c>
      <c r="DA28" s="118">
        <v>0</v>
      </c>
      <c r="DB28" s="118">
        <v>0</v>
      </c>
      <c r="DC28" s="118">
        <v>0</v>
      </c>
      <c r="DD28" s="118">
        <v>0</v>
      </c>
      <c r="DE28" s="118">
        <v>1</v>
      </c>
      <c r="DF28" s="118">
        <v>0</v>
      </c>
      <c r="DG28" s="118">
        <v>0</v>
      </c>
      <c r="DH28" s="134">
        <v>0</v>
      </c>
      <c r="DI28" s="118">
        <v>0</v>
      </c>
      <c r="DJ28" s="118">
        <v>0</v>
      </c>
      <c r="DK28" s="118">
        <v>0</v>
      </c>
      <c r="DL28" s="118">
        <v>0</v>
      </c>
      <c r="DM28" s="118">
        <v>0</v>
      </c>
      <c r="DN28" s="118">
        <v>0</v>
      </c>
      <c r="DO28" s="118">
        <v>0</v>
      </c>
      <c r="DP28" s="118">
        <v>0</v>
      </c>
      <c r="DQ28" s="118">
        <v>0</v>
      </c>
      <c r="DR28" s="118">
        <v>0</v>
      </c>
      <c r="DS28" s="118">
        <v>0</v>
      </c>
      <c r="DT28" s="134">
        <v>0</v>
      </c>
      <c r="DU28" s="134">
        <v>0</v>
      </c>
      <c r="DV28" s="134">
        <v>0</v>
      </c>
      <c r="DW28" s="134">
        <v>0</v>
      </c>
      <c r="DX28" s="134">
        <v>0</v>
      </c>
      <c r="DY28" s="134">
        <v>0</v>
      </c>
      <c r="DZ28" s="134">
        <v>0</v>
      </c>
      <c r="EA28" s="134">
        <v>0</v>
      </c>
      <c r="EB28" s="134">
        <v>0</v>
      </c>
      <c r="EC28" s="134">
        <v>0</v>
      </c>
      <c r="ED28" s="134">
        <v>0</v>
      </c>
      <c r="EE28" s="134">
        <v>0</v>
      </c>
      <c r="EF28" s="134">
        <v>0</v>
      </c>
      <c r="EG28" s="134">
        <v>0</v>
      </c>
      <c r="EH28" s="150">
        <f t="shared" si="15"/>
        <v>1</v>
      </c>
      <c r="EI28" s="208">
        <f t="shared" si="16"/>
        <v>1</v>
      </c>
      <c r="EJ28" s="150">
        <f t="shared" si="17"/>
        <v>1</v>
      </c>
      <c r="EK28" s="347">
        <f t="shared" si="2"/>
        <v>0</v>
      </c>
      <c r="EL28" s="287">
        <f t="shared" si="3"/>
        <v>0</v>
      </c>
      <c r="EM28" s="208">
        <f t="shared" si="4"/>
        <v>0</v>
      </c>
      <c r="EN28" s="150">
        <f t="shared" si="5"/>
        <v>0</v>
      </c>
      <c r="EO28" s="150">
        <f t="shared" si="6"/>
        <v>0</v>
      </c>
      <c r="EP28" s="150">
        <f t="shared" si="7"/>
        <v>0</v>
      </c>
      <c r="EQ28" s="150">
        <f t="shared" si="8"/>
        <v>0</v>
      </c>
      <c r="ER28" s="150">
        <f t="shared" si="9"/>
        <v>0</v>
      </c>
      <c r="ES28" s="152">
        <f t="shared" si="10"/>
        <v>1</v>
      </c>
      <c r="ET28" s="152">
        <f t="shared" si="18"/>
        <v>0</v>
      </c>
      <c r="EU28" s="57">
        <f t="shared" si="11"/>
        <v>0</v>
      </c>
      <c r="EV28" s="12">
        <f t="shared" si="12"/>
        <v>0</v>
      </c>
      <c r="EW28" s="259">
        <v>0</v>
      </c>
      <c r="EX28" s="12">
        <f t="shared" si="13"/>
        <v>0</v>
      </c>
      <c r="EY28" s="131">
        <f t="shared" si="14"/>
        <v>1</v>
      </c>
      <c r="EZ28" s="259">
        <v>0</v>
      </c>
    </row>
    <row r="29" spans="1:156" s="217" customFormat="1" ht="21" customHeight="1" x14ac:dyDescent="0.25">
      <c r="A29" s="83" t="s">
        <v>11</v>
      </c>
      <c r="B29" s="235" t="s">
        <v>258</v>
      </c>
      <c r="C29" s="189">
        <v>0</v>
      </c>
      <c r="D29" s="33">
        <v>0</v>
      </c>
      <c r="E29" s="33">
        <v>0</v>
      </c>
      <c r="F29" s="33">
        <v>0</v>
      </c>
      <c r="G29" s="33">
        <v>0</v>
      </c>
      <c r="H29" s="33">
        <v>0</v>
      </c>
      <c r="I29" s="33">
        <v>0</v>
      </c>
      <c r="J29" s="33">
        <v>0</v>
      </c>
      <c r="K29" s="33">
        <v>0</v>
      </c>
      <c r="L29" s="33">
        <v>0</v>
      </c>
      <c r="M29" s="33">
        <v>0</v>
      </c>
      <c r="N29" s="33">
        <v>0</v>
      </c>
      <c r="O29" s="33">
        <v>0</v>
      </c>
      <c r="P29" s="33">
        <v>0</v>
      </c>
      <c r="Q29" s="33">
        <v>0</v>
      </c>
      <c r="R29" s="33">
        <v>0</v>
      </c>
      <c r="S29" s="33">
        <v>0</v>
      </c>
      <c r="T29" s="33">
        <v>0</v>
      </c>
      <c r="U29" s="33">
        <v>0</v>
      </c>
      <c r="V29" s="33">
        <v>0</v>
      </c>
      <c r="W29" s="33">
        <v>0</v>
      </c>
      <c r="X29" s="33">
        <v>0</v>
      </c>
      <c r="Y29" s="33">
        <v>0</v>
      </c>
      <c r="Z29" s="33">
        <v>0</v>
      </c>
      <c r="AA29" s="33">
        <v>0</v>
      </c>
      <c r="AB29" s="33">
        <v>0</v>
      </c>
      <c r="AC29" s="33">
        <v>0</v>
      </c>
      <c r="AD29" s="33">
        <v>0</v>
      </c>
      <c r="AE29" s="33">
        <v>0</v>
      </c>
      <c r="AF29" s="33">
        <v>0</v>
      </c>
      <c r="AG29" s="33">
        <v>0</v>
      </c>
      <c r="AH29" s="33">
        <v>0</v>
      </c>
      <c r="AI29" s="33">
        <v>0</v>
      </c>
      <c r="AJ29" s="34">
        <v>0</v>
      </c>
      <c r="AK29" s="34">
        <v>0</v>
      </c>
      <c r="AL29" s="34">
        <v>0</v>
      </c>
      <c r="AM29" s="34">
        <v>0</v>
      </c>
      <c r="AN29" s="60">
        <v>0</v>
      </c>
      <c r="AO29" s="60">
        <v>0</v>
      </c>
      <c r="AP29" s="60">
        <v>0</v>
      </c>
      <c r="AQ29" s="60">
        <v>0</v>
      </c>
      <c r="AR29" s="60">
        <v>0</v>
      </c>
      <c r="AS29" s="60">
        <v>0</v>
      </c>
      <c r="AT29" s="34">
        <v>0</v>
      </c>
      <c r="AU29" s="34">
        <v>0</v>
      </c>
      <c r="AV29" s="34">
        <v>0</v>
      </c>
      <c r="AW29" s="33">
        <v>0</v>
      </c>
      <c r="AX29" s="34">
        <v>0</v>
      </c>
      <c r="AY29" s="34">
        <v>0</v>
      </c>
      <c r="AZ29" s="34">
        <v>0</v>
      </c>
      <c r="BA29" s="34">
        <v>0</v>
      </c>
      <c r="BB29" s="34">
        <v>0</v>
      </c>
      <c r="BC29" s="34">
        <v>0</v>
      </c>
      <c r="BD29" s="34">
        <v>0</v>
      </c>
      <c r="BE29" s="34">
        <v>0</v>
      </c>
      <c r="BF29" s="34">
        <v>0</v>
      </c>
      <c r="BG29" s="34">
        <v>0</v>
      </c>
      <c r="BH29" s="34">
        <v>0</v>
      </c>
      <c r="BI29" s="34">
        <v>0</v>
      </c>
      <c r="BJ29" s="34">
        <v>0</v>
      </c>
      <c r="BK29" s="34">
        <v>0</v>
      </c>
      <c r="BL29" s="34">
        <v>0</v>
      </c>
      <c r="BM29" s="34">
        <v>0</v>
      </c>
      <c r="BN29" s="34">
        <v>0</v>
      </c>
      <c r="BO29" s="34">
        <v>0</v>
      </c>
      <c r="BP29" s="34">
        <v>0</v>
      </c>
      <c r="BQ29" s="34">
        <v>0</v>
      </c>
      <c r="BR29" s="42">
        <v>0</v>
      </c>
      <c r="BS29" s="42">
        <v>0</v>
      </c>
      <c r="BT29" s="42">
        <v>0</v>
      </c>
      <c r="BU29" s="42">
        <v>0</v>
      </c>
      <c r="BV29" s="42">
        <v>0</v>
      </c>
      <c r="BW29" s="34">
        <v>0</v>
      </c>
      <c r="BX29" s="34">
        <v>0</v>
      </c>
      <c r="BY29" s="34">
        <v>0</v>
      </c>
      <c r="BZ29" s="34">
        <v>0</v>
      </c>
      <c r="CA29" s="34">
        <v>0</v>
      </c>
      <c r="CB29" s="34">
        <v>0</v>
      </c>
      <c r="CC29" s="34">
        <v>0</v>
      </c>
      <c r="CD29" s="34">
        <v>0</v>
      </c>
      <c r="CE29" s="42">
        <v>0</v>
      </c>
      <c r="CF29" s="34">
        <v>0</v>
      </c>
      <c r="CG29" s="34">
        <v>0</v>
      </c>
      <c r="CH29" s="55">
        <v>0</v>
      </c>
      <c r="CI29" s="55">
        <v>0</v>
      </c>
      <c r="CJ29" s="34">
        <v>0</v>
      </c>
      <c r="CK29" s="34">
        <v>0</v>
      </c>
      <c r="CL29" s="34">
        <v>0</v>
      </c>
      <c r="CM29" s="34">
        <v>0</v>
      </c>
      <c r="CN29" s="34">
        <v>0</v>
      </c>
      <c r="CO29" s="34">
        <v>0</v>
      </c>
      <c r="CP29" s="118">
        <v>0</v>
      </c>
      <c r="CQ29" s="118">
        <v>0</v>
      </c>
      <c r="CR29" s="118">
        <v>0</v>
      </c>
      <c r="CS29" s="118">
        <v>0</v>
      </c>
      <c r="CT29" s="118">
        <v>0</v>
      </c>
      <c r="CU29" s="118">
        <v>0</v>
      </c>
      <c r="CV29" s="118">
        <v>0</v>
      </c>
      <c r="CW29" s="134">
        <v>0</v>
      </c>
      <c r="CX29" s="118">
        <v>0</v>
      </c>
      <c r="CY29" s="118">
        <v>0</v>
      </c>
      <c r="CZ29" s="118">
        <v>0</v>
      </c>
      <c r="DA29" s="118">
        <v>0</v>
      </c>
      <c r="DB29" s="118">
        <v>0</v>
      </c>
      <c r="DC29" s="118">
        <v>0</v>
      </c>
      <c r="DD29" s="118">
        <v>0</v>
      </c>
      <c r="DE29" s="118">
        <v>0</v>
      </c>
      <c r="DF29" s="118">
        <v>0</v>
      </c>
      <c r="DG29" s="118">
        <v>0</v>
      </c>
      <c r="DH29" s="134">
        <v>0</v>
      </c>
      <c r="DI29" s="118">
        <v>0</v>
      </c>
      <c r="DJ29" s="118">
        <v>0</v>
      </c>
      <c r="DK29" s="118">
        <v>0</v>
      </c>
      <c r="DL29" s="118">
        <v>0</v>
      </c>
      <c r="DM29" s="118">
        <v>0</v>
      </c>
      <c r="DN29" s="118">
        <v>0</v>
      </c>
      <c r="DO29" s="118">
        <v>0</v>
      </c>
      <c r="DP29" s="118">
        <v>0</v>
      </c>
      <c r="DQ29" s="118">
        <v>0</v>
      </c>
      <c r="DR29" s="118">
        <v>0</v>
      </c>
      <c r="DS29" s="118">
        <v>0</v>
      </c>
      <c r="DT29" s="134">
        <v>0</v>
      </c>
      <c r="DU29" s="134">
        <v>0</v>
      </c>
      <c r="DV29" s="134">
        <v>0</v>
      </c>
      <c r="DW29" s="134">
        <v>0</v>
      </c>
      <c r="DX29" s="134">
        <v>0</v>
      </c>
      <c r="DY29" s="134">
        <v>0</v>
      </c>
      <c r="DZ29" s="134">
        <v>0</v>
      </c>
      <c r="EA29" s="134">
        <v>0</v>
      </c>
      <c r="EB29" s="134">
        <v>0</v>
      </c>
      <c r="EC29" s="134">
        <v>0</v>
      </c>
      <c r="ED29" s="134">
        <v>0</v>
      </c>
      <c r="EE29" s="134">
        <v>0</v>
      </c>
      <c r="EF29" s="134">
        <v>0</v>
      </c>
      <c r="EG29" s="134">
        <v>0</v>
      </c>
      <c r="EH29" s="150">
        <f t="shared" si="15"/>
        <v>0</v>
      </c>
      <c r="EI29" s="208">
        <f t="shared" si="16"/>
        <v>0</v>
      </c>
      <c r="EJ29" s="150">
        <f t="shared" si="17"/>
        <v>0</v>
      </c>
      <c r="EK29" s="347">
        <f t="shared" si="2"/>
        <v>0</v>
      </c>
      <c r="EL29" s="287">
        <f t="shared" si="3"/>
        <v>0</v>
      </c>
      <c r="EM29" s="208">
        <f t="shared" si="4"/>
        <v>0</v>
      </c>
      <c r="EN29" s="150">
        <f t="shared" si="5"/>
        <v>0</v>
      </c>
      <c r="EO29" s="150">
        <f t="shared" si="6"/>
        <v>0</v>
      </c>
      <c r="EP29" s="150">
        <f t="shared" si="7"/>
        <v>0</v>
      </c>
      <c r="EQ29" s="150">
        <f t="shared" si="8"/>
        <v>0</v>
      </c>
      <c r="ER29" s="150">
        <f t="shared" si="9"/>
        <v>0</v>
      </c>
      <c r="ES29" s="152">
        <f t="shared" si="10"/>
        <v>0</v>
      </c>
      <c r="ET29" s="152">
        <f t="shared" si="18"/>
        <v>0</v>
      </c>
      <c r="EU29" s="57">
        <f t="shared" si="11"/>
        <v>0</v>
      </c>
      <c r="EV29" s="12">
        <f t="shared" si="12"/>
        <v>0</v>
      </c>
      <c r="EW29" s="259">
        <v>0</v>
      </c>
      <c r="EX29" s="12">
        <f t="shared" si="13"/>
        <v>0</v>
      </c>
      <c r="EY29" s="131">
        <f t="shared" si="14"/>
        <v>0</v>
      </c>
      <c r="EZ29" s="259">
        <v>0</v>
      </c>
    </row>
    <row r="30" spans="1:156" s="217" customFormat="1" ht="21" customHeight="1" x14ac:dyDescent="0.25">
      <c r="A30" s="83" t="s">
        <v>11</v>
      </c>
      <c r="B30" s="235" t="s">
        <v>14</v>
      </c>
      <c r="C30" s="189">
        <v>0</v>
      </c>
      <c r="D30" s="33">
        <v>0</v>
      </c>
      <c r="E30" s="33">
        <v>0</v>
      </c>
      <c r="F30" s="33">
        <v>0</v>
      </c>
      <c r="G30" s="33">
        <v>0</v>
      </c>
      <c r="H30" s="33">
        <v>0</v>
      </c>
      <c r="I30" s="33">
        <v>0</v>
      </c>
      <c r="J30" s="33">
        <v>0</v>
      </c>
      <c r="K30" s="33">
        <v>0</v>
      </c>
      <c r="L30" s="33">
        <v>0</v>
      </c>
      <c r="M30" s="33">
        <v>0</v>
      </c>
      <c r="N30" s="33">
        <v>0</v>
      </c>
      <c r="O30" s="33">
        <v>0</v>
      </c>
      <c r="P30" s="33">
        <v>0</v>
      </c>
      <c r="Q30" s="33">
        <v>0</v>
      </c>
      <c r="R30" s="33">
        <v>0</v>
      </c>
      <c r="S30" s="33">
        <v>0</v>
      </c>
      <c r="T30" s="33">
        <v>0</v>
      </c>
      <c r="U30" s="33">
        <v>0</v>
      </c>
      <c r="V30" s="33">
        <v>0</v>
      </c>
      <c r="W30" s="33">
        <v>0</v>
      </c>
      <c r="X30" s="33">
        <v>0</v>
      </c>
      <c r="Y30" s="33">
        <v>0</v>
      </c>
      <c r="Z30" s="33">
        <v>0</v>
      </c>
      <c r="AA30" s="33">
        <v>0</v>
      </c>
      <c r="AB30" s="33">
        <v>0</v>
      </c>
      <c r="AC30" s="33">
        <v>0</v>
      </c>
      <c r="AD30" s="33">
        <v>0</v>
      </c>
      <c r="AE30" s="33">
        <v>0</v>
      </c>
      <c r="AF30" s="33">
        <v>0</v>
      </c>
      <c r="AG30" s="33">
        <v>0</v>
      </c>
      <c r="AH30" s="33">
        <v>0</v>
      </c>
      <c r="AI30" s="33">
        <v>0</v>
      </c>
      <c r="AJ30" s="34">
        <v>0</v>
      </c>
      <c r="AK30" s="34">
        <v>0</v>
      </c>
      <c r="AL30" s="34">
        <v>0</v>
      </c>
      <c r="AM30" s="34">
        <v>0</v>
      </c>
      <c r="AN30" s="60">
        <v>0</v>
      </c>
      <c r="AO30" s="60">
        <v>0</v>
      </c>
      <c r="AP30" s="60">
        <v>0</v>
      </c>
      <c r="AQ30" s="60">
        <v>0</v>
      </c>
      <c r="AR30" s="60">
        <v>0</v>
      </c>
      <c r="AS30" s="60">
        <v>0</v>
      </c>
      <c r="AT30" s="34">
        <v>0</v>
      </c>
      <c r="AU30" s="34">
        <v>0</v>
      </c>
      <c r="AV30" s="34">
        <v>0</v>
      </c>
      <c r="AW30" s="33">
        <v>0</v>
      </c>
      <c r="AX30" s="34">
        <v>0</v>
      </c>
      <c r="AY30" s="34">
        <v>0</v>
      </c>
      <c r="AZ30" s="34">
        <v>0</v>
      </c>
      <c r="BA30" s="34">
        <v>0</v>
      </c>
      <c r="BB30" s="34">
        <v>0</v>
      </c>
      <c r="BC30" s="34">
        <v>0</v>
      </c>
      <c r="BD30" s="34">
        <v>0</v>
      </c>
      <c r="BE30" s="34">
        <v>0</v>
      </c>
      <c r="BF30" s="34">
        <v>0</v>
      </c>
      <c r="BG30" s="34">
        <v>0</v>
      </c>
      <c r="BH30" s="34">
        <v>0</v>
      </c>
      <c r="BI30" s="34">
        <v>0</v>
      </c>
      <c r="BJ30" s="34">
        <v>0</v>
      </c>
      <c r="BK30" s="34">
        <v>0</v>
      </c>
      <c r="BL30" s="34">
        <v>0</v>
      </c>
      <c r="BM30" s="34">
        <v>0</v>
      </c>
      <c r="BN30" s="34">
        <v>0</v>
      </c>
      <c r="BO30" s="34">
        <v>0</v>
      </c>
      <c r="BP30" s="34">
        <v>0</v>
      </c>
      <c r="BQ30" s="34">
        <v>0</v>
      </c>
      <c r="BR30" s="42">
        <v>0</v>
      </c>
      <c r="BS30" s="42">
        <v>0</v>
      </c>
      <c r="BT30" s="42">
        <v>0</v>
      </c>
      <c r="BU30" s="42">
        <v>0</v>
      </c>
      <c r="BV30" s="42">
        <v>0</v>
      </c>
      <c r="BW30" s="34">
        <v>0</v>
      </c>
      <c r="BX30" s="34">
        <v>0</v>
      </c>
      <c r="BY30" s="34">
        <v>0</v>
      </c>
      <c r="BZ30" s="34">
        <v>0</v>
      </c>
      <c r="CA30" s="34">
        <v>0</v>
      </c>
      <c r="CB30" s="34">
        <v>0</v>
      </c>
      <c r="CC30" s="34">
        <v>0</v>
      </c>
      <c r="CD30" s="34">
        <v>0</v>
      </c>
      <c r="CE30" s="42">
        <v>0</v>
      </c>
      <c r="CF30" s="34">
        <v>0</v>
      </c>
      <c r="CG30" s="34">
        <v>0</v>
      </c>
      <c r="CH30" s="55">
        <v>0</v>
      </c>
      <c r="CI30" s="55">
        <v>0</v>
      </c>
      <c r="CJ30" s="34">
        <v>0</v>
      </c>
      <c r="CK30" s="34">
        <v>0</v>
      </c>
      <c r="CL30" s="34">
        <v>0</v>
      </c>
      <c r="CM30" s="34">
        <v>0</v>
      </c>
      <c r="CN30" s="34">
        <v>0</v>
      </c>
      <c r="CO30" s="34">
        <v>0</v>
      </c>
      <c r="CP30" s="118">
        <v>0</v>
      </c>
      <c r="CQ30" s="118">
        <v>0</v>
      </c>
      <c r="CR30" s="118">
        <v>0</v>
      </c>
      <c r="CS30" s="118">
        <v>0</v>
      </c>
      <c r="CT30" s="118">
        <v>0</v>
      </c>
      <c r="CU30" s="118">
        <v>0</v>
      </c>
      <c r="CV30" s="118">
        <v>0</v>
      </c>
      <c r="CW30" s="134">
        <v>0</v>
      </c>
      <c r="CX30" s="118">
        <v>0</v>
      </c>
      <c r="CY30" s="118">
        <v>0</v>
      </c>
      <c r="CZ30" s="118">
        <v>0</v>
      </c>
      <c r="DA30" s="118">
        <v>0</v>
      </c>
      <c r="DB30" s="118">
        <v>0</v>
      </c>
      <c r="DC30" s="118">
        <v>1</v>
      </c>
      <c r="DD30" s="118">
        <v>0</v>
      </c>
      <c r="DE30" s="118">
        <v>0</v>
      </c>
      <c r="DF30" s="118">
        <v>0</v>
      </c>
      <c r="DG30" s="118">
        <v>0</v>
      </c>
      <c r="DH30" s="134">
        <v>0</v>
      </c>
      <c r="DI30" s="118">
        <v>0</v>
      </c>
      <c r="DJ30" s="118">
        <v>0</v>
      </c>
      <c r="DK30" s="118">
        <v>0</v>
      </c>
      <c r="DL30" s="118">
        <v>0</v>
      </c>
      <c r="DM30" s="118">
        <v>0</v>
      </c>
      <c r="DN30" s="118">
        <v>0</v>
      </c>
      <c r="DO30" s="118">
        <v>0</v>
      </c>
      <c r="DP30" s="118">
        <v>0</v>
      </c>
      <c r="DQ30" s="118">
        <v>0</v>
      </c>
      <c r="DR30" s="118">
        <v>0</v>
      </c>
      <c r="DS30" s="118">
        <v>0</v>
      </c>
      <c r="DT30" s="134">
        <v>0</v>
      </c>
      <c r="DU30" s="134">
        <v>0</v>
      </c>
      <c r="DV30" s="134">
        <v>0</v>
      </c>
      <c r="DW30" s="134">
        <v>0</v>
      </c>
      <c r="DX30" s="134">
        <v>0</v>
      </c>
      <c r="DY30" s="134">
        <v>0</v>
      </c>
      <c r="DZ30" s="134">
        <v>0</v>
      </c>
      <c r="EA30" s="134">
        <v>0</v>
      </c>
      <c r="EB30" s="134">
        <v>0</v>
      </c>
      <c r="EC30" s="134">
        <v>0</v>
      </c>
      <c r="ED30" s="134">
        <v>0</v>
      </c>
      <c r="EE30" s="134">
        <v>0</v>
      </c>
      <c r="EF30" s="134">
        <v>0</v>
      </c>
      <c r="EG30" s="134">
        <v>0</v>
      </c>
      <c r="EH30" s="150">
        <f t="shared" si="15"/>
        <v>1</v>
      </c>
      <c r="EI30" s="208">
        <f t="shared" si="16"/>
        <v>1</v>
      </c>
      <c r="EJ30" s="150">
        <f t="shared" si="17"/>
        <v>1</v>
      </c>
      <c r="EK30" s="347">
        <f t="shared" si="2"/>
        <v>0</v>
      </c>
      <c r="EL30" s="287">
        <f t="shared" si="3"/>
        <v>0</v>
      </c>
      <c r="EM30" s="208">
        <f t="shared" si="4"/>
        <v>0</v>
      </c>
      <c r="EN30" s="150">
        <f t="shared" si="5"/>
        <v>0</v>
      </c>
      <c r="EO30" s="150">
        <f t="shared" si="6"/>
        <v>0</v>
      </c>
      <c r="EP30" s="150">
        <f t="shared" si="7"/>
        <v>0</v>
      </c>
      <c r="EQ30" s="150">
        <f t="shared" si="8"/>
        <v>0</v>
      </c>
      <c r="ER30" s="150">
        <f t="shared" si="9"/>
        <v>0</v>
      </c>
      <c r="ES30" s="152">
        <f t="shared" si="10"/>
        <v>1</v>
      </c>
      <c r="ET30" s="152">
        <f t="shared" si="18"/>
        <v>0</v>
      </c>
      <c r="EU30" s="57">
        <f t="shared" si="11"/>
        <v>0</v>
      </c>
      <c r="EV30" s="12">
        <f t="shared" si="12"/>
        <v>0</v>
      </c>
      <c r="EW30" s="259">
        <v>0</v>
      </c>
      <c r="EX30" s="12">
        <f t="shared" si="13"/>
        <v>0</v>
      </c>
      <c r="EY30" s="131">
        <f t="shared" si="14"/>
        <v>1</v>
      </c>
      <c r="EZ30" s="259">
        <v>0</v>
      </c>
    </row>
    <row r="31" spans="1:156" s="217" customFormat="1" ht="21" customHeight="1" x14ac:dyDescent="0.25">
      <c r="A31" s="83" t="s">
        <v>11</v>
      </c>
      <c r="B31" s="235" t="s">
        <v>282</v>
      </c>
      <c r="C31" s="189">
        <v>0</v>
      </c>
      <c r="D31" s="33">
        <v>0</v>
      </c>
      <c r="E31" s="33">
        <v>0</v>
      </c>
      <c r="F31" s="33">
        <v>0</v>
      </c>
      <c r="G31" s="33">
        <v>0</v>
      </c>
      <c r="H31" s="33">
        <v>0</v>
      </c>
      <c r="I31" s="33">
        <v>0</v>
      </c>
      <c r="J31" s="33">
        <v>0</v>
      </c>
      <c r="K31" s="33">
        <v>0</v>
      </c>
      <c r="L31" s="33">
        <v>0</v>
      </c>
      <c r="M31" s="33">
        <v>0</v>
      </c>
      <c r="N31" s="33">
        <v>0</v>
      </c>
      <c r="O31" s="33">
        <v>0</v>
      </c>
      <c r="P31" s="33">
        <v>0</v>
      </c>
      <c r="Q31" s="33">
        <v>0</v>
      </c>
      <c r="R31" s="33">
        <v>0</v>
      </c>
      <c r="S31" s="33">
        <v>0</v>
      </c>
      <c r="T31" s="33">
        <v>0</v>
      </c>
      <c r="U31" s="33">
        <v>0</v>
      </c>
      <c r="V31" s="33">
        <v>0</v>
      </c>
      <c r="W31" s="33">
        <v>0</v>
      </c>
      <c r="X31" s="33">
        <v>0</v>
      </c>
      <c r="Y31" s="33">
        <v>0</v>
      </c>
      <c r="Z31" s="33">
        <v>0</v>
      </c>
      <c r="AA31" s="33">
        <v>0</v>
      </c>
      <c r="AB31" s="33">
        <v>0</v>
      </c>
      <c r="AC31" s="33">
        <v>0</v>
      </c>
      <c r="AD31" s="33">
        <v>0</v>
      </c>
      <c r="AE31" s="33">
        <v>0</v>
      </c>
      <c r="AF31" s="33">
        <v>0</v>
      </c>
      <c r="AG31" s="33">
        <v>0</v>
      </c>
      <c r="AH31" s="33">
        <v>0</v>
      </c>
      <c r="AI31" s="33">
        <v>0</v>
      </c>
      <c r="AJ31" s="34">
        <v>0</v>
      </c>
      <c r="AK31" s="34">
        <v>0</v>
      </c>
      <c r="AL31" s="34">
        <v>0</v>
      </c>
      <c r="AM31" s="34">
        <v>0</v>
      </c>
      <c r="AN31" s="60">
        <v>0</v>
      </c>
      <c r="AO31" s="60">
        <v>0</v>
      </c>
      <c r="AP31" s="60">
        <v>0</v>
      </c>
      <c r="AQ31" s="60">
        <v>0</v>
      </c>
      <c r="AR31" s="60">
        <v>0</v>
      </c>
      <c r="AS31" s="60">
        <v>0</v>
      </c>
      <c r="AT31" s="34">
        <v>0</v>
      </c>
      <c r="AU31" s="34">
        <v>0</v>
      </c>
      <c r="AV31" s="34">
        <v>0</v>
      </c>
      <c r="AW31" s="33">
        <v>0</v>
      </c>
      <c r="AX31" s="34">
        <v>0</v>
      </c>
      <c r="AY31" s="34">
        <v>0</v>
      </c>
      <c r="AZ31" s="34">
        <v>0</v>
      </c>
      <c r="BA31" s="34">
        <v>0</v>
      </c>
      <c r="BB31" s="34">
        <v>0</v>
      </c>
      <c r="BC31" s="34">
        <v>0</v>
      </c>
      <c r="BD31" s="34">
        <v>0</v>
      </c>
      <c r="BE31" s="34">
        <v>0</v>
      </c>
      <c r="BF31" s="34">
        <v>0</v>
      </c>
      <c r="BG31" s="34">
        <v>0</v>
      </c>
      <c r="BH31" s="34">
        <v>0</v>
      </c>
      <c r="BI31" s="34">
        <v>0</v>
      </c>
      <c r="BJ31" s="34">
        <v>0</v>
      </c>
      <c r="BK31" s="34">
        <v>0</v>
      </c>
      <c r="BL31" s="34">
        <v>0</v>
      </c>
      <c r="BM31" s="34">
        <v>0</v>
      </c>
      <c r="BN31" s="34">
        <v>0</v>
      </c>
      <c r="BO31" s="34">
        <v>0</v>
      </c>
      <c r="BP31" s="34">
        <v>0</v>
      </c>
      <c r="BQ31" s="34">
        <v>0</v>
      </c>
      <c r="BR31" s="42">
        <v>0</v>
      </c>
      <c r="BS31" s="42">
        <v>0</v>
      </c>
      <c r="BT31" s="42">
        <v>0</v>
      </c>
      <c r="BU31" s="42">
        <v>0</v>
      </c>
      <c r="BV31" s="42">
        <v>0</v>
      </c>
      <c r="BW31" s="34">
        <v>0</v>
      </c>
      <c r="BX31" s="34">
        <v>0</v>
      </c>
      <c r="BY31" s="34">
        <v>0</v>
      </c>
      <c r="BZ31" s="34">
        <v>0</v>
      </c>
      <c r="CA31" s="34">
        <v>0</v>
      </c>
      <c r="CB31" s="34">
        <v>0</v>
      </c>
      <c r="CC31" s="34">
        <v>0</v>
      </c>
      <c r="CD31" s="34">
        <v>0</v>
      </c>
      <c r="CE31" s="42">
        <v>0</v>
      </c>
      <c r="CF31" s="34">
        <v>0</v>
      </c>
      <c r="CG31" s="34">
        <v>0</v>
      </c>
      <c r="CH31" s="55">
        <v>0</v>
      </c>
      <c r="CI31" s="55">
        <v>0</v>
      </c>
      <c r="CJ31" s="34">
        <v>0</v>
      </c>
      <c r="CK31" s="34">
        <v>0</v>
      </c>
      <c r="CL31" s="34">
        <v>0</v>
      </c>
      <c r="CM31" s="34">
        <v>0</v>
      </c>
      <c r="CN31" s="34">
        <v>0</v>
      </c>
      <c r="CO31" s="34">
        <v>0</v>
      </c>
      <c r="CP31" s="118">
        <v>0</v>
      </c>
      <c r="CQ31" s="118">
        <v>0</v>
      </c>
      <c r="CR31" s="118">
        <v>0</v>
      </c>
      <c r="CS31" s="118">
        <v>0</v>
      </c>
      <c r="CT31" s="118">
        <v>0</v>
      </c>
      <c r="CU31" s="118">
        <v>0</v>
      </c>
      <c r="CV31" s="118">
        <v>0</v>
      </c>
      <c r="CW31" s="134">
        <v>0</v>
      </c>
      <c r="CX31" s="118">
        <v>0</v>
      </c>
      <c r="CY31" s="118">
        <v>0</v>
      </c>
      <c r="CZ31" s="118">
        <v>0</v>
      </c>
      <c r="DA31" s="118">
        <v>0</v>
      </c>
      <c r="DB31" s="118">
        <v>0</v>
      </c>
      <c r="DC31" s="118">
        <v>1</v>
      </c>
      <c r="DD31" s="118">
        <v>0</v>
      </c>
      <c r="DE31" s="118">
        <v>0</v>
      </c>
      <c r="DF31" s="118">
        <v>0</v>
      </c>
      <c r="DG31" s="118">
        <v>0</v>
      </c>
      <c r="DH31" s="134">
        <v>0</v>
      </c>
      <c r="DI31" s="118">
        <v>0</v>
      </c>
      <c r="DJ31" s="118">
        <v>0</v>
      </c>
      <c r="DK31" s="118">
        <v>0</v>
      </c>
      <c r="DL31" s="118">
        <v>0</v>
      </c>
      <c r="DM31" s="118">
        <v>0</v>
      </c>
      <c r="DN31" s="118">
        <v>0</v>
      </c>
      <c r="DO31" s="118">
        <v>0</v>
      </c>
      <c r="DP31" s="118">
        <v>0</v>
      </c>
      <c r="DQ31" s="118">
        <v>0</v>
      </c>
      <c r="DR31" s="118">
        <v>0</v>
      </c>
      <c r="DS31" s="118">
        <v>0</v>
      </c>
      <c r="DT31" s="134">
        <v>0</v>
      </c>
      <c r="DU31" s="134">
        <v>0</v>
      </c>
      <c r="DV31" s="134">
        <v>0</v>
      </c>
      <c r="DW31" s="134">
        <v>0</v>
      </c>
      <c r="DX31" s="134">
        <v>0</v>
      </c>
      <c r="DY31" s="134">
        <v>0</v>
      </c>
      <c r="DZ31" s="134">
        <v>0</v>
      </c>
      <c r="EA31" s="134">
        <v>0</v>
      </c>
      <c r="EB31" s="134">
        <v>0</v>
      </c>
      <c r="EC31" s="134">
        <v>0</v>
      </c>
      <c r="ED31" s="134">
        <v>0</v>
      </c>
      <c r="EE31" s="134">
        <v>0</v>
      </c>
      <c r="EF31" s="134">
        <v>0</v>
      </c>
      <c r="EG31" s="134">
        <v>0</v>
      </c>
      <c r="EH31" s="150">
        <f t="shared" si="15"/>
        <v>1</v>
      </c>
      <c r="EI31" s="208">
        <f t="shared" si="16"/>
        <v>1</v>
      </c>
      <c r="EJ31" s="150">
        <f t="shared" si="17"/>
        <v>1</v>
      </c>
      <c r="EK31" s="347">
        <f t="shared" si="2"/>
        <v>0</v>
      </c>
      <c r="EL31" s="287">
        <f t="shared" si="3"/>
        <v>0</v>
      </c>
      <c r="EM31" s="208">
        <f t="shared" si="4"/>
        <v>0</v>
      </c>
      <c r="EN31" s="150">
        <f t="shared" si="5"/>
        <v>0</v>
      </c>
      <c r="EO31" s="150">
        <f t="shared" si="6"/>
        <v>0</v>
      </c>
      <c r="EP31" s="150">
        <f t="shared" si="7"/>
        <v>0</v>
      </c>
      <c r="EQ31" s="150">
        <f t="shared" si="8"/>
        <v>0</v>
      </c>
      <c r="ER31" s="150">
        <f t="shared" si="9"/>
        <v>0</v>
      </c>
      <c r="ES31" s="152">
        <f t="shared" si="10"/>
        <v>1</v>
      </c>
      <c r="ET31" s="152">
        <f t="shared" si="18"/>
        <v>0</v>
      </c>
      <c r="EU31" s="57">
        <f t="shared" si="11"/>
        <v>0</v>
      </c>
      <c r="EV31" s="12">
        <f t="shared" si="12"/>
        <v>0</v>
      </c>
      <c r="EW31" s="259">
        <v>0</v>
      </c>
      <c r="EX31" s="12">
        <f t="shared" si="13"/>
        <v>0</v>
      </c>
      <c r="EY31" s="131">
        <f t="shared" si="14"/>
        <v>1</v>
      </c>
      <c r="EZ31" s="259">
        <v>0</v>
      </c>
    </row>
    <row r="32" spans="1:156" ht="21" customHeight="1" x14ac:dyDescent="0.25">
      <c r="A32" s="83" t="s">
        <v>11</v>
      </c>
      <c r="B32" s="235" t="s">
        <v>274</v>
      </c>
      <c r="C32" s="189">
        <v>0</v>
      </c>
      <c r="D32" s="33">
        <v>0</v>
      </c>
      <c r="E32" s="33">
        <v>0</v>
      </c>
      <c r="F32" s="33">
        <v>0</v>
      </c>
      <c r="G32" s="33">
        <v>0</v>
      </c>
      <c r="H32" s="33">
        <v>0</v>
      </c>
      <c r="I32" s="33">
        <v>0</v>
      </c>
      <c r="J32" s="33">
        <v>0</v>
      </c>
      <c r="K32" s="33">
        <v>0</v>
      </c>
      <c r="L32" s="33">
        <v>0</v>
      </c>
      <c r="M32" s="33">
        <v>0</v>
      </c>
      <c r="N32" s="33">
        <v>0</v>
      </c>
      <c r="O32" s="33">
        <v>0</v>
      </c>
      <c r="P32" s="33">
        <v>0</v>
      </c>
      <c r="Q32" s="33">
        <v>0</v>
      </c>
      <c r="R32" s="33">
        <v>0</v>
      </c>
      <c r="S32" s="33">
        <v>0</v>
      </c>
      <c r="T32" s="33">
        <v>0</v>
      </c>
      <c r="U32" s="33">
        <v>0</v>
      </c>
      <c r="V32" s="33">
        <v>0</v>
      </c>
      <c r="W32" s="33">
        <v>0</v>
      </c>
      <c r="X32" s="33">
        <v>0</v>
      </c>
      <c r="Y32" s="33">
        <v>0</v>
      </c>
      <c r="Z32" s="33">
        <v>0</v>
      </c>
      <c r="AA32" s="33">
        <v>0</v>
      </c>
      <c r="AB32" s="33">
        <v>0</v>
      </c>
      <c r="AC32" s="33">
        <v>0</v>
      </c>
      <c r="AD32" s="33">
        <v>0</v>
      </c>
      <c r="AE32" s="33">
        <v>0</v>
      </c>
      <c r="AF32" s="33">
        <v>0</v>
      </c>
      <c r="AG32" s="33">
        <v>0</v>
      </c>
      <c r="AH32" s="33">
        <v>0</v>
      </c>
      <c r="AI32" s="33">
        <v>0</v>
      </c>
      <c r="AJ32" s="34">
        <v>0</v>
      </c>
      <c r="AK32" s="34">
        <v>0</v>
      </c>
      <c r="AL32" s="34">
        <v>0</v>
      </c>
      <c r="AM32" s="34">
        <v>0</v>
      </c>
      <c r="AN32" s="60">
        <v>0</v>
      </c>
      <c r="AO32" s="60">
        <v>0</v>
      </c>
      <c r="AP32" s="60">
        <v>0</v>
      </c>
      <c r="AQ32" s="60">
        <v>0</v>
      </c>
      <c r="AR32" s="60">
        <v>0</v>
      </c>
      <c r="AS32" s="60">
        <v>0</v>
      </c>
      <c r="AT32" s="34">
        <v>0</v>
      </c>
      <c r="AU32" s="34">
        <v>0</v>
      </c>
      <c r="AV32" s="34">
        <v>0</v>
      </c>
      <c r="AW32" s="33">
        <v>0</v>
      </c>
      <c r="AX32" s="137">
        <v>0</v>
      </c>
      <c r="AY32" s="137">
        <v>0</v>
      </c>
      <c r="AZ32" s="137">
        <v>0</v>
      </c>
      <c r="BA32" s="137">
        <v>0</v>
      </c>
      <c r="BB32" s="137">
        <v>0</v>
      </c>
      <c r="BC32" s="137">
        <v>0</v>
      </c>
      <c r="BD32" s="137">
        <v>0</v>
      </c>
      <c r="BE32" s="137">
        <v>0</v>
      </c>
      <c r="BF32" s="137">
        <v>0</v>
      </c>
      <c r="BG32" s="137">
        <v>0</v>
      </c>
      <c r="BH32" s="137">
        <v>0</v>
      </c>
      <c r="BI32" s="137">
        <v>0</v>
      </c>
      <c r="BJ32" s="137">
        <v>0</v>
      </c>
      <c r="BK32" s="137">
        <v>0</v>
      </c>
      <c r="BL32" s="137">
        <v>0</v>
      </c>
      <c r="BM32" s="137">
        <v>0</v>
      </c>
      <c r="BN32" s="137">
        <v>0</v>
      </c>
      <c r="BO32" s="137">
        <v>0</v>
      </c>
      <c r="BP32" s="137">
        <v>0</v>
      </c>
      <c r="BQ32" s="137">
        <v>0</v>
      </c>
      <c r="BR32" s="138">
        <v>0</v>
      </c>
      <c r="BS32" s="138">
        <v>0</v>
      </c>
      <c r="BT32" s="138">
        <v>0</v>
      </c>
      <c r="BU32" s="138">
        <v>0</v>
      </c>
      <c r="BV32" s="138">
        <v>0</v>
      </c>
      <c r="BW32" s="137">
        <v>0</v>
      </c>
      <c r="BX32" s="137">
        <v>0</v>
      </c>
      <c r="BY32" s="137">
        <v>0</v>
      </c>
      <c r="BZ32" s="137">
        <v>0</v>
      </c>
      <c r="CA32" s="137">
        <v>0</v>
      </c>
      <c r="CB32" s="137">
        <v>0</v>
      </c>
      <c r="CC32" s="137">
        <v>0</v>
      </c>
      <c r="CD32" s="137">
        <v>0</v>
      </c>
      <c r="CE32" s="138">
        <v>0</v>
      </c>
      <c r="CF32" s="34">
        <v>0</v>
      </c>
      <c r="CG32" s="34">
        <v>0</v>
      </c>
      <c r="CH32" s="55">
        <v>0</v>
      </c>
      <c r="CI32" s="55">
        <v>0</v>
      </c>
      <c r="CJ32" s="34">
        <v>0</v>
      </c>
      <c r="CK32" s="34">
        <v>0</v>
      </c>
      <c r="CL32" s="34">
        <v>0</v>
      </c>
      <c r="CM32" s="34">
        <v>0</v>
      </c>
      <c r="CN32" s="34">
        <v>0</v>
      </c>
      <c r="CO32" s="34">
        <v>0</v>
      </c>
      <c r="CP32" s="118">
        <v>2</v>
      </c>
      <c r="CQ32" s="118">
        <v>2</v>
      </c>
      <c r="CR32" s="118">
        <v>0</v>
      </c>
      <c r="CS32" s="118">
        <v>1</v>
      </c>
      <c r="CT32" s="118">
        <v>0</v>
      </c>
      <c r="CU32" s="118">
        <v>0</v>
      </c>
      <c r="CV32" s="118">
        <v>0</v>
      </c>
      <c r="CW32" s="134">
        <v>1</v>
      </c>
      <c r="CX32" s="118">
        <v>1</v>
      </c>
      <c r="CY32" s="118">
        <v>0</v>
      </c>
      <c r="CZ32" s="118">
        <v>0</v>
      </c>
      <c r="DA32" s="118">
        <v>0</v>
      </c>
      <c r="DB32" s="118">
        <v>2</v>
      </c>
      <c r="DC32" s="118">
        <v>0</v>
      </c>
      <c r="DD32" s="118">
        <v>1</v>
      </c>
      <c r="DE32" s="118">
        <v>0</v>
      </c>
      <c r="DF32" s="118">
        <v>2</v>
      </c>
      <c r="DG32" s="118">
        <v>0</v>
      </c>
      <c r="DH32" s="134">
        <v>1</v>
      </c>
      <c r="DI32" s="118">
        <v>1</v>
      </c>
      <c r="DJ32" s="118">
        <v>0</v>
      </c>
      <c r="DK32" s="118">
        <v>3</v>
      </c>
      <c r="DL32" s="118">
        <v>1</v>
      </c>
      <c r="DM32" s="118">
        <v>2</v>
      </c>
      <c r="DN32" s="118">
        <v>0</v>
      </c>
      <c r="DO32" s="118">
        <v>0</v>
      </c>
      <c r="DP32" s="118">
        <v>0</v>
      </c>
      <c r="DQ32" s="118">
        <v>0</v>
      </c>
      <c r="DR32" s="118">
        <v>0</v>
      </c>
      <c r="DS32" s="118">
        <v>0</v>
      </c>
      <c r="DT32" s="134">
        <v>0</v>
      </c>
      <c r="DU32" s="134">
        <v>0</v>
      </c>
      <c r="DV32" s="134">
        <v>0</v>
      </c>
      <c r="DW32" s="134">
        <v>0</v>
      </c>
      <c r="DX32" s="134">
        <v>0</v>
      </c>
      <c r="DY32" s="134">
        <v>0</v>
      </c>
      <c r="DZ32" s="134">
        <v>0</v>
      </c>
      <c r="EA32" s="134">
        <v>0</v>
      </c>
      <c r="EB32" s="134">
        <v>0</v>
      </c>
      <c r="EC32" s="134">
        <v>0</v>
      </c>
      <c r="ED32" s="134">
        <v>0</v>
      </c>
      <c r="EE32" s="134">
        <v>0</v>
      </c>
      <c r="EF32" s="134">
        <v>0</v>
      </c>
      <c r="EG32" s="134">
        <v>0</v>
      </c>
      <c r="EH32" s="150">
        <f t="shared" si="15"/>
        <v>20</v>
      </c>
      <c r="EI32" s="208">
        <f t="shared" si="16"/>
        <v>20</v>
      </c>
      <c r="EJ32" s="150">
        <f t="shared" si="17"/>
        <v>20</v>
      </c>
      <c r="EK32" s="347">
        <f t="shared" si="2"/>
        <v>3</v>
      </c>
      <c r="EL32" s="287">
        <f t="shared" si="3"/>
        <v>0</v>
      </c>
      <c r="EM32" s="208">
        <f t="shared" si="4"/>
        <v>0</v>
      </c>
      <c r="EN32" s="150">
        <f t="shared" si="5"/>
        <v>0</v>
      </c>
      <c r="EO32" s="150">
        <f t="shared" si="6"/>
        <v>0</v>
      </c>
      <c r="EP32" s="150">
        <f t="shared" si="7"/>
        <v>0</v>
      </c>
      <c r="EQ32" s="150">
        <f t="shared" si="8"/>
        <v>0</v>
      </c>
      <c r="ER32" s="150">
        <f t="shared" si="9"/>
        <v>5</v>
      </c>
      <c r="ES32" s="152">
        <f t="shared" si="10"/>
        <v>15</v>
      </c>
      <c r="ET32" s="152">
        <f t="shared" si="18"/>
        <v>0</v>
      </c>
      <c r="EU32" s="57">
        <f t="shared" si="11"/>
        <v>0</v>
      </c>
      <c r="EV32" s="12">
        <f t="shared" si="12"/>
        <v>5</v>
      </c>
      <c r="EW32" s="259">
        <v>0</v>
      </c>
      <c r="EX32" s="12">
        <f t="shared" si="13"/>
        <v>0</v>
      </c>
      <c r="EY32" s="131">
        <f t="shared" si="14"/>
        <v>17</v>
      </c>
      <c r="EZ32" s="259">
        <v>0</v>
      </c>
    </row>
    <row r="33" spans="1:156" ht="21" customHeight="1" x14ac:dyDescent="0.25">
      <c r="A33" s="83" t="s">
        <v>11</v>
      </c>
      <c r="B33" s="235" t="s">
        <v>275</v>
      </c>
      <c r="C33" s="189">
        <v>0</v>
      </c>
      <c r="D33" s="33">
        <v>0</v>
      </c>
      <c r="E33" s="33">
        <v>0</v>
      </c>
      <c r="F33" s="33">
        <v>0</v>
      </c>
      <c r="G33" s="33">
        <v>0</v>
      </c>
      <c r="H33" s="33">
        <v>0</v>
      </c>
      <c r="I33" s="33">
        <v>0</v>
      </c>
      <c r="J33" s="33">
        <v>0</v>
      </c>
      <c r="K33" s="33">
        <v>0</v>
      </c>
      <c r="L33" s="33">
        <v>0</v>
      </c>
      <c r="M33" s="33">
        <v>0</v>
      </c>
      <c r="N33" s="33">
        <v>0</v>
      </c>
      <c r="O33" s="33">
        <v>0</v>
      </c>
      <c r="P33" s="33">
        <v>0</v>
      </c>
      <c r="Q33" s="33">
        <v>0</v>
      </c>
      <c r="R33" s="33">
        <v>0</v>
      </c>
      <c r="S33" s="33">
        <v>0</v>
      </c>
      <c r="T33" s="33">
        <v>0</v>
      </c>
      <c r="U33" s="33">
        <v>0</v>
      </c>
      <c r="V33" s="33">
        <v>0</v>
      </c>
      <c r="W33" s="33">
        <v>0</v>
      </c>
      <c r="X33" s="33">
        <v>0</v>
      </c>
      <c r="Y33" s="33">
        <v>0</v>
      </c>
      <c r="Z33" s="33">
        <v>0</v>
      </c>
      <c r="AA33" s="33">
        <v>0</v>
      </c>
      <c r="AB33" s="33">
        <v>0</v>
      </c>
      <c r="AC33" s="33">
        <v>0</v>
      </c>
      <c r="AD33" s="33">
        <v>0</v>
      </c>
      <c r="AE33" s="33">
        <v>0</v>
      </c>
      <c r="AF33" s="33">
        <v>0</v>
      </c>
      <c r="AG33" s="33">
        <v>0</v>
      </c>
      <c r="AH33" s="33">
        <v>0</v>
      </c>
      <c r="AI33" s="33">
        <v>0</v>
      </c>
      <c r="AJ33" s="34">
        <v>0</v>
      </c>
      <c r="AK33" s="34">
        <v>0</v>
      </c>
      <c r="AL33" s="34">
        <v>0</v>
      </c>
      <c r="AM33" s="34">
        <v>0</v>
      </c>
      <c r="AN33" s="60">
        <v>0</v>
      </c>
      <c r="AO33" s="60">
        <v>0</v>
      </c>
      <c r="AP33" s="60">
        <v>0</v>
      </c>
      <c r="AQ33" s="60">
        <v>0</v>
      </c>
      <c r="AR33" s="60">
        <v>0</v>
      </c>
      <c r="AS33" s="60">
        <v>0</v>
      </c>
      <c r="AT33" s="34">
        <v>0</v>
      </c>
      <c r="AU33" s="34">
        <v>0</v>
      </c>
      <c r="AV33" s="34">
        <v>0</v>
      </c>
      <c r="AW33" s="33">
        <v>0</v>
      </c>
      <c r="AX33" s="137">
        <v>0</v>
      </c>
      <c r="AY33" s="137">
        <v>0</v>
      </c>
      <c r="AZ33" s="137">
        <v>0</v>
      </c>
      <c r="BA33" s="137">
        <v>0</v>
      </c>
      <c r="BB33" s="137">
        <v>0</v>
      </c>
      <c r="BC33" s="137">
        <v>0</v>
      </c>
      <c r="BD33" s="137">
        <v>0</v>
      </c>
      <c r="BE33" s="137">
        <v>0</v>
      </c>
      <c r="BF33" s="137">
        <v>0</v>
      </c>
      <c r="BG33" s="137">
        <v>0</v>
      </c>
      <c r="BH33" s="137">
        <v>0</v>
      </c>
      <c r="BI33" s="137">
        <v>0</v>
      </c>
      <c r="BJ33" s="137">
        <v>0</v>
      </c>
      <c r="BK33" s="137">
        <v>0</v>
      </c>
      <c r="BL33" s="137">
        <v>0</v>
      </c>
      <c r="BM33" s="137">
        <v>0</v>
      </c>
      <c r="BN33" s="137">
        <v>0</v>
      </c>
      <c r="BO33" s="137">
        <v>0</v>
      </c>
      <c r="BP33" s="137">
        <v>0</v>
      </c>
      <c r="BQ33" s="137">
        <v>0</v>
      </c>
      <c r="BR33" s="138">
        <v>0</v>
      </c>
      <c r="BS33" s="138">
        <v>0</v>
      </c>
      <c r="BT33" s="138">
        <v>0</v>
      </c>
      <c r="BU33" s="138">
        <v>0</v>
      </c>
      <c r="BV33" s="138">
        <v>0</v>
      </c>
      <c r="BW33" s="137">
        <v>0</v>
      </c>
      <c r="BX33" s="137">
        <v>0</v>
      </c>
      <c r="BY33" s="137">
        <v>0</v>
      </c>
      <c r="BZ33" s="137">
        <v>0</v>
      </c>
      <c r="CA33" s="137">
        <v>0</v>
      </c>
      <c r="CB33" s="137">
        <v>0</v>
      </c>
      <c r="CC33" s="137">
        <v>0</v>
      </c>
      <c r="CD33" s="137">
        <v>0</v>
      </c>
      <c r="CE33" s="138">
        <v>0</v>
      </c>
      <c r="CF33" s="34">
        <v>0</v>
      </c>
      <c r="CG33" s="34">
        <v>0</v>
      </c>
      <c r="CH33" s="55">
        <v>0</v>
      </c>
      <c r="CI33" s="55">
        <v>0</v>
      </c>
      <c r="CJ33" s="34">
        <v>0</v>
      </c>
      <c r="CK33" s="34">
        <v>0</v>
      </c>
      <c r="CL33" s="34">
        <v>0</v>
      </c>
      <c r="CM33" s="34">
        <v>0</v>
      </c>
      <c r="CN33" s="34">
        <v>0</v>
      </c>
      <c r="CO33" s="34">
        <v>0</v>
      </c>
      <c r="CP33" s="118">
        <v>1</v>
      </c>
      <c r="CQ33" s="118">
        <v>0</v>
      </c>
      <c r="CR33" s="118">
        <v>0</v>
      </c>
      <c r="CS33" s="118">
        <v>0</v>
      </c>
      <c r="CT33" s="118">
        <v>0</v>
      </c>
      <c r="CU33" s="118">
        <v>0</v>
      </c>
      <c r="CV33" s="118">
        <v>0</v>
      </c>
      <c r="CW33" s="134">
        <v>0</v>
      </c>
      <c r="CX33" s="118">
        <v>0</v>
      </c>
      <c r="CY33" s="118">
        <v>0</v>
      </c>
      <c r="CZ33" s="118">
        <v>0</v>
      </c>
      <c r="DA33" s="118">
        <v>0</v>
      </c>
      <c r="DB33" s="118">
        <v>0</v>
      </c>
      <c r="DC33" s="118">
        <v>0</v>
      </c>
      <c r="DD33" s="118">
        <v>0</v>
      </c>
      <c r="DE33" s="118">
        <v>0</v>
      </c>
      <c r="DF33" s="118">
        <v>0</v>
      </c>
      <c r="DG33" s="118">
        <v>0</v>
      </c>
      <c r="DH33" s="134">
        <v>0</v>
      </c>
      <c r="DI33" s="118">
        <v>0</v>
      </c>
      <c r="DJ33" s="118">
        <v>0</v>
      </c>
      <c r="DK33" s="118">
        <v>0</v>
      </c>
      <c r="DL33" s="118">
        <v>0</v>
      </c>
      <c r="DM33" s="118">
        <v>0</v>
      </c>
      <c r="DN33" s="118">
        <v>0</v>
      </c>
      <c r="DO33" s="118">
        <v>0</v>
      </c>
      <c r="DP33" s="118">
        <v>0</v>
      </c>
      <c r="DQ33" s="118">
        <v>0</v>
      </c>
      <c r="DR33" s="118">
        <v>0</v>
      </c>
      <c r="DS33" s="118">
        <v>0</v>
      </c>
      <c r="DT33" s="134">
        <v>0</v>
      </c>
      <c r="DU33" s="134">
        <v>0</v>
      </c>
      <c r="DV33" s="134">
        <v>0</v>
      </c>
      <c r="DW33" s="134">
        <v>0</v>
      </c>
      <c r="DX33" s="134">
        <v>0</v>
      </c>
      <c r="DY33" s="134">
        <v>0</v>
      </c>
      <c r="DZ33" s="134">
        <v>0</v>
      </c>
      <c r="EA33" s="134">
        <v>0</v>
      </c>
      <c r="EB33" s="134">
        <v>0</v>
      </c>
      <c r="EC33" s="134">
        <v>0</v>
      </c>
      <c r="ED33" s="134">
        <v>0</v>
      </c>
      <c r="EE33" s="134">
        <v>0</v>
      </c>
      <c r="EF33" s="134">
        <v>0</v>
      </c>
      <c r="EG33" s="134">
        <v>0</v>
      </c>
      <c r="EH33" s="150">
        <f t="shared" si="15"/>
        <v>1</v>
      </c>
      <c r="EI33" s="208">
        <f t="shared" si="16"/>
        <v>1</v>
      </c>
      <c r="EJ33" s="150">
        <f t="shared" si="17"/>
        <v>1</v>
      </c>
      <c r="EK33" s="347">
        <f t="shared" si="2"/>
        <v>0</v>
      </c>
      <c r="EL33" s="287">
        <f t="shared" si="3"/>
        <v>0</v>
      </c>
      <c r="EM33" s="208">
        <f t="shared" si="4"/>
        <v>0</v>
      </c>
      <c r="EN33" s="150">
        <f t="shared" si="5"/>
        <v>0</v>
      </c>
      <c r="EO33" s="150">
        <f t="shared" si="6"/>
        <v>0</v>
      </c>
      <c r="EP33" s="150">
        <f t="shared" si="7"/>
        <v>0</v>
      </c>
      <c r="EQ33" s="150">
        <f t="shared" si="8"/>
        <v>0</v>
      </c>
      <c r="ER33" s="150">
        <f t="shared" si="9"/>
        <v>1</v>
      </c>
      <c r="ES33" s="152">
        <f t="shared" si="10"/>
        <v>0</v>
      </c>
      <c r="ET33" s="152">
        <f t="shared" si="18"/>
        <v>0</v>
      </c>
      <c r="EU33" s="57">
        <f t="shared" si="11"/>
        <v>0</v>
      </c>
      <c r="EV33" s="12">
        <f t="shared" si="12"/>
        <v>1</v>
      </c>
      <c r="EW33" s="259">
        <v>0</v>
      </c>
      <c r="EX33" s="12">
        <f t="shared" si="13"/>
        <v>0</v>
      </c>
      <c r="EY33" s="131">
        <f t="shared" si="14"/>
        <v>1</v>
      </c>
      <c r="EZ33" s="259">
        <v>0</v>
      </c>
    </row>
    <row r="34" spans="1:156" ht="21" customHeight="1" x14ac:dyDescent="0.25">
      <c r="A34" s="83" t="s">
        <v>11</v>
      </c>
      <c r="B34" s="235" t="s">
        <v>283</v>
      </c>
      <c r="C34" s="189">
        <v>0</v>
      </c>
      <c r="D34" s="33">
        <v>0</v>
      </c>
      <c r="E34" s="33">
        <v>0</v>
      </c>
      <c r="F34" s="33">
        <v>0</v>
      </c>
      <c r="G34" s="33">
        <v>0</v>
      </c>
      <c r="H34" s="33">
        <v>0</v>
      </c>
      <c r="I34" s="33">
        <v>0</v>
      </c>
      <c r="J34" s="33">
        <v>0</v>
      </c>
      <c r="K34" s="33">
        <v>0</v>
      </c>
      <c r="L34" s="33">
        <v>0</v>
      </c>
      <c r="M34" s="33">
        <v>0</v>
      </c>
      <c r="N34" s="33">
        <v>0</v>
      </c>
      <c r="O34" s="33">
        <v>0</v>
      </c>
      <c r="P34" s="33">
        <v>0</v>
      </c>
      <c r="Q34" s="33">
        <v>0</v>
      </c>
      <c r="R34" s="33">
        <v>0</v>
      </c>
      <c r="S34" s="33">
        <v>0</v>
      </c>
      <c r="T34" s="33">
        <v>0</v>
      </c>
      <c r="U34" s="33">
        <v>0</v>
      </c>
      <c r="V34" s="33">
        <v>0</v>
      </c>
      <c r="W34" s="33">
        <v>0</v>
      </c>
      <c r="X34" s="33">
        <v>0</v>
      </c>
      <c r="Y34" s="33">
        <v>0</v>
      </c>
      <c r="Z34" s="33">
        <v>0</v>
      </c>
      <c r="AA34" s="33">
        <v>0</v>
      </c>
      <c r="AB34" s="33">
        <v>0</v>
      </c>
      <c r="AC34" s="33">
        <v>0</v>
      </c>
      <c r="AD34" s="33">
        <v>0</v>
      </c>
      <c r="AE34" s="33">
        <v>0</v>
      </c>
      <c r="AF34" s="33">
        <v>0</v>
      </c>
      <c r="AG34" s="33">
        <v>0</v>
      </c>
      <c r="AH34" s="33">
        <v>0</v>
      </c>
      <c r="AI34" s="33">
        <v>0</v>
      </c>
      <c r="AJ34" s="34">
        <v>0</v>
      </c>
      <c r="AK34" s="34">
        <v>0</v>
      </c>
      <c r="AL34" s="34">
        <v>0</v>
      </c>
      <c r="AM34" s="34">
        <v>0</v>
      </c>
      <c r="AN34" s="60">
        <v>0</v>
      </c>
      <c r="AO34" s="60">
        <v>0</v>
      </c>
      <c r="AP34" s="60">
        <v>0</v>
      </c>
      <c r="AQ34" s="60">
        <v>0</v>
      </c>
      <c r="AR34" s="60">
        <v>0</v>
      </c>
      <c r="AS34" s="60">
        <v>0</v>
      </c>
      <c r="AT34" s="34">
        <v>0</v>
      </c>
      <c r="AU34" s="34">
        <v>0</v>
      </c>
      <c r="AV34" s="34">
        <v>0</v>
      </c>
      <c r="AW34" s="33">
        <v>0</v>
      </c>
      <c r="AX34" s="137">
        <v>0</v>
      </c>
      <c r="AY34" s="137">
        <v>0</v>
      </c>
      <c r="AZ34" s="137">
        <v>0</v>
      </c>
      <c r="BA34" s="137">
        <v>0</v>
      </c>
      <c r="BB34" s="137">
        <v>0</v>
      </c>
      <c r="BC34" s="137">
        <v>0</v>
      </c>
      <c r="BD34" s="137">
        <v>0</v>
      </c>
      <c r="BE34" s="137">
        <v>0</v>
      </c>
      <c r="BF34" s="137">
        <v>0</v>
      </c>
      <c r="BG34" s="137">
        <v>0</v>
      </c>
      <c r="BH34" s="137">
        <v>0</v>
      </c>
      <c r="BI34" s="137">
        <v>0</v>
      </c>
      <c r="BJ34" s="137">
        <v>0</v>
      </c>
      <c r="BK34" s="137">
        <v>0</v>
      </c>
      <c r="BL34" s="137">
        <v>0</v>
      </c>
      <c r="BM34" s="137">
        <v>0</v>
      </c>
      <c r="BN34" s="137">
        <v>0</v>
      </c>
      <c r="BO34" s="137">
        <v>0</v>
      </c>
      <c r="BP34" s="137">
        <v>0</v>
      </c>
      <c r="BQ34" s="137">
        <v>0</v>
      </c>
      <c r="BR34" s="138">
        <v>0</v>
      </c>
      <c r="BS34" s="138">
        <v>0</v>
      </c>
      <c r="BT34" s="138">
        <v>0</v>
      </c>
      <c r="BU34" s="138">
        <v>0</v>
      </c>
      <c r="BV34" s="138">
        <v>0</v>
      </c>
      <c r="BW34" s="137">
        <v>0</v>
      </c>
      <c r="BX34" s="137">
        <v>0</v>
      </c>
      <c r="BY34" s="137">
        <v>0</v>
      </c>
      <c r="BZ34" s="137">
        <v>0</v>
      </c>
      <c r="CA34" s="137">
        <v>0</v>
      </c>
      <c r="CB34" s="137">
        <v>0</v>
      </c>
      <c r="CC34" s="137">
        <v>0</v>
      </c>
      <c r="CD34" s="137">
        <v>0</v>
      </c>
      <c r="CE34" s="138">
        <v>0</v>
      </c>
      <c r="CF34" s="34">
        <v>0</v>
      </c>
      <c r="CG34" s="34">
        <v>0</v>
      </c>
      <c r="CH34" s="55">
        <v>0</v>
      </c>
      <c r="CI34" s="55">
        <v>0</v>
      </c>
      <c r="CJ34" s="34">
        <v>0</v>
      </c>
      <c r="CK34" s="34">
        <v>0</v>
      </c>
      <c r="CL34" s="34">
        <v>0</v>
      </c>
      <c r="CM34" s="34">
        <v>0</v>
      </c>
      <c r="CN34" s="34">
        <v>0</v>
      </c>
      <c r="CO34" s="34">
        <v>0</v>
      </c>
      <c r="CP34" s="118">
        <v>1</v>
      </c>
      <c r="CQ34" s="118">
        <v>1</v>
      </c>
      <c r="CR34" s="118">
        <v>1</v>
      </c>
      <c r="CS34" s="118">
        <v>0</v>
      </c>
      <c r="CT34" s="118">
        <v>1</v>
      </c>
      <c r="CU34" s="118">
        <v>0</v>
      </c>
      <c r="CV34" s="118">
        <v>1</v>
      </c>
      <c r="CW34" s="134">
        <v>0</v>
      </c>
      <c r="CX34" s="118">
        <v>1</v>
      </c>
      <c r="CY34" s="118">
        <v>0</v>
      </c>
      <c r="CZ34" s="118">
        <v>1</v>
      </c>
      <c r="DA34" s="118">
        <v>1</v>
      </c>
      <c r="DB34" s="118">
        <v>0</v>
      </c>
      <c r="DC34" s="118">
        <v>1</v>
      </c>
      <c r="DD34" s="118">
        <v>1</v>
      </c>
      <c r="DE34" s="118">
        <v>1</v>
      </c>
      <c r="DF34" s="118">
        <v>2</v>
      </c>
      <c r="DG34" s="118">
        <v>0</v>
      </c>
      <c r="DH34" s="134">
        <v>0</v>
      </c>
      <c r="DI34" s="118">
        <v>2</v>
      </c>
      <c r="DJ34" s="118">
        <v>0</v>
      </c>
      <c r="DK34" s="118">
        <v>0</v>
      </c>
      <c r="DL34" s="118">
        <v>0</v>
      </c>
      <c r="DM34" s="118">
        <v>1</v>
      </c>
      <c r="DN34" s="118">
        <v>1</v>
      </c>
      <c r="DO34" s="118">
        <v>1</v>
      </c>
      <c r="DP34" s="118">
        <v>0</v>
      </c>
      <c r="DQ34" s="118">
        <v>0</v>
      </c>
      <c r="DR34" s="118">
        <v>2</v>
      </c>
      <c r="DS34" s="118">
        <v>0</v>
      </c>
      <c r="DT34" s="134">
        <v>1</v>
      </c>
      <c r="DU34" s="134">
        <v>2</v>
      </c>
      <c r="DV34" s="134">
        <v>0</v>
      </c>
      <c r="DW34" s="134">
        <v>1</v>
      </c>
      <c r="DX34" s="134">
        <v>0</v>
      </c>
      <c r="DY34" s="134">
        <v>0</v>
      </c>
      <c r="DZ34" s="134">
        <v>1</v>
      </c>
      <c r="EA34" s="134">
        <v>2</v>
      </c>
      <c r="EB34" s="134">
        <v>0</v>
      </c>
      <c r="EC34" s="134">
        <v>0</v>
      </c>
      <c r="ED34" s="134">
        <v>0</v>
      </c>
      <c r="EE34" s="134">
        <v>1</v>
      </c>
      <c r="EF34" s="134">
        <v>1</v>
      </c>
      <c r="EG34" s="134">
        <v>1</v>
      </c>
      <c r="EH34" s="150">
        <f t="shared" si="15"/>
        <v>30</v>
      </c>
      <c r="EI34" s="208">
        <f t="shared" si="16"/>
        <v>16</v>
      </c>
      <c r="EJ34" s="150">
        <f t="shared" si="17"/>
        <v>16</v>
      </c>
      <c r="EK34" s="347">
        <f t="shared" si="2"/>
        <v>15</v>
      </c>
      <c r="EL34" s="287">
        <f t="shared" si="3"/>
        <v>0</v>
      </c>
      <c r="EM34" s="208">
        <f t="shared" si="4"/>
        <v>0</v>
      </c>
      <c r="EN34" s="150">
        <f t="shared" si="5"/>
        <v>0</v>
      </c>
      <c r="EO34" s="150">
        <f t="shared" si="6"/>
        <v>0</v>
      </c>
      <c r="EP34" s="150">
        <f t="shared" si="7"/>
        <v>0</v>
      </c>
      <c r="EQ34" s="150">
        <f t="shared" si="8"/>
        <v>0</v>
      </c>
      <c r="ER34" s="150">
        <f t="shared" si="9"/>
        <v>4</v>
      </c>
      <c r="ES34" s="152">
        <f t="shared" si="10"/>
        <v>16</v>
      </c>
      <c r="ET34" s="152">
        <f t="shared" si="18"/>
        <v>7</v>
      </c>
      <c r="EU34" s="57">
        <f t="shared" si="11"/>
        <v>0</v>
      </c>
      <c r="EV34" s="12">
        <f t="shared" si="12"/>
        <v>4</v>
      </c>
      <c r="EW34" s="259">
        <v>0</v>
      </c>
      <c r="EX34" s="12">
        <f t="shared" si="13"/>
        <v>0</v>
      </c>
      <c r="EY34" s="131">
        <f t="shared" si="14"/>
        <v>15</v>
      </c>
      <c r="EZ34" s="259">
        <v>0</v>
      </c>
    </row>
    <row r="35" spans="1:156" ht="38.25" customHeight="1" x14ac:dyDescent="0.25">
      <c r="A35" s="236" t="s">
        <v>41</v>
      </c>
      <c r="B35" s="236" t="s">
        <v>41</v>
      </c>
      <c r="C35" s="189">
        <v>51</v>
      </c>
      <c r="D35" s="33">
        <v>39</v>
      </c>
      <c r="E35" s="33">
        <v>43</v>
      </c>
      <c r="F35" s="33">
        <v>39</v>
      </c>
      <c r="G35" s="33">
        <v>48</v>
      </c>
      <c r="H35" s="33">
        <v>27</v>
      </c>
      <c r="I35" s="33">
        <v>26</v>
      </c>
      <c r="J35" s="33">
        <v>36</v>
      </c>
      <c r="K35" s="33">
        <v>53</v>
      </c>
      <c r="L35" s="33">
        <v>36</v>
      </c>
      <c r="M35" s="33">
        <v>53</v>
      </c>
      <c r="N35" s="33">
        <v>42</v>
      </c>
      <c r="O35" s="33">
        <v>0</v>
      </c>
      <c r="P35" s="33">
        <v>49</v>
      </c>
      <c r="Q35" s="33">
        <v>65</v>
      </c>
      <c r="R35" s="33">
        <v>44</v>
      </c>
      <c r="S35" s="33">
        <v>59</v>
      </c>
      <c r="T35" s="33">
        <v>38</v>
      </c>
      <c r="U35" s="33">
        <v>52</v>
      </c>
      <c r="V35" s="33">
        <v>69</v>
      </c>
      <c r="W35" s="33">
        <v>47</v>
      </c>
      <c r="X35" s="33">
        <v>49</v>
      </c>
      <c r="Y35" s="33">
        <v>44</v>
      </c>
      <c r="Z35" s="33">
        <v>28</v>
      </c>
      <c r="AA35" s="33">
        <v>23</v>
      </c>
      <c r="AB35" s="33">
        <v>46</v>
      </c>
      <c r="AC35" s="33">
        <v>37</v>
      </c>
      <c r="AD35" s="33">
        <v>44</v>
      </c>
      <c r="AE35" s="33">
        <v>26</v>
      </c>
      <c r="AF35" s="33">
        <v>38</v>
      </c>
      <c r="AG35" s="33">
        <v>44</v>
      </c>
      <c r="AH35" s="33">
        <v>43</v>
      </c>
      <c r="AI35" s="33">
        <v>48</v>
      </c>
      <c r="AJ35" s="34">
        <v>42</v>
      </c>
      <c r="AK35" s="34">
        <v>40</v>
      </c>
      <c r="AL35" s="34">
        <v>41</v>
      </c>
      <c r="AM35" s="34">
        <v>31</v>
      </c>
      <c r="AN35" s="34">
        <v>57</v>
      </c>
      <c r="AO35" s="34">
        <v>61</v>
      </c>
      <c r="AP35" s="34">
        <v>74</v>
      </c>
      <c r="AQ35" s="34">
        <v>69</v>
      </c>
      <c r="AR35" s="34">
        <v>39</v>
      </c>
      <c r="AS35" s="34">
        <v>95</v>
      </c>
      <c r="AT35" s="34">
        <v>114</v>
      </c>
      <c r="AU35" s="34">
        <v>97</v>
      </c>
      <c r="AV35" s="34">
        <v>112</v>
      </c>
      <c r="AW35" s="34">
        <v>102</v>
      </c>
      <c r="AX35" s="34">
        <v>81</v>
      </c>
      <c r="AY35" s="34">
        <v>82</v>
      </c>
      <c r="AZ35" s="34">
        <v>32</v>
      </c>
      <c r="BA35" s="34">
        <v>51</v>
      </c>
      <c r="BB35" s="34">
        <v>47</v>
      </c>
      <c r="BC35" s="34">
        <v>37</v>
      </c>
      <c r="BD35" s="34">
        <v>48</v>
      </c>
      <c r="BE35" s="34">
        <v>46</v>
      </c>
      <c r="BF35" s="34">
        <v>40</v>
      </c>
      <c r="BG35" s="34">
        <v>49</v>
      </c>
      <c r="BH35" s="34">
        <v>18</v>
      </c>
      <c r="BI35" s="34">
        <v>12</v>
      </c>
      <c r="BJ35" s="34">
        <v>24</v>
      </c>
      <c r="BK35" s="34">
        <v>39</v>
      </c>
      <c r="BL35" s="34">
        <v>20</v>
      </c>
      <c r="BM35" s="137">
        <v>31</v>
      </c>
      <c r="BN35" s="137">
        <v>0</v>
      </c>
      <c r="BO35" s="137">
        <v>78</v>
      </c>
      <c r="BP35" s="137">
        <v>37</v>
      </c>
      <c r="BQ35" s="137">
        <v>41</v>
      </c>
      <c r="BR35" s="138">
        <v>31</v>
      </c>
      <c r="BS35" s="138">
        <v>18</v>
      </c>
      <c r="BT35" s="138">
        <v>24</v>
      </c>
      <c r="BU35" s="138">
        <v>9</v>
      </c>
      <c r="BV35" s="138">
        <v>26</v>
      </c>
      <c r="BW35" s="137">
        <v>15</v>
      </c>
      <c r="BX35" s="137">
        <v>16</v>
      </c>
      <c r="BY35" s="137">
        <v>24</v>
      </c>
      <c r="BZ35" s="137">
        <v>16</v>
      </c>
      <c r="CA35" s="137">
        <v>17</v>
      </c>
      <c r="CB35" s="137">
        <v>14</v>
      </c>
      <c r="CC35" s="137">
        <v>39</v>
      </c>
      <c r="CD35" s="137">
        <v>27</v>
      </c>
      <c r="CE35" s="138">
        <v>27</v>
      </c>
      <c r="CF35" s="137">
        <v>25</v>
      </c>
      <c r="CG35" s="137">
        <v>46</v>
      </c>
      <c r="CH35" s="139">
        <v>21</v>
      </c>
      <c r="CI35" s="139">
        <v>34</v>
      </c>
      <c r="CJ35" s="137">
        <v>30</v>
      </c>
      <c r="CK35" s="137">
        <v>19</v>
      </c>
      <c r="CL35" s="137">
        <v>20</v>
      </c>
      <c r="CM35" s="137">
        <v>28</v>
      </c>
      <c r="CN35" s="137">
        <v>19</v>
      </c>
      <c r="CO35" s="137">
        <v>39</v>
      </c>
      <c r="CP35" s="137">
        <v>38</v>
      </c>
      <c r="CQ35" s="137">
        <v>31</v>
      </c>
      <c r="CR35" s="137">
        <v>18</v>
      </c>
      <c r="CS35" s="34">
        <v>24</v>
      </c>
      <c r="CT35" s="34">
        <v>13</v>
      </c>
      <c r="CU35" s="34">
        <v>27</v>
      </c>
      <c r="CV35" s="34">
        <v>15</v>
      </c>
      <c r="CW35" s="42">
        <v>47</v>
      </c>
      <c r="CX35" s="34">
        <v>39</v>
      </c>
      <c r="CY35" s="137">
        <v>37</v>
      </c>
      <c r="CZ35" s="34">
        <v>28</v>
      </c>
      <c r="DA35" s="34">
        <v>28</v>
      </c>
      <c r="DB35" s="34">
        <v>36</v>
      </c>
      <c r="DC35" s="34">
        <v>25</v>
      </c>
      <c r="DD35" s="34">
        <v>31</v>
      </c>
      <c r="DE35" s="34">
        <v>39</v>
      </c>
      <c r="DF35" s="34">
        <v>49</v>
      </c>
      <c r="DG35" s="34">
        <v>29</v>
      </c>
      <c r="DH35" s="42">
        <v>36</v>
      </c>
      <c r="DI35" s="34">
        <v>35</v>
      </c>
      <c r="DJ35" s="34">
        <v>35</v>
      </c>
      <c r="DK35" s="34">
        <v>27</v>
      </c>
      <c r="DL35" s="34">
        <v>34</v>
      </c>
      <c r="DM35" s="34">
        <v>27</v>
      </c>
      <c r="DN35" s="34">
        <v>35</v>
      </c>
      <c r="DO35" s="34">
        <v>35</v>
      </c>
      <c r="DP35" s="34">
        <v>34</v>
      </c>
      <c r="DQ35" s="34">
        <v>15</v>
      </c>
      <c r="DR35" s="137">
        <v>34</v>
      </c>
      <c r="DS35" s="34">
        <v>25</v>
      </c>
      <c r="DT35" s="42">
        <v>22</v>
      </c>
      <c r="DU35" s="42">
        <v>35</v>
      </c>
      <c r="DV35" s="42">
        <v>30</v>
      </c>
      <c r="DW35" s="42">
        <v>22</v>
      </c>
      <c r="DX35" s="42">
        <v>37</v>
      </c>
      <c r="DY35" s="42">
        <v>20</v>
      </c>
      <c r="DZ35" s="42">
        <v>32</v>
      </c>
      <c r="EA35" s="42">
        <v>36</v>
      </c>
      <c r="EB35" s="42">
        <v>27</v>
      </c>
      <c r="EC35" s="42">
        <v>26</v>
      </c>
      <c r="ED35" s="42">
        <v>36</v>
      </c>
      <c r="EE35" s="42">
        <v>38</v>
      </c>
      <c r="EF35" s="42">
        <v>33</v>
      </c>
      <c r="EG35" s="42">
        <v>24</v>
      </c>
      <c r="EH35" s="150">
        <f t="shared" si="15"/>
        <v>1344</v>
      </c>
      <c r="EI35" s="208">
        <f t="shared" si="16"/>
        <v>4505</v>
      </c>
      <c r="EJ35" s="150">
        <f t="shared" si="17"/>
        <v>4232</v>
      </c>
      <c r="EK35" s="347">
        <f t="shared" si="2"/>
        <v>657</v>
      </c>
      <c r="EL35" s="287">
        <f t="shared" si="3"/>
        <v>51</v>
      </c>
      <c r="EM35" s="151">
        <f t="shared" ref="EM35:EM67" si="19">SUM(D35:O35)</f>
        <v>442</v>
      </c>
      <c r="EN35" s="153">
        <f t="shared" ref="EN35:EN67" si="20">SUM(P35:AA35)</f>
        <v>567</v>
      </c>
      <c r="EO35" s="153">
        <f t="shared" ref="EO35:EO66" si="21">SUM(AB35:AM35)</f>
        <v>480</v>
      </c>
      <c r="EP35" s="152">
        <f t="shared" ref="EP35:EP64" si="22">SUM(AN35:AY35)</f>
        <v>983</v>
      </c>
      <c r="EQ35" s="152">
        <f t="shared" ref="EQ35:EQ64" si="23">SUM(AZ35:BW35)</f>
        <v>773</v>
      </c>
      <c r="ER35" s="150">
        <f t="shared" si="9"/>
        <v>612</v>
      </c>
      <c r="ES35" s="152">
        <f t="shared" si="10"/>
        <v>775</v>
      </c>
      <c r="ET35" s="152">
        <f t="shared" si="18"/>
        <v>261</v>
      </c>
      <c r="EU35" s="57">
        <f t="shared" si="11"/>
        <v>556</v>
      </c>
      <c r="EV35" s="12">
        <f t="shared" si="12"/>
        <v>486</v>
      </c>
      <c r="EW35" s="259">
        <v>0</v>
      </c>
      <c r="EX35" s="12">
        <f t="shared" si="13"/>
        <v>3757</v>
      </c>
      <c r="EY35" s="131">
        <f t="shared" si="14"/>
        <v>4311</v>
      </c>
      <c r="EZ35" s="259">
        <v>0</v>
      </c>
    </row>
    <row r="36" spans="1:156" ht="18.75" x14ac:dyDescent="0.25">
      <c r="A36" s="83" t="s">
        <v>77</v>
      </c>
      <c r="B36" s="83" t="s">
        <v>46</v>
      </c>
      <c r="C36" s="189">
        <v>32</v>
      </c>
      <c r="D36" s="33">
        <v>31</v>
      </c>
      <c r="E36" s="33">
        <v>25</v>
      </c>
      <c r="F36" s="33">
        <v>30</v>
      </c>
      <c r="G36" s="33">
        <v>32</v>
      </c>
      <c r="H36" s="33">
        <v>21</v>
      </c>
      <c r="I36" s="33">
        <v>19</v>
      </c>
      <c r="J36" s="33">
        <v>27</v>
      </c>
      <c r="K36" s="33">
        <v>36</v>
      </c>
      <c r="L36" s="33">
        <v>23</v>
      </c>
      <c r="M36" s="33">
        <v>39</v>
      </c>
      <c r="N36" s="33">
        <v>31</v>
      </c>
      <c r="O36" s="33">
        <v>0</v>
      </c>
      <c r="P36" s="33">
        <v>39</v>
      </c>
      <c r="Q36" s="33">
        <v>56</v>
      </c>
      <c r="R36" s="33">
        <v>37</v>
      </c>
      <c r="S36" s="33">
        <v>39</v>
      </c>
      <c r="T36" s="33">
        <v>28</v>
      </c>
      <c r="U36" s="33">
        <v>44</v>
      </c>
      <c r="V36" s="33">
        <v>41</v>
      </c>
      <c r="W36" s="33">
        <v>30</v>
      </c>
      <c r="X36" s="33">
        <v>33</v>
      </c>
      <c r="Y36" s="33">
        <v>38</v>
      </c>
      <c r="Z36" s="33">
        <v>16</v>
      </c>
      <c r="AA36" s="33">
        <v>9</v>
      </c>
      <c r="AB36" s="33">
        <v>20</v>
      </c>
      <c r="AC36" s="33">
        <v>17</v>
      </c>
      <c r="AD36" s="33">
        <v>22</v>
      </c>
      <c r="AE36" s="33">
        <v>15</v>
      </c>
      <c r="AF36" s="33">
        <v>21</v>
      </c>
      <c r="AG36" s="33">
        <v>22</v>
      </c>
      <c r="AH36" s="33">
        <v>22</v>
      </c>
      <c r="AI36" s="33">
        <v>26</v>
      </c>
      <c r="AJ36" s="34">
        <v>22</v>
      </c>
      <c r="AK36" s="34">
        <v>19</v>
      </c>
      <c r="AL36" s="34">
        <v>21</v>
      </c>
      <c r="AM36" s="34">
        <v>16</v>
      </c>
      <c r="AN36" s="34">
        <v>25</v>
      </c>
      <c r="AO36" s="34">
        <v>26</v>
      </c>
      <c r="AP36" s="34">
        <v>35</v>
      </c>
      <c r="AQ36" s="34">
        <v>27</v>
      </c>
      <c r="AR36" s="34">
        <v>18</v>
      </c>
      <c r="AS36" s="34">
        <v>28</v>
      </c>
      <c r="AT36" s="34">
        <v>56</v>
      </c>
      <c r="AU36" s="34">
        <v>41</v>
      </c>
      <c r="AV36" s="34">
        <v>60</v>
      </c>
      <c r="AW36" s="34">
        <v>37</v>
      </c>
      <c r="AX36" s="34">
        <v>32</v>
      </c>
      <c r="AY36" s="34">
        <v>27</v>
      </c>
      <c r="AZ36" s="34">
        <v>14</v>
      </c>
      <c r="BA36" s="34">
        <v>19</v>
      </c>
      <c r="BB36" s="34">
        <v>15</v>
      </c>
      <c r="BC36" s="34">
        <v>11</v>
      </c>
      <c r="BD36" s="34">
        <v>25</v>
      </c>
      <c r="BE36" s="34">
        <v>15</v>
      </c>
      <c r="BF36" s="34">
        <v>19</v>
      </c>
      <c r="BG36" s="34">
        <v>13</v>
      </c>
      <c r="BH36" s="34">
        <v>3</v>
      </c>
      <c r="BI36" s="34">
        <v>3</v>
      </c>
      <c r="BJ36" s="34">
        <v>0</v>
      </c>
      <c r="BK36" s="34">
        <v>14</v>
      </c>
      <c r="BL36" s="34">
        <v>2</v>
      </c>
      <c r="BM36" s="137">
        <v>5</v>
      </c>
      <c r="BN36" s="137">
        <v>0</v>
      </c>
      <c r="BO36" s="137">
        <v>15</v>
      </c>
      <c r="BP36" s="137">
        <v>14</v>
      </c>
      <c r="BQ36" s="137">
        <v>9</v>
      </c>
      <c r="BR36" s="138">
        <v>3</v>
      </c>
      <c r="BS36" s="138">
        <v>1</v>
      </c>
      <c r="BT36" s="138">
        <v>2</v>
      </c>
      <c r="BU36" s="138">
        <v>2</v>
      </c>
      <c r="BV36" s="138">
        <v>1</v>
      </c>
      <c r="BW36" s="137">
        <v>0</v>
      </c>
      <c r="BX36" s="137">
        <v>1</v>
      </c>
      <c r="BY36" s="137">
        <v>1</v>
      </c>
      <c r="BZ36" s="137">
        <v>2</v>
      </c>
      <c r="CA36" s="137">
        <v>1</v>
      </c>
      <c r="CB36" s="137">
        <v>0</v>
      </c>
      <c r="CC36" s="137">
        <v>6</v>
      </c>
      <c r="CD36" s="137">
        <v>3</v>
      </c>
      <c r="CE36" s="138">
        <v>1</v>
      </c>
      <c r="CF36" s="137">
        <v>2</v>
      </c>
      <c r="CG36" s="137">
        <v>3</v>
      </c>
      <c r="CH36" s="139">
        <v>0</v>
      </c>
      <c r="CI36" s="139">
        <v>11</v>
      </c>
      <c r="CJ36" s="137">
        <v>2</v>
      </c>
      <c r="CK36" s="137">
        <v>0</v>
      </c>
      <c r="CL36" s="137">
        <v>2</v>
      </c>
      <c r="CM36" s="137">
        <v>1</v>
      </c>
      <c r="CN36" s="137">
        <v>5</v>
      </c>
      <c r="CO36" s="137">
        <v>4</v>
      </c>
      <c r="CP36" s="137">
        <v>9</v>
      </c>
      <c r="CQ36" s="137">
        <v>7</v>
      </c>
      <c r="CR36" s="137">
        <v>2</v>
      </c>
      <c r="CS36" s="34">
        <v>0</v>
      </c>
      <c r="CT36" s="34">
        <v>0</v>
      </c>
      <c r="CU36" s="34">
        <v>6</v>
      </c>
      <c r="CV36" s="34">
        <v>2</v>
      </c>
      <c r="CW36" s="42">
        <v>5</v>
      </c>
      <c r="CX36" s="34">
        <v>3</v>
      </c>
      <c r="CY36" s="137">
        <v>4</v>
      </c>
      <c r="CZ36" s="34">
        <v>3</v>
      </c>
      <c r="DA36" s="34">
        <v>1</v>
      </c>
      <c r="DB36" s="34">
        <v>4</v>
      </c>
      <c r="DC36" s="34">
        <v>5</v>
      </c>
      <c r="DD36" s="34">
        <v>1</v>
      </c>
      <c r="DE36" s="34">
        <v>3</v>
      </c>
      <c r="DF36" s="34">
        <v>1</v>
      </c>
      <c r="DG36" s="34">
        <v>1</v>
      </c>
      <c r="DH36" s="42">
        <v>0</v>
      </c>
      <c r="DI36" s="34">
        <v>1</v>
      </c>
      <c r="DJ36" s="34">
        <v>1</v>
      </c>
      <c r="DK36" s="34">
        <v>3</v>
      </c>
      <c r="DL36" s="34">
        <v>0</v>
      </c>
      <c r="DM36" s="34">
        <v>1</v>
      </c>
      <c r="DN36" s="34">
        <v>2</v>
      </c>
      <c r="DO36" s="34">
        <v>0</v>
      </c>
      <c r="DP36" s="34">
        <v>0</v>
      </c>
      <c r="DQ36" s="34">
        <v>0</v>
      </c>
      <c r="DR36" s="137">
        <v>0</v>
      </c>
      <c r="DS36" s="34">
        <v>0</v>
      </c>
      <c r="DT36" s="42">
        <v>0</v>
      </c>
      <c r="DU36" s="42">
        <v>1</v>
      </c>
      <c r="DV36" s="42">
        <v>0</v>
      </c>
      <c r="DW36" s="42">
        <v>0</v>
      </c>
      <c r="DX36" s="42">
        <v>0</v>
      </c>
      <c r="DY36" s="42">
        <v>0</v>
      </c>
      <c r="DZ36" s="42">
        <v>0</v>
      </c>
      <c r="EA36" s="42">
        <v>0</v>
      </c>
      <c r="EB36" s="42">
        <v>0</v>
      </c>
      <c r="EC36" s="42">
        <v>1</v>
      </c>
      <c r="ED36" s="42">
        <v>1</v>
      </c>
      <c r="EE36" s="42">
        <v>3</v>
      </c>
      <c r="EF36" s="42">
        <v>3</v>
      </c>
      <c r="EG36" s="42">
        <v>1</v>
      </c>
      <c r="EH36" s="150">
        <f t="shared" si="15"/>
        <v>75</v>
      </c>
      <c r="EI36" s="208">
        <f t="shared" si="16"/>
        <v>1724</v>
      </c>
      <c r="EJ36" s="150">
        <f t="shared" si="17"/>
        <v>1534</v>
      </c>
      <c r="EK36" s="347">
        <f t="shared" si="2"/>
        <v>13</v>
      </c>
      <c r="EL36" s="287">
        <f t="shared" si="3"/>
        <v>32</v>
      </c>
      <c r="EM36" s="151">
        <f t="shared" si="19"/>
        <v>314</v>
      </c>
      <c r="EN36" s="153">
        <f t="shared" si="20"/>
        <v>410</v>
      </c>
      <c r="EO36" s="153">
        <f t="shared" si="21"/>
        <v>243</v>
      </c>
      <c r="EP36" s="152">
        <f t="shared" si="22"/>
        <v>412</v>
      </c>
      <c r="EQ36" s="152">
        <f t="shared" si="23"/>
        <v>205</v>
      </c>
      <c r="ER36" s="150">
        <f t="shared" si="9"/>
        <v>69</v>
      </c>
      <c r="ES36" s="152">
        <f t="shared" si="10"/>
        <v>41</v>
      </c>
      <c r="ET36" s="152">
        <f t="shared" si="18"/>
        <v>1</v>
      </c>
      <c r="EU36" s="57">
        <f t="shared" si="11"/>
        <v>65</v>
      </c>
      <c r="EV36" s="12">
        <f t="shared" si="12"/>
        <v>58</v>
      </c>
      <c r="EW36" s="259">
        <v>0</v>
      </c>
      <c r="EX36" s="12">
        <f t="shared" si="13"/>
        <v>1661</v>
      </c>
      <c r="EY36" s="131">
        <f t="shared" si="14"/>
        <v>1635</v>
      </c>
      <c r="EZ36" s="259">
        <v>0</v>
      </c>
    </row>
    <row r="37" spans="1:156" ht="15" customHeight="1" x14ac:dyDescent="0.25">
      <c r="A37" s="83" t="s">
        <v>78</v>
      </c>
      <c r="B37" s="83" t="s">
        <v>46</v>
      </c>
      <c r="C37" s="189">
        <v>19</v>
      </c>
      <c r="D37" s="33">
        <v>8</v>
      </c>
      <c r="E37" s="33">
        <v>18</v>
      </c>
      <c r="F37" s="33">
        <v>9</v>
      </c>
      <c r="G37" s="33">
        <v>16</v>
      </c>
      <c r="H37" s="33">
        <v>6</v>
      </c>
      <c r="I37" s="33">
        <v>7</v>
      </c>
      <c r="J37" s="33">
        <v>9</v>
      </c>
      <c r="K37" s="33">
        <v>17</v>
      </c>
      <c r="L37" s="33">
        <v>13</v>
      </c>
      <c r="M37" s="33">
        <v>14</v>
      </c>
      <c r="N37" s="33">
        <v>11</v>
      </c>
      <c r="O37" s="33">
        <v>0</v>
      </c>
      <c r="P37" s="33">
        <v>10</v>
      </c>
      <c r="Q37" s="33">
        <v>9</v>
      </c>
      <c r="R37" s="33">
        <v>7</v>
      </c>
      <c r="S37" s="33">
        <v>20</v>
      </c>
      <c r="T37" s="33">
        <v>10</v>
      </c>
      <c r="U37" s="33">
        <v>8</v>
      </c>
      <c r="V37" s="33">
        <v>28</v>
      </c>
      <c r="W37" s="33">
        <v>17</v>
      </c>
      <c r="X37" s="33">
        <v>16</v>
      </c>
      <c r="Y37" s="33">
        <v>6</v>
      </c>
      <c r="Z37" s="33">
        <v>12</v>
      </c>
      <c r="AA37" s="33">
        <v>14</v>
      </c>
      <c r="AB37" s="33">
        <v>26</v>
      </c>
      <c r="AC37" s="33">
        <v>20</v>
      </c>
      <c r="AD37" s="33">
        <v>22</v>
      </c>
      <c r="AE37" s="33">
        <v>11</v>
      </c>
      <c r="AF37" s="33">
        <v>17</v>
      </c>
      <c r="AG37" s="33">
        <v>22</v>
      </c>
      <c r="AH37" s="33">
        <v>21</v>
      </c>
      <c r="AI37" s="33">
        <v>22</v>
      </c>
      <c r="AJ37" s="34">
        <v>20</v>
      </c>
      <c r="AK37" s="34">
        <v>21</v>
      </c>
      <c r="AL37" s="34">
        <v>20</v>
      </c>
      <c r="AM37" s="34">
        <v>15</v>
      </c>
      <c r="AN37" s="34">
        <v>32</v>
      </c>
      <c r="AO37" s="34">
        <v>35</v>
      </c>
      <c r="AP37" s="34">
        <v>39</v>
      </c>
      <c r="AQ37" s="34">
        <v>42</v>
      </c>
      <c r="AR37" s="34">
        <v>21</v>
      </c>
      <c r="AS37" s="34">
        <v>67</v>
      </c>
      <c r="AT37" s="34">
        <v>58</v>
      </c>
      <c r="AU37" s="34">
        <v>56</v>
      </c>
      <c r="AV37" s="34">
        <v>52</v>
      </c>
      <c r="AW37" s="34">
        <v>65</v>
      </c>
      <c r="AX37" s="34">
        <v>49</v>
      </c>
      <c r="AY37" s="34">
        <v>55</v>
      </c>
      <c r="AZ37" s="34">
        <v>18</v>
      </c>
      <c r="BA37" s="34">
        <v>32</v>
      </c>
      <c r="BB37" s="34">
        <v>32</v>
      </c>
      <c r="BC37" s="34">
        <v>26</v>
      </c>
      <c r="BD37" s="34">
        <v>23</v>
      </c>
      <c r="BE37" s="34">
        <v>31</v>
      </c>
      <c r="BF37" s="34">
        <v>21</v>
      </c>
      <c r="BG37" s="34">
        <v>36</v>
      </c>
      <c r="BH37" s="34">
        <v>15</v>
      </c>
      <c r="BI37" s="34">
        <v>9</v>
      </c>
      <c r="BJ37" s="34">
        <v>24</v>
      </c>
      <c r="BK37" s="34">
        <v>25</v>
      </c>
      <c r="BL37" s="34">
        <v>18</v>
      </c>
      <c r="BM37" s="137">
        <v>26</v>
      </c>
      <c r="BN37" s="137">
        <v>0</v>
      </c>
      <c r="BO37" s="137">
        <v>63</v>
      </c>
      <c r="BP37" s="137">
        <v>23</v>
      </c>
      <c r="BQ37" s="137">
        <v>32</v>
      </c>
      <c r="BR37" s="138">
        <v>28</v>
      </c>
      <c r="BS37" s="138">
        <v>17</v>
      </c>
      <c r="BT37" s="138">
        <v>22</v>
      </c>
      <c r="BU37" s="138">
        <v>7</v>
      </c>
      <c r="BV37" s="138">
        <v>25</v>
      </c>
      <c r="BW37" s="137">
        <v>15</v>
      </c>
      <c r="BX37" s="137">
        <v>15</v>
      </c>
      <c r="BY37" s="137">
        <v>23</v>
      </c>
      <c r="BZ37" s="137">
        <v>14</v>
      </c>
      <c r="CA37" s="137">
        <v>16</v>
      </c>
      <c r="CB37" s="137">
        <v>14</v>
      </c>
      <c r="CC37" s="137">
        <v>33</v>
      </c>
      <c r="CD37" s="137">
        <v>24</v>
      </c>
      <c r="CE37" s="138">
        <v>26</v>
      </c>
      <c r="CF37" s="137">
        <v>23</v>
      </c>
      <c r="CG37" s="137">
        <v>43</v>
      </c>
      <c r="CH37" s="139">
        <v>21</v>
      </c>
      <c r="CI37" s="139">
        <v>23</v>
      </c>
      <c r="CJ37" s="137">
        <v>28</v>
      </c>
      <c r="CK37" s="137">
        <v>19</v>
      </c>
      <c r="CL37" s="137">
        <v>18</v>
      </c>
      <c r="CM37" s="137">
        <v>27</v>
      </c>
      <c r="CN37" s="137">
        <v>14</v>
      </c>
      <c r="CO37" s="137">
        <v>35</v>
      </c>
      <c r="CP37" s="137">
        <v>29</v>
      </c>
      <c r="CQ37" s="137">
        <v>24</v>
      </c>
      <c r="CR37" s="137">
        <v>16</v>
      </c>
      <c r="CS37" s="34">
        <v>24</v>
      </c>
      <c r="CT37" s="34">
        <v>13</v>
      </c>
      <c r="CU37" s="34">
        <v>21</v>
      </c>
      <c r="CV37" s="34">
        <v>13</v>
      </c>
      <c r="CW37" s="42">
        <v>42</v>
      </c>
      <c r="CX37" s="34">
        <v>36</v>
      </c>
      <c r="CY37" s="137">
        <v>33</v>
      </c>
      <c r="CZ37" s="34">
        <v>25</v>
      </c>
      <c r="DA37" s="34">
        <v>27</v>
      </c>
      <c r="DB37" s="34">
        <v>32</v>
      </c>
      <c r="DC37" s="34">
        <v>20</v>
      </c>
      <c r="DD37" s="34">
        <v>30</v>
      </c>
      <c r="DE37" s="34">
        <v>36</v>
      </c>
      <c r="DF37" s="34">
        <v>48</v>
      </c>
      <c r="DG37" s="34">
        <v>28</v>
      </c>
      <c r="DH37" s="42">
        <v>36</v>
      </c>
      <c r="DI37" s="34">
        <v>34</v>
      </c>
      <c r="DJ37" s="34">
        <v>34</v>
      </c>
      <c r="DK37" s="34">
        <v>24</v>
      </c>
      <c r="DL37" s="34">
        <v>34</v>
      </c>
      <c r="DM37" s="34">
        <v>26</v>
      </c>
      <c r="DN37" s="34">
        <v>33</v>
      </c>
      <c r="DO37" s="34">
        <v>35</v>
      </c>
      <c r="DP37" s="34">
        <v>34</v>
      </c>
      <c r="DQ37" s="34">
        <v>15</v>
      </c>
      <c r="DR37" s="137">
        <v>34</v>
      </c>
      <c r="DS37" s="34">
        <v>25</v>
      </c>
      <c r="DT37" s="42">
        <v>22</v>
      </c>
      <c r="DU37" s="42">
        <v>34</v>
      </c>
      <c r="DV37" s="42">
        <v>30</v>
      </c>
      <c r="DW37" s="42">
        <v>22</v>
      </c>
      <c r="DX37" s="42">
        <v>37</v>
      </c>
      <c r="DY37" s="42">
        <v>20</v>
      </c>
      <c r="DZ37" s="42">
        <v>32</v>
      </c>
      <c r="EA37" s="42">
        <v>36</v>
      </c>
      <c r="EB37" s="42">
        <v>27</v>
      </c>
      <c r="EC37" s="42">
        <v>25</v>
      </c>
      <c r="ED37" s="42">
        <v>35</v>
      </c>
      <c r="EE37" s="42">
        <v>35</v>
      </c>
      <c r="EF37" s="42">
        <v>30</v>
      </c>
      <c r="EG37" s="42">
        <v>23</v>
      </c>
      <c r="EH37" s="150">
        <f t="shared" si="15"/>
        <v>1269</v>
      </c>
      <c r="EI37" s="208">
        <f t="shared" si="16"/>
        <v>2781</v>
      </c>
      <c r="EJ37" s="150">
        <f t="shared" si="17"/>
        <v>2698</v>
      </c>
      <c r="EK37" s="347">
        <f t="shared" si="2"/>
        <v>644</v>
      </c>
      <c r="EL37" s="287">
        <f t="shared" si="3"/>
        <v>19</v>
      </c>
      <c r="EM37" s="151">
        <f t="shared" si="19"/>
        <v>128</v>
      </c>
      <c r="EN37" s="153">
        <f t="shared" si="20"/>
        <v>157</v>
      </c>
      <c r="EO37" s="153">
        <f t="shared" si="21"/>
        <v>237</v>
      </c>
      <c r="EP37" s="152">
        <f t="shared" si="22"/>
        <v>571</v>
      </c>
      <c r="EQ37" s="152">
        <f t="shared" si="23"/>
        <v>568</v>
      </c>
      <c r="ER37" s="150">
        <f t="shared" si="9"/>
        <v>543</v>
      </c>
      <c r="ES37" s="152">
        <f t="shared" si="10"/>
        <v>734</v>
      </c>
      <c r="ET37" s="152">
        <f t="shared" si="18"/>
        <v>260</v>
      </c>
      <c r="EU37" s="57">
        <f t="shared" si="11"/>
        <v>491</v>
      </c>
      <c r="EV37" s="12">
        <f t="shared" si="12"/>
        <v>428</v>
      </c>
      <c r="EW37" s="259">
        <v>0</v>
      </c>
      <c r="EX37" s="12">
        <f t="shared" si="13"/>
        <v>2096</v>
      </c>
      <c r="EY37" s="131">
        <f t="shared" si="14"/>
        <v>2676</v>
      </c>
      <c r="EZ37" s="259">
        <v>0</v>
      </c>
    </row>
    <row r="38" spans="1:156" ht="45" x14ac:dyDescent="0.25">
      <c r="A38" s="234" t="s">
        <v>42</v>
      </c>
      <c r="B38" s="234" t="s">
        <v>43</v>
      </c>
      <c r="C38" s="189">
        <v>608</v>
      </c>
      <c r="D38" s="33">
        <v>446</v>
      </c>
      <c r="E38" s="33">
        <v>405</v>
      </c>
      <c r="F38" s="33">
        <v>589</v>
      </c>
      <c r="G38" s="33">
        <v>555</v>
      </c>
      <c r="H38" s="33">
        <v>394</v>
      </c>
      <c r="I38" s="33">
        <v>426</v>
      </c>
      <c r="J38" s="33">
        <v>269</v>
      </c>
      <c r="K38" s="33">
        <v>512</v>
      </c>
      <c r="L38" s="33">
        <v>488</v>
      </c>
      <c r="M38" s="33">
        <v>456</v>
      </c>
      <c r="N38" s="33">
        <v>265</v>
      </c>
      <c r="O38" s="33">
        <v>384</v>
      </c>
      <c r="P38" s="33">
        <v>382</v>
      </c>
      <c r="Q38" s="33">
        <v>680</v>
      </c>
      <c r="R38" s="33">
        <v>484</v>
      </c>
      <c r="S38" s="33">
        <v>628</v>
      </c>
      <c r="T38" s="33">
        <v>694</v>
      </c>
      <c r="U38" s="33">
        <v>627</v>
      </c>
      <c r="V38" s="33">
        <v>725</v>
      </c>
      <c r="W38" s="33">
        <v>535</v>
      </c>
      <c r="X38" s="33">
        <v>416</v>
      </c>
      <c r="Y38" s="33">
        <v>337</v>
      </c>
      <c r="Z38" s="33">
        <v>199</v>
      </c>
      <c r="AA38" s="33">
        <v>213</v>
      </c>
      <c r="AB38" s="33">
        <v>128</v>
      </c>
      <c r="AC38" s="33">
        <v>414</v>
      </c>
      <c r="AD38" s="33">
        <v>546</v>
      </c>
      <c r="AE38" s="33">
        <v>466</v>
      </c>
      <c r="AF38" s="33">
        <v>437</v>
      </c>
      <c r="AG38" s="33">
        <v>541</v>
      </c>
      <c r="AH38" s="33">
        <v>618</v>
      </c>
      <c r="AI38" s="33">
        <v>641</v>
      </c>
      <c r="AJ38" s="34">
        <v>661</v>
      </c>
      <c r="AK38" s="34">
        <v>479</v>
      </c>
      <c r="AL38" s="34">
        <v>347</v>
      </c>
      <c r="AM38" s="34">
        <v>279</v>
      </c>
      <c r="AN38" s="34">
        <v>511</v>
      </c>
      <c r="AO38" s="34">
        <v>281</v>
      </c>
      <c r="AP38" s="34">
        <v>514</v>
      </c>
      <c r="AQ38" s="34">
        <v>529</v>
      </c>
      <c r="AR38" s="34">
        <v>372</v>
      </c>
      <c r="AS38" s="34">
        <v>134</v>
      </c>
      <c r="AT38" s="34">
        <v>415</v>
      </c>
      <c r="AU38" s="34">
        <v>532</v>
      </c>
      <c r="AV38" s="34">
        <v>472</v>
      </c>
      <c r="AW38" s="34">
        <v>112</v>
      </c>
      <c r="AX38" s="34">
        <v>252</v>
      </c>
      <c r="AY38" s="34">
        <v>239</v>
      </c>
      <c r="AZ38" s="34">
        <v>55</v>
      </c>
      <c r="BA38" s="34">
        <v>376</v>
      </c>
      <c r="BB38" s="34">
        <v>160</v>
      </c>
      <c r="BC38" s="34">
        <v>342</v>
      </c>
      <c r="BD38" s="34">
        <v>157</v>
      </c>
      <c r="BE38" s="34">
        <v>349</v>
      </c>
      <c r="BF38" s="34">
        <v>192</v>
      </c>
      <c r="BG38" s="34">
        <v>264</v>
      </c>
      <c r="BH38" s="34">
        <v>20</v>
      </c>
      <c r="BI38" s="34">
        <v>380</v>
      </c>
      <c r="BJ38" s="34">
        <v>454</v>
      </c>
      <c r="BK38" s="34">
        <v>0</v>
      </c>
      <c r="BL38" s="34">
        <v>420</v>
      </c>
      <c r="BM38" s="137">
        <v>272</v>
      </c>
      <c r="BN38" s="137">
        <v>190</v>
      </c>
      <c r="BO38" s="137">
        <v>189</v>
      </c>
      <c r="BP38" s="137">
        <v>322</v>
      </c>
      <c r="BQ38" s="137">
        <v>211</v>
      </c>
      <c r="BR38" s="138">
        <v>250</v>
      </c>
      <c r="BS38" s="138">
        <v>217</v>
      </c>
      <c r="BT38" s="138">
        <v>122</v>
      </c>
      <c r="BU38" s="138">
        <v>82</v>
      </c>
      <c r="BV38" s="138">
        <v>98</v>
      </c>
      <c r="BW38" s="137">
        <v>204</v>
      </c>
      <c r="BX38" s="137">
        <v>86</v>
      </c>
      <c r="BY38" s="137">
        <v>45</v>
      </c>
      <c r="BZ38" s="137">
        <v>79</v>
      </c>
      <c r="CA38" s="137">
        <v>143</v>
      </c>
      <c r="CB38" s="137">
        <v>143</v>
      </c>
      <c r="CC38" s="137">
        <v>113</v>
      </c>
      <c r="CD38" s="137">
        <v>260</v>
      </c>
      <c r="CE38" s="138">
        <v>174</v>
      </c>
      <c r="CF38" s="137">
        <v>157</v>
      </c>
      <c r="CG38" s="137">
        <v>206</v>
      </c>
      <c r="CH38" s="139">
        <v>115</v>
      </c>
      <c r="CI38" s="139">
        <v>151</v>
      </c>
      <c r="CJ38" s="137">
        <v>226</v>
      </c>
      <c r="CK38" s="137">
        <v>221</v>
      </c>
      <c r="CL38" s="137">
        <v>187</v>
      </c>
      <c r="CM38" s="137">
        <v>264</v>
      </c>
      <c r="CN38" s="137">
        <v>210</v>
      </c>
      <c r="CO38" s="137">
        <v>153</v>
      </c>
      <c r="CP38" s="137">
        <v>204</v>
      </c>
      <c r="CQ38" s="137">
        <v>314</v>
      </c>
      <c r="CR38" s="137">
        <v>215</v>
      </c>
      <c r="CS38" s="34">
        <v>327</v>
      </c>
      <c r="CT38" s="34">
        <v>187</v>
      </c>
      <c r="CU38" s="34">
        <v>227</v>
      </c>
      <c r="CV38" s="34">
        <v>30</v>
      </c>
      <c r="CW38" s="42">
        <v>299</v>
      </c>
      <c r="CX38" s="34">
        <v>195</v>
      </c>
      <c r="CY38" s="137">
        <v>159</v>
      </c>
      <c r="CZ38" s="34">
        <v>118</v>
      </c>
      <c r="DA38" s="34">
        <v>113</v>
      </c>
      <c r="DB38" s="34">
        <v>119</v>
      </c>
      <c r="DC38" s="34">
        <v>259</v>
      </c>
      <c r="DD38" s="34">
        <v>90</v>
      </c>
      <c r="DE38" s="34">
        <v>142</v>
      </c>
      <c r="DF38" s="34">
        <v>77</v>
      </c>
      <c r="DG38" s="34">
        <v>45</v>
      </c>
      <c r="DH38" s="42">
        <v>52</v>
      </c>
      <c r="DI38" s="34">
        <v>36</v>
      </c>
      <c r="DJ38" s="34">
        <v>26</v>
      </c>
      <c r="DK38" s="34">
        <v>162</v>
      </c>
      <c r="DL38" s="34">
        <v>96</v>
      </c>
      <c r="DM38" s="34">
        <v>115</v>
      </c>
      <c r="DN38" s="34">
        <v>0</v>
      </c>
      <c r="DO38" s="34">
        <v>62</v>
      </c>
      <c r="DP38" s="34">
        <v>11</v>
      </c>
      <c r="DQ38" s="34">
        <v>9</v>
      </c>
      <c r="DR38" s="34">
        <v>2</v>
      </c>
      <c r="DS38" s="34">
        <v>10</v>
      </c>
      <c r="DT38" s="42">
        <v>0</v>
      </c>
      <c r="DU38" s="42">
        <v>104</v>
      </c>
      <c r="DV38" s="42">
        <v>52</v>
      </c>
      <c r="DW38" s="42">
        <v>64</v>
      </c>
      <c r="DX38" s="42">
        <v>107</v>
      </c>
      <c r="DY38" s="42">
        <v>23</v>
      </c>
      <c r="DZ38" s="42">
        <v>28</v>
      </c>
      <c r="EA38" s="42">
        <v>110</v>
      </c>
      <c r="EB38" s="42">
        <v>51</v>
      </c>
      <c r="EC38" s="42">
        <v>53</v>
      </c>
      <c r="ED38" s="42">
        <v>60</v>
      </c>
      <c r="EE38" s="42">
        <v>26</v>
      </c>
      <c r="EF38" s="42">
        <v>55</v>
      </c>
      <c r="EG38" s="42">
        <v>33</v>
      </c>
      <c r="EH38" s="150">
        <f t="shared" si="15"/>
        <v>4467</v>
      </c>
      <c r="EI38" s="208">
        <f t="shared" si="16"/>
        <v>33503</v>
      </c>
      <c r="EJ38" s="150">
        <f t="shared" si="17"/>
        <v>30080</v>
      </c>
      <c r="EK38" s="347">
        <f t="shared" si="2"/>
        <v>1071</v>
      </c>
      <c r="EL38" s="287">
        <f t="shared" si="3"/>
        <v>608</v>
      </c>
      <c r="EM38" s="151">
        <f t="shared" si="19"/>
        <v>5189</v>
      </c>
      <c r="EN38" s="153">
        <f t="shared" si="20"/>
        <v>5920</v>
      </c>
      <c r="EO38" s="153">
        <f t="shared" si="21"/>
        <v>5557</v>
      </c>
      <c r="EP38" s="152">
        <f t="shared" si="22"/>
        <v>4363</v>
      </c>
      <c r="EQ38" s="152">
        <f t="shared" si="23"/>
        <v>5326</v>
      </c>
      <c r="ER38" s="150">
        <f t="shared" si="9"/>
        <v>4407</v>
      </c>
      <c r="ES38" s="152">
        <f t="shared" si="10"/>
        <v>2227</v>
      </c>
      <c r="ET38" s="152">
        <f t="shared" si="18"/>
        <v>539</v>
      </c>
      <c r="EU38" s="57">
        <f t="shared" si="11"/>
        <v>3625</v>
      </c>
      <c r="EV38" s="12">
        <f t="shared" si="12"/>
        <v>3798</v>
      </c>
      <c r="EW38" s="259">
        <v>0</v>
      </c>
      <c r="EX38" s="12">
        <f t="shared" si="13"/>
        <v>29896</v>
      </c>
      <c r="EY38" s="131">
        <f t="shared" si="14"/>
        <v>31833</v>
      </c>
      <c r="EZ38" s="259">
        <v>0</v>
      </c>
    </row>
    <row r="39" spans="1:156" ht="15.75" customHeight="1" x14ac:dyDescent="0.25">
      <c r="A39" s="83" t="s">
        <v>43</v>
      </c>
      <c r="B39" s="83" t="s">
        <v>44</v>
      </c>
      <c r="C39" s="189">
        <v>0</v>
      </c>
      <c r="D39" s="33">
        <v>0</v>
      </c>
      <c r="E39" s="33">
        <v>0</v>
      </c>
      <c r="F39" s="33">
        <v>0</v>
      </c>
      <c r="G39" s="33">
        <v>0</v>
      </c>
      <c r="H39" s="33">
        <v>0</v>
      </c>
      <c r="I39" s="33">
        <v>0</v>
      </c>
      <c r="J39" s="33">
        <v>0</v>
      </c>
      <c r="K39" s="33">
        <v>0</v>
      </c>
      <c r="L39" s="33">
        <v>0</v>
      </c>
      <c r="M39" s="33">
        <v>0</v>
      </c>
      <c r="N39" s="33">
        <v>0</v>
      </c>
      <c r="O39" s="33">
        <v>2</v>
      </c>
      <c r="P39" s="33">
        <v>0</v>
      </c>
      <c r="Q39" s="33">
        <v>0</v>
      </c>
      <c r="R39" s="33">
        <v>0</v>
      </c>
      <c r="S39" s="33">
        <v>0</v>
      </c>
      <c r="T39" s="33">
        <v>0</v>
      </c>
      <c r="U39" s="33">
        <v>0</v>
      </c>
      <c r="V39" s="33">
        <v>0</v>
      </c>
      <c r="W39" s="33">
        <v>0</v>
      </c>
      <c r="X39" s="33">
        <v>0</v>
      </c>
      <c r="Y39" s="33">
        <v>0</v>
      </c>
      <c r="Z39" s="33">
        <v>0</v>
      </c>
      <c r="AA39" s="33">
        <v>0</v>
      </c>
      <c r="AB39" s="33">
        <v>0</v>
      </c>
      <c r="AC39" s="33">
        <v>0</v>
      </c>
      <c r="AD39" s="33">
        <v>0</v>
      </c>
      <c r="AE39" s="33">
        <v>1</v>
      </c>
      <c r="AF39" s="33">
        <v>0</v>
      </c>
      <c r="AG39" s="33">
        <v>0</v>
      </c>
      <c r="AH39" s="33">
        <v>0</v>
      </c>
      <c r="AI39" s="33">
        <v>0</v>
      </c>
      <c r="AJ39" s="34">
        <v>0</v>
      </c>
      <c r="AK39" s="34">
        <v>0</v>
      </c>
      <c r="AL39" s="34">
        <v>0</v>
      </c>
      <c r="AM39" s="34">
        <v>0</v>
      </c>
      <c r="AN39" s="34">
        <v>0</v>
      </c>
      <c r="AO39" s="34">
        <v>0</v>
      </c>
      <c r="AP39" s="34">
        <v>0</v>
      </c>
      <c r="AQ39" s="34">
        <v>0</v>
      </c>
      <c r="AR39" s="34">
        <v>0</v>
      </c>
      <c r="AS39" s="34">
        <v>0</v>
      </c>
      <c r="AT39" s="34">
        <v>0</v>
      </c>
      <c r="AU39" s="34">
        <v>0</v>
      </c>
      <c r="AV39" s="34">
        <v>0</v>
      </c>
      <c r="AW39" s="34">
        <v>0</v>
      </c>
      <c r="AX39" s="34">
        <v>0</v>
      </c>
      <c r="AY39" s="34">
        <v>0</v>
      </c>
      <c r="AZ39" s="34">
        <v>0</v>
      </c>
      <c r="BA39" s="34">
        <v>0</v>
      </c>
      <c r="BB39" s="34">
        <v>0</v>
      </c>
      <c r="BC39" s="34">
        <v>0</v>
      </c>
      <c r="BD39" s="34">
        <v>0</v>
      </c>
      <c r="BE39" s="34">
        <v>0</v>
      </c>
      <c r="BF39" s="34">
        <v>0</v>
      </c>
      <c r="BG39" s="34">
        <v>0</v>
      </c>
      <c r="BH39" s="34">
        <v>0</v>
      </c>
      <c r="BI39" s="34">
        <v>0</v>
      </c>
      <c r="BJ39" s="34">
        <v>0</v>
      </c>
      <c r="BK39" s="34">
        <v>0</v>
      </c>
      <c r="BL39" s="34">
        <v>0</v>
      </c>
      <c r="BM39" s="137">
        <v>0</v>
      </c>
      <c r="BN39" s="137">
        <v>0</v>
      </c>
      <c r="BO39" s="137">
        <v>0</v>
      </c>
      <c r="BP39" s="137">
        <v>0</v>
      </c>
      <c r="BQ39" s="137">
        <v>0</v>
      </c>
      <c r="BR39" s="138">
        <v>0</v>
      </c>
      <c r="BS39" s="138">
        <v>0</v>
      </c>
      <c r="BT39" s="138">
        <v>0</v>
      </c>
      <c r="BU39" s="138">
        <v>0</v>
      </c>
      <c r="BV39" s="138">
        <v>0</v>
      </c>
      <c r="BW39" s="137">
        <v>0</v>
      </c>
      <c r="BX39" s="137">
        <v>0</v>
      </c>
      <c r="BY39" s="137">
        <v>0</v>
      </c>
      <c r="BZ39" s="137">
        <v>0</v>
      </c>
      <c r="CA39" s="137">
        <v>0</v>
      </c>
      <c r="CB39" s="137">
        <v>0</v>
      </c>
      <c r="CC39" s="137">
        <v>0</v>
      </c>
      <c r="CD39" s="137">
        <v>0</v>
      </c>
      <c r="CE39" s="138">
        <v>0</v>
      </c>
      <c r="CF39" s="137">
        <v>0</v>
      </c>
      <c r="CG39" s="137">
        <v>0</v>
      </c>
      <c r="CH39" s="139">
        <v>0</v>
      </c>
      <c r="CI39" s="139">
        <v>0</v>
      </c>
      <c r="CJ39" s="137">
        <v>0</v>
      </c>
      <c r="CK39" s="137">
        <v>0</v>
      </c>
      <c r="CL39" s="137">
        <v>0</v>
      </c>
      <c r="CM39" s="137">
        <v>0</v>
      </c>
      <c r="CN39" s="137">
        <v>0</v>
      </c>
      <c r="CO39" s="137">
        <v>0</v>
      </c>
      <c r="CP39" s="137">
        <v>0</v>
      </c>
      <c r="CQ39" s="137">
        <v>0</v>
      </c>
      <c r="CR39" s="137">
        <v>0</v>
      </c>
      <c r="CS39" s="34">
        <v>0</v>
      </c>
      <c r="CT39" s="34">
        <v>0</v>
      </c>
      <c r="CU39" s="34">
        <v>0</v>
      </c>
      <c r="CV39" s="34">
        <v>0</v>
      </c>
      <c r="CW39" s="42">
        <v>0</v>
      </c>
      <c r="CX39" s="34">
        <v>0</v>
      </c>
      <c r="CY39" s="137">
        <v>0</v>
      </c>
      <c r="CZ39" s="34">
        <v>0</v>
      </c>
      <c r="DA39" s="34">
        <v>0</v>
      </c>
      <c r="DB39" s="34">
        <v>0</v>
      </c>
      <c r="DC39" s="34">
        <v>0</v>
      </c>
      <c r="DD39" s="34">
        <v>0</v>
      </c>
      <c r="DE39" s="34">
        <v>0</v>
      </c>
      <c r="DF39" s="34">
        <v>0</v>
      </c>
      <c r="DG39" s="34">
        <v>0</v>
      </c>
      <c r="DH39" s="42">
        <v>0</v>
      </c>
      <c r="DI39" s="34">
        <v>0</v>
      </c>
      <c r="DJ39" s="34">
        <v>0</v>
      </c>
      <c r="DK39" s="34">
        <v>2</v>
      </c>
      <c r="DL39" s="34">
        <v>0</v>
      </c>
      <c r="DM39" s="34">
        <v>0</v>
      </c>
      <c r="DN39" s="34">
        <v>0</v>
      </c>
      <c r="DO39" s="34">
        <v>0</v>
      </c>
      <c r="DP39" s="34">
        <v>0</v>
      </c>
      <c r="DQ39" s="34">
        <v>0</v>
      </c>
      <c r="DR39" s="34">
        <v>0</v>
      </c>
      <c r="DS39" s="34">
        <v>0</v>
      </c>
      <c r="DT39" s="42">
        <v>0</v>
      </c>
      <c r="DU39" s="42">
        <v>0</v>
      </c>
      <c r="DV39" s="42">
        <v>0</v>
      </c>
      <c r="DW39" s="42">
        <v>0</v>
      </c>
      <c r="DX39" s="42">
        <v>0</v>
      </c>
      <c r="DY39" s="42">
        <v>0</v>
      </c>
      <c r="DZ39" s="42">
        <v>0</v>
      </c>
      <c r="EA39" s="42">
        <v>0</v>
      </c>
      <c r="EB39" s="42">
        <v>0</v>
      </c>
      <c r="EC39" s="42">
        <v>0</v>
      </c>
      <c r="ED39" s="42">
        <v>0</v>
      </c>
      <c r="EE39" s="42">
        <v>0</v>
      </c>
      <c r="EF39" s="42">
        <v>0</v>
      </c>
      <c r="EG39" s="42">
        <v>0</v>
      </c>
      <c r="EH39" s="150">
        <f t="shared" si="15"/>
        <v>2</v>
      </c>
      <c r="EI39" s="208">
        <f t="shared" si="16"/>
        <v>5</v>
      </c>
      <c r="EJ39" s="150">
        <f t="shared" si="17"/>
        <v>5</v>
      </c>
      <c r="EK39" s="347">
        <f t="shared" si="2"/>
        <v>0</v>
      </c>
      <c r="EL39" s="287">
        <f t="shared" si="3"/>
        <v>0</v>
      </c>
      <c r="EM39" s="151">
        <f t="shared" si="19"/>
        <v>2</v>
      </c>
      <c r="EN39" s="153">
        <f t="shared" si="20"/>
        <v>0</v>
      </c>
      <c r="EO39" s="153">
        <f t="shared" si="21"/>
        <v>1</v>
      </c>
      <c r="EP39" s="152">
        <f t="shared" si="22"/>
        <v>0</v>
      </c>
      <c r="EQ39" s="152">
        <f t="shared" si="23"/>
        <v>0</v>
      </c>
      <c r="ER39" s="150">
        <f t="shared" si="9"/>
        <v>0</v>
      </c>
      <c r="ES39" s="152">
        <f t="shared" si="10"/>
        <v>2</v>
      </c>
      <c r="ET39" s="152">
        <f t="shared" si="18"/>
        <v>0</v>
      </c>
      <c r="EU39" s="57">
        <f t="shared" si="11"/>
        <v>0</v>
      </c>
      <c r="EV39" s="12">
        <f t="shared" si="12"/>
        <v>0</v>
      </c>
      <c r="EW39" s="259">
        <v>0</v>
      </c>
      <c r="EX39" s="12">
        <f t="shared" si="13"/>
        <v>3</v>
      </c>
      <c r="EY39" s="132">
        <f t="shared" si="14"/>
        <v>5</v>
      </c>
      <c r="EZ39" s="90">
        <f>EY39/EY38</f>
        <v>1.5706970753620456E-4</v>
      </c>
    </row>
    <row r="40" spans="1:156" ht="15.75" customHeight="1" x14ac:dyDescent="0.25">
      <c r="A40" s="83" t="s">
        <v>43</v>
      </c>
      <c r="B40" s="83" t="s">
        <v>45</v>
      </c>
      <c r="C40" s="189">
        <v>22</v>
      </c>
      <c r="D40" s="33">
        <v>2</v>
      </c>
      <c r="E40" s="33">
        <v>7</v>
      </c>
      <c r="F40" s="33">
        <v>35</v>
      </c>
      <c r="G40" s="33">
        <v>2</v>
      </c>
      <c r="H40" s="33">
        <v>15</v>
      </c>
      <c r="I40" s="33">
        <v>6</v>
      </c>
      <c r="J40" s="33">
        <v>128</v>
      </c>
      <c r="K40" s="33">
        <v>71</v>
      </c>
      <c r="L40" s="33">
        <v>24</v>
      </c>
      <c r="M40" s="33">
        <v>26</v>
      </c>
      <c r="N40" s="33">
        <v>0</v>
      </c>
      <c r="O40" s="33">
        <v>9</v>
      </c>
      <c r="P40" s="33">
        <v>6</v>
      </c>
      <c r="Q40" s="33">
        <v>8</v>
      </c>
      <c r="R40" s="33">
        <v>5</v>
      </c>
      <c r="S40" s="33">
        <v>19</v>
      </c>
      <c r="T40" s="33">
        <v>54</v>
      </c>
      <c r="U40" s="33">
        <v>0</v>
      </c>
      <c r="V40" s="33">
        <v>37</v>
      </c>
      <c r="W40" s="33">
        <v>29</v>
      </c>
      <c r="X40" s="33">
        <v>0</v>
      </c>
      <c r="Y40" s="33">
        <v>0</v>
      </c>
      <c r="Z40" s="33">
        <v>0</v>
      </c>
      <c r="AA40" s="33">
        <v>0</v>
      </c>
      <c r="AB40" s="33">
        <v>0</v>
      </c>
      <c r="AC40" s="33">
        <v>0</v>
      </c>
      <c r="AD40" s="33">
        <v>2</v>
      </c>
      <c r="AE40" s="33">
        <v>0</v>
      </c>
      <c r="AF40" s="33">
        <v>0</v>
      </c>
      <c r="AG40" s="33">
        <v>0</v>
      </c>
      <c r="AH40" s="33">
        <v>0</v>
      </c>
      <c r="AI40" s="33">
        <v>0</v>
      </c>
      <c r="AJ40" s="34">
        <v>0</v>
      </c>
      <c r="AK40" s="34">
        <v>0</v>
      </c>
      <c r="AL40" s="34">
        <v>0</v>
      </c>
      <c r="AM40" s="34">
        <v>35</v>
      </c>
      <c r="AN40" s="34">
        <v>0</v>
      </c>
      <c r="AO40" s="34">
        <v>0</v>
      </c>
      <c r="AP40" s="34">
        <v>0</v>
      </c>
      <c r="AQ40" s="34">
        <v>1</v>
      </c>
      <c r="AR40" s="34">
        <v>0</v>
      </c>
      <c r="AS40" s="34">
        <v>27</v>
      </c>
      <c r="AT40" s="34">
        <v>9</v>
      </c>
      <c r="AU40" s="34">
        <v>0</v>
      </c>
      <c r="AV40" s="34">
        <v>9</v>
      </c>
      <c r="AW40" s="34">
        <v>0</v>
      </c>
      <c r="AX40" s="34">
        <v>0</v>
      </c>
      <c r="AY40" s="34">
        <v>0</v>
      </c>
      <c r="AZ40" s="34">
        <v>0</v>
      </c>
      <c r="BA40" s="34">
        <v>0</v>
      </c>
      <c r="BB40" s="34">
        <v>0</v>
      </c>
      <c r="BC40" s="34">
        <v>0</v>
      </c>
      <c r="BD40" s="34">
        <v>0</v>
      </c>
      <c r="BE40" s="34">
        <v>0</v>
      </c>
      <c r="BF40" s="34">
        <v>0</v>
      </c>
      <c r="BG40" s="34">
        <v>0</v>
      </c>
      <c r="BH40" s="34">
        <v>0</v>
      </c>
      <c r="BI40" s="34">
        <v>0</v>
      </c>
      <c r="BJ40" s="34">
        <v>0</v>
      </c>
      <c r="BK40" s="34">
        <v>0</v>
      </c>
      <c r="BL40" s="34">
        <v>18</v>
      </c>
      <c r="BM40" s="137">
        <v>13</v>
      </c>
      <c r="BN40" s="137">
        <v>2</v>
      </c>
      <c r="BO40" s="137">
        <v>0</v>
      </c>
      <c r="BP40" s="137">
        <v>4</v>
      </c>
      <c r="BQ40" s="137">
        <v>0</v>
      </c>
      <c r="BR40" s="138">
        <v>0</v>
      </c>
      <c r="BS40" s="138">
        <v>0</v>
      </c>
      <c r="BT40" s="138">
        <v>0</v>
      </c>
      <c r="BU40" s="138">
        <v>0</v>
      </c>
      <c r="BV40" s="138">
        <v>13</v>
      </c>
      <c r="BW40" s="137">
        <v>39</v>
      </c>
      <c r="BX40" s="137">
        <v>0</v>
      </c>
      <c r="BY40" s="137">
        <v>0</v>
      </c>
      <c r="BZ40" s="137">
        <v>1</v>
      </c>
      <c r="CA40" s="137">
        <v>0</v>
      </c>
      <c r="CB40" s="137">
        <v>0</v>
      </c>
      <c r="CC40" s="137">
        <v>0</v>
      </c>
      <c r="CD40" s="137">
        <v>0</v>
      </c>
      <c r="CE40" s="138">
        <v>0</v>
      </c>
      <c r="CF40" s="137">
        <v>0</v>
      </c>
      <c r="CG40" s="137">
        <v>0</v>
      </c>
      <c r="CH40" s="139">
        <v>0</v>
      </c>
      <c r="CI40" s="139">
        <v>3</v>
      </c>
      <c r="CJ40" s="137">
        <v>1</v>
      </c>
      <c r="CK40" s="137">
        <v>1</v>
      </c>
      <c r="CL40" s="137">
        <v>33</v>
      </c>
      <c r="CM40" s="137">
        <v>1</v>
      </c>
      <c r="CN40" s="137">
        <v>18</v>
      </c>
      <c r="CO40" s="137">
        <v>26</v>
      </c>
      <c r="CP40" s="137">
        <v>37</v>
      </c>
      <c r="CQ40" s="137">
        <v>25</v>
      </c>
      <c r="CR40" s="137">
        <v>0</v>
      </c>
      <c r="CS40" s="34">
        <v>9</v>
      </c>
      <c r="CT40" s="34">
        <v>18</v>
      </c>
      <c r="CU40" s="34">
        <v>1</v>
      </c>
      <c r="CV40" s="34">
        <v>0</v>
      </c>
      <c r="CW40" s="42">
        <v>11</v>
      </c>
      <c r="CX40" s="34">
        <v>46</v>
      </c>
      <c r="CY40" s="137">
        <v>45</v>
      </c>
      <c r="CZ40" s="34">
        <v>99</v>
      </c>
      <c r="DA40" s="34">
        <v>27</v>
      </c>
      <c r="DB40" s="34">
        <v>82</v>
      </c>
      <c r="DC40" s="34">
        <v>148</v>
      </c>
      <c r="DD40" s="34">
        <v>15</v>
      </c>
      <c r="DE40" s="34">
        <v>25</v>
      </c>
      <c r="DF40" s="34">
        <v>4</v>
      </c>
      <c r="DG40" s="34">
        <v>0</v>
      </c>
      <c r="DH40" s="42">
        <v>2</v>
      </c>
      <c r="DI40" s="34">
        <v>2</v>
      </c>
      <c r="DJ40" s="34">
        <v>0</v>
      </c>
      <c r="DK40" s="34">
        <v>4</v>
      </c>
      <c r="DL40" s="34">
        <v>3</v>
      </c>
      <c r="DM40" s="34">
        <v>0</v>
      </c>
      <c r="DN40" s="34">
        <v>0</v>
      </c>
      <c r="DO40" s="34">
        <v>0</v>
      </c>
      <c r="DP40" s="34">
        <v>0</v>
      </c>
      <c r="DQ40" s="34">
        <v>0</v>
      </c>
      <c r="DR40" s="34">
        <v>0</v>
      </c>
      <c r="DS40" s="34">
        <v>0</v>
      </c>
      <c r="DT40" s="42">
        <v>0</v>
      </c>
      <c r="DU40" s="42">
        <v>0</v>
      </c>
      <c r="DV40" s="42">
        <v>0</v>
      </c>
      <c r="DW40" s="42">
        <v>1</v>
      </c>
      <c r="DX40" s="42">
        <v>2</v>
      </c>
      <c r="DY40" s="42">
        <v>0</v>
      </c>
      <c r="DZ40" s="42">
        <v>0</v>
      </c>
      <c r="EA40" s="42">
        <v>0</v>
      </c>
      <c r="EB40" s="42">
        <v>0</v>
      </c>
      <c r="EC40" s="42">
        <v>0</v>
      </c>
      <c r="ED40" s="42">
        <v>0</v>
      </c>
      <c r="EE40" s="42">
        <v>0</v>
      </c>
      <c r="EF40" s="42">
        <v>0</v>
      </c>
      <c r="EG40" s="42">
        <v>0</v>
      </c>
      <c r="EH40" s="150">
        <f t="shared" si="15"/>
        <v>606</v>
      </c>
      <c r="EI40" s="208">
        <f t="shared" si="16"/>
        <v>1364</v>
      </c>
      <c r="EJ40" s="150">
        <f t="shared" si="17"/>
        <v>1275</v>
      </c>
      <c r="EK40" s="347">
        <f t="shared" si="2"/>
        <v>6</v>
      </c>
      <c r="EL40" s="287">
        <f t="shared" si="3"/>
        <v>22</v>
      </c>
      <c r="EM40" s="151">
        <f t="shared" si="19"/>
        <v>325</v>
      </c>
      <c r="EN40" s="153">
        <f t="shared" si="20"/>
        <v>158</v>
      </c>
      <c r="EO40" s="153">
        <f t="shared" si="21"/>
        <v>37</v>
      </c>
      <c r="EP40" s="152">
        <f t="shared" si="22"/>
        <v>46</v>
      </c>
      <c r="EQ40" s="152">
        <f t="shared" si="23"/>
        <v>89</v>
      </c>
      <c r="ER40" s="150">
        <f t="shared" si="9"/>
        <v>174</v>
      </c>
      <c r="ES40" s="152">
        <f t="shared" si="10"/>
        <v>513</v>
      </c>
      <c r="ET40" s="152">
        <f t="shared" si="18"/>
        <v>3</v>
      </c>
      <c r="EU40" s="57">
        <f t="shared" si="11"/>
        <v>62</v>
      </c>
      <c r="EV40" s="12">
        <f t="shared" si="12"/>
        <v>173</v>
      </c>
      <c r="EW40" s="259">
        <v>0</v>
      </c>
      <c r="EX40" s="76">
        <f t="shared" si="13"/>
        <v>761</v>
      </c>
      <c r="EY40" s="132">
        <f t="shared" si="14"/>
        <v>1330</v>
      </c>
      <c r="EZ40" s="90">
        <f>EY40/EY38</f>
        <v>4.1780542204630414E-2</v>
      </c>
    </row>
    <row r="41" spans="1:156" ht="15.75" customHeight="1" x14ac:dyDescent="0.25">
      <c r="A41" s="83" t="s">
        <v>43</v>
      </c>
      <c r="B41" s="83" t="s">
        <v>46</v>
      </c>
      <c r="C41" s="189">
        <v>168</v>
      </c>
      <c r="D41" s="33">
        <v>97</v>
      </c>
      <c r="E41" s="33">
        <v>241</v>
      </c>
      <c r="F41" s="33">
        <v>427</v>
      </c>
      <c r="G41" s="33">
        <v>298</v>
      </c>
      <c r="H41" s="33">
        <v>259</v>
      </c>
      <c r="I41" s="33">
        <v>109</v>
      </c>
      <c r="J41" s="33">
        <v>103</v>
      </c>
      <c r="K41" s="33">
        <v>95</v>
      </c>
      <c r="L41" s="33">
        <v>224</v>
      </c>
      <c r="M41" s="33">
        <v>379</v>
      </c>
      <c r="N41" s="33">
        <v>58</v>
      </c>
      <c r="O41" s="33">
        <v>86</v>
      </c>
      <c r="P41" s="33">
        <v>116</v>
      </c>
      <c r="Q41" s="33">
        <v>350</v>
      </c>
      <c r="R41" s="33">
        <v>254</v>
      </c>
      <c r="S41" s="33">
        <v>512</v>
      </c>
      <c r="T41" s="33">
        <v>510</v>
      </c>
      <c r="U41" s="33">
        <v>372</v>
      </c>
      <c r="V41" s="33">
        <v>475</v>
      </c>
      <c r="W41" s="33">
        <v>386</v>
      </c>
      <c r="X41" s="33">
        <v>321</v>
      </c>
      <c r="Y41" s="33">
        <v>230</v>
      </c>
      <c r="Z41" s="33">
        <v>168</v>
      </c>
      <c r="AA41" s="33">
        <v>86</v>
      </c>
      <c r="AB41" s="33">
        <v>52</v>
      </c>
      <c r="AC41" s="33">
        <v>372</v>
      </c>
      <c r="AD41" s="33">
        <v>544</v>
      </c>
      <c r="AE41" s="33">
        <v>390</v>
      </c>
      <c r="AF41" s="33">
        <v>370</v>
      </c>
      <c r="AG41" s="33">
        <v>320</v>
      </c>
      <c r="AH41" s="33">
        <v>397</v>
      </c>
      <c r="AI41" s="33">
        <v>315</v>
      </c>
      <c r="AJ41" s="34">
        <v>483</v>
      </c>
      <c r="AK41" s="34">
        <v>305</v>
      </c>
      <c r="AL41" s="34">
        <v>263</v>
      </c>
      <c r="AM41" s="34">
        <v>191</v>
      </c>
      <c r="AN41" s="34">
        <v>462</v>
      </c>
      <c r="AO41" s="34">
        <v>223</v>
      </c>
      <c r="AP41" s="34">
        <v>467</v>
      </c>
      <c r="AQ41" s="34">
        <v>447</v>
      </c>
      <c r="AR41" s="34">
        <v>337</v>
      </c>
      <c r="AS41" s="34">
        <v>63</v>
      </c>
      <c r="AT41" s="34">
        <v>266</v>
      </c>
      <c r="AU41" s="34">
        <v>301</v>
      </c>
      <c r="AV41" s="34">
        <v>285</v>
      </c>
      <c r="AW41" s="34">
        <v>29</v>
      </c>
      <c r="AX41" s="34">
        <v>196</v>
      </c>
      <c r="AY41" s="34">
        <v>236</v>
      </c>
      <c r="AZ41" s="34">
        <v>55</v>
      </c>
      <c r="BA41" s="34">
        <v>176</v>
      </c>
      <c r="BB41" s="34">
        <v>94</v>
      </c>
      <c r="BC41" s="34">
        <v>183</v>
      </c>
      <c r="BD41" s="34">
        <v>157</v>
      </c>
      <c r="BE41" s="34">
        <v>161</v>
      </c>
      <c r="BF41" s="34">
        <v>123</v>
      </c>
      <c r="BG41" s="34">
        <v>191</v>
      </c>
      <c r="BH41" s="34">
        <v>19</v>
      </c>
      <c r="BI41" s="34">
        <v>379</v>
      </c>
      <c r="BJ41" s="34">
        <v>410</v>
      </c>
      <c r="BK41" s="34">
        <v>0</v>
      </c>
      <c r="BL41" s="34">
        <v>359</v>
      </c>
      <c r="BM41" s="137">
        <v>246</v>
      </c>
      <c r="BN41" s="137">
        <v>180</v>
      </c>
      <c r="BO41" s="137">
        <v>135</v>
      </c>
      <c r="BP41" s="137">
        <v>260</v>
      </c>
      <c r="BQ41" s="137">
        <v>165</v>
      </c>
      <c r="BR41" s="138">
        <v>148</v>
      </c>
      <c r="BS41" s="138">
        <v>164</v>
      </c>
      <c r="BT41" s="138">
        <v>121</v>
      </c>
      <c r="BU41" s="138">
        <v>37</v>
      </c>
      <c r="BV41" s="138">
        <v>39</v>
      </c>
      <c r="BW41" s="137">
        <v>163</v>
      </c>
      <c r="BX41" s="137">
        <v>86</v>
      </c>
      <c r="BY41" s="137">
        <v>45</v>
      </c>
      <c r="BZ41" s="137">
        <v>78</v>
      </c>
      <c r="CA41" s="137">
        <v>141</v>
      </c>
      <c r="CB41" s="137">
        <v>87</v>
      </c>
      <c r="CC41" s="137">
        <v>113</v>
      </c>
      <c r="CD41" s="137">
        <v>135</v>
      </c>
      <c r="CE41" s="138">
        <v>169</v>
      </c>
      <c r="CF41" s="137">
        <v>135</v>
      </c>
      <c r="CG41" s="137">
        <v>146</v>
      </c>
      <c r="CH41" s="139">
        <v>88</v>
      </c>
      <c r="CI41" s="139">
        <v>124</v>
      </c>
      <c r="CJ41" s="137">
        <v>223</v>
      </c>
      <c r="CK41" s="137">
        <v>213</v>
      </c>
      <c r="CL41" s="137">
        <v>151</v>
      </c>
      <c r="CM41" s="137">
        <v>247</v>
      </c>
      <c r="CN41" s="137">
        <v>152</v>
      </c>
      <c r="CO41" s="137">
        <v>120</v>
      </c>
      <c r="CP41" s="137">
        <v>167</v>
      </c>
      <c r="CQ41" s="137">
        <v>289</v>
      </c>
      <c r="CR41" s="137">
        <v>215</v>
      </c>
      <c r="CS41" s="34">
        <v>318</v>
      </c>
      <c r="CT41" s="34">
        <v>168</v>
      </c>
      <c r="CU41" s="34">
        <v>221</v>
      </c>
      <c r="CV41" s="34">
        <v>29</v>
      </c>
      <c r="CW41" s="42">
        <v>288</v>
      </c>
      <c r="CX41" s="34">
        <v>146</v>
      </c>
      <c r="CY41" s="137">
        <v>114</v>
      </c>
      <c r="CZ41" s="34">
        <v>19</v>
      </c>
      <c r="DA41" s="34">
        <v>85</v>
      </c>
      <c r="DB41" s="34">
        <v>37</v>
      </c>
      <c r="DC41" s="34">
        <v>107</v>
      </c>
      <c r="DD41" s="34">
        <v>74</v>
      </c>
      <c r="DE41" s="34">
        <v>103</v>
      </c>
      <c r="DF41" s="34">
        <v>68</v>
      </c>
      <c r="DG41" s="34">
        <v>36</v>
      </c>
      <c r="DH41" s="42">
        <v>38</v>
      </c>
      <c r="DI41" s="34">
        <v>22</v>
      </c>
      <c r="DJ41" s="34">
        <v>16</v>
      </c>
      <c r="DK41" s="34">
        <v>142</v>
      </c>
      <c r="DL41" s="34">
        <v>92</v>
      </c>
      <c r="DM41" s="34">
        <v>113</v>
      </c>
      <c r="DN41" s="34">
        <v>0</v>
      </c>
      <c r="DO41" s="34">
        <v>61</v>
      </c>
      <c r="DP41" s="34">
        <v>11</v>
      </c>
      <c r="DQ41" s="34">
        <v>0</v>
      </c>
      <c r="DR41" s="34">
        <v>2</v>
      </c>
      <c r="DS41" s="34">
        <v>7</v>
      </c>
      <c r="DT41" s="42">
        <v>0</v>
      </c>
      <c r="DU41" s="42">
        <v>99</v>
      </c>
      <c r="DV41" s="42">
        <v>14</v>
      </c>
      <c r="DW41" s="42">
        <v>48</v>
      </c>
      <c r="DX41" s="42">
        <v>100</v>
      </c>
      <c r="DY41" s="42">
        <v>20</v>
      </c>
      <c r="DZ41" s="42">
        <v>27</v>
      </c>
      <c r="EA41" s="42">
        <v>14</v>
      </c>
      <c r="EB41" s="42">
        <v>49</v>
      </c>
      <c r="EC41" s="42">
        <v>52</v>
      </c>
      <c r="ED41" s="42">
        <v>57</v>
      </c>
      <c r="EE41" s="42">
        <v>14</v>
      </c>
      <c r="EF41" s="42">
        <v>52</v>
      </c>
      <c r="EG41" s="42">
        <v>30</v>
      </c>
      <c r="EH41" s="150">
        <f t="shared" si="15"/>
        <v>3564</v>
      </c>
      <c r="EI41" s="208">
        <f t="shared" si="16"/>
        <v>22963</v>
      </c>
      <c r="EJ41" s="150">
        <f t="shared" si="17"/>
        <v>21364</v>
      </c>
      <c r="EK41" s="347">
        <f t="shared" si="2"/>
        <v>862</v>
      </c>
      <c r="EL41" s="287">
        <f t="shared" si="3"/>
        <v>168</v>
      </c>
      <c r="EM41" s="151">
        <f t="shared" si="19"/>
        <v>2376</v>
      </c>
      <c r="EN41" s="153">
        <f t="shared" si="20"/>
        <v>3780</v>
      </c>
      <c r="EO41" s="153">
        <f t="shared" si="21"/>
        <v>4002</v>
      </c>
      <c r="EP41" s="152">
        <f t="shared" si="22"/>
        <v>3312</v>
      </c>
      <c r="EQ41" s="152">
        <f t="shared" si="23"/>
        <v>3965</v>
      </c>
      <c r="ER41" s="150">
        <f t="shared" si="9"/>
        <v>3831</v>
      </c>
      <c r="ES41" s="152">
        <f t="shared" si="10"/>
        <v>1610</v>
      </c>
      <c r="ET41" s="152">
        <f t="shared" si="18"/>
        <v>371</v>
      </c>
      <c r="EU41" s="57">
        <f t="shared" si="11"/>
        <v>2880</v>
      </c>
      <c r="EV41" s="12">
        <f t="shared" si="12"/>
        <v>3281</v>
      </c>
      <c r="EW41" s="259">
        <v>0</v>
      </c>
      <c r="EX41" s="76">
        <f t="shared" si="13"/>
        <v>20056</v>
      </c>
      <c r="EY41" s="132">
        <f t="shared" si="14"/>
        <v>22252</v>
      </c>
      <c r="EZ41" s="90">
        <f>EY41/EY38</f>
        <v>0.69902302641912484</v>
      </c>
    </row>
    <row r="42" spans="1:156" ht="15.75" customHeight="1" x14ac:dyDescent="0.25">
      <c r="A42" s="83" t="s">
        <v>43</v>
      </c>
      <c r="B42" s="83" t="s">
        <v>47</v>
      </c>
      <c r="C42" s="189">
        <v>418</v>
      </c>
      <c r="D42" s="33">
        <v>347</v>
      </c>
      <c r="E42" s="33">
        <v>157</v>
      </c>
      <c r="F42" s="33">
        <v>127</v>
      </c>
      <c r="G42" s="33">
        <v>255</v>
      </c>
      <c r="H42" s="33">
        <v>120</v>
      </c>
      <c r="I42" s="33">
        <v>311</v>
      </c>
      <c r="J42" s="33">
        <v>38</v>
      </c>
      <c r="K42" s="33">
        <v>346</v>
      </c>
      <c r="L42" s="33">
        <v>240</v>
      </c>
      <c r="M42" s="33">
        <v>51</v>
      </c>
      <c r="N42" s="33">
        <v>207</v>
      </c>
      <c r="O42" s="33">
        <v>287</v>
      </c>
      <c r="P42" s="33">
        <v>260</v>
      </c>
      <c r="Q42" s="33">
        <v>322</v>
      </c>
      <c r="R42" s="33">
        <v>225</v>
      </c>
      <c r="S42" s="33">
        <v>97</v>
      </c>
      <c r="T42" s="33">
        <v>130</v>
      </c>
      <c r="U42" s="33">
        <v>255</v>
      </c>
      <c r="V42" s="33">
        <v>213</v>
      </c>
      <c r="W42" s="33">
        <v>120</v>
      </c>
      <c r="X42" s="33">
        <v>95</v>
      </c>
      <c r="Y42" s="33">
        <v>107</v>
      </c>
      <c r="Z42" s="33">
        <v>31</v>
      </c>
      <c r="AA42" s="33">
        <v>127</v>
      </c>
      <c r="AB42" s="33">
        <v>76</v>
      </c>
      <c r="AC42" s="33">
        <v>42</v>
      </c>
      <c r="AD42" s="33">
        <v>0</v>
      </c>
      <c r="AE42" s="33">
        <v>75</v>
      </c>
      <c r="AF42" s="33">
        <v>67</v>
      </c>
      <c r="AG42" s="33">
        <v>221</v>
      </c>
      <c r="AH42" s="33">
        <v>221</v>
      </c>
      <c r="AI42" s="33">
        <v>326</v>
      </c>
      <c r="AJ42" s="34">
        <v>178</v>
      </c>
      <c r="AK42" s="34">
        <v>174</v>
      </c>
      <c r="AL42" s="34">
        <v>84</v>
      </c>
      <c r="AM42" s="34">
        <v>53</v>
      </c>
      <c r="AN42" s="34">
        <v>49</v>
      </c>
      <c r="AO42" s="34">
        <v>58</v>
      </c>
      <c r="AP42" s="34">
        <v>47</v>
      </c>
      <c r="AQ42" s="34">
        <v>81</v>
      </c>
      <c r="AR42" s="34">
        <v>35</v>
      </c>
      <c r="AS42" s="34">
        <v>44</v>
      </c>
      <c r="AT42" s="34">
        <v>140</v>
      </c>
      <c r="AU42" s="34">
        <v>231</v>
      </c>
      <c r="AV42" s="34">
        <v>178</v>
      </c>
      <c r="AW42" s="34">
        <v>83</v>
      </c>
      <c r="AX42" s="34">
        <v>56</v>
      </c>
      <c r="AY42" s="34">
        <v>3</v>
      </c>
      <c r="AZ42" s="34">
        <v>0</v>
      </c>
      <c r="BA42" s="34">
        <v>200</v>
      </c>
      <c r="BB42" s="34">
        <v>66</v>
      </c>
      <c r="BC42" s="34">
        <v>159</v>
      </c>
      <c r="BD42" s="34">
        <v>0</v>
      </c>
      <c r="BE42" s="34">
        <v>188</v>
      </c>
      <c r="BF42" s="34">
        <v>69</v>
      </c>
      <c r="BG42" s="34">
        <v>73</v>
      </c>
      <c r="BH42" s="34">
        <v>1</v>
      </c>
      <c r="BI42" s="34">
        <v>1</v>
      </c>
      <c r="BJ42" s="34">
        <v>44</v>
      </c>
      <c r="BK42" s="34">
        <v>0</v>
      </c>
      <c r="BL42" s="34">
        <v>43</v>
      </c>
      <c r="BM42" s="137">
        <v>13</v>
      </c>
      <c r="BN42" s="137">
        <v>8</v>
      </c>
      <c r="BO42" s="137">
        <v>54</v>
      </c>
      <c r="BP42" s="137">
        <v>58</v>
      </c>
      <c r="BQ42" s="137">
        <v>46</v>
      </c>
      <c r="BR42" s="138">
        <v>102</v>
      </c>
      <c r="BS42" s="138">
        <v>53</v>
      </c>
      <c r="BT42" s="138">
        <v>1</v>
      </c>
      <c r="BU42" s="138">
        <v>45</v>
      </c>
      <c r="BV42" s="138">
        <v>46</v>
      </c>
      <c r="BW42" s="137">
        <v>2</v>
      </c>
      <c r="BX42" s="137">
        <v>0</v>
      </c>
      <c r="BY42" s="137">
        <v>0</v>
      </c>
      <c r="BZ42" s="137">
        <v>0</v>
      </c>
      <c r="CA42" s="137">
        <v>2</v>
      </c>
      <c r="CB42" s="137">
        <v>56</v>
      </c>
      <c r="CC42" s="137">
        <v>0</v>
      </c>
      <c r="CD42" s="137">
        <v>125</v>
      </c>
      <c r="CE42" s="138">
        <v>5</v>
      </c>
      <c r="CF42" s="137">
        <v>22</v>
      </c>
      <c r="CG42" s="137">
        <v>60</v>
      </c>
      <c r="CH42" s="139">
        <v>27</v>
      </c>
      <c r="CI42" s="139">
        <v>24</v>
      </c>
      <c r="CJ42" s="137">
        <v>2</v>
      </c>
      <c r="CK42" s="137">
        <v>7</v>
      </c>
      <c r="CL42" s="137">
        <v>3</v>
      </c>
      <c r="CM42" s="137">
        <v>16</v>
      </c>
      <c r="CN42" s="137">
        <v>40</v>
      </c>
      <c r="CO42" s="137">
        <v>7</v>
      </c>
      <c r="CP42" s="137">
        <v>0</v>
      </c>
      <c r="CQ42" s="137">
        <v>0</v>
      </c>
      <c r="CR42" s="137">
        <v>0</v>
      </c>
      <c r="CS42" s="34">
        <v>0</v>
      </c>
      <c r="CT42" s="34">
        <v>1</v>
      </c>
      <c r="CU42" s="34">
        <v>5</v>
      </c>
      <c r="CV42" s="34">
        <v>1</v>
      </c>
      <c r="CW42" s="42">
        <v>0</v>
      </c>
      <c r="CX42" s="34">
        <v>3</v>
      </c>
      <c r="CY42" s="137">
        <v>0</v>
      </c>
      <c r="CZ42" s="34">
        <v>0</v>
      </c>
      <c r="DA42" s="34">
        <v>1</v>
      </c>
      <c r="DB42" s="34">
        <v>0</v>
      </c>
      <c r="DC42" s="34">
        <v>4</v>
      </c>
      <c r="DD42" s="34">
        <v>1</v>
      </c>
      <c r="DE42" s="34">
        <v>14</v>
      </c>
      <c r="DF42" s="34">
        <v>5</v>
      </c>
      <c r="DG42" s="34">
        <v>9</v>
      </c>
      <c r="DH42" s="42">
        <v>12</v>
      </c>
      <c r="DI42" s="34">
        <v>12</v>
      </c>
      <c r="DJ42" s="34">
        <v>10</v>
      </c>
      <c r="DK42" s="34">
        <v>14</v>
      </c>
      <c r="DL42" s="34">
        <v>1</v>
      </c>
      <c r="DM42" s="34">
        <v>2</v>
      </c>
      <c r="DN42" s="34">
        <v>0</v>
      </c>
      <c r="DO42" s="34">
        <v>1</v>
      </c>
      <c r="DP42" s="34">
        <v>0</v>
      </c>
      <c r="DQ42" s="34">
        <v>9</v>
      </c>
      <c r="DR42" s="34">
        <v>0</v>
      </c>
      <c r="DS42" s="34">
        <v>3</v>
      </c>
      <c r="DT42" s="42">
        <v>0</v>
      </c>
      <c r="DU42" s="42">
        <v>5</v>
      </c>
      <c r="DV42" s="42">
        <v>38</v>
      </c>
      <c r="DW42" s="42">
        <v>15</v>
      </c>
      <c r="DX42" s="42">
        <v>5</v>
      </c>
      <c r="DY42" s="42">
        <v>3</v>
      </c>
      <c r="DZ42" s="42">
        <v>1</v>
      </c>
      <c r="EA42" s="42">
        <v>96</v>
      </c>
      <c r="EB42" s="42">
        <v>2</v>
      </c>
      <c r="EC42" s="42">
        <v>1</v>
      </c>
      <c r="ED42" s="42">
        <v>3</v>
      </c>
      <c r="EE42" s="42">
        <v>12</v>
      </c>
      <c r="EF42" s="42">
        <v>3</v>
      </c>
      <c r="EG42" s="42">
        <v>3</v>
      </c>
      <c r="EH42" s="150">
        <f t="shared" si="15"/>
        <v>295</v>
      </c>
      <c r="EI42" s="208">
        <f t="shared" si="16"/>
        <v>9171</v>
      </c>
      <c r="EJ42" s="150">
        <f t="shared" si="17"/>
        <v>7436</v>
      </c>
      <c r="EK42" s="347">
        <f t="shared" si="2"/>
        <v>203</v>
      </c>
      <c r="EL42" s="287">
        <f t="shared" si="3"/>
        <v>418</v>
      </c>
      <c r="EM42" s="151">
        <f t="shared" si="19"/>
        <v>2486</v>
      </c>
      <c r="EN42" s="153">
        <f t="shared" si="20"/>
        <v>1982</v>
      </c>
      <c r="EO42" s="153">
        <f t="shared" si="21"/>
        <v>1517</v>
      </c>
      <c r="EP42" s="152">
        <f t="shared" si="22"/>
        <v>1005</v>
      </c>
      <c r="EQ42" s="152">
        <f t="shared" si="23"/>
        <v>1272</v>
      </c>
      <c r="ER42" s="150">
        <f t="shared" si="9"/>
        <v>402</v>
      </c>
      <c r="ES42" s="152">
        <f t="shared" si="10"/>
        <v>102</v>
      </c>
      <c r="ET42" s="152">
        <f t="shared" si="18"/>
        <v>165</v>
      </c>
      <c r="EU42" s="57">
        <f t="shared" si="11"/>
        <v>683</v>
      </c>
      <c r="EV42" s="12">
        <f t="shared" si="12"/>
        <v>344</v>
      </c>
      <c r="EW42" s="259">
        <v>0</v>
      </c>
      <c r="EX42" s="76">
        <f t="shared" si="13"/>
        <v>9076</v>
      </c>
      <c r="EY42" s="132">
        <f t="shared" si="14"/>
        <v>8246</v>
      </c>
      <c r="EZ42" s="90">
        <f>EY42/EY38</f>
        <v>0.25903936166870856</v>
      </c>
    </row>
    <row r="43" spans="1:156" ht="30.75" customHeight="1" x14ac:dyDescent="0.25">
      <c r="A43" s="234" t="s">
        <v>48</v>
      </c>
      <c r="B43" s="234" t="s">
        <v>49</v>
      </c>
      <c r="C43" s="189">
        <v>1578</v>
      </c>
      <c r="D43" s="33">
        <v>2948</v>
      </c>
      <c r="E43" s="33">
        <v>3530</v>
      </c>
      <c r="F43" s="33">
        <v>3242</v>
      </c>
      <c r="G43" s="33">
        <v>5722</v>
      </c>
      <c r="H43" s="33">
        <v>5191</v>
      </c>
      <c r="I43" s="33">
        <v>5246</v>
      </c>
      <c r="J43" s="33">
        <v>4448</v>
      </c>
      <c r="K43" s="33">
        <v>3744</v>
      </c>
      <c r="L43" s="33">
        <v>2560</v>
      </c>
      <c r="M43" s="33">
        <v>5306</v>
      </c>
      <c r="N43" s="33">
        <v>4276</v>
      </c>
      <c r="O43" s="33">
        <v>5443</v>
      </c>
      <c r="P43" s="33">
        <v>7940</v>
      </c>
      <c r="Q43" s="33">
        <v>8294</v>
      </c>
      <c r="R43" s="33">
        <v>25787</v>
      </c>
      <c r="S43" s="33">
        <v>24383</v>
      </c>
      <c r="T43" s="33">
        <v>5159</v>
      </c>
      <c r="U43" s="33">
        <v>9733</v>
      </c>
      <c r="V43" s="33">
        <v>10770</v>
      </c>
      <c r="W43" s="33">
        <v>8185</v>
      </c>
      <c r="X43" s="33">
        <v>13061</v>
      </c>
      <c r="Y43" s="33">
        <v>7611</v>
      </c>
      <c r="Z43" s="33">
        <v>7278</v>
      </c>
      <c r="AA43" s="33">
        <v>5268</v>
      </c>
      <c r="AB43" s="33">
        <v>1485</v>
      </c>
      <c r="AC43" s="33">
        <v>974</v>
      </c>
      <c r="AD43" s="33">
        <v>1704</v>
      </c>
      <c r="AE43" s="33">
        <v>1812</v>
      </c>
      <c r="AF43" s="33">
        <v>1833</v>
      </c>
      <c r="AG43" s="33">
        <v>2752</v>
      </c>
      <c r="AH43" s="33">
        <v>3834</v>
      </c>
      <c r="AI43" s="33">
        <v>3855</v>
      </c>
      <c r="AJ43" s="34">
        <v>2674</v>
      </c>
      <c r="AK43" s="34">
        <v>3130</v>
      </c>
      <c r="AL43" s="34">
        <v>1714</v>
      </c>
      <c r="AM43" s="34">
        <v>2432</v>
      </c>
      <c r="AN43" s="34">
        <v>2586</v>
      </c>
      <c r="AO43" s="34">
        <v>2644</v>
      </c>
      <c r="AP43" s="34">
        <v>2888</v>
      </c>
      <c r="AQ43" s="34">
        <v>2219</v>
      </c>
      <c r="AR43" s="34">
        <v>2000</v>
      </c>
      <c r="AS43" s="34">
        <v>2044</v>
      </c>
      <c r="AT43" s="34">
        <v>3256</v>
      </c>
      <c r="AU43" s="34">
        <v>3701</v>
      </c>
      <c r="AV43" s="34">
        <v>2744</v>
      </c>
      <c r="AW43" s="34">
        <v>957</v>
      </c>
      <c r="AX43" s="34">
        <v>580</v>
      </c>
      <c r="AY43" s="34">
        <v>719</v>
      </c>
      <c r="AZ43" s="34">
        <v>145</v>
      </c>
      <c r="BA43" s="34">
        <v>1479</v>
      </c>
      <c r="BB43" s="34">
        <v>651</v>
      </c>
      <c r="BC43" s="34">
        <v>963</v>
      </c>
      <c r="BD43" s="34">
        <v>392</v>
      </c>
      <c r="BE43" s="34">
        <v>1195</v>
      </c>
      <c r="BF43" s="34">
        <v>834</v>
      </c>
      <c r="BG43" s="34">
        <v>877</v>
      </c>
      <c r="BH43" s="34">
        <v>52</v>
      </c>
      <c r="BI43" s="34">
        <v>725</v>
      </c>
      <c r="BJ43" s="34">
        <v>464</v>
      </c>
      <c r="BK43" s="34">
        <v>457</v>
      </c>
      <c r="BL43" s="34">
        <v>1610</v>
      </c>
      <c r="BM43" s="137">
        <v>672</v>
      </c>
      <c r="BN43" s="137">
        <v>960</v>
      </c>
      <c r="BO43" s="137">
        <v>1899</v>
      </c>
      <c r="BP43" s="137">
        <v>2383</v>
      </c>
      <c r="BQ43" s="137">
        <v>1220</v>
      </c>
      <c r="BR43" s="138">
        <v>1515</v>
      </c>
      <c r="BS43" s="138">
        <v>1791</v>
      </c>
      <c r="BT43" s="138">
        <v>664</v>
      </c>
      <c r="BU43" s="138">
        <v>4010</v>
      </c>
      <c r="BV43" s="138">
        <v>6146</v>
      </c>
      <c r="BW43" s="137">
        <v>4067</v>
      </c>
      <c r="BX43" s="137">
        <v>2943</v>
      </c>
      <c r="BY43" s="137">
        <v>10368</v>
      </c>
      <c r="BZ43" s="137">
        <v>5096</v>
      </c>
      <c r="CA43" s="137">
        <v>6489</v>
      </c>
      <c r="CB43" s="137">
        <v>3047</v>
      </c>
      <c r="CC43" s="137">
        <v>2655</v>
      </c>
      <c r="CD43" s="137">
        <v>1220</v>
      </c>
      <c r="CE43" s="138">
        <v>1346</v>
      </c>
      <c r="CF43" s="137">
        <v>173</v>
      </c>
      <c r="CG43" s="137">
        <v>250</v>
      </c>
      <c r="CH43" s="139">
        <v>164</v>
      </c>
      <c r="CI43" s="139">
        <v>177</v>
      </c>
      <c r="CJ43" s="137">
        <v>0</v>
      </c>
      <c r="CK43" s="137">
        <v>310</v>
      </c>
      <c r="CL43" s="137">
        <v>210</v>
      </c>
      <c r="CM43" s="137">
        <v>318</v>
      </c>
      <c r="CN43" s="137">
        <v>254</v>
      </c>
      <c r="CO43" s="137">
        <f>236+265</f>
        <v>501</v>
      </c>
      <c r="CP43" s="137">
        <v>256</v>
      </c>
      <c r="CQ43" s="137">
        <v>335</v>
      </c>
      <c r="CR43" s="137">
        <v>245</v>
      </c>
      <c r="CS43" s="34">
        <v>337</v>
      </c>
      <c r="CT43" s="34">
        <v>198</v>
      </c>
      <c r="CU43" s="34">
        <v>227</v>
      </c>
      <c r="CV43" s="34">
        <v>44</v>
      </c>
      <c r="CW43" s="42">
        <v>322</v>
      </c>
      <c r="CX43" s="34">
        <v>197</v>
      </c>
      <c r="CY43" s="137">
        <v>159</v>
      </c>
      <c r="CZ43" s="34">
        <v>126</v>
      </c>
      <c r="DA43" s="34">
        <v>121</v>
      </c>
      <c r="DB43" s="34">
        <v>170</v>
      </c>
      <c r="DC43" s="34">
        <v>289</v>
      </c>
      <c r="DD43" s="34">
        <v>109</v>
      </c>
      <c r="DE43" s="34">
        <v>197</v>
      </c>
      <c r="DF43" s="34">
        <v>81</v>
      </c>
      <c r="DG43" s="34">
        <v>79</v>
      </c>
      <c r="DH43" s="42">
        <v>58</v>
      </c>
      <c r="DI43" s="34">
        <v>58</v>
      </c>
      <c r="DJ43" s="34">
        <v>26</v>
      </c>
      <c r="DK43" s="34">
        <v>198</v>
      </c>
      <c r="DL43" s="34">
        <v>110</v>
      </c>
      <c r="DM43" s="34">
        <v>159</v>
      </c>
      <c r="DN43" s="34">
        <v>0</v>
      </c>
      <c r="DO43" s="34">
        <v>90</v>
      </c>
      <c r="DP43" s="34">
        <v>11</v>
      </c>
      <c r="DQ43" s="34">
        <v>13</v>
      </c>
      <c r="DR43" s="34">
        <v>10</v>
      </c>
      <c r="DS43" s="34">
        <v>11</v>
      </c>
      <c r="DT43" s="42">
        <v>0</v>
      </c>
      <c r="DU43" s="42">
        <v>119</v>
      </c>
      <c r="DV43" s="42">
        <v>70</v>
      </c>
      <c r="DW43" s="42">
        <v>67</v>
      </c>
      <c r="DX43" s="42">
        <v>124</v>
      </c>
      <c r="DY43" s="42">
        <v>23</v>
      </c>
      <c r="DZ43" s="42">
        <v>28</v>
      </c>
      <c r="EA43" s="42">
        <v>110</v>
      </c>
      <c r="EB43" s="42">
        <v>51</v>
      </c>
      <c r="EC43" s="42">
        <v>60</v>
      </c>
      <c r="ED43" s="42">
        <v>61</v>
      </c>
      <c r="EE43" s="42">
        <v>28</v>
      </c>
      <c r="EF43" s="42">
        <v>55</v>
      </c>
      <c r="EG43" s="42">
        <v>33</v>
      </c>
      <c r="EH43" s="150">
        <f t="shared" si="15"/>
        <v>5065</v>
      </c>
      <c r="EI43" s="208">
        <f t="shared" si="16"/>
        <v>316033</v>
      </c>
      <c r="EJ43" s="150">
        <f>SUM(J43:DM43)</f>
        <v>288576</v>
      </c>
      <c r="EK43" s="347">
        <f t="shared" si="2"/>
        <v>1233</v>
      </c>
      <c r="EL43" s="287">
        <f t="shared" si="3"/>
        <v>1578</v>
      </c>
      <c r="EM43" s="151">
        <f t="shared" si="19"/>
        <v>51656</v>
      </c>
      <c r="EN43" s="153">
        <f t="shared" si="20"/>
        <v>133469</v>
      </c>
      <c r="EO43" s="153">
        <f t="shared" si="21"/>
        <v>28199</v>
      </c>
      <c r="EP43" s="152">
        <f t="shared" si="22"/>
        <v>26338</v>
      </c>
      <c r="EQ43" s="152">
        <f t="shared" si="23"/>
        <v>35171</v>
      </c>
      <c r="ER43" s="150">
        <f t="shared" si="9"/>
        <v>37119</v>
      </c>
      <c r="ES43" s="152">
        <f>SUM(CV43:DS43)</f>
        <v>2638</v>
      </c>
      <c r="ET43" s="152">
        <f t="shared" si="18"/>
        <v>592</v>
      </c>
      <c r="EU43" s="57">
        <f t="shared" si="11"/>
        <v>56034</v>
      </c>
      <c r="EV43" s="12">
        <f t="shared" si="12"/>
        <v>6521</v>
      </c>
      <c r="EW43" s="259">
        <v>0</v>
      </c>
      <c r="EX43" s="12">
        <f t="shared" si="13"/>
        <v>311932</v>
      </c>
      <c r="EY43" s="131">
        <f t="shared" si="14"/>
        <v>307708</v>
      </c>
      <c r="EZ43" s="216">
        <v>0</v>
      </c>
    </row>
    <row r="44" spans="1:156" ht="15.75" customHeight="1" x14ac:dyDescent="0.25">
      <c r="A44" s="83" t="s">
        <v>49</v>
      </c>
      <c r="B44" s="83" t="s">
        <v>44</v>
      </c>
      <c r="C44" s="189">
        <v>254</v>
      </c>
      <c r="D44" s="33">
        <v>418</v>
      </c>
      <c r="E44" s="33">
        <v>492</v>
      </c>
      <c r="F44" s="33">
        <v>557</v>
      </c>
      <c r="G44" s="33">
        <v>1279</v>
      </c>
      <c r="H44" s="33">
        <v>1578</v>
      </c>
      <c r="I44" s="33">
        <v>1222</v>
      </c>
      <c r="J44" s="33">
        <v>380</v>
      </c>
      <c r="K44" s="33">
        <v>550</v>
      </c>
      <c r="L44" s="33">
        <v>197</v>
      </c>
      <c r="M44" s="33">
        <v>1706</v>
      </c>
      <c r="N44" s="33">
        <v>128</v>
      </c>
      <c r="O44" s="33">
        <v>185</v>
      </c>
      <c r="P44" s="33">
        <v>764</v>
      </c>
      <c r="Q44" s="33">
        <v>1248</v>
      </c>
      <c r="R44" s="33">
        <v>14017</v>
      </c>
      <c r="S44" s="33">
        <v>8525</v>
      </c>
      <c r="T44" s="33">
        <v>243</v>
      </c>
      <c r="U44" s="33">
        <v>664</v>
      </c>
      <c r="V44" s="33">
        <v>1058</v>
      </c>
      <c r="W44" s="33">
        <v>1250</v>
      </c>
      <c r="X44" s="33">
        <v>1979</v>
      </c>
      <c r="Y44" s="33">
        <v>1008</v>
      </c>
      <c r="Z44" s="33">
        <v>902</v>
      </c>
      <c r="AA44" s="33">
        <v>843</v>
      </c>
      <c r="AB44" s="33">
        <v>404</v>
      </c>
      <c r="AC44" s="33">
        <v>440</v>
      </c>
      <c r="AD44" s="33">
        <v>481</v>
      </c>
      <c r="AE44" s="33">
        <v>377</v>
      </c>
      <c r="AF44" s="33">
        <v>593</v>
      </c>
      <c r="AG44" s="33">
        <v>554</v>
      </c>
      <c r="AH44" s="33">
        <v>1159</v>
      </c>
      <c r="AI44" s="33">
        <v>771</v>
      </c>
      <c r="AJ44" s="34">
        <v>724</v>
      </c>
      <c r="AK44" s="34">
        <v>1001</v>
      </c>
      <c r="AL44" s="34">
        <v>324</v>
      </c>
      <c r="AM44" s="34">
        <v>339</v>
      </c>
      <c r="AN44" s="34">
        <v>917</v>
      </c>
      <c r="AO44" s="34">
        <v>276</v>
      </c>
      <c r="AP44" s="34">
        <v>136</v>
      </c>
      <c r="AQ44" s="34">
        <v>120</v>
      </c>
      <c r="AR44" s="34">
        <v>0</v>
      </c>
      <c r="AS44" s="34">
        <v>432</v>
      </c>
      <c r="AT44" s="34">
        <v>340</v>
      </c>
      <c r="AU44" s="34">
        <v>748</v>
      </c>
      <c r="AV44" s="34">
        <v>433</v>
      </c>
      <c r="AW44" s="34">
        <v>0</v>
      </c>
      <c r="AX44" s="34">
        <v>0</v>
      </c>
      <c r="AY44" s="34">
        <v>0</v>
      </c>
      <c r="AZ44" s="34">
        <v>0</v>
      </c>
      <c r="BA44" s="34">
        <v>216</v>
      </c>
      <c r="BB44" s="34">
        <v>0</v>
      </c>
      <c r="BC44" s="34">
        <v>120</v>
      </c>
      <c r="BD44" s="34">
        <v>1</v>
      </c>
      <c r="BE44" s="34">
        <v>1</v>
      </c>
      <c r="BF44" s="34">
        <v>0</v>
      </c>
      <c r="BG44" s="34">
        <v>0</v>
      </c>
      <c r="BH44" s="34">
        <v>0</v>
      </c>
      <c r="BI44" s="34">
        <v>0</v>
      </c>
      <c r="BJ44" s="34">
        <v>0</v>
      </c>
      <c r="BK44" s="34">
        <v>0</v>
      </c>
      <c r="BL44" s="34">
        <v>12</v>
      </c>
      <c r="BM44" s="137">
        <v>0</v>
      </c>
      <c r="BN44" s="137">
        <v>3</v>
      </c>
      <c r="BO44" s="137">
        <v>0</v>
      </c>
      <c r="BP44" s="137">
        <v>22</v>
      </c>
      <c r="BQ44" s="137">
        <v>4</v>
      </c>
      <c r="BR44" s="138">
        <v>209</v>
      </c>
      <c r="BS44" s="138">
        <v>4</v>
      </c>
      <c r="BT44" s="138">
        <v>1</v>
      </c>
      <c r="BU44" s="138">
        <v>10</v>
      </c>
      <c r="BV44" s="138">
        <v>21</v>
      </c>
      <c r="BW44" s="137">
        <v>5</v>
      </c>
      <c r="BX44" s="137">
        <v>0</v>
      </c>
      <c r="BY44" s="137">
        <v>5</v>
      </c>
      <c r="BZ44" s="137">
        <v>6</v>
      </c>
      <c r="CA44" s="137">
        <v>12</v>
      </c>
      <c r="CB44" s="137">
        <v>8</v>
      </c>
      <c r="CC44" s="137">
        <v>4</v>
      </c>
      <c r="CD44" s="137">
        <v>0</v>
      </c>
      <c r="CE44" s="138">
        <v>3</v>
      </c>
      <c r="CF44" s="137">
        <v>0</v>
      </c>
      <c r="CG44" s="137">
        <v>0</v>
      </c>
      <c r="CH44" s="139">
        <v>0</v>
      </c>
      <c r="CI44" s="139">
        <v>0</v>
      </c>
      <c r="CJ44" s="137">
        <v>0</v>
      </c>
      <c r="CK44" s="137">
        <v>0</v>
      </c>
      <c r="CL44" s="137">
        <v>0</v>
      </c>
      <c r="CM44" s="137">
        <v>0</v>
      </c>
      <c r="CN44" s="137">
        <v>0</v>
      </c>
      <c r="CO44" s="137">
        <v>0</v>
      </c>
      <c r="CP44" s="137">
        <v>0</v>
      </c>
      <c r="CQ44" s="137">
        <v>0</v>
      </c>
      <c r="CR44" s="137">
        <v>0</v>
      </c>
      <c r="CS44" s="34">
        <v>0</v>
      </c>
      <c r="CT44" s="34">
        <v>0</v>
      </c>
      <c r="CU44" s="34">
        <v>0</v>
      </c>
      <c r="CV44" s="34">
        <v>0</v>
      </c>
      <c r="CW44" s="42">
        <v>0</v>
      </c>
      <c r="CX44" s="34">
        <v>0</v>
      </c>
      <c r="CY44" s="137">
        <v>0</v>
      </c>
      <c r="CZ44" s="34">
        <v>0</v>
      </c>
      <c r="DA44" s="34">
        <v>0</v>
      </c>
      <c r="DB44" s="34">
        <v>0</v>
      </c>
      <c r="DC44" s="34">
        <v>21</v>
      </c>
      <c r="DD44" s="34">
        <v>1</v>
      </c>
      <c r="DE44" s="34">
        <v>0</v>
      </c>
      <c r="DF44" s="34">
        <v>0</v>
      </c>
      <c r="DG44" s="34">
        <v>0</v>
      </c>
      <c r="DH44" s="42">
        <v>0</v>
      </c>
      <c r="DI44" s="34">
        <v>4</v>
      </c>
      <c r="DJ44" s="34">
        <v>0</v>
      </c>
      <c r="DK44" s="34">
        <v>2</v>
      </c>
      <c r="DL44" s="34">
        <v>10</v>
      </c>
      <c r="DM44" s="34">
        <v>1</v>
      </c>
      <c r="DN44" s="34">
        <v>0</v>
      </c>
      <c r="DO44" s="34">
        <v>0</v>
      </c>
      <c r="DP44" s="34">
        <v>0</v>
      </c>
      <c r="DQ44" s="34">
        <v>0</v>
      </c>
      <c r="DR44" s="34">
        <v>0</v>
      </c>
      <c r="DS44" s="34">
        <v>0</v>
      </c>
      <c r="DT44" s="42">
        <v>0</v>
      </c>
      <c r="DU44" s="42">
        <v>0</v>
      </c>
      <c r="DV44" s="42">
        <v>3</v>
      </c>
      <c r="DW44" s="42">
        <v>0</v>
      </c>
      <c r="DX44" s="42">
        <v>0</v>
      </c>
      <c r="DY44" s="42">
        <v>0</v>
      </c>
      <c r="DZ44" s="42">
        <v>0</v>
      </c>
      <c r="EA44" s="42">
        <v>0</v>
      </c>
      <c r="EB44" s="42">
        <v>0</v>
      </c>
      <c r="EC44" s="42">
        <v>0</v>
      </c>
      <c r="ED44" s="42">
        <v>0</v>
      </c>
      <c r="EE44" s="42">
        <v>0</v>
      </c>
      <c r="EF44" s="42">
        <v>0</v>
      </c>
      <c r="EG44" s="42">
        <v>0</v>
      </c>
      <c r="EH44" s="150">
        <f t="shared" si="15"/>
        <v>42</v>
      </c>
      <c r="EI44" s="208">
        <f t="shared" si="16"/>
        <v>52722</v>
      </c>
      <c r="EJ44" s="150">
        <f t="shared" si="17"/>
        <v>46922</v>
      </c>
      <c r="EK44" s="347">
        <f t="shared" si="2"/>
        <v>14</v>
      </c>
      <c r="EL44" s="287">
        <f t="shared" si="3"/>
        <v>254</v>
      </c>
      <c r="EM44" s="151">
        <f t="shared" si="19"/>
        <v>8692</v>
      </c>
      <c r="EN44" s="153">
        <f t="shared" si="20"/>
        <v>32501</v>
      </c>
      <c r="EO44" s="153">
        <f t="shared" si="21"/>
        <v>7167</v>
      </c>
      <c r="EP44" s="152">
        <f t="shared" si="22"/>
        <v>3402</v>
      </c>
      <c r="EQ44" s="152">
        <f t="shared" si="23"/>
        <v>629</v>
      </c>
      <c r="ER44" s="150">
        <f t="shared" si="9"/>
        <v>38</v>
      </c>
      <c r="ES44" s="152">
        <f t="shared" si="10"/>
        <v>39</v>
      </c>
      <c r="ET44" s="152">
        <f t="shared" si="18"/>
        <v>3</v>
      </c>
      <c r="EU44" s="57">
        <f t="shared" si="11"/>
        <v>314</v>
      </c>
      <c r="EV44" s="12">
        <f t="shared" si="12"/>
        <v>3</v>
      </c>
      <c r="EW44" s="259">
        <v>0</v>
      </c>
      <c r="EX44" s="12">
        <f t="shared" si="13"/>
        <v>52683</v>
      </c>
      <c r="EY44" s="131">
        <f t="shared" si="14"/>
        <v>51547</v>
      </c>
      <c r="EZ44" s="216">
        <v>0</v>
      </c>
    </row>
    <row r="45" spans="1:156" ht="15.75" customHeight="1" x14ac:dyDescent="0.25">
      <c r="A45" s="83" t="s">
        <v>49</v>
      </c>
      <c r="B45" s="83" t="s">
        <v>45</v>
      </c>
      <c r="C45" s="189">
        <v>22</v>
      </c>
      <c r="D45" s="33">
        <v>2</v>
      </c>
      <c r="E45" s="33">
        <v>7</v>
      </c>
      <c r="F45" s="33">
        <v>35</v>
      </c>
      <c r="G45" s="33">
        <v>2</v>
      </c>
      <c r="H45" s="33">
        <v>15</v>
      </c>
      <c r="I45" s="33">
        <v>6</v>
      </c>
      <c r="J45" s="33">
        <v>128</v>
      </c>
      <c r="K45" s="33">
        <v>72</v>
      </c>
      <c r="L45" s="33">
        <v>24</v>
      </c>
      <c r="M45" s="33">
        <v>26</v>
      </c>
      <c r="N45" s="33">
        <v>0</v>
      </c>
      <c r="O45" s="33">
        <v>9</v>
      </c>
      <c r="P45" s="33">
        <v>6</v>
      </c>
      <c r="Q45" s="33">
        <v>8</v>
      </c>
      <c r="R45" s="33">
        <v>5</v>
      </c>
      <c r="S45" s="33">
        <v>19</v>
      </c>
      <c r="T45" s="33">
        <v>54</v>
      </c>
      <c r="U45" s="33">
        <v>0</v>
      </c>
      <c r="V45" s="33">
        <v>37</v>
      </c>
      <c r="W45" s="33">
        <v>35</v>
      </c>
      <c r="X45" s="33">
        <v>0</v>
      </c>
      <c r="Y45" s="33">
        <v>0</v>
      </c>
      <c r="Z45" s="33">
        <v>0</v>
      </c>
      <c r="AA45" s="33">
        <v>0</v>
      </c>
      <c r="AB45" s="33">
        <v>0</v>
      </c>
      <c r="AC45" s="33">
        <v>0</v>
      </c>
      <c r="AD45" s="33">
        <v>2</v>
      </c>
      <c r="AE45" s="33">
        <v>0</v>
      </c>
      <c r="AF45" s="33">
        <v>0</v>
      </c>
      <c r="AG45" s="33">
        <v>0</v>
      </c>
      <c r="AH45" s="33">
        <v>0</v>
      </c>
      <c r="AI45" s="33">
        <v>0</v>
      </c>
      <c r="AJ45" s="34">
        <v>0</v>
      </c>
      <c r="AK45" s="34">
        <v>0</v>
      </c>
      <c r="AL45" s="34">
        <v>0</v>
      </c>
      <c r="AM45" s="34">
        <v>35</v>
      </c>
      <c r="AN45" s="34">
        <v>0</v>
      </c>
      <c r="AO45" s="34">
        <v>0</v>
      </c>
      <c r="AP45" s="34">
        <v>0</v>
      </c>
      <c r="AQ45" s="34">
        <v>1</v>
      </c>
      <c r="AR45" s="34">
        <v>0</v>
      </c>
      <c r="AS45" s="34">
        <v>27</v>
      </c>
      <c r="AT45" s="34">
        <v>9</v>
      </c>
      <c r="AU45" s="34">
        <v>0</v>
      </c>
      <c r="AV45" s="34">
        <v>9</v>
      </c>
      <c r="AW45" s="34">
        <v>0</v>
      </c>
      <c r="AX45" s="34">
        <v>0</v>
      </c>
      <c r="AY45" s="34">
        <v>0</v>
      </c>
      <c r="AZ45" s="34">
        <v>0</v>
      </c>
      <c r="BA45" s="34">
        <v>0</v>
      </c>
      <c r="BB45" s="34">
        <v>0</v>
      </c>
      <c r="BC45" s="34">
        <v>0</v>
      </c>
      <c r="BD45" s="34">
        <v>0</v>
      </c>
      <c r="BE45" s="34">
        <v>0</v>
      </c>
      <c r="BF45" s="34">
        <v>0</v>
      </c>
      <c r="BG45" s="34">
        <v>0</v>
      </c>
      <c r="BH45" s="34">
        <v>0</v>
      </c>
      <c r="BI45" s="34">
        <v>0</v>
      </c>
      <c r="BJ45" s="34">
        <v>0</v>
      </c>
      <c r="BK45" s="34">
        <v>0</v>
      </c>
      <c r="BL45" s="34">
        <v>18</v>
      </c>
      <c r="BM45" s="137">
        <v>13</v>
      </c>
      <c r="BN45" s="137">
        <v>2</v>
      </c>
      <c r="BO45" s="137">
        <v>0</v>
      </c>
      <c r="BP45" s="137">
        <v>4</v>
      </c>
      <c r="BQ45" s="137">
        <v>0</v>
      </c>
      <c r="BR45" s="138">
        <v>0</v>
      </c>
      <c r="BS45" s="138">
        <v>0</v>
      </c>
      <c r="BT45" s="138">
        <v>0</v>
      </c>
      <c r="BU45" s="138">
        <v>0</v>
      </c>
      <c r="BV45" s="138">
        <v>13</v>
      </c>
      <c r="BW45" s="137">
        <v>39</v>
      </c>
      <c r="BX45" s="137">
        <v>0</v>
      </c>
      <c r="BY45" s="137">
        <v>0</v>
      </c>
      <c r="BZ45" s="137">
        <v>1</v>
      </c>
      <c r="CA45" s="148">
        <v>0</v>
      </c>
      <c r="CB45" s="137">
        <v>0</v>
      </c>
      <c r="CC45" s="137">
        <v>0</v>
      </c>
      <c r="CD45" s="137">
        <v>0</v>
      </c>
      <c r="CE45" s="138">
        <v>0</v>
      </c>
      <c r="CF45" s="137">
        <v>0</v>
      </c>
      <c r="CG45" s="137">
        <v>0</v>
      </c>
      <c r="CH45" s="139">
        <v>2</v>
      </c>
      <c r="CI45" s="139">
        <v>3</v>
      </c>
      <c r="CJ45" s="137">
        <v>0</v>
      </c>
      <c r="CK45" s="137">
        <v>1</v>
      </c>
      <c r="CL45" s="137">
        <v>33</v>
      </c>
      <c r="CM45" s="137">
        <v>1</v>
      </c>
      <c r="CN45" s="137">
        <v>18</v>
      </c>
      <c r="CO45" s="137">
        <v>27</v>
      </c>
      <c r="CP45" s="137">
        <v>37</v>
      </c>
      <c r="CQ45" s="137">
        <v>25</v>
      </c>
      <c r="CR45" s="137">
        <v>0</v>
      </c>
      <c r="CS45" s="34">
        <v>9</v>
      </c>
      <c r="CT45" s="34">
        <v>18</v>
      </c>
      <c r="CU45" s="34">
        <v>1</v>
      </c>
      <c r="CV45" s="34">
        <v>0</v>
      </c>
      <c r="CW45" s="42">
        <v>11</v>
      </c>
      <c r="CX45" s="34">
        <v>46</v>
      </c>
      <c r="CY45" s="137">
        <v>45</v>
      </c>
      <c r="CZ45" s="34">
        <v>99</v>
      </c>
      <c r="DA45" s="34">
        <v>27</v>
      </c>
      <c r="DB45" s="34">
        <v>83</v>
      </c>
      <c r="DC45" s="34">
        <v>148</v>
      </c>
      <c r="DD45" s="34">
        <v>15</v>
      </c>
      <c r="DE45" s="34">
        <v>25</v>
      </c>
      <c r="DF45" s="34">
        <v>6</v>
      </c>
      <c r="DG45" s="34">
        <v>0</v>
      </c>
      <c r="DH45" s="42">
        <v>2</v>
      </c>
      <c r="DI45" s="34">
        <v>2</v>
      </c>
      <c r="DJ45" s="34">
        <v>0</v>
      </c>
      <c r="DK45" s="34">
        <v>4</v>
      </c>
      <c r="DL45" s="34">
        <v>3</v>
      </c>
      <c r="DM45" s="34">
        <v>0</v>
      </c>
      <c r="DN45" s="34">
        <v>0</v>
      </c>
      <c r="DO45" s="34">
        <v>0</v>
      </c>
      <c r="DP45" s="34">
        <v>0</v>
      </c>
      <c r="DQ45" s="34">
        <v>0</v>
      </c>
      <c r="DR45" s="34">
        <v>0</v>
      </c>
      <c r="DS45" s="34">
        <v>0</v>
      </c>
      <c r="DT45" s="42">
        <v>0</v>
      </c>
      <c r="DU45" s="42">
        <v>1</v>
      </c>
      <c r="DV45" s="42">
        <v>0</v>
      </c>
      <c r="DW45" s="42">
        <v>1</v>
      </c>
      <c r="DX45" s="42">
        <v>2</v>
      </c>
      <c r="DY45" s="42">
        <v>0</v>
      </c>
      <c r="DZ45" s="42">
        <v>0</v>
      </c>
      <c r="EA45" s="42">
        <v>0</v>
      </c>
      <c r="EB45" s="42">
        <v>0</v>
      </c>
      <c r="EC45" s="42">
        <v>0</v>
      </c>
      <c r="ED45" s="42">
        <v>0</v>
      </c>
      <c r="EE45" s="42">
        <v>0</v>
      </c>
      <c r="EF45" s="42">
        <v>0</v>
      </c>
      <c r="EG45" s="42">
        <v>0</v>
      </c>
      <c r="EH45" s="150">
        <f t="shared" si="15"/>
        <v>610</v>
      </c>
      <c r="EI45" s="208">
        <f t="shared" si="16"/>
        <v>1376</v>
      </c>
      <c r="EJ45" s="150">
        <f t="shared" si="17"/>
        <v>1287</v>
      </c>
      <c r="EK45" s="347">
        <f t="shared" si="2"/>
        <v>7</v>
      </c>
      <c r="EL45" s="287">
        <f t="shared" si="3"/>
        <v>22</v>
      </c>
      <c r="EM45" s="151">
        <f t="shared" si="19"/>
        <v>326</v>
      </c>
      <c r="EN45" s="153">
        <f t="shared" si="20"/>
        <v>164</v>
      </c>
      <c r="EO45" s="153">
        <f t="shared" si="21"/>
        <v>37</v>
      </c>
      <c r="EP45" s="152">
        <f t="shared" si="22"/>
        <v>46</v>
      </c>
      <c r="EQ45" s="152">
        <f t="shared" si="23"/>
        <v>89</v>
      </c>
      <c r="ER45" s="150">
        <f t="shared" si="9"/>
        <v>176</v>
      </c>
      <c r="ES45" s="152">
        <f t="shared" si="10"/>
        <v>516</v>
      </c>
      <c r="ET45" s="152">
        <f t="shared" si="18"/>
        <v>4</v>
      </c>
      <c r="EU45" s="57">
        <f t="shared" si="11"/>
        <v>63</v>
      </c>
      <c r="EV45" s="12">
        <f t="shared" si="12"/>
        <v>175</v>
      </c>
      <c r="EW45" s="259">
        <v>0</v>
      </c>
      <c r="EX45" s="12">
        <f t="shared" si="13"/>
        <v>770</v>
      </c>
      <c r="EY45" s="131">
        <f t="shared" si="14"/>
        <v>1342</v>
      </c>
      <c r="EZ45" s="216">
        <v>0</v>
      </c>
    </row>
    <row r="46" spans="1:156" ht="15.75" customHeight="1" x14ac:dyDescent="0.25">
      <c r="A46" s="83" t="s">
        <v>49</v>
      </c>
      <c r="B46" s="83" t="s">
        <v>46</v>
      </c>
      <c r="C46" s="189">
        <v>249</v>
      </c>
      <c r="D46" s="33">
        <v>898</v>
      </c>
      <c r="E46" s="33">
        <v>610</v>
      </c>
      <c r="F46" s="33">
        <v>852</v>
      </c>
      <c r="G46" s="33">
        <v>1697</v>
      </c>
      <c r="H46" s="33">
        <v>1999</v>
      </c>
      <c r="I46" s="33">
        <v>1129</v>
      </c>
      <c r="J46" s="33">
        <v>221</v>
      </c>
      <c r="K46" s="33">
        <v>163</v>
      </c>
      <c r="L46" s="33">
        <v>245</v>
      </c>
      <c r="M46" s="33">
        <v>654</v>
      </c>
      <c r="N46" s="33">
        <v>94</v>
      </c>
      <c r="O46" s="33">
        <v>244</v>
      </c>
      <c r="P46" s="33">
        <v>354</v>
      </c>
      <c r="Q46" s="33">
        <v>644</v>
      </c>
      <c r="R46" s="33">
        <v>499</v>
      </c>
      <c r="S46" s="33">
        <v>9850</v>
      </c>
      <c r="T46" s="33">
        <v>757</v>
      </c>
      <c r="U46" s="33">
        <v>628</v>
      </c>
      <c r="V46" s="33">
        <v>644</v>
      </c>
      <c r="W46" s="33">
        <v>621</v>
      </c>
      <c r="X46" s="33">
        <v>570</v>
      </c>
      <c r="Y46" s="33">
        <v>391</v>
      </c>
      <c r="Z46" s="33">
        <v>298</v>
      </c>
      <c r="AA46" s="33">
        <v>196</v>
      </c>
      <c r="AB46" s="33">
        <v>345</v>
      </c>
      <c r="AC46" s="33">
        <v>448</v>
      </c>
      <c r="AD46" s="33">
        <v>595</v>
      </c>
      <c r="AE46" s="33">
        <v>578</v>
      </c>
      <c r="AF46" s="33">
        <v>404</v>
      </c>
      <c r="AG46" s="33">
        <v>634</v>
      </c>
      <c r="AH46" s="33">
        <v>537</v>
      </c>
      <c r="AI46" s="33">
        <v>1033</v>
      </c>
      <c r="AJ46" s="34">
        <v>644</v>
      </c>
      <c r="AK46" s="34">
        <v>333</v>
      </c>
      <c r="AL46" s="34">
        <v>538</v>
      </c>
      <c r="AM46" s="34">
        <v>304</v>
      </c>
      <c r="AN46" s="34">
        <v>471</v>
      </c>
      <c r="AO46" s="34">
        <v>248</v>
      </c>
      <c r="AP46" s="34">
        <v>486</v>
      </c>
      <c r="AQ46" s="34">
        <v>450</v>
      </c>
      <c r="AR46" s="34">
        <v>345</v>
      </c>
      <c r="AS46" s="34">
        <v>63</v>
      </c>
      <c r="AT46" s="34">
        <v>343</v>
      </c>
      <c r="AU46" s="34">
        <v>302</v>
      </c>
      <c r="AV46" s="34">
        <v>287</v>
      </c>
      <c r="AW46" s="34">
        <v>43</v>
      </c>
      <c r="AX46" s="34">
        <v>209</v>
      </c>
      <c r="AY46" s="34">
        <v>236</v>
      </c>
      <c r="AZ46" s="34">
        <v>55</v>
      </c>
      <c r="BA46" s="34">
        <v>177</v>
      </c>
      <c r="BB46" s="34">
        <v>95</v>
      </c>
      <c r="BC46" s="34">
        <v>199</v>
      </c>
      <c r="BD46" s="34">
        <v>182</v>
      </c>
      <c r="BE46" s="34">
        <v>440</v>
      </c>
      <c r="BF46" s="34">
        <v>282</v>
      </c>
      <c r="BG46" s="34">
        <v>372</v>
      </c>
      <c r="BH46" s="34">
        <v>19</v>
      </c>
      <c r="BI46" s="34">
        <v>529</v>
      </c>
      <c r="BJ46" s="34">
        <v>420</v>
      </c>
      <c r="BK46" s="34">
        <v>0</v>
      </c>
      <c r="BL46" s="34">
        <v>453</v>
      </c>
      <c r="BM46" s="137">
        <v>314</v>
      </c>
      <c r="BN46" s="137">
        <v>207</v>
      </c>
      <c r="BO46" s="137">
        <v>180</v>
      </c>
      <c r="BP46" s="137">
        <v>298</v>
      </c>
      <c r="BQ46" s="137">
        <v>244</v>
      </c>
      <c r="BR46" s="138">
        <v>207</v>
      </c>
      <c r="BS46" s="138">
        <v>450</v>
      </c>
      <c r="BT46" s="138">
        <v>163</v>
      </c>
      <c r="BU46" s="138">
        <v>224</v>
      </c>
      <c r="BV46" s="138">
        <v>192</v>
      </c>
      <c r="BW46" s="137">
        <v>376</v>
      </c>
      <c r="BX46" s="137">
        <v>86</v>
      </c>
      <c r="BY46" s="137">
        <v>127</v>
      </c>
      <c r="BZ46" s="137">
        <v>157</v>
      </c>
      <c r="CA46" s="137">
        <v>272</v>
      </c>
      <c r="CB46" s="137">
        <v>165</v>
      </c>
      <c r="CC46" s="137">
        <v>154</v>
      </c>
      <c r="CD46" s="137">
        <v>236</v>
      </c>
      <c r="CE46" s="138">
        <v>198</v>
      </c>
      <c r="CF46" s="137">
        <v>149</v>
      </c>
      <c r="CG46" s="137">
        <v>190</v>
      </c>
      <c r="CH46" s="139">
        <v>135</v>
      </c>
      <c r="CI46" s="139">
        <v>150</v>
      </c>
      <c r="CJ46" s="137">
        <v>0</v>
      </c>
      <c r="CK46" s="137">
        <v>302</v>
      </c>
      <c r="CL46" s="137">
        <v>174</v>
      </c>
      <c r="CM46" s="137">
        <v>301</v>
      </c>
      <c r="CN46" s="137">
        <v>180</v>
      </c>
      <c r="CO46" s="137">
        <f>203+262</f>
        <v>465</v>
      </c>
      <c r="CP46" s="137">
        <v>219</v>
      </c>
      <c r="CQ46" s="137">
        <v>310</v>
      </c>
      <c r="CR46" s="137">
        <v>245</v>
      </c>
      <c r="CS46" s="34">
        <v>327</v>
      </c>
      <c r="CT46" s="34">
        <v>179</v>
      </c>
      <c r="CU46" s="34">
        <v>221</v>
      </c>
      <c r="CV46" s="34">
        <v>43</v>
      </c>
      <c r="CW46" s="42">
        <v>311</v>
      </c>
      <c r="CX46" s="34">
        <v>148</v>
      </c>
      <c r="CY46" s="137">
        <v>114</v>
      </c>
      <c r="CZ46" s="34">
        <v>27</v>
      </c>
      <c r="DA46" s="34">
        <v>93</v>
      </c>
      <c r="DB46" s="34">
        <v>86</v>
      </c>
      <c r="DC46" s="34">
        <v>116</v>
      </c>
      <c r="DD46" s="34">
        <v>92</v>
      </c>
      <c r="DE46" s="34">
        <v>151</v>
      </c>
      <c r="DF46" s="34">
        <v>68</v>
      </c>
      <c r="DG46" s="34">
        <v>70</v>
      </c>
      <c r="DH46" s="42">
        <v>38</v>
      </c>
      <c r="DI46" s="34">
        <v>38</v>
      </c>
      <c r="DJ46" s="34">
        <v>16</v>
      </c>
      <c r="DK46" s="34">
        <v>175</v>
      </c>
      <c r="DL46" s="34">
        <v>94</v>
      </c>
      <c r="DM46" s="34">
        <v>156</v>
      </c>
      <c r="DN46" s="34">
        <v>0</v>
      </c>
      <c r="DO46" s="34">
        <v>89</v>
      </c>
      <c r="DP46" s="34">
        <v>11</v>
      </c>
      <c r="DQ46" s="34">
        <v>4</v>
      </c>
      <c r="DR46" s="34">
        <v>10</v>
      </c>
      <c r="DS46" s="34">
        <v>8</v>
      </c>
      <c r="DT46" s="42">
        <v>0</v>
      </c>
      <c r="DU46" s="42">
        <v>113</v>
      </c>
      <c r="DV46" s="42">
        <v>28</v>
      </c>
      <c r="DW46" s="42">
        <v>51</v>
      </c>
      <c r="DX46" s="42">
        <v>117</v>
      </c>
      <c r="DY46" s="42">
        <v>20</v>
      </c>
      <c r="DZ46" s="42">
        <v>27</v>
      </c>
      <c r="EA46" s="42">
        <v>14</v>
      </c>
      <c r="EB46" s="42">
        <v>49</v>
      </c>
      <c r="EC46" s="42">
        <v>59</v>
      </c>
      <c r="ED46" s="42">
        <v>58</v>
      </c>
      <c r="EE46" s="42">
        <v>16</v>
      </c>
      <c r="EF46" s="42">
        <v>52</v>
      </c>
      <c r="EG46" s="42">
        <v>30</v>
      </c>
      <c r="EH46" s="150">
        <f t="shared" si="15"/>
        <v>4093</v>
      </c>
      <c r="EI46" s="208">
        <f t="shared" si="16"/>
        <v>47239</v>
      </c>
      <c r="EJ46" s="150">
        <f t="shared" si="17"/>
        <v>39805</v>
      </c>
      <c r="EK46" s="347">
        <f t="shared" si="2"/>
        <v>1006</v>
      </c>
      <c r="EL46" s="287">
        <f t="shared" si="3"/>
        <v>249</v>
      </c>
      <c r="EM46" s="151">
        <f t="shared" si="19"/>
        <v>8806</v>
      </c>
      <c r="EN46" s="153">
        <f t="shared" si="20"/>
        <v>15452</v>
      </c>
      <c r="EO46" s="153">
        <f t="shared" si="21"/>
        <v>6393</v>
      </c>
      <c r="EP46" s="152">
        <f t="shared" si="22"/>
        <v>3483</v>
      </c>
      <c r="EQ46" s="152">
        <f t="shared" si="23"/>
        <v>6078</v>
      </c>
      <c r="ER46" s="150">
        <f t="shared" si="9"/>
        <v>4942</v>
      </c>
      <c r="ES46" s="152">
        <f t="shared" si="10"/>
        <v>1958</v>
      </c>
      <c r="ET46" s="152">
        <f t="shared" si="18"/>
        <v>419</v>
      </c>
      <c r="EU46" s="57">
        <f t="shared" si="11"/>
        <v>4475</v>
      </c>
      <c r="EV46" s="12">
        <f t="shared" si="12"/>
        <v>3981</v>
      </c>
      <c r="EW46" s="259">
        <v>0</v>
      </c>
      <c r="EX46" s="12">
        <f t="shared" si="13"/>
        <v>43902</v>
      </c>
      <c r="EY46" s="131">
        <f t="shared" si="14"/>
        <v>45232</v>
      </c>
      <c r="EZ46" s="216">
        <v>0</v>
      </c>
    </row>
    <row r="47" spans="1:156" ht="15.75" customHeight="1" x14ac:dyDescent="0.25">
      <c r="A47" s="83" t="s">
        <v>49</v>
      </c>
      <c r="B47" s="83" t="s">
        <v>47</v>
      </c>
      <c r="C47" s="189">
        <v>1053</v>
      </c>
      <c r="D47" s="33">
        <v>1630</v>
      </c>
      <c r="E47" s="33">
        <v>2421</v>
      </c>
      <c r="F47" s="33">
        <v>1798</v>
      </c>
      <c r="G47" s="33">
        <v>2744</v>
      </c>
      <c r="H47" s="33">
        <v>1599</v>
      </c>
      <c r="I47" s="33">
        <v>2889</v>
      </c>
      <c r="J47" s="33">
        <v>3719</v>
      </c>
      <c r="K47" s="33">
        <v>2959</v>
      </c>
      <c r="L47" s="33">
        <v>2094</v>
      </c>
      <c r="M47" s="33">
        <v>2920</v>
      </c>
      <c r="N47" s="33">
        <v>4054</v>
      </c>
      <c r="O47" s="33">
        <v>5005</v>
      </c>
      <c r="P47" s="33">
        <v>6816</v>
      </c>
      <c r="Q47" s="33">
        <v>6394</v>
      </c>
      <c r="R47" s="33">
        <v>11266</v>
      </c>
      <c r="S47" s="33">
        <v>5989</v>
      </c>
      <c r="T47" s="33">
        <v>4105</v>
      </c>
      <c r="U47" s="33">
        <v>8441</v>
      </c>
      <c r="V47" s="33">
        <v>9031</v>
      </c>
      <c r="W47" s="33">
        <v>6279</v>
      </c>
      <c r="X47" s="33">
        <v>10512</v>
      </c>
      <c r="Y47" s="33">
        <v>6212</v>
      </c>
      <c r="Z47" s="33">
        <v>6078</v>
      </c>
      <c r="AA47" s="33">
        <v>4229</v>
      </c>
      <c r="AB47" s="33">
        <v>736</v>
      </c>
      <c r="AC47" s="33">
        <v>86</v>
      </c>
      <c r="AD47" s="33">
        <v>626</v>
      </c>
      <c r="AE47" s="33">
        <v>857</v>
      </c>
      <c r="AF47" s="33">
        <v>836</v>
      </c>
      <c r="AG47" s="33">
        <v>1564</v>
      </c>
      <c r="AH47" s="33">
        <v>2138</v>
      </c>
      <c r="AI47" s="33">
        <v>2051</v>
      </c>
      <c r="AJ47" s="34">
        <v>1306</v>
      </c>
      <c r="AK47" s="34">
        <v>1796</v>
      </c>
      <c r="AL47" s="34">
        <v>852</v>
      </c>
      <c r="AM47" s="34">
        <v>1754</v>
      </c>
      <c r="AN47" s="34">
        <v>1198</v>
      </c>
      <c r="AO47" s="34">
        <v>2120</v>
      </c>
      <c r="AP47" s="34">
        <v>2266</v>
      </c>
      <c r="AQ47" s="34">
        <v>1648</v>
      </c>
      <c r="AR47" s="34">
        <v>1655</v>
      </c>
      <c r="AS47" s="34">
        <v>1522</v>
      </c>
      <c r="AT47" s="34">
        <v>2564</v>
      </c>
      <c r="AU47" s="34">
        <v>2651</v>
      </c>
      <c r="AV47" s="34">
        <v>2015</v>
      </c>
      <c r="AW47" s="34">
        <v>914</v>
      </c>
      <c r="AX47" s="34">
        <v>371</v>
      </c>
      <c r="AY47" s="34">
        <v>483</v>
      </c>
      <c r="AZ47" s="34">
        <v>90</v>
      </c>
      <c r="BA47" s="34">
        <v>1086</v>
      </c>
      <c r="BB47" s="34">
        <v>556</v>
      </c>
      <c r="BC47" s="34">
        <v>644</v>
      </c>
      <c r="BD47" s="34">
        <v>209</v>
      </c>
      <c r="BE47" s="34">
        <v>754</v>
      </c>
      <c r="BF47" s="34">
        <v>552</v>
      </c>
      <c r="BG47" s="34">
        <v>505</v>
      </c>
      <c r="BH47" s="34">
        <v>33</v>
      </c>
      <c r="BI47" s="34">
        <v>196</v>
      </c>
      <c r="BJ47" s="34">
        <v>44</v>
      </c>
      <c r="BK47" s="34">
        <v>457</v>
      </c>
      <c r="BL47" s="34">
        <v>1127</v>
      </c>
      <c r="BM47" s="137">
        <v>345</v>
      </c>
      <c r="BN47" s="137">
        <v>748</v>
      </c>
      <c r="BO47" s="137">
        <v>1719</v>
      </c>
      <c r="BP47" s="137">
        <v>2059</v>
      </c>
      <c r="BQ47" s="137">
        <v>972</v>
      </c>
      <c r="BR47" s="138">
        <v>1099</v>
      </c>
      <c r="BS47" s="138">
        <v>1337</v>
      </c>
      <c r="BT47" s="138">
        <v>500</v>
      </c>
      <c r="BU47" s="138">
        <v>3776</v>
      </c>
      <c r="BV47" s="138">
        <v>5920</v>
      </c>
      <c r="BW47" s="137">
        <v>3647</v>
      </c>
      <c r="BX47" s="137">
        <v>2857</v>
      </c>
      <c r="BY47" s="137">
        <v>10236</v>
      </c>
      <c r="BZ47" s="137">
        <v>4932</v>
      </c>
      <c r="CA47" s="137">
        <v>6205</v>
      </c>
      <c r="CB47" s="137">
        <v>2874</v>
      </c>
      <c r="CC47" s="137">
        <v>2497</v>
      </c>
      <c r="CD47" s="137">
        <v>984</v>
      </c>
      <c r="CE47" s="138">
        <v>1145</v>
      </c>
      <c r="CF47" s="137">
        <v>24</v>
      </c>
      <c r="CG47" s="137">
        <v>60</v>
      </c>
      <c r="CH47" s="139">
        <v>27</v>
      </c>
      <c r="CI47" s="139">
        <v>24</v>
      </c>
      <c r="CJ47" s="137">
        <v>0</v>
      </c>
      <c r="CK47" s="137">
        <v>7</v>
      </c>
      <c r="CL47" s="137">
        <v>3</v>
      </c>
      <c r="CM47" s="137">
        <v>16</v>
      </c>
      <c r="CN47" s="137">
        <v>56</v>
      </c>
      <c r="CO47" s="137">
        <f>7+2</f>
        <v>9</v>
      </c>
      <c r="CP47" s="137">
        <v>0</v>
      </c>
      <c r="CQ47" s="137">
        <v>0</v>
      </c>
      <c r="CR47" s="137">
        <v>0</v>
      </c>
      <c r="CS47" s="34">
        <v>1</v>
      </c>
      <c r="CT47" s="34">
        <v>1</v>
      </c>
      <c r="CU47" s="34">
        <v>5</v>
      </c>
      <c r="CV47" s="34">
        <v>1</v>
      </c>
      <c r="CW47" s="42">
        <v>0</v>
      </c>
      <c r="CX47" s="34">
        <v>3</v>
      </c>
      <c r="CY47" s="137">
        <v>0</v>
      </c>
      <c r="CZ47" s="34">
        <v>0</v>
      </c>
      <c r="DA47" s="34">
        <v>1</v>
      </c>
      <c r="DB47" s="34">
        <v>1</v>
      </c>
      <c r="DC47" s="34">
        <v>4</v>
      </c>
      <c r="DD47" s="34">
        <v>1</v>
      </c>
      <c r="DE47" s="34">
        <v>21</v>
      </c>
      <c r="DF47" s="34">
        <v>7</v>
      </c>
      <c r="DG47" s="34">
        <v>9</v>
      </c>
      <c r="DH47" s="42">
        <v>18</v>
      </c>
      <c r="DI47" s="34">
        <v>14</v>
      </c>
      <c r="DJ47" s="34">
        <v>10</v>
      </c>
      <c r="DK47" s="34">
        <v>17</v>
      </c>
      <c r="DL47" s="34">
        <v>3</v>
      </c>
      <c r="DM47" s="34">
        <v>2</v>
      </c>
      <c r="DN47" s="34">
        <v>0</v>
      </c>
      <c r="DO47" s="34">
        <v>1</v>
      </c>
      <c r="DP47" s="34">
        <v>0</v>
      </c>
      <c r="DQ47" s="34">
        <v>9</v>
      </c>
      <c r="DR47" s="34">
        <v>0</v>
      </c>
      <c r="DS47" s="34">
        <v>3</v>
      </c>
      <c r="DT47" s="42">
        <v>0</v>
      </c>
      <c r="DU47" s="42">
        <v>5</v>
      </c>
      <c r="DV47" s="42">
        <v>39</v>
      </c>
      <c r="DW47" s="42">
        <v>15</v>
      </c>
      <c r="DX47" s="42">
        <v>5</v>
      </c>
      <c r="DY47" s="42">
        <v>3</v>
      </c>
      <c r="DZ47" s="42">
        <v>1</v>
      </c>
      <c r="EA47" s="42">
        <v>96</v>
      </c>
      <c r="EB47" s="42">
        <v>2</v>
      </c>
      <c r="EC47" s="42">
        <v>1</v>
      </c>
      <c r="ED47" s="42">
        <v>3</v>
      </c>
      <c r="EE47" s="42">
        <v>12</v>
      </c>
      <c r="EF47" s="42">
        <v>3</v>
      </c>
      <c r="EG47" s="42">
        <v>3</v>
      </c>
      <c r="EH47" s="150">
        <f t="shared" si="15"/>
        <v>320</v>
      </c>
      <c r="EI47" s="208">
        <f t="shared" si="16"/>
        <v>214696</v>
      </c>
      <c r="EJ47" s="150">
        <f t="shared" si="17"/>
        <v>200562</v>
      </c>
      <c r="EK47" s="347">
        <f t="shared" si="2"/>
        <v>206</v>
      </c>
      <c r="EL47" s="287">
        <f t="shared" si="3"/>
        <v>1053</v>
      </c>
      <c r="EM47" s="151">
        <f t="shared" si="19"/>
        <v>33832</v>
      </c>
      <c r="EN47" s="153">
        <f t="shared" si="20"/>
        <v>85352</v>
      </c>
      <c r="EO47" s="153">
        <f t="shared" si="21"/>
        <v>14602</v>
      </c>
      <c r="EP47" s="152">
        <f t="shared" si="22"/>
        <v>19407</v>
      </c>
      <c r="EQ47" s="152">
        <f t="shared" si="23"/>
        <v>28375</v>
      </c>
      <c r="ER47" s="150">
        <f t="shared" si="9"/>
        <v>31963</v>
      </c>
      <c r="ES47" s="152">
        <f t="shared" si="10"/>
        <v>125</v>
      </c>
      <c r="ET47" s="152">
        <f t="shared" si="18"/>
        <v>166</v>
      </c>
      <c r="EU47" s="57">
        <f t="shared" si="11"/>
        <v>51182</v>
      </c>
      <c r="EV47" s="12">
        <f t="shared" si="12"/>
        <v>2362</v>
      </c>
      <c r="EW47" s="259">
        <v>0</v>
      </c>
      <c r="EX47" s="12">
        <f t="shared" si="13"/>
        <v>214577</v>
      </c>
      <c r="EY47" s="131">
        <f t="shared" si="14"/>
        <v>209587</v>
      </c>
      <c r="EZ47" s="216">
        <v>0</v>
      </c>
    </row>
    <row r="48" spans="1:156" ht="29.25" customHeight="1" x14ac:dyDescent="0.25">
      <c r="A48" s="83" t="s">
        <v>93</v>
      </c>
      <c r="B48" s="83" t="s">
        <v>32</v>
      </c>
      <c r="C48" s="189">
        <v>0</v>
      </c>
      <c r="D48" s="33">
        <v>0</v>
      </c>
      <c r="E48" s="33">
        <v>0</v>
      </c>
      <c r="F48" s="33">
        <v>0</v>
      </c>
      <c r="G48" s="33">
        <v>0</v>
      </c>
      <c r="H48" s="33">
        <v>0</v>
      </c>
      <c r="I48" s="33">
        <v>0</v>
      </c>
      <c r="J48" s="33">
        <v>0</v>
      </c>
      <c r="K48" s="33">
        <v>0</v>
      </c>
      <c r="L48" s="33">
        <v>0</v>
      </c>
      <c r="M48" s="33">
        <v>0</v>
      </c>
      <c r="N48" s="33">
        <v>0</v>
      </c>
      <c r="O48" s="33">
        <v>0</v>
      </c>
      <c r="P48" s="33">
        <v>0</v>
      </c>
      <c r="Q48" s="33">
        <v>0</v>
      </c>
      <c r="R48" s="33">
        <v>0</v>
      </c>
      <c r="S48" s="33">
        <v>0</v>
      </c>
      <c r="T48" s="33">
        <v>0</v>
      </c>
      <c r="U48" s="33">
        <v>0</v>
      </c>
      <c r="V48" s="33">
        <v>0</v>
      </c>
      <c r="W48" s="33">
        <v>0</v>
      </c>
      <c r="X48" s="33">
        <v>0</v>
      </c>
      <c r="Y48" s="33">
        <v>0</v>
      </c>
      <c r="Z48" s="33">
        <v>0</v>
      </c>
      <c r="AA48" s="33">
        <v>0</v>
      </c>
      <c r="AB48" s="33">
        <v>0</v>
      </c>
      <c r="AC48" s="33">
        <v>0</v>
      </c>
      <c r="AD48" s="33">
        <v>0</v>
      </c>
      <c r="AE48" s="33">
        <v>0</v>
      </c>
      <c r="AF48" s="33">
        <v>0</v>
      </c>
      <c r="AG48" s="33">
        <v>0</v>
      </c>
      <c r="AH48" s="33">
        <v>0</v>
      </c>
      <c r="AI48" s="33">
        <v>0</v>
      </c>
      <c r="AJ48" s="34">
        <v>0</v>
      </c>
      <c r="AK48" s="34">
        <v>0</v>
      </c>
      <c r="AL48" s="34">
        <v>0</v>
      </c>
      <c r="AM48" s="34">
        <v>0</v>
      </c>
      <c r="AN48" s="34">
        <v>0</v>
      </c>
      <c r="AO48" s="34">
        <v>0</v>
      </c>
      <c r="AP48" s="34">
        <v>0</v>
      </c>
      <c r="AQ48" s="34">
        <v>0</v>
      </c>
      <c r="AR48" s="34">
        <v>0</v>
      </c>
      <c r="AS48" s="34">
        <v>0</v>
      </c>
      <c r="AT48" s="34">
        <v>0</v>
      </c>
      <c r="AU48" s="34">
        <v>0</v>
      </c>
      <c r="AV48" s="172">
        <v>1</v>
      </c>
      <c r="AW48" s="173">
        <v>3</v>
      </c>
      <c r="AX48" s="34">
        <v>0</v>
      </c>
      <c r="AY48" s="34">
        <v>0</v>
      </c>
      <c r="AZ48" s="34">
        <v>0</v>
      </c>
      <c r="BA48" s="34">
        <v>0</v>
      </c>
      <c r="BB48" s="34">
        <v>0</v>
      </c>
      <c r="BC48" s="34">
        <v>0</v>
      </c>
      <c r="BD48" s="34">
        <v>0</v>
      </c>
      <c r="BE48" s="34">
        <v>0</v>
      </c>
      <c r="BF48" s="34">
        <v>0</v>
      </c>
      <c r="BG48" s="34">
        <v>0</v>
      </c>
      <c r="BH48" s="34">
        <v>0</v>
      </c>
      <c r="BI48" s="34">
        <v>0</v>
      </c>
      <c r="BJ48" s="34">
        <v>0</v>
      </c>
      <c r="BK48" s="34">
        <v>0</v>
      </c>
      <c r="BL48" s="34">
        <v>0</v>
      </c>
      <c r="BM48" s="178">
        <v>1</v>
      </c>
      <c r="BN48" s="137">
        <v>0</v>
      </c>
      <c r="BO48" s="137">
        <v>0</v>
      </c>
      <c r="BP48" s="137">
        <v>0</v>
      </c>
      <c r="BQ48" s="137">
        <v>0</v>
      </c>
      <c r="BR48" s="179">
        <v>1</v>
      </c>
      <c r="BS48" s="138">
        <v>0</v>
      </c>
      <c r="BT48" s="138">
        <v>0</v>
      </c>
      <c r="BU48" s="138">
        <v>0</v>
      </c>
      <c r="BV48" s="138">
        <v>0</v>
      </c>
      <c r="BW48" s="137">
        <v>0</v>
      </c>
      <c r="BX48" s="137">
        <v>0</v>
      </c>
      <c r="BY48" s="137">
        <v>0</v>
      </c>
      <c r="BZ48" s="137">
        <v>0</v>
      </c>
      <c r="CA48" s="137">
        <v>0</v>
      </c>
      <c r="CB48" s="137">
        <v>0</v>
      </c>
      <c r="CC48" s="137">
        <v>0</v>
      </c>
      <c r="CD48" s="137">
        <v>0</v>
      </c>
      <c r="CE48" s="138">
        <v>0</v>
      </c>
      <c r="CF48" s="137">
        <v>0</v>
      </c>
      <c r="CG48" s="137">
        <v>0</v>
      </c>
      <c r="CH48" s="139">
        <v>0</v>
      </c>
      <c r="CI48" s="139">
        <v>0</v>
      </c>
      <c r="CJ48" s="137">
        <v>0</v>
      </c>
      <c r="CK48" s="137">
        <v>0</v>
      </c>
      <c r="CL48" s="137">
        <v>0</v>
      </c>
      <c r="CM48" s="137">
        <v>0</v>
      </c>
      <c r="CN48" s="137">
        <v>0</v>
      </c>
      <c r="CO48" s="137">
        <v>0</v>
      </c>
      <c r="CP48" s="137">
        <v>0</v>
      </c>
      <c r="CQ48" s="137">
        <v>0</v>
      </c>
      <c r="CR48" s="137">
        <v>0</v>
      </c>
      <c r="CS48" s="34">
        <v>0</v>
      </c>
      <c r="CT48" s="34">
        <v>0</v>
      </c>
      <c r="CU48" s="34">
        <v>0</v>
      </c>
      <c r="CV48" s="34">
        <v>0</v>
      </c>
      <c r="CW48" s="42">
        <v>0</v>
      </c>
      <c r="CX48" s="34">
        <v>0</v>
      </c>
      <c r="CY48" s="137">
        <v>0</v>
      </c>
      <c r="CZ48" s="34">
        <v>0</v>
      </c>
      <c r="DA48" s="34">
        <v>0</v>
      </c>
      <c r="DB48" s="34">
        <v>0</v>
      </c>
      <c r="DC48" s="34">
        <v>0</v>
      </c>
      <c r="DD48" s="34">
        <v>0</v>
      </c>
      <c r="DE48" s="34">
        <v>0</v>
      </c>
      <c r="DF48" s="34">
        <v>0</v>
      </c>
      <c r="DG48" s="34">
        <v>0</v>
      </c>
      <c r="DH48" s="42">
        <v>0</v>
      </c>
      <c r="DI48" s="34">
        <v>0</v>
      </c>
      <c r="DJ48" s="194">
        <v>2</v>
      </c>
      <c r="DK48" s="194">
        <v>2</v>
      </c>
      <c r="DL48" s="34">
        <v>0</v>
      </c>
      <c r="DM48" s="194">
        <v>3</v>
      </c>
      <c r="DN48" s="194">
        <v>0</v>
      </c>
      <c r="DO48" s="194">
        <v>0</v>
      </c>
      <c r="DP48" s="173">
        <v>0</v>
      </c>
      <c r="DQ48" s="173">
        <v>0</v>
      </c>
      <c r="DR48" s="173">
        <v>0</v>
      </c>
      <c r="DS48" s="173">
        <v>0</v>
      </c>
      <c r="DT48" s="174">
        <v>0</v>
      </c>
      <c r="DU48" s="174">
        <v>0</v>
      </c>
      <c r="DV48" s="174">
        <v>0</v>
      </c>
      <c r="DW48" s="174">
        <v>0</v>
      </c>
      <c r="DX48" s="174">
        <v>0</v>
      </c>
      <c r="DY48" s="174">
        <v>0</v>
      </c>
      <c r="DZ48" s="174">
        <v>0</v>
      </c>
      <c r="EA48" s="174">
        <v>0</v>
      </c>
      <c r="EB48" s="174">
        <v>0</v>
      </c>
      <c r="EC48" s="174">
        <v>0</v>
      </c>
      <c r="ED48" s="174">
        <v>0</v>
      </c>
      <c r="EE48" s="174">
        <v>0</v>
      </c>
      <c r="EF48" s="174">
        <v>0</v>
      </c>
      <c r="EG48" s="174">
        <v>0</v>
      </c>
      <c r="EH48" s="150">
        <f t="shared" si="15"/>
        <v>7</v>
      </c>
      <c r="EI48" s="208">
        <f t="shared" si="16"/>
        <v>13</v>
      </c>
      <c r="EJ48" s="150">
        <f t="shared" si="17"/>
        <v>13</v>
      </c>
      <c r="EK48" s="347">
        <f t="shared" si="2"/>
        <v>3</v>
      </c>
      <c r="EL48" s="287">
        <f t="shared" si="3"/>
        <v>0</v>
      </c>
      <c r="EM48" s="151">
        <f t="shared" si="19"/>
        <v>0</v>
      </c>
      <c r="EN48" s="153">
        <f t="shared" si="20"/>
        <v>0</v>
      </c>
      <c r="EO48" s="153">
        <f t="shared" si="21"/>
        <v>0</v>
      </c>
      <c r="EP48" s="152">
        <f t="shared" si="22"/>
        <v>4</v>
      </c>
      <c r="EQ48" s="152">
        <f t="shared" si="23"/>
        <v>2</v>
      </c>
      <c r="ER48" s="150">
        <f t="shared" si="9"/>
        <v>0</v>
      </c>
      <c r="ES48" s="152">
        <f t="shared" si="10"/>
        <v>7</v>
      </c>
      <c r="ET48" s="152">
        <f t="shared" si="18"/>
        <v>0</v>
      </c>
      <c r="EU48" s="57">
        <f t="shared" si="11"/>
        <v>1</v>
      </c>
      <c r="EV48" s="12">
        <f t="shared" si="12"/>
        <v>0</v>
      </c>
      <c r="EW48" s="259">
        <v>0</v>
      </c>
      <c r="EX48" s="12">
        <f t="shared" si="13"/>
        <v>6</v>
      </c>
      <c r="EY48" s="131">
        <f t="shared" si="14"/>
        <v>10</v>
      </c>
      <c r="EZ48" s="216">
        <v>0</v>
      </c>
    </row>
    <row r="49" spans="1:156" ht="30" customHeight="1" x14ac:dyDescent="0.25">
      <c r="A49" s="83" t="s">
        <v>93</v>
      </c>
      <c r="B49" s="83" t="s">
        <v>52</v>
      </c>
      <c r="C49" s="189">
        <v>0</v>
      </c>
      <c r="D49" s="33">
        <v>0</v>
      </c>
      <c r="E49" s="33">
        <v>0</v>
      </c>
      <c r="F49" s="33">
        <v>0</v>
      </c>
      <c r="G49" s="33">
        <v>0</v>
      </c>
      <c r="H49" s="33">
        <v>0</v>
      </c>
      <c r="I49" s="33">
        <v>0</v>
      </c>
      <c r="J49" s="33">
        <v>0</v>
      </c>
      <c r="K49" s="33">
        <v>0</v>
      </c>
      <c r="L49" s="33">
        <v>0</v>
      </c>
      <c r="M49" s="33">
        <v>0</v>
      </c>
      <c r="N49" s="33">
        <v>0</v>
      </c>
      <c r="O49" s="33">
        <v>0</v>
      </c>
      <c r="P49" s="33">
        <v>0</v>
      </c>
      <c r="Q49" s="33">
        <v>0</v>
      </c>
      <c r="R49" s="33">
        <v>0</v>
      </c>
      <c r="S49" s="33">
        <v>0</v>
      </c>
      <c r="T49" s="33">
        <v>0</v>
      </c>
      <c r="U49" s="33">
        <v>0</v>
      </c>
      <c r="V49" s="33">
        <v>0</v>
      </c>
      <c r="W49" s="33">
        <v>0</v>
      </c>
      <c r="X49" s="33">
        <v>0</v>
      </c>
      <c r="Y49" s="33">
        <v>0</v>
      </c>
      <c r="Z49" s="33">
        <v>0</v>
      </c>
      <c r="AA49" s="33">
        <v>0</v>
      </c>
      <c r="AB49" s="33">
        <v>0</v>
      </c>
      <c r="AC49" s="33">
        <v>0</v>
      </c>
      <c r="AD49" s="33">
        <v>0</v>
      </c>
      <c r="AE49" s="33">
        <v>0</v>
      </c>
      <c r="AF49" s="33">
        <v>0</v>
      </c>
      <c r="AG49" s="33">
        <v>0</v>
      </c>
      <c r="AH49" s="33">
        <v>0</v>
      </c>
      <c r="AI49" s="33">
        <v>0</v>
      </c>
      <c r="AJ49" s="34">
        <v>0</v>
      </c>
      <c r="AK49" s="34">
        <v>0</v>
      </c>
      <c r="AL49" s="34">
        <v>0</v>
      </c>
      <c r="AM49" s="34">
        <v>0</v>
      </c>
      <c r="AN49" s="34">
        <v>0</v>
      </c>
      <c r="AO49" s="34">
        <v>0</v>
      </c>
      <c r="AP49" s="34">
        <v>0</v>
      </c>
      <c r="AQ49" s="34">
        <v>0</v>
      </c>
      <c r="AR49" s="34">
        <v>0</v>
      </c>
      <c r="AS49" s="34">
        <v>0</v>
      </c>
      <c r="AT49" s="34">
        <v>0</v>
      </c>
      <c r="AU49" s="34">
        <v>0</v>
      </c>
      <c r="AV49" s="172">
        <v>59</v>
      </c>
      <c r="AW49" s="173">
        <v>186</v>
      </c>
      <c r="AX49" s="34">
        <v>0</v>
      </c>
      <c r="AY49" s="34">
        <v>0</v>
      </c>
      <c r="AZ49" s="34">
        <v>0</v>
      </c>
      <c r="BA49" s="34">
        <v>0</v>
      </c>
      <c r="BB49" s="34">
        <v>0</v>
      </c>
      <c r="BC49" s="34">
        <v>0</v>
      </c>
      <c r="BD49" s="34">
        <v>0</v>
      </c>
      <c r="BE49" s="34">
        <v>0</v>
      </c>
      <c r="BF49" s="34">
        <v>0</v>
      </c>
      <c r="BG49" s="34">
        <v>0</v>
      </c>
      <c r="BH49" s="34">
        <v>0</v>
      </c>
      <c r="BI49" s="34">
        <v>0</v>
      </c>
      <c r="BJ49" s="34">
        <v>0</v>
      </c>
      <c r="BK49" s="34">
        <v>0</v>
      </c>
      <c r="BL49" s="34">
        <v>0</v>
      </c>
      <c r="BM49" s="178">
        <v>82</v>
      </c>
      <c r="BN49" s="137">
        <v>0</v>
      </c>
      <c r="BO49" s="137">
        <v>0</v>
      </c>
      <c r="BP49" s="137">
        <v>0</v>
      </c>
      <c r="BQ49" s="137">
        <v>0</v>
      </c>
      <c r="BR49" s="179">
        <v>368</v>
      </c>
      <c r="BS49" s="138">
        <v>0</v>
      </c>
      <c r="BT49" s="138">
        <v>0</v>
      </c>
      <c r="BU49" s="138">
        <v>0</v>
      </c>
      <c r="BV49" s="138">
        <v>0</v>
      </c>
      <c r="BW49" s="137">
        <v>0</v>
      </c>
      <c r="BX49" s="137">
        <v>0</v>
      </c>
      <c r="BY49" s="137">
        <v>0</v>
      </c>
      <c r="BZ49" s="137">
        <v>0</v>
      </c>
      <c r="CA49" s="137">
        <v>0</v>
      </c>
      <c r="CB49" s="137">
        <v>0</v>
      </c>
      <c r="CC49" s="137">
        <v>0</v>
      </c>
      <c r="CD49" s="137">
        <v>0</v>
      </c>
      <c r="CE49" s="138">
        <v>0</v>
      </c>
      <c r="CF49" s="137">
        <v>0</v>
      </c>
      <c r="CG49" s="137">
        <v>0</v>
      </c>
      <c r="CH49" s="139">
        <v>0</v>
      </c>
      <c r="CI49" s="139">
        <v>0</v>
      </c>
      <c r="CJ49" s="137">
        <v>0</v>
      </c>
      <c r="CK49" s="137">
        <v>0</v>
      </c>
      <c r="CL49" s="137">
        <v>0</v>
      </c>
      <c r="CM49" s="137">
        <v>0</v>
      </c>
      <c r="CN49" s="137">
        <v>0</v>
      </c>
      <c r="CO49" s="137">
        <v>0</v>
      </c>
      <c r="CP49" s="137">
        <v>0</v>
      </c>
      <c r="CQ49" s="137">
        <v>0</v>
      </c>
      <c r="CR49" s="137">
        <v>0</v>
      </c>
      <c r="CS49" s="34">
        <v>0</v>
      </c>
      <c r="CT49" s="34">
        <v>0</v>
      </c>
      <c r="CU49" s="34">
        <v>0</v>
      </c>
      <c r="CV49" s="34">
        <v>0</v>
      </c>
      <c r="CW49" s="42">
        <v>0</v>
      </c>
      <c r="CX49" s="34">
        <v>0</v>
      </c>
      <c r="CY49" s="137">
        <v>0</v>
      </c>
      <c r="CZ49" s="34">
        <v>0</v>
      </c>
      <c r="DA49" s="34">
        <v>0</v>
      </c>
      <c r="DB49" s="34">
        <v>0</v>
      </c>
      <c r="DC49" s="34">
        <v>0</v>
      </c>
      <c r="DD49" s="34">
        <v>0</v>
      </c>
      <c r="DE49" s="34">
        <v>0</v>
      </c>
      <c r="DF49" s="34">
        <v>0</v>
      </c>
      <c r="DG49" s="34">
        <v>0</v>
      </c>
      <c r="DH49" s="42">
        <v>0</v>
      </c>
      <c r="DI49" s="34">
        <v>0</v>
      </c>
      <c r="DJ49" s="194">
        <v>59</v>
      </c>
      <c r="DK49" s="194">
        <v>93</v>
      </c>
      <c r="DL49" s="34">
        <v>0</v>
      </c>
      <c r="DM49" s="194">
        <v>187</v>
      </c>
      <c r="DN49" s="194">
        <v>0</v>
      </c>
      <c r="DO49" s="194">
        <v>0</v>
      </c>
      <c r="DP49" s="173">
        <v>0</v>
      </c>
      <c r="DQ49" s="173">
        <v>0</v>
      </c>
      <c r="DR49" s="173">
        <v>0</v>
      </c>
      <c r="DS49" s="173">
        <v>0</v>
      </c>
      <c r="DT49" s="174">
        <v>0</v>
      </c>
      <c r="DU49" s="174">
        <v>0</v>
      </c>
      <c r="DV49" s="174">
        <v>0</v>
      </c>
      <c r="DW49" s="174">
        <v>0</v>
      </c>
      <c r="DX49" s="174">
        <v>0</v>
      </c>
      <c r="DY49" s="174">
        <v>0</v>
      </c>
      <c r="DZ49" s="174">
        <v>0</v>
      </c>
      <c r="EA49" s="174">
        <v>0</v>
      </c>
      <c r="EB49" s="174">
        <v>0</v>
      </c>
      <c r="EC49" s="174">
        <v>0</v>
      </c>
      <c r="ED49" s="174">
        <v>0</v>
      </c>
      <c r="EE49" s="174">
        <v>0</v>
      </c>
      <c r="EF49" s="174">
        <v>0</v>
      </c>
      <c r="EG49" s="174">
        <v>0</v>
      </c>
      <c r="EH49" s="150">
        <f t="shared" si="15"/>
        <v>339</v>
      </c>
      <c r="EI49" s="208">
        <f t="shared" si="16"/>
        <v>1034</v>
      </c>
      <c r="EJ49" s="150">
        <f t="shared" si="17"/>
        <v>1034</v>
      </c>
      <c r="EK49" s="347">
        <f t="shared" si="2"/>
        <v>187</v>
      </c>
      <c r="EL49" s="287">
        <f t="shared" si="3"/>
        <v>0</v>
      </c>
      <c r="EM49" s="151">
        <f t="shared" si="19"/>
        <v>0</v>
      </c>
      <c r="EN49" s="153">
        <f t="shared" si="20"/>
        <v>0</v>
      </c>
      <c r="EO49" s="153">
        <f t="shared" si="21"/>
        <v>0</v>
      </c>
      <c r="EP49" s="152">
        <f t="shared" si="22"/>
        <v>245</v>
      </c>
      <c r="EQ49" s="152">
        <f t="shared" si="23"/>
        <v>450</v>
      </c>
      <c r="ER49" s="150">
        <f t="shared" si="9"/>
        <v>0</v>
      </c>
      <c r="ES49" s="152">
        <f t="shared" si="10"/>
        <v>339</v>
      </c>
      <c r="ET49" s="152">
        <f t="shared" si="18"/>
        <v>0</v>
      </c>
      <c r="EU49" s="57">
        <f t="shared" si="11"/>
        <v>368</v>
      </c>
      <c r="EV49" s="12">
        <f t="shared" si="12"/>
        <v>0</v>
      </c>
      <c r="EW49" s="259">
        <v>0</v>
      </c>
      <c r="EX49" s="12">
        <f t="shared" si="13"/>
        <v>695</v>
      </c>
      <c r="EY49" s="131">
        <f t="shared" si="14"/>
        <v>847</v>
      </c>
      <c r="EZ49" s="216">
        <v>0</v>
      </c>
    </row>
    <row r="50" spans="1:156" s="142" customFormat="1" ht="42.75" customHeight="1" x14ac:dyDescent="0.25">
      <c r="A50" s="234" t="s">
        <v>50</v>
      </c>
      <c r="B50" s="234" t="s">
        <v>51</v>
      </c>
      <c r="C50" s="233">
        <v>0</v>
      </c>
      <c r="D50" s="136">
        <v>0</v>
      </c>
      <c r="E50" s="136">
        <v>0</v>
      </c>
      <c r="F50" s="136">
        <v>0</v>
      </c>
      <c r="G50" s="136">
        <v>0</v>
      </c>
      <c r="H50" s="136">
        <v>0</v>
      </c>
      <c r="I50" s="136">
        <v>0</v>
      </c>
      <c r="J50" s="136">
        <v>0</v>
      </c>
      <c r="K50" s="136">
        <v>0</v>
      </c>
      <c r="L50" s="136">
        <v>0</v>
      </c>
      <c r="M50" s="136">
        <v>0</v>
      </c>
      <c r="N50" s="136">
        <v>0</v>
      </c>
      <c r="O50" s="136">
        <v>0</v>
      </c>
      <c r="P50" s="136">
        <v>0</v>
      </c>
      <c r="Q50" s="136">
        <v>0</v>
      </c>
      <c r="R50" s="136">
        <v>0</v>
      </c>
      <c r="S50" s="136">
        <v>0</v>
      </c>
      <c r="T50" s="136">
        <v>0</v>
      </c>
      <c r="U50" s="136">
        <v>0</v>
      </c>
      <c r="V50" s="136">
        <v>0</v>
      </c>
      <c r="W50" s="136">
        <v>0</v>
      </c>
      <c r="X50" s="136">
        <v>0</v>
      </c>
      <c r="Y50" s="136">
        <v>0</v>
      </c>
      <c r="Z50" s="136">
        <v>0</v>
      </c>
      <c r="AA50" s="136">
        <v>0</v>
      </c>
      <c r="AB50" s="136">
        <v>0</v>
      </c>
      <c r="AC50" s="136">
        <v>0</v>
      </c>
      <c r="AD50" s="136">
        <v>0</v>
      </c>
      <c r="AE50" s="136">
        <v>2</v>
      </c>
      <c r="AF50" s="136">
        <v>1</v>
      </c>
      <c r="AG50" s="136">
        <v>1</v>
      </c>
      <c r="AH50" s="136">
        <v>0</v>
      </c>
      <c r="AI50" s="136">
        <v>0</v>
      </c>
      <c r="AJ50" s="137">
        <v>0</v>
      </c>
      <c r="AK50" s="137">
        <v>1</v>
      </c>
      <c r="AL50" s="137">
        <v>1</v>
      </c>
      <c r="AM50" s="137">
        <v>0</v>
      </c>
      <c r="AN50" s="137">
        <v>0</v>
      </c>
      <c r="AO50" s="137">
        <v>1</v>
      </c>
      <c r="AP50" s="137">
        <v>0</v>
      </c>
      <c r="AQ50" s="137">
        <v>0</v>
      </c>
      <c r="AR50" s="137">
        <v>3</v>
      </c>
      <c r="AS50" s="137">
        <v>2</v>
      </c>
      <c r="AT50" s="137">
        <v>2</v>
      </c>
      <c r="AU50" s="137">
        <v>0</v>
      </c>
      <c r="AV50" s="137">
        <v>1</v>
      </c>
      <c r="AW50" s="137">
        <v>0</v>
      </c>
      <c r="AX50" s="137">
        <v>1</v>
      </c>
      <c r="AY50" s="137">
        <v>0</v>
      </c>
      <c r="AZ50" s="137">
        <v>0</v>
      </c>
      <c r="BA50" s="137">
        <v>0</v>
      </c>
      <c r="BB50" s="137">
        <v>0</v>
      </c>
      <c r="BC50" s="137">
        <v>0</v>
      </c>
      <c r="BD50" s="137">
        <v>0</v>
      </c>
      <c r="BE50" s="137">
        <v>0</v>
      </c>
      <c r="BF50" s="137">
        <v>1</v>
      </c>
      <c r="BG50" s="137">
        <v>0</v>
      </c>
      <c r="BH50" s="137">
        <v>0</v>
      </c>
      <c r="BI50" s="137">
        <v>0</v>
      </c>
      <c r="BJ50" s="137">
        <v>0</v>
      </c>
      <c r="BK50" s="137">
        <v>2</v>
      </c>
      <c r="BL50" s="137">
        <v>0</v>
      </c>
      <c r="BM50" s="137">
        <v>0</v>
      </c>
      <c r="BN50" s="137">
        <v>0</v>
      </c>
      <c r="BO50" s="137">
        <v>0</v>
      </c>
      <c r="BP50" s="137">
        <v>0</v>
      </c>
      <c r="BQ50" s="137">
        <v>0</v>
      </c>
      <c r="BR50" s="138">
        <v>0</v>
      </c>
      <c r="BS50" s="138">
        <v>1</v>
      </c>
      <c r="BT50" s="138">
        <v>0</v>
      </c>
      <c r="BU50" s="138">
        <v>0</v>
      </c>
      <c r="BV50" s="138">
        <v>0</v>
      </c>
      <c r="BW50" s="137">
        <v>0</v>
      </c>
      <c r="BX50" s="137">
        <v>0</v>
      </c>
      <c r="BY50" s="137">
        <v>0</v>
      </c>
      <c r="BZ50" s="137">
        <v>0</v>
      </c>
      <c r="CA50" s="137">
        <v>0</v>
      </c>
      <c r="CB50" s="137">
        <v>0</v>
      </c>
      <c r="CC50" s="137">
        <v>0</v>
      </c>
      <c r="CD50" s="137">
        <v>0</v>
      </c>
      <c r="CE50" s="138">
        <v>1</v>
      </c>
      <c r="CF50" s="137">
        <v>0</v>
      </c>
      <c r="CG50" s="137">
        <v>0</v>
      </c>
      <c r="CH50" s="139">
        <v>0</v>
      </c>
      <c r="CI50" s="139">
        <v>0</v>
      </c>
      <c r="CJ50" s="137">
        <v>0</v>
      </c>
      <c r="CK50" s="137">
        <v>0</v>
      </c>
      <c r="CL50" s="137">
        <v>0</v>
      </c>
      <c r="CM50" s="137">
        <v>1</v>
      </c>
      <c r="CN50" s="137">
        <v>0</v>
      </c>
      <c r="CO50" s="137">
        <v>0</v>
      </c>
      <c r="CP50" s="137">
        <v>0</v>
      </c>
      <c r="CQ50" s="137">
        <v>0</v>
      </c>
      <c r="CR50" s="137">
        <v>0</v>
      </c>
      <c r="CS50" s="137">
        <v>0</v>
      </c>
      <c r="CT50" s="137">
        <v>0</v>
      </c>
      <c r="CU50" s="137">
        <v>0</v>
      </c>
      <c r="CV50" s="137">
        <v>0</v>
      </c>
      <c r="CW50" s="138">
        <v>3</v>
      </c>
      <c r="CX50" s="137">
        <v>0</v>
      </c>
      <c r="CY50" s="137">
        <v>0</v>
      </c>
      <c r="CZ50" s="137">
        <v>0</v>
      </c>
      <c r="DA50" s="137">
        <v>2</v>
      </c>
      <c r="DB50" s="137">
        <v>2</v>
      </c>
      <c r="DC50" s="137">
        <v>0</v>
      </c>
      <c r="DD50" s="137">
        <v>0</v>
      </c>
      <c r="DE50" s="137">
        <v>0</v>
      </c>
      <c r="DF50" s="137">
        <v>0</v>
      </c>
      <c r="DG50" s="137">
        <v>0</v>
      </c>
      <c r="DH50" s="138">
        <v>0</v>
      </c>
      <c r="DI50" s="137">
        <v>0</v>
      </c>
      <c r="DJ50" s="137">
        <v>2</v>
      </c>
      <c r="DK50" s="137">
        <v>2</v>
      </c>
      <c r="DL50" s="137">
        <v>0</v>
      </c>
      <c r="DM50" s="137">
        <v>0</v>
      </c>
      <c r="DN50" s="137">
        <v>0</v>
      </c>
      <c r="DO50" s="137">
        <v>0</v>
      </c>
      <c r="DP50" s="137">
        <v>0</v>
      </c>
      <c r="DQ50" s="137">
        <v>0</v>
      </c>
      <c r="DR50" s="137">
        <v>0</v>
      </c>
      <c r="DS50" s="137">
        <v>0</v>
      </c>
      <c r="DT50" s="138">
        <v>0</v>
      </c>
      <c r="DU50" s="138">
        <v>0</v>
      </c>
      <c r="DV50" s="138">
        <v>0</v>
      </c>
      <c r="DW50" s="138">
        <v>0</v>
      </c>
      <c r="DX50" s="138">
        <v>0</v>
      </c>
      <c r="DY50" s="138">
        <v>0</v>
      </c>
      <c r="DZ50" s="138">
        <v>0</v>
      </c>
      <c r="EA50" s="138">
        <v>0</v>
      </c>
      <c r="EB50" s="138">
        <v>0</v>
      </c>
      <c r="EC50" s="138">
        <v>0</v>
      </c>
      <c r="ED50" s="138">
        <v>0</v>
      </c>
      <c r="EE50" s="138">
        <v>0</v>
      </c>
      <c r="EF50" s="138">
        <v>0</v>
      </c>
      <c r="EG50" s="138">
        <v>0</v>
      </c>
      <c r="EH50" s="150">
        <f t="shared" si="15"/>
        <v>11</v>
      </c>
      <c r="EI50" s="208">
        <f t="shared" si="16"/>
        <v>33</v>
      </c>
      <c r="EJ50" s="150">
        <f t="shared" si="17"/>
        <v>33</v>
      </c>
      <c r="EK50" s="347">
        <f t="shared" si="2"/>
        <v>0</v>
      </c>
      <c r="EL50" s="288">
        <f t="shared" si="3"/>
        <v>0</v>
      </c>
      <c r="EM50" s="157">
        <f t="shared" si="19"/>
        <v>0</v>
      </c>
      <c r="EN50" s="158">
        <f t="shared" si="20"/>
        <v>0</v>
      </c>
      <c r="EO50" s="158">
        <f t="shared" si="21"/>
        <v>6</v>
      </c>
      <c r="EP50" s="159">
        <f t="shared" si="22"/>
        <v>10</v>
      </c>
      <c r="EQ50" s="159">
        <f t="shared" si="23"/>
        <v>4</v>
      </c>
      <c r="ER50" s="150">
        <f t="shared" si="9"/>
        <v>2</v>
      </c>
      <c r="ES50" s="152">
        <f t="shared" si="10"/>
        <v>11</v>
      </c>
      <c r="ET50" s="152">
        <f t="shared" si="18"/>
        <v>0</v>
      </c>
      <c r="EU50" s="141">
        <f t="shared" si="11"/>
        <v>2</v>
      </c>
      <c r="EV50" s="12">
        <f t="shared" si="12"/>
        <v>2</v>
      </c>
      <c r="EW50" s="259">
        <v>0</v>
      </c>
      <c r="EX50" s="140">
        <f t="shared" si="13"/>
        <v>22</v>
      </c>
      <c r="EY50" s="143">
        <f t="shared" si="14"/>
        <v>33</v>
      </c>
      <c r="EZ50" s="142">
        <v>0</v>
      </c>
    </row>
    <row r="51" spans="1:156" s="142" customFormat="1" ht="60" x14ac:dyDescent="0.25">
      <c r="A51" s="237" t="s">
        <v>50</v>
      </c>
      <c r="B51" s="237" t="s">
        <v>52</v>
      </c>
      <c r="C51" s="233">
        <v>0</v>
      </c>
      <c r="D51" s="136">
        <v>0</v>
      </c>
      <c r="E51" s="136">
        <v>0</v>
      </c>
      <c r="F51" s="136">
        <v>0</v>
      </c>
      <c r="G51" s="136">
        <v>0</v>
      </c>
      <c r="H51" s="136">
        <v>0</v>
      </c>
      <c r="I51" s="136">
        <v>0</v>
      </c>
      <c r="J51" s="136">
        <v>0</v>
      </c>
      <c r="K51" s="136">
        <v>0</v>
      </c>
      <c r="L51" s="136">
        <v>0</v>
      </c>
      <c r="M51" s="136">
        <v>0</v>
      </c>
      <c r="N51" s="136">
        <v>0</v>
      </c>
      <c r="O51" s="136">
        <v>0</v>
      </c>
      <c r="P51" s="136">
        <v>0</v>
      </c>
      <c r="Q51" s="136">
        <v>0</v>
      </c>
      <c r="R51" s="136">
        <v>0</v>
      </c>
      <c r="S51" s="136">
        <v>0</v>
      </c>
      <c r="T51" s="136">
        <v>0</v>
      </c>
      <c r="U51" s="136">
        <v>0</v>
      </c>
      <c r="V51" s="136">
        <v>0</v>
      </c>
      <c r="W51" s="136">
        <v>0</v>
      </c>
      <c r="X51" s="136">
        <v>0</v>
      </c>
      <c r="Y51" s="136">
        <v>0</v>
      </c>
      <c r="Z51" s="136">
        <v>0</v>
      </c>
      <c r="AA51" s="136">
        <v>0</v>
      </c>
      <c r="AB51" s="136">
        <v>0</v>
      </c>
      <c r="AC51" s="136">
        <v>0</v>
      </c>
      <c r="AD51" s="136">
        <v>0</v>
      </c>
      <c r="AE51" s="136">
        <v>50</v>
      </c>
      <c r="AF51" s="136">
        <v>25</v>
      </c>
      <c r="AG51" s="136">
        <v>20</v>
      </c>
      <c r="AH51" s="136">
        <v>0</v>
      </c>
      <c r="AI51" s="136">
        <v>0</v>
      </c>
      <c r="AJ51" s="137">
        <v>0</v>
      </c>
      <c r="AK51" s="137">
        <v>39</v>
      </c>
      <c r="AL51" s="137">
        <v>20</v>
      </c>
      <c r="AM51" s="137">
        <v>0</v>
      </c>
      <c r="AN51" s="137">
        <v>0</v>
      </c>
      <c r="AO51" s="137">
        <v>80</v>
      </c>
      <c r="AP51" s="137">
        <v>0</v>
      </c>
      <c r="AQ51" s="137">
        <v>0</v>
      </c>
      <c r="AR51" s="137">
        <v>70</v>
      </c>
      <c r="AS51" s="137">
        <v>36</v>
      </c>
      <c r="AT51" s="137">
        <v>64</v>
      </c>
      <c r="AU51" s="137">
        <v>0</v>
      </c>
      <c r="AV51" s="137">
        <v>54</v>
      </c>
      <c r="AW51" s="137">
        <v>0</v>
      </c>
      <c r="AX51" s="137">
        <v>13</v>
      </c>
      <c r="AY51" s="137">
        <v>0</v>
      </c>
      <c r="AZ51" s="137">
        <v>0</v>
      </c>
      <c r="BA51" s="137">
        <v>0</v>
      </c>
      <c r="BB51" s="137">
        <v>0</v>
      </c>
      <c r="BC51" s="137">
        <v>0</v>
      </c>
      <c r="BD51" s="137">
        <v>0</v>
      </c>
      <c r="BE51" s="137">
        <v>0</v>
      </c>
      <c r="BF51" s="137">
        <v>100</v>
      </c>
      <c r="BG51" s="137">
        <v>0</v>
      </c>
      <c r="BH51" s="137">
        <v>0</v>
      </c>
      <c r="BI51" s="137">
        <v>0</v>
      </c>
      <c r="BJ51" s="137">
        <v>0</v>
      </c>
      <c r="BK51" s="137">
        <v>111</v>
      </c>
      <c r="BL51" s="137">
        <v>0</v>
      </c>
      <c r="BM51" s="137">
        <v>0</v>
      </c>
      <c r="BN51" s="137">
        <v>0</v>
      </c>
      <c r="BO51" s="137">
        <v>0</v>
      </c>
      <c r="BP51" s="137">
        <v>0</v>
      </c>
      <c r="BQ51" s="137">
        <v>0</v>
      </c>
      <c r="BR51" s="138">
        <v>0</v>
      </c>
      <c r="BS51" s="138">
        <v>35</v>
      </c>
      <c r="BT51" s="138">
        <v>0</v>
      </c>
      <c r="BU51" s="138">
        <v>0</v>
      </c>
      <c r="BV51" s="138">
        <v>0</v>
      </c>
      <c r="BW51" s="137">
        <v>0</v>
      </c>
      <c r="BX51" s="137">
        <v>0</v>
      </c>
      <c r="BY51" s="137">
        <v>0</v>
      </c>
      <c r="BZ51" s="137">
        <v>0</v>
      </c>
      <c r="CA51" s="137">
        <v>0</v>
      </c>
      <c r="CB51" s="137">
        <v>0</v>
      </c>
      <c r="CC51" s="137">
        <v>0</v>
      </c>
      <c r="CD51" s="137">
        <v>0</v>
      </c>
      <c r="CE51" s="138">
        <v>28</v>
      </c>
      <c r="CF51" s="137">
        <v>0</v>
      </c>
      <c r="CG51" s="137">
        <v>0</v>
      </c>
      <c r="CH51" s="139">
        <v>0</v>
      </c>
      <c r="CI51" s="139">
        <v>0</v>
      </c>
      <c r="CJ51" s="137">
        <v>0</v>
      </c>
      <c r="CK51" s="137">
        <v>0</v>
      </c>
      <c r="CL51" s="137">
        <v>0</v>
      </c>
      <c r="CM51" s="137">
        <v>47</v>
      </c>
      <c r="CN51" s="137">
        <v>0</v>
      </c>
      <c r="CO51" s="137">
        <v>0</v>
      </c>
      <c r="CP51" s="137">
        <v>0</v>
      </c>
      <c r="CQ51" s="137">
        <v>0</v>
      </c>
      <c r="CR51" s="137">
        <v>0</v>
      </c>
      <c r="CS51" s="137">
        <v>0</v>
      </c>
      <c r="CT51" s="137">
        <v>0</v>
      </c>
      <c r="CU51" s="137">
        <v>0</v>
      </c>
      <c r="CV51" s="137">
        <v>0</v>
      </c>
      <c r="CW51" s="138">
        <v>85</v>
      </c>
      <c r="CX51" s="137">
        <v>0</v>
      </c>
      <c r="CY51" s="137">
        <v>0</v>
      </c>
      <c r="CZ51" s="137">
        <v>0</v>
      </c>
      <c r="DA51" s="137">
        <v>16</v>
      </c>
      <c r="DB51" s="137">
        <v>4</v>
      </c>
      <c r="DC51" s="137">
        <v>0</v>
      </c>
      <c r="DD51" s="137">
        <v>0</v>
      </c>
      <c r="DE51" s="137">
        <v>0</v>
      </c>
      <c r="DF51" s="137">
        <v>0</v>
      </c>
      <c r="DG51" s="137">
        <v>0</v>
      </c>
      <c r="DH51" s="138">
        <v>0</v>
      </c>
      <c r="DI51" s="137">
        <v>0</v>
      </c>
      <c r="DJ51" s="137">
        <v>59</v>
      </c>
      <c r="DK51" s="137">
        <v>93</v>
      </c>
      <c r="DL51" s="137">
        <v>0</v>
      </c>
      <c r="DM51" s="137">
        <v>0</v>
      </c>
      <c r="DN51" s="137">
        <v>0</v>
      </c>
      <c r="DO51" s="137">
        <v>0</v>
      </c>
      <c r="DP51" s="137">
        <v>0</v>
      </c>
      <c r="DQ51" s="137">
        <v>0</v>
      </c>
      <c r="DR51" s="137">
        <v>0</v>
      </c>
      <c r="DS51" s="137">
        <v>0</v>
      </c>
      <c r="DT51" s="138">
        <v>0</v>
      </c>
      <c r="DU51" s="138">
        <v>0</v>
      </c>
      <c r="DV51" s="138">
        <v>0</v>
      </c>
      <c r="DW51" s="138">
        <v>0</v>
      </c>
      <c r="DX51" s="138">
        <v>0</v>
      </c>
      <c r="DY51" s="138">
        <v>0</v>
      </c>
      <c r="DZ51" s="138">
        <v>0</v>
      </c>
      <c r="EA51" s="138">
        <v>0</v>
      </c>
      <c r="EB51" s="138">
        <v>0</v>
      </c>
      <c r="EC51" s="138">
        <v>0</v>
      </c>
      <c r="ED51" s="300">
        <v>0</v>
      </c>
      <c r="EE51" s="138">
        <v>0</v>
      </c>
      <c r="EF51" s="300">
        <v>0</v>
      </c>
      <c r="EG51" s="138">
        <v>0</v>
      </c>
      <c r="EH51" s="150">
        <f t="shared" si="15"/>
        <v>257</v>
      </c>
      <c r="EI51" s="208">
        <f t="shared" si="16"/>
        <v>1049</v>
      </c>
      <c r="EJ51" s="150">
        <f t="shared" si="17"/>
        <v>1049</v>
      </c>
      <c r="EK51" s="347">
        <f t="shared" si="2"/>
        <v>0</v>
      </c>
      <c r="EL51" s="288">
        <f t="shared" si="3"/>
        <v>0</v>
      </c>
      <c r="EM51" s="157">
        <f t="shared" si="19"/>
        <v>0</v>
      </c>
      <c r="EN51" s="158">
        <f t="shared" si="20"/>
        <v>0</v>
      </c>
      <c r="EO51" s="158">
        <f t="shared" si="21"/>
        <v>154</v>
      </c>
      <c r="EP51" s="159">
        <f t="shared" si="22"/>
        <v>317</v>
      </c>
      <c r="EQ51" s="159">
        <f t="shared" si="23"/>
        <v>246</v>
      </c>
      <c r="ER51" s="150">
        <f t="shared" si="9"/>
        <v>75</v>
      </c>
      <c r="ES51" s="152">
        <f t="shared" si="10"/>
        <v>257</v>
      </c>
      <c r="ET51" s="152">
        <f t="shared" si="18"/>
        <v>0</v>
      </c>
      <c r="EU51" s="141">
        <f t="shared" si="11"/>
        <v>63</v>
      </c>
      <c r="EV51" s="12">
        <f t="shared" si="12"/>
        <v>75</v>
      </c>
      <c r="EW51" s="259">
        <v>0</v>
      </c>
      <c r="EX51" s="140">
        <f t="shared" si="13"/>
        <v>792</v>
      </c>
      <c r="EY51" s="143">
        <f t="shared" si="14"/>
        <v>1049</v>
      </c>
      <c r="EZ51" s="142">
        <v>0</v>
      </c>
    </row>
    <row r="52" spans="1:156" ht="45" customHeight="1" x14ac:dyDescent="0.25">
      <c r="A52" s="323" t="s">
        <v>53</v>
      </c>
      <c r="B52" s="83" t="s">
        <v>54</v>
      </c>
      <c r="C52" s="189">
        <v>2221884</v>
      </c>
      <c r="D52" s="33">
        <v>1222217</v>
      </c>
      <c r="E52" s="33">
        <v>1061542</v>
      </c>
      <c r="F52" s="33">
        <v>1112892</v>
      </c>
      <c r="G52" s="33">
        <v>1146110</v>
      </c>
      <c r="H52" s="33">
        <v>5911243</v>
      </c>
      <c r="I52" s="33">
        <v>2974069</v>
      </c>
      <c r="J52" s="33">
        <v>4167200</v>
      </c>
      <c r="K52" s="33">
        <v>7234628</v>
      </c>
      <c r="L52" s="33">
        <v>9208441</v>
      </c>
      <c r="M52" s="33">
        <v>18745033</v>
      </c>
      <c r="N52" s="33">
        <v>12391996</v>
      </c>
      <c r="O52" s="33">
        <v>16684546</v>
      </c>
      <c r="P52" s="33">
        <v>8996004</v>
      </c>
      <c r="Q52" s="33">
        <v>5527719</v>
      </c>
      <c r="R52" s="33">
        <v>6307170</v>
      </c>
      <c r="S52" s="33">
        <v>7322540</v>
      </c>
      <c r="T52" s="33">
        <v>8890616</v>
      </c>
      <c r="U52" s="33">
        <v>14600688</v>
      </c>
      <c r="V52" s="33">
        <v>23832184</v>
      </c>
      <c r="W52" s="33">
        <v>12700304</v>
      </c>
      <c r="X52" s="33">
        <v>9127384</v>
      </c>
      <c r="Y52" s="33">
        <v>17473373</v>
      </c>
      <c r="Z52" s="33">
        <v>9803379</v>
      </c>
      <c r="AA52" s="33">
        <v>13233356</v>
      </c>
      <c r="AB52" s="33">
        <v>9433880</v>
      </c>
      <c r="AC52" s="33">
        <v>10422275</v>
      </c>
      <c r="AD52" s="33">
        <v>6400473</v>
      </c>
      <c r="AE52" s="33">
        <v>6772078</v>
      </c>
      <c r="AF52" s="33">
        <v>13496251</v>
      </c>
      <c r="AG52" s="33">
        <v>13349486</v>
      </c>
      <c r="AH52" s="33">
        <v>12575504</v>
      </c>
      <c r="AI52" s="33">
        <v>21014364</v>
      </c>
      <c r="AJ52" s="34">
        <v>20168400</v>
      </c>
      <c r="AK52" s="34">
        <v>16546234</v>
      </c>
      <c r="AL52" s="34">
        <v>40911645</v>
      </c>
      <c r="AM52" s="34">
        <v>59459456</v>
      </c>
      <c r="AN52" s="34">
        <v>68419489</v>
      </c>
      <c r="AO52" s="34">
        <v>33222931</v>
      </c>
      <c r="AP52" s="34">
        <v>26767978</v>
      </c>
      <c r="AQ52" s="34">
        <v>51858480</v>
      </c>
      <c r="AR52" s="34">
        <v>58978792</v>
      </c>
      <c r="AS52" s="34">
        <v>72001536</v>
      </c>
      <c r="AT52" s="34">
        <v>67109798</v>
      </c>
      <c r="AU52" s="34">
        <v>77238131</v>
      </c>
      <c r="AV52" s="34">
        <v>105100640</v>
      </c>
      <c r="AW52" s="34">
        <v>43562323</v>
      </c>
      <c r="AX52" s="34">
        <v>23703878</v>
      </c>
      <c r="AY52" s="34">
        <v>16143026</v>
      </c>
      <c r="AZ52" s="34">
        <v>8136512</v>
      </c>
      <c r="BA52" s="34">
        <v>12578407</v>
      </c>
      <c r="BB52" s="34">
        <v>11504726</v>
      </c>
      <c r="BC52" s="34">
        <v>16977557</v>
      </c>
      <c r="BD52" s="40">
        <v>8522907</v>
      </c>
      <c r="BE52" s="40">
        <v>8638971</v>
      </c>
      <c r="BF52" s="34">
        <v>8523854</v>
      </c>
      <c r="BG52" s="34">
        <v>10359775</v>
      </c>
      <c r="BH52" s="34">
        <v>2162629</v>
      </c>
      <c r="BI52" s="34">
        <v>8247386</v>
      </c>
      <c r="BJ52" s="34">
        <v>22699000</v>
      </c>
      <c r="BK52" s="34">
        <v>22004197</v>
      </c>
      <c r="BL52" s="34">
        <v>20868352</v>
      </c>
      <c r="BM52" s="137">
        <v>28084299</v>
      </c>
      <c r="BN52" s="137">
        <v>20250851</v>
      </c>
      <c r="BO52" s="137">
        <v>21875528</v>
      </c>
      <c r="BP52" s="137">
        <v>40298638</v>
      </c>
      <c r="BQ52" s="137">
        <v>20928510</v>
      </c>
      <c r="BR52" s="138">
        <v>21776884</v>
      </c>
      <c r="BS52" s="138">
        <v>90097194</v>
      </c>
      <c r="BT52" s="138">
        <v>8514395</v>
      </c>
      <c r="BU52" s="138">
        <v>26464587</v>
      </c>
      <c r="BV52" s="138">
        <v>6605085</v>
      </c>
      <c r="BW52" s="137">
        <v>24385322</v>
      </c>
      <c r="BX52" s="137">
        <v>29323508</v>
      </c>
      <c r="BY52" s="137">
        <v>28203025</v>
      </c>
      <c r="BZ52" s="137">
        <v>18167985</v>
      </c>
      <c r="CA52" s="137">
        <v>8837459.5</v>
      </c>
      <c r="CB52" s="137">
        <v>6123840</v>
      </c>
      <c r="CC52" s="137">
        <v>0</v>
      </c>
      <c r="CD52" s="137">
        <v>801373</v>
      </c>
      <c r="CE52" s="137">
        <v>1162399</v>
      </c>
      <c r="CF52" s="137">
        <v>5188460</v>
      </c>
      <c r="CG52" s="137">
        <v>6225624</v>
      </c>
      <c r="CH52" s="139">
        <v>11559111</v>
      </c>
      <c r="CI52" s="139">
        <v>22789542</v>
      </c>
      <c r="CJ52" s="137">
        <v>30088527</v>
      </c>
      <c r="CK52" s="137">
        <v>22284029</v>
      </c>
      <c r="CL52" s="137">
        <v>21308915</v>
      </c>
      <c r="CM52" s="137">
        <v>31533550</v>
      </c>
      <c r="CN52" s="137">
        <v>15938626</v>
      </c>
      <c r="CO52" s="137">
        <v>23732254</v>
      </c>
      <c r="CP52" s="137">
        <v>10830537</v>
      </c>
      <c r="CQ52" s="137">
        <v>25100423</v>
      </c>
      <c r="CR52" s="137">
        <v>8366834</v>
      </c>
      <c r="CS52" s="34">
        <v>32299247</v>
      </c>
      <c r="CT52" s="34">
        <v>16011986</v>
      </c>
      <c r="CU52" s="34">
        <v>17568994</v>
      </c>
      <c r="CV52" s="34">
        <v>5857556</v>
      </c>
      <c r="CW52" s="42">
        <v>25672511</v>
      </c>
      <c r="CX52" s="34">
        <v>9461448</v>
      </c>
      <c r="CY52" s="137">
        <v>12865526</v>
      </c>
      <c r="CZ52" s="34">
        <v>12723748</v>
      </c>
      <c r="DA52" s="34">
        <v>15997297.5</v>
      </c>
      <c r="DB52" s="34">
        <v>20383882</v>
      </c>
      <c r="DC52" s="34">
        <v>14986375</v>
      </c>
      <c r="DD52" s="34">
        <v>19863595</v>
      </c>
      <c r="DE52" s="34">
        <v>27770416</v>
      </c>
      <c r="DF52" s="34">
        <v>25889212.5</v>
      </c>
      <c r="DG52" s="34">
        <v>34555949</v>
      </c>
      <c r="DH52" s="42">
        <v>39802221</v>
      </c>
      <c r="DI52" s="34">
        <v>30986591.5</v>
      </c>
      <c r="DJ52" s="34">
        <v>14393265.5</v>
      </c>
      <c r="DK52" s="34">
        <v>17141897</v>
      </c>
      <c r="DL52" s="34">
        <v>22658778</v>
      </c>
      <c r="DM52" s="34">
        <v>23645054</v>
      </c>
      <c r="DN52" s="34">
        <v>31352907.5</v>
      </c>
      <c r="DO52" s="34">
        <v>20584732</v>
      </c>
      <c r="DP52" s="34">
        <v>9297155.5</v>
      </c>
      <c r="DQ52" s="34">
        <v>23876160</v>
      </c>
      <c r="DR52" s="34">
        <v>15747102</v>
      </c>
      <c r="DS52" s="118">
        <v>20471803</v>
      </c>
      <c r="DT52" s="134">
        <v>12265694</v>
      </c>
      <c r="DU52" s="134">
        <v>11820643</v>
      </c>
      <c r="DV52" s="134">
        <v>15746663</v>
      </c>
      <c r="DW52" s="134">
        <v>17337656</v>
      </c>
      <c r="DX52" s="134">
        <v>16724964</v>
      </c>
      <c r="DY52" s="134">
        <v>18299079</v>
      </c>
      <c r="DZ52" s="134">
        <v>15818264</v>
      </c>
      <c r="EA52" s="134">
        <v>16988167</v>
      </c>
      <c r="EB52" s="138">
        <v>0</v>
      </c>
      <c r="EC52" s="134">
        <v>0</v>
      </c>
      <c r="ED52" s="138">
        <v>20974526</v>
      </c>
      <c r="EE52" s="134">
        <v>16361452</v>
      </c>
      <c r="EF52" s="138">
        <v>12849194</v>
      </c>
      <c r="EG52" s="134">
        <v>0</v>
      </c>
      <c r="EH52" s="150">
        <f t="shared" si="15"/>
        <v>781349506</v>
      </c>
      <c r="EI52" s="208">
        <f t="shared" si="16"/>
        <v>2335160703.5</v>
      </c>
      <c r="EJ52" s="150">
        <f t="shared" si="17"/>
        <v>2319510746.5</v>
      </c>
      <c r="EK52" s="347">
        <f t="shared" si="2"/>
        <v>342819994</v>
      </c>
      <c r="EL52" s="287">
        <f t="shared" si="3"/>
        <v>2221884</v>
      </c>
      <c r="EM52" s="151">
        <f t="shared" si="19"/>
        <v>81859917</v>
      </c>
      <c r="EN52" s="153">
        <f t="shared" si="20"/>
        <v>137814717</v>
      </c>
      <c r="EO52" s="153">
        <f t="shared" si="21"/>
        <v>230550046</v>
      </c>
      <c r="EP52" s="152">
        <f t="shared" si="22"/>
        <v>644107002</v>
      </c>
      <c r="EQ52" s="152">
        <f t="shared" si="23"/>
        <v>470505566</v>
      </c>
      <c r="ER52" s="150">
        <f t="shared" si="9"/>
        <v>393446248.5</v>
      </c>
      <c r="ES52" s="152">
        <f t="shared" si="10"/>
        <v>495985183</v>
      </c>
      <c r="ET52" s="152">
        <f t="shared" si="18"/>
        <v>125001130</v>
      </c>
      <c r="EU52" s="57">
        <f t="shared" si="11"/>
        <v>429825497.5</v>
      </c>
      <c r="EV52" s="12">
        <f t="shared" si="12"/>
        <v>302790431</v>
      </c>
      <c r="EW52" s="259">
        <v>0</v>
      </c>
      <c r="EX52" s="12">
        <f t="shared" si="13"/>
        <v>1850327359.5</v>
      </c>
      <c r="EY52" s="131">
        <f t="shared" si="14"/>
        <v>2284351228.5</v>
      </c>
      <c r="EZ52" s="142">
        <v>0</v>
      </c>
    </row>
    <row r="53" spans="1:156" ht="45" customHeight="1" x14ac:dyDescent="0.25">
      <c r="A53" s="323"/>
      <c r="B53" s="237" t="s">
        <v>55</v>
      </c>
      <c r="C53" s="189">
        <v>0</v>
      </c>
      <c r="D53" s="33">
        <v>20</v>
      </c>
      <c r="E53" s="33">
        <v>2983</v>
      </c>
      <c r="F53" s="33">
        <v>11127</v>
      </c>
      <c r="G53" s="33">
        <v>12529</v>
      </c>
      <c r="H53" s="33">
        <v>15483</v>
      </c>
      <c r="I53" s="33">
        <v>23983</v>
      </c>
      <c r="J53" s="33">
        <v>8975</v>
      </c>
      <c r="K53" s="33">
        <v>4339</v>
      </c>
      <c r="L53" s="33">
        <v>2380</v>
      </c>
      <c r="M53" s="33">
        <v>17643</v>
      </c>
      <c r="N53" s="33">
        <v>41934</v>
      </c>
      <c r="O53" s="33">
        <v>14270</v>
      </c>
      <c r="P53" s="33">
        <v>2402</v>
      </c>
      <c r="Q53" s="33">
        <v>4340</v>
      </c>
      <c r="R53" s="33">
        <v>4266</v>
      </c>
      <c r="S53" s="33">
        <v>433</v>
      </c>
      <c r="T53" s="33">
        <v>6910</v>
      </c>
      <c r="U53" s="33">
        <v>29609</v>
      </c>
      <c r="V53" s="33">
        <v>1595</v>
      </c>
      <c r="W53" s="33">
        <v>503</v>
      </c>
      <c r="X53" s="33">
        <v>120</v>
      </c>
      <c r="Y53" s="33">
        <v>6794</v>
      </c>
      <c r="Z53" s="33">
        <v>1815</v>
      </c>
      <c r="AA53" s="33">
        <v>2133</v>
      </c>
      <c r="AB53" s="33">
        <v>1146</v>
      </c>
      <c r="AC53" s="33">
        <v>17398</v>
      </c>
      <c r="AD53" s="33">
        <v>20165</v>
      </c>
      <c r="AE53" s="33">
        <v>2273</v>
      </c>
      <c r="AF53" s="33">
        <v>4269</v>
      </c>
      <c r="AG53" s="33">
        <v>722</v>
      </c>
      <c r="AH53" s="33">
        <v>2383</v>
      </c>
      <c r="AI53" s="33">
        <v>398</v>
      </c>
      <c r="AJ53" s="34">
        <v>1094</v>
      </c>
      <c r="AK53" s="34">
        <v>1120</v>
      </c>
      <c r="AL53" s="34">
        <v>6539</v>
      </c>
      <c r="AM53" s="34">
        <v>1579</v>
      </c>
      <c r="AN53" s="34">
        <v>637</v>
      </c>
      <c r="AO53" s="34">
        <v>167</v>
      </c>
      <c r="AP53" s="34">
        <v>126</v>
      </c>
      <c r="AQ53" s="34">
        <v>720</v>
      </c>
      <c r="AR53" s="34">
        <v>2792</v>
      </c>
      <c r="AS53" s="34">
        <v>1107</v>
      </c>
      <c r="AT53" s="34">
        <v>16714</v>
      </c>
      <c r="AU53" s="34">
        <v>1552</v>
      </c>
      <c r="AV53" s="34">
        <v>4143</v>
      </c>
      <c r="AW53" s="34">
        <v>9087</v>
      </c>
      <c r="AX53" s="34">
        <v>4881</v>
      </c>
      <c r="AY53" s="34">
        <v>1756</v>
      </c>
      <c r="AZ53" s="34">
        <v>217</v>
      </c>
      <c r="BA53" s="34">
        <v>655</v>
      </c>
      <c r="BB53" s="34">
        <v>260</v>
      </c>
      <c r="BC53" s="34">
        <v>3062</v>
      </c>
      <c r="BD53" s="34">
        <f>270+368+20+53</f>
        <v>711</v>
      </c>
      <c r="BE53" s="39">
        <v>591</v>
      </c>
      <c r="BF53" s="34">
        <v>5361</v>
      </c>
      <c r="BG53" s="34">
        <v>3551</v>
      </c>
      <c r="BH53" s="34">
        <v>2645</v>
      </c>
      <c r="BI53" s="34">
        <v>3910</v>
      </c>
      <c r="BJ53" s="34">
        <v>3362</v>
      </c>
      <c r="BK53" s="34">
        <v>3168</v>
      </c>
      <c r="BL53" s="34">
        <v>3068</v>
      </c>
      <c r="BM53" s="137">
        <v>425</v>
      </c>
      <c r="BN53" s="137">
        <v>651</v>
      </c>
      <c r="BO53" s="137">
        <v>1799</v>
      </c>
      <c r="BP53" s="137">
        <v>2219</v>
      </c>
      <c r="BQ53" s="137">
        <v>1017</v>
      </c>
      <c r="BR53" s="138">
        <v>7441</v>
      </c>
      <c r="BS53" s="138">
        <v>9362</v>
      </c>
      <c r="BT53" s="138">
        <v>628</v>
      </c>
      <c r="BU53" s="138">
        <v>5520</v>
      </c>
      <c r="BV53" s="138">
        <v>3321</v>
      </c>
      <c r="BW53" s="137">
        <v>425</v>
      </c>
      <c r="BX53" s="137">
        <v>336</v>
      </c>
      <c r="BY53" s="137">
        <v>71</v>
      </c>
      <c r="BZ53" s="137">
        <v>2745</v>
      </c>
      <c r="CA53" s="137">
        <v>2858</v>
      </c>
      <c r="CB53" s="137">
        <v>1538</v>
      </c>
      <c r="CC53" s="137">
        <v>0</v>
      </c>
      <c r="CD53" s="137">
        <v>38</v>
      </c>
      <c r="CE53" s="138">
        <v>83</v>
      </c>
      <c r="CF53" s="137">
        <v>900</v>
      </c>
      <c r="CG53" s="137">
        <v>120</v>
      </c>
      <c r="CH53" s="139">
        <v>778</v>
      </c>
      <c r="CI53" s="139">
        <v>741</v>
      </c>
      <c r="CJ53" s="137">
        <v>334</v>
      </c>
      <c r="CK53" s="137">
        <v>5916</v>
      </c>
      <c r="CL53" s="137">
        <v>149</v>
      </c>
      <c r="CM53" s="137">
        <v>161</v>
      </c>
      <c r="CN53" s="137">
        <v>128</v>
      </c>
      <c r="CO53" s="137">
        <v>540</v>
      </c>
      <c r="CP53" s="137">
        <v>611</v>
      </c>
      <c r="CQ53" s="137">
        <v>238</v>
      </c>
      <c r="CR53" s="137">
        <v>0</v>
      </c>
      <c r="CS53" s="34">
        <v>6324</v>
      </c>
      <c r="CT53" s="34">
        <v>5961</v>
      </c>
      <c r="CU53" s="34">
        <v>3100</v>
      </c>
      <c r="CV53" s="34">
        <v>0</v>
      </c>
      <c r="CW53" s="42">
        <f>85+22</f>
        <v>107</v>
      </c>
      <c r="CX53" s="34">
        <v>106</v>
      </c>
      <c r="CY53" s="137">
        <v>7229</v>
      </c>
      <c r="CZ53" s="34">
        <v>4260</v>
      </c>
      <c r="DA53" s="34">
        <v>1772</v>
      </c>
      <c r="DB53" s="34">
        <v>619</v>
      </c>
      <c r="DC53" s="34">
        <v>266</v>
      </c>
      <c r="DD53" s="34">
        <v>148</v>
      </c>
      <c r="DE53" s="34">
        <v>478</v>
      </c>
      <c r="DF53" s="34">
        <v>469</v>
      </c>
      <c r="DG53" s="34">
        <v>0</v>
      </c>
      <c r="DH53" s="42">
        <v>166</v>
      </c>
      <c r="DI53" s="34">
        <v>206</v>
      </c>
      <c r="DJ53" s="34">
        <v>651</v>
      </c>
      <c r="DK53" s="34">
        <v>707</v>
      </c>
      <c r="DL53" s="34">
        <v>450</v>
      </c>
      <c r="DM53" s="34">
        <v>66</v>
      </c>
      <c r="DN53" s="34">
        <v>27520</v>
      </c>
      <c r="DO53" s="34">
        <v>1064</v>
      </c>
      <c r="DP53" s="34">
        <v>355</v>
      </c>
      <c r="DQ53" s="34">
        <v>1995</v>
      </c>
      <c r="DR53" s="34">
        <v>14458</v>
      </c>
      <c r="DS53" s="34">
        <v>136</v>
      </c>
      <c r="DT53" s="42">
        <v>0</v>
      </c>
      <c r="DU53" s="42">
        <v>213</v>
      </c>
      <c r="DV53" s="42">
        <v>875</v>
      </c>
      <c r="DW53" s="42">
        <v>1347</v>
      </c>
      <c r="DX53" s="42">
        <v>637</v>
      </c>
      <c r="DY53" s="42">
        <v>334</v>
      </c>
      <c r="DZ53" s="42">
        <v>0</v>
      </c>
      <c r="EA53" s="42">
        <v>25</v>
      </c>
      <c r="EB53" s="42">
        <v>20</v>
      </c>
      <c r="EC53" s="42">
        <v>234</v>
      </c>
      <c r="ED53" s="42">
        <v>41</v>
      </c>
      <c r="EE53" s="42">
        <v>248</v>
      </c>
      <c r="EF53" s="42">
        <v>0</v>
      </c>
      <c r="EG53" s="42">
        <v>0</v>
      </c>
      <c r="EH53" s="150">
        <f t="shared" si="15"/>
        <v>83436</v>
      </c>
      <c r="EI53" s="208">
        <f t="shared" si="16"/>
        <v>434093</v>
      </c>
      <c r="EJ53" s="150">
        <f t="shared" si="17"/>
        <v>367968</v>
      </c>
      <c r="EK53" s="347">
        <f t="shared" si="2"/>
        <v>50018</v>
      </c>
      <c r="EL53" s="287">
        <f t="shared" ref="EL53:EL67" si="24">SUM(C53:C53)</f>
        <v>0</v>
      </c>
      <c r="EM53" s="151">
        <f t="shared" si="19"/>
        <v>155666</v>
      </c>
      <c r="EN53" s="153">
        <f t="shared" si="20"/>
        <v>60920</v>
      </c>
      <c r="EO53" s="153">
        <f t="shared" si="21"/>
        <v>59086</v>
      </c>
      <c r="EP53" s="152">
        <f t="shared" si="22"/>
        <v>43682</v>
      </c>
      <c r="EQ53" s="152">
        <f t="shared" si="23"/>
        <v>63369</v>
      </c>
      <c r="ER53" s="150">
        <f t="shared" si="9"/>
        <v>33670</v>
      </c>
      <c r="ES53" s="152">
        <f>SUM(CV53:DS53)</f>
        <v>63228</v>
      </c>
      <c r="ET53" s="152">
        <f t="shared" si="18"/>
        <v>3451</v>
      </c>
      <c r="EU53" s="57">
        <f t="shared" si="11"/>
        <v>46391</v>
      </c>
      <c r="EV53" s="12">
        <f t="shared" si="12"/>
        <v>26122</v>
      </c>
      <c r="EW53" s="259">
        <v>0</v>
      </c>
      <c r="EX53" s="12">
        <f t="shared" si="13"/>
        <v>400159</v>
      </c>
      <c r="EY53" s="131">
        <f t="shared" si="14"/>
        <v>430574</v>
      </c>
      <c r="EZ53" s="142">
        <v>0</v>
      </c>
    </row>
    <row r="54" spans="1:156" ht="45" customHeight="1" x14ac:dyDescent="0.25">
      <c r="A54" s="323"/>
      <c r="B54" s="237" t="s">
        <v>56</v>
      </c>
      <c r="C54" s="220">
        <v>0</v>
      </c>
      <c r="D54" s="182">
        <v>1</v>
      </c>
      <c r="E54" s="182">
        <v>4</v>
      </c>
      <c r="F54" s="182">
        <v>47</v>
      </c>
      <c r="G54" s="182">
        <v>40</v>
      </c>
      <c r="H54" s="182">
        <v>45</v>
      </c>
      <c r="I54" s="182">
        <v>45</v>
      </c>
      <c r="J54" s="182">
        <v>23</v>
      </c>
      <c r="K54" s="182">
        <v>18</v>
      </c>
      <c r="L54" s="182">
        <v>6</v>
      </c>
      <c r="M54" s="182">
        <v>22</v>
      </c>
      <c r="N54" s="182">
        <v>22</v>
      </c>
      <c r="O54" s="182">
        <v>16</v>
      </c>
      <c r="P54" s="182">
        <v>8</v>
      </c>
      <c r="Q54" s="182">
        <v>11</v>
      </c>
      <c r="R54" s="182">
        <v>18</v>
      </c>
      <c r="S54" s="182">
        <v>4</v>
      </c>
      <c r="T54" s="182">
        <v>5</v>
      </c>
      <c r="U54" s="182">
        <v>14</v>
      </c>
      <c r="V54" s="182">
        <v>6</v>
      </c>
      <c r="W54" s="182">
        <v>3</v>
      </c>
      <c r="X54" s="182">
        <v>2</v>
      </c>
      <c r="Y54" s="182">
        <v>6</v>
      </c>
      <c r="Z54" s="182">
        <v>5</v>
      </c>
      <c r="AA54" s="182">
        <v>5</v>
      </c>
      <c r="AB54" s="182">
        <v>4</v>
      </c>
      <c r="AC54" s="182">
        <v>6</v>
      </c>
      <c r="AD54" s="182">
        <v>4</v>
      </c>
      <c r="AE54" s="182">
        <v>5</v>
      </c>
      <c r="AF54" s="182">
        <v>17</v>
      </c>
      <c r="AG54" s="182">
        <v>5</v>
      </c>
      <c r="AH54" s="182">
        <v>12</v>
      </c>
      <c r="AI54" s="182">
        <v>5</v>
      </c>
      <c r="AJ54" s="41">
        <v>17</v>
      </c>
      <c r="AK54" s="41">
        <v>12</v>
      </c>
      <c r="AL54" s="41">
        <v>40</v>
      </c>
      <c r="AM54" s="41">
        <v>5</v>
      </c>
      <c r="AN54" s="41">
        <v>5</v>
      </c>
      <c r="AO54" s="41">
        <v>1</v>
      </c>
      <c r="AP54" s="41">
        <v>5</v>
      </c>
      <c r="AQ54" s="41">
        <v>5</v>
      </c>
      <c r="AR54" s="41">
        <v>17</v>
      </c>
      <c r="AS54" s="41">
        <v>11</v>
      </c>
      <c r="AT54" s="41">
        <v>25</v>
      </c>
      <c r="AU54" s="41">
        <v>10</v>
      </c>
      <c r="AV54" s="41">
        <v>12</v>
      </c>
      <c r="AW54" s="41">
        <v>62</v>
      </c>
      <c r="AX54" s="41">
        <v>16</v>
      </c>
      <c r="AY54" s="41">
        <v>11</v>
      </c>
      <c r="AZ54" s="41">
        <v>2</v>
      </c>
      <c r="BA54" s="41">
        <v>12</v>
      </c>
      <c r="BB54" s="41">
        <v>5</v>
      </c>
      <c r="BC54" s="41">
        <v>7</v>
      </c>
      <c r="BD54" s="41">
        <v>8</v>
      </c>
      <c r="BE54" s="41">
        <v>3</v>
      </c>
      <c r="BF54" s="41">
        <v>8</v>
      </c>
      <c r="BG54" s="41">
        <v>23</v>
      </c>
      <c r="BH54" s="41">
        <v>11</v>
      </c>
      <c r="BI54" s="41">
        <v>12</v>
      </c>
      <c r="BJ54" s="41">
        <v>10</v>
      </c>
      <c r="BK54" s="41">
        <v>9</v>
      </c>
      <c r="BL54" s="41">
        <v>8</v>
      </c>
      <c r="BM54" s="149">
        <v>4</v>
      </c>
      <c r="BN54" s="149">
        <v>5</v>
      </c>
      <c r="BO54" s="149">
        <v>11</v>
      </c>
      <c r="BP54" s="149">
        <v>4</v>
      </c>
      <c r="BQ54" s="149">
        <v>8</v>
      </c>
      <c r="BR54" s="180">
        <v>23</v>
      </c>
      <c r="BS54" s="180">
        <v>31</v>
      </c>
      <c r="BT54" s="180">
        <v>3</v>
      </c>
      <c r="BU54" s="180">
        <v>18</v>
      </c>
      <c r="BV54" s="180">
        <v>16</v>
      </c>
      <c r="BW54" s="149">
        <v>5</v>
      </c>
      <c r="BX54" s="149">
        <v>5</v>
      </c>
      <c r="BY54" s="149">
        <v>3</v>
      </c>
      <c r="BZ54" s="149">
        <v>5</v>
      </c>
      <c r="CA54" s="149">
        <v>12</v>
      </c>
      <c r="CB54" s="149">
        <v>6</v>
      </c>
      <c r="CC54" s="149">
        <v>0</v>
      </c>
      <c r="CD54" s="149">
        <v>5</v>
      </c>
      <c r="CE54" s="180">
        <v>5</v>
      </c>
      <c r="CF54" s="149">
        <v>1</v>
      </c>
      <c r="CG54" s="149">
        <v>1</v>
      </c>
      <c r="CH54" s="149">
        <v>18</v>
      </c>
      <c r="CI54" s="149">
        <v>8</v>
      </c>
      <c r="CJ54" s="149">
        <v>3</v>
      </c>
      <c r="CK54" s="149">
        <v>5</v>
      </c>
      <c r="CL54" s="149">
        <v>2</v>
      </c>
      <c r="CM54" s="149">
        <v>2</v>
      </c>
      <c r="CN54" s="149">
        <v>3</v>
      </c>
      <c r="CO54" s="149">
        <v>5</v>
      </c>
      <c r="CP54" s="149">
        <v>8</v>
      </c>
      <c r="CQ54" s="149">
        <v>2</v>
      </c>
      <c r="CR54" s="149">
        <v>0</v>
      </c>
      <c r="CS54" s="41">
        <v>16</v>
      </c>
      <c r="CT54" s="41">
        <v>23</v>
      </c>
      <c r="CU54" s="41">
        <v>13</v>
      </c>
      <c r="CV54" s="41">
        <v>0</v>
      </c>
      <c r="CW54" s="44">
        <v>6</v>
      </c>
      <c r="CX54" s="41">
        <v>2</v>
      </c>
      <c r="CY54" s="149">
        <v>6</v>
      </c>
      <c r="CZ54" s="41">
        <v>7</v>
      </c>
      <c r="DA54" s="41">
        <v>12</v>
      </c>
      <c r="DB54" s="41">
        <v>18</v>
      </c>
      <c r="DC54" s="41">
        <v>5</v>
      </c>
      <c r="DD54" s="41">
        <v>2</v>
      </c>
      <c r="DE54" s="41">
        <v>4</v>
      </c>
      <c r="DF54" s="41">
        <v>7</v>
      </c>
      <c r="DG54" s="41">
        <v>0</v>
      </c>
      <c r="DH54" s="44">
        <v>2</v>
      </c>
      <c r="DI54" s="41">
        <v>3</v>
      </c>
      <c r="DJ54" s="41">
        <v>15</v>
      </c>
      <c r="DK54" s="41">
        <v>6</v>
      </c>
      <c r="DL54" s="41">
        <v>1</v>
      </c>
      <c r="DM54" s="41">
        <v>1</v>
      </c>
      <c r="DN54" s="41">
        <v>18</v>
      </c>
      <c r="DO54" s="41">
        <v>5</v>
      </c>
      <c r="DP54" s="41">
        <v>6</v>
      </c>
      <c r="DQ54" s="41">
        <v>3</v>
      </c>
      <c r="DR54" s="41">
        <v>15</v>
      </c>
      <c r="DS54" s="41">
        <v>1</v>
      </c>
      <c r="DT54" s="44">
        <v>0</v>
      </c>
      <c r="DU54" s="44">
        <v>3</v>
      </c>
      <c r="DV54" s="44">
        <v>2</v>
      </c>
      <c r="DW54" s="44">
        <v>4</v>
      </c>
      <c r="DX54" s="44">
        <v>3</v>
      </c>
      <c r="DY54" s="44">
        <v>2</v>
      </c>
      <c r="DZ54" s="44">
        <v>0</v>
      </c>
      <c r="EA54" s="44">
        <v>1</v>
      </c>
      <c r="EB54" s="44">
        <v>1</v>
      </c>
      <c r="EC54" s="44">
        <v>4</v>
      </c>
      <c r="ED54" s="44">
        <v>6</v>
      </c>
      <c r="EE54" s="44">
        <v>4</v>
      </c>
      <c r="EF54" s="44">
        <v>0</v>
      </c>
      <c r="EG54" s="44">
        <v>0</v>
      </c>
      <c r="EH54" s="150">
        <f t="shared" si="15"/>
        <v>237</v>
      </c>
      <c r="EI54" s="208">
        <f t="shared" ref="EI54:EI64" si="25">SUM(C54:DM54)</f>
        <v>1182</v>
      </c>
      <c r="EJ54" s="150">
        <f t="shared" ref="EJ54:EJ64" si="26">SUM(J54:DM54)</f>
        <v>1000</v>
      </c>
      <c r="EK54" s="347">
        <f t="shared" si="2"/>
        <v>80</v>
      </c>
      <c r="EL54" s="287">
        <f t="shared" si="24"/>
        <v>0</v>
      </c>
      <c r="EM54" s="151">
        <f t="shared" si="19"/>
        <v>289</v>
      </c>
      <c r="EN54" s="153">
        <f t="shared" si="20"/>
        <v>87</v>
      </c>
      <c r="EO54" s="153">
        <f t="shared" si="21"/>
        <v>132</v>
      </c>
      <c r="EP54" s="152">
        <f t="shared" si="22"/>
        <v>180</v>
      </c>
      <c r="EQ54" s="152">
        <f t="shared" si="23"/>
        <v>246</v>
      </c>
      <c r="ER54" s="150">
        <f t="shared" si="9"/>
        <v>151</v>
      </c>
      <c r="ES54" s="152">
        <f t="shared" ref="ES54:ES64" si="27">SUM(CV54:DS54)</f>
        <v>145</v>
      </c>
      <c r="ET54" s="152">
        <f t="shared" si="18"/>
        <v>16</v>
      </c>
      <c r="EU54" s="57">
        <f t="shared" si="11"/>
        <v>185</v>
      </c>
      <c r="EV54" s="12">
        <f t="shared" si="12"/>
        <v>120</v>
      </c>
      <c r="EW54" s="259">
        <v>0</v>
      </c>
      <c r="EX54" s="12">
        <f t="shared" si="13"/>
        <v>1023</v>
      </c>
      <c r="EY54" s="131">
        <f t="shared" ref="EY54:EY64" si="28">SUM(F54:DK54)</f>
        <v>1175</v>
      </c>
      <c r="EZ54" s="142">
        <v>0</v>
      </c>
    </row>
    <row r="55" spans="1:156" ht="45" customHeight="1" x14ac:dyDescent="0.25">
      <c r="A55" s="323"/>
      <c r="B55" s="83" t="s">
        <v>104</v>
      </c>
      <c r="C55" s="220">
        <v>0</v>
      </c>
      <c r="D55" s="182">
        <v>0</v>
      </c>
      <c r="E55" s="182">
        <v>0</v>
      </c>
      <c r="F55" s="182">
        <v>0</v>
      </c>
      <c r="G55" s="182">
        <v>0</v>
      </c>
      <c r="H55" s="182">
        <v>0</v>
      </c>
      <c r="I55" s="182">
        <v>0</v>
      </c>
      <c r="J55" s="182">
        <v>0</v>
      </c>
      <c r="K55" s="182">
        <v>0</v>
      </c>
      <c r="L55" s="182">
        <v>0</v>
      </c>
      <c r="M55" s="182">
        <v>0</v>
      </c>
      <c r="N55" s="182">
        <v>0</v>
      </c>
      <c r="O55" s="182">
        <v>0</v>
      </c>
      <c r="P55" s="183">
        <v>0</v>
      </c>
      <c r="Q55" s="183">
        <v>0</v>
      </c>
      <c r="R55" s="183">
        <v>0</v>
      </c>
      <c r="S55" s="183">
        <v>0</v>
      </c>
      <c r="T55" s="183">
        <v>0</v>
      </c>
      <c r="U55" s="183">
        <v>0</v>
      </c>
      <c r="V55" s="183">
        <v>0</v>
      </c>
      <c r="W55" s="183">
        <v>0</v>
      </c>
      <c r="X55" s="183">
        <v>0</v>
      </c>
      <c r="Y55" s="183">
        <v>0</v>
      </c>
      <c r="Z55" s="183">
        <v>0</v>
      </c>
      <c r="AA55" s="183">
        <v>0</v>
      </c>
      <c r="AB55" s="184">
        <v>0</v>
      </c>
      <c r="AC55" s="184">
        <v>1</v>
      </c>
      <c r="AD55" s="184">
        <v>1</v>
      </c>
      <c r="AE55" s="184">
        <v>0</v>
      </c>
      <c r="AF55" s="184">
        <v>0</v>
      </c>
      <c r="AG55" s="184">
        <v>0</v>
      </c>
      <c r="AH55" s="184">
        <v>0</v>
      </c>
      <c r="AI55" s="184">
        <v>0</v>
      </c>
      <c r="AJ55" s="185">
        <v>0</v>
      </c>
      <c r="AK55" s="185">
        <v>0</v>
      </c>
      <c r="AL55" s="185">
        <v>0</v>
      </c>
      <c r="AM55" s="185">
        <v>0</v>
      </c>
      <c r="AN55" s="41">
        <v>0</v>
      </c>
      <c r="AO55" s="41">
        <v>0</v>
      </c>
      <c r="AP55" s="41">
        <v>0</v>
      </c>
      <c r="AQ55" s="41">
        <v>0</v>
      </c>
      <c r="AR55" s="41">
        <v>0</v>
      </c>
      <c r="AS55" s="41">
        <v>0</v>
      </c>
      <c r="AT55" s="41">
        <v>0</v>
      </c>
      <c r="AU55" s="41">
        <v>0</v>
      </c>
      <c r="AV55" s="41">
        <v>0</v>
      </c>
      <c r="AW55" s="41">
        <v>16</v>
      </c>
      <c r="AX55" s="41">
        <v>0</v>
      </c>
      <c r="AY55" s="41">
        <v>0</v>
      </c>
      <c r="AZ55" s="41">
        <v>0</v>
      </c>
      <c r="BA55" s="41">
        <v>10</v>
      </c>
      <c r="BB55" s="41">
        <v>5</v>
      </c>
      <c r="BC55" s="41">
        <v>5</v>
      </c>
      <c r="BD55" s="41">
        <v>5</v>
      </c>
      <c r="BE55" s="41">
        <v>0</v>
      </c>
      <c r="BF55" s="41">
        <v>2</v>
      </c>
      <c r="BG55" s="41">
        <v>0</v>
      </c>
      <c r="BH55" s="41">
        <v>0</v>
      </c>
      <c r="BI55" s="41">
        <v>1</v>
      </c>
      <c r="BJ55" s="41">
        <v>0</v>
      </c>
      <c r="BK55" s="41">
        <v>2</v>
      </c>
      <c r="BL55" s="41">
        <v>0</v>
      </c>
      <c r="BM55" s="149">
        <v>0</v>
      </c>
      <c r="BN55" s="149">
        <v>0</v>
      </c>
      <c r="BO55" s="149">
        <v>5</v>
      </c>
      <c r="BP55" s="149">
        <v>0</v>
      </c>
      <c r="BQ55" s="149">
        <v>0</v>
      </c>
      <c r="BR55" s="180">
        <v>11</v>
      </c>
      <c r="BS55" s="180">
        <v>8</v>
      </c>
      <c r="BT55" s="180">
        <v>0</v>
      </c>
      <c r="BU55" s="180">
        <v>0</v>
      </c>
      <c r="BV55" s="180">
        <v>2</v>
      </c>
      <c r="BW55" s="149">
        <v>0</v>
      </c>
      <c r="BX55" s="149">
        <v>0</v>
      </c>
      <c r="BY55" s="149">
        <v>2</v>
      </c>
      <c r="BZ55" s="149">
        <v>0</v>
      </c>
      <c r="CA55" s="149">
        <v>0</v>
      </c>
      <c r="CB55" s="149">
        <v>0</v>
      </c>
      <c r="CC55" s="149">
        <v>0</v>
      </c>
      <c r="CD55" s="149">
        <v>5</v>
      </c>
      <c r="CE55" s="180">
        <v>5</v>
      </c>
      <c r="CF55" s="149">
        <v>0</v>
      </c>
      <c r="CG55" s="149">
        <v>0</v>
      </c>
      <c r="CH55" s="149">
        <v>6</v>
      </c>
      <c r="CI55" s="149">
        <v>1</v>
      </c>
      <c r="CJ55" s="149">
        <v>1</v>
      </c>
      <c r="CK55" s="149">
        <v>0</v>
      </c>
      <c r="CL55" s="149">
        <v>0</v>
      </c>
      <c r="CM55" s="149">
        <v>1</v>
      </c>
      <c r="CN55" s="149">
        <v>0</v>
      </c>
      <c r="CO55" s="149">
        <v>4</v>
      </c>
      <c r="CP55" s="149">
        <v>1</v>
      </c>
      <c r="CQ55" s="149">
        <v>1</v>
      </c>
      <c r="CR55" s="149">
        <v>0</v>
      </c>
      <c r="CS55" s="41">
        <v>0</v>
      </c>
      <c r="CT55" s="41">
        <v>5</v>
      </c>
      <c r="CU55" s="41">
        <v>0</v>
      </c>
      <c r="CV55" s="41">
        <v>0</v>
      </c>
      <c r="CW55" s="44">
        <v>6</v>
      </c>
      <c r="CX55" s="41">
        <v>0</v>
      </c>
      <c r="CY55" s="149">
        <v>4</v>
      </c>
      <c r="CZ55" s="41">
        <v>0</v>
      </c>
      <c r="DA55" s="41">
        <v>5</v>
      </c>
      <c r="DB55" s="41">
        <v>6</v>
      </c>
      <c r="DC55" s="41">
        <v>0</v>
      </c>
      <c r="DD55" s="41">
        <v>0</v>
      </c>
      <c r="DE55" s="41">
        <v>0</v>
      </c>
      <c r="DF55" s="41">
        <v>0</v>
      </c>
      <c r="DG55" s="41">
        <v>0</v>
      </c>
      <c r="DH55" s="44">
        <v>0</v>
      </c>
      <c r="DI55" s="41">
        <v>1</v>
      </c>
      <c r="DJ55" s="41">
        <v>14</v>
      </c>
      <c r="DK55" s="41">
        <v>5</v>
      </c>
      <c r="DL55" s="41">
        <v>0</v>
      </c>
      <c r="DM55" s="41">
        <v>1</v>
      </c>
      <c r="DN55" s="149">
        <v>0</v>
      </c>
      <c r="DO55" s="149">
        <v>0</v>
      </c>
      <c r="DP55" s="41">
        <v>0</v>
      </c>
      <c r="DQ55" s="41">
        <v>1</v>
      </c>
      <c r="DR55" s="41">
        <v>1</v>
      </c>
      <c r="DS55" s="41">
        <v>1</v>
      </c>
      <c r="DT55" s="44">
        <v>0</v>
      </c>
      <c r="DU55" s="44">
        <v>0</v>
      </c>
      <c r="DV55" s="44">
        <v>0</v>
      </c>
      <c r="DW55" s="44">
        <v>0</v>
      </c>
      <c r="DX55" s="44">
        <v>0</v>
      </c>
      <c r="DY55" s="44">
        <v>0</v>
      </c>
      <c r="DZ55" s="44">
        <v>0</v>
      </c>
      <c r="EA55" s="44">
        <v>1</v>
      </c>
      <c r="EB55" s="44">
        <v>0</v>
      </c>
      <c r="EC55" s="44">
        <v>1</v>
      </c>
      <c r="ED55" s="44">
        <v>5</v>
      </c>
      <c r="EE55" s="44">
        <v>1</v>
      </c>
      <c r="EF55" s="44">
        <v>0</v>
      </c>
      <c r="EG55" s="44">
        <v>0</v>
      </c>
      <c r="EH55" s="150">
        <f t="shared" si="15"/>
        <v>60</v>
      </c>
      <c r="EI55" s="208">
        <f t="shared" si="25"/>
        <v>148</v>
      </c>
      <c r="EJ55" s="150">
        <f t="shared" si="26"/>
        <v>148</v>
      </c>
      <c r="EK55" s="347">
        <f t="shared" si="2"/>
        <v>12</v>
      </c>
      <c r="EL55" s="287">
        <f t="shared" si="24"/>
        <v>0</v>
      </c>
      <c r="EM55" s="151">
        <f t="shared" si="19"/>
        <v>0</v>
      </c>
      <c r="EN55" s="153">
        <f t="shared" si="20"/>
        <v>0</v>
      </c>
      <c r="EO55" s="153">
        <f t="shared" si="21"/>
        <v>2</v>
      </c>
      <c r="EP55" s="152">
        <f t="shared" si="22"/>
        <v>16</v>
      </c>
      <c r="EQ55" s="152">
        <f t="shared" si="23"/>
        <v>56</v>
      </c>
      <c r="ER55" s="150">
        <f t="shared" si="9"/>
        <v>32</v>
      </c>
      <c r="ES55" s="152">
        <f t="shared" si="27"/>
        <v>45</v>
      </c>
      <c r="ET55" s="152">
        <f t="shared" si="18"/>
        <v>1</v>
      </c>
      <c r="EU55" s="57">
        <f t="shared" si="11"/>
        <v>41</v>
      </c>
      <c r="EV55" s="12">
        <f t="shared" si="12"/>
        <v>30</v>
      </c>
      <c r="EW55" s="259">
        <v>0</v>
      </c>
      <c r="EX55" s="12">
        <f t="shared" si="13"/>
        <v>99</v>
      </c>
      <c r="EY55" s="131">
        <f t="shared" si="28"/>
        <v>147</v>
      </c>
      <c r="EZ55" s="142">
        <v>0</v>
      </c>
    </row>
    <row r="56" spans="1:156" ht="45" customHeight="1" x14ac:dyDescent="0.25">
      <c r="A56" s="323"/>
      <c r="B56" s="83" t="s">
        <v>105</v>
      </c>
      <c r="C56" s="220">
        <v>0</v>
      </c>
      <c r="D56" s="182">
        <v>0</v>
      </c>
      <c r="E56" s="182">
        <v>0</v>
      </c>
      <c r="F56" s="182">
        <v>0</v>
      </c>
      <c r="G56" s="182">
        <v>0</v>
      </c>
      <c r="H56" s="182">
        <v>0</v>
      </c>
      <c r="I56" s="182">
        <v>0</v>
      </c>
      <c r="J56" s="182">
        <v>0</v>
      </c>
      <c r="K56" s="182">
        <v>0</v>
      </c>
      <c r="L56" s="182">
        <v>0</v>
      </c>
      <c r="M56" s="182">
        <v>0</v>
      </c>
      <c r="N56" s="182">
        <v>0</v>
      </c>
      <c r="O56" s="182">
        <v>0</v>
      </c>
      <c r="P56" s="182">
        <v>0</v>
      </c>
      <c r="Q56" s="182">
        <v>0</v>
      </c>
      <c r="R56" s="182">
        <v>0</v>
      </c>
      <c r="S56" s="182">
        <v>0</v>
      </c>
      <c r="T56" s="182">
        <v>0</v>
      </c>
      <c r="U56" s="182">
        <v>0</v>
      </c>
      <c r="V56" s="182">
        <v>0</v>
      </c>
      <c r="W56" s="182">
        <v>0</v>
      </c>
      <c r="X56" s="182">
        <v>0</v>
      </c>
      <c r="Y56" s="182">
        <v>0</v>
      </c>
      <c r="Z56" s="182">
        <v>0</v>
      </c>
      <c r="AA56" s="182">
        <v>0</v>
      </c>
      <c r="AB56" s="184">
        <v>1</v>
      </c>
      <c r="AC56" s="184">
        <v>0</v>
      </c>
      <c r="AD56" s="184">
        <v>1</v>
      </c>
      <c r="AE56" s="184">
        <v>4</v>
      </c>
      <c r="AF56" s="184">
        <v>12</v>
      </c>
      <c r="AG56" s="184">
        <v>0</v>
      </c>
      <c r="AH56" s="184">
        <v>1</v>
      </c>
      <c r="AI56" s="184">
        <v>0</v>
      </c>
      <c r="AJ56" s="185">
        <v>0</v>
      </c>
      <c r="AK56" s="185">
        <v>1</v>
      </c>
      <c r="AL56" s="185">
        <v>13</v>
      </c>
      <c r="AM56" s="185">
        <v>1</v>
      </c>
      <c r="AN56" s="41">
        <v>1</v>
      </c>
      <c r="AO56" s="41">
        <v>0</v>
      </c>
      <c r="AP56" s="41">
        <v>0</v>
      </c>
      <c r="AQ56" s="41">
        <v>0</v>
      </c>
      <c r="AR56" s="41">
        <v>0</v>
      </c>
      <c r="AS56" s="41">
        <v>0</v>
      </c>
      <c r="AT56" s="41">
        <v>3</v>
      </c>
      <c r="AU56" s="41">
        <v>1</v>
      </c>
      <c r="AV56" s="41">
        <v>0</v>
      </c>
      <c r="AW56" s="41">
        <v>34</v>
      </c>
      <c r="AX56" s="41">
        <v>1</v>
      </c>
      <c r="AY56" s="41">
        <v>2</v>
      </c>
      <c r="AZ56" s="41">
        <v>0</v>
      </c>
      <c r="BA56" s="41">
        <v>0</v>
      </c>
      <c r="BB56" s="41">
        <v>0</v>
      </c>
      <c r="BC56" s="41">
        <v>0</v>
      </c>
      <c r="BD56" s="41">
        <v>1</v>
      </c>
      <c r="BE56" s="41">
        <v>2</v>
      </c>
      <c r="BF56" s="41">
        <v>3</v>
      </c>
      <c r="BG56" s="41">
        <v>19</v>
      </c>
      <c r="BH56" s="41">
        <v>7</v>
      </c>
      <c r="BI56" s="41">
        <v>1</v>
      </c>
      <c r="BJ56" s="41">
        <v>3</v>
      </c>
      <c r="BK56" s="41">
        <v>4</v>
      </c>
      <c r="BL56" s="41">
        <v>2</v>
      </c>
      <c r="BM56" s="149">
        <v>2</v>
      </c>
      <c r="BN56" s="149">
        <v>4</v>
      </c>
      <c r="BO56" s="149">
        <v>3</v>
      </c>
      <c r="BP56" s="149">
        <v>0</v>
      </c>
      <c r="BQ56" s="149">
        <v>0</v>
      </c>
      <c r="BR56" s="180">
        <v>0</v>
      </c>
      <c r="BS56" s="180">
        <v>7</v>
      </c>
      <c r="BT56" s="180">
        <v>0</v>
      </c>
      <c r="BU56" s="180">
        <v>17</v>
      </c>
      <c r="BV56" s="180">
        <v>7</v>
      </c>
      <c r="BW56" s="149">
        <v>3</v>
      </c>
      <c r="BX56" s="149">
        <v>5</v>
      </c>
      <c r="BY56" s="149">
        <v>1</v>
      </c>
      <c r="BZ56" s="149">
        <v>5</v>
      </c>
      <c r="CA56" s="149">
        <v>12</v>
      </c>
      <c r="CB56" s="149">
        <v>6</v>
      </c>
      <c r="CC56" s="149">
        <v>0</v>
      </c>
      <c r="CD56" s="149">
        <v>0</v>
      </c>
      <c r="CE56" s="180">
        <v>0</v>
      </c>
      <c r="CF56" s="149">
        <v>1</v>
      </c>
      <c r="CG56" s="149">
        <v>1</v>
      </c>
      <c r="CH56" s="149">
        <v>12</v>
      </c>
      <c r="CI56" s="149">
        <v>6</v>
      </c>
      <c r="CJ56" s="149">
        <v>2</v>
      </c>
      <c r="CK56" s="149">
        <v>2</v>
      </c>
      <c r="CL56" s="149">
        <v>2</v>
      </c>
      <c r="CM56" s="149">
        <v>1</v>
      </c>
      <c r="CN56" s="149">
        <v>3</v>
      </c>
      <c r="CO56" s="149">
        <v>1</v>
      </c>
      <c r="CP56" s="149">
        <v>7</v>
      </c>
      <c r="CQ56" s="149">
        <v>1</v>
      </c>
      <c r="CR56" s="149">
        <v>0</v>
      </c>
      <c r="CS56" s="41">
        <v>12</v>
      </c>
      <c r="CT56" s="41">
        <v>15</v>
      </c>
      <c r="CU56" s="41">
        <v>12</v>
      </c>
      <c r="CV56" s="41">
        <v>0</v>
      </c>
      <c r="CW56" s="44">
        <v>0</v>
      </c>
      <c r="CX56" s="41">
        <v>2</v>
      </c>
      <c r="CY56" s="196">
        <v>1</v>
      </c>
      <c r="CZ56" s="41">
        <v>6</v>
      </c>
      <c r="DA56" s="41">
        <v>7</v>
      </c>
      <c r="DB56" s="41">
        <v>11</v>
      </c>
      <c r="DC56" s="41">
        <v>5</v>
      </c>
      <c r="DD56" s="41">
        <v>2</v>
      </c>
      <c r="DE56" s="41">
        <v>3</v>
      </c>
      <c r="DF56" s="41">
        <v>6</v>
      </c>
      <c r="DG56" s="41">
        <v>0</v>
      </c>
      <c r="DH56" s="44">
        <v>2</v>
      </c>
      <c r="DI56" s="41">
        <v>2</v>
      </c>
      <c r="DJ56" s="41">
        <v>1</v>
      </c>
      <c r="DK56" s="41">
        <v>1</v>
      </c>
      <c r="DL56" s="41">
        <v>1</v>
      </c>
      <c r="DM56" s="41">
        <v>0</v>
      </c>
      <c r="DN56" s="149">
        <v>0</v>
      </c>
      <c r="DO56" s="196">
        <v>3</v>
      </c>
      <c r="DP56" s="41">
        <v>4</v>
      </c>
      <c r="DQ56" s="41">
        <v>0</v>
      </c>
      <c r="DR56" s="41">
        <v>11</v>
      </c>
      <c r="DS56" s="41">
        <v>0</v>
      </c>
      <c r="DT56" s="44">
        <v>0</v>
      </c>
      <c r="DU56" s="44">
        <v>1</v>
      </c>
      <c r="DV56" s="44">
        <v>2</v>
      </c>
      <c r="DW56" s="44">
        <v>4</v>
      </c>
      <c r="DX56" s="44">
        <v>2</v>
      </c>
      <c r="DY56" s="44">
        <v>2</v>
      </c>
      <c r="DZ56" s="44">
        <v>0</v>
      </c>
      <c r="EA56" s="44">
        <v>0</v>
      </c>
      <c r="EB56" s="44">
        <v>1</v>
      </c>
      <c r="EC56" s="44">
        <v>3</v>
      </c>
      <c r="ED56" s="44">
        <v>1</v>
      </c>
      <c r="EE56" s="44">
        <v>3</v>
      </c>
      <c r="EF56" s="44">
        <v>0</v>
      </c>
      <c r="EG56" s="44">
        <v>0</v>
      </c>
      <c r="EH56" s="150">
        <f t="shared" si="15"/>
        <v>134</v>
      </c>
      <c r="EI56" s="208">
        <f t="shared" si="25"/>
        <v>318</v>
      </c>
      <c r="EJ56" s="150">
        <f t="shared" si="26"/>
        <v>318</v>
      </c>
      <c r="EK56" s="347">
        <f t="shared" si="2"/>
        <v>38</v>
      </c>
      <c r="EL56" s="287">
        <f t="shared" si="24"/>
        <v>0</v>
      </c>
      <c r="EM56" s="151">
        <f t="shared" si="19"/>
        <v>0</v>
      </c>
      <c r="EN56" s="153">
        <f t="shared" si="20"/>
        <v>0</v>
      </c>
      <c r="EO56" s="153">
        <f t="shared" si="21"/>
        <v>34</v>
      </c>
      <c r="EP56" s="152">
        <f t="shared" si="22"/>
        <v>42</v>
      </c>
      <c r="EQ56" s="152">
        <f t="shared" si="23"/>
        <v>85</v>
      </c>
      <c r="ER56" s="150">
        <f t="shared" si="9"/>
        <v>107</v>
      </c>
      <c r="ES56" s="152">
        <f t="shared" si="27"/>
        <v>68</v>
      </c>
      <c r="ET56" s="152">
        <f t="shared" si="18"/>
        <v>12</v>
      </c>
      <c r="EU56" s="57">
        <f t="shared" si="11"/>
        <v>87</v>
      </c>
      <c r="EV56" s="12">
        <f t="shared" si="12"/>
        <v>78</v>
      </c>
      <c r="EW56" s="259">
        <v>0</v>
      </c>
      <c r="EX56" s="12">
        <f t="shared" ref="EX56:EX64" si="29">SUM(C56:CO56)</f>
        <v>221</v>
      </c>
      <c r="EY56" s="131">
        <f t="shared" si="28"/>
        <v>317</v>
      </c>
      <c r="EZ56" s="142">
        <v>0</v>
      </c>
    </row>
    <row r="57" spans="1:156" ht="45" customHeight="1" x14ac:dyDescent="0.25">
      <c r="A57" s="323"/>
      <c r="B57" s="83" t="s">
        <v>106</v>
      </c>
      <c r="C57" s="220">
        <v>0</v>
      </c>
      <c r="D57" s="182">
        <v>1</v>
      </c>
      <c r="E57" s="182">
        <v>4</v>
      </c>
      <c r="F57" s="182">
        <v>47</v>
      </c>
      <c r="G57" s="182">
        <v>40</v>
      </c>
      <c r="H57" s="182">
        <v>45</v>
      </c>
      <c r="I57" s="182">
        <v>45</v>
      </c>
      <c r="J57" s="182">
        <v>23</v>
      </c>
      <c r="K57" s="182">
        <v>18</v>
      </c>
      <c r="L57" s="182">
        <v>6</v>
      </c>
      <c r="M57" s="182">
        <v>22</v>
      </c>
      <c r="N57" s="182">
        <v>22</v>
      </c>
      <c r="O57" s="182">
        <v>16</v>
      </c>
      <c r="P57" s="182">
        <v>8</v>
      </c>
      <c r="Q57" s="182">
        <v>11</v>
      </c>
      <c r="R57" s="182">
        <v>18</v>
      </c>
      <c r="S57" s="182">
        <v>4</v>
      </c>
      <c r="T57" s="182">
        <v>5</v>
      </c>
      <c r="U57" s="182">
        <v>14</v>
      </c>
      <c r="V57" s="182">
        <v>6</v>
      </c>
      <c r="W57" s="182">
        <v>3</v>
      </c>
      <c r="X57" s="182">
        <v>2</v>
      </c>
      <c r="Y57" s="182">
        <v>6</v>
      </c>
      <c r="Z57" s="182">
        <v>5</v>
      </c>
      <c r="AA57" s="182">
        <v>5</v>
      </c>
      <c r="AB57" s="184">
        <v>3</v>
      </c>
      <c r="AC57" s="184">
        <v>5</v>
      </c>
      <c r="AD57" s="184">
        <v>2</v>
      </c>
      <c r="AE57" s="184">
        <v>1</v>
      </c>
      <c r="AF57" s="184">
        <v>5</v>
      </c>
      <c r="AG57" s="184">
        <v>5</v>
      </c>
      <c r="AH57" s="184">
        <v>11</v>
      </c>
      <c r="AI57" s="184">
        <v>5</v>
      </c>
      <c r="AJ57" s="185">
        <v>17</v>
      </c>
      <c r="AK57" s="185">
        <v>11</v>
      </c>
      <c r="AL57" s="185">
        <v>27</v>
      </c>
      <c r="AM57" s="185">
        <v>4</v>
      </c>
      <c r="AN57" s="41">
        <v>4</v>
      </c>
      <c r="AO57" s="41">
        <v>1</v>
      </c>
      <c r="AP57" s="41">
        <v>5</v>
      </c>
      <c r="AQ57" s="41">
        <v>5</v>
      </c>
      <c r="AR57" s="41">
        <v>17</v>
      </c>
      <c r="AS57" s="41">
        <v>11</v>
      </c>
      <c r="AT57" s="41">
        <v>20</v>
      </c>
      <c r="AU57" s="41">
        <v>9</v>
      </c>
      <c r="AV57" s="41">
        <v>12</v>
      </c>
      <c r="AW57" s="41">
        <v>0</v>
      </c>
      <c r="AX57" s="41">
        <v>15</v>
      </c>
      <c r="AY57" s="41">
        <v>9</v>
      </c>
      <c r="AZ57" s="41">
        <v>0</v>
      </c>
      <c r="BA57" s="41">
        <v>0</v>
      </c>
      <c r="BB57" s="41">
        <v>0</v>
      </c>
      <c r="BC57" s="41">
        <v>2</v>
      </c>
      <c r="BD57" s="41">
        <v>0</v>
      </c>
      <c r="BE57" s="41">
        <v>1</v>
      </c>
      <c r="BF57" s="41">
        <v>3</v>
      </c>
      <c r="BG57" s="41">
        <v>3</v>
      </c>
      <c r="BH57" s="41">
        <v>4</v>
      </c>
      <c r="BI57" s="41">
        <v>10</v>
      </c>
      <c r="BJ57" s="41">
        <v>7</v>
      </c>
      <c r="BK57" s="41">
        <v>2</v>
      </c>
      <c r="BL57" s="41">
        <v>4</v>
      </c>
      <c r="BM57" s="149">
        <v>1</v>
      </c>
      <c r="BN57" s="149">
        <v>1</v>
      </c>
      <c r="BO57" s="149">
        <v>3</v>
      </c>
      <c r="BP57" s="149">
        <v>4</v>
      </c>
      <c r="BQ57" s="149">
        <v>8</v>
      </c>
      <c r="BR57" s="180">
        <v>8</v>
      </c>
      <c r="BS57" s="180">
        <v>1</v>
      </c>
      <c r="BT57" s="180">
        <v>0</v>
      </c>
      <c r="BU57" s="180">
        <v>1</v>
      </c>
      <c r="BV57" s="180">
        <v>1</v>
      </c>
      <c r="BW57" s="149">
        <v>0</v>
      </c>
      <c r="BX57" s="149">
        <v>0</v>
      </c>
      <c r="BY57" s="149">
        <v>0</v>
      </c>
      <c r="BZ57" s="149">
        <v>0</v>
      </c>
      <c r="CA57" s="149">
        <v>0</v>
      </c>
      <c r="CB57" s="149">
        <v>0</v>
      </c>
      <c r="CC57" s="149">
        <v>0</v>
      </c>
      <c r="CD57" s="149">
        <v>0</v>
      </c>
      <c r="CE57" s="180">
        <v>0</v>
      </c>
      <c r="CF57" s="149">
        <v>0</v>
      </c>
      <c r="CG57" s="149">
        <v>0</v>
      </c>
      <c r="CH57" s="149">
        <v>0</v>
      </c>
      <c r="CI57" s="149">
        <v>0</v>
      </c>
      <c r="CJ57" s="149">
        <v>0</v>
      </c>
      <c r="CK57" s="149">
        <v>3</v>
      </c>
      <c r="CL57" s="149">
        <v>0</v>
      </c>
      <c r="CM57" s="149">
        <v>0</v>
      </c>
      <c r="CN57" s="149">
        <v>0</v>
      </c>
      <c r="CO57" s="149">
        <v>0</v>
      </c>
      <c r="CP57" s="149">
        <v>0</v>
      </c>
      <c r="CQ57" s="149">
        <v>0</v>
      </c>
      <c r="CR57" s="149">
        <v>0</v>
      </c>
      <c r="CS57" s="41">
        <v>1</v>
      </c>
      <c r="CT57" s="41">
        <v>0</v>
      </c>
      <c r="CU57" s="41">
        <v>0</v>
      </c>
      <c r="CV57" s="41">
        <v>0</v>
      </c>
      <c r="CW57" s="44">
        <v>0</v>
      </c>
      <c r="CX57" s="41">
        <v>0</v>
      </c>
      <c r="CY57" s="196">
        <v>1</v>
      </c>
      <c r="CZ57" s="41">
        <v>1</v>
      </c>
      <c r="DA57" s="41">
        <v>0</v>
      </c>
      <c r="DB57" s="41">
        <v>1</v>
      </c>
      <c r="DC57" s="41">
        <v>0</v>
      </c>
      <c r="DD57" s="41">
        <v>0</v>
      </c>
      <c r="DE57" s="41">
        <v>1</v>
      </c>
      <c r="DF57" s="41">
        <v>0</v>
      </c>
      <c r="DG57" s="41">
        <v>0</v>
      </c>
      <c r="DH57" s="44">
        <v>0</v>
      </c>
      <c r="DI57" s="41">
        <v>0</v>
      </c>
      <c r="DJ57" s="41">
        <v>0</v>
      </c>
      <c r="DK57" s="41">
        <v>0</v>
      </c>
      <c r="DL57" s="41">
        <v>0</v>
      </c>
      <c r="DM57" s="41">
        <v>0</v>
      </c>
      <c r="DN57" s="149">
        <v>14</v>
      </c>
      <c r="DO57" s="196">
        <v>1</v>
      </c>
      <c r="DP57" s="41">
        <v>0</v>
      </c>
      <c r="DQ57" s="41">
        <v>1</v>
      </c>
      <c r="DR57" s="41">
        <v>0</v>
      </c>
      <c r="DS57" s="41">
        <v>0</v>
      </c>
      <c r="DT57" s="44">
        <v>0</v>
      </c>
      <c r="DU57" s="44">
        <v>1</v>
      </c>
      <c r="DV57" s="44">
        <v>0</v>
      </c>
      <c r="DW57" s="44">
        <v>0</v>
      </c>
      <c r="DX57" s="44">
        <v>0</v>
      </c>
      <c r="DY57" s="44">
        <v>0</v>
      </c>
      <c r="DZ57" s="44">
        <v>0</v>
      </c>
      <c r="EA57" s="44">
        <v>0</v>
      </c>
      <c r="EB57" s="44">
        <v>0</v>
      </c>
      <c r="EC57" s="44">
        <v>0</v>
      </c>
      <c r="ED57" s="44">
        <v>0</v>
      </c>
      <c r="EE57" s="44">
        <v>0</v>
      </c>
      <c r="EF57" s="44">
        <v>0</v>
      </c>
      <c r="EG57" s="44">
        <v>0</v>
      </c>
      <c r="EH57" s="150">
        <f t="shared" si="15"/>
        <v>22</v>
      </c>
      <c r="EI57" s="208">
        <f t="shared" si="25"/>
        <v>652</v>
      </c>
      <c r="EJ57" s="150">
        <f t="shared" si="26"/>
        <v>470</v>
      </c>
      <c r="EK57" s="347">
        <f t="shared" si="2"/>
        <v>17</v>
      </c>
      <c r="EL57" s="287">
        <f t="shared" si="24"/>
        <v>0</v>
      </c>
      <c r="EM57" s="151">
        <f t="shared" si="19"/>
        <v>289</v>
      </c>
      <c r="EN57" s="153">
        <f t="shared" si="20"/>
        <v>87</v>
      </c>
      <c r="EO57" s="153">
        <f t="shared" si="21"/>
        <v>96</v>
      </c>
      <c r="EP57" s="152">
        <f t="shared" si="22"/>
        <v>108</v>
      </c>
      <c r="EQ57" s="152">
        <f t="shared" si="23"/>
        <v>64</v>
      </c>
      <c r="ER57" s="150">
        <f t="shared" si="9"/>
        <v>4</v>
      </c>
      <c r="ES57" s="152">
        <f t="shared" si="27"/>
        <v>20</v>
      </c>
      <c r="ET57" s="152">
        <f t="shared" si="18"/>
        <v>1</v>
      </c>
      <c r="EU57" s="57">
        <f t="shared" si="11"/>
        <v>26</v>
      </c>
      <c r="EV57" s="12">
        <f t="shared" si="12"/>
        <v>4</v>
      </c>
      <c r="EW57" s="259">
        <v>0</v>
      </c>
      <c r="EX57" s="12">
        <f t="shared" si="29"/>
        <v>647</v>
      </c>
      <c r="EY57" s="131">
        <f t="shared" si="28"/>
        <v>647</v>
      </c>
      <c r="EZ57" s="142">
        <v>0</v>
      </c>
    </row>
    <row r="58" spans="1:156" ht="45" customHeight="1" x14ac:dyDescent="0.25">
      <c r="A58" s="323"/>
      <c r="B58" s="83" t="s">
        <v>107</v>
      </c>
      <c r="C58" s="220">
        <v>0</v>
      </c>
      <c r="D58" s="182">
        <v>0</v>
      </c>
      <c r="E58" s="182">
        <v>0</v>
      </c>
      <c r="F58" s="182">
        <v>0</v>
      </c>
      <c r="G58" s="182">
        <v>0</v>
      </c>
      <c r="H58" s="182">
        <v>0</v>
      </c>
      <c r="I58" s="182">
        <v>0</v>
      </c>
      <c r="J58" s="182">
        <v>0</v>
      </c>
      <c r="K58" s="182">
        <v>0</v>
      </c>
      <c r="L58" s="182">
        <v>0</v>
      </c>
      <c r="M58" s="182">
        <v>0</v>
      </c>
      <c r="N58" s="182">
        <v>0</v>
      </c>
      <c r="O58" s="182">
        <v>0</v>
      </c>
      <c r="P58" s="183">
        <v>0</v>
      </c>
      <c r="Q58" s="183">
        <v>0</v>
      </c>
      <c r="R58" s="183">
        <v>0</v>
      </c>
      <c r="S58" s="183">
        <v>0</v>
      </c>
      <c r="T58" s="183">
        <v>0</v>
      </c>
      <c r="U58" s="183">
        <v>0</v>
      </c>
      <c r="V58" s="183">
        <v>0</v>
      </c>
      <c r="W58" s="183">
        <v>0</v>
      </c>
      <c r="X58" s="183">
        <v>0</v>
      </c>
      <c r="Y58" s="183">
        <v>0</v>
      </c>
      <c r="Z58" s="183">
        <v>0</v>
      </c>
      <c r="AA58" s="183">
        <v>0</v>
      </c>
      <c r="AB58" s="184">
        <v>0</v>
      </c>
      <c r="AC58" s="184">
        <v>0</v>
      </c>
      <c r="AD58" s="184">
        <v>0</v>
      </c>
      <c r="AE58" s="184">
        <v>0</v>
      </c>
      <c r="AF58" s="184">
        <v>0</v>
      </c>
      <c r="AG58" s="184">
        <v>0</v>
      </c>
      <c r="AH58" s="184">
        <v>0</v>
      </c>
      <c r="AI58" s="184">
        <v>0</v>
      </c>
      <c r="AJ58" s="185">
        <v>0</v>
      </c>
      <c r="AK58" s="185">
        <v>0</v>
      </c>
      <c r="AL58" s="185">
        <v>0</v>
      </c>
      <c r="AM58" s="185">
        <v>0</v>
      </c>
      <c r="AN58" s="41">
        <v>0</v>
      </c>
      <c r="AO58" s="41">
        <v>0</v>
      </c>
      <c r="AP58" s="41">
        <v>0</v>
      </c>
      <c r="AQ58" s="41">
        <v>0</v>
      </c>
      <c r="AR58" s="41">
        <v>0</v>
      </c>
      <c r="AS58" s="41">
        <v>0</v>
      </c>
      <c r="AT58" s="41">
        <v>0</v>
      </c>
      <c r="AU58" s="41">
        <v>0</v>
      </c>
      <c r="AV58" s="41">
        <v>0</v>
      </c>
      <c r="AW58" s="41">
        <v>12</v>
      </c>
      <c r="AX58" s="149">
        <v>0</v>
      </c>
      <c r="AY58" s="149">
        <v>0</v>
      </c>
      <c r="AZ58" s="149">
        <v>2</v>
      </c>
      <c r="BA58" s="149">
        <v>2</v>
      </c>
      <c r="BB58" s="149">
        <v>0</v>
      </c>
      <c r="BC58" s="41">
        <v>0</v>
      </c>
      <c r="BD58" s="41">
        <v>2</v>
      </c>
      <c r="BE58" s="41">
        <v>0</v>
      </c>
      <c r="BF58" s="41">
        <v>0</v>
      </c>
      <c r="BG58" s="41">
        <v>0</v>
      </c>
      <c r="BH58" s="41">
        <v>0</v>
      </c>
      <c r="BI58" s="41">
        <v>0</v>
      </c>
      <c r="BJ58" s="41">
        <v>0</v>
      </c>
      <c r="BK58" s="41">
        <v>0</v>
      </c>
      <c r="BL58" s="41">
        <v>2</v>
      </c>
      <c r="BM58" s="149">
        <v>1</v>
      </c>
      <c r="BN58" s="149">
        <v>0</v>
      </c>
      <c r="BO58" s="149">
        <v>0</v>
      </c>
      <c r="BP58" s="149">
        <v>0</v>
      </c>
      <c r="BQ58" s="149">
        <v>0</v>
      </c>
      <c r="BR58" s="180">
        <v>4</v>
      </c>
      <c r="BS58" s="180">
        <v>15</v>
      </c>
      <c r="BT58" s="180">
        <v>3</v>
      </c>
      <c r="BU58" s="180">
        <v>0</v>
      </c>
      <c r="BV58" s="180">
        <v>6</v>
      </c>
      <c r="BW58" s="149">
        <v>2</v>
      </c>
      <c r="BX58" s="149">
        <v>0</v>
      </c>
      <c r="BY58" s="149">
        <v>0</v>
      </c>
      <c r="BZ58" s="149">
        <v>0</v>
      </c>
      <c r="CA58" s="149">
        <v>0</v>
      </c>
      <c r="CB58" s="149">
        <v>0</v>
      </c>
      <c r="CC58" s="149">
        <v>0</v>
      </c>
      <c r="CD58" s="149">
        <v>0</v>
      </c>
      <c r="CE58" s="180">
        <v>0</v>
      </c>
      <c r="CF58" s="149">
        <v>0</v>
      </c>
      <c r="CG58" s="149">
        <v>0</v>
      </c>
      <c r="CH58" s="149">
        <v>0</v>
      </c>
      <c r="CI58" s="149">
        <v>1</v>
      </c>
      <c r="CJ58" s="149">
        <v>0</v>
      </c>
      <c r="CK58" s="149">
        <v>0</v>
      </c>
      <c r="CL58" s="149">
        <v>0</v>
      </c>
      <c r="CM58" s="149">
        <v>0</v>
      </c>
      <c r="CN58" s="149">
        <v>0</v>
      </c>
      <c r="CO58" s="149">
        <v>0</v>
      </c>
      <c r="CP58" s="149">
        <v>0</v>
      </c>
      <c r="CQ58" s="149">
        <v>0</v>
      </c>
      <c r="CR58" s="149">
        <v>0</v>
      </c>
      <c r="CS58" s="41">
        <v>3</v>
      </c>
      <c r="CT58" s="41">
        <v>3</v>
      </c>
      <c r="CU58" s="41">
        <v>1</v>
      </c>
      <c r="CV58" s="41">
        <v>0</v>
      </c>
      <c r="CW58" s="44">
        <v>0</v>
      </c>
      <c r="CX58" s="41">
        <v>0</v>
      </c>
      <c r="CY58" s="149">
        <v>0</v>
      </c>
      <c r="CZ58" s="41">
        <v>0</v>
      </c>
      <c r="DA58" s="41">
        <v>0</v>
      </c>
      <c r="DB58" s="41">
        <v>0</v>
      </c>
      <c r="DC58" s="41">
        <v>0</v>
      </c>
      <c r="DD58" s="41">
        <v>0</v>
      </c>
      <c r="DE58" s="41">
        <v>0</v>
      </c>
      <c r="DF58" s="41">
        <v>1</v>
      </c>
      <c r="DG58" s="41">
        <v>0</v>
      </c>
      <c r="DH58" s="44">
        <v>0</v>
      </c>
      <c r="DI58" s="41">
        <v>0</v>
      </c>
      <c r="DJ58" s="41">
        <v>0</v>
      </c>
      <c r="DK58" s="41">
        <v>0</v>
      </c>
      <c r="DL58" s="41">
        <v>0</v>
      </c>
      <c r="DM58" s="41">
        <v>0</v>
      </c>
      <c r="DN58" s="149">
        <v>4</v>
      </c>
      <c r="DO58" s="149">
        <v>1</v>
      </c>
      <c r="DP58" s="41">
        <v>2</v>
      </c>
      <c r="DQ58" s="41">
        <v>1</v>
      </c>
      <c r="DR58" s="41">
        <v>3</v>
      </c>
      <c r="DS58" s="41">
        <v>0</v>
      </c>
      <c r="DT58" s="44">
        <v>0</v>
      </c>
      <c r="DU58" s="44">
        <v>1</v>
      </c>
      <c r="DV58" s="44">
        <v>0</v>
      </c>
      <c r="DW58" s="44">
        <v>0</v>
      </c>
      <c r="DX58" s="44">
        <v>1</v>
      </c>
      <c r="DY58" s="44">
        <v>0</v>
      </c>
      <c r="DZ58" s="44">
        <v>0</v>
      </c>
      <c r="EA58" s="44">
        <v>0</v>
      </c>
      <c r="EB58" s="44">
        <v>0</v>
      </c>
      <c r="EC58" s="44">
        <v>0</v>
      </c>
      <c r="ED58" s="44">
        <v>0</v>
      </c>
      <c r="EE58" s="44">
        <v>0</v>
      </c>
      <c r="EF58" s="44">
        <v>0</v>
      </c>
      <c r="EG58" s="44">
        <v>0</v>
      </c>
      <c r="EH58" s="150">
        <f t="shared" si="15"/>
        <v>21</v>
      </c>
      <c r="EI58" s="208">
        <f t="shared" si="25"/>
        <v>60</v>
      </c>
      <c r="EJ58" s="150">
        <f t="shared" si="26"/>
        <v>60</v>
      </c>
      <c r="EK58" s="347">
        <f t="shared" si="2"/>
        <v>13</v>
      </c>
      <c r="EL58" s="287">
        <f t="shared" si="24"/>
        <v>0</v>
      </c>
      <c r="EM58" s="151">
        <f t="shared" si="19"/>
        <v>0</v>
      </c>
      <c r="EN58" s="153">
        <f t="shared" si="20"/>
        <v>0</v>
      </c>
      <c r="EO58" s="153">
        <f t="shared" si="21"/>
        <v>0</v>
      </c>
      <c r="EP58" s="152">
        <f t="shared" si="22"/>
        <v>12</v>
      </c>
      <c r="EQ58" s="152">
        <f t="shared" si="23"/>
        <v>39</v>
      </c>
      <c r="ER58" s="150">
        <f t="shared" si="9"/>
        <v>8</v>
      </c>
      <c r="ES58" s="152">
        <f t="shared" si="27"/>
        <v>12</v>
      </c>
      <c r="ET58" s="152">
        <f t="shared" si="18"/>
        <v>2</v>
      </c>
      <c r="EU58" s="57">
        <f t="shared" ref="EU58:EU64" si="30">SUM(BP58:CK58)</f>
        <v>31</v>
      </c>
      <c r="EV58" s="12">
        <f t="shared" si="12"/>
        <v>8</v>
      </c>
      <c r="EW58" s="259">
        <v>0</v>
      </c>
      <c r="EX58" s="12">
        <f t="shared" si="29"/>
        <v>52</v>
      </c>
      <c r="EY58" s="131">
        <f t="shared" si="28"/>
        <v>60</v>
      </c>
      <c r="EZ58" s="142">
        <v>0</v>
      </c>
    </row>
    <row r="59" spans="1:156" ht="45" customHeight="1" x14ac:dyDescent="0.25">
      <c r="A59" s="323"/>
      <c r="B59" s="83" t="s">
        <v>108</v>
      </c>
      <c r="C59" s="220">
        <v>0</v>
      </c>
      <c r="D59" s="182">
        <v>0</v>
      </c>
      <c r="E59" s="182">
        <v>0</v>
      </c>
      <c r="F59" s="182">
        <v>0</v>
      </c>
      <c r="G59" s="182">
        <v>0</v>
      </c>
      <c r="H59" s="182">
        <v>0</v>
      </c>
      <c r="I59" s="182">
        <v>0</v>
      </c>
      <c r="J59" s="182">
        <v>0</v>
      </c>
      <c r="K59" s="182">
        <v>0</v>
      </c>
      <c r="L59" s="182">
        <v>0</v>
      </c>
      <c r="M59" s="182">
        <v>0</v>
      </c>
      <c r="N59" s="182">
        <v>0</v>
      </c>
      <c r="O59" s="182">
        <v>0</v>
      </c>
      <c r="P59" s="182">
        <v>0</v>
      </c>
      <c r="Q59" s="182">
        <v>0</v>
      </c>
      <c r="R59" s="182">
        <v>0</v>
      </c>
      <c r="S59" s="182">
        <v>0</v>
      </c>
      <c r="T59" s="182">
        <v>0</v>
      </c>
      <c r="U59" s="182">
        <v>0</v>
      </c>
      <c r="V59" s="182">
        <v>0</v>
      </c>
      <c r="W59" s="182">
        <v>0</v>
      </c>
      <c r="X59" s="182">
        <v>0</v>
      </c>
      <c r="Y59" s="182">
        <v>0</v>
      </c>
      <c r="Z59" s="182">
        <v>0</v>
      </c>
      <c r="AA59" s="182">
        <v>0</v>
      </c>
      <c r="AB59" s="182">
        <v>0</v>
      </c>
      <c r="AC59" s="182">
        <v>0</v>
      </c>
      <c r="AD59" s="182">
        <v>0</v>
      </c>
      <c r="AE59" s="182">
        <v>0</v>
      </c>
      <c r="AF59" s="182">
        <v>0</v>
      </c>
      <c r="AG59" s="182">
        <v>0</v>
      </c>
      <c r="AH59" s="182">
        <v>0</v>
      </c>
      <c r="AI59" s="182">
        <v>0</v>
      </c>
      <c r="AJ59" s="41">
        <v>0</v>
      </c>
      <c r="AK59" s="41">
        <v>0</v>
      </c>
      <c r="AL59" s="41">
        <v>0</v>
      </c>
      <c r="AM59" s="41">
        <v>0</v>
      </c>
      <c r="AN59" s="41">
        <v>0</v>
      </c>
      <c r="AO59" s="41">
        <v>0</v>
      </c>
      <c r="AP59" s="41">
        <v>0</v>
      </c>
      <c r="AQ59" s="41">
        <v>0</v>
      </c>
      <c r="AR59" s="41">
        <v>0</v>
      </c>
      <c r="AS59" s="41">
        <v>0</v>
      </c>
      <c r="AT59" s="41">
        <v>2</v>
      </c>
      <c r="AU59" s="41">
        <v>0</v>
      </c>
      <c r="AV59" s="41">
        <v>0</v>
      </c>
      <c r="AW59" s="41">
        <v>0</v>
      </c>
      <c r="AX59" s="149">
        <v>0</v>
      </c>
      <c r="AY59" s="149">
        <v>0</v>
      </c>
      <c r="AZ59" s="149">
        <v>0</v>
      </c>
      <c r="BA59" s="149">
        <v>0</v>
      </c>
      <c r="BB59" s="149">
        <v>0</v>
      </c>
      <c r="BC59" s="41">
        <v>0</v>
      </c>
      <c r="BD59" s="41">
        <v>0</v>
      </c>
      <c r="BE59" s="41">
        <v>0</v>
      </c>
      <c r="BF59" s="41">
        <v>0</v>
      </c>
      <c r="BG59" s="41">
        <v>1</v>
      </c>
      <c r="BH59" s="41">
        <v>0</v>
      </c>
      <c r="BI59" s="41">
        <v>0</v>
      </c>
      <c r="BJ59" s="41">
        <v>0</v>
      </c>
      <c r="BK59" s="41">
        <v>1</v>
      </c>
      <c r="BL59" s="41">
        <v>0</v>
      </c>
      <c r="BM59" s="149">
        <v>0</v>
      </c>
      <c r="BN59" s="149">
        <v>0</v>
      </c>
      <c r="BO59" s="149">
        <v>0</v>
      </c>
      <c r="BP59" s="149">
        <v>0</v>
      </c>
      <c r="BQ59" s="149">
        <v>0</v>
      </c>
      <c r="BR59" s="180">
        <v>0</v>
      </c>
      <c r="BS59" s="180">
        <v>0</v>
      </c>
      <c r="BT59" s="180">
        <v>0</v>
      </c>
      <c r="BU59" s="180">
        <v>0</v>
      </c>
      <c r="BV59" s="180">
        <v>0</v>
      </c>
      <c r="BW59" s="149">
        <v>0</v>
      </c>
      <c r="BX59" s="149">
        <v>0</v>
      </c>
      <c r="BY59" s="149">
        <v>0</v>
      </c>
      <c r="BZ59" s="149">
        <v>0</v>
      </c>
      <c r="CA59" s="149">
        <v>0</v>
      </c>
      <c r="CB59" s="149">
        <v>0</v>
      </c>
      <c r="CC59" s="149">
        <v>0</v>
      </c>
      <c r="CD59" s="149">
        <v>0</v>
      </c>
      <c r="CE59" s="180">
        <v>0</v>
      </c>
      <c r="CF59" s="149">
        <v>0</v>
      </c>
      <c r="CG59" s="149">
        <v>0</v>
      </c>
      <c r="CH59" s="186">
        <v>0</v>
      </c>
      <c r="CI59" s="186">
        <v>0</v>
      </c>
      <c r="CJ59" s="149">
        <v>0</v>
      </c>
      <c r="CK59" s="149">
        <v>0</v>
      </c>
      <c r="CL59" s="149">
        <v>0</v>
      </c>
      <c r="CM59" s="149">
        <v>0</v>
      </c>
      <c r="CN59" s="149">
        <v>0</v>
      </c>
      <c r="CO59" s="149">
        <v>0</v>
      </c>
      <c r="CP59" s="149">
        <v>0</v>
      </c>
      <c r="CQ59" s="149">
        <v>0</v>
      </c>
      <c r="CR59" s="149">
        <v>0</v>
      </c>
      <c r="CS59" s="41">
        <v>0</v>
      </c>
      <c r="CT59" s="41">
        <v>0</v>
      </c>
      <c r="CU59" s="41">
        <v>0</v>
      </c>
      <c r="CV59" s="41">
        <v>0</v>
      </c>
      <c r="CW59" s="44">
        <v>0</v>
      </c>
      <c r="CX59" s="41">
        <v>0</v>
      </c>
      <c r="CY59" s="149">
        <v>0</v>
      </c>
      <c r="CZ59" s="41">
        <v>0</v>
      </c>
      <c r="DA59" s="41">
        <v>0</v>
      </c>
      <c r="DB59" s="41">
        <v>0</v>
      </c>
      <c r="DC59" s="41">
        <v>0</v>
      </c>
      <c r="DD59" s="41">
        <v>0</v>
      </c>
      <c r="DE59" s="41">
        <v>0</v>
      </c>
      <c r="DF59" s="41">
        <v>0</v>
      </c>
      <c r="DG59" s="41">
        <v>0</v>
      </c>
      <c r="DH59" s="44">
        <v>0</v>
      </c>
      <c r="DI59" s="41">
        <v>0</v>
      </c>
      <c r="DJ59" s="41">
        <v>0</v>
      </c>
      <c r="DK59" s="41">
        <v>0</v>
      </c>
      <c r="DL59" s="41">
        <v>0</v>
      </c>
      <c r="DM59" s="41">
        <v>0</v>
      </c>
      <c r="DN59" s="149">
        <v>0</v>
      </c>
      <c r="DO59" s="149">
        <v>0</v>
      </c>
      <c r="DP59" s="41">
        <v>0</v>
      </c>
      <c r="DQ59" s="41">
        <v>0</v>
      </c>
      <c r="DR59" s="41">
        <v>0</v>
      </c>
      <c r="DS59" s="41">
        <v>0</v>
      </c>
      <c r="DT59" s="44">
        <v>0</v>
      </c>
      <c r="DU59" s="44">
        <v>0</v>
      </c>
      <c r="DV59" s="44">
        <v>0</v>
      </c>
      <c r="DW59" s="44">
        <v>0</v>
      </c>
      <c r="DX59" s="44">
        <v>0</v>
      </c>
      <c r="DY59" s="44">
        <v>0</v>
      </c>
      <c r="DZ59" s="44">
        <v>0</v>
      </c>
      <c r="EA59" s="44">
        <v>0</v>
      </c>
      <c r="EB59" s="44">
        <v>0</v>
      </c>
      <c r="EC59" s="44">
        <v>0</v>
      </c>
      <c r="ED59" s="44">
        <v>0</v>
      </c>
      <c r="EE59" s="44">
        <v>0</v>
      </c>
      <c r="EF59" s="44">
        <v>0</v>
      </c>
      <c r="EG59" s="44">
        <v>0</v>
      </c>
      <c r="EH59" s="150">
        <f t="shared" si="15"/>
        <v>0</v>
      </c>
      <c r="EI59" s="208">
        <f t="shared" si="25"/>
        <v>4</v>
      </c>
      <c r="EJ59" s="150">
        <f t="shared" si="26"/>
        <v>4</v>
      </c>
      <c r="EK59" s="347">
        <f t="shared" si="2"/>
        <v>0</v>
      </c>
      <c r="EL59" s="287">
        <f t="shared" si="24"/>
        <v>0</v>
      </c>
      <c r="EM59" s="151">
        <f t="shared" si="19"/>
        <v>0</v>
      </c>
      <c r="EN59" s="153">
        <f t="shared" si="20"/>
        <v>0</v>
      </c>
      <c r="EO59" s="153">
        <f t="shared" si="21"/>
        <v>0</v>
      </c>
      <c r="EP59" s="152">
        <f t="shared" si="22"/>
        <v>2</v>
      </c>
      <c r="EQ59" s="152">
        <f t="shared" si="23"/>
        <v>2</v>
      </c>
      <c r="ER59" s="150">
        <f t="shared" si="9"/>
        <v>0</v>
      </c>
      <c r="ES59" s="152">
        <f t="shared" si="27"/>
        <v>0</v>
      </c>
      <c r="ET59" s="152">
        <f t="shared" si="18"/>
        <v>0</v>
      </c>
      <c r="EU59" s="57">
        <f t="shared" si="30"/>
        <v>0</v>
      </c>
      <c r="EV59" s="12">
        <f t="shared" si="12"/>
        <v>0</v>
      </c>
      <c r="EW59" s="259">
        <v>0</v>
      </c>
      <c r="EX59" s="12">
        <f t="shared" si="29"/>
        <v>4</v>
      </c>
      <c r="EY59" s="131">
        <f t="shared" si="28"/>
        <v>4</v>
      </c>
      <c r="EZ59" s="142">
        <v>0</v>
      </c>
    </row>
    <row r="60" spans="1:156" ht="30" customHeight="1" x14ac:dyDescent="0.25">
      <c r="A60" s="324" t="s">
        <v>57</v>
      </c>
      <c r="B60" s="238" t="s">
        <v>54</v>
      </c>
      <c r="C60" s="189">
        <v>0</v>
      </c>
      <c r="D60" s="33">
        <v>0</v>
      </c>
      <c r="E60" s="33">
        <v>0</v>
      </c>
      <c r="F60" s="33">
        <v>0</v>
      </c>
      <c r="G60" s="33">
        <v>0</v>
      </c>
      <c r="H60" s="33">
        <v>0</v>
      </c>
      <c r="I60" s="33">
        <v>0</v>
      </c>
      <c r="J60" s="33">
        <v>0</v>
      </c>
      <c r="K60" s="33">
        <v>0</v>
      </c>
      <c r="L60" s="33">
        <v>0</v>
      </c>
      <c r="M60" s="33">
        <v>0</v>
      </c>
      <c r="N60" s="33">
        <v>0</v>
      </c>
      <c r="O60" s="33">
        <v>0</v>
      </c>
      <c r="P60" s="33">
        <v>0</v>
      </c>
      <c r="Q60" s="33">
        <v>0</v>
      </c>
      <c r="R60" s="33">
        <v>0</v>
      </c>
      <c r="S60" s="33">
        <v>0</v>
      </c>
      <c r="T60" s="33">
        <v>0</v>
      </c>
      <c r="U60" s="33">
        <v>0</v>
      </c>
      <c r="V60" s="33">
        <v>0</v>
      </c>
      <c r="W60" s="33">
        <v>0</v>
      </c>
      <c r="X60" s="33">
        <v>0</v>
      </c>
      <c r="Y60" s="33">
        <v>0</v>
      </c>
      <c r="Z60" s="33">
        <v>0</v>
      </c>
      <c r="AA60" s="33">
        <v>0</v>
      </c>
      <c r="AB60" s="33">
        <v>109000000</v>
      </c>
      <c r="AC60" s="33">
        <v>0</v>
      </c>
      <c r="AD60" s="33">
        <v>0</v>
      </c>
      <c r="AE60" s="33">
        <v>0</v>
      </c>
      <c r="AF60" s="33">
        <v>0</v>
      </c>
      <c r="AG60" s="33">
        <v>0</v>
      </c>
      <c r="AH60" s="33">
        <v>0</v>
      </c>
      <c r="AI60" s="33">
        <v>0</v>
      </c>
      <c r="AJ60" s="34">
        <v>0</v>
      </c>
      <c r="AK60" s="34">
        <v>0</v>
      </c>
      <c r="AL60" s="34">
        <v>26985874</v>
      </c>
      <c r="AM60" s="34">
        <v>30931661</v>
      </c>
      <c r="AN60" s="34">
        <v>38925806</v>
      </c>
      <c r="AO60" s="34">
        <v>0</v>
      </c>
      <c r="AP60" s="34">
        <v>0</v>
      </c>
      <c r="AQ60" s="34">
        <v>0</v>
      </c>
      <c r="AR60" s="34">
        <v>0</v>
      </c>
      <c r="AS60" s="34">
        <v>0</v>
      </c>
      <c r="AT60" s="34">
        <v>0</v>
      </c>
      <c r="AU60" s="34">
        <v>0</v>
      </c>
      <c r="AV60" s="34">
        <v>0</v>
      </c>
      <c r="AW60" s="34">
        <v>0</v>
      </c>
      <c r="AX60" s="137">
        <v>0</v>
      </c>
      <c r="AY60" s="137">
        <v>0</v>
      </c>
      <c r="AZ60" s="137">
        <v>0</v>
      </c>
      <c r="BA60" s="137">
        <v>0</v>
      </c>
      <c r="BB60" s="137">
        <v>0</v>
      </c>
      <c r="BC60" s="34">
        <v>0</v>
      </c>
      <c r="BD60" s="34">
        <v>0</v>
      </c>
      <c r="BE60" s="34">
        <v>0</v>
      </c>
      <c r="BF60" s="34">
        <v>0</v>
      </c>
      <c r="BG60" s="34">
        <v>0</v>
      </c>
      <c r="BH60" s="34">
        <v>0</v>
      </c>
      <c r="BI60" s="34">
        <v>0</v>
      </c>
      <c r="BJ60" s="34">
        <v>0</v>
      </c>
      <c r="BK60" s="34">
        <v>0</v>
      </c>
      <c r="BL60" s="34">
        <v>0</v>
      </c>
      <c r="BM60" s="34">
        <v>0</v>
      </c>
      <c r="BN60" s="34">
        <v>0</v>
      </c>
      <c r="BO60" s="34">
        <v>0</v>
      </c>
      <c r="BP60" s="34">
        <v>0</v>
      </c>
      <c r="BQ60" s="34">
        <v>0</v>
      </c>
      <c r="BR60" s="42">
        <v>0</v>
      </c>
      <c r="BS60" s="42">
        <v>0</v>
      </c>
      <c r="BT60" s="42">
        <v>0</v>
      </c>
      <c r="BU60" s="42">
        <v>0</v>
      </c>
      <c r="BV60" s="42">
        <v>0</v>
      </c>
      <c r="BW60" s="34">
        <v>0</v>
      </c>
      <c r="BX60" s="34">
        <v>0</v>
      </c>
      <c r="BY60" s="34">
        <v>0</v>
      </c>
      <c r="BZ60" s="34">
        <v>0</v>
      </c>
      <c r="CA60" s="34">
        <v>0</v>
      </c>
      <c r="CB60" s="34">
        <v>0</v>
      </c>
      <c r="CC60" s="34">
        <v>0</v>
      </c>
      <c r="CD60" s="34">
        <v>0</v>
      </c>
      <c r="CE60" s="42">
        <v>0</v>
      </c>
      <c r="CF60" s="34">
        <v>0</v>
      </c>
      <c r="CG60" s="34">
        <v>0</v>
      </c>
      <c r="CH60" s="55">
        <v>0</v>
      </c>
      <c r="CI60" s="55">
        <v>0</v>
      </c>
      <c r="CJ60" s="34">
        <v>0</v>
      </c>
      <c r="CK60" s="34">
        <v>0</v>
      </c>
      <c r="CL60" s="34">
        <v>0</v>
      </c>
      <c r="CM60" s="34">
        <v>0</v>
      </c>
      <c r="CN60" s="34">
        <v>0</v>
      </c>
      <c r="CO60" s="34">
        <v>0</v>
      </c>
      <c r="CP60" s="34">
        <v>0</v>
      </c>
      <c r="CQ60" s="34">
        <v>0</v>
      </c>
      <c r="CR60" s="34">
        <v>0</v>
      </c>
      <c r="CS60" s="54">
        <v>16441643</v>
      </c>
      <c r="CT60" s="54">
        <v>15070896</v>
      </c>
      <c r="CU60" s="54">
        <v>5659259</v>
      </c>
      <c r="CV60" s="54">
        <v>3436070</v>
      </c>
      <c r="CW60" s="77">
        <v>4933292</v>
      </c>
      <c r="CX60" s="54">
        <v>6383935</v>
      </c>
      <c r="CY60" s="148">
        <v>0</v>
      </c>
      <c r="CZ60" s="34">
        <v>0</v>
      </c>
      <c r="DA60" s="34">
        <v>0</v>
      </c>
      <c r="DB60" s="34">
        <v>0</v>
      </c>
      <c r="DC60" s="34">
        <v>0</v>
      </c>
      <c r="DD60" s="34">
        <v>0</v>
      </c>
      <c r="DE60" s="34">
        <v>0</v>
      </c>
      <c r="DF60" s="34">
        <v>0</v>
      </c>
      <c r="DG60" s="34">
        <v>0</v>
      </c>
      <c r="DH60" s="42">
        <v>0</v>
      </c>
      <c r="DI60" s="34">
        <v>0</v>
      </c>
      <c r="DJ60" s="34">
        <v>0</v>
      </c>
      <c r="DK60" s="34">
        <v>0</v>
      </c>
      <c r="DL60" s="34">
        <v>0</v>
      </c>
      <c r="DM60" s="34">
        <v>0</v>
      </c>
      <c r="DN60" s="34">
        <v>0</v>
      </c>
      <c r="DO60" s="34">
        <v>0</v>
      </c>
      <c r="DP60" s="34">
        <v>0</v>
      </c>
      <c r="DQ60" s="34">
        <v>0</v>
      </c>
      <c r="DR60" s="34">
        <f>10428636+6003089</f>
        <v>16431725</v>
      </c>
      <c r="DS60" s="118">
        <v>7458994</v>
      </c>
      <c r="DT60" s="134">
        <v>12747947</v>
      </c>
      <c r="DU60" s="134">
        <v>9684517</v>
      </c>
      <c r="DV60" s="134">
        <v>8645031</v>
      </c>
      <c r="DW60" s="134">
        <v>8968364</v>
      </c>
      <c r="DX60" s="134">
        <v>4201634</v>
      </c>
      <c r="DY60" s="134">
        <v>4840844</v>
      </c>
      <c r="DZ60" s="134">
        <v>8734477</v>
      </c>
      <c r="EA60" s="134">
        <v>8948605</v>
      </c>
      <c r="EB60" s="138">
        <v>0</v>
      </c>
      <c r="EC60" s="134">
        <v>0</v>
      </c>
      <c r="ED60" s="138">
        <v>12199980</v>
      </c>
      <c r="EE60" s="134">
        <v>6267081</v>
      </c>
      <c r="EF60" s="138">
        <v>5632742</v>
      </c>
      <c r="EG60" s="134">
        <v>0</v>
      </c>
      <c r="EH60" s="150">
        <f t="shared" si="15"/>
        <v>166687036</v>
      </c>
      <c r="EI60" s="208">
        <f t="shared" si="25"/>
        <v>257768436</v>
      </c>
      <c r="EJ60" s="150">
        <f>SUM(J60:DM60)</f>
        <v>257768436</v>
      </c>
      <c r="EK60" s="347">
        <f t="shared" si="2"/>
        <v>114761941</v>
      </c>
      <c r="EL60" s="287">
        <f t="shared" si="24"/>
        <v>0</v>
      </c>
      <c r="EM60" s="151">
        <f t="shared" si="19"/>
        <v>0</v>
      </c>
      <c r="EN60" s="153">
        <f t="shared" si="20"/>
        <v>0</v>
      </c>
      <c r="EO60" s="153">
        <f t="shared" si="21"/>
        <v>166917535</v>
      </c>
      <c r="EP60" s="152">
        <f t="shared" si="22"/>
        <v>38925806</v>
      </c>
      <c r="EQ60" s="152">
        <f t="shared" si="23"/>
        <v>0</v>
      </c>
      <c r="ER60" s="150">
        <f t="shared" si="9"/>
        <v>37171798</v>
      </c>
      <c r="ES60" s="152">
        <f t="shared" si="27"/>
        <v>38644016</v>
      </c>
      <c r="ET60" s="152">
        <f t="shared" si="18"/>
        <v>66771419</v>
      </c>
      <c r="EU60" s="57">
        <f t="shared" si="30"/>
        <v>0</v>
      </c>
      <c r="EV60" s="12">
        <f t="shared" si="12"/>
        <v>37171798</v>
      </c>
      <c r="EW60" s="259">
        <v>0</v>
      </c>
      <c r="EX60" s="12">
        <f t="shared" si="29"/>
        <v>205843341</v>
      </c>
      <c r="EY60" s="131">
        <f t="shared" si="28"/>
        <v>257768436</v>
      </c>
      <c r="EZ60" s="142">
        <v>0</v>
      </c>
    </row>
    <row r="61" spans="1:156" ht="30" customHeight="1" x14ac:dyDescent="0.25">
      <c r="A61" s="324"/>
      <c r="B61" s="239" t="s">
        <v>155</v>
      </c>
      <c r="C61" s="189">
        <v>0</v>
      </c>
      <c r="D61" s="33">
        <v>0</v>
      </c>
      <c r="E61" s="33">
        <v>0</v>
      </c>
      <c r="F61" s="33">
        <v>0</v>
      </c>
      <c r="G61" s="33">
        <v>0</v>
      </c>
      <c r="H61" s="33">
        <v>0</v>
      </c>
      <c r="I61" s="33">
        <v>0</v>
      </c>
      <c r="J61" s="33">
        <v>0</v>
      </c>
      <c r="K61" s="33">
        <v>0</v>
      </c>
      <c r="L61" s="33">
        <v>0</v>
      </c>
      <c r="M61" s="33">
        <v>0</v>
      </c>
      <c r="N61" s="33">
        <v>0</v>
      </c>
      <c r="O61" s="33">
        <v>0</v>
      </c>
      <c r="P61" s="33">
        <v>0</v>
      </c>
      <c r="Q61" s="33">
        <v>0</v>
      </c>
      <c r="R61" s="33">
        <v>0</v>
      </c>
      <c r="S61" s="33">
        <v>0</v>
      </c>
      <c r="T61" s="33">
        <v>0</v>
      </c>
      <c r="U61" s="33">
        <v>0</v>
      </c>
      <c r="V61" s="33">
        <v>0</v>
      </c>
      <c r="W61" s="33">
        <v>0</v>
      </c>
      <c r="X61" s="33">
        <v>0</v>
      </c>
      <c r="Y61" s="33">
        <v>0</v>
      </c>
      <c r="Z61" s="33">
        <v>0</v>
      </c>
      <c r="AA61" s="33">
        <v>0</v>
      </c>
      <c r="AB61" s="33">
        <v>5198</v>
      </c>
      <c r="AC61" s="33">
        <v>0</v>
      </c>
      <c r="AD61" s="33">
        <v>0</v>
      </c>
      <c r="AE61" s="33">
        <v>0</v>
      </c>
      <c r="AF61" s="33">
        <v>0</v>
      </c>
      <c r="AG61" s="33">
        <v>0</v>
      </c>
      <c r="AH61" s="33">
        <v>0</v>
      </c>
      <c r="AI61" s="33">
        <v>0</v>
      </c>
      <c r="AJ61" s="34">
        <v>0</v>
      </c>
      <c r="AK61" s="34">
        <v>0</v>
      </c>
      <c r="AL61" s="34">
        <v>554</v>
      </c>
      <c r="AM61" s="34">
        <v>1572</v>
      </c>
      <c r="AN61" s="34">
        <v>846</v>
      </c>
      <c r="AO61" s="34">
        <v>0</v>
      </c>
      <c r="AP61" s="34">
        <v>0</v>
      </c>
      <c r="AQ61" s="34">
        <v>0</v>
      </c>
      <c r="AR61" s="34">
        <v>0</v>
      </c>
      <c r="AS61" s="34">
        <v>0</v>
      </c>
      <c r="AT61" s="34">
        <v>0</v>
      </c>
      <c r="AU61" s="34">
        <v>0</v>
      </c>
      <c r="AV61" s="34">
        <v>0</v>
      </c>
      <c r="AW61" s="34">
        <v>0</v>
      </c>
      <c r="AX61" s="178">
        <v>2</v>
      </c>
      <c r="AY61" s="178">
        <v>3</v>
      </c>
      <c r="AZ61" s="178">
        <v>4</v>
      </c>
      <c r="BA61" s="137">
        <v>0</v>
      </c>
      <c r="BB61" s="137">
        <v>0</v>
      </c>
      <c r="BC61" s="34">
        <v>0</v>
      </c>
      <c r="BD61" s="34">
        <v>0</v>
      </c>
      <c r="BE61" s="34">
        <v>0</v>
      </c>
      <c r="BF61" s="34">
        <v>0</v>
      </c>
      <c r="BG61" s="34">
        <v>0</v>
      </c>
      <c r="BH61" s="34">
        <v>0</v>
      </c>
      <c r="BI61" s="34">
        <v>0</v>
      </c>
      <c r="BJ61" s="34">
        <v>0</v>
      </c>
      <c r="BK61" s="34">
        <v>0</v>
      </c>
      <c r="BL61" s="34">
        <v>0</v>
      </c>
      <c r="BM61" s="34">
        <v>0</v>
      </c>
      <c r="BN61" s="34">
        <v>0</v>
      </c>
      <c r="BO61" s="34">
        <v>0</v>
      </c>
      <c r="BP61" s="34">
        <v>0</v>
      </c>
      <c r="BQ61" s="34">
        <v>0</v>
      </c>
      <c r="BR61" s="42">
        <v>0</v>
      </c>
      <c r="BS61" s="42">
        <v>0</v>
      </c>
      <c r="BT61" s="42">
        <v>0</v>
      </c>
      <c r="BU61" s="42">
        <v>0</v>
      </c>
      <c r="BV61" s="174">
        <v>4</v>
      </c>
      <c r="BW61" s="173">
        <v>3</v>
      </c>
      <c r="BX61" s="34">
        <v>0</v>
      </c>
      <c r="BY61" s="34">
        <v>0</v>
      </c>
      <c r="BZ61" s="34">
        <v>0</v>
      </c>
      <c r="CA61" s="34">
        <v>0</v>
      </c>
      <c r="CB61" s="34">
        <v>0</v>
      </c>
      <c r="CC61" s="34">
        <v>0</v>
      </c>
      <c r="CD61" s="34">
        <v>0</v>
      </c>
      <c r="CE61" s="42">
        <v>0</v>
      </c>
      <c r="CF61" s="34">
        <v>0</v>
      </c>
      <c r="CG61" s="34">
        <v>0</v>
      </c>
      <c r="CH61" s="55">
        <v>0</v>
      </c>
      <c r="CI61" s="55">
        <v>0</v>
      </c>
      <c r="CJ61" s="34">
        <v>0</v>
      </c>
      <c r="CK61" s="34">
        <v>0</v>
      </c>
      <c r="CL61" s="34">
        <v>0</v>
      </c>
      <c r="CM61" s="34">
        <v>0</v>
      </c>
      <c r="CN61" s="34">
        <v>0</v>
      </c>
      <c r="CO61" s="34">
        <v>0</v>
      </c>
      <c r="CP61" s="34">
        <v>0</v>
      </c>
      <c r="CQ61" s="34">
        <v>0</v>
      </c>
      <c r="CR61" s="34">
        <v>0</v>
      </c>
      <c r="CS61" s="173">
        <v>3</v>
      </c>
      <c r="CT61" s="173">
        <v>3</v>
      </c>
      <c r="CU61" s="173">
        <v>1</v>
      </c>
      <c r="CV61" s="137">
        <v>0</v>
      </c>
      <c r="CW61" s="138">
        <v>0</v>
      </c>
      <c r="CX61" s="137">
        <v>0</v>
      </c>
      <c r="CY61" s="137">
        <v>0</v>
      </c>
      <c r="CZ61" s="137">
        <v>0</v>
      </c>
      <c r="DA61" s="34">
        <v>0</v>
      </c>
      <c r="DB61" s="34">
        <v>0</v>
      </c>
      <c r="DC61" s="34">
        <v>0</v>
      </c>
      <c r="DD61" s="34">
        <v>0</v>
      </c>
      <c r="DE61" s="34">
        <v>0</v>
      </c>
      <c r="DF61" s="34">
        <v>0</v>
      </c>
      <c r="DG61" s="34">
        <v>0</v>
      </c>
      <c r="DH61" s="42">
        <v>0</v>
      </c>
      <c r="DI61" s="34">
        <v>0</v>
      </c>
      <c r="DJ61" s="34">
        <v>0</v>
      </c>
      <c r="DK61" s="34">
        <v>0</v>
      </c>
      <c r="DL61" s="34">
        <v>0</v>
      </c>
      <c r="DM61" s="34">
        <v>0</v>
      </c>
      <c r="DN61" s="34">
        <v>0</v>
      </c>
      <c r="DO61" s="34">
        <v>0</v>
      </c>
      <c r="DP61" s="34">
        <v>0</v>
      </c>
      <c r="DQ61" s="34">
        <v>1</v>
      </c>
      <c r="DR61" s="34">
        <v>3</v>
      </c>
      <c r="DS61" s="118">
        <v>0</v>
      </c>
      <c r="DT61" s="134">
        <v>0</v>
      </c>
      <c r="DU61" s="134">
        <v>0</v>
      </c>
      <c r="DV61" s="134">
        <v>0</v>
      </c>
      <c r="DW61" s="134">
        <v>0</v>
      </c>
      <c r="DX61" s="134">
        <v>0</v>
      </c>
      <c r="DY61" s="134">
        <v>0</v>
      </c>
      <c r="DZ61" s="134">
        <v>0</v>
      </c>
      <c r="EA61" s="134">
        <v>0</v>
      </c>
      <c r="EB61" s="134">
        <v>0</v>
      </c>
      <c r="EC61" s="134">
        <v>0</v>
      </c>
      <c r="ED61" s="134">
        <v>0</v>
      </c>
      <c r="EE61" s="134">
        <v>0</v>
      </c>
      <c r="EF61" s="134">
        <v>0</v>
      </c>
      <c r="EG61" s="134">
        <v>0</v>
      </c>
      <c r="EH61" s="150">
        <f t="shared" si="15"/>
        <v>11</v>
      </c>
      <c r="EI61" s="208">
        <f t="shared" si="25"/>
        <v>8193</v>
      </c>
      <c r="EJ61" s="150">
        <f t="shared" si="26"/>
        <v>8193</v>
      </c>
      <c r="EK61" s="347">
        <f t="shared" si="2"/>
        <v>4</v>
      </c>
      <c r="EL61" s="287">
        <f t="shared" si="24"/>
        <v>0</v>
      </c>
      <c r="EM61" s="151">
        <f t="shared" si="19"/>
        <v>0</v>
      </c>
      <c r="EN61" s="153">
        <f t="shared" si="20"/>
        <v>0</v>
      </c>
      <c r="EO61" s="153">
        <f t="shared" si="21"/>
        <v>7324</v>
      </c>
      <c r="EP61" s="152">
        <f t="shared" si="22"/>
        <v>851</v>
      </c>
      <c r="EQ61" s="152">
        <f t="shared" si="23"/>
        <v>11</v>
      </c>
      <c r="ER61" s="150">
        <f t="shared" si="9"/>
        <v>7</v>
      </c>
      <c r="ES61" s="152">
        <f t="shared" si="27"/>
        <v>4</v>
      </c>
      <c r="ET61" s="152">
        <f t="shared" si="18"/>
        <v>0</v>
      </c>
      <c r="EU61" s="57">
        <f t="shared" si="30"/>
        <v>7</v>
      </c>
      <c r="EV61" s="12">
        <f t="shared" si="12"/>
        <v>7</v>
      </c>
      <c r="EW61" s="259">
        <v>0</v>
      </c>
      <c r="EX61" s="12">
        <f t="shared" si="29"/>
        <v>8186</v>
      </c>
      <c r="EY61" s="131">
        <f t="shared" si="28"/>
        <v>8193</v>
      </c>
      <c r="EZ61" s="142">
        <v>0</v>
      </c>
    </row>
    <row r="62" spans="1:156" ht="30" x14ac:dyDescent="0.25">
      <c r="A62" s="324"/>
      <c r="B62" s="239" t="s">
        <v>109</v>
      </c>
      <c r="C62" s="189">
        <v>0</v>
      </c>
      <c r="D62" s="33">
        <v>0</v>
      </c>
      <c r="E62" s="33">
        <v>0</v>
      </c>
      <c r="F62" s="33">
        <v>0</v>
      </c>
      <c r="G62" s="33">
        <v>0</v>
      </c>
      <c r="H62" s="33">
        <v>0</v>
      </c>
      <c r="I62" s="33">
        <v>0</v>
      </c>
      <c r="J62" s="33">
        <v>0</v>
      </c>
      <c r="K62" s="33">
        <v>0</v>
      </c>
      <c r="L62" s="33">
        <v>0</v>
      </c>
      <c r="M62" s="33">
        <v>0</v>
      </c>
      <c r="N62" s="33">
        <v>0</v>
      </c>
      <c r="O62" s="33">
        <v>0</v>
      </c>
      <c r="P62" s="33">
        <v>0</v>
      </c>
      <c r="Q62" s="33">
        <v>0</v>
      </c>
      <c r="R62" s="33">
        <v>0</v>
      </c>
      <c r="S62" s="33">
        <v>0</v>
      </c>
      <c r="T62" s="33">
        <v>0</v>
      </c>
      <c r="U62" s="33">
        <v>0</v>
      </c>
      <c r="V62" s="33">
        <v>0</v>
      </c>
      <c r="W62" s="33">
        <v>0</v>
      </c>
      <c r="X62" s="33">
        <v>0</v>
      </c>
      <c r="Y62" s="33">
        <v>0</v>
      </c>
      <c r="Z62" s="33">
        <v>0</v>
      </c>
      <c r="AA62" s="33">
        <v>0</v>
      </c>
      <c r="AB62" s="33">
        <v>0</v>
      </c>
      <c r="AC62" s="33">
        <v>0</v>
      </c>
      <c r="AD62" s="33">
        <v>0</v>
      </c>
      <c r="AE62" s="33">
        <v>0</v>
      </c>
      <c r="AF62" s="33">
        <v>0</v>
      </c>
      <c r="AG62" s="33">
        <v>0</v>
      </c>
      <c r="AH62" s="33">
        <v>0</v>
      </c>
      <c r="AI62" s="33">
        <v>0</v>
      </c>
      <c r="AJ62" s="33">
        <v>0</v>
      </c>
      <c r="AK62" s="33">
        <v>0</v>
      </c>
      <c r="AL62" s="34">
        <v>0</v>
      </c>
      <c r="AM62" s="34">
        <v>0</v>
      </c>
      <c r="AN62" s="34">
        <v>0</v>
      </c>
      <c r="AO62" s="34">
        <v>0</v>
      </c>
      <c r="AP62" s="34">
        <v>0</v>
      </c>
      <c r="AQ62" s="34">
        <v>0</v>
      </c>
      <c r="AR62" s="34">
        <v>0</v>
      </c>
      <c r="AS62" s="34">
        <v>0</v>
      </c>
      <c r="AT62" s="34">
        <v>0</v>
      </c>
      <c r="AU62" s="34">
        <v>0</v>
      </c>
      <c r="AV62" s="34">
        <v>0</v>
      </c>
      <c r="AW62" s="34">
        <v>0</v>
      </c>
      <c r="AX62" s="178">
        <v>1711</v>
      </c>
      <c r="AY62" s="178">
        <v>211</v>
      </c>
      <c r="AZ62" s="178">
        <v>331</v>
      </c>
      <c r="BA62" s="137">
        <v>0</v>
      </c>
      <c r="BB62" s="137">
        <v>0</v>
      </c>
      <c r="BC62" s="34">
        <v>0</v>
      </c>
      <c r="BD62" s="34">
        <v>0</v>
      </c>
      <c r="BE62" s="34">
        <v>0</v>
      </c>
      <c r="BF62" s="34">
        <v>0</v>
      </c>
      <c r="BG62" s="34">
        <v>0</v>
      </c>
      <c r="BH62" s="34">
        <v>0</v>
      </c>
      <c r="BI62" s="34">
        <v>0</v>
      </c>
      <c r="BJ62" s="34">
        <v>0</v>
      </c>
      <c r="BK62" s="34">
        <v>0</v>
      </c>
      <c r="BL62" s="34">
        <v>0</v>
      </c>
      <c r="BM62" s="34">
        <v>0</v>
      </c>
      <c r="BN62" s="34">
        <v>0</v>
      </c>
      <c r="BO62" s="34">
        <v>0</v>
      </c>
      <c r="BP62" s="34">
        <v>0</v>
      </c>
      <c r="BQ62" s="34">
        <v>0</v>
      </c>
      <c r="BR62" s="42">
        <v>0</v>
      </c>
      <c r="BS62" s="42">
        <v>0</v>
      </c>
      <c r="BT62" s="42">
        <v>0</v>
      </c>
      <c r="BU62" s="42">
        <v>0</v>
      </c>
      <c r="BV62" s="174">
        <v>566</v>
      </c>
      <c r="BW62" s="173">
        <v>272</v>
      </c>
      <c r="BX62" s="34">
        <v>0</v>
      </c>
      <c r="BY62" s="34">
        <v>0</v>
      </c>
      <c r="BZ62" s="34">
        <v>0</v>
      </c>
      <c r="CA62" s="34">
        <v>0</v>
      </c>
      <c r="CB62" s="34">
        <v>0</v>
      </c>
      <c r="CC62" s="34">
        <v>0</v>
      </c>
      <c r="CD62" s="34">
        <v>0</v>
      </c>
      <c r="CE62" s="42">
        <v>0</v>
      </c>
      <c r="CF62" s="34">
        <v>0</v>
      </c>
      <c r="CG62" s="34">
        <v>0</v>
      </c>
      <c r="CH62" s="55">
        <v>0</v>
      </c>
      <c r="CI62" s="55">
        <v>0</v>
      </c>
      <c r="CJ62" s="34">
        <v>0</v>
      </c>
      <c r="CK62" s="34">
        <v>0</v>
      </c>
      <c r="CL62" s="34">
        <v>0</v>
      </c>
      <c r="CM62" s="34">
        <v>0</v>
      </c>
      <c r="CN62" s="34">
        <v>0</v>
      </c>
      <c r="CO62" s="34">
        <v>0</v>
      </c>
      <c r="CP62" s="34">
        <v>0</v>
      </c>
      <c r="CQ62" s="34">
        <v>0</v>
      </c>
      <c r="CR62" s="34">
        <v>0</v>
      </c>
      <c r="CS62" s="178">
        <v>4994</v>
      </c>
      <c r="CT62" s="178">
        <v>4724</v>
      </c>
      <c r="CU62" s="178">
        <v>2484</v>
      </c>
      <c r="CV62" s="137">
        <v>0</v>
      </c>
      <c r="CW62" s="138">
        <v>0</v>
      </c>
      <c r="CX62" s="137">
        <v>0</v>
      </c>
      <c r="CY62" s="137">
        <v>0</v>
      </c>
      <c r="CZ62" s="137">
        <v>0</v>
      </c>
      <c r="DA62" s="34">
        <v>0</v>
      </c>
      <c r="DB62" s="34">
        <v>0</v>
      </c>
      <c r="DC62" s="34">
        <v>0</v>
      </c>
      <c r="DD62" s="34">
        <v>0</v>
      </c>
      <c r="DE62" s="34">
        <v>0</v>
      </c>
      <c r="DF62" s="34">
        <v>0</v>
      </c>
      <c r="DG62" s="34">
        <v>0</v>
      </c>
      <c r="DH62" s="42">
        <v>0</v>
      </c>
      <c r="DI62" s="34">
        <v>0</v>
      </c>
      <c r="DJ62" s="34">
        <v>0</v>
      </c>
      <c r="DK62" s="34">
        <v>0</v>
      </c>
      <c r="DL62" s="34">
        <v>0</v>
      </c>
      <c r="DM62" s="34">
        <v>0</v>
      </c>
      <c r="DN62" s="34">
        <v>0</v>
      </c>
      <c r="DO62" s="34">
        <v>0</v>
      </c>
      <c r="DP62" s="34">
        <v>0</v>
      </c>
      <c r="DQ62" s="34">
        <v>1561</v>
      </c>
      <c r="DR62" s="34">
        <v>24100</v>
      </c>
      <c r="DS62" s="118">
        <v>0</v>
      </c>
      <c r="DT62" s="134">
        <v>0</v>
      </c>
      <c r="DU62" s="134">
        <v>0</v>
      </c>
      <c r="DV62" s="134">
        <v>0</v>
      </c>
      <c r="DW62" s="134">
        <v>0</v>
      </c>
      <c r="DX62" s="134">
        <v>0</v>
      </c>
      <c r="DY62" s="134">
        <v>0</v>
      </c>
      <c r="DZ62" s="134">
        <v>0</v>
      </c>
      <c r="EA62" s="134">
        <v>0</v>
      </c>
      <c r="EB62" s="134">
        <v>0</v>
      </c>
      <c r="EC62" s="134">
        <v>0</v>
      </c>
      <c r="ED62" s="134">
        <v>0</v>
      </c>
      <c r="EE62" s="134">
        <v>0</v>
      </c>
      <c r="EF62" s="134">
        <v>0</v>
      </c>
      <c r="EG62" s="134">
        <v>0</v>
      </c>
      <c r="EH62" s="150">
        <f t="shared" si="15"/>
        <v>37863</v>
      </c>
      <c r="EI62" s="208">
        <f t="shared" si="25"/>
        <v>15293</v>
      </c>
      <c r="EJ62" s="150">
        <f t="shared" si="26"/>
        <v>15293</v>
      </c>
      <c r="EK62" s="347">
        <f t="shared" si="2"/>
        <v>25661</v>
      </c>
      <c r="EL62" s="287">
        <f t="shared" si="24"/>
        <v>0</v>
      </c>
      <c r="EM62" s="151">
        <f t="shared" si="19"/>
        <v>0</v>
      </c>
      <c r="EN62" s="153">
        <f t="shared" si="20"/>
        <v>0</v>
      </c>
      <c r="EO62" s="153">
        <f t="shared" si="21"/>
        <v>0</v>
      </c>
      <c r="EP62" s="152">
        <f t="shared" si="22"/>
        <v>1922</v>
      </c>
      <c r="EQ62" s="152">
        <f t="shared" si="23"/>
        <v>1169</v>
      </c>
      <c r="ER62" s="150">
        <f t="shared" si="9"/>
        <v>12202</v>
      </c>
      <c r="ES62" s="152">
        <f t="shared" si="27"/>
        <v>25661</v>
      </c>
      <c r="ET62" s="152">
        <f t="shared" si="18"/>
        <v>0</v>
      </c>
      <c r="EU62" s="57">
        <f t="shared" si="30"/>
        <v>838</v>
      </c>
      <c r="EV62" s="12">
        <f t="shared" si="12"/>
        <v>12202</v>
      </c>
      <c r="EW62" s="259">
        <v>0</v>
      </c>
      <c r="EX62" s="12">
        <f t="shared" si="29"/>
        <v>3091</v>
      </c>
      <c r="EY62" s="131">
        <f t="shared" si="28"/>
        <v>15293</v>
      </c>
      <c r="EZ62" s="142">
        <v>0</v>
      </c>
    </row>
    <row r="63" spans="1:156" ht="30" customHeight="1" x14ac:dyDescent="0.25">
      <c r="A63" s="324"/>
      <c r="B63" s="239" t="s">
        <v>156</v>
      </c>
      <c r="C63" s="189" t="s">
        <v>154</v>
      </c>
      <c r="D63" s="33" t="s">
        <v>154</v>
      </c>
      <c r="E63" s="33" t="s">
        <v>154</v>
      </c>
      <c r="F63" s="33" t="s">
        <v>154</v>
      </c>
      <c r="G63" s="33" t="s">
        <v>154</v>
      </c>
      <c r="H63" s="33" t="s">
        <v>154</v>
      </c>
      <c r="I63" s="33" t="s">
        <v>154</v>
      </c>
      <c r="J63" s="33" t="s">
        <v>154</v>
      </c>
      <c r="K63" s="33" t="s">
        <v>154</v>
      </c>
      <c r="L63" s="33" t="s">
        <v>154</v>
      </c>
      <c r="M63" s="33" t="s">
        <v>154</v>
      </c>
      <c r="N63" s="33" t="s">
        <v>154</v>
      </c>
      <c r="O63" s="33" t="s">
        <v>154</v>
      </c>
      <c r="P63" s="33" t="s">
        <v>154</v>
      </c>
      <c r="Q63" s="33" t="s">
        <v>154</v>
      </c>
      <c r="R63" s="33" t="s">
        <v>154</v>
      </c>
      <c r="S63" s="33" t="s">
        <v>154</v>
      </c>
      <c r="T63" s="33" t="s">
        <v>154</v>
      </c>
      <c r="U63" s="33" t="s">
        <v>154</v>
      </c>
      <c r="V63" s="33" t="s">
        <v>154</v>
      </c>
      <c r="W63" s="33" t="s">
        <v>154</v>
      </c>
      <c r="X63" s="33" t="s">
        <v>154</v>
      </c>
      <c r="Y63" s="33" t="s">
        <v>154</v>
      </c>
      <c r="Z63" s="33" t="s">
        <v>154</v>
      </c>
      <c r="AA63" s="33" t="s">
        <v>154</v>
      </c>
      <c r="AB63" s="33" t="s">
        <v>154</v>
      </c>
      <c r="AC63" s="33" t="s">
        <v>154</v>
      </c>
      <c r="AD63" s="33" t="s">
        <v>154</v>
      </c>
      <c r="AE63" s="33" t="s">
        <v>154</v>
      </c>
      <c r="AF63" s="33" t="s">
        <v>154</v>
      </c>
      <c r="AG63" s="33" t="s">
        <v>154</v>
      </c>
      <c r="AH63" s="33" t="s">
        <v>154</v>
      </c>
      <c r="AI63" s="33" t="s">
        <v>154</v>
      </c>
      <c r="AJ63" s="33" t="s">
        <v>154</v>
      </c>
      <c r="AK63" s="33" t="s">
        <v>154</v>
      </c>
      <c r="AL63" s="33" t="s">
        <v>154</v>
      </c>
      <c r="AM63" s="33" t="s">
        <v>154</v>
      </c>
      <c r="AN63" s="33" t="s">
        <v>154</v>
      </c>
      <c r="AO63" s="33" t="s">
        <v>154</v>
      </c>
      <c r="AP63" s="33" t="s">
        <v>154</v>
      </c>
      <c r="AQ63" s="33" t="s">
        <v>154</v>
      </c>
      <c r="AR63" s="33" t="s">
        <v>154</v>
      </c>
      <c r="AS63" s="33" t="s">
        <v>154</v>
      </c>
      <c r="AT63" s="33" t="s">
        <v>154</v>
      </c>
      <c r="AU63" s="33" t="s">
        <v>154</v>
      </c>
      <c r="AV63" s="33" t="s">
        <v>154</v>
      </c>
      <c r="AW63" s="33" t="s">
        <v>154</v>
      </c>
      <c r="AX63" s="33" t="s">
        <v>154</v>
      </c>
      <c r="AY63" s="33" t="s">
        <v>154</v>
      </c>
      <c r="AZ63" s="33" t="s">
        <v>154</v>
      </c>
      <c r="BA63" s="33" t="s">
        <v>154</v>
      </c>
      <c r="BB63" s="33" t="s">
        <v>154</v>
      </c>
      <c r="BC63" s="33" t="s">
        <v>154</v>
      </c>
      <c r="BD63" s="33" t="s">
        <v>154</v>
      </c>
      <c r="BE63" s="33" t="s">
        <v>154</v>
      </c>
      <c r="BF63" s="33" t="s">
        <v>154</v>
      </c>
      <c r="BG63" s="33" t="s">
        <v>154</v>
      </c>
      <c r="BH63" s="33" t="s">
        <v>154</v>
      </c>
      <c r="BI63" s="33" t="s">
        <v>154</v>
      </c>
      <c r="BJ63" s="33" t="s">
        <v>154</v>
      </c>
      <c r="BK63" s="33" t="s">
        <v>154</v>
      </c>
      <c r="BL63" s="33" t="s">
        <v>154</v>
      </c>
      <c r="BM63" s="33" t="s">
        <v>154</v>
      </c>
      <c r="BN63" s="33" t="s">
        <v>154</v>
      </c>
      <c r="BO63" s="33" t="s">
        <v>154</v>
      </c>
      <c r="BP63" s="33" t="s">
        <v>154</v>
      </c>
      <c r="BQ63" s="33" t="s">
        <v>154</v>
      </c>
      <c r="BR63" s="33" t="s">
        <v>154</v>
      </c>
      <c r="BS63" s="33" t="s">
        <v>154</v>
      </c>
      <c r="BT63" s="33" t="s">
        <v>154</v>
      </c>
      <c r="BU63" s="33" t="s">
        <v>154</v>
      </c>
      <c r="BV63" s="33" t="s">
        <v>154</v>
      </c>
      <c r="BW63" s="33" t="s">
        <v>154</v>
      </c>
      <c r="BX63" s="33" t="s">
        <v>154</v>
      </c>
      <c r="BY63" s="33" t="s">
        <v>154</v>
      </c>
      <c r="BZ63" s="33" t="s">
        <v>154</v>
      </c>
      <c r="CA63" s="33" t="s">
        <v>154</v>
      </c>
      <c r="CB63" s="33" t="s">
        <v>154</v>
      </c>
      <c r="CC63" s="33" t="s">
        <v>154</v>
      </c>
      <c r="CD63" s="33" t="s">
        <v>154</v>
      </c>
      <c r="CE63" s="33" t="s">
        <v>154</v>
      </c>
      <c r="CF63" s="33" t="s">
        <v>154</v>
      </c>
      <c r="CG63" s="33" t="s">
        <v>154</v>
      </c>
      <c r="CH63" s="33" t="s">
        <v>154</v>
      </c>
      <c r="CI63" s="33" t="s">
        <v>154</v>
      </c>
      <c r="CJ63" s="33" t="s">
        <v>154</v>
      </c>
      <c r="CK63" s="33" t="s">
        <v>154</v>
      </c>
      <c r="CL63" s="33" t="s">
        <v>154</v>
      </c>
      <c r="CM63" s="33" t="s">
        <v>154</v>
      </c>
      <c r="CN63" s="33" t="s">
        <v>154</v>
      </c>
      <c r="CO63" s="33" t="s">
        <v>154</v>
      </c>
      <c r="CP63" s="33" t="s">
        <v>154</v>
      </c>
      <c r="CQ63" s="33" t="s">
        <v>154</v>
      </c>
      <c r="CR63" s="34" t="s">
        <v>154</v>
      </c>
      <c r="CS63" s="34" t="s">
        <v>154</v>
      </c>
      <c r="CT63" s="34" t="s">
        <v>154</v>
      </c>
      <c r="CU63" s="34" t="s">
        <v>154</v>
      </c>
      <c r="CV63" s="137">
        <v>29</v>
      </c>
      <c r="CW63" s="138" t="s">
        <v>154</v>
      </c>
      <c r="CX63" s="137" t="s">
        <v>154</v>
      </c>
      <c r="CY63" s="137">
        <v>0</v>
      </c>
      <c r="CZ63" s="137">
        <v>0</v>
      </c>
      <c r="DA63" s="34">
        <v>0</v>
      </c>
      <c r="DB63" s="34">
        <v>0</v>
      </c>
      <c r="DC63" s="34">
        <v>0</v>
      </c>
      <c r="DD63" s="34">
        <v>0</v>
      </c>
      <c r="DE63" s="34">
        <v>0</v>
      </c>
      <c r="DF63" s="34">
        <v>0</v>
      </c>
      <c r="DG63" s="34">
        <v>0</v>
      </c>
      <c r="DH63" s="42">
        <v>0</v>
      </c>
      <c r="DI63" s="34">
        <v>0</v>
      </c>
      <c r="DJ63" s="34">
        <v>0</v>
      </c>
      <c r="DK63" s="34">
        <v>0</v>
      </c>
      <c r="DL63" s="34">
        <v>0</v>
      </c>
      <c r="DM63" s="34">
        <v>0</v>
      </c>
      <c r="DN63" s="34">
        <v>0</v>
      </c>
      <c r="DO63" s="34">
        <v>0</v>
      </c>
      <c r="DP63" s="34">
        <v>0</v>
      </c>
      <c r="DQ63" s="34">
        <v>0</v>
      </c>
      <c r="DR63" s="34">
        <v>57</v>
      </c>
      <c r="DS63" s="118">
        <v>16</v>
      </c>
      <c r="DT63" s="134">
        <v>66</v>
      </c>
      <c r="DU63" s="134">
        <v>0</v>
      </c>
      <c r="DV63" s="134">
        <v>0</v>
      </c>
      <c r="DW63" s="134">
        <v>0</v>
      </c>
      <c r="DX63" s="134">
        <v>0</v>
      </c>
      <c r="DY63" s="134">
        <v>0</v>
      </c>
      <c r="DZ63" s="134">
        <v>0</v>
      </c>
      <c r="EA63" s="134">
        <v>0</v>
      </c>
      <c r="EB63" s="134">
        <v>0</v>
      </c>
      <c r="EC63" s="134">
        <v>0</v>
      </c>
      <c r="ED63" s="134">
        <v>0</v>
      </c>
      <c r="EE63" s="134">
        <v>0</v>
      </c>
      <c r="EF63" s="134">
        <v>0</v>
      </c>
      <c r="EG63" s="134">
        <v>0</v>
      </c>
      <c r="EH63" s="150">
        <f t="shared" si="15"/>
        <v>168</v>
      </c>
      <c r="EI63" s="208">
        <f t="shared" si="25"/>
        <v>29</v>
      </c>
      <c r="EJ63" s="150">
        <f t="shared" si="26"/>
        <v>29</v>
      </c>
      <c r="EK63" s="347">
        <f t="shared" si="2"/>
        <v>139</v>
      </c>
      <c r="EL63" s="287">
        <v>0</v>
      </c>
      <c r="EM63" s="151">
        <v>0</v>
      </c>
      <c r="EN63" s="153">
        <v>0</v>
      </c>
      <c r="EO63" s="153">
        <v>0</v>
      </c>
      <c r="EP63" s="152">
        <v>0</v>
      </c>
      <c r="EQ63" s="152">
        <v>0</v>
      </c>
      <c r="ER63" s="152">
        <v>0</v>
      </c>
      <c r="ES63" s="152">
        <f t="shared" si="27"/>
        <v>102</v>
      </c>
      <c r="ET63" s="152">
        <f t="shared" si="18"/>
        <v>66</v>
      </c>
      <c r="EU63" s="57">
        <v>0</v>
      </c>
      <c r="EV63" s="12">
        <v>0</v>
      </c>
      <c r="EW63" s="259">
        <v>0</v>
      </c>
      <c r="EX63" s="12">
        <v>0</v>
      </c>
      <c r="EY63" s="131">
        <f t="shared" si="28"/>
        <v>29</v>
      </c>
      <c r="EZ63" s="142">
        <v>0</v>
      </c>
    </row>
    <row r="64" spans="1:156" ht="30.75" thickBot="1" x14ac:dyDescent="0.3">
      <c r="A64" s="83" t="s">
        <v>57</v>
      </c>
      <c r="B64" s="237" t="s">
        <v>43</v>
      </c>
      <c r="C64" s="189">
        <v>0</v>
      </c>
      <c r="D64" s="33">
        <v>0</v>
      </c>
      <c r="E64" s="33">
        <v>0</v>
      </c>
      <c r="F64" s="33">
        <v>0</v>
      </c>
      <c r="G64" s="33">
        <v>0</v>
      </c>
      <c r="H64" s="33">
        <v>0</v>
      </c>
      <c r="I64" s="33">
        <v>0</v>
      </c>
      <c r="J64" s="33">
        <v>0</v>
      </c>
      <c r="K64" s="33">
        <v>0</v>
      </c>
      <c r="L64" s="33">
        <v>0</v>
      </c>
      <c r="M64" s="33">
        <v>0</v>
      </c>
      <c r="N64" s="33">
        <v>0</v>
      </c>
      <c r="O64" s="33">
        <v>0</v>
      </c>
      <c r="P64" s="33">
        <v>0</v>
      </c>
      <c r="Q64" s="33">
        <v>0</v>
      </c>
      <c r="R64" s="33">
        <v>0</v>
      </c>
      <c r="S64" s="33">
        <v>0</v>
      </c>
      <c r="T64" s="33">
        <v>0</v>
      </c>
      <c r="U64" s="33">
        <v>0</v>
      </c>
      <c r="V64" s="33">
        <v>0</v>
      </c>
      <c r="W64" s="33">
        <v>0</v>
      </c>
      <c r="X64" s="33">
        <v>0</v>
      </c>
      <c r="Y64" s="33">
        <v>0</v>
      </c>
      <c r="Z64" s="33">
        <v>0</v>
      </c>
      <c r="AA64" s="33">
        <v>0</v>
      </c>
      <c r="AB64" s="33">
        <v>788</v>
      </c>
      <c r="AC64" s="33">
        <v>0</v>
      </c>
      <c r="AD64" s="33">
        <v>0</v>
      </c>
      <c r="AE64" s="33">
        <v>0</v>
      </c>
      <c r="AF64" s="33">
        <v>0</v>
      </c>
      <c r="AG64" s="33">
        <v>0</v>
      </c>
      <c r="AH64" s="33">
        <v>0</v>
      </c>
      <c r="AI64" s="33">
        <v>0</v>
      </c>
      <c r="AJ64" s="34">
        <v>0</v>
      </c>
      <c r="AK64" s="34">
        <v>0</v>
      </c>
      <c r="AL64" s="34">
        <v>202</v>
      </c>
      <c r="AM64" s="34">
        <v>495</v>
      </c>
      <c r="AN64" s="34">
        <v>266</v>
      </c>
      <c r="AO64" s="34" t="s">
        <v>154</v>
      </c>
      <c r="AP64" s="34" t="s">
        <v>154</v>
      </c>
      <c r="AQ64" s="34" t="s">
        <v>154</v>
      </c>
      <c r="AR64" s="34" t="s">
        <v>154</v>
      </c>
      <c r="AS64" s="34" t="s">
        <v>154</v>
      </c>
      <c r="AT64" s="34" t="s">
        <v>154</v>
      </c>
      <c r="AU64" s="34" t="s">
        <v>154</v>
      </c>
      <c r="AV64" s="34" t="s">
        <v>154</v>
      </c>
      <c r="AW64" s="34" t="s">
        <v>154</v>
      </c>
      <c r="AX64" s="34" t="s">
        <v>154</v>
      </c>
      <c r="AY64" s="34" t="s">
        <v>154</v>
      </c>
      <c r="AZ64" s="34" t="s">
        <v>154</v>
      </c>
      <c r="BA64" s="34" t="s">
        <v>154</v>
      </c>
      <c r="BB64" s="34" t="s">
        <v>154</v>
      </c>
      <c r="BC64" s="34" t="s">
        <v>154</v>
      </c>
      <c r="BD64" s="34" t="s">
        <v>154</v>
      </c>
      <c r="BE64" s="34" t="s">
        <v>154</v>
      </c>
      <c r="BF64" s="34" t="s">
        <v>154</v>
      </c>
      <c r="BG64" s="34" t="s">
        <v>154</v>
      </c>
      <c r="BH64" s="34" t="s">
        <v>154</v>
      </c>
      <c r="BI64" s="34" t="s">
        <v>154</v>
      </c>
      <c r="BJ64" s="34" t="s">
        <v>154</v>
      </c>
      <c r="BK64" s="34" t="s">
        <v>154</v>
      </c>
      <c r="BL64" s="34" t="s">
        <v>154</v>
      </c>
      <c r="BM64" s="34" t="s">
        <v>154</v>
      </c>
      <c r="BN64" s="34" t="s">
        <v>154</v>
      </c>
      <c r="BO64" s="34" t="s">
        <v>154</v>
      </c>
      <c r="BP64" s="34" t="s">
        <v>154</v>
      </c>
      <c r="BQ64" s="34" t="s">
        <v>154</v>
      </c>
      <c r="BR64" s="34" t="s">
        <v>154</v>
      </c>
      <c r="BS64" s="34" t="s">
        <v>154</v>
      </c>
      <c r="BT64" s="34" t="s">
        <v>154</v>
      </c>
      <c r="BU64" s="34" t="s">
        <v>154</v>
      </c>
      <c r="BV64" s="34" t="s">
        <v>154</v>
      </c>
      <c r="BW64" s="34" t="s">
        <v>154</v>
      </c>
      <c r="BX64" s="34" t="s">
        <v>154</v>
      </c>
      <c r="BY64" s="34" t="s">
        <v>154</v>
      </c>
      <c r="BZ64" s="34" t="s">
        <v>154</v>
      </c>
      <c r="CA64" s="34" t="s">
        <v>154</v>
      </c>
      <c r="CB64" s="34" t="s">
        <v>154</v>
      </c>
      <c r="CC64" s="34" t="s">
        <v>154</v>
      </c>
      <c r="CD64" s="34" t="s">
        <v>154</v>
      </c>
      <c r="CE64" s="34" t="s">
        <v>154</v>
      </c>
      <c r="CF64" s="34" t="s">
        <v>154</v>
      </c>
      <c r="CG64" s="34" t="s">
        <v>154</v>
      </c>
      <c r="CH64" s="34" t="s">
        <v>154</v>
      </c>
      <c r="CI64" s="34" t="s">
        <v>154</v>
      </c>
      <c r="CJ64" s="34" t="s">
        <v>154</v>
      </c>
      <c r="CK64" s="34" t="s">
        <v>154</v>
      </c>
      <c r="CL64" s="34" t="s">
        <v>154</v>
      </c>
      <c r="CM64" s="34" t="s">
        <v>154</v>
      </c>
      <c r="CN64" s="34" t="s">
        <v>154</v>
      </c>
      <c r="CO64" s="34" t="s">
        <v>154</v>
      </c>
      <c r="CP64" s="34" t="s">
        <v>154</v>
      </c>
      <c r="CQ64" s="34" t="s">
        <v>154</v>
      </c>
      <c r="CR64" s="34" t="s">
        <v>154</v>
      </c>
      <c r="CS64" s="34" t="s">
        <v>154</v>
      </c>
      <c r="CT64" s="34" t="s">
        <v>154</v>
      </c>
      <c r="CU64" s="34" t="s">
        <v>154</v>
      </c>
      <c r="CV64" s="34" t="s">
        <v>154</v>
      </c>
      <c r="CW64" s="34" t="s">
        <v>154</v>
      </c>
      <c r="CX64" s="34" t="s">
        <v>154</v>
      </c>
      <c r="CY64" s="34">
        <v>0</v>
      </c>
      <c r="CZ64" s="34">
        <v>0</v>
      </c>
      <c r="DA64" s="34">
        <v>0</v>
      </c>
      <c r="DB64" s="34">
        <v>0</v>
      </c>
      <c r="DC64" s="34">
        <v>0</v>
      </c>
      <c r="DD64" s="34">
        <v>0</v>
      </c>
      <c r="DE64" s="34">
        <v>0</v>
      </c>
      <c r="DF64" s="34">
        <v>0</v>
      </c>
      <c r="DG64" s="34">
        <v>0</v>
      </c>
      <c r="DH64" s="42">
        <v>0</v>
      </c>
      <c r="DI64" s="34">
        <v>0</v>
      </c>
      <c r="DJ64" s="34">
        <v>0</v>
      </c>
      <c r="DK64" s="34">
        <v>0</v>
      </c>
      <c r="DL64" s="34">
        <v>0</v>
      </c>
      <c r="DM64" s="34">
        <v>0</v>
      </c>
      <c r="DN64" s="34">
        <v>0</v>
      </c>
      <c r="DO64" s="34">
        <v>0</v>
      </c>
      <c r="DP64" s="34">
        <v>0</v>
      </c>
      <c r="DQ64" s="34">
        <v>0</v>
      </c>
      <c r="DR64" s="34">
        <v>0</v>
      </c>
      <c r="DS64" s="118">
        <v>0</v>
      </c>
      <c r="DT64" s="134">
        <v>0</v>
      </c>
      <c r="DU64" s="134">
        <v>0</v>
      </c>
      <c r="DV64" s="134">
        <v>0</v>
      </c>
      <c r="DW64" s="134">
        <v>0</v>
      </c>
      <c r="DX64" s="134">
        <v>0</v>
      </c>
      <c r="DY64" s="134">
        <v>0</v>
      </c>
      <c r="DZ64" s="134">
        <v>0</v>
      </c>
      <c r="EA64" s="134">
        <v>0</v>
      </c>
      <c r="EB64" s="134">
        <v>0</v>
      </c>
      <c r="EC64" s="134">
        <v>0</v>
      </c>
      <c r="ED64" s="134">
        <v>0</v>
      </c>
      <c r="EE64" s="134">
        <v>0</v>
      </c>
      <c r="EF64" s="134">
        <v>0</v>
      </c>
      <c r="EG64" s="134">
        <v>0</v>
      </c>
      <c r="EH64" s="150">
        <f t="shared" si="15"/>
        <v>0</v>
      </c>
      <c r="EI64" s="208">
        <f t="shared" si="25"/>
        <v>1751</v>
      </c>
      <c r="EJ64" s="150">
        <f t="shared" si="26"/>
        <v>1751</v>
      </c>
      <c r="EK64" s="347">
        <f t="shared" si="2"/>
        <v>0</v>
      </c>
      <c r="EL64" s="289">
        <f t="shared" si="24"/>
        <v>0</v>
      </c>
      <c r="EM64" s="151">
        <f t="shared" si="19"/>
        <v>0</v>
      </c>
      <c r="EN64" s="153">
        <f t="shared" si="20"/>
        <v>0</v>
      </c>
      <c r="EO64" s="153">
        <f t="shared" si="21"/>
        <v>1485</v>
      </c>
      <c r="EP64" s="152">
        <f t="shared" si="22"/>
        <v>266</v>
      </c>
      <c r="EQ64" s="152">
        <f t="shared" si="23"/>
        <v>0</v>
      </c>
      <c r="ER64" s="152">
        <f t="shared" ref="ER64" si="31">SUM(BX64:CU64)</f>
        <v>0</v>
      </c>
      <c r="ES64" s="152">
        <f t="shared" si="27"/>
        <v>0</v>
      </c>
      <c r="ET64" s="152">
        <f t="shared" si="18"/>
        <v>0</v>
      </c>
      <c r="EU64" s="57">
        <f t="shared" si="30"/>
        <v>0</v>
      </c>
      <c r="EV64" s="12">
        <f t="shared" ref="EV64" si="32">SUM(CD64:CU64)</f>
        <v>0</v>
      </c>
      <c r="EW64" s="259">
        <v>0</v>
      </c>
      <c r="EX64" s="12">
        <f t="shared" si="29"/>
        <v>1751</v>
      </c>
      <c r="EY64" s="131">
        <f t="shared" si="28"/>
        <v>1751</v>
      </c>
      <c r="EZ64" s="142">
        <v>0</v>
      </c>
    </row>
    <row r="65" spans="1:156" ht="15.75" hidden="1" customHeight="1" x14ac:dyDescent="0.25">
      <c r="A65" s="8">
        <v>0</v>
      </c>
      <c r="B65" s="8">
        <v>0</v>
      </c>
      <c r="C65" s="9">
        <v>0</v>
      </c>
      <c r="D65" s="9">
        <v>0</v>
      </c>
      <c r="E65" s="9">
        <v>0</v>
      </c>
      <c r="F65" s="9">
        <v>0</v>
      </c>
      <c r="G65" s="9">
        <v>0</v>
      </c>
      <c r="H65" s="9">
        <v>0</v>
      </c>
      <c r="I65" s="9">
        <v>0</v>
      </c>
      <c r="J65" s="9">
        <v>0</v>
      </c>
      <c r="K65" s="9">
        <v>0</v>
      </c>
      <c r="L65" s="9">
        <v>0</v>
      </c>
      <c r="M65" s="9">
        <v>0</v>
      </c>
      <c r="N65" s="9">
        <v>0</v>
      </c>
      <c r="O65" s="9">
        <v>0</v>
      </c>
      <c r="P65" s="9">
        <v>0</v>
      </c>
      <c r="Q65" s="9">
        <v>0</v>
      </c>
      <c r="R65" s="9">
        <v>0</v>
      </c>
      <c r="S65" s="9">
        <v>0</v>
      </c>
      <c r="T65" s="9">
        <v>0</v>
      </c>
      <c r="U65" s="9">
        <v>0</v>
      </c>
      <c r="V65" s="9">
        <v>0</v>
      </c>
      <c r="W65" s="9">
        <v>0</v>
      </c>
      <c r="X65" s="9">
        <v>0</v>
      </c>
      <c r="Y65" s="9">
        <v>0</v>
      </c>
      <c r="Z65" s="9">
        <v>0</v>
      </c>
      <c r="AA65" s="9">
        <v>0</v>
      </c>
      <c r="AB65" s="9">
        <v>0</v>
      </c>
      <c r="AC65" s="9">
        <v>0</v>
      </c>
      <c r="AD65" s="9">
        <v>0</v>
      </c>
      <c r="AE65" s="9">
        <v>0</v>
      </c>
      <c r="AF65" s="9">
        <v>0</v>
      </c>
      <c r="AG65" s="9">
        <v>0</v>
      </c>
      <c r="AH65" s="9">
        <v>0</v>
      </c>
      <c r="AI65" s="9">
        <v>0</v>
      </c>
      <c r="AJ65" s="9">
        <v>0</v>
      </c>
      <c r="AK65" s="9">
        <v>0</v>
      </c>
      <c r="AL65" s="9">
        <v>0</v>
      </c>
      <c r="AM65" s="9">
        <v>0</v>
      </c>
      <c r="AN65" s="9">
        <v>0</v>
      </c>
      <c r="AO65" s="9">
        <v>0</v>
      </c>
      <c r="AP65" s="9">
        <v>0</v>
      </c>
      <c r="AQ65" s="9">
        <v>0</v>
      </c>
      <c r="AR65" s="9">
        <v>0</v>
      </c>
      <c r="AS65" s="10">
        <v>0</v>
      </c>
      <c r="AT65" s="10">
        <v>0</v>
      </c>
      <c r="AU65" s="10">
        <v>0</v>
      </c>
      <c r="AV65" s="10">
        <v>0</v>
      </c>
      <c r="AW65" s="10">
        <v>0</v>
      </c>
      <c r="AX65" s="10">
        <v>0</v>
      </c>
      <c r="AY65" s="10">
        <v>0</v>
      </c>
      <c r="AZ65" s="10">
        <v>0</v>
      </c>
      <c r="BA65" s="10">
        <v>0</v>
      </c>
      <c r="BB65" s="10">
        <v>0</v>
      </c>
      <c r="BC65" s="10">
        <v>0</v>
      </c>
      <c r="BD65" s="10">
        <v>0</v>
      </c>
      <c r="BE65" s="10">
        <v>0</v>
      </c>
      <c r="BF65" s="10">
        <v>0</v>
      </c>
      <c r="BG65" s="10">
        <v>0</v>
      </c>
      <c r="BH65" s="10">
        <v>0</v>
      </c>
      <c r="BI65" s="10">
        <v>0</v>
      </c>
      <c r="BJ65" s="10">
        <v>0</v>
      </c>
      <c r="BK65" s="10">
        <v>0</v>
      </c>
      <c r="BL65" s="10">
        <v>0</v>
      </c>
      <c r="BM65" s="10">
        <v>0</v>
      </c>
      <c r="BN65" s="10">
        <v>0</v>
      </c>
      <c r="BO65" s="10">
        <v>0</v>
      </c>
      <c r="BP65" s="10">
        <v>0</v>
      </c>
      <c r="BQ65" s="10">
        <v>0</v>
      </c>
      <c r="BR65" s="10">
        <v>0</v>
      </c>
      <c r="BS65" s="10">
        <v>0</v>
      </c>
      <c r="BT65" s="10">
        <v>0</v>
      </c>
      <c r="BU65" s="10">
        <v>0</v>
      </c>
      <c r="BV65" s="10">
        <v>0</v>
      </c>
      <c r="BW65" s="10">
        <v>0</v>
      </c>
      <c r="BX65" s="10">
        <v>0</v>
      </c>
      <c r="BY65" s="10">
        <v>0</v>
      </c>
      <c r="BZ65" s="10">
        <v>0</v>
      </c>
      <c r="CA65" s="10">
        <v>0</v>
      </c>
      <c r="CB65" s="10">
        <v>0</v>
      </c>
      <c r="CC65" s="10">
        <v>0</v>
      </c>
      <c r="CD65" s="10">
        <v>0</v>
      </c>
      <c r="CE65" s="10">
        <v>0</v>
      </c>
      <c r="CF65" s="10">
        <v>0</v>
      </c>
      <c r="CG65" s="10">
        <v>0</v>
      </c>
      <c r="CH65" s="10">
        <v>0</v>
      </c>
      <c r="CI65" s="10">
        <v>0</v>
      </c>
      <c r="CJ65" s="10">
        <v>0</v>
      </c>
      <c r="CK65" s="10">
        <v>0</v>
      </c>
      <c r="CL65" s="10">
        <v>0</v>
      </c>
      <c r="CM65" s="10">
        <v>0</v>
      </c>
      <c r="CN65" s="10">
        <v>0</v>
      </c>
      <c r="CO65" s="10">
        <v>0</v>
      </c>
      <c r="CP65" s="10">
        <v>0</v>
      </c>
      <c r="CQ65" s="10">
        <v>0</v>
      </c>
      <c r="CR65" s="10">
        <v>0</v>
      </c>
      <c r="CS65" s="10">
        <v>0</v>
      </c>
      <c r="CT65" s="10">
        <v>0</v>
      </c>
      <c r="CU65" s="10">
        <v>0</v>
      </c>
      <c r="CV65" s="10">
        <v>0</v>
      </c>
      <c r="CW65" s="10">
        <v>0</v>
      </c>
      <c r="CX65" s="10">
        <v>0</v>
      </c>
      <c r="CY65" s="10">
        <v>0</v>
      </c>
      <c r="CZ65" s="10">
        <v>0</v>
      </c>
      <c r="DA65" s="10">
        <v>0</v>
      </c>
      <c r="DB65" s="10">
        <v>0</v>
      </c>
      <c r="DC65" s="10">
        <v>0</v>
      </c>
      <c r="DD65" s="10">
        <v>0</v>
      </c>
      <c r="DE65" s="10">
        <v>0</v>
      </c>
      <c r="DF65" s="10">
        <v>0</v>
      </c>
      <c r="DG65" s="10">
        <v>0</v>
      </c>
      <c r="DH65" s="10">
        <v>0</v>
      </c>
      <c r="DI65" s="10">
        <v>0</v>
      </c>
      <c r="DJ65" s="10">
        <v>0</v>
      </c>
      <c r="DK65" s="10">
        <v>0</v>
      </c>
      <c r="DL65" s="10">
        <v>0</v>
      </c>
      <c r="DM65" s="10">
        <v>0</v>
      </c>
      <c r="DN65" s="10">
        <v>0</v>
      </c>
      <c r="DO65" s="10">
        <v>0</v>
      </c>
      <c r="DP65" s="10">
        <v>0</v>
      </c>
      <c r="DQ65" s="10">
        <v>0</v>
      </c>
      <c r="DR65" s="10">
        <v>0</v>
      </c>
      <c r="DS65" s="10">
        <v>0</v>
      </c>
      <c r="DT65" s="10">
        <v>0</v>
      </c>
      <c r="DU65" s="10">
        <v>0</v>
      </c>
      <c r="DV65" s="10">
        <v>0</v>
      </c>
      <c r="DW65" s="10">
        <v>0</v>
      </c>
      <c r="DX65" s="10">
        <v>0</v>
      </c>
      <c r="DY65" s="10">
        <v>0</v>
      </c>
      <c r="DZ65" s="10"/>
      <c r="EA65" s="10"/>
      <c r="EB65" s="10"/>
      <c r="EC65" s="10"/>
      <c r="ED65" s="10"/>
      <c r="EE65" s="10"/>
      <c r="EF65" s="10"/>
      <c r="EG65" s="10"/>
      <c r="EH65" s="150">
        <f t="shared" si="15"/>
        <v>0</v>
      </c>
      <c r="EI65" s="10">
        <v>0</v>
      </c>
      <c r="EJ65" s="10">
        <v>0</v>
      </c>
      <c r="EK65" s="259" t="s">
        <v>294</v>
      </c>
      <c r="EL65" s="268">
        <f t="shared" si="24"/>
        <v>0</v>
      </c>
      <c r="EM65" s="268">
        <f t="shared" si="19"/>
        <v>0</v>
      </c>
      <c r="EN65" s="268">
        <f t="shared" si="20"/>
        <v>0</v>
      </c>
      <c r="EO65" s="268">
        <f t="shared" si="21"/>
        <v>0</v>
      </c>
      <c r="EP65" s="216">
        <v>0</v>
      </c>
      <c r="EQ65" s="216">
        <v>0</v>
      </c>
      <c r="ER65" s="216">
        <v>0</v>
      </c>
      <c r="ES65" s="216">
        <v>0</v>
      </c>
      <c r="ET65" s="269">
        <f t="shared" ref="ET65:ET66" si="33">SUM(DT65:DU65)</f>
        <v>0</v>
      </c>
      <c r="EU65" s="216">
        <v>0</v>
      </c>
      <c r="EV65" s="216">
        <v>0</v>
      </c>
      <c r="EW65" s="259">
        <v>0</v>
      </c>
      <c r="EX65" s="216">
        <v>0</v>
      </c>
      <c r="EY65" s="216">
        <v>0</v>
      </c>
      <c r="EZ65" s="142">
        <v>0</v>
      </c>
    </row>
    <row r="66" spans="1:156" ht="15.75" hidden="1" customHeight="1" x14ac:dyDescent="0.35">
      <c r="A66" s="4" t="s">
        <v>58</v>
      </c>
      <c r="B66" s="4">
        <v>0</v>
      </c>
      <c r="C66" s="4">
        <v>0</v>
      </c>
      <c r="D66" s="4">
        <v>0</v>
      </c>
      <c r="E66" s="4">
        <v>0</v>
      </c>
      <c r="F66" s="4">
        <v>0</v>
      </c>
      <c r="G66" s="4">
        <v>0</v>
      </c>
      <c r="H66" s="4">
        <v>0</v>
      </c>
      <c r="I66" s="4">
        <v>0</v>
      </c>
      <c r="J66" s="4">
        <v>0</v>
      </c>
      <c r="K66" s="4">
        <v>0</v>
      </c>
      <c r="L66" s="4">
        <v>0</v>
      </c>
      <c r="M66" s="4">
        <v>0</v>
      </c>
      <c r="N66" s="4">
        <v>0</v>
      </c>
      <c r="O66" s="4">
        <v>0</v>
      </c>
      <c r="P66" s="4">
        <v>0</v>
      </c>
      <c r="Q66" s="4">
        <v>0</v>
      </c>
      <c r="R66" s="4">
        <v>0</v>
      </c>
      <c r="S66" s="4">
        <v>0</v>
      </c>
      <c r="T66" s="4">
        <v>0</v>
      </c>
      <c r="U66" s="4">
        <v>0</v>
      </c>
      <c r="V66" s="4">
        <v>0</v>
      </c>
      <c r="W66" s="4">
        <v>0</v>
      </c>
      <c r="X66" s="4">
        <v>0</v>
      </c>
      <c r="Y66" s="4">
        <v>0</v>
      </c>
      <c r="Z66" s="4">
        <v>0</v>
      </c>
      <c r="AA66" s="4">
        <v>0</v>
      </c>
      <c r="AB66" s="4">
        <v>0</v>
      </c>
      <c r="AC66" s="4">
        <v>0</v>
      </c>
      <c r="AD66" s="4">
        <v>0</v>
      </c>
      <c r="AE66" s="4">
        <v>0</v>
      </c>
      <c r="AF66" s="4">
        <v>0</v>
      </c>
      <c r="AG66" s="4">
        <v>0</v>
      </c>
      <c r="AH66" s="4">
        <v>0</v>
      </c>
      <c r="AI66" s="4">
        <v>0</v>
      </c>
      <c r="AJ66" s="4">
        <v>0</v>
      </c>
      <c r="AK66" s="4">
        <v>0</v>
      </c>
      <c r="AL66" s="4">
        <v>0</v>
      </c>
      <c r="AM66" s="4">
        <v>0</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4">
        <v>0</v>
      </c>
      <c r="BF66" s="4">
        <v>0</v>
      </c>
      <c r="BG66" s="4">
        <v>0</v>
      </c>
      <c r="BH66" s="4">
        <v>0</v>
      </c>
      <c r="BI66" s="4">
        <v>0</v>
      </c>
      <c r="BJ66" s="4">
        <v>0</v>
      </c>
      <c r="BK66" s="4">
        <v>0</v>
      </c>
      <c r="BL66" s="4">
        <v>0</v>
      </c>
      <c r="BM66" s="4">
        <v>0</v>
      </c>
      <c r="BN66" s="4">
        <v>0</v>
      </c>
      <c r="BO66" s="4">
        <v>0</v>
      </c>
      <c r="BP66" s="4">
        <v>0</v>
      </c>
      <c r="BQ66" s="4">
        <v>0</v>
      </c>
      <c r="BR66" s="4">
        <v>0</v>
      </c>
      <c r="BS66" s="4">
        <v>0</v>
      </c>
      <c r="BT66" s="4">
        <v>0</v>
      </c>
      <c r="BU66" s="4">
        <v>0</v>
      </c>
      <c r="BV66" s="4">
        <v>0</v>
      </c>
      <c r="BW66" s="4">
        <v>0</v>
      </c>
      <c r="BX66" s="4">
        <v>0</v>
      </c>
      <c r="BY66" s="4">
        <v>0</v>
      </c>
      <c r="BZ66" s="4">
        <v>0</v>
      </c>
      <c r="CA66" s="4">
        <v>0</v>
      </c>
      <c r="CB66" s="4">
        <v>0</v>
      </c>
      <c r="CC66" s="4">
        <v>0</v>
      </c>
      <c r="CD66" s="4">
        <v>0</v>
      </c>
      <c r="CE66" s="4">
        <v>0</v>
      </c>
      <c r="CF66" s="4">
        <v>0</v>
      </c>
      <c r="CG66" s="4">
        <v>0</v>
      </c>
      <c r="CH66" s="4">
        <v>0</v>
      </c>
      <c r="CI66" s="4">
        <v>0</v>
      </c>
      <c r="CJ66" s="4">
        <v>0</v>
      </c>
      <c r="CK66" s="4">
        <v>0</v>
      </c>
      <c r="CL66" s="4">
        <v>0</v>
      </c>
      <c r="CM66" s="4">
        <v>0</v>
      </c>
      <c r="CN66" s="4">
        <v>0</v>
      </c>
      <c r="CO66" s="4">
        <v>0</v>
      </c>
      <c r="CP66" s="4">
        <v>0</v>
      </c>
      <c r="CQ66" s="4">
        <v>0</v>
      </c>
      <c r="CR66" s="4">
        <v>0</v>
      </c>
      <c r="CS66" s="4">
        <v>0</v>
      </c>
      <c r="CT66" s="4">
        <v>0</v>
      </c>
      <c r="CU66" s="4">
        <v>0</v>
      </c>
      <c r="CV66" s="4">
        <v>0</v>
      </c>
      <c r="CW66" s="4">
        <v>0</v>
      </c>
      <c r="CX66" s="4">
        <v>0</v>
      </c>
      <c r="CY66" s="4">
        <v>0</v>
      </c>
      <c r="CZ66" s="4">
        <v>0</v>
      </c>
      <c r="DA66" s="4">
        <v>0</v>
      </c>
      <c r="DB66" s="4">
        <v>0</v>
      </c>
      <c r="DC66" s="4">
        <v>0</v>
      </c>
      <c r="DD66" s="4">
        <v>0</v>
      </c>
      <c r="DE66" s="4">
        <v>0</v>
      </c>
      <c r="DF66" s="4">
        <v>0</v>
      </c>
      <c r="DG66" s="4">
        <v>0</v>
      </c>
      <c r="DH66" s="4">
        <v>0</v>
      </c>
      <c r="DI66" s="4">
        <v>0</v>
      </c>
      <c r="DJ66" s="4">
        <v>0</v>
      </c>
      <c r="DK66" s="4">
        <v>0</v>
      </c>
      <c r="DL66" s="4">
        <v>0</v>
      </c>
      <c r="DM66" s="4">
        <v>0</v>
      </c>
      <c r="DN66" s="4">
        <v>0</v>
      </c>
      <c r="DO66" s="4">
        <v>0</v>
      </c>
      <c r="DP66" s="4">
        <v>0</v>
      </c>
      <c r="DQ66" s="4">
        <v>0</v>
      </c>
      <c r="DR66" s="4">
        <v>0</v>
      </c>
      <c r="DS66" s="4">
        <v>0</v>
      </c>
      <c r="DT66" s="4">
        <v>0</v>
      </c>
      <c r="DU66" s="4">
        <v>0</v>
      </c>
      <c r="DV66" s="4">
        <v>0</v>
      </c>
      <c r="DW66" s="4">
        <v>0</v>
      </c>
      <c r="DX66" s="4">
        <v>0</v>
      </c>
      <c r="DY66" s="4">
        <v>0</v>
      </c>
      <c r="DZ66" s="4"/>
      <c r="EA66" s="4"/>
      <c r="EB66" s="4"/>
      <c r="EC66" s="4"/>
      <c r="ED66" s="4"/>
      <c r="EE66" s="4"/>
      <c r="EF66" s="4"/>
      <c r="EG66" s="4"/>
      <c r="EH66" s="150">
        <f t="shared" si="15"/>
        <v>0</v>
      </c>
      <c r="EI66" s="4">
        <v>0</v>
      </c>
      <c r="EJ66" s="4">
        <v>0</v>
      </c>
      <c r="EK66" s="259" t="s">
        <v>295</v>
      </c>
      <c r="EL66" s="4">
        <f t="shared" si="24"/>
        <v>0</v>
      </c>
      <c r="EM66" s="4">
        <f t="shared" si="19"/>
        <v>0</v>
      </c>
      <c r="EN66" s="4">
        <f t="shared" si="20"/>
        <v>0</v>
      </c>
      <c r="EO66" s="4">
        <f t="shared" si="21"/>
        <v>0</v>
      </c>
      <c r="EP66" s="4">
        <v>0</v>
      </c>
      <c r="EQ66" s="4">
        <v>0</v>
      </c>
      <c r="ER66" s="4">
        <v>0</v>
      </c>
      <c r="ES66" s="4">
        <v>0</v>
      </c>
      <c r="ET66" s="4">
        <f t="shared" si="33"/>
        <v>0</v>
      </c>
      <c r="EU66" s="4">
        <v>0</v>
      </c>
      <c r="EV66" s="4">
        <v>0</v>
      </c>
      <c r="EW66" s="259">
        <v>0</v>
      </c>
      <c r="EX66" s="270">
        <v>0</v>
      </c>
      <c r="EY66" s="4">
        <v>0</v>
      </c>
      <c r="EZ66" s="271">
        <v>0</v>
      </c>
    </row>
    <row r="67" spans="1:156" ht="15.75" hidden="1" customHeight="1" x14ac:dyDescent="0.25">
      <c r="A67" s="216">
        <v>0</v>
      </c>
      <c r="B67" s="256">
        <v>0</v>
      </c>
      <c r="C67" s="272">
        <v>0</v>
      </c>
      <c r="D67" s="272">
        <v>0</v>
      </c>
      <c r="E67" s="272">
        <v>0</v>
      </c>
      <c r="F67" s="272">
        <v>0</v>
      </c>
      <c r="G67" s="272">
        <v>0</v>
      </c>
      <c r="H67" s="272">
        <v>0</v>
      </c>
      <c r="I67" s="272">
        <v>0</v>
      </c>
      <c r="J67" s="272">
        <v>0</v>
      </c>
      <c r="K67" s="272">
        <v>0</v>
      </c>
      <c r="L67" s="272">
        <v>0</v>
      </c>
      <c r="M67" s="272">
        <v>0</v>
      </c>
      <c r="N67" s="272">
        <v>0</v>
      </c>
      <c r="O67" s="272">
        <v>0</v>
      </c>
      <c r="P67" s="272">
        <v>0</v>
      </c>
      <c r="Q67" s="272">
        <v>0</v>
      </c>
      <c r="R67" s="272">
        <v>0</v>
      </c>
      <c r="S67" s="272">
        <v>0</v>
      </c>
      <c r="T67" s="272">
        <v>0</v>
      </c>
      <c r="U67" s="272">
        <v>0</v>
      </c>
      <c r="V67" s="272">
        <v>0</v>
      </c>
      <c r="W67" s="272">
        <v>0</v>
      </c>
      <c r="X67" s="272">
        <v>0</v>
      </c>
      <c r="Y67" s="272">
        <v>0</v>
      </c>
      <c r="Z67" s="272">
        <v>0</v>
      </c>
      <c r="AA67" s="272">
        <v>0</v>
      </c>
      <c r="AB67" s="272">
        <v>0</v>
      </c>
      <c r="AC67" s="272">
        <v>0</v>
      </c>
      <c r="AD67" s="272">
        <v>0</v>
      </c>
      <c r="AE67" s="272">
        <v>0</v>
      </c>
      <c r="AF67" s="272">
        <v>0</v>
      </c>
      <c r="AG67" s="272">
        <v>0</v>
      </c>
      <c r="AH67" s="272">
        <v>0</v>
      </c>
      <c r="AI67" s="272">
        <v>0</v>
      </c>
      <c r="AJ67" s="272">
        <v>0</v>
      </c>
      <c r="AK67" s="272">
        <v>0</v>
      </c>
      <c r="AL67" s="272">
        <v>0</v>
      </c>
      <c r="AM67" s="272">
        <v>0</v>
      </c>
      <c r="AN67" s="272">
        <v>0</v>
      </c>
      <c r="AO67" s="272">
        <v>0</v>
      </c>
      <c r="AP67" s="272">
        <v>0</v>
      </c>
      <c r="AQ67" s="272">
        <v>0</v>
      </c>
      <c r="AR67" s="272">
        <v>0</v>
      </c>
      <c r="AS67" s="272">
        <v>0</v>
      </c>
      <c r="AT67" s="272">
        <v>0</v>
      </c>
      <c r="AU67" s="272">
        <v>0</v>
      </c>
      <c r="AV67" s="272">
        <v>0</v>
      </c>
      <c r="AW67" s="272">
        <v>0</v>
      </c>
      <c r="AX67" s="272">
        <v>0</v>
      </c>
      <c r="AY67" s="272">
        <v>0</v>
      </c>
      <c r="AZ67" s="272">
        <v>0</v>
      </c>
      <c r="BA67" s="272">
        <v>0</v>
      </c>
      <c r="BB67" s="272">
        <v>0</v>
      </c>
      <c r="BC67" s="272">
        <v>0</v>
      </c>
      <c r="BD67" s="272">
        <v>0</v>
      </c>
      <c r="BE67" s="272">
        <v>0</v>
      </c>
      <c r="BF67" s="272">
        <v>0</v>
      </c>
      <c r="BG67" s="272">
        <v>0</v>
      </c>
      <c r="BH67" s="272">
        <v>0</v>
      </c>
      <c r="BI67" s="272">
        <v>0</v>
      </c>
      <c r="BJ67" s="272">
        <v>0</v>
      </c>
      <c r="BK67" s="272">
        <v>0</v>
      </c>
      <c r="BL67" s="272">
        <v>0</v>
      </c>
      <c r="BM67" s="272">
        <v>0</v>
      </c>
      <c r="BN67" s="272">
        <v>0</v>
      </c>
      <c r="BO67" s="272">
        <v>0</v>
      </c>
      <c r="BP67" s="272">
        <v>0</v>
      </c>
      <c r="BQ67" s="272">
        <v>0</v>
      </c>
      <c r="BR67" s="272">
        <v>0</v>
      </c>
      <c r="BS67" s="272">
        <v>0</v>
      </c>
      <c r="BT67" s="272">
        <v>0</v>
      </c>
      <c r="BU67" s="272">
        <v>0</v>
      </c>
      <c r="BV67" s="272">
        <v>0</v>
      </c>
      <c r="BW67" s="272">
        <v>0</v>
      </c>
      <c r="BX67" s="272">
        <v>0</v>
      </c>
      <c r="BY67" s="272">
        <v>0</v>
      </c>
      <c r="BZ67" s="272">
        <v>0</v>
      </c>
      <c r="CA67" s="272">
        <v>0</v>
      </c>
      <c r="CB67" s="272">
        <v>0</v>
      </c>
      <c r="CC67" s="272">
        <v>0</v>
      </c>
      <c r="CD67" s="272">
        <v>0</v>
      </c>
      <c r="CE67" s="272">
        <v>0</v>
      </c>
      <c r="CF67" s="272">
        <v>0</v>
      </c>
      <c r="CG67" s="272">
        <v>0</v>
      </c>
      <c r="CH67" s="272">
        <v>0</v>
      </c>
      <c r="CI67" s="272">
        <v>0</v>
      </c>
      <c r="CJ67" s="272">
        <v>0</v>
      </c>
      <c r="CK67" s="272">
        <v>0</v>
      </c>
      <c r="CL67" s="272">
        <v>0</v>
      </c>
      <c r="CM67" s="272">
        <v>0</v>
      </c>
      <c r="CN67" s="272">
        <v>0</v>
      </c>
      <c r="CO67" s="272">
        <v>0</v>
      </c>
      <c r="CP67" s="272">
        <v>0</v>
      </c>
      <c r="CQ67" s="272">
        <v>0</v>
      </c>
      <c r="CR67" s="273">
        <v>0</v>
      </c>
      <c r="CS67" s="273">
        <v>0</v>
      </c>
      <c r="CT67" s="273">
        <v>0</v>
      </c>
      <c r="CU67" s="273">
        <v>0</v>
      </c>
      <c r="CV67" s="273">
        <v>0</v>
      </c>
      <c r="CW67" s="273">
        <v>0</v>
      </c>
      <c r="CX67" s="273">
        <v>0</v>
      </c>
      <c r="CY67" s="273">
        <v>0</v>
      </c>
      <c r="CZ67" s="273">
        <v>0</v>
      </c>
      <c r="DA67" s="273">
        <v>0</v>
      </c>
      <c r="DB67" s="273">
        <v>0</v>
      </c>
      <c r="DC67" s="273">
        <v>0</v>
      </c>
      <c r="DD67" s="273">
        <v>0</v>
      </c>
      <c r="DE67" s="273">
        <v>0</v>
      </c>
      <c r="DF67" s="273">
        <v>0</v>
      </c>
      <c r="DG67" s="273">
        <v>0</v>
      </c>
      <c r="DH67" s="273">
        <v>0</v>
      </c>
      <c r="DI67" s="273">
        <v>0</v>
      </c>
      <c r="DJ67" s="273">
        <v>0</v>
      </c>
      <c r="DK67" s="273">
        <v>0</v>
      </c>
      <c r="DL67" s="273">
        <v>0</v>
      </c>
      <c r="DM67" s="273">
        <v>0</v>
      </c>
      <c r="DN67" s="273">
        <v>0</v>
      </c>
      <c r="DO67" s="273">
        <v>0</v>
      </c>
      <c r="DP67" s="273">
        <v>0</v>
      </c>
      <c r="DQ67" s="273">
        <v>0</v>
      </c>
      <c r="DR67" s="273">
        <v>0</v>
      </c>
      <c r="DS67" s="273">
        <v>0</v>
      </c>
      <c r="DT67" s="273">
        <v>0</v>
      </c>
      <c r="DU67" s="273">
        <v>0</v>
      </c>
      <c r="DV67" s="273">
        <v>0</v>
      </c>
      <c r="DW67" s="273">
        <v>0</v>
      </c>
      <c r="DX67" s="273">
        <v>0</v>
      </c>
      <c r="DY67" s="273">
        <v>0</v>
      </c>
      <c r="DZ67" s="273"/>
      <c r="EA67" s="273"/>
      <c r="EB67" s="273"/>
      <c r="EC67" s="273"/>
      <c r="ED67" s="273"/>
      <c r="EE67" s="273"/>
      <c r="EF67" s="273"/>
      <c r="EG67" s="273"/>
      <c r="EH67" s="150">
        <f t="shared" si="15"/>
        <v>0</v>
      </c>
      <c r="EI67" s="273">
        <v>0</v>
      </c>
      <c r="EJ67" s="273">
        <v>0</v>
      </c>
      <c r="EK67" s="259" t="s">
        <v>296</v>
      </c>
      <c r="EL67" s="268">
        <f t="shared" si="24"/>
        <v>0</v>
      </c>
      <c r="EM67" s="268">
        <f t="shared" si="19"/>
        <v>0</v>
      </c>
      <c r="EN67" s="268">
        <f t="shared" si="20"/>
        <v>0</v>
      </c>
      <c r="EO67" s="216">
        <v>0</v>
      </c>
      <c r="EP67" s="216">
        <v>0</v>
      </c>
      <c r="EQ67" s="216">
        <v>0</v>
      </c>
      <c r="ER67" s="216">
        <v>0</v>
      </c>
      <c r="ES67" s="216">
        <v>0</v>
      </c>
      <c r="ET67" s="229">
        <v>0</v>
      </c>
      <c r="EU67" s="216">
        <v>0</v>
      </c>
      <c r="EV67" s="216">
        <v>0</v>
      </c>
      <c r="EW67" s="259">
        <v>0</v>
      </c>
      <c r="EX67" s="270">
        <v>0</v>
      </c>
      <c r="EY67" s="216">
        <v>0</v>
      </c>
      <c r="EZ67" s="142">
        <v>0</v>
      </c>
    </row>
    <row r="68" spans="1:156" ht="15.75" hidden="1" customHeight="1" x14ac:dyDescent="0.25">
      <c r="A68" s="5" t="s">
        <v>8</v>
      </c>
      <c r="B68" s="5" t="s">
        <v>4</v>
      </c>
      <c r="C68" s="6">
        <v>43435</v>
      </c>
      <c r="D68" s="6">
        <v>43466</v>
      </c>
      <c r="E68" s="6">
        <v>43497</v>
      </c>
      <c r="F68" s="6">
        <v>43525</v>
      </c>
      <c r="G68" s="6">
        <v>43556</v>
      </c>
      <c r="H68" s="6">
        <v>43586</v>
      </c>
      <c r="I68" s="6">
        <v>43617</v>
      </c>
      <c r="J68" s="6">
        <v>43647</v>
      </c>
      <c r="K68" s="6">
        <v>43678</v>
      </c>
      <c r="L68" s="6">
        <v>43709</v>
      </c>
      <c r="M68" s="6">
        <v>43739</v>
      </c>
      <c r="N68" s="6">
        <v>43770</v>
      </c>
      <c r="O68" s="6">
        <v>43800</v>
      </c>
      <c r="P68" s="6">
        <v>43831</v>
      </c>
      <c r="Q68" s="6">
        <v>43862</v>
      </c>
      <c r="R68" s="6">
        <v>43891</v>
      </c>
      <c r="S68" s="6">
        <v>43922</v>
      </c>
      <c r="T68" s="6">
        <v>43952</v>
      </c>
      <c r="U68" s="6">
        <v>43983</v>
      </c>
      <c r="V68" s="6">
        <v>44013</v>
      </c>
      <c r="W68" s="6">
        <v>44044</v>
      </c>
      <c r="X68" s="6">
        <v>44075</v>
      </c>
      <c r="Y68" s="6">
        <v>44105</v>
      </c>
      <c r="Z68" s="6">
        <v>44136</v>
      </c>
      <c r="AA68" s="6">
        <v>44166</v>
      </c>
      <c r="AB68" s="6">
        <v>44197</v>
      </c>
      <c r="AC68" s="6">
        <v>44228</v>
      </c>
      <c r="AD68" s="6">
        <v>44256</v>
      </c>
      <c r="AE68" s="7">
        <v>44287</v>
      </c>
      <c r="AF68" s="7">
        <v>44317</v>
      </c>
      <c r="AG68" s="7">
        <v>44348</v>
      </c>
      <c r="AH68" s="7">
        <v>44378</v>
      </c>
      <c r="AI68" s="7">
        <v>44409</v>
      </c>
      <c r="AJ68" s="7">
        <v>44440</v>
      </c>
      <c r="AK68" s="7">
        <v>44470</v>
      </c>
      <c r="AL68" s="7">
        <v>44501</v>
      </c>
      <c r="AM68" s="7">
        <v>44531</v>
      </c>
      <c r="AN68" s="7">
        <v>44562</v>
      </c>
      <c r="AO68" s="7">
        <v>44593</v>
      </c>
      <c r="AP68" s="7">
        <v>44621</v>
      </c>
      <c r="AQ68" s="6">
        <v>44652</v>
      </c>
      <c r="AR68" s="6">
        <v>44703</v>
      </c>
      <c r="AS68" s="6">
        <v>44734</v>
      </c>
      <c r="AT68" s="6">
        <v>44764</v>
      </c>
      <c r="AU68" s="6">
        <v>44795</v>
      </c>
      <c r="AV68" s="6">
        <v>44826</v>
      </c>
      <c r="AW68" s="6">
        <v>44856</v>
      </c>
      <c r="AX68" s="6">
        <v>44887</v>
      </c>
      <c r="AY68" s="6">
        <v>0</v>
      </c>
      <c r="AZ68" s="6">
        <v>44927</v>
      </c>
      <c r="BA68" s="6">
        <v>0</v>
      </c>
      <c r="BB68" s="6">
        <v>44958</v>
      </c>
      <c r="BC68" s="6">
        <v>0</v>
      </c>
      <c r="BD68" s="6">
        <v>0</v>
      </c>
      <c r="BE68" s="6">
        <v>0</v>
      </c>
      <c r="BF68" s="6">
        <v>0</v>
      </c>
      <c r="BG68" s="6">
        <v>0</v>
      </c>
      <c r="BH68" s="6">
        <v>0</v>
      </c>
      <c r="BI68" s="6">
        <v>0</v>
      </c>
      <c r="BJ68" s="6">
        <v>0</v>
      </c>
      <c r="BK68" s="6">
        <v>0</v>
      </c>
      <c r="BL68" s="6">
        <v>0</v>
      </c>
      <c r="BM68" s="6">
        <v>0</v>
      </c>
      <c r="BN68" s="6">
        <v>0</v>
      </c>
      <c r="BO68" s="6">
        <v>0</v>
      </c>
      <c r="BP68" s="6">
        <v>0</v>
      </c>
      <c r="BQ68" s="6">
        <v>0</v>
      </c>
      <c r="BR68" s="6">
        <v>0</v>
      </c>
      <c r="BS68" s="6">
        <v>0</v>
      </c>
      <c r="BT68" s="6">
        <v>0</v>
      </c>
      <c r="BU68" s="6">
        <v>0</v>
      </c>
      <c r="BV68" s="6">
        <v>0</v>
      </c>
      <c r="BW68" s="6">
        <v>0</v>
      </c>
      <c r="BX68" s="6">
        <v>0</v>
      </c>
      <c r="BY68" s="6">
        <v>0</v>
      </c>
      <c r="BZ68" s="6">
        <v>0</v>
      </c>
      <c r="CA68" s="6">
        <v>0</v>
      </c>
      <c r="CB68" s="6">
        <v>0</v>
      </c>
      <c r="CC68" s="6">
        <v>0</v>
      </c>
      <c r="CD68" s="6">
        <v>0</v>
      </c>
      <c r="CE68" s="6">
        <v>0</v>
      </c>
      <c r="CF68" s="6">
        <v>0</v>
      </c>
      <c r="CG68" s="6">
        <v>0</v>
      </c>
      <c r="CH68" s="6">
        <v>0</v>
      </c>
      <c r="CI68" s="6">
        <v>0</v>
      </c>
      <c r="CJ68" s="6">
        <v>0</v>
      </c>
      <c r="CK68" s="6">
        <v>0</v>
      </c>
      <c r="CL68" s="6">
        <v>0</v>
      </c>
      <c r="CM68" s="6">
        <v>0</v>
      </c>
      <c r="CN68" s="6">
        <v>0</v>
      </c>
      <c r="CO68" s="6">
        <v>0</v>
      </c>
      <c r="CP68" s="6">
        <v>0</v>
      </c>
      <c r="CQ68" s="6">
        <v>0</v>
      </c>
      <c r="CR68" s="6">
        <v>0</v>
      </c>
      <c r="CS68" s="6">
        <v>0</v>
      </c>
      <c r="CT68" s="6">
        <v>0</v>
      </c>
      <c r="CU68" s="6">
        <v>0</v>
      </c>
      <c r="CV68" s="6">
        <v>0</v>
      </c>
      <c r="CW68" s="6">
        <v>0</v>
      </c>
      <c r="CX68" s="6">
        <v>0</v>
      </c>
      <c r="CY68" s="6">
        <v>0</v>
      </c>
      <c r="CZ68" s="6">
        <v>0</v>
      </c>
      <c r="DA68" s="6">
        <v>0</v>
      </c>
      <c r="DB68" s="6">
        <v>0</v>
      </c>
      <c r="DC68" s="6">
        <v>0</v>
      </c>
      <c r="DD68" s="6">
        <v>0</v>
      </c>
      <c r="DE68" s="6">
        <v>0</v>
      </c>
      <c r="DF68" s="6">
        <v>0</v>
      </c>
      <c r="DG68" s="6">
        <v>0</v>
      </c>
      <c r="DH68" s="6">
        <v>0</v>
      </c>
      <c r="DI68" s="6">
        <v>0</v>
      </c>
      <c r="DJ68" s="6">
        <v>0</v>
      </c>
      <c r="DK68" s="6">
        <v>0</v>
      </c>
      <c r="DL68" s="6">
        <v>0</v>
      </c>
      <c r="DM68" s="6">
        <v>0</v>
      </c>
      <c r="DN68" s="6">
        <v>0</v>
      </c>
      <c r="DO68" s="6">
        <v>0</v>
      </c>
      <c r="DP68" s="6">
        <v>0</v>
      </c>
      <c r="DQ68" s="6">
        <v>0</v>
      </c>
      <c r="DR68" s="6">
        <v>0</v>
      </c>
      <c r="DS68" s="6">
        <v>0</v>
      </c>
      <c r="DT68" s="6">
        <v>0</v>
      </c>
      <c r="DU68" s="6">
        <v>0</v>
      </c>
      <c r="DV68" s="6">
        <v>0</v>
      </c>
      <c r="DW68" s="6">
        <v>0</v>
      </c>
      <c r="DX68" s="6">
        <v>0</v>
      </c>
      <c r="DY68" s="6">
        <v>0</v>
      </c>
      <c r="DZ68" s="6"/>
      <c r="EA68" s="6"/>
      <c r="EB68" s="6"/>
      <c r="EC68" s="6"/>
      <c r="ED68" s="6"/>
      <c r="EE68" s="6"/>
      <c r="EF68" s="6"/>
      <c r="EG68" s="6"/>
      <c r="EH68" s="150">
        <f t="shared" si="15"/>
        <v>0</v>
      </c>
      <c r="EI68" s="7" t="s">
        <v>5</v>
      </c>
      <c r="EJ68" s="7">
        <v>0</v>
      </c>
      <c r="EK68" s="259" t="s">
        <v>297</v>
      </c>
      <c r="EL68" s="11">
        <v>2018</v>
      </c>
      <c r="EM68" s="11" t="s">
        <v>63</v>
      </c>
      <c r="EN68" s="11" t="s">
        <v>61</v>
      </c>
      <c r="EO68" s="11" t="s">
        <v>62</v>
      </c>
      <c r="EP68" s="216">
        <v>0</v>
      </c>
      <c r="EQ68" s="216">
        <v>0</v>
      </c>
      <c r="ER68" s="216">
        <v>0</v>
      </c>
      <c r="ES68" s="216">
        <v>0</v>
      </c>
      <c r="ET68" s="229">
        <v>0</v>
      </c>
      <c r="EU68" s="216">
        <v>0</v>
      </c>
      <c r="EV68" s="216">
        <v>0</v>
      </c>
      <c r="EW68" s="259">
        <v>0</v>
      </c>
      <c r="EX68" s="270">
        <v>0</v>
      </c>
      <c r="EY68" s="216">
        <v>0</v>
      </c>
      <c r="EZ68" s="142">
        <v>0</v>
      </c>
    </row>
    <row r="69" spans="1:156" ht="56.25" hidden="1" customHeight="1" x14ac:dyDescent="0.25">
      <c r="A69" s="25" t="s">
        <v>59</v>
      </c>
      <c r="B69" s="25" t="s">
        <v>60</v>
      </c>
      <c r="C69" s="28">
        <v>0</v>
      </c>
      <c r="D69" s="28">
        <v>0</v>
      </c>
      <c r="E69" s="28">
        <v>0</v>
      </c>
      <c r="F69" s="28">
        <v>0</v>
      </c>
      <c r="G69" s="28">
        <v>0</v>
      </c>
      <c r="H69" s="28">
        <v>0</v>
      </c>
      <c r="I69" s="28">
        <v>0</v>
      </c>
      <c r="J69" s="28">
        <v>0</v>
      </c>
      <c r="K69" s="28">
        <v>0</v>
      </c>
      <c r="L69" s="28">
        <v>0</v>
      </c>
      <c r="M69" s="28">
        <v>0</v>
      </c>
      <c r="N69" s="28">
        <v>0</v>
      </c>
      <c r="O69" s="28">
        <v>0</v>
      </c>
      <c r="P69" s="28">
        <v>0</v>
      </c>
      <c r="Q69" s="28">
        <v>0</v>
      </c>
      <c r="R69" s="28">
        <v>0</v>
      </c>
      <c r="S69" s="28">
        <v>0</v>
      </c>
      <c r="T69" s="28">
        <v>0</v>
      </c>
      <c r="U69" s="28">
        <v>0</v>
      </c>
      <c r="V69" s="28">
        <v>0</v>
      </c>
      <c r="W69" s="28">
        <v>0</v>
      </c>
      <c r="X69" s="28">
        <v>0</v>
      </c>
      <c r="Y69" s="28">
        <v>0</v>
      </c>
      <c r="Z69" s="28">
        <v>0</v>
      </c>
      <c r="AA69" s="28">
        <v>0</v>
      </c>
      <c r="AB69" s="28">
        <v>0</v>
      </c>
      <c r="AC69" s="28">
        <v>0</v>
      </c>
      <c r="AD69" s="28">
        <v>0</v>
      </c>
      <c r="AE69" s="28">
        <v>2</v>
      </c>
      <c r="AF69" s="28">
        <v>0</v>
      </c>
      <c r="AG69" s="28">
        <v>1</v>
      </c>
      <c r="AH69" s="28">
        <v>1</v>
      </c>
      <c r="AI69" s="28">
        <v>0</v>
      </c>
      <c r="AJ69" s="28">
        <v>0</v>
      </c>
      <c r="AK69" s="28">
        <v>1</v>
      </c>
      <c r="AL69" s="28">
        <v>1</v>
      </c>
      <c r="AM69" s="28">
        <v>1</v>
      </c>
      <c r="AN69" s="28">
        <v>0</v>
      </c>
      <c r="AO69" s="28">
        <v>0</v>
      </c>
      <c r="AP69" s="28">
        <v>1</v>
      </c>
      <c r="AQ69" s="28">
        <v>1</v>
      </c>
      <c r="AR69" s="28">
        <v>0</v>
      </c>
      <c r="AS69" s="28">
        <v>0</v>
      </c>
      <c r="AT69" s="28">
        <v>0</v>
      </c>
      <c r="AU69" s="28">
        <v>0</v>
      </c>
      <c r="AV69" s="28">
        <v>0</v>
      </c>
      <c r="AW69" s="28">
        <v>0</v>
      </c>
      <c r="AX69" s="28">
        <v>0</v>
      </c>
      <c r="AY69" s="28">
        <v>0</v>
      </c>
      <c r="AZ69" s="28">
        <v>0</v>
      </c>
      <c r="BA69" s="28">
        <v>0</v>
      </c>
      <c r="BB69" s="28">
        <v>0</v>
      </c>
      <c r="BC69" s="28">
        <v>0</v>
      </c>
      <c r="BD69" s="28">
        <v>0</v>
      </c>
      <c r="BE69" s="28">
        <v>0</v>
      </c>
      <c r="BF69" s="28">
        <v>0</v>
      </c>
      <c r="BG69" s="28">
        <v>0</v>
      </c>
      <c r="BH69" s="28">
        <v>0</v>
      </c>
      <c r="BI69" s="28">
        <v>0</v>
      </c>
      <c r="BJ69" s="28">
        <v>0</v>
      </c>
      <c r="BK69" s="28">
        <v>0</v>
      </c>
      <c r="BL69" s="28">
        <v>0</v>
      </c>
      <c r="BM69" s="28">
        <v>0</v>
      </c>
      <c r="BN69" s="28">
        <v>0</v>
      </c>
      <c r="BO69" s="28">
        <v>0</v>
      </c>
      <c r="BP69" s="28">
        <v>0</v>
      </c>
      <c r="BQ69" s="28">
        <v>0</v>
      </c>
      <c r="BR69" s="28">
        <v>0</v>
      </c>
      <c r="BS69" s="28">
        <v>0</v>
      </c>
      <c r="BT69" s="28">
        <v>0</v>
      </c>
      <c r="BU69" s="28">
        <v>0</v>
      </c>
      <c r="BV69" s="28">
        <v>0</v>
      </c>
      <c r="BW69" s="28">
        <v>0</v>
      </c>
      <c r="BX69" s="28">
        <v>0</v>
      </c>
      <c r="BY69" s="28">
        <v>0</v>
      </c>
      <c r="BZ69" s="28">
        <v>0</v>
      </c>
      <c r="CA69" s="28">
        <v>0</v>
      </c>
      <c r="CB69" s="28">
        <v>0</v>
      </c>
      <c r="CC69" s="28">
        <v>0</v>
      </c>
      <c r="CD69" s="28">
        <v>0</v>
      </c>
      <c r="CE69" s="28">
        <v>0</v>
      </c>
      <c r="CF69" s="28">
        <v>0</v>
      </c>
      <c r="CG69" s="28">
        <v>0</v>
      </c>
      <c r="CH69" s="28">
        <v>0</v>
      </c>
      <c r="CI69" s="28">
        <v>0</v>
      </c>
      <c r="CJ69" s="28">
        <v>0</v>
      </c>
      <c r="CK69" s="28">
        <v>0</v>
      </c>
      <c r="CL69" s="28">
        <v>0</v>
      </c>
      <c r="CM69" s="28">
        <v>0</v>
      </c>
      <c r="CN69" s="28">
        <v>0</v>
      </c>
      <c r="CO69" s="28">
        <v>0</v>
      </c>
      <c r="CP69" s="28">
        <v>0</v>
      </c>
      <c r="CQ69" s="28">
        <v>0</v>
      </c>
      <c r="CR69" s="28">
        <v>0</v>
      </c>
      <c r="CS69" s="28">
        <v>0</v>
      </c>
      <c r="CT69" s="28">
        <v>0</v>
      </c>
      <c r="CU69" s="28">
        <v>0</v>
      </c>
      <c r="CV69" s="28">
        <v>0</v>
      </c>
      <c r="CW69" s="28">
        <v>0</v>
      </c>
      <c r="CX69" s="28">
        <v>0</v>
      </c>
      <c r="CY69" s="28">
        <v>0</v>
      </c>
      <c r="CZ69" s="28">
        <v>0</v>
      </c>
      <c r="DA69" s="28">
        <v>0</v>
      </c>
      <c r="DB69" s="28">
        <v>0</v>
      </c>
      <c r="DC69" s="28">
        <v>0</v>
      </c>
      <c r="DD69" s="28">
        <v>0</v>
      </c>
      <c r="DE69" s="28">
        <v>0</v>
      </c>
      <c r="DF69" s="28">
        <v>0</v>
      </c>
      <c r="DG69" s="28">
        <v>0</v>
      </c>
      <c r="DH69" s="28">
        <v>0</v>
      </c>
      <c r="DI69" s="28">
        <v>0</v>
      </c>
      <c r="DJ69" s="28">
        <v>0</v>
      </c>
      <c r="DK69" s="28">
        <v>0</v>
      </c>
      <c r="DL69" s="28">
        <v>0</v>
      </c>
      <c r="DM69" s="28">
        <v>0</v>
      </c>
      <c r="DN69" s="28">
        <v>0</v>
      </c>
      <c r="DO69" s="28">
        <v>0</v>
      </c>
      <c r="DP69" s="28">
        <v>0</v>
      </c>
      <c r="DQ69" s="28">
        <v>0</v>
      </c>
      <c r="DR69" s="28">
        <v>0</v>
      </c>
      <c r="DS69" s="28">
        <v>0</v>
      </c>
      <c r="DT69" s="28">
        <v>0</v>
      </c>
      <c r="DU69" s="28">
        <v>0</v>
      </c>
      <c r="DV69" s="28">
        <v>0</v>
      </c>
      <c r="DW69" s="28">
        <v>0</v>
      </c>
      <c r="DX69" s="28">
        <v>0</v>
      </c>
      <c r="DY69" s="28">
        <v>0</v>
      </c>
      <c r="DZ69" s="28"/>
      <c r="EA69" s="293"/>
      <c r="EB69" s="293"/>
      <c r="EC69" s="293"/>
      <c r="ED69" s="293"/>
      <c r="EE69" s="293"/>
      <c r="EF69" s="293"/>
      <c r="EG69" s="293"/>
      <c r="EH69" s="150">
        <f t="shared" si="15"/>
        <v>0</v>
      </c>
      <c r="EI69" s="29">
        <f>SUM(AJ69:AS69)</f>
        <v>5</v>
      </c>
      <c r="EJ69" s="29">
        <v>0</v>
      </c>
      <c r="EK69" s="259" t="s">
        <v>298</v>
      </c>
      <c r="EL69" s="27">
        <f>SUM(C69:C69)</f>
        <v>0</v>
      </c>
      <c r="EM69" s="27">
        <f>SUM(D69:O69)</f>
        <v>0</v>
      </c>
      <c r="EN69" s="27">
        <v>0</v>
      </c>
      <c r="EO69" s="27">
        <v>0</v>
      </c>
      <c r="EP69" s="274">
        <v>0</v>
      </c>
      <c r="EQ69" s="274">
        <v>0</v>
      </c>
      <c r="ER69" s="274">
        <v>0</v>
      </c>
      <c r="ES69" s="274">
        <v>0</v>
      </c>
      <c r="ET69" s="274">
        <v>0</v>
      </c>
      <c r="EU69" s="274">
        <v>0</v>
      </c>
      <c r="EV69" s="274">
        <v>0</v>
      </c>
      <c r="EW69" s="259">
        <v>0</v>
      </c>
      <c r="EX69" s="270">
        <v>0</v>
      </c>
      <c r="EY69" s="275">
        <v>0</v>
      </c>
      <c r="EZ69" s="275">
        <v>0</v>
      </c>
    </row>
    <row r="70" spans="1:156" ht="38.25" hidden="1" customHeight="1" x14ac:dyDescent="0.25">
      <c r="A70" s="25" t="s">
        <v>68</v>
      </c>
      <c r="B70" s="25" t="s">
        <v>60</v>
      </c>
      <c r="C70" s="28">
        <v>0</v>
      </c>
      <c r="D70" s="28">
        <v>0</v>
      </c>
      <c r="E70" s="28">
        <v>0</v>
      </c>
      <c r="F70" s="28">
        <v>0</v>
      </c>
      <c r="G70" s="28">
        <v>0</v>
      </c>
      <c r="H70" s="28">
        <v>0</v>
      </c>
      <c r="I70" s="28">
        <v>0</v>
      </c>
      <c r="J70" s="28">
        <v>0</v>
      </c>
      <c r="K70" s="28">
        <v>0</v>
      </c>
      <c r="L70" s="28">
        <v>0</v>
      </c>
      <c r="M70" s="28">
        <v>0</v>
      </c>
      <c r="N70" s="28">
        <v>0</v>
      </c>
      <c r="O70" s="28">
        <v>0</v>
      </c>
      <c r="P70" s="28">
        <v>0</v>
      </c>
      <c r="Q70" s="28">
        <v>0</v>
      </c>
      <c r="R70" s="28">
        <v>0</v>
      </c>
      <c r="S70" s="28">
        <v>0</v>
      </c>
      <c r="T70" s="28">
        <v>0</v>
      </c>
      <c r="U70" s="28">
        <v>0</v>
      </c>
      <c r="V70" s="28">
        <v>0</v>
      </c>
      <c r="W70" s="28">
        <v>0</v>
      </c>
      <c r="X70" s="28">
        <v>0</v>
      </c>
      <c r="Y70" s="28">
        <v>0</v>
      </c>
      <c r="Z70" s="28">
        <v>0</v>
      </c>
      <c r="AA70" s="28">
        <v>0</v>
      </c>
      <c r="AB70" s="28">
        <v>0</v>
      </c>
      <c r="AC70" s="28">
        <v>0</v>
      </c>
      <c r="AD70" s="28">
        <v>0</v>
      </c>
      <c r="AE70" s="28">
        <v>0</v>
      </c>
      <c r="AF70" s="28">
        <v>0</v>
      </c>
      <c r="AG70" s="28">
        <v>0</v>
      </c>
      <c r="AH70" s="28">
        <v>0</v>
      </c>
      <c r="AI70" s="28">
        <v>0</v>
      </c>
      <c r="AJ70" s="28">
        <v>0</v>
      </c>
      <c r="AK70" s="28">
        <v>0</v>
      </c>
      <c r="AL70" s="28">
        <v>0</v>
      </c>
      <c r="AM70" s="28">
        <v>0</v>
      </c>
      <c r="AN70" s="28">
        <v>0</v>
      </c>
      <c r="AO70" s="28">
        <v>0</v>
      </c>
      <c r="AP70" s="28">
        <v>0</v>
      </c>
      <c r="AQ70" s="28">
        <v>0</v>
      </c>
      <c r="AR70" s="28">
        <v>0</v>
      </c>
      <c r="AS70" s="28">
        <v>0</v>
      </c>
      <c r="AT70" s="28">
        <v>0</v>
      </c>
      <c r="AU70" s="28">
        <v>0</v>
      </c>
      <c r="AV70" s="28">
        <v>0</v>
      </c>
      <c r="AW70" s="28">
        <v>0</v>
      </c>
      <c r="AX70" s="28">
        <v>1</v>
      </c>
      <c r="AY70" s="28">
        <v>0</v>
      </c>
      <c r="AZ70" s="28">
        <v>0</v>
      </c>
      <c r="BA70" s="28">
        <v>0</v>
      </c>
      <c r="BB70" s="28">
        <v>0</v>
      </c>
      <c r="BC70" s="28">
        <v>0</v>
      </c>
      <c r="BD70" s="28">
        <v>0</v>
      </c>
      <c r="BE70" s="28">
        <v>0</v>
      </c>
      <c r="BF70" s="28">
        <v>0</v>
      </c>
      <c r="BG70" s="28">
        <v>0</v>
      </c>
      <c r="BH70" s="28">
        <v>0</v>
      </c>
      <c r="BI70" s="28">
        <v>0</v>
      </c>
      <c r="BJ70" s="28">
        <v>0</v>
      </c>
      <c r="BK70" s="28">
        <v>0</v>
      </c>
      <c r="BL70" s="28">
        <v>0</v>
      </c>
      <c r="BM70" s="28">
        <v>0</v>
      </c>
      <c r="BN70" s="28">
        <v>0</v>
      </c>
      <c r="BO70" s="28">
        <v>0</v>
      </c>
      <c r="BP70" s="28">
        <v>0</v>
      </c>
      <c r="BQ70" s="28">
        <v>0</v>
      </c>
      <c r="BR70" s="28">
        <v>0</v>
      </c>
      <c r="BS70" s="28">
        <v>0</v>
      </c>
      <c r="BT70" s="28">
        <v>0</v>
      </c>
      <c r="BU70" s="28">
        <v>0</v>
      </c>
      <c r="BV70" s="28">
        <v>0</v>
      </c>
      <c r="BW70" s="28">
        <v>0</v>
      </c>
      <c r="BX70" s="28">
        <v>0</v>
      </c>
      <c r="BY70" s="28">
        <v>0</v>
      </c>
      <c r="BZ70" s="28">
        <v>0</v>
      </c>
      <c r="CA70" s="28">
        <v>0</v>
      </c>
      <c r="CB70" s="28">
        <v>0</v>
      </c>
      <c r="CC70" s="28">
        <v>0</v>
      </c>
      <c r="CD70" s="28">
        <v>0</v>
      </c>
      <c r="CE70" s="28">
        <v>0</v>
      </c>
      <c r="CF70" s="28">
        <v>0</v>
      </c>
      <c r="CG70" s="28">
        <v>0</v>
      </c>
      <c r="CH70" s="28">
        <v>0</v>
      </c>
      <c r="CI70" s="28">
        <v>0</v>
      </c>
      <c r="CJ70" s="28">
        <v>0</v>
      </c>
      <c r="CK70" s="28">
        <v>0</v>
      </c>
      <c r="CL70" s="28">
        <v>0</v>
      </c>
      <c r="CM70" s="28">
        <v>0</v>
      </c>
      <c r="CN70" s="28">
        <v>0</v>
      </c>
      <c r="CO70" s="28">
        <v>0</v>
      </c>
      <c r="CP70" s="28">
        <v>0</v>
      </c>
      <c r="CQ70" s="28">
        <v>0</v>
      </c>
      <c r="CR70" s="28">
        <v>0</v>
      </c>
      <c r="CS70" s="28">
        <v>0</v>
      </c>
      <c r="CT70" s="28">
        <v>0</v>
      </c>
      <c r="CU70" s="28">
        <v>0</v>
      </c>
      <c r="CV70" s="28">
        <v>0</v>
      </c>
      <c r="CW70" s="28">
        <v>0</v>
      </c>
      <c r="CX70" s="28">
        <v>0</v>
      </c>
      <c r="CY70" s="28">
        <v>0</v>
      </c>
      <c r="CZ70" s="28">
        <v>0</v>
      </c>
      <c r="DA70" s="28">
        <v>0</v>
      </c>
      <c r="DB70" s="28">
        <v>0</v>
      </c>
      <c r="DC70" s="28">
        <v>0</v>
      </c>
      <c r="DD70" s="28">
        <v>0</v>
      </c>
      <c r="DE70" s="28">
        <v>0</v>
      </c>
      <c r="DF70" s="28">
        <v>0</v>
      </c>
      <c r="DG70" s="28">
        <v>0</v>
      </c>
      <c r="DH70" s="28">
        <v>0</v>
      </c>
      <c r="DI70" s="28">
        <v>0</v>
      </c>
      <c r="DJ70" s="28">
        <v>0</v>
      </c>
      <c r="DK70" s="28">
        <v>0</v>
      </c>
      <c r="DL70" s="28">
        <v>0</v>
      </c>
      <c r="DM70" s="28">
        <v>0</v>
      </c>
      <c r="DN70" s="28">
        <v>0</v>
      </c>
      <c r="DO70" s="28">
        <v>0</v>
      </c>
      <c r="DP70" s="28">
        <v>0</v>
      </c>
      <c r="DQ70" s="28">
        <v>0</v>
      </c>
      <c r="DR70" s="28">
        <v>0</v>
      </c>
      <c r="DS70" s="28">
        <v>0</v>
      </c>
      <c r="DT70" s="28">
        <v>0</v>
      </c>
      <c r="DU70" s="28">
        <v>0</v>
      </c>
      <c r="DV70" s="28">
        <v>0</v>
      </c>
      <c r="DW70" s="28">
        <v>0</v>
      </c>
      <c r="DX70" s="28">
        <v>0</v>
      </c>
      <c r="DY70" s="28">
        <v>0</v>
      </c>
      <c r="DZ70" s="28"/>
      <c r="EA70" s="293"/>
      <c r="EB70" s="293"/>
      <c r="EC70" s="293"/>
      <c r="ED70" s="293"/>
      <c r="EE70" s="293"/>
      <c r="EF70" s="293"/>
      <c r="EG70" s="293"/>
      <c r="EH70" s="150">
        <f t="shared" si="15"/>
        <v>0</v>
      </c>
      <c r="EI70" s="29">
        <v>5</v>
      </c>
      <c r="EJ70" s="29">
        <v>0</v>
      </c>
      <c r="EK70" s="259" t="s">
        <v>299</v>
      </c>
      <c r="EL70" s="27">
        <v>0</v>
      </c>
      <c r="EM70" s="27">
        <v>0</v>
      </c>
      <c r="EN70" s="27">
        <v>0</v>
      </c>
      <c r="EO70" s="27">
        <v>0</v>
      </c>
      <c r="EP70" s="275">
        <v>0</v>
      </c>
      <c r="EQ70" s="275">
        <v>0</v>
      </c>
      <c r="ER70" s="275">
        <v>0</v>
      </c>
      <c r="ES70" s="275">
        <v>0</v>
      </c>
      <c r="ET70" s="275">
        <v>0</v>
      </c>
      <c r="EU70" s="275">
        <v>0</v>
      </c>
      <c r="EV70" s="275">
        <v>0</v>
      </c>
      <c r="EW70" s="259">
        <v>0</v>
      </c>
      <c r="EX70" s="270">
        <v>0</v>
      </c>
      <c r="EY70" s="275">
        <v>0</v>
      </c>
      <c r="EZ70" s="275">
        <v>0</v>
      </c>
    </row>
    <row r="71" spans="1:156" ht="40.15" hidden="1" customHeight="1" x14ac:dyDescent="0.25">
      <c r="A71" s="27">
        <v>0</v>
      </c>
      <c r="B71" s="27">
        <v>0</v>
      </c>
      <c r="C71" s="27">
        <v>0</v>
      </c>
      <c r="D71" s="27">
        <v>0</v>
      </c>
      <c r="E71" s="27">
        <v>0</v>
      </c>
      <c r="F71" s="27">
        <v>0</v>
      </c>
      <c r="G71" s="27">
        <v>0</v>
      </c>
      <c r="H71" s="27">
        <v>0</v>
      </c>
      <c r="I71" s="27">
        <v>0</v>
      </c>
      <c r="J71" s="27">
        <v>0</v>
      </c>
      <c r="K71" s="27">
        <v>0</v>
      </c>
      <c r="L71" s="27">
        <v>0</v>
      </c>
      <c r="M71" s="27">
        <v>0</v>
      </c>
      <c r="N71" s="27">
        <v>0</v>
      </c>
      <c r="O71" s="27">
        <v>0</v>
      </c>
      <c r="P71" s="27">
        <v>0</v>
      </c>
      <c r="Q71" s="27">
        <v>0</v>
      </c>
      <c r="R71" s="27">
        <v>0</v>
      </c>
      <c r="S71" s="27">
        <v>0</v>
      </c>
      <c r="T71" s="27">
        <v>0</v>
      </c>
      <c r="U71" s="27">
        <v>0</v>
      </c>
      <c r="V71" s="27">
        <v>0</v>
      </c>
      <c r="W71" s="27">
        <v>0</v>
      </c>
      <c r="X71" s="27">
        <v>0</v>
      </c>
      <c r="Y71" s="27">
        <v>0</v>
      </c>
      <c r="Z71" s="27">
        <v>0</v>
      </c>
      <c r="AA71" s="27">
        <v>0</v>
      </c>
      <c r="AB71" s="27">
        <v>0</v>
      </c>
      <c r="AC71" s="27">
        <v>0</v>
      </c>
      <c r="AD71" s="27">
        <v>0</v>
      </c>
      <c r="AE71" s="27">
        <v>0</v>
      </c>
      <c r="AF71" s="27">
        <v>0</v>
      </c>
      <c r="AG71" s="27">
        <v>0</v>
      </c>
      <c r="AH71" s="27">
        <v>0</v>
      </c>
      <c r="AI71" s="27">
        <v>0</v>
      </c>
      <c r="AJ71" s="27">
        <v>0</v>
      </c>
      <c r="AK71" s="27">
        <v>0</v>
      </c>
      <c r="AL71" s="27">
        <v>0</v>
      </c>
      <c r="AM71" s="27">
        <v>0</v>
      </c>
      <c r="AN71" s="27">
        <v>0</v>
      </c>
      <c r="AO71" s="27">
        <v>0</v>
      </c>
      <c r="AP71" s="27">
        <v>0</v>
      </c>
      <c r="AQ71" s="27">
        <v>0</v>
      </c>
      <c r="AR71" s="27">
        <v>0</v>
      </c>
      <c r="AS71" s="27">
        <v>0</v>
      </c>
      <c r="AT71" s="27">
        <v>0</v>
      </c>
      <c r="AU71" s="27">
        <v>0</v>
      </c>
      <c r="AV71" s="27">
        <v>0</v>
      </c>
      <c r="AW71" s="27">
        <v>0</v>
      </c>
      <c r="AX71" s="27">
        <v>0</v>
      </c>
      <c r="AY71" s="27">
        <v>0</v>
      </c>
      <c r="AZ71" s="27">
        <v>0</v>
      </c>
      <c r="BA71" s="27">
        <v>0</v>
      </c>
      <c r="BB71" s="27">
        <v>0</v>
      </c>
      <c r="BC71" s="27">
        <v>0</v>
      </c>
      <c r="BD71" s="27">
        <v>0</v>
      </c>
      <c r="BE71" s="27">
        <v>0</v>
      </c>
      <c r="BF71" s="27">
        <v>0</v>
      </c>
      <c r="BG71" s="27">
        <v>0</v>
      </c>
      <c r="BH71" s="27">
        <v>0</v>
      </c>
      <c r="BI71" s="27">
        <v>0</v>
      </c>
      <c r="BJ71" s="27">
        <v>0</v>
      </c>
      <c r="BK71" s="27">
        <v>0</v>
      </c>
      <c r="BL71" s="27">
        <v>0</v>
      </c>
      <c r="BM71" s="27">
        <v>0</v>
      </c>
      <c r="BN71" s="27">
        <v>0</v>
      </c>
      <c r="BO71" s="27">
        <v>0</v>
      </c>
      <c r="BP71" s="27">
        <v>0</v>
      </c>
      <c r="BQ71" s="27">
        <v>0</v>
      </c>
      <c r="BR71" s="27">
        <v>0</v>
      </c>
      <c r="BS71" s="27">
        <v>0</v>
      </c>
      <c r="BT71" s="27">
        <v>0</v>
      </c>
      <c r="BU71" s="27">
        <v>0</v>
      </c>
      <c r="BV71" s="27">
        <v>0</v>
      </c>
      <c r="BW71" s="27">
        <v>0</v>
      </c>
      <c r="BX71" s="27">
        <v>0</v>
      </c>
      <c r="BY71" s="27">
        <v>0</v>
      </c>
      <c r="BZ71" s="27">
        <v>0</v>
      </c>
      <c r="CA71" s="27">
        <v>0</v>
      </c>
      <c r="CB71" s="27">
        <v>0</v>
      </c>
      <c r="CC71" s="27">
        <v>0</v>
      </c>
      <c r="CD71" s="27">
        <v>0</v>
      </c>
      <c r="CE71" s="27">
        <v>0</v>
      </c>
      <c r="CF71" s="27">
        <v>0</v>
      </c>
      <c r="CG71" s="27">
        <v>0</v>
      </c>
      <c r="CH71" s="27">
        <v>0</v>
      </c>
      <c r="CI71" s="27">
        <v>0</v>
      </c>
      <c r="CJ71" s="27">
        <v>0</v>
      </c>
      <c r="CK71" s="27">
        <v>0</v>
      </c>
      <c r="CL71" s="27">
        <v>0</v>
      </c>
      <c r="CM71" s="27">
        <v>0</v>
      </c>
      <c r="CN71" s="27">
        <v>0</v>
      </c>
      <c r="CO71" s="27">
        <v>0</v>
      </c>
      <c r="CP71" s="27">
        <v>0</v>
      </c>
      <c r="CQ71" s="27">
        <v>0</v>
      </c>
      <c r="CR71" s="27">
        <v>0</v>
      </c>
      <c r="CS71" s="27">
        <v>0</v>
      </c>
      <c r="CT71" s="27">
        <v>0</v>
      </c>
      <c r="CU71" s="27">
        <v>0</v>
      </c>
      <c r="CV71" s="27">
        <v>0</v>
      </c>
      <c r="CW71" s="27">
        <v>0</v>
      </c>
      <c r="CX71" s="27">
        <v>0</v>
      </c>
      <c r="CY71" s="27">
        <v>0</v>
      </c>
      <c r="CZ71" s="27">
        <v>0</v>
      </c>
      <c r="DA71" s="27">
        <v>0</v>
      </c>
      <c r="DB71" s="27">
        <v>0</v>
      </c>
      <c r="DC71" s="27">
        <v>0</v>
      </c>
      <c r="DD71" s="27">
        <v>0</v>
      </c>
      <c r="DE71" s="27">
        <v>0</v>
      </c>
      <c r="DF71" s="27">
        <v>0</v>
      </c>
      <c r="DG71" s="27">
        <v>0</v>
      </c>
      <c r="DH71" s="27">
        <v>0</v>
      </c>
      <c r="DI71" s="27">
        <v>0</v>
      </c>
      <c r="DJ71" s="27">
        <v>0</v>
      </c>
      <c r="DK71" s="27">
        <v>0</v>
      </c>
      <c r="DL71" s="27">
        <v>0</v>
      </c>
      <c r="DM71" s="27">
        <v>0</v>
      </c>
      <c r="DN71" s="27">
        <v>0</v>
      </c>
      <c r="DO71" s="27">
        <v>0</v>
      </c>
      <c r="DP71" s="27">
        <v>0</v>
      </c>
      <c r="DQ71" s="27">
        <v>0</v>
      </c>
      <c r="DR71" s="27">
        <v>0</v>
      </c>
      <c r="DS71" s="27">
        <v>0</v>
      </c>
      <c r="DT71" s="27">
        <v>0</v>
      </c>
      <c r="DU71" s="27">
        <v>0</v>
      </c>
      <c r="DV71" s="27">
        <v>0</v>
      </c>
      <c r="DW71" s="27">
        <v>0</v>
      </c>
      <c r="DX71" s="27">
        <v>0</v>
      </c>
      <c r="DY71" s="27">
        <v>0</v>
      </c>
      <c r="DZ71" s="27"/>
      <c r="EA71" s="294"/>
      <c r="EB71" s="294"/>
      <c r="EC71" s="294"/>
      <c r="ED71" s="294"/>
      <c r="EE71" s="294"/>
      <c r="EF71" s="294"/>
      <c r="EG71" s="294"/>
      <c r="EH71" s="150">
        <f t="shared" si="15"/>
        <v>0</v>
      </c>
      <c r="EI71" s="27">
        <v>0</v>
      </c>
      <c r="EJ71" s="27">
        <v>0</v>
      </c>
      <c r="EK71" s="259" t="s">
        <v>300</v>
      </c>
      <c r="EL71" s="27">
        <v>0</v>
      </c>
      <c r="EM71" s="27">
        <v>0</v>
      </c>
      <c r="EN71" s="27">
        <v>0</v>
      </c>
      <c r="EO71" s="27">
        <v>0</v>
      </c>
      <c r="EP71" s="275">
        <v>0</v>
      </c>
      <c r="EQ71" s="275">
        <v>0</v>
      </c>
      <c r="ER71" s="275">
        <v>0</v>
      </c>
      <c r="ES71" s="275">
        <v>0</v>
      </c>
      <c r="ET71" s="275">
        <v>0</v>
      </c>
      <c r="EU71" s="275">
        <v>0</v>
      </c>
      <c r="EV71" s="275">
        <v>0</v>
      </c>
      <c r="EW71" s="259">
        <v>0</v>
      </c>
      <c r="EX71" s="270">
        <v>0</v>
      </c>
      <c r="EY71" s="275">
        <v>0</v>
      </c>
      <c r="EZ71" s="275">
        <v>0</v>
      </c>
    </row>
    <row r="72" spans="1:156" ht="44.45" hidden="1" customHeight="1" x14ac:dyDescent="0.25">
      <c r="A72" s="30" t="s">
        <v>69</v>
      </c>
      <c r="B72" s="27">
        <v>0</v>
      </c>
      <c r="C72" s="27">
        <v>0</v>
      </c>
      <c r="D72" s="27">
        <v>0</v>
      </c>
      <c r="E72" s="27">
        <v>0</v>
      </c>
      <c r="F72" s="27">
        <v>0</v>
      </c>
      <c r="G72" s="27">
        <v>0</v>
      </c>
      <c r="H72" s="27">
        <v>0</v>
      </c>
      <c r="I72" s="27">
        <v>0</v>
      </c>
      <c r="J72" s="27">
        <v>0</v>
      </c>
      <c r="K72" s="27">
        <v>0</v>
      </c>
      <c r="L72" s="27">
        <v>0</v>
      </c>
      <c r="M72" s="27">
        <v>0</v>
      </c>
      <c r="N72" s="27">
        <v>0</v>
      </c>
      <c r="O72" s="27">
        <v>0</v>
      </c>
      <c r="P72" s="27">
        <v>0</v>
      </c>
      <c r="Q72" s="27">
        <v>0</v>
      </c>
      <c r="R72" s="27">
        <v>0</v>
      </c>
      <c r="S72" s="27">
        <v>0</v>
      </c>
      <c r="T72" s="27">
        <v>0</v>
      </c>
      <c r="U72" s="27">
        <v>0</v>
      </c>
      <c r="V72" s="27">
        <v>0</v>
      </c>
      <c r="W72" s="27">
        <v>0</v>
      </c>
      <c r="X72" s="27">
        <v>0</v>
      </c>
      <c r="Y72" s="27">
        <v>0</v>
      </c>
      <c r="Z72" s="27">
        <v>0</v>
      </c>
      <c r="AA72" s="27">
        <v>0</v>
      </c>
      <c r="AB72" s="27">
        <v>0</v>
      </c>
      <c r="AC72" s="27">
        <v>0</v>
      </c>
      <c r="AD72" s="27">
        <v>0</v>
      </c>
      <c r="AE72" s="27">
        <v>0</v>
      </c>
      <c r="AF72" s="27">
        <v>0</v>
      </c>
      <c r="AG72" s="27">
        <v>0</v>
      </c>
      <c r="AH72" s="27">
        <v>0</v>
      </c>
      <c r="AI72" s="27">
        <v>0</v>
      </c>
      <c r="AJ72" s="27">
        <v>0</v>
      </c>
      <c r="AK72" s="27">
        <v>0</v>
      </c>
      <c r="AL72" s="27">
        <v>0</v>
      </c>
      <c r="AM72" s="27">
        <v>0</v>
      </c>
      <c r="AN72" s="27">
        <v>0</v>
      </c>
      <c r="AO72" s="27">
        <v>0</v>
      </c>
      <c r="AP72" s="27">
        <v>0</v>
      </c>
      <c r="AQ72" s="27">
        <v>0</v>
      </c>
      <c r="AR72" s="27">
        <v>0</v>
      </c>
      <c r="AS72" s="27">
        <v>0</v>
      </c>
      <c r="AT72" s="27">
        <v>0</v>
      </c>
      <c r="AU72" s="27">
        <v>0</v>
      </c>
      <c r="AV72" s="27">
        <v>0</v>
      </c>
      <c r="AW72" s="27">
        <v>0</v>
      </c>
      <c r="AX72" s="27">
        <v>0</v>
      </c>
      <c r="AY72" s="27">
        <v>0</v>
      </c>
      <c r="AZ72" s="27">
        <v>0</v>
      </c>
      <c r="BA72" s="27">
        <v>0</v>
      </c>
      <c r="BB72" s="27">
        <v>0</v>
      </c>
      <c r="BC72" s="27">
        <v>0</v>
      </c>
      <c r="BD72" s="27">
        <v>0</v>
      </c>
      <c r="BE72" s="27">
        <v>0</v>
      </c>
      <c r="BF72" s="27">
        <v>0</v>
      </c>
      <c r="BG72" s="27">
        <v>0</v>
      </c>
      <c r="BH72" s="27">
        <v>0</v>
      </c>
      <c r="BI72" s="27">
        <v>0</v>
      </c>
      <c r="BJ72" s="27">
        <v>0</v>
      </c>
      <c r="BK72" s="27">
        <v>0</v>
      </c>
      <c r="BL72" s="27">
        <v>0</v>
      </c>
      <c r="BM72" s="27">
        <v>0</v>
      </c>
      <c r="BN72" s="27">
        <v>0</v>
      </c>
      <c r="BO72" s="27">
        <v>0</v>
      </c>
      <c r="BP72" s="27">
        <v>0</v>
      </c>
      <c r="BQ72" s="27">
        <v>0</v>
      </c>
      <c r="BR72" s="27">
        <v>0</v>
      </c>
      <c r="BS72" s="27">
        <v>0</v>
      </c>
      <c r="BT72" s="27">
        <v>0</v>
      </c>
      <c r="BU72" s="27">
        <v>0</v>
      </c>
      <c r="BV72" s="27">
        <v>0</v>
      </c>
      <c r="BW72" s="27">
        <v>0</v>
      </c>
      <c r="BX72" s="27">
        <v>0</v>
      </c>
      <c r="BY72" s="27">
        <v>0</v>
      </c>
      <c r="BZ72" s="27">
        <v>0</v>
      </c>
      <c r="CA72" s="27">
        <v>0</v>
      </c>
      <c r="CB72" s="27">
        <v>0</v>
      </c>
      <c r="CC72" s="27">
        <v>0</v>
      </c>
      <c r="CD72" s="27">
        <v>0</v>
      </c>
      <c r="CE72" s="27">
        <v>0</v>
      </c>
      <c r="CF72" s="27">
        <v>0</v>
      </c>
      <c r="CG72" s="27">
        <v>0</v>
      </c>
      <c r="CH72" s="27">
        <v>0</v>
      </c>
      <c r="CI72" s="27">
        <v>0</v>
      </c>
      <c r="CJ72" s="27">
        <v>0</v>
      </c>
      <c r="CK72" s="27">
        <v>0</v>
      </c>
      <c r="CL72" s="27">
        <v>0</v>
      </c>
      <c r="CM72" s="27">
        <v>0</v>
      </c>
      <c r="CN72" s="27">
        <v>0</v>
      </c>
      <c r="CO72" s="27">
        <v>0</v>
      </c>
      <c r="CP72" s="27">
        <v>0</v>
      </c>
      <c r="CQ72" s="27">
        <v>0</v>
      </c>
      <c r="CR72" s="27">
        <v>0</v>
      </c>
      <c r="CS72" s="27">
        <v>0</v>
      </c>
      <c r="CT72" s="27">
        <v>0</v>
      </c>
      <c r="CU72" s="27">
        <v>0</v>
      </c>
      <c r="CV72" s="27">
        <v>0</v>
      </c>
      <c r="CW72" s="27">
        <v>0</v>
      </c>
      <c r="CX72" s="27">
        <v>0</v>
      </c>
      <c r="CY72" s="27">
        <v>0</v>
      </c>
      <c r="CZ72" s="27">
        <v>0</v>
      </c>
      <c r="DA72" s="27">
        <v>0</v>
      </c>
      <c r="DB72" s="27">
        <v>0</v>
      </c>
      <c r="DC72" s="27">
        <v>0</v>
      </c>
      <c r="DD72" s="27">
        <v>0</v>
      </c>
      <c r="DE72" s="27">
        <v>0</v>
      </c>
      <c r="DF72" s="27">
        <v>0</v>
      </c>
      <c r="DG72" s="27">
        <v>0</v>
      </c>
      <c r="DH72" s="27">
        <v>0</v>
      </c>
      <c r="DI72" s="27">
        <v>0</v>
      </c>
      <c r="DJ72" s="27">
        <v>0</v>
      </c>
      <c r="DK72" s="27">
        <v>0</v>
      </c>
      <c r="DL72" s="27">
        <v>0</v>
      </c>
      <c r="DM72" s="27">
        <v>0</v>
      </c>
      <c r="DN72" s="27">
        <v>0</v>
      </c>
      <c r="DO72" s="27">
        <v>0</v>
      </c>
      <c r="DP72" s="27">
        <v>0</v>
      </c>
      <c r="DQ72" s="27">
        <v>0</v>
      </c>
      <c r="DR72" s="27">
        <v>0</v>
      </c>
      <c r="DS72" s="27">
        <v>0</v>
      </c>
      <c r="DT72" s="27">
        <v>0</v>
      </c>
      <c r="DU72" s="27">
        <v>0</v>
      </c>
      <c r="DV72" s="27">
        <v>0</v>
      </c>
      <c r="DW72" s="27">
        <v>0</v>
      </c>
      <c r="DX72" s="27">
        <v>0</v>
      </c>
      <c r="DY72" s="27">
        <v>0</v>
      </c>
      <c r="DZ72" s="27"/>
      <c r="EA72" s="294"/>
      <c r="EB72" s="294"/>
      <c r="EC72" s="294"/>
      <c r="ED72" s="294"/>
      <c r="EE72" s="294"/>
      <c r="EF72" s="294"/>
      <c r="EG72" s="294"/>
      <c r="EH72" s="150">
        <f t="shared" si="15"/>
        <v>0</v>
      </c>
      <c r="EI72" s="27">
        <v>0</v>
      </c>
      <c r="EJ72" s="27">
        <v>0</v>
      </c>
      <c r="EK72" s="259" t="s">
        <v>301</v>
      </c>
      <c r="EL72" s="27">
        <v>0</v>
      </c>
      <c r="EM72" s="27">
        <v>0</v>
      </c>
      <c r="EN72" s="27">
        <v>0</v>
      </c>
      <c r="EO72" s="27">
        <v>0</v>
      </c>
      <c r="EP72" s="275">
        <v>0</v>
      </c>
      <c r="EQ72" s="275">
        <v>0</v>
      </c>
      <c r="ER72" s="275">
        <v>0</v>
      </c>
      <c r="ES72" s="275">
        <v>0</v>
      </c>
      <c r="ET72" s="275">
        <v>0</v>
      </c>
      <c r="EU72" s="275">
        <v>0</v>
      </c>
      <c r="EV72" s="275">
        <v>0</v>
      </c>
      <c r="EW72" s="259">
        <v>0</v>
      </c>
      <c r="EX72" s="270">
        <v>0</v>
      </c>
      <c r="EY72" s="275">
        <v>0</v>
      </c>
      <c r="EZ72" s="275">
        <v>0</v>
      </c>
    </row>
    <row r="73" spans="1:156" ht="59.45" hidden="1" customHeight="1" x14ac:dyDescent="0.25">
      <c r="A73" s="30" t="s">
        <v>70</v>
      </c>
      <c r="B73" s="27">
        <v>0</v>
      </c>
      <c r="C73" s="27">
        <v>0</v>
      </c>
      <c r="D73" s="27">
        <v>0</v>
      </c>
      <c r="E73" s="27">
        <v>0</v>
      </c>
      <c r="F73" s="27">
        <v>0</v>
      </c>
      <c r="G73" s="27">
        <v>0</v>
      </c>
      <c r="H73" s="27">
        <v>0</v>
      </c>
      <c r="I73" s="27">
        <v>0</v>
      </c>
      <c r="J73" s="27">
        <v>0</v>
      </c>
      <c r="K73" s="27">
        <v>0</v>
      </c>
      <c r="L73" s="27">
        <v>0</v>
      </c>
      <c r="M73" s="27">
        <v>0</v>
      </c>
      <c r="N73" s="27">
        <v>0</v>
      </c>
      <c r="O73" s="27">
        <v>0</v>
      </c>
      <c r="P73" s="27">
        <v>0</v>
      </c>
      <c r="Q73" s="27">
        <v>0</v>
      </c>
      <c r="R73" s="27">
        <v>0</v>
      </c>
      <c r="S73" s="27">
        <v>0</v>
      </c>
      <c r="T73" s="27">
        <v>0</v>
      </c>
      <c r="U73" s="27">
        <v>0</v>
      </c>
      <c r="V73" s="27">
        <v>0</v>
      </c>
      <c r="W73" s="27">
        <v>0</v>
      </c>
      <c r="X73" s="27">
        <v>0</v>
      </c>
      <c r="Y73" s="27">
        <v>0</v>
      </c>
      <c r="Z73" s="27">
        <v>0</v>
      </c>
      <c r="AA73" s="27">
        <v>0</v>
      </c>
      <c r="AB73" s="27">
        <v>0</v>
      </c>
      <c r="AC73" s="27">
        <v>0</v>
      </c>
      <c r="AD73" s="27">
        <v>0</v>
      </c>
      <c r="AE73" s="27">
        <v>0</v>
      </c>
      <c r="AF73" s="27">
        <v>0</v>
      </c>
      <c r="AG73" s="27">
        <v>0</v>
      </c>
      <c r="AH73" s="27">
        <v>0</v>
      </c>
      <c r="AI73" s="27">
        <v>0</v>
      </c>
      <c r="AJ73" s="27">
        <v>0</v>
      </c>
      <c r="AK73" s="27">
        <v>0</v>
      </c>
      <c r="AL73" s="27">
        <v>0</v>
      </c>
      <c r="AM73" s="27">
        <v>0</v>
      </c>
      <c r="AN73" s="27">
        <v>0</v>
      </c>
      <c r="AO73" s="27">
        <v>0</v>
      </c>
      <c r="AP73" s="27">
        <v>0</v>
      </c>
      <c r="AQ73" s="27">
        <v>0</v>
      </c>
      <c r="AR73" s="27">
        <v>0</v>
      </c>
      <c r="AS73" s="27">
        <v>0</v>
      </c>
      <c r="AT73" s="27">
        <v>0</v>
      </c>
      <c r="AU73" s="27">
        <v>0</v>
      </c>
      <c r="AV73" s="27">
        <v>0</v>
      </c>
      <c r="AW73" s="27">
        <v>0</v>
      </c>
      <c r="AX73" s="27">
        <v>0</v>
      </c>
      <c r="AY73" s="27">
        <v>0</v>
      </c>
      <c r="AZ73" s="27">
        <v>0</v>
      </c>
      <c r="BA73" s="27">
        <v>0</v>
      </c>
      <c r="BB73" s="27">
        <v>0</v>
      </c>
      <c r="BC73" s="27">
        <v>0</v>
      </c>
      <c r="BD73" s="27">
        <v>0</v>
      </c>
      <c r="BE73" s="27">
        <v>0</v>
      </c>
      <c r="BF73" s="27">
        <v>0</v>
      </c>
      <c r="BG73" s="27">
        <v>0</v>
      </c>
      <c r="BH73" s="27">
        <v>0</v>
      </c>
      <c r="BI73" s="27">
        <v>0</v>
      </c>
      <c r="BJ73" s="27">
        <v>0</v>
      </c>
      <c r="BK73" s="27">
        <v>0</v>
      </c>
      <c r="BL73" s="27">
        <v>0</v>
      </c>
      <c r="BM73" s="27">
        <v>0</v>
      </c>
      <c r="BN73" s="27">
        <v>0</v>
      </c>
      <c r="BO73" s="27">
        <v>0</v>
      </c>
      <c r="BP73" s="27">
        <v>0</v>
      </c>
      <c r="BQ73" s="27">
        <v>0</v>
      </c>
      <c r="BR73" s="27">
        <v>0</v>
      </c>
      <c r="BS73" s="27">
        <v>0</v>
      </c>
      <c r="BT73" s="27">
        <v>0</v>
      </c>
      <c r="BU73" s="27">
        <v>0</v>
      </c>
      <c r="BV73" s="27">
        <v>0</v>
      </c>
      <c r="BW73" s="27">
        <v>0</v>
      </c>
      <c r="BX73" s="27">
        <v>0</v>
      </c>
      <c r="BY73" s="27">
        <v>0</v>
      </c>
      <c r="BZ73" s="27">
        <v>0</v>
      </c>
      <c r="CA73" s="27">
        <v>0</v>
      </c>
      <c r="CB73" s="27">
        <v>0</v>
      </c>
      <c r="CC73" s="27">
        <v>0</v>
      </c>
      <c r="CD73" s="27">
        <v>0</v>
      </c>
      <c r="CE73" s="27">
        <v>0</v>
      </c>
      <c r="CF73" s="27">
        <v>0</v>
      </c>
      <c r="CG73" s="27">
        <v>0</v>
      </c>
      <c r="CH73" s="27">
        <v>0</v>
      </c>
      <c r="CI73" s="27">
        <v>0</v>
      </c>
      <c r="CJ73" s="27">
        <v>0</v>
      </c>
      <c r="CK73" s="27">
        <v>0</v>
      </c>
      <c r="CL73" s="27">
        <v>0</v>
      </c>
      <c r="CM73" s="27">
        <v>0</v>
      </c>
      <c r="CN73" s="27">
        <v>0</v>
      </c>
      <c r="CO73" s="27">
        <v>0</v>
      </c>
      <c r="CP73" s="27">
        <v>0</v>
      </c>
      <c r="CQ73" s="27">
        <v>0</v>
      </c>
      <c r="CR73" s="27">
        <v>0</v>
      </c>
      <c r="CS73" s="27">
        <v>0</v>
      </c>
      <c r="CT73" s="27">
        <v>0</v>
      </c>
      <c r="CU73" s="27">
        <v>0</v>
      </c>
      <c r="CV73" s="27">
        <v>0</v>
      </c>
      <c r="CW73" s="27">
        <v>0</v>
      </c>
      <c r="CX73" s="27">
        <v>0</v>
      </c>
      <c r="CY73" s="27">
        <v>0</v>
      </c>
      <c r="CZ73" s="27">
        <v>0</v>
      </c>
      <c r="DA73" s="27">
        <v>0</v>
      </c>
      <c r="DB73" s="27">
        <v>0</v>
      </c>
      <c r="DC73" s="27">
        <v>0</v>
      </c>
      <c r="DD73" s="27">
        <v>0</v>
      </c>
      <c r="DE73" s="27">
        <v>0</v>
      </c>
      <c r="DF73" s="27">
        <v>0</v>
      </c>
      <c r="DG73" s="27">
        <v>0</v>
      </c>
      <c r="DH73" s="27">
        <v>0</v>
      </c>
      <c r="DI73" s="27">
        <v>0</v>
      </c>
      <c r="DJ73" s="27">
        <v>0</v>
      </c>
      <c r="DK73" s="27">
        <v>0</v>
      </c>
      <c r="DL73" s="27">
        <v>0</v>
      </c>
      <c r="DM73" s="27">
        <v>0</v>
      </c>
      <c r="DN73" s="27">
        <v>0</v>
      </c>
      <c r="DO73" s="27">
        <v>0</v>
      </c>
      <c r="DP73" s="27">
        <v>0</v>
      </c>
      <c r="DQ73" s="27">
        <v>0</v>
      </c>
      <c r="DR73" s="27">
        <v>0</v>
      </c>
      <c r="DS73" s="27">
        <v>0</v>
      </c>
      <c r="DT73" s="27">
        <v>0</v>
      </c>
      <c r="DU73" s="27">
        <v>0</v>
      </c>
      <c r="DV73" s="27">
        <v>0</v>
      </c>
      <c r="DW73" s="27">
        <v>0</v>
      </c>
      <c r="DX73" s="27">
        <v>0</v>
      </c>
      <c r="DY73" s="27">
        <v>0</v>
      </c>
      <c r="DZ73" s="27"/>
      <c r="EA73" s="294"/>
      <c r="EB73" s="294"/>
      <c r="EC73" s="294"/>
      <c r="ED73" s="294"/>
      <c r="EE73" s="294"/>
      <c r="EF73" s="294"/>
      <c r="EG73" s="294"/>
      <c r="EH73" s="150">
        <f t="shared" si="15"/>
        <v>0</v>
      </c>
      <c r="EI73" s="27">
        <v>0</v>
      </c>
      <c r="EJ73" s="27">
        <v>0</v>
      </c>
      <c r="EK73" s="259" t="s">
        <v>302</v>
      </c>
      <c r="EL73" s="27">
        <v>0</v>
      </c>
      <c r="EM73" s="27">
        <v>0</v>
      </c>
      <c r="EN73" s="27">
        <v>0</v>
      </c>
      <c r="EO73" s="27">
        <v>0</v>
      </c>
      <c r="EP73" s="275">
        <v>0</v>
      </c>
      <c r="EQ73" s="275">
        <v>0</v>
      </c>
      <c r="ER73" s="275">
        <v>0</v>
      </c>
      <c r="ES73" s="275">
        <v>0</v>
      </c>
      <c r="ET73" s="275">
        <v>0</v>
      </c>
      <c r="EU73" s="275">
        <v>0</v>
      </c>
      <c r="EV73" s="275">
        <v>0</v>
      </c>
      <c r="EW73" s="259">
        <v>0</v>
      </c>
      <c r="EX73" s="270">
        <v>0</v>
      </c>
      <c r="EY73" s="275">
        <v>0</v>
      </c>
      <c r="EZ73" s="275">
        <v>0</v>
      </c>
    </row>
    <row r="74" spans="1:156" ht="80.45" hidden="1" customHeight="1" x14ac:dyDescent="0.25">
      <c r="A74" s="30" t="s">
        <v>71</v>
      </c>
      <c r="B74" s="27">
        <v>0</v>
      </c>
      <c r="C74" s="27">
        <v>0</v>
      </c>
      <c r="D74" s="27">
        <v>0</v>
      </c>
      <c r="E74" s="27">
        <v>0</v>
      </c>
      <c r="F74" s="27">
        <v>0</v>
      </c>
      <c r="G74" s="27">
        <v>0</v>
      </c>
      <c r="H74" s="27">
        <v>0</v>
      </c>
      <c r="I74" s="27">
        <v>0</v>
      </c>
      <c r="J74" s="27">
        <v>0</v>
      </c>
      <c r="K74" s="27">
        <v>0</v>
      </c>
      <c r="L74" s="27">
        <v>0</v>
      </c>
      <c r="M74" s="27">
        <v>0</v>
      </c>
      <c r="N74" s="27">
        <v>0</v>
      </c>
      <c r="O74" s="27">
        <v>0</v>
      </c>
      <c r="P74" s="27">
        <v>0</v>
      </c>
      <c r="Q74" s="27">
        <v>0</v>
      </c>
      <c r="R74" s="27">
        <v>0</v>
      </c>
      <c r="S74" s="27">
        <v>0</v>
      </c>
      <c r="T74" s="27">
        <v>0</v>
      </c>
      <c r="U74" s="27">
        <v>0</v>
      </c>
      <c r="V74" s="27">
        <v>0</v>
      </c>
      <c r="W74" s="27">
        <v>0</v>
      </c>
      <c r="X74" s="27">
        <v>0</v>
      </c>
      <c r="Y74" s="27">
        <v>0</v>
      </c>
      <c r="Z74" s="27">
        <v>0</v>
      </c>
      <c r="AA74" s="27">
        <v>0</v>
      </c>
      <c r="AB74" s="27">
        <v>0</v>
      </c>
      <c r="AC74" s="27">
        <v>0</v>
      </c>
      <c r="AD74" s="27">
        <v>0</v>
      </c>
      <c r="AE74" s="27">
        <v>0</v>
      </c>
      <c r="AF74" s="27">
        <v>0</v>
      </c>
      <c r="AG74" s="27">
        <v>0</v>
      </c>
      <c r="AH74" s="27">
        <v>0</v>
      </c>
      <c r="AI74" s="27">
        <v>0</v>
      </c>
      <c r="AJ74" s="27">
        <v>0</v>
      </c>
      <c r="AK74" s="27">
        <v>0</v>
      </c>
      <c r="AL74" s="27">
        <v>0</v>
      </c>
      <c r="AM74" s="27">
        <v>0</v>
      </c>
      <c r="AN74" s="27">
        <v>0</v>
      </c>
      <c r="AO74" s="27">
        <v>0</v>
      </c>
      <c r="AP74" s="27">
        <v>0</v>
      </c>
      <c r="AQ74" s="27">
        <v>0</v>
      </c>
      <c r="AR74" s="27">
        <v>0</v>
      </c>
      <c r="AS74" s="27">
        <v>0</v>
      </c>
      <c r="AT74" s="27">
        <v>0</v>
      </c>
      <c r="AU74" s="27">
        <v>0</v>
      </c>
      <c r="AV74" s="27">
        <v>0</v>
      </c>
      <c r="AW74" s="27">
        <v>0</v>
      </c>
      <c r="AX74" s="27">
        <v>0</v>
      </c>
      <c r="AY74" s="27">
        <v>0</v>
      </c>
      <c r="AZ74" s="27">
        <v>0</v>
      </c>
      <c r="BA74" s="27">
        <v>0</v>
      </c>
      <c r="BB74" s="27">
        <v>0</v>
      </c>
      <c r="BC74" s="27">
        <v>0</v>
      </c>
      <c r="BD74" s="27">
        <v>0</v>
      </c>
      <c r="BE74" s="27">
        <v>0</v>
      </c>
      <c r="BF74" s="27">
        <v>0</v>
      </c>
      <c r="BG74" s="27">
        <v>0</v>
      </c>
      <c r="BH74" s="27">
        <v>0</v>
      </c>
      <c r="BI74" s="27">
        <v>0</v>
      </c>
      <c r="BJ74" s="27">
        <v>0</v>
      </c>
      <c r="BK74" s="27">
        <v>0</v>
      </c>
      <c r="BL74" s="27">
        <v>0</v>
      </c>
      <c r="BM74" s="27">
        <v>0</v>
      </c>
      <c r="BN74" s="27">
        <v>0</v>
      </c>
      <c r="BO74" s="27">
        <v>0</v>
      </c>
      <c r="BP74" s="27">
        <v>0</v>
      </c>
      <c r="BQ74" s="27">
        <v>0</v>
      </c>
      <c r="BR74" s="27">
        <v>0</v>
      </c>
      <c r="BS74" s="27">
        <v>0</v>
      </c>
      <c r="BT74" s="27">
        <v>0</v>
      </c>
      <c r="BU74" s="27">
        <v>0</v>
      </c>
      <c r="BV74" s="27">
        <v>0</v>
      </c>
      <c r="BW74" s="27">
        <v>0</v>
      </c>
      <c r="BX74" s="27">
        <v>0</v>
      </c>
      <c r="BY74" s="27">
        <v>0</v>
      </c>
      <c r="BZ74" s="27">
        <v>0</v>
      </c>
      <c r="CA74" s="27">
        <v>0</v>
      </c>
      <c r="CB74" s="27">
        <v>0</v>
      </c>
      <c r="CC74" s="27">
        <v>0</v>
      </c>
      <c r="CD74" s="27">
        <v>0</v>
      </c>
      <c r="CE74" s="27">
        <v>0</v>
      </c>
      <c r="CF74" s="27">
        <v>0</v>
      </c>
      <c r="CG74" s="27">
        <v>0</v>
      </c>
      <c r="CH74" s="27">
        <v>0</v>
      </c>
      <c r="CI74" s="27">
        <v>0</v>
      </c>
      <c r="CJ74" s="27">
        <v>0</v>
      </c>
      <c r="CK74" s="27">
        <v>0</v>
      </c>
      <c r="CL74" s="27">
        <v>0</v>
      </c>
      <c r="CM74" s="27">
        <v>0</v>
      </c>
      <c r="CN74" s="27">
        <v>0</v>
      </c>
      <c r="CO74" s="27">
        <v>0</v>
      </c>
      <c r="CP74" s="27">
        <v>0</v>
      </c>
      <c r="CQ74" s="27">
        <v>0</v>
      </c>
      <c r="CR74" s="27">
        <v>0</v>
      </c>
      <c r="CS74" s="27">
        <v>0</v>
      </c>
      <c r="CT74" s="27">
        <v>0</v>
      </c>
      <c r="CU74" s="27">
        <v>0</v>
      </c>
      <c r="CV74" s="27">
        <v>0</v>
      </c>
      <c r="CW74" s="27">
        <v>0</v>
      </c>
      <c r="CX74" s="27">
        <v>0</v>
      </c>
      <c r="CY74" s="27">
        <v>0</v>
      </c>
      <c r="CZ74" s="27">
        <v>0</v>
      </c>
      <c r="DA74" s="27">
        <v>0</v>
      </c>
      <c r="DB74" s="27">
        <v>0</v>
      </c>
      <c r="DC74" s="27">
        <v>0</v>
      </c>
      <c r="DD74" s="27">
        <v>0</v>
      </c>
      <c r="DE74" s="27">
        <v>0</v>
      </c>
      <c r="DF74" s="27">
        <v>0</v>
      </c>
      <c r="DG74" s="27">
        <v>0</v>
      </c>
      <c r="DH74" s="27">
        <v>0</v>
      </c>
      <c r="DI74" s="27">
        <v>0</v>
      </c>
      <c r="DJ74" s="27">
        <v>0</v>
      </c>
      <c r="DK74" s="27">
        <v>0</v>
      </c>
      <c r="DL74" s="27">
        <v>0</v>
      </c>
      <c r="DM74" s="27">
        <v>0</v>
      </c>
      <c r="DN74" s="27">
        <v>0</v>
      </c>
      <c r="DO74" s="27">
        <v>0</v>
      </c>
      <c r="DP74" s="27">
        <v>0</v>
      </c>
      <c r="DQ74" s="27">
        <v>0</v>
      </c>
      <c r="DR74" s="27">
        <v>0</v>
      </c>
      <c r="DS74" s="27">
        <v>0</v>
      </c>
      <c r="DT74" s="27">
        <v>0</v>
      </c>
      <c r="DU74" s="27">
        <v>0</v>
      </c>
      <c r="DV74" s="27">
        <v>0</v>
      </c>
      <c r="DW74" s="27">
        <v>0</v>
      </c>
      <c r="DX74" s="27">
        <v>0</v>
      </c>
      <c r="DY74" s="27">
        <v>0</v>
      </c>
      <c r="DZ74" s="27"/>
      <c r="EA74" s="294"/>
      <c r="EB74" s="294"/>
      <c r="EC74" s="294"/>
      <c r="ED74" s="294"/>
      <c r="EE74" s="294"/>
      <c r="EF74" s="294"/>
      <c r="EG74" s="294"/>
      <c r="EH74" s="150">
        <f t="shared" si="15"/>
        <v>0</v>
      </c>
      <c r="EI74" s="27">
        <v>0</v>
      </c>
      <c r="EJ74" s="27">
        <v>0</v>
      </c>
      <c r="EK74" s="259" t="s">
        <v>303</v>
      </c>
      <c r="EL74" s="27">
        <v>0</v>
      </c>
      <c r="EM74" s="27">
        <v>0</v>
      </c>
      <c r="EN74" s="27">
        <v>0</v>
      </c>
      <c r="EO74" s="27">
        <v>0</v>
      </c>
      <c r="EP74" s="275">
        <v>0</v>
      </c>
      <c r="EQ74" s="275">
        <v>0</v>
      </c>
      <c r="ER74" s="275">
        <v>0</v>
      </c>
      <c r="ES74" s="275">
        <v>0</v>
      </c>
      <c r="ET74" s="275">
        <v>0</v>
      </c>
      <c r="EU74" s="275">
        <v>0</v>
      </c>
      <c r="EV74" s="275">
        <v>0</v>
      </c>
      <c r="EW74" s="259">
        <v>0</v>
      </c>
      <c r="EX74" s="270">
        <v>0</v>
      </c>
      <c r="EY74" s="275">
        <v>0</v>
      </c>
      <c r="EZ74" s="275">
        <v>0</v>
      </c>
    </row>
    <row r="75" spans="1:156" ht="54.6" hidden="1" customHeight="1" x14ac:dyDescent="0.25">
      <c r="A75" s="30" t="s">
        <v>72</v>
      </c>
      <c r="B75" s="27">
        <v>0</v>
      </c>
      <c r="C75" s="27">
        <v>0</v>
      </c>
      <c r="D75" s="27">
        <v>0</v>
      </c>
      <c r="E75" s="27">
        <v>0</v>
      </c>
      <c r="F75" s="27">
        <v>0</v>
      </c>
      <c r="G75" s="27">
        <v>0</v>
      </c>
      <c r="H75" s="27">
        <v>0</v>
      </c>
      <c r="I75" s="27">
        <v>0</v>
      </c>
      <c r="J75" s="27">
        <v>0</v>
      </c>
      <c r="K75" s="27">
        <v>0</v>
      </c>
      <c r="L75" s="27">
        <v>0</v>
      </c>
      <c r="M75" s="27">
        <v>0</v>
      </c>
      <c r="N75" s="27">
        <v>0</v>
      </c>
      <c r="O75" s="27">
        <v>0</v>
      </c>
      <c r="P75" s="27">
        <v>0</v>
      </c>
      <c r="Q75" s="27">
        <v>0</v>
      </c>
      <c r="R75" s="27">
        <v>0</v>
      </c>
      <c r="S75" s="27">
        <v>0</v>
      </c>
      <c r="T75" s="27">
        <v>0</v>
      </c>
      <c r="U75" s="27">
        <v>0</v>
      </c>
      <c r="V75" s="27">
        <v>0</v>
      </c>
      <c r="W75" s="27">
        <v>0</v>
      </c>
      <c r="X75" s="27">
        <v>0</v>
      </c>
      <c r="Y75" s="27">
        <v>0</v>
      </c>
      <c r="Z75" s="27">
        <v>0</v>
      </c>
      <c r="AA75" s="27">
        <v>0</v>
      </c>
      <c r="AB75" s="27">
        <v>0</v>
      </c>
      <c r="AC75" s="27">
        <v>0</v>
      </c>
      <c r="AD75" s="27">
        <v>0</v>
      </c>
      <c r="AE75" s="27">
        <v>0</v>
      </c>
      <c r="AF75" s="27">
        <v>0</v>
      </c>
      <c r="AG75" s="27">
        <v>0</v>
      </c>
      <c r="AH75" s="27">
        <v>0</v>
      </c>
      <c r="AI75" s="27">
        <v>0</v>
      </c>
      <c r="AJ75" s="27">
        <v>0</v>
      </c>
      <c r="AK75" s="27">
        <v>0</v>
      </c>
      <c r="AL75" s="27">
        <v>0</v>
      </c>
      <c r="AM75" s="27">
        <v>0</v>
      </c>
      <c r="AN75" s="27">
        <v>0</v>
      </c>
      <c r="AO75" s="27">
        <v>0</v>
      </c>
      <c r="AP75" s="27">
        <v>0</v>
      </c>
      <c r="AQ75" s="27">
        <v>0</v>
      </c>
      <c r="AR75" s="27">
        <v>0</v>
      </c>
      <c r="AS75" s="27">
        <v>0</v>
      </c>
      <c r="AT75" s="27">
        <v>0</v>
      </c>
      <c r="AU75" s="27">
        <v>0</v>
      </c>
      <c r="AV75" s="27">
        <v>0</v>
      </c>
      <c r="AW75" s="27">
        <v>0</v>
      </c>
      <c r="AX75" s="27">
        <v>0</v>
      </c>
      <c r="AY75" s="27">
        <v>0</v>
      </c>
      <c r="AZ75" s="27">
        <v>0</v>
      </c>
      <c r="BA75" s="27">
        <v>0</v>
      </c>
      <c r="BB75" s="27">
        <v>0</v>
      </c>
      <c r="BC75" s="27">
        <v>0</v>
      </c>
      <c r="BD75" s="27">
        <v>0</v>
      </c>
      <c r="BE75" s="27">
        <v>0</v>
      </c>
      <c r="BF75" s="27">
        <v>0</v>
      </c>
      <c r="BG75" s="27">
        <v>0</v>
      </c>
      <c r="BH75" s="27">
        <v>0</v>
      </c>
      <c r="BI75" s="27">
        <v>0</v>
      </c>
      <c r="BJ75" s="27">
        <v>0</v>
      </c>
      <c r="BK75" s="27">
        <v>0</v>
      </c>
      <c r="BL75" s="27">
        <v>0</v>
      </c>
      <c r="BM75" s="27">
        <v>0</v>
      </c>
      <c r="BN75" s="27">
        <v>0</v>
      </c>
      <c r="BO75" s="27">
        <v>0</v>
      </c>
      <c r="BP75" s="27">
        <v>0</v>
      </c>
      <c r="BQ75" s="27">
        <v>0</v>
      </c>
      <c r="BR75" s="27">
        <v>0</v>
      </c>
      <c r="BS75" s="27">
        <v>0</v>
      </c>
      <c r="BT75" s="27">
        <v>0</v>
      </c>
      <c r="BU75" s="27">
        <v>0</v>
      </c>
      <c r="BV75" s="27">
        <v>0</v>
      </c>
      <c r="BW75" s="27">
        <v>0</v>
      </c>
      <c r="BX75" s="27">
        <v>0</v>
      </c>
      <c r="BY75" s="27">
        <v>0</v>
      </c>
      <c r="BZ75" s="27">
        <v>0</v>
      </c>
      <c r="CA75" s="27">
        <v>0</v>
      </c>
      <c r="CB75" s="27">
        <v>0</v>
      </c>
      <c r="CC75" s="27">
        <v>0</v>
      </c>
      <c r="CD75" s="27">
        <v>0</v>
      </c>
      <c r="CE75" s="27">
        <v>0</v>
      </c>
      <c r="CF75" s="27">
        <v>0</v>
      </c>
      <c r="CG75" s="27">
        <v>0</v>
      </c>
      <c r="CH75" s="27">
        <v>0</v>
      </c>
      <c r="CI75" s="27">
        <v>0</v>
      </c>
      <c r="CJ75" s="27">
        <v>0</v>
      </c>
      <c r="CK75" s="27">
        <v>0</v>
      </c>
      <c r="CL75" s="27">
        <v>0</v>
      </c>
      <c r="CM75" s="27">
        <v>0</v>
      </c>
      <c r="CN75" s="27">
        <v>0</v>
      </c>
      <c r="CO75" s="27">
        <v>0</v>
      </c>
      <c r="CP75" s="27">
        <v>0</v>
      </c>
      <c r="CQ75" s="27">
        <v>0</v>
      </c>
      <c r="CR75" s="27">
        <v>0</v>
      </c>
      <c r="CS75" s="27">
        <v>0</v>
      </c>
      <c r="CT75" s="27">
        <v>0</v>
      </c>
      <c r="CU75" s="27">
        <v>0</v>
      </c>
      <c r="CV75" s="27">
        <v>0</v>
      </c>
      <c r="CW75" s="27">
        <v>0</v>
      </c>
      <c r="CX75" s="27">
        <v>0</v>
      </c>
      <c r="CY75" s="27">
        <v>0</v>
      </c>
      <c r="CZ75" s="27">
        <v>0</v>
      </c>
      <c r="DA75" s="27">
        <v>0</v>
      </c>
      <c r="DB75" s="27">
        <v>0</v>
      </c>
      <c r="DC75" s="27">
        <v>0</v>
      </c>
      <c r="DD75" s="27">
        <v>0</v>
      </c>
      <c r="DE75" s="27">
        <v>0</v>
      </c>
      <c r="DF75" s="27">
        <v>0</v>
      </c>
      <c r="DG75" s="27">
        <v>0</v>
      </c>
      <c r="DH75" s="27">
        <v>0</v>
      </c>
      <c r="DI75" s="27">
        <v>0</v>
      </c>
      <c r="DJ75" s="27">
        <v>0</v>
      </c>
      <c r="DK75" s="27">
        <v>0</v>
      </c>
      <c r="DL75" s="27">
        <v>0</v>
      </c>
      <c r="DM75" s="27">
        <v>0</v>
      </c>
      <c r="DN75" s="27">
        <v>0</v>
      </c>
      <c r="DO75" s="27">
        <v>0</v>
      </c>
      <c r="DP75" s="27">
        <v>0</v>
      </c>
      <c r="DQ75" s="27">
        <v>0</v>
      </c>
      <c r="DR75" s="27">
        <v>0</v>
      </c>
      <c r="DS75" s="27">
        <v>0</v>
      </c>
      <c r="DT75" s="27">
        <v>0</v>
      </c>
      <c r="DU75" s="27">
        <v>0</v>
      </c>
      <c r="DV75" s="27">
        <v>0</v>
      </c>
      <c r="DW75" s="27">
        <v>0</v>
      </c>
      <c r="DX75" s="27">
        <v>0</v>
      </c>
      <c r="DY75" s="27">
        <v>0</v>
      </c>
      <c r="DZ75" s="27"/>
      <c r="EA75" s="294"/>
      <c r="EB75" s="294"/>
      <c r="EC75" s="294"/>
      <c r="ED75" s="294"/>
      <c r="EE75" s="294"/>
      <c r="EF75" s="294"/>
      <c r="EG75" s="294"/>
      <c r="EH75" s="150">
        <f t="shared" si="15"/>
        <v>0</v>
      </c>
      <c r="EI75" s="27">
        <v>0</v>
      </c>
      <c r="EJ75" s="27">
        <v>0</v>
      </c>
      <c r="EK75" s="259" t="s">
        <v>304</v>
      </c>
      <c r="EL75" s="27">
        <v>0</v>
      </c>
      <c r="EM75" s="27">
        <v>0</v>
      </c>
      <c r="EN75" s="27">
        <v>0</v>
      </c>
      <c r="EO75" s="27">
        <v>0</v>
      </c>
      <c r="EP75" s="275">
        <v>0</v>
      </c>
      <c r="EQ75" s="275">
        <v>0</v>
      </c>
      <c r="ER75" s="275">
        <v>0</v>
      </c>
      <c r="ES75" s="275">
        <v>0</v>
      </c>
      <c r="ET75" s="275">
        <v>0</v>
      </c>
      <c r="EU75" s="275">
        <v>0</v>
      </c>
      <c r="EV75" s="275">
        <v>0</v>
      </c>
      <c r="EW75" s="259">
        <v>0</v>
      </c>
      <c r="EX75" s="270">
        <v>0</v>
      </c>
      <c r="EY75" s="275">
        <v>0</v>
      </c>
      <c r="EZ75" s="275">
        <v>0</v>
      </c>
    </row>
    <row r="76" spans="1:156" ht="33.6" hidden="1" customHeight="1" x14ac:dyDescent="0.25">
      <c r="A76" s="30" t="s">
        <v>73</v>
      </c>
      <c r="B76" s="27">
        <v>0</v>
      </c>
      <c r="C76" s="27">
        <v>0</v>
      </c>
      <c r="D76" s="27">
        <v>0</v>
      </c>
      <c r="E76" s="27">
        <v>0</v>
      </c>
      <c r="F76" s="27">
        <v>0</v>
      </c>
      <c r="G76" s="27">
        <v>0</v>
      </c>
      <c r="H76" s="27">
        <v>0</v>
      </c>
      <c r="I76" s="27">
        <v>0</v>
      </c>
      <c r="J76" s="27">
        <v>0</v>
      </c>
      <c r="K76" s="27">
        <v>0</v>
      </c>
      <c r="L76" s="27">
        <v>0</v>
      </c>
      <c r="M76" s="27">
        <v>0</v>
      </c>
      <c r="N76" s="27">
        <v>0</v>
      </c>
      <c r="O76" s="27">
        <v>0</v>
      </c>
      <c r="P76" s="27">
        <v>0</v>
      </c>
      <c r="Q76" s="27">
        <v>0</v>
      </c>
      <c r="R76" s="27">
        <v>0</v>
      </c>
      <c r="S76" s="27">
        <v>0</v>
      </c>
      <c r="T76" s="27">
        <v>0</v>
      </c>
      <c r="U76" s="27">
        <v>0</v>
      </c>
      <c r="V76" s="27">
        <v>0</v>
      </c>
      <c r="W76" s="27">
        <v>0</v>
      </c>
      <c r="X76" s="27">
        <v>0</v>
      </c>
      <c r="Y76" s="27">
        <v>0</v>
      </c>
      <c r="Z76" s="27">
        <v>0</v>
      </c>
      <c r="AA76" s="27">
        <v>0</v>
      </c>
      <c r="AB76" s="27">
        <v>0</v>
      </c>
      <c r="AC76" s="27">
        <v>0</v>
      </c>
      <c r="AD76" s="27">
        <v>0</v>
      </c>
      <c r="AE76" s="27">
        <v>0</v>
      </c>
      <c r="AF76" s="27">
        <v>0</v>
      </c>
      <c r="AG76" s="27">
        <v>0</v>
      </c>
      <c r="AH76" s="27">
        <v>0</v>
      </c>
      <c r="AI76" s="27">
        <v>0</v>
      </c>
      <c r="AJ76" s="27">
        <v>0</v>
      </c>
      <c r="AK76" s="27">
        <v>0</v>
      </c>
      <c r="AL76" s="27">
        <v>0</v>
      </c>
      <c r="AM76" s="27">
        <v>0</v>
      </c>
      <c r="AN76" s="27">
        <v>0</v>
      </c>
      <c r="AO76" s="27">
        <v>0</v>
      </c>
      <c r="AP76" s="27">
        <v>0</v>
      </c>
      <c r="AQ76" s="27">
        <v>0</v>
      </c>
      <c r="AR76" s="27">
        <v>0</v>
      </c>
      <c r="AS76" s="27">
        <v>0</v>
      </c>
      <c r="AT76" s="27">
        <v>0</v>
      </c>
      <c r="AU76" s="27">
        <v>0</v>
      </c>
      <c r="AV76" s="27">
        <v>0</v>
      </c>
      <c r="AW76" s="27">
        <v>0</v>
      </c>
      <c r="AX76" s="27">
        <v>0</v>
      </c>
      <c r="AY76" s="27">
        <v>0</v>
      </c>
      <c r="AZ76" s="27">
        <v>0</v>
      </c>
      <c r="BA76" s="27">
        <v>0</v>
      </c>
      <c r="BB76" s="27">
        <v>0</v>
      </c>
      <c r="BC76" s="27">
        <v>0</v>
      </c>
      <c r="BD76" s="27">
        <v>0</v>
      </c>
      <c r="BE76" s="27">
        <v>0</v>
      </c>
      <c r="BF76" s="27">
        <v>0</v>
      </c>
      <c r="BG76" s="27">
        <v>0</v>
      </c>
      <c r="BH76" s="27">
        <v>0</v>
      </c>
      <c r="BI76" s="27">
        <v>0</v>
      </c>
      <c r="BJ76" s="27">
        <v>0</v>
      </c>
      <c r="BK76" s="27">
        <v>0</v>
      </c>
      <c r="BL76" s="27">
        <v>0</v>
      </c>
      <c r="BM76" s="27">
        <v>0</v>
      </c>
      <c r="BN76" s="27">
        <v>0</v>
      </c>
      <c r="BO76" s="27">
        <v>0</v>
      </c>
      <c r="BP76" s="27">
        <v>0</v>
      </c>
      <c r="BQ76" s="27">
        <v>0</v>
      </c>
      <c r="BR76" s="27">
        <v>0</v>
      </c>
      <c r="BS76" s="27">
        <v>0</v>
      </c>
      <c r="BT76" s="27">
        <v>0</v>
      </c>
      <c r="BU76" s="27">
        <v>0</v>
      </c>
      <c r="BV76" s="27">
        <v>0</v>
      </c>
      <c r="BW76" s="27">
        <v>0</v>
      </c>
      <c r="BX76" s="27">
        <v>0</v>
      </c>
      <c r="BY76" s="27">
        <v>0</v>
      </c>
      <c r="BZ76" s="27">
        <v>0</v>
      </c>
      <c r="CA76" s="27">
        <v>0</v>
      </c>
      <c r="CB76" s="27">
        <v>0</v>
      </c>
      <c r="CC76" s="27">
        <v>0</v>
      </c>
      <c r="CD76" s="27">
        <v>0</v>
      </c>
      <c r="CE76" s="27">
        <v>0</v>
      </c>
      <c r="CF76" s="27">
        <v>0</v>
      </c>
      <c r="CG76" s="27">
        <v>0</v>
      </c>
      <c r="CH76" s="27">
        <v>0</v>
      </c>
      <c r="CI76" s="27">
        <v>0</v>
      </c>
      <c r="CJ76" s="27">
        <v>0</v>
      </c>
      <c r="CK76" s="27">
        <v>0</v>
      </c>
      <c r="CL76" s="27">
        <v>0</v>
      </c>
      <c r="CM76" s="27">
        <v>0</v>
      </c>
      <c r="CN76" s="27">
        <v>0</v>
      </c>
      <c r="CO76" s="27">
        <v>0</v>
      </c>
      <c r="CP76" s="27">
        <v>0</v>
      </c>
      <c r="CQ76" s="27">
        <v>0</v>
      </c>
      <c r="CR76" s="27">
        <v>0</v>
      </c>
      <c r="CS76" s="27">
        <v>0</v>
      </c>
      <c r="CT76" s="27">
        <v>0</v>
      </c>
      <c r="CU76" s="27">
        <v>0</v>
      </c>
      <c r="CV76" s="27">
        <v>0</v>
      </c>
      <c r="CW76" s="27">
        <v>0</v>
      </c>
      <c r="CX76" s="27">
        <v>0</v>
      </c>
      <c r="CY76" s="27">
        <v>0</v>
      </c>
      <c r="CZ76" s="27">
        <v>0</v>
      </c>
      <c r="DA76" s="27">
        <v>0</v>
      </c>
      <c r="DB76" s="27">
        <v>0</v>
      </c>
      <c r="DC76" s="27">
        <v>0</v>
      </c>
      <c r="DD76" s="27">
        <v>0</v>
      </c>
      <c r="DE76" s="27">
        <v>0</v>
      </c>
      <c r="DF76" s="27">
        <v>0</v>
      </c>
      <c r="DG76" s="27">
        <v>0</v>
      </c>
      <c r="DH76" s="27">
        <v>0</v>
      </c>
      <c r="DI76" s="27">
        <v>0</v>
      </c>
      <c r="DJ76" s="27">
        <v>0</v>
      </c>
      <c r="DK76" s="27">
        <v>0</v>
      </c>
      <c r="DL76" s="27">
        <v>0</v>
      </c>
      <c r="DM76" s="27">
        <v>0</v>
      </c>
      <c r="DN76" s="27">
        <v>0</v>
      </c>
      <c r="DO76" s="27">
        <v>0</v>
      </c>
      <c r="DP76" s="27">
        <v>0</v>
      </c>
      <c r="DQ76" s="27">
        <v>0</v>
      </c>
      <c r="DR76" s="27">
        <v>0</v>
      </c>
      <c r="DS76" s="27">
        <v>0</v>
      </c>
      <c r="DT76" s="27">
        <v>0</v>
      </c>
      <c r="DU76" s="27">
        <v>0</v>
      </c>
      <c r="DV76" s="27">
        <v>0</v>
      </c>
      <c r="DW76" s="27">
        <v>0</v>
      </c>
      <c r="DX76" s="27">
        <v>0</v>
      </c>
      <c r="DY76" s="27">
        <v>0</v>
      </c>
      <c r="DZ76" s="27"/>
      <c r="EA76" s="294"/>
      <c r="EB76" s="294"/>
      <c r="EC76" s="294"/>
      <c r="ED76" s="294"/>
      <c r="EE76" s="294"/>
      <c r="EF76" s="294"/>
      <c r="EG76" s="294"/>
      <c r="EH76" s="150">
        <f t="shared" si="15"/>
        <v>0</v>
      </c>
      <c r="EI76" s="27">
        <v>0</v>
      </c>
      <c r="EJ76" s="27">
        <v>0</v>
      </c>
      <c r="EK76" s="259" t="s">
        <v>305</v>
      </c>
      <c r="EL76" s="27">
        <v>0</v>
      </c>
      <c r="EM76" s="27">
        <v>0</v>
      </c>
      <c r="EN76" s="27">
        <v>0</v>
      </c>
      <c r="EO76" s="27">
        <v>0</v>
      </c>
      <c r="EP76" s="275">
        <v>0</v>
      </c>
      <c r="EQ76" s="275">
        <v>0</v>
      </c>
      <c r="ER76" s="275">
        <v>0</v>
      </c>
      <c r="ES76" s="275">
        <v>0</v>
      </c>
      <c r="ET76" s="275">
        <v>0</v>
      </c>
      <c r="EU76" s="275">
        <v>0</v>
      </c>
      <c r="EV76" s="275">
        <v>0</v>
      </c>
      <c r="EW76" s="259">
        <v>0</v>
      </c>
      <c r="EX76" s="270">
        <v>0</v>
      </c>
      <c r="EY76" s="275">
        <v>0</v>
      </c>
      <c r="EZ76" s="275">
        <v>0</v>
      </c>
    </row>
    <row r="77" spans="1:156" ht="27" hidden="1" customHeight="1" x14ac:dyDescent="0.25">
      <c r="A77" s="30" t="s">
        <v>74</v>
      </c>
      <c r="B77" s="27">
        <v>0</v>
      </c>
      <c r="C77" s="27">
        <v>0</v>
      </c>
      <c r="D77" s="27">
        <v>0</v>
      </c>
      <c r="E77" s="27">
        <v>0</v>
      </c>
      <c r="F77" s="27">
        <v>0</v>
      </c>
      <c r="G77" s="27">
        <v>0</v>
      </c>
      <c r="H77" s="27">
        <v>0</v>
      </c>
      <c r="I77" s="27">
        <v>0</v>
      </c>
      <c r="J77" s="27">
        <v>0</v>
      </c>
      <c r="K77" s="27">
        <v>0</v>
      </c>
      <c r="L77" s="27">
        <v>0</v>
      </c>
      <c r="M77" s="27">
        <v>0</v>
      </c>
      <c r="N77" s="27">
        <v>0</v>
      </c>
      <c r="O77" s="27">
        <v>0</v>
      </c>
      <c r="P77" s="27">
        <v>0</v>
      </c>
      <c r="Q77" s="27">
        <v>0</v>
      </c>
      <c r="R77" s="27">
        <v>0</v>
      </c>
      <c r="S77" s="27">
        <v>0</v>
      </c>
      <c r="T77" s="27">
        <v>0</v>
      </c>
      <c r="U77" s="27">
        <v>0</v>
      </c>
      <c r="V77" s="27">
        <v>0</v>
      </c>
      <c r="W77" s="27">
        <v>0</v>
      </c>
      <c r="X77" s="27">
        <v>0</v>
      </c>
      <c r="Y77" s="27">
        <v>0</v>
      </c>
      <c r="Z77" s="27">
        <v>0</v>
      </c>
      <c r="AA77" s="27">
        <v>0</v>
      </c>
      <c r="AB77" s="27">
        <v>0</v>
      </c>
      <c r="AC77" s="27">
        <v>0</v>
      </c>
      <c r="AD77" s="27">
        <v>0</v>
      </c>
      <c r="AE77" s="27">
        <v>0</v>
      </c>
      <c r="AF77" s="27">
        <v>0</v>
      </c>
      <c r="AG77" s="27">
        <v>0</v>
      </c>
      <c r="AH77" s="27">
        <v>0</v>
      </c>
      <c r="AI77" s="27">
        <v>0</v>
      </c>
      <c r="AJ77" s="27">
        <v>0</v>
      </c>
      <c r="AK77" s="27">
        <v>0</v>
      </c>
      <c r="AL77" s="27">
        <v>0</v>
      </c>
      <c r="AM77" s="27">
        <v>0</v>
      </c>
      <c r="AN77" s="27">
        <v>0</v>
      </c>
      <c r="AO77" s="27">
        <v>0</v>
      </c>
      <c r="AP77" s="27">
        <v>0</v>
      </c>
      <c r="AQ77" s="27">
        <v>0</v>
      </c>
      <c r="AR77" s="27">
        <v>0</v>
      </c>
      <c r="AS77" s="27">
        <v>0</v>
      </c>
      <c r="AT77" s="27">
        <v>0</v>
      </c>
      <c r="AU77" s="27">
        <v>0</v>
      </c>
      <c r="AV77" s="27">
        <v>0</v>
      </c>
      <c r="AW77" s="27">
        <v>0</v>
      </c>
      <c r="AX77" s="27">
        <v>0</v>
      </c>
      <c r="AY77" s="27">
        <v>0</v>
      </c>
      <c r="AZ77" s="27">
        <v>0</v>
      </c>
      <c r="BA77" s="27">
        <v>0</v>
      </c>
      <c r="BB77" s="27">
        <v>0</v>
      </c>
      <c r="BC77" s="27">
        <v>0</v>
      </c>
      <c r="BD77" s="27">
        <v>0</v>
      </c>
      <c r="BE77" s="27">
        <v>0</v>
      </c>
      <c r="BF77" s="27">
        <v>0</v>
      </c>
      <c r="BG77" s="27">
        <v>0</v>
      </c>
      <c r="BH77" s="27">
        <v>0</v>
      </c>
      <c r="BI77" s="27">
        <v>0</v>
      </c>
      <c r="BJ77" s="27">
        <v>0</v>
      </c>
      <c r="BK77" s="27">
        <v>0</v>
      </c>
      <c r="BL77" s="27">
        <v>0</v>
      </c>
      <c r="BM77" s="27">
        <v>0</v>
      </c>
      <c r="BN77" s="27">
        <v>0</v>
      </c>
      <c r="BO77" s="27">
        <v>0</v>
      </c>
      <c r="BP77" s="27">
        <v>0</v>
      </c>
      <c r="BQ77" s="27">
        <v>0</v>
      </c>
      <c r="BR77" s="27">
        <v>0</v>
      </c>
      <c r="BS77" s="27">
        <v>0</v>
      </c>
      <c r="BT77" s="27">
        <v>0</v>
      </c>
      <c r="BU77" s="27">
        <v>0</v>
      </c>
      <c r="BV77" s="27">
        <v>0</v>
      </c>
      <c r="BW77" s="27">
        <v>0</v>
      </c>
      <c r="BX77" s="27">
        <v>0</v>
      </c>
      <c r="BY77" s="27">
        <v>0</v>
      </c>
      <c r="BZ77" s="27">
        <v>0</v>
      </c>
      <c r="CA77" s="27">
        <v>0</v>
      </c>
      <c r="CB77" s="27">
        <v>0</v>
      </c>
      <c r="CC77" s="27">
        <v>0</v>
      </c>
      <c r="CD77" s="27">
        <v>0</v>
      </c>
      <c r="CE77" s="27">
        <v>0</v>
      </c>
      <c r="CF77" s="27">
        <v>0</v>
      </c>
      <c r="CG77" s="27">
        <v>0</v>
      </c>
      <c r="CH77" s="27">
        <v>0</v>
      </c>
      <c r="CI77" s="27">
        <v>0</v>
      </c>
      <c r="CJ77" s="27">
        <v>0</v>
      </c>
      <c r="CK77" s="27">
        <v>0</v>
      </c>
      <c r="CL77" s="27">
        <v>0</v>
      </c>
      <c r="CM77" s="27">
        <v>0</v>
      </c>
      <c r="CN77" s="27">
        <v>0</v>
      </c>
      <c r="CO77" s="27">
        <v>0</v>
      </c>
      <c r="CP77" s="27">
        <v>0</v>
      </c>
      <c r="CQ77" s="27">
        <v>0</v>
      </c>
      <c r="CR77" s="27">
        <v>0</v>
      </c>
      <c r="CS77" s="27">
        <v>0</v>
      </c>
      <c r="CT77" s="27">
        <v>0</v>
      </c>
      <c r="CU77" s="27">
        <v>0</v>
      </c>
      <c r="CV77" s="27">
        <v>0</v>
      </c>
      <c r="CW77" s="27">
        <v>0</v>
      </c>
      <c r="CX77" s="27">
        <v>0</v>
      </c>
      <c r="CY77" s="27">
        <v>0</v>
      </c>
      <c r="CZ77" s="27">
        <v>0</v>
      </c>
      <c r="DA77" s="27">
        <v>0</v>
      </c>
      <c r="DB77" s="27">
        <v>0</v>
      </c>
      <c r="DC77" s="27">
        <v>0</v>
      </c>
      <c r="DD77" s="27">
        <v>0</v>
      </c>
      <c r="DE77" s="27">
        <v>0</v>
      </c>
      <c r="DF77" s="27">
        <v>0</v>
      </c>
      <c r="DG77" s="27">
        <v>0</v>
      </c>
      <c r="DH77" s="27">
        <v>0</v>
      </c>
      <c r="DI77" s="27">
        <v>0</v>
      </c>
      <c r="DJ77" s="27">
        <v>0</v>
      </c>
      <c r="DK77" s="27">
        <v>0</v>
      </c>
      <c r="DL77" s="27">
        <v>0</v>
      </c>
      <c r="DM77" s="27">
        <v>0</v>
      </c>
      <c r="DN77" s="27">
        <v>0</v>
      </c>
      <c r="DO77" s="27">
        <v>0</v>
      </c>
      <c r="DP77" s="27">
        <v>0</v>
      </c>
      <c r="DQ77" s="27">
        <v>0</v>
      </c>
      <c r="DR77" s="27">
        <v>0</v>
      </c>
      <c r="DS77" s="27">
        <v>0</v>
      </c>
      <c r="DT77" s="27">
        <v>0</v>
      </c>
      <c r="DU77" s="27">
        <v>0</v>
      </c>
      <c r="DV77" s="27">
        <v>0</v>
      </c>
      <c r="DW77" s="27">
        <v>0</v>
      </c>
      <c r="DX77" s="27">
        <v>0</v>
      </c>
      <c r="DY77" s="27">
        <v>0</v>
      </c>
      <c r="DZ77" s="27"/>
      <c r="EA77" s="294"/>
      <c r="EB77" s="294"/>
      <c r="EC77" s="294"/>
      <c r="ED77" s="294"/>
      <c r="EE77" s="294"/>
      <c r="EF77" s="294"/>
      <c r="EG77" s="294"/>
      <c r="EH77" s="150">
        <f t="shared" si="15"/>
        <v>0</v>
      </c>
      <c r="EI77" s="27">
        <v>0</v>
      </c>
      <c r="EJ77" s="27">
        <v>0</v>
      </c>
      <c r="EK77" s="259" t="s">
        <v>306</v>
      </c>
      <c r="EL77" s="27">
        <v>0</v>
      </c>
      <c r="EM77" s="27">
        <v>0</v>
      </c>
      <c r="EN77" s="27">
        <v>0</v>
      </c>
      <c r="EO77" s="27">
        <v>0</v>
      </c>
      <c r="EP77" s="275">
        <v>0</v>
      </c>
      <c r="EQ77" s="275">
        <v>0</v>
      </c>
      <c r="ER77" s="275">
        <v>0</v>
      </c>
      <c r="ES77" s="275">
        <v>0</v>
      </c>
      <c r="ET77" s="275">
        <v>0</v>
      </c>
      <c r="EU77" s="275">
        <v>0</v>
      </c>
      <c r="EV77" s="275">
        <v>0</v>
      </c>
      <c r="EW77" s="259">
        <v>0</v>
      </c>
      <c r="EX77" s="270">
        <v>0</v>
      </c>
      <c r="EY77" s="275">
        <v>0</v>
      </c>
      <c r="EZ77" s="275">
        <v>0</v>
      </c>
    </row>
    <row r="78" spans="1:156" ht="15.75" hidden="1" customHeight="1" x14ac:dyDescent="0.25">
      <c r="A78" s="30" t="s">
        <v>75</v>
      </c>
      <c r="B78" s="27">
        <v>0</v>
      </c>
      <c r="C78" s="27">
        <v>0</v>
      </c>
      <c r="D78" s="27">
        <v>0</v>
      </c>
      <c r="E78" s="27">
        <v>0</v>
      </c>
      <c r="F78" s="27">
        <v>0</v>
      </c>
      <c r="G78" s="27">
        <v>0</v>
      </c>
      <c r="H78" s="27">
        <v>0</v>
      </c>
      <c r="I78" s="27">
        <v>0</v>
      </c>
      <c r="J78" s="27">
        <v>0</v>
      </c>
      <c r="K78" s="27">
        <v>0</v>
      </c>
      <c r="L78" s="27">
        <v>0</v>
      </c>
      <c r="M78" s="27">
        <v>0</v>
      </c>
      <c r="N78" s="27">
        <v>0</v>
      </c>
      <c r="O78" s="27">
        <v>0</v>
      </c>
      <c r="P78" s="27">
        <v>0</v>
      </c>
      <c r="Q78" s="27">
        <v>0</v>
      </c>
      <c r="R78" s="27">
        <v>0</v>
      </c>
      <c r="S78" s="27">
        <v>0</v>
      </c>
      <c r="T78" s="27">
        <v>0</v>
      </c>
      <c r="U78" s="27">
        <v>0</v>
      </c>
      <c r="V78" s="27">
        <v>0</v>
      </c>
      <c r="W78" s="27">
        <v>0</v>
      </c>
      <c r="X78" s="27">
        <v>0</v>
      </c>
      <c r="Y78" s="27">
        <v>0</v>
      </c>
      <c r="Z78" s="27">
        <v>0</v>
      </c>
      <c r="AA78" s="27">
        <v>0</v>
      </c>
      <c r="AB78" s="27">
        <v>0</v>
      </c>
      <c r="AC78" s="27">
        <v>0</v>
      </c>
      <c r="AD78" s="27">
        <v>0</v>
      </c>
      <c r="AE78" s="27">
        <v>0</v>
      </c>
      <c r="AF78" s="27">
        <v>0</v>
      </c>
      <c r="AG78" s="27">
        <v>0</v>
      </c>
      <c r="AH78" s="27">
        <v>0</v>
      </c>
      <c r="AI78" s="27">
        <v>0</v>
      </c>
      <c r="AJ78" s="27">
        <v>0</v>
      </c>
      <c r="AK78" s="27">
        <v>0</v>
      </c>
      <c r="AL78" s="27">
        <v>0</v>
      </c>
      <c r="AM78" s="27">
        <v>0</v>
      </c>
      <c r="AN78" s="27">
        <v>0</v>
      </c>
      <c r="AO78" s="27">
        <v>0</v>
      </c>
      <c r="AP78" s="27">
        <v>0</v>
      </c>
      <c r="AQ78" s="27">
        <v>0</v>
      </c>
      <c r="AR78" s="27">
        <v>0</v>
      </c>
      <c r="AS78" s="27">
        <v>0</v>
      </c>
      <c r="AT78" s="27">
        <v>0</v>
      </c>
      <c r="AU78" s="27">
        <v>0</v>
      </c>
      <c r="AV78" s="27">
        <v>0</v>
      </c>
      <c r="AW78" s="27">
        <v>0</v>
      </c>
      <c r="AX78" s="27">
        <v>0</v>
      </c>
      <c r="AY78" s="27">
        <v>0</v>
      </c>
      <c r="AZ78" s="27">
        <v>0</v>
      </c>
      <c r="BA78" s="27">
        <v>0</v>
      </c>
      <c r="BB78" s="27">
        <v>0</v>
      </c>
      <c r="BC78" s="27">
        <v>0</v>
      </c>
      <c r="BD78" s="27">
        <v>0</v>
      </c>
      <c r="BE78" s="27">
        <v>0</v>
      </c>
      <c r="BF78" s="27">
        <v>0</v>
      </c>
      <c r="BG78" s="27">
        <v>0</v>
      </c>
      <c r="BH78" s="27">
        <v>0</v>
      </c>
      <c r="BI78" s="27">
        <v>0</v>
      </c>
      <c r="BJ78" s="27">
        <v>0</v>
      </c>
      <c r="BK78" s="27">
        <v>0</v>
      </c>
      <c r="BL78" s="27">
        <v>0</v>
      </c>
      <c r="BM78" s="27">
        <v>0</v>
      </c>
      <c r="BN78" s="27">
        <v>0</v>
      </c>
      <c r="BO78" s="27">
        <v>0</v>
      </c>
      <c r="BP78" s="27">
        <v>0</v>
      </c>
      <c r="BQ78" s="27">
        <v>0</v>
      </c>
      <c r="BR78" s="27">
        <v>0</v>
      </c>
      <c r="BS78" s="27">
        <v>0</v>
      </c>
      <c r="BT78" s="27">
        <v>0</v>
      </c>
      <c r="BU78" s="27">
        <v>0</v>
      </c>
      <c r="BV78" s="27">
        <v>0</v>
      </c>
      <c r="BW78" s="27">
        <v>0</v>
      </c>
      <c r="BX78" s="27">
        <v>0</v>
      </c>
      <c r="BY78" s="27">
        <v>0</v>
      </c>
      <c r="BZ78" s="27">
        <v>0</v>
      </c>
      <c r="CA78" s="27">
        <v>0</v>
      </c>
      <c r="CB78" s="27">
        <v>0</v>
      </c>
      <c r="CC78" s="27">
        <v>0</v>
      </c>
      <c r="CD78" s="27">
        <v>0</v>
      </c>
      <c r="CE78" s="27">
        <v>0</v>
      </c>
      <c r="CF78" s="27">
        <v>0</v>
      </c>
      <c r="CG78" s="27">
        <v>0</v>
      </c>
      <c r="CH78" s="27">
        <v>0</v>
      </c>
      <c r="CI78" s="27">
        <v>0</v>
      </c>
      <c r="CJ78" s="27">
        <v>0</v>
      </c>
      <c r="CK78" s="27">
        <v>0</v>
      </c>
      <c r="CL78" s="27">
        <v>0</v>
      </c>
      <c r="CM78" s="27">
        <v>0</v>
      </c>
      <c r="CN78" s="27">
        <v>0</v>
      </c>
      <c r="CO78" s="27">
        <v>0</v>
      </c>
      <c r="CP78" s="27">
        <v>0</v>
      </c>
      <c r="CQ78" s="27">
        <v>0</v>
      </c>
      <c r="CR78" s="27">
        <v>0</v>
      </c>
      <c r="CS78" s="27">
        <v>0</v>
      </c>
      <c r="CT78" s="27">
        <v>0</v>
      </c>
      <c r="CU78" s="27">
        <v>0</v>
      </c>
      <c r="CV78" s="27">
        <v>0</v>
      </c>
      <c r="CW78" s="27">
        <v>0</v>
      </c>
      <c r="CX78" s="27">
        <v>0</v>
      </c>
      <c r="CY78" s="27">
        <v>0</v>
      </c>
      <c r="CZ78" s="27">
        <v>0</v>
      </c>
      <c r="DA78" s="27">
        <v>0</v>
      </c>
      <c r="DB78" s="27">
        <v>0</v>
      </c>
      <c r="DC78" s="27">
        <v>0</v>
      </c>
      <c r="DD78" s="27">
        <v>0</v>
      </c>
      <c r="DE78" s="27">
        <v>0</v>
      </c>
      <c r="DF78" s="27">
        <v>0</v>
      </c>
      <c r="DG78" s="27">
        <v>0</v>
      </c>
      <c r="DH78" s="27">
        <v>0</v>
      </c>
      <c r="DI78" s="27">
        <v>0</v>
      </c>
      <c r="DJ78" s="27">
        <v>0</v>
      </c>
      <c r="DK78" s="27">
        <v>0</v>
      </c>
      <c r="DL78" s="27">
        <v>0</v>
      </c>
      <c r="DM78" s="27">
        <v>0</v>
      </c>
      <c r="DN78" s="27">
        <v>0</v>
      </c>
      <c r="DO78" s="27">
        <v>0</v>
      </c>
      <c r="DP78" s="27">
        <v>0</v>
      </c>
      <c r="DQ78" s="27">
        <v>0</v>
      </c>
      <c r="DR78" s="27">
        <v>0</v>
      </c>
      <c r="DS78" s="27">
        <v>0</v>
      </c>
      <c r="DT78" s="27">
        <v>0</v>
      </c>
      <c r="DU78" s="27">
        <v>0</v>
      </c>
      <c r="DV78" s="27">
        <v>0</v>
      </c>
      <c r="DW78" s="27">
        <v>0</v>
      </c>
      <c r="DX78" s="27">
        <v>0</v>
      </c>
      <c r="DY78" s="27">
        <v>0</v>
      </c>
      <c r="DZ78" s="27"/>
      <c r="EA78" s="294"/>
      <c r="EB78" s="294"/>
      <c r="EC78" s="294"/>
      <c r="ED78" s="294"/>
      <c r="EE78" s="294"/>
      <c r="EF78" s="294"/>
      <c r="EG78" s="294"/>
      <c r="EH78" s="150">
        <f t="shared" si="15"/>
        <v>0</v>
      </c>
      <c r="EI78" s="27">
        <v>0</v>
      </c>
      <c r="EJ78" s="27">
        <v>0</v>
      </c>
      <c r="EK78" s="259" t="s">
        <v>307</v>
      </c>
      <c r="EL78" s="27">
        <v>0</v>
      </c>
      <c r="EM78" s="27">
        <v>0</v>
      </c>
      <c r="EN78" s="27">
        <v>0</v>
      </c>
      <c r="EO78" s="27">
        <v>0</v>
      </c>
      <c r="EP78" s="275">
        <v>0</v>
      </c>
      <c r="EQ78" s="275">
        <v>0</v>
      </c>
      <c r="ER78" s="275">
        <v>0</v>
      </c>
      <c r="ES78" s="275">
        <v>0</v>
      </c>
      <c r="ET78" s="275">
        <v>0</v>
      </c>
      <c r="EU78" s="275">
        <v>0</v>
      </c>
      <c r="EV78" s="275">
        <v>0</v>
      </c>
      <c r="EW78" s="259">
        <v>0</v>
      </c>
      <c r="EX78" s="270">
        <v>0</v>
      </c>
      <c r="EY78" s="275">
        <v>0</v>
      </c>
      <c r="EZ78" s="275">
        <v>0</v>
      </c>
    </row>
    <row r="79" spans="1:156" ht="15.75" hidden="1" customHeight="1" x14ac:dyDescent="0.25">
      <c r="A79" s="216">
        <v>0</v>
      </c>
      <c r="B79" s="274">
        <v>0</v>
      </c>
      <c r="C79" s="274">
        <v>0</v>
      </c>
      <c r="D79" s="274">
        <v>0</v>
      </c>
      <c r="E79" s="274">
        <v>0</v>
      </c>
      <c r="F79" s="274">
        <v>0</v>
      </c>
      <c r="G79" s="274">
        <v>0</v>
      </c>
      <c r="H79" s="274">
        <v>0</v>
      </c>
      <c r="I79" s="274">
        <v>0</v>
      </c>
      <c r="J79" s="274">
        <v>0</v>
      </c>
      <c r="K79" s="274">
        <v>0</v>
      </c>
      <c r="L79" s="274">
        <v>0</v>
      </c>
      <c r="M79" s="274">
        <v>0</v>
      </c>
      <c r="N79" s="274">
        <v>0</v>
      </c>
      <c r="O79" s="274">
        <v>0</v>
      </c>
      <c r="P79" s="274">
        <v>0</v>
      </c>
      <c r="Q79" s="274">
        <v>0</v>
      </c>
      <c r="R79" s="274">
        <v>0</v>
      </c>
      <c r="S79" s="274">
        <v>0</v>
      </c>
      <c r="T79" s="274">
        <v>0</v>
      </c>
      <c r="U79" s="274">
        <v>0</v>
      </c>
      <c r="V79" s="274">
        <v>0</v>
      </c>
      <c r="W79" s="274">
        <v>0</v>
      </c>
      <c r="X79" s="274">
        <v>0</v>
      </c>
      <c r="Y79" s="274">
        <v>0</v>
      </c>
      <c r="Z79" s="274">
        <v>0</v>
      </c>
      <c r="AA79" s="274">
        <v>0</v>
      </c>
      <c r="AB79" s="274">
        <v>0</v>
      </c>
      <c r="AC79" s="274">
        <v>0</v>
      </c>
      <c r="AD79" s="274">
        <v>0</v>
      </c>
      <c r="AE79" s="274">
        <v>0</v>
      </c>
      <c r="AF79" s="274">
        <v>0</v>
      </c>
      <c r="AG79" s="274">
        <v>0</v>
      </c>
      <c r="AH79" s="274">
        <v>0</v>
      </c>
      <c r="AI79" s="274">
        <v>0</v>
      </c>
      <c r="AJ79" s="274">
        <v>0</v>
      </c>
      <c r="AK79" s="274">
        <v>0</v>
      </c>
      <c r="AL79" s="274">
        <v>0</v>
      </c>
      <c r="AM79" s="274">
        <v>0</v>
      </c>
      <c r="AN79" s="274">
        <v>0</v>
      </c>
      <c r="AO79" s="274">
        <v>0</v>
      </c>
      <c r="AP79" s="274">
        <v>0</v>
      </c>
      <c r="AQ79" s="274">
        <v>0</v>
      </c>
      <c r="AR79" s="274">
        <v>0</v>
      </c>
      <c r="AS79" s="274">
        <v>0</v>
      </c>
      <c r="AT79" s="274">
        <v>0</v>
      </c>
      <c r="AU79" s="274">
        <v>0</v>
      </c>
      <c r="AV79" s="274">
        <v>0</v>
      </c>
      <c r="AW79" s="274">
        <v>0</v>
      </c>
      <c r="AX79" s="274">
        <v>0</v>
      </c>
      <c r="AY79" s="274">
        <v>0</v>
      </c>
      <c r="AZ79" s="274">
        <v>0</v>
      </c>
      <c r="BA79" s="274">
        <v>0</v>
      </c>
      <c r="BB79" s="274">
        <v>0</v>
      </c>
      <c r="BC79" s="274">
        <v>0</v>
      </c>
      <c r="BD79" s="274">
        <v>0</v>
      </c>
      <c r="BE79" s="274">
        <v>0</v>
      </c>
      <c r="BF79" s="274">
        <v>0</v>
      </c>
      <c r="BG79" s="274">
        <v>0</v>
      </c>
      <c r="BH79" s="274">
        <v>0</v>
      </c>
      <c r="BI79" s="274">
        <v>0</v>
      </c>
      <c r="BJ79" s="274">
        <v>0</v>
      </c>
      <c r="BK79" s="274">
        <v>0</v>
      </c>
      <c r="BL79" s="274">
        <v>0</v>
      </c>
      <c r="BM79" s="274">
        <v>0</v>
      </c>
      <c r="BN79" s="274">
        <v>0</v>
      </c>
      <c r="BO79" s="274">
        <v>0</v>
      </c>
      <c r="BP79" s="274">
        <v>0</v>
      </c>
      <c r="BQ79" s="274">
        <v>0</v>
      </c>
      <c r="BR79" s="274">
        <v>0</v>
      </c>
      <c r="BS79" s="274">
        <v>0</v>
      </c>
      <c r="BT79" s="274">
        <v>0</v>
      </c>
      <c r="BU79" s="274">
        <v>0</v>
      </c>
      <c r="BV79" s="274">
        <v>0</v>
      </c>
      <c r="BW79" s="274">
        <v>0</v>
      </c>
      <c r="BX79" s="274">
        <v>0</v>
      </c>
      <c r="BY79" s="274">
        <v>0</v>
      </c>
      <c r="BZ79" s="274">
        <v>0</v>
      </c>
      <c r="CA79" s="274">
        <v>0</v>
      </c>
      <c r="CB79" s="274">
        <v>0</v>
      </c>
      <c r="CC79" s="274">
        <v>0</v>
      </c>
      <c r="CD79" s="274">
        <v>0</v>
      </c>
      <c r="CE79" s="274">
        <v>0</v>
      </c>
      <c r="CF79" s="274">
        <v>0</v>
      </c>
      <c r="CG79" s="274">
        <v>0</v>
      </c>
      <c r="CH79" s="274">
        <v>0</v>
      </c>
      <c r="CI79" s="274">
        <v>0</v>
      </c>
      <c r="CJ79" s="274">
        <v>0</v>
      </c>
      <c r="CK79" s="274">
        <v>0</v>
      </c>
      <c r="CL79" s="274">
        <v>0</v>
      </c>
      <c r="CM79" s="274">
        <v>0</v>
      </c>
      <c r="CN79" s="274">
        <v>0</v>
      </c>
      <c r="CO79" s="274">
        <v>0</v>
      </c>
      <c r="CP79" s="274">
        <v>0</v>
      </c>
      <c r="CQ79" s="274">
        <v>0</v>
      </c>
      <c r="CR79" s="274">
        <v>0</v>
      </c>
      <c r="CS79" s="274">
        <v>0</v>
      </c>
      <c r="CT79" s="274">
        <v>0</v>
      </c>
      <c r="CU79" s="274">
        <v>0</v>
      </c>
      <c r="CV79" s="274">
        <v>0</v>
      </c>
      <c r="CW79" s="274">
        <v>0</v>
      </c>
      <c r="CX79" s="274">
        <v>0</v>
      </c>
      <c r="CY79" s="274">
        <v>0</v>
      </c>
      <c r="CZ79" s="274">
        <v>0</v>
      </c>
      <c r="DA79" s="274">
        <v>0</v>
      </c>
      <c r="DB79" s="274">
        <v>0</v>
      </c>
      <c r="DC79" s="274">
        <v>0</v>
      </c>
      <c r="DD79" s="274">
        <v>0</v>
      </c>
      <c r="DE79" s="274">
        <v>0</v>
      </c>
      <c r="DF79" s="274">
        <v>0</v>
      </c>
      <c r="DG79" s="274">
        <v>0</v>
      </c>
      <c r="DH79" s="274">
        <v>0</v>
      </c>
      <c r="DI79" s="274">
        <v>0</v>
      </c>
      <c r="DJ79" s="274">
        <v>0</v>
      </c>
      <c r="DK79" s="274">
        <v>0</v>
      </c>
      <c r="DL79" s="274">
        <v>0</v>
      </c>
      <c r="DM79" s="274">
        <v>0</v>
      </c>
      <c r="DN79" s="274">
        <v>0</v>
      </c>
      <c r="DO79" s="274">
        <v>0</v>
      </c>
      <c r="DP79" s="274">
        <v>0</v>
      </c>
      <c r="DQ79" s="274">
        <v>0</v>
      </c>
      <c r="DR79" s="274">
        <v>0</v>
      </c>
      <c r="DS79" s="274">
        <v>0</v>
      </c>
      <c r="DT79" s="274">
        <v>0</v>
      </c>
      <c r="DU79" s="274">
        <v>0</v>
      </c>
      <c r="DV79" s="274">
        <v>0</v>
      </c>
      <c r="DW79" s="274">
        <v>0</v>
      </c>
      <c r="DX79" s="274">
        <v>0</v>
      </c>
      <c r="DY79" s="274">
        <v>0</v>
      </c>
      <c r="DZ79" s="274"/>
      <c r="EA79" s="275"/>
      <c r="EB79" s="275"/>
      <c r="EC79" s="275"/>
      <c r="ED79" s="275"/>
      <c r="EE79" s="275"/>
      <c r="EF79" s="275"/>
      <c r="EG79" s="275"/>
      <c r="EH79" s="150">
        <f t="shared" si="15"/>
        <v>0</v>
      </c>
      <c r="EI79" s="274">
        <v>0</v>
      </c>
      <c r="EJ79" s="274">
        <v>0</v>
      </c>
      <c r="EK79" s="259" t="s">
        <v>308</v>
      </c>
      <c r="EL79" s="274">
        <v>0</v>
      </c>
      <c r="EM79" s="274">
        <v>0</v>
      </c>
      <c r="EN79" s="274">
        <v>0</v>
      </c>
      <c r="EO79" s="274">
        <v>0</v>
      </c>
      <c r="EP79" s="275">
        <v>0</v>
      </c>
      <c r="EQ79" s="275">
        <v>0</v>
      </c>
      <c r="ER79" s="275">
        <v>0</v>
      </c>
      <c r="ES79" s="275">
        <v>0</v>
      </c>
      <c r="ET79" s="275">
        <v>0</v>
      </c>
      <c r="EU79" s="275">
        <v>0</v>
      </c>
      <c r="EV79" s="275">
        <v>0</v>
      </c>
      <c r="EW79" s="259">
        <v>0</v>
      </c>
      <c r="EX79" s="270">
        <v>0</v>
      </c>
      <c r="EY79" s="275">
        <v>0</v>
      </c>
      <c r="EZ79" s="275">
        <v>0</v>
      </c>
    </row>
    <row r="80" spans="1:156" ht="15.75" hidden="1" customHeight="1" x14ac:dyDescent="0.25">
      <c r="A80" s="216">
        <v>0</v>
      </c>
      <c r="B80" s="274">
        <v>0</v>
      </c>
      <c r="C80" s="274">
        <v>0</v>
      </c>
      <c r="D80" s="274">
        <v>0</v>
      </c>
      <c r="E80" s="274">
        <v>0</v>
      </c>
      <c r="F80" s="274">
        <v>0</v>
      </c>
      <c r="G80" s="274">
        <v>0</v>
      </c>
      <c r="H80" s="274">
        <v>0</v>
      </c>
      <c r="I80" s="274">
        <v>0</v>
      </c>
      <c r="J80" s="274">
        <v>0</v>
      </c>
      <c r="K80" s="274">
        <v>0</v>
      </c>
      <c r="L80" s="274">
        <v>0</v>
      </c>
      <c r="M80" s="274">
        <v>0</v>
      </c>
      <c r="N80" s="274">
        <v>0</v>
      </c>
      <c r="O80" s="274">
        <v>0</v>
      </c>
      <c r="P80" s="274">
        <v>0</v>
      </c>
      <c r="Q80" s="274">
        <v>0</v>
      </c>
      <c r="R80" s="274">
        <v>0</v>
      </c>
      <c r="S80" s="274">
        <v>0</v>
      </c>
      <c r="T80" s="274">
        <v>0</v>
      </c>
      <c r="U80" s="274">
        <v>0</v>
      </c>
      <c r="V80" s="274">
        <v>0</v>
      </c>
      <c r="W80" s="274">
        <v>0</v>
      </c>
      <c r="X80" s="274">
        <v>0</v>
      </c>
      <c r="Y80" s="274">
        <v>0</v>
      </c>
      <c r="Z80" s="274">
        <v>0</v>
      </c>
      <c r="AA80" s="274">
        <v>0</v>
      </c>
      <c r="AB80" s="274">
        <v>0</v>
      </c>
      <c r="AC80" s="274">
        <v>0</v>
      </c>
      <c r="AD80" s="274">
        <v>0</v>
      </c>
      <c r="AE80" s="274">
        <v>0</v>
      </c>
      <c r="AF80" s="274">
        <v>0</v>
      </c>
      <c r="AG80" s="274">
        <v>0</v>
      </c>
      <c r="AH80" s="274">
        <v>0</v>
      </c>
      <c r="AI80" s="274">
        <v>0</v>
      </c>
      <c r="AJ80" s="274">
        <v>0</v>
      </c>
      <c r="AK80" s="274">
        <v>0</v>
      </c>
      <c r="AL80" s="274">
        <v>0</v>
      </c>
      <c r="AM80" s="274">
        <v>0</v>
      </c>
      <c r="AN80" s="274">
        <v>0</v>
      </c>
      <c r="AO80" s="274">
        <v>0</v>
      </c>
      <c r="AP80" s="274">
        <v>0</v>
      </c>
      <c r="AQ80" s="274">
        <v>0</v>
      </c>
      <c r="AR80" s="274">
        <v>0</v>
      </c>
      <c r="AS80" s="274">
        <v>0</v>
      </c>
      <c r="AT80" s="274">
        <v>0</v>
      </c>
      <c r="AU80" s="274">
        <v>0</v>
      </c>
      <c r="AV80" s="274">
        <v>0</v>
      </c>
      <c r="AW80" s="274">
        <v>0</v>
      </c>
      <c r="AX80" s="274">
        <v>0</v>
      </c>
      <c r="AY80" s="274">
        <v>0</v>
      </c>
      <c r="AZ80" s="274">
        <v>0</v>
      </c>
      <c r="BA80" s="274">
        <v>0</v>
      </c>
      <c r="BB80" s="274">
        <v>0</v>
      </c>
      <c r="BC80" s="274">
        <v>0</v>
      </c>
      <c r="BD80" s="274">
        <v>0</v>
      </c>
      <c r="BE80" s="274">
        <v>0</v>
      </c>
      <c r="BF80" s="274">
        <v>0</v>
      </c>
      <c r="BG80" s="274">
        <v>0</v>
      </c>
      <c r="BH80" s="274">
        <v>0</v>
      </c>
      <c r="BI80" s="274">
        <v>0</v>
      </c>
      <c r="BJ80" s="274">
        <v>0</v>
      </c>
      <c r="BK80" s="274">
        <v>0</v>
      </c>
      <c r="BL80" s="274">
        <v>0</v>
      </c>
      <c r="BM80" s="274">
        <v>0</v>
      </c>
      <c r="BN80" s="274">
        <v>0</v>
      </c>
      <c r="BO80" s="274">
        <v>0</v>
      </c>
      <c r="BP80" s="274">
        <v>0</v>
      </c>
      <c r="BQ80" s="274">
        <v>0</v>
      </c>
      <c r="BR80" s="274">
        <v>0</v>
      </c>
      <c r="BS80" s="274">
        <v>0</v>
      </c>
      <c r="BT80" s="274">
        <v>0</v>
      </c>
      <c r="BU80" s="274">
        <v>0</v>
      </c>
      <c r="BV80" s="274">
        <v>0</v>
      </c>
      <c r="BW80" s="274">
        <v>0</v>
      </c>
      <c r="BX80" s="274">
        <v>0</v>
      </c>
      <c r="BY80" s="274">
        <v>0</v>
      </c>
      <c r="BZ80" s="274">
        <v>0</v>
      </c>
      <c r="CA80" s="274">
        <v>0</v>
      </c>
      <c r="CB80" s="274">
        <v>0</v>
      </c>
      <c r="CC80" s="274">
        <v>0</v>
      </c>
      <c r="CD80" s="274">
        <v>0</v>
      </c>
      <c r="CE80" s="274">
        <v>0</v>
      </c>
      <c r="CF80" s="274">
        <v>0</v>
      </c>
      <c r="CG80" s="274">
        <v>0</v>
      </c>
      <c r="CH80" s="274">
        <v>0</v>
      </c>
      <c r="CI80" s="274">
        <v>0</v>
      </c>
      <c r="CJ80" s="274">
        <v>0</v>
      </c>
      <c r="CK80" s="274">
        <v>0</v>
      </c>
      <c r="CL80" s="274">
        <v>0</v>
      </c>
      <c r="CM80" s="274">
        <v>0</v>
      </c>
      <c r="CN80" s="274">
        <v>0</v>
      </c>
      <c r="CO80" s="274">
        <v>0</v>
      </c>
      <c r="CP80" s="274">
        <v>0</v>
      </c>
      <c r="CQ80" s="274">
        <v>0</v>
      </c>
      <c r="CR80" s="274">
        <v>0</v>
      </c>
      <c r="CS80" s="274">
        <v>0</v>
      </c>
      <c r="CT80" s="274">
        <v>0</v>
      </c>
      <c r="CU80" s="274">
        <v>0</v>
      </c>
      <c r="CV80" s="274">
        <v>0</v>
      </c>
      <c r="CW80" s="274">
        <v>0</v>
      </c>
      <c r="CX80" s="274">
        <v>0</v>
      </c>
      <c r="CY80" s="274">
        <v>0</v>
      </c>
      <c r="CZ80" s="274">
        <v>0</v>
      </c>
      <c r="DA80" s="274">
        <v>0</v>
      </c>
      <c r="DB80" s="274">
        <v>0</v>
      </c>
      <c r="DC80" s="274">
        <v>0</v>
      </c>
      <c r="DD80" s="274">
        <v>0</v>
      </c>
      <c r="DE80" s="274">
        <v>0</v>
      </c>
      <c r="DF80" s="274">
        <v>0</v>
      </c>
      <c r="DG80" s="274">
        <v>0</v>
      </c>
      <c r="DH80" s="274">
        <v>0</v>
      </c>
      <c r="DI80" s="274">
        <v>0</v>
      </c>
      <c r="DJ80" s="274">
        <v>0</v>
      </c>
      <c r="DK80" s="274">
        <v>0</v>
      </c>
      <c r="DL80" s="274">
        <v>0</v>
      </c>
      <c r="DM80" s="274">
        <v>0</v>
      </c>
      <c r="DN80" s="274">
        <v>0</v>
      </c>
      <c r="DO80" s="274">
        <v>0</v>
      </c>
      <c r="DP80" s="274">
        <v>0</v>
      </c>
      <c r="DQ80" s="274">
        <v>0</v>
      </c>
      <c r="DR80" s="274">
        <v>0</v>
      </c>
      <c r="DS80" s="274">
        <v>0</v>
      </c>
      <c r="DT80" s="274">
        <v>0</v>
      </c>
      <c r="DU80" s="274">
        <v>0</v>
      </c>
      <c r="DV80" s="274">
        <v>0</v>
      </c>
      <c r="DW80" s="274">
        <v>0</v>
      </c>
      <c r="DX80" s="274">
        <v>0</v>
      </c>
      <c r="DY80" s="274">
        <v>0</v>
      </c>
      <c r="DZ80" s="274"/>
      <c r="EA80" s="275"/>
      <c r="EB80" s="275"/>
      <c r="EC80" s="275"/>
      <c r="ED80" s="275"/>
      <c r="EE80" s="275"/>
      <c r="EF80" s="275"/>
      <c r="EG80" s="275"/>
      <c r="EH80" s="150">
        <f t="shared" si="15"/>
        <v>0</v>
      </c>
      <c r="EI80" s="274">
        <v>0</v>
      </c>
      <c r="EJ80" s="274">
        <v>0</v>
      </c>
      <c r="EK80" s="259" t="s">
        <v>309</v>
      </c>
      <c r="EL80" s="274">
        <v>0</v>
      </c>
      <c r="EM80" s="274">
        <v>0</v>
      </c>
      <c r="EN80" s="274">
        <v>0</v>
      </c>
      <c r="EO80" s="274">
        <v>0</v>
      </c>
      <c r="EP80" s="275">
        <v>0</v>
      </c>
      <c r="EQ80" s="275">
        <v>0</v>
      </c>
      <c r="ER80" s="275">
        <v>0</v>
      </c>
      <c r="ES80" s="275">
        <v>0</v>
      </c>
      <c r="ET80" s="275">
        <v>0</v>
      </c>
      <c r="EU80" s="275">
        <v>0</v>
      </c>
      <c r="EV80" s="275">
        <v>0</v>
      </c>
      <c r="EW80" s="259">
        <v>0</v>
      </c>
      <c r="EX80" s="270">
        <v>0</v>
      </c>
      <c r="EY80" s="275">
        <v>0</v>
      </c>
      <c r="EZ80" s="275">
        <v>0</v>
      </c>
    </row>
    <row r="81" spans="1:138" ht="15.75" hidden="1" customHeight="1" x14ac:dyDescent="0.25">
      <c r="A81" s="216">
        <v>0</v>
      </c>
      <c r="B81" s="274">
        <v>0</v>
      </c>
      <c r="C81" s="274">
        <v>0</v>
      </c>
      <c r="D81" s="274">
        <v>0</v>
      </c>
      <c r="E81" s="274">
        <v>0</v>
      </c>
      <c r="F81" s="274">
        <v>0</v>
      </c>
      <c r="G81" s="274">
        <v>0</v>
      </c>
      <c r="H81" s="274">
        <v>0</v>
      </c>
      <c r="I81" s="274">
        <v>0</v>
      </c>
      <c r="J81" s="274">
        <v>0</v>
      </c>
      <c r="K81" s="274">
        <v>0</v>
      </c>
      <c r="L81" s="274">
        <v>0</v>
      </c>
      <c r="M81" s="274">
        <v>0</v>
      </c>
      <c r="N81" s="274">
        <v>0</v>
      </c>
      <c r="O81" s="274">
        <v>0</v>
      </c>
      <c r="P81" s="274">
        <v>0</v>
      </c>
      <c r="Q81" s="274">
        <v>0</v>
      </c>
      <c r="R81" s="274">
        <v>0</v>
      </c>
      <c r="S81" s="274">
        <v>0</v>
      </c>
      <c r="T81" s="274">
        <v>0</v>
      </c>
      <c r="U81" s="274">
        <v>0</v>
      </c>
      <c r="V81" s="274">
        <v>0</v>
      </c>
      <c r="W81" s="274">
        <v>0</v>
      </c>
      <c r="X81" s="274">
        <v>0</v>
      </c>
      <c r="Y81" s="274">
        <v>0</v>
      </c>
      <c r="Z81" s="274">
        <v>0</v>
      </c>
      <c r="AA81" s="274">
        <v>0</v>
      </c>
      <c r="AB81" s="274">
        <v>0</v>
      </c>
      <c r="AC81" s="274">
        <v>0</v>
      </c>
      <c r="AD81" s="274">
        <v>0</v>
      </c>
      <c r="AE81" s="274">
        <v>0</v>
      </c>
      <c r="AF81" s="274">
        <v>0</v>
      </c>
      <c r="AG81" s="274">
        <v>0</v>
      </c>
      <c r="AH81" s="274">
        <v>0</v>
      </c>
      <c r="AI81" s="274">
        <v>0</v>
      </c>
      <c r="AJ81" s="274">
        <v>0</v>
      </c>
      <c r="AK81" s="274">
        <v>0</v>
      </c>
      <c r="AL81" s="274">
        <v>0</v>
      </c>
      <c r="EH81" s="216">
        <f t="shared" si="15"/>
        <v>0</v>
      </c>
    </row>
    <row r="82" spans="1:138" ht="15.75" hidden="1" customHeight="1" x14ac:dyDescent="0.25"/>
    <row r="83" spans="1:138" ht="15.75" hidden="1" customHeight="1" x14ac:dyDescent="0.25"/>
    <row r="84" spans="1:138" ht="15.75" hidden="1" customHeight="1" x14ac:dyDescent="0.25"/>
    <row r="85" spans="1:138" ht="15.75" hidden="1" customHeight="1" x14ac:dyDescent="0.25"/>
    <row r="86" spans="1:138" ht="15.75" hidden="1" customHeight="1" x14ac:dyDescent="0.25"/>
    <row r="87" spans="1:138" ht="15.75" hidden="1" customHeight="1" x14ac:dyDescent="0.25"/>
    <row r="88" spans="1:138" ht="15.75" hidden="1" customHeight="1" x14ac:dyDescent="0.25"/>
    <row r="89" spans="1:138" ht="15.75" hidden="1" customHeight="1" x14ac:dyDescent="0.25"/>
    <row r="90" spans="1:138" ht="15.75" hidden="1" customHeight="1" x14ac:dyDescent="0.25"/>
    <row r="91" spans="1:138" ht="15.75" hidden="1" customHeight="1" x14ac:dyDescent="0.25"/>
    <row r="92" spans="1:138" ht="15.75" hidden="1" customHeight="1" x14ac:dyDescent="0.25"/>
    <row r="93" spans="1:138" ht="15.75" hidden="1" customHeight="1" x14ac:dyDescent="0.25"/>
    <row r="94" spans="1:138" ht="15.75" hidden="1" customHeight="1" x14ac:dyDescent="0.25"/>
    <row r="95" spans="1:138" ht="15.75" hidden="1" customHeight="1" x14ac:dyDescent="0.25"/>
    <row r="96" spans="1:138" ht="15.75" hidden="1" customHeight="1" x14ac:dyDescent="0.25"/>
    <row r="97" spans="122:122" ht="15.75" hidden="1" customHeight="1" x14ac:dyDescent="0.25"/>
    <row r="98" spans="122:122" ht="15.75" hidden="1" customHeight="1" x14ac:dyDescent="0.25"/>
    <row r="99" spans="122:122" ht="15.75" hidden="1" customHeight="1" x14ac:dyDescent="0.25"/>
    <row r="100" spans="122:122" ht="15.75" hidden="1" customHeight="1" x14ac:dyDescent="0.25"/>
    <row r="101" spans="122:122" ht="15.75" hidden="1" customHeight="1" x14ac:dyDescent="0.25"/>
    <row r="102" spans="122:122" ht="15.75" hidden="1" customHeight="1" x14ac:dyDescent="0.25"/>
    <row r="103" spans="122:122" ht="15.75" hidden="1" customHeight="1" x14ac:dyDescent="0.25"/>
    <row r="104" spans="122:122" ht="15.75" hidden="1" customHeight="1" x14ac:dyDescent="0.25"/>
    <row r="105" spans="122:122" ht="15.75" hidden="1" customHeight="1" x14ac:dyDescent="0.25"/>
    <row r="106" spans="122:122" ht="15.75" hidden="1" customHeight="1" x14ac:dyDescent="0.25"/>
    <row r="107" spans="122:122" ht="15.75" hidden="1" customHeight="1" x14ac:dyDescent="0.25"/>
    <row r="108" spans="122:122" ht="15.75" hidden="1" customHeight="1" x14ac:dyDescent="0.25"/>
    <row r="109" spans="122:122" ht="15.75" hidden="1" customHeight="1" x14ac:dyDescent="0.25"/>
    <row r="110" spans="122:122" ht="15.75" customHeight="1" x14ac:dyDescent="0.25"/>
    <row r="111" spans="122:122" ht="15.75" customHeight="1" x14ac:dyDescent="0.25"/>
    <row r="112" spans="122:122" ht="15.75" customHeight="1" x14ac:dyDescent="0.25">
      <c r="DR112" s="216">
        <v>16431725</v>
      </c>
    </row>
    <row r="113" spans="122:123" ht="15.75" customHeight="1" x14ac:dyDescent="0.25">
      <c r="DS113" s="216">
        <f>DR112-DR114</f>
        <v>-7458994</v>
      </c>
    </row>
    <row r="114" spans="122:123" ht="15.75" customHeight="1" x14ac:dyDescent="0.25">
      <c r="DR114" s="216">
        <v>23890719</v>
      </c>
    </row>
    <row r="115" spans="122:123" ht="15.75" customHeight="1" x14ac:dyDescent="0.25">
      <c r="DS115" s="214">
        <f>DR114-DR116</f>
        <v>-12747947</v>
      </c>
    </row>
    <row r="116" spans="122:123" ht="15.75" customHeight="1" x14ac:dyDescent="0.25">
      <c r="DR116" s="214">
        <v>36638666</v>
      </c>
    </row>
    <row r="117" spans="122:123" ht="15.75" customHeight="1" x14ac:dyDescent="0.25"/>
    <row r="118" spans="122:123" ht="15.75" customHeight="1" x14ac:dyDescent="0.25"/>
    <row r="119" spans="122:123" ht="15.75" customHeight="1" x14ac:dyDescent="0.25"/>
    <row r="120" spans="122:123" ht="15.75" customHeight="1" x14ac:dyDescent="0.25"/>
    <row r="121" spans="122:123" ht="15.75" customHeight="1" x14ac:dyDescent="0.25"/>
    <row r="122" spans="122:123" ht="15.75" customHeight="1" x14ac:dyDescent="0.25"/>
    <row r="123" spans="122:123" ht="15.75" customHeight="1" x14ac:dyDescent="0.25"/>
    <row r="124" spans="122:123" ht="15.75" customHeight="1" x14ac:dyDescent="0.25"/>
    <row r="125" spans="122:123" ht="15.75" customHeight="1" x14ac:dyDescent="0.25"/>
    <row r="126" spans="122:123" ht="15.75" customHeight="1" x14ac:dyDescent="0.25"/>
    <row r="127" spans="122:123" ht="15.75" customHeight="1" x14ac:dyDescent="0.25"/>
    <row r="128" spans="122:123"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sheetData>
  <mergeCells count="11">
    <mergeCell ref="A5:EI5"/>
    <mergeCell ref="A52:A59"/>
    <mergeCell ref="A60:A63"/>
    <mergeCell ref="A14:B14"/>
    <mergeCell ref="A15:B15"/>
    <mergeCell ref="A16:B16"/>
    <mergeCell ref="A17:B17"/>
    <mergeCell ref="A18:B18"/>
    <mergeCell ref="A19:B19"/>
    <mergeCell ref="A20:B20"/>
    <mergeCell ref="A21:B21"/>
  </mergeCells>
  <phoneticPr fontId="16" type="noConversion"/>
  <printOptions horizontalCentered="1"/>
  <pageMargins left="0.31496062992126" right="0.31496062992126" top="0.35433070866141703" bottom="0.35433070866141703" header="0" footer="0"/>
  <pageSetup scale="54"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8"/>
  <sheetViews>
    <sheetView workbookViewId="0"/>
  </sheetViews>
  <sheetFormatPr baseColWidth="10" defaultRowHeight="15" x14ac:dyDescent="0.25"/>
  <cols>
    <col min="1" max="1" width="24.5703125" customWidth="1"/>
  </cols>
  <sheetData>
    <row r="1" spans="1:26" x14ac:dyDescent="0.25">
      <c r="A1" s="61" t="s">
        <v>4</v>
      </c>
      <c r="B1" s="62" t="s">
        <v>119</v>
      </c>
      <c r="C1" s="62" t="s">
        <v>120</v>
      </c>
      <c r="D1" s="62" t="s">
        <v>121</v>
      </c>
      <c r="E1" s="62" t="s">
        <v>122</v>
      </c>
      <c r="F1" s="62" t="s">
        <v>123</v>
      </c>
      <c r="G1" s="62" t="s">
        <v>124</v>
      </c>
      <c r="H1" s="62" t="s">
        <v>125</v>
      </c>
      <c r="I1" s="62" t="s">
        <v>126</v>
      </c>
      <c r="J1" s="62" t="s">
        <v>127</v>
      </c>
      <c r="K1" s="62" t="s">
        <v>128</v>
      </c>
      <c r="L1" s="62" t="s">
        <v>129</v>
      </c>
      <c r="M1" s="62" t="s">
        <v>130</v>
      </c>
      <c r="N1" s="62" t="s">
        <v>137</v>
      </c>
      <c r="O1" s="62" t="s">
        <v>138</v>
      </c>
      <c r="P1" s="62" t="s">
        <v>139</v>
      </c>
      <c r="Q1" s="62" t="s">
        <v>140</v>
      </c>
      <c r="R1" s="62" t="s">
        <v>141</v>
      </c>
      <c r="S1" s="62" t="s">
        <v>142</v>
      </c>
      <c r="T1" s="62" t="s">
        <v>143</v>
      </c>
      <c r="U1" s="62" t="s">
        <v>144</v>
      </c>
      <c r="V1" s="62" t="s">
        <v>145</v>
      </c>
      <c r="W1" s="62" t="s">
        <v>146</v>
      </c>
      <c r="X1" s="62" t="s">
        <v>147</v>
      </c>
      <c r="Y1" s="62" t="s">
        <v>148</v>
      </c>
      <c r="Z1" s="62" t="s">
        <v>5</v>
      </c>
    </row>
    <row r="2" spans="1:26" x14ac:dyDescent="0.25">
      <c r="A2" s="67" t="s">
        <v>131</v>
      </c>
      <c r="B2" s="34">
        <v>3</v>
      </c>
      <c r="C2" s="34">
        <v>5</v>
      </c>
      <c r="D2" s="34">
        <v>0</v>
      </c>
      <c r="E2" s="34">
        <v>8</v>
      </c>
      <c r="F2" s="34">
        <v>2</v>
      </c>
      <c r="G2" s="34">
        <v>2</v>
      </c>
      <c r="H2" s="34">
        <v>2</v>
      </c>
      <c r="I2" s="42">
        <v>2</v>
      </c>
      <c r="J2" s="34">
        <v>2</v>
      </c>
      <c r="K2" s="34">
        <v>2</v>
      </c>
      <c r="L2" s="55">
        <v>5</v>
      </c>
      <c r="M2" s="56">
        <v>1</v>
      </c>
      <c r="N2" s="56">
        <v>4</v>
      </c>
      <c r="O2" s="56">
        <v>5</v>
      </c>
      <c r="P2" s="56">
        <v>4</v>
      </c>
      <c r="Q2" s="56">
        <v>6</v>
      </c>
      <c r="R2" s="56">
        <v>5</v>
      </c>
      <c r="S2" s="56">
        <v>7</v>
      </c>
      <c r="T2" s="56">
        <v>5</v>
      </c>
      <c r="U2" s="56">
        <v>5</v>
      </c>
      <c r="V2" s="56">
        <v>6</v>
      </c>
      <c r="W2" s="56"/>
      <c r="X2" s="56"/>
      <c r="Y2" s="56"/>
      <c r="Z2" s="72">
        <f>SUM(B2:Y2)</f>
        <v>81</v>
      </c>
    </row>
    <row r="3" spans="1:26" ht="30" x14ac:dyDescent="0.25">
      <c r="A3" s="67" t="s">
        <v>132</v>
      </c>
      <c r="B3" s="63">
        <v>3</v>
      </c>
      <c r="C3" s="63">
        <v>6</v>
      </c>
      <c r="D3" s="63">
        <v>0</v>
      </c>
      <c r="E3" s="63">
        <v>8</v>
      </c>
      <c r="F3" s="63"/>
      <c r="G3" s="65">
        <v>5</v>
      </c>
      <c r="H3" s="63"/>
      <c r="I3" s="65">
        <v>3</v>
      </c>
      <c r="J3" s="63">
        <v>1</v>
      </c>
      <c r="K3" s="63">
        <v>2</v>
      </c>
      <c r="L3" s="63"/>
      <c r="M3" s="66">
        <v>7</v>
      </c>
      <c r="N3" s="71">
        <v>4</v>
      </c>
      <c r="O3" s="71">
        <v>1</v>
      </c>
      <c r="P3" s="71">
        <v>6</v>
      </c>
      <c r="Q3" s="71">
        <v>0</v>
      </c>
      <c r="R3" s="71">
        <v>0</v>
      </c>
      <c r="S3" s="71">
        <v>8</v>
      </c>
      <c r="T3" s="71">
        <v>2</v>
      </c>
      <c r="U3" s="71">
        <v>0</v>
      </c>
      <c r="V3" s="71">
        <v>5</v>
      </c>
      <c r="W3" s="71"/>
      <c r="X3" s="71"/>
      <c r="Y3" s="71"/>
      <c r="Z3" s="72">
        <f t="shared" ref="Z3:Z8" si="0">SUM(B3:Y3)</f>
        <v>61</v>
      </c>
    </row>
    <row r="4" spans="1:26" x14ac:dyDescent="0.25">
      <c r="A4" s="67" t="s">
        <v>133</v>
      </c>
      <c r="B4" s="63">
        <v>2</v>
      </c>
      <c r="C4" s="63">
        <v>2</v>
      </c>
      <c r="D4" s="63">
        <v>0</v>
      </c>
      <c r="E4" s="63">
        <v>7</v>
      </c>
      <c r="F4" s="63"/>
      <c r="G4" s="63">
        <v>2</v>
      </c>
      <c r="H4" s="63"/>
      <c r="I4" s="63">
        <v>3</v>
      </c>
      <c r="J4" s="63">
        <v>1</v>
      </c>
      <c r="K4" s="63">
        <v>1</v>
      </c>
      <c r="L4" s="63"/>
      <c r="M4" s="64">
        <v>2</v>
      </c>
      <c r="N4" s="71">
        <v>4</v>
      </c>
      <c r="O4" s="71">
        <v>0</v>
      </c>
      <c r="P4" s="71">
        <v>6</v>
      </c>
      <c r="Q4" s="71">
        <v>0</v>
      </c>
      <c r="R4" s="71">
        <v>0</v>
      </c>
      <c r="S4" s="71">
        <v>7</v>
      </c>
      <c r="T4" s="71">
        <v>1</v>
      </c>
      <c r="U4" s="71">
        <v>0</v>
      </c>
      <c r="V4" s="71">
        <v>3</v>
      </c>
      <c r="W4" s="71"/>
      <c r="X4" s="71"/>
      <c r="Y4" s="71"/>
      <c r="Z4" s="72">
        <f t="shared" si="0"/>
        <v>41</v>
      </c>
    </row>
    <row r="5" spans="1:26" x14ac:dyDescent="0.25">
      <c r="A5" s="67" t="s">
        <v>134</v>
      </c>
      <c r="B5" s="63">
        <v>1</v>
      </c>
      <c r="C5" s="63">
        <v>4</v>
      </c>
      <c r="D5" s="63">
        <v>0</v>
      </c>
      <c r="E5" s="63">
        <v>1</v>
      </c>
      <c r="F5" s="63"/>
      <c r="G5" s="63">
        <v>3</v>
      </c>
      <c r="H5" s="63"/>
      <c r="I5" s="63">
        <v>0</v>
      </c>
      <c r="J5" s="63">
        <v>0</v>
      </c>
      <c r="K5" s="63">
        <v>1</v>
      </c>
      <c r="L5" s="63"/>
      <c r="M5" s="64">
        <v>5</v>
      </c>
      <c r="N5" s="71">
        <v>0</v>
      </c>
      <c r="O5" s="71">
        <v>1</v>
      </c>
      <c r="P5" s="71">
        <v>0</v>
      </c>
      <c r="Q5" s="71">
        <v>0</v>
      </c>
      <c r="R5" s="71">
        <v>0</v>
      </c>
      <c r="S5" s="71">
        <v>1</v>
      </c>
      <c r="T5" s="71">
        <v>1</v>
      </c>
      <c r="U5" s="71">
        <v>0</v>
      </c>
      <c r="V5" s="71">
        <v>2</v>
      </c>
      <c r="W5" s="71"/>
      <c r="X5" s="71"/>
      <c r="Y5" s="71"/>
      <c r="Z5" s="72">
        <f t="shared" si="0"/>
        <v>20</v>
      </c>
    </row>
    <row r="6" spans="1:26" x14ac:dyDescent="0.25">
      <c r="A6" s="67" t="s">
        <v>135</v>
      </c>
      <c r="B6" s="63">
        <v>5</v>
      </c>
      <c r="C6" s="63">
        <v>13</v>
      </c>
      <c r="D6" s="63">
        <v>7</v>
      </c>
      <c r="E6" s="63">
        <v>3</v>
      </c>
      <c r="F6" s="63">
        <v>6</v>
      </c>
      <c r="G6" s="63">
        <v>12</v>
      </c>
      <c r="H6" s="63">
        <v>15</v>
      </c>
      <c r="I6" s="63">
        <v>10</v>
      </c>
      <c r="J6" s="63">
        <v>5</v>
      </c>
      <c r="K6" s="63">
        <v>9</v>
      </c>
      <c r="L6" s="63">
        <v>6</v>
      </c>
      <c r="M6" s="64">
        <v>3</v>
      </c>
      <c r="N6" s="71">
        <v>12</v>
      </c>
      <c r="O6" s="71">
        <v>8</v>
      </c>
      <c r="P6" s="71">
        <v>1</v>
      </c>
      <c r="Q6" s="71">
        <v>5</v>
      </c>
      <c r="R6" s="71">
        <v>7</v>
      </c>
      <c r="S6" s="71">
        <v>4</v>
      </c>
      <c r="T6" s="71">
        <v>10</v>
      </c>
      <c r="U6" s="71">
        <v>9</v>
      </c>
      <c r="V6" s="71">
        <v>9</v>
      </c>
      <c r="W6" s="71"/>
      <c r="X6" s="71"/>
      <c r="Y6" s="71"/>
      <c r="Z6" s="72">
        <f t="shared" si="0"/>
        <v>159</v>
      </c>
    </row>
    <row r="7" spans="1:26" x14ac:dyDescent="0.25">
      <c r="A7" s="67" t="s">
        <v>133</v>
      </c>
      <c r="B7" s="63"/>
      <c r="C7" s="63">
        <v>11</v>
      </c>
      <c r="D7" s="63"/>
      <c r="E7" s="63">
        <v>6</v>
      </c>
      <c r="F7" s="63"/>
      <c r="G7" s="63">
        <v>12</v>
      </c>
      <c r="H7" s="63"/>
      <c r="I7" s="63">
        <v>16</v>
      </c>
      <c r="J7" s="63"/>
      <c r="K7" s="63">
        <v>8</v>
      </c>
      <c r="L7" s="63"/>
      <c r="M7" s="64">
        <v>7</v>
      </c>
      <c r="N7" s="71">
        <v>2</v>
      </c>
      <c r="O7" s="71">
        <v>6</v>
      </c>
      <c r="P7" s="71">
        <v>1</v>
      </c>
      <c r="Q7" s="71">
        <v>0</v>
      </c>
      <c r="R7" s="71">
        <v>1</v>
      </c>
      <c r="S7" s="71">
        <v>0</v>
      </c>
      <c r="T7" s="71">
        <v>3</v>
      </c>
      <c r="U7" s="71">
        <v>2</v>
      </c>
      <c r="V7" s="71">
        <v>1</v>
      </c>
      <c r="W7" s="71"/>
      <c r="X7" s="71"/>
      <c r="Y7" s="71"/>
      <c r="Z7" s="72">
        <f t="shared" si="0"/>
        <v>76</v>
      </c>
    </row>
    <row r="8" spans="1:26" x14ac:dyDescent="0.25">
      <c r="A8" s="67" t="s">
        <v>134</v>
      </c>
      <c r="B8" s="63"/>
      <c r="C8" s="63">
        <v>7</v>
      </c>
      <c r="D8" s="63"/>
      <c r="E8" s="63">
        <v>4</v>
      </c>
      <c r="F8" s="63"/>
      <c r="G8" s="63">
        <v>6</v>
      </c>
      <c r="H8" s="63"/>
      <c r="I8" s="63">
        <v>9</v>
      </c>
      <c r="J8" s="63"/>
      <c r="K8" s="63">
        <v>6</v>
      </c>
      <c r="L8" s="63"/>
      <c r="M8" s="64">
        <v>2</v>
      </c>
      <c r="N8" s="71">
        <v>1</v>
      </c>
      <c r="O8" s="71">
        <v>1</v>
      </c>
      <c r="P8" s="71">
        <v>0</v>
      </c>
      <c r="Q8" s="71">
        <v>1</v>
      </c>
      <c r="R8" s="71">
        <v>2</v>
      </c>
      <c r="S8" s="71">
        <v>0</v>
      </c>
      <c r="T8" s="71">
        <v>0</v>
      </c>
      <c r="U8" s="71">
        <v>1</v>
      </c>
      <c r="V8" s="71">
        <v>1</v>
      </c>
      <c r="W8" s="71"/>
      <c r="X8" s="71"/>
      <c r="Y8" s="71"/>
      <c r="Z8" s="72">
        <f t="shared" si="0"/>
        <v>41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38:AH51"/>
  <sheetViews>
    <sheetView workbookViewId="0"/>
  </sheetViews>
  <sheetFormatPr baseColWidth="10" defaultRowHeight="15" x14ac:dyDescent="0.25"/>
  <cols>
    <col min="3" max="3" width="14.28515625" customWidth="1"/>
    <col min="24" max="25" width="11.42578125" customWidth="1"/>
    <col min="26" max="33" width="11.42578125" hidden="1" customWidth="1"/>
    <col min="34" max="34" width="9.5703125" customWidth="1"/>
  </cols>
  <sheetData>
    <row r="38" spans="3:34" ht="15.75" thickBot="1" x14ac:dyDescent="0.3">
      <c r="C38" s="7" t="s">
        <v>262</v>
      </c>
      <c r="D38" s="7">
        <v>45580</v>
      </c>
      <c r="E38" s="7">
        <v>45595</v>
      </c>
      <c r="F38" s="7">
        <v>45611</v>
      </c>
      <c r="G38" s="7">
        <v>45626</v>
      </c>
      <c r="H38" s="7">
        <v>45641</v>
      </c>
      <c r="I38" s="7">
        <v>45656</v>
      </c>
      <c r="J38" s="7">
        <v>45658</v>
      </c>
      <c r="K38" s="7">
        <v>45658</v>
      </c>
      <c r="L38" s="7">
        <v>45689</v>
      </c>
      <c r="M38" s="7">
        <v>45689</v>
      </c>
      <c r="N38" s="7">
        <v>45717</v>
      </c>
      <c r="O38" s="7">
        <v>45717</v>
      </c>
      <c r="P38" s="7">
        <v>38443</v>
      </c>
      <c r="Q38" s="7">
        <v>45748</v>
      </c>
      <c r="R38" s="7">
        <v>45778</v>
      </c>
      <c r="S38" s="7">
        <v>45778</v>
      </c>
      <c r="T38" s="7">
        <v>45809</v>
      </c>
      <c r="U38" s="7">
        <v>45809</v>
      </c>
      <c r="V38" s="7">
        <v>45839</v>
      </c>
      <c r="W38" s="7">
        <v>45839</v>
      </c>
      <c r="X38" s="7">
        <v>45870</v>
      </c>
      <c r="Y38" s="7">
        <v>45870</v>
      </c>
      <c r="Z38" s="7">
        <v>45901</v>
      </c>
      <c r="AA38" s="7">
        <v>45901</v>
      </c>
      <c r="AB38" s="7">
        <v>45931</v>
      </c>
      <c r="AC38" s="7">
        <v>45931</v>
      </c>
      <c r="AD38" s="7">
        <v>45962</v>
      </c>
      <c r="AE38" s="7">
        <v>45962</v>
      </c>
      <c r="AF38" s="7">
        <v>45992</v>
      </c>
      <c r="AG38" s="7">
        <v>45992</v>
      </c>
      <c r="AH38" s="7" t="s">
        <v>254</v>
      </c>
    </row>
    <row r="39" spans="3:34" ht="17.25" thickBot="1" x14ac:dyDescent="0.35">
      <c r="C39" s="129" t="s">
        <v>12</v>
      </c>
      <c r="D39" s="12">
        <v>384</v>
      </c>
      <c r="E39" s="12">
        <v>482</v>
      </c>
      <c r="F39" s="12">
        <v>704</v>
      </c>
      <c r="G39" s="12">
        <v>619</v>
      </c>
      <c r="H39" s="12">
        <v>421</v>
      </c>
      <c r="I39" s="12">
        <v>374</v>
      </c>
      <c r="J39" s="12">
        <v>475</v>
      </c>
      <c r="K39" s="12">
        <v>602</v>
      </c>
      <c r="L39" s="12">
        <v>546</v>
      </c>
      <c r="M39" s="12">
        <v>389</v>
      </c>
      <c r="N39" s="12">
        <v>251</v>
      </c>
      <c r="O39" s="12">
        <v>407</v>
      </c>
      <c r="P39" s="12">
        <v>793</v>
      </c>
      <c r="Q39" s="12">
        <v>386</v>
      </c>
      <c r="R39" s="12">
        <v>666</v>
      </c>
      <c r="S39" s="12">
        <v>461</v>
      </c>
      <c r="T39" s="12">
        <v>902</v>
      </c>
      <c r="U39" s="12">
        <v>591</v>
      </c>
      <c r="V39" s="12">
        <v>980</v>
      </c>
      <c r="W39" s="12">
        <v>348</v>
      </c>
      <c r="X39" s="27"/>
      <c r="Y39" s="27"/>
      <c r="Z39" s="27"/>
      <c r="AA39" s="27"/>
      <c r="AB39" s="27"/>
      <c r="AC39" s="27"/>
      <c r="AD39" s="27"/>
      <c r="AE39" s="27"/>
      <c r="AF39" s="27"/>
      <c r="AG39" s="27"/>
      <c r="AH39" s="127">
        <f>SUM(D39:AG39)</f>
        <v>10781</v>
      </c>
    </row>
    <row r="40" spans="3:34" ht="17.25" thickBot="1" x14ac:dyDescent="0.35">
      <c r="C40" s="128" t="s">
        <v>14</v>
      </c>
      <c r="D40" s="12">
        <v>340</v>
      </c>
      <c r="E40" s="12">
        <v>444</v>
      </c>
      <c r="F40" s="12">
        <v>655</v>
      </c>
      <c r="G40" s="12">
        <v>624</v>
      </c>
      <c r="H40" s="12">
        <v>375</v>
      </c>
      <c r="I40" s="12">
        <v>345</v>
      </c>
      <c r="J40" s="12">
        <v>506</v>
      </c>
      <c r="K40" s="12">
        <v>515</v>
      </c>
      <c r="L40" s="12">
        <v>720</v>
      </c>
      <c r="M40" s="12">
        <v>346</v>
      </c>
      <c r="N40" s="12">
        <v>198</v>
      </c>
      <c r="O40" s="12">
        <v>340</v>
      </c>
      <c r="P40" s="12">
        <v>573</v>
      </c>
      <c r="Q40" s="12">
        <v>316</v>
      </c>
      <c r="R40" s="12">
        <v>505</v>
      </c>
      <c r="S40" s="12">
        <v>395</v>
      </c>
      <c r="T40" s="12">
        <v>781</v>
      </c>
      <c r="U40" s="12">
        <v>406</v>
      </c>
      <c r="V40" s="12">
        <v>861</v>
      </c>
      <c r="W40" s="12">
        <v>542</v>
      </c>
      <c r="X40" s="27"/>
      <c r="Y40" s="27"/>
      <c r="Z40" s="27"/>
      <c r="AA40" s="27"/>
      <c r="AB40" s="27"/>
      <c r="AC40" s="27"/>
      <c r="AD40" s="27"/>
      <c r="AE40" s="27"/>
      <c r="AF40" s="27"/>
      <c r="AG40" s="27"/>
      <c r="AH40" s="127">
        <f t="shared" ref="AH40:AH48" si="0">SUM(D40:AG40)</f>
        <v>9787</v>
      </c>
    </row>
    <row r="41" spans="3:34" ht="66.75" thickBot="1" x14ac:dyDescent="0.35">
      <c r="C41" s="128" t="s">
        <v>255</v>
      </c>
      <c r="D41" s="12">
        <v>590</v>
      </c>
      <c r="E41" s="12">
        <v>682</v>
      </c>
      <c r="F41" s="12">
        <v>1087</v>
      </c>
      <c r="G41" s="12">
        <v>876</v>
      </c>
      <c r="H41" s="12">
        <v>634</v>
      </c>
      <c r="I41" s="12">
        <v>533</v>
      </c>
      <c r="J41" s="12">
        <v>705</v>
      </c>
      <c r="K41" s="12">
        <v>340</v>
      </c>
      <c r="L41" s="12">
        <v>234</v>
      </c>
      <c r="M41" s="12">
        <v>227</v>
      </c>
      <c r="N41" s="12">
        <v>68</v>
      </c>
      <c r="O41" s="12">
        <v>138</v>
      </c>
      <c r="P41" s="12">
        <v>241</v>
      </c>
      <c r="Q41" s="12">
        <v>127</v>
      </c>
      <c r="R41" s="12">
        <v>241</v>
      </c>
      <c r="S41" s="12">
        <v>159</v>
      </c>
      <c r="T41" s="12">
        <v>336</v>
      </c>
      <c r="U41" s="12">
        <v>202</v>
      </c>
      <c r="V41" s="12">
        <v>381</v>
      </c>
      <c r="W41" s="12">
        <v>174</v>
      </c>
      <c r="X41" s="27"/>
      <c r="Y41" s="27"/>
      <c r="Z41" s="27"/>
      <c r="AA41" s="27"/>
      <c r="AB41" s="27"/>
      <c r="AC41" s="27"/>
      <c r="AD41" s="27"/>
      <c r="AE41" s="27"/>
      <c r="AF41" s="27"/>
      <c r="AG41" s="27"/>
      <c r="AH41" s="127">
        <f t="shared" si="0"/>
        <v>7975</v>
      </c>
    </row>
    <row r="42" spans="3:34" ht="33.75" thickBot="1" x14ac:dyDescent="0.35">
      <c r="C42" s="128" t="s">
        <v>256</v>
      </c>
      <c r="D42" s="12">
        <v>152</v>
      </c>
      <c r="E42" s="12">
        <v>176</v>
      </c>
      <c r="F42" s="12">
        <v>244</v>
      </c>
      <c r="G42" s="12">
        <v>184</v>
      </c>
      <c r="H42" s="12">
        <v>187</v>
      </c>
      <c r="I42" s="12">
        <v>140</v>
      </c>
      <c r="J42" s="12">
        <v>217</v>
      </c>
      <c r="K42" s="12">
        <v>225</v>
      </c>
      <c r="L42" s="12">
        <v>221</v>
      </c>
      <c r="M42" s="12">
        <v>155</v>
      </c>
      <c r="N42" s="12">
        <v>122</v>
      </c>
      <c r="O42" s="12">
        <v>211</v>
      </c>
      <c r="P42" s="12">
        <v>416</v>
      </c>
      <c r="Q42" s="12">
        <v>199</v>
      </c>
      <c r="R42" s="12">
        <v>305</v>
      </c>
      <c r="S42" s="12">
        <v>231</v>
      </c>
      <c r="T42" s="12">
        <v>354</v>
      </c>
      <c r="U42" s="12">
        <v>241</v>
      </c>
      <c r="V42" s="12">
        <v>360</v>
      </c>
      <c r="W42" s="12">
        <v>190</v>
      </c>
      <c r="X42" s="27"/>
      <c r="Y42" s="27"/>
      <c r="Z42" s="27"/>
      <c r="AA42" s="27"/>
      <c r="AB42" s="27"/>
      <c r="AC42" s="27"/>
      <c r="AD42" s="27"/>
      <c r="AE42" s="27"/>
      <c r="AF42" s="27"/>
      <c r="AG42" s="27"/>
      <c r="AH42" s="127">
        <f t="shared" si="0"/>
        <v>4530</v>
      </c>
    </row>
    <row r="43" spans="3:34" ht="50.25" thickBot="1" x14ac:dyDescent="0.35">
      <c r="C43" s="128" t="s">
        <v>257</v>
      </c>
      <c r="D43" s="12">
        <v>26</v>
      </c>
      <c r="E43" s="12">
        <v>51</v>
      </c>
      <c r="F43" s="12">
        <v>72</v>
      </c>
      <c r="G43" s="12">
        <v>55</v>
      </c>
      <c r="H43" s="12">
        <v>36</v>
      </c>
      <c r="I43" s="12">
        <v>26</v>
      </c>
      <c r="J43" s="12">
        <v>47</v>
      </c>
      <c r="K43" s="12">
        <v>477</v>
      </c>
      <c r="L43" s="12">
        <v>415</v>
      </c>
      <c r="M43" s="12">
        <v>221</v>
      </c>
      <c r="N43" s="12">
        <v>149</v>
      </c>
      <c r="O43" s="12">
        <v>220</v>
      </c>
      <c r="P43" s="12">
        <v>438</v>
      </c>
      <c r="Q43" s="12">
        <v>202</v>
      </c>
      <c r="R43" s="12">
        <v>321</v>
      </c>
      <c r="S43" s="12">
        <v>281</v>
      </c>
      <c r="T43" s="12">
        <v>542</v>
      </c>
      <c r="U43" s="12">
        <v>306</v>
      </c>
      <c r="V43" s="12">
        <v>361</v>
      </c>
      <c r="W43" s="12">
        <v>138</v>
      </c>
      <c r="X43" s="27"/>
      <c r="Y43" s="27"/>
      <c r="Z43" s="27"/>
      <c r="AA43" s="27"/>
      <c r="AB43" s="27"/>
      <c r="AC43" s="27"/>
      <c r="AD43" s="27"/>
      <c r="AE43" s="27"/>
      <c r="AF43" s="27"/>
      <c r="AG43" s="27"/>
      <c r="AH43" s="127">
        <f t="shared" si="0"/>
        <v>4384</v>
      </c>
    </row>
    <row r="44" spans="3:34" ht="17.25" thickBot="1" x14ac:dyDescent="0.35">
      <c r="C44" s="128" t="s">
        <v>258</v>
      </c>
      <c r="D44" s="12">
        <v>102</v>
      </c>
      <c r="E44" s="12">
        <v>134</v>
      </c>
      <c r="F44" s="12">
        <v>176</v>
      </c>
      <c r="G44" s="12">
        <v>155</v>
      </c>
      <c r="H44" s="12">
        <v>124</v>
      </c>
      <c r="I44" s="12">
        <v>105</v>
      </c>
      <c r="J44" s="12">
        <v>138</v>
      </c>
      <c r="K44" s="12">
        <v>178</v>
      </c>
      <c r="L44" s="12">
        <v>173</v>
      </c>
      <c r="M44" s="12">
        <v>126</v>
      </c>
      <c r="N44" s="12">
        <v>67</v>
      </c>
      <c r="O44" s="12">
        <v>125</v>
      </c>
      <c r="P44" s="12">
        <v>288</v>
      </c>
      <c r="Q44" s="12">
        <v>171</v>
      </c>
      <c r="R44" s="12">
        <v>241</v>
      </c>
      <c r="S44" s="12">
        <v>174</v>
      </c>
      <c r="T44" s="12">
        <v>327</v>
      </c>
      <c r="U44" s="12">
        <v>199</v>
      </c>
      <c r="V44" s="12">
        <v>380</v>
      </c>
      <c r="W44" s="12">
        <v>180</v>
      </c>
      <c r="X44" s="27"/>
      <c r="Y44" s="27"/>
      <c r="Z44" s="27"/>
      <c r="AA44" s="27"/>
      <c r="AB44" s="27"/>
      <c r="AC44" s="27"/>
      <c r="AD44" s="27"/>
      <c r="AE44" s="27"/>
      <c r="AF44" s="27"/>
      <c r="AG44" s="27"/>
      <c r="AH44" s="127">
        <f t="shared" si="0"/>
        <v>3563</v>
      </c>
    </row>
    <row r="45" spans="3:34" ht="17.25" thickBot="1" x14ac:dyDescent="0.35">
      <c r="C45" s="128" t="s">
        <v>114</v>
      </c>
      <c r="D45" s="12">
        <v>82</v>
      </c>
      <c r="E45" s="12">
        <v>115</v>
      </c>
      <c r="F45" s="12">
        <v>233</v>
      </c>
      <c r="G45" s="12">
        <v>197</v>
      </c>
      <c r="H45" s="12">
        <v>121</v>
      </c>
      <c r="I45" s="12">
        <v>86</v>
      </c>
      <c r="J45" s="12">
        <v>201</v>
      </c>
      <c r="K45" s="12">
        <v>201</v>
      </c>
      <c r="L45" s="12">
        <v>175</v>
      </c>
      <c r="M45" s="12">
        <v>138</v>
      </c>
      <c r="N45" s="12">
        <v>63</v>
      </c>
      <c r="O45" s="12">
        <v>112</v>
      </c>
      <c r="P45" s="12">
        <v>233</v>
      </c>
      <c r="Q45" s="12">
        <v>131</v>
      </c>
      <c r="R45" s="12">
        <v>226</v>
      </c>
      <c r="S45" s="12">
        <v>175</v>
      </c>
      <c r="T45" s="12">
        <v>305</v>
      </c>
      <c r="U45" s="12">
        <v>151</v>
      </c>
      <c r="V45" s="12">
        <v>269</v>
      </c>
      <c r="W45" s="12">
        <v>164</v>
      </c>
      <c r="X45" s="27"/>
      <c r="Y45" s="27"/>
      <c r="Z45" s="27"/>
      <c r="AA45" s="27"/>
      <c r="AB45" s="27"/>
      <c r="AC45" s="27"/>
      <c r="AD45" s="27"/>
      <c r="AE45" s="27"/>
      <c r="AF45" s="27"/>
      <c r="AG45" s="27"/>
      <c r="AH45" s="127">
        <f t="shared" si="0"/>
        <v>3378</v>
      </c>
    </row>
    <row r="46" spans="3:34" ht="50.25" thickBot="1" x14ac:dyDescent="0.35">
      <c r="C46" s="128" t="s">
        <v>259</v>
      </c>
      <c r="D46" s="12">
        <v>56</v>
      </c>
      <c r="E46" s="12">
        <v>64</v>
      </c>
      <c r="F46" s="12">
        <v>87</v>
      </c>
      <c r="G46" s="12">
        <v>84</v>
      </c>
      <c r="H46" s="12">
        <v>45</v>
      </c>
      <c r="I46" s="12">
        <v>38</v>
      </c>
      <c r="J46" s="12">
        <v>48</v>
      </c>
      <c r="K46" s="12">
        <v>68</v>
      </c>
      <c r="L46" s="12">
        <v>71</v>
      </c>
      <c r="M46" s="12">
        <v>37</v>
      </c>
      <c r="N46" s="12">
        <v>35</v>
      </c>
      <c r="O46" s="12">
        <v>51</v>
      </c>
      <c r="P46" s="12">
        <v>116</v>
      </c>
      <c r="Q46" s="12">
        <v>65</v>
      </c>
      <c r="R46" s="12">
        <v>65</v>
      </c>
      <c r="S46" s="12">
        <v>48</v>
      </c>
      <c r="T46" s="12">
        <v>112</v>
      </c>
      <c r="U46" s="12">
        <v>102</v>
      </c>
      <c r="V46" s="12">
        <v>147</v>
      </c>
      <c r="W46" s="12">
        <v>76</v>
      </c>
      <c r="X46" s="27"/>
      <c r="Y46" s="27"/>
      <c r="Z46" s="27"/>
      <c r="AA46" s="27"/>
      <c r="AB46" s="27"/>
      <c r="AC46" s="27"/>
      <c r="AD46" s="27"/>
      <c r="AE46" s="27"/>
      <c r="AF46" s="27"/>
      <c r="AG46" s="27"/>
      <c r="AH46" s="127">
        <f t="shared" si="0"/>
        <v>1415</v>
      </c>
    </row>
    <row r="47" spans="3:34" ht="33.75" thickBot="1" x14ac:dyDescent="0.35">
      <c r="C47" s="128" t="s">
        <v>227</v>
      </c>
      <c r="D47" s="12">
        <v>37</v>
      </c>
      <c r="E47" s="12">
        <v>56</v>
      </c>
      <c r="F47" s="12">
        <v>89</v>
      </c>
      <c r="G47" s="12">
        <v>51</v>
      </c>
      <c r="H47" s="12">
        <v>30</v>
      </c>
      <c r="I47" s="12">
        <v>40</v>
      </c>
      <c r="J47" s="12">
        <v>43</v>
      </c>
      <c r="K47" s="12">
        <v>58</v>
      </c>
      <c r="L47" s="12">
        <v>49</v>
      </c>
      <c r="M47" s="12">
        <v>25</v>
      </c>
      <c r="N47" s="12">
        <v>15</v>
      </c>
      <c r="O47" s="12">
        <v>24</v>
      </c>
      <c r="P47" s="12">
        <v>78</v>
      </c>
      <c r="Q47" s="12">
        <v>26</v>
      </c>
      <c r="R47" s="12">
        <v>57</v>
      </c>
      <c r="S47" s="12">
        <v>56</v>
      </c>
      <c r="T47" s="12">
        <v>71</v>
      </c>
      <c r="U47" s="12">
        <v>36</v>
      </c>
      <c r="V47" s="12">
        <v>132</v>
      </c>
      <c r="W47" s="12">
        <v>33</v>
      </c>
      <c r="X47" s="27"/>
      <c r="Y47" s="27"/>
      <c r="Z47" s="27"/>
      <c r="AA47" s="27"/>
      <c r="AB47" s="27"/>
      <c r="AC47" s="27"/>
      <c r="AD47" s="27"/>
      <c r="AE47" s="27"/>
      <c r="AF47" s="27"/>
      <c r="AG47" s="27"/>
      <c r="AH47" s="127">
        <f t="shared" si="0"/>
        <v>1006</v>
      </c>
    </row>
    <row r="48" spans="3:34" ht="66.75" thickBot="1" x14ac:dyDescent="0.35">
      <c r="C48" s="128" t="s">
        <v>260</v>
      </c>
      <c r="D48" s="12">
        <v>18</v>
      </c>
      <c r="E48" s="12">
        <v>17</v>
      </c>
      <c r="F48" s="12">
        <v>35</v>
      </c>
      <c r="G48" s="12">
        <v>42</v>
      </c>
      <c r="H48" s="12">
        <v>20</v>
      </c>
      <c r="I48" s="12">
        <v>12</v>
      </c>
      <c r="J48" s="12">
        <v>30</v>
      </c>
      <c r="K48" s="12">
        <v>65</v>
      </c>
      <c r="L48" s="12">
        <v>55</v>
      </c>
      <c r="M48" s="12">
        <v>53</v>
      </c>
      <c r="N48" s="12">
        <v>32</v>
      </c>
      <c r="O48" s="12">
        <v>28</v>
      </c>
      <c r="P48" s="12">
        <v>60</v>
      </c>
      <c r="Q48" s="12">
        <v>49</v>
      </c>
      <c r="R48" s="12">
        <v>61</v>
      </c>
      <c r="S48" s="12">
        <v>22</v>
      </c>
      <c r="T48" s="12">
        <v>40</v>
      </c>
      <c r="U48" s="12">
        <v>19</v>
      </c>
      <c r="V48" s="12">
        <v>41</v>
      </c>
      <c r="W48" s="12">
        <v>48</v>
      </c>
      <c r="X48" s="27"/>
      <c r="Y48" s="27"/>
      <c r="Z48" s="27"/>
      <c r="AA48" s="27"/>
      <c r="AB48" s="27"/>
      <c r="AC48" s="27"/>
      <c r="AD48" s="27"/>
      <c r="AE48" s="27"/>
      <c r="AF48" s="27"/>
      <c r="AG48" s="27"/>
      <c r="AH48" s="127">
        <f t="shared" si="0"/>
        <v>747</v>
      </c>
    </row>
    <row r="49" spans="3:34" ht="17.25" thickBot="1" x14ac:dyDescent="0.35">
      <c r="C49" s="128" t="s">
        <v>261</v>
      </c>
      <c r="D49" s="12">
        <v>1322</v>
      </c>
      <c r="E49" s="12"/>
      <c r="F49" s="12"/>
      <c r="G49" s="12"/>
      <c r="H49" s="12"/>
      <c r="I49" s="12"/>
      <c r="J49" s="12"/>
      <c r="K49" s="12"/>
      <c r="L49" s="12"/>
      <c r="M49" s="12"/>
      <c r="N49" s="12"/>
      <c r="O49" s="12"/>
      <c r="P49" s="12"/>
      <c r="Q49" s="12"/>
      <c r="R49" s="12"/>
      <c r="S49" s="12"/>
      <c r="T49" s="12"/>
      <c r="U49" s="12"/>
      <c r="V49" s="12"/>
      <c r="W49" s="12">
        <v>89</v>
      </c>
      <c r="X49" s="27"/>
      <c r="Y49" s="27"/>
      <c r="Z49" s="27"/>
      <c r="AA49" s="27"/>
      <c r="AB49" s="27"/>
      <c r="AC49" s="27"/>
      <c r="AD49" s="27"/>
      <c r="AE49" s="27"/>
      <c r="AF49" s="27"/>
      <c r="AG49" s="27"/>
      <c r="AH49" s="127"/>
    </row>
    <row r="50" spans="3:34" x14ac:dyDescent="0.25">
      <c r="AH50" s="130">
        <f>SUM(AH39:AH49)</f>
        <v>47566</v>
      </c>
    </row>
    <row r="51" spans="3:34" x14ac:dyDescent="0.25">
      <c r="D51">
        <v>1795</v>
      </c>
      <c r="E51">
        <v>2225</v>
      </c>
      <c r="F51">
        <v>3386</v>
      </c>
      <c r="G51">
        <v>2897</v>
      </c>
      <c r="H51">
        <v>2001</v>
      </c>
      <c r="I51">
        <v>1704</v>
      </c>
      <c r="J51">
        <v>2416</v>
      </c>
      <c r="K51">
        <v>2735</v>
      </c>
      <c r="L51">
        <v>2669</v>
      </c>
      <c r="M51">
        <v>1724</v>
      </c>
      <c r="N51">
        <v>1002</v>
      </c>
      <c r="O51">
        <v>1656</v>
      </c>
      <c r="P51">
        <v>3241</v>
      </c>
      <c r="Q51">
        <v>1674</v>
      </c>
      <c r="R51">
        <v>2688</v>
      </c>
      <c r="S51">
        <v>2003</v>
      </c>
      <c r="T51">
        <v>3772</v>
      </c>
      <c r="U51">
        <v>2253</v>
      </c>
      <c r="V51">
        <v>3919</v>
      </c>
      <c r="W51">
        <v>1895</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99"/>
  <sheetViews>
    <sheetView workbookViewId="0"/>
  </sheetViews>
  <sheetFormatPr baseColWidth="10" defaultRowHeight="15" x14ac:dyDescent="0.25"/>
  <cols>
    <col min="1" max="3" width="11.42578125" style="93"/>
    <col min="4" max="4" width="20.28515625" style="93" customWidth="1"/>
    <col min="5" max="5" width="11.42578125" style="93"/>
    <col min="6" max="6" width="13.28515625" style="93" customWidth="1"/>
    <col min="7" max="7" width="27.85546875" style="93" customWidth="1"/>
    <col min="8" max="15" width="11.42578125" style="93"/>
    <col min="16" max="16" width="27.140625" style="93" customWidth="1"/>
    <col min="17" max="16384" width="11.42578125" style="93"/>
  </cols>
  <sheetData>
    <row r="1" spans="1:14" x14ac:dyDescent="0.25">
      <c r="A1" s="91">
        <v>45761</v>
      </c>
      <c r="B1" s="92" t="s">
        <v>205</v>
      </c>
    </row>
    <row r="2" spans="1:14" x14ac:dyDescent="0.25">
      <c r="D2" s="329" t="s">
        <v>199</v>
      </c>
      <c r="E2" s="329"/>
      <c r="F2" s="329"/>
      <c r="G2" s="329"/>
      <c r="H2" s="329"/>
    </row>
    <row r="4" spans="1:14" ht="45" customHeight="1" x14ac:dyDescent="0.25">
      <c r="D4" s="330" t="s">
        <v>200</v>
      </c>
      <c r="E4" s="331"/>
      <c r="F4" s="330" t="s">
        <v>201</v>
      </c>
      <c r="G4" s="331"/>
      <c r="M4" s="92" t="s">
        <v>211</v>
      </c>
    </row>
    <row r="5" spans="1:14" x14ac:dyDescent="0.25">
      <c r="D5" s="94">
        <v>45597</v>
      </c>
      <c r="E5" s="95">
        <v>4</v>
      </c>
      <c r="F5" s="94">
        <v>45597</v>
      </c>
      <c r="G5" s="95">
        <v>93</v>
      </c>
      <c r="L5" s="332" t="s">
        <v>209</v>
      </c>
      <c r="M5" s="96">
        <v>45597</v>
      </c>
      <c r="N5" s="95">
        <v>2</v>
      </c>
    </row>
    <row r="6" spans="1:14" x14ac:dyDescent="0.25">
      <c r="D6" s="94">
        <v>45627</v>
      </c>
      <c r="E6" s="95">
        <v>3</v>
      </c>
      <c r="F6" s="94">
        <v>45627</v>
      </c>
      <c r="G6" s="97">
        <v>59</v>
      </c>
      <c r="L6" s="333"/>
      <c r="M6" s="96">
        <v>45627</v>
      </c>
      <c r="N6" s="95">
        <v>5</v>
      </c>
    </row>
    <row r="7" spans="1:14" x14ac:dyDescent="0.25">
      <c r="D7" s="98" t="s">
        <v>202</v>
      </c>
      <c r="E7" s="95">
        <v>6</v>
      </c>
      <c r="F7" s="94" t="s">
        <v>202</v>
      </c>
      <c r="G7" s="95">
        <v>73</v>
      </c>
      <c r="L7" s="332" t="s">
        <v>208</v>
      </c>
      <c r="M7" s="96">
        <v>45597</v>
      </c>
      <c r="N7" s="95">
        <v>61</v>
      </c>
    </row>
    <row r="8" spans="1:14" x14ac:dyDescent="0.25">
      <c r="D8" s="98" t="s">
        <v>203</v>
      </c>
      <c r="E8" s="95">
        <v>2</v>
      </c>
      <c r="F8" s="99" t="s">
        <v>203</v>
      </c>
      <c r="G8" s="95">
        <v>44</v>
      </c>
      <c r="L8" s="333"/>
      <c r="M8" s="96">
        <v>45627</v>
      </c>
      <c r="N8" s="95">
        <v>61</v>
      </c>
    </row>
    <row r="9" spans="1:14" x14ac:dyDescent="0.25">
      <c r="D9" s="98" t="s">
        <v>204</v>
      </c>
      <c r="E9" s="95">
        <v>4</v>
      </c>
      <c r="F9" s="99" t="s">
        <v>204</v>
      </c>
      <c r="G9" s="95">
        <v>81</v>
      </c>
    </row>
    <row r="10" spans="1:14" x14ac:dyDescent="0.25">
      <c r="F10" s="334">
        <f>SUM(E5+E6+E7+E8+E9+G5+G6+G7)</f>
        <v>244</v>
      </c>
      <c r="G10" s="335"/>
      <c r="N10" s="95">
        <f>SUM(N5:N8)</f>
        <v>129</v>
      </c>
    </row>
    <row r="11" spans="1:14" x14ac:dyDescent="0.25">
      <c r="F11" s="336"/>
      <c r="G11" s="337"/>
    </row>
    <row r="14" spans="1:14" x14ac:dyDescent="0.25">
      <c r="M14" s="92" t="s">
        <v>210</v>
      </c>
    </row>
    <row r="15" spans="1:14" x14ac:dyDescent="0.25">
      <c r="L15" s="93" t="s">
        <v>206</v>
      </c>
      <c r="M15" s="96">
        <v>45658</v>
      </c>
      <c r="N15" s="95">
        <v>7</v>
      </c>
    </row>
    <row r="16" spans="1:14" x14ac:dyDescent="0.25">
      <c r="L16" s="92" t="s">
        <v>206</v>
      </c>
      <c r="M16" s="96">
        <v>45689</v>
      </c>
      <c r="N16" s="95">
        <v>4</v>
      </c>
    </row>
    <row r="17" spans="4:14" x14ac:dyDescent="0.25">
      <c r="M17" s="96">
        <v>45717</v>
      </c>
      <c r="N17" s="95">
        <v>6</v>
      </c>
    </row>
    <row r="18" spans="4:14" x14ac:dyDescent="0.25">
      <c r="L18" s="100"/>
      <c r="M18" s="96">
        <v>45658</v>
      </c>
      <c r="N18" s="95">
        <v>83</v>
      </c>
    </row>
    <row r="19" spans="4:14" x14ac:dyDescent="0.25">
      <c r="L19" s="101" t="s">
        <v>207</v>
      </c>
      <c r="M19" s="96">
        <v>45689</v>
      </c>
      <c r="N19" s="95">
        <v>49</v>
      </c>
    </row>
    <row r="20" spans="4:14" x14ac:dyDescent="0.25">
      <c r="L20" s="100"/>
      <c r="M20" s="96">
        <v>45717</v>
      </c>
      <c r="N20" s="95">
        <v>82</v>
      </c>
    </row>
    <row r="22" spans="4:14" x14ac:dyDescent="0.25">
      <c r="N22" s="95">
        <f>SUM(N15:N20)</f>
        <v>231</v>
      </c>
    </row>
    <row r="26" spans="4:14" x14ac:dyDescent="0.25">
      <c r="D26" s="92"/>
    </row>
    <row r="28" spans="4:14" x14ac:dyDescent="0.25">
      <c r="H28" s="92" t="s">
        <v>211</v>
      </c>
      <c r="I28" s="92" t="s">
        <v>212</v>
      </c>
      <c r="J28" s="93">
        <f>SUM(N5+N7)</f>
        <v>63</v>
      </c>
    </row>
    <row r="29" spans="4:14" x14ac:dyDescent="0.25">
      <c r="I29" s="92" t="s">
        <v>213</v>
      </c>
      <c r="J29" s="93">
        <f>SUM(N6+N8)</f>
        <v>66</v>
      </c>
    </row>
    <row r="46" spans="2:3" x14ac:dyDescent="0.25">
      <c r="B46" s="92" t="s">
        <v>214</v>
      </c>
      <c r="C46" s="93">
        <f>SUM(N15+N18)</f>
        <v>90</v>
      </c>
    </row>
    <row r="47" spans="2:3" x14ac:dyDescent="0.25">
      <c r="B47" s="92" t="s">
        <v>216</v>
      </c>
      <c r="C47" s="93">
        <f t="shared" ref="C47:C48" si="0">SUM(N16+N19)</f>
        <v>53</v>
      </c>
    </row>
    <row r="48" spans="2:3" x14ac:dyDescent="0.25">
      <c r="B48" s="92" t="s">
        <v>215</v>
      </c>
      <c r="C48" s="93">
        <f t="shared" si="0"/>
        <v>88</v>
      </c>
    </row>
    <row r="65" spans="3:17" x14ac:dyDescent="0.25">
      <c r="C65" s="93" t="s">
        <v>212</v>
      </c>
      <c r="D65" s="93">
        <v>99</v>
      </c>
    </row>
    <row r="66" spans="3:17" x14ac:dyDescent="0.25">
      <c r="C66" s="93" t="s">
        <v>213</v>
      </c>
      <c r="D66" s="93">
        <v>66</v>
      </c>
    </row>
    <row r="67" spans="3:17" x14ac:dyDescent="0.25">
      <c r="C67" s="92" t="s">
        <v>214</v>
      </c>
      <c r="D67" s="93">
        <v>90</v>
      </c>
    </row>
    <row r="68" spans="3:17" x14ac:dyDescent="0.25">
      <c r="C68" s="92" t="s">
        <v>216</v>
      </c>
      <c r="D68" s="93">
        <v>53</v>
      </c>
    </row>
    <row r="69" spans="3:17" x14ac:dyDescent="0.25">
      <c r="C69" s="92" t="s">
        <v>215</v>
      </c>
      <c r="D69" s="93">
        <v>88</v>
      </c>
    </row>
    <row r="77" spans="3:17" ht="56.25" customHeight="1" x14ac:dyDescent="0.25">
      <c r="P77" s="328" t="s">
        <v>217</v>
      </c>
      <c r="Q77" s="328"/>
    </row>
    <row r="78" spans="3:17" ht="18.75" x14ac:dyDescent="0.25">
      <c r="P78" s="102" t="s">
        <v>218</v>
      </c>
      <c r="Q78" s="103">
        <v>99</v>
      </c>
    </row>
    <row r="79" spans="3:17" ht="18.75" x14ac:dyDescent="0.25">
      <c r="P79" s="102" t="s">
        <v>219</v>
      </c>
      <c r="Q79" s="103">
        <v>66</v>
      </c>
    </row>
    <row r="80" spans="3:17" ht="18.75" x14ac:dyDescent="0.25">
      <c r="P80" s="102" t="s">
        <v>220</v>
      </c>
      <c r="Q80" s="103">
        <v>90</v>
      </c>
    </row>
    <row r="81" spans="3:17" ht="18.75" x14ac:dyDescent="0.25">
      <c r="P81" s="102" t="s">
        <v>221</v>
      </c>
      <c r="Q81" s="103">
        <v>53</v>
      </c>
    </row>
    <row r="82" spans="3:17" ht="18.75" x14ac:dyDescent="0.25">
      <c r="P82" s="104" t="s">
        <v>222</v>
      </c>
      <c r="Q82" s="103">
        <v>88</v>
      </c>
    </row>
    <row r="83" spans="3:17" ht="18.75" x14ac:dyDescent="0.3">
      <c r="P83" s="105"/>
    </row>
    <row r="95" spans="3:17" x14ac:dyDescent="0.25">
      <c r="D95" s="92" t="s">
        <v>210</v>
      </c>
    </row>
    <row r="96" spans="3:17" x14ac:dyDescent="0.25">
      <c r="C96" s="93" t="s">
        <v>206</v>
      </c>
      <c r="D96" s="106" t="s">
        <v>232</v>
      </c>
      <c r="E96" s="95">
        <v>1</v>
      </c>
    </row>
    <row r="97" spans="3:5" x14ac:dyDescent="0.25">
      <c r="C97" s="100"/>
      <c r="D97" s="106" t="s">
        <v>233</v>
      </c>
      <c r="E97" s="95">
        <v>1</v>
      </c>
    </row>
    <row r="98" spans="3:5" x14ac:dyDescent="0.25">
      <c r="C98" s="101" t="s">
        <v>207</v>
      </c>
      <c r="D98" s="96" t="s">
        <v>232</v>
      </c>
      <c r="E98" s="95">
        <v>84</v>
      </c>
    </row>
    <row r="99" spans="3:5" x14ac:dyDescent="0.25">
      <c r="C99" s="100"/>
      <c r="D99" s="96" t="s">
        <v>233</v>
      </c>
      <c r="E99" s="95">
        <v>38</v>
      </c>
    </row>
  </sheetData>
  <mergeCells count="7">
    <mergeCell ref="P77:Q77"/>
    <mergeCell ref="D2:H2"/>
    <mergeCell ref="D4:E4"/>
    <mergeCell ref="F4:G4"/>
    <mergeCell ref="L5:L6"/>
    <mergeCell ref="L7:L8"/>
    <mergeCell ref="F10:G1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83"/>
  <sheetViews>
    <sheetView workbookViewId="0"/>
  </sheetViews>
  <sheetFormatPr baseColWidth="10" defaultRowHeight="15" x14ac:dyDescent="0.25"/>
  <cols>
    <col min="1" max="3" width="11.42578125" style="93"/>
    <col min="4" max="4" width="12" style="93" customWidth="1"/>
    <col min="5" max="5" width="11.42578125" style="93"/>
    <col min="6" max="6" width="13.28515625" style="93" customWidth="1"/>
    <col min="7" max="7" width="27.85546875" style="93" customWidth="1"/>
    <col min="8" max="15" width="11.42578125" style="93"/>
    <col min="16" max="16" width="27.140625" style="93" customWidth="1"/>
    <col min="17" max="16384" width="11.42578125" style="93"/>
  </cols>
  <sheetData>
    <row r="1" spans="1:14" x14ac:dyDescent="0.25">
      <c r="A1" s="91">
        <v>45761</v>
      </c>
      <c r="B1" s="107" t="s">
        <v>205</v>
      </c>
    </row>
    <row r="2" spans="1:14" x14ac:dyDescent="0.25">
      <c r="D2" s="338" t="s">
        <v>199</v>
      </c>
      <c r="E2" s="338"/>
      <c r="F2" s="338"/>
      <c r="G2" s="338"/>
      <c r="H2" s="338"/>
    </row>
    <row r="4" spans="1:14" ht="45" customHeight="1" x14ac:dyDescent="0.25">
      <c r="D4" s="339" t="s">
        <v>200</v>
      </c>
      <c r="E4" s="340"/>
      <c r="F4" s="339" t="s">
        <v>201</v>
      </c>
      <c r="G4" s="340"/>
      <c r="M4" s="107" t="s">
        <v>211</v>
      </c>
    </row>
    <row r="5" spans="1:14" x14ac:dyDescent="0.25">
      <c r="D5" s="94">
        <v>45597</v>
      </c>
      <c r="E5" s="95">
        <v>4</v>
      </c>
      <c r="F5" s="94">
        <v>45597</v>
      </c>
      <c r="G5" s="95">
        <v>93</v>
      </c>
      <c r="L5" s="341" t="s">
        <v>209</v>
      </c>
      <c r="M5" s="96">
        <v>45597</v>
      </c>
      <c r="N5" s="95">
        <v>2</v>
      </c>
    </row>
    <row r="6" spans="1:14" x14ac:dyDescent="0.25">
      <c r="D6" s="94">
        <v>45627</v>
      </c>
      <c r="E6" s="95">
        <v>3</v>
      </c>
      <c r="F6" s="94">
        <v>45627</v>
      </c>
      <c r="G6" s="97">
        <v>59</v>
      </c>
      <c r="L6" s="333"/>
      <c r="M6" s="96">
        <v>45627</v>
      </c>
      <c r="N6" s="95">
        <v>5</v>
      </c>
    </row>
    <row r="7" spans="1:14" x14ac:dyDescent="0.25">
      <c r="D7" s="108" t="s">
        <v>202</v>
      </c>
      <c r="E7" s="95">
        <v>6</v>
      </c>
      <c r="F7" s="94" t="s">
        <v>202</v>
      </c>
      <c r="G7" s="95">
        <v>73</v>
      </c>
      <c r="L7" s="341" t="s">
        <v>208</v>
      </c>
      <c r="M7" s="96">
        <v>45597</v>
      </c>
      <c r="N7" s="95">
        <v>61</v>
      </c>
    </row>
    <row r="8" spans="1:14" x14ac:dyDescent="0.25">
      <c r="D8" s="108" t="s">
        <v>203</v>
      </c>
      <c r="E8" s="95">
        <v>2</v>
      </c>
      <c r="F8" s="99" t="s">
        <v>203</v>
      </c>
      <c r="G8" s="95">
        <v>44</v>
      </c>
      <c r="L8" s="333"/>
      <c r="M8" s="96">
        <v>45627</v>
      </c>
      <c r="N8" s="95">
        <v>61</v>
      </c>
    </row>
    <row r="9" spans="1:14" x14ac:dyDescent="0.25">
      <c r="D9" s="108" t="s">
        <v>204</v>
      </c>
      <c r="E9" s="95">
        <v>4</v>
      </c>
      <c r="F9" s="99" t="s">
        <v>204</v>
      </c>
      <c r="G9" s="95">
        <v>81</v>
      </c>
    </row>
    <row r="10" spans="1:14" x14ac:dyDescent="0.25">
      <c r="F10" s="334">
        <f>SUM(E5+E6+E7+E8+E9+G5+G6+G7)</f>
        <v>244</v>
      </c>
      <c r="G10" s="335"/>
      <c r="N10" s="95">
        <f>SUM(N5:N8)</f>
        <v>129</v>
      </c>
    </row>
    <row r="11" spans="1:14" x14ac:dyDescent="0.25">
      <c r="F11" s="336"/>
      <c r="G11" s="337"/>
    </row>
    <row r="14" spans="1:14" x14ac:dyDescent="0.25">
      <c r="M14" s="107" t="s">
        <v>210</v>
      </c>
    </row>
    <row r="15" spans="1:14" x14ac:dyDescent="0.25">
      <c r="L15" s="93" t="s">
        <v>206</v>
      </c>
      <c r="M15" s="96">
        <v>45658</v>
      </c>
      <c r="N15" s="95">
        <v>7</v>
      </c>
    </row>
    <row r="16" spans="1:14" x14ac:dyDescent="0.25">
      <c r="L16" s="107" t="s">
        <v>206</v>
      </c>
      <c r="M16" s="96">
        <v>45689</v>
      </c>
      <c r="N16" s="95">
        <v>4</v>
      </c>
    </row>
    <row r="17" spans="4:14" x14ac:dyDescent="0.25">
      <c r="M17" s="96">
        <v>45717</v>
      </c>
      <c r="N17" s="95">
        <v>6</v>
      </c>
    </row>
    <row r="18" spans="4:14" x14ac:dyDescent="0.25">
      <c r="L18" s="100"/>
      <c r="M18" s="96">
        <v>45658</v>
      </c>
      <c r="N18" s="95">
        <v>83</v>
      </c>
    </row>
    <row r="19" spans="4:14" x14ac:dyDescent="0.25">
      <c r="L19" s="109" t="s">
        <v>207</v>
      </c>
      <c r="M19" s="96">
        <v>45689</v>
      </c>
      <c r="N19" s="95">
        <v>49</v>
      </c>
    </row>
    <row r="20" spans="4:14" x14ac:dyDescent="0.25">
      <c r="L20" s="100"/>
      <c r="M20" s="96">
        <v>45717</v>
      </c>
      <c r="N20" s="95">
        <v>82</v>
      </c>
    </row>
    <row r="22" spans="4:14" x14ac:dyDescent="0.25">
      <c r="N22" s="95">
        <f>SUM(N15:N20)</f>
        <v>231</v>
      </c>
    </row>
    <row r="26" spans="4:14" x14ac:dyDescent="0.25">
      <c r="D26" s="107"/>
    </row>
    <row r="28" spans="4:14" x14ac:dyDescent="0.25">
      <c r="H28" s="107" t="s">
        <v>211</v>
      </c>
      <c r="I28" s="107" t="s">
        <v>212</v>
      </c>
      <c r="J28" s="93">
        <f>SUM(N5+N7)</f>
        <v>63</v>
      </c>
    </row>
    <row r="29" spans="4:14" x14ac:dyDescent="0.25">
      <c r="I29" s="107" t="s">
        <v>213</v>
      </c>
      <c r="J29" s="93">
        <f>SUM(N6+N8)</f>
        <v>66</v>
      </c>
    </row>
    <row r="46" spans="2:3" x14ac:dyDescent="0.25">
      <c r="B46" s="107" t="s">
        <v>214</v>
      </c>
      <c r="C46" s="93">
        <f>SUM(N15+N18)</f>
        <v>90</v>
      </c>
    </row>
    <row r="47" spans="2:3" x14ac:dyDescent="0.25">
      <c r="B47" s="107" t="s">
        <v>216</v>
      </c>
      <c r="C47" s="93">
        <f t="shared" ref="C47:C48" si="0">SUM(N16+N19)</f>
        <v>53</v>
      </c>
    </row>
    <row r="48" spans="2:3" x14ac:dyDescent="0.25">
      <c r="B48" s="107" t="s">
        <v>215</v>
      </c>
      <c r="C48" s="93">
        <f t="shared" si="0"/>
        <v>88</v>
      </c>
    </row>
    <row r="65" spans="3:17" x14ac:dyDescent="0.25">
      <c r="C65" s="93" t="s">
        <v>212</v>
      </c>
      <c r="D65" s="93">
        <v>99</v>
      </c>
    </row>
    <row r="66" spans="3:17" x14ac:dyDescent="0.25">
      <c r="C66" s="93" t="s">
        <v>213</v>
      </c>
      <c r="D66" s="93">
        <v>66</v>
      </c>
    </row>
    <row r="67" spans="3:17" x14ac:dyDescent="0.25">
      <c r="C67" s="107" t="s">
        <v>214</v>
      </c>
      <c r="D67" s="93">
        <v>90</v>
      </c>
    </row>
    <row r="68" spans="3:17" x14ac:dyDescent="0.25">
      <c r="C68" s="107" t="s">
        <v>216</v>
      </c>
      <c r="D68" s="93">
        <v>53</v>
      </c>
    </row>
    <row r="69" spans="3:17" x14ac:dyDescent="0.25">
      <c r="C69" s="107" t="s">
        <v>215</v>
      </c>
      <c r="D69" s="93">
        <v>88</v>
      </c>
    </row>
    <row r="77" spans="3:17" ht="56.25" customHeight="1" x14ac:dyDescent="0.25">
      <c r="P77" s="328" t="s">
        <v>217</v>
      </c>
      <c r="Q77" s="328"/>
    </row>
    <row r="78" spans="3:17" ht="18.75" x14ac:dyDescent="0.25">
      <c r="P78" s="102" t="s">
        <v>218</v>
      </c>
      <c r="Q78" s="103">
        <v>99</v>
      </c>
    </row>
    <row r="79" spans="3:17" ht="18.75" x14ac:dyDescent="0.25">
      <c r="P79" s="102" t="s">
        <v>219</v>
      </c>
      <c r="Q79" s="103">
        <v>66</v>
      </c>
    </row>
    <row r="80" spans="3:17" ht="18.75" x14ac:dyDescent="0.25">
      <c r="P80" s="102" t="s">
        <v>220</v>
      </c>
      <c r="Q80" s="103">
        <v>90</v>
      </c>
    </row>
    <row r="81" spans="16:17" ht="18.75" x14ac:dyDescent="0.25">
      <c r="P81" s="102" t="s">
        <v>221</v>
      </c>
      <c r="Q81" s="103">
        <v>53</v>
      </c>
    </row>
    <row r="82" spans="16:17" ht="18.75" x14ac:dyDescent="0.25">
      <c r="P82" s="104" t="s">
        <v>222</v>
      </c>
      <c r="Q82" s="103">
        <v>88</v>
      </c>
    </row>
    <row r="83" spans="16:17" ht="18.75" x14ac:dyDescent="0.3">
      <c r="P83" s="105"/>
    </row>
  </sheetData>
  <mergeCells count="7">
    <mergeCell ref="P77:Q77"/>
    <mergeCell ref="D2:H2"/>
    <mergeCell ref="D4:E4"/>
    <mergeCell ref="F4:G4"/>
    <mergeCell ref="L5:L6"/>
    <mergeCell ref="L7:L8"/>
    <mergeCell ref="F10:G1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141"/>
  <sheetViews>
    <sheetView topLeftCell="A88" workbookViewId="0"/>
  </sheetViews>
  <sheetFormatPr baseColWidth="10" defaultRowHeight="15" x14ac:dyDescent="0.25"/>
  <cols>
    <col min="1" max="3" width="11.42578125" style="93"/>
    <col min="4" max="4" width="20.28515625" style="93" customWidth="1"/>
    <col min="5" max="5" width="11.42578125" style="93"/>
    <col min="6" max="6" width="19.28515625" style="93" customWidth="1"/>
    <col min="7" max="7" width="27.85546875" style="93" customWidth="1"/>
    <col min="8" max="15" width="11.42578125" style="93"/>
    <col min="16" max="16" width="27.140625" style="93" customWidth="1"/>
    <col min="17" max="16384" width="11.42578125" style="93"/>
  </cols>
  <sheetData>
    <row r="1" spans="1:14" hidden="1" x14ac:dyDescent="0.25">
      <c r="A1" s="91">
        <v>45761</v>
      </c>
      <c r="B1" s="107" t="s">
        <v>205</v>
      </c>
    </row>
    <row r="2" spans="1:14" hidden="1" x14ac:dyDescent="0.25">
      <c r="D2" s="338" t="s">
        <v>199</v>
      </c>
      <c r="E2" s="338"/>
      <c r="F2" s="338"/>
      <c r="G2" s="338"/>
      <c r="H2" s="338"/>
    </row>
    <row r="3" spans="1:14" hidden="1" x14ac:dyDescent="0.25"/>
    <row r="4" spans="1:14" ht="45" hidden="1" customHeight="1" x14ac:dyDescent="0.25">
      <c r="D4" s="339" t="s">
        <v>200</v>
      </c>
      <c r="E4" s="340"/>
      <c r="F4" s="339" t="s">
        <v>201</v>
      </c>
      <c r="G4" s="340"/>
      <c r="M4" s="107" t="s">
        <v>211</v>
      </c>
    </row>
    <row r="5" spans="1:14" hidden="1" x14ac:dyDescent="0.25">
      <c r="D5" s="94">
        <v>45597</v>
      </c>
      <c r="E5" s="95">
        <v>4</v>
      </c>
      <c r="F5" s="94">
        <v>45597</v>
      </c>
      <c r="G5" s="95">
        <v>93</v>
      </c>
      <c r="L5" s="341" t="s">
        <v>209</v>
      </c>
      <c r="M5" s="96">
        <v>45597</v>
      </c>
      <c r="N5" s="95">
        <v>2</v>
      </c>
    </row>
    <row r="6" spans="1:14" hidden="1" x14ac:dyDescent="0.25">
      <c r="D6" s="94">
        <v>45627</v>
      </c>
      <c r="E6" s="95">
        <v>3</v>
      </c>
      <c r="F6" s="94">
        <v>45627</v>
      </c>
      <c r="G6" s="97">
        <v>59</v>
      </c>
      <c r="L6" s="333"/>
      <c r="M6" s="96">
        <v>45627</v>
      </c>
      <c r="N6" s="95">
        <v>5</v>
      </c>
    </row>
    <row r="7" spans="1:14" hidden="1" x14ac:dyDescent="0.25">
      <c r="D7" s="108" t="s">
        <v>202</v>
      </c>
      <c r="E7" s="95">
        <v>6</v>
      </c>
      <c r="F7" s="94" t="s">
        <v>202</v>
      </c>
      <c r="G7" s="95">
        <v>73</v>
      </c>
      <c r="L7" s="341" t="s">
        <v>208</v>
      </c>
      <c r="M7" s="96">
        <v>45597</v>
      </c>
      <c r="N7" s="95">
        <v>61</v>
      </c>
    </row>
    <row r="8" spans="1:14" hidden="1" x14ac:dyDescent="0.25">
      <c r="D8" s="108" t="s">
        <v>203</v>
      </c>
      <c r="E8" s="95">
        <v>2</v>
      </c>
      <c r="F8" s="99" t="s">
        <v>203</v>
      </c>
      <c r="G8" s="95">
        <v>44</v>
      </c>
      <c r="L8" s="333"/>
      <c r="M8" s="96">
        <v>45627</v>
      </c>
      <c r="N8" s="95">
        <v>61</v>
      </c>
    </row>
    <row r="9" spans="1:14" hidden="1" x14ac:dyDescent="0.25">
      <c r="D9" s="108" t="s">
        <v>204</v>
      </c>
      <c r="E9" s="95">
        <v>4</v>
      </c>
      <c r="F9" s="99" t="s">
        <v>204</v>
      </c>
      <c r="G9" s="95">
        <v>81</v>
      </c>
    </row>
    <row r="10" spans="1:14" hidden="1" x14ac:dyDescent="0.25">
      <c r="F10" s="334">
        <f>SUM(E5+E6+E7+E8+E9+G5+G6+G7)</f>
        <v>244</v>
      </c>
      <c r="G10" s="335"/>
      <c r="N10" s="95">
        <f>SUM(N5:N8)</f>
        <v>129</v>
      </c>
    </row>
    <row r="11" spans="1:14" hidden="1" x14ac:dyDescent="0.25">
      <c r="F11" s="336"/>
      <c r="G11" s="337"/>
    </row>
    <row r="12" spans="1:14" hidden="1" x14ac:dyDescent="0.25"/>
    <row r="13" spans="1:14" hidden="1" x14ac:dyDescent="0.25"/>
    <row r="14" spans="1:14" hidden="1" x14ac:dyDescent="0.25">
      <c r="M14" s="107" t="s">
        <v>210</v>
      </c>
    </row>
    <row r="15" spans="1:14" hidden="1" x14ac:dyDescent="0.25">
      <c r="L15" s="93" t="s">
        <v>206</v>
      </c>
      <c r="M15" s="96">
        <v>45658</v>
      </c>
      <c r="N15" s="95">
        <v>7</v>
      </c>
    </row>
    <row r="16" spans="1:14" hidden="1" x14ac:dyDescent="0.25">
      <c r="L16" s="107" t="s">
        <v>206</v>
      </c>
      <c r="M16" s="96">
        <v>45689</v>
      </c>
      <c r="N16" s="95">
        <v>4</v>
      </c>
    </row>
    <row r="17" spans="4:14" hidden="1" x14ac:dyDescent="0.25">
      <c r="M17" s="96">
        <v>45717</v>
      </c>
      <c r="N17" s="95">
        <v>6</v>
      </c>
    </row>
    <row r="18" spans="4:14" hidden="1" x14ac:dyDescent="0.25">
      <c r="L18" s="100"/>
      <c r="M18" s="96">
        <v>45658</v>
      </c>
      <c r="N18" s="95">
        <v>83</v>
      </c>
    </row>
    <row r="19" spans="4:14" hidden="1" x14ac:dyDescent="0.25">
      <c r="L19" s="109" t="s">
        <v>207</v>
      </c>
      <c r="M19" s="96">
        <v>45689</v>
      </c>
      <c r="N19" s="95">
        <v>49</v>
      </c>
    </row>
    <row r="20" spans="4:14" hidden="1" x14ac:dyDescent="0.25">
      <c r="L20" s="100"/>
      <c r="M20" s="96">
        <v>45717</v>
      </c>
      <c r="N20" s="95">
        <v>82</v>
      </c>
    </row>
    <row r="21" spans="4:14" hidden="1" x14ac:dyDescent="0.25"/>
    <row r="22" spans="4:14" hidden="1" x14ac:dyDescent="0.25">
      <c r="N22" s="95">
        <f>SUM(N15:N20)</f>
        <v>231</v>
      </c>
    </row>
    <row r="23" spans="4:14" hidden="1" x14ac:dyDescent="0.25"/>
    <row r="24" spans="4:14" hidden="1" x14ac:dyDescent="0.25"/>
    <row r="25" spans="4:14" hidden="1" x14ac:dyDescent="0.25"/>
    <row r="26" spans="4:14" hidden="1" x14ac:dyDescent="0.25">
      <c r="D26" s="107"/>
    </row>
    <row r="27" spans="4:14" hidden="1" x14ac:dyDescent="0.25"/>
    <row r="28" spans="4:14" hidden="1" x14ac:dyDescent="0.25">
      <c r="H28" s="107" t="s">
        <v>211</v>
      </c>
      <c r="I28" s="107" t="s">
        <v>212</v>
      </c>
      <c r="J28" s="93">
        <f>SUM(N5+N7)</f>
        <v>63</v>
      </c>
    </row>
    <row r="29" spans="4:14" hidden="1" x14ac:dyDescent="0.25">
      <c r="I29" s="107" t="s">
        <v>213</v>
      </c>
      <c r="J29" s="93">
        <f>SUM(N6+N8)</f>
        <v>66</v>
      </c>
    </row>
    <row r="30" spans="4:14" hidden="1" x14ac:dyDescent="0.25"/>
    <row r="31" spans="4:14" hidden="1" x14ac:dyDescent="0.25"/>
    <row r="32" spans="4:14" hidden="1" x14ac:dyDescent="0.25"/>
    <row r="33" spans="2:3" hidden="1" x14ac:dyDescent="0.25"/>
    <row r="34" spans="2:3" hidden="1" x14ac:dyDescent="0.25"/>
    <row r="35" spans="2:3" hidden="1" x14ac:dyDescent="0.25"/>
    <row r="36" spans="2:3" hidden="1" x14ac:dyDescent="0.25"/>
    <row r="37" spans="2:3" hidden="1" x14ac:dyDescent="0.25"/>
    <row r="38" spans="2:3" hidden="1" x14ac:dyDescent="0.25"/>
    <row r="39" spans="2:3" hidden="1" x14ac:dyDescent="0.25"/>
    <row r="40" spans="2:3" hidden="1" x14ac:dyDescent="0.25"/>
    <row r="41" spans="2:3" hidden="1" x14ac:dyDescent="0.25"/>
    <row r="42" spans="2:3" hidden="1" x14ac:dyDescent="0.25"/>
    <row r="43" spans="2:3" hidden="1" x14ac:dyDescent="0.25"/>
    <row r="44" spans="2:3" hidden="1" x14ac:dyDescent="0.25"/>
    <row r="45" spans="2:3" hidden="1" x14ac:dyDescent="0.25"/>
    <row r="46" spans="2:3" hidden="1" x14ac:dyDescent="0.25">
      <c r="B46" s="107" t="s">
        <v>214</v>
      </c>
      <c r="C46" s="93">
        <f>SUM(N15+N18)</f>
        <v>90</v>
      </c>
    </row>
    <row r="47" spans="2:3" hidden="1" x14ac:dyDescent="0.25">
      <c r="B47" s="107" t="s">
        <v>216</v>
      </c>
      <c r="C47" s="93">
        <f t="shared" ref="C47:C48" si="0">SUM(N16+N19)</f>
        <v>53</v>
      </c>
    </row>
    <row r="48" spans="2:3" hidden="1" x14ac:dyDescent="0.25">
      <c r="B48" s="107" t="s">
        <v>215</v>
      </c>
      <c r="C48" s="93">
        <f t="shared" si="0"/>
        <v>88</v>
      </c>
    </row>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hidden="1" x14ac:dyDescent="0.25"/>
    <row r="64" hidden="1" x14ac:dyDescent="0.25"/>
    <row r="65" spans="3:17" hidden="1" x14ac:dyDescent="0.25">
      <c r="C65" s="93" t="s">
        <v>212</v>
      </c>
      <c r="D65" s="93">
        <v>99</v>
      </c>
    </row>
    <row r="66" spans="3:17" hidden="1" x14ac:dyDescent="0.25">
      <c r="C66" s="93" t="s">
        <v>213</v>
      </c>
      <c r="D66" s="93">
        <v>66</v>
      </c>
    </row>
    <row r="67" spans="3:17" hidden="1" x14ac:dyDescent="0.25">
      <c r="C67" s="107" t="s">
        <v>214</v>
      </c>
      <c r="D67" s="93">
        <v>90</v>
      </c>
    </row>
    <row r="68" spans="3:17" hidden="1" x14ac:dyDescent="0.25">
      <c r="C68" s="107" t="s">
        <v>216</v>
      </c>
      <c r="D68" s="93">
        <v>53</v>
      </c>
    </row>
    <row r="69" spans="3:17" hidden="1" x14ac:dyDescent="0.25">
      <c r="C69" s="107" t="s">
        <v>215</v>
      </c>
      <c r="D69" s="93">
        <v>88</v>
      </c>
    </row>
    <row r="70" spans="3:17" hidden="1" x14ac:dyDescent="0.25"/>
    <row r="71" spans="3:17" hidden="1" x14ac:dyDescent="0.25"/>
    <row r="72" spans="3:17" hidden="1" x14ac:dyDescent="0.25"/>
    <row r="73" spans="3:17" hidden="1" x14ac:dyDescent="0.25"/>
    <row r="74" spans="3:17" hidden="1" x14ac:dyDescent="0.25"/>
    <row r="75" spans="3:17" hidden="1" x14ac:dyDescent="0.25"/>
    <row r="76" spans="3:17" hidden="1" x14ac:dyDescent="0.25"/>
    <row r="77" spans="3:17" ht="56.25" hidden="1" customHeight="1" x14ac:dyDescent="0.25">
      <c r="P77" s="328" t="s">
        <v>217</v>
      </c>
      <c r="Q77" s="328"/>
    </row>
    <row r="78" spans="3:17" ht="18.75" hidden="1" x14ac:dyDescent="0.25">
      <c r="P78" s="102" t="s">
        <v>218</v>
      </c>
      <c r="Q78" s="103">
        <v>99</v>
      </c>
    </row>
    <row r="79" spans="3:17" ht="18.75" hidden="1" x14ac:dyDescent="0.25">
      <c r="P79" s="102" t="s">
        <v>219</v>
      </c>
      <c r="Q79" s="103">
        <v>66</v>
      </c>
    </row>
    <row r="80" spans="3:17" ht="18.75" hidden="1" x14ac:dyDescent="0.25">
      <c r="P80" s="102" t="s">
        <v>220</v>
      </c>
      <c r="Q80" s="103">
        <v>90</v>
      </c>
    </row>
    <row r="81" spans="3:17" ht="18.75" hidden="1" x14ac:dyDescent="0.25">
      <c r="P81" s="102" t="s">
        <v>221</v>
      </c>
      <c r="Q81" s="103">
        <v>53</v>
      </c>
    </row>
    <row r="82" spans="3:17" ht="18.75" hidden="1" x14ac:dyDescent="0.25">
      <c r="P82" s="104" t="s">
        <v>222</v>
      </c>
      <c r="Q82" s="103">
        <v>88</v>
      </c>
    </row>
    <row r="83" spans="3:17" ht="18.75" hidden="1" x14ac:dyDescent="0.3">
      <c r="P83" s="105"/>
    </row>
    <row r="84" spans="3:17" ht="14.25" hidden="1" customHeight="1" x14ac:dyDescent="0.25"/>
    <row r="85" spans="3:17" hidden="1" x14ac:dyDescent="0.25"/>
    <row r="86" spans="3:17" hidden="1" x14ac:dyDescent="0.25"/>
    <row r="87" spans="3:17" hidden="1" x14ac:dyDescent="0.25"/>
    <row r="95" spans="3:17" x14ac:dyDescent="0.25">
      <c r="D95" s="107" t="s">
        <v>210</v>
      </c>
    </row>
    <row r="96" spans="3:17" x14ac:dyDescent="0.25">
      <c r="C96" s="93" t="s">
        <v>206</v>
      </c>
      <c r="D96" s="110" t="s">
        <v>232</v>
      </c>
      <c r="E96" s="95">
        <v>1</v>
      </c>
    </row>
    <row r="97" spans="3:5" x14ac:dyDescent="0.25">
      <c r="C97" s="100"/>
      <c r="D97" s="110" t="s">
        <v>233</v>
      </c>
      <c r="E97" s="95">
        <v>1</v>
      </c>
    </row>
    <row r="98" spans="3:5" x14ac:dyDescent="0.25">
      <c r="C98" s="109" t="s">
        <v>207</v>
      </c>
      <c r="D98" s="96" t="s">
        <v>232</v>
      </c>
      <c r="E98" s="95">
        <v>84</v>
      </c>
    </row>
    <row r="99" spans="3:5" x14ac:dyDescent="0.25">
      <c r="C99" s="100"/>
      <c r="D99" s="96" t="s">
        <v>233</v>
      </c>
      <c r="E99" s="95">
        <v>38</v>
      </c>
    </row>
    <row r="105" spans="3:5" ht="18.75" x14ac:dyDescent="0.25">
      <c r="D105" s="328" t="s">
        <v>217</v>
      </c>
      <c r="E105" s="328"/>
    </row>
    <row r="106" spans="3:5" ht="18.75" x14ac:dyDescent="0.25">
      <c r="D106" s="104" t="s">
        <v>83</v>
      </c>
      <c r="E106" s="103">
        <v>84</v>
      </c>
    </row>
    <row r="107" spans="3:5" ht="18.75" x14ac:dyDescent="0.25">
      <c r="D107" s="104" t="s">
        <v>234</v>
      </c>
      <c r="E107" s="103">
        <v>38</v>
      </c>
    </row>
    <row r="114" spans="3:7" x14ac:dyDescent="0.25">
      <c r="D114" s="107" t="s">
        <v>210</v>
      </c>
    </row>
    <row r="115" spans="3:7" x14ac:dyDescent="0.25">
      <c r="D115" s="107"/>
    </row>
    <row r="116" spans="3:7" x14ac:dyDescent="0.25">
      <c r="C116" s="93" t="s">
        <v>206</v>
      </c>
      <c r="D116" s="110" t="s">
        <v>232</v>
      </c>
      <c r="E116" s="95">
        <v>1</v>
      </c>
    </row>
    <row r="117" spans="3:7" x14ac:dyDescent="0.25">
      <c r="C117" s="100"/>
      <c r="D117" s="110" t="s">
        <v>233</v>
      </c>
      <c r="E117" s="95">
        <v>1</v>
      </c>
    </row>
    <row r="118" spans="3:7" x14ac:dyDescent="0.25">
      <c r="C118" s="109" t="s">
        <v>207</v>
      </c>
      <c r="D118" s="96" t="s">
        <v>232</v>
      </c>
      <c r="E118" s="95">
        <v>83</v>
      </c>
    </row>
    <row r="119" spans="3:7" x14ac:dyDescent="0.25">
      <c r="C119" s="100"/>
      <c r="D119" s="96" t="s">
        <v>233</v>
      </c>
      <c r="E119" s="95">
        <v>37</v>
      </c>
    </row>
    <row r="122" spans="3:7" ht="30" x14ac:dyDescent="0.25">
      <c r="D122" s="111" t="s">
        <v>235</v>
      </c>
    </row>
    <row r="123" spans="3:7" x14ac:dyDescent="0.25">
      <c r="F123" s="93" t="s">
        <v>237</v>
      </c>
    </row>
    <row r="124" spans="3:7" x14ac:dyDescent="0.25">
      <c r="C124" s="93" t="s">
        <v>206</v>
      </c>
      <c r="D124" s="110" t="s">
        <v>232</v>
      </c>
      <c r="E124" s="95">
        <v>1</v>
      </c>
    </row>
    <row r="125" spans="3:7" x14ac:dyDescent="0.25">
      <c r="D125" s="110" t="s">
        <v>233</v>
      </c>
      <c r="E125" s="95">
        <v>1</v>
      </c>
    </row>
    <row r="126" spans="3:7" x14ac:dyDescent="0.25">
      <c r="C126" s="100"/>
      <c r="D126" s="110" t="s">
        <v>238</v>
      </c>
      <c r="E126" s="95">
        <v>3</v>
      </c>
      <c r="F126" s="117" t="s">
        <v>240</v>
      </c>
    </row>
    <row r="127" spans="3:7" x14ac:dyDescent="0.25">
      <c r="C127" s="109" t="s">
        <v>207</v>
      </c>
      <c r="D127" s="96" t="s">
        <v>232</v>
      </c>
      <c r="E127" s="95">
        <v>83</v>
      </c>
    </row>
    <row r="128" spans="3:7" x14ac:dyDescent="0.25">
      <c r="C128" s="100"/>
      <c r="D128" s="96" t="s">
        <v>233</v>
      </c>
      <c r="E128" s="95">
        <v>37</v>
      </c>
      <c r="F128" s="113" t="s">
        <v>232</v>
      </c>
      <c r="G128" s="112">
        <f>+E127+E124</f>
        <v>84</v>
      </c>
    </row>
    <row r="129" spans="4:7" x14ac:dyDescent="0.25">
      <c r="D129" s="96" t="s">
        <v>236</v>
      </c>
      <c r="E129" s="114">
        <v>9</v>
      </c>
      <c r="F129" s="113" t="s">
        <v>236</v>
      </c>
      <c r="G129" s="112">
        <f>+E128+E129+E126+E125</f>
        <v>50</v>
      </c>
    </row>
    <row r="131" spans="4:7" x14ac:dyDescent="0.25">
      <c r="E131" s="115">
        <f>SUM(E127:E129)</f>
        <v>129</v>
      </c>
    </row>
    <row r="139" spans="4:7" x14ac:dyDescent="0.25">
      <c r="D139" s="116" t="s">
        <v>232</v>
      </c>
      <c r="E139" s="93">
        <v>84</v>
      </c>
    </row>
    <row r="140" spans="4:7" x14ac:dyDescent="0.25">
      <c r="D140" s="116" t="s">
        <v>239</v>
      </c>
      <c r="E140" s="93">
        <f>4+46</f>
        <v>50</v>
      </c>
    </row>
    <row r="141" spans="4:7" x14ac:dyDescent="0.25">
      <c r="D141" s="116"/>
    </row>
  </sheetData>
  <mergeCells count="8">
    <mergeCell ref="P77:Q77"/>
    <mergeCell ref="D105:E105"/>
    <mergeCell ref="D2:H2"/>
    <mergeCell ref="D4:E4"/>
    <mergeCell ref="F4:G4"/>
    <mergeCell ref="L5:L6"/>
    <mergeCell ref="L7:L8"/>
    <mergeCell ref="F10:G1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H5:J16"/>
  <sheetViews>
    <sheetView workbookViewId="0"/>
  </sheetViews>
  <sheetFormatPr baseColWidth="10" defaultRowHeight="15" x14ac:dyDescent="0.25"/>
  <sheetData>
    <row r="5" spans="8:10" x14ac:dyDescent="0.25">
      <c r="H5">
        <v>10</v>
      </c>
      <c r="I5">
        <v>9</v>
      </c>
      <c r="J5">
        <f>SUM(H5:I5)</f>
        <v>19</v>
      </c>
    </row>
    <row r="6" spans="8:10" x14ac:dyDescent="0.25">
      <c r="H6">
        <v>193</v>
      </c>
      <c r="I6">
        <v>163</v>
      </c>
      <c r="J6">
        <f t="shared" ref="J6:J15" si="0">SUM(H6:I6)</f>
        <v>356</v>
      </c>
    </row>
    <row r="7" spans="8:10" x14ac:dyDescent="0.25">
      <c r="H7">
        <v>40</v>
      </c>
      <c r="I7">
        <v>49</v>
      </c>
      <c r="J7">
        <f t="shared" si="0"/>
        <v>89</v>
      </c>
    </row>
    <row r="8" spans="8:10" x14ac:dyDescent="0.25">
      <c r="H8">
        <v>19</v>
      </c>
      <c r="I8">
        <v>13</v>
      </c>
      <c r="J8">
        <f t="shared" si="0"/>
        <v>32</v>
      </c>
    </row>
    <row r="9" spans="8:10" x14ac:dyDescent="0.25">
      <c r="H9">
        <v>21</v>
      </c>
      <c r="I9">
        <v>36</v>
      </c>
      <c r="J9">
        <f t="shared" si="0"/>
        <v>57</v>
      </c>
    </row>
    <row r="10" spans="8:10" x14ac:dyDescent="0.25">
      <c r="H10">
        <v>192</v>
      </c>
      <c r="I10">
        <v>284</v>
      </c>
      <c r="J10">
        <f t="shared" si="0"/>
        <v>476</v>
      </c>
    </row>
    <row r="11" spans="8:10" x14ac:dyDescent="0.25">
      <c r="H11">
        <v>0</v>
      </c>
      <c r="I11">
        <v>0</v>
      </c>
      <c r="J11">
        <f t="shared" si="0"/>
        <v>0</v>
      </c>
    </row>
    <row r="12" spans="8:10" x14ac:dyDescent="0.25">
      <c r="H12">
        <v>0</v>
      </c>
      <c r="I12">
        <v>0</v>
      </c>
      <c r="J12">
        <f t="shared" si="0"/>
        <v>0</v>
      </c>
    </row>
    <row r="13" spans="8:10" x14ac:dyDescent="0.25">
      <c r="H13">
        <v>123</v>
      </c>
      <c r="I13">
        <v>191</v>
      </c>
      <c r="J13">
        <f t="shared" si="0"/>
        <v>314</v>
      </c>
    </row>
    <row r="14" spans="8:10" x14ac:dyDescent="0.25">
      <c r="H14">
        <v>69</v>
      </c>
      <c r="I14">
        <v>73</v>
      </c>
      <c r="J14">
        <f t="shared" si="0"/>
        <v>142</v>
      </c>
    </row>
    <row r="15" spans="8:10" x14ac:dyDescent="0.25">
      <c r="H15">
        <v>834</v>
      </c>
      <c r="I15">
        <v>877</v>
      </c>
      <c r="J15">
        <f t="shared" si="0"/>
        <v>1711</v>
      </c>
    </row>
    <row r="16" spans="8:10" x14ac:dyDescent="0.25">
      <c r="H16">
        <v>0</v>
      </c>
      <c r="I16">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D2:Q992"/>
  <sheetViews>
    <sheetView workbookViewId="0"/>
  </sheetViews>
  <sheetFormatPr baseColWidth="10" defaultColWidth="14.42578125" defaultRowHeight="15" customHeight="1" x14ac:dyDescent="0.25"/>
  <cols>
    <col min="1" max="1" width="11" customWidth="1"/>
    <col min="2" max="2" width="17" bestFit="1" customWidth="1"/>
    <col min="3" max="26" width="11" customWidth="1"/>
  </cols>
  <sheetData>
    <row r="2" spans="4:17" ht="75" x14ac:dyDescent="0.25">
      <c r="D2" s="18" t="s">
        <v>92</v>
      </c>
      <c r="E2" t="s">
        <v>80</v>
      </c>
      <c r="F2" t="s">
        <v>81</v>
      </c>
      <c r="G2" t="s">
        <v>82</v>
      </c>
      <c r="H2" t="s">
        <v>83</v>
      </c>
      <c r="I2" t="s">
        <v>84</v>
      </c>
      <c r="J2" t="s">
        <v>85</v>
      </c>
      <c r="K2" t="s">
        <v>86</v>
      </c>
      <c r="L2" t="s">
        <v>87</v>
      </c>
      <c r="M2" t="s">
        <v>88</v>
      </c>
      <c r="N2" t="s">
        <v>89</v>
      </c>
      <c r="O2" t="s">
        <v>90</v>
      </c>
      <c r="P2" t="s">
        <v>91</v>
      </c>
      <c r="Q2" t="s">
        <v>5</v>
      </c>
    </row>
    <row r="3" spans="4:17" ht="15" customHeight="1" x14ac:dyDescent="0.25">
      <c r="D3" s="20">
        <v>2019</v>
      </c>
      <c r="E3">
        <v>446</v>
      </c>
      <c r="F3">
        <v>405</v>
      </c>
      <c r="G3">
        <v>589</v>
      </c>
      <c r="H3">
        <v>555</v>
      </c>
      <c r="I3">
        <v>394</v>
      </c>
      <c r="J3">
        <v>426</v>
      </c>
      <c r="K3">
        <v>269</v>
      </c>
      <c r="L3">
        <v>512</v>
      </c>
      <c r="M3">
        <v>488</v>
      </c>
      <c r="N3">
        <v>456</v>
      </c>
      <c r="O3">
        <v>265</v>
      </c>
      <c r="P3">
        <v>384</v>
      </c>
      <c r="Q3">
        <f>SUM(Tabla13[[#This Row],[Enero]:[Diciembre]])</f>
        <v>5189</v>
      </c>
    </row>
    <row r="4" spans="4:17" ht="15" customHeight="1" x14ac:dyDescent="0.25">
      <c r="D4" s="20">
        <v>2020</v>
      </c>
      <c r="E4">
        <v>382</v>
      </c>
      <c r="F4">
        <v>680</v>
      </c>
      <c r="G4">
        <v>484</v>
      </c>
      <c r="H4">
        <v>628</v>
      </c>
      <c r="I4">
        <v>694</v>
      </c>
      <c r="J4">
        <v>627</v>
      </c>
      <c r="K4">
        <v>725</v>
      </c>
      <c r="L4">
        <v>535</v>
      </c>
      <c r="M4">
        <v>416</v>
      </c>
      <c r="N4">
        <v>337</v>
      </c>
      <c r="O4">
        <v>199</v>
      </c>
      <c r="P4">
        <v>213</v>
      </c>
      <c r="Q4">
        <f>SUM(Tabla13[[#This Row],[Enero]:[Diciembre]])</f>
        <v>5920</v>
      </c>
    </row>
    <row r="5" spans="4:17" ht="15" customHeight="1" x14ac:dyDescent="0.25">
      <c r="D5" s="20">
        <v>2021</v>
      </c>
      <c r="E5">
        <v>128</v>
      </c>
      <c r="F5">
        <v>414</v>
      </c>
      <c r="G5">
        <v>546</v>
      </c>
      <c r="H5">
        <v>466</v>
      </c>
      <c r="I5">
        <v>437</v>
      </c>
      <c r="J5">
        <v>541</v>
      </c>
      <c r="K5">
        <v>618</v>
      </c>
      <c r="L5">
        <v>641</v>
      </c>
      <c r="M5">
        <v>661</v>
      </c>
      <c r="N5">
        <v>479</v>
      </c>
      <c r="O5">
        <v>347</v>
      </c>
      <c r="P5">
        <v>279</v>
      </c>
      <c r="Q5">
        <f>SUM(Tabla13[[#This Row],[Enero]:[Diciembre]])</f>
        <v>5557</v>
      </c>
    </row>
    <row r="6" spans="4:17" ht="15" customHeight="1" x14ac:dyDescent="0.25">
      <c r="D6" s="20">
        <v>2022</v>
      </c>
      <c r="E6">
        <v>511</v>
      </c>
      <c r="F6">
        <v>281</v>
      </c>
      <c r="G6">
        <v>514</v>
      </c>
      <c r="H6">
        <v>529</v>
      </c>
      <c r="I6">
        <v>372</v>
      </c>
      <c r="J6">
        <v>134</v>
      </c>
      <c r="K6">
        <v>415</v>
      </c>
      <c r="L6">
        <v>532</v>
      </c>
      <c r="M6" s="19">
        <f>'2018-2026'!AV70</f>
        <v>472</v>
      </c>
      <c r="N6" s="19">
        <f>'2018-2026'!AW70</f>
        <v>112</v>
      </c>
      <c r="O6" s="19">
        <f>'2018-2026'!AX70</f>
        <v>252</v>
      </c>
      <c r="P6" s="19">
        <f>'2018-2026'!AY70</f>
        <v>239</v>
      </c>
      <c r="Q6">
        <f>SUM(Tabla13[[#This Row],[Enero]:[Diciembre]])</f>
        <v>4363</v>
      </c>
    </row>
    <row r="7" spans="4:17" ht="15" customHeight="1" x14ac:dyDescent="0.25">
      <c r="D7" s="20">
        <v>2023</v>
      </c>
      <c r="E7">
        <v>431</v>
      </c>
      <c r="F7">
        <v>502</v>
      </c>
      <c r="G7">
        <v>506</v>
      </c>
      <c r="H7">
        <v>456</v>
      </c>
      <c r="I7">
        <v>20</v>
      </c>
      <c r="Q7">
        <f>SUM(Tabla13[[#This Row],[Enero]:[Diciembre]])</f>
        <v>1915</v>
      </c>
    </row>
    <row r="13" spans="4:17" ht="15.75" customHeight="1" x14ac:dyDescent="0.25"/>
    <row r="14" spans="4:17" ht="15.75" customHeight="1" x14ac:dyDescent="0.25"/>
    <row r="15" spans="4:17" ht="15.75" customHeight="1" x14ac:dyDescent="0.25"/>
    <row r="16" spans="4:17" ht="15.75" customHeight="1" x14ac:dyDescent="0.25"/>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sheetData>
  <pageMargins left="0.7" right="0.7" top="0.75" bottom="0.75" header="0" footer="0"/>
  <pageSetup orientation="landscape"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Q1000"/>
  <sheetViews>
    <sheetView workbookViewId="0"/>
  </sheetViews>
  <sheetFormatPr baseColWidth="10" defaultColWidth="14.42578125" defaultRowHeight="15" customHeight="1" x14ac:dyDescent="0.25"/>
  <cols>
    <col min="1" max="1" width="11" customWidth="1"/>
    <col min="2" max="2" width="17" bestFit="1" customWidth="1"/>
    <col min="3" max="26" width="11" customWidth="1"/>
  </cols>
  <sheetData>
    <row r="2" spans="2:17" ht="32.25" customHeight="1" x14ac:dyDescent="0.25">
      <c r="B2" s="17" t="s">
        <v>79</v>
      </c>
      <c r="C2" t="s">
        <v>80</v>
      </c>
      <c r="D2" t="s">
        <v>81</v>
      </c>
      <c r="E2" t="s">
        <v>82</v>
      </c>
      <c r="F2" t="s">
        <v>83</v>
      </c>
      <c r="G2" t="s">
        <v>84</v>
      </c>
      <c r="H2" t="s">
        <v>85</v>
      </c>
      <c r="I2" t="s">
        <v>86</v>
      </c>
      <c r="J2" t="s">
        <v>87</v>
      </c>
      <c r="K2" t="s">
        <v>88</v>
      </c>
      <c r="L2" t="s">
        <v>89</v>
      </c>
      <c r="M2" t="s">
        <v>90</v>
      </c>
      <c r="N2" t="s">
        <v>91</v>
      </c>
      <c r="O2" t="s">
        <v>5</v>
      </c>
    </row>
    <row r="3" spans="2:17" ht="15" customHeight="1" x14ac:dyDescent="0.25">
      <c r="B3" s="20">
        <v>2012</v>
      </c>
      <c r="C3">
        <v>72</v>
      </c>
      <c r="D3">
        <v>127</v>
      </c>
      <c r="E3">
        <v>92</v>
      </c>
      <c r="F3">
        <v>104</v>
      </c>
      <c r="G3">
        <v>96</v>
      </c>
      <c r="H3">
        <v>99</v>
      </c>
      <c r="I3">
        <v>143</v>
      </c>
      <c r="J3">
        <v>136</v>
      </c>
      <c r="K3">
        <v>137</v>
      </c>
      <c r="L3">
        <v>103</v>
      </c>
      <c r="M3">
        <v>99</v>
      </c>
      <c r="N3">
        <v>123</v>
      </c>
      <c r="O3">
        <f>SUM(Tabla1[[#This Row],[Enero]:[Diciembre]])</f>
        <v>1331</v>
      </c>
      <c r="Q3" t="s">
        <v>102</v>
      </c>
    </row>
    <row r="4" spans="2:17" ht="15" customHeight="1" x14ac:dyDescent="0.25">
      <c r="B4" s="20">
        <v>2013</v>
      </c>
      <c r="C4">
        <v>101</v>
      </c>
      <c r="D4">
        <v>89</v>
      </c>
      <c r="E4">
        <v>101</v>
      </c>
      <c r="F4">
        <v>123</v>
      </c>
      <c r="G4">
        <v>137</v>
      </c>
      <c r="H4">
        <v>140</v>
      </c>
      <c r="I4">
        <v>215</v>
      </c>
      <c r="J4">
        <v>207</v>
      </c>
      <c r="K4">
        <v>153</v>
      </c>
      <c r="L4">
        <v>170</v>
      </c>
      <c r="M4">
        <v>141</v>
      </c>
      <c r="N4">
        <v>198</v>
      </c>
      <c r="O4">
        <f>SUM(Tabla1[[#This Row],[Enero]:[Diciembre]])</f>
        <v>1775</v>
      </c>
      <c r="Q4">
        <f>SUM(O9+O10+O11+O12+O13+O14)</f>
        <v>9759</v>
      </c>
    </row>
    <row r="5" spans="2:17" ht="15" customHeight="1" x14ac:dyDescent="0.25">
      <c r="B5" s="20">
        <v>2014</v>
      </c>
      <c r="C5">
        <v>154</v>
      </c>
      <c r="D5">
        <v>115</v>
      </c>
      <c r="E5">
        <v>122</v>
      </c>
      <c r="F5">
        <v>167</v>
      </c>
      <c r="G5">
        <v>151</v>
      </c>
      <c r="H5">
        <v>142</v>
      </c>
      <c r="I5">
        <v>167</v>
      </c>
      <c r="J5">
        <v>206</v>
      </c>
      <c r="K5">
        <v>188</v>
      </c>
      <c r="L5">
        <v>302</v>
      </c>
      <c r="M5">
        <v>98</v>
      </c>
      <c r="N5">
        <v>110</v>
      </c>
      <c r="O5">
        <f>SUM(Tabla1[[#This Row],[Enero]:[Diciembre]])</f>
        <v>1922</v>
      </c>
    </row>
    <row r="6" spans="2:17" ht="15" customHeight="1" x14ac:dyDescent="0.25">
      <c r="B6" s="20">
        <v>2015</v>
      </c>
      <c r="C6">
        <v>159</v>
      </c>
      <c r="D6">
        <v>131</v>
      </c>
      <c r="E6">
        <v>200</v>
      </c>
      <c r="F6">
        <v>235</v>
      </c>
      <c r="G6">
        <v>254</v>
      </c>
      <c r="H6">
        <v>178</v>
      </c>
      <c r="I6">
        <v>198</v>
      </c>
      <c r="J6">
        <v>133</v>
      </c>
      <c r="K6">
        <v>238</v>
      </c>
      <c r="L6">
        <v>226</v>
      </c>
      <c r="M6">
        <v>219</v>
      </c>
      <c r="N6">
        <v>210</v>
      </c>
      <c r="O6">
        <f>SUM(Tabla1[[#This Row],[Enero]:[Diciembre]])</f>
        <v>2381</v>
      </c>
    </row>
    <row r="7" spans="2:17" ht="15" customHeight="1" x14ac:dyDescent="0.25">
      <c r="B7" s="20">
        <v>2016</v>
      </c>
      <c r="C7">
        <v>176</v>
      </c>
      <c r="D7">
        <v>139</v>
      </c>
      <c r="E7">
        <v>130</v>
      </c>
      <c r="F7">
        <v>170</v>
      </c>
      <c r="G7">
        <v>243</v>
      </c>
      <c r="H7">
        <v>169</v>
      </c>
      <c r="I7">
        <v>160</v>
      </c>
      <c r="J7">
        <v>180</v>
      </c>
      <c r="K7">
        <v>318</v>
      </c>
      <c r="L7">
        <v>258</v>
      </c>
      <c r="M7">
        <v>242</v>
      </c>
      <c r="N7">
        <v>142</v>
      </c>
      <c r="O7">
        <f>SUM(Tabla1[[#This Row],[Enero]:[Diciembre]])</f>
        <v>2327</v>
      </c>
      <c r="Q7" t="s">
        <v>103</v>
      </c>
    </row>
    <row r="8" spans="2:17" ht="15" customHeight="1" x14ac:dyDescent="0.25">
      <c r="B8" s="20">
        <v>2017</v>
      </c>
      <c r="C8">
        <v>260</v>
      </c>
      <c r="D8">
        <v>209</v>
      </c>
      <c r="E8">
        <v>263</v>
      </c>
      <c r="F8">
        <v>218</v>
      </c>
      <c r="G8">
        <v>158</v>
      </c>
      <c r="H8">
        <v>193</v>
      </c>
      <c r="I8">
        <v>305</v>
      </c>
      <c r="J8">
        <v>444</v>
      </c>
      <c r="K8">
        <v>237</v>
      </c>
      <c r="L8">
        <v>346</v>
      </c>
      <c r="M8">
        <v>219</v>
      </c>
      <c r="N8">
        <v>441</v>
      </c>
      <c r="O8">
        <f>SUM(Tabla1[[#This Row],[Enero]:[Diciembre]])</f>
        <v>3293</v>
      </c>
      <c r="Q8">
        <f>+N9+O10+O11+O12+O13+O14</f>
        <v>7048</v>
      </c>
    </row>
    <row r="9" spans="2:17" ht="15" customHeight="1" x14ac:dyDescent="0.25">
      <c r="B9" s="20">
        <v>2018</v>
      </c>
      <c r="C9">
        <v>340</v>
      </c>
      <c r="D9">
        <v>201</v>
      </c>
      <c r="E9">
        <v>98</v>
      </c>
      <c r="F9">
        <v>205</v>
      </c>
      <c r="G9">
        <v>219</v>
      </c>
      <c r="H9">
        <v>355</v>
      </c>
      <c r="I9">
        <v>171</v>
      </c>
      <c r="J9">
        <v>292</v>
      </c>
      <c r="K9">
        <v>286</v>
      </c>
      <c r="L9">
        <v>261</v>
      </c>
      <c r="M9">
        <v>283</v>
      </c>
      <c r="N9">
        <v>347</v>
      </c>
      <c r="O9">
        <f>SUM(Tabla1[[#This Row],[Enero]:[Diciembre]])</f>
        <v>3058</v>
      </c>
    </row>
    <row r="10" spans="2:17" ht="15" customHeight="1" x14ac:dyDescent="0.25">
      <c r="B10" s="20">
        <v>2019</v>
      </c>
      <c r="C10">
        <v>216</v>
      </c>
      <c r="D10">
        <v>256</v>
      </c>
      <c r="E10">
        <v>200</v>
      </c>
      <c r="F10">
        <v>154</v>
      </c>
      <c r="G10">
        <v>152</v>
      </c>
      <c r="H10">
        <v>199</v>
      </c>
      <c r="I10">
        <v>130</v>
      </c>
      <c r="J10">
        <v>177</v>
      </c>
      <c r="K10">
        <v>306</v>
      </c>
      <c r="L10">
        <v>600</v>
      </c>
      <c r="M10">
        <v>203</v>
      </c>
      <c r="N10">
        <v>160</v>
      </c>
      <c r="O10">
        <f>SUM(Tabla1[[#This Row],[Enero]:[Diciembre]])</f>
        <v>2753</v>
      </c>
    </row>
    <row r="11" spans="2:17" ht="15" customHeight="1" x14ac:dyDescent="0.25">
      <c r="B11" s="20">
        <v>2020</v>
      </c>
      <c r="C11">
        <v>153</v>
      </c>
      <c r="D11">
        <v>119</v>
      </c>
      <c r="E11">
        <v>123</v>
      </c>
      <c r="F11">
        <v>44</v>
      </c>
      <c r="G11">
        <v>16</v>
      </c>
      <c r="H11">
        <v>80</v>
      </c>
      <c r="I11">
        <v>115</v>
      </c>
      <c r="J11">
        <v>123</v>
      </c>
      <c r="K11">
        <v>66</v>
      </c>
      <c r="L11">
        <v>90</v>
      </c>
      <c r="M11">
        <v>36</v>
      </c>
      <c r="N11">
        <v>139</v>
      </c>
      <c r="O11">
        <f>SUM(Tabla1[[#This Row],[Enero]:[Diciembre]])</f>
        <v>1104</v>
      </c>
    </row>
    <row r="12" spans="2:17" ht="15" customHeight="1" x14ac:dyDescent="0.25">
      <c r="B12" s="20">
        <v>2021</v>
      </c>
      <c r="C12">
        <v>100</v>
      </c>
      <c r="D12">
        <v>82</v>
      </c>
      <c r="E12">
        <v>164</v>
      </c>
      <c r="F12">
        <v>93</v>
      </c>
      <c r="G12">
        <v>102</v>
      </c>
      <c r="H12">
        <v>138</v>
      </c>
      <c r="I12">
        <v>119</v>
      </c>
      <c r="J12">
        <v>224</v>
      </c>
      <c r="K12">
        <v>154</v>
      </c>
      <c r="L12">
        <v>141</v>
      </c>
      <c r="M12">
        <v>99</v>
      </c>
      <c r="N12">
        <v>94</v>
      </c>
      <c r="O12">
        <f>SUM(Tabla1[[#This Row],[Enero]:[Diciembre]])</f>
        <v>1510</v>
      </c>
    </row>
    <row r="13" spans="2:17" ht="15" customHeight="1" x14ac:dyDescent="0.25">
      <c r="B13" s="20">
        <v>2022</v>
      </c>
      <c r="C13">
        <v>121</v>
      </c>
      <c r="D13">
        <v>158</v>
      </c>
      <c r="E13">
        <v>108</v>
      </c>
      <c r="F13">
        <v>66</v>
      </c>
      <c r="G13">
        <v>82</v>
      </c>
      <c r="H13">
        <v>83</v>
      </c>
      <c r="I13">
        <v>88</v>
      </c>
      <c r="J13">
        <v>69</v>
      </c>
      <c r="K13" s="19">
        <f>'2018-2026'!AV23</f>
        <v>71</v>
      </c>
      <c r="L13">
        <f>'2018-2026'!AW23</f>
        <v>88</v>
      </c>
      <c r="M13" s="19">
        <f>'2018-2026'!AX23</f>
        <v>68</v>
      </c>
      <c r="N13" s="19">
        <f>'2018-2026'!AY23</f>
        <v>62</v>
      </c>
      <c r="O13">
        <f>SUM(Tabla1[[#This Row],[Enero]:[Diciembre]])</f>
        <v>1064</v>
      </c>
    </row>
    <row r="14" spans="2:17" ht="15" customHeight="1" x14ac:dyDescent="0.25">
      <c r="B14" s="20">
        <v>2023</v>
      </c>
      <c r="C14">
        <v>80</v>
      </c>
      <c r="D14">
        <f>36+37</f>
        <v>73</v>
      </c>
      <c r="E14">
        <v>57</v>
      </c>
      <c r="F14">
        <v>60</v>
      </c>
      <c r="K14" s="19"/>
      <c r="M14" s="19"/>
      <c r="N14" s="19"/>
      <c r="O14">
        <f>SUM(Tabla1[[#This Row],[Enero]:[Diciembre]])</f>
        <v>270</v>
      </c>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724"/>
  <sheetViews>
    <sheetView workbookViewId="0"/>
  </sheetViews>
  <sheetFormatPr baseColWidth="10" defaultColWidth="14.42578125" defaultRowHeight="15" customHeight="1" x14ac:dyDescent="0.25"/>
  <cols>
    <col min="1" max="1" width="35.85546875" customWidth="1"/>
    <col min="2" max="2" width="22.5703125" customWidth="1"/>
    <col min="3" max="3" width="13.7109375" customWidth="1"/>
    <col min="4" max="7" width="11" customWidth="1"/>
    <col min="8" max="10" width="9.85546875" customWidth="1"/>
    <col min="11" max="26" width="10.42578125" customWidth="1"/>
    <col min="27" max="28" width="14.7109375" customWidth="1"/>
    <col min="29" max="29" width="11" customWidth="1"/>
  </cols>
  <sheetData>
    <row r="1" spans="1:29" ht="18.75" x14ac:dyDescent="0.35">
      <c r="H1" s="1"/>
      <c r="I1" s="1"/>
      <c r="J1" s="1"/>
      <c r="K1" s="1"/>
      <c r="L1" s="1"/>
      <c r="M1" s="1"/>
      <c r="N1" s="1"/>
      <c r="O1" s="1"/>
      <c r="P1" s="1"/>
      <c r="Q1" s="1"/>
      <c r="R1" s="1"/>
      <c r="S1" s="1"/>
      <c r="T1" s="1"/>
      <c r="U1" s="1"/>
      <c r="V1" s="1"/>
      <c r="W1" s="1"/>
      <c r="X1" s="1"/>
      <c r="Y1" s="1"/>
      <c r="Z1" s="1"/>
    </row>
    <row r="2" spans="1:29" ht="18.75" x14ac:dyDescent="0.35">
      <c r="H2" s="1"/>
      <c r="I2" s="1"/>
      <c r="J2" s="1"/>
      <c r="K2" s="1"/>
      <c r="L2" s="1"/>
      <c r="M2" s="1"/>
      <c r="N2" s="1"/>
      <c r="O2" s="1"/>
      <c r="P2" s="1"/>
      <c r="Q2" s="1"/>
      <c r="R2" s="1"/>
      <c r="S2" s="1"/>
      <c r="T2" s="1"/>
      <c r="U2" s="1"/>
      <c r="V2" s="1"/>
      <c r="W2" s="1"/>
      <c r="X2" s="1"/>
      <c r="Y2" s="1"/>
      <c r="Z2" s="1"/>
    </row>
    <row r="3" spans="1:29" ht="18.75" x14ac:dyDescent="0.35">
      <c r="H3" s="1"/>
      <c r="I3" s="1"/>
      <c r="J3" s="1"/>
      <c r="K3" s="1"/>
      <c r="L3" s="1"/>
      <c r="M3" s="1"/>
      <c r="N3" s="1"/>
      <c r="O3" s="1"/>
      <c r="P3" s="1"/>
      <c r="Q3" s="1"/>
      <c r="R3" s="1"/>
      <c r="S3" s="1"/>
      <c r="T3" s="1"/>
      <c r="U3" s="1"/>
      <c r="V3" s="1"/>
      <c r="W3" s="1"/>
      <c r="X3" s="1"/>
      <c r="Y3" s="1"/>
      <c r="Z3" s="1"/>
    </row>
    <row r="5" spans="1:29" ht="18.75" x14ac:dyDescent="0.25">
      <c r="A5" s="304" t="s">
        <v>3</v>
      </c>
      <c r="B5" s="305"/>
      <c r="C5" s="305"/>
      <c r="D5" s="305"/>
      <c r="E5" s="305"/>
      <c r="F5" s="305"/>
      <c r="G5" s="305"/>
      <c r="H5" s="305"/>
      <c r="I5" s="305"/>
      <c r="J5" s="305"/>
      <c r="K5" s="305"/>
      <c r="L5" s="305"/>
      <c r="M5" s="305"/>
      <c r="N5" s="305"/>
      <c r="O5" s="305"/>
      <c r="P5" s="305"/>
      <c r="Q5" s="305"/>
      <c r="R5" s="305"/>
      <c r="S5" s="305"/>
      <c r="T5" s="305"/>
      <c r="U5" s="305"/>
      <c r="V5" s="305"/>
      <c r="W5" s="305"/>
      <c r="X5" s="305"/>
      <c r="Y5" s="305"/>
      <c r="Z5" s="305"/>
    </row>
    <row r="7" spans="1:29" ht="15.75" customHeight="1" x14ac:dyDescent="0.25">
      <c r="A7" s="8"/>
      <c r="B7" s="9"/>
      <c r="C7" s="9"/>
      <c r="D7" s="9"/>
      <c r="E7" s="9"/>
      <c r="F7" s="9"/>
      <c r="G7" s="9"/>
      <c r="H7" s="10"/>
      <c r="I7" s="10"/>
      <c r="J7" s="10"/>
      <c r="K7" s="10"/>
      <c r="L7" s="10"/>
      <c r="M7" s="10"/>
      <c r="N7" s="10"/>
      <c r="O7" s="10"/>
      <c r="P7" s="10"/>
      <c r="Q7" s="10"/>
      <c r="R7" s="10"/>
      <c r="S7" s="10"/>
      <c r="T7" s="10"/>
      <c r="U7" s="10"/>
      <c r="V7" s="10"/>
      <c r="W7" s="10"/>
      <c r="X7" s="10"/>
      <c r="Y7" s="10"/>
      <c r="Z7" s="10"/>
    </row>
    <row r="8" spans="1:29" ht="15.75" customHeight="1" x14ac:dyDescent="0.25">
      <c r="A8" s="2" t="s">
        <v>6</v>
      </c>
      <c r="B8" s="3"/>
    </row>
    <row r="9" spans="1:29" ht="15.75" customHeight="1" x14ac:dyDescent="0.25">
      <c r="A9" s="8"/>
      <c r="B9" s="8"/>
      <c r="C9" s="9"/>
      <c r="D9" s="9"/>
      <c r="E9" s="9"/>
      <c r="F9" s="9"/>
      <c r="G9" s="9"/>
      <c r="H9" s="10"/>
      <c r="I9" s="10"/>
      <c r="J9" s="10"/>
      <c r="K9" s="10"/>
      <c r="L9" s="10"/>
      <c r="M9" s="10"/>
      <c r="N9" s="10"/>
      <c r="O9" s="10"/>
      <c r="P9" s="10"/>
      <c r="Q9" s="10"/>
      <c r="R9" s="10"/>
      <c r="S9" s="10"/>
      <c r="T9" s="10"/>
      <c r="U9" s="10"/>
      <c r="V9" s="10"/>
      <c r="W9" s="10"/>
      <c r="X9" s="10"/>
      <c r="Y9" s="10"/>
      <c r="Z9" s="10"/>
    </row>
    <row r="10" spans="1:29" ht="15.75" customHeight="1" thickBot="1" x14ac:dyDescent="0.4">
      <c r="A10" s="4" t="s">
        <v>7</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row>
    <row r="11" spans="1:29" ht="15.75" customHeight="1" thickBot="1" x14ac:dyDescent="0.4">
      <c r="A11" s="4"/>
      <c r="AA11" s="342" t="s">
        <v>5</v>
      </c>
      <c r="AB11" s="343"/>
    </row>
    <row r="12" spans="1:29" x14ac:dyDescent="0.25">
      <c r="A12" s="5" t="s">
        <v>8</v>
      </c>
      <c r="B12" s="5" t="s">
        <v>4</v>
      </c>
      <c r="C12" s="7">
        <v>44562</v>
      </c>
      <c r="D12" s="7">
        <v>44593</v>
      </c>
      <c r="E12" s="7">
        <v>44621</v>
      </c>
      <c r="F12" s="6">
        <v>44652</v>
      </c>
      <c r="G12" s="6">
        <v>44703</v>
      </c>
      <c r="H12" s="6">
        <v>44734</v>
      </c>
      <c r="I12" s="6">
        <v>44764</v>
      </c>
      <c r="J12" s="6">
        <v>44774</v>
      </c>
      <c r="K12" s="6">
        <v>44819</v>
      </c>
      <c r="L12" s="6">
        <v>44849</v>
      </c>
      <c r="M12" s="6">
        <v>44866</v>
      </c>
      <c r="N12" s="6">
        <v>44896</v>
      </c>
      <c r="O12" s="7">
        <v>44927</v>
      </c>
      <c r="P12" s="7">
        <v>44958</v>
      </c>
      <c r="Q12" s="7">
        <v>44986</v>
      </c>
      <c r="R12" s="7">
        <v>45017</v>
      </c>
      <c r="S12" s="7">
        <v>45047</v>
      </c>
      <c r="T12" s="7">
        <v>45078</v>
      </c>
      <c r="U12" s="7">
        <v>45108</v>
      </c>
      <c r="V12" s="7">
        <v>45139</v>
      </c>
      <c r="W12" s="7">
        <v>45170</v>
      </c>
      <c r="X12" s="7">
        <v>45200</v>
      </c>
      <c r="Y12" s="7">
        <v>45231</v>
      </c>
      <c r="Z12" s="7">
        <v>45261</v>
      </c>
      <c r="AA12" s="24" t="s">
        <v>64</v>
      </c>
      <c r="AB12" s="11" t="s">
        <v>95</v>
      </c>
    </row>
    <row r="13" spans="1:29" ht="64.900000000000006" customHeight="1" x14ac:dyDescent="0.25">
      <c r="A13" s="344" t="s">
        <v>96</v>
      </c>
      <c r="B13" s="25" t="s">
        <v>100</v>
      </c>
      <c r="C13" s="26"/>
      <c r="D13" s="26"/>
      <c r="E13" s="26"/>
      <c r="F13" s="26"/>
      <c r="G13" s="26"/>
      <c r="H13" s="26"/>
      <c r="I13" s="26"/>
      <c r="J13" s="26"/>
      <c r="K13" s="26"/>
      <c r="L13" s="26"/>
      <c r="M13" s="26"/>
      <c r="N13" s="26"/>
      <c r="O13" s="26"/>
      <c r="P13" s="26"/>
      <c r="Q13" s="26"/>
      <c r="R13" s="26"/>
      <c r="S13" s="26"/>
      <c r="T13" s="26"/>
      <c r="U13" s="26"/>
      <c r="V13" s="26"/>
      <c r="W13" s="26"/>
      <c r="X13" s="26"/>
      <c r="Y13" s="26"/>
      <c r="Z13" s="26"/>
      <c r="AA13" s="15"/>
      <c r="AB13" s="15"/>
    </row>
    <row r="14" spans="1:29" x14ac:dyDescent="0.25">
      <c r="A14" s="345"/>
      <c r="B14" s="25" t="s">
        <v>98</v>
      </c>
      <c r="C14" s="26"/>
      <c r="D14" s="26"/>
      <c r="E14" s="26"/>
      <c r="F14" s="26"/>
      <c r="G14" s="26"/>
      <c r="H14" s="26"/>
      <c r="I14" s="26"/>
      <c r="J14" s="26"/>
      <c r="K14" s="26"/>
      <c r="L14" s="26"/>
      <c r="M14" s="26"/>
      <c r="N14" s="26"/>
      <c r="O14" s="26"/>
      <c r="P14" s="26"/>
      <c r="Q14" s="26"/>
      <c r="R14" s="26"/>
      <c r="S14" s="26"/>
      <c r="T14" s="26"/>
      <c r="U14" s="26"/>
      <c r="V14" s="26"/>
      <c r="W14" s="26"/>
      <c r="X14" s="26"/>
      <c r="Y14" s="26"/>
      <c r="Z14" s="26"/>
      <c r="AA14" s="15"/>
      <c r="AB14" s="15"/>
    </row>
    <row r="15" spans="1:29" ht="81" customHeight="1" x14ac:dyDescent="0.25">
      <c r="A15" s="344" t="s">
        <v>99</v>
      </c>
      <c r="B15" s="25" t="s">
        <v>97</v>
      </c>
      <c r="C15" s="26"/>
      <c r="D15" s="26"/>
      <c r="E15" s="26"/>
      <c r="F15" s="26"/>
      <c r="G15" s="26"/>
      <c r="H15" s="26"/>
      <c r="I15" s="26"/>
      <c r="J15" s="26"/>
      <c r="K15" s="26"/>
      <c r="L15" s="26"/>
      <c r="M15" s="26"/>
      <c r="N15" s="26"/>
      <c r="O15" s="26"/>
      <c r="P15" s="26"/>
      <c r="Q15" s="26"/>
      <c r="R15" s="26"/>
      <c r="S15" s="26"/>
      <c r="T15" s="26"/>
      <c r="U15" s="26"/>
      <c r="V15" s="26"/>
      <c r="W15" s="26"/>
      <c r="X15" s="26"/>
      <c r="Y15" s="26"/>
      <c r="Z15" s="26"/>
      <c r="AA15" s="15"/>
      <c r="AB15" s="15"/>
    </row>
    <row r="16" spans="1:29" ht="15.75" customHeight="1" x14ac:dyDescent="0.25">
      <c r="A16" s="345"/>
      <c r="B16" s="27" t="s">
        <v>98</v>
      </c>
      <c r="C16" s="27"/>
      <c r="D16" s="27"/>
      <c r="E16" s="27"/>
      <c r="F16" s="27"/>
      <c r="G16" s="27"/>
      <c r="H16" s="27"/>
      <c r="I16" s="27"/>
      <c r="J16" s="27"/>
      <c r="K16" s="27"/>
      <c r="L16" s="27"/>
      <c r="M16" s="27"/>
      <c r="N16" s="27"/>
      <c r="O16" s="27"/>
      <c r="P16" s="27"/>
      <c r="Q16" s="27"/>
      <c r="R16" s="27"/>
      <c r="S16" s="27"/>
      <c r="T16" s="27"/>
      <c r="U16" s="27"/>
      <c r="V16" s="27"/>
      <c r="W16" s="27"/>
      <c r="X16" s="27"/>
      <c r="Y16" s="27"/>
      <c r="Z16" s="27"/>
      <c r="AA16" s="27"/>
      <c r="AB16" s="27"/>
    </row>
    <row r="17" ht="15.75" customHeight="1" x14ac:dyDescent="0.25"/>
    <row r="18" ht="15.75" customHeight="1" x14ac:dyDescent="0.25"/>
    <row r="19" ht="15.75" customHeight="1" x14ac:dyDescent="0.25"/>
    <row r="20" ht="15.75" customHeight="1"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sheetData>
  <mergeCells count="4">
    <mergeCell ref="A5:Z5"/>
    <mergeCell ref="AA11:AB11"/>
    <mergeCell ref="A13:A14"/>
    <mergeCell ref="A15:A16"/>
  </mergeCells>
  <printOptions horizontalCentered="1"/>
  <pageMargins left="0.31496062992126" right="0.31496062992126" top="0.35433070866141703" bottom="0.35433070866141703" header="0" footer="0"/>
  <pageSetup scale="54"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2018-2026</vt:lpstr>
      <vt:lpstr>observaciones alertas y boletin</vt:lpstr>
      <vt:lpstr>Hoja4</vt:lpstr>
      <vt:lpstr>Hoja3</vt:lpstr>
      <vt:lpstr>Dic18-2026 -Nvo For_ CERT-PREV</vt:lpstr>
      <vt:lpstr>Oct. 2024 - 2026 CERT-MX</vt:lpstr>
      <vt:lpstr>DESGLOCE DENUNCIAS PI</vt:lpstr>
      <vt:lpstr>Atención Ciudadana</vt:lpstr>
      <vt:lpstr>DFDF</vt:lpstr>
      <vt:lpstr>1er corte FAP</vt:lpstr>
      <vt:lpstr>2 corte FAP</vt:lpstr>
      <vt:lpstr>Hoja1</vt:lpstr>
      <vt:lpstr>desactivaciones  19-22</vt:lpstr>
      <vt:lpstr>ciberinvestigaciones 2012-2022</vt:lpstr>
      <vt:lpstr>FACES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RAMON AVILA ESPADIN</dc:creator>
  <cp:lastModifiedBy>VANESSA ARGELIA DE JESUS PERALTA</cp:lastModifiedBy>
  <cp:lastPrinted>2024-12-26T15:33:47Z</cp:lastPrinted>
  <dcterms:created xsi:type="dcterms:W3CDTF">2021-03-05T23:05:00Z</dcterms:created>
  <dcterms:modified xsi:type="dcterms:W3CDTF">2026-07-28T14:55:39Z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2058-11.2.0.9967</vt:lpwstr>
  </property>
</Properties>
</file>